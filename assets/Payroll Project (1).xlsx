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slicers/slicer2.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2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rivera\Downloads\"/>
    </mc:Choice>
  </mc:AlternateContent>
  <xr:revisionPtr revIDLastSave="0" documentId="13_ncr:1_{D49D7BD6-B147-4B2B-BE13-D163644581E2}" xr6:coauthVersionLast="47" xr6:coauthVersionMax="47" xr10:uidLastSave="{00000000-0000-0000-0000-000000000000}"/>
  <bookViews>
    <workbookView xWindow="-120" yWindow="-120" windowWidth="29040" windowHeight="15720" tabRatio="698" xr2:uid="{DECD55C9-3436-490A-9E52-8D13C61A75A8}"/>
  </bookViews>
  <sheets>
    <sheet name="DASHBOARD" sheetId="1" r:id="rId1"/>
    <sheet name="DASHBOARD Light" sheetId="7" r:id="rId2"/>
    <sheet name="Processing" sheetId="2" r:id="rId3"/>
    <sheet name="Control" sheetId="3" r:id="rId4"/>
    <sheet name="Data" sheetId="4" r:id="rId5"/>
    <sheet name="HOTMAP-DATA" sheetId="6" r:id="rId6"/>
    <sheet name="Resources" sheetId="5" r:id="rId7"/>
  </sheets>
  <definedNames>
    <definedName name="Slicer_Month">#N/A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2" l="1"/>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30" i="2"/>
  <c r="A28" i="2"/>
  <c r="B28" i="2" a="1"/>
  <c r="B28" i="2" s="1"/>
  <c r="L20" i="2"/>
  <c r="L21" i="2"/>
  <c r="L22" i="2"/>
  <c r="L23" i="2"/>
  <c r="L19" i="2"/>
  <c r="N17" i="2"/>
  <c r="M17" i="2"/>
  <c r="O17" i="2"/>
  <c r="K9" i="2"/>
  <c r="H24" i="2"/>
  <c r="H25" i="2"/>
  <c r="H15" i="2"/>
  <c r="H16" i="2"/>
  <c r="G17" i="2"/>
  <c r="C15" i="2"/>
  <c r="B16" i="2"/>
  <c r="H17" i="2"/>
  <c r="G18" i="2"/>
  <c r="B17" i="2"/>
  <c r="G19" i="2"/>
  <c r="C17" i="2"/>
  <c r="B18" i="2"/>
  <c r="H19" i="2"/>
  <c r="G20" i="2"/>
  <c r="C18" i="2"/>
  <c r="B19" i="2"/>
  <c r="H20" i="2"/>
  <c r="G21" i="2"/>
  <c r="C19" i="2"/>
  <c r="B20" i="2"/>
  <c r="H21" i="2"/>
  <c r="C20" i="2"/>
  <c r="B21" i="2"/>
  <c r="H22" i="2"/>
  <c r="C21" i="2"/>
  <c r="C22" i="2"/>
  <c r="B23" i="2"/>
  <c r="C23" i="2"/>
  <c r="G14" i="2"/>
  <c r="B13" i="2"/>
  <c r="G15" i="2"/>
  <c r="B14" i="2"/>
  <c r="C14" i="2"/>
  <c r="C16" i="2"/>
  <c r="G22" i="2"/>
  <c r="G23" i="2"/>
  <c r="B22" i="2"/>
  <c r="H23" i="2"/>
  <c r="G25" i="2"/>
  <c r="B24" i="2"/>
  <c r="C24" i="2"/>
  <c r="H14" i="2"/>
  <c r="C13" i="2"/>
  <c r="G16" i="2"/>
  <c r="B15" i="2"/>
  <c r="H18" i="2"/>
  <c r="G24" i="2"/>
  <c r="I27" i="2"/>
  <c r="V20" i="2"/>
  <c r="N6" i="2"/>
  <c r="N7" i="2"/>
  <c r="I18" i="2"/>
  <c r="I19" i="2"/>
  <c r="O4" i="2"/>
  <c r="V21" i="2"/>
  <c r="V22" i="2"/>
  <c r="I17" i="2"/>
  <c r="N14" i="2"/>
  <c r="N3" i="2"/>
  <c r="D13" i="2"/>
  <c r="D14" i="2"/>
  <c r="N11" i="2"/>
  <c r="I20" i="2"/>
  <c r="V23" i="2"/>
  <c r="U20" i="2"/>
  <c r="U21" i="2"/>
  <c r="I21" i="2"/>
  <c r="O5" i="2"/>
  <c r="D17" i="2"/>
  <c r="C2" i="2"/>
  <c r="U22" i="2"/>
  <c r="I22" i="2"/>
  <c r="O6" i="2"/>
  <c r="D18" i="2"/>
  <c r="D2" i="2"/>
  <c r="U23" i="2"/>
  <c r="I23" i="2"/>
  <c r="O7" i="2"/>
  <c r="D19" i="2"/>
  <c r="E2" i="2"/>
  <c r="I24" i="2"/>
  <c r="U19" i="2"/>
  <c r="O3" i="2"/>
  <c r="D20" i="2"/>
  <c r="F2" i="2"/>
  <c r="V19" i="2"/>
  <c r="I2" i="2"/>
  <c r="I25" i="2"/>
  <c r="N4" i="2"/>
  <c r="D21" i="2"/>
  <c r="B2" i="2"/>
  <c r="I14" i="2"/>
  <c r="N5" i="2"/>
  <c r="D22" i="2"/>
  <c r="I15" i="2"/>
  <c r="N12" i="2"/>
  <c r="D23" i="2"/>
  <c r="I16" i="2"/>
  <c r="N13" i="2"/>
  <c r="D24" i="2"/>
  <c r="N15" i="2"/>
  <c r="J2" i="2"/>
  <c r="D15" i="2"/>
  <c r="D16" i="2"/>
  <c r="H13" i="2" l="1"/>
  <c r="H26" i="2"/>
  <c r="E16" i="2"/>
  <c r="E15" i="2"/>
  <c r="K2" i="2"/>
  <c r="E24" i="2"/>
  <c r="E23" i="2"/>
  <c r="E22" i="2"/>
  <c r="E21" i="2"/>
  <c r="F3" i="2"/>
  <c r="E20" i="2"/>
  <c r="O8" i="2"/>
  <c r="E3" i="2"/>
  <c r="E19" i="2"/>
  <c r="D3" i="2"/>
  <c r="E18" i="2"/>
  <c r="C3" i="2"/>
  <c r="E17" i="2"/>
  <c r="E14" i="2"/>
  <c r="E13" i="2"/>
  <c r="N8" i="2"/>
  <c r="D41" i="2" a="1"/>
  <c r="D41" i="2" s="1"/>
  <c r="D39" i="2" a="1"/>
  <c r="D39" i="2" s="1"/>
  <c r="E37" i="2" a="1"/>
  <c r="E37" i="2" s="1"/>
  <c r="E35" i="2" a="1"/>
  <c r="E35" i="2" s="1"/>
  <c r="D33" i="2" a="1"/>
  <c r="D33" i="2" s="1"/>
  <c r="C31" i="2" a="1"/>
  <c r="C31" i="2" s="1"/>
  <c r="B53" i="2" a="1"/>
  <c r="B53" i="2" s="1"/>
  <c r="B47" i="2" a="1"/>
  <c r="B47" i="2" s="1"/>
  <c r="B42" i="2" a="1"/>
  <c r="B42" i="2" s="1"/>
  <c r="D30" i="2" a="1"/>
  <c r="D30" i="2" s="1"/>
  <c r="D32" i="2" a="1"/>
  <c r="D32" i="2" s="1"/>
  <c r="C34" i="2" a="1"/>
  <c r="C34" i="2" s="1"/>
  <c r="C36" i="2" a="1"/>
  <c r="C36" i="2" s="1"/>
  <c r="C38" i="2" a="1"/>
  <c r="C38" i="2" s="1"/>
  <c r="C40" i="2" a="1"/>
  <c r="C40" i="2" s="1"/>
  <c r="D42" i="2" a="1"/>
  <c r="D42" i="2" s="1"/>
  <c r="C45" i="2" a="1"/>
  <c r="C45" i="2" s="1"/>
  <c r="E46" i="2" a="1"/>
  <c r="E46" i="2" s="1"/>
  <c r="E47" i="2" a="1"/>
  <c r="E47" i="2" s="1"/>
  <c r="E49" i="2" a="1"/>
  <c r="E49" i="2" s="1"/>
  <c r="D52" i="2" a="1"/>
  <c r="D52" i="2" s="1"/>
  <c r="E54" i="2" a="1"/>
  <c r="E54" i="2" s="1"/>
  <c r="E56" i="2" a="1"/>
  <c r="E56" i="2" s="1"/>
  <c r="B33" i="2" a="1"/>
  <c r="B33" i="2" s="1"/>
  <c r="B43" i="2" a="1"/>
  <c r="B43" i="2" s="1"/>
  <c r="B49" i="2" a="1"/>
  <c r="B49" i="2" s="1"/>
  <c r="B54" i="2" a="1"/>
  <c r="B54" i="2" s="1"/>
  <c r="B37" i="2" a="1"/>
  <c r="B37" i="2" s="1"/>
  <c r="B31" i="2" a="1"/>
  <c r="B31" i="2" s="1"/>
  <c r="C56" i="2" a="1"/>
  <c r="C56" i="2" s="1"/>
  <c r="C54" i="2" a="1"/>
  <c r="C54" i="2" s="1"/>
  <c r="D31" i="2" a="1"/>
  <c r="D31" i="2" s="1"/>
  <c r="C32" i="2" a="1"/>
  <c r="C32" i="2" s="1"/>
  <c r="D34" i="2" a="1"/>
  <c r="D34" i="2" s="1"/>
  <c r="E36" i="2" a="1"/>
  <c r="E36" i="2" s="1"/>
  <c r="E38" i="2" a="1"/>
  <c r="E38" i="2" s="1"/>
  <c r="E40" i="2" a="1"/>
  <c r="E40" i="2" s="1"/>
  <c r="E42" i="2" a="1"/>
  <c r="E42" i="2" s="1"/>
  <c r="D44" i="2" a="1"/>
  <c r="D44" i="2" s="1"/>
  <c r="C47" i="2" a="1"/>
  <c r="C47" i="2" s="1"/>
  <c r="D48" i="2" a="1"/>
  <c r="D48" i="2" s="1"/>
  <c r="D50" i="2" a="1"/>
  <c r="D50" i="2" s="1"/>
  <c r="C52" i="2" a="1"/>
  <c r="C52" i="2" s="1"/>
  <c r="D54" i="2" a="1"/>
  <c r="D54" i="2" s="1"/>
  <c r="E55" i="2" a="1"/>
  <c r="E55" i="2" s="1"/>
  <c r="D57" i="2" a="1"/>
  <c r="D57" i="2" s="1"/>
  <c r="B35" i="2" a="1"/>
  <c r="B35" i="2" s="1"/>
  <c r="B39" i="2" a="1"/>
  <c r="B39" i="2" s="1"/>
  <c r="B45" i="2" a="1"/>
  <c r="B45" i="2" s="1"/>
  <c r="B51" i="2" a="1"/>
  <c r="B51" i="2" s="1"/>
  <c r="B57" i="2" a="1"/>
  <c r="B57" i="2" s="1"/>
  <c r="D51" i="2" a="1"/>
  <c r="D51" i="2" s="1"/>
  <c r="C49" i="2" a="1"/>
  <c r="C49" i="2" s="1"/>
  <c r="D47" i="2" a="1"/>
  <c r="D47" i="2" s="1"/>
  <c r="E45" i="2" a="1"/>
  <c r="E45" i="2" s="1"/>
  <c r="C44" i="2" a="1"/>
  <c r="C44" i="2" s="1"/>
  <c r="C42" i="2" a="1"/>
  <c r="C42" i="2" s="1"/>
  <c r="C30" i="2" a="1"/>
  <c r="C30" i="2" s="1"/>
  <c r="J30" i="2" s="1" a="1"/>
  <c r="J30" i="2" s="1"/>
  <c r="E33" i="2" a="1"/>
  <c r="E33" i="2" s="1"/>
  <c r="D35" i="2" a="1"/>
  <c r="D35" i="2" s="1"/>
  <c r="D37" i="2" a="1"/>
  <c r="D37" i="2" s="1"/>
  <c r="E39" i="2" a="1"/>
  <c r="E39" i="2" s="1"/>
  <c r="E41" i="2" a="1"/>
  <c r="E41" i="2" s="1"/>
  <c r="E43" i="2" a="1"/>
  <c r="E43" i="2" s="1"/>
  <c r="C46" i="2" a="1"/>
  <c r="C46" i="2" s="1"/>
  <c r="C48" i="2" a="1"/>
  <c r="C48" i="2" s="1"/>
  <c r="C50" i="2" a="1"/>
  <c r="C50" i="2" s="1"/>
  <c r="E51" i="2" a="1"/>
  <c r="E51" i="2" s="1"/>
  <c r="C53" i="2" a="1"/>
  <c r="C53" i="2" s="1"/>
  <c r="C55" i="2" a="1"/>
  <c r="C55" i="2" s="1"/>
  <c r="C57" i="2" a="1"/>
  <c r="C57" i="2" s="1"/>
  <c r="B34" i="2" a="1"/>
  <c r="B34" i="2" s="1"/>
  <c r="B38" i="2" a="1"/>
  <c r="B38" i="2" s="1"/>
  <c r="B44" i="2" a="1"/>
  <c r="B44" i="2" s="1"/>
  <c r="B50" i="2" a="1"/>
  <c r="B50" i="2" s="1"/>
  <c r="B56" i="2" a="1"/>
  <c r="B56" i="2" s="1"/>
  <c r="D40" i="2" a="1"/>
  <c r="D40" i="2" s="1"/>
  <c r="D38" i="2" a="1"/>
  <c r="D38" i="2" s="1"/>
  <c r="D36" i="2" a="1"/>
  <c r="D36" i="2" s="1"/>
  <c r="E34" i="2" a="1"/>
  <c r="E34" i="2" s="1"/>
  <c r="C33" i="2" a="1"/>
  <c r="C33" i="2" s="1"/>
  <c r="E31" i="2" a="1"/>
  <c r="E31" i="2" s="1"/>
  <c r="D43" i="2" a="1"/>
  <c r="D43" i="2" s="1"/>
  <c r="B30" i="2" a="1"/>
  <c r="B30" i="2" s="1"/>
  <c r="B52" i="2" a="1"/>
  <c r="B52" i="2" s="1"/>
  <c r="B46" i="2" a="1"/>
  <c r="B46" i="2" s="1"/>
  <c r="B40" i="2" a="1"/>
  <c r="B40" i="2" s="1"/>
  <c r="B32" i="2" a="1"/>
  <c r="B32" i="2" s="1"/>
  <c r="D56" i="2" a="1"/>
  <c r="D56" i="2" s="1"/>
  <c r="E53" i="2" a="1"/>
  <c r="E53" i="2" s="1"/>
  <c r="E50" i="2" a="1"/>
  <c r="E50" i="2" s="1"/>
  <c r="E48" i="2" a="1"/>
  <c r="E48" i="2" s="1"/>
  <c r="D45" i="2" a="1"/>
  <c r="D45" i="2" s="1"/>
  <c r="E30" i="2" a="1"/>
  <c r="E30" i="2" s="1"/>
  <c r="E32" i="2" a="1"/>
  <c r="E32" i="2" s="1"/>
  <c r="C35" i="2" a="1"/>
  <c r="C35" i="2" s="1"/>
  <c r="C37" i="2" a="1"/>
  <c r="C37" i="2" s="1"/>
  <c r="C39" i="2" a="1"/>
  <c r="C39" i="2" s="1"/>
  <c r="C41" i="2" a="1"/>
  <c r="C41" i="2" s="1"/>
  <c r="C43" i="2" a="1"/>
  <c r="C43" i="2" s="1"/>
  <c r="E44" i="2" a="1"/>
  <c r="E44" i="2" s="1"/>
  <c r="D46" i="2" a="1"/>
  <c r="D46" i="2" s="1"/>
  <c r="D49" i="2" a="1"/>
  <c r="D49" i="2" s="1"/>
  <c r="C51" i="2" a="1"/>
  <c r="C51" i="2" s="1"/>
  <c r="E52" i="2" a="1"/>
  <c r="E52" i="2" s="1"/>
  <c r="D53" i="2" a="1"/>
  <c r="D53" i="2" s="1"/>
  <c r="D55" i="2" a="1"/>
  <c r="D55" i="2" s="1"/>
  <c r="E57" i="2" a="1"/>
  <c r="E57" i="2" s="1"/>
  <c r="B36" i="2" a="1"/>
  <c r="B36" i="2" s="1"/>
  <c r="B41" i="2" a="1"/>
  <c r="B41" i="2" s="1"/>
  <c r="B48" i="2" a="1"/>
  <c r="B48" i="2" s="1"/>
  <c r="B55" i="2" a="1"/>
  <c r="B55" i="2" s="1"/>
  <c r="C9" i="2"/>
  <c r="D9" i="2"/>
  <c r="D7" i="2" s="1" a="1"/>
  <c r="D7" i="2" s="1"/>
  <c r="D8" i="2" s="1"/>
  <c r="E9" i="2"/>
  <c r="E7" i="2" s="1" a="1"/>
  <c r="E7" i="2" s="1"/>
  <c r="E8" i="2" s="1"/>
  <c r="F9" i="2"/>
  <c r="F7" i="2" s="1" a="1"/>
  <c r="F7" i="2" s="1"/>
  <c r="F8" i="2" s="1"/>
  <c r="G9" i="2"/>
  <c r="G7" i="2" s="1" a="1"/>
  <c r="G7" i="2" s="1"/>
  <c r="G8" i="2" s="1"/>
  <c r="H9" i="2"/>
  <c r="I9" i="2"/>
  <c r="J9" i="2"/>
  <c r="B9" i="2"/>
  <c r="T21" i="2"/>
  <c r="T20" i="2"/>
  <c r="T23" i="2"/>
  <c r="T22" i="2"/>
  <c r="O12" i="2"/>
  <c r="P12" i="2"/>
  <c r="O13" i="2"/>
  <c r="P13" i="2"/>
  <c r="O14" i="2"/>
  <c r="P14" i="2"/>
  <c r="O15" i="2"/>
  <c r="P15" i="2"/>
  <c r="O11" i="2"/>
  <c r="P11" i="2"/>
  <c r="B4" i="2"/>
  <c r="C4" i="2" s="1"/>
  <c r="B3" i="2"/>
  <c r="H7" i="2" l="1" a="1"/>
  <c r="H7" i="2" s="1"/>
  <c r="I7" i="2" a="1"/>
  <c r="I7" i="2" s="1"/>
  <c r="I8" i="2" s="1"/>
  <c r="B58" i="2"/>
  <c r="D58" i="2" s="1"/>
  <c r="K74" i="2" a="1"/>
  <c r="K74" i="2" s="1"/>
  <c r="K75" i="2" a="1"/>
  <c r="K75" i="2" s="1"/>
  <c r="K77" i="2" a="1"/>
  <c r="K77" i="2" s="1"/>
  <c r="K76" i="2" a="1"/>
  <c r="K76" i="2" s="1"/>
  <c r="K67" i="2" a="1"/>
  <c r="K67" i="2" s="1"/>
  <c r="K66" i="2" a="1"/>
  <c r="K66" i="2" s="1"/>
  <c r="K69" i="2" a="1"/>
  <c r="K69" i="2" s="1"/>
  <c r="K68" i="2" a="1"/>
  <c r="K68" i="2" s="1"/>
  <c r="L58" i="2" a="1"/>
  <c r="L58" i="2" s="1"/>
  <c r="L59" i="2" a="1"/>
  <c r="L59" i="2" s="1"/>
  <c r="L60" i="2" a="1"/>
  <c r="L60" i="2" s="1"/>
  <c r="L61" i="2" a="1"/>
  <c r="L61" i="2" s="1"/>
  <c r="L53" i="2" a="1"/>
  <c r="L53" i="2" s="1"/>
  <c r="L52" i="2" a="1"/>
  <c r="L52" i="2" s="1"/>
  <c r="L50" i="2" a="1"/>
  <c r="L50" i="2" s="1"/>
  <c r="L51" i="2" a="1"/>
  <c r="L51" i="2" s="1"/>
  <c r="K45" i="2" a="1"/>
  <c r="K45" i="2" s="1"/>
  <c r="K44" i="2" a="1"/>
  <c r="K44" i="2" s="1"/>
  <c r="K43" i="2" a="1"/>
  <c r="K43" i="2" s="1"/>
  <c r="K42" i="2" a="1"/>
  <c r="K42" i="2" s="1"/>
  <c r="J37" i="2" a="1"/>
  <c r="J37" i="2" s="1"/>
  <c r="J34" i="2" a="1"/>
  <c r="J34" i="2" s="1"/>
  <c r="J35" i="2" a="1"/>
  <c r="J35" i="2" s="1"/>
  <c r="J36" i="2" a="1"/>
  <c r="J36" i="2" s="1"/>
  <c r="I123" i="2" a="1"/>
  <c r="I123" i="2" s="1"/>
  <c r="I122" i="2" a="1"/>
  <c r="I122" i="2" s="1"/>
  <c r="I125" i="2" a="1"/>
  <c r="I125" i="2" s="1"/>
  <c r="I124" i="2" a="1"/>
  <c r="I124" i="2" s="1"/>
  <c r="I100" i="2" a="1"/>
  <c r="I100" i="2" s="1"/>
  <c r="I99" i="2" a="1"/>
  <c r="I99" i="2" s="1"/>
  <c r="I101" i="2" a="1"/>
  <c r="I101" i="2" s="1"/>
  <c r="I98" i="2" a="1"/>
  <c r="I98" i="2" s="1"/>
  <c r="I81" i="2" a="1"/>
  <c r="I81" i="2" s="1"/>
  <c r="I80" i="2" a="1"/>
  <c r="I80" i="2" s="1"/>
  <c r="I78" i="2" a="1"/>
  <c r="I78" i="2" s="1"/>
  <c r="I79" i="2" a="1"/>
  <c r="I79" i="2" s="1"/>
  <c r="K31" i="2" a="1"/>
  <c r="K31" i="2" s="1"/>
  <c r="K32" i="2" a="1"/>
  <c r="K32" i="2" s="1"/>
  <c r="K30" i="2" a="1"/>
  <c r="K30" i="2" s="1"/>
  <c r="K33" i="2" a="1"/>
  <c r="K33" i="2" s="1"/>
  <c r="K38" i="2" a="1"/>
  <c r="K38" i="2" s="1"/>
  <c r="K39" i="2" a="1"/>
  <c r="K39" i="2" s="1"/>
  <c r="K40" i="2" a="1"/>
  <c r="K40" i="2" s="1"/>
  <c r="K41" i="2" a="1"/>
  <c r="K41" i="2" s="1"/>
  <c r="J47" i="2" a="1"/>
  <c r="J47" i="2" s="1"/>
  <c r="J49" i="2" a="1"/>
  <c r="J49" i="2" s="1"/>
  <c r="J48" i="2" a="1"/>
  <c r="J48" i="2" s="1"/>
  <c r="J46" i="2" a="1"/>
  <c r="J46" i="2" s="1"/>
  <c r="J54" i="2" a="1"/>
  <c r="J54" i="2" s="1"/>
  <c r="J55" i="2" a="1"/>
  <c r="J55" i="2" s="1"/>
  <c r="J56" i="2" a="1"/>
  <c r="J56" i="2" s="1"/>
  <c r="J57" i="2" a="1"/>
  <c r="J57" i="2" s="1"/>
  <c r="J65" i="2" a="1"/>
  <c r="J65" i="2" s="1"/>
  <c r="J64" i="2" a="1"/>
  <c r="J64" i="2" s="1"/>
  <c r="J62" i="2" a="1"/>
  <c r="J62" i="2" s="1"/>
  <c r="J63" i="2" a="1"/>
  <c r="J63" i="2" s="1"/>
  <c r="J73" i="2" a="1"/>
  <c r="J73" i="2" s="1"/>
  <c r="J72" i="2" a="1"/>
  <c r="J72" i="2" s="1"/>
  <c r="J70" i="2" a="1"/>
  <c r="J70" i="2" s="1"/>
  <c r="J71" i="2" a="1"/>
  <c r="J71" i="2" s="1"/>
  <c r="K79" i="2" a="1"/>
  <c r="K79" i="2" s="1"/>
  <c r="K81" i="2" a="1"/>
  <c r="K81" i="2" s="1"/>
  <c r="K78" i="2" a="1"/>
  <c r="K78" i="2" s="1"/>
  <c r="K80" i="2" a="1"/>
  <c r="K80" i="2" s="1"/>
  <c r="J92" i="2" a="1"/>
  <c r="J92" i="2" s="1"/>
  <c r="J93" i="2" a="1"/>
  <c r="J93" i="2" s="1"/>
  <c r="J91" i="2" a="1"/>
  <c r="J91" i="2" s="1"/>
  <c r="J90" i="2" a="1"/>
  <c r="J90" i="2" s="1"/>
  <c r="L94" i="2" a="1"/>
  <c r="L94" i="2" s="1"/>
  <c r="L97" i="2" a="1"/>
  <c r="L97" i="2" s="1"/>
  <c r="L95" i="2" a="1"/>
  <c r="L95" i="2" s="1"/>
  <c r="L96" i="2" a="1"/>
  <c r="L96" i="2" s="1"/>
  <c r="L101" i="2" a="1"/>
  <c r="L101" i="2" s="1"/>
  <c r="L98" i="2" a="1"/>
  <c r="L98" i="2" s="1"/>
  <c r="L99" i="2" a="1"/>
  <c r="L99" i="2" s="1"/>
  <c r="L100" i="2" a="1"/>
  <c r="L100" i="2" s="1"/>
  <c r="L106" i="2" a="1"/>
  <c r="L106" i="2" s="1"/>
  <c r="L109" i="2" a="1"/>
  <c r="L109" i="2" s="1"/>
  <c r="L107" i="2" a="1"/>
  <c r="L107" i="2" s="1"/>
  <c r="L108" i="2" a="1"/>
  <c r="L108" i="2" s="1"/>
  <c r="K118" i="2" a="1"/>
  <c r="K118" i="2" s="1"/>
  <c r="K120" i="2" a="1"/>
  <c r="K120" i="2" s="1"/>
  <c r="K121" i="2" a="1"/>
  <c r="K121" i="2" s="1"/>
  <c r="K119" i="2" a="1"/>
  <c r="K119" i="2" s="1"/>
  <c r="L128" i="2" a="1"/>
  <c r="L128" i="2" s="1"/>
  <c r="L126" i="2" a="1"/>
  <c r="L126" i="2" s="1"/>
  <c r="L129" i="2" a="1"/>
  <c r="L129" i="2" s="1"/>
  <c r="L127" i="2" a="1"/>
  <c r="L127" i="2" s="1"/>
  <c r="L136" i="2" a="1"/>
  <c r="L136" i="2" s="1"/>
  <c r="L137" i="2" a="1"/>
  <c r="L137" i="2" s="1"/>
  <c r="L135" i="2" a="1"/>
  <c r="L135" i="2" s="1"/>
  <c r="L134" i="2" a="1"/>
  <c r="L134" i="2" s="1"/>
  <c r="I45" i="2" a="1"/>
  <c r="I45" i="2" s="1"/>
  <c r="I42" i="2" a="1"/>
  <c r="I42" i="2" s="1"/>
  <c r="I43" i="2" a="1"/>
  <c r="I43" i="2" s="1"/>
  <c r="I44" i="2" a="1"/>
  <c r="I44" i="2" s="1"/>
  <c r="I83" i="2" a="1"/>
  <c r="I83" i="2" s="1"/>
  <c r="I85" i="2" a="1"/>
  <c r="I85" i="2" s="1"/>
  <c r="I82" i="2" a="1"/>
  <c r="I82" i="2" s="1"/>
  <c r="I84" i="2" a="1"/>
  <c r="I84" i="2" s="1"/>
  <c r="I108" i="2" a="1"/>
  <c r="I108" i="2" s="1"/>
  <c r="I107" i="2" a="1"/>
  <c r="I107" i="2" s="1"/>
  <c r="I106" i="2" a="1"/>
  <c r="I106" i="2" s="1"/>
  <c r="I109" i="2" a="1"/>
  <c r="I109" i="2" s="1"/>
  <c r="I128" i="2" a="1"/>
  <c r="I128" i="2" s="1"/>
  <c r="I129" i="2" a="1"/>
  <c r="I129" i="2" s="1"/>
  <c r="I127" i="2" a="1"/>
  <c r="I127" i="2" s="1"/>
  <c r="I126" i="2" a="1"/>
  <c r="I126" i="2" s="1"/>
  <c r="I60" i="2" a="1"/>
  <c r="I60" i="2" s="1"/>
  <c r="I61" i="2" a="1"/>
  <c r="I61" i="2" s="1"/>
  <c r="I58" i="2" a="1"/>
  <c r="I58" i="2" s="1"/>
  <c r="I59" i="2" a="1"/>
  <c r="I59" i="2" s="1"/>
  <c r="I34" i="2" a="1"/>
  <c r="I34" i="2" s="1"/>
  <c r="I35" i="2" a="1"/>
  <c r="I35" i="2" s="1"/>
  <c r="I36" i="2" a="1"/>
  <c r="I36" i="2" s="1"/>
  <c r="I37" i="2" a="1"/>
  <c r="I37" i="2" s="1"/>
  <c r="J135" i="2" a="1"/>
  <c r="J135" i="2" s="1"/>
  <c r="J134" i="2" a="1"/>
  <c r="J134" i="2" s="1"/>
  <c r="J136" i="2" a="1"/>
  <c r="J136" i="2" s="1"/>
  <c r="J137" i="2" a="1"/>
  <c r="J137" i="2" s="1"/>
  <c r="J126" i="2" a="1"/>
  <c r="J126" i="2" s="1"/>
  <c r="J129" i="2" a="1"/>
  <c r="J129" i="2" s="1"/>
  <c r="J128" i="2" a="1"/>
  <c r="J128" i="2" s="1"/>
  <c r="J127" i="2" a="1"/>
  <c r="J127" i="2" s="1"/>
  <c r="K35" i="2" a="1"/>
  <c r="K35" i="2" s="1"/>
  <c r="K36" i="2" a="1"/>
  <c r="K36" i="2" s="1"/>
  <c r="K37" i="2" a="1"/>
  <c r="K37" i="2" s="1"/>
  <c r="K34" i="2" a="1"/>
  <c r="K34" i="2" s="1"/>
  <c r="J40" i="2" a="1"/>
  <c r="J40" i="2" s="1"/>
  <c r="J39" i="2" a="1"/>
  <c r="J39" i="2" s="1"/>
  <c r="J38" i="2" a="1"/>
  <c r="J38" i="2" s="1"/>
  <c r="J41" i="2" a="1"/>
  <c r="J41" i="2" s="1"/>
  <c r="K48" i="2" a="1"/>
  <c r="K48" i="2" s="1"/>
  <c r="K47" i="2" a="1"/>
  <c r="K47" i="2" s="1"/>
  <c r="K46" i="2" a="1"/>
  <c r="K46" i="2" s="1"/>
  <c r="K49" i="2" a="1"/>
  <c r="K49" i="2" s="1"/>
  <c r="L55" i="2" a="1"/>
  <c r="L55" i="2" s="1"/>
  <c r="L54" i="2" a="1"/>
  <c r="L54" i="2" s="1"/>
  <c r="L56" i="2" a="1"/>
  <c r="L56" i="2" s="1"/>
  <c r="L57" i="2" a="1"/>
  <c r="L57" i="2" s="1"/>
  <c r="L63" i="2" a="1"/>
  <c r="L63" i="2" s="1"/>
  <c r="L64" i="2" a="1"/>
  <c r="L64" i="2" s="1"/>
  <c r="L62" i="2" a="1"/>
  <c r="L62" i="2" s="1"/>
  <c r="L65" i="2" a="1"/>
  <c r="L65" i="2" s="1"/>
  <c r="L72" i="2" a="1"/>
  <c r="L72" i="2" s="1"/>
  <c r="L73" i="2" a="1"/>
  <c r="L73" i="2" s="1"/>
  <c r="L70" i="2" a="1"/>
  <c r="L70" i="2" s="1"/>
  <c r="L71" i="2" a="1"/>
  <c r="L71" i="2" s="1"/>
  <c r="L78" i="2" a="1"/>
  <c r="L78" i="2" s="1"/>
  <c r="L81" i="2" a="1"/>
  <c r="L81" i="2" s="1"/>
  <c r="L80" i="2" a="1"/>
  <c r="L80" i="2" s="1"/>
  <c r="L79" i="2" a="1"/>
  <c r="L79" i="2" s="1"/>
  <c r="K86" i="2" a="1"/>
  <c r="K86" i="2" s="1"/>
  <c r="K89" i="2" a="1"/>
  <c r="K89" i="2" s="1"/>
  <c r="K88" i="2" a="1"/>
  <c r="K88" i="2" s="1"/>
  <c r="K87" i="2" a="1"/>
  <c r="K87" i="2" s="1"/>
  <c r="J99" i="2" a="1"/>
  <c r="J99" i="2" s="1"/>
  <c r="J100" i="2" a="1"/>
  <c r="J100" i="2" s="1"/>
  <c r="J98" i="2" a="1"/>
  <c r="J98" i="2" s="1"/>
  <c r="J101" i="2" a="1"/>
  <c r="J101" i="2" s="1"/>
  <c r="K105" i="2" a="1"/>
  <c r="K105" i="2" s="1"/>
  <c r="K102" i="2" a="1"/>
  <c r="K102" i="2" s="1"/>
  <c r="K103" i="2" a="1"/>
  <c r="K103" i="2" s="1"/>
  <c r="K104" i="2" a="1"/>
  <c r="K104" i="2" s="1"/>
  <c r="K110" i="2" a="1"/>
  <c r="K110" i="2" s="1"/>
  <c r="K111" i="2" a="1"/>
  <c r="K111" i="2" s="1"/>
  <c r="K112" i="2" a="1"/>
  <c r="K112" i="2" s="1"/>
  <c r="K113" i="2" a="1"/>
  <c r="K113" i="2" s="1"/>
  <c r="J118" i="2" a="1"/>
  <c r="J118" i="2" s="1"/>
  <c r="J119" i="2" a="1"/>
  <c r="J119" i="2" s="1"/>
  <c r="J120" i="2" a="1"/>
  <c r="J120" i="2" s="1"/>
  <c r="J121" i="2" a="1"/>
  <c r="J121" i="2" s="1"/>
  <c r="K126" i="2" a="1"/>
  <c r="K126" i="2" s="1"/>
  <c r="K127" i="2" a="1"/>
  <c r="K127" i="2" s="1"/>
  <c r="K128" i="2" a="1"/>
  <c r="K128" i="2" s="1"/>
  <c r="K129" i="2" a="1"/>
  <c r="K129" i="2" s="1"/>
  <c r="L131" i="2" a="1"/>
  <c r="L131" i="2" s="1"/>
  <c r="L130" i="2" a="1"/>
  <c r="L130" i="2" s="1"/>
  <c r="L132" i="2" a="1"/>
  <c r="L132" i="2" s="1"/>
  <c r="L133" i="2" a="1"/>
  <c r="L133" i="2" s="1"/>
  <c r="K138" i="2" a="1"/>
  <c r="K138" i="2" s="1"/>
  <c r="K139" i="2" a="1"/>
  <c r="K139" i="2" s="1"/>
  <c r="K140" i="2" a="1"/>
  <c r="K140" i="2" s="1"/>
  <c r="K141" i="2" a="1"/>
  <c r="K141" i="2" s="1"/>
  <c r="I52" i="2" a="1"/>
  <c r="I52" i="2" s="1"/>
  <c r="I51" i="2" a="1"/>
  <c r="I51" i="2" s="1"/>
  <c r="I50" i="2" a="1"/>
  <c r="I50" i="2" s="1"/>
  <c r="I53" i="2" a="1"/>
  <c r="I53" i="2" s="1"/>
  <c r="I67" i="2" a="1"/>
  <c r="I67" i="2" s="1"/>
  <c r="I68" i="2" a="1"/>
  <c r="I68" i="2" s="1"/>
  <c r="I69" i="2" a="1"/>
  <c r="I69" i="2" s="1"/>
  <c r="I66" i="2" a="1"/>
  <c r="I66" i="2" s="1"/>
  <c r="I90" i="2" a="1"/>
  <c r="I90" i="2" s="1"/>
  <c r="I92" i="2" a="1"/>
  <c r="I92" i="2" s="1"/>
  <c r="I91" i="2" a="1"/>
  <c r="I91" i="2" s="1"/>
  <c r="I93" i="2" a="1"/>
  <c r="I93" i="2" s="1"/>
  <c r="I117" i="2" a="1"/>
  <c r="I117" i="2" s="1"/>
  <c r="I115" i="2" a="1"/>
  <c r="I115" i="2" s="1"/>
  <c r="I116" i="2" a="1"/>
  <c r="I116" i="2" s="1"/>
  <c r="I114" i="2" a="1"/>
  <c r="I114" i="2" s="1"/>
  <c r="I138" i="2" a="1"/>
  <c r="I138" i="2" s="1"/>
  <c r="I139" i="2" a="1"/>
  <c r="I139" i="2" s="1"/>
  <c r="I140" i="2" a="1"/>
  <c r="I140" i="2" s="1"/>
  <c r="I141" i="2" a="1"/>
  <c r="I141" i="2" s="1"/>
  <c r="K117" i="2" a="1"/>
  <c r="K117" i="2" s="1"/>
  <c r="K114" i="2" a="1"/>
  <c r="K114" i="2" s="1"/>
  <c r="K115" i="2" a="1"/>
  <c r="K115" i="2" s="1"/>
  <c r="K116" i="2" a="1"/>
  <c r="K116" i="2" s="1"/>
  <c r="J106" i="2" a="1"/>
  <c r="J106" i="2" s="1"/>
  <c r="J107" i="2" a="1"/>
  <c r="J107" i="2" s="1"/>
  <c r="J108" i="2" a="1"/>
  <c r="J108" i="2" s="1"/>
  <c r="J109" i="2" a="1"/>
  <c r="J109" i="2" s="1"/>
  <c r="K98" i="2" a="1"/>
  <c r="K98" i="2" s="1"/>
  <c r="K99" i="2" a="1"/>
  <c r="K99" i="2" s="1"/>
  <c r="K101" i="2" a="1"/>
  <c r="K101" i="2" s="1"/>
  <c r="K100" i="2" a="1"/>
  <c r="K100" i="2" s="1"/>
  <c r="L90" i="2" a="1"/>
  <c r="L90" i="2" s="1"/>
  <c r="L93" i="2" a="1"/>
  <c r="L93" i="2" s="1"/>
  <c r="L92" i="2" a="1"/>
  <c r="L92" i="2" s="1"/>
  <c r="L91" i="2" a="1"/>
  <c r="L91" i="2" s="1"/>
  <c r="J88" i="2" a="1"/>
  <c r="J88" i="2" s="1"/>
  <c r="J87" i="2" a="1"/>
  <c r="J87" i="2" s="1"/>
  <c r="J89" i="2" a="1"/>
  <c r="J89" i="2" s="1"/>
  <c r="J86" i="2" a="1"/>
  <c r="J86" i="2" s="1"/>
  <c r="J78" i="2" a="1"/>
  <c r="J78" i="2" s="1"/>
  <c r="J81" i="2" a="1"/>
  <c r="J81" i="2" s="1"/>
  <c r="J80" i="2" a="1"/>
  <c r="J80" i="2" s="1"/>
  <c r="J79" i="2" a="1"/>
  <c r="J79" i="2" s="1"/>
  <c r="J32" i="2" a="1"/>
  <c r="J32" i="2" s="1"/>
  <c r="J31" i="2" a="1"/>
  <c r="J31" i="2" s="1"/>
  <c r="J33" i="2" a="1"/>
  <c r="J33" i="2" s="1"/>
  <c r="L45" i="2" a="1"/>
  <c r="L45" i="2" s="1"/>
  <c r="L44" i="2" a="1"/>
  <c r="L44" i="2" s="1"/>
  <c r="L43" i="2" a="1"/>
  <c r="L43" i="2" s="1"/>
  <c r="L42" i="2" a="1"/>
  <c r="L42" i="2" s="1"/>
  <c r="K50" i="2" a="1"/>
  <c r="K50" i="2" s="1"/>
  <c r="K51" i="2" a="1"/>
  <c r="K51" i="2" s="1"/>
  <c r="K52" i="2" a="1"/>
  <c r="K52" i="2" s="1"/>
  <c r="K53" i="2" a="1"/>
  <c r="K53" i="2" s="1"/>
  <c r="K59" i="2" a="1"/>
  <c r="K59" i="2" s="1"/>
  <c r="K61" i="2" a="1"/>
  <c r="K61" i="2" s="1"/>
  <c r="K60" i="2" a="1"/>
  <c r="K60" i="2" s="1"/>
  <c r="K58" i="2" a="1"/>
  <c r="K58" i="2" s="1"/>
  <c r="L66" i="2" a="1"/>
  <c r="L66" i="2" s="1"/>
  <c r="L67" i="2" a="1"/>
  <c r="L67" i="2" s="1"/>
  <c r="L68" i="2" a="1"/>
  <c r="L68" i="2" s="1"/>
  <c r="L69" i="2" a="1"/>
  <c r="L69" i="2" s="1"/>
  <c r="L74" i="2" a="1"/>
  <c r="L74" i="2" s="1"/>
  <c r="L77" i="2" a="1"/>
  <c r="L77" i="2" s="1"/>
  <c r="L75" i="2" a="1"/>
  <c r="L75" i="2" s="1"/>
  <c r="L76" i="2" a="1"/>
  <c r="L76" i="2" s="1"/>
  <c r="L82" i="2" a="1"/>
  <c r="L82" i="2" s="1"/>
  <c r="L83" i="2" a="1"/>
  <c r="L83" i="2" s="1"/>
  <c r="L85" i="2" a="1"/>
  <c r="L85" i="2" s="1"/>
  <c r="L84" i="2" a="1"/>
  <c r="L84" i="2" s="1"/>
  <c r="J97" i="2" a="1"/>
  <c r="J97" i="2" s="1"/>
  <c r="J94" i="2" a="1"/>
  <c r="J94" i="2" s="1"/>
  <c r="J95" i="2" a="1"/>
  <c r="J95" i="2" s="1"/>
  <c r="J96" i="2" a="1"/>
  <c r="J96" i="2" s="1"/>
  <c r="J102" i="2" a="1"/>
  <c r="J102" i="2" s="1"/>
  <c r="J105" i="2" a="1"/>
  <c r="J105" i="2" s="1"/>
  <c r="J104" i="2" a="1"/>
  <c r="J104" i="2" s="1"/>
  <c r="J103" i="2" a="1"/>
  <c r="J103" i="2" s="1"/>
  <c r="J113" i="2" a="1"/>
  <c r="J113" i="2" s="1"/>
  <c r="J112" i="2" a="1"/>
  <c r="J112" i="2" s="1"/>
  <c r="J111" i="2" a="1"/>
  <c r="J111" i="2" s="1"/>
  <c r="J110" i="2" a="1"/>
  <c r="J110" i="2" s="1"/>
  <c r="L114" i="2" a="1"/>
  <c r="L114" i="2" s="1"/>
  <c r="L116" i="2" a="1"/>
  <c r="L116" i="2" s="1"/>
  <c r="L117" i="2" a="1"/>
  <c r="L117" i="2" s="1"/>
  <c r="L115" i="2" a="1"/>
  <c r="L115" i="2" s="1"/>
  <c r="J122" i="2" a="1"/>
  <c r="J122" i="2" s="1"/>
  <c r="J123" i="2" a="1"/>
  <c r="J123" i="2" s="1"/>
  <c r="J124" i="2" a="1"/>
  <c r="J124" i="2" s="1"/>
  <c r="J125" i="2" a="1"/>
  <c r="J125" i="2" s="1"/>
  <c r="J133" i="2" a="1"/>
  <c r="J133" i="2" s="1"/>
  <c r="J132" i="2" a="1"/>
  <c r="J132" i="2" s="1"/>
  <c r="J130" i="2" a="1"/>
  <c r="J130" i="2" s="1"/>
  <c r="J131" i="2" a="1"/>
  <c r="J131" i="2" s="1"/>
  <c r="J141" i="2" a="1"/>
  <c r="J141" i="2" s="1"/>
  <c r="J139" i="2" a="1"/>
  <c r="J139" i="2" s="1"/>
  <c r="J138" i="2" a="1"/>
  <c r="J138" i="2" s="1"/>
  <c r="J140" i="2" a="1"/>
  <c r="J140" i="2" s="1"/>
  <c r="I46" i="2" a="1"/>
  <c r="I46" i="2" s="1"/>
  <c r="I48" i="2" a="1"/>
  <c r="I48" i="2" s="1"/>
  <c r="I47" i="2" a="1"/>
  <c r="I47" i="2" s="1"/>
  <c r="I49" i="2" a="1"/>
  <c r="I49" i="2" s="1"/>
  <c r="I62" i="2" a="1"/>
  <c r="I62" i="2" s="1"/>
  <c r="I63" i="2" a="1"/>
  <c r="I63" i="2" s="1"/>
  <c r="I64" i="2" a="1"/>
  <c r="I64" i="2" s="1"/>
  <c r="I65" i="2" a="1"/>
  <c r="I65" i="2" s="1"/>
  <c r="I87" i="2" a="1"/>
  <c r="I87" i="2" s="1"/>
  <c r="I86" i="2" a="1"/>
  <c r="I86" i="2" s="1"/>
  <c r="I89" i="2" a="1"/>
  <c r="I89" i="2" s="1"/>
  <c r="I88" i="2" a="1"/>
  <c r="I88" i="2" s="1"/>
  <c r="I111" i="2" a="1"/>
  <c r="I111" i="2" s="1"/>
  <c r="I113" i="2" a="1"/>
  <c r="I113" i="2" s="1"/>
  <c r="I112" i="2" a="1"/>
  <c r="I112" i="2" s="1"/>
  <c r="I110" i="2" a="1"/>
  <c r="I110" i="2" s="1"/>
  <c r="I134" i="2" a="1"/>
  <c r="I134" i="2" s="1"/>
  <c r="I135" i="2" a="1"/>
  <c r="I135" i="2" s="1"/>
  <c r="I136" i="2" a="1"/>
  <c r="I136" i="2" s="1"/>
  <c r="I137" i="2" a="1"/>
  <c r="I137" i="2" s="1"/>
  <c r="K72" i="2" a="1"/>
  <c r="K72" i="2" s="1"/>
  <c r="K73" i="2" a="1"/>
  <c r="K73" i="2" s="1"/>
  <c r="K71" i="2" a="1"/>
  <c r="K71" i="2" s="1"/>
  <c r="K70" i="2" a="1"/>
  <c r="K70" i="2" s="1"/>
  <c r="K62" i="2" a="1"/>
  <c r="K62" i="2" s="1"/>
  <c r="K63" i="2" a="1"/>
  <c r="K63" i="2" s="1"/>
  <c r="K65" i="2" a="1"/>
  <c r="K65" i="2" s="1"/>
  <c r="K64" i="2" a="1"/>
  <c r="K64" i="2" s="1"/>
  <c r="K54" i="2" a="1"/>
  <c r="K54" i="2" s="1"/>
  <c r="K55" i="2" a="1"/>
  <c r="K55" i="2" s="1"/>
  <c r="K56" i="2" a="1"/>
  <c r="K56" i="2" s="1"/>
  <c r="K57" i="2" a="1"/>
  <c r="K57" i="2" s="1"/>
  <c r="L46" i="2" a="1"/>
  <c r="L46" i="2" s="1"/>
  <c r="L48" i="2" a="1"/>
  <c r="L48" i="2" s="1"/>
  <c r="L49" i="2" a="1"/>
  <c r="L49" i="2" s="1"/>
  <c r="L47" i="2" a="1"/>
  <c r="L47" i="2" s="1"/>
  <c r="J45" i="2" a="1"/>
  <c r="J45" i="2" s="1"/>
  <c r="J44" i="2" a="1"/>
  <c r="J44" i="2" s="1"/>
  <c r="J42" i="2" a="1"/>
  <c r="J42" i="2" s="1"/>
  <c r="J43" i="2" a="1"/>
  <c r="J43" i="2" s="1"/>
  <c r="L34" i="2" a="1"/>
  <c r="L34" i="2" s="1"/>
  <c r="L35" i="2" a="1"/>
  <c r="L35" i="2" s="1"/>
  <c r="L36" i="2" a="1"/>
  <c r="L36" i="2" s="1"/>
  <c r="L37" i="2" a="1"/>
  <c r="L37" i="2" s="1"/>
  <c r="K83" i="2" a="1"/>
  <c r="K83" i="2" s="1"/>
  <c r="K82" i="2" a="1"/>
  <c r="K82" i="2" s="1"/>
  <c r="K85" i="2" a="1"/>
  <c r="K85" i="2" s="1"/>
  <c r="K84" i="2" a="1"/>
  <c r="K84" i="2" s="1"/>
  <c r="I31" i="2" a="1"/>
  <c r="I31" i="2" s="1"/>
  <c r="I32" i="2" a="1"/>
  <c r="I32" i="2" s="1"/>
  <c r="I30" i="2" a="1"/>
  <c r="I30" i="2" s="1"/>
  <c r="I33" i="2" a="1"/>
  <c r="I33" i="2" s="1"/>
  <c r="I119" i="2" a="1"/>
  <c r="I119" i="2" s="1"/>
  <c r="I118" i="2" a="1"/>
  <c r="I118" i="2" s="1"/>
  <c r="I120" i="2" a="1"/>
  <c r="I120" i="2" s="1"/>
  <c r="I121" i="2" a="1"/>
  <c r="I121" i="2" s="1"/>
  <c r="I95" i="2" a="1"/>
  <c r="I95" i="2" s="1"/>
  <c r="I96" i="2" a="1"/>
  <c r="I96" i="2" s="1"/>
  <c r="I97" i="2" a="1"/>
  <c r="I97" i="2" s="1"/>
  <c r="I94" i="2" a="1"/>
  <c r="I94" i="2" s="1"/>
  <c r="I70" i="2" a="1"/>
  <c r="I70" i="2" s="1"/>
  <c r="I71" i="2" a="1"/>
  <c r="I71" i="2" s="1"/>
  <c r="I72" i="2" a="1"/>
  <c r="I72" i="2" s="1"/>
  <c r="I73" i="2" a="1"/>
  <c r="I73" i="2" s="1"/>
  <c r="I39" i="2" a="1"/>
  <c r="I39" i="2" s="1"/>
  <c r="I41" i="2" a="1"/>
  <c r="I41" i="2" s="1"/>
  <c r="I40" i="2" a="1"/>
  <c r="I40" i="2" s="1"/>
  <c r="I38" i="2" a="1"/>
  <c r="I38" i="2" s="1"/>
  <c r="K134" i="2" a="1"/>
  <c r="K134" i="2" s="1"/>
  <c r="K137" i="2" a="1"/>
  <c r="K137" i="2" s="1"/>
  <c r="K136" i="2" a="1"/>
  <c r="K136" i="2" s="1"/>
  <c r="K135" i="2" a="1"/>
  <c r="K135" i="2" s="1"/>
  <c r="L125" i="2" a="1"/>
  <c r="L125" i="2" s="1"/>
  <c r="L124" i="2" a="1"/>
  <c r="L124" i="2" s="1"/>
  <c r="L123" i="2" a="1"/>
  <c r="L123" i="2" s="1"/>
  <c r="L122" i="2" a="1"/>
  <c r="L122" i="2" s="1"/>
  <c r="L113" i="2" a="1"/>
  <c r="L113" i="2" s="1"/>
  <c r="L112" i="2" a="1"/>
  <c r="L112" i="2" s="1"/>
  <c r="L110" i="2" a="1"/>
  <c r="L110" i="2" s="1"/>
  <c r="L111" i="2" a="1"/>
  <c r="L111" i="2" s="1"/>
  <c r="L105" i="2" a="1"/>
  <c r="L105" i="2" s="1"/>
  <c r="L104" i="2" a="1"/>
  <c r="L104" i="2" s="1"/>
  <c r="L103" i="2" a="1"/>
  <c r="L103" i="2" s="1"/>
  <c r="L102" i="2" a="1"/>
  <c r="L102" i="2" s="1"/>
  <c r="K92" i="2" a="1"/>
  <c r="K92" i="2" s="1"/>
  <c r="K91" i="2" a="1"/>
  <c r="K91" i="2" s="1"/>
  <c r="K93" i="2" a="1"/>
  <c r="K93" i="2" s="1"/>
  <c r="K90" i="2" a="1"/>
  <c r="K90" i="2" s="1"/>
  <c r="L33" i="2" a="1"/>
  <c r="L33" i="2" s="1"/>
  <c r="L32" i="2" a="1"/>
  <c r="L32" i="2" s="1"/>
  <c r="L31" i="2" a="1"/>
  <c r="L31" i="2" s="1"/>
  <c r="L30" i="2" a="1"/>
  <c r="L30" i="2" s="1"/>
  <c r="L38" i="2" a="1"/>
  <c r="L38" i="2" s="1"/>
  <c r="L41" i="2" a="1"/>
  <c r="L41" i="2" s="1"/>
  <c r="L39" i="2" a="1"/>
  <c r="L39" i="2" s="1"/>
  <c r="L40" i="2" a="1"/>
  <c r="L40" i="2" s="1"/>
  <c r="J50" i="2" a="1"/>
  <c r="J50" i="2" s="1"/>
  <c r="J51" i="2" a="1"/>
  <c r="J51" i="2" s="1"/>
  <c r="J52" i="2" a="1"/>
  <c r="J52" i="2" s="1"/>
  <c r="J53" i="2" a="1"/>
  <c r="J53" i="2" s="1"/>
  <c r="J58" i="2" a="1"/>
  <c r="J58" i="2" s="1"/>
  <c r="J59" i="2" a="1"/>
  <c r="J59" i="2" s="1"/>
  <c r="J60" i="2" a="1"/>
  <c r="J60" i="2" s="1"/>
  <c r="J61" i="2" a="1"/>
  <c r="J61" i="2" s="1"/>
  <c r="J69" i="2" a="1"/>
  <c r="J69" i="2" s="1"/>
  <c r="J67" i="2" a="1"/>
  <c r="J67" i="2" s="1"/>
  <c r="J68" i="2" a="1"/>
  <c r="J68" i="2" s="1"/>
  <c r="J66" i="2" a="1"/>
  <c r="J66" i="2" s="1"/>
  <c r="J76" i="2" a="1"/>
  <c r="J76" i="2" s="1"/>
  <c r="J75" i="2" a="1"/>
  <c r="J75" i="2" s="1"/>
  <c r="J74" i="2" a="1"/>
  <c r="J74" i="2" s="1"/>
  <c r="J77" i="2" a="1"/>
  <c r="J77" i="2" s="1"/>
  <c r="J84" i="2" a="1"/>
  <c r="J84" i="2" s="1"/>
  <c r="J82" i="2" a="1"/>
  <c r="J82" i="2" s="1"/>
  <c r="J85" i="2" a="1"/>
  <c r="J85" i="2" s="1"/>
  <c r="J83" i="2" a="1"/>
  <c r="J83" i="2" s="1"/>
  <c r="L88" i="2" a="1"/>
  <c r="L88" i="2" s="1"/>
  <c r="L86" i="2" a="1"/>
  <c r="L86" i="2" s="1"/>
  <c r="L89" i="2" a="1"/>
  <c r="L89" i="2" s="1"/>
  <c r="L87" i="2" a="1"/>
  <c r="L87" i="2" s="1"/>
  <c r="K94" i="2" a="1"/>
  <c r="K94" i="2" s="1"/>
  <c r="K95" i="2" a="1"/>
  <c r="K95" i="2" s="1"/>
  <c r="K96" i="2" a="1"/>
  <c r="K96" i="2" s="1"/>
  <c r="K97" i="2" a="1"/>
  <c r="K97" i="2" s="1"/>
  <c r="K107" i="2" a="1"/>
  <c r="K107" i="2" s="1"/>
  <c r="K108" i="2" a="1"/>
  <c r="K108" i="2" s="1"/>
  <c r="K109" i="2" a="1"/>
  <c r="K109" i="2" s="1"/>
  <c r="K106" i="2" a="1"/>
  <c r="K106" i="2" s="1"/>
  <c r="J116" i="2" a="1"/>
  <c r="J116" i="2" s="1"/>
  <c r="J115" i="2" a="1"/>
  <c r="J115" i="2" s="1"/>
  <c r="J117" i="2" a="1"/>
  <c r="J117" i="2" s="1"/>
  <c r="J114" i="2" a="1"/>
  <c r="J114" i="2" s="1"/>
  <c r="L118" i="2" a="1"/>
  <c r="L118" i="2" s="1"/>
  <c r="L121" i="2" a="1"/>
  <c r="L121" i="2" s="1"/>
  <c r="L120" i="2" a="1"/>
  <c r="L120" i="2" s="1"/>
  <c r="L119" i="2" a="1"/>
  <c r="L119" i="2" s="1"/>
  <c r="K124" i="2" a="1"/>
  <c r="K124" i="2" s="1"/>
  <c r="K123" i="2" a="1"/>
  <c r="K123" i="2" s="1"/>
  <c r="K122" i="2" a="1"/>
  <c r="K122" i="2" s="1"/>
  <c r="K125" i="2" a="1"/>
  <c r="K125" i="2" s="1"/>
  <c r="K133" i="2" a="1"/>
  <c r="K133" i="2" s="1"/>
  <c r="K131" i="2" a="1"/>
  <c r="K131" i="2" s="1"/>
  <c r="K130" i="2" a="1"/>
  <c r="K130" i="2" s="1"/>
  <c r="K132" i="2" a="1"/>
  <c r="K132" i="2" s="1"/>
  <c r="L140" i="2" a="1"/>
  <c r="L140" i="2" s="1"/>
  <c r="L139" i="2" a="1"/>
  <c r="L139" i="2" s="1"/>
  <c r="L138" i="2" a="1"/>
  <c r="L138" i="2" s="1"/>
  <c r="L141" i="2" a="1"/>
  <c r="L141" i="2" s="1"/>
  <c r="I54" i="2" a="1"/>
  <c r="I54" i="2" s="1"/>
  <c r="I55" i="2" a="1"/>
  <c r="I55" i="2" s="1"/>
  <c r="I57" i="2" a="1"/>
  <c r="I57" i="2" s="1"/>
  <c r="I56" i="2" a="1"/>
  <c r="I56" i="2" s="1"/>
  <c r="I76" i="2" a="1"/>
  <c r="I76" i="2" s="1"/>
  <c r="I75" i="2" a="1"/>
  <c r="I75" i="2" s="1"/>
  <c r="I77" i="2" a="1"/>
  <c r="I77" i="2" s="1"/>
  <c r="I74" i="2" a="1"/>
  <c r="I74" i="2" s="1"/>
  <c r="I102" i="2" a="1"/>
  <c r="I102" i="2" s="1"/>
  <c r="I103" i="2" a="1"/>
  <c r="I103" i="2" s="1"/>
  <c r="I105" i="2" a="1"/>
  <c r="I105" i="2" s="1"/>
  <c r="I104" i="2" a="1"/>
  <c r="I104" i="2" s="1"/>
  <c r="I131" i="2" a="1"/>
  <c r="I131" i="2" s="1"/>
  <c r="I133" i="2" a="1"/>
  <c r="I133" i="2" s="1"/>
  <c r="I130" i="2" a="1"/>
  <c r="I130" i="2" s="1"/>
  <c r="I132" i="2" a="1"/>
  <c r="I132" i="2" s="1"/>
  <c r="J7" i="2" a="1"/>
  <c r="J7" i="2" s="1"/>
  <c r="J8" i="2" s="1"/>
  <c r="C7" i="2" a="1"/>
  <c r="C7" i="2" s="1"/>
  <c r="C8" i="2" s="1"/>
  <c r="B7" i="2" a="1"/>
  <c r="B7" i="2" s="1"/>
  <c r="H8" i="2"/>
  <c r="B8" i="2" l="1"/>
  <c r="A10" i="2"/>
  <c r="T19" i="2" l="1"/>
  <c r="O19" i="2" s="1" a="1"/>
  <c r="O22" i="2" l="1"/>
  <c r="K22" i="2" s="1"/>
  <c r="R21" i="2"/>
  <c r="Q21" i="2"/>
  <c r="P21" i="2"/>
  <c r="O21" i="2"/>
  <c r="K21" i="2" s="1"/>
  <c r="R20" i="2"/>
  <c r="Q20" i="2"/>
  <c r="P20" i="2"/>
  <c r="O20" i="2"/>
  <c r="K20" i="2" s="1"/>
  <c r="R19" i="2"/>
  <c r="Q19" i="2"/>
  <c r="O19" i="2"/>
  <c r="K19" i="2" s="1"/>
  <c r="P19" i="2"/>
  <c r="R23" i="2"/>
  <c r="Q23" i="2"/>
  <c r="P23" i="2"/>
  <c r="O23" i="2"/>
  <c r="K23" i="2" s="1"/>
  <c r="R22" i="2"/>
  <c r="Q22" i="2"/>
  <c r="P22" i="2"/>
  <c r="N21" i="2" l="1"/>
  <c r="L24" i="2"/>
  <c r="K24" i="2" s="1"/>
  <c r="M22" i="2" s="1"/>
  <c r="N20" i="2"/>
  <c r="N23" i="2"/>
  <c r="N22" i="2"/>
  <c r="N19" i="2"/>
  <c r="M19" i="2" l="1"/>
  <c r="M21" i="2"/>
  <c r="M20" i="2"/>
  <c r="M2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<sst xmlns="http://schemas.openxmlformats.org/spreadsheetml/2006/main" count="1654" uniqueCount="172">
  <si>
    <t>Colors</t>
  </si>
  <si>
    <t>Position</t>
  </si>
  <si>
    <t>Angle</t>
  </si>
  <si>
    <t>Transparency</t>
  </si>
  <si>
    <t>Shadow</t>
  </si>
  <si>
    <t>[&gt;=1000]0,"k";[&lt;=-1000]-0,"k";0</t>
  </si>
  <si>
    <t>$#,##0;-$#,##0;0</t>
  </si>
  <si>
    <t>Employee Performance</t>
  </si>
  <si>
    <t>Payroll Forecast</t>
  </si>
  <si>
    <t>Top 5 Employees Payroll</t>
  </si>
  <si>
    <t>Employee Categories</t>
  </si>
  <si>
    <t>Payroll Cost Breakdown</t>
  </si>
  <si>
    <t>Payroll Fund</t>
  </si>
  <si>
    <t>Payroll WHR</t>
  </si>
  <si>
    <t>PDL</t>
  </si>
  <si>
    <t>KPI</t>
  </si>
  <si>
    <t>Planned Payroll</t>
  </si>
  <si>
    <t>Actual Payroll</t>
  </si>
  <si>
    <t>Bonus</t>
  </si>
  <si>
    <t>Base Salary</t>
  </si>
  <si>
    <t>Year</t>
  </si>
  <si>
    <t>Month</t>
  </si>
  <si>
    <t>Management</t>
  </si>
  <si>
    <t>Administrative Staff</t>
  </si>
  <si>
    <t>Sales Department</t>
  </si>
  <si>
    <t>Production Department</t>
  </si>
  <si>
    <t>Logistics Department</t>
  </si>
  <si>
    <t>Basic</t>
  </si>
  <si>
    <t>Bonuses</t>
  </si>
  <si>
    <t>Payroll Taxes</t>
  </si>
  <si>
    <t>Payroll</t>
  </si>
  <si>
    <t>Annual Payroll Plan</t>
  </si>
  <si>
    <t>Standard Hours</t>
  </si>
  <si>
    <t>Actual Hours</t>
  </si>
  <si>
    <t>Head Office</t>
  </si>
  <si>
    <t>Regional Offices</t>
  </si>
  <si>
    <t>Regional Branches</t>
  </si>
  <si>
    <t>Remote Employees</t>
  </si>
  <si>
    <t>Outsourcing</t>
  </si>
  <si>
    <t>A</t>
  </si>
  <si>
    <t>B</t>
  </si>
  <si>
    <t>C</t>
  </si>
  <si>
    <t>D</t>
  </si>
  <si>
    <t>E</t>
  </si>
  <si>
    <t>A2</t>
  </si>
  <si>
    <t>B2</t>
  </si>
  <si>
    <t>C2</t>
  </si>
  <si>
    <t>D2</t>
  </si>
  <si>
    <t>E2</t>
  </si>
  <si>
    <t>SU</t>
  </si>
  <si>
    <t>MO</t>
  </si>
  <si>
    <t>TU</t>
  </si>
  <si>
    <t>WE</t>
  </si>
  <si>
    <t>TH</t>
  </si>
  <si>
    <t>FR</t>
  </si>
  <si>
    <t>SA</t>
  </si>
  <si>
    <t>Employee1</t>
  </si>
  <si>
    <t>Employee2</t>
  </si>
  <si>
    <t>Employee3</t>
  </si>
  <si>
    <t>Employee4</t>
  </si>
  <si>
    <t>Employee5</t>
  </si>
  <si>
    <t>Employee1BS</t>
  </si>
  <si>
    <t>Employee2BS</t>
  </si>
  <si>
    <t>Employee3BS</t>
  </si>
  <si>
    <t>Employee4BS</t>
  </si>
  <si>
    <t>Employee5BS</t>
  </si>
  <si>
    <t>Forecast</t>
  </si>
  <si>
    <t>Actual</t>
  </si>
  <si>
    <t>JAN</t>
  </si>
  <si>
    <t>FEB</t>
  </si>
  <si>
    <t>MAR</t>
  </si>
  <si>
    <t>APR</t>
  </si>
  <si>
    <t>MAY</t>
  </si>
  <si>
    <t>JUN</t>
  </si>
  <si>
    <t>JUL</t>
  </si>
  <si>
    <t>AUG</t>
  </si>
  <si>
    <t>SEP</t>
  </si>
  <si>
    <t>OCT</t>
  </si>
  <si>
    <t>NOV</t>
  </si>
  <si>
    <t>DEC</t>
  </si>
  <si>
    <t>SU2</t>
  </si>
  <si>
    <t>MO2</t>
  </si>
  <si>
    <t>TU2</t>
  </si>
  <si>
    <t>WE2</t>
  </si>
  <si>
    <t>TH2</t>
  </si>
  <si>
    <t>FR2</t>
  </si>
  <si>
    <t>SA2</t>
  </si>
  <si>
    <t>Administrative staff</t>
  </si>
  <si>
    <t>Sales department</t>
  </si>
  <si>
    <t>Production department</t>
  </si>
  <si>
    <t>Logistics department</t>
  </si>
  <si>
    <t>Value</t>
  </si>
  <si>
    <t>%</t>
  </si>
  <si>
    <t>Total</t>
  </si>
  <si>
    <t>Asset 1</t>
  </si>
  <si>
    <t>Asset 2</t>
  </si>
  <si>
    <t>Asset 3</t>
  </si>
  <si>
    <t>Asset 4</t>
  </si>
  <si>
    <t>Asset 5</t>
  </si>
  <si>
    <t>Sectors</t>
  </si>
  <si>
    <t>Done</t>
  </si>
  <si>
    <t>Running</t>
  </si>
  <si>
    <t>Average</t>
  </si>
  <si>
    <t>Row Labels</t>
  </si>
  <si>
    <t>Grand Total</t>
  </si>
  <si>
    <t>Sum of Management</t>
  </si>
  <si>
    <t>Sum of Administrative Staff</t>
  </si>
  <si>
    <t>Sum of Sales Department</t>
  </si>
  <si>
    <t>Sum of Production Department</t>
  </si>
  <si>
    <t>Sum of Logistics Department</t>
  </si>
  <si>
    <t>Total Payroll</t>
  </si>
  <si>
    <t>Sum of Payroll</t>
  </si>
  <si>
    <t>Location</t>
  </si>
  <si>
    <t>Payroll Distribution by Location</t>
  </si>
  <si>
    <t>Average of Standard Hours</t>
  </si>
  <si>
    <t>Cursor</t>
  </si>
  <si>
    <t>Label</t>
  </si>
  <si>
    <t>Sum of Forecast</t>
  </si>
  <si>
    <t>Sum of Actual</t>
  </si>
  <si>
    <t>Average of A</t>
  </si>
  <si>
    <t>Average of B</t>
  </si>
  <si>
    <t>Average of C</t>
  </si>
  <si>
    <t>Average of D</t>
  </si>
  <si>
    <t>Average of E</t>
  </si>
  <si>
    <t>Average of A2</t>
  </si>
  <si>
    <t>Average of B2</t>
  </si>
  <si>
    <t>Average of C2</t>
  </si>
  <si>
    <t>Average of D2</t>
  </si>
  <si>
    <t>Average of E2</t>
  </si>
  <si>
    <t>Payroll Work Hour Representation</t>
  </si>
  <si>
    <t>Average of Head Office</t>
  </si>
  <si>
    <t>Average of Regional Offices</t>
  </si>
  <si>
    <t>Average of Regional Branches</t>
  </si>
  <si>
    <t>Average of Remote Employees</t>
  </si>
  <si>
    <t>Average of Outsourcing</t>
  </si>
  <si>
    <t xml:space="preserve">Performance </t>
  </si>
  <si>
    <t>MoM</t>
  </si>
  <si>
    <t>Payroll Fundation</t>
  </si>
  <si>
    <t>Sum of Annual Payroll Plan</t>
  </si>
  <si>
    <t>Salary</t>
  </si>
  <si>
    <t>sort by</t>
  </si>
  <si>
    <t>Empls</t>
  </si>
  <si>
    <t>Sum of Employee1</t>
  </si>
  <si>
    <t>Sum of Employee2</t>
  </si>
  <si>
    <t>Sum of Employee3</t>
  </si>
  <si>
    <t>Sum of Employee4</t>
  </si>
  <si>
    <t>Sum of Employee5</t>
  </si>
  <si>
    <t>Sum of Employee1BS</t>
  </si>
  <si>
    <t>Sum of Employee2BS</t>
  </si>
  <si>
    <t>Sum of Employee3BS</t>
  </si>
  <si>
    <t>Sum of Employee4BS</t>
  </si>
  <si>
    <t>Sum of Employee5BS</t>
  </si>
  <si>
    <t>Top 5 Employees</t>
  </si>
  <si>
    <t>Day</t>
  </si>
  <si>
    <t>Shift 4</t>
  </si>
  <si>
    <t>Shift 3</t>
  </si>
  <si>
    <t>Shift 2</t>
  </si>
  <si>
    <t>Shift 1</t>
  </si>
  <si>
    <t>Working Time Heat Map</t>
  </si>
  <si>
    <t>Underwork</t>
  </si>
  <si>
    <t>Overtime</t>
  </si>
  <si>
    <t>Excessive Overtime</t>
  </si>
  <si>
    <t>CHOOSE</t>
  </si>
  <si>
    <t>#0D5682</t>
  </si>
  <si>
    <t>#0C1321</t>
  </si>
  <si>
    <t>Line</t>
  </si>
  <si>
    <t>#78DCF4</t>
  </si>
  <si>
    <t>#4E95D9</t>
  </si>
  <si>
    <t>#0C203A</t>
  </si>
  <si>
    <t>#008AF2</t>
  </si>
  <si>
    <t>#0F4672</t>
  </si>
  <si>
    <t>#3B9BD1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</si>
</sst>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gt;=1000000]#,##0,,\ &quot;M&quot;;[&gt;=1000]#,##0,\ &quot;K&quot;;0"/>
  </numFmts>
  <fonts count="7" x14ac:knownFonts="1">
    <font>
      <sz val="11"/>
      <color theme="1"/>
      <name val="Aptos Narrow"/>
      <family val="2"/>
      <scheme val="minor"/>
    </font>
    <font>
      <sz val="1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7" tint="0.79998168889431442"/>
      <name val="Aptos Narrow"/>
      <family val="2"/>
      <scheme val="minor"/>
    </font>
    <font>
      <sz val="11"/>
      <color theme="0"/>
      <name val="Aptos Narrow"/>
      <family val="2"/>
      <scheme val="minor"/>
    </font>
  </fonts>
  <fills count="18">
    <fill>
      <patternFill patternType="none"/>
    </fill>
    <fill>
      <patternFill patternType="gray125"/>
    </fill>
    <fill>
      <patternFill patternType="solid">
        <fgColor rgb="FF111829"/>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3493B8"/>
        <bgColor indexed="64"/>
      </patternFill>
    </fill>
    <fill>
      <patternFill patternType="solid">
        <fgColor rgb="FF65B5D4"/>
        <bgColor indexed="64"/>
      </patternFill>
    </fill>
    <fill>
      <patternFill patternType="solid">
        <fgColor rgb="FFCAEEFB"/>
        <bgColor indexed="64"/>
      </patternFill>
    </fill>
    <fill>
      <patternFill patternType="solid">
        <fgColor rgb="FF1B4C5F"/>
        <bgColor indexed="64"/>
      </patternFill>
    </fill>
    <fill>
      <patternFill patternType="solid">
        <fgColor rgb="FFE8ECF4"/>
        <bgColor indexed="64"/>
      </patternFill>
    </fill>
    <fill>
      <patternFill patternType="solid">
        <fgColor rgb="FF0D5682"/>
        <bgColor indexed="64"/>
      </patternFill>
    </fill>
    <fill>
      <patternFill patternType="solid">
        <fgColor rgb="FF0C1321"/>
        <bgColor indexed="64"/>
      </patternFill>
    </fill>
    <fill>
      <patternFill patternType="solid">
        <fgColor rgb="FF78DCF4"/>
        <bgColor indexed="64"/>
      </patternFill>
    </fill>
    <fill>
      <patternFill patternType="solid">
        <fgColor rgb="FF4E95D9"/>
        <bgColor indexed="64"/>
      </patternFill>
    </fill>
    <fill>
      <patternFill patternType="solid">
        <fgColor rgb="FF0C203A"/>
        <bgColor indexed="64"/>
      </patternFill>
    </fill>
    <fill>
      <patternFill patternType="solid">
        <fgColor rgb="FF008AF2"/>
        <bgColor indexed="64"/>
      </patternFill>
    </fill>
    <fill>
      <patternFill patternType="solid">
        <fgColor rgb="FF0F4672"/>
        <bgColor indexed="64"/>
      </patternFill>
    </fill>
    <fill>
      <patternFill patternType="solid">
        <fgColor rgb="FF3B9BD1"/>
        <bgColor indexed="64"/>
      </patternFill>
    </fill>
  </fills>
  <borders count="2">
    <border>
      <left/>
      <right/>
      <top/>
      <bottom/>
      <diagonal/>
    </border>
    <border>
      <left/>
      <right/>
      <top style="thin">
        <color theme="4" tint="0.39997558519241921"/>
      </top>
      <bottom style="thin">
        <color theme="4" tint="0.3999755851924192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49">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9" fontId="0" fillId="0" borderId="0" xfId="0" applyNumberFormat="1"/>
    <xf numFmtId="0" fontId="0" fillId="2" borderId="0" xfId="0" applyFill="1"/>
    <xf numFmtId="0" fontId="4" fillId="0" borderId="0" xfId="0" applyFont="1" applyAlignment="1">
      <alignment horizontal="center"/>
    </xf>
    <xf numFmtId="0" fontId="4" fillId="0" borderId="0" xfId="0" applyFont="1" applyAlignment="1">
      <alignment horizontal="center" vertical="center"/>
    </xf>
    <xf numFmtId="0" fontId="0" fillId="0" borderId="0" xfId="0" applyAlignment="1">
      <alignment horizontal="center" vertical="center"/>
    </xf>
    <xf numFmtId="0" fontId="4" fillId="0" borderId="0" xfId="0" applyFont="1"/>
    <xf numFmtId="0" fontId="0" fillId="0" borderId="0" xfId="0" applyAlignment="1">
      <alignment horizontal="center" vertical="center" wrapText="1"/>
    </xf>
    <xf numFmtId="0" fontId="3" fillId="3" borderId="1" xfId="0" applyFont="1" applyFill="1" applyBorder="1" applyAlignment="1">
      <alignment horizontal="center" vertical="center"/>
    </xf>
    <xf numFmtId="9" fontId="0" fillId="0" borderId="0" xfId="2" applyFont="1" applyAlignment="1">
      <alignment horizontal="center"/>
    </xf>
    <xf numFmtId="0" fontId="0" fillId="4" borderId="1" xfId="0" applyFill="1" applyBorder="1" applyAlignment="1">
      <alignment horizontal="center"/>
    </xf>
    <xf numFmtId="0" fontId="0" fillId="0" borderId="1" xfId="0" applyBorder="1" applyAlignment="1">
      <alignment horizontal="center"/>
    </xf>
    <xf numFmtId="0" fontId="0" fillId="0" borderId="0" xfId="0" pivotButton="1"/>
    <xf numFmtId="9" fontId="0" fillId="0" borderId="0" xfId="2" applyFont="1" applyAlignment="1">
      <alignment horizontal="center" vertical="center"/>
    </xf>
    <xf numFmtId="164" fontId="0" fillId="0" borderId="0" xfId="1" applyNumberFormat="1" applyFont="1" applyAlignment="1">
      <alignment horizontal="center" vertical="center"/>
    </xf>
    <xf numFmtId="165" fontId="0" fillId="0" borderId="0" xfId="0" applyNumberFormat="1" applyAlignment="1">
      <alignment horizontal="center" vertical="center"/>
    </xf>
    <xf numFmtId="9" fontId="0" fillId="0" borderId="0" xfId="0" applyNumberFormat="1" applyAlignment="1">
      <alignment horizontal="center"/>
    </xf>
    <xf numFmtId="0" fontId="0" fillId="0" borderId="0" xfId="0" applyAlignment="1">
      <alignment horizontal="left" vertical="center"/>
    </xf>
    <xf numFmtId="164" fontId="4" fillId="0" borderId="0" xfId="1" applyNumberFormat="1" applyFont="1" applyAlignment="1">
      <alignment horizontal="center"/>
    </xf>
    <xf numFmtId="9" fontId="4" fillId="0" borderId="0" xfId="0" applyNumberFormat="1" applyFont="1" applyAlignment="1">
      <alignment horizontal="center"/>
    </xf>
    <xf numFmtId="0" fontId="0" fillId="0" borderId="0" xfId="0" applyAlignment="1">
      <alignment horizontal="right"/>
    </xf>
    <xf numFmtId="0" fontId="4" fillId="0" borderId="0" xfId="0" applyFont="1" applyAlignment="1">
      <alignment horizontal="left"/>
    </xf>
    <xf numFmtId="9" fontId="4" fillId="0" borderId="0" xfId="2" applyFont="1"/>
    <xf numFmtId="0" fontId="4" fillId="0" borderId="0" xfId="0" applyFont="1" applyAlignment="1">
      <alignment horizontal="left" vertical="center"/>
    </xf>
    <xf numFmtId="0" fontId="0" fillId="5" borderId="0" xfId="0" applyFill="1"/>
    <xf numFmtId="0" fontId="0" fillId="6" borderId="0" xfId="0" applyFill="1"/>
    <xf numFmtId="0" fontId="0" fillId="7" borderId="0" xfId="0" applyFill="1"/>
    <xf numFmtId="0" fontId="0" fillId="8" borderId="0" xfId="0" applyFill="1"/>
    <xf numFmtId="0" fontId="5" fillId="8" borderId="0" xfId="0" applyFont="1" applyFill="1"/>
    <xf numFmtId="0" fontId="0" fillId="9" borderId="0" xfId="0" applyFill="1"/>
    <xf numFmtId="0" fontId="6" fillId="10" borderId="0" xfId="0" applyFont="1" applyFill="1"/>
    <xf numFmtId="0" fontId="6" fillId="11" borderId="0" xfId="0" applyFont="1" applyFill="1"/>
    <xf numFmtId="0" fontId="0" fillId="12" borderId="0" xfId="0" applyFill="1"/>
    <xf numFmtId="0" fontId="0" fillId="13" borderId="0" xfId="0" applyFill="1"/>
    <xf numFmtId="0" fontId="6" fillId="14" borderId="0" xfId="0" applyFont="1" applyFill="1"/>
    <xf numFmtId="0" fontId="6" fillId="15" borderId="0" xfId="0" applyFont="1" applyFill="1"/>
    <xf numFmtId="0" fontId="6" fillId="16" borderId="0" xfId="0" applyFont="1" applyFill="1"/>
    <xf numFmtId="0" fontId="6" fillId="0" borderId="0" xfId="0" applyFont="1"/>
    <xf numFmtId="0" fontId="6" fillId="17" borderId="0" xfId="0" applyFont="1" applyFill="1"/>
    <xf numFmtId="0" fontId="0" fillId="0" borderId="0" xfId="0" applyAlignment="1">
      <alignment horizontal="center"/>
    </xf>
    <xf numFmtId="0" fontId="4" fillId="0" borderId="0" xfId="0" applyFont="1" applyAlignment="1">
      <alignment horizontal="center"/>
    </xf>
    <xf numFmtId="0" fontId="0" fillId="0" borderId="0" xfId="0" applyAlignment="1">
      <alignment horizontal="center" vertical="center"/>
    </xf>
    <xf numFmtId="0" fontId="4" fillId="0" borderId="0" xfId="0" applyFont="1" applyAlignment="1">
      <alignment horizontal="center" vertical="center"/>
    </xf>
    <xf numFmtId="0" fontId="0" fillId="0" borderId="0" xfId="0" applyNumberFormat="1"/>
    <xf numFmtId="2" fontId="0" fillId="0" borderId="0" xfId="0" applyNumberFormat="1" applyAlignment="1">
      <alignment horizontal="center" vertical="center"/>
    </xf>
    <xf numFmtId="2" fontId="0" fillId="0" borderId="0" xfId="0" applyNumberFormat="1"/>
  </cellXfs>
  <cellStyles count="3">
    <cellStyle name="Currency" xfId="1" builtinId="4"/>
    <cellStyle name="Normal" xfId="0" builtinId="0"/>
    <cellStyle name="Percent" xfId="2" builtinId="5"/>
  </cellStyles>
  <dxfs count="4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font>
        <b/>
        <color theme="1"/>
      </font>
      <border>
        <bottom style="thin">
          <color theme="4"/>
        </bottom>
        <vertical/>
        <horizontal/>
      </border>
    </dxf>
    <dxf>
      <font>
        <color theme="1"/>
      </font>
      <fill>
        <patternFill>
          <bgColor rgb="FFF9F9FC"/>
        </patternFill>
      </fill>
      <border diagonalUp="0" diagonalDown="0">
        <left/>
        <right/>
        <top/>
        <bottom/>
        <vertical/>
        <horizontal/>
      </border>
    </dxf>
    <dxf>
      <font>
        <b/>
        <color theme="1"/>
      </font>
      <border>
        <bottom style="thin">
          <color theme="4"/>
        </bottom>
        <vertical/>
        <horizontal/>
      </border>
    </dxf>
    <dxf>
      <font>
        <color theme="1"/>
      </font>
      <fill>
        <patternFill>
          <bgColor rgb="FF051D2F"/>
        </patternFill>
      </fill>
      <border diagonalUp="0" diagonalDown="0">
        <left/>
        <right/>
        <top/>
        <bottom/>
        <vertical/>
        <horizontal/>
      </border>
    </dxf>
  </dxfs>
  <tableStyles count="2" defaultTableStyle="TableStyleMedium2" defaultPivotStyle="PivotStyleLight16">
    <tableStyle name="SlicerStyleLight1 2 2" pivot="0" table="0" count="10" xr9:uid="{E9D256A6-2EA5-483D-924F-55A3BD67D86D}">
      <tableStyleElement type="wholeTable" dxfId="45"/>
      <tableStyleElement type="headerRow" dxfId="44"/>
    </tableStyle>
    <tableStyle name="SlicerStyleLight1 2 2 2" pivot="0" table="0" count="10" xr9:uid="{BEFD9278-5519-4087-A9CF-1CEAEE3395B8}">
      <tableStyleElement type="wholeTable" dxfId="43"/>
      <tableStyleElement type="headerRow" dxfId="42"/>
    </tableStyle>
  </tableStyles>
  <colors>
    <mruColors>
      <color rgb="FFDCF2FF"/>
      <color rgb="FF006FFE"/>
      <color rgb="FF286F8C"/>
      <color rgb="FF2E83A4"/>
      <color rgb="FF2C7C9C"/>
      <color rgb="FF84B6F8"/>
      <color rgb="FF4A81BF"/>
      <color rgb="FF3889F4"/>
      <color rgb="FFE1E9F5"/>
      <color rgb="FFEAEEF7"/>
    </mruColors>
  </colors>
  <extLst>
    <ext xmlns:x14="http://schemas.microsoft.com/office/spreadsheetml/2009/9/main" uri="{46F421CA-312F-682f-3DD2-61675219B42D}">
      <x14:dxfs count="16">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rgb="FF051D2F"/>
          </font>
          <fill>
            <gradientFill degree="90">
              <stop position="0">
                <color rgb="FFAAE8F7"/>
              </stop>
              <stop position="1">
                <color rgb="FF52E1F1"/>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9.9948118533890809E-2"/>
          </font>
          <fill>
            <patternFill patternType="solid">
              <fgColor rgb="FFFFFFFF"/>
              <bgColor theme="0"/>
            </patternFill>
          </fill>
          <border diagonalUp="0" diagonalDown="0">
            <left style="thin">
              <color rgb="FFE8EDF5"/>
            </left>
            <right style="thin">
              <color rgb="FFE8EDF5"/>
            </right>
            <top style="thin">
              <color rgb="FFE8EDF5"/>
            </top>
            <bottom style="thin">
              <color rgb="FFE8EDF5"/>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rgb="FF051D2F"/>
          </font>
          <fill>
            <gradientFill degree="90">
              <stop position="0">
                <color rgb="FFAAE8F7"/>
              </stop>
              <stop position="1">
                <color rgb="FF52E1F1"/>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499984740745262"/>
          </font>
          <fill>
            <patternFill patternType="solid">
              <fgColor rgb="FFFFFFFF"/>
              <bgColor rgb="FF07273F"/>
            </patternFill>
          </fill>
          <border diagonalUp="0" diagonalDown="0">
            <left style="thin">
              <color theme="3" tint="0.24994659260841701"/>
            </left>
            <right style="thin">
              <color theme="3" tint="0.24994659260841701"/>
            </right>
            <top style="thin">
              <color theme="3" tint="0.24994659260841701"/>
            </top>
            <bottom style="thin">
              <color theme="3" tint="0.24994659260841701"/>
            </bottom>
            <vertical/>
            <horizontal/>
          </border>
        </dxf>
      </x14:dxfs>
    </ext>
    <ext xmlns:x14="http://schemas.microsoft.com/office/spreadsheetml/2009/9/main" uri="{EB79DEF2-80B8-43e5-95BD-54CBDDF9020C}">
      <x14:slicerStyles defaultSlicerStyle="SlicerStyleLight1">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0.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s>
</file>

<file path=xl/charts/_rels/chart20.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
                    <a:srgbClr val="AAE8F7"/>
                  </a:gs>
                  <a:gs pos="70000">
                    <a:srgbClr val="52E1F1"/>
                  </a:gs>
                </a:gsLst>
                <a:lin ang="2700000" scaled="0"/>
              </a:gradFill>
              <a:ln w="19050">
                <a:noFill/>
              </a:ln>
              <a:effectLst/>
            </c:spPr>
            <c:extLst>
              <c:ext xmlns:c16="http://schemas.microsoft.com/office/drawing/2014/chart" uri="{C3380CC4-5D6E-409C-BE32-E72D297353CC}">
                <c16:uniqueId val="{00000001-33FF-47BB-B4BC-11D7FB841126}"/>
              </c:ext>
            </c:extLst>
          </c:dPt>
          <c:dPt>
            <c:idx val="1"/>
            <c:bubble3D val="0"/>
            <c:spPr>
              <a:solidFill>
                <a:srgbClr val="0F4672">
                  <a:alpha val="30000"/>
                </a:srgbClr>
              </a:solidFill>
              <a:ln w="19050">
                <a:noFill/>
              </a:ln>
              <a:effectLst/>
            </c:spPr>
            <c:extLst>
              <c:ext xmlns:c16="http://schemas.microsoft.com/office/drawing/2014/chart" uri="{C3380CC4-5D6E-409C-BE32-E72D297353CC}">
                <c16:uniqueId val="{00000003-33FF-47BB-B4BC-11D7FB841126}"/>
              </c:ext>
            </c:extLst>
          </c:dPt>
          <c:dPt>
            <c:idx val="2"/>
            <c:bubble3D val="0"/>
            <c:spPr>
              <a:noFill/>
              <a:ln w="19050">
                <a:noFill/>
              </a:ln>
              <a:effectLst/>
            </c:spPr>
            <c:extLst>
              <c:ext xmlns:c16="http://schemas.microsoft.com/office/drawing/2014/chart" uri="{C3380CC4-5D6E-409C-BE32-E72D297353CC}">
                <c16:uniqueId val="{00000005-33FF-47BB-B4BC-11D7FB841126}"/>
              </c:ext>
            </c:extLst>
          </c:dPt>
          <c:val>
            <c:numRef>
              <c:f>Processing!$B$7:$B$9</c:f>
              <c:numCache>
                <c:formatCode>0%</c:formatCode>
                <c:ptCount val="3"/>
                <c:pt idx="0">
                  <c:v>0.75</c:v>
                </c:pt>
                <c:pt idx="1">
                  <c:v>0</c:v>
                </c:pt>
                <c:pt idx="2">
                  <c:v>0.25</c:v>
                </c:pt>
              </c:numCache>
            </c:numRef>
          </c:val>
          <c:extLst>
            <c:ext xmlns:c16="http://schemas.microsoft.com/office/drawing/2014/chart" uri="{C3380CC4-5D6E-409C-BE32-E72D297353CC}">
              <c16:uniqueId val="{00000006-33FF-47BB-B4BC-11D7FB841126}"/>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8-33FF-47BB-B4BC-11D7FB841126}"/>
              </c:ext>
            </c:extLst>
          </c:dPt>
          <c:dPt>
            <c:idx val="1"/>
            <c:bubble3D val="0"/>
            <c:spPr>
              <a:noFill/>
              <a:ln w="19050">
                <a:noFill/>
              </a:ln>
              <a:effectLst/>
            </c:spPr>
            <c:extLst>
              <c:ext xmlns:c16="http://schemas.microsoft.com/office/drawing/2014/chart" uri="{C3380CC4-5D6E-409C-BE32-E72D297353CC}">
                <c16:uniqueId val="{0000000A-33FF-47BB-B4BC-11D7FB841126}"/>
              </c:ext>
            </c:extLst>
          </c:dPt>
          <c:dPt>
            <c:idx val="2"/>
            <c:bubble3D val="0"/>
            <c:spPr>
              <a:noFill/>
              <a:ln w="19050">
                <a:noFill/>
              </a:ln>
              <a:effectLst/>
            </c:spPr>
            <c:extLst>
              <c:ext xmlns:c16="http://schemas.microsoft.com/office/drawing/2014/chart" uri="{C3380CC4-5D6E-409C-BE32-E72D297353CC}">
                <c16:uniqueId val="{0000000C-33FF-47BB-B4BC-11D7FB841126}"/>
              </c:ext>
            </c:extLst>
          </c:dPt>
          <c:val>
            <c:numRef>
              <c:f>Processing!$C$7:$C$9</c:f>
              <c:numCache>
                <c:formatCode>0%</c:formatCode>
                <c:ptCount val="3"/>
                <c:pt idx="0">
                  <c:v>0.75</c:v>
                </c:pt>
                <c:pt idx="1">
                  <c:v>0</c:v>
                </c:pt>
                <c:pt idx="2">
                  <c:v>0.25</c:v>
                </c:pt>
              </c:numCache>
            </c:numRef>
          </c:val>
          <c:extLst>
            <c:ext xmlns:c16="http://schemas.microsoft.com/office/drawing/2014/chart" uri="{C3380CC4-5D6E-409C-BE32-E72D297353CC}">
              <c16:uniqueId val="{0000000D-33FF-47BB-B4BC-11D7FB841126}"/>
            </c:ext>
          </c:extLst>
        </c:ser>
        <c:ser>
          <c:idx val="2"/>
          <c:order val="2"/>
          <c:spPr>
            <a:ln>
              <a:noFill/>
            </a:ln>
          </c:spPr>
          <c:dPt>
            <c:idx val="0"/>
            <c:bubble3D val="0"/>
            <c:spPr>
              <a:gradFill>
                <a:gsLst>
                  <a:gs pos="10000">
                    <a:srgbClr val="7CDCF3"/>
                  </a:gs>
                  <a:gs pos="70000">
                    <a:srgbClr val="22D9ED"/>
                  </a:gs>
                </a:gsLst>
                <a:lin ang="2700000" scaled="0"/>
              </a:gradFill>
              <a:ln w="19050">
                <a:noFill/>
              </a:ln>
              <a:effectLst/>
            </c:spPr>
            <c:extLst>
              <c:ext xmlns:c16="http://schemas.microsoft.com/office/drawing/2014/chart" uri="{C3380CC4-5D6E-409C-BE32-E72D297353CC}">
                <c16:uniqueId val="{0000000F-33FF-47BB-B4BC-11D7FB841126}"/>
              </c:ext>
            </c:extLst>
          </c:dPt>
          <c:dPt>
            <c:idx val="1"/>
            <c:bubble3D val="0"/>
            <c:spPr>
              <a:solidFill>
                <a:srgbClr val="0F4672">
                  <a:alpha val="30000"/>
                </a:srgbClr>
              </a:solidFill>
              <a:ln w="19050">
                <a:noFill/>
              </a:ln>
              <a:effectLst/>
            </c:spPr>
            <c:extLst>
              <c:ext xmlns:c16="http://schemas.microsoft.com/office/drawing/2014/chart" uri="{C3380CC4-5D6E-409C-BE32-E72D297353CC}">
                <c16:uniqueId val="{00000011-33FF-47BB-B4BC-11D7FB841126}"/>
              </c:ext>
            </c:extLst>
          </c:dPt>
          <c:dPt>
            <c:idx val="2"/>
            <c:bubble3D val="0"/>
            <c:spPr>
              <a:noFill/>
              <a:ln w="19050">
                <a:noFill/>
              </a:ln>
              <a:effectLst/>
            </c:spPr>
            <c:extLst>
              <c:ext xmlns:c16="http://schemas.microsoft.com/office/drawing/2014/chart" uri="{C3380CC4-5D6E-409C-BE32-E72D297353CC}">
                <c16:uniqueId val="{00000013-33FF-47BB-B4BC-11D7FB841126}"/>
              </c:ext>
            </c:extLst>
          </c:dPt>
          <c:val>
            <c:numRef>
              <c:f>Processing!$D$7:$D$9</c:f>
              <c:numCache>
                <c:formatCode>0%</c:formatCode>
                <c:ptCount val="3"/>
                <c:pt idx="0">
                  <c:v>0.62890882159315342</c:v>
                </c:pt>
                <c:pt idx="1">
                  <c:v>0.12109117840684658</c:v>
                </c:pt>
                <c:pt idx="2">
                  <c:v>0.25</c:v>
                </c:pt>
              </c:numCache>
            </c:numRef>
          </c:val>
          <c:extLst>
            <c:ext xmlns:c16="http://schemas.microsoft.com/office/drawing/2014/chart" uri="{C3380CC4-5D6E-409C-BE32-E72D297353CC}">
              <c16:uniqueId val="{00000014-33FF-47BB-B4BC-11D7FB841126}"/>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6-33FF-47BB-B4BC-11D7FB841126}"/>
              </c:ext>
            </c:extLst>
          </c:dPt>
          <c:dPt>
            <c:idx val="1"/>
            <c:bubble3D val="0"/>
            <c:spPr>
              <a:noFill/>
              <a:ln w="19050">
                <a:noFill/>
              </a:ln>
              <a:effectLst/>
            </c:spPr>
            <c:extLst>
              <c:ext xmlns:c16="http://schemas.microsoft.com/office/drawing/2014/chart" uri="{C3380CC4-5D6E-409C-BE32-E72D297353CC}">
                <c16:uniqueId val="{00000018-33FF-47BB-B4BC-11D7FB841126}"/>
              </c:ext>
            </c:extLst>
          </c:dPt>
          <c:dPt>
            <c:idx val="2"/>
            <c:bubble3D val="0"/>
            <c:spPr>
              <a:noFill/>
              <a:ln w="19050">
                <a:noFill/>
              </a:ln>
              <a:effectLst/>
            </c:spPr>
            <c:extLst>
              <c:ext xmlns:c16="http://schemas.microsoft.com/office/drawing/2014/chart" uri="{C3380CC4-5D6E-409C-BE32-E72D297353CC}">
                <c16:uniqueId val="{0000001A-33FF-47BB-B4BC-11D7FB841126}"/>
              </c:ext>
            </c:extLst>
          </c:dPt>
          <c:val>
            <c:numRef>
              <c:f>Processing!$E$7:$E$9</c:f>
              <c:numCache>
                <c:formatCode>0%</c:formatCode>
                <c:ptCount val="3"/>
                <c:pt idx="0">
                  <c:v>0.62890882159315342</c:v>
                </c:pt>
                <c:pt idx="1">
                  <c:v>0.12109117840684658</c:v>
                </c:pt>
                <c:pt idx="2">
                  <c:v>0.25</c:v>
                </c:pt>
              </c:numCache>
            </c:numRef>
          </c:val>
          <c:extLst>
            <c:ext xmlns:c16="http://schemas.microsoft.com/office/drawing/2014/chart" uri="{C3380CC4-5D6E-409C-BE32-E72D297353CC}">
              <c16:uniqueId val="{0000001B-33FF-47BB-B4BC-11D7FB841126}"/>
            </c:ext>
          </c:extLst>
        </c:ser>
        <c:ser>
          <c:idx val="4"/>
          <c:order val="4"/>
          <c:spPr>
            <a:ln>
              <a:noFill/>
            </a:ln>
          </c:spPr>
          <c:dPt>
            <c:idx val="0"/>
            <c:bubble3D val="0"/>
            <c:spPr>
              <a:gradFill>
                <a:gsLst>
                  <a:gs pos="10000">
                    <a:srgbClr val="4ED0EF"/>
                  </a:gs>
                  <a:gs pos="70000">
                    <a:srgbClr val="10B9CB"/>
                  </a:gs>
                </a:gsLst>
                <a:lin ang="2700000" scaled="0"/>
              </a:gradFill>
              <a:ln w="19050">
                <a:noFill/>
              </a:ln>
              <a:effectLst/>
            </c:spPr>
            <c:extLst>
              <c:ext xmlns:c16="http://schemas.microsoft.com/office/drawing/2014/chart" uri="{C3380CC4-5D6E-409C-BE32-E72D297353CC}">
                <c16:uniqueId val="{0000001D-33FF-47BB-B4BC-11D7FB841126}"/>
              </c:ext>
            </c:extLst>
          </c:dPt>
          <c:dPt>
            <c:idx val="1"/>
            <c:bubble3D val="0"/>
            <c:spPr>
              <a:solidFill>
                <a:srgbClr val="0F4672">
                  <a:alpha val="30000"/>
                </a:srgbClr>
              </a:solidFill>
              <a:ln w="19050">
                <a:noFill/>
              </a:ln>
              <a:effectLst/>
            </c:spPr>
            <c:extLst>
              <c:ext xmlns:c16="http://schemas.microsoft.com/office/drawing/2014/chart" uri="{C3380CC4-5D6E-409C-BE32-E72D297353CC}">
                <c16:uniqueId val="{0000001F-33FF-47BB-B4BC-11D7FB841126}"/>
              </c:ext>
            </c:extLst>
          </c:dPt>
          <c:dPt>
            <c:idx val="2"/>
            <c:bubble3D val="0"/>
            <c:spPr>
              <a:noFill/>
              <a:ln w="19050">
                <a:noFill/>
              </a:ln>
              <a:effectLst/>
            </c:spPr>
            <c:extLst>
              <c:ext xmlns:c16="http://schemas.microsoft.com/office/drawing/2014/chart" uri="{C3380CC4-5D6E-409C-BE32-E72D297353CC}">
                <c16:uniqueId val="{00000021-33FF-47BB-B4BC-11D7FB841126}"/>
              </c:ext>
            </c:extLst>
          </c:dPt>
          <c:val>
            <c:numRef>
              <c:f>Processing!$F$7:$F$9</c:f>
              <c:numCache>
                <c:formatCode>0%</c:formatCode>
                <c:ptCount val="3"/>
                <c:pt idx="0">
                  <c:v>0.65594140882159313</c:v>
                </c:pt>
                <c:pt idx="1">
                  <c:v>9.405859117840687E-2</c:v>
                </c:pt>
                <c:pt idx="2">
                  <c:v>0.25</c:v>
                </c:pt>
              </c:numCache>
            </c:numRef>
          </c:val>
          <c:extLst>
            <c:ext xmlns:c16="http://schemas.microsoft.com/office/drawing/2014/chart" uri="{C3380CC4-5D6E-409C-BE32-E72D297353CC}">
              <c16:uniqueId val="{00000022-33FF-47BB-B4BC-11D7FB841126}"/>
            </c:ext>
          </c:extLst>
        </c:ser>
        <c:ser>
          <c:idx val="5"/>
          <c:order val="5"/>
          <c:spPr>
            <a:noFill/>
            <a:ln>
              <a:noFill/>
            </a:ln>
          </c:spPr>
          <c:dPt>
            <c:idx val="0"/>
            <c:bubble3D val="0"/>
            <c:spPr>
              <a:noFill/>
              <a:ln w="19050">
                <a:noFill/>
              </a:ln>
              <a:effectLst/>
            </c:spPr>
            <c:extLst>
              <c:ext xmlns:c16="http://schemas.microsoft.com/office/drawing/2014/chart" uri="{C3380CC4-5D6E-409C-BE32-E72D297353CC}">
                <c16:uniqueId val="{00000024-33FF-47BB-B4BC-11D7FB841126}"/>
              </c:ext>
            </c:extLst>
          </c:dPt>
          <c:dPt>
            <c:idx val="1"/>
            <c:bubble3D val="0"/>
            <c:spPr>
              <a:noFill/>
              <a:ln w="19050">
                <a:noFill/>
              </a:ln>
              <a:effectLst/>
            </c:spPr>
            <c:extLst>
              <c:ext xmlns:c16="http://schemas.microsoft.com/office/drawing/2014/chart" uri="{C3380CC4-5D6E-409C-BE32-E72D297353CC}">
                <c16:uniqueId val="{00000026-33FF-47BB-B4BC-11D7FB841126}"/>
              </c:ext>
            </c:extLst>
          </c:dPt>
          <c:dPt>
            <c:idx val="2"/>
            <c:bubble3D val="0"/>
            <c:spPr>
              <a:noFill/>
              <a:ln w="19050">
                <a:noFill/>
              </a:ln>
              <a:effectLst/>
            </c:spPr>
            <c:extLst>
              <c:ext xmlns:c16="http://schemas.microsoft.com/office/drawing/2014/chart" uri="{C3380CC4-5D6E-409C-BE32-E72D297353CC}">
                <c16:uniqueId val="{00000028-33FF-47BB-B4BC-11D7FB841126}"/>
              </c:ext>
            </c:extLst>
          </c:dPt>
          <c:val>
            <c:numRef>
              <c:f>Processing!$G$7:$G$9</c:f>
              <c:numCache>
                <c:formatCode>0%</c:formatCode>
                <c:ptCount val="3"/>
                <c:pt idx="0">
                  <c:v>0.65594140882159313</c:v>
                </c:pt>
                <c:pt idx="1">
                  <c:v>9.405859117840687E-2</c:v>
                </c:pt>
                <c:pt idx="2">
                  <c:v>0.25</c:v>
                </c:pt>
              </c:numCache>
            </c:numRef>
          </c:val>
          <c:extLst>
            <c:ext xmlns:c16="http://schemas.microsoft.com/office/drawing/2014/chart" uri="{C3380CC4-5D6E-409C-BE32-E72D297353CC}">
              <c16:uniqueId val="{00000029-33FF-47BB-B4BC-11D7FB841126}"/>
            </c:ext>
          </c:extLst>
        </c:ser>
        <c:ser>
          <c:idx val="6"/>
          <c:order val="6"/>
          <c:spPr>
            <a:ln>
              <a:noFill/>
            </a:ln>
          </c:spPr>
          <c:dPt>
            <c:idx val="0"/>
            <c:bubble3D val="0"/>
            <c:spPr>
              <a:gradFill>
                <a:gsLst>
                  <a:gs pos="10000">
                    <a:srgbClr val="20C4EB"/>
                  </a:gs>
                  <a:gs pos="70000">
                    <a:srgbClr val="0C8D9B"/>
                  </a:gs>
                </a:gsLst>
                <a:lin ang="2700000" scaled="0"/>
              </a:gradFill>
              <a:ln w="19050">
                <a:noFill/>
              </a:ln>
              <a:effectLst/>
            </c:spPr>
            <c:extLst>
              <c:ext xmlns:c16="http://schemas.microsoft.com/office/drawing/2014/chart" uri="{C3380CC4-5D6E-409C-BE32-E72D297353CC}">
                <c16:uniqueId val="{0000002B-33FF-47BB-B4BC-11D7FB841126}"/>
              </c:ext>
            </c:extLst>
          </c:dPt>
          <c:dPt>
            <c:idx val="1"/>
            <c:bubble3D val="0"/>
            <c:spPr>
              <a:solidFill>
                <a:srgbClr val="0F4672">
                  <a:alpha val="30000"/>
                </a:srgbClr>
              </a:solidFill>
              <a:ln w="19050">
                <a:noFill/>
              </a:ln>
              <a:effectLst/>
            </c:spPr>
            <c:extLst>
              <c:ext xmlns:c16="http://schemas.microsoft.com/office/drawing/2014/chart" uri="{C3380CC4-5D6E-409C-BE32-E72D297353CC}">
                <c16:uniqueId val="{0000002D-33FF-47BB-B4BC-11D7FB841126}"/>
              </c:ext>
            </c:extLst>
          </c:dPt>
          <c:dPt>
            <c:idx val="2"/>
            <c:bubble3D val="0"/>
            <c:spPr>
              <a:noFill/>
              <a:ln w="19050">
                <a:noFill/>
              </a:ln>
              <a:effectLst/>
            </c:spPr>
            <c:extLst>
              <c:ext xmlns:c16="http://schemas.microsoft.com/office/drawing/2014/chart" uri="{C3380CC4-5D6E-409C-BE32-E72D297353CC}">
                <c16:uniqueId val="{0000002F-33FF-47BB-B4BC-11D7FB841126}"/>
              </c:ext>
            </c:extLst>
          </c:dPt>
          <c:val>
            <c:numRef>
              <c:f>Processing!$H$7:$H$9</c:f>
              <c:numCache>
                <c:formatCode>0%</c:formatCode>
                <c:ptCount val="3"/>
                <c:pt idx="0">
                  <c:v>0.47115701119157338</c:v>
                </c:pt>
                <c:pt idx="1">
                  <c:v>0.27884298880842662</c:v>
                </c:pt>
                <c:pt idx="2">
                  <c:v>0.25</c:v>
                </c:pt>
              </c:numCache>
            </c:numRef>
          </c:val>
          <c:extLst>
            <c:ext xmlns:c16="http://schemas.microsoft.com/office/drawing/2014/chart" uri="{C3380CC4-5D6E-409C-BE32-E72D297353CC}">
              <c16:uniqueId val="{00000030-33FF-47BB-B4BC-11D7FB841126}"/>
            </c:ext>
          </c:extLst>
        </c:ser>
        <c:ser>
          <c:idx val="7"/>
          <c:order val="7"/>
          <c:spPr>
            <a:noFill/>
            <a:ln>
              <a:noFill/>
            </a:ln>
          </c:spPr>
          <c:dPt>
            <c:idx val="0"/>
            <c:bubble3D val="0"/>
            <c:spPr>
              <a:noFill/>
              <a:ln w="19050">
                <a:noFill/>
              </a:ln>
              <a:effectLst/>
            </c:spPr>
            <c:extLst>
              <c:ext xmlns:c16="http://schemas.microsoft.com/office/drawing/2014/chart" uri="{C3380CC4-5D6E-409C-BE32-E72D297353CC}">
                <c16:uniqueId val="{00000032-33FF-47BB-B4BC-11D7FB841126}"/>
              </c:ext>
            </c:extLst>
          </c:dPt>
          <c:dPt>
            <c:idx val="1"/>
            <c:bubble3D val="0"/>
            <c:spPr>
              <a:noFill/>
              <a:ln w="19050">
                <a:noFill/>
              </a:ln>
              <a:effectLst/>
            </c:spPr>
            <c:extLst>
              <c:ext xmlns:c16="http://schemas.microsoft.com/office/drawing/2014/chart" uri="{C3380CC4-5D6E-409C-BE32-E72D297353CC}">
                <c16:uniqueId val="{00000034-33FF-47BB-B4BC-11D7FB841126}"/>
              </c:ext>
            </c:extLst>
          </c:dPt>
          <c:dPt>
            <c:idx val="2"/>
            <c:bubble3D val="0"/>
            <c:spPr>
              <a:noFill/>
              <a:ln w="19050">
                <a:noFill/>
              </a:ln>
              <a:effectLst/>
            </c:spPr>
            <c:extLst>
              <c:ext xmlns:c16="http://schemas.microsoft.com/office/drawing/2014/chart" uri="{C3380CC4-5D6E-409C-BE32-E72D297353CC}">
                <c16:uniqueId val="{00000036-33FF-47BB-B4BC-11D7FB841126}"/>
              </c:ext>
            </c:extLst>
          </c:dPt>
          <c:val>
            <c:numRef>
              <c:f>Processing!$I$7:$I$9</c:f>
              <c:numCache>
                <c:formatCode>0%</c:formatCode>
                <c:ptCount val="3"/>
                <c:pt idx="0">
                  <c:v>0.47115701119157338</c:v>
                </c:pt>
                <c:pt idx="1">
                  <c:v>0.27884298880842662</c:v>
                </c:pt>
                <c:pt idx="2">
                  <c:v>0.25</c:v>
                </c:pt>
              </c:numCache>
            </c:numRef>
          </c:val>
          <c:extLst>
            <c:ext xmlns:c16="http://schemas.microsoft.com/office/drawing/2014/chart" uri="{C3380CC4-5D6E-409C-BE32-E72D297353CC}">
              <c16:uniqueId val="{00000037-33FF-47BB-B4BC-11D7FB841126}"/>
            </c:ext>
          </c:extLst>
        </c:ser>
        <c:ser>
          <c:idx val="8"/>
          <c:order val="8"/>
          <c:spPr>
            <a:ln>
              <a:noFill/>
            </a:ln>
          </c:spPr>
          <c:dPt>
            <c:idx val="0"/>
            <c:bubble3D val="0"/>
            <c:spPr>
              <a:gradFill>
                <a:gsLst>
                  <a:gs pos="10000">
                    <a:srgbClr val="12A4C7"/>
                  </a:gs>
                  <a:gs pos="70000">
                    <a:srgbClr val="0A7783"/>
                  </a:gs>
                </a:gsLst>
                <a:lin ang="2700000" scaled="0"/>
              </a:gradFill>
              <a:ln w="22225" cap="rnd">
                <a:noFill/>
                <a:round/>
              </a:ln>
              <a:effectLst/>
            </c:spPr>
            <c:extLst>
              <c:ext xmlns:c16="http://schemas.microsoft.com/office/drawing/2014/chart" uri="{C3380CC4-5D6E-409C-BE32-E72D297353CC}">
                <c16:uniqueId val="{00000039-33FF-47BB-B4BC-11D7FB841126}"/>
              </c:ext>
            </c:extLst>
          </c:dPt>
          <c:dPt>
            <c:idx val="1"/>
            <c:bubble3D val="0"/>
            <c:spPr>
              <a:solidFill>
                <a:srgbClr val="0F4672">
                  <a:alpha val="29804"/>
                </a:srgbClr>
              </a:solidFill>
              <a:ln w="19050">
                <a:noFill/>
              </a:ln>
              <a:effectLst/>
            </c:spPr>
            <c:extLst>
              <c:ext xmlns:c16="http://schemas.microsoft.com/office/drawing/2014/chart" uri="{C3380CC4-5D6E-409C-BE32-E72D297353CC}">
                <c16:uniqueId val="{0000003B-33FF-47BB-B4BC-11D7FB841126}"/>
              </c:ext>
            </c:extLst>
          </c:dPt>
          <c:dPt>
            <c:idx val="2"/>
            <c:bubble3D val="0"/>
            <c:spPr>
              <a:noFill/>
              <a:ln w="19050">
                <a:noFill/>
              </a:ln>
              <a:effectLst/>
            </c:spPr>
            <c:extLst>
              <c:ext xmlns:c16="http://schemas.microsoft.com/office/drawing/2014/chart" uri="{C3380CC4-5D6E-409C-BE32-E72D297353CC}">
                <c16:uniqueId val="{0000003D-33FF-47BB-B4BC-11D7FB841126}"/>
              </c:ext>
            </c:extLst>
          </c:dPt>
          <c:val>
            <c:numRef>
              <c:f>Processing!$J$7:$J$9</c:f>
              <c:numCache>
                <c:formatCode>0%</c:formatCode>
                <c:ptCount val="3"/>
                <c:pt idx="0">
                  <c:v>0.42783080974325216</c:v>
                </c:pt>
                <c:pt idx="1">
                  <c:v>0.32216919025674784</c:v>
                </c:pt>
                <c:pt idx="2">
                  <c:v>0.25</c:v>
                </c:pt>
              </c:numCache>
            </c:numRef>
          </c:val>
          <c:extLst>
            <c:ext xmlns:c16="http://schemas.microsoft.com/office/drawing/2014/chart" uri="{C3380CC4-5D6E-409C-BE32-E72D297353CC}">
              <c16:uniqueId val="{0000003E-33FF-47BB-B4BC-11D7FB841126}"/>
            </c:ext>
          </c:extLst>
        </c:ser>
        <c:dLbls>
          <c:showLegendKey val="0"/>
          <c:showVal val="0"/>
          <c:showCatName val="0"/>
          <c:showSerName val="0"/>
          <c:showPercent val="0"/>
          <c:showBubbleSize val="0"/>
          <c:showLeaderLines val="1"/>
        </c:dLbls>
        <c:firstSliceAng val="18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
                    <a:srgbClr val="268CAB"/>
                  </a:gs>
                  <a:gs pos="100000">
                    <a:srgbClr val="9FE5F3"/>
                  </a:gs>
                </a:gsLst>
                <a:path path="circle">
                  <a:fillToRect l="100000" t="100000"/>
                </a:path>
              </a:gradFill>
              <a:ln w="19050">
                <a:noFill/>
              </a:ln>
              <a:effectLst/>
            </c:spPr>
            <c:extLst>
              <c:ext xmlns:c16="http://schemas.microsoft.com/office/drawing/2014/chart" uri="{C3380CC4-5D6E-409C-BE32-E72D297353CC}">
                <c16:uniqueId val="{00000001-4E10-4729-8087-CD23730362FF}"/>
              </c:ext>
            </c:extLst>
          </c:dPt>
          <c:dPt>
            <c:idx val="1"/>
            <c:bubble3D val="0"/>
            <c:spPr>
              <a:gradFill>
                <a:gsLst>
                  <a:gs pos="0">
                    <a:srgbClr val="1C7A9D"/>
                  </a:gs>
                  <a:gs pos="100000">
                    <a:srgbClr val="14547D"/>
                  </a:gs>
                </a:gsLst>
                <a:path path="circle">
                  <a:fillToRect l="100000" t="100000"/>
                </a:path>
              </a:gradFill>
              <a:ln w="19050">
                <a:noFill/>
              </a:ln>
              <a:effectLst/>
            </c:spPr>
            <c:extLst>
              <c:ext xmlns:c16="http://schemas.microsoft.com/office/drawing/2014/chart" uri="{C3380CC4-5D6E-409C-BE32-E72D297353CC}">
                <c16:uniqueId val="{00000003-4E10-4729-8087-CD23730362FF}"/>
              </c:ext>
            </c:extLst>
          </c:dPt>
          <c:dPt>
            <c:idx val="2"/>
            <c:bubble3D val="0"/>
            <c:spPr>
              <a:gradFill>
                <a:gsLst>
                  <a:gs pos="0">
                    <a:schemeClr val="accent4">
                      <a:lumMod val="20000"/>
                      <a:lumOff val="80000"/>
                    </a:schemeClr>
                  </a:gs>
                  <a:gs pos="70000">
                    <a:srgbClr val="52E1F1"/>
                  </a:gs>
                </a:gsLst>
                <a:lin ang="2700000" scaled="0"/>
              </a:gradFill>
              <a:ln w="19050">
                <a:noFill/>
              </a:ln>
              <a:effectLst/>
            </c:spPr>
            <c:extLst>
              <c:ext xmlns:c16="http://schemas.microsoft.com/office/drawing/2014/chart" uri="{C3380CC4-5D6E-409C-BE32-E72D297353CC}">
                <c16:uniqueId val="{00000005-4E10-4729-8087-CD23730362FF}"/>
              </c:ext>
            </c:extLst>
          </c:dPt>
          <c:dPt>
            <c:idx val="3"/>
            <c:bubble3D val="0"/>
            <c:spPr>
              <a:noFill/>
              <a:ln w="19050">
                <a:noFill/>
              </a:ln>
              <a:effectLst/>
            </c:spPr>
            <c:extLst>
              <c:ext xmlns:c16="http://schemas.microsoft.com/office/drawing/2014/chart" uri="{C3380CC4-5D6E-409C-BE32-E72D297353CC}">
                <c16:uniqueId val="{00000007-4E10-4729-8087-CD23730362FF}"/>
              </c:ext>
            </c:extLst>
          </c:dPt>
          <c:dPt>
            <c:idx val="4"/>
            <c:bubble3D val="0"/>
            <c:spPr>
              <a:gradFill>
                <a:gsLst>
                  <a:gs pos="0">
                    <a:srgbClr val="14557A"/>
                  </a:gs>
                  <a:gs pos="100000">
                    <a:srgbClr val="0F4672"/>
                  </a:gs>
                </a:gsLst>
                <a:path path="circle">
                  <a:fillToRect l="100000" t="100000"/>
                </a:path>
              </a:gradFill>
              <a:ln w="19050">
                <a:noFill/>
              </a:ln>
              <a:effectLst/>
            </c:spPr>
            <c:extLst>
              <c:ext xmlns:c16="http://schemas.microsoft.com/office/drawing/2014/chart" uri="{C3380CC4-5D6E-409C-BE32-E72D297353CC}">
                <c16:uniqueId val="{00000009-4E10-4729-8087-CD23730362FF}"/>
              </c:ext>
            </c:extLst>
          </c:dPt>
          <c:val>
            <c:numRef>
              <c:f>Processing!$N$11:$N$15</c:f>
              <c:numCache>
                <c:formatCode>0%</c:formatCode>
                <c:ptCount val="5"/>
                <c:pt idx="0">
                  <c:v>0.28000000000000003</c:v>
                </c:pt>
                <c:pt idx="1">
                  <c:v>0.21</c:v>
                </c:pt>
                <c:pt idx="2">
                  <c:v>0.13</c:v>
                </c:pt>
                <c:pt idx="3">
                  <c:v>0.05</c:v>
                </c:pt>
                <c:pt idx="4">
                  <c:v>0.32999999999999996</c:v>
                </c:pt>
              </c:numCache>
            </c:numRef>
          </c:val>
          <c:extLst>
            <c:ext xmlns:c16="http://schemas.microsoft.com/office/drawing/2014/chart" uri="{C3380CC4-5D6E-409C-BE32-E72D297353CC}">
              <c16:uniqueId val="{0000000A-4E10-4729-8087-CD23730362FF}"/>
            </c:ext>
          </c:extLst>
        </c:ser>
        <c:ser>
          <c:idx val="1"/>
          <c:order val="1"/>
          <c:spPr>
            <a:ln>
              <a:noFill/>
            </a:ln>
          </c:spPr>
          <c:dPt>
            <c:idx val="0"/>
            <c:bubble3D val="0"/>
            <c:spPr>
              <a:gradFill>
                <a:gsLst>
                  <a:gs pos="10000">
                    <a:srgbClr val="268CAB"/>
                  </a:gs>
                  <a:gs pos="100000">
                    <a:srgbClr val="9FE5F3"/>
                  </a:gs>
                </a:gsLst>
                <a:path path="circle">
                  <a:fillToRect l="100000" t="100000"/>
                </a:path>
              </a:gradFill>
              <a:ln w="19050">
                <a:noFill/>
              </a:ln>
              <a:effectLst/>
            </c:spPr>
            <c:extLst>
              <c:ext xmlns:c16="http://schemas.microsoft.com/office/drawing/2014/chart" uri="{C3380CC4-5D6E-409C-BE32-E72D297353CC}">
                <c16:uniqueId val="{0000000C-4E10-4729-8087-CD23730362FF}"/>
              </c:ext>
            </c:extLst>
          </c:dPt>
          <c:dPt>
            <c:idx val="1"/>
            <c:bubble3D val="0"/>
            <c:spPr>
              <a:gradFill>
                <a:gsLst>
                  <a:gs pos="0">
                    <a:srgbClr val="1C7A9D"/>
                  </a:gs>
                  <a:gs pos="100000">
                    <a:srgbClr val="14547D"/>
                  </a:gs>
                </a:gsLst>
                <a:path path="circle">
                  <a:fillToRect l="100000" t="100000"/>
                </a:path>
              </a:gradFill>
              <a:ln w="19050">
                <a:noFill/>
              </a:ln>
              <a:effectLst/>
            </c:spPr>
            <c:extLst>
              <c:ext xmlns:c16="http://schemas.microsoft.com/office/drawing/2014/chart" uri="{C3380CC4-5D6E-409C-BE32-E72D297353CC}">
                <c16:uniqueId val="{0000000E-4E10-4729-8087-CD23730362FF}"/>
              </c:ext>
            </c:extLst>
          </c:dPt>
          <c:dPt>
            <c:idx val="2"/>
            <c:bubble3D val="0"/>
            <c:spPr>
              <a:gradFill>
                <a:gsLst>
                  <a:gs pos="0">
                    <a:schemeClr val="accent4">
                      <a:lumMod val="20000"/>
                      <a:lumOff val="80000"/>
                    </a:schemeClr>
                  </a:gs>
                  <a:gs pos="70000">
                    <a:srgbClr val="52E1F1"/>
                  </a:gs>
                </a:gsLst>
                <a:lin ang="2700000" scaled="0"/>
              </a:gradFill>
              <a:ln w="19050">
                <a:noFill/>
              </a:ln>
              <a:effectLst/>
            </c:spPr>
            <c:extLst>
              <c:ext xmlns:c16="http://schemas.microsoft.com/office/drawing/2014/chart" uri="{C3380CC4-5D6E-409C-BE32-E72D297353CC}">
                <c16:uniqueId val="{00000010-4E10-4729-8087-CD23730362FF}"/>
              </c:ext>
            </c:extLst>
          </c:dPt>
          <c:dPt>
            <c:idx val="3"/>
            <c:bubble3D val="0"/>
            <c:spPr>
              <a:noFill/>
              <a:ln w="19050">
                <a:noFill/>
              </a:ln>
              <a:effectLst/>
            </c:spPr>
            <c:extLst>
              <c:ext xmlns:c16="http://schemas.microsoft.com/office/drawing/2014/chart" uri="{C3380CC4-5D6E-409C-BE32-E72D297353CC}">
                <c16:uniqueId val="{00000012-4E10-4729-8087-CD23730362FF}"/>
              </c:ext>
            </c:extLst>
          </c:dPt>
          <c:dPt>
            <c:idx val="4"/>
            <c:bubble3D val="0"/>
            <c:spPr>
              <a:gradFill>
                <a:gsLst>
                  <a:gs pos="0">
                    <a:srgbClr val="14557A"/>
                  </a:gs>
                  <a:gs pos="100000">
                    <a:srgbClr val="0F4672"/>
                  </a:gs>
                </a:gsLst>
                <a:path path="circle">
                  <a:fillToRect l="100000" t="100000"/>
                </a:path>
              </a:gradFill>
              <a:ln w="19050">
                <a:noFill/>
              </a:ln>
              <a:effectLst/>
            </c:spPr>
            <c:extLst>
              <c:ext xmlns:c16="http://schemas.microsoft.com/office/drawing/2014/chart" uri="{C3380CC4-5D6E-409C-BE32-E72D297353CC}">
                <c16:uniqueId val="{00000014-4E10-4729-8087-CD23730362FF}"/>
              </c:ext>
            </c:extLst>
          </c:dPt>
          <c:val>
            <c:numRef>
              <c:f>Processing!$O$11:$O$15</c:f>
              <c:numCache>
                <c:formatCode>0%</c:formatCode>
                <c:ptCount val="5"/>
                <c:pt idx="0">
                  <c:v>0.28000000000000003</c:v>
                </c:pt>
                <c:pt idx="1">
                  <c:v>0.21</c:v>
                </c:pt>
                <c:pt idx="2">
                  <c:v>0.13</c:v>
                </c:pt>
                <c:pt idx="3">
                  <c:v>0.05</c:v>
                </c:pt>
                <c:pt idx="4">
                  <c:v>0.32999999999999996</c:v>
                </c:pt>
              </c:numCache>
            </c:numRef>
          </c:val>
          <c:extLst>
            <c:ext xmlns:c16="http://schemas.microsoft.com/office/drawing/2014/chart" uri="{C3380CC4-5D6E-409C-BE32-E72D297353CC}">
              <c16:uniqueId val="{00000015-4E10-4729-8087-CD23730362FF}"/>
            </c:ext>
          </c:extLst>
        </c:ser>
        <c:ser>
          <c:idx val="2"/>
          <c:order val="2"/>
          <c:spPr>
            <a:ln>
              <a:noFill/>
            </a:ln>
          </c:spPr>
          <c:dPt>
            <c:idx val="0"/>
            <c:bubble3D val="0"/>
            <c:spPr>
              <a:gradFill>
                <a:gsLst>
                  <a:gs pos="10000">
                    <a:srgbClr val="268CAB"/>
                  </a:gs>
                  <a:gs pos="100000">
                    <a:srgbClr val="9FE5F3"/>
                  </a:gs>
                </a:gsLst>
                <a:path path="circle">
                  <a:fillToRect l="100000" t="100000"/>
                </a:path>
              </a:gradFill>
              <a:ln w="19050">
                <a:noFill/>
              </a:ln>
              <a:effectLst/>
            </c:spPr>
            <c:extLst>
              <c:ext xmlns:c16="http://schemas.microsoft.com/office/drawing/2014/chart" uri="{C3380CC4-5D6E-409C-BE32-E72D297353CC}">
                <c16:uniqueId val="{00000017-4E10-4729-8087-CD23730362FF}"/>
              </c:ext>
            </c:extLst>
          </c:dPt>
          <c:dPt>
            <c:idx val="1"/>
            <c:bubble3D val="0"/>
            <c:spPr>
              <a:noFill/>
              <a:ln w="19050">
                <a:noFill/>
              </a:ln>
              <a:effectLst/>
            </c:spPr>
            <c:extLst>
              <c:ext xmlns:c16="http://schemas.microsoft.com/office/drawing/2014/chart" uri="{C3380CC4-5D6E-409C-BE32-E72D297353CC}">
                <c16:uniqueId val="{00000019-4E10-4729-8087-CD23730362FF}"/>
              </c:ext>
            </c:extLst>
          </c:dPt>
          <c:dPt>
            <c:idx val="2"/>
            <c:bubble3D val="0"/>
            <c:spPr>
              <a:gradFill>
                <a:gsLst>
                  <a:gs pos="0">
                    <a:schemeClr val="accent4">
                      <a:lumMod val="20000"/>
                      <a:lumOff val="80000"/>
                    </a:schemeClr>
                  </a:gs>
                  <a:gs pos="70000">
                    <a:srgbClr val="52E1F1"/>
                  </a:gs>
                </a:gsLst>
                <a:lin ang="2700000" scaled="0"/>
              </a:gradFill>
              <a:ln w="19050">
                <a:noFill/>
              </a:ln>
              <a:effectLst/>
            </c:spPr>
            <c:extLst>
              <c:ext xmlns:c16="http://schemas.microsoft.com/office/drawing/2014/chart" uri="{C3380CC4-5D6E-409C-BE32-E72D297353CC}">
                <c16:uniqueId val="{0000001B-4E10-4729-8087-CD23730362FF}"/>
              </c:ext>
            </c:extLst>
          </c:dPt>
          <c:dPt>
            <c:idx val="3"/>
            <c:bubble3D val="0"/>
            <c:spPr>
              <a:noFill/>
              <a:ln w="19050">
                <a:noFill/>
              </a:ln>
              <a:effectLst/>
            </c:spPr>
            <c:extLst>
              <c:ext xmlns:c16="http://schemas.microsoft.com/office/drawing/2014/chart" uri="{C3380CC4-5D6E-409C-BE32-E72D297353CC}">
                <c16:uniqueId val="{0000001D-4E10-4729-8087-CD23730362FF}"/>
              </c:ext>
            </c:extLst>
          </c:dPt>
          <c:dPt>
            <c:idx val="4"/>
            <c:bubble3D val="0"/>
            <c:spPr>
              <a:noFill/>
              <a:ln w="19050">
                <a:noFill/>
              </a:ln>
              <a:effectLst/>
            </c:spPr>
            <c:extLst>
              <c:ext xmlns:c16="http://schemas.microsoft.com/office/drawing/2014/chart" uri="{C3380CC4-5D6E-409C-BE32-E72D297353CC}">
                <c16:uniqueId val="{0000001F-4E10-4729-8087-CD23730362FF}"/>
              </c:ext>
            </c:extLst>
          </c:dPt>
          <c:val>
            <c:numRef>
              <c:f>Processing!$P$11:$P$15</c:f>
              <c:numCache>
                <c:formatCode>0%</c:formatCode>
                <c:ptCount val="5"/>
                <c:pt idx="0">
                  <c:v>0.28000000000000003</c:v>
                </c:pt>
                <c:pt idx="1">
                  <c:v>0.21</c:v>
                </c:pt>
                <c:pt idx="2">
                  <c:v>0.13</c:v>
                </c:pt>
                <c:pt idx="3">
                  <c:v>0.05</c:v>
                </c:pt>
                <c:pt idx="4">
                  <c:v>0.32999999999999996</c:v>
                </c:pt>
              </c:numCache>
            </c:numRef>
          </c:val>
          <c:extLst>
            <c:ext xmlns:c16="http://schemas.microsoft.com/office/drawing/2014/chart" uri="{C3380CC4-5D6E-409C-BE32-E72D297353CC}">
              <c16:uniqueId val="{00000020-4E10-4729-8087-CD23730362FF}"/>
            </c:ext>
          </c:extLst>
        </c:ser>
        <c:dLbls>
          <c:showLegendKey val="0"/>
          <c:showVal val="0"/>
          <c:showCatName val="0"/>
          <c:showSerName val="0"/>
          <c:showPercent val="0"/>
          <c:showBubbleSize val="0"/>
          <c:showLeaderLines val="1"/>
        </c:dLbls>
        <c:firstSliceAng val="25"/>
        <c:holeSize val="4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
                    <a:srgbClr val="AAE8F7"/>
                  </a:gs>
                  <a:gs pos="70000">
                    <a:srgbClr val="52E1F1"/>
                  </a:gs>
                </a:gsLst>
                <a:lin ang="270000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4FF-46CB-BE71-C3289917AF3E}"/>
              </c:ext>
            </c:extLst>
          </c:dPt>
          <c:dPt>
            <c:idx val="1"/>
            <c:bubble3D val="0"/>
            <c:spPr>
              <a:solidFill>
                <a:srgbClr val="0F4672">
                  <a:alpha val="87000"/>
                </a:srgbClr>
              </a:solidFill>
              <a:ln w="19050">
                <a:noFill/>
              </a:ln>
              <a:effectLst>
                <a:innerShdw blurRad="114300">
                  <a:prstClr val="black"/>
                </a:innerShdw>
              </a:effectLst>
            </c:spPr>
            <c:extLst>
              <c:ext xmlns:c16="http://schemas.microsoft.com/office/drawing/2014/chart" uri="{C3380CC4-5D6E-409C-BE32-E72D297353CC}">
                <c16:uniqueId val="{00000003-D4FF-46CB-BE71-C3289917AF3E}"/>
              </c:ext>
            </c:extLst>
          </c:dPt>
          <c:val>
            <c:numRef>
              <c:f>Processing!$J$2:$K$2</c:f>
              <c:numCache>
                <c:formatCode>0%</c:formatCode>
                <c:ptCount val="2"/>
                <c:pt idx="0">
                  <c:v>0.72</c:v>
                </c:pt>
                <c:pt idx="1">
                  <c:v>0.28000000000000003</c:v>
                </c:pt>
              </c:numCache>
            </c:numRef>
          </c:val>
          <c:extLst>
            <c:ext xmlns:c16="http://schemas.microsoft.com/office/drawing/2014/chart" uri="{C3380CC4-5D6E-409C-BE32-E72D297353CC}">
              <c16:uniqueId val="{00000004-D4FF-46CB-BE71-C3289917AF3E}"/>
            </c:ext>
          </c:extLst>
        </c:ser>
        <c:dLbls>
          <c:showLegendKey val="0"/>
          <c:showVal val="0"/>
          <c:showCatName val="0"/>
          <c:showSerName val="0"/>
          <c:showPercent val="0"/>
          <c:showBubbleSize val="0"/>
          <c:showLeaderLines val="1"/>
        </c:dLbls>
        <c:firstSliceAng val="0"/>
        <c:holeSize val="6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3"/>
          <c:order val="3"/>
          <c:tx>
            <c:v>fill</c:v>
          </c:tx>
          <c:spPr>
            <a:gradFill flip="none" rotWithShape="1">
              <a:gsLst>
                <a:gs pos="0">
                  <a:srgbClr val="145E8C">
                    <a:alpha val="85000"/>
                  </a:srgbClr>
                </a:gs>
                <a:gs pos="77000">
                  <a:schemeClr val="accent1">
                    <a:lumMod val="100000"/>
                    <a:alpha val="0"/>
                  </a:schemeClr>
                </a:gs>
              </a:gsLst>
              <a:path path="circle">
                <a:fillToRect l="50000" t="-80000" r="50000" b="180000"/>
              </a:path>
              <a:tileRect/>
            </a:gradFill>
          </c:spPr>
          <c:val>
            <c:numRef>
              <c:f>Processing!$B$13:$B$24</c:f>
              <c:numCache>
                <c:formatCode>General</c:formatCode>
                <c:ptCount val="12"/>
                <c:pt idx="0">
                  <c:v>50000</c:v>
                </c:pt>
                <c:pt idx="1">
                  <c:v>40000</c:v>
                </c:pt>
                <c:pt idx="2">
                  <c:v>50000</c:v>
                </c:pt>
                <c:pt idx="3">
                  <c:v>45000</c:v>
                </c:pt>
                <c:pt idx="4">
                  <c:v>70000</c:v>
                </c:pt>
                <c:pt idx="5">
                  <c:v>60000</c:v>
                </c:pt>
                <c:pt idx="6">
                  <c:v>80000</c:v>
                </c:pt>
                <c:pt idx="7">
                  <c:v>70000</c:v>
                </c:pt>
                <c:pt idx="8">
                  <c:v>80000</c:v>
                </c:pt>
                <c:pt idx="9">
                  <c:v>100000</c:v>
                </c:pt>
                <c:pt idx="10">
                  <c:v>95000</c:v>
                </c:pt>
                <c:pt idx="11">
                  <c:v>80000</c:v>
                </c:pt>
              </c:numCache>
            </c:numRef>
          </c:val>
          <c:extLst>
            <c:ext xmlns:c16="http://schemas.microsoft.com/office/drawing/2014/chart" uri="{C3380CC4-5D6E-409C-BE32-E72D297353CC}">
              <c16:uniqueId val="{00000003-AF68-49D4-B61F-844D8404F1C3}"/>
            </c:ext>
          </c:extLst>
        </c:ser>
        <c:dLbls>
          <c:showLegendKey val="0"/>
          <c:showVal val="0"/>
          <c:showCatName val="0"/>
          <c:showSerName val="0"/>
          <c:showPercent val="0"/>
          <c:showBubbleSize val="0"/>
        </c:dLbls>
        <c:axId val="1185456847"/>
        <c:axId val="1185458287"/>
      </c:areaChart>
      <c:lineChart>
        <c:grouping val="standard"/>
        <c:varyColors val="0"/>
        <c:ser>
          <c:idx val="0"/>
          <c:order val="0"/>
          <c:tx>
            <c:strRef>
              <c:f>Processing!$B$12</c:f>
              <c:strCache>
                <c:ptCount val="1"/>
                <c:pt idx="0">
                  <c:v>Forecast</c:v>
                </c:pt>
              </c:strCache>
            </c:strRef>
          </c:tx>
          <c:spPr>
            <a:ln w="19050" cap="rnd">
              <a:solidFill>
                <a:srgbClr val="3B9BD1"/>
              </a:solidFill>
              <a:round/>
            </a:ln>
            <a:effectLst>
              <a:outerShdw blurRad="50800" dist="38100" dir="5400000" algn="t" rotWithShape="0">
                <a:prstClr val="black">
                  <a:alpha val="40000"/>
                </a:prstClr>
              </a:outerShdw>
            </a:effectLst>
          </c:spPr>
          <c:marker>
            <c:symbol val="none"/>
          </c:marker>
          <c:cat>
            <c:strRef>
              <c:f>Processing!$A$13:$A$24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Processing!$B$13:$B$24</c:f>
              <c:numCache>
                <c:formatCode>General</c:formatCode>
                <c:ptCount val="12"/>
                <c:pt idx="0">
                  <c:v>50000</c:v>
                </c:pt>
                <c:pt idx="1">
                  <c:v>40000</c:v>
                </c:pt>
                <c:pt idx="2">
                  <c:v>50000</c:v>
                </c:pt>
                <c:pt idx="3">
                  <c:v>45000</c:v>
                </c:pt>
                <c:pt idx="4">
                  <c:v>70000</c:v>
                </c:pt>
                <c:pt idx="5">
                  <c:v>60000</c:v>
                </c:pt>
                <c:pt idx="6">
                  <c:v>80000</c:v>
                </c:pt>
                <c:pt idx="7">
                  <c:v>70000</c:v>
                </c:pt>
                <c:pt idx="8">
                  <c:v>80000</c:v>
                </c:pt>
                <c:pt idx="9">
                  <c:v>100000</c:v>
                </c:pt>
                <c:pt idx="10">
                  <c:v>95000</c:v>
                </c:pt>
                <c:pt idx="11">
                  <c:v>80000</c:v>
                </c:pt>
              </c:numCache>
            </c:numRef>
          </c:val>
          <c:smooth val="0"/>
          <c:extLst>
            <c:ext xmlns:c16="http://schemas.microsoft.com/office/drawing/2014/chart" uri="{C3380CC4-5D6E-409C-BE32-E72D297353CC}">
              <c16:uniqueId val="{00000001-AF68-49D4-B61F-844D8404F1C3}"/>
            </c:ext>
          </c:extLst>
        </c:ser>
        <c:ser>
          <c:idx val="1"/>
          <c:order val="1"/>
          <c:tx>
            <c:strRef>
              <c:f>Processing!$C$12</c:f>
              <c:strCache>
                <c:ptCount val="1"/>
                <c:pt idx="0">
                  <c:v>Actual</c:v>
                </c:pt>
              </c:strCache>
            </c:strRef>
          </c:tx>
          <c:spPr>
            <a:ln w="19050" cap="rnd">
              <a:solidFill>
                <a:srgbClr val="008AF2"/>
              </a:solidFill>
              <a:round/>
            </a:ln>
            <a:effectLst>
              <a:outerShdw blurRad="50800" dist="38100" dir="5400000" algn="t" rotWithShape="0">
                <a:prstClr val="black">
                  <a:alpha val="40000"/>
                </a:prstClr>
              </a:outerShdw>
            </a:effectLst>
          </c:spPr>
          <c:marker>
            <c:symbol val="circle"/>
            <c:size val="5"/>
            <c:spPr>
              <a:solidFill>
                <a:schemeClr val="accent4">
                  <a:lumMod val="20000"/>
                  <a:lumOff val="80000"/>
                </a:schemeClr>
              </a:solidFill>
              <a:ln w="9525">
                <a:noFill/>
              </a:ln>
              <a:effectLst>
                <a:outerShdw blurRad="50800" dist="38100" dir="5400000" algn="t" rotWithShape="0">
                  <a:prstClr val="black">
                    <a:alpha val="40000"/>
                  </a:prstClr>
                </a:outerShdw>
              </a:effectLst>
            </c:spPr>
          </c:marker>
          <c:cat>
            <c:strRef>
              <c:f>Processing!$A$13:$A$24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Processing!$C$13:$C$24</c:f>
              <c:numCache>
                <c:formatCode>General</c:formatCode>
                <c:ptCount val="12"/>
                <c:pt idx="0">
                  <c:v>40000</c:v>
                </c:pt>
                <c:pt idx="1">
                  <c:v>50000</c:v>
                </c:pt>
                <c:pt idx="2">
                  <c:v>35000</c:v>
                </c:pt>
                <c:pt idx="3">
                  <c:v>55000</c:v>
                </c:pt>
                <c:pt idx="4">
                  <c:v>60000</c:v>
                </c:pt>
                <c:pt idx="5">
                  <c:v>80000</c:v>
                </c:pt>
                <c:pt idx="6">
                  <c:v>95000</c:v>
                </c:pt>
                <c:pt idx="7">
                  <c:v>90000</c:v>
                </c:pt>
                <c:pt idx="8">
                  <c:v>70000</c:v>
                </c:pt>
                <c:pt idx="9">
                  <c:v>80000</c:v>
                </c:pt>
                <c:pt idx="10">
                  <c:v>60000</c:v>
                </c:pt>
                <c:pt idx="11">
                  <c:v>50000</c:v>
                </c:pt>
              </c:numCache>
            </c:numRef>
          </c:val>
          <c:smooth val="0"/>
          <c:extLst>
            <c:ext xmlns:c16="http://schemas.microsoft.com/office/drawing/2014/chart" uri="{C3380CC4-5D6E-409C-BE32-E72D297353CC}">
              <c16:uniqueId val="{00000002-AF68-49D4-B61F-844D8404F1C3}"/>
            </c:ext>
          </c:extLst>
        </c:ser>
        <c:dLbls>
          <c:showLegendKey val="0"/>
          <c:showVal val="0"/>
          <c:showCatName val="0"/>
          <c:showSerName val="0"/>
          <c:showPercent val="0"/>
          <c:showBubbleSize val="0"/>
        </c:dLbls>
        <c:marker val="1"/>
        <c:smooth val="0"/>
        <c:axId val="1185456847"/>
        <c:axId val="1185458287"/>
      </c:lineChart>
      <c:scatterChart>
        <c:scatterStyle val="lineMarker"/>
        <c:varyColors val="0"/>
        <c:ser>
          <c:idx val="2"/>
          <c:order val="2"/>
          <c:tx>
            <c:strRef>
              <c:f>Processing!$D$12</c:f>
              <c:strCache>
                <c:ptCount val="1"/>
                <c:pt idx="0">
                  <c:v>Cursor</c:v>
                </c:pt>
              </c:strCache>
            </c:strRef>
          </c:tx>
          <c:spPr>
            <a:ln w="38100">
              <a:noFill/>
            </a:ln>
            <a:effectLst>
              <a:glow rad="152400">
                <a:srgbClr val="008AF2">
                  <a:alpha val="50000"/>
                </a:srgbClr>
              </a:glow>
              <a:outerShdw blurRad="50800" dist="38100" dir="5400000" algn="t" rotWithShape="0">
                <a:prstClr val="black">
                  <a:alpha val="40000"/>
                </a:prstClr>
              </a:outerShdw>
            </a:effectLst>
          </c:spPr>
          <c:marker>
            <c:symbol val="circle"/>
            <c:size val="5"/>
            <c:spPr>
              <a:solidFill>
                <a:schemeClr val="bg1"/>
              </a:solidFill>
              <a:ln>
                <a:noFill/>
              </a:ln>
              <a:effectLst>
                <a:glow rad="152400">
                  <a:srgbClr val="008AF2">
                    <a:alpha val="50000"/>
                  </a:srgbClr>
                </a:glow>
                <a:outerShdw blurRad="50800" dist="38100" dir="5400000" algn="t" rotWithShape="0">
                  <a:prstClr val="black">
                    <a:alpha val="40000"/>
                  </a:prstClr>
                </a:outerShdw>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AF68-49D4-B61F-844D8404F1C3}"/>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AF68-49D4-B61F-844D8404F1C3}"/>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F68-49D4-B61F-844D8404F1C3}"/>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F68-49D4-B61F-844D8404F1C3}"/>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F68-49D4-B61F-844D8404F1C3}"/>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AF68-49D4-B61F-844D8404F1C3}"/>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AF68-49D4-B61F-844D8404F1C3}"/>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AF68-49D4-B61F-844D8404F1C3}"/>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AF68-49D4-B61F-844D8404F1C3}"/>
                </c:ext>
              </c:extLst>
            </c:dLbl>
            <c:dLbl>
              <c:idx val="9"/>
              <c:tx>
                <c:rich>
                  <a:bodyPr/>
                  <a:lstStyle/>
                  <a:p>
                    <a:fld id="{0B7FEB07-0770-4151-BDF1-10F03B71870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F68-49D4-B61F-844D8404F1C3}"/>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AF68-49D4-B61F-844D8404F1C3}"/>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AF68-49D4-B61F-844D8404F1C3}"/>
                </c:ext>
              </c:extLst>
            </c:dLbl>
            <c:spPr>
              <a:noFill/>
              <a:ln>
                <a:noFill/>
              </a:ln>
              <a:effectLst/>
            </c:spPr>
            <c:txPr>
              <a:bodyPr wrap="square" lIns="38100" tIns="19050" rIns="38100" bIns="19050" anchor="ctr">
                <a:spAutoFit/>
              </a:bodyPr>
              <a:lstStyle/>
              <a:p>
                <a:pPr>
                  <a:defRPr>
                    <a:solidFill>
                      <a:schemeClr val="accent4">
                        <a:lumMod val="20000"/>
                        <a:lumOff val="80000"/>
                      </a:schemeClr>
                    </a:solidFill>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Dir val="y"/>
            <c:errBarType val="both"/>
            <c:errValType val="cust"/>
            <c:noEndCap val="0"/>
            <c:plus>
              <c:numLit>
                <c:formatCode>General</c:formatCode>
                <c:ptCount val="1"/>
                <c:pt idx="0">
                  <c:v>1</c:v>
                </c:pt>
              </c:numLit>
            </c:plus>
            <c:minus>
              <c:numRef>
                <c:f>Processing!$D$13:$D$24</c:f>
                <c:numCache>
                  <c:formatCode>General</c:formatCode>
                  <c:ptCount val="12"/>
                  <c:pt idx="0">
                    <c:v>#N/A</c:v>
                  </c:pt>
                  <c:pt idx="1">
                    <c:v>#N/A</c:v>
                  </c:pt>
                  <c:pt idx="2">
                    <c:v>#N/A</c:v>
                  </c:pt>
                  <c:pt idx="3">
                    <c:v>#N/A</c:v>
                  </c:pt>
                  <c:pt idx="4">
                    <c:v>#N/A</c:v>
                  </c:pt>
                  <c:pt idx="5">
                    <c:v>#N/A</c:v>
                  </c:pt>
                  <c:pt idx="6">
                    <c:v>#N/A</c:v>
                  </c:pt>
                  <c:pt idx="7">
                    <c:v>#N/A</c:v>
                  </c:pt>
                  <c:pt idx="8">
                    <c:v>#N/A</c:v>
                  </c:pt>
                  <c:pt idx="9">
                    <c:v>80000</c:v>
                  </c:pt>
                  <c:pt idx="10">
                    <c:v>#N/A</c:v>
                  </c:pt>
                  <c:pt idx="11">
                    <c:v>#N/A</c:v>
                  </c:pt>
                </c:numCache>
              </c:numRef>
            </c:minus>
            <c:spPr>
              <a:ln w="9525">
                <a:gradFill>
                  <a:gsLst>
                    <a:gs pos="0">
                      <a:schemeClr val="accent4">
                        <a:lumMod val="20000"/>
                        <a:lumOff val="80000"/>
                      </a:schemeClr>
                    </a:gs>
                    <a:gs pos="86000">
                      <a:schemeClr val="accent1">
                        <a:lumMod val="30000"/>
                        <a:lumOff val="70000"/>
                        <a:alpha val="0"/>
                      </a:schemeClr>
                    </a:gs>
                  </a:gsLst>
                  <a:lin ang="5400000" scaled="1"/>
                </a:gradFill>
              </a:ln>
            </c:spPr>
          </c:errBars>
          <c:xVal>
            <c:strRef>
              <c:f>Processing!$A$13:$A$24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Processing!$D$13:$D$24</c:f>
              <c:numCache>
                <c:formatCode>General</c:formatCode>
                <c:ptCount val="12"/>
                <c:pt idx="0">
                  <c:v>#N/A</c:v>
                </c:pt>
                <c:pt idx="1">
                  <c:v>#N/A</c:v>
                </c:pt>
                <c:pt idx="2">
                  <c:v>#N/A</c:v>
                </c:pt>
                <c:pt idx="3">
                  <c:v>#N/A</c:v>
                </c:pt>
                <c:pt idx="4">
                  <c:v>#N/A</c:v>
                </c:pt>
                <c:pt idx="5">
                  <c:v>#N/A</c:v>
                </c:pt>
                <c:pt idx="6">
                  <c:v>#N/A</c:v>
                </c:pt>
                <c:pt idx="7">
                  <c:v>#N/A</c:v>
                </c:pt>
                <c:pt idx="8">
                  <c:v>#N/A</c:v>
                </c:pt>
                <c:pt idx="9">
                  <c:v>80000</c:v>
                </c:pt>
                <c:pt idx="10">
                  <c:v>#N/A</c:v>
                </c:pt>
                <c:pt idx="11">
                  <c:v>#N/A</c:v>
                </c:pt>
              </c:numCache>
            </c:numRef>
          </c:yVal>
          <c:smooth val="0"/>
          <c:extLst>
            <c:ext xmlns:c15="http://schemas.microsoft.com/office/drawing/2012/chart" uri="{02D57815-91ED-43cb-92C2-25804820EDAC}">
              <c15:datalabelsRange>
                <c15:f>Processing!$E$13:$E$24</c15:f>
                <c15:dlblRangeCache>
                  <c:ptCount val="12"/>
                  <c:pt idx="9">
                    <c:v>80k</c:v>
                  </c:pt>
                </c15:dlblRangeCache>
              </c15:datalabelsRange>
            </c:ext>
            <c:ext xmlns:c16="http://schemas.microsoft.com/office/drawing/2014/chart" uri="{C3380CC4-5D6E-409C-BE32-E72D297353CC}">
              <c16:uniqueId val="{00000000-AF68-49D4-B61F-844D8404F1C3}"/>
            </c:ext>
          </c:extLst>
        </c:ser>
        <c:dLbls>
          <c:showLegendKey val="0"/>
          <c:showVal val="0"/>
          <c:showCatName val="0"/>
          <c:showSerName val="0"/>
          <c:showPercent val="0"/>
          <c:showBubbleSize val="0"/>
        </c:dLbls>
        <c:axId val="1925509296"/>
        <c:axId val="1925532816"/>
      </c:scatterChart>
      <c:catAx>
        <c:axId val="1185456847"/>
        <c:scaling>
          <c:orientation val="minMax"/>
        </c:scaling>
        <c:delete val="1"/>
        <c:axPos val="b"/>
        <c:numFmt formatCode="General" sourceLinked="1"/>
        <c:majorTickMark val="none"/>
        <c:minorTickMark val="none"/>
        <c:tickLblPos val="nextTo"/>
        <c:crossAx val="1185458287"/>
        <c:crosses val="autoZero"/>
        <c:auto val="1"/>
        <c:lblAlgn val="ctr"/>
        <c:lblOffset val="100"/>
        <c:noMultiLvlLbl val="0"/>
      </c:catAx>
      <c:valAx>
        <c:axId val="1185458287"/>
        <c:scaling>
          <c:orientation val="minMax"/>
        </c:scaling>
        <c:delete val="1"/>
        <c:axPos val="l"/>
        <c:numFmt formatCode="[&gt;=1000]\ #,&quot;K&quot;;0" sourceLinked="0"/>
        <c:majorTickMark val="none"/>
        <c:minorTickMark val="none"/>
        <c:tickLblPos val="nextTo"/>
        <c:crossAx val="1185456847"/>
        <c:crosses val="autoZero"/>
        <c:crossBetween val="between"/>
      </c:valAx>
      <c:valAx>
        <c:axId val="1925532816"/>
        <c:scaling>
          <c:orientation val="minMax"/>
        </c:scaling>
        <c:delete val="1"/>
        <c:axPos val="r"/>
        <c:numFmt formatCode="General" sourceLinked="1"/>
        <c:majorTickMark val="out"/>
        <c:minorTickMark val="none"/>
        <c:tickLblPos val="nextTo"/>
        <c:crossAx val="1925509296"/>
        <c:crosses val="max"/>
        <c:crossBetween val="midCat"/>
      </c:valAx>
      <c:valAx>
        <c:axId val="1925509296"/>
        <c:scaling>
          <c:orientation val="minMax"/>
        </c:scaling>
        <c:delete val="1"/>
        <c:axPos val="t"/>
        <c:majorTickMark val="out"/>
        <c:minorTickMark val="none"/>
        <c:tickLblPos val="nextTo"/>
        <c:crossAx val="1925532816"/>
        <c:crosses val="max"/>
        <c:crossBetween val="midCat"/>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0F4672"/>
              </a:solidFill>
            </a:ln>
          </c:spPr>
          <c:dPt>
            <c:idx val="0"/>
            <c:bubble3D val="0"/>
            <c:spPr>
              <a:noFill/>
              <a:ln w="9525">
                <a:solidFill>
                  <a:srgbClr val="0F4672"/>
                </a:solidFill>
              </a:ln>
              <a:effectLst/>
            </c:spPr>
            <c:extLst>
              <c:ext xmlns:c16="http://schemas.microsoft.com/office/drawing/2014/chart" uri="{C3380CC4-5D6E-409C-BE32-E72D297353CC}">
                <c16:uniqueId val="{00000001-7FB0-4FF2-9F2A-EA7F88787AA7}"/>
              </c:ext>
            </c:extLst>
          </c:dPt>
          <c:dPt>
            <c:idx val="1"/>
            <c:bubble3D val="0"/>
            <c:spPr>
              <a:noFill/>
              <a:ln w="9525">
                <a:solidFill>
                  <a:srgbClr val="0F4672"/>
                </a:solidFill>
              </a:ln>
              <a:effectLst/>
            </c:spPr>
            <c:extLst>
              <c:ext xmlns:c16="http://schemas.microsoft.com/office/drawing/2014/chart" uri="{C3380CC4-5D6E-409C-BE32-E72D297353CC}">
                <c16:uniqueId val="{00000003-7FB0-4FF2-9F2A-EA7F88787AA7}"/>
              </c:ext>
            </c:extLst>
          </c:dPt>
          <c:dPt>
            <c:idx val="2"/>
            <c:bubble3D val="0"/>
            <c:spPr>
              <a:noFill/>
              <a:ln w="9525">
                <a:solidFill>
                  <a:srgbClr val="0F4672"/>
                </a:solidFill>
              </a:ln>
              <a:effectLst/>
            </c:spPr>
            <c:extLst>
              <c:ext xmlns:c16="http://schemas.microsoft.com/office/drawing/2014/chart" uri="{C3380CC4-5D6E-409C-BE32-E72D297353CC}">
                <c16:uniqueId val="{00000005-7FB0-4FF2-9F2A-EA7F88787AA7}"/>
              </c:ext>
            </c:extLst>
          </c:dPt>
          <c:dPt>
            <c:idx val="3"/>
            <c:bubble3D val="0"/>
            <c:spPr>
              <a:noFill/>
              <a:ln w="9525">
                <a:solidFill>
                  <a:srgbClr val="0F4672"/>
                </a:solidFill>
              </a:ln>
              <a:effectLst/>
            </c:spPr>
            <c:extLst>
              <c:ext xmlns:c16="http://schemas.microsoft.com/office/drawing/2014/chart" uri="{C3380CC4-5D6E-409C-BE32-E72D297353CC}">
                <c16:uniqueId val="{00000007-7FB0-4FF2-9F2A-EA7F88787AA7}"/>
              </c:ext>
            </c:extLst>
          </c:dPt>
          <c:dPt>
            <c:idx val="4"/>
            <c:bubble3D val="0"/>
            <c:spPr>
              <a:noFill/>
              <a:ln w="9525">
                <a:solidFill>
                  <a:srgbClr val="0F4672"/>
                </a:solidFill>
              </a:ln>
              <a:effectLst/>
            </c:spPr>
            <c:extLst>
              <c:ext xmlns:c16="http://schemas.microsoft.com/office/drawing/2014/chart" uri="{C3380CC4-5D6E-409C-BE32-E72D297353CC}">
                <c16:uniqueId val="{00000009-7FB0-4FF2-9F2A-EA7F88787AA7}"/>
              </c:ext>
            </c:extLst>
          </c:dPt>
          <c:val>
            <c:numRef>
              <c:f>Processing!$R$2:$V$2</c:f>
              <c:numCache>
                <c:formatCode>General</c:formatCode>
                <c:ptCount val="5"/>
                <c:pt idx="0">
                  <c:v>10</c:v>
                </c:pt>
                <c:pt idx="1">
                  <c:v>10</c:v>
                </c:pt>
                <c:pt idx="2">
                  <c:v>10</c:v>
                </c:pt>
                <c:pt idx="3">
                  <c:v>10</c:v>
                </c:pt>
                <c:pt idx="4">
                  <c:v>10</c:v>
                </c:pt>
              </c:numCache>
            </c:numRef>
          </c:val>
          <c:extLst>
            <c:ext xmlns:c16="http://schemas.microsoft.com/office/drawing/2014/chart" uri="{C3380CC4-5D6E-409C-BE32-E72D297353CC}">
              <c16:uniqueId val="{0000000A-7FB0-4FF2-9F2A-EA7F88787AA7}"/>
            </c:ext>
          </c:extLst>
        </c:ser>
        <c:ser>
          <c:idx val="1"/>
          <c:order val="1"/>
          <c:spPr>
            <a:noFill/>
            <a:ln w="9525">
              <a:solidFill>
                <a:srgbClr val="0F4672"/>
              </a:solidFill>
            </a:ln>
          </c:spPr>
          <c:dPt>
            <c:idx val="0"/>
            <c:bubble3D val="0"/>
            <c:spPr>
              <a:noFill/>
              <a:ln w="9525">
                <a:solidFill>
                  <a:srgbClr val="0F4672"/>
                </a:solidFill>
              </a:ln>
              <a:effectLst/>
            </c:spPr>
            <c:extLst>
              <c:ext xmlns:c16="http://schemas.microsoft.com/office/drawing/2014/chart" uri="{C3380CC4-5D6E-409C-BE32-E72D297353CC}">
                <c16:uniqueId val="{0000000C-7FB0-4FF2-9F2A-EA7F88787AA7}"/>
              </c:ext>
            </c:extLst>
          </c:dPt>
          <c:dPt>
            <c:idx val="1"/>
            <c:bubble3D val="0"/>
            <c:spPr>
              <a:noFill/>
              <a:ln w="9525">
                <a:solidFill>
                  <a:srgbClr val="0F4672"/>
                </a:solidFill>
              </a:ln>
              <a:effectLst/>
            </c:spPr>
            <c:extLst>
              <c:ext xmlns:c16="http://schemas.microsoft.com/office/drawing/2014/chart" uri="{C3380CC4-5D6E-409C-BE32-E72D297353CC}">
                <c16:uniqueId val="{0000000E-7FB0-4FF2-9F2A-EA7F88787AA7}"/>
              </c:ext>
            </c:extLst>
          </c:dPt>
          <c:dPt>
            <c:idx val="2"/>
            <c:bubble3D val="0"/>
            <c:spPr>
              <a:noFill/>
              <a:ln w="9525">
                <a:solidFill>
                  <a:srgbClr val="0F4672"/>
                </a:solidFill>
              </a:ln>
              <a:effectLst/>
            </c:spPr>
            <c:extLst>
              <c:ext xmlns:c16="http://schemas.microsoft.com/office/drawing/2014/chart" uri="{C3380CC4-5D6E-409C-BE32-E72D297353CC}">
                <c16:uniqueId val="{00000010-7FB0-4FF2-9F2A-EA7F88787AA7}"/>
              </c:ext>
            </c:extLst>
          </c:dPt>
          <c:dPt>
            <c:idx val="3"/>
            <c:bubble3D val="0"/>
            <c:spPr>
              <a:noFill/>
              <a:ln w="9525">
                <a:solidFill>
                  <a:srgbClr val="0F4672"/>
                </a:solidFill>
              </a:ln>
              <a:effectLst/>
            </c:spPr>
            <c:extLst>
              <c:ext xmlns:c16="http://schemas.microsoft.com/office/drawing/2014/chart" uri="{C3380CC4-5D6E-409C-BE32-E72D297353CC}">
                <c16:uniqueId val="{00000012-7FB0-4FF2-9F2A-EA7F88787AA7}"/>
              </c:ext>
            </c:extLst>
          </c:dPt>
          <c:dPt>
            <c:idx val="4"/>
            <c:bubble3D val="0"/>
            <c:spPr>
              <a:noFill/>
              <a:ln w="9525">
                <a:solidFill>
                  <a:srgbClr val="0F4672"/>
                </a:solidFill>
              </a:ln>
              <a:effectLst/>
            </c:spPr>
            <c:extLst>
              <c:ext xmlns:c16="http://schemas.microsoft.com/office/drawing/2014/chart" uri="{C3380CC4-5D6E-409C-BE32-E72D297353CC}">
                <c16:uniqueId val="{00000014-7FB0-4FF2-9F2A-EA7F88787AA7}"/>
              </c:ext>
            </c:extLst>
          </c:dPt>
          <c:val>
            <c:numRef>
              <c:f>Processing!$R$3:$V$3</c:f>
              <c:numCache>
                <c:formatCode>General</c:formatCode>
                <c:ptCount val="5"/>
                <c:pt idx="0">
                  <c:v>10</c:v>
                </c:pt>
                <c:pt idx="1">
                  <c:v>10</c:v>
                </c:pt>
                <c:pt idx="2">
                  <c:v>10</c:v>
                </c:pt>
                <c:pt idx="3">
                  <c:v>10</c:v>
                </c:pt>
                <c:pt idx="4">
                  <c:v>10</c:v>
                </c:pt>
              </c:numCache>
            </c:numRef>
          </c:val>
          <c:extLst>
            <c:ext xmlns:c16="http://schemas.microsoft.com/office/drawing/2014/chart" uri="{C3380CC4-5D6E-409C-BE32-E72D297353CC}">
              <c16:uniqueId val="{00000015-7FB0-4FF2-9F2A-EA7F88787AA7}"/>
            </c:ext>
          </c:extLst>
        </c:ser>
        <c:ser>
          <c:idx val="2"/>
          <c:order val="2"/>
          <c:spPr>
            <a:noFill/>
            <a:ln w="9525">
              <a:solidFill>
                <a:srgbClr val="0F4672"/>
              </a:solidFill>
            </a:ln>
          </c:spPr>
          <c:dPt>
            <c:idx val="0"/>
            <c:bubble3D val="0"/>
            <c:spPr>
              <a:noFill/>
              <a:ln w="9525">
                <a:solidFill>
                  <a:srgbClr val="0F4672"/>
                </a:solidFill>
              </a:ln>
              <a:effectLst/>
            </c:spPr>
            <c:extLst>
              <c:ext xmlns:c16="http://schemas.microsoft.com/office/drawing/2014/chart" uri="{C3380CC4-5D6E-409C-BE32-E72D297353CC}">
                <c16:uniqueId val="{00000017-7FB0-4FF2-9F2A-EA7F88787AA7}"/>
              </c:ext>
            </c:extLst>
          </c:dPt>
          <c:dPt>
            <c:idx val="1"/>
            <c:bubble3D val="0"/>
            <c:spPr>
              <a:noFill/>
              <a:ln w="9525">
                <a:solidFill>
                  <a:srgbClr val="0F4672"/>
                </a:solidFill>
              </a:ln>
              <a:effectLst/>
            </c:spPr>
            <c:extLst>
              <c:ext xmlns:c16="http://schemas.microsoft.com/office/drawing/2014/chart" uri="{C3380CC4-5D6E-409C-BE32-E72D297353CC}">
                <c16:uniqueId val="{00000019-7FB0-4FF2-9F2A-EA7F88787AA7}"/>
              </c:ext>
            </c:extLst>
          </c:dPt>
          <c:dPt>
            <c:idx val="2"/>
            <c:bubble3D val="0"/>
            <c:spPr>
              <a:noFill/>
              <a:ln w="9525">
                <a:solidFill>
                  <a:srgbClr val="0F4672"/>
                </a:solidFill>
              </a:ln>
              <a:effectLst/>
            </c:spPr>
            <c:extLst>
              <c:ext xmlns:c16="http://schemas.microsoft.com/office/drawing/2014/chart" uri="{C3380CC4-5D6E-409C-BE32-E72D297353CC}">
                <c16:uniqueId val="{0000001B-7FB0-4FF2-9F2A-EA7F88787AA7}"/>
              </c:ext>
            </c:extLst>
          </c:dPt>
          <c:dPt>
            <c:idx val="3"/>
            <c:bubble3D val="0"/>
            <c:spPr>
              <a:noFill/>
              <a:ln w="9525">
                <a:solidFill>
                  <a:srgbClr val="0F4672"/>
                </a:solidFill>
              </a:ln>
              <a:effectLst/>
            </c:spPr>
            <c:extLst>
              <c:ext xmlns:c16="http://schemas.microsoft.com/office/drawing/2014/chart" uri="{C3380CC4-5D6E-409C-BE32-E72D297353CC}">
                <c16:uniqueId val="{0000001D-7FB0-4FF2-9F2A-EA7F88787AA7}"/>
              </c:ext>
            </c:extLst>
          </c:dPt>
          <c:dPt>
            <c:idx val="4"/>
            <c:bubble3D val="0"/>
            <c:spPr>
              <a:noFill/>
              <a:ln w="9525">
                <a:solidFill>
                  <a:srgbClr val="0F4672"/>
                </a:solidFill>
              </a:ln>
              <a:effectLst/>
            </c:spPr>
            <c:extLst>
              <c:ext xmlns:c16="http://schemas.microsoft.com/office/drawing/2014/chart" uri="{C3380CC4-5D6E-409C-BE32-E72D297353CC}">
                <c16:uniqueId val="{0000001F-7FB0-4FF2-9F2A-EA7F88787AA7}"/>
              </c:ext>
            </c:extLst>
          </c:dPt>
          <c:val>
            <c:numRef>
              <c:f>Processing!$R$4:$V$4</c:f>
              <c:numCache>
                <c:formatCode>General</c:formatCode>
                <c:ptCount val="5"/>
                <c:pt idx="0">
                  <c:v>10</c:v>
                </c:pt>
                <c:pt idx="1">
                  <c:v>10</c:v>
                </c:pt>
                <c:pt idx="2">
                  <c:v>10</c:v>
                </c:pt>
                <c:pt idx="3">
                  <c:v>10</c:v>
                </c:pt>
                <c:pt idx="4">
                  <c:v>10</c:v>
                </c:pt>
              </c:numCache>
            </c:numRef>
          </c:val>
          <c:extLst>
            <c:ext xmlns:c16="http://schemas.microsoft.com/office/drawing/2014/chart" uri="{C3380CC4-5D6E-409C-BE32-E72D297353CC}">
              <c16:uniqueId val="{00000020-7FB0-4FF2-9F2A-EA7F88787AA7}"/>
            </c:ext>
          </c:extLst>
        </c:ser>
        <c:ser>
          <c:idx val="3"/>
          <c:order val="3"/>
          <c:spPr>
            <a:noFill/>
            <a:ln w="9525">
              <a:gradFill flip="none" rotWithShape="1">
                <a:gsLst>
                  <a:gs pos="54000">
                    <a:srgbClr val="0F4672"/>
                  </a:gs>
                  <a:gs pos="100000">
                    <a:schemeClr val="accent1">
                      <a:lumMod val="30000"/>
                      <a:lumOff val="70000"/>
                    </a:schemeClr>
                  </a:gs>
                </a:gsLst>
                <a:path path="circle">
                  <a:fillToRect l="50000" t="50000" r="50000" b="50000"/>
                </a:path>
                <a:tileRect/>
              </a:gradFill>
            </a:ln>
          </c:spPr>
          <c:dPt>
            <c:idx val="0"/>
            <c:bubble3D val="0"/>
            <c:spPr>
              <a:noFill/>
              <a:ln w="9525">
                <a:gradFill flip="none" rotWithShape="1">
                  <a:gsLst>
                    <a:gs pos="54000">
                      <a:srgbClr val="0F4672"/>
                    </a:gs>
                    <a:gs pos="100000">
                      <a:schemeClr val="accent1">
                        <a:lumMod val="30000"/>
                        <a:lumOff val="70000"/>
                      </a:schemeClr>
                    </a:gs>
                  </a:gsLst>
                  <a:path path="circle">
                    <a:fillToRect l="50000" t="50000" r="50000" b="50000"/>
                  </a:path>
                  <a:tileRect/>
                </a:gradFill>
              </a:ln>
              <a:effectLst/>
            </c:spPr>
            <c:extLst>
              <c:ext xmlns:c16="http://schemas.microsoft.com/office/drawing/2014/chart" uri="{C3380CC4-5D6E-409C-BE32-E72D297353CC}">
                <c16:uniqueId val="{00000022-7FB0-4FF2-9F2A-EA7F88787AA7}"/>
              </c:ext>
            </c:extLst>
          </c:dPt>
          <c:dPt>
            <c:idx val="1"/>
            <c:bubble3D val="0"/>
            <c:spPr>
              <a:noFill/>
              <a:ln w="9525">
                <a:gradFill flip="none" rotWithShape="1">
                  <a:gsLst>
                    <a:gs pos="54000">
                      <a:srgbClr val="0F4672"/>
                    </a:gs>
                    <a:gs pos="100000">
                      <a:schemeClr val="accent1">
                        <a:lumMod val="30000"/>
                        <a:lumOff val="70000"/>
                      </a:schemeClr>
                    </a:gs>
                  </a:gsLst>
                  <a:path path="circle">
                    <a:fillToRect l="50000" t="50000" r="50000" b="50000"/>
                  </a:path>
                  <a:tileRect/>
                </a:gradFill>
              </a:ln>
              <a:effectLst/>
            </c:spPr>
            <c:extLst>
              <c:ext xmlns:c16="http://schemas.microsoft.com/office/drawing/2014/chart" uri="{C3380CC4-5D6E-409C-BE32-E72D297353CC}">
                <c16:uniqueId val="{00000024-7FB0-4FF2-9F2A-EA7F88787AA7}"/>
              </c:ext>
            </c:extLst>
          </c:dPt>
          <c:dPt>
            <c:idx val="2"/>
            <c:bubble3D val="0"/>
            <c:spPr>
              <a:noFill/>
              <a:ln w="9525">
                <a:gradFill flip="none" rotWithShape="1">
                  <a:gsLst>
                    <a:gs pos="54000">
                      <a:srgbClr val="0F4672"/>
                    </a:gs>
                    <a:gs pos="100000">
                      <a:schemeClr val="accent1">
                        <a:lumMod val="30000"/>
                        <a:lumOff val="70000"/>
                      </a:schemeClr>
                    </a:gs>
                  </a:gsLst>
                  <a:path path="circle">
                    <a:fillToRect l="50000" t="50000" r="50000" b="50000"/>
                  </a:path>
                  <a:tileRect/>
                </a:gradFill>
              </a:ln>
              <a:effectLst/>
            </c:spPr>
            <c:extLst>
              <c:ext xmlns:c16="http://schemas.microsoft.com/office/drawing/2014/chart" uri="{C3380CC4-5D6E-409C-BE32-E72D297353CC}">
                <c16:uniqueId val="{00000026-7FB0-4FF2-9F2A-EA7F88787AA7}"/>
              </c:ext>
            </c:extLst>
          </c:dPt>
          <c:dPt>
            <c:idx val="3"/>
            <c:bubble3D val="0"/>
            <c:spPr>
              <a:noFill/>
              <a:ln w="9525">
                <a:gradFill flip="none" rotWithShape="1">
                  <a:gsLst>
                    <a:gs pos="54000">
                      <a:srgbClr val="0F4672"/>
                    </a:gs>
                    <a:gs pos="100000">
                      <a:schemeClr val="accent1">
                        <a:lumMod val="30000"/>
                        <a:lumOff val="70000"/>
                      </a:schemeClr>
                    </a:gs>
                  </a:gsLst>
                  <a:path path="circle">
                    <a:fillToRect l="50000" t="50000" r="50000" b="50000"/>
                  </a:path>
                  <a:tileRect/>
                </a:gradFill>
              </a:ln>
              <a:effectLst/>
            </c:spPr>
            <c:extLst>
              <c:ext xmlns:c16="http://schemas.microsoft.com/office/drawing/2014/chart" uri="{C3380CC4-5D6E-409C-BE32-E72D297353CC}">
                <c16:uniqueId val="{00000028-7FB0-4FF2-9F2A-EA7F88787AA7}"/>
              </c:ext>
            </c:extLst>
          </c:dPt>
          <c:dPt>
            <c:idx val="4"/>
            <c:bubble3D val="0"/>
            <c:spPr>
              <a:noFill/>
              <a:ln w="9525">
                <a:gradFill flip="none" rotWithShape="1">
                  <a:gsLst>
                    <a:gs pos="54000">
                      <a:srgbClr val="0F4672"/>
                    </a:gs>
                    <a:gs pos="100000">
                      <a:schemeClr val="accent1">
                        <a:lumMod val="30000"/>
                        <a:lumOff val="70000"/>
                      </a:schemeClr>
                    </a:gs>
                  </a:gsLst>
                  <a:path path="circle">
                    <a:fillToRect l="50000" t="50000" r="50000" b="50000"/>
                  </a:path>
                  <a:tileRect/>
                </a:gradFill>
              </a:ln>
              <a:effectLst/>
            </c:spPr>
            <c:extLst>
              <c:ext xmlns:c16="http://schemas.microsoft.com/office/drawing/2014/chart" uri="{C3380CC4-5D6E-409C-BE32-E72D297353CC}">
                <c16:uniqueId val="{0000002A-7FB0-4FF2-9F2A-EA7F88787AA7}"/>
              </c:ext>
            </c:extLst>
          </c:dPt>
          <c:val>
            <c:numRef>
              <c:f>Processing!$R$5:$V$5</c:f>
              <c:numCache>
                <c:formatCode>General</c:formatCode>
                <c:ptCount val="5"/>
                <c:pt idx="0">
                  <c:v>10</c:v>
                </c:pt>
                <c:pt idx="1">
                  <c:v>10</c:v>
                </c:pt>
                <c:pt idx="2">
                  <c:v>10</c:v>
                </c:pt>
                <c:pt idx="3">
                  <c:v>10</c:v>
                </c:pt>
                <c:pt idx="4">
                  <c:v>10</c:v>
                </c:pt>
              </c:numCache>
            </c:numRef>
          </c:val>
          <c:extLst>
            <c:ext xmlns:c16="http://schemas.microsoft.com/office/drawing/2014/chart" uri="{C3380CC4-5D6E-409C-BE32-E72D297353CC}">
              <c16:uniqueId val="{0000002B-7FB0-4FF2-9F2A-EA7F88787AA7}"/>
            </c:ext>
          </c:extLst>
        </c:ser>
        <c:dLbls>
          <c:showLegendKey val="0"/>
          <c:showVal val="0"/>
          <c:showCatName val="0"/>
          <c:showSerName val="0"/>
          <c:showPercent val="0"/>
          <c:showBubbleSize val="0"/>
          <c:showLeaderLines val="1"/>
        </c:dLbls>
        <c:firstSliceAng val="0"/>
        <c:holeSize val="2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2"/>
          <c:order val="2"/>
          <c:spPr>
            <a:solidFill>
              <a:srgbClr val="4AA5FF">
                <a:alpha val="15000"/>
              </a:srgbClr>
            </a:solidFill>
            <a:ln>
              <a:noFill/>
            </a:ln>
            <a:effectLst/>
          </c:spPr>
          <c:val>
            <c:numRef>
              <c:f>Processing!$N$3:$N$7</c:f>
              <c:numCache>
                <c:formatCode>0%</c:formatCode>
                <c:ptCount val="5"/>
                <c:pt idx="0">
                  <c:v>0.62</c:v>
                </c:pt>
                <c:pt idx="1">
                  <c:v>0.87</c:v>
                </c:pt>
                <c:pt idx="2">
                  <c:v>1.18</c:v>
                </c:pt>
                <c:pt idx="3">
                  <c:v>0.38</c:v>
                </c:pt>
                <c:pt idx="4">
                  <c:v>0.36</c:v>
                </c:pt>
              </c:numCache>
            </c:numRef>
          </c:val>
          <c:extLst>
            <c:ext xmlns:c16="http://schemas.microsoft.com/office/drawing/2014/chart" uri="{C3380CC4-5D6E-409C-BE32-E72D297353CC}">
              <c16:uniqueId val="{00000000-0002-47DA-B6AD-5F4BBAC8AD15}"/>
            </c:ext>
          </c:extLst>
        </c:ser>
        <c:ser>
          <c:idx val="3"/>
          <c:order val="3"/>
          <c:spPr>
            <a:solidFill>
              <a:srgbClr val="52E1F1">
                <a:alpha val="30000"/>
              </a:srgbClr>
            </a:solidFill>
            <a:ln>
              <a:noFill/>
            </a:ln>
            <a:effectLst/>
          </c:spPr>
          <c:val>
            <c:numRef>
              <c:f>Processing!$O$3:$O$7</c:f>
              <c:numCache>
                <c:formatCode>0%</c:formatCode>
                <c:ptCount val="5"/>
                <c:pt idx="0">
                  <c:v>0.35</c:v>
                </c:pt>
                <c:pt idx="1">
                  <c:v>0.45</c:v>
                </c:pt>
                <c:pt idx="2">
                  <c:v>0.63</c:v>
                </c:pt>
                <c:pt idx="3">
                  <c:v>0.61</c:v>
                </c:pt>
                <c:pt idx="4">
                  <c:v>0.53</c:v>
                </c:pt>
              </c:numCache>
            </c:numRef>
          </c:val>
          <c:extLst>
            <c:ext xmlns:c16="http://schemas.microsoft.com/office/drawing/2014/chart" uri="{C3380CC4-5D6E-409C-BE32-E72D297353CC}">
              <c16:uniqueId val="{00000001-0002-47DA-B6AD-5F4BBAC8AD15}"/>
            </c:ext>
          </c:extLst>
        </c:ser>
        <c:dLbls>
          <c:showLegendKey val="0"/>
          <c:showVal val="0"/>
          <c:showCatName val="0"/>
          <c:showSerName val="0"/>
          <c:showPercent val="0"/>
          <c:showBubbleSize val="0"/>
        </c:dLbls>
        <c:axId val="1487887568"/>
        <c:axId val="1487883728"/>
      </c:radarChart>
      <c:radarChart>
        <c:radarStyle val="marker"/>
        <c:varyColors val="0"/>
        <c:ser>
          <c:idx val="0"/>
          <c:order val="0"/>
          <c:tx>
            <c:strRef>
              <c:f>Processing!$N$2</c:f>
              <c:strCache>
                <c:ptCount val="1"/>
                <c:pt idx="0">
                  <c:v>KPI</c:v>
                </c:pt>
              </c:strCache>
            </c:strRef>
          </c:tx>
          <c:spPr>
            <a:ln w="12700" cap="rnd">
              <a:solidFill>
                <a:srgbClr val="008AF2"/>
              </a:solidFill>
              <a:round/>
            </a:ln>
            <a:effectLst/>
          </c:spPr>
          <c:marker>
            <c:symbol val="circle"/>
            <c:size val="3"/>
            <c:spPr>
              <a:solidFill>
                <a:schemeClr val="bg1"/>
              </a:solidFill>
              <a:ln w="9525">
                <a:noFill/>
              </a:ln>
              <a:effectLst/>
            </c:spPr>
          </c:marker>
          <c:cat>
            <c:strRef>
              <c:f>Processing!$M$3:$M$7</c:f>
              <c:strCache>
                <c:ptCount val="5"/>
                <c:pt idx="0">
                  <c:v>A</c:v>
                </c:pt>
                <c:pt idx="1">
                  <c:v>B</c:v>
                </c:pt>
                <c:pt idx="2">
                  <c:v>C</c:v>
                </c:pt>
                <c:pt idx="3">
                  <c:v>D</c:v>
                </c:pt>
                <c:pt idx="4">
                  <c:v>E</c:v>
                </c:pt>
              </c:strCache>
            </c:strRef>
          </c:cat>
          <c:val>
            <c:numRef>
              <c:f>Processing!$N$3:$N$7</c:f>
              <c:numCache>
                <c:formatCode>0%</c:formatCode>
                <c:ptCount val="5"/>
                <c:pt idx="0">
                  <c:v>0.62</c:v>
                </c:pt>
                <c:pt idx="1">
                  <c:v>0.87</c:v>
                </c:pt>
                <c:pt idx="2">
                  <c:v>1.18</c:v>
                </c:pt>
                <c:pt idx="3">
                  <c:v>0.38</c:v>
                </c:pt>
                <c:pt idx="4">
                  <c:v>0.36</c:v>
                </c:pt>
              </c:numCache>
            </c:numRef>
          </c:val>
          <c:extLst>
            <c:ext xmlns:c16="http://schemas.microsoft.com/office/drawing/2014/chart" uri="{C3380CC4-5D6E-409C-BE32-E72D297353CC}">
              <c16:uniqueId val="{00000002-0002-47DA-B6AD-5F4BBAC8AD15}"/>
            </c:ext>
          </c:extLst>
        </c:ser>
        <c:ser>
          <c:idx val="1"/>
          <c:order val="1"/>
          <c:tx>
            <c:strRef>
              <c:f>Processing!$O$2</c:f>
              <c:strCache>
                <c:ptCount val="1"/>
                <c:pt idx="0">
                  <c:v>MoM</c:v>
                </c:pt>
              </c:strCache>
            </c:strRef>
          </c:tx>
          <c:spPr>
            <a:ln w="12700" cap="rnd">
              <a:solidFill>
                <a:srgbClr val="6FD8F1"/>
              </a:solidFill>
              <a:round/>
            </a:ln>
            <a:effectLst/>
          </c:spPr>
          <c:marker>
            <c:symbol val="circle"/>
            <c:size val="3"/>
            <c:spPr>
              <a:solidFill>
                <a:srgbClr val="AAE8F7"/>
              </a:solidFill>
              <a:ln w="9525">
                <a:noFill/>
              </a:ln>
              <a:effectLst/>
            </c:spPr>
          </c:marker>
          <c:cat>
            <c:strRef>
              <c:f>Processing!$M$3:$M$7</c:f>
              <c:strCache>
                <c:ptCount val="5"/>
                <c:pt idx="0">
                  <c:v>A</c:v>
                </c:pt>
                <c:pt idx="1">
                  <c:v>B</c:v>
                </c:pt>
                <c:pt idx="2">
                  <c:v>C</c:v>
                </c:pt>
                <c:pt idx="3">
                  <c:v>D</c:v>
                </c:pt>
                <c:pt idx="4">
                  <c:v>E</c:v>
                </c:pt>
              </c:strCache>
            </c:strRef>
          </c:cat>
          <c:val>
            <c:numRef>
              <c:f>Processing!$O$3:$O$7</c:f>
              <c:numCache>
                <c:formatCode>0%</c:formatCode>
                <c:ptCount val="5"/>
                <c:pt idx="0">
                  <c:v>0.35</c:v>
                </c:pt>
                <c:pt idx="1">
                  <c:v>0.45</c:v>
                </c:pt>
                <c:pt idx="2">
                  <c:v>0.63</c:v>
                </c:pt>
                <c:pt idx="3">
                  <c:v>0.61</c:v>
                </c:pt>
                <c:pt idx="4">
                  <c:v>0.53</c:v>
                </c:pt>
              </c:numCache>
            </c:numRef>
          </c:val>
          <c:extLst>
            <c:ext xmlns:c16="http://schemas.microsoft.com/office/drawing/2014/chart" uri="{C3380CC4-5D6E-409C-BE32-E72D297353CC}">
              <c16:uniqueId val="{00000003-0002-47DA-B6AD-5F4BBAC8AD15}"/>
            </c:ext>
          </c:extLst>
        </c:ser>
        <c:dLbls>
          <c:showLegendKey val="0"/>
          <c:showVal val="0"/>
          <c:showCatName val="0"/>
          <c:showSerName val="0"/>
          <c:showPercent val="0"/>
          <c:showBubbleSize val="0"/>
        </c:dLbls>
        <c:axId val="1487887568"/>
        <c:axId val="1487883728"/>
      </c:radarChart>
      <c:catAx>
        <c:axId val="148788756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87883728"/>
        <c:crosses val="autoZero"/>
        <c:auto val="1"/>
        <c:lblAlgn val="ctr"/>
        <c:lblOffset val="100"/>
        <c:noMultiLvlLbl val="0"/>
      </c:catAx>
      <c:valAx>
        <c:axId val="1487883728"/>
        <c:scaling>
          <c:orientation val="minMax"/>
        </c:scaling>
        <c:delete val="1"/>
        <c:axPos val="l"/>
        <c:numFmt formatCode="0%" sourceLinked="1"/>
        <c:majorTickMark val="none"/>
        <c:minorTickMark val="none"/>
        <c:tickLblPos val="nextTo"/>
        <c:crossAx val="1487887568"/>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1"/>
          <c:tx>
            <c:strRef>
              <c:f>Processing!$H$12</c:f>
              <c:strCache>
                <c:ptCount val="1"/>
                <c:pt idx="0">
                  <c:v>Annual Payroll Plan</c:v>
                </c:pt>
              </c:strCache>
            </c:strRef>
          </c:tx>
          <c:spPr>
            <a:gradFill>
              <a:gsLst>
                <a:gs pos="0">
                  <a:srgbClr val="178BFF"/>
                </a:gs>
                <a:gs pos="92000">
                  <a:srgbClr val="178BFF">
                    <a:alpha val="6000"/>
                  </a:srgbClr>
                </a:gs>
              </a:gsLst>
              <a:lin ang="5400000" scaled="1"/>
            </a:gradFill>
            <a:ln>
              <a:noFill/>
            </a:ln>
            <a:effectLst/>
          </c:spPr>
          <c:cat>
            <c:strRef>
              <c:f>Processing!$F$13:$F$26</c:f>
              <c:strCache>
                <c:ptCount val="13"/>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Processing!$H$13:$H$26</c:f>
              <c:numCache>
                <c:formatCode>General</c:formatCode>
                <c:ptCount val="14"/>
                <c:pt idx="0">
                  <c:v>60000</c:v>
                </c:pt>
                <c:pt idx="1">
                  <c:v>60000</c:v>
                </c:pt>
                <c:pt idx="2">
                  <c:v>60000</c:v>
                </c:pt>
                <c:pt idx="3">
                  <c:v>60000</c:v>
                </c:pt>
                <c:pt idx="4">
                  <c:v>60000</c:v>
                </c:pt>
                <c:pt idx="5">
                  <c:v>60000</c:v>
                </c:pt>
                <c:pt idx="6">
                  <c:v>60000</c:v>
                </c:pt>
                <c:pt idx="7">
                  <c:v>60000</c:v>
                </c:pt>
                <c:pt idx="8">
                  <c:v>60000</c:v>
                </c:pt>
                <c:pt idx="9">
                  <c:v>60000</c:v>
                </c:pt>
                <c:pt idx="10">
                  <c:v>60000</c:v>
                </c:pt>
                <c:pt idx="11">
                  <c:v>60000</c:v>
                </c:pt>
                <c:pt idx="12">
                  <c:v>60000</c:v>
                </c:pt>
                <c:pt idx="13">
                  <c:v>60000</c:v>
                </c:pt>
              </c:numCache>
            </c:numRef>
          </c:val>
          <c:extLst>
            <c:ext xmlns:c16="http://schemas.microsoft.com/office/drawing/2014/chart" uri="{C3380CC4-5D6E-409C-BE32-E72D297353CC}">
              <c16:uniqueId val="{00000000-9D40-4D17-9D15-C82F473EB5E0}"/>
            </c:ext>
          </c:extLst>
        </c:ser>
        <c:dLbls>
          <c:showLegendKey val="0"/>
          <c:showVal val="0"/>
          <c:showCatName val="0"/>
          <c:showSerName val="0"/>
          <c:showPercent val="0"/>
          <c:showBubbleSize val="0"/>
        </c:dLbls>
        <c:axId val="129444495"/>
        <c:axId val="129453615"/>
      </c:areaChart>
      <c:barChart>
        <c:barDir val="col"/>
        <c:grouping val="clustered"/>
        <c:varyColors val="0"/>
        <c:ser>
          <c:idx val="0"/>
          <c:order val="0"/>
          <c:tx>
            <c:strRef>
              <c:f>Processing!$G$12</c:f>
              <c:strCache>
                <c:ptCount val="1"/>
                <c:pt idx="0">
                  <c:v>Payroll</c:v>
                </c:pt>
              </c:strCache>
            </c:strRef>
          </c:tx>
          <c:spPr>
            <a:gradFill flip="none" rotWithShape="1">
              <a:gsLst>
                <a:gs pos="0">
                  <a:srgbClr val="297BA9"/>
                </a:gs>
                <a:gs pos="100000">
                  <a:srgbClr val="2A82B3"/>
                </a:gs>
              </a:gsLst>
              <a:lin ang="5400000" scaled="0"/>
              <a:tileRect/>
            </a:gradFill>
            <a:ln w="114300">
              <a:gradFill>
                <a:gsLst>
                  <a:gs pos="0">
                    <a:srgbClr val="14557A"/>
                  </a:gs>
                  <a:gs pos="100000">
                    <a:srgbClr val="0F4672"/>
                  </a:gs>
                </a:gsLst>
                <a:lin ang="5400000" scaled="1"/>
              </a:gradFill>
            </a:ln>
            <a:effectLst/>
          </c:spPr>
          <c:invertIfNegative val="0"/>
          <c:cat>
            <c:strRef>
              <c:f>Processing!$F$13:$F$26</c:f>
              <c:strCache>
                <c:ptCount val="13"/>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Processing!$G$13:$G$26</c:f>
              <c:numCache>
                <c:formatCode>General</c:formatCode>
                <c:ptCount val="14"/>
                <c:pt idx="1">
                  <c:v>53818</c:v>
                </c:pt>
                <c:pt idx="2">
                  <c:v>76798</c:v>
                </c:pt>
                <c:pt idx="3">
                  <c:v>78380</c:v>
                </c:pt>
                <c:pt idx="4">
                  <c:v>80403</c:v>
                </c:pt>
                <c:pt idx="5">
                  <c:v>110090</c:v>
                </c:pt>
                <c:pt idx="6">
                  <c:v>127270</c:v>
                </c:pt>
                <c:pt idx="7">
                  <c:v>127090</c:v>
                </c:pt>
                <c:pt idx="8">
                  <c:v>126645</c:v>
                </c:pt>
                <c:pt idx="9">
                  <c:v>121425</c:v>
                </c:pt>
                <c:pt idx="10">
                  <c:v>118840</c:v>
                </c:pt>
                <c:pt idx="11">
                  <c:v>98685</c:v>
                </c:pt>
                <c:pt idx="12">
                  <c:v>98395</c:v>
                </c:pt>
              </c:numCache>
            </c:numRef>
          </c:val>
          <c:extLst>
            <c:ext xmlns:c16="http://schemas.microsoft.com/office/drawing/2014/chart" uri="{C3380CC4-5D6E-409C-BE32-E72D297353CC}">
              <c16:uniqueId val="{00000001-9D40-4D17-9D15-C82F473EB5E0}"/>
            </c:ext>
          </c:extLst>
        </c:ser>
        <c:ser>
          <c:idx val="3"/>
          <c:order val="3"/>
          <c:tx>
            <c:strRef>
              <c:f>Processing!$I$12</c:f>
              <c:strCache>
                <c:ptCount val="1"/>
                <c:pt idx="0">
                  <c:v>Cursor</c:v>
                </c:pt>
              </c:strCache>
            </c:strRef>
          </c:tx>
          <c:spPr>
            <a:gradFill>
              <a:gsLst>
                <a:gs pos="0">
                  <a:srgbClr val="AAE8F7"/>
                </a:gs>
                <a:gs pos="45000">
                  <a:srgbClr val="52E1F1"/>
                </a:gs>
              </a:gsLst>
              <a:lin ang="5400000" scaled="0"/>
            </a:gradFill>
            <a:ln w="114300">
              <a:gradFill>
                <a:gsLst>
                  <a:gs pos="0">
                    <a:srgbClr val="AAE8F7"/>
                  </a:gs>
                  <a:gs pos="45000">
                    <a:srgbClr val="52E1F1"/>
                  </a:gs>
                </a:gsLst>
                <a:lin ang="5400000" scaled="1"/>
              </a:gradFill>
            </a:ln>
            <a:effectLst/>
          </c:spPr>
          <c:invertIfNegative val="0"/>
          <c:dLbls>
            <c:numFmt formatCode="[&gt;=1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Processing!$F$13:$F$26</c:f>
              <c:strCache>
                <c:ptCount val="13"/>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Processing!$I$13:$I$26</c:f>
              <c:numCache>
                <c:formatCode>General</c:formatCode>
                <c:ptCount val="14"/>
                <c:pt idx="1">
                  <c:v>#N/A</c:v>
                </c:pt>
                <c:pt idx="2">
                  <c:v>#N/A</c:v>
                </c:pt>
                <c:pt idx="3">
                  <c:v>#N/A</c:v>
                </c:pt>
                <c:pt idx="4">
                  <c:v>#N/A</c:v>
                </c:pt>
                <c:pt idx="5">
                  <c:v>#N/A</c:v>
                </c:pt>
                <c:pt idx="6">
                  <c:v>#N/A</c:v>
                </c:pt>
                <c:pt idx="7">
                  <c:v>#N/A</c:v>
                </c:pt>
                <c:pt idx="8">
                  <c:v>#N/A</c:v>
                </c:pt>
                <c:pt idx="9">
                  <c:v>#N/A</c:v>
                </c:pt>
                <c:pt idx="10">
                  <c:v>118840</c:v>
                </c:pt>
                <c:pt idx="11">
                  <c:v>#N/A</c:v>
                </c:pt>
                <c:pt idx="12">
                  <c:v>#N/A</c:v>
                </c:pt>
              </c:numCache>
            </c:numRef>
          </c:val>
          <c:extLst>
            <c:ext xmlns:c16="http://schemas.microsoft.com/office/drawing/2014/chart" uri="{C3380CC4-5D6E-409C-BE32-E72D297353CC}">
              <c16:uniqueId val="{00000002-9D40-4D17-9D15-C82F473EB5E0}"/>
            </c:ext>
          </c:extLst>
        </c:ser>
        <c:dLbls>
          <c:showLegendKey val="0"/>
          <c:showVal val="0"/>
          <c:showCatName val="0"/>
          <c:showSerName val="0"/>
          <c:showPercent val="0"/>
          <c:showBubbleSize val="0"/>
        </c:dLbls>
        <c:gapWidth val="200"/>
        <c:overlap val="100"/>
        <c:axId val="129444495"/>
        <c:axId val="129453615"/>
      </c:barChart>
      <c:lineChart>
        <c:grouping val="standard"/>
        <c:varyColors val="0"/>
        <c:ser>
          <c:idx val="1"/>
          <c:order val="2"/>
          <c:tx>
            <c:v>fill</c:v>
          </c:tx>
          <c:spPr>
            <a:ln w="9525" cap="rnd">
              <a:solidFill>
                <a:schemeClr val="bg1"/>
              </a:solidFill>
              <a:round/>
            </a:ln>
            <a:effectLst/>
          </c:spPr>
          <c:marker>
            <c:symbol val="none"/>
          </c:marker>
          <c:cat>
            <c:strRef>
              <c:f>Processing!$F$13:$F$26</c:f>
              <c:strCache>
                <c:ptCount val="13"/>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Processing!$H$13:$H$26</c:f>
              <c:numCache>
                <c:formatCode>General</c:formatCode>
                <c:ptCount val="14"/>
                <c:pt idx="0">
                  <c:v>60000</c:v>
                </c:pt>
                <c:pt idx="1">
                  <c:v>60000</c:v>
                </c:pt>
                <c:pt idx="2">
                  <c:v>60000</c:v>
                </c:pt>
                <c:pt idx="3">
                  <c:v>60000</c:v>
                </c:pt>
                <c:pt idx="4">
                  <c:v>60000</c:v>
                </c:pt>
                <c:pt idx="5">
                  <c:v>60000</c:v>
                </c:pt>
                <c:pt idx="6">
                  <c:v>60000</c:v>
                </c:pt>
                <c:pt idx="7">
                  <c:v>60000</c:v>
                </c:pt>
                <c:pt idx="8">
                  <c:v>60000</c:v>
                </c:pt>
                <c:pt idx="9">
                  <c:v>60000</c:v>
                </c:pt>
                <c:pt idx="10">
                  <c:v>60000</c:v>
                </c:pt>
                <c:pt idx="11">
                  <c:v>60000</c:v>
                </c:pt>
                <c:pt idx="12">
                  <c:v>60000</c:v>
                </c:pt>
                <c:pt idx="13">
                  <c:v>60000</c:v>
                </c:pt>
              </c:numCache>
            </c:numRef>
          </c:val>
          <c:smooth val="0"/>
          <c:extLst>
            <c:ext xmlns:c16="http://schemas.microsoft.com/office/drawing/2014/chart" uri="{C3380CC4-5D6E-409C-BE32-E72D297353CC}">
              <c16:uniqueId val="{00000003-9D40-4D17-9D15-C82F473EB5E0}"/>
            </c:ext>
          </c:extLst>
        </c:ser>
        <c:dLbls>
          <c:showLegendKey val="0"/>
          <c:showVal val="0"/>
          <c:showCatName val="0"/>
          <c:showSerName val="0"/>
          <c:showPercent val="0"/>
          <c:showBubbleSize val="0"/>
        </c:dLbls>
        <c:marker val="1"/>
        <c:smooth val="0"/>
        <c:axId val="129444495"/>
        <c:axId val="129453615"/>
      </c:lineChart>
      <c:catAx>
        <c:axId val="12944449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AAE8F7"/>
                </a:solidFill>
                <a:latin typeface="+mn-lt"/>
                <a:ea typeface="+mn-ea"/>
                <a:cs typeface="+mn-cs"/>
              </a:defRPr>
            </a:pPr>
            <a:endParaRPr lang="ru-RU"/>
          </a:p>
        </c:txPr>
        <c:crossAx val="129453615"/>
        <c:crosses val="autoZero"/>
        <c:auto val="1"/>
        <c:lblAlgn val="ctr"/>
        <c:lblOffset val="100"/>
        <c:noMultiLvlLbl val="0"/>
      </c:catAx>
      <c:valAx>
        <c:axId val="129453615"/>
        <c:scaling>
          <c:orientation val="minMax"/>
        </c:scaling>
        <c:delete val="1"/>
        <c:axPos val="l"/>
        <c:numFmt formatCode="General" sourceLinked="1"/>
        <c:majorTickMark val="none"/>
        <c:minorTickMark val="none"/>
        <c:tickLblPos val="nextTo"/>
        <c:crossAx val="129444495"/>
        <c:crosses val="autoZero"/>
        <c:crossBetween val="between"/>
      </c:valAx>
      <c:spPr>
        <a:no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Processing!$L$18</c:f>
              <c:strCache>
                <c:ptCount val="1"/>
                <c:pt idx="0">
                  <c:v>100%</c:v>
                </c:pt>
              </c:strCache>
            </c:strRef>
          </c:tx>
          <c:spPr>
            <a:solidFill>
              <a:srgbClr val="041726"/>
            </a:solidFill>
            <a:ln w="31750">
              <a:solidFill>
                <a:schemeClr val="tx1"/>
              </a:solidFill>
            </a:ln>
            <a:effectLst/>
          </c:spPr>
          <c:invertIfNegative val="0"/>
          <c:cat>
            <c:strRef>
              <c:f>Processing!$K$19:$K$23</c:f>
              <c:strCache>
                <c:ptCount val="5"/>
                <c:pt idx="0">
                  <c:v>Employee1</c:v>
                </c:pt>
                <c:pt idx="1">
                  <c:v>Employee5</c:v>
                </c:pt>
                <c:pt idx="2">
                  <c:v>Employee4</c:v>
                </c:pt>
                <c:pt idx="3">
                  <c:v>Employee3</c:v>
                </c:pt>
                <c:pt idx="4">
                  <c:v>Employee2</c:v>
                </c:pt>
              </c:strCache>
            </c:strRef>
          </c:cat>
          <c:val>
            <c:numRef>
              <c:f>Processing!$L$19:$L$23</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0-AA44-44C9-8BBC-ADC82F92CC43}"/>
            </c:ext>
          </c:extLst>
        </c:ser>
        <c:ser>
          <c:idx val="1"/>
          <c:order val="1"/>
          <c:tx>
            <c:strRef>
              <c:f>Processing!$M$18</c:f>
              <c:strCache>
                <c:ptCount val="1"/>
                <c:pt idx="0">
                  <c:v>Salary</c:v>
                </c:pt>
              </c:strCache>
            </c:strRef>
          </c:tx>
          <c:spPr>
            <a:gradFill>
              <a:gsLst>
                <a:gs pos="100000">
                  <a:srgbClr val="14557A"/>
                </a:gs>
                <a:gs pos="24000">
                  <a:srgbClr val="0F4672"/>
                </a:gs>
              </a:gsLst>
              <a:path path="circle">
                <a:fillToRect l="100000" t="100000"/>
              </a:path>
            </a:gradFill>
            <a:ln w="31750">
              <a:gradFill>
                <a:gsLst>
                  <a:gs pos="0">
                    <a:srgbClr val="0F4672"/>
                  </a:gs>
                  <a:gs pos="100000">
                    <a:srgbClr val="14557A"/>
                  </a:gs>
                </a:gsLst>
                <a:lin ang="0" scaled="0"/>
              </a:gradFill>
            </a:ln>
            <a:effectLst/>
          </c:spPr>
          <c:invertIfNegative val="0"/>
          <c:cat>
            <c:strRef>
              <c:f>Processing!$K$19:$K$23</c:f>
              <c:strCache>
                <c:ptCount val="5"/>
                <c:pt idx="0">
                  <c:v>Employee1</c:v>
                </c:pt>
                <c:pt idx="1">
                  <c:v>Employee5</c:v>
                </c:pt>
                <c:pt idx="2">
                  <c:v>Employee4</c:v>
                </c:pt>
                <c:pt idx="3">
                  <c:v>Employee3</c:v>
                </c:pt>
                <c:pt idx="4">
                  <c:v>Employee2</c:v>
                </c:pt>
              </c:strCache>
            </c:strRef>
          </c:cat>
          <c:val>
            <c:numRef>
              <c:f>Processing!$M$19:$M$23</c:f>
              <c:numCache>
                <c:formatCode>0%</c:formatCode>
                <c:ptCount val="5"/>
                <c:pt idx="0">
                  <c:v>0.77272727272727271</c:v>
                </c:pt>
                <c:pt idx="1">
                  <c:v>0.73484848484848486</c:v>
                </c:pt>
                <c:pt idx="2">
                  <c:v>0.95454545454545459</c:v>
                </c:pt>
                <c:pt idx="3">
                  <c:v>0.68939393939393945</c:v>
                </c:pt>
                <c:pt idx="4">
                  <c:v>1</c:v>
                </c:pt>
              </c:numCache>
            </c:numRef>
          </c:val>
          <c:extLst>
            <c:ext xmlns:c16="http://schemas.microsoft.com/office/drawing/2014/chart" uri="{C3380CC4-5D6E-409C-BE32-E72D297353CC}">
              <c16:uniqueId val="{00000001-AA44-44C9-8BBC-ADC82F92CC43}"/>
            </c:ext>
          </c:extLst>
        </c:ser>
        <c:ser>
          <c:idx val="2"/>
          <c:order val="2"/>
          <c:tx>
            <c:strRef>
              <c:f>Processing!$N$18</c:f>
              <c:strCache>
                <c:ptCount val="1"/>
                <c:pt idx="0">
                  <c:v>Bonus</c:v>
                </c:pt>
              </c:strCache>
            </c:strRef>
          </c:tx>
          <c:spPr>
            <a:gradFill>
              <a:gsLst>
                <a:gs pos="55000">
                  <a:srgbClr val="52E1F1"/>
                </a:gs>
                <a:gs pos="91000">
                  <a:srgbClr val="AAE8F7"/>
                </a:gs>
              </a:gsLst>
              <a:lin ang="0" scaled="0"/>
            </a:gradFill>
            <a:ln w="31750">
              <a:gradFill>
                <a:gsLst>
                  <a:gs pos="25000">
                    <a:srgbClr val="52E1F1"/>
                  </a:gs>
                  <a:gs pos="82000">
                    <a:srgbClr val="AAE8F7"/>
                  </a:gs>
                </a:gsLst>
                <a:lin ang="0" scaled="0"/>
              </a:gradFill>
            </a:ln>
            <a:effectLst/>
          </c:spPr>
          <c:invertIfNegative val="0"/>
          <c:cat>
            <c:strRef>
              <c:f>Processing!$K$19:$K$23</c:f>
              <c:strCache>
                <c:ptCount val="5"/>
                <c:pt idx="0">
                  <c:v>Employee1</c:v>
                </c:pt>
                <c:pt idx="1">
                  <c:v>Employee5</c:v>
                </c:pt>
                <c:pt idx="2">
                  <c:v>Employee4</c:v>
                </c:pt>
                <c:pt idx="3">
                  <c:v>Employee3</c:v>
                </c:pt>
                <c:pt idx="4">
                  <c:v>Employee2</c:v>
                </c:pt>
              </c:strCache>
            </c:strRef>
          </c:cat>
          <c:val>
            <c:numRef>
              <c:f>Processing!$N$19:$N$23</c:f>
              <c:numCache>
                <c:formatCode>0%</c:formatCode>
                <c:ptCount val="5"/>
                <c:pt idx="0">
                  <c:v>0.73484848484848486</c:v>
                </c:pt>
                <c:pt idx="1">
                  <c:v>0.45454545454545453</c:v>
                </c:pt>
                <c:pt idx="2">
                  <c:v>0.40151515151515149</c:v>
                </c:pt>
                <c:pt idx="3">
                  <c:v>0.34848484848484851</c:v>
                </c:pt>
                <c:pt idx="4">
                  <c:v>0.2196969696969697</c:v>
                </c:pt>
              </c:numCache>
            </c:numRef>
          </c:val>
          <c:extLst>
            <c:ext xmlns:c16="http://schemas.microsoft.com/office/drawing/2014/chart" uri="{C3380CC4-5D6E-409C-BE32-E72D297353CC}">
              <c16:uniqueId val="{00000002-AA44-44C9-8BBC-ADC82F92CC43}"/>
            </c:ext>
          </c:extLst>
        </c:ser>
        <c:dLbls>
          <c:showLegendKey val="0"/>
          <c:showVal val="0"/>
          <c:showCatName val="0"/>
          <c:showSerName val="0"/>
          <c:showPercent val="0"/>
          <c:showBubbleSize val="0"/>
        </c:dLbls>
        <c:gapWidth val="500"/>
        <c:overlap val="100"/>
        <c:axId val="159147311"/>
        <c:axId val="159125231"/>
      </c:barChart>
      <c:catAx>
        <c:axId val="15914731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AAE8F7"/>
                </a:solidFill>
                <a:latin typeface="+mn-lt"/>
                <a:ea typeface="+mn-ea"/>
                <a:cs typeface="+mn-cs"/>
              </a:defRPr>
            </a:pPr>
            <a:endParaRPr lang="ru-RU"/>
          </a:p>
        </c:txPr>
        <c:crossAx val="159125231"/>
        <c:crosses val="autoZero"/>
        <c:auto val="1"/>
        <c:lblAlgn val="ctr"/>
        <c:lblOffset val="100"/>
        <c:noMultiLvlLbl val="0"/>
      </c:catAx>
      <c:valAx>
        <c:axId val="159125231"/>
        <c:scaling>
          <c:orientation val="minMax"/>
        </c:scaling>
        <c:delete val="1"/>
        <c:axPos val="t"/>
        <c:numFmt formatCode="0%" sourceLinked="1"/>
        <c:majorTickMark val="none"/>
        <c:minorTickMark val="none"/>
        <c:tickLblPos val="nextTo"/>
        <c:crossAx val="159147311"/>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Processing!$I$30:$L$30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51-6A55-4F3A-B480-6D5FEFD0F633}"/>
            </c:ext>
          </c:extLst>
        </c:ser>
        <c:ser>
          <c:idx val="1"/>
          <c:order val="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Processing!$I$31:$L$31</c:f>
              <c:numCache>
                <c:formatCode>General</c:formatCode>
                <c:ptCount val="4"/>
                <c:pt idx="0">
                  <c:v>0</c:v>
                </c:pt>
                <c:pt idx="1">
                  <c:v>1</c:v>
                </c:pt>
                <c:pt idx="2">
                  <c:v>1</c:v>
                </c:pt>
                <c:pt idx="3">
                  <c:v>1</c:v>
                </c:pt>
              </c:numCache>
            </c:numRef>
          </c:val>
          <c:extLst>
            <c:ext xmlns:c16="http://schemas.microsoft.com/office/drawing/2014/chart" uri="{C3380CC4-5D6E-409C-BE32-E72D297353CC}">
              <c16:uniqueId val="{00000153-6A55-4F3A-B480-6D5FEFD0F633}"/>
            </c:ext>
          </c:extLst>
        </c:ser>
        <c:ser>
          <c:idx val="2"/>
          <c:order val="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Processing!$I$32:$L$32</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55-6A55-4F3A-B480-6D5FEFD0F633}"/>
            </c:ext>
          </c:extLst>
        </c:ser>
        <c:ser>
          <c:idx val="3"/>
          <c:order val="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Processing!$I$33:$L$33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57-6A55-4F3A-B480-6D5FEFD0F633}"/>
            </c:ext>
          </c:extLst>
        </c:ser>
        <c:ser>
          <c:idx val="4"/>
          <c:order val="4"/>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Processing!$I$34:$L$34</c:f>
              <c:numCache>
                <c:formatCode>General</c:formatCode>
                <c:ptCount val="4"/>
                <c:pt idx="0">
                  <c:v>0</c:v>
                </c:pt>
                <c:pt idx="1">
                  <c:v>1</c:v>
                </c:pt>
                <c:pt idx="2">
                  <c:v>0</c:v>
                </c:pt>
                <c:pt idx="3">
                  <c:v>1</c:v>
                </c:pt>
              </c:numCache>
            </c:numRef>
          </c:val>
          <c:extLst>
            <c:ext xmlns:c16="http://schemas.microsoft.com/office/drawing/2014/chart" uri="{C3380CC4-5D6E-409C-BE32-E72D297353CC}">
              <c16:uniqueId val="{00000159-6A55-4F3A-B480-6D5FEFD0F633}"/>
            </c:ext>
          </c:extLst>
        </c:ser>
        <c:ser>
          <c:idx val="5"/>
          <c:order val="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Processing!$I$35:$L$35</c:f>
              <c:numCache>
                <c:formatCode>General</c:formatCode>
                <c:ptCount val="4"/>
                <c:pt idx="0">
                  <c:v>0</c:v>
                </c:pt>
                <c:pt idx="1">
                  <c:v>0</c:v>
                </c:pt>
                <c:pt idx="2">
                  <c:v>1</c:v>
                </c:pt>
                <c:pt idx="3">
                  <c:v>0</c:v>
                </c:pt>
              </c:numCache>
            </c:numRef>
          </c:val>
          <c:extLst>
            <c:ext xmlns:c16="http://schemas.microsoft.com/office/drawing/2014/chart" uri="{C3380CC4-5D6E-409C-BE32-E72D297353CC}">
              <c16:uniqueId val="{0000015B-6A55-4F3A-B480-6D5FEFD0F633}"/>
            </c:ext>
          </c:extLst>
        </c:ser>
        <c:ser>
          <c:idx val="6"/>
          <c:order val="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Processing!$I$36:$L$36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5D-6A55-4F3A-B480-6D5FEFD0F633}"/>
            </c:ext>
          </c:extLst>
        </c:ser>
        <c:ser>
          <c:idx val="7"/>
          <c:order val="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Processing!$I$37:$L$37</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5F-6A55-4F3A-B480-6D5FEFD0F633}"/>
            </c:ext>
          </c:extLst>
        </c:ser>
        <c:ser>
          <c:idx val="8"/>
          <c:order val="8"/>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Processing!$I$38:$L$38</c:f>
              <c:numCache>
                <c:formatCode>General</c:formatCode>
                <c:ptCount val="4"/>
                <c:pt idx="0">
                  <c:v>1</c:v>
                </c:pt>
                <c:pt idx="1">
                  <c:v>1</c:v>
                </c:pt>
                <c:pt idx="2">
                  <c:v>1</c:v>
                </c:pt>
                <c:pt idx="3">
                  <c:v>0</c:v>
                </c:pt>
              </c:numCache>
            </c:numRef>
          </c:val>
          <c:extLst>
            <c:ext xmlns:c16="http://schemas.microsoft.com/office/drawing/2014/chart" uri="{C3380CC4-5D6E-409C-BE32-E72D297353CC}">
              <c16:uniqueId val="{00000161-6A55-4F3A-B480-6D5FEFD0F633}"/>
            </c:ext>
          </c:extLst>
        </c:ser>
        <c:ser>
          <c:idx val="9"/>
          <c:order val="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Processing!$I$39:$L$39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63-6A55-4F3A-B480-6D5FEFD0F633}"/>
            </c:ext>
          </c:extLst>
        </c:ser>
        <c:ser>
          <c:idx val="10"/>
          <c:order val="1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Processing!$I$40:$L$40</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65-6A55-4F3A-B480-6D5FEFD0F633}"/>
            </c:ext>
          </c:extLst>
        </c:ser>
        <c:ser>
          <c:idx val="11"/>
          <c:order val="1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Processing!$I$41:$L$41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67-6A55-4F3A-B480-6D5FEFD0F633}"/>
            </c:ext>
          </c:extLst>
        </c:ser>
        <c:ser>
          <c:idx val="12"/>
          <c:order val="12"/>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Processing!$I$42:$L$42</c:f>
              <c:numCache>
                <c:formatCode>General</c:formatCode>
                <c:ptCount val="4"/>
                <c:pt idx="0">
                  <c:v>1</c:v>
                </c:pt>
                <c:pt idx="1">
                  <c:v>1</c:v>
                </c:pt>
                <c:pt idx="2">
                  <c:v>1</c:v>
                </c:pt>
                <c:pt idx="3">
                  <c:v>1</c:v>
                </c:pt>
              </c:numCache>
            </c:numRef>
          </c:val>
          <c:extLst>
            <c:ext xmlns:c16="http://schemas.microsoft.com/office/drawing/2014/chart" uri="{C3380CC4-5D6E-409C-BE32-E72D297353CC}">
              <c16:uniqueId val="{00000169-6A55-4F3A-B480-6D5FEFD0F633}"/>
            </c:ext>
          </c:extLst>
        </c:ser>
        <c:ser>
          <c:idx val="13"/>
          <c:order val="13"/>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Processing!$I$43:$L$43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6B-6A55-4F3A-B480-6D5FEFD0F633}"/>
            </c:ext>
          </c:extLst>
        </c:ser>
        <c:ser>
          <c:idx val="14"/>
          <c:order val="14"/>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Processing!$I$44:$L$44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6D-6A55-4F3A-B480-6D5FEFD0F633}"/>
            </c:ext>
          </c:extLst>
        </c:ser>
        <c:ser>
          <c:idx val="15"/>
          <c:order val="15"/>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Processing!$I$45:$L$45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6F-6A55-4F3A-B480-6D5FEFD0F633}"/>
            </c:ext>
          </c:extLst>
        </c:ser>
        <c:ser>
          <c:idx val="16"/>
          <c:order val="16"/>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Processing!$I$46:$L$46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71-6A55-4F3A-B480-6D5FEFD0F633}"/>
            </c:ext>
          </c:extLst>
        </c:ser>
        <c:ser>
          <c:idx val="17"/>
          <c:order val="17"/>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Processing!$I$47:$L$47</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73-6A55-4F3A-B480-6D5FEFD0F633}"/>
            </c:ext>
          </c:extLst>
        </c:ser>
        <c:ser>
          <c:idx val="18"/>
          <c:order val="18"/>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Processing!$I$48:$L$48</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75-6A55-4F3A-B480-6D5FEFD0F633}"/>
            </c:ext>
          </c:extLst>
        </c:ser>
        <c:ser>
          <c:idx val="19"/>
          <c:order val="19"/>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Processing!$I$49:$L$49</c:f>
              <c:numCache>
                <c:formatCode>General</c:formatCode>
                <c:ptCount val="4"/>
                <c:pt idx="0">
                  <c:v>1</c:v>
                </c:pt>
                <c:pt idx="1">
                  <c:v>0</c:v>
                </c:pt>
                <c:pt idx="2">
                  <c:v>1</c:v>
                </c:pt>
                <c:pt idx="3">
                  <c:v>0</c:v>
                </c:pt>
              </c:numCache>
            </c:numRef>
          </c:val>
          <c:extLst>
            <c:ext xmlns:c16="http://schemas.microsoft.com/office/drawing/2014/chart" uri="{C3380CC4-5D6E-409C-BE32-E72D297353CC}">
              <c16:uniqueId val="{00000177-6A55-4F3A-B480-6D5FEFD0F633}"/>
            </c:ext>
          </c:extLst>
        </c:ser>
        <c:ser>
          <c:idx val="20"/>
          <c:order val="20"/>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Processing!$I$50:$L$50</c:f>
              <c:numCache>
                <c:formatCode>General</c:formatCode>
                <c:ptCount val="4"/>
                <c:pt idx="0">
                  <c:v>0</c:v>
                </c:pt>
                <c:pt idx="1">
                  <c:v>1</c:v>
                </c:pt>
                <c:pt idx="2">
                  <c:v>0</c:v>
                </c:pt>
                <c:pt idx="3">
                  <c:v>1</c:v>
                </c:pt>
              </c:numCache>
            </c:numRef>
          </c:val>
          <c:extLst>
            <c:ext xmlns:c16="http://schemas.microsoft.com/office/drawing/2014/chart" uri="{C3380CC4-5D6E-409C-BE32-E72D297353CC}">
              <c16:uniqueId val="{00000179-6A55-4F3A-B480-6D5FEFD0F633}"/>
            </c:ext>
          </c:extLst>
        </c:ser>
        <c:ser>
          <c:idx val="21"/>
          <c:order val="2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Processing!$I$51:$L$51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7B-6A55-4F3A-B480-6D5FEFD0F633}"/>
            </c:ext>
          </c:extLst>
        </c:ser>
        <c:ser>
          <c:idx val="22"/>
          <c:order val="2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Processing!$I$52:$L$52</c:f>
              <c:numCache>
                <c:formatCode>General</c:formatCode>
                <c:ptCount val="4"/>
                <c:pt idx="0">
                  <c:v>1</c:v>
                </c:pt>
                <c:pt idx="1">
                  <c:v>0</c:v>
                </c:pt>
                <c:pt idx="2">
                  <c:v>1</c:v>
                </c:pt>
                <c:pt idx="3">
                  <c:v>0</c:v>
                </c:pt>
              </c:numCache>
            </c:numRef>
          </c:val>
          <c:extLst>
            <c:ext xmlns:c16="http://schemas.microsoft.com/office/drawing/2014/chart" uri="{C3380CC4-5D6E-409C-BE32-E72D297353CC}">
              <c16:uniqueId val="{0000017D-6A55-4F3A-B480-6D5FEFD0F633}"/>
            </c:ext>
          </c:extLst>
        </c:ser>
        <c:ser>
          <c:idx val="23"/>
          <c:order val="2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Processing!$I$53:$L$53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7F-6A55-4F3A-B480-6D5FEFD0F633}"/>
            </c:ext>
          </c:extLst>
        </c:ser>
        <c:ser>
          <c:idx val="24"/>
          <c:order val="24"/>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Processing!$I$54:$L$54</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81-6A55-4F3A-B480-6D5FEFD0F633}"/>
            </c:ext>
          </c:extLst>
        </c:ser>
        <c:ser>
          <c:idx val="25"/>
          <c:order val="2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Processing!$I$55:$L$55</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83-6A55-4F3A-B480-6D5FEFD0F633}"/>
            </c:ext>
          </c:extLst>
        </c:ser>
        <c:ser>
          <c:idx val="26"/>
          <c:order val="2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Processing!$I$56:$L$56</c:f>
              <c:numCache>
                <c:formatCode>General</c:formatCode>
                <c:ptCount val="4"/>
                <c:pt idx="0">
                  <c:v>0</c:v>
                </c:pt>
                <c:pt idx="1">
                  <c:v>0</c:v>
                </c:pt>
                <c:pt idx="2">
                  <c:v>1</c:v>
                </c:pt>
                <c:pt idx="3">
                  <c:v>0</c:v>
                </c:pt>
              </c:numCache>
            </c:numRef>
          </c:val>
          <c:extLst>
            <c:ext xmlns:c16="http://schemas.microsoft.com/office/drawing/2014/chart" uri="{C3380CC4-5D6E-409C-BE32-E72D297353CC}">
              <c16:uniqueId val="{00000185-6A55-4F3A-B480-6D5FEFD0F633}"/>
            </c:ext>
          </c:extLst>
        </c:ser>
        <c:ser>
          <c:idx val="27"/>
          <c:order val="2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Processing!$I$57:$L$57</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87-6A55-4F3A-B480-6D5FEFD0F633}"/>
            </c:ext>
          </c:extLst>
        </c:ser>
        <c:ser>
          <c:idx val="28"/>
          <c:order val="28"/>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Processing!$I$58:$L$58</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89-6A55-4F3A-B480-6D5FEFD0F633}"/>
            </c:ext>
          </c:extLst>
        </c:ser>
        <c:ser>
          <c:idx val="29"/>
          <c:order val="2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Processing!$I$59:$L$59</c:f>
              <c:numCache>
                <c:formatCode>General</c:formatCode>
                <c:ptCount val="4"/>
                <c:pt idx="0">
                  <c:v>0</c:v>
                </c:pt>
                <c:pt idx="1">
                  <c:v>0</c:v>
                </c:pt>
                <c:pt idx="2">
                  <c:v>1</c:v>
                </c:pt>
                <c:pt idx="3">
                  <c:v>0</c:v>
                </c:pt>
              </c:numCache>
            </c:numRef>
          </c:val>
          <c:extLst>
            <c:ext xmlns:c16="http://schemas.microsoft.com/office/drawing/2014/chart" uri="{C3380CC4-5D6E-409C-BE32-E72D297353CC}">
              <c16:uniqueId val="{0000018B-6A55-4F3A-B480-6D5FEFD0F633}"/>
            </c:ext>
          </c:extLst>
        </c:ser>
        <c:ser>
          <c:idx val="30"/>
          <c:order val="3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Processing!$I$60:$L$60</c:f>
              <c:numCache>
                <c:formatCode>General</c:formatCode>
                <c:ptCount val="4"/>
                <c:pt idx="0">
                  <c:v>1</c:v>
                </c:pt>
                <c:pt idx="1">
                  <c:v>1</c:v>
                </c:pt>
                <c:pt idx="2">
                  <c:v>0</c:v>
                </c:pt>
                <c:pt idx="3">
                  <c:v>0</c:v>
                </c:pt>
              </c:numCache>
            </c:numRef>
          </c:val>
          <c:extLst>
            <c:ext xmlns:c16="http://schemas.microsoft.com/office/drawing/2014/chart" uri="{C3380CC4-5D6E-409C-BE32-E72D297353CC}">
              <c16:uniqueId val="{0000018D-6A55-4F3A-B480-6D5FEFD0F633}"/>
            </c:ext>
          </c:extLst>
        </c:ser>
        <c:ser>
          <c:idx val="31"/>
          <c:order val="3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Processing!$I$61:$L$61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8F-6A55-4F3A-B480-6D5FEFD0F633}"/>
            </c:ext>
          </c:extLst>
        </c:ser>
        <c:ser>
          <c:idx val="32"/>
          <c:order val="32"/>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Processing!$I$62:$L$62</c:f>
              <c:numCache>
                <c:formatCode>General</c:formatCode>
                <c:ptCount val="4"/>
                <c:pt idx="0">
                  <c:v>1</c:v>
                </c:pt>
                <c:pt idx="1">
                  <c:v>1</c:v>
                </c:pt>
                <c:pt idx="2">
                  <c:v>1</c:v>
                </c:pt>
                <c:pt idx="3">
                  <c:v>0</c:v>
                </c:pt>
              </c:numCache>
            </c:numRef>
          </c:val>
          <c:extLst>
            <c:ext xmlns:c16="http://schemas.microsoft.com/office/drawing/2014/chart" uri="{C3380CC4-5D6E-409C-BE32-E72D297353CC}">
              <c16:uniqueId val="{00000191-6A55-4F3A-B480-6D5FEFD0F633}"/>
            </c:ext>
          </c:extLst>
        </c:ser>
        <c:ser>
          <c:idx val="33"/>
          <c:order val="33"/>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Processing!$I$63:$L$63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93-6A55-4F3A-B480-6D5FEFD0F633}"/>
            </c:ext>
          </c:extLst>
        </c:ser>
        <c:ser>
          <c:idx val="34"/>
          <c:order val="34"/>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Processing!$I$64:$L$64</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95-6A55-4F3A-B480-6D5FEFD0F633}"/>
            </c:ext>
          </c:extLst>
        </c:ser>
        <c:ser>
          <c:idx val="35"/>
          <c:order val="35"/>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Processing!$I$65:$L$65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97-6A55-4F3A-B480-6D5FEFD0F633}"/>
            </c:ext>
          </c:extLst>
        </c:ser>
        <c:ser>
          <c:idx val="36"/>
          <c:order val="36"/>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Processing!$I$66:$L$66</c:f>
              <c:numCache>
                <c:formatCode>General</c:formatCode>
                <c:ptCount val="4"/>
                <c:pt idx="0">
                  <c:v>0</c:v>
                </c:pt>
                <c:pt idx="1">
                  <c:v>0</c:v>
                </c:pt>
                <c:pt idx="2">
                  <c:v>1</c:v>
                </c:pt>
                <c:pt idx="3">
                  <c:v>1</c:v>
                </c:pt>
              </c:numCache>
            </c:numRef>
          </c:val>
          <c:extLst>
            <c:ext xmlns:c16="http://schemas.microsoft.com/office/drawing/2014/chart" uri="{C3380CC4-5D6E-409C-BE32-E72D297353CC}">
              <c16:uniqueId val="{00000199-6A55-4F3A-B480-6D5FEFD0F633}"/>
            </c:ext>
          </c:extLst>
        </c:ser>
        <c:ser>
          <c:idx val="37"/>
          <c:order val="37"/>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Processing!$I$67:$L$67</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9B-6A55-4F3A-B480-6D5FEFD0F633}"/>
            </c:ext>
          </c:extLst>
        </c:ser>
        <c:ser>
          <c:idx val="38"/>
          <c:order val="38"/>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Processing!$I$68:$L$68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9D-6A55-4F3A-B480-6D5FEFD0F633}"/>
            </c:ext>
          </c:extLst>
        </c:ser>
        <c:ser>
          <c:idx val="39"/>
          <c:order val="39"/>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Processing!$I$69:$L$69</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9F-6A55-4F3A-B480-6D5FEFD0F633}"/>
            </c:ext>
          </c:extLst>
        </c:ser>
        <c:ser>
          <c:idx val="40"/>
          <c:order val="40"/>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Processing!$I$70:$L$70</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A1-6A55-4F3A-B480-6D5FEFD0F633}"/>
            </c:ext>
          </c:extLst>
        </c:ser>
        <c:ser>
          <c:idx val="41"/>
          <c:order val="4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Processing!$I$71:$L$71</c:f>
              <c:numCache>
                <c:formatCode>General</c:formatCode>
                <c:ptCount val="4"/>
                <c:pt idx="0">
                  <c:v>1</c:v>
                </c:pt>
                <c:pt idx="1">
                  <c:v>0</c:v>
                </c:pt>
                <c:pt idx="2">
                  <c:v>1</c:v>
                </c:pt>
                <c:pt idx="3">
                  <c:v>1</c:v>
                </c:pt>
              </c:numCache>
            </c:numRef>
          </c:val>
          <c:extLst>
            <c:ext xmlns:c16="http://schemas.microsoft.com/office/drawing/2014/chart" uri="{C3380CC4-5D6E-409C-BE32-E72D297353CC}">
              <c16:uniqueId val="{000001A3-6A55-4F3A-B480-6D5FEFD0F633}"/>
            </c:ext>
          </c:extLst>
        </c:ser>
        <c:ser>
          <c:idx val="42"/>
          <c:order val="4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Processing!$I$72:$L$72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A5-6A55-4F3A-B480-6D5FEFD0F633}"/>
            </c:ext>
          </c:extLst>
        </c:ser>
        <c:ser>
          <c:idx val="43"/>
          <c:order val="4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Processing!$I$73:$L$73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A7-6A55-4F3A-B480-6D5FEFD0F633}"/>
            </c:ext>
          </c:extLst>
        </c:ser>
        <c:ser>
          <c:idx val="44"/>
          <c:order val="44"/>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Processing!$I$74:$L$74</c:f>
              <c:numCache>
                <c:formatCode>General</c:formatCode>
                <c:ptCount val="4"/>
                <c:pt idx="0">
                  <c:v>0</c:v>
                </c:pt>
                <c:pt idx="1">
                  <c:v>1</c:v>
                </c:pt>
                <c:pt idx="2">
                  <c:v>1</c:v>
                </c:pt>
                <c:pt idx="3">
                  <c:v>1</c:v>
                </c:pt>
              </c:numCache>
            </c:numRef>
          </c:val>
          <c:extLst>
            <c:ext xmlns:c16="http://schemas.microsoft.com/office/drawing/2014/chart" uri="{C3380CC4-5D6E-409C-BE32-E72D297353CC}">
              <c16:uniqueId val="{000001A9-6A55-4F3A-B480-6D5FEFD0F633}"/>
            </c:ext>
          </c:extLst>
        </c:ser>
        <c:ser>
          <c:idx val="45"/>
          <c:order val="4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Processing!$I$75:$L$75</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AB-6A55-4F3A-B480-6D5FEFD0F633}"/>
            </c:ext>
          </c:extLst>
        </c:ser>
        <c:ser>
          <c:idx val="46"/>
          <c:order val="4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Processing!$I$76:$L$76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AD-6A55-4F3A-B480-6D5FEFD0F633}"/>
            </c:ext>
          </c:extLst>
        </c:ser>
        <c:ser>
          <c:idx val="47"/>
          <c:order val="4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Processing!$I$77:$L$77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AF-6A55-4F3A-B480-6D5FEFD0F633}"/>
            </c:ext>
          </c:extLst>
        </c:ser>
        <c:ser>
          <c:idx val="48"/>
          <c:order val="48"/>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Processing!$I$78:$L$78</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B1-6A55-4F3A-B480-6D5FEFD0F633}"/>
            </c:ext>
          </c:extLst>
        </c:ser>
        <c:ser>
          <c:idx val="49"/>
          <c:order val="4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Processing!$I$79:$L$79</c:f>
              <c:numCache>
                <c:formatCode>General</c:formatCode>
                <c:ptCount val="4"/>
                <c:pt idx="0">
                  <c:v>1</c:v>
                </c:pt>
                <c:pt idx="1">
                  <c:v>0</c:v>
                </c:pt>
                <c:pt idx="2">
                  <c:v>1</c:v>
                </c:pt>
                <c:pt idx="3">
                  <c:v>0</c:v>
                </c:pt>
              </c:numCache>
            </c:numRef>
          </c:val>
          <c:extLst>
            <c:ext xmlns:c16="http://schemas.microsoft.com/office/drawing/2014/chart" uri="{C3380CC4-5D6E-409C-BE32-E72D297353CC}">
              <c16:uniqueId val="{000001B3-6A55-4F3A-B480-6D5FEFD0F633}"/>
            </c:ext>
          </c:extLst>
        </c:ser>
        <c:ser>
          <c:idx val="50"/>
          <c:order val="5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Processing!$I$80:$L$80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B5-6A55-4F3A-B480-6D5FEFD0F633}"/>
            </c:ext>
          </c:extLst>
        </c:ser>
        <c:ser>
          <c:idx val="51"/>
          <c:order val="5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Processing!$I$81:$L$81</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B7-6A55-4F3A-B480-6D5FEFD0F633}"/>
            </c:ext>
          </c:extLst>
        </c:ser>
        <c:ser>
          <c:idx val="52"/>
          <c:order val="52"/>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Processing!$I$82:$L$82</c:f>
              <c:numCache>
                <c:formatCode>General</c:formatCode>
                <c:ptCount val="4"/>
                <c:pt idx="0">
                  <c:v>0</c:v>
                </c:pt>
                <c:pt idx="1">
                  <c:v>1</c:v>
                </c:pt>
                <c:pt idx="2">
                  <c:v>1</c:v>
                </c:pt>
                <c:pt idx="3">
                  <c:v>0</c:v>
                </c:pt>
              </c:numCache>
            </c:numRef>
          </c:val>
          <c:extLst>
            <c:ext xmlns:c16="http://schemas.microsoft.com/office/drawing/2014/chart" uri="{C3380CC4-5D6E-409C-BE32-E72D297353CC}">
              <c16:uniqueId val="{000001B9-6A55-4F3A-B480-6D5FEFD0F633}"/>
            </c:ext>
          </c:extLst>
        </c:ser>
        <c:ser>
          <c:idx val="53"/>
          <c:order val="53"/>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Processing!$I$83:$L$83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BB-6A55-4F3A-B480-6D5FEFD0F633}"/>
            </c:ext>
          </c:extLst>
        </c:ser>
        <c:ser>
          <c:idx val="54"/>
          <c:order val="54"/>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Processing!$I$84:$L$84</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BD-6A55-4F3A-B480-6D5FEFD0F633}"/>
            </c:ext>
          </c:extLst>
        </c:ser>
        <c:ser>
          <c:idx val="55"/>
          <c:order val="55"/>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Processing!$I$85:$L$85</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BF-6A55-4F3A-B480-6D5FEFD0F633}"/>
            </c:ext>
          </c:extLst>
        </c:ser>
        <c:ser>
          <c:idx val="56"/>
          <c:order val="56"/>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Processing!$I$86:$L$86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C1-6A55-4F3A-B480-6D5FEFD0F633}"/>
            </c:ext>
          </c:extLst>
        </c:ser>
        <c:ser>
          <c:idx val="57"/>
          <c:order val="57"/>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Processing!$I$87:$L$87</c:f>
              <c:numCache>
                <c:formatCode>General</c:formatCode>
                <c:ptCount val="4"/>
                <c:pt idx="0">
                  <c:v>1</c:v>
                </c:pt>
                <c:pt idx="1">
                  <c:v>0</c:v>
                </c:pt>
                <c:pt idx="2">
                  <c:v>0</c:v>
                </c:pt>
                <c:pt idx="3">
                  <c:v>1</c:v>
                </c:pt>
              </c:numCache>
            </c:numRef>
          </c:val>
          <c:extLst>
            <c:ext xmlns:c16="http://schemas.microsoft.com/office/drawing/2014/chart" uri="{C3380CC4-5D6E-409C-BE32-E72D297353CC}">
              <c16:uniqueId val="{000001C3-6A55-4F3A-B480-6D5FEFD0F633}"/>
            </c:ext>
          </c:extLst>
        </c:ser>
        <c:ser>
          <c:idx val="58"/>
          <c:order val="58"/>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Processing!$I$88:$L$88</c:f>
              <c:numCache>
                <c:formatCode>General</c:formatCode>
                <c:ptCount val="4"/>
                <c:pt idx="0">
                  <c:v>0</c:v>
                </c:pt>
                <c:pt idx="1">
                  <c:v>0</c:v>
                </c:pt>
                <c:pt idx="2">
                  <c:v>1</c:v>
                </c:pt>
                <c:pt idx="3">
                  <c:v>0</c:v>
                </c:pt>
              </c:numCache>
            </c:numRef>
          </c:val>
          <c:extLst>
            <c:ext xmlns:c16="http://schemas.microsoft.com/office/drawing/2014/chart" uri="{C3380CC4-5D6E-409C-BE32-E72D297353CC}">
              <c16:uniqueId val="{000001C5-6A55-4F3A-B480-6D5FEFD0F633}"/>
            </c:ext>
          </c:extLst>
        </c:ser>
        <c:ser>
          <c:idx val="59"/>
          <c:order val="59"/>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Processing!$I$89:$L$89</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C7-6A55-4F3A-B480-6D5FEFD0F633}"/>
            </c:ext>
          </c:extLst>
        </c:ser>
        <c:ser>
          <c:idx val="60"/>
          <c:order val="60"/>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Processing!$I$90:$L$90</c:f>
              <c:numCache>
                <c:formatCode>General</c:formatCode>
                <c:ptCount val="4"/>
                <c:pt idx="0">
                  <c:v>0</c:v>
                </c:pt>
                <c:pt idx="1">
                  <c:v>1</c:v>
                </c:pt>
                <c:pt idx="2">
                  <c:v>1</c:v>
                </c:pt>
                <c:pt idx="3">
                  <c:v>1</c:v>
                </c:pt>
              </c:numCache>
            </c:numRef>
          </c:val>
          <c:extLst>
            <c:ext xmlns:c16="http://schemas.microsoft.com/office/drawing/2014/chart" uri="{C3380CC4-5D6E-409C-BE32-E72D297353CC}">
              <c16:uniqueId val="{000001C9-6A55-4F3A-B480-6D5FEFD0F633}"/>
            </c:ext>
          </c:extLst>
        </c:ser>
        <c:ser>
          <c:idx val="61"/>
          <c:order val="6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Processing!$I$91:$L$91</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CB-6A55-4F3A-B480-6D5FEFD0F633}"/>
            </c:ext>
          </c:extLst>
        </c:ser>
        <c:ser>
          <c:idx val="62"/>
          <c:order val="6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Processing!$I$92:$L$92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CD-6A55-4F3A-B480-6D5FEFD0F633}"/>
            </c:ext>
          </c:extLst>
        </c:ser>
        <c:ser>
          <c:idx val="63"/>
          <c:order val="6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Processing!$I$93:$L$93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CF-6A55-4F3A-B480-6D5FEFD0F633}"/>
            </c:ext>
          </c:extLst>
        </c:ser>
        <c:ser>
          <c:idx val="64"/>
          <c:order val="64"/>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Processing!$I$94:$L$94</c:f>
              <c:numCache>
                <c:formatCode>General</c:formatCode>
                <c:ptCount val="4"/>
                <c:pt idx="0">
                  <c:v>0</c:v>
                </c:pt>
                <c:pt idx="1">
                  <c:v>0</c:v>
                </c:pt>
                <c:pt idx="2">
                  <c:v>1</c:v>
                </c:pt>
                <c:pt idx="3">
                  <c:v>0</c:v>
                </c:pt>
              </c:numCache>
            </c:numRef>
          </c:val>
          <c:extLst>
            <c:ext xmlns:c16="http://schemas.microsoft.com/office/drawing/2014/chart" uri="{C3380CC4-5D6E-409C-BE32-E72D297353CC}">
              <c16:uniqueId val="{000001D1-6A55-4F3A-B480-6D5FEFD0F633}"/>
            </c:ext>
          </c:extLst>
        </c:ser>
        <c:ser>
          <c:idx val="65"/>
          <c:order val="6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Processing!$I$95:$L$95</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D3-6A55-4F3A-B480-6D5FEFD0F633}"/>
            </c:ext>
          </c:extLst>
        </c:ser>
        <c:ser>
          <c:idx val="66"/>
          <c:order val="6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Processing!$I$96:$L$96</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D5-6A55-4F3A-B480-6D5FEFD0F633}"/>
            </c:ext>
          </c:extLst>
        </c:ser>
        <c:ser>
          <c:idx val="67"/>
          <c:order val="6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Processing!$I$97:$L$97</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D7-6A55-4F3A-B480-6D5FEFD0F633}"/>
            </c:ext>
          </c:extLst>
        </c:ser>
        <c:ser>
          <c:idx val="68"/>
          <c:order val="68"/>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Processing!$I$98:$L$98</c:f>
              <c:numCache>
                <c:formatCode>General</c:formatCode>
                <c:ptCount val="4"/>
                <c:pt idx="0">
                  <c:v>1</c:v>
                </c:pt>
                <c:pt idx="1">
                  <c:v>0</c:v>
                </c:pt>
                <c:pt idx="2">
                  <c:v>1</c:v>
                </c:pt>
                <c:pt idx="3">
                  <c:v>0</c:v>
                </c:pt>
              </c:numCache>
            </c:numRef>
          </c:val>
          <c:extLst>
            <c:ext xmlns:c16="http://schemas.microsoft.com/office/drawing/2014/chart" uri="{C3380CC4-5D6E-409C-BE32-E72D297353CC}">
              <c16:uniqueId val="{000001D9-6A55-4F3A-B480-6D5FEFD0F633}"/>
            </c:ext>
          </c:extLst>
        </c:ser>
        <c:ser>
          <c:idx val="69"/>
          <c:order val="6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Processing!$I$99:$L$99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DB-6A55-4F3A-B480-6D5FEFD0F633}"/>
            </c:ext>
          </c:extLst>
        </c:ser>
        <c:ser>
          <c:idx val="70"/>
          <c:order val="7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Processing!$I$100:$L$100</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DD-6A55-4F3A-B480-6D5FEFD0F633}"/>
            </c:ext>
          </c:extLst>
        </c:ser>
        <c:ser>
          <c:idx val="71"/>
          <c:order val="7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Processing!$I$101:$L$101</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DF-6A55-4F3A-B480-6D5FEFD0F633}"/>
            </c:ext>
          </c:extLst>
        </c:ser>
        <c:ser>
          <c:idx val="72"/>
          <c:order val="72"/>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Processing!$I$102:$L$102</c:f>
              <c:numCache>
                <c:formatCode>General</c:formatCode>
                <c:ptCount val="4"/>
                <c:pt idx="0">
                  <c:v>0</c:v>
                </c:pt>
                <c:pt idx="1">
                  <c:v>0</c:v>
                </c:pt>
                <c:pt idx="2">
                  <c:v>1</c:v>
                </c:pt>
                <c:pt idx="3">
                  <c:v>1</c:v>
                </c:pt>
              </c:numCache>
            </c:numRef>
          </c:val>
          <c:extLst>
            <c:ext xmlns:c16="http://schemas.microsoft.com/office/drawing/2014/chart" uri="{C3380CC4-5D6E-409C-BE32-E72D297353CC}">
              <c16:uniqueId val="{000001E1-6A55-4F3A-B480-6D5FEFD0F633}"/>
            </c:ext>
          </c:extLst>
        </c:ser>
        <c:ser>
          <c:idx val="73"/>
          <c:order val="73"/>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Processing!$I$103:$L$103</c:f>
              <c:numCache>
                <c:formatCode>General</c:formatCode>
                <c:ptCount val="4"/>
                <c:pt idx="0">
                  <c:v>1</c:v>
                </c:pt>
                <c:pt idx="1">
                  <c:v>1</c:v>
                </c:pt>
                <c:pt idx="2">
                  <c:v>0</c:v>
                </c:pt>
                <c:pt idx="3">
                  <c:v>0</c:v>
                </c:pt>
              </c:numCache>
            </c:numRef>
          </c:val>
          <c:extLst>
            <c:ext xmlns:c16="http://schemas.microsoft.com/office/drawing/2014/chart" uri="{C3380CC4-5D6E-409C-BE32-E72D297353CC}">
              <c16:uniqueId val="{000001E3-6A55-4F3A-B480-6D5FEFD0F633}"/>
            </c:ext>
          </c:extLst>
        </c:ser>
        <c:ser>
          <c:idx val="74"/>
          <c:order val="74"/>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Processing!$I$104:$L$104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E5-6A55-4F3A-B480-6D5FEFD0F633}"/>
            </c:ext>
          </c:extLst>
        </c:ser>
        <c:ser>
          <c:idx val="75"/>
          <c:order val="75"/>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Processing!$I$105:$L$105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E7-6A55-4F3A-B480-6D5FEFD0F633}"/>
            </c:ext>
          </c:extLst>
        </c:ser>
        <c:ser>
          <c:idx val="76"/>
          <c:order val="76"/>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Processing!$I$106:$L$106</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E9-6A55-4F3A-B480-6D5FEFD0F633}"/>
            </c:ext>
          </c:extLst>
        </c:ser>
        <c:ser>
          <c:idx val="77"/>
          <c:order val="77"/>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Processing!$I$107:$L$107</c:f>
              <c:numCache>
                <c:formatCode>General</c:formatCode>
                <c:ptCount val="4"/>
                <c:pt idx="0">
                  <c:v>1</c:v>
                </c:pt>
                <c:pt idx="1">
                  <c:v>1</c:v>
                </c:pt>
                <c:pt idx="2">
                  <c:v>0</c:v>
                </c:pt>
                <c:pt idx="3">
                  <c:v>0</c:v>
                </c:pt>
              </c:numCache>
            </c:numRef>
          </c:val>
          <c:extLst>
            <c:ext xmlns:c16="http://schemas.microsoft.com/office/drawing/2014/chart" uri="{C3380CC4-5D6E-409C-BE32-E72D297353CC}">
              <c16:uniqueId val="{000001EB-6A55-4F3A-B480-6D5FEFD0F633}"/>
            </c:ext>
          </c:extLst>
        </c:ser>
        <c:ser>
          <c:idx val="78"/>
          <c:order val="78"/>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Processing!$I$108:$L$108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ED-6A55-4F3A-B480-6D5FEFD0F633}"/>
            </c:ext>
          </c:extLst>
        </c:ser>
        <c:ser>
          <c:idx val="79"/>
          <c:order val="79"/>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Processing!$I$109:$L$109</c:f>
              <c:numCache>
                <c:formatCode>General</c:formatCode>
                <c:ptCount val="4"/>
                <c:pt idx="0">
                  <c:v>0</c:v>
                </c:pt>
                <c:pt idx="1">
                  <c:v>0</c:v>
                </c:pt>
                <c:pt idx="2">
                  <c:v>1</c:v>
                </c:pt>
                <c:pt idx="3">
                  <c:v>0</c:v>
                </c:pt>
              </c:numCache>
            </c:numRef>
          </c:val>
          <c:extLst>
            <c:ext xmlns:c16="http://schemas.microsoft.com/office/drawing/2014/chart" uri="{C3380CC4-5D6E-409C-BE32-E72D297353CC}">
              <c16:uniqueId val="{000001EF-6A55-4F3A-B480-6D5FEFD0F633}"/>
            </c:ext>
          </c:extLst>
        </c:ser>
        <c:ser>
          <c:idx val="80"/>
          <c:order val="80"/>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Processing!$I$110:$L$110</c:f>
              <c:numCache>
                <c:formatCode>General</c:formatCode>
                <c:ptCount val="4"/>
                <c:pt idx="0">
                  <c:v>1</c:v>
                </c:pt>
                <c:pt idx="1">
                  <c:v>1</c:v>
                </c:pt>
                <c:pt idx="2">
                  <c:v>1</c:v>
                </c:pt>
                <c:pt idx="3">
                  <c:v>0</c:v>
                </c:pt>
              </c:numCache>
            </c:numRef>
          </c:val>
          <c:extLst>
            <c:ext xmlns:c16="http://schemas.microsoft.com/office/drawing/2014/chart" uri="{C3380CC4-5D6E-409C-BE32-E72D297353CC}">
              <c16:uniqueId val="{000001F1-6A55-4F3A-B480-6D5FEFD0F633}"/>
            </c:ext>
          </c:extLst>
        </c:ser>
        <c:ser>
          <c:idx val="81"/>
          <c:order val="8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Processing!$I$111:$L$111</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F3-6A55-4F3A-B480-6D5FEFD0F633}"/>
            </c:ext>
          </c:extLst>
        </c:ser>
        <c:ser>
          <c:idx val="82"/>
          <c:order val="8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Processing!$I$112:$L$112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F5-6A55-4F3A-B480-6D5FEFD0F633}"/>
            </c:ext>
          </c:extLst>
        </c:ser>
        <c:ser>
          <c:idx val="83"/>
          <c:order val="8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Processing!$I$113:$L$113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F7-6A55-4F3A-B480-6D5FEFD0F633}"/>
            </c:ext>
          </c:extLst>
        </c:ser>
        <c:ser>
          <c:idx val="84"/>
          <c:order val="84"/>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Processing!$I$114:$L$114</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F9-6A55-4F3A-B480-6D5FEFD0F633}"/>
            </c:ext>
          </c:extLst>
        </c:ser>
        <c:ser>
          <c:idx val="85"/>
          <c:order val="8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Processing!$I$115:$L$115</c:f>
              <c:numCache>
                <c:formatCode>General</c:formatCode>
                <c:ptCount val="4"/>
                <c:pt idx="0">
                  <c:v>0</c:v>
                </c:pt>
                <c:pt idx="1">
                  <c:v>0</c:v>
                </c:pt>
                <c:pt idx="2">
                  <c:v>1</c:v>
                </c:pt>
                <c:pt idx="3">
                  <c:v>1</c:v>
                </c:pt>
              </c:numCache>
            </c:numRef>
          </c:val>
          <c:extLst>
            <c:ext xmlns:c16="http://schemas.microsoft.com/office/drawing/2014/chart" uri="{C3380CC4-5D6E-409C-BE32-E72D297353CC}">
              <c16:uniqueId val="{000001FB-6A55-4F3A-B480-6D5FEFD0F633}"/>
            </c:ext>
          </c:extLst>
        </c:ser>
        <c:ser>
          <c:idx val="86"/>
          <c:order val="8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Processing!$I$116:$L$116</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FD-6A55-4F3A-B480-6D5FEFD0F633}"/>
            </c:ext>
          </c:extLst>
        </c:ser>
        <c:ser>
          <c:idx val="87"/>
          <c:order val="8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Processing!$I$117:$L$117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FF-6A55-4F3A-B480-6D5FEFD0F633}"/>
            </c:ext>
          </c:extLst>
        </c:ser>
        <c:ser>
          <c:idx val="88"/>
          <c:order val="88"/>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Processing!$I$118:$L$118</c:f>
              <c:numCache>
                <c:formatCode>General</c:formatCode>
                <c:ptCount val="4"/>
                <c:pt idx="0">
                  <c:v>1</c:v>
                </c:pt>
                <c:pt idx="1">
                  <c:v>1</c:v>
                </c:pt>
                <c:pt idx="2">
                  <c:v>0</c:v>
                </c:pt>
                <c:pt idx="3">
                  <c:v>1</c:v>
                </c:pt>
              </c:numCache>
            </c:numRef>
          </c:val>
          <c:extLst>
            <c:ext xmlns:c16="http://schemas.microsoft.com/office/drawing/2014/chart" uri="{C3380CC4-5D6E-409C-BE32-E72D297353CC}">
              <c16:uniqueId val="{00000201-6A55-4F3A-B480-6D5FEFD0F633}"/>
            </c:ext>
          </c:extLst>
        </c:ser>
        <c:ser>
          <c:idx val="89"/>
          <c:order val="8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Processing!$I$119:$L$119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203-6A55-4F3A-B480-6D5FEFD0F633}"/>
            </c:ext>
          </c:extLst>
        </c:ser>
        <c:ser>
          <c:idx val="90"/>
          <c:order val="9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Processing!$I$120:$L$120</c:f>
              <c:numCache>
                <c:formatCode>General</c:formatCode>
                <c:ptCount val="4"/>
                <c:pt idx="0">
                  <c:v>0</c:v>
                </c:pt>
                <c:pt idx="1">
                  <c:v>0</c:v>
                </c:pt>
                <c:pt idx="2">
                  <c:v>1</c:v>
                </c:pt>
                <c:pt idx="3">
                  <c:v>0</c:v>
                </c:pt>
              </c:numCache>
            </c:numRef>
          </c:val>
          <c:extLst>
            <c:ext xmlns:c16="http://schemas.microsoft.com/office/drawing/2014/chart" uri="{C3380CC4-5D6E-409C-BE32-E72D297353CC}">
              <c16:uniqueId val="{00000205-6A55-4F3A-B480-6D5FEFD0F633}"/>
            </c:ext>
          </c:extLst>
        </c:ser>
        <c:ser>
          <c:idx val="91"/>
          <c:order val="9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Processing!$I$121:$L$121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207-6A55-4F3A-B480-6D5FEFD0F633}"/>
            </c:ext>
          </c:extLst>
        </c:ser>
        <c:ser>
          <c:idx val="92"/>
          <c:order val="92"/>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Processing!$I$122:$L$122</c:f>
              <c:numCache>
                <c:formatCode>General</c:formatCode>
                <c:ptCount val="4"/>
                <c:pt idx="0">
                  <c:v>1</c:v>
                </c:pt>
                <c:pt idx="1">
                  <c:v>0</c:v>
                </c:pt>
                <c:pt idx="2">
                  <c:v>0</c:v>
                </c:pt>
                <c:pt idx="3">
                  <c:v>0</c:v>
                </c:pt>
              </c:numCache>
            </c:numRef>
          </c:val>
          <c:extLst>
            <c:ext xmlns:c16="http://schemas.microsoft.com/office/drawing/2014/chart" uri="{C3380CC4-5D6E-409C-BE32-E72D297353CC}">
              <c16:uniqueId val="{00000209-6A55-4F3A-B480-6D5FEFD0F633}"/>
            </c:ext>
          </c:extLst>
        </c:ser>
        <c:ser>
          <c:idx val="93"/>
          <c:order val="93"/>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Processing!$I$123:$L$123</c:f>
              <c:numCache>
                <c:formatCode>General</c:formatCode>
                <c:ptCount val="4"/>
                <c:pt idx="0">
                  <c:v>0</c:v>
                </c:pt>
                <c:pt idx="1">
                  <c:v>1</c:v>
                </c:pt>
                <c:pt idx="2">
                  <c:v>1</c:v>
                </c:pt>
                <c:pt idx="3">
                  <c:v>0</c:v>
                </c:pt>
              </c:numCache>
            </c:numRef>
          </c:val>
          <c:extLst>
            <c:ext xmlns:c16="http://schemas.microsoft.com/office/drawing/2014/chart" uri="{C3380CC4-5D6E-409C-BE32-E72D297353CC}">
              <c16:uniqueId val="{0000020B-6A55-4F3A-B480-6D5FEFD0F633}"/>
            </c:ext>
          </c:extLst>
        </c:ser>
        <c:ser>
          <c:idx val="94"/>
          <c:order val="94"/>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Processing!$I$124:$L$124</c:f>
              <c:numCache>
                <c:formatCode>General</c:formatCode>
                <c:ptCount val="4"/>
                <c:pt idx="0">
                  <c:v>0</c:v>
                </c:pt>
                <c:pt idx="1">
                  <c:v>0</c:v>
                </c:pt>
                <c:pt idx="2">
                  <c:v>0</c:v>
                </c:pt>
                <c:pt idx="3">
                  <c:v>1</c:v>
                </c:pt>
              </c:numCache>
            </c:numRef>
          </c:val>
          <c:extLst>
            <c:ext xmlns:c16="http://schemas.microsoft.com/office/drawing/2014/chart" uri="{C3380CC4-5D6E-409C-BE32-E72D297353CC}">
              <c16:uniqueId val="{0000020D-6A55-4F3A-B480-6D5FEFD0F633}"/>
            </c:ext>
          </c:extLst>
        </c:ser>
        <c:ser>
          <c:idx val="95"/>
          <c:order val="95"/>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Processing!$I$125:$L$125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20F-6A55-4F3A-B480-6D5FEFD0F633}"/>
            </c:ext>
          </c:extLst>
        </c:ser>
        <c:ser>
          <c:idx val="96"/>
          <c:order val="96"/>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Processing!$I$126:$L$126</c:f>
              <c:numCache>
                <c:formatCode>General</c:formatCode>
                <c:ptCount val="4"/>
                <c:pt idx="0">
                  <c:v>1</c:v>
                </c:pt>
                <c:pt idx="1">
                  <c:v>0</c:v>
                </c:pt>
                <c:pt idx="2">
                  <c:v>0</c:v>
                </c:pt>
                <c:pt idx="3">
                  <c:v>0</c:v>
                </c:pt>
              </c:numCache>
            </c:numRef>
          </c:val>
          <c:extLst>
            <c:ext xmlns:c16="http://schemas.microsoft.com/office/drawing/2014/chart" uri="{C3380CC4-5D6E-409C-BE32-E72D297353CC}">
              <c16:uniqueId val="{00000211-6A55-4F3A-B480-6D5FEFD0F633}"/>
            </c:ext>
          </c:extLst>
        </c:ser>
        <c:ser>
          <c:idx val="97"/>
          <c:order val="97"/>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Processing!$I$127:$L$127</c:f>
              <c:numCache>
                <c:formatCode>General</c:formatCode>
                <c:ptCount val="4"/>
                <c:pt idx="0">
                  <c:v>0</c:v>
                </c:pt>
                <c:pt idx="1">
                  <c:v>0</c:v>
                </c:pt>
                <c:pt idx="2">
                  <c:v>1</c:v>
                </c:pt>
                <c:pt idx="3">
                  <c:v>0</c:v>
                </c:pt>
              </c:numCache>
            </c:numRef>
          </c:val>
          <c:extLst>
            <c:ext xmlns:c16="http://schemas.microsoft.com/office/drawing/2014/chart" uri="{C3380CC4-5D6E-409C-BE32-E72D297353CC}">
              <c16:uniqueId val="{00000213-6A55-4F3A-B480-6D5FEFD0F633}"/>
            </c:ext>
          </c:extLst>
        </c:ser>
        <c:ser>
          <c:idx val="98"/>
          <c:order val="98"/>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Processing!$I$128:$L$128</c:f>
              <c:numCache>
                <c:formatCode>General</c:formatCode>
                <c:ptCount val="4"/>
                <c:pt idx="0">
                  <c:v>0</c:v>
                </c:pt>
                <c:pt idx="1">
                  <c:v>1</c:v>
                </c:pt>
                <c:pt idx="2">
                  <c:v>0</c:v>
                </c:pt>
                <c:pt idx="3">
                  <c:v>0</c:v>
                </c:pt>
              </c:numCache>
            </c:numRef>
          </c:val>
          <c:extLst>
            <c:ext xmlns:c16="http://schemas.microsoft.com/office/drawing/2014/chart" uri="{C3380CC4-5D6E-409C-BE32-E72D297353CC}">
              <c16:uniqueId val="{00000215-6A55-4F3A-B480-6D5FEFD0F633}"/>
            </c:ext>
          </c:extLst>
        </c:ser>
        <c:ser>
          <c:idx val="99"/>
          <c:order val="99"/>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Processing!$I$129:$L$129</c:f>
              <c:numCache>
                <c:formatCode>General</c:formatCode>
                <c:ptCount val="4"/>
                <c:pt idx="0">
                  <c:v>0</c:v>
                </c:pt>
                <c:pt idx="1">
                  <c:v>0</c:v>
                </c:pt>
                <c:pt idx="2">
                  <c:v>0</c:v>
                </c:pt>
                <c:pt idx="3">
                  <c:v>1</c:v>
                </c:pt>
              </c:numCache>
            </c:numRef>
          </c:val>
          <c:extLst>
            <c:ext xmlns:c16="http://schemas.microsoft.com/office/drawing/2014/chart" uri="{C3380CC4-5D6E-409C-BE32-E72D297353CC}">
              <c16:uniqueId val="{00000217-6A55-4F3A-B480-6D5FEFD0F633}"/>
            </c:ext>
          </c:extLst>
        </c:ser>
        <c:ser>
          <c:idx val="100"/>
          <c:order val="100"/>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Processing!$I$130:$L$130</c:f>
              <c:numCache>
                <c:formatCode>General</c:formatCode>
                <c:ptCount val="4"/>
                <c:pt idx="0">
                  <c:v>0</c:v>
                </c:pt>
                <c:pt idx="1">
                  <c:v>0</c:v>
                </c:pt>
                <c:pt idx="2">
                  <c:v>1</c:v>
                </c:pt>
                <c:pt idx="3">
                  <c:v>0</c:v>
                </c:pt>
              </c:numCache>
            </c:numRef>
          </c:val>
          <c:extLst>
            <c:ext xmlns:c16="http://schemas.microsoft.com/office/drawing/2014/chart" uri="{C3380CC4-5D6E-409C-BE32-E72D297353CC}">
              <c16:uniqueId val="{00000219-6A55-4F3A-B480-6D5FEFD0F633}"/>
            </c:ext>
          </c:extLst>
        </c:ser>
        <c:ser>
          <c:idx val="101"/>
          <c:order val="10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Processing!$I$131:$L$131</c:f>
              <c:numCache>
                <c:formatCode>General</c:formatCode>
                <c:ptCount val="4"/>
                <c:pt idx="0">
                  <c:v>0</c:v>
                </c:pt>
                <c:pt idx="1">
                  <c:v>1</c:v>
                </c:pt>
                <c:pt idx="2">
                  <c:v>0</c:v>
                </c:pt>
                <c:pt idx="3">
                  <c:v>0</c:v>
                </c:pt>
              </c:numCache>
            </c:numRef>
          </c:val>
          <c:extLst>
            <c:ext xmlns:c16="http://schemas.microsoft.com/office/drawing/2014/chart" uri="{C3380CC4-5D6E-409C-BE32-E72D297353CC}">
              <c16:uniqueId val="{0000021B-6A55-4F3A-B480-6D5FEFD0F633}"/>
            </c:ext>
          </c:extLst>
        </c:ser>
        <c:ser>
          <c:idx val="102"/>
          <c:order val="10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Processing!$I$132:$L$132</c:f>
              <c:numCache>
                <c:formatCode>General</c:formatCode>
                <c:ptCount val="4"/>
                <c:pt idx="0">
                  <c:v>1</c:v>
                </c:pt>
                <c:pt idx="1">
                  <c:v>0</c:v>
                </c:pt>
                <c:pt idx="2">
                  <c:v>0</c:v>
                </c:pt>
                <c:pt idx="3">
                  <c:v>1</c:v>
                </c:pt>
              </c:numCache>
            </c:numRef>
          </c:val>
          <c:extLst>
            <c:ext xmlns:c16="http://schemas.microsoft.com/office/drawing/2014/chart" uri="{C3380CC4-5D6E-409C-BE32-E72D297353CC}">
              <c16:uniqueId val="{0000021D-6A55-4F3A-B480-6D5FEFD0F633}"/>
            </c:ext>
          </c:extLst>
        </c:ser>
        <c:ser>
          <c:idx val="103"/>
          <c:order val="10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Processing!$I$133:$L$133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21F-6A55-4F3A-B480-6D5FEFD0F633}"/>
            </c:ext>
          </c:extLst>
        </c:ser>
        <c:ser>
          <c:idx val="104"/>
          <c:order val="104"/>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Processing!$I$134:$L$134</c:f>
              <c:numCache>
                <c:formatCode>General</c:formatCode>
                <c:ptCount val="4"/>
                <c:pt idx="0">
                  <c:v>0</c:v>
                </c:pt>
                <c:pt idx="1">
                  <c:v>0</c:v>
                </c:pt>
                <c:pt idx="2">
                  <c:v>0</c:v>
                </c:pt>
                <c:pt idx="3">
                  <c:v>1</c:v>
                </c:pt>
              </c:numCache>
            </c:numRef>
          </c:val>
          <c:extLst>
            <c:ext xmlns:c16="http://schemas.microsoft.com/office/drawing/2014/chart" uri="{C3380CC4-5D6E-409C-BE32-E72D297353CC}">
              <c16:uniqueId val="{00000221-6A55-4F3A-B480-6D5FEFD0F633}"/>
            </c:ext>
          </c:extLst>
        </c:ser>
        <c:ser>
          <c:idx val="105"/>
          <c:order val="10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Processing!$I$135:$L$135</c:f>
              <c:numCache>
                <c:formatCode>General</c:formatCode>
                <c:ptCount val="4"/>
                <c:pt idx="0">
                  <c:v>0</c:v>
                </c:pt>
                <c:pt idx="1">
                  <c:v>0</c:v>
                </c:pt>
                <c:pt idx="2">
                  <c:v>1</c:v>
                </c:pt>
                <c:pt idx="3">
                  <c:v>0</c:v>
                </c:pt>
              </c:numCache>
            </c:numRef>
          </c:val>
          <c:extLst>
            <c:ext xmlns:c16="http://schemas.microsoft.com/office/drawing/2014/chart" uri="{C3380CC4-5D6E-409C-BE32-E72D297353CC}">
              <c16:uniqueId val="{00000223-6A55-4F3A-B480-6D5FEFD0F633}"/>
            </c:ext>
          </c:extLst>
        </c:ser>
        <c:ser>
          <c:idx val="106"/>
          <c:order val="10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Processing!$I$136:$L$136</c:f>
              <c:numCache>
                <c:formatCode>General</c:formatCode>
                <c:ptCount val="4"/>
                <c:pt idx="0">
                  <c:v>0</c:v>
                </c:pt>
                <c:pt idx="1">
                  <c:v>1</c:v>
                </c:pt>
                <c:pt idx="2">
                  <c:v>0</c:v>
                </c:pt>
                <c:pt idx="3">
                  <c:v>0</c:v>
                </c:pt>
              </c:numCache>
            </c:numRef>
          </c:val>
          <c:extLst>
            <c:ext xmlns:c16="http://schemas.microsoft.com/office/drawing/2014/chart" uri="{C3380CC4-5D6E-409C-BE32-E72D297353CC}">
              <c16:uniqueId val="{00000225-6A55-4F3A-B480-6D5FEFD0F633}"/>
            </c:ext>
          </c:extLst>
        </c:ser>
        <c:ser>
          <c:idx val="107"/>
          <c:order val="10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Processing!$I$137:$L$137</c:f>
              <c:numCache>
                <c:formatCode>General</c:formatCode>
                <c:ptCount val="4"/>
                <c:pt idx="0">
                  <c:v>1</c:v>
                </c:pt>
                <c:pt idx="1">
                  <c:v>0</c:v>
                </c:pt>
                <c:pt idx="2">
                  <c:v>0</c:v>
                </c:pt>
                <c:pt idx="3">
                  <c:v>0</c:v>
                </c:pt>
              </c:numCache>
            </c:numRef>
          </c:val>
          <c:extLst>
            <c:ext xmlns:c16="http://schemas.microsoft.com/office/drawing/2014/chart" uri="{C3380CC4-5D6E-409C-BE32-E72D297353CC}">
              <c16:uniqueId val="{00000227-6A55-4F3A-B480-6D5FEFD0F633}"/>
            </c:ext>
          </c:extLst>
        </c:ser>
        <c:ser>
          <c:idx val="108"/>
          <c:order val="108"/>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Processing!$I$138:$L$138</c:f>
              <c:numCache>
                <c:formatCode>General</c:formatCode>
                <c:ptCount val="4"/>
                <c:pt idx="0">
                  <c:v>1</c:v>
                </c:pt>
                <c:pt idx="1">
                  <c:v>1</c:v>
                </c:pt>
                <c:pt idx="2">
                  <c:v>0</c:v>
                </c:pt>
                <c:pt idx="3">
                  <c:v>1</c:v>
                </c:pt>
              </c:numCache>
            </c:numRef>
          </c:val>
          <c:extLst>
            <c:ext xmlns:c16="http://schemas.microsoft.com/office/drawing/2014/chart" uri="{C3380CC4-5D6E-409C-BE32-E72D297353CC}">
              <c16:uniqueId val="{00000229-6A55-4F3A-B480-6D5FEFD0F633}"/>
            </c:ext>
          </c:extLst>
        </c:ser>
        <c:ser>
          <c:idx val="109"/>
          <c:order val="10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Processing!$I$139:$L$139</c:f>
              <c:numCache>
                <c:formatCode>General</c:formatCode>
                <c:ptCount val="4"/>
                <c:pt idx="0">
                  <c:v>0</c:v>
                </c:pt>
                <c:pt idx="1">
                  <c:v>0</c:v>
                </c:pt>
                <c:pt idx="2">
                  <c:v>1</c:v>
                </c:pt>
                <c:pt idx="3">
                  <c:v>0</c:v>
                </c:pt>
              </c:numCache>
            </c:numRef>
          </c:val>
          <c:extLst>
            <c:ext xmlns:c16="http://schemas.microsoft.com/office/drawing/2014/chart" uri="{C3380CC4-5D6E-409C-BE32-E72D297353CC}">
              <c16:uniqueId val="{0000022B-6A55-4F3A-B480-6D5FEFD0F633}"/>
            </c:ext>
          </c:extLst>
        </c:ser>
        <c:ser>
          <c:idx val="110"/>
          <c:order val="11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Processing!$I$140:$L$140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22D-6A55-4F3A-B480-6D5FEFD0F633}"/>
            </c:ext>
          </c:extLst>
        </c:ser>
        <c:ser>
          <c:idx val="111"/>
          <c:order val="11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Processing!$I$141:$L$141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22F-6A55-4F3A-B480-6D5FEFD0F633}"/>
            </c:ext>
          </c:extLst>
        </c:ser>
        <c:dLbls>
          <c:showLegendKey val="0"/>
          <c:showVal val="0"/>
          <c:showCatName val="0"/>
          <c:showSerName val="0"/>
          <c:showPercent val="0"/>
          <c:showBubbleSize val="0"/>
        </c:dLbls>
        <c:gapWidth val="10"/>
        <c:overlap val="100"/>
        <c:axId val="686871919"/>
        <c:axId val="686862799"/>
      </c:barChart>
      <c:catAx>
        <c:axId val="686871919"/>
        <c:scaling>
          <c:orientation val="maxMin"/>
        </c:scaling>
        <c:delete val="0"/>
        <c:axPos val="l"/>
        <c:numFmt formatCode="General" sourceLinked="1"/>
        <c:majorTickMark val="out"/>
        <c:minorTickMark val="none"/>
        <c:tickLblPos val="nextTo"/>
        <c:spPr>
          <a:ln>
            <a:noFill/>
          </a:ln>
        </c:spPr>
        <c:txPr>
          <a:bodyPr/>
          <a:lstStyle/>
          <a:p>
            <a:pPr>
              <a:defRPr sz="900">
                <a:solidFill>
                  <a:schemeClr val="accent4">
                    <a:lumMod val="20000"/>
                    <a:lumOff val="80000"/>
                  </a:schemeClr>
                </a:solidFill>
              </a:defRPr>
            </a:pPr>
            <a:endParaRPr lang="ru-RU"/>
          </a:p>
        </c:txPr>
        <c:crossAx val="686862799"/>
        <c:crosses val="autoZero"/>
        <c:auto val="1"/>
        <c:lblAlgn val="ctr"/>
        <c:lblOffset val="100"/>
        <c:noMultiLvlLbl val="0"/>
      </c:catAx>
      <c:valAx>
        <c:axId val="686862799"/>
        <c:scaling>
          <c:orientation val="minMax"/>
          <c:max val="28"/>
          <c:min val="0"/>
        </c:scaling>
        <c:delete val="0"/>
        <c:axPos val="t"/>
        <c:numFmt formatCode="General" sourceLinked="1"/>
        <c:majorTickMark val="out"/>
        <c:minorTickMark val="none"/>
        <c:tickLblPos val="nextTo"/>
        <c:spPr>
          <a:ln w="9525">
            <a:solidFill>
              <a:srgbClr val="CAEEFB"/>
            </a:solidFill>
          </a:ln>
        </c:spPr>
        <c:txPr>
          <a:bodyPr/>
          <a:lstStyle/>
          <a:p>
            <a:pPr>
              <a:defRPr>
                <a:solidFill>
                  <a:schemeClr val="accent4">
                    <a:lumMod val="20000"/>
                    <a:lumOff val="80000"/>
                  </a:schemeClr>
                </a:solidFill>
              </a:defRPr>
            </a:pPr>
            <a:endParaRPr lang="ru-RU"/>
          </a:p>
        </c:txPr>
        <c:crossAx val="686871919"/>
        <c:crosses val="autoZero"/>
        <c:crossBetween val="between"/>
        <c:majorUnit val="7"/>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noFill/>
            <a:ln>
              <a:noFill/>
            </a:ln>
            <a:effectLst/>
          </c:spPr>
          <c:invertIfNegative val="0"/>
          <c:val>
            <c:numRef>
              <c:f>Processing!$B$58</c:f>
              <c:numCache>
                <c:formatCode>0.00</c:formatCode>
                <c:ptCount val="1"/>
                <c:pt idx="0">
                  <c:v>1.8821428571428571</c:v>
                </c:pt>
              </c:numCache>
            </c:numRef>
          </c:val>
          <c:extLst>
            <c:ext xmlns:c16="http://schemas.microsoft.com/office/drawing/2014/chart" uri="{C3380CC4-5D6E-409C-BE32-E72D297353CC}">
              <c16:uniqueId val="{00000000-6F3E-4E94-9332-D869F6D2549B}"/>
            </c:ext>
          </c:extLst>
        </c:ser>
        <c:ser>
          <c:idx val="1"/>
          <c:order val="1"/>
          <c:spPr>
            <a:blipFill>
              <a:blip xmlns:r="http://schemas.openxmlformats.org/officeDocument/2006/relationships" r:embed="rId3"/>
              <a:stretch>
                <a:fillRect/>
              </a:stretch>
            </a:blipFill>
            <a:ln>
              <a:noFill/>
            </a:ln>
            <a:effectLst/>
          </c:spPr>
          <c:invertIfNegative val="0"/>
          <c:val>
            <c:numRef>
              <c:f>Processing!$C$58</c:f>
              <c:numCache>
                <c:formatCode>0.00</c:formatCode>
                <c:ptCount val="1"/>
                <c:pt idx="0">
                  <c:v>0.2</c:v>
                </c:pt>
              </c:numCache>
            </c:numRef>
          </c:val>
          <c:extLst>
            <c:ext xmlns:c16="http://schemas.microsoft.com/office/drawing/2014/chart" uri="{C3380CC4-5D6E-409C-BE32-E72D297353CC}">
              <c16:uniqueId val="{00000001-6F3E-4E94-9332-D869F6D2549B}"/>
            </c:ext>
          </c:extLst>
        </c:ser>
        <c:ser>
          <c:idx val="2"/>
          <c:order val="2"/>
          <c:spPr>
            <a:noFill/>
            <a:ln>
              <a:noFill/>
            </a:ln>
            <a:effectLst/>
          </c:spPr>
          <c:invertIfNegative val="0"/>
          <c:val>
            <c:numRef>
              <c:f>Processing!$D$58</c:f>
              <c:numCache>
                <c:formatCode>0.00</c:formatCode>
                <c:ptCount val="1"/>
                <c:pt idx="0">
                  <c:v>1.9178571428571427</c:v>
                </c:pt>
              </c:numCache>
            </c:numRef>
          </c:val>
          <c:extLst>
            <c:ext xmlns:c16="http://schemas.microsoft.com/office/drawing/2014/chart" uri="{C3380CC4-5D6E-409C-BE32-E72D297353CC}">
              <c16:uniqueId val="{00000002-6F3E-4E94-9332-D869F6D2549B}"/>
            </c:ext>
          </c:extLst>
        </c:ser>
        <c:dLbls>
          <c:showLegendKey val="0"/>
          <c:showVal val="0"/>
          <c:showCatName val="0"/>
          <c:showSerName val="0"/>
          <c:showPercent val="0"/>
          <c:showBubbleSize val="0"/>
        </c:dLbls>
        <c:gapWidth val="0"/>
        <c:overlap val="100"/>
        <c:axId val="1320572735"/>
        <c:axId val="1320568415"/>
      </c:barChart>
      <c:catAx>
        <c:axId val="1320572735"/>
        <c:scaling>
          <c:orientation val="minMax"/>
        </c:scaling>
        <c:delete val="1"/>
        <c:axPos val="l"/>
        <c:majorTickMark val="none"/>
        <c:minorTickMark val="none"/>
        <c:tickLblPos val="nextTo"/>
        <c:crossAx val="1320568415"/>
        <c:crosses val="autoZero"/>
        <c:auto val="1"/>
        <c:lblAlgn val="ctr"/>
        <c:lblOffset val="100"/>
        <c:noMultiLvlLbl val="0"/>
      </c:catAx>
      <c:valAx>
        <c:axId val="1320568415"/>
        <c:scaling>
          <c:orientation val="minMax"/>
        </c:scaling>
        <c:delete val="1"/>
        <c:axPos val="b"/>
        <c:numFmt formatCode="0%" sourceLinked="1"/>
        <c:majorTickMark val="none"/>
        <c:minorTickMark val="none"/>
        <c:tickLblPos val="nextTo"/>
        <c:crossAx val="132057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
                    <a:srgbClr val="AAE8F7"/>
                  </a:gs>
                  <a:gs pos="70000">
                    <a:srgbClr val="52E1F1"/>
                  </a:gs>
                </a:gsLst>
                <a:lin ang="2700000" scaled="0"/>
              </a:gradFill>
              <a:ln w="19050">
                <a:noFill/>
              </a:ln>
              <a:effectLst/>
            </c:spPr>
            <c:extLst>
              <c:ext xmlns:c16="http://schemas.microsoft.com/office/drawing/2014/chart" uri="{C3380CC4-5D6E-409C-BE32-E72D297353CC}">
                <c16:uniqueId val="{00000001-8499-439A-8696-9373A4667492}"/>
              </c:ext>
            </c:extLst>
          </c:dPt>
          <c:dPt>
            <c:idx val="1"/>
            <c:bubble3D val="0"/>
            <c:spPr>
              <a:solidFill>
                <a:srgbClr val="E8EDF5"/>
              </a:solidFill>
              <a:ln w="19050">
                <a:noFill/>
              </a:ln>
              <a:effectLst/>
            </c:spPr>
            <c:extLst>
              <c:ext xmlns:c16="http://schemas.microsoft.com/office/drawing/2014/chart" uri="{C3380CC4-5D6E-409C-BE32-E72D297353CC}">
                <c16:uniqueId val="{00000003-8499-439A-8696-9373A4667492}"/>
              </c:ext>
            </c:extLst>
          </c:dPt>
          <c:dPt>
            <c:idx val="2"/>
            <c:bubble3D val="0"/>
            <c:spPr>
              <a:noFill/>
              <a:ln w="19050">
                <a:noFill/>
              </a:ln>
              <a:effectLst/>
            </c:spPr>
            <c:extLst>
              <c:ext xmlns:c16="http://schemas.microsoft.com/office/drawing/2014/chart" uri="{C3380CC4-5D6E-409C-BE32-E72D297353CC}">
                <c16:uniqueId val="{00000005-8499-439A-8696-9373A4667492}"/>
              </c:ext>
            </c:extLst>
          </c:dPt>
          <c:val>
            <c:numRef>
              <c:f>Processing!$B$7:$B$9</c:f>
              <c:numCache>
                <c:formatCode>0%</c:formatCode>
                <c:ptCount val="3"/>
                <c:pt idx="0">
                  <c:v>0.75</c:v>
                </c:pt>
                <c:pt idx="1">
                  <c:v>0</c:v>
                </c:pt>
                <c:pt idx="2">
                  <c:v>0.25</c:v>
                </c:pt>
              </c:numCache>
            </c:numRef>
          </c:val>
          <c:extLst>
            <c:ext xmlns:c16="http://schemas.microsoft.com/office/drawing/2014/chart" uri="{C3380CC4-5D6E-409C-BE32-E72D297353CC}">
              <c16:uniqueId val="{00000006-8499-439A-8696-9373A4667492}"/>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8-8499-439A-8696-9373A4667492}"/>
              </c:ext>
            </c:extLst>
          </c:dPt>
          <c:dPt>
            <c:idx val="1"/>
            <c:bubble3D val="0"/>
            <c:spPr>
              <a:noFill/>
              <a:ln w="19050">
                <a:noFill/>
              </a:ln>
              <a:effectLst/>
            </c:spPr>
            <c:extLst>
              <c:ext xmlns:c16="http://schemas.microsoft.com/office/drawing/2014/chart" uri="{C3380CC4-5D6E-409C-BE32-E72D297353CC}">
                <c16:uniqueId val="{0000000A-8499-439A-8696-9373A4667492}"/>
              </c:ext>
            </c:extLst>
          </c:dPt>
          <c:dPt>
            <c:idx val="2"/>
            <c:bubble3D val="0"/>
            <c:spPr>
              <a:noFill/>
              <a:ln w="19050">
                <a:noFill/>
              </a:ln>
              <a:effectLst/>
            </c:spPr>
            <c:extLst>
              <c:ext xmlns:c16="http://schemas.microsoft.com/office/drawing/2014/chart" uri="{C3380CC4-5D6E-409C-BE32-E72D297353CC}">
                <c16:uniqueId val="{0000000C-8499-439A-8696-9373A4667492}"/>
              </c:ext>
            </c:extLst>
          </c:dPt>
          <c:val>
            <c:numRef>
              <c:f>Processing!$C$7:$C$9</c:f>
              <c:numCache>
                <c:formatCode>0%</c:formatCode>
                <c:ptCount val="3"/>
                <c:pt idx="0">
                  <c:v>0.75</c:v>
                </c:pt>
                <c:pt idx="1">
                  <c:v>0</c:v>
                </c:pt>
                <c:pt idx="2">
                  <c:v>0.25</c:v>
                </c:pt>
              </c:numCache>
            </c:numRef>
          </c:val>
          <c:extLst>
            <c:ext xmlns:c16="http://schemas.microsoft.com/office/drawing/2014/chart" uri="{C3380CC4-5D6E-409C-BE32-E72D297353CC}">
              <c16:uniqueId val="{0000000D-8499-439A-8696-9373A4667492}"/>
            </c:ext>
          </c:extLst>
        </c:ser>
        <c:ser>
          <c:idx val="2"/>
          <c:order val="2"/>
          <c:spPr>
            <a:ln>
              <a:noFill/>
            </a:ln>
          </c:spPr>
          <c:dPt>
            <c:idx val="0"/>
            <c:bubble3D val="0"/>
            <c:spPr>
              <a:gradFill>
                <a:gsLst>
                  <a:gs pos="10000">
                    <a:srgbClr val="7CDCF3"/>
                  </a:gs>
                  <a:gs pos="70000">
                    <a:srgbClr val="22D9ED"/>
                  </a:gs>
                </a:gsLst>
                <a:lin ang="2700000" scaled="0"/>
              </a:gradFill>
              <a:ln w="19050">
                <a:noFill/>
              </a:ln>
              <a:effectLst/>
            </c:spPr>
            <c:extLst>
              <c:ext xmlns:c16="http://schemas.microsoft.com/office/drawing/2014/chart" uri="{C3380CC4-5D6E-409C-BE32-E72D297353CC}">
                <c16:uniqueId val="{0000000F-8499-439A-8696-9373A4667492}"/>
              </c:ext>
            </c:extLst>
          </c:dPt>
          <c:dPt>
            <c:idx val="1"/>
            <c:bubble3D val="0"/>
            <c:spPr>
              <a:solidFill>
                <a:srgbClr val="E8EDF5"/>
              </a:solidFill>
              <a:ln w="19050">
                <a:noFill/>
              </a:ln>
              <a:effectLst/>
            </c:spPr>
            <c:extLst>
              <c:ext xmlns:c16="http://schemas.microsoft.com/office/drawing/2014/chart" uri="{C3380CC4-5D6E-409C-BE32-E72D297353CC}">
                <c16:uniqueId val="{00000011-8499-439A-8696-9373A4667492}"/>
              </c:ext>
            </c:extLst>
          </c:dPt>
          <c:dPt>
            <c:idx val="2"/>
            <c:bubble3D val="0"/>
            <c:spPr>
              <a:noFill/>
              <a:ln w="19050">
                <a:noFill/>
              </a:ln>
              <a:effectLst/>
            </c:spPr>
            <c:extLst>
              <c:ext xmlns:c16="http://schemas.microsoft.com/office/drawing/2014/chart" uri="{C3380CC4-5D6E-409C-BE32-E72D297353CC}">
                <c16:uniqueId val="{00000013-8499-439A-8696-9373A4667492}"/>
              </c:ext>
            </c:extLst>
          </c:dPt>
          <c:val>
            <c:numRef>
              <c:f>Processing!$D$7:$D$9</c:f>
              <c:numCache>
                <c:formatCode>0%</c:formatCode>
                <c:ptCount val="3"/>
                <c:pt idx="0">
                  <c:v>0.62890882159315342</c:v>
                </c:pt>
                <c:pt idx="1">
                  <c:v>0.12109117840684658</c:v>
                </c:pt>
                <c:pt idx="2">
                  <c:v>0.25</c:v>
                </c:pt>
              </c:numCache>
            </c:numRef>
          </c:val>
          <c:extLst>
            <c:ext xmlns:c16="http://schemas.microsoft.com/office/drawing/2014/chart" uri="{C3380CC4-5D6E-409C-BE32-E72D297353CC}">
              <c16:uniqueId val="{00000014-8499-439A-8696-9373A4667492}"/>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6-8499-439A-8696-9373A4667492}"/>
              </c:ext>
            </c:extLst>
          </c:dPt>
          <c:dPt>
            <c:idx val="1"/>
            <c:bubble3D val="0"/>
            <c:spPr>
              <a:noFill/>
              <a:ln w="19050">
                <a:noFill/>
              </a:ln>
              <a:effectLst/>
            </c:spPr>
            <c:extLst>
              <c:ext xmlns:c16="http://schemas.microsoft.com/office/drawing/2014/chart" uri="{C3380CC4-5D6E-409C-BE32-E72D297353CC}">
                <c16:uniqueId val="{00000018-8499-439A-8696-9373A4667492}"/>
              </c:ext>
            </c:extLst>
          </c:dPt>
          <c:dPt>
            <c:idx val="2"/>
            <c:bubble3D val="0"/>
            <c:spPr>
              <a:noFill/>
              <a:ln w="19050">
                <a:noFill/>
              </a:ln>
              <a:effectLst/>
            </c:spPr>
            <c:extLst>
              <c:ext xmlns:c16="http://schemas.microsoft.com/office/drawing/2014/chart" uri="{C3380CC4-5D6E-409C-BE32-E72D297353CC}">
                <c16:uniqueId val="{0000001A-8499-439A-8696-9373A4667492}"/>
              </c:ext>
            </c:extLst>
          </c:dPt>
          <c:val>
            <c:numRef>
              <c:f>Processing!$E$7:$E$9</c:f>
              <c:numCache>
                <c:formatCode>0%</c:formatCode>
                <c:ptCount val="3"/>
                <c:pt idx="0">
                  <c:v>0.62890882159315342</c:v>
                </c:pt>
                <c:pt idx="1">
                  <c:v>0.12109117840684658</c:v>
                </c:pt>
                <c:pt idx="2">
                  <c:v>0.25</c:v>
                </c:pt>
              </c:numCache>
            </c:numRef>
          </c:val>
          <c:extLst>
            <c:ext xmlns:c16="http://schemas.microsoft.com/office/drawing/2014/chart" uri="{C3380CC4-5D6E-409C-BE32-E72D297353CC}">
              <c16:uniqueId val="{0000001B-8499-439A-8696-9373A4667492}"/>
            </c:ext>
          </c:extLst>
        </c:ser>
        <c:ser>
          <c:idx val="4"/>
          <c:order val="4"/>
          <c:spPr>
            <a:ln>
              <a:noFill/>
            </a:ln>
          </c:spPr>
          <c:dPt>
            <c:idx val="0"/>
            <c:bubble3D val="0"/>
            <c:spPr>
              <a:gradFill>
                <a:gsLst>
                  <a:gs pos="10000">
                    <a:srgbClr val="4ED0EF"/>
                  </a:gs>
                  <a:gs pos="70000">
                    <a:srgbClr val="10B9CB"/>
                  </a:gs>
                </a:gsLst>
                <a:lin ang="2700000" scaled="0"/>
              </a:gradFill>
              <a:ln w="19050">
                <a:noFill/>
              </a:ln>
              <a:effectLst/>
            </c:spPr>
            <c:extLst>
              <c:ext xmlns:c16="http://schemas.microsoft.com/office/drawing/2014/chart" uri="{C3380CC4-5D6E-409C-BE32-E72D297353CC}">
                <c16:uniqueId val="{0000001D-8499-439A-8696-9373A4667492}"/>
              </c:ext>
            </c:extLst>
          </c:dPt>
          <c:dPt>
            <c:idx val="1"/>
            <c:bubble3D val="0"/>
            <c:spPr>
              <a:solidFill>
                <a:srgbClr val="E8EDF5"/>
              </a:solidFill>
              <a:ln w="19050">
                <a:noFill/>
              </a:ln>
              <a:effectLst/>
            </c:spPr>
            <c:extLst>
              <c:ext xmlns:c16="http://schemas.microsoft.com/office/drawing/2014/chart" uri="{C3380CC4-5D6E-409C-BE32-E72D297353CC}">
                <c16:uniqueId val="{0000001F-8499-439A-8696-9373A4667492}"/>
              </c:ext>
            </c:extLst>
          </c:dPt>
          <c:dPt>
            <c:idx val="2"/>
            <c:bubble3D val="0"/>
            <c:spPr>
              <a:noFill/>
              <a:ln w="19050">
                <a:noFill/>
              </a:ln>
              <a:effectLst/>
            </c:spPr>
            <c:extLst>
              <c:ext xmlns:c16="http://schemas.microsoft.com/office/drawing/2014/chart" uri="{C3380CC4-5D6E-409C-BE32-E72D297353CC}">
                <c16:uniqueId val="{00000021-8499-439A-8696-9373A4667492}"/>
              </c:ext>
            </c:extLst>
          </c:dPt>
          <c:val>
            <c:numRef>
              <c:f>Processing!$F$7:$F$9</c:f>
              <c:numCache>
                <c:formatCode>0%</c:formatCode>
                <c:ptCount val="3"/>
                <c:pt idx="0">
                  <c:v>0.65594140882159313</c:v>
                </c:pt>
                <c:pt idx="1">
                  <c:v>9.405859117840687E-2</c:v>
                </c:pt>
                <c:pt idx="2">
                  <c:v>0.25</c:v>
                </c:pt>
              </c:numCache>
            </c:numRef>
          </c:val>
          <c:extLst>
            <c:ext xmlns:c16="http://schemas.microsoft.com/office/drawing/2014/chart" uri="{C3380CC4-5D6E-409C-BE32-E72D297353CC}">
              <c16:uniqueId val="{00000022-8499-439A-8696-9373A4667492}"/>
            </c:ext>
          </c:extLst>
        </c:ser>
        <c:ser>
          <c:idx val="5"/>
          <c:order val="5"/>
          <c:spPr>
            <a:noFill/>
            <a:ln>
              <a:noFill/>
            </a:ln>
          </c:spPr>
          <c:dPt>
            <c:idx val="0"/>
            <c:bubble3D val="0"/>
            <c:spPr>
              <a:noFill/>
              <a:ln w="19050">
                <a:noFill/>
              </a:ln>
              <a:effectLst/>
            </c:spPr>
            <c:extLst>
              <c:ext xmlns:c16="http://schemas.microsoft.com/office/drawing/2014/chart" uri="{C3380CC4-5D6E-409C-BE32-E72D297353CC}">
                <c16:uniqueId val="{00000024-8499-439A-8696-9373A4667492}"/>
              </c:ext>
            </c:extLst>
          </c:dPt>
          <c:dPt>
            <c:idx val="1"/>
            <c:bubble3D val="0"/>
            <c:spPr>
              <a:noFill/>
              <a:ln w="19050">
                <a:noFill/>
              </a:ln>
              <a:effectLst/>
            </c:spPr>
            <c:extLst>
              <c:ext xmlns:c16="http://schemas.microsoft.com/office/drawing/2014/chart" uri="{C3380CC4-5D6E-409C-BE32-E72D297353CC}">
                <c16:uniqueId val="{00000026-8499-439A-8696-9373A4667492}"/>
              </c:ext>
            </c:extLst>
          </c:dPt>
          <c:dPt>
            <c:idx val="2"/>
            <c:bubble3D val="0"/>
            <c:spPr>
              <a:noFill/>
              <a:ln w="19050">
                <a:noFill/>
              </a:ln>
              <a:effectLst/>
            </c:spPr>
            <c:extLst>
              <c:ext xmlns:c16="http://schemas.microsoft.com/office/drawing/2014/chart" uri="{C3380CC4-5D6E-409C-BE32-E72D297353CC}">
                <c16:uniqueId val="{00000028-8499-439A-8696-9373A4667492}"/>
              </c:ext>
            </c:extLst>
          </c:dPt>
          <c:val>
            <c:numRef>
              <c:f>Processing!$G$7:$G$9</c:f>
              <c:numCache>
                <c:formatCode>0%</c:formatCode>
                <c:ptCount val="3"/>
                <c:pt idx="0">
                  <c:v>0.65594140882159313</c:v>
                </c:pt>
                <c:pt idx="1">
                  <c:v>9.405859117840687E-2</c:v>
                </c:pt>
                <c:pt idx="2">
                  <c:v>0.25</c:v>
                </c:pt>
              </c:numCache>
            </c:numRef>
          </c:val>
          <c:extLst>
            <c:ext xmlns:c16="http://schemas.microsoft.com/office/drawing/2014/chart" uri="{C3380CC4-5D6E-409C-BE32-E72D297353CC}">
              <c16:uniqueId val="{00000029-8499-439A-8696-9373A4667492}"/>
            </c:ext>
          </c:extLst>
        </c:ser>
        <c:ser>
          <c:idx val="6"/>
          <c:order val="6"/>
          <c:spPr>
            <a:ln>
              <a:noFill/>
            </a:ln>
          </c:spPr>
          <c:dPt>
            <c:idx val="0"/>
            <c:bubble3D val="0"/>
            <c:spPr>
              <a:gradFill>
                <a:gsLst>
                  <a:gs pos="10000">
                    <a:srgbClr val="00D9F6"/>
                  </a:gs>
                  <a:gs pos="70000">
                    <a:srgbClr val="00A5CC"/>
                  </a:gs>
                </a:gsLst>
                <a:lin ang="2700000" scaled="0"/>
              </a:gradFill>
              <a:ln w="19050">
                <a:noFill/>
              </a:ln>
              <a:effectLst/>
            </c:spPr>
            <c:extLst>
              <c:ext xmlns:c16="http://schemas.microsoft.com/office/drawing/2014/chart" uri="{C3380CC4-5D6E-409C-BE32-E72D297353CC}">
                <c16:uniqueId val="{0000002B-8499-439A-8696-9373A4667492}"/>
              </c:ext>
            </c:extLst>
          </c:dPt>
          <c:dPt>
            <c:idx val="1"/>
            <c:bubble3D val="0"/>
            <c:spPr>
              <a:solidFill>
                <a:srgbClr val="E8EDF5"/>
              </a:solidFill>
              <a:ln w="19050">
                <a:noFill/>
              </a:ln>
              <a:effectLst/>
            </c:spPr>
            <c:extLst>
              <c:ext xmlns:c16="http://schemas.microsoft.com/office/drawing/2014/chart" uri="{C3380CC4-5D6E-409C-BE32-E72D297353CC}">
                <c16:uniqueId val="{0000002D-8499-439A-8696-9373A4667492}"/>
              </c:ext>
            </c:extLst>
          </c:dPt>
          <c:dPt>
            <c:idx val="2"/>
            <c:bubble3D val="0"/>
            <c:spPr>
              <a:noFill/>
              <a:ln w="19050">
                <a:noFill/>
              </a:ln>
              <a:effectLst/>
            </c:spPr>
            <c:extLst>
              <c:ext xmlns:c16="http://schemas.microsoft.com/office/drawing/2014/chart" uri="{C3380CC4-5D6E-409C-BE32-E72D297353CC}">
                <c16:uniqueId val="{0000002F-8499-439A-8696-9373A4667492}"/>
              </c:ext>
            </c:extLst>
          </c:dPt>
          <c:val>
            <c:numRef>
              <c:f>Processing!$H$7:$H$9</c:f>
              <c:numCache>
                <c:formatCode>0%</c:formatCode>
                <c:ptCount val="3"/>
                <c:pt idx="0">
                  <c:v>0.47115701119157338</c:v>
                </c:pt>
                <c:pt idx="1">
                  <c:v>0.27884298880842662</c:v>
                </c:pt>
                <c:pt idx="2">
                  <c:v>0.25</c:v>
                </c:pt>
              </c:numCache>
            </c:numRef>
          </c:val>
          <c:extLst>
            <c:ext xmlns:c16="http://schemas.microsoft.com/office/drawing/2014/chart" uri="{C3380CC4-5D6E-409C-BE32-E72D297353CC}">
              <c16:uniqueId val="{00000030-8499-439A-8696-9373A4667492}"/>
            </c:ext>
          </c:extLst>
        </c:ser>
        <c:ser>
          <c:idx val="7"/>
          <c:order val="7"/>
          <c:spPr>
            <a:noFill/>
            <a:ln>
              <a:noFill/>
            </a:ln>
          </c:spPr>
          <c:dPt>
            <c:idx val="0"/>
            <c:bubble3D val="0"/>
            <c:spPr>
              <a:noFill/>
              <a:ln w="19050">
                <a:noFill/>
              </a:ln>
              <a:effectLst/>
            </c:spPr>
            <c:extLst>
              <c:ext xmlns:c16="http://schemas.microsoft.com/office/drawing/2014/chart" uri="{C3380CC4-5D6E-409C-BE32-E72D297353CC}">
                <c16:uniqueId val="{00000032-8499-439A-8696-9373A4667492}"/>
              </c:ext>
            </c:extLst>
          </c:dPt>
          <c:dPt>
            <c:idx val="1"/>
            <c:bubble3D val="0"/>
            <c:spPr>
              <a:noFill/>
              <a:ln w="19050">
                <a:noFill/>
              </a:ln>
              <a:effectLst/>
            </c:spPr>
            <c:extLst>
              <c:ext xmlns:c16="http://schemas.microsoft.com/office/drawing/2014/chart" uri="{C3380CC4-5D6E-409C-BE32-E72D297353CC}">
                <c16:uniqueId val="{00000034-8499-439A-8696-9373A4667492}"/>
              </c:ext>
            </c:extLst>
          </c:dPt>
          <c:dPt>
            <c:idx val="2"/>
            <c:bubble3D val="0"/>
            <c:spPr>
              <a:noFill/>
              <a:ln w="19050">
                <a:noFill/>
              </a:ln>
              <a:effectLst/>
            </c:spPr>
            <c:extLst>
              <c:ext xmlns:c16="http://schemas.microsoft.com/office/drawing/2014/chart" uri="{C3380CC4-5D6E-409C-BE32-E72D297353CC}">
                <c16:uniqueId val="{00000036-8499-439A-8696-9373A4667492}"/>
              </c:ext>
            </c:extLst>
          </c:dPt>
          <c:val>
            <c:numRef>
              <c:f>Processing!$I$7:$I$9</c:f>
              <c:numCache>
                <c:formatCode>0%</c:formatCode>
                <c:ptCount val="3"/>
                <c:pt idx="0">
                  <c:v>0.47115701119157338</c:v>
                </c:pt>
                <c:pt idx="1">
                  <c:v>0.27884298880842662</c:v>
                </c:pt>
                <c:pt idx="2">
                  <c:v>0.25</c:v>
                </c:pt>
              </c:numCache>
            </c:numRef>
          </c:val>
          <c:extLst>
            <c:ext xmlns:c16="http://schemas.microsoft.com/office/drawing/2014/chart" uri="{C3380CC4-5D6E-409C-BE32-E72D297353CC}">
              <c16:uniqueId val="{00000037-8499-439A-8696-9373A4667492}"/>
            </c:ext>
          </c:extLst>
        </c:ser>
        <c:ser>
          <c:idx val="8"/>
          <c:order val="8"/>
          <c:spPr>
            <a:ln>
              <a:noFill/>
            </a:ln>
          </c:spPr>
          <c:dPt>
            <c:idx val="0"/>
            <c:bubble3D val="0"/>
            <c:spPr>
              <a:gradFill>
                <a:gsLst>
                  <a:gs pos="10000">
                    <a:srgbClr val="00D2EC"/>
                  </a:gs>
                  <a:gs pos="70000">
                    <a:srgbClr val="009ABF"/>
                  </a:gs>
                </a:gsLst>
                <a:lin ang="2700000" scaled="0"/>
              </a:gradFill>
              <a:ln w="22225" cap="rnd">
                <a:noFill/>
                <a:round/>
              </a:ln>
              <a:effectLst/>
            </c:spPr>
            <c:extLst>
              <c:ext xmlns:c16="http://schemas.microsoft.com/office/drawing/2014/chart" uri="{C3380CC4-5D6E-409C-BE32-E72D297353CC}">
                <c16:uniqueId val="{00000039-8499-439A-8696-9373A4667492}"/>
              </c:ext>
            </c:extLst>
          </c:dPt>
          <c:dPt>
            <c:idx val="1"/>
            <c:bubble3D val="0"/>
            <c:spPr>
              <a:solidFill>
                <a:srgbClr val="E8EDF5"/>
              </a:solidFill>
              <a:ln w="19050">
                <a:noFill/>
              </a:ln>
              <a:effectLst/>
            </c:spPr>
            <c:extLst>
              <c:ext xmlns:c16="http://schemas.microsoft.com/office/drawing/2014/chart" uri="{C3380CC4-5D6E-409C-BE32-E72D297353CC}">
                <c16:uniqueId val="{0000003B-8499-439A-8696-9373A4667492}"/>
              </c:ext>
            </c:extLst>
          </c:dPt>
          <c:dPt>
            <c:idx val="2"/>
            <c:bubble3D val="0"/>
            <c:spPr>
              <a:noFill/>
              <a:ln w="19050">
                <a:noFill/>
              </a:ln>
              <a:effectLst/>
            </c:spPr>
            <c:extLst>
              <c:ext xmlns:c16="http://schemas.microsoft.com/office/drawing/2014/chart" uri="{C3380CC4-5D6E-409C-BE32-E72D297353CC}">
                <c16:uniqueId val="{0000003D-8499-439A-8696-9373A4667492}"/>
              </c:ext>
            </c:extLst>
          </c:dPt>
          <c:val>
            <c:numRef>
              <c:f>Processing!$J$7:$J$9</c:f>
              <c:numCache>
                <c:formatCode>0%</c:formatCode>
                <c:ptCount val="3"/>
                <c:pt idx="0">
                  <c:v>0.42783080974325216</c:v>
                </c:pt>
                <c:pt idx="1">
                  <c:v>0.32216919025674784</c:v>
                </c:pt>
                <c:pt idx="2">
                  <c:v>0.25</c:v>
                </c:pt>
              </c:numCache>
            </c:numRef>
          </c:val>
          <c:extLst>
            <c:ext xmlns:c16="http://schemas.microsoft.com/office/drawing/2014/chart" uri="{C3380CC4-5D6E-409C-BE32-E72D297353CC}">
              <c16:uniqueId val="{0000003E-8499-439A-8696-9373A4667492}"/>
            </c:ext>
          </c:extLst>
        </c:ser>
        <c:dLbls>
          <c:showLegendKey val="0"/>
          <c:showVal val="0"/>
          <c:showCatName val="0"/>
          <c:showSerName val="0"/>
          <c:showPercent val="0"/>
          <c:showBubbleSize val="0"/>
          <c:showLeaderLines val="1"/>
        </c:dLbls>
        <c:firstSliceAng val="18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DCF2FF"/>
                  </a:gs>
                  <a:gs pos="0">
                    <a:srgbClr val="E1E9F5"/>
                  </a:gs>
                </a:gsLst>
                <a:path path="circle">
                  <a:fillToRect l="100000" t="100000"/>
                </a:path>
              </a:gradFill>
              <a:ln w="19050">
                <a:noFill/>
              </a:ln>
              <a:effectLst/>
            </c:spPr>
            <c:extLst>
              <c:ext xmlns:c16="http://schemas.microsoft.com/office/drawing/2014/chart" uri="{C3380CC4-5D6E-409C-BE32-E72D297353CC}">
                <c16:uniqueId val="{00000001-6A14-455F-9574-C96847011F6A}"/>
              </c:ext>
            </c:extLst>
          </c:dPt>
          <c:dPt>
            <c:idx val="1"/>
            <c:bubble3D val="0"/>
            <c:spPr>
              <a:gradFill>
                <a:gsLst>
                  <a:gs pos="0">
                    <a:srgbClr val="1C7A9D"/>
                  </a:gs>
                  <a:gs pos="100000">
                    <a:srgbClr val="14547D"/>
                  </a:gs>
                </a:gsLst>
                <a:path path="circle">
                  <a:fillToRect l="100000" t="100000"/>
                </a:path>
              </a:gradFill>
              <a:ln w="19050">
                <a:noFill/>
              </a:ln>
              <a:effectLst/>
            </c:spPr>
            <c:extLst>
              <c:ext xmlns:c16="http://schemas.microsoft.com/office/drawing/2014/chart" uri="{C3380CC4-5D6E-409C-BE32-E72D297353CC}">
                <c16:uniqueId val="{00000003-6A14-455F-9574-C96847011F6A}"/>
              </c:ext>
            </c:extLst>
          </c:dPt>
          <c:dPt>
            <c:idx val="2"/>
            <c:bubble3D val="0"/>
            <c:spPr>
              <a:gradFill>
                <a:gsLst>
                  <a:gs pos="0">
                    <a:schemeClr val="accent4">
                      <a:lumMod val="20000"/>
                      <a:lumOff val="80000"/>
                    </a:schemeClr>
                  </a:gs>
                  <a:gs pos="70000">
                    <a:srgbClr val="52E1F1"/>
                  </a:gs>
                </a:gsLst>
                <a:lin ang="2700000" scaled="0"/>
              </a:gradFill>
              <a:ln w="19050">
                <a:noFill/>
              </a:ln>
              <a:effectLst/>
            </c:spPr>
            <c:extLst>
              <c:ext xmlns:c16="http://schemas.microsoft.com/office/drawing/2014/chart" uri="{C3380CC4-5D6E-409C-BE32-E72D297353CC}">
                <c16:uniqueId val="{00000005-6A14-455F-9574-C96847011F6A}"/>
              </c:ext>
            </c:extLst>
          </c:dPt>
          <c:dPt>
            <c:idx val="3"/>
            <c:bubble3D val="0"/>
            <c:spPr>
              <a:noFill/>
              <a:ln w="19050">
                <a:noFill/>
              </a:ln>
              <a:effectLst/>
            </c:spPr>
            <c:extLst>
              <c:ext xmlns:c16="http://schemas.microsoft.com/office/drawing/2014/chart" uri="{C3380CC4-5D6E-409C-BE32-E72D297353CC}">
                <c16:uniqueId val="{00000007-6A14-455F-9574-C96847011F6A}"/>
              </c:ext>
            </c:extLst>
          </c:dPt>
          <c:dPt>
            <c:idx val="4"/>
            <c:bubble3D val="0"/>
            <c:spPr>
              <a:gradFill>
                <a:gsLst>
                  <a:gs pos="0">
                    <a:srgbClr val="14557A"/>
                  </a:gs>
                  <a:gs pos="100000">
                    <a:srgbClr val="0F4672"/>
                  </a:gs>
                </a:gsLst>
                <a:path path="circle">
                  <a:fillToRect l="100000" t="100000"/>
                </a:path>
              </a:gradFill>
              <a:ln w="19050">
                <a:noFill/>
              </a:ln>
              <a:effectLst/>
            </c:spPr>
            <c:extLst>
              <c:ext xmlns:c16="http://schemas.microsoft.com/office/drawing/2014/chart" uri="{C3380CC4-5D6E-409C-BE32-E72D297353CC}">
                <c16:uniqueId val="{00000009-6A14-455F-9574-C96847011F6A}"/>
              </c:ext>
            </c:extLst>
          </c:dPt>
          <c:val>
            <c:numRef>
              <c:f>Processing!$N$11:$N$15</c:f>
              <c:numCache>
                <c:formatCode>0%</c:formatCode>
                <c:ptCount val="5"/>
                <c:pt idx="0">
                  <c:v>0.28000000000000003</c:v>
                </c:pt>
                <c:pt idx="1">
                  <c:v>0.21</c:v>
                </c:pt>
                <c:pt idx="2">
                  <c:v>0.13</c:v>
                </c:pt>
                <c:pt idx="3">
                  <c:v>0.05</c:v>
                </c:pt>
                <c:pt idx="4">
                  <c:v>0.32999999999999996</c:v>
                </c:pt>
              </c:numCache>
            </c:numRef>
          </c:val>
          <c:extLst>
            <c:ext xmlns:c16="http://schemas.microsoft.com/office/drawing/2014/chart" uri="{C3380CC4-5D6E-409C-BE32-E72D297353CC}">
              <c16:uniqueId val="{0000000A-6A14-455F-9574-C96847011F6A}"/>
            </c:ext>
          </c:extLst>
        </c:ser>
        <c:ser>
          <c:idx val="1"/>
          <c:order val="1"/>
          <c:spPr>
            <a:ln>
              <a:noFill/>
            </a:ln>
          </c:spPr>
          <c:dPt>
            <c:idx val="0"/>
            <c:bubble3D val="0"/>
            <c:spPr>
              <a:gradFill>
                <a:gsLst>
                  <a:gs pos="100000">
                    <a:srgbClr val="DCF2FF"/>
                  </a:gs>
                  <a:gs pos="0">
                    <a:srgbClr val="E1E9F5"/>
                  </a:gs>
                </a:gsLst>
                <a:path path="circle">
                  <a:fillToRect l="100000" t="100000"/>
                </a:path>
              </a:gradFill>
              <a:ln w="19050">
                <a:noFill/>
              </a:ln>
              <a:effectLst/>
            </c:spPr>
            <c:extLst>
              <c:ext xmlns:c16="http://schemas.microsoft.com/office/drawing/2014/chart" uri="{C3380CC4-5D6E-409C-BE32-E72D297353CC}">
                <c16:uniqueId val="{0000000C-6A14-455F-9574-C96847011F6A}"/>
              </c:ext>
            </c:extLst>
          </c:dPt>
          <c:dPt>
            <c:idx val="1"/>
            <c:bubble3D val="0"/>
            <c:spPr>
              <a:gradFill>
                <a:gsLst>
                  <a:gs pos="0">
                    <a:srgbClr val="1C7A9D"/>
                  </a:gs>
                  <a:gs pos="100000">
                    <a:srgbClr val="14547D"/>
                  </a:gs>
                </a:gsLst>
                <a:path path="circle">
                  <a:fillToRect l="100000" t="100000"/>
                </a:path>
              </a:gradFill>
              <a:ln w="19050">
                <a:noFill/>
              </a:ln>
              <a:effectLst/>
            </c:spPr>
            <c:extLst>
              <c:ext xmlns:c16="http://schemas.microsoft.com/office/drawing/2014/chart" uri="{C3380CC4-5D6E-409C-BE32-E72D297353CC}">
                <c16:uniqueId val="{0000000E-6A14-455F-9574-C96847011F6A}"/>
              </c:ext>
            </c:extLst>
          </c:dPt>
          <c:dPt>
            <c:idx val="2"/>
            <c:bubble3D val="0"/>
            <c:spPr>
              <a:gradFill>
                <a:gsLst>
                  <a:gs pos="0">
                    <a:schemeClr val="accent4">
                      <a:lumMod val="20000"/>
                      <a:lumOff val="80000"/>
                    </a:schemeClr>
                  </a:gs>
                  <a:gs pos="70000">
                    <a:srgbClr val="52E1F1"/>
                  </a:gs>
                </a:gsLst>
                <a:lin ang="2700000" scaled="0"/>
              </a:gradFill>
              <a:ln w="19050">
                <a:noFill/>
              </a:ln>
              <a:effectLst/>
            </c:spPr>
            <c:extLst>
              <c:ext xmlns:c16="http://schemas.microsoft.com/office/drawing/2014/chart" uri="{C3380CC4-5D6E-409C-BE32-E72D297353CC}">
                <c16:uniqueId val="{00000010-6A14-455F-9574-C96847011F6A}"/>
              </c:ext>
            </c:extLst>
          </c:dPt>
          <c:dPt>
            <c:idx val="3"/>
            <c:bubble3D val="0"/>
            <c:spPr>
              <a:noFill/>
              <a:ln w="19050">
                <a:noFill/>
              </a:ln>
              <a:effectLst/>
            </c:spPr>
            <c:extLst>
              <c:ext xmlns:c16="http://schemas.microsoft.com/office/drawing/2014/chart" uri="{C3380CC4-5D6E-409C-BE32-E72D297353CC}">
                <c16:uniqueId val="{00000012-6A14-455F-9574-C96847011F6A}"/>
              </c:ext>
            </c:extLst>
          </c:dPt>
          <c:dPt>
            <c:idx val="4"/>
            <c:bubble3D val="0"/>
            <c:spPr>
              <a:gradFill>
                <a:gsLst>
                  <a:gs pos="0">
                    <a:srgbClr val="14557A"/>
                  </a:gs>
                  <a:gs pos="100000">
                    <a:srgbClr val="0F4672"/>
                  </a:gs>
                </a:gsLst>
                <a:path path="circle">
                  <a:fillToRect l="100000" t="100000"/>
                </a:path>
              </a:gradFill>
              <a:ln w="19050">
                <a:noFill/>
              </a:ln>
              <a:effectLst/>
            </c:spPr>
            <c:extLst>
              <c:ext xmlns:c16="http://schemas.microsoft.com/office/drawing/2014/chart" uri="{C3380CC4-5D6E-409C-BE32-E72D297353CC}">
                <c16:uniqueId val="{00000014-6A14-455F-9574-C96847011F6A}"/>
              </c:ext>
            </c:extLst>
          </c:dPt>
          <c:val>
            <c:numRef>
              <c:f>Processing!$O$11:$O$15</c:f>
              <c:numCache>
                <c:formatCode>0%</c:formatCode>
                <c:ptCount val="5"/>
                <c:pt idx="0">
                  <c:v>0.28000000000000003</c:v>
                </c:pt>
                <c:pt idx="1">
                  <c:v>0.21</c:v>
                </c:pt>
                <c:pt idx="2">
                  <c:v>0.13</c:v>
                </c:pt>
                <c:pt idx="3">
                  <c:v>0.05</c:v>
                </c:pt>
                <c:pt idx="4">
                  <c:v>0.32999999999999996</c:v>
                </c:pt>
              </c:numCache>
            </c:numRef>
          </c:val>
          <c:extLst>
            <c:ext xmlns:c16="http://schemas.microsoft.com/office/drawing/2014/chart" uri="{C3380CC4-5D6E-409C-BE32-E72D297353CC}">
              <c16:uniqueId val="{00000015-6A14-455F-9574-C96847011F6A}"/>
            </c:ext>
          </c:extLst>
        </c:ser>
        <c:ser>
          <c:idx val="2"/>
          <c:order val="2"/>
          <c:spPr>
            <a:ln>
              <a:noFill/>
            </a:ln>
          </c:spPr>
          <c:dPt>
            <c:idx val="0"/>
            <c:bubble3D val="0"/>
            <c:spPr>
              <a:gradFill>
                <a:gsLst>
                  <a:gs pos="100000">
                    <a:srgbClr val="DCF2FF"/>
                  </a:gs>
                  <a:gs pos="0">
                    <a:srgbClr val="E1E9F5"/>
                  </a:gs>
                </a:gsLst>
                <a:path path="circle">
                  <a:fillToRect l="100000" t="100000"/>
                </a:path>
              </a:gradFill>
              <a:ln w="19050">
                <a:noFill/>
              </a:ln>
              <a:effectLst/>
            </c:spPr>
            <c:extLst>
              <c:ext xmlns:c16="http://schemas.microsoft.com/office/drawing/2014/chart" uri="{C3380CC4-5D6E-409C-BE32-E72D297353CC}">
                <c16:uniqueId val="{00000017-6A14-455F-9574-C96847011F6A}"/>
              </c:ext>
            </c:extLst>
          </c:dPt>
          <c:dPt>
            <c:idx val="1"/>
            <c:bubble3D val="0"/>
            <c:spPr>
              <a:noFill/>
              <a:ln w="19050">
                <a:noFill/>
              </a:ln>
              <a:effectLst/>
            </c:spPr>
            <c:extLst>
              <c:ext xmlns:c16="http://schemas.microsoft.com/office/drawing/2014/chart" uri="{C3380CC4-5D6E-409C-BE32-E72D297353CC}">
                <c16:uniqueId val="{00000019-6A14-455F-9574-C96847011F6A}"/>
              </c:ext>
            </c:extLst>
          </c:dPt>
          <c:dPt>
            <c:idx val="2"/>
            <c:bubble3D val="0"/>
            <c:spPr>
              <a:gradFill>
                <a:gsLst>
                  <a:gs pos="0">
                    <a:schemeClr val="accent4">
                      <a:lumMod val="20000"/>
                      <a:lumOff val="80000"/>
                    </a:schemeClr>
                  </a:gs>
                  <a:gs pos="70000">
                    <a:srgbClr val="52E1F1"/>
                  </a:gs>
                </a:gsLst>
                <a:lin ang="2700000" scaled="0"/>
              </a:gradFill>
              <a:ln w="19050">
                <a:noFill/>
              </a:ln>
              <a:effectLst/>
            </c:spPr>
            <c:extLst>
              <c:ext xmlns:c16="http://schemas.microsoft.com/office/drawing/2014/chart" uri="{C3380CC4-5D6E-409C-BE32-E72D297353CC}">
                <c16:uniqueId val="{0000001B-6A14-455F-9574-C96847011F6A}"/>
              </c:ext>
            </c:extLst>
          </c:dPt>
          <c:dPt>
            <c:idx val="3"/>
            <c:bubble3D val="0"/>
            <c:spPr>
              <a:noFill/>
              <a:ln w="19050">
                <a:noFill/>
              </a:ln>
              <a:effectLst/>
            </c:spPr>
            <c:extLst>
              <c:ext xmlns:c16="http://schemas.microsoft.com/office/drawing/2014/chart" uri="{C3380CC4-5D6E-409C-BE32-E72D297353CC}">
                <c16:uniqueId val="{0000001D-6A14-455F-9574-C96847011F6A}"/>
              </c:ext>
            </c:extLst>
          </c:dPt>
          <c:dPt>
            <c:idx val="4"/>
            <c:bubble3D val="0"/>
            <c:spPr>
              <a:noFill/>
              <a:ln w="19050">
                <a:noFill/>
              </a:ln>
              <a:effectLst/>
            </c:spPr>
            <c:extLst>
              <c:ext xmlns:c16="http://schemas.microsoft.com/office/drawing/2014/chart" uri="{C3380CC4-5D6E-409C-BE32-E72D297353CC}">
                <c16:uniqueId val="{0000001F-6A14-455F-9574-C96847011F6A}"/>
              </c:ext>
            </c:extLst>
          </c:dPt>
          <c:val>
            <c:numRef>
              <c:f>Processing!$P$11:$P$15</c:f>
              <c:numCache>
                <c:formatCode>0%</c:formatCode>
                <c:ptCount val="5"/>
                <c:pt idx="0">
                  <c:v>0.28000000000000003</c:v>
                </c:pt>
                <c:pt idx="1">
                  <c:v>0.21</c:v>
                </c:pt>
                <c:pt idx="2">
                  <c:v>0.13</c:v>
                </c:pt>
                <c:pt idx="3">
                  <c:v>0.05</c:v>
                </c:pt>
                <c:pt idx="4">
                  <c:v>0.32999999999999996</c:v>
                </c:pt>
              </c:numCache>
            </c:numRef>
          </c:val>
          <c:extLst>
            <c:ext xmlns:c16="http://schemas.microsoft.com/office/drawing/2014/chart" uri="{C3380CC4-5D6E-409C-BE32-E72D297353CC}">
              <c16:uniqueId val="{00000020-6A14-455F-9574-C96847011F6A}"/>
            </c:ext>
          </c:extLst>
        </c:ser>
        <c:dLbls>
          <c:showLegendKey val="0"/>
          <c:showVal val="0"/>
          <c:showCatName val="0"/>
          <c:showSerName val="0"/>
          <c:showPercent val="0"/>
          <c:showBubbleSize val="0"/>
          <c:showLeaderLines val="1"/>
        </c:dLbls>
        <c:firstSliceAng val="25"/>
        <c:holeSize val="7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
                    <a:srgbClr val="006FFE"/>
                  </a:gs>
                  <a:gs pos="80000">
                    <a:srgbClr val="00E2F9"/>
                  </a:gs>
                </a:gsLst>
                <a:lin ang="2700000" scaled="0"/>
              </a:gradFill>
              <a:ln w="19050">
                <a:noFill/>
              </a:ln>
              <a:effectLst/>
            </c:spPr>
            <c:extLst>
              <c:ext xmlns:c16="http://schemas.microsoft.com/office/drawing/2014/chart" uri="{C3380CC4-5D6E-409C-BE32-E72D297353CC}">
                <c16:uniqueId val="{00000001-E386-4139-8B08-BB98A90BB549}"/>
              </c:ext>
            </c:extLst>
          </c:dPt>
          <c:dPt>
            <c:idx val="1"/>
            <c:bubble3D val="0"/>
            <c:spPr>
              <a:solidFill>
                <a:srgbClr val="EAEEF7"/>
              </a:solidFill>
              <a:ln w="19050">
                <a:noFill/>
              </a:ln>
              <a:effectLst/>
            </c:spPr>
            <c:extLst>
              <c:ext xmlns:c16="http://schemas.microsoft.com/office/drawing/2014/chart" uri="{C3380CC4-5D6E-409C-BE32-E72D297353CC}">
                <c16:uniqueId val="{00000003-E386-4139-8B08-BB98A90BB549}"/>
              </c:ext>
            </c:extLst>
          </c:dPt>
          <c:val>
            <c:numRef>
              <c:f>Processing!$J$2:$K$2</c:f>
              <c:numCache>
                <c:formatCode>0%</c:formatCode>
                <c:ptCount val="2"/>
                <c:pt idx="0">
                  <c:v>0.72</c:v>
                </c:pt>
                <c:pt idx="1">
                  <c:v>0.28000000000000003</c:v>
                </c:pt>
              </c:numCache>
            </c:numRef>
          </c:val>
          <c:extLst>
            <c:ext xmlns:c16="http://schemas.microsoft.com/office/drawing/2014/chart" uri="{C3380CC4-5D6E-409C-BE32-E72D297353CC}">
              <c16:uniqueId val="{00000004-E386-4139-8B08-BB98A90BB549}"/>
            </c:ext>
          </c:extLst>
        </c:ser>
        <c:dLbls>
          <c:showLegendKey val="0"/>
          <c:showVal val="0"/>
          <c:showCatName val="0"/>
          <c:showSerName val="0"/>
          <c:showPercent val="0"/>
          <c:showBubbleSize val="0"/>
          <c:showLeaderLines val="1"/>
        </c:dLbls>
        <c:firstSliceAng val="0"/>
        <c:holeSize val="6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3"/>
          <c:order val="3"/>
          <c:tx>
            <c:v>fill</c:v>
          </c:tx>
          <c:spPr>
            <a:gradFill flip="none" rotWithShape="1">
              <a:gsLst>
                <a:gs pos="0">
                  <a:schemeClr val="bg1">
                    <a:alpha val="30000"/>
                  </a:schemeClr>
                </a:gs>
                <a:gs pos="18000">
                  <a:srgbClr val="DCF2FF">
                    <a:alpha val="76000"/>
                  </a:srgbClr>
                </a:gs>
                <a:gs pos="100000">
                  <a:srgbClr val="DCF2FF">
                    <a:alpha val="54000"/>
                  </a:srgbClr>
                </a:gs>
              </a:gsLst>
              <a:lin ang="5100000" scaled="0"/>
              <a:tileRect/>
            </a:gradFill>
          </c:spPr>
          <c:val>
            <c:numRef>
              <c:f>Processing!$B$13:$B$24</c:f>
              <c:numCache>
                <c:formatCode>General</c:formatCode>
                <c:ptCount val="12"/>
                <c:pt idx="0">
                  <c:v>50000</c:v>
                </c:pt>
                <c:pt idx="1">
                  <c:v>40000</c:v>
                </c:pt>
                <c:pt idx="2">
                  <c:v>50000</c:v>
                </c:pt>
                <c:pt idx="3">
                  <c:v>45000</c:v>
                </c:pt>
                <c:pt idx="4">
                  <c:v>70000</c:v>
                </c:pt>
                <c:pt idx="5">
                  <c:v>60000</c:v>
                </c:pt>
                <c:pt idx="6">
                  <c:v>80000</c:v>
                </c:pt>
                <c:pt idx="7">
                  <c:v>70000</c:v>
                </c:pt>
                <c:pt idx="8">
                  <c:v>80000</c:v>
                </c:pt>
                <c:pt idx="9">
                  <c:v>100000</c:v>
                </c:pt>
                <c:pt idx="10">
                  <c:v>95000</c:v>
                </c:pt>
                <c:pt idx="11">
                  <c:v>80000</c:v>
                </c:pt>
              </c:numCache>
            </c:numRef>
          </c:val>
          <c:extLst>
            <c:ext xmlns:c16="http://schemas.microsoft.com/office/drawing/2014/chart" uri="{C3380CC4-5D6E-409C-BE32-E72D297353CC}">
              <c16:uniqueId val="{00000000-C433-4963-AD5F-719E4406CF83}"/>
            </c:ext>
          </c:extLst>
        </c:ser>
        <c:dLbls>
          <c:showLegendKey val="0"/>
          <c:showVal val="0"/>
          <c:showCatName val="0"/>
          <c:showSerName val="0"/>
          <c:showPercent val="0"/>
          <c:showBubbleSize val="0"/>
        </c:dLbls>
        <c:axId val="1185456847"/>
        <c:axId val="1185458287"/>
      </c:areaChart>
      <c:lineChart>
        <c:grouping val="standard"/>
        <c:varyColors val="0"/>
        <c:ser>
          <c:idx val="0"/>
          <c:order val="0"/>
          <c:tx>
            <c:strRef>
              <c:f>Processing!$B$12</c:f>
              <c:strCache>
                <c:ptCount val="1"/>
                <c:pt idx="0">
                  <c:v>Forecast</c:v>
                </c:pt>
              </c:strCache>
            </c:strRef>
          </c:tx>
          <c:spPr>
            <a:ln w="25400" cap="rnd">
              <a:solidFill>
                <a:srgbClr val="84B6F8"/>
              </a:solidFill>
              <a:round/>
            </a:ln>
            <a:effectLst/>
          </c:spPr>
          <c:marker>
            <c:symbol val="none"/>
          </c:marker>
          <c:cat>
            <c:strRef>
              <c:f>Processing!$A$13:$A$24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Processing!$B$13:$B$24</c:f>
              <c:numCache>
                <c:formatCode>General</c:formatCode>
                <c:ptCount val="12"/>
                <c:pt idx="0">
                  <c:v>50000</c:v>
                </c:pt>
                <c:pt idx="1">
                  <c:v>40000</c:v>
                </c:pt>
                <c:pt idx="2">
                  <c:v>50000</c:v>
                </c:pt>
                <c:pt idx="3">
                  <c:v>45000</c:v>
                </c:pt>
                <c:pt idx="4">
                  <c:v>70000</c:v>
                </c:pt>
                <c:pt idx="5">
                  <c:v>60000</c:v>
                </c:pt>
                <c:pt idx="6">
                  <c:v>80000</c:v>
                </c:pt>
                <c:pt idx="7">
                  <c:v>70000</c:v>
                </c:pt>
                <c:pt idx="8">
                  <c:v>80000</c:v>
                </c:pt>
                <c:pt idx="9">
                  <c:v>100000</c:v>
                </c:pt>
                <c:pt idx="10">
                  <c:v>95000</c:v>
                </c:pt>
                <c:pt idx="11">
                  <c:v>80000</c:v>
                </c:pt>
              </c:numCache>
            </c:numRef>
          </c:val>
          <c:smooth val="1"/>
          <c:extLst>
            <c:ext xmlns:c16="http://schemas.microsoft.com/office/drawing/2014/chart" uri="{C3380CC4-5D6E-409C-BE32-E72D297353CC}">
              <c16:uniqueId val="{00000001-C433-4963-AD5F-719E4406CF83}"/>
            </c:ext>
          </c:extLst>
        </c:ser>
        <c:ser>
          <c:idx val="1"/>
          <c:order val="1"/>
          <c:tx>
            <c:strRef>
              <c:f>Processing!$C$12</c:f>
              <c:strCache>
                <c:ptCount val="1"/>
                <c:pt idx="0">
                  <c:v>Actual</c:v>
                </c:pt>
              </c:strCache>
            </c:strRef>
          </c:tx>
          <c:spPr>
            <a:ln w="19050" cap="rnd">
              <a:solidFill>
                <a:srgbClr val="006AF7"/>
              </a:solidFill>
              <a:round/>
            </a:ln>
            <a:effectLst>
              <a:outerShdw blurRad="50800" dist="38100" dir="5400000" algn="t" rotWithShape="0">
                <a:prstClr val="black">
                  <a:alpha val="40000"/>
                </a:prstClr>
              </a:outerShdw>
            </a:effectLst>
          </c:spPr>
          <c:marker>
            <c:symbol val="circle"/>
            <c:size val="5"/>
            <c:spPr>
              <a:solidFill>
                <a:schemeClr val="bg1"/>
              </a:solidFill>
              <a:ln w="9525">
                <a:solidFill>
                  <a:srgbClr val="006AF7"/>
                </a:solidFill>
              </a:ln>
              <a:effectLst>
                <a:outerShdw blurRad="50800" dist="38100" dir="5400000" algn="t" rotWithShape="0">
                  <a:prstClr val="black">
                    <a:alpha val="40000"/>
                  </a:prstClr>
                </a:outerShdw>
              </a:effectLst>
            </c:spPr>
          </c:marker>
          <c:cat>
            <c:strRef>
              <c:f>Processing!$A$13:$A$24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Processing!$C$13:$C$24</c:f>
              <c:numCache>
                <c:formatCode>General</c:formatCode>
                <c:ptCount val="12"/>
                <c:pt idx="0">
                  <c:v>40000</c:v>
                </c:pt>
                <c:pt idx="1">
                  <c:v>50000</c:v>
                </c:pt>
                <c:pt idx="2">
                  <c:v>35000</c:v>
                </c:pt>
                <c:pt idx="3">
                  <c:v>55000</c:v>
                </c:pt>
                <c:pt idx="4">
                  <c:v>60000</c:v>
                </c:pt>
                <c:pt idx="5">
                  <c:v>80000</c:v>
                </c:pt>
                <c:pt idx="6">
                  <c:v>95000</c:v>
                </c:pt>
                <c:pt idx="7">
                  <c:v>90000</c:v>
                </c:pt>
                <c:pt idx="8">
                  <c:v>70000</c:v>
                </c:pt>
                <c:pt idx="9">
                  <c:v>80000</c:v>
                </c:pt>
                <c:pt idx="10">
                  <c:v>60000</c:v>
                </c:pt>
                <c:pt idx="11">
                  <c:v>50000</c:v>
                </c:pt>
              </c:numCache>
            </c:numRef>
          </c:val>
          <c:smooth val="1"/>
          <c:extLst>
            <c:ext xmlns:c16="http://schemas.microsoft.com/office/drawing/2014/chart" uri="{C3380CC4-5D6E-409C-BE32-E72D297353CC}">
              <c16:uniqueId val="{00000002-C433-4963-AD5F-719E4406CF83}"/>
            </c:ext>
          </c:extLst>
        </c:ser>
        <c:dLbls>
          <c:showLegendKey val="0"/>
          <c:showVal val="0"/>
          <c:showCatName val="0"/>
          <c:showSerName val="0"/>
          <c:showPercent val="0"/>
          <c:showBubbleSize val="0"/>
        </c:dLbls>
        <c:marker val="1"/>
        <c:smooth val="0"/>
        <c:axId val="1185456847"/>
        <c:axId val="1185458287"/>
      </c:lineChart>
      <c:scatterChart>
        <c:scatterStyle val="lineMarker"/>
        <c:varyColors val="0"/>
        <c:ser>
          <c:idx val="2"/>
          <c:order val="2"/>
          <c:tx>
            <c:strRef>
              <c:f>Processing!$D$12</c:f>
              <c:strCache>
                <c:ptCount val="1"/>
                <c:pt idx="0">
                  <c:v>Cursor</c:v>
                </c:pt>
              </c:strCache>
            </c:strRef>
          </c:tx>
          <c:spPr>
            <a:ln w="38100">
              <a:noFill/>
            </a:ln>
            <a:effectLst/>
          </c:spPr>
          <c:marker>
            <c:symbol val="circle"/>
            <c:size val="5"/>
            <c:spPr>
              <a:solidFill>
                <a:srgbClr val="006AF7"/>
              </a:solidFill>
              <a:ln>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C433-4963-AD5F-719E4406CF83}"/>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C433-4963-AD5F-719E4406CF83}"/>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C433-4963-AD5F-719E4406CF83}"/>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C433-4963-AD5F-719E4406CF83}"/>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C433-4963-AD5F-719E4406CF83}"/>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C433-4963-AD5F-719E4406CF83}"/>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C433-4963-AD5F-719E4406CF83}"/>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C433-4963-AD5F-719E4406CF83}"/>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C433-4963-AD5F-719E4406CF83}"/>
                </c:ext>
              </c:extLst>
            </c:dLbl>
            <c:dLbl>
              <c:idx val="9"/>
              <c:tx>
                <c:rich>
                  <a:bodyPr/>
                  <a:lstStyle/>
                  <a:p>
                    <a:fld id="{3B82EDF4-A191-4501-BA07-5511B5A76C7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433-4963-AD5F-719E4406CF83}"/>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C433-4963-AD5F-719E4406CF83}"/>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C433-4963-AD5F-719E4406CF83}"/>
                </c:ext>
              </c:extLst>
            </c:dLbl>
            <c:spPr>
              <a:noFill/>
              <a:ln>
                <a:noFill/>
              </a:ln>
              <a:effectLst/>
            </c:spPr>
            <c:txPr>
              <a:bodyPr wrap="square" lIns="38100" tIns="19050" rIns="38100" bIns="19050" anchor="ctr">
                <a:spAutoFit/>
              </a:bodyPr>
              <a:lstStyle/>
              <a:p>
                <a:pPr>
                  <a:defRPr>
                    <a:solidFill>
                      <a:schemeClr val="tx2">
                        <a:lumMod val="90000"/>
                        <a:lumOff val="10000"/>
                      </a:schemeClr>
                    </a:solidFill>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Dir val="y"/>
            <c:errBarType val="both"/>
            <c:errValType val="cust"/>
            <c:noEndCap val="0"/>
            <c:plus>
              <c:numLit>
                <c:formatCode>General</c:formatCode>
                <c:ptCount val="1"/>
                <c:pt idx="0">
                  <c:v>1</c:v>
                </c:pt>
              </c:numLit>
            </c:plus>
            <c:minus>
              <c:numRef>
                <c:f>Processing!$D$13:$D$24</c:f>
                <c:numCache>
                  <c:formatCode>General</c:formatCode>
                  <c:ptCount val="12"/>
                  <c:pt idx="0">
                    <c:v>#N/A</c:v>
                  </c:pt>
                  <c:pt idx="1">
                    <c:v>#N/A</c:v>
                  </c:pt>
                  <c:pt idx="2">
                    <c:v>#N/A</c:v>
                  </c:pt>
                  <c:pt idx="3">
                    <c:v>#N/A</c:v>
                  </c:pt>
                  <c:pt idx="4">
                    <c:v>#N/A</c:v>
                  </c:pt>
                  <c:pt idx="5">
                    <c:v>#N/A</c:v>
                  </c:pt>
                  <c:pt idx="6">
                    <c:v>#N/A</c:v>
                  </c:pt>
                  <c:pt idx="7">
                    <c:v>#N/A</c:v>
                  </c:pt>
                  <c:pt idx="8">
                    <c:v>#N/A</c:v>
                  </c:pt>
                  <c:pt idx="9">
                    <c:v>80000</c:v>
                  </c:pt>
                  <c:pt idx="10">
                    <c:v>#N/A</c:v>
                  </c:pt>
                  <c:pt idx="11">
                    <c:v>#N/A</c:v>
                  </c:pt>
                </c:numCache>
              </c:numRef>
            </c:minus>
            <c:spPr>
              <a:ln w="9525">
                <a:gradFill>
                  <a:gsLst>
                    <a:gs pos="0">
                      <a:srgbClr val="006AF7"/>
                    </a:gs>
                    <a:gs pos="100000">
                      <a:srgbClr val="006AF7">
                        <a:alpha val="0"/>
                      </a:srgbClr>
                    </a:gs>
                  </a:gsLst>
                  <a:lin ang="5400000" scaled="1"/>
                </a:gradFill>
              </a:ln>
            </c:spPr>
          </c:errBars>
          <c:xVal>
            <c:strRef>
              <c:f>Processing!$A$13:$A$24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Processing!$D$13:$D$24</c:f>
              <c:numCache>
                <c:formatCode>General</c:formatCode>
                <c:ptCount val="12"/>
                <c:pt idx="0">
                  <c:v>#N/A</c:v>
                </c:pt>
                <c:pt idx="1">
                  <c:v>#N/A</c:v>
                </c:pt>
                <c:pt idx="2">
                  <c:v>#N/A</c:v>
                </c:pt>
                <c:pt idx="3">
                  <c:v>#N/A</c:v>
                </c:pt>
                <c:pt idx="4">
                  <c:v>#N/A</c:v>
                </c:pt>
                <c:pt idx="5">
                  <c:v>#N/A</c:v>
                </c:pt>
                <c:pt idx="6">
                  <c:v>#N/A</c:v>
                </c:pt>
                <c:pt idx="7">
                  <c:v>#N/A</c:v>
                </c:pt>
                <c:pt idx="8">
                  <c:v>#N/A</c:v>
                </c:pt>
                <c:pt idx="9">
                  <c:v>80000</c:v>
                </c:pt>
                <c:pt idx="10">
                  <c:v>#N/A</c:v>
                </c:pt>
                <c:pt idx="11">
                  <c:v>#N/A</c:v>
                </c:pt>
              </c:numCache>
            </c:numRef>
          </c:yVal>
          <c:smooth val="0"/>
          <c:extLst>
            <c:ext xmlns:c15="http://schemas.microsoft.com/office/drawing/2012/chart" uri="{02D57815-91ED-43cb-92C2-25804820EDAC}">
              <c15:datalabelsRange>
                <c15:f>Processing!$E$13:$E$24</c15:f>
                <c15:dlblRangeCache>
                  <c:ptCount val="12"/>
                  <c:pt idx="9">
                    <c:v>80k</c:v>
                  </c:pt>
                </c15:dlblRangeCache>
              </c15:datalabelsRange>
            </c:ext>
            <c:ext xmlns:c16="http://schemas.microsoft.com/office/drawing/2014/chart" uri="{C3380CC4-5D6E-409C-BE32-E72D297353CC}">
              <c16:uniqueId val="{0000000F-C433-4963-AD5F-719E4406CF83}"/>
            </c:ext>
          </c:extLst>
        </c:ser>
        <c:dLbls>
          <c:showLegendKey val="0"/>
          <c:showVal val="0"/>
          <c:showCatName val="0"/>
          <c:showSerName val="0"/>
          <c:showPercent val="0"/>
          <c:showBubbleSize val="0"/>
        </c:dLbls>
        <c:axId val="1925509296"/>
        <c:axId val="1925532816"/>
      </c:scatterChart>
      <c:catAx>
        <c:axId val="1185456847"/>
        <c:scaling>
          <c:orientation val="minMax"/>
        </c:scaling>
        <c:delete val="1"/>
        <c:axPos val="b"/>
        <c:numFmt formatCode="General" sourceLinked="1"/>
        <c:majorTickMark val="none"/>
        <c:minorTickMark val="none"/>
        <c:tickLblPos val="nextTo"/>
        <c:crossAx val="1185458287"/>
        <c:crosses val="autoZero"/>
        <c:auto val="1"/>
        <c:lblAlgn val="ctr"/>
        <c:lblOffset val="100"/>
        <c:noMultiLvlLbl val="0"/>
      </c:catAx>
      <c:valAx>
        <c:axId val="1185458287"/>
        <c:scaling>
          <c:orientation val="minMax"/>
        </c:scaling>
        <c:delete val="1"/>
        <c:axPos val="l"/>
        <c:numFmt formatCode="[&gt;=1000]\ #,&quot;K&quot;;0" sourceLinked="0"/>
        <c:majorTickMark val="none"/>
        <c:minorTickMark val="none"/>
        <c:tickLblPos val="nextTo"/>
        <c:crossAx val="1185456847"/>
        <c:crosses val="autoZero"/>
        <c:crossBetween val="between"/>
      </c:valAx>
      <c:valAx>
        <c:axId val="1925532816"/>
        <c:scaling>
          <c:orientation val="minMax"/>
        </c:scaling>
        <c:delete val="1"/>
        <c:axPos val="r"/>
        <c:numFmt formatCode="General" sourceLinked="1"/>
        <c:majorTickMark val="out"/>
        <c:minorTickMark val="none"/>
        <c:tickLblPos val="nextTo"/>
        <c:crossAx val="1925509296"/>
        <c:crosses val="max"/>
        <c:crossBetween val="midCat"/>
      </c:valAx>
      <c:valAx>
        <c:axId val="1925509296"/>
        <c:scaling>
          <c:orientation val="minMax"/>
        </c:scaling>
        <c:delete val="1"/>
        <c:axPos val="t"/>
        <c:majorTickMark val="out"/>
        <c:minorTickMark val="none"/>
        <c:tickLblPos val="nextTo"/>
        <c:crossAx val="1925532816"/>
        <c:crosses val="max"/>
        <c:crossBetween val="midCat"/>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E3E9F4"/>
              </a:solidFill>
            </a:ln>
          </c:spPr>
          <c:dPt>
            <c:idx val="0"/>
            <c:bubble3D val="0"/>
            <c:spPr>
              <a:noFill/>
              <a:ln w="9525">
                <a:solidFill>
                  <a:srgbClr val="E3E9F4"/>
                </a:solidFill>
              </a:ln>
              <a:effectLst/>
            </c:spPr>
            <c:extLst>
              <c:ext xmlns:c16="http://schemas.microsoft.com/office/drawing/2014/chart" uri="{C3380CC4-5D6E-409C-BE32-E72D297353CC}">
                <c16:uniqueId val="{00000001-0037-4CA4-AEEA-6440AB8F3A17}"/>
              </c:ext>
            </c:extLst>
          </c:dPt>
          <c:dPt>
            <c:idx val="1"/>
            <c:bubble3D val="0"/>
            <c:spPr>
              <a:noFill/>
              <a:ln w="9525">
                <a:solidFill>
                  <a:srgbClr val="E3E9F4"/>
                </a:solidFill>
              </a:ln>
              <a:effectLst/>
            </c:spPr>
            <c:extLst>
              <c:ext xmlns:c16="http://schemas.microsoft.com/office/drawing/2014/chart" uri="{C3380CC4-5D6E-409C-BE32-E72D297353CC}">
                <c16:uniqueId val="{00000003-0037-4CA4-AEEA-6440AB8F3A17}"/>
              </c:ext>
            </c:extLst>
          </c:dPt>
          <c:dPt>
            <c:idx val="2"/>
            <c:bubble3D val="0"/>
            <c:spPr>
              <a:noFill/>
              <a:ln w="9525">
                <a:solidFill>
                  <a:srgbClr val="E3E9F4"/>
                </a:solidFill>
              </a:ln>
              <a:effectLst/>
            </c:spPr>
            <c:extLst>
              <c:ext xmlns:c16="http://schemas.microsoft.com/office/drawing/2014/chart" uri="{C3380CC4-5D6E-409C-BE32-E72D297353CC}">
                <c16:uniqueId val="{00000005-0037-4CA4-AEEA-6440AB8F3A17}"/>
              </c:ext>
            </c:extLst>
          </c:dPt>
          <c:dPt>
            <c:idx val="3"/>
            <c:bubble3D val="0"/>
            <c:spPr>
              <a:noFill/>
              <a:ln w="9525">
                <a:solidFill>
                  <a:srgbClr val="E3E9F4"/>
                </a:solidFill>
              </a:ln>
              <a:effectLst/>
            </c:spPr>
            <c:extLst>
              <c:ext xmlns:c16="http://schemas.microsoft.com/office/drawing/2014/chart" uri="{C3380CC4-5D6E-409C-BE32-E72D297353CC}">
                <c16:uniqueId val="{00000007-0037-4CA4-AEEA-6440AB8F3A17}"/>
              </c:ext>
            </c:extLst>
          </c:dPt>
          <c:dPt>
            <c:idx val="4"/>
            <c:bubble3D val="0"/>
            <c:spPr>
              <a:noFill/>
              <a:ln w="9525">
                <a:solidFill>
                  <a:srgbClr val="E3E9F4"/>
                </a:solidFill>
              </a:ln>
              <a:effectLst/>
            </c:spPr>
            <c:extLst>
              <c:ext xmlns:c16="http://schemas.microsoft.com/office/drawing/2014/chart" uri="{C3380CC4-5D6E-409C-BE32-E72D297353CC}">
                <c16:uniqueId val="{00000009-0037-4CA4-AEEA-6440AB8F3A17}"/>
              </c:ext>
            </c:extLst>
          </c:dPt>
          <c:val>
            <c:numRef>
              <c:f>Processing!$R$2:$V$2</c:f>
              <c:numCache>
                <c:formatCode>General</c:formatCode>
                <c:ptCount val="5"/>
                <c:pt idx="0">
                  <c:v>10</c:v>
                </c:pt>
                <c:pt idx="1">
                  <c:v>10</c:v>
                </c:pt>
                <c:pt idx="2">
                  <c:v>10</c:v>
                </c:pt>
                <c:pt idx="3">
                  <c:v>10</c:v>
                </c:pt>
                <c:pt idx="4">
                  <c:v>10</c:v>
                </c:pt>
              </c:numCache>
            </c:numRef>
          </c:val>
          <c:extLst>
            <c:ext xmlns:c16="http://schemas.microsoft.com/office/drawing/2014/chart" uri="{C3380CC4-5D6E-409C-BE32-E72D297353CC}">
              <c16:uniqueId val="{0000000A-0037-4CA4-AEEA-6440AB8F3A17}"/>
            </c:ext>
          </c:extLst>
        </c:ser>
        <c:ser>
          <c:idx val="1"/>
          <c:order val="1"/>
          <c:spPr>
            <a:noFill/>
            <a:ln w="9525">
              <a:solidFill>
                <a:srgbClr val="E3E9F4"/>
              </a:solidFill>
            </a:ln>
          </c:spPr>
          <c:dPt>
            <c:idx val="0"/>
            <c:bubble3D val="0"/>
            <c:spPr>
              <a:noFill/>
              <a:ln w="9525">
                <a:solidFill>
                  <a:srgbClr val="E3E9F4"/>
                </a:solidFill>
              </a:ln>
              <a:effectLst/>
            </c:spPr>
            <c:extLst>
              <c:ext xmlns:c16="http://schemas.microsoft.com/office/drawing/2014/chart" uri="{C3380CC4-5D6E-409C-BE32-E72D297353CC}">
                <c16:uniqueId val="{0000000C-0037-4CA4-AEEA-6440AB8F3A17}"/>
              </c:ext>
            </c:extLst>
          </c:dPt>
          <c:dPt>
            <c:idx val="1"/>
            <c:bubble3D val="0"/>
            <c:spPr>
              <a:noFill/>
              <a:ln w="9525">
                <a:solidFill>
                  <a:srgbClr val="E3E9F4"/>
                </a:solidFill>
              </a:ln>
              <a:effectLst/>
            </c:spPr>
            <c:extLst>
              <c:ext xmlns:c16="http://schemas.microsoft.com/office/drawing/2014/chart" uri="{C3380CC4-5D6E-409C-BE32-E72D297353CC}">
                <c16:uniqueId val="{0000000E-0037-4CA4-AEEA-6440AB8F3A17}"/>
              </c:ext>
            </c:extLst>
          </c:dPt>
          <c:dPt>
            <c:idx val="2"/>
            <c:bubble3D val="0"/>
            <c:spPr>
              <a:noFill/>
              <a:ln w="9525">
                <a:solidFill>
                  <a:srgbClr val="E3E9F4"/>
                </a:solidFill>
              </a:ln>
              <a:effectLst/>
            </c:spPr>
            <c:extLst>
              <c:ext xmlns:c16="http://schemas.microsoft.com/office/drawing/2014/chart" uri="{C3380CC4-5D6E-409C-BE32-E72D297353CC}">
                <c16:uniqueId val="{00000010-0037-4CA4-AEEA-6440AB8F3A17}"/>
              </c:ext>
            </c:extLst>
          </c:dPt>
          <c:dPt>
            <c:idx val="3"/>
            <c:bubble3D val="0"/>
            <c:spPr>
              <a:noFill/>
              <a:ln w="9525">
                <a:solidFill>
                  <a:srgbClr val="E3E9F4"/>
                </a:solidFill>
              </a:ln>
              <a:effectLst/>
            </c:spPr>
            <c:extLst>
              <c:ext xmlns:c16="http://schemas.microsoft.com/office/drawing/2014/chart" uri="{C3380CC4-5D6E-409C-BE32-E72D297353CC}">
                <c16:uniqueId val="{00000012-0037-4CA4-AEEA-6440AB8F3A17}"/>
              </c:ext>
            </c:extLst>
          </c:dPt>
          <c:dPt>
            <c:idx val="4"/>
            <c:bubble3D val="0"/>
            <c:spPr>
              <a:noFill/>
              <a:ln w="9525">
                <a:solidFill>
                  <a:srgbClr val="E3E9F4"/>
                </a:solidFill>
              </a:ln>
              <a:effectLst/>
            </c:spPr>
            <c:extLst>
              <c:ext xmlns:c16="http://schemas.microsoft.com/office/drawing/2014/chart" uri="{C3380CC4-5D6E-409C-BE32-E72D297353CC}">
                <c16:uniqueId val="{00000014-0037-4CA4-AEEA-6440AB8F3A17}"/>
              </c:ext>
            </c:extLst>
          </c:dPt>
          <c:val>
            <c:numRef>
              <c:f>Processing!$R$3:$V$3</c:f>
              <c:numCache>
                <c:formatCode>General</c:formatCode>
                <c:ptCount val="5"/>
                <c:pt idx="0">
                  <c:v>10</c:v>
                </c:pt>
                <c:pt idx="1">
                  <c:v>10</c:v>
                </c:pt>
                <c:pt idx="2">
                  <c:v>10</c:v>
                </c:pt>
                <c:pt idx="3">
                  <c:v>10</c:v>
                </c:pt>
                <c:pt idx="4">
                  <c:v>10</c:v>
                </c:pt>
              </c:numCache>
            </c:numRef>
          </c:val>
          <c:extLst>
            <c:ext xmlns:c16="http://schemas.microsoft.com/office/drawing/2014/chart" uri="{C3380CC4-5D6E-409C-BE32-E72D297353CC}">
              <c16:uniqueId val="{00000015-0037-4CA4-AEEA-6440AB8F3A17}"/>
            </c:ext>
          </c:extLst>
        </c:ser>
        <c:ser>
          <c:idx val="2"/>
          <c:order val="2"/>
          <c:spPr>
            <a:noFill/>
            <a:ln w="9525">
              <a:solidFill>
                <a:srgbClr val="E3E9F4"/>
              </a:solidFill>
            </a:ln>
          </c:spPr>
          <c:dPt>
            <c:idx val="0"/>
            <c:bubble3D val="0"/>
            <c:spPr>
              <a:noFill/>
              <a:ln w="9525">
                <a:solidFill>
                  <a:srgbClr val="E3E9F4"/>
                </a:solidFill>
              </a:ln>
              <a:effectLst/>
            </c:spPr>
            <c:extLst>
              <c:ext xmlns:c16="http://schemas.microsoft.com/office/drawing/2014/chart" uri="{C3380CC4-5D6E-409C-BE32-E72D297353CC}">
                <c16:uniqueId val="{00000017-0037-4CA4-AEEA-6440AB8F3A17}"/>
              </c:ext>
            </c:extLst>
          </c:dPt>
          <c:dPt>
            <c:idx val="1"/>
            <c:bubble3D val="0"/>
            <c:spPr>
              <a:noFill/>
              <a:ln w="9525">
                <a:solidFill>
                  <a:srgbClr val="E3E9F4"/>
                </a:solidFill>
              </a:ln>
              <a:effectLst/>
            </c:spPr>
            <c:extLst>
              <c:ext xmlns:c16="http://schemas.microsoft.com/office/drawing/2014/chart" uri="{C3380CC4-5D6E-409C-BE32-E72D297353CC}">
                <c16:uniqueId val="{00000019-0037-4CA4-AEEA-6440AB8F3A17}"/>
              </c:ext>
            </c:extLst>
          </c:dPt>
          <c:dPt>
            <c:idx val="2"/>
            <c:bubble3D val="0"/>
            <c:spPr>
              <a:noFill/>
              <a:ln w="9525">
                <a:solidFill>
                  <a:srgbClr val="E3E9F4"/>
                </a:solidFill>
              </a:ln>
              <a:effectLst/>
            </c:spPr>
            <c:extLst>
              <c:ext xmlns:c16="http://schemas.microsoft.com/office/drawing/2014/chart" uri="{C3380CC4-5D6E-409C-BE32-E72D297353CC}">
                <c16:uniqueId val="{0000001B-0037-4CA4-AEEA-6440AB8F3A17}"/>
              </c:ext>
            </c:extLst>
          </c:dPt>
          <c:dPt>
            <c:idx val="3"/>
            <c:bubble3D val="0"/>
            <c:spPr>
              <a:noFill/>
              <a:ln w="9525">
                <a:solidFill>
                  <a:srgbClr val="E3E9F4"/>
                </a:solidFill>
              </a:ln>
              <a:effectLst/>
            </c:spPr>
            <c:extLst>
              <c:ext xmlns:c16="http://schemas.microsoft.com/office/drawing/2014/chart" uri="{C3380CC4-5D6E-409C-BE32-E72D297353CC}">
                <c16:uniqueId val="{0000001D-0037-4CA4-AEEA-6440AB8F3A17}"/>
              </c:ext>
            </c:extLst>
          </c:dPt>
          <c:dPt>
            <c:idx val="4"/>
            <c:bubble3D val="0"/>
            <c:spPr>
              <a:noFill/>
              <a:ln w="9525">
                <a:solidFill>
                  <a:srgbClr val="E3E9F4"/>
                </a:solidFill>
              </a:ln>
              <a:effectLst/>
            </c:spPr>
            <c:extLst>
              <c:ext xmlns:c16="http://schemas.microsoft.com/office/drawing/2014/chart" uri="{C3380CC4-5D6E-409C-BE32-E72D297353CC}">
                <c16:uniqueId val="{0000001F-0037-4CA4-AEEA-6440AB8F3A17}"/>
              </c:ext>
            </c:extLst>
          </c:dPt>
          <c:val>
            <c:numRef>
              <c:f>Processing!$R$4:$V$4</c:f>
              <c:numCache>
                <c:formatCode>General</c:formatCode>
                <c:ptCount val="5"/>
                <c:pt idx="0">
                  <c:v>10</c:v>
                </c:pt>
                <c:pt idx="1">
                  <c:v>10</c:v>
                </c:pt>
                <c:pt idx="2">
                  <c:v>10</c:v>
                </c:pt>
                <c:pt idx="3">
                  <c:v>10</c:v>
                </c:pt>
                <c:pt idx="4">
                  <c:v>10</c:v>
                </c:pt>
              </c:numCache>
            </c:numRef>
          </c:val>
          <c:extLst>
            <c:ext xmlns:c16="http://schemas.microsoft.com/office/drawing/2014/chart" uri="{C3380CC4-5D6E-409C-BE32-E72D297353CC}">
              <c16:uniqueId val="{00000020-0037-4CA4-AEEA-6440AB8F3A17}"/>
            </c:ext>
          </c:extLst>
        </c:ser>
        <c:ser>
          <c:idx val="3"/>
          <c:order val="3"/>
          <c:spPr>
            <a:noFill/>
            <a:ln w="9525">
              <a:gradFill flip="none" rotWithShape="1">
                <a:gsLst>
                  <a:gs pos="0">
                    <a:srgbClr val="E3E9F4"/>
                  </a:gs>
                  <a:gs pos="100000">
                    <a:srgbClr val="84B6F8"/>
                  </a:gs>
                </a:gsLst>
                <a:path path="circle">
                  <a:fillToRect l="50000" t="50000" r="50000" b="50000"/>
                </a:path>
                <a:tileRect/>
              </a:gradFill>
            </a:ln>
          </c:spPr>
          <c:dPt>
            <c:idx val="0"/>
            <c:bubble3D val="0"/>
            <c:spPr>
              <a:noFill/>
              <a:ln w="9525">
                <a:gradFill flip="none" rotWithShape="1">
                  <a:gsLst>
                    <a:gs pos="0">
                      <a:srgbClr val="E3E9F4"/>
                    </a:gs>
                    <a:gs pos="100000">
                      <a:srgbClr val="84B6F8"/>
                    </a:gs>
                  </a:gsLst>
                  <a:path path="circle">
                    <a:fillToRect l="50000" t="50000" r="50000" b="50000"/>
                  </a:path>
                  <a:tileRect/>
                </a:gradFill>
              </a:ln>
              <a:effectLst/>
            </c:spPr>
            <c:extLst>
              <c:ext xmlns:c16="http://schemas.microsoft.com/office/drawing/2014/chart" uri="{C3380CC4-5D6E-409C-BE32-E72D297353CC}">
                <c16:uniqueId val="{00000022-0037-4CA4-AEEA-6440AB8F3A17}"/>
              </c:ext>
            </c:extLst>
          </c:dPt>
          <c:dPt>
            <c:idx val="1"/>
            <c:bubble3D val="0"/>
            <c:spPr>
              <a:noFill/>
              <a:ln w="9525">
                <a:gradFill flip="none" rotWithShape="1">
                  <a:gsLst>
                    <a:gs pos="0">
                      <a:srgbClr val="E3E9F4"/>
                    </a:gs>
                    <a:gs pos="100000">
                      <a:srgbClr val="84B6F8"/>
                    </a:gs>
                  </a:gsLst>
                  <a:path path="circle">
                    <a:fillToRect l="50000" t="50000" r="50000" b="50000"/>
                  </a:path>
                  <a:tileRect/>
                </a:gradFill>
              </a:ln>
              <a:effectLst/>
            </c:spPr>
            <c:extLst>
              <c:ext xmlns:c16="http://schemas.microsoft.com/office/drawing/2014/chart" uri="{C3380CC4-5D6E-409C-BE32-E72D297353CC}">
                <c16:uniqueId val="{00000024-0037-4CA4-AEEA-6440AB8F3A17}"/>
              </c:ext>
            </c:extLst>
          </c:dPt>
          <c:dPt>
            <c:idx val="2"/>
            <c:bubble3D val="0"/>
            <c:spPr>
              <a:noFill/>
              <a:ln w="9525">
                <a:gradFill flip="none" rotWithShape="1">
                  <a:gsLst>
                    <a:gs pos="0">
                      <a:srgbClr val="E3E9F4"/>
                    </a:gs>
                    <a:gs pos="100000">
                      <a:srgbClr val="84B6F8"/>
                    </a:gs>
                  </a:gsLst>
                  <a:path path="circle">
                    <a:fillToRect l="50000" t="50000" r="50000" b="50000"/>
                  </a:path>
                  <a:tileRect/>
                </a:gradFill>
              </a:ln>
              <a:effectLst/>
            </c:spPr>
            <c:extLst>
              <c:ext xmlns:c16="http://schemas.microsoft.com/office/drawing/2014/chart" uri="{C3380CC4-5D6E-409C-BE32-E72D297353CC}">
                <c16:uniqueId val="{00000026-0037-4CA4-AEEA-6440AB8F3A17}"/>
              </c:ext>
            </c:extLst>
          </c:dPt>
          <c:dPt>
            <c:idx val="3"/>
            <c:bubble3D val="0"/>
            <c:spPr>
              <a:noFill/>
              <a:ln w="9525">
                <a:gradFill flip="none" rotWithShape="1">
                  <a:gsLst>
                    <a:gs pos="0">
                      <a:srgbClr val="E3E9F4"/>
                    </a:gs>
                    <a:gs pos="100000">
                      <a:srgbClr val="84B6F8"/>
                    </a:gs>
                  </a:gsLst>
                  <a:path path="circle">
                    <a:fillToRect l="50000" t="50000" r="50000" b="50000"/>
                  </a:path>
                  <a:tileRect/>
                </a:gradFill>
              </a:ln>
              <a:effectLst/>
            </c:spPr>
            <c:extLst>
              <c:ext xmlns:c16="http://schemas.microsoft.com/office/drawing/2014/chart" uri="{C3380CC4-5D6E-409C-BE32-E72D297353CC}">
                <c16:uniqueId val="{00000028-0037-4CA4-AEEA-6440AB8F3A17}"/>
              </c:ext>
            </c:extLst>
          </c:dPt>
          <c:dPt>
            <c:idx val="4"/>
            <c:bubble3D val="0"/>
            <c:spPr>
              <a:noFill/>
              <a:ln w="9525">
                <a:gradFill flip="none" rotWithShape="1">
                  <a:gsLst>
                    <a:gs pos="0">
                      <a:srgbClr val="E3E9F4"/>
                    </a:gs>
                    <a:gs pos="100000">
                      <a:srgbClr val="84B6F8"/>
                    </a:gs>
                  </a:gsLst>
                  <a:path path="circle">
                    <a:fillToRect l="50000" t="50000" r="50000" b="50000"/>
                  </a:path>
                  <a:tileRect/>
                </a:gradFill>
              </a:ln>
              <a:effectLst/>
            </c:spPr>
            <c:extLst>
              <c:ext xmlns:c16="http://schemas.microsoft.com/office/drawing/2014/chart" uri="{C3380CC4-5D6E-409C-BE32-E72D297353CC}">
                <c16:uniqueId val="{0000002A-0037-4CA4-AEEA-6440AB8F3A17}"/>
              </c:ext>
            </c:extLst>
          </c:dPt>
          <c:val>
            <c:numRef>
              <c:f>Processing!$R$5:$V$5</c:f>
              <c:numCache>
                <c:formatCode>General</c:formatCode>
                <c:ptCount val="5"/>
                <c:pt idx="0">
                  <c:v>10</c:v>
                </c:pt>
                <c:pt idx="1">
                  <c:v>10</c:v>
                </c:pt>
                <c:pt idx="2">
                  <c:v>10</c:v>
                </c:pt>
                <c:pt idx="3">
                  <c:v>10</c:v>
                </c:pt>
                <c:pt idx="4">
                  <c:v>10</c:v>
                </c:pt>
              </c:numCache>
            </c:numRef>
          </c:val>
          <c:extLst>
            <c:ext xmlns:c16="http://schemas.microsoft.com/office/drawing/2014/chart" uri="{C3380CC4-5D6E-409C-BE32-E72D297353CC}">
              <c16:uniqueId val="{0000002B-0037-4CA4-AEEA-6440AB8F3A17}"/>
            </c:ext>
          </c:extLst>
        </c:ser>
        <c:dLbls>
          <c:showLegendKey val="0"/>
          <c:showVal val="0"/>
          <c:showCatName val="0"/>
          <c:showSerName val="0"/>
          <c:showPercent val="0"/>
          <c:showBubbleSize val="0"/>
          <c:showLeaderLines val="1"/>
        </c:dLbls>
        <c:firstSliceAng val="0"/>
        <c:holeSize val="2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2"/>
          <c:order val="2"/>
          <c:spPr>
            <a:solidFill>
              <a:srgbClr val="4AA5FF">
                <a:alpha val="15000"/>
              </a:srgbClr>
            </a:solidFill>
            <a:ln>
              <a:noFill/>
            </a:ln>
            <a:effectLst/>
          </c:spPr>
          <c:val>
            <c:numRef>
              <c:f>Processing!$N$3:$N$7</c:f>
              <c:numCache>
                <c:formatCode>0%</c:formatCode>
                <c:ptCount val="5"/>
                <c:pt idx="0">
                  <c:v>0.62</c:v>
                </c:pt>
                <c:pt idx="1">
                  <c:v>0.87</c:v>
                </c:pt>
                <c:pt idx="2">
                  <c:v>1.18</c:v>
                </c:pt>
                <c:pt idx="3">
                  <c:v>0.38</c:v>
                </c:pt>
                <c:pt idx="4">
                  <c:v>0.36</c:v>
                </c:pt>
              </c:numCache>
            </c:numRef>
          </c:val>
          <c:extLst>
            <c:ext xmlns:c16="http://schemas.microsoft.com/office/drawing/2014/chart" uri="{C3380CC4-5D6E-409C-BE32-E72D297353CC}">
              <c16:uniqueId val="{00000000-DF12-451F-A475-11BBB621ECAD}"/>
            </c:ext>
          </c:extLst>
        </c:ser>
        <c:ser>
          <c:idx val="3"/>
          <c:order val="3"/>
          <c:spPr>
            <a:solidFill>
              <a:srgbClr val="52E1F1">
                <a:alpha val="30000"/>
              </a:srgbClr>
            </a:solidFill>
            <a:ln>
              <a:noFill/>
            </a:ln>
            <a:effectLst/>
          </c:spPr>
          <c:val>
            <c:numRef>
              <c:f>Processing!$O$3:$O$7</c:f>
              <c:numCache>
                <c:formatCode>0%</c:formatCode>
                <c:ptCount val="5"/>
                <c:pt idx="0">
                  <c:v>0.35</c:v>
                </c:pt>
                <c:pt idx="1">
                  <c:v>0.45</c:v>
                </c:pt>
                <c:pt idx="2">
                  <c:v>0.63</c:v>
                </c:pt>
                <c:pt idx="3">
                  <c:v>0.61</c:v>
                </c:pt>
                <c:pt idx="4">
                  <c:v>0.53</c:v>
                </c:pt>
              </c:numCache>
            </c:numRef>
          </c:val>
          <c:extLst>
            <c:ext xmlns:c16="http://schemas.microsoft.com/office/drawing/2014/chart" uri="{C3380CC4-5D6E-409C-BE32-E72D297353CC}">
              <c16:uniqueId val="{00000001-DF12-451F-A475-11BBB621ECAD}"/>
            </c:ext>
          </c:extLst>
        </c:ser>
        <c:dLbls>
          <c:showLegendKey val="0"/>
          <c:showVal val="0"/>
          <c:showCatName val="0"/>
          <c:showSerName val="0"/>
          <c:showPercent val="0"/>
          <c:showBubbleSize val="0"/>
        </c:dLbls>
        <c:axId val="1487887568"/>
        <c:axId val="1487883728"/>
      </c:radarChart>
      <c:radarChart>
        <c:radarStyle val="marker"/>
        <c:varyColors val="0"/>
        <c:ser>
          <c:idx val="0"/>
          <c:order val="0"/>
          <c:tx>
            <c:strRef>
              <c:f>Processing!$N$2</c:f>
              <c:strCache>
                <c:ptCount val="1"/>
                <c:pt idx="0">
                  <c:v>KPI</c:v>
                </c:pt>
              </c:strCache>
            </c:strRef>
          </c:tx>
          <c:spPr>
            <a:ln w="12700" cap="rnd">
              <a:solidFill>
                <a:srgbClr val="008AF2"/>
              </a:solidFill>
              <a:round/>
            </a:ln>
            <a:effectLst/>
          </c:spPr>
          <c:marker>
            <c:symbol val="circle"/>
            <c:size val="4"/>
            <c:spPr>
              <a:solidFill>
                <a:srgbClr val="006FFE"/>
              </a:solidFill>
              <a:ln w="9525">
                <a:noFill/>
              </a:ln>
              <a:effectLst/>
            </c:spPr>
          </c:marker>
          <c:cat>
            <c:strRef>
              <c:f>Processing!$M$3:$M$7</c:f>
              <c:strCache>
                <c:ptCount val="5"/>
                <c:pt idx="0">
                  <c:v>A</c:v>
                </c:pt>
                <c:pt idx="1">
                  <c:v>B</c:v>
                </c:pt>
                <c:pt idx="2">
                  <c:v>C</c:v>
                </c:pt>
                <c:pt idx="3">
                  <c:v>D</c:v>
                </c:pt>
                <c:pt idx="4">
                  <c:v>E</c:v>
                </c:pt>
              </c:strCache>
            </c:strRef>
          </c:cat>
          <c:val>
            <c:numRef>
              <c:f>Processing!$N$3:$N$7</c:f>
              <c:numCache>
                <c:formatCode>0%</c:formatCode>
                <c:ptCount val="5"/>
                <c:pt idx="0">
                  <c:v>0.62</c:v>
                </c:pt>
                <c:pt idx="1">
                  <c:v>0.87</c:v>
                </c:pt>
                <c:pt idx="2">
                  <c:v>1.18</c:v>
                </c:pt>
                <c:pt idx="3">
                  <c:v>0.38</c:v>
                </c:pt>
                <c:pt idx="4">
                  <c:v>0.36</c:v>
                </c:pt>
              </c:numCache>
            </c:numRef>
          </c:val>
          <c:extLst>
            <c:ext xmlns:c16="http://schemas.microsoft.com/office/drawing/2014/chart" uri="{C3380CC4-5D6E-409C-BE32-E72D297353CC}">
              <c16:uniqueId val="{00000002-DF12-451F-A475-11BBB621ECAD}"/>
            </c:ext>
          </c:extLst>
        </c:ser>
        <c:ser>
          <c:idx val="1"/>
          <c:order val="1"/>
          <c:tx>
            <c:strRef>
              <c:f>Processing!$O$2</c:f>
              <c:strCache>
                <c:ptCount val="1"/>
                <c:pt idx="0">
                  <c:v>MoM</c:v>
                </c:pt>
              </c:strCache>
            </c:strRef>
          </c:tx>
          <c:spPr>
            <a:ln w="12700" cap="rnd">
              <a:solidFill>
                <a:srgbClr val="6FD8F1"/>
              </a:solidFill>
              <a:round/>
            </a:ln>
            <a:effectLst/>
          </c:spPr>
          <c:marker>
            <c:symbol val="circle"/>
            <c:size val="4"/>
            <c:spPr>
              <a:solidFill>
                <a:schemeClr val="bg1"/>
              </a:solidFill>
              <a:ln w="12700">
                <a:solidFill>
                  <a:srgbClr val="00A5CC"/>
                </a:solidFill>
              </a:ln>
              <a:effectLst/>
            </c:spPr>
          </c:marker>
          <c:cat>
            <c:strRef>
              <c:f>Processing!$M$3:$M$7</c:f>
              <c:strCache>
                <c:ptCount val="5"/>
                <c:pt idx="0">
                  <c:v>A</c:v>
                </c:pt>
                <c:pt idx="1">
                  <c:v>B</c:v>
                </c:pt>
                <c:pt idx="2">
                  <c:v>C</c:v>
                </c:pt>
                <c:pt idx="3">
                  <c:v>D</c:v>
                </c:pt>
                <c:pt idx="4">
                  <c:v>E</c:v>
                </c:pt>
              </c:strCache>
            </c:strRef>
          </c:cat>
          <c:val>
            <c:numRef>
              <c:f>Processing!$O$3:$O$7</c:f>
              <c:numCache>
                <c:formatCode>0%</c:formatCode>
                <c:ptCount val="5"/>
                <c:pt idx="0">
                  <c:v>0.35</c:v>
                </c:pt>
                <c:pt idx="1">
                  <c:v>0.45</c:v>
                </c:pt>
                <c:pt idx="2">
                  <c:v>0.63</c:v>
                </c:pt>
                <c:pt idx="3">
                  <c:v>0.61</c:v>
                </c:pt>
                <c:pt idx="4">
                  <c:v>0.53</c:v>
                </c:pt>
              </c:numCache>
            </c:numRef>
          </c:val>
          <c:extLst>
            <c:ext xmlns:c16="http://schemas.microsoft.com/office/drawing/2014/chart" uri="{C3380CC4-5D6E-409C-BE32-E72D297353CC}">
              <c16:uniqueId val="{00000003-DF12-451F-A475-11BBB621ECAD}"/>
            </c:ext>
          </c:extLst>
        </c:ser>
        <c:dLbls>
          <c:showLegendKey val="0"/>
          <c:showVal val="0"/>
          <c:showCatName val="0"/>
          <c:showSerName val="0"/>
          <c:showPercent val="0"/>
          <c:showBubbleSize val="0"/>
        </c:dLbls>
        <c:axId val="1487887568"/>
        <c:axId val="1487883728"/>
      </c:radarChart>
      <c:catAx>
        <c:axId val="148788756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87883728"/>
        <c:crosses val="autoZero"/>
        <c:auto val="1"/>
        <c:lblAlgn val="ctr"/>
        <c:lblOffset val="100"/>
        <c:noMultiLvlLbl val="0"/>
      </c:catAx>
      <c:valAx>
        <c:axId val="1487883728"/>
        <c:scaling>
          <c:orientation val="minMax"/>
        </c:scaling>
        <c:delete val="1"/>
        <c:axPos val="l"/>
        <c:numFmt formatCode="0%" sourceLinked="1"/>
        <c:majorTickMark val="none"/>
        <c:minorTickMark val="none"/>
        <c:tickLblPos val="nextTo"/>
        <c:crossAx val="1487887568"/>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1"/>
          <c:tx>
            <c:strRef>
              <c:f>Processing!$H$12</c:f>
              <c:strCache>
                <c:ptCount val="1"/>
                <c:pt idx="0">
                  <c:v>Annual Payroll Plan</c:v>
                </c:pt>
              </c:strCache>
            </c:strRef>
          </c:tx>
          <c:spPr>
            <a:gradFill>
              <a:gsLst>
                <a:gs pos="26000">
                  <a:srgbClr val="DCF2FF">
                    <a:alpha val="81961"/>
                  </a:srgbClr>
                </a:gs>
                <a:gs pos="100000">
                  <a:srgbClr val="E3E9F4">
                    <a:alpha val="0"/>
                  </a:srgbClr>
                </a:gs>
              </a:gsLst>
              <a:lin ang="5400000" scaled="1"/>
            </a:gradFill>
            <a:ln>
              <a:noFill/>
            </a:ln>
            <a:effectLst/>
          </c:spPr>
          <c:cat>
            <c:strRef>
              <c:f>Processing!$F$13:$F$26</c:f>
              <c:strCache>
                <c:ptCount val="13"/>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Processing!$H$13:$H$26</c:f>
              <c:numCache>
                <c:formatCode>General</c:formatCode>
                <c:ptCount val="14"/>
                <c:pt idx="0">
                  <c:v>60000</c:v>
                </c:pt>
                <c:pt idx="1">
                  <c:v>60000</c:v>
                </c:pt>
                <c:pt idx="2">
                  <c:v>60000</c:v>
                </c:pt>
                <c:pt idx="3">
                  <c:v>60000</c:v>
                </c:pt>
                <c:pt idx="4">
                  <c:v>60000</c:v>
                </c:pt>
                <c:pt idx="5">
                  <c:v>60000</c:v>
                </c:pt>
                <c:pt idx="6">
                  <c:v>60000</c:v>
                </c:pt>
                <c:pt idx="7">
                  <c:v>60000</c:v>
                </c:pt>
                <c:pt idx="8">
                  <c:v>60000</c:v>
                </c:pt>
                <c:pt idx="9">
                  <c:v>60000</c:v>
                </c:pt>
                <c:pt idx="10">
                  <c:v>60000</c:v>
                </c:pt>
                <c:pt idx="11">
                  <c:v>60000</c:v>
                </c:pt>
                <c:pt idx="12">
                  <c:v>60000</c:v>
                </c:pt>
                <c:pt idx="13">
                  <c:v>60000</c:v>
                </c:pt>
              </c:numCache>
            </c:numRef>
          </c:val>
          <c:extLst>
            <c:ext xmlns:c16="http://schemas.microsoft.com/office/drawing/2014/chart" uri="{C3380CC4-5D6E-409C-BE32-E72D297353CC}">
              <c16:uniqueId val="{00000000-166F-4286-80DD-A1F6F70B24C5}"/>
            </c:ext>
          </c:extLst>
        </c:ser>
        <c:dLbls>
          <c:showLegendKey val="0"/>
          <c:showVal val="0"/>
          <c:showCatName val="0"/>
          <c:showSerName val="0"/>
          <c:showPercent val="0"/>
          <c:showBubbleSize val="0"/>
        </c:dLbls>
        <c:axId val="129444495"/>
        <c:axId val="129453615"/>
      </c:areaChart>
      <c:barChart>
        <c:barDir val="col"/>
        <c:grouping val="clustered"/>
        <c:varyColors val="0"/>
        <c:ser>
          <c:idx val="0"/>
          <c:order val="0"/>
          <c:tx>
            <c:strRef>
              <c:f>Processing!$G$12</c:f>
              <c:strCache>
                <c:ptCount val="1"/>
                <c:pt idx="0">
                  <c:v>Payroll</c:v>
                </c:pt>
              </c:strCache>
            </c:strRef>
          </c:tx>
          <c:spPr>
            <a:gradFill flip="none" rotWithShape="1">
              <a:gsLst>
                <a:gs pos="0">
                  <a:srgbClr val="297BA9"/>
                </a:gs>
                <a:gs pos="100000">
                  <a:srgbClr val="2A82B3"/>
                </a:gs>
              </a:gsLst>
              <a:lin ang="5400000" scaled="0"/>
              <a:tileRect/>
            </a:gradFill>
            <a:ln w="114300">
              <a:solidFill>
                <a:srgbClr val="84B6F8"/>
              </a:solidFill>
            </a:ln>
            <a:effectLst/>
          </c:spPr>
          <c:invertIfNegative val="0"/>
          <c:cat>
            <c:strRef>
              <c:f>Processing!$F$13:$F$26</c:f>
              <c:strCache>
                <c:ptCount val="13"/>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Processing!$G$13:$G$26</c:f>
              <c:numCache>
                <c:formatCode>General</c:formatCode>
                <c:ptCount val="14"/>
                <c:pt idx="1">
                  <c:v>53818</c:v>
                </c:pt>
                <c:pt idx="2">
                  <c:v>76798</c:v>
                </c:pt>
                <c:pt idx="3">
                  <c:v>78380</c:v>
                </c:pt>
                <c:pt idx="4">
                  <c:v>80403</c:v>
                </c:pt>
                <c:pt idx="5">
                  <c:v>110090</c:v>
                </c:pt>
                <c:pt idx="6">
                  <c:v>127270</c:v>
                </c:pt>
                <c:pt idx="7">
                  <c:v>127090</c:v>
                </c:pt>
                <c:pt idx="8">
                  <c:v>126645</c:v>
                </c:pt>
                <c:pt idx="9">
                  <c:v>121425</c:v>
                </c:pt>
                <c:pt idx="10">
                  <c:v>118840</c:v>
                </c:pt>
                <c:pt idx="11">
                  <c:v>98685</c:v>
                </c:pt>
                <c:pt idx="12">
                  <c:v>98395</c:v>
                </c:pt>
              </c:numCache>
            </c:numRef>
          </c:val>
          <c:extLst>
            <c:ext xmlns:c16="http://schemas.microsoft.com/office/drawing/2014/chart" uri="{C3380CC4-5D6E-409C-BE32-E72D297353CC}">
              <c16:uniqueId val="{00000001-166F-4286-80DD-A1F6F70B24C5}"/>
            </c:ext>
          </c:extLst>
        </c:ser>
        <c:ser>
          <c:idx val="3"/>
          <c:order val="3"/>
          <c:tx>
            <c:strRef>
              <c:f>Processing!$I$12</c:f>
              <c:strCache>
                <c:ptCount val="1"/>
                <c:pt idx="0">
                  <c:v>Cursor</c:v>
                </c:pt>
              </c:strCache>
            </c:strRef>
          </c:tx>
          <c:spPr>
            <a:gradFill>
              <a:gsLst>
                <a:gs pos="0">
                  <a:srgbClr val="006FFE"/>
                </a:gs>
                <a:gs pos="45000">
                  <a:srgbClr val="52E1F1"/>
                </a:gs>
              </a:gsLst>
              <a:lin ang="5400000" scaled="0"/>
            </a:gradFill>
            <a:ln w="114300">
              <a:gradFill>
                <a:gsLst>
                  <a:gs pos="0">
                    <a:srgbClr val="006FFE"/>
                  </a:gs>
                  <a:gs pos="100000">
                    <a:srgbClr val="00E2F9"/>
                  </a:gs>
                </a:gsLst>
                <a:lin ang="5400000" scaled="1"/>
              </a:gradFill>
            </a:ln>
            <a:effectLst/>
          </c:spPr>
          <c:invertIfNegative val="0"/>
          <c:dLbls>
            <c:numFmt formatCode="[&gt;=1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90000"/>
                        <a:lumOff val="10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Processing!$F$13:$F$26</c:f>
              <c:strCache>
                <c:ptCount val="13"/>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Processing!$I$13:$I$26</c:f>
              <c:numCache>
                <c:formatCode>General</c:formatCode>
                <c:ptCount val="14"/>
                <c:pt idx="1">
                  <c:v>#N/A</c:v>
                </c:pt>
                <c:pt idx="2">
                  <c:v>#N/A</c:v>
                </c:pt>
                <c:pt idx="3">
                  <c:v>#N/A</c:v>
                </c:pt>
                <c:pt idx="4">
                  <c:v>#N/A</c:v>
                </c:pt>
                <c:pt idx="5">
                  <c:v>#N/A</c:v>
                </c:pt>
                <c:pt idx="6">
                  <c:v>#N/A</c:v>
                </c:pt>
                <c:pt idx="7">
                  <c:v>#N/A</c:v>
                </c:pt>
                <c:pt idx="8">
                  <c:v>#N/A</c:v>
                </c:pt>
                <c:pt idx="9">
                  <c:v>#N/A</c:v>
                </c:pt>
                <c:pt idx="10">
                  <c:v>118840</c:v>
                </c:pt>
                <c:pt idx="11">
                  <c:v>#N/A</c:v>
                </c:pt>
                <c:pt idx="12">
                  <c:v>#N/A</c:v>
                </c:pt>
              </c:numCache>
            </c:numRef>
          </c:val>
          <c:extLst>
            <c:ext xmlns:c16="http://schemas.microsoft.com/office/drawing/2014/chart" uri="{C3380CC4-5D6E-409C-BE32-E72D297353CC}">
              <c16:uniqueId val="{00000002-166F-4286-80DD-A1F6F70B24C5}"/>
            </c:ext>
          </c:extLst>
        </c:ser>
        <c:dLbls>
          <c:showLegendKey val="0"/>
          <c:showVal val="0"/>
          <c:showCatName val="0"/>
          <c:showSerName val="0"/>
          <c:showPercent val="0"/>
          <c:showBubbleSize val="0"/>
        </c:dLbls>
        <c:gapWidth val="200"/>
        <c:overlap val="100"/>
        <c:axId val="129444495"/>
        <c:axId val="129453615"/>
      </c:barChart>
      <c:lineChart>
        <c:grouping val="standard"/>
        <c:varyColors val="0"/>
        <c:ser>
          <c:idx val="1"/>
          <c:order val="2"/>
          <c:tx>
            <c:v>fill</c:v>
          </c:tx>
          <c:spPr>
            <a:ln w="9525" cap="rnd">
              <a:solidFill>
                <a:schemeClr val="bg1"/>
              </a:solidFill>
              <a:round/>
            </a:ln>
            <a:effectLst/>
          </c:spPr>
          <c:marker>
            <c:symbol val="none"/>
          </c:marker>
          <c:cat>
            <c:strRef>
              <c:f>Processing!$F$13:$F$26</c:f>
              <c:strCache>
                <c:ptCount val="13"/>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Processing!$H$13:$H$26</c:f>
              <c:numCache>
                <c:formatCode>General</c:formatCode>
                <c:ptCount val="14"/>
                <c:pt idx="0">
                  <c:v>60000</c:v>
                </c:pt>
                <c:pt idx="1">
                  <c:v>60000</c:v>
                </c:pt>
                <c:pt idx="2">
                  <c:v>60000</c:v>
                </c:pt>
                <c:pt idx="3">
                  <c:v>60000</c:v>
                </c:pt>
                <c:pt idx="4">
                  <c:v>60000</c:v>
                </c:pt>
                <c:pt idx="5">
                  <c:v>60000</c:v>
                </c:pt>
                <c:pt idx="6">
                  <c:v>60000</c:v>
                </c:pt>
                <c:pt idx="7">
                  <c:v>60000</c:v>
                </c:pt>
                <c:pt idx="8">
                  <c:v>60000</c:v>
                </c:pt>
                <c:pt idx="9">
                  <c:v>60000</c:v>
                </c:pt>
                <c:pt idx="10">
                  <c:v>60000</c:v>
                </c:pt>
                <c:pt idx="11">
                  <c:v>60000</c:v>
                </c:pt>
                <c:pt idx="12">
                  <c:v>60000</c:v>
                </c:pt>
                <c:pt idx="13">
                  <c:v>60000</c:v>
                </c:pt>
              </c:numCache>
            </c:numRef>
          </c:val>
          <c:smooth val="0"/>
          <c:extLst>
            <c:ext xmlns:c16="http://schemas.microsoft.com/office/drawing/2014/chart" uri="{C3380CC4-5D6E-409C-BE32-E72D297353CC}">
              <c16:uniqueId val="{00000003-166F-4286-80DD-A1F6F70B24C5}"/>
            </c:ext>
          </c:extLst>
        </c:ser>
        <c:dLbls>
          <c:showLegendKey val="0"/>
          <c:showVal val="0"/>
          <c:showCatName val="0"/>
          <c:showSerName val="0"/>
          <c:showPercent val="0"/>
          <c:showBubbleSize val="0"/>
        </c:dLbls>
        <c:marker val="1"/>
        <c:smooth val="0"/>
        <c:axId val="129444495"/>
        <c:axId val="129453615"/>
      </c:lineChart>
      <c:catAx>
        <c:axId val="12944449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2">
                    <a:lumMod val="90000"/>
                    <a:lumOff val="10000"/>
                  </a:schemeClr>
                </a:solidFill>
                <a:latin typeface="+mn-lt"/>
                <a:ea typeface="+mn-ea"/>
                <a:cs typeface="+mn-cs"/>
              </a:defRPr>
            </a:pPr>
            <a:endParaRPr lang="ru-RU"/>
          </a:p>
        </c:txPr>
        <c:crossAx val="129453615"/>
        <c:crosses val="autoZero"/>
        <c:auto val="1"/>
        <c:lblAlgn val="ctr"/>
        <c:lblOffset val="100"/>
        <c:noMultiLvlLbl val="0"/>
      </c:catAx>
      <c:valAx>
        <c:axId val="129453615"/>
        <c:scaling>
          <c:orientation val="minMax"/>
        </c:scaling>
        <c:delete val="1"/>
        <c:axPos val="l"/>
        <c:numFmt formatCode="General" sourceLinked="1"/>
        <c:majorTickMark val="none"/>
        <c:minorTickMark val="none"/>
        <c:tickLblPos val="nextTo"/>
        <c:crossAx val="129444495"/>
        <c:crosses val="autoZero"/>
        <c:crossBetween val="between"/>
      </c:valAx>
      <c:spPr>
        <a:no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Processing!$L$18</c:f>
              <c:strCache>
                <c:ptCount val="1"/>
                <c:pt idx="0">
                  <c:v>100%</c:v>
                </c:pt>
              </c:strCache>
            </c:strRef>
          </c:tx>
          <c:spPr>
            <a:solidFill>
              <a:srgbClr val="EAEEF7"/>
            </a:solidFill>
            <a:ln w="31750">
              <a:solidFill>
                <a:srgbClr val="EAEEF7"/>
              </a:solidFill>
            </a:ln>
            <a:effectLst/>
          </c:spPr>
          <c:invertIfNegative val="0"/>
          <c:cat>
            <c:strRef>
              <c:f>Processing!$K$19:$K$23</c:f>
              <c:strCache>
                <c:ptCount val="5"/>
                <c:pt idx="0">
                  <c:v>Employee1</c:v>
                </c:pt>
                <c:pt idx="1">
                  <c:v>Employee5</c:v>
                </c:pt>
                <c:pt idx="2">
                  <c:v>Employee4</c:v>
                </c:pt>
                <c:pt idx="3">
                  <c:v>Employee3</c:v>
                </c:pt>
                <c:pt idx="4">
                  <c:v>Employee2</c:v>
                </c:pt>
              </c:strCache>
            </c:strRef>
          </c:cat>
          <c:val>
            <c:numRef>
              <c:f>Processing!$L$19:$L$23</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0-3594-422B-B1E7-5420EE8C1108}"/>
            </c:ext>
          </c:extLst>
        </c:ser>
        <c:ser>
          <c:idx val="1"/>
          <c:order val="1"/>
          <c:tx>
            <c:strRef>
              <c:f>Processing!$M$18</c:f>
              <c:strCache>
                <c:ptCount val="1"/>
                <c:pt idx="0">
                  <c:v>Salary</c:v>
                </c:pt>
              </c:strCache>
            </c:strRef>
          </c:tx>
          <c:spPr>
            <a:solidFill>
              <a:srgbClr val="589CF6"/>
            </a:solidFill>
            <a:ln w="31750">
              <a:solidFill>
                <a:srgbClr val="589CF6"/>
              </a:solidFill>
            </a:ln>
            <a:effectLst/>
          </c:spPr>
          <c:invertIfNegative val="0"/>
          <c:cat>
            <c:strRef>
              <c:f>Processing!$K$19:$K$23</c:f>
              <c:strCache>
                <c:ptCount val="5"/>
                <c:pt idx="0">
                  <c:v>Employee1</c:v>
                </c:pt>
                <c:pt idx="1">
                  <c:v>Employee5</c:v>
                </c:pt>
                <c:pt idx="2">
                  <c:v>Employee4</c:v>
                </c:pt>
                <c:pt idx="3">
                  <c:v>Employee3</c:v>
                </c:pt>
                <c:pt idx="4">
                  <c:v>Employee2</c:v>
                </c:pt>
              </c:strCache>
            </c:strRef>
          </c:cat>
          <c:val>
            <c:numRef>
              <c:f>Processing!$M$19:$M$23</c:f>
              <c:numCache>
                <c:formatCode>0%</c:formatCode>
                <c:ptCount val="5"/>
                <c:pt idx="0">
                  <c:v>0.77272727272727271</c:v>
                </c:pt>
                <c:pt idx="1">
                  <c:v>0.73484848484848486</c:v>
                </c:pt>
                <c:pt idx="2">
                  <c:v>0.95454545454545459</c:v>
                </c:pt>
                <c:pt idx="3">
                  <c:v>0.68939393939393945</c:v>
                </c:pt>
                <c:pt idx="4">
                  <c:v>1</c:v>
                </c:pt>
              </c:numCache>
            </c:numRef>
          </c:val>
          <c:extLst>
            <c:ext xmlns:c16="http://schemas.microsoft.com/office/drawing/2014/chart" uri="{C3380CC4-5D6E-409C-BE32-E72D297353CC}">
              <c16:uniqueId val="{00000001-3594-422B-B1E7-5420EE8C1108}"/>
            </c:ext>
          </c:extLst>
        </c:ser>
        <c:ser>
          <c:idx val="2"/>
          <c:order val="2"/>
          <c:tx>
            <c:strRef>
              <c:f>Processing!$N$18</c:f>
              <c:strCache>
                <c:ptCount val="1"/>
                <c:pt idx="0">
                  <c:v>Bonus</c:v>
                </c:pt>
              </c:strCache>
            </c:strRef>
          </c:tx>
          <c:spPr>
            <a:solidFill>
              <a:srgbClr val="26CFFF"/>
            </a:solidFill>
            <a:ln w="31750">
              <a:solidFill>
                <a:srgbClr val="26CFFF"/>
              </a:solidFill>
            </a:ln>
            <a:effectLst/>
          </c:spPr>
          <c:invertIfNegative val="0"/>
          <c:cat>
            <c:strRef>
              <c:f>Processing!$K$19:$K$23</c:f>
              <c:strCache>
                <c:ptCount val="5"/>
                <c:pt idx="0">
                  <c:v>Employee1</c:v>
                </c:pt>
                <c:pt idx="1">
                  <c:v>Employee5</c:v>
                </c:pt>
                <c:pt idx="2">
                  <c:v>Employee4</c:v>
                </c:pt>
                <c:pt idx="3">
                  <c:v>Employee3</c:v>
                </c:pt>
                <c:pt idx="4">
                  <c:v>Employee2</c:v>
                </c:pt>
              </c:strCache>
            </c:strRef>
          </c:cat>
          <c:val>
            <c:numRef>
              <c:f>Processing!$N$19:$N$23</c:f>
              <c:numCache>
                <c:formatCode>0%</c:formatCode>
                <c:ptCount val="5"/>
                <c:pt idx="0">
                  <c:v>0.73484848484848486</c:v>
                </c:pt>
                <c:pt idx="1">
                  <c:v>0.45454545454545453</c:v>
                </c:pt>
                <c:pt idx="2">
                  <c:v>0.40151515151515149</c:v>
                </c:pt>
                <c:pt idx="3">
                  <c:v>0.34848484848484851</c:v>
                </c:pt>
                <c:pt idx="4">
                  <c:v>0.2196969696969697</c:v>
                </c:pt>
              </c:numCache>
            </c:numRef>
          </c:val>
          <c:extLst>
            <c:ext xmlns:c16="http://schemas.microsoft.com/office/drawing/2014/chart" uri="{C3380CC4-5D6E-409C-BE32-E72D297353CC}">
              <c16:uniqueId val="{00000002-3594-422B-B1E7-5420EE8C1108}"/>
            </c:ext>
          </c:extLst>
        </c:ser>
        <c:dLbls>
          <c:showLegendKey val="0"/>
          <c:showVal val="0"/>
          <c:showCatName val="0"/>
          <c:showSerName val="0"/>
          <c:showPercent val="0"/>
          <c:showBubbleSize val="0"/>
        </c:dLbls>
        <c:gapWidth val="500"/>
        <c:overlap val="100"/>
        <c:axId val="159147311"/>
        <c:axId val="159125231"/>
      </c:barChart>
      <c:catAx>
        <c:axId val="15914731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ru-RU"/>
          </a:p>
        </c:txPr>
        <c:crossAx val="159125231"/>
        <c:crosses val="autoZero"/>
        <c:auto val="1"/>
        <c:lblAlgn val="ctr"/>
        <c:lblOffset val="100"/>
        <c:noMultiLvlLbl val="0"/>
      </c:catAx>
      <c:valAx>
        <c:axId val="159125231"/>
        <c:scaling>
          <c:orientation val="minMax"/>
        </c:scaling>
        <c:delete val="1"/>
        <c:axPos val="t"/>
        <c:numFmt formatCode="0%" sourceLinked="1"/>
        <c:majorTickMark val="none"/>
        <c:minorTickMark val="none"/>
        <c:tickLblPos val="nextTo"/>
        <c:crossAx val="159147311"/>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Processing!$I$30:$L$30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51-45CD-46E1-8CAB-4E6B7673BFF1}"/>
            </c:ext>
          </c:extLst>
        </c:ser>
        <c:ser>
          <c:idx val="1"/>
          <c:order val="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Processing!$I$31:$L$31</c:f>
              <c:numCache>
                <c:formatCode>General</c:formatCode>
                <c:ptCount val="4"/>
                <c:pt idx="0">
                  <c:v>0</c:v>
                </c:pt>
                <c:pt idx="1">
                  <c:v>1</c:v>
                </c:pt>
                <c:pt idx="2">
                  <c:v>1</c:v>
                </c:pt>
                <c:pt idx="3">
                  <c:v>1</c:v>
                </c:pt>
              </c:numCache>
            </c:numRef>
          </c:val>
          <c:extLst>
            <c:ext xmlns:c16="http://schemas.microsoft.com/office/drawing/2014/chart" uri="{C3380CC4-5D6E-409C-BE32-E72D297353CC}">
              <c16:uniqueId val="{00000153-45CD-46E1-8CAB-4E6B7673BFF1}"/>
            </c:ext>
          </c:extLst>
        </c:ser>
        <c:ser>
          <c:idx val="2"/>
          <c:order val="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Processing!$I$32:$L$32</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55-45CD-46E1-8CAB-4E6B7673BFF1}"/>
            </c:ext>
          </c:extLst>
        </c:ser>
        <c:ser>
          <c:idx val="3"/>
          <c:order val="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Processing!$I$33:$L$33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57-45CD-46E1-8CAB-4E6B7673BFF1}"/>
            </c:ext>
          </c:extLst>
        </c:ser>
        <c:ser>
          <c:idx val="4"/>
          <c:order val="4"/>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Processing!$I$34:$L$34</c:f>
              <c:numCache>
                <c:formatCode>General</c:formatCode>
                <c:ptCount val="4"/>
                <c:pt idx="0">
                  <c:v>0</c:v>
                </c:pt>
                <c:pt idx="1">
                  <c:v>1</c:v>
                </c:pt>
                <c:pt idx="2">
                  <c:v>0</c:v>
                </c:pt>
                <c:pt idx="3">
                  <c:v>1</c:v>
                </c:pt>
              </c:numCache>
            </c:numRef>
          </c:val>
          <c:extLst>
            <c:ext xmlns:c16="http://schemas.microsoft.com/office/drawing/2014/chart" uri="{C3380CC4-5D6E-409C-BE32-E72D297353CC}">
              <c16:uniqueId val="{00000159-45CD-46E1-8CAB-4E6B7673BFF1}"/>
            </c:ext>
          </c:extLst>
        </c:ser>
        <c:ser>
          <c:idx val="5"/>
          <c:order val="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Processing!$I$35:$L$35</c:f>
              <c:numCache>
                <c:formatCode>General</c:formatCode>
                <c:ptCount val="4"/>
                <c:pt idx="0">
                  <c:v>0</c:v>
                </c:pt>
                <c:pt idx="1">
                  <c:v>0</c:v>
                </c:pt>
                <c:pt idx="2">
                  <c:v>1</c:v>
                </c:pt>
                <c:pt idx="3">
                  <c:v>0</c:v>
                </c:pt>
              </c:numCache>
            </c:numRef>
          </c:val>
          <c:extLst>
            <c:ext xmlns:c16="http://schemas.microsoft.com/office/drawing/2014/chart" uri="{C3380CC4-5D6E-409C-BE32-E72D297353CC}">
              <c16:uniqueId val="{0000015B-45CD-46E1-8CAB-4E6B7673BFF1}"/>
            </c:ext>
          </c:extLst>
        </c:ser>
        <c:ser>
          <c:idx val="6"/>
          <c:order val="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Processing!$I$36:$L$36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5D-45CD-46E1-8CAB-4E6B7673BFF1}"/>
            </c:ext>
          </c:extLst>
        </c:ser>
        <c:ser>
          <c:idx val="7"/>
          <c:order val="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Processing!$I$37:$L$37</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5F-45CD-46E1-8CAB-4E6B7673BFF1}"/>
            </c:ext>
          </c:extLst>
        </c:ser>
        <c:ser>
          <c:idx val="8"/>
          <c:order val="8"/>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Processing!$I$38:$L$38</c:f>
              <c:numCache>
                <c:formatCode>General</c:formatCode>
                <c:ptCount val="4"/>
                <c:pt idx="0">
                  <c:v>1</c:v>
                </c:pt>
                <c:pt idx="1">
                  <c:v>1</c:v>
                </c:pt>
                <c:pt idx="2">
                  <c:v>1</c:v>
                </c:pt>
                <c:pt idx="3">
                  <c:v>0</c:v>
                </c:pt>
              </c:numCache>
            </c:numRef>
          </c:val>
          <c:extLst>
            <c:ext xmlns:c16="http://schemas.microsoft.com/office/drawing/2014/chart" uri="{C3380CC4-5D6E-409C-BE32-E72D297353CC}">
              <c16:uniqueId val="{00000161-45CD-46E1-8CAB-4E6B7673BFF1}"/>
            </c:ext>
          </c:extLst>
        </c:ser>
        <c:ser>
          <c:idx val="9"/>
          <c:order val="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Processing!$I$39:$L$39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63-45CD-46E1-8CAB-4E6B7673BFF1}"/>
            </c:ext>
          </c:extLst>
        </c:ser>
        <c:ser>
          <c:idx val="10"/>
          <c:order val="1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Processing!$I$40:$L$40</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65-45CD-46E1-8CAB-4E6B7673BFF1}"/>
            </c:ext>
          </c:extLst>
        </c:ser>
        <c:ser>
          <c:idx val="11"/>
          <c:order val="1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Processing!$I$41:$L$41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67-45CD-46E1-8CAB-4E6B7673BFF1}"/>
            </c:ext>
          </c:extLst>
        </c:ser>
        <c:ser>
          <c:idx val="12"/>
          <c:order val="12"/>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Processing!$I$42:$L$42</c:f>
              <c:numCache>
                <c:formatCode>General</c:formatCode>
                <c:ptCount val="4"/>
                <c:pt idx="0">
                  <c:v>1</c:v>
                </c:pt>
                <c:pt idx="1">
                  <c:v>1</c:v>
                </c:pt>
                <c:pt idx="2">
                  <c:v>1</c:v>
                </c:pt>
                <c:pt idx="3">
                  <c:v>1</c:v>
                </c:pt>
              </c:numCache>
            </c:numRef>
          </c:val>
          <c:extLst>
            <c:ext xmlns:c16="http://schemas.microsoft.com/office/drawing/2014/chart" uri="{C3380CC4-5D6E-409C-BE32-E72D297353CC}">
              <c16:uniqueId val="{00000169-45CD-46E1-8CAB-4E6B7673BFF1}"/>
            </c:ext>
          </c:extLst>
        </c:ser>
        <c:ser>
          <c:idx val="13"/>
          <c:order val="13"/>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Processing!$I$43:$L$43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6B-45CD-46E1-8CAB-4E6B7673BFF1}"/>
            </c:ext>
          </c:extLst>
        </c:ser>
        <c:ser>
          <c:idx val="14"/>
          <c:order val="14"/>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Processing!$I$44:$L$44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6D-45CD-46E1-8CAB-4E6B7673BFF1}"/>
            </c:ext>
          </c:extLst>
        </c:ser>
        <c:ser>
          <c:idx val="15"/>
          <c:order val="15"/>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Processing!$I$45:$L$45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6F-45CD-46E1-8CAB-4E6B7673BFF1}"/>
            </c:ext>
          </c:extLst>
        </c:ser>
        <c:ser>
          <c:idx val="16"/>
          <c:order val="16"/>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Processing!$I$46:$L$46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71-45CD-46E1-8CAB-4E6B7673BFF1}"/>
            </c:ext>
          </c:extLst>
        </c:ser>
        <c:ser>
          <c:idx val="17"/>
          <c:order val="17"/>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Processing!$I$47:$L$47</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73-45CD-46E1-8CAB-4E6B7673BFF1}"/>
            </c:ext>
          </c:extLst>
        </c:ser>
        <c:ser>
          <c:idx val="18"/>
          <c:order val="18"/>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Processing!$I$48:$L$48</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75-45CD-46E1-8CAB-4E6B7673BFF1}"/>
            </c:ext>
          </c:extLst>
        </c:ser>
        <c:ser>
          <c:idx val="19"/>
          <c:order val="19"/>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Processing!$I$49:$L$49</c:f>
              <c:numCache>
                <c:formatCode>General</c:formatCode>
                <c:ptCount val="4"/>
                <c:pt idx="0">
                  <c:v>1</c:v>
                </c:pt>
                <c:pt idx="1">
                  <c:v>0</c:v>
                </c:pt>
                <c:pt idx="2">
                  <c:v>1</c:v>
                </c:pt>
                <c:pt idx="3">
                  <c:v>0</c:v>
                </c:pt>
              </c:numCache>
            </c:numRef>
          </c:val>
          <c:extLst>
            <c:ext xmlns:c16="http://schemas.microsoft.com/office/drawing/2014/chart" uri="{C3380CC4-5D6E-409C-BE32-E72D297353CC}">
              <c16:uniqueId val="{00000177-45CD-46E1-8CAB-4E6B7673BFF1}"/>
            </c:ext>
          </c:extLst>
        </c:ser>
        <c:ser>
          <c:idx val="20"/>
          <c:order val="20"/>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Processing!$I$50:$L$50</c:f>
              <c:numCache>
                <c:formatCode>General</c:formatCode>
                <c:ptCount val="4"/>
                <c:pt idx="0">
                  <c:v>0</c:v>
                </c:pt>
                <c:pt idx="1">
                  <c:v>1</c:v>
                </c:pt>
                <c:pt idx="2">
                  <c:v>0</c:v>
                </c:pt>
                <c:pt idx="3">
                  <c:v>1</c:v>
                </c:pt>
              </c:numCache>
            </c:numRef>
          </c:val>
          <c:extLst>
            <c:ext xmlns:c16="http://schemas.microsoft.com/office/drawing/2014/chart" uri="{C3380CC4-5D6E-409C-BE32-E72D297353CC}">
              <c16:uniqueId val="{00000179-45CD-46E1-8CAB-4E6B7673BFF1}"/>
            </c:ext>
          </c:extLst>
        </c:ser>
        <c:ser>
          <c:idx val="21"/>
          <c:order val="2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Processing!$I$51:$L$51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7B-45CD-46E1-8CAB-4E6B7673BFF1}"/>
            </c:ext>
          </c:extLst>
        </c:ser>
        <c:ser>
          <c:idx val="22"/>
          <c:order val="2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Processing!$I$52:$L$52</c:f>
              <c:numCache>
                <c:formatCode>General</c:formatCode>
                <c:ptCount val="4"/>
                <c:pt idx="0">
                  <c:v>1</c:v>
                </c:pt>
                <c:pt idx="1">
                  <c:v>0</c:v>
                </c:pt>
                <c:pt idx="2">
                  <c:v>1</c:v>
                </c:pt>
                <c:pt idx="3">
                  <c:v>0</c:v>
                </c:pt>
              </c:numCache>
            </c:numRef>
          </c:val>
          <c:extLst>
            <c:ext xmlns:c16="http://schemas.microsoft.com/office/drawing/2014/chart" uri="{C3380CC4-5D6E-409C-BE32-E72D297353CC}">
              <c16:uniqueId val="{0000017D-45CD-46E1-8CAB-4E6B7673BFF1}"/>
            </c:ext>
          </c:extLst>
        </c:ser>
        <c:ser>
          <c:idx val="23"/>
          <c:order val="2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Processing!$I$53:$L$53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7F-45CD-46E1-8CAB-4E6B7673BFF1}"/>
            </c:ext>
          </c:extLst>
        </c:ser>
        <c:ser>
          <c:idx val="24"/>
          <c:order val="24"/>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Processing!$I$54:$L$54</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81-45CD-46E1-8CAB-4E6B7673BFF1}"/>
            </c:ext>
          </c:extLst>
        </c:ser>
        <c:ser>
          <c:idx val="25"/>
          <c:order val="2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Processing!$I$55:$L$55</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83-45CD-46E1-8CAB-4E6B7673BFF1}"/>
            </c:ext>
          </c:extLst>
        </c:ser>
        <c:ser>
          <c:idx val="26"/>
          <c:order val="2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Processing!$I$56:$L$56</c:f>
              <c:numCache>
                <c:formatCode>General</c:formatCode>
                <c:ptCount val="4"/>
                <c:pt idx="0">
                  <c:v>0</c:v>
                </c:pt>
                <c:pt idx="1">
                  <c:v>0</c:v>
                </c:pt>
                <c:pt idx="2">
                  <c:v>1</c:v>
                </c:pt>
                <c:pt idx="3">
                  <c:v>0</c:v>
                </c:pt>
              </c:numCache>
            </c:numRef>
          </c:val>
          <c:extLst>
            <c:ext xmlns:c16="http://schemas.microsoft.com/office/drawing/2014/chart" uri="{C3380CC4-5D6E-409C-BE32-E72D297353CC}">
              <c16:uniqueId val="{00000185-45CD-46E1-8CAB-4E6B7673BFF1}"/>
            </c:ext>
          </c:extLst>
        </c:ser>
        <c:ser>
          <c:idx val="27"/>
          <c:order val="2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Processing!$I$57:$L$57</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87-45CD-46E1-8CAB-4E6B7673BFF1}"/>
            </c:ext>
          </c:extLst>
        </c:ser>
        <c:ser>
          <c:idx val="28"/>
          <c:order val="28"/>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Processing!$I$58:$L$58</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89-45CD-46E1-8CAB-4E6B7673BFF1}"/>
            </c:ext>
          </c:extLst>
        </c:ser>
        <c:ser>
          <c:idx val="29"/>
          <c:order val="2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Processing!$I$59:$L$59</c:f>
              <c:numCache>
                <c:formatCode>General</c:formatCode>
                <c:ptCount val="4"/>
                <c:pt idx="0">
                  <c:v>0</c:v>
                </c:pt>
                <c:pt idx="1">
                  <c:v>0</c:v>
                </c:pt>
                <c:pt idx="2">
                  <c:v>1</c:v>
                </c:pt>
                <c:pt idx="3">
                  <c:v>0</c:v>
                </c:pt>
              </c:numCache>
            </c:numRef>
          </c:val>
          <c:extLst>
            <c:ext xmlns:c16="http://schemas.microsoft.com/office/drawing/2014/chart" uri="{C3380CC4-5D6E-409C-BE32-E72D297353CC}">
              <c16:uniqueId val="{0000018B-45CD-46E1-8CAB-4E6B7673BFF1}"/>
            </c:ext>
          </c:extLst>
        </c:ser>
        <c:ser>
          <c:idx val="30"/>
          <c:order val="3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Processing!$I$60:$L$60</c:f>
              <c:numCache>
                <c:formatCode>General</c:formatCode>
                <c:ptCount val="4"/>
                <c:pt idx="0">
                  <c:v>1</c:v>
                </c:pt>
                <c:pt idx="1">
                  <c:v>1</c:v>
                </c:pt>
                <c:pt idx="2">
                  <c:v>0</c:v>
                </c:pt>
                <c:pt idx="3">
                  <c:v>0</c:v>
                </c:pt>
              </c:numCache>
            </c:numRef>
          </c:val>
          <c:extLst>
            <c:ext xmlns:c16="http://schemas.microsoft.com/office/drawing/2014/chart" uri="{C3380CC4-5D6E-409C-BE32-E72D297353CC}">
              <c16:uniqueId val="{0000018D-45CD-46E1-8CAB-4E6B7673BFF1}"/>
            </c:ext>
          </c:extLst>
        </c:ser>
        <c:ser>
          <c:idx val="31"/>
          <c:order val="3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Processing!$I$61:$L$61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8F-45CD-46E1-8CAB-4E6B7673BFF1}"/>
            </c:ext>
          </c:extLst>
        </c:ser>
        <c:ser>
          <c:idx val="32"/>
          <c:order val="32"/>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Processing!$I$62:$L$62</c:f>
              <c:numCache>
                <c:formatCode>General</c:formatCode>
                <c:ptCount val="4"/>
                <c:pt idx="0">
                  <c:v>1</c:v>
                </c:pt>
                <c:pt idx="1">
                  <c:v>1</c:v>
                </c:pt>
                <c:pt idx="2">
                  <c:v>1</c:v>
                </c:pt>
                <c:pt idx="3">
                  <c:v>0</c:v>
                </c:pt>
              </c:numCache>
            </c:numRef>
          </c:val>
          <c:extLst>
            <c:ext xmlns:c16="http://schemas.microsoft.com/office/drawing/2014/chart" uri="{C3380CC4-5D6E-409C-BE32-E72D297353CC}">
              <c16:uniqueId val="{00000191-45CD-46E1-8CAB-4E6B7673BFF1}"/>
            </c:ext>
          </c:extLst>
        </c:ser>
        <c:ser>
          <c:idx val="33"/>
          <c:order val="33"/>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Processing!$I$63:$L$63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93-45CD-46E1-8CAB-4E6B7673BFF1}"/>
            </c:ext>
          </c:extLst>
        </c:ser>
        <c:ser>
          <c:idx val="34"/>
          <c:order val="34"/>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Processing!$I$64:$L$64</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95-45CD-46E1-8CAB-4E6B7673BFF1}"/>
            </c:ext>
          </c:extLst>
        </c:ser>
        <c:ser>
          <c:idx val="35"/>
          <c:order val="35"/>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Processing!$I$65:$L$65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97-45CD-46E1-8CAB-4E6B7673BFF1}"/>
            </c:ext>
          </c:extLst>
        </c:ser>
        <c:ser>
          <c:idx val="36"/>
          <c:order val="36"/>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Processing!$I$66:$L$66</c:f>
              <c:numCache>
                <c:formatCode>General</c:formatCode>
                <c:ptCount val="4"/>
                <c:pt idx="0">
                  <c:v>0</c:v>
                </c:pt>
                <c:pt idx="1">
                  <c:v>0</c:v>
                </c:pt>
                <c:pt idx="2">
                  <c:v>1</c:v>
                </c:pt>
                <c:pt idx="3">
                  <c:v>1</c:v>
                </c:pt>
              </c:numCache>
            </c:numRef>
          </c:val>
          <c:extLst>
            <c:ext xmlns:c16="http://schemas.microsoft.com/office/drawing/2014/chart" uri="{C3380CC4-5D6E-409C-BE32-E72D297353CC}">
              <c16:uniqueId val="{00000199-45CD-46E1-8CAB-4E6B7673BFF1}"/>
            </c:ext>
          </c:extLst>
        </c:ser>
        <c:ser>
          <c:idx val="37"/>
          <c:order val="37"/>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Processing!$I$67:$L$67</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9B-45CD-46E1-8CAB-4E6B7673BFF1}"/>
            </c:ext>
          </c:extLst>
        </c:ser>
        <c:ser>
          <c:idx val="38"/>
          <c:order val="38"/>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Processing!$I$68:$L$68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9D-45CD-46E1-8CAB-4E6B7673BFF1}"/>
            </c:ext>
          </c:extLst>
        </c:ser>
        <c:ser>
          <c:idx val="39"/>
          <c:order val="39"/>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Processing!$I$69:$L$69</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9F-45CD-46E1-8CAB-4E6B7673BFF1}"/>
            </c:ext>
          </c:extLst>
        </c:ser>
        <c:ser>
          <c:idx val="40"/>
          <c:order val="40"/>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Processing!$I$70:$L$70</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A1-45CD-46E1-8CAB-4E6B7673BFF1}"/>
            </c:ext>
          </c:extLst>
        </c:ser>
        <c:ser>
          <c:idx val="41"/>
          <c:order val="4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Processing!$I$71:$L$71</c:f>
              <c:numCache>
                <c:formatCode>General</c:formatCode>
                <c:ptCount val="4"/>
                <c:pt idx="0">
                  <c:v>1</c:v>
                </c:pt>
                <c:pt idx="1">
                  <c:v>0</c:v>
                </c:pt>
                <c:pt idx="2">
                  <c:v>1</c:v>
                </c:pt>
                <c:pt idx="3">
                  <c:v>1</c:v>
                </c:pt>
              </c:numCache>
            </c:numRef>
          </c:val>
          <c:extLst>
            <c:ext xmlns:c16="http://schemas.microsoft.com/office/drawing/2014/chart" uri="{C3380CC4-5D6E-409C-BE32-E72D297353CC}">
              <c16:uniqueId val="{000001A3-45CD-46E1-8CAB-4E6B7673BFF1}"/>
            </c:ext>
          </c:extLst>
        </c:ser>
        <c:ser>
          <c:idx val="42"/>
          <c:order val="4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Processing!$I$72:$L$72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A5-45CD-46E1-8CAB-4E6B7673BFF1}"/>
            </c:ext>
          </c:extLst>
        </c:ser>
        <c:ser>
          <c:idx val="43"/>
          <c:order val="4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Processing!$I$73:$L$73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A7-45CD-46E1-8CAB-4E6B7673BFF1}"/>
            </c:ext>
          </c:extLst>
        </c:ser>
        <c:ser>
          <c:idx val="44"/>
          <c:order val="44"/>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Processing!$I$74:$L$74</c:f>
              <c:numCache>
                <c:formatCode>General</c:formatCode>
                <c:ptCount val="4"/>
                <c:pt idx="0">
                  <c:v>0</c:v>
                </c:pt>
                <c:pt idx="1">
                  <c:v>1</c:v>
                </c:pt>
                <c:pt idx="2">
                  <c:v>1</c:v>
                </c:pt>
                <c:pt idx="3">
                  <c:v>1</c:v>
                </c:pt>
              </c:numCache>
            </c:numRef>
          </c:val>
          <c:extLst>
            <c:ext xmlns:c16="http://schemas.microsoft.com/office/drawing/2014/chart" uri="{C3380CC4-5D6E-409C-BE32-E72D297353CC}">
              <c16:uniqueId val="{000001A9-45CD-46E1-8CAB-4E6B7673BFF1}"/>
            </c:ext>
          </c:extLst>
        </c:ser>
        <c:ser>
          <c:idx val="45"/>
          <c:order val="4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Processing!$I$75:$L$75</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AB-45CD-46E1-8CAB-4E6B7673BFF1}"/>
            </c:ext>
          </c:extLst>
        </c:ser>
        <c:ser>
          <c:idx val="46"/>
          <c:order val="4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Processing!$I$76:$L$76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AD-45CD-46E1-8CAB-4E6B7673BFF1}"/>
            </c:ext>
          </c:extLst>
        </c:ser>
        <c:ser>
          <c:idx val="47"/>
          <c:order val="4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Processing!$I$77:$L$77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AF-45CD-46E1-8CAB-4E6B7673BFF1}"/>
            </c:ext>
          </c:extLst>
        </c:ser>
        <c:ser>
          <c:idx val="48"/>
          <c:order val="48"/>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Processing!$I$78:$L$78</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B1-45CD-46E1-8CAB-4E6B7673BFF1}"/>
            </c:ext>
          </c:extLst>
        </c:ser>
        <c:ser>
          <c:idx val="49"/>
          <c:order val="4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Processing!$I$79:$L$79</c:f>
              <c:numCache>
                <c:formatCode>General</c:formatCode>
                <c:ptCount val="4"/>
                <c:pt idx="0">
                  <c:v>1</c:v>
                </c:pt>
                <c:pt idx="1">
                  <c:v>0</c:v>
                </c:pt>
                <c:pt idx="2">
                  <c:v>1</c:v>
                </c:pt>
                <c:pt idx="3">
                  <c:v>0</c:v>
                </c:pt>
              </c:numCache>
            </c:numRef>
          </c:val>
          <c:extLst>
            <c:ext xmlns:c16="http://schemas.microsoft.com/office/drawing/2014/chart" uri="{C3380CC4-5D6E-409C-BE32-E72D297353CC}">
              <c16:uniqueId val="{000001B3-45CD-46E1-8CAB-4E6B7673BFF1}"/>
            </c:ext>
          </c:extLst>
        </c:ser>
        <c:ser>
          <c:idx val="50"/>
          <c:order val="5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Processing!$I$80:$L$80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B5-45CD-46E1-8CAB-4E6B7673BFF1}"/>
            </c:ext>
          </c:extLst>
        </c:ser>
        <c:ser>
          <c:idx val="51"/>
          <c:order val="5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Processing!$I$81:$L$81</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B7-45CD-46E1-8CAB-4E6B7673BFF1}"/>
            </c:ext>
          </c:extLst>
        </c:ser>
        <c:ser>
          <c:idx val="52"/>
          <c:order val="52"/>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Processing!$I$82:$L$82</c:f>
              <c:numCache>
                <c:formatCode>General</c:formatCode>
                <c:ptCount val="4"/>
                <c:pt idx="0">
                  <c:v>0</c:v>
                </c:pt>
                <c:pt idx="1">
                  <c:v>1</c:v>
                </c:pt>
                <c:pt idx="2">
                  <c:v>1</c:v>
                </c:pt>
                <c:pt idx="3">
                  <c:v>0</c:v>
                </c:pt>
              </c:numCache>
            </c:numRef>
          </c:val>
          <c:extLst>
            <c:ext xmlns:c16="http://schemas.microsoft.com/office/drawing/2014/chart" uri="{C3380CC4-5D6E-409C-BE32-E72D297353CC}">
              <c16:uniqueId val="{000001B9-45CD-46E1-8CAB-4E6B7673BFF1}"/>
            </c:ext>
          </c:extLst>
        </c:ser>
        <c:ser>
          <c:idx val="53"/>
          <c:order val="53"/>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Processing!$I$83:$L$83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BB-45CD-46E1-8CAB-4E6B7673BFF1}"/>
            </c:ext>
          </c:extLst>
        </c:ser>
        <c:ser>
          <c:idx val="54"/>
          <c:order val="54"/>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Processing!$I$84:$L$84</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BD-45CD-46E1-8CAB-4E6B7673BFF1}"/>
            </c:ext>
          </c:extLst>
        </c:ser>
        <c:ser>
          <c:idx val="55"/>
          <c:order val="55"/>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Processing!$I$85:$L$85</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BF-45CD-46E1-8CAB-4E6B7673BFF1}"/>
            </c:ext>
          </c:extLst>
        </c:ser>
        <c:ser>
          <c:idx val="56"/>
          <c:order val="56"/>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Processing!$I$86:$L$86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C1-45CD-46E1-8CAB-4E6B7673BFF1}"/>
            </c:ext>
          </c:extLst>
        </c:ser>
        <c:ser>
          <c:idx val="57"/>
          <c:order val="57"/>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Processing!$I$87:$L$87</c:f>
              <c:numCache>
                <c:formatCode>General</c:formatCode>
                <c:ptCount val="4"/>
                <c:pt idx="0">
                  <c:v>1</c:v>
                </c:pt>
                <c:pt idx="1">
                  <c:v>0</c:v>
                </c:pt>
                <c:pt idx="2">
                  <c:v>0</c:v>
                </c:pt>
                <c:pt idx="3">
                  <c:v>1</c:v>
                </c:pt>
              </c:numCache>
            </c:numRef>
          </c:val>
          <c:extLst>
            <c:ext xmlns:c16="http://schemas.microsoft.com/office/drawing/2014/chart" uri="{C3380CC4-5D6E-409C-BE32-E72D297353CC}">
              <c16:uniqueId val="{000001C3-45CD-46E1-8CAB-4E6B7673BFF1}"/>
            </c:ext>
          </c:extLst>
        </c:ser>
        <c:ser>
          <c:idx val="58"/>
          <c:order val="58"/>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Processing!$I$88:$L$88</c:f>
              <c:numCache>
                <c:formatCode>General</c:formatCode>
                <c:ptCount val="4"/>
                <c:pt idx="0">
                  <c:v>0</c:v>
                </c:pt>
                <c:pt idx="1">
                  <c:v>0</c:v>
                </c:pt>
                <c:pt idx="2">
                  <c:v>1</c:v>
                </c:pt>
                <c:pt idx="3">
                  <c:v>0</c:v>
                </c:pt>
              </c:numCache>
            </c:numRef>
          </c:val>
          <c:extLst>
            <c:ext xmlns:c16="http://schemas.microsoft.com/office/drawing/2014/chart" uri="{C3380CC4-5D6E-409C-BE32-E72D297353CC}">
              <c16:uniqueId val="{000001C5-45CD-46E1-8CAB-4E6B7673BFF1}"/>
            </c:ext>
          </c:extLst>
        </c:ser>
        <c:ser>
          <c:idx val="59"/>
          <c:order val="59"/>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Processing!$I$89:$L$89</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C7-45CD-46E1-8CAB-4E6B7673BFF1}"/>
            </c:ext>
          </c:extLst>
        </c:ser>
        <c:ser>
          <c:idx val="60"/>
          <c:order val="60"/>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Processing!$I$90:$L$90</c:f>
              <c:numCache>
                <c:formatCode>General</c:formatCode>
                <c:ptCount val="4"/>
                <c:pt idx="0">
                  <c:v>0</c:v>
                </c:pt>
                <c:pt idx="1">
                  <c:v>1</c:v>
                </c:pt>
                <c:pt idx="2">
                  <c:v>1</c:v>
                </c:pt>
                <c:pt idx="3">
                  <c:v>1</c:v>
                </c:pt>
              </c:numCache>
            </c:numRef>
          </c:val>
          <c:extLst>
            <c:ext xmlns:c16="http://schemas.microsoft.com/office/drawing/2014/chart" uri="{C3380CC4-5D6E-409C-BE32-E72D297353CC}">
              <c16:uniqueId val="{000001C9-45CD-46E1-8CAB-4E6B7673BFF1}"/>
            </c:ext>
          </c:extLst>
        </c:ser>
        <c:ser>
          <c:idx val="61"/>
          <c:order val="6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Processing!$I$91:$L$91</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CB-45CD-46E1-8CAB-4E6B7673BFF1}"/>
            </c:ext>
          </c:extLst>
        </c:ser>
        <c:ser>
          <c:idx val="62"/>
          <c:order val="6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Processing!$I$92:$L$92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CD-45CD-46E1-8CAB-4E6B7673BFF1}"/>
            </c:ext>
          </c:extLst>
        </c:ser>
        <c:ser>
          <c:idx val="63"/>
          <c:order val="6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Processing!$I$93:$L$93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CF-45CD-46E1-8CAB-4E6B7673BFF1}"/>
            </c:ext>
          </c:extLst>
        </c:ser>
        <c:ser>
          <c:idx val="64"/>
          <c:order val="64"/>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Processing!$I$94:$L$94</c:f>
              <c:numCache>
                <c:formatCode>General</c:formatCode>
                <c:ptCount val="4"/>
                <c:pt idx="0">
                  <c:v>0</c:v>
                </c:pt>
                <c:pt idx="1">
                  <c:v>0</c:v>
                </c:pt>
                <c:pt idx="2">
                  <c:v>1</c:v>
                </c:pt>
                <c:pt idx="3">
                  <c:v>0</c:v>
                </c:pt>
              </c:numCache>
            </c:numRef>
          </c:val>
          <c:extLst>
            <c:ext xmlns:c16="http://schemas.microsoft.com/office/drawing/2014/chart" uri="{C3380CC4-5D6E-409C-BE32-E72D297353CC}">
              <c16:uniqueId val="{000001D1-45CD-46E1-8CAB-4E6B7673BFF1}"/>
            </c:ext>
          </c:extLst>
        </c:ser>
        <c:ser>
          <c:idx val="65"/>
          <c:order val="6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Processing!$I$95:$L$95</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D3-45CD-46E1-8CAB-4E6B7673BFF1}"/>
            </c:ext>
          </c:extLst>
        </c:ser>
        <c:ser>
          <c:idx val="66"/>
          <c:order val="6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Processing!$I$96:$L$96</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D5-45CD-46E1-8CAB-4E6B7673BFF1}"/>
            </c:ext>
          </c:extLst>
        </c:ser>
        <c:ser>
          <c:idx val="67"/>
          <c:order val="6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Processing!$I$97:$L$97</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D7-45CD-46E1-8CAB-4E6B7673BFF1}"/>
            </c:ext>
          </c:extLst>
        </c:ser>
        <c:ser>
          <c:idx val="68"/>
          <c:order val="68"/>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Processing!$I$98:$L$98</c:f>
              <c:numCache>
                <c:formatCode>General</c:formatCode>
                <c:ptCount val="4"/>
                <c:pt idx="0">
                  <c:v>1</c:v>
                </c:pt>
                <c:pt idx="1">
                  <c:v>0</c:v>
                </c:pt>
                <c:pt idx="2">
                  <c:v>1</c:v>
                </c:pt>
                <c:pt idx="3">
                  <c:v>0</c:v>
                </c:pt>
              </c:numCache>
            </c:numRef>
          </c:val>
          <c:extLst>
            <c:ext xmlns:c16="http://schemas.microsoft.com/office/drawing/2014/chart" uri="{C3380CC4-5D6E-409C-BE32-E72D297353CC}">
              <c16:uniqueId val="{000001D9-45CD-46E1-8CAB-4E6B7673BFF1}"/>
            </c:ext>
          </c:extLst>
        </c:ser>
        <c:ser>
          <c:idx val="69"/>
          <c:order val="6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Processing!$I$99:$L$99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DB-45CD-46E1-8CAB-4E6B7673BFF1}"/>
            </c:ext>
          </c:extLst>
        </c:ser>
        <c:ser>
          <c:idx val="70"/>
          <c:order val="7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Processing!$I$100:$L$100</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DD-45CD-46E1-8CAB-4E6B7673BFF1}"/>
            </c:ext>
          </c:extLst>
        </c:ser>
        <c:ser>
          <c:idx val="71"/>
          <c:order val="7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Processing!$I$101:$L$101</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DF-45CD-46E1-8CAB-4E6B7673BFF1}"/>
            </c:ext>
          </c:extLst>
        </c:ser>
        <c:ser>
          <c:idx val="72"/>
          <c:order val="72"/>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Processing!$I$102:$L$102</c:f>
              <c:numCache>
                <c:formatCode>General</c:formatCode>
                <c:ptCount val="4"/>
                <c:pt idx="0">
                  <c:v>0</c:v>
                </c:pt>
                <c:pt idx="1">
                  <c:v>0</c:v>
                </c:pt>
                <c:pt idx="2">
                  <c:v>1</c:v>
                </c:pt>
                <c:pt idx="3">
                  <c:v>1</c:v>
                </c:pt>
              </c:numCache>
            </c:numRef>
          </c:val>
          <c:extLst>
            <c:ext xmlns:c16="http://schemas.microsoft.com/office/drawing/2014/chart" uri="{C3380CC4-5D6E-409C-BE32-E72D297353CC}">
              <c16:uniqueId val="{000001E1-45CD-46E1-8CAB-4E6B7673BFF1}"/>
            </c:ext>
          </c:extLst>
        </c:ser>
        <c:ser>
          <c:idx val="73"/>
          <c:order val="73"/>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Processing!$I$103:$L$103</c:f>
              <c:numCache>
                <c:formatCode>General</c:formatCode>
                <c:ptCount val="4"/>
                <c:pt idx="0">
                  <c:v>1</c:v>
                </c:pt>
                <c:pt idx="1">
                  <c:v>1</c:v>
                </c:pt>
                <c:pt idx="2">
                  <c:v>0</c:v>
                </c:pt>
                <c:pt idx="3">
                  <c:v>0</c:v>
                </c:pt>
              </c:numCache>
            </c:numRef>
          </c:val>
          <c:extLst>
            <c:ext xmlns:c16="http://schemas.microsoft.com/office/drawing/2014/chart" uri="{C3380CC4-5D6E-409C-BE32-E72D297353CC}">
              <c16:uniqueId val="{000001E3-45CD-46E1-8CAB-4E6B7673BFF1}"/>
            </c:ext>
          </c:extLst>
        </c:ser>
        <c:ser>
          <c:idx val="74"/>
          <c:order val="74"/>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Processing!$I$104:$L$104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E5-45CD-46E1-8CAB-4E6B7673BFF1}"/>
            </c:ext>
          </c:extLst>
        </c:ser>
        <c:ser>
          <c:idx val="75"/>
          <c:order val="75"/>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Processing!$I$105:$L$105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E7-45CD-46E1-8CAB-4E6B7673BFF1}"/>
            </c:ext>
          </c:extLst>
        </c:ser>
        <c:ser>
          <c:idx val="76"/>
          <c:order val="76"/>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Processing!$I$106:$L$106</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E9-45CD-46E1-8CAB-4E6B7673BFF1}"/>
            </c:ext>
          </c:extLst>
        </c:ser>
        <c:ser>
          <c:idx val="77"/>
          <c:order val="77"/>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Processing!$I$107:$L$107</c:f>
              <c:numCache>
                <c:formatCode>General</c:formatCode>
                <c:ptCount val="4"/>
                <c:pt idx="0">
                  <c:v>1</c:v>
                </c:pt>
                <c:pt idx="1">
                  <c:v>1</c:v>
                </c:pt>
                <c:pt idx="2">
                  <c:v>0</c:v>
                </c:pt>
                <c:pt idx="3">
                  <c:v>0</c:v>
                </c:pt>
              </c:numCache>
            </c:numRef>
          </c:val>
          <c:extLst>
            <c:ext xmlns:c16="http://schemas.microsoft.com/office/drawing/2014/chart" uri="{C3380CC4-5D6E-409C-BE32-E72D297353CC}">
              <c16:uniqueId val="{000001EB-45CD-46E1-8CAB-4E6B7673BFF1}"/>
            </c:ext>
          </c:extLst>
        </c:ser>
        <c:ser>
          <c:idx val="78"/>
          <c:order val="78"/>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Processing!$I$108:$L$108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ED-45CD-46E1-8CAB-4E6B7673BFF1}"/>
            </c:ext>
          </c:extLst>
        </c:ser>
        <c:ser>
          <c:idx val="79"/>
          <c:order val="79"/>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Processing!$I$109:$L$109</c:f>
              <c:numCache>
                <c:formatCode>General</c:formatCode>
                <c:ptCount val="4"/>
                <c:pt idx="0">
                  <c:v>0</c:v>
                </c:pt>
                <c:pt idx="1">
                  <c:v>0</c:v>
                </c:pt>
                <c:pt idx="2">
                  <c:v>1</c:v>
                </c:pt>
                <c:pt idx="3">
                  <c:v>0</c:v>
                </c:pt>
              </c:numCache>
            </c:numRef>
          </c:val>
          <c:extLst>
            <c:ext xmlns:c16="http://schemas.microsoft.com/office/drawing/2014/chart" uri="{C3380CC4-5D6E-409C-BE32-E72D297353CC}">
              <c16:uniqueId val="{000001EF-45CD-46E1-8CAB-4E6B7673BFF1}"/>
            </c:ext>
          </c:extLst>
        </c:ser>
        <c:ser>
          <c:idx val="80"/>
          <c:order val="80"/>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Processing!$I$110:$L$110</c:f>
              <c:numCache>
                <c:formatCode>General</c:formatCode>
                <c:ptCount val="4"/>
                <c:pt idx="0">
                  <c:v>1</c:v>
                </c:pt>
                <c:pt idx="1">
                  <c:v>1</c:v>
                </c:pt>
                <c:pt idx="2">
                  <c:v>1</c:v>
                </c:pt>
                <c:pt idx="3">
                  <c:v>0</c:v>
                </c:pt>
              </c:numCache>
            </c:numRef>
          </c:val>
          <c:extLst>
            <c:ext xmlns:c16="http://schemas.microsoft.com/office/drawing/2014/chart" uri="{C3380CC4-5D6E-409C-BE32-E72D297353CC}">
              <c16:uniqueId val="{000001F1-45CD-46E1-8CAB-4E6B7673BFF1}"/>
            </c:ext>
          </c:extLst>
        </c:ser>
        <c:ser>
          <c:idx val="81"/>
          <c:order val="8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Processing!$I$111:$L$111</c:f>
              <c:numCache>
                <c:formatCode>General</c:formatCode>
                <c:ptCount val="4"/>
                <c:pt idx="0">
                  <c:v>0</c:v>
                </c:pt>
                <c:pt idx="1">
                  <c:v>0</c:v>
                </c:pt>
                <c:pt idx="2">
                  <c:v>0</c:v>
                </c:pt>
                <c:pt idx="3">
                  <c:v>1</c:v>
                </c:pt>
              </c:numCache>
            </c:numRef>
          </c:val>
          <c:extLst>
            <c:ext xmlns:c16="http://schemas.microsoft.com/office/drawing/2014/chart" uri="{C3380CC4-5D6E-409C-BE32-E72D297353CC}">
              <c16:uniqueId val="{000001F3-45CD-46E1-8CAB-4E6B7673BFF1}"/>
            </c:ext>
          </c:extLst>
        </c:ser>
        <c:ser>
          <c:idx val="82"/>
          <c:order val="8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Processing!$I$112:$L$112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F5-45CD-46E1-8CAB-4E6B7673BFF1}"/>
            </c:ext>
          </c:extLst>
        </c:ser>
        <c:ser>
          <c:idx val="83"/>
          <c:order val="8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Processing!$I$113:$L$113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F7-45CD-46E1-8CAB-4E6B7673BFF1}"/>
            </c:ext>
          </c:extLst>
        </c:ser>
        <c:ser>
          <c:idx val="84"/>
          <c:order val="84"/>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Processing!$I$114:$L$114</c:f>
              <c:numCache>
                <c:formatCode>General</c:formatCode>
                <c:ptCount val="4"/>
                <c:pt idx="0">
                  <c:v>0</c:v>
                </c:pt>
                <c:pt idx="1">
                  <c:v>1</c:v>
                </c:pt>
                <c:pt idx="2">
                  <c:v>0</c:v>
                </c:pt>
                <c:pt idx="3">
                  <c:v>0</c:v>
                </c:pt>
              </c:numCache>
            </c:numRef>
          </c:val>
          <c:extLst>
            <c:ext xmlns:c16="http://schemas.microsoft.com/office/drawing/2014/chart" uri="{C3380CC4-5D6E-409C-BE32-E72D297353CC}">
              <c16:uniqueId val="{000001F9-45CD-46E1-8CAB-4E6B7673BFF1}"/>
            </c:ext>
          </c:extLst>
        </c:ser>
        <c:ser>
          <c:idx val="85"/>
          <c:order val="8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Processing!$I$115:$L$115</c:f>
              <c:numCache>
                <c:formatCode>General</c:formatCode>
                <c:ptCount val="4"/>
                <c:pt idx="0">
                  <c:v>0</c:v>
                </c:pt>
                <c:pt idx="1">
                  <c:v>0</c:v>
                </c:pt>
                <c:pt idx="2">
                  <c:v>1</c:v>
                </c:pt>
                <c:pt idx="3">
                  <c:v>1</c:v>
                </c:pt>
              </c:numCache>
            </c:numRef>
          </c:val>
          <c:extLst>
            <c:ext xmlns:c16="http://schemas.microsoft.com/office/drawing/2014/chart" uri="{C3380CC4-5D6E-409C-BE32-E72D297353CC}">
              <c16:uniqueId val="{000001FB-45CD-46E1-8CAB-4E6B7673BFF1}"/>
            </c:ext>
          </c:extLst>
        </c:ser>
        <c:ser>
          <c:idx val="86"/>
          <c:order val="8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Processing!$I$116:$L$116</c:f>
              <c:numCache>
                <c:formatCode>General</c:formatCode>
                <c:ptCount val="4"/>
                <c:pt idx="0">
                  <c:v>1</c:v>
                </c:pt>
                <c:pt idx="1">
                  <c:v>0</c:v>
                </c:pt>
                <c:pt idx="2">
                  <c:v>0</c:v>
                </c:pt>
                <c:pt idx="3">
                  <c:v>0</c:v>
                </c:pt>
              </c:numCache>
            </c:numRef>
          </c:val>
          <c:extLst>
            <c:ext xmlns:c16="http://schemas.microsoft.com/office/drawing/2014/chart" uri="{C3380CC4-5D6E-409C-BE32-E72D297353CC}">
              <c16:uniqueId val="{000001FD-45CD-46E1-8CAB-4E6B7673BFF1}"/>
            </c:ext>
          </c:extLst>
        </c:ser>
        <c:ser>
          <c:idx val="87"/>
          <c:order val="8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Processing!$I$117:$L$117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1FF-45CD-46E1-8CAB-4E6B7673BFF1}"/>
            </c:ext>
          </c:extLst>
        </c:ser>
        <c:ser>
          <c:idx val="88"/>
          <c:order val="88"/>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Processing!$I$118:$L$118</c:f>
              <c:numCache>
                <c:formatCode>General</c:formatCode>
                <c:ptCount val="4"/>
                <c:pt idx="0">
                  <c:v>1</c:v>
                </c:pt>
                <c:pt idx="1">
                  <c:v>1</c:v>
                </c:pt>
                <c:pt idx="2">
                  <c:v>0</c:v>
                </c:pt>
                <c:pt idx="3">
                  <c:v>1</c:v>
                </c:pt>
              </c:numCache>
            </c:numRef>
          </c:val>
          <c:extLst>
            <c:ext xmlns:c16="http://schemas.microsoft.com/office/drawing/2014/chart" uri="{C3380CC4-5D6E-409C-BE32-E72D297353CC}">
              <c16:uniqueId val="{00000201-45CD-46E1-8CAB-4E6B7673BFF1}"/>
            </c:ext>
          </c:extLst>
        </c:ser>
        <c:ser>
          <c:idx val="89"/>
          <c:order val="8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Processing!$I$119:$L$119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203-45CD-46E1-8CAB-4E6B7673BFF1}"/>
            </c:ext>
          </c:extLst>
        </c:ser>
        <c:ser>
          <c:idx val="90"/>
          <c:order val="9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Processing!$I$120:$L$120</c:f>
              <c:numCache>
                <c:formatCode>General</c:formatCode>
                <c:ptCount val="4"/>
                <c:pt idx="0">
                  <c:v>0</c:v>
                </c:pt>
                <c:pt idx="1">
                  <c:v>0</c:v>
                </c:pt>
                <c:pt idx="2">
                  <c:v>1</c:v>
                </c:pt>
                <c:pt idx="3">
                  <c:v>0</c:v>
                </c:pt>
              </c:numCache>
            </c:numRef>
          </c:val>
          <c:extLst>
            <c:ext xmlns:c16="http://schemas.microsoft.com/office/drawing/2014/chart" uri="{C3380CC4-5D6E-409C-BE32-E72D297353CC}">
              <c16:uniqueId val="{00000205-45CD-46E1-8CAB-4E6B7673BFF1}"/>
            </c:ext>
          </c:extLst>
        </c:ser>
        <c:ser>
          <c:idx val="91"/>
          <c:order val="9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Processing!$I$121:$L$121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207-45CD-46E1-8CAB-4E6B7673BFF1}"/>
            </c:ext>
          </c:extLst>
        </c:ser>
        <c:ser>
          <c:idx val="92"/>
          <c:order val="92"/>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Processing!$I$122:$L$122</c:f>
              <c:numCache>
                <c:formatCode>General</c:formatCode>
                <c:ptCount val="4"/>
                <c:pt idx="0">
                  <c:v>1</c:v>
                </c:pt>
                <c:pt idx="1">
                  <c:v>0</c:v>
                </c:pt>
                <c:pt idx="2">
                  <c:v>0</c:v>
                </c:pt>
                <c:pt idx="3">
                  <c:v>0</c:v>
                </c:pt>
              </c:numCache>
            </c:numRef>
          </c:val>
          <c:extLst>
            <c:ext xmlns:c16="http://schemas.microsoft.com/office/drawing/2014/chart" uri="{C3380CC4-5D6E-409C-BE32-E72D297353CC}">
              <c16:uniqueId val="{00000209-45CD-46E1-8CAB-4E6B7673BFF1}"/>
            </c:ext>
          </c:extLst>
        </c:ser>
        <c:ser>
          <c:idx val="93"/>
          <c:order val="93"/>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Processing!$I$123:$L$123</c:f>
              <c:numCache>
                <c:formatCode>General</c:formatCode>
                <c:ptCount val="4"/>
                <c:pt idx="0">
                  <c:v>0</c:v>
                </c:pt>
                <c:pt idx="1">
                  <c:v>1</c:v>
                </c:pt>
                <c:pt idx="2">
                  <c:v>1</c:v>
                </c:pt>
                <c:pt idx="3">
                  <c:v>0</c:v>
                </c:pt>
              </c:numCache>
            </c:numRef>
          </c:val>
          <c:extLst>
            <c:ext xmlns:c16="http://schemas.microsoft.com/office/drawing/2014/chart" uri="{C3380CC4-5D6E-409C-BE32-E72D297353CC}">
              <c16:uniqueId val="{0000020B-45CD-46E1-8CAB-4E6B7673BFF1}"/>
            </c:ext>
          </c:extLst>
        </c:ser>
        <c:ser>
          <c:idx val="94"/>
          <c:order val="94"/>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Processing!$I$124:$L$124</c:f>
              <c:numCache>
                <c:formatCode>General</c:formatCode>
                <c:ptCount val="4"/>
                <c:pt idx="0">
                  <c:v>0</c:v>
                </c:pt>
                <c:pt idx="1">
                  <c:v>0</c:v>
                </c:pt>
                <c:pt idx="2">
                  <c:v>0</c:v>
                </c:pt>
                <c:pt idx="3">
                  <c:v>1</c:v>
                </c:pt>
              </c:numCache>
            </c:numRef>
          </c:val>
          <c:extLst>
            <c:ext xmlns:c16="http://schemas.microsoft.com/office/drawing/2014/chart" uri="{C3380CC4-5D6E-409C-BE32-E72D297353CC}">
              <c16:uniqueId val="{0000020D-45CD-46E1-8CAB-4E6B7673BFF1}"/>
            </c:ext>
          </c:extLst>
        </c:ser>
        <c:ser>
          <c:idx val="95"/>
          <c:order val="95"/>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Processing!$I$125:$L$125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20F-45CD-46E1-8CAB-4E6B7673BFF1}"/>
            </c:ext>
          </c:extLst>
        </c:ser>
        <c:ser>
          <c:idx val="96"/>
          <c:order val="96"/>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Processing!$I$126:$L$126</c:f>
              <c:numCache>
                <c:formatCode>General</c:formatCode>
                <c:ptCount val="4"/>
                <c:pt idx="0">
                  <c:v>1</c:v>
                </c:pt>
                <c:pt idx="1">
                  <c:v>0</c:v>
                </c:pt>
                <c:pt idx="2">
                  <c:v>0</c:v>
                </c:pt>
                <c:pt idx="3">
                  <c:v>0</c:v>
                </c:pt>
              </c:numCache>
            </c:numRef>
          </c:val>
          <c:extLst>
            <c:ext xmlns:c16="http://schemas.microsoft.com/office/drawing/2014/chart" uri="{C3380CC4-5D6E-409C-BE32-E72D297353CC}">
              <c16:uniqueId val="{00000211-45CD-46E1-8CAB-4E6B7673BFF1}"/>
            </c:ext>
          </c:extLst>
        </c:ser>
        <c:ser>
          <c:idx val="97"/>
          <c:order val="97"/>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Processing!$I$127:$L$127</c:f>
              <c:numCache>
                <c:formatCode>General</c:formatCode>
                <c:ptCount val="4"/>
                <c:pt idx="0">
                  <c:v>0</c:v>
                </c:pt>
                <c:pt idx="1">
                  <c:v>0</c:v>
                </c:pt>
                <c:pt idx="2">
                  <c:v>1</c:v>
                </c:pt>
                <c:pt idx="3">
                  <c:v>0</c:v>
                </c:pt>
              </c:numCache>
            </c:numRef>
          </c:val>
          <c:extLst>
            <c:ext xmlns:c16="http://schemas.microsoft.com/office/drawing/2014/chart" uri="{C3380CC4-5D6E-409C-BE32-E72D297353CC}">
              <c16:uniqueId val="{00000213-45CD-46E1-8CAB-4E6B7673BFF1}"/>
            </c:ext>
          </c:extLst>
        </c:ser>
        <c:ser>
          <c:idx val="98"/>
          <c:order val="98"/>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Processing!$I$128:$L$128</c:f>
              <c:numCache>
                <c:formatCode>General</c:formatCode>
                <c:ptCount val="4"/>
                <c:pt idx="0">
                  <c:v>0</c:v>
                </c:pt>
                <c:pt idx="1">
                  <c:v>1</c:v>
                </c:pt>
                <c:pt idx="2">
                  <c:v>0</c:v>
                </c:pt>
                <c:pt idx="3">
                  <c:v>0</c:v>
                </c:pt>
              </c:numCache>
            </c:numRef>
          </c:val>
          <c:extLst>
            <c:ext xmlns:c16="http://schemas.microsoft.com/office/drawing/2014/chart" uri="{C3380CC4-5D6E-409C-BE32-E72D297353CC}">
              <c16:uniqueId val="{00000215-45CD-46E1-8CAB-4E6B7673BFF1}"/>
            </c:ext>
          </c:extLst>
        </c:ser>
        <c:ser>
          <c:idx val="99"/>
          <c:order val="99"/>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Processing!$I$129:$L$129</c:f>
              <c:numCache>
                <c:formatCode>General</c:formatCode>
                <c:ptCount val="4"/>
                <c:pt idx="0">
                  <c:v>0</c:v>
                </c:pt>
                <c:pt idx="1">
                  <c:v>0</c:v>
                </c:pt>
                <c:pt idx="2">
                  <c:v>0</c:v>
                </c:pt>
                <c:pt idx="3">
                  <c:v>1</c:v>
                </c:pt>
              </c:numCache>
            </c:numRef>
          </c:val>
          <c:extLst>
            <c:ext xmlns:c16="http://schemas.microsoft.com/office/drawing/2014/chart" uri="{C3380CC4-5D6E-409C-BE32-E72D297353CC}">
              <c16:uniqueId val="{00000217-45CD-46E1-8CAB-4E6B7673BFF1}"/>
            </c:ext>
          </c:extLst>
        </c:ser>
        <c:ser>
          <c:idx val="100"/>
          <c:order val="100"/>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Processing!$I$130:$L$130</c:f>
              <c:numCache>
                <c:formatCode>General</c:formatCode>
                <c:ptCount val="4"/>
                <c:pt idx="0">
                  <c:v>0</c:v>
                </c:pt>
                <c:pt idx="1">
                  <c:v>0</c:v>
                </c:pt>
                <c:pt idx="2">
                  <c:v>1</c:v>
                </c:pt>
                <c:pt idx="3">
                  <c:v>0</c:v>
                </c:pt>
              </c:numCache>
            </c:numRef>
          </c:val>
          <c:extLst>
            <c:ext xmlns:c16="http://schemas.microsoft.com/office/drawing/2014/chart" uri="{C3380CC4-5D6E-409C-BE32-E72D297353CC}">
              <c16:uniqueId val="{00000219-45CD-46E1-8CAB-4E6B7673BFF1}"/>
            </c:ext>
          </c:extLst>
        </c:ser>
        <c:ser>
          <c:idx val="101"/>
          <c:order val="10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Processing!$I$131:$L$131</c:f>
              <c:numCache>
                <c:formatCode>General</c:formatCode>
                <c:ptCount val="4"/>
                <c:pt idx="0">
                  <c:v>0</c:v>
                </c:pt>
                <c:pt idx="1">
                  <c:v>1</c:v>
                </c:pt>
                <c:pt idx="2">
                  <c:v>0</c:v>
                </c:pt>
                <c:pt idx="3">
                  <c:v>0</c:v>
                </c:pt>
              </c:numCache>
            </c:numRef>
          </c:val>
          <c:extLst>
            <c:ext xmlns:c16="http://schemas.microsoft.com/office/drawing/2014/chart" uri="{C3380CC4-5D6E-409C-BE32-E72D297353CC}">
              <c16:uniqueId val="{0000021B-45CD-46E1-8CAB-4E6B7673BFF1}"/>
            </c:ext>
          </c:extLst>
        </c:ser>
        <c:ser>
          <c:idx val="102"/>
          <c:order val="10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Processing!$I$132:$L$132</c:f>
              <c:numCache>
                <c:formatCode>General</c:formatCode>
                <c:ptCount val="4"/>
                <c:pt idx="0">
                  <c:v>1</c:v>
                </c:pt>
                <c:pt idx="1">
                  <c:v>0</c:v>
                </c:pt>
                <c:pt idx="2">
                  <c:v>0</c:v>
                </c:pt>
                <c:pt idx="3">
                  <c:v>1</c:v>
                </c:pt>
              </c:numCache>
            </c:numRef>
          </c:val>
          <c:extLst>
            <c:ext xmlns:c16="http://schemas.microsoft.com/office/drawing/2014/chart" uri="{C3380CC4-5D6E-409C-BE32-E72D297353CC}">
              <c16:uniqueId val="{0000021D-45CD-46E1-8CAB-4E6B7673BFF1}"/>
            </c:ext>
          </c:extLst>
        </c:ser>
        <c:ser>
          <c:idx val="103"/>
          <c:order val="10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Processing!$I$133:$L$133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21F-45CD-46E1-8CAB-4E6B7673BFF1}"/>
            </c:ext>
          </c:extLst>
        </c:ser>
        <c:ser>
          <c:idx val="104"/>
          <c:order val="104"/>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Processing!$I$134:$L$134</c:f>
              <c:numCache>
                <c:formatCode>General</c:formatCode>
                <c:ptCount val="4"/>
                <c:pt idx="0">
                  <c:v>0</c:v>
                </c:pt>
                <c:pt idx="1">
                  <c:v>0</c:v>
                </c:pt>
                <c:pt idx="2">
                  <c:v>0</c:v>
                </c:pt>
                <c:pt idx="3">
                  <c:v>1</c:v>
                </c:pt>
              </c:numCache>
            </c:numRef>
          </c:val>
          <c:extLst>
            <c:ext xmlns:c16="http://schemas.microsoft.com/office/drawing/2014/chart" uri="{C3380CC4-5D6E-409C-BE32-E72D297353CC}">
              <c16:uniqueId val="{00000221-45CD-46E1-8CAB-4E6B7673BFF1}"/>
            </c:ext>
          </c:extLst>
        </c:ser>
        <c:ser>
          <c:idx val="105"/>
          <c:order val="10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Processing!$I$135:$L$135</c:f>
              <c:numCache>
                <c:formatCode>General</c:formatCode>
                <c:ptCount val="4"/>
                <c:pt idx="0">
                  <c:v>0</c:v>
                </c:pt>
                <c:pt idx="1">
                  <c:v>0</c:v>
                </c:pt>
                <c:pt idx="2">
                  <c:v>1</c:v>
                </c:pt>
                <c:pt idx="3">
                  <c:v>0</c:v>
                </c:pt>
              </c:numCache>
            </c:numRef>
          </c:val>
          <c:extLst>
            <c:ext xmlns:c16="http://schemas.microsoft.com/office/drawing/2014/chart" uri="{C3380CC4-5D6E-409C-BE32-E72D297353CC}">
              <c16:uniqueId val="{00000223-45CD-46E1-8CAB-4E6B7673BFF1}"/>
            </c:ext>
          </c:extLst>
        </c:ser>
        <c:ser>
          <c:idx val="106"/>
          <c:order val="10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Processing!$I$136:$L$136</c:f>
              <c:numCache>
                <c:formatCode>General</c:formatCode>
                <c:ptCount val="4"/>
                <c:pt idx="0">
                  <c:v>0</c:v>
                </c:pt>
                <c:pt idx="1">
                  <c:v>1</c:v>
                </c:pt>
                <c:pt idx="2">
                  <c:v>0</c:v>
                </c:pt>
                <c:pt idx="3">
                  <c:v>0</c:v>
                </c:pt>
              </c:numCache>
            </c:numRef>
          </c:val>
          <c:extLst>
            <c:ext xmlns:c16="http://schemas.microsoft.com/office/drawing/2014/chart" uri="{C3380CC4-5D6E-409C-BE32-E72D297353CC}">
              <c16:uniqueId val="{00000225-45CD-46E1-8CAB-4E6B7673BFF1}"/>
            </c:ext>
          </c:extLst>
        </c:ser>
        <c:ser>
          <c:idx val="107"/>
          <c:order val="10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Processing!$I$137:$L$137</c:f>
              <c:numCache>
                <c:formatCode>General</c:formatCode>
                <c:ptCount val="4"/>
                <c:pt idx="0">
                  <c:v>1</c:v>
                </c:pt>
                <c:pt idx="1">
                  <c:v>0</c:v>
                </c:pt>
                <c:pt idx="2">
                  <c:v>0</c:v>
                </c:pt>
                <c:pt idx="3">
                  <c:v>0</c:v>
                </c:pt>
              </c:numCache>
            </c:numRef>
          </c:val>
          <c:extLst>
            <c:ext xmlns:c16="http://schemas.microsoft.com/office/drawing/2014/chart" uri="{C3380CC4-5D6E-409C-BE32-E72D297353CC}">
              <c16:uniqueId val="{00000227-45CD-46E1-8CAB-4E6B7673BFF1}"/>
            </c:ext>
          </c:extLst>
        </c:ser>
        <c:ser>
          <c:idx val="108"/>
          <c:order val="108"/>
          <c:spPr>
            <a:solidFill>
              <a:srgbClr val="113454"/>
            </a:solidFill>
            <a:ln>
              <a:noFill/>
            </a:ln>
            <a:effectLst/>
          </c:spPr>
          <c:invertIfNegative val="0"/>
          <c:cat>
            <c:strRef>
              <c:f>Processing!$I$29:$L$29</c:f>
              <c:strCache>
                <c:ptCount val="4"/>
                <c:pt idx="0">
                  <c:v>Shift 1</c:v>
                </c:pt>
                <c:pt idx="1">
                  <c:v>Shift 2</c:v>
                </c:pt>
                <c:pt idx="2">
                  <c:v>Shift 3</c:v>
                </c:pt>
                <c:pt idx="3">
                  <c:v>Shift 4</c:v>
                </c:pt>
              </c:strCache>
            </c:strRef>
          </c:cat>
          <c:val>
            <c:numRef>
              <c:f>Processing!$I$138:$L$138</c:f>
              <c:numCache>
                <c:formatCode>General</c:formatCode>
                <c:ptCount val="4"/>
                <c:pt idx="0">
                  <c:v>1</c:v>
                </c:pt>
                <c:pt idx="1">
                  <c:v>1</c:v>
                </c:pt>
                <c:pt idx="2">
                  <c:v>0</c:v>
                </c:pt>
                <c:pt idx="3">
                  <c:v>1</c:v>
                </c:pt>
              </c:numCache>
            </c:numRef>
          </c:val>
          <c:extLst>
            <c:ext xmlns:c16="http://schemas.microsoft.com/office/drawing/2014/chart" uri="{C3380CC4-5D6E-409C-BE32-E72D297353CC}">
              <c16:uniqueId val="{00000229-45CD-46E1-8CAB-4E6B7673BFF1}"/>
            </c:ext>
          </c:extLst>
        </c:ser>
        <c:ser>
          <c:idx val="109"/>
          <c:order val="10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Processing!$I$139:$L$139</c:f>
              <c:numCache>
                <c:formatCode>General</c:formatCode>
                <c:ptCount val="4"/>
                <c:pt idx="0">
                  <c:v>0</c:v>
                </c:pt>
                <c:pt idx="1">
                  <c:v>0</c:v>
                </c:pt>
                <c:pt idx="2">
                  <c:v>1</c:v>
                </c:pt>
                <c:pt idx="3">
                  <c:v>0</c:v>
                </c:pt>
              </c:numCache>
            </c:numRef>
          </c:val>
          <c:extLst>
            <c:ext xmlns:c16="http://schemas.microsoft.com/office/drawing/2014/chart" uri="{C3380CC4-5D6E-409C-BE32-E72D297353CC}">
              <c16:uniqueId val="{0000022B-45CD-46E1-8CAB-4E6B7673BFF1}"/>
            </c:ext>
          </c:extLst>
        </c:ser>
        <c:ser>
          <c:idx val="110"/>
          <c:order val="11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Processing!$I$140:$L$140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22D-45CD-46E1-8CAB-4E6B7673BFF1}"/>
            </c:ext>
          </c:extLst>
        </c:ser>
        <c:ser>
          <c:idx val="111"/>
          <c:order val="11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Processing!$I$141:$L$141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22F-45CD-46E1-8CAB-4E6B7673BFF1}"/>
            </c:ext>
          </c:extLst>
        </c:ser>
        <c:dLbls>
          <c:showLegendKey val="0"/>
          <c:showVal val="0"/>
          <c:showCatName val="0"/>
          <c:showSerName val="0"/>
          <c:showPercent val="0"/>
          <c:showBubbleSize val="0"/>
        </c:dLbls>
        <c:gapWidth val="10"/>
        <c:overlap val="100"/>
        <c:axId val="686871919"/>
        <c:axId val="686862799"/>
      </c:barChart>
      <c:catAx>
        <c:axId val="686871919"/>
        <c:scaling>
          <c:orientation val="maxMin"/>
        </c:scaling>
        <c:delete val="0"/>
        <c:axPos val="l"/>
        <c:numFmt formatCode="General" sourceLinked="1"/>
        <c:majorTickMark val="out"/>
        <c:minorTickMark val="none"/>
        <c:tickLblPos val="nextTo"/>
        <c:spPr>
          <a:ln>
            <a:noFill/>
          </a:ln>
        </c:spPr>
        <c:txPr>
          <a:bodyPr/>
          <a:lstStyle/>
          <a:p>
            <a:pPr>
              <a:defRPr sz="900">
                <a:solidFill>
                  <a:schemeClr val="tx2">
                    <a:lumMod val="90000"/>
                    <a:lumOff val="10000"/>
                  </a:schemeClr>
                </a:solidFill>
              </a:defRPr>
            </a:pPr>
            <a:endParaRPr lang="ru-RU"/>
          </a:p>
        </c:txPr>
        <c:crossAx val="686862799"/>
        <c:crosses val="autoZero"/>
        <c:auto val="1"/>
        <c:lblAlgn val="ctr"/>
        <c:lblOffset val="100"/>
        <c:noMultiLvlLbl val="0"/>
      </c:catAx>
      <c:valAx>
        <c:axId val="686862799"/>
        <c:scaling>
          <c:orientation val="minMax"/>
          <c:max val="28"/>
          <c:min val="0"/>
        </c:scaling>
        <c:delete val="0"/>
        <c:axPos val="t"/>
        <c:numFmt formatCode="General" sourceLinked="1"/>
        <c:majorTickMark val="out"/>
        <c:minorTickMark val="none"/>
        <c:tickLblPos val="nextTo"/>
        <c:spPr>
          <a:ln w="9525">
            <a:solidFill>
              <a:schemeClr val="tx2">
                <a:lumMod val="90000"/>
                <a:lumOff val="10000"/>
              </a:schemeClr>
            </a:solidFill>
          </a:ln>
        </c:spPr>
        <c:txPr>
          <a:bodyPr/>
          <a:lstStyle/>
          <a:p>
            <a:pPr>
              <a:defRPr>
                <a:solidFill>
                  <a:schemeClr val="tx2">
                    <a:lumMod val="90000"/>
                    <a:lumOff val="10000"/>
                  </a:schemeClr>
                </a:solidFill>
              </a:defRPr>
            </a:pPr>
            <a:endParaRPr lang="ru-RU"/>
          </a:p>
        </c:txPr>
        <c:crossAx val="686871919"/>
        <c:crosses val="autoZero"/>
        <c:crossBetween val="between"/>
        <c:majorUnit val="7"/>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noFill/>
            <a:ln>
              <a:noFill/>
            </a:ln>
            <a:effectLst/>
          </c:spPr>
          <c:invertIfNegative val="0"/>
          <c:val>
            <c:numRef>
              <c:f>Processing!$B$58</c:f>
              <c:numCache>
                <c:formatCode>0.00</c:formatCode>
                <c:ptCount val="1"/>
                <c:pt idx="0">
                  <c:v>1.8821428571428571</c:v>
                </c:pt>
              </c:numCache>
            </c:numRef>
          </c:val>
          <c:extLst>
            <c:ext xmlns:c16="http://schemas.microsoft.com/office/drawing/2014/chart" uri="{C3380CC4-5D6E-409C-BE32-E72D297353CC}">
              <c16:uniqueId val="{00000000-89E4-4CBC-A556-B51C8477686B}"/>
            </c:ext>
          </c:extLst>
        </c:ser>
        <c:ser>
          <c:idx val="1"/>
          <c:order val="1"/>
          <c:spPr>
            <a:blipFill>
              <a:blip xmlns:r="http://schemas.openxmlformats.org/officeDocument/2006/relationships" r:embed="rId3"/>
              <a:stretch>
                <a:fillRect/>
              </a:stretch>
            </a:blipFill>
            <a:ln>
              <a:noFill/>
            </a:ln>
            <a:effectLst/>
          </c:spPr>
          <c:invertIfNegative val="0"/>
          <c:val>
            <c:numRef>
              <c:f>Processing!$C$58</c:f>
              <c:numCache>
                <c:formatCode>0.00</c:formatCode>
                <c:ptCount val="1"/>
                <c:pt idx="0">
                  <c:v>0.2</c:v>
                </c:pt>
              </c:numCache>
            </c:numRef>
          </c:val>
          <c:extLst>
            <c:ext xmlns:c16="http://schemas.microsoft.com/office/drawing/2014/chart" uri="{C3380CC4-5D6E-409C-BE32-E72D297353CC}">
              <c16:uniqueId val="{00000001-89E4-4CBC-A556-B51C8477686B}"/>
            </c:ext>
          </c:extLst>
        </c:ser>
        <c:ser>
          <c:idx val="2"/>
          <c:order val="2"/>
          <c:spPr>
            <a:noFill/>
            <a:ln>
              <a:noFill/>
            </a:ln>
            <a:effectLst/>
          </c:spPr>
          <c:invertIfNegative val="0"/>
          <c:val>
            <c:numRef>
              <c:f>Processing!$D$58</c:f>
              <c:numCache>
                <c:formatCode>0.00</c:formatCode>
                <c:ptCount val="1"/>
                <c:pt idx="0">
                  <c:v>1.9178571428571427</c:v>
                </c:pt>
              </c:numCache>
            </c:numRef>
          </c:val>
          <c:extLst>
            <c:ext xmlns:c16="http://schemas.microsoft.com/office/drawing/2014/chart" uri="{C3380CC4-5D6E-409C-BE32-E72D297353CC}">
              <c16:uniqueId val="{00000002-89E4-4CBC-A556-B51C8477686B}"/>
            </c:ext>
          </c:extLst>
        </c:ser>
        <c:dLbls>
          <c:showLegendKey val="0"/>
          <c:showVal val="0"/>
          <c:showCatName val="0"/>
          <c:showSerName val="0"/>
          <c:showPercent val="0"/>
          <c:showBubbleSize val="0"/>
        </c:dLbls>
        <c:gapWidth val="0"/>
        <c:overlap val="100"/>
        <c:axId val="1320572735"/>
        <c:axId val="1320568415"/>
      </c:barChart>
      <c:catAx>
        <c:axId val="1320572735"/>
        <c:scaling>
          <c:orientation val="minMax"/>
        </c:scaling>
        <c:delete val="1"/>
        <c:axPos val="l"/>
        <c:majorTickMark val="none"/>
        <c:minorTickMark val="none"/>
        <c:tickLblPos val="nextTo"/>
        <c:crossAx val="1320568415"/>
        <c:crosses val="autoZero"/>
        <c:auto val="1"/>
        <c:lblAlgn val="ctr"/>
        <c:lblOffset val="100"/>
        <c:noMultiLvlLbl val="0"/>
      </c:catAx>
      <c:valAx>
        <c:axId val="1320568415"/>
        <c:scaling>
          <c:orientation val="minMax"/>
        </c:scaling>
        <c:delete val="1"/>
        <c:axPos val="b"/>
        <c:numFmt formatCode="0%" sourceLinked="1"/>
        <c:majorTickMark val="none"/>
        <c:minorTickMark val="none"/>
        <c:tickLblPos val="nextTo"/>
        <c:crossAx val="132057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Processing!$I$30:$L$30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D95A-43C9-A8CE-C04EA804981F}"/>
            </c:ext>
          </c:extLst>
        </c:ser>
        <c:ser>
          <c:idx val="1"/>
          <c:order val="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Processing!$I$31:$L$31</c:f>
              <c:numCache>
                <c:formatCode>General</c:formatCode>
                <c:ptCount val="4"/>
                <c:pt idx="0">
                  <c:v>0</c:v>
                </c:pt>
                <c:pt idx="1">
                  <c:v>1</c:v>
                </c:pt>
                <c:pt idx="2">
                  <c:v>1</c:v>
                </c:pt>
                <c:pt idx="3">
                  <c:v>1</c:v>
                </c:pt>
              </c:numCache>
            </c:numRef>
          </c:val>
          <c:extLst>
            <c:ext xmlns:c16="http://schemas.microsoft.com/office/drawing/2014/chart" uri="{C3380CC4-5D6E-409C-BE32-E72D297353CC}">
              <c16:uniqueId val="{00000001-D95A-43C9-A8CE-C04EA804981F}"/>
            </c:ext>
          </c:extLst>
        </c:ser>
        <c:ser>
          <c:idx val="2"/>
          <c:order val="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Processing!$I$32:$L$32</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2-D95A-43C9-A8CE-C04EA804981F}"/>
            </c:ext>
          </c:extLst>
        </c:ser>
        <c:ser>
          <c:idx val="3"/>
          <c:order val="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Processing!$I$33:$L$33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D95A-43C9-A8CE-C04EA804981F}"/>
            </c:ext>
          </c:extLst>
        </c:ser>
        <c:ser>
          <c:idx val="4"/>
          <c:order val="4"/>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Processing!$I$34:$L$34</c:f>
              <c:numCache>
                <c:formatCode>General</c:formatCode>
                <c:ptCount val="4"/>
                <c:pt idx="0">
                  <c:v>0</c:v>
                </c:pt>
                <c:pt idx="1">
                  <c:v>1</c:v>
                </c:pt>
                <c:pt idx="2">
                  <c:v>0</c:v>
                </c:pt>
                <c:pt idx="3">
                  <c:v>1</c:v>
                </c:pt>
              </c:numCache>
            </c:numRef>
          </c:val>
          <c:extLst>
            <c:ext xmlns:c16="http://schemas.microsoft.com/office/drawing/2014/chart" uri="{C3380CC4-5D6E-409C-BE32-E72D297353CC}">
              <c16:uniqueId val="{00000004-D95A-43C9-A8CE-C04EA804981F}"/>
            </c:ext>
          </c:extLst>
        </c:ser>
        <c:ser>
          <c:idx val="5"/>
          <c:order val="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Processing!$I$35:$L$35</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05-D95A-43C9-A8CE-C04EA804981F}"/>
            </c:ext>
          </c:extLst>
        </c:ser>
        <c:ser>
          <c:idx val="6"/>
          <c:order val="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Processing!$I$36:$L$36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6-D95A-43C9-A8CE-C04EA804981F}"/>
            </c:ext>
          </c:extLst>
        </c:ser>
        <c:ser>
          <c:idx val="7"/>
          <c:order val="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Processing!$I$37:$L$37</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7-D95A-43C9-A8CE-C04EA804981F}"/>
            </c:ext>
          </c:extLst>
        </c:ser>
        <c:ser>
          <c:idx val="8"/>
          <c:order val="8"/>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Processing!$I$38:$L$38</c:f>
              <c:numCache>
                <c:formatCode>General</c:formatCode>
                <c:ptCount val="4"/>
                <c:pt idx="0">
                  <c:v>1</c:v>
                </c:pt>
                <c:pt idx="1">
                  <c:v>1</c:v>
                </c:pt>
                <c:pt idx="2">
                  <c:v>1</c:v>
                </c:pt>
                <c:pt idx="3">
                  <c:v>0</c:v>
                </c:pt>
              </c:numCache>
            </c:numRef>
          </c:val>
          <c:extLst>
            <c:ext xmlns:c16="http://schemas.microsoft.com/office/drawing/2014/chart" uri="{C3380CC4-5D6E-409C-BE32-E72D297353CC}">
              <c16:uniqueId val="{00000008-D95A-43C9-A8CE-C04EA804981F}"/>
            </c:ext>
          </c:extLst>
        </c:ser>
        <c:ser>
          <c:idx val="9"/>
          <c:order val="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Processing!$I$39:$L$39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9-D95A-43C9-A8CE-C04EA804981F}"/>
            </c:ext>
          </c:extLst>
        </c:ser>
        <c:ser>
          <c:idx val="10"/>
          <c:order val="1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Processing!$I$40:$L$40</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0A-D95A-43C9-A8CE-C04EA804981F}"/>
            </c:ext>
          </c:extLst>
        </c:ser>
        <c:ser>
          <c:idx val="11"/>
          <c:order val="1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Processing!$I$41:$L$41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B-D95A-43C9-A8CE-C04EA804981F}"/>
            </c:ext>
          </c:extLst>
        </c:ser>
        <c:ser>
          <c:idx val="12"/>
          <c:order val="12"/>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Processing!$I$42:$L$42</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C-D95A-43C9-A8CE-C04EA804981F}"/>
            </c:ext>
          </c:extLst>
        </c:ser>
        <c:ser>
          <c:idx val="13"/>
          <c:order val="13"/>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Processing!$I$43:$L$43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D-D95A-43C9-A8CE-C04EA804981F}"/>
            </c:ext>
          </c:extLst>
        </c:ser>
        <c:ser>
          <c:idx val="14"/>
          <c:order val="14"/>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Processing!$I$44:$L$44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E-D95A-43C9-A8CE-C04EA804981F}"/>
            </c:ext>
          </c:extLst>
        </c:ser>
        <c:ser>
          <c:idx val="15"/>
          <c:order val="15"/>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Processing!$I$45:$L$45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F-D95A-43C9-A8CE-C04EA804981F}"/>
            </c:ext>
          </c:extLst>
        </c:ser>
        <c:ser>
          <c:idx val="16"/>
          <c:order val="16"/>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Processing!$I$46:$L$46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10-D95A-43C9-A8CE-C04EA804981F}"/>
            </c:ext>
          </c:extLst>
        </c:ser>
        <c:ser>
          <c:idx val="17"/>
          <c:order val="17"/>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Processing!$I$47:$L$47</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11-D95A-43C9-A8CE-C04EA804981F}"/>
            </c:ext>
          </c:extLst>
        </c:ser>
        <c:ser>
          <c:idx val="18"/>
          <c:order val="18"/>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Processing!$I$48:$L$48</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12-D95A-43C9-A8CE-C04EA804981F}"/>
            </c:ext>
          </c:extLst>
        </c:ser>
        <c:ser>
          <c:idx val="19"/>
          <c:order val="19"/>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Processing!$I$49:$L$49</c:f>
              <c:numCache>
                <c:formatCode>General</c:formatCode>
                <c:ptCount val="4"/>
                <c:pt idx="0">
                  <c:v>1</c:v>
                </c:pt>
                <c:pt idx="1">
                  <c:v>0</c:v>
                </c:pt>
                <c:pt idx="2">
                  <c:v>1</c:v>
                </c:pt>
                <c:pt idx="3">
                  <c:v>0</c:v>
                </c:pt>
              </c:numCache>
            </c:numRef>
          </c:val>
          <c:extLst>
            <c:ext xmlns:c16="http://schemas.microsoft.com/office/drawing/2014/chart" uri="{C3380CC4-5D6E-409C-BE32-E72D297353CC}">
              <c16:uniqueId val="{00000013-D95A-43C9-A8CE-C04EA804981F}"/>
            </c:ext>
          </c:extLst>
        </c:ser>
        <c:ser>
          <c:idx val="20"/>
          <c:order val="20"/>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Processing!$I$50:$L$50</c:f>
              <c:numCache>
                <c:formatCode>General</c:formatCode>
                <c:ptCount val="4"/>
                <c:pt idx="0">
                  <c:v>0</c:v>
                </c:pt>
                <c:pt idx="1">
                  <c:v>1</c:v>
                </c:pt>
                <c:pt idx="2">
                  <c:v>0</c:v>
                </c:pt>
                <c:pt idx="3">
                  <c:v>1</c:v>
                </c:pt>
              </c:numCache>
            </c:numRef>
          </c:val>
          <c:extLst>
            <c:ext xmlns:c16="http://schemas.microsoft.com/office/drawing/2014/chart" uri="{C3380CC4-5D6E-409C-BE32-E72D297353CC}">
              <c16:uniqueId val="{00000014-D95A-43C9-A8CE-C04EA804981F}"/>
            </c:ext>
          </c:extLst>
        </c:ser>
        <c:ser>
          <c:idx val="21"/>
          <c:order val="2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Processing!$I$51:$L$51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15-D95A-43C9-A8CE-C04EA804981F}"/>
            </c:ext>
          </c:extLst>
        </c:ser>
        <c:ser>
          <c:idx val="22"/>
          <c:order val="2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Processing!$I$52:$L$52</c:f>
              <c:numCache>
                <c:formatCode>General</c:formatCode>
                <c:ptCount val="4"/>
                <c:pt idx="0">
                  <c:v>1</c:v>
                </c:pt>
                <c:pt idx="1">
                  <c:v>0</c:v>
                </c:pt>
                <c:pt idx="2">
                  <c:v>1</c:v>
                </c:pt>
                <c:pt idx="3">
                  <c:v>0</c:v>
                </c:pt>
              </c:numCache>
            </c:numRef>
          </c:val>
          <c:extLst>
            <c:ext xmlns:c16="http://schemas.microsoft.com/office/drawing/2014/chart" uri="{C3380CC4-5D6E-409C-BE32-E72D297353CC}">
              <c16:uniqueId val="{00000016-D95A-43C9-A8CE-C04EA804981F}"/>
            </c:ext>
          </c:extLst>
        </c:ser>
        <c:ser>
          <c:idx val="23"/>
          <c:order val="2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Processing!$I$53:$L$53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17-D95A-43C9-A8CE-C04EA804981F}"/>
            </c:ext>
          </c:extLst>
        </c:ser>
        <c:ser>
          <c:idx val="24"/>
          <c:order val="24"/>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Processing!$I$54:$L$54</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18-D95A-43C9-A8CE-C04EA804981F}"/>
            </c:ext>
          </c:extLst>
        </c:ser>
        <c:ser>
          <c:idx val="25"/>
          <c:order val="2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Processing!$I$55:$L$55</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19-D95A-43C9-A8CE-C04EA804981F}"/>
            </c:ext>
          </c:extLst>
        </c:ser>
        <c:ser>
          <c:idx val="26"/>
          <c:order val="2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Processing!$I$56:$L$56</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1A-D95A-43C9-A8CE-C04EA804981F}"/>
            </c:ext>
          </c:extLst>
        </c:ser>
        <c:ser>
          <c:idx val="27"/>
          <c:order val="2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Processing!$I$57:$L$57</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1B-D95A-43C9-A8CE-C04EA804981F}"/>
            </c:ext>
          </c:extLst>
        </c:ser>
        <c:ser>
          <c:idx val="28"/>
          <c:order val="28"/>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Processing!$I$58:$L$58</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1C-D95A-43C9-A8CE-C04EA804981F}"/>
            </c:ext>
          </c:extLst>
        </c:ser>
        <c:ser>
          <c:idx val="29"/>
          <c:order val="2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Processing!$I$59:$L$59</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1D-D95A-43C9-A8CE-C04EA804981F}"/>
            </c:ext>
          </c:extLst>
        </c:ser>
        <c:ser>
          <c:idx val="30"/>
          <c:order val="3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Processing!$I$60:$L$60</c:f>
              <c:numCache>
                <c:formatCode>General</c:formatCode>
                <c:ptCount val="4"/>
                <c:pt idx="0">
                  <c:v>1</c:v>
                </c:pt>
                <c:pt idx="1">
                  <c:v>1</c:v>
                </c:pt>
                <c:pt idx="2">
                  <c:v>0</c:v>
                </c:pt>
                <c:pt idx="3">
                  <c:v>0</c:v>
                </c:pt>
              </c:numCache>
            </c:numRef>
          </c:val>
          <c:extLst>
            <c:ext xmlns:c16="http://schemas.microsoft.com/office/drawing/2014/chart" uri="{C3380CC4-5D6E-409C-BE32-E72D297353CC}">
              <c16:uniqueId val="{0000001E-D95A-43C9-A8CE-C04EA804981F}"/>
            </c:ext>
          </c:extLst>
        </c:ser>
        <c:ser>
          <c:idx val="31"/>
          <c:order val="3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Processing!$I$61:$L$61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1F-D95A-43C9-A8CE-C04EA804981F}"/>
            </c:ext>
          </c:extLst>
        </c:ser>
        <c:ser>
          <c:idx val="32"/>
          <c:order val="32"/>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Processing!$I$62:$L$62</c:f>
              <c:numCache>
                <c:formatCode>General</c:formatCode>
                <c:ptCount val="4"/>
                <c:pt idx="0">
                  <c:v>1</c:v>
                </c:pt>
                <c:pt idx="1">
                  <c:v>1</c:v>
                </c:pt>
                <c:pt idx="2">
                  <c:v>1</c:v>
                </c:pt>
                <c:pt idx="3">
                  <c:v>0</c:v>
                </c:pt>
              </c:numCache>
            </c:numRef>
          </c:val>
          <c:extLst>
            <c:ext xmlns:c16="http://schemas.microsoft.com/office/drawing/2014/chart" uri="{C3380CC4-5D6E-409C-BE32-E72D297353CC}">
              <c16:uniqueId val="{00000020-D95A-43C9-A8CE-C04EA804981F}"/>
            </c:ext>
          </c:extLst>
        </c:ser>
        <c:ser>
          <c:idx val="33"/>
          <c:order val="33"/>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Processing!$I$63:$L$63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21-D95A-43C9-A8CE-C04EA804981F}"/>
            </c:ext>
          </c:extLst>
        </c:ser>
        <c:ser>
          <c:idx val="34"/>
          <c:order val="34"/>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Processing!$I$64:$L$64</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22-D95A-43C9-A8CE-C04EA804981F}"/>
            </c:ext>
          </c:extLst>
        </c:ser>
        <c:ser>
          <c:idx val="35"/>
          <c:order val="35"/>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Processing!$I$65:$L$65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23-D95A-43C9-A8CE-C04EA804981F}"/>
            </c:ext>
          </c:extLst>
        </c:ser>
        <c:ser>
          <c:idx val="36"/>
          <c:order val="36"/>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Processing!$I$66:$L$66</c:f>
              <c:numCache>
                <c:formatCode>General</c:formatCode>
                <c:ptCount val="4"/>
                <c:pt idx="0">
                  <c:v>0</c:v>
                </c:pt>
                <c:pt idx="1">
                  <c:v>0</c:v>
                </c:pt>
                <c:pt idx="2">
                  <c:v>1</c:v>
                </c:pt>
                <c:pt idx="3">
                  <c:v>1</c:v>
                </c:pt>
              </c:numCache>
            </c:numRef>
          </c:val>
          <c:extLst>
            <c:ext xmlns:c16="http://schemas.microsoft.com/office/drawing/2014/chart" uri="{C3380CC4-5D6E-409C-BE32-E72D297353CC}">
              <c16:uniqueId val="{00000024-D95A-43C9-A8CE-C04EA804981F}"/>
            </c:ext>
          </c:extLst>
        </c:ser>
        <c:ser>
          <c:idx val="37"/>
          <c:order val="37"/>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Processing!$I$67:$L$67</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25-D95A-43C9-A8CE-C04EA804981F}"/>
            </c:ext>
          </c:extLst>
        </c:ser>
        <c:ser>
          <c:idx val="38"/>
          <c:order val="38"/>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Processing!$I$68:$L$68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26-D95A-43C9-A8CE-C04EA804981F}"/>
            </c:ext>
          </c:extLst>
        </c:ser>
        <c:ser>
          <c:idx val="39"/>
          <c:order val="39"/>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Processing!$I$69:$L$69</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27-D95A-43C9-A8CE-C04EA804981F}"/>
            </c:ext>
          </c:extLst>
        </c:ser>
        <c:ser>
          <c:idx val="40"/>
          <c:order val="40"/>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Processing!$I$70:$L$70</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28-D95A-43C9-A8CE-C04EA804981F}"/>
            </c:ext>
          </c:extLst>
        </c:ser>
        <c:ser>
          <c:idx val="41"/>
          <c:order val="4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Processing!$I$71:$L$71</c:f>
              <c:numCache>
                <c:formatCode>General</c:formatCode>
                <c:ptCount val="4"/>
                <c:pt idx="0">
                  <c:v>1</c:v>
                </c:pt>
                <c:pt idx="1">
                  <c:v>0</c:v>
                </c:pt>
                <c:pt idx="2">
                  <c:v>1</c:v>
                </c:pt>
                <c:pt idx="3">
                  <c:v>1</c:v>
                </c:pt>
              </c:numCache>
            </c:numRef>
          </c:val>
          <c:extLst>
            <c:ext xmlns:c16="http://schemas.microsoft.com/office/drawing/2014/chart" uri="{C3380CC4-5D6E-409C-BE32-E72D297353CC}">
              <c16:uniqueId val="{00000029-D95A-43C9-A8CE-C04EA804981F}"/>
            </c:ext>
          </c:extLst>
        </c:ser>
        <c:ser>
          <c:idx val="42"/>
          <c:order val="4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Processing!$I$72:$L$72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2A-D95A-43C9-A8CE-C04EA804981F}"/>
            </c:ext>
          </c:extLst>
        </c:ser>
        <c:ser>
          <c:idx val="43"/>
          <c:order val="4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Processing!$I$73:$L$73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2B-D95A-43C9-A8CE-C04EA804981F}"/>
            </c:ext>
          </c:extLst>
        </c:ser>
        <c:ser>
          <c:idx val="44"/>
          <c:order val="44"/>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Processing!$I$74:$L$74</c:f>
              <c:numCache>
                <c:formatCode>General</c:formatCode>
                <c:ptCount val="4"/>
                <c:pt idx="0">
                  <c:v>0</c:v>
                </c:pt>
                <c:pt idx="1">
                  <c:v>1</c:v>
                </c:pt>
                <c:pt idx="2">
                  <c:v>1</c:v>
                </c:pt>
                <c:pt idx="3">
                  <c:v>1</c:v>
                </c:pt>
              </c:numCache>
            </c:numRef>
          </c:val>
          <c:extLst>
            <c:ext xmlns:c16="http://schemas.microsoft.com/office/drawing/2014/chart" uri="{C3380CC4-5D6E-409C-BE32-E72D297353CC}">
              <c16:uniqueId val="{0000002C-D95A-43C9-A8CE-C04EA804981F}"/>
            </c:ext>
          </c:extLst>
        </c:ser>
        <c:ser>
          <c:idx val="45"/>
          <c:order val="4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Processing!$I$75:$L$75</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2D-D95A-43C9-A8CE-C04EA804981F}"/>
            </c:ext>
          </c:extLst>
        </c:ser>
        <c:ser>
          <c:idx val="46"/>
          <c:order val="4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Processing!$I$76:$L$76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2E-D95A-43C9-A8CE-C04EA804981F}"/>
            </c:ext>
          </c:extLst>
        </c:ser>
        <c:ser>
          <c:idx val="47"/>
          <c:order val="4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Processing!$I$77:$L$77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2F-D95A-43C9-A8CE-C04EA804981F}"/>
            </c:ext>
          </c:extLst>
        </c:ser>
        <c:ser>
          <c:idx val="48"/>
          <c:order val="48"/>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Processing!$I$78:$L$78</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30-D95A-43C9-A8CE-C04EA804981F}"/>
            </c:ext>
          </c:extLst>
        </c:ser>
        <c:ser>
          <c:idx val="49"/>
          <c:order val="4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Processing!$I$79:$L$79</c:f>
              <c:numCache>
                <c:formatCode>General</c:formatCode>
                <c:ptCount val="4"/>
                <c:pt idx="0">
                  <c:v>1</c:v>
                </c:pt>
                <c:pt idx="1">
                  <c:v>0</c:v>
                </c:pt>
                <c:pt idx="2">
                  <c:v>1</c:v>
                </c:pt>
                <c:pt idx="3">
                  <c:v>0</c:v>
                </c:pt>
              </c:numCache>
            </c:numRef>
          </c:val>
          <c:extLst>
            <c:ext xmlns:c16="http://schemas.microsoft.com/office/drawing/2014/chart" uri="{C3380CC4-5D6E-409C-BE32-E72D297353CC}">
              <c16:uniqueId val="{00000031-D95A-43C9-A8CE-C04EA804981F}"/>
            </c:ext>
          </c:extLst>
        </c:ser>
        <c:ser>
          <c:idx val="50"/>
          <c:order val="5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Processing!$I$80:$L$80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32-D95A-43C9-A8CE-C04EA804981F}"/>
            </c:ext>
          </c:extLst>
        </c:ser>
        <c:ser>
          <c:idx val="51"/>
          <c:order val="5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Processing!$I$81:$L$81</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33-D95A-43C9-A8CE-C04EA804981F}"/>
            </c:ext>
          </c:extLst>
        </c:ser>
        <c:ser>
          <c:idx val="52"/>
          <c:order val="52"/>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Processing!$I$82:$L$82</c:f>
              <c:numCache>
                <c:formatCode>General</c:formatCode>
                <c:ptCount val="4"/>
                <c:pt idx="0">
                  <c:v>0</c:v>
                </c:pt>
                <c:pt idx="1">
                  <c:v>1</c:v>
                </c:pt>
                <c:pt idx="2">
                  <c:v>1</c:v>
                </c:pt>
                <c:pt idx="3">
                  <c:v>0</c:v>
                </c:pt>
              </c:numCache>
            </c:numRef>
          </c:val>
          <c:extLst>
            <c:ext xmlns:c16="http://schemas.microsoft.com/office/drawing/2014/chart" uri="{C3380CC4-5D6E-409C-BE32-E72D297353CC}">
              <c16:uniqueId val="{00000034-D95A-43C9-A8CE-C04EA804981F}"/>
            </c:ext>
          </c:extLst>
        </c:ser>
        <c:ser>
          <c:idx val="53"/>
          <c:order val="53"/>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Processing!$I$83:$L$83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35-D95A-43C9-A8CE-C04EA804981F}"/>
            </c:ext>
          </c:extLst>
        </c:ser>
        <c:ser>
          <c:idx val="54"/>
          <c:order val="54"/>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Processing!$I$84:$L$84</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36-D95A-43C9-A8CE-C04EA804981F}"/>
            </c:ext>
          </c:extLst>
        </c:ser>
        <c:ser>
          <c:idx val="55"/>
          <c:order val="55"/>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Processing!$I$85:$L$85</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37-D95A-43C9-A8CE-C04EA804981F}"/>
            </c:ext>
          </c:extLst>
        </c:ser>
        <c:ser>
          <c:idx val="56"/>
          <c:order val="56"/>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Processing!$I$86:$L$86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38-D95A-43C9-A8CE-C04EA804981F}"/>
            </c:ext>
          </c:extLst>
        </c:ser>
        <c:ser>
          <c:idx val="57"/>
          <c:order val="57"/>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Processing!$I$87:$L$87</c:f>
              <c:numCache>
                <c:formatCode>General</c:formatCode>
                <c:ptCount val="4"/>
                <c:pt idx="0">
                  <c:v>1</c:v>
                </c:pt>
                <c:pt idx="1">
                  <c:v>0</c:v>
                </c:pt>
                <c:pt idx="2">
                  <c:v>0</c:v>
                </c:pt>
                <c:pt idx="3">
                  <c:v>1</c:v>
                </c:pt>
              </c:numCache>
            </c:numRef>
          </c:val>
          <c:extLst>
            <c:ext xmlns:c16="http://schemas.microsoft.com/office/drawing/2014/chart" uri="{C3380CC4-5D6E-409C-BE32-E72D297353CC}">
              <c16:uniqueId val="{00000039-D95A-43C9-A8CE-C04EA804981F}"/>
            </c:ext>
          </c:extLst>
        </c:ser>
        <c:ser>
          <c:idx val="58"/>
          <c:order val="58"/>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Processing!$I$88:$L$88</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3A-D95A-43C9-A8CE-C04EA804981F}"/>
            </c:ext>
          </c:extLst>
        </c:ser>
        <c:ser>
          <c:idx val="59"/>
          <c:order val="59"/>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Processing!$I$89:$L$89</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3B-D95A-43C9-A8CE-C04EA804981F}"/>
            </c:ext>
          </c:extLst>
        </c:ser>
        <c:ser>
          <c:idx val="60"/>
          <c:order val="60"/>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Processing!$I$90:$L$90</c:f>
              <c:numCache>
                <c:formatCode>General</c:formatCode>
                <c:ptCount val="4"/>
                <c:pt idx="0">
                  <c:v>0</c:v>
                </c:pt>
                <c:pt idx="1">
                  <c:v>1</c:v>
                </c:pt>
                <c:pt idx="2">
                  <c:v>1</c:v>
                </c:pt>
                <c:pt idx="3">
                  <c:v>1</c:v>
                </c:pt>
              </c:numCache>
            </c:numRef>
          </c:val>
          <c:extLst>
            <c:ext xmlns:c16="http://schemas.microsoft.com/office/drawing/2014/chart" uri="{C3380CC4-5D6E-409C-BE32-E72D297353CC}">
              <c16:uniqueId val="{0000003C-D95A-43C9-A8CE-C04EA804981F}"/>
            </c:ext>
          </c:extLst>
        </c:ser>
        <c:ser>
          <c:idx val="61"/>
          <c:order val="6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Processing!$I$91:$L$91</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3D-D95A-43C9-A8CE-C04EA804981F}"/>
            </c:ext>
          </c:extLst>
        </c:ser>
        <c:ser>
          <c:idx val="62"/>
          <c:order val="6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Processing!$I$92:$L$92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3E-D95A-43C9-A8CE-C04EA804981F}"/>
            </c:ext>
          </c:extLst>
        </c:ser>
        <c:ser>
          <c:idx val="63"/>
          <c:order val="6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Processing!$I$93:$L$93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3F-D95A-43C9-A8CE-C04EA804981F}"/>
            </c:ext>
          </c:extLst>
        </c:ser>
        <c:ser>
          <c:idx val="64"/>
          <c:order val="64"/>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Processing!$I$94:$L$94</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40-D95A-43C9-A8CE-C04EA804981F}"/>
            </c:ext>
          </c:extLst>
        </c:ser>
        <c:ser>
          <c:idx val="65"/>
          <c:order val="6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Processing!$I$95:$L$95</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41-D95A-43C9-A8CE-C04EA804981F}"/>
            </c:ext>
          </c:extLst>
        </c:ser>
        <c:ser>
          <c:idx val="66"/>
          <c:order val="6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Processing!$I$96:$L$96</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42-D95A-43C9-A8CE-C04EA804981F}"/>
            </c:ext>
          </c:extLst>
        </c:ser>
        <c:ser>
          <c:idx val="67"/>
          <c:order val="6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Processing!$I$97:$L$97</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43-D95A-43C9-A8CE-C04EA804981F}"/>
            </c:ext>
          </c:extLst>
        </c:ser>
        <c:ser>
          <c:idx val="68"/>
          <c:order val="68"/>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Processing!$I$98:$L$98</c:f>
              <c:numCache>
                <c:formatCode>General</c:formatCode>
                <c:ptCount val="4"/>
                <c:pt idx="0">
                  <c:v>1</c:v>
                </c:pt>
                <c:pt idx="1">
                  <c:v>0</c:v>
                </c:pt>
                <c:pt idx="2">
                  <c:v>1</c:v>
                </c:pt>
                <c:pt idx="3">
                  <c:v>0</c:v>
                </c:pt>
              </c:numCache>
            </c:numRef>
          </c:val>
          <c:extLst>
            <c:ext xmlns:c16="http://schemas.microsoft.com/office/drawing/2014/chart" uri="{C3380CC4-5D6E-409C-BE32-E72D297353CC}">
              <c16:uniqueId val="{00000044-D95A-43C9-A8CE-C04EA804981F}"/>
            </c:ext>
          </c:extLst>
        </c:ser>
        <c:ser>
          <c:idx val="69"/>
          <c:order val="6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Processing!$I$99:$L$99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45-D95A-43C9-A8CE-C04EA804981F}"/>
            </c:ext>
          </c:extLst>
        </c:ser>
        <c:ser>
          <c:idx val="70"/>
          <c:order val="7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Processing!$I$100:$L$100</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46-D95A-43C9-A8CE-C04EA804981F}"/>
            </c:ext>
          </c:extLst>
        </c:ser>
        <c:ser>
          <c:idx val="71"/>
          <c:order val="7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Processing!$I$101:$L$101</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47-D95A-43C9-A8CE-C04EA804981F}"/>
            </c:ext>
          </c:extLst>
        </c:ser>
        <c:ser>
          <c:idx val="72"/>
          <c:order val="72"/>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Processing!$I$102:$L$102</c:f>
              <c:numCache>
                <c:formatCode>General</c:formatCode>
                <c:ptCount val="4"/>
                <c:pt idx="0">
                  <c:v>0</c:v>
                </c:pt>
                <c:pt idx="1">
                  <c:v>0</c:v>
                </c:pt>
                <c:pt idx="2">
                  <c:v>1</c:v>
                </c:pt>
                <c:pt idx="3">
                  <c:v>1</c:v>
                </c:pt>
              </c:numCache>
            </c:numRef>
          </c:val>
          <c:extLst>
            <c:ext xmlns:c16="http://schemas.microsoft.com/office/drawing/2014/chart" uri="{C3380CC4-5D6E-409C-BE32-E72D297353CC}">
              <c16:uniqueId val="{00000048-D95A-43C9-A8CE-C04EA804981F}"/>
            </c:ext>
          </c:extLst>
        </c:ser>
        <c:ser>
          <c:idx val="73"/>
          <c:order val="73"/>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Processing!$I$103:$L$103</c:f>
              <c:numCache>
                <c:formatCode>General</c:formatCode>
                <c:ptCount val="4"/>
                <c:pt idx="0">
                  <c:v>1</c:v>
                </c:pt>
                <c:pt idx="1">
                  <c:v>1</c:v>
                </c:pt>
                <c:pt idx="2">
                  <c:v>0</c:v>
                </c:pt>
                <c:pt idx="3">
                  <c:v>0</c:v>
                </c:pt>
              </c:numCache>
            </c:numRef>
          </c:val>
          <c:extLst>
            <c:ext xmlns:c16="http://schemas.microsoft.com/office/drawing/2014/chart" uri="{C3380CC4-5D6E-409C-BE32-E72D297353CC}">
              <c16:uniqueId val="{00000049-D95A-43C9-A8CE-C04EA804981F}"/>
            </c:ext>
          </c:extLst>
        </c:ser>
        <c:ser>
          <c:idx val="74"/>
          <c:order val="74"/>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Processing!$I$104:$L$104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4A-D95A-43C9-A8CE-C04EA804981F}"/>
            </c:ext>
          </c:extLst>
        </c:ser>
        <c:ser>
          <c:idx val="75"/>
          <c:order val="75"/>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Processing!$I$105:$L$105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4B-D95A-43C9-A8CE-C04EA804981F}"/>
            </c:ext>
          </c:extLst>
        </c:ser>
        <c:ser>
          <c:idx val="76"/>
          <c:order val="76"/>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Processing!$I$106:$L$106</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4C-D95A-43C9-A8CE-C04EA804981F}"/>
            </c:ext>
          </c:extLst>
        </c:ser>
        <c:ser>
          <c:idx val="77"/>
          <c:order val="77"/>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Processing!$I$107:$L$107</c:f>
              <c:numCache>
                <c:formatCode>General</c:formatCode>
                <c:ptCount val="4"/>
                <c:pt idx="0">
                  <c:v>1</c:v>
                </c:pt>
                <c:pt idx="1">
                  <c:v>1</c:v>
                </c:pt>
                <c:pt idx="2">
                  <c:v>0</c:v>
                </c:pt>
                <c:pt idx="3">
                  <c:v>0</c:v>
                </c:pt>
              </c:numCache>
            </c:numRef>
          </c:val>
          <c:extLst>
            <c:ext xmlns:c16="http://schemas.microsoft.com/office/drawing/2014/chart" uri="{C3380CC4-5D6E-409C-BE32-E72D297353CC}">
              <c16:uniqueId val="{0000004D-D95A-43C9-A8CE-C04EA804981F}"/>
            </c:ext>
          </c:extLst>
        </c:ser>
        <c:ser>
          <c:idx val="78"/>
          <c:order val="78"/>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Processing!$I$108:$L$108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4E-D95A-43C9-A8CE-C04EA804981F}"/>
            </c:ext>
          </c:extLst>
        </c:ser>
        <c:ser>
          <c:idx val="79"/>
          <c:order val="79"/>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Processing!$I$109:$L$109</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4F-D95A-43C9-A8CE-C04EA804981F}"/>
            </c:ext>
          </c:extLst>
        </c:ser>
        <c:ser>
          <c:idx val="80"/>
          <c:order val="80"/>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Processing!$I$110:$L$110</c:f>
              <c:numCache>
                <c:formatCode>General</c:formatCode>
                <c:ptCount val="4"/>
                <c:pt idx="0">
                  <c:v>1</c:v>
                </c:pt>
                <c:pt idx="1">
                  <c:v>1</c:v>
                </c:pt>
                <c:pt idx="2">
                  <c:v>1</c:v>
                </c:pt>
                <c:pt idx="3">
                  <c:v>0</c:v>
                </c:pt>
              </c:numCache>
            </c:numRef>
          </c:val>
          <c:extLst>
            <c:ext xmlns:c16="http://schemas.microsoft.com/office/drawing/2014/chart" uri="{C3380CC4-5D6E-409C-BE32-E72D297353CC}">
              <c16:uniqueId val="{00000050-D95A-43C9-A8CE-C04EA804981F}"/>
            </c:ext>
          </c:extLst>
        </c:ser>
        <c:ser>
          <c:idx val="81"/>
          <c:order val="8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Processing!$I$111:$L$111</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51-D95A-43C9-A8CE-C04EA804981F}"/>
            </c:ext>
          </c:extLst>
        </c:ser>
        <c:ser>
          <c:idx val="82"/>
          <c:order val="8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Processing!$I$112:$L$112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52-D95A-43C9-A8CE-C04EA804981F}"/>
            </c:ext>
          </c:extLst>
        </c:ser>
        <c:ser>
          <c:idx val="83"/>
          <c:order val="8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Processing!$I$113:$L$113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53-D95A-43C9-A8CE-C04EA804981F}"/>
            </c:ext>
          </c:extLst>
        </c:ser>
        <c:ser>
          <c:idx val="84"/>
          <c:order val="84"/>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Processing!$I$114:$L$114</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54-D95A-43C9-A8CE-C04EA804981F}"/>
            </c:ext>
          </c:extLst>
        </c:ser>
        <c:ser>
          <c:idx val="85"/>
          <c:order val="8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Processing!$I$115:$L$115</c:f>
              <c:numCache>
                <c:formatCode>General</c:formatCode>
                <c:ptCount val="4"/>
                <c:pt idx="0">
                  <c:v>0</c:v>
                </c:pt>
                <c:pt idx="1">
                  <c:v>0</c:v>
                </c:pt>
                <c:pt idx="2">
                  <c:v>1</c:v>
                </c:pt>
                <c:pt idx="3">
                  <c:v>1</c:v>
                </c:pt>
              </c:numCache>
            </c:numRef>
          </c:val>
          <c:extLst>
            <c:ext xmlns:c16="http://schemas.microsoft.com/office/drawing/2014/chart" uri="{C3380CC4-5D6E-409C-BE32-E72D297353CC}">
              <c16:uniqueId val="{00000055-D95A-43C9-A8CE-C04EA804981F}"/>
            </c:ext>
          </c:extLst>
        </c:ser>
        <c:ser>
          <c:idx val="86"/>
          <c:order val="8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Processing!$I$116:$L$116</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56-D95A-43C9-A8CE-C04EA804981F}"/>
            </c:ext>
          </c:extLst>
        </c:ser>
        <c:ser>
          <c:idx val="87"/>
          <c:order val="8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Processing!$I$117:$L$117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57-D95A-43C9-A8CE-C04EA804981F}"/>
            </c:ext>
          </c:extLst>
        </c:ser>
        <c:ser>
          <c:idx val="88"/>
          <c:order val="88"/>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Processing!$I$118:$L$118</c:f>
              <c:numCache>
                <c:formatCode>General</c:formatCode>
                <c:ptCount val="4"/>
                <c:pt idx="0">
                  <c:v>1</c:v>
                </c:pt>
                <c:pt idx="1">
                  <c:v>1</c:v>
                </c:pt>
                <c:pt idx="2">
                  <c:v>0</c:v>
                </c:pt>
                <c:pt idx="3">
                  <c:v>1</c:v>
                </c:pt>
              </c:numCache>
            </c:numRef>
          </c:val>
          <c:extLst>
            <c:ext xmlns:c16="http://schemas.microsoft.com/office/drawing/2014/chart" uri="{C3380CC4-5D6E-409C-BE32-E72D297353CC}">
              <c16:uniqueId val="{00000058-D95A-43C9-A8CE-C04EA804981F}"/>
            </c:ext>
          </c:extLst>
        </c:ser>
        <c:ser>
          <c:idx val="89"/>
          <c:order val="8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Processing!$I$119:$L$119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59-D95A-43C9-A8CE-C04EA804981F}"/>
            </c:ext>
          </c:extLst>
        </c:ser>
        <c:ser>
          <c:idx val="90"/>
          <c:order val="9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Processing!$I$120:$L$120</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5A-D95A-43C9-A8CE-C04EA804981F}"/>
            </c:ext>
          </c:extLst>
        </c:ser>
        <c:ser>
          <c:idx val="91"/>
          <c:order val="9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Processing!$I$121:$L$121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5B-D95A-43C9-A8CE-C04EA804981F}"/>
            </c:ext>
          </c:extLst>
        </c:ser>
        <c:ser>
          <c:idx val="92"/>
          <c:order val="92"/>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Processing!$I$122:$L$122</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5C-D95A-43C9-A8CE-C04EA804981F}"/>
            </c:ext>
          </c:extLst>
        </c:ser>
        <c:ser>
          <c:idx val="93"/>
          <c:order val="93"/>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Processing!$I$123:$L$123</c:f>
              <c:numCache>
                <c:formatCode>General</c:formatCode>
                <c:ptCount val="4"/>
                <c:pt idx="0">
                  <c:v>0</c:v>
                </c:pt>
                <c:pt idx="1">
                  <c:v>1</c:v>
                </c:pt>
                <c:pt idx="2">
                  <c:v>1</c:v>
                </c:pt>
                <c:pt idx="3">
                  <c:v>0</c:v>
                </c:pt>
              </c:numCache>
            </c:numRef>
          </c:val>
          <c:extLst>
            <c:ext xmlns:c16="http://schemas.microsoft.com/office/drawing/2014/chart" uri="{C3380CC4-5D6E-409C-BE32-E72D297353CC}">
              <c16:uniqueId val="{0000005D-D95A-43C9-A8CE-C04EA804981F}"/>
            </c:ext>
          </c:extLst>
        </c:ser>
        <c:ser>
          <c:idx val="94"/>
          <c:order val="94"/>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Processing!$I$124:$L$124</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5E-D95A-43C9-A8CE-C04EA804981F}"/>
            </c:ext>
          </c:extLst>
        </c:ser>
        <c:ser>
          <c:idx val="95"/>
          <c:order val="95"/>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Processing!$I$125:$L$125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5F-D95A-43C9-A8CE-C04EA804981F}"/>
            </c:ext>
          </c:extLst>
        </c:ser>
        <c:ser>
          <c:idx val="96"/>
          <c:order val="96"/>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Processing!$I$126:$L$126</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60-D95A-43C9-A8CE-C04EA804981F}"/>
            </c:ext>
          </c:extLst>
        </c:ser>
        <c:ser>
          <c:idx val="97"/>
          <c:order val="97"/>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Processing!$I$127:$L$127</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61-D95A-43C9-A8CE-C04EA804981F}"/>
            </c:ext>
          </c:extLst>
        </c:ser>
        <c:ser>
          <c:idx val="98"/>
          <c:order val="98"/>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Processing!$I$128:$L$128</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62-D95A-43C9-A8CE-C04EA804981F}"/>
            </c:ext>
          </c:extLst>
        </c:ser>
        <c:ser>
          <c:idx val="99"/>
          <c:order val="99"/>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Processing!$I$129:$L$129</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63-D95A-43C9-A8CE-C04EA804981F}"/>
            </c:ext>
          </c:extLst>
        </c:ser>
        <c:ser>
          <c:idx val="100"/>
          <c:order val="100"/>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Processing!$I$130:$L$130</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64-D95A-43C9-A8CE-C04EA804981F}"/>
            </c:ext>
          </c:extLst>
        </c:ser>
        <c:ser>
          <c:idx val="101"/>
          <c:order val="101"/>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Processing!$I$131:$L$131</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65-D95A-43C9-A8CE-C04EA804981F}"/>
            </c:ext>
          </c:extLst>
        </c:ser>
        <c:ser>
          <c:idx val="102"/>
          <c:order val="102"/>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Processing!$I$132:$L$132</c:f>
              <c:numCache>
                <c:formatCode>General</c:formatCode>
                <c:ptCount val="4"/>
                <c:pt idx="0">
                  <c:v>1</c:v>
                </c:pt>
                <c:pt idx="1">
                  <c:v>0</c:v>
                </c:pt>
                <c:pt idx="2">
                  <c:v>0</c:v>
                </c:pt>
                <c:pt idx="3">
                  <c:v>1</c:v>
                </c:pt>
              </c:numCache>
            </c:numRef>
          </c:val>
          <c:extLst>
            <c:ext xmlns:c16="http://schemas.microsoft.com/office/drawing/2014/chart" uri="{C3380CC4-5D6E-409C-BE32-E72D297353CC}">
              <c16:uniqueId val="{00000066-D95A-43C9-A8CE-C04EA804981F}"/>
            </c:ext>
          </c:extLst>
        </c:ser>
        <c:ser>
          <c:idx val="103"/>
          <c:order val="103"/>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Processing!$I$133:$L$133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67-D95A-43C9-A8CE-C04EA804981F}"/>
            </c:ext>
          </c:extLst>
        </c:ser>
        <c:ser>
          <c:idx val="104"/>
          <c:order val="104"/>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Processing!$I$134:$L$134</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68-D95A-43C9-A8CE-C04EA804981F}"/>
            </c:ext>
          </c:extLst>
        </c:ser>
        <c:ser>
          <c:idx val="105"/>
          <c:order val="105"/>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Processing!$I$135:$L$135</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69-D95A-43C9-A8CE-C04EA804981F}"/>
            </c:ext>
          </c:extLst>
        </c:ser>
        <c:ser>
          <c:idx val="106"/>
          <c:order val="106"/>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Processing!$I$136:$L$136</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6A-D95A-43C9-A8CE-C04EA804981F}"/>
            </c:ext>
          </c:extLst>
        </c:ser>
        <c:ser>
          <c:idx val="107"/>
          <c:order val="107"/>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Processing!$I$137:$L$137</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6B-D95A-43C9-A8CE-C04EA804981F}"/>
            </c:ext>
          </c:extLst>
        </c:ser>
        <c:ser>
          <c:idx val="108"/>
          <c:order val="108"/>
          <c:spPr>
            <a:solidFill>
              <a:srgbClr val="286F8C"/>
            </a:solidFill>
            <a:ln>
              <a:noFill/>
            </a:ln>
            <a:effectLst/>
          </c:spPr>
          <c:invertIfNegative val="0"/>
          <c:cat>
            <c:strRef>
              <c:f>Processing!$I$29:$L$29</c:f>
              <c:strCache>
                <c:ptCount val="4"/>
                <c:pt idx="0">
                  <c:v>Shift 1</c:v>
                </c:pt>
                <c:pt idx="1">
                  <c:v>Shift 2</c:v>
                </c:pt>
                <c:pt idx="2">
                  <c:v>Shift 3</c:v>
                </c:pt>
                <c:pt idx="3">
                  <c:v>Shift 4</c:v>
                </c:pt>
              </c:strCache>
            </c:strRef>
          </c:cat>
          <c:val>
            <c:numRef>
              <c:f>Processing!$I$138:$L$138</c:f>
              <c:numCache>
                <c:formatCode>General</c:formatCode>
                <c:ptCount val="4"/>
                <c:pt idx="0">
                  <c:v>1</c:v>
                </c:pt>
                <c:pt idx="1">
                  <c:v>1</c:v>
                </c:pt>
                <c:pt idx="2">
                  <c:v>0</c:v>
                </c:pt>
                <c:pt idx="3">
                  <c:v>1</c:v>
                </c:pt>
              </c:numCache>
            </c:numRef>
          </c:val>
          <c:extLst>
            <c:ext xmlns:c16="http://schemas.microsoft.com/office/drawing/2014/chart" uri="{C3380CC4-5D6E-409C-BE32-E72D297353CC}">
              <c16:uniqueId val="{0000006C-D95A-43C9-A8CE-C04EA804981F}"/>
            </c:ext>
          </c:extLst>
        </c:ser>
        <c:ser>
          <c:idx val="109"/>
          <c:order val="109"/>
          <c:spPr>
            <a:solidFill>
              <a:srgbClr val="3493B8"/>
            </a:solidFill>
            <a:ln>
              <a:noFill/>
            </a:ln>
            <a:effectLst/>
          </c:spPr>
          <c:invertIfNegative val="0"/>
          <c:cat>
            <c:strRef>
              <c:f>Processing!$I$29:$L$29</c:f>
              <c:strCache>
                <c:ptCount val="4"/>
                <c:pt idx="0">
                  <c:v>Shift 1</c:v>
                </c:pt>
                <c:pt idx="1">
                  <c:v>Shift 2</c:v>
                </c:pt>
                <c:pt idx="2">
                  <c:v>Shift 3</c:v>
                </c:pt>
                <c:pt idx="3">
                  <c:v>Shift 4</c:v>
                </c:pt>
              </c:strCache>
            </c:strRef>
          </c:cat>
          <c:val>
            <c:numRef>
              <c:f>Processing!$I$139:$L$139</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6D-D95A-43C9-A8CE-C04EA804981F}"/>
            </c:ext>
          </c:extLst>
        </c:ser>
        <c:ser>
          <c:idx val="110"/>
          <c:order val="110"/>
          <c:spPr>
            <a:solidFill>
              <a:srgbClr val="65B5D4"/>
            </a:solidFill>
            <a:ln>
              <a:noFill/>
            </a:ln>
            <a:effectLst/>
          </c:spPr>
          <c:invertIfNegative val="0"/>
          <c:cat>
            <c:strRef>
              <c:f>Processing!$I$29:$L$29</c:f>
              <c:strCache>
                <c:ptCount val="4"/>
                <c:pt idx="0">
                  <c:v>Shift 1</c:v>
                </c:pt>
                <c:pt idx="1">
                  <c:v>Shift 2</c:v>
                </c:pt>
                <c:pt idx="2">
                  <c:v>Shift 3</c:v>
                </c:pt>
                <c:pt idx="3">
                  <c:v>Shift 4</c:v>
                </c:pt>
              </c:strCache>
            </c:strRef>
          </c:cat>
          <c:val>
            <c:numRef>
              <c:f>Processing!$I$140:$L$140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6E-D95A-43C9-A8CE-C04EA804981F}"/>
            </c:ext>
          </c:extLst>
        </c:ser>
        <c:ser>
          <c:idx val="111"/>
          <c:order val="111"/>
          <c:spPr>
            <a:solidFill>
              <a:srgbClr val="CAEEFB"/>
            </a:solidFill>
            <a:ln>
              <a:noFill/>
            </a:ln>
            <a:effectLst/>
          </c:spPr>
          <c:invertIfNegative val="0"/>
          <c:cat>
            <c:strRef>
              <c:f>Processing!$I$29:$L$29</c:f>
              <c:strCache>
                <c:ptCount val="4"/>
                <c:pt idx="0">
                  <c:v>Shift 1</c:v>
                </c:pt>
                <c:pt idx="1">
                  <c:v>Shift 2</c:v>
                </c:pt>
                <c:pt idx="2">
                  <c:v>Shift 3</c:v>
                </c:pt>
                <c:pt idx="3">
                  <c:v>Shift 4</c:v>
                </c:pt>
              </c:strCache>
            </c:strRef>
          </c:cat>
          <c:val>
            <c:numRef>
              <c:f>Processing!$I$141:$L$141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6F-D95A-43C9-A8CE-C04EA804981F}"/>
            </c:ext>
          </c:extLst>
        </c:ser>
        <c:dLbls>
          <c:showLegendKey val="0"/>
          <c:showVal val="0"/>
          <c:showCatName val="0"/>
          <c:showSerName val="0"/>
          <c:showPercent val="0"/>
          <c:showBubbleSize val="0"/>
        </c:dLbls>
        <c:gapWidth val="10"/>
        <c:overlap val="100"/>
        <c:axId val="686871919"/>
        <c:axId val="686862799"/>
      </c:barChart>
      <c:catAx>
        <c:axId val="686871919"/>
        <c:scaling>
          <c:orientation val="maxMin"/>
        </c:scaling>
        <c:delete val="0"/>
        <c:axPos val="l"/>
        <c:numFmt formatCode="General" sourceLinked="1"/>
        <c:majorTickMark val="out"/>
        <c:minorTickMark val="none"/>
        <c:tickLblPos val="nextTo"/>
        <c:spPr>
          <a:ln>
            <a:noFill/>
          </a:ln>
        </c:spPr>
        <c:txPr>
          <a:bodyPr/>
          <a:lstStyle/>
          <a:p>
            <a:pPr>
              <a:defRPr sz="900">
                <a:solidFill>
                  <a:schemeClr val="tx2">
                    <a:lumMod val="90000"/>
                    <a:lumOff val="10000"/>
                  </a:schemeClr>
                </a:solidFill>
              </a:defRPr>
            </a:pPr>
            <a:endParaRPr lang="ru-RU"/>
          </a:p>
        </c:txPr>
        <c:crossAx val="686862799"/>
        <c:crosses val="autoZero"/>
        <c:auto val="1"/>
        <c:lblAlgn val="ctr"/>
        <c:lblOffset val="100"/>
        <c:noMultiLvlLbl val="0"/>
      </c:catAx>
      <c:valAx>
        <c:axId val="686862799"/>
        <c:scaling>
          <c:orientation val="minMax"/>
          <c:max val="28"/>
          <c:min val="0"/>
        </c:scaling>
        <c:delete val="0"/>
        <c:axPos val="t"/>
        <c:numFmt formatCode="General" sourceLinked="1"/>
        <c:majorTickMark val="out"/>
        <c:minorTickMark val="none"/>
        <c:tickLblPos val="nextTo"/>
        <c:spPr>
          <a:ln w="9525">
            <a:solidFill>
              <a:schemeClr val="tx2">
                <a:lumMod val="90000"/>
                <a:lumOff val="10000"/>
              </a:schemeClr>
            </a:solidFill>
          </a:ln>
        </c:spPr>
        <c:txPr>
          <a:bodyPr/>
          <a:lstStyle/>
          <a:p>
            <a:pPr>
              <a:defRPr>
                <a:solidFill>
                  <a:schemeClr val="tx2">
                    <a:lumMod val="90000"/>
                    <a:lumOff val="10000"/>
                  </a:schemeClr>
                </a:solidFill>
              </a:defRPr>
            </a:pPr>
            <a:endParaRPr lang="ru-RU"/>
          </a:p>
        </c:txPr>
        <c:crossAx val="686871919"/>
        <c:crosses val="autoZero"/>
        <c:crossBetween val="between"/>
        <c:majorUnit val="7"/>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Processing!$O$24"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firstButton="1" fmlaLink="Processing!$O$24" lockText="1" noThreeD="1"/>
</file>

<file path=xl/ctrlProps/ctrlProp4.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DASHBOARD Light'!B1"/><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image" Target="../media/image6.svg"/><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image" Target="../media/image5.pn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hyperlink" Target="#DASHBOARD!B1"/><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274320</xdr:colOff>
      <xdr:row>46</xdr:row>
      <xdr:rowOff>114300</xdr:rowOff>
    </xdr:to>
    <xdr:grpSp>
      <xdr:nvGrpSpPr>
        <xdr:cNvPr id="18" name="Group 17">
          <a:extLst>
            <a:ext uri="{FF2B5EF4-FFF2-40B4-BE49-F238E27FC236}">
              <a16:creationId xmlns:a16="http://schemas.microsoft.com/office/drawing/2014/main" id="{00000000-0008-0000-0000-000012000000}"/>
            </a:ext>
          </a:extLst>
        </xdr:cNvPr>
        <xdr:cNvGrpSpPr/>
      </xdr:nvGrpSpPr>
      <xdr:grpSpPr>
        <a:xfrm>
          <a:off x="0" y="0"/>
          <a:ext cx="15152370" cy="8877300"/>
          <a:chOff x="-7620" y="1"/>
          <a:chExt cx="15571470" cy="8626929"/>
        </a:xfrm>
      </xdr:grpSpPr>
      <xdr:sp macro="" textlink="">
        <xdr:nvSpPr>
          <xdr:cNvPr id="14" name="Rectangle 13">
            <a:extLst>
              <a:ext uri="{FF2B5EF4-FFF2-40B4-BE49-F238E27FC236}">
                <a16:creationId xmlns:a16="http://schemas.microsoft.com/office/drawing/2014/main" id="{00000000-0008-0000-0000-00000E000000}"/>
              </a:ext>
            </a:extLst>
          </xdr:cNvPr>
          <xdr:cNvSpPr/>
        </xdr:nvSpPr>
        <xdr:spPr>
          <a:xfrm>
            <a:off x="0" y="1"/>
            <a:ext cx="14531359" cy="7941618"/>
          </a:xfrm>
          <a:prstGeom prst="rect">
            <a:avLst/>
          </a:prstGeom>
          <a:gradFill>
            <a:gsLst>
              <a:gs pos="0">
                <a:srgbClr val="08324C"/>
              </a:gs>
              <a:gs pos="52000">
                <a:srgbClr val="0C1321"/>
              </a:gs>
            </a:gsLst>
            <a:lin ang="3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 name="Rectangle 4">
            <a:extLst>
              <a:ext uri="{FF2B5EF4-FFF2-40B4-BE49-F238E27FC236}">
                <a16:creationId xmlns:a16="http://schemas.microsoft.com/office/drawing/2014/main" id="{00000000-0008-0000-0000-000008000000}"/>
              </a:ext>
            </a:extLst>
          </xdr:cNvPr>
          <xdr:cNvSpPr/>
        </xdr:nvSpPr>
        <xdr:spPr>
          <a:xfrm>
            <a:off x="-7620" y="1"/>
            <a:ext cx="14693412" cy="6709561"/>
          </a:xfrm>
          <a:custGeom>
            <a:avLst/>
            <a:gdLst>
              <a:gd name="csX0" fmla="*/ 0 w 14630400"/>
              <a:gd name="csY0" fmla="*/ 0 h 9936480"/>
              <a:gd name="csX1" fmla="*/ 14630400 w 14630400"/>
              <a:gd name="csY1" fmla="*/ 0 h 9936480"/>
              <a:gd name="csX2" fmla="*/ 14630400 w 14630400"/>
              <a:gd name="csY2" fmla="*/ 9936480 h 9936480"/>
              <a:gd name="csX3" fmla="*/ 0 w 14630400"/>
              <a:gd name="csY3" fmla="*/ 9936480 h 9936480"/>
              <a:gd name="csX4" fmla="*/ 0 w 14630400"/>
              <a:gd name="csY4" fmla="*/ 0 h 9936480"/>
              <a:gd name="csX0" fmla="*/ 45720 w 14630400"/>
              <a:gd name="csY0" fmla="*/ 5593080 h 9936480"/>
              <a:gd name="csX1" fmla="*/ 14630400 w 14630400"/>
              <a:gd name="csY1" fmla="*/ 0 h 9936480"/>
              <a:gd name="csX2" fmla="*/ 14630400 w 14630400"/>
              <a:gd name="csY2" fmla="*/ 9936480 h 9936480"/>
              <a:gd name="csX3" fmla="*/ 0 w 14630400"/>
              <a:gd name="csY3" fmla="*/ 9936480 h 9936480"/>
              <a:gd name="csX4" fmla="*/ 45720 w 14630400"/>
              <a:gd name="csY4" fmla="*/ 5593080 h 9936480"/>
              <a:gd name="csX0" fmla="*/ 45720 w 14630400"/>
              <a:gd name="csY0" fmla="*/ 5425440 h 9936480"/>
              <a:gd name="csX1" fmla="*/ 14630400 w 14630400"/>
              <a:gd name="csY1" fmla="*/ 0 h 9936480"/>
              <a:gd name="csX2" fmla="*/ 14630400 w 14630400"/>
              <a:gd name="csY2" fmla="*/ 9936480 h 9936480"/>
              <a:gd name="csX3" fmla="*/ 0 w 14630400"/>
              <a:gd name="csY3" fmla="*/ 9936480 h 9936480"/>
              <a:gd name="csX4" fmla="*/ 45720 w 14630400"/>
              <a:gd name="csY4"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4221480 h 8732520"/>
              <a:gd name="csX1" fmla="*/ 7482840 w 14630400"/>
              <a:gd name="csY1" fmla="*/ 1447800 h 8732520"/>
              <a:gd name="csX2" fmla="*/ 14630400 w 14630400"/>
              <a:gd name="csY2" fmla="*/ 0 h 8732520"/>
              <a:gd name="csX3" fmla="*/ 14630400 w 14630400"/>
              <a:gd name="csY3" fmla="*/ 8732520 h 8732520"/>
              <a:gd name="csX4" fmla="*/ 0 w 14630400"/>
              <a:gd name="csY4" fmla="*/ 8732520 h 8732520"/>
              <a:gd name="csX5" fmla="*/ 45720 w 14630400"/>
              <a:gd name="csY5" fmla="*/ 4221480 h 8732520"/>
              <a:gd name="csX0" fmla="*/ 45720 w 14630400"/>
              <a:gd name="csY0" fmla="*/ 4450080 h 8961120"/>
              <a:gd name="csX1" fmla="*/ 7482840 w 14630400"/>
              <a:gd name="csY1" fmla="*/ 1676400 h 8961120"/>
              <a:gd name="csX2" fmla="*/ 14584680 w 14630400"/>
              <a:gd name="csY2" fmla="*/ 0 h 8961120"/>
              <a:gd name="csX3" fmla="*/ 14630400 w 14630400"/>
              <a:gd name="csY3" fmla="*/ 8961120 h 8961120"/>
              <a:gd name="csX4" fmla="*/ 0 w 14630400"/>
              <a:gd name="csY4" fmla="*/ 8961120 h 8961120"/>
              <a:gd name="csX5" fmla="*/ 45720 w 14630400"/>
              <a:gd name="csY5" fmla="*/ 4450080 h 8961120"/>
              <a:gd name="csX0" fmla="*/ 45720 w 14630400"/>
              <a:gd name="csY0" fmla="*/ 4450080 h 8961120"/>
              <a:gd name="csX1" fmla="*/ 7482840 w 14630400"/>
              <a:gd name="csY1" fmla="*/ 1676400 h 8961120"/>
              <a:gd name="csX2" fmla="*/ 14584680 w 14630400"/>
              <a:gd name="csY2" fmla="*/ 0 h 8961120"/>
              <a:gd name="csX3" fmla="*/ 14630400 w 14630400"/>
              <a:gd name="csY3" fmla="*/ 8961120 h 8961120"/>
              <a:gd name="csX4" fmla="*/ 0 w 14630400"/>
              <a:gd name="csY4" fmla="*/ 8961120 h 8961120"/>
              <a:gd name="csX5" fmla="*/ 45720 w 14630400"/>
              <a:gd name="csY5" fmla="*/ 4450080 h 8961120"/>
              <a:gd name="csX0" fmla="*/ 45720 w 14630400"/>
              <a:gd name="csY0" fmla="*/ 4450080 h 8961120"/>
              <a:gd name="csX1" fmla="*/ 6583680 w 14630400"/>
              <a:gd name="csY1" fmla="*/ 1752600 h 8961120"/>
              <a:gd name="csX2" fmla="*/ 14584680 w 14630400"/>
              <a:gd name="csY2" fmla="*/ 0 h 8961120"/>
              <a:gd name="csX3" fmla="*/ 14630400 w 14630400"/>
              <a:gd name="csY3" fmla="*/ 8961120 h 8961120"/>
              <a:gd name="csX4" fmla="*/ 0 w 14630400"/>
              <a:gd name="csY4" fmla="*/ 8961120 h 8961120"/>
              <a:gd name="csX5" fmla="*/ 45720 w 14630400"/>
              <a:gd name="csY5" fmla="*/ 4450080 h 8961120"/>
              <a:gd name="csX0" fmla="*/ 45720 w 14630400"/>
              <a:gd name="csY0" fmla="*/ 4450080 h 8961120"/>
              <a:gd name="csX1" fmla="*/ 6583680 w 14630400"/>
              <a:gd name="csY1" fmla="*/ 1752600 h 8961120"/>
              <a:gd name="csX2" fmla="*/ 14584680 w 14630400"/>
              <a:gd name="csY2" fmla="*/ 0 h 8961120"/>
              <a:gd name="csX3" fmla="*/ 14630400 w 14630400"/>
              <a:gd name="csY3" fmla="*/ 8961120 h 8961120"/>
              <a:gd name="csX4" fmla="*/ 0 w 14630400"/>
              <a:gd name="csY4" fmla="*/ 8961120 h 8961120"/>
              <a:gd name="csX5" fmla="*/ 45720 w 14630400"/>
              <a:gd name="csY5" fmla="*/ 4450080 h 8961120"/>
              <a:gd name="csX0" fmla="*/ 45720 w 14630400"/>
              <a:gd name="csY0" fmla="*/ 4450080 h 9266321"/>
              <a:gd name="csX1" fmla="*/ 6583680 w 14630400"/>
              <a:gd name="csY1" fmla="*/ 1752600 h 9266321"/>
              <a:gd name="csX2" fmla="*/ 14584680 w 14630400"/>
              <a:gd name="csY2" fmla="*/ 0 h 9266321"/>
              <a:gd name="csX3" fmla="*/ 14630400 w 14630400"/>
              <a:gd name="csY3" fmla="*/ 8961120 h 9266321"/>
              <a:gd name="csX4" fmla="*/ 0 w 14630400"/>
              <a:gd name="csY4" fmla="*/ 8961120 h 9266321"/>
              <a:gd name="csX5" fmla="*/ 45720 w 14630400"/>
              <a:gd name="csY5" fmla="*/ 4450080 h 9266321"/>
              <a:gd name="csX0" fmla="*/ 45720 w 14630400"/>
              <a:gd name="csY0" fmla="*/ 5027161 h 9843402"/>
              <a:gd name="csX1" fmla="*/ 6583680 w 14630400"/>
              <a:gd name="csY1" fmla="*/ 2329681 h 9843402"/>
              <a:gd name="csX2" fmla="*/ 11079480 w 14630400"/>
              <a:gd name="csY2" fmla="*/ 1049521 h 9843402"/>
              <a:gd name="csX3" fmla="*/ 14584680 w 14630400"/>
              <a:gd name="csY3" fmla="*/ 577081 h 9843402"/>
              <a:gd name="csX4" fmla="*/ 14630400 w 14630400"/>
              <a:gd name="csY4" fmla="*/ 9538201 h 9843402"/>
              <a:gd name="csX5" fmla="*/ 0 w 14630400"/>
              <a:gd name="csY5" fmla="*/ 9538201 h 9843402"/>
              <a:gd name="csX6" fmla="*/ 45720 w 14630400"/>
              <a:gd name="csY6" fmla="*/ 5027161 h 9843402"/>
              <a:gd name="csX0" fmla="*/ 45720 w 14645640"/>
              <a:gd name="csY0" fmla="*/ 4697711 h 9513952"/>
              <a:gd name="csX1" fmla="*/ 6583680 w 14645640"/>
              <a:gd name="csY1" fmla="*/ 2000231 h 9513952"/>
              <a:gd name="csX2" fmla="*/ 11079480 w 14645640"/>
              <a:gd name="csY2" fmla="*/ 720071 h 9513952"/>
              <a:gd name="csX3" fmla="*/ 14645640 w 14645640"/>
              <a:gd name="csY3" fmla="*/ 689591 h 9513952"/>
              <a:gd name="csX4" fmla="*/ 14630400 w 14645640"/>
              <a:gd name="csY4" fmla="*/ 9208751 h 9513952"/>
              <a:gd name="csX5" fmla="*/ 0 w 14645640"/>
              <a:gd name="csY5" fmla="*/ 9208751 h 9513952"/>
              <a:gd name="csX6" fmla="*/ 45720 w 14645640"/>
              <a:gd name="csY6" fmla="*/ 4697711 h 9513952"/>
              <a:gd name="csX0" fmla="*/ 45720 w 14645640"/>
              <a:gd name="csY0" fmla="*/ 4008120 h 8824361"/>
              <a:gd name="csX1" fmla="*/ 6583680 w 14645640"/>
              <a:gd name="csY1" fmla="*/ 1310640 h 8824361"/>
              <a:gd name="csX2" fmla="*/ 11079480 w 14645640"/>
              <a:gd name="csY2" fmla="*/ 30480 h 8824361"/>
              <a:gd name="csX3" fmla="*/ 14645640 w 14645640"/>
              <a:gd name="csY3" fmla="*/ 0 h 8824361"/>
              <a:gd name="csX4" fmla="*/ 14630400 w 14645640"/>
              <a:gd name="csY4" fmla="*/ 8519160 h 8824361"/>
              <a:gd name="csX5" fmla="*/ 0 w 14645640"/>
              <a:gd name="csY5" fmla="*/ 8519160 h 8824361"/>
              <a:gd name="csX6" fmla="*/ 45720 w 14645640"/>
              <a:gd name="csY6" fmla="*/ 4008120 h 8824361"/>
              <a:gd name="csX0" fmla="*/ 45720 w 14645640"/>
              <a:gd name="csY0" fmla="*/ 4008120 h 8824361"/>
              <a:gd name="csX1" fmla="*/ 6583680 w 14645640"/>
              <a:gd name="csY1" fmla="*/ 1310640 h 8824361"/>
              <a:gd name="csX2" fmla="*/ 11079480 w 14645640"/>
              <a:gd name="csY2" fmla="*/ 30480 h 8824361"/>
              <a:gd name="csX3" fmla="*/ 14645640 w 14645640"/>
              <a:gd name="csY3" fmla="*/ 0 h 8824361"/>
              <a:gd name="csX4" fmla="*/ 14630400 w 14645640"/>
              <a:gd name="csY4" fmla="*/ 8519160 h 8824361"/>
              <a:gd name="csX5" fmla="*/ 0 w 14645640"/>
              <a:gd name="csY5" fmla="*/ 8519160 h 8824361"/>
              <a:gd name="csX6" fmla="*/ 45720 w 14645640"/>
              <a:gd name="csY6" fmla="*/ 4008120 h 8824361"/>
              <a:gd name="csX0" fmla="*/ 45720 w 14645640"/>
              <a:gd name="csY0" fmla="*/ 3977640 h 8793881"/>
              <a:gd name="csX1" fmla="*/ 6583680 w 14645640"/>
              <a:gd name="csY1" fmla="*/ 1280160 h 8793881"/>
              <a:gd name="csX2" fmla="*/ 11079480 w 14645640"/>
              <a:gd name="csY2" fmla="*/ 0 h 8793881"/>
              <a:gd name="csX3" fmla="*/ 14645640 w 14645640"/>
              <a:gd name="csY3" fmla="*/ 0 h 8793881"/>
              <a:gd name="csX4" fmla="*/ 14630400 w 14645640"/>
              <a:gd name="csY4" fmla="*/ 8488680 h 8793881"/>
              <a:gd name="csX5" fmla="*/ 0 w 14645640"/>
              <a:gd name="csY5" fmla="*/ 8488680 h 8793881"/>
              <a:gd name="csX6" fmla="*/ 45720 w 14645640"/>
              <a:gd name="csY6" fmla="*/ 3977640 h 8793881"/>
              <a:gd name="csX0" fmla="*/ 45720 w 14645640"/>
              <a:gd name="csY0" fmla="*/ 3977640 h 8793881"/>
              <a:gd name="csX1" fmla="*/ 6583680 w 14645640"/>
              <a:gd name="csY1" fmla="*/ 1280160 h 8793881"/>
              <a:gd name="csX2" fmla="*/ 11079480 w 14645640"/>
              <a:gd name="csY2" fmla="*/ 0 h 8793881"/>
              <a:gd name="csX3" fmla="*/ 14645640 w 14645640"/>
              <a:gd name="csY3" fmla="*/ 0 h 8793881"/>
              <a:gd name="csX4" fmla="*/ 14630400 w 14645640"/>
              <a:gd name="csY4" fmla="*/ 8488680 h 8793881"/>
              <a:gd name="csX5" fmla="*/ 0 w 14645640"/>
              <a:gd name="csY5" fmla="*/ 8488680 h 8793881"/>
              <a:gd name="csX6" fmla="*/ 45720 w 14645640"/>
              <a:gd name="csY6" fmla="*/ 3977640 h 8793881"/>
              <a:gd name="csX0" fmla="*/ 45720 w 14645640"/>
              <a:gd name="csY0" fmla="*/ 3977640 h 8793881"/>
              <a:gd name="csX1" fmla="*/ 6583680 w 14645640"/>
              <a:gd name="csY1" fmla="*/ 1280160 h 8793881"/>
              <a:gd name="csX2" fmla="*/ 11079480 w 14645640"/>
              <a:gd name="csY2" fmla="*/ 0 h 8793881"/>
              <a:gd name="csX3" fmla="*/ 14645640 w 14645640"/>
              <a:gd name="csY3" fmla="*/ 0 h 8793881"/>
              <a:gd name="csX4" fmla="*/ 14630400 w 14645640"/>
              <a:gd name="csY4" fmla="*/ 8488680 h 8793881"/>
              <a:gd name="csX5" fmla="*/ 0 w 14645640"/>
              <a:gd name="csY5" fmla="*/ 8488680 h 8793881"/>
              <a:gd name="csX6" fmla="*/ 45720 w 14645640"/>
              <a:gd name="csY6" fmla="*/ 3977640 h 8793881"/>
              <a:gd name="csX0" fmla="*/ 45720 w 14645640"/>
              <a:gd name="csY0" fmla="*/ 3977640 h 8793881"/>
              <a:gd name="csX1" fmla="*/ 6583680 w 14645640"/>
              <a:gd name="csY1" fmla="*/ 1280160 h 8793881"/>
              <a:gd name="csX2" fmla="*/ 11079480 w 14645640"/>
              <a:gd name="csY2" fmla="*/ 0 h 8793881"/>
              <a:gd name="csX3" fmla="*/ 14645640 w 14645640"/>
              <a:gd name="csY3" fmla="*/ 0 h 8793881"/>
              <a:gd name="csX4" fmla="*/ 14630400 w 14645640"/>
              <a:gd name="csY4" fmla="*/ 8488680 h 8793881"/>
              <a:gd name="csX5" fmla="*/ 0 w 14645640"/>
              <a:gd name="csY5" fmla="*/ 8488680 h 8793881"/>
              <a:gd name="csX6" fmla="*/ 45720 w 14645640"/>
              <a:gd name="csY6" fmla="*/ 3977640 h 8793881"/>
              <a:gd name="csX0" fmla="*/ 45720 w 14645640"/>
              <a:gd name="csY0" fmla="*/ 3977640 h 8793881"/>
              <a:gd name="csX1" fmla="*/ 6141720 w 14645640"/>
              <a:gd name="csY1" fmla="*/ 975360 h 8793881"/>
              <a:gd name="csX2" fmla="*/ 11079480 w 14645640"/>
              <a:gd name="csY2" fmla="*/ 0 h 8793881"/>
              <a:gd name="csX3" fmla="*/ 14645640 w 14645640"/>
              <a:gd name="csY3" fmla="*/ 0 h 8793881"/>
              <a:gd name="csX4" fmla="*/ 14630400 w 14645640"/>
              <a:gd name="csY4" fmla="*/ 8488680 h 8793881"/>
              <a:gd name="csX5" fmla="*/ 0 w 14645640"/>
              <a:gd name="csY5" fmla="*/ 8488680 h 8793881"/>
              <a:gd name="csX6" fmla="*/ 45720 w 14645640"/>
              <a:gd name="csY6" fmla="*/ 3977640 h 8793881"/>
              <a:gd name="csX0" fmla="*/ 45720 w 14645640"/>
              <a:gd name="csY0" fmla="*/ 3977640 h 8793881"/>
              <a:gd name="csX1" fmla="*/ 6141720 w 14645640"/>
              <a:gd name="csY1" fmla="*/ 975360 h 8793881"/>
              <a:gd name="csX2" fmla="*/ 11079480 w 14645640"/>
              <a:gd name="csY2" fmla="*/ 0 h 8793881"/>
              <a:gd name="csX3" fmla="*/ 14645640 w 14645640"/>
              <a:gd name="csY3" fmla="*/ 0 h 8793881"/>
              <a:gd name="csX4" fmla="*/ 14630400 w 14645640"/>
              <a:gd name="csY4" fmla="*/ 8488680 h 8793881"/>
              <a:gd name="csX5" fmla="*/ 0 w 14645640"/>
              <a:gd name="csY5" fmla="*/ 8488680 h 8793881"/>
              <a:gd name="csX6" fmla="*/ 45720 w 14645640"/>
              <a:gd name="csY6" fmla="*/ 3977640 h 8793881"/>
              <a:gd name="csX0" fmla="*/ 45720 w 14645640"/>
              <a:gd name="csY0" fmla="*/ 3977640 h 8793881"/>
              <a:gd name="csX1" fmla="*/ 6141720 w 14645640"/>
              <a:gd name="csY1" fmla="*/ 975360 h 8793881"/>
              <a:gd name="csX2" fmla="*/ 11079480 w 14645640"/>
              <a:gd name="csY2" fmla="*/ 0 h 8793881"/>
              <a:gd name="csX3" fmla="*/ 14645640 w 14645640"/>
              <a:gd name="csY3" fmla="*/ 0 h 8793881"/>
              <a:gd name="csX4" fmla="*/ 14630400 w 14645640"/>
              <a:gd name="csY4" fmla="*/ 8488680 h 8793881"/>
              <a:gd name="csX5" fmla="*/ 0 w 14645640"/>
              <a:gd name="csY5" fmla="*/ 8488680 h 8793881"/>
              <a:gd name="csX6" fmla="*/ 45720 w 14645640"/>
              <a:gd name="csY6" fmla="*/ 3977640 h 8793881"/>
              <a:gd name="csX0" fmla="*/ 45720 w 14631866"/>
              <a:gd name="csY0" fmla="*/ 3977640 h 8793881"/>
              <a:gd name="csX1" fmla="*/ 6141720 w 14631866"/>
              <a:gd name="csY1" fmla="*/ 975360 h 8793881"/>
              <a:gd name="csX2" fmla="*/ 11079480 w 14631866"/>
              <a:gd name="csY2" fmla="*/ 0 h 8793881"/>
              <a:gd name="csX3" fmla="*/ 14630400 w 14631866"/>
              <a:gd name="csY3" fmla="*/ 0 h 8793881"/>
              <a:gd name="csX4" fmla="*/ 14630400 w 14631866"/>
              <a:gd name="csY4" fmla="*/ 8488680 h 8793881"/>
              <a:gd name="csX5" fmla="*/ 0 w 14631866"/>
              <a:gd name="csY5" fmla="*/ 8488680 h 8793881"/>
              <a:gd name="csX6" fmla="*/ 45720 w 14631866"/>
              <a:gd name="csY6" fmla="*/ 3977640 h 8793881"/>
              <a:gd name="csX0" fmla="*/ 53312 w 14639458"/>
              <a:gd name="csY0" fmla="*/ 3977640 h 9254291"/>
              <a:gd name="csX1" fmla="*/ 6149312 w 14639458"/>
              <a:gd name="csY1" fmla="*/ 975360 h 9254291"/>
              <a:gd name="csX2" fmla="*/ 11087072 w 14639458"/>
              <a:gd name="csY2" fmla="*/ 0 h 9254291"/>
              <a:gd name="csX3" fmla="*/ 14637992 w 14639458"/>
              <a:gd name="csY3" fmla="*/ 0 h 9254291"/>
              <a:gd name="csX4" fmla="*/ 14637992 w 14639458"/>
              <a:gd name="csY4" fmla="*/ 8488680 h 9254291"/>
              <a:gd name="csX5" fmla="*/ 0 w 14639458"/>
              <a:gd name="csY5" fmla="*/ 9254291 h 9254291"/>
              <a:gd name="csX6" fmla="*/ 53312 w 14639458"/>
              <a:gd name="csY6" fmla="*/ 3977640 h 9254291"/>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4639458" h="9254291">
                <a:moveTo>
                  <a:pt x="53312" y="3977640"/>
                </a:moveTo>
                <a:cubicBezTo>
                  <a:pt x="858492" y="1468120"/>
                  <a:pt x="4889472" y="1089660"/>
                  <a:pt x="6149312" y="975360"/>
                </a:cubicBezTo>
                <a:cubicBezTo>
                  <a:pt x="7409152" y="861060"/>
                  <a:pt x="9723092" y="474980"/>
                  <a:pt x="11087072" y="0"/>
                </a:cubicBezTo>
                <a:lnTo>
                  <a:pt x="14637992" y="0"/>
                </a:lnTo>
                <a:cubicBezTo>
                  <a:pt x="14632912" y="2829560"/>
                  <a:pt x="14643072" y="5659120"/>
                  <a:pt x="14637992" y="8488680"/>
                </a:cubicBezTo>
                <a:cubicBezTo>
                  <a:pt x="10096472" y="10073640"/>
                  <a:pt x="4434840" y="5550971"/>
                  <a:pt x="0" y="9254291"/>
                </a:cubicBezTo>
                <a:cubicBezTo>
                  <a:pt x="15240" y="7750611"/>
                  <a:pt x="38072" y="5481320"/>
                  <a:pt x="53312" y="3977640"/>
                </a:cubicBezTo>
                <a:close/>
              </a:path>
            </a:pathLst>
          </a:custGeom>
          <a:gradFill>
            <a:gsLst>
              <a:gs pos="0">
                <a:srgbClr val="0D5682"/>
              </a:gs>
              <a:gs pos="56000">
                <a:srgbClr val="0C1321"/>
              </a:gs>
            </a:gsLst>
            <a:lin ang="4500000" scaled="0"/>
          </a:gradFill>
          <a:ln w="9525">
            <a:solidFill>
              <a:srgbClr val="78DCF4"/>
            </a:solidFill>
          </a:ln>
          <a:effectLst>
            <a:glow rad="50800">
              <a:schemeClr val="accent1">
                <a:lumMod val="50000"/>
                <a:alpha val="40000"/>
              </a:schemeClr>
            </a:glow>
            <a:outerShdw blurRad="63500" dist="50800" dir="13500000" algn="b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 name="Rectangle 4">
            <a:extLst>
              <a:ext uri="{FF2B5EF4-FFF2-40B4-BE49-F238E27FC236}">
                <a16:creationId xmlns:a16="http://schemas.microsoft.com/office/drawing/2014/main" id="{00000000-0008-0000-0000-000009000000}"/>
              </a:ext>
            </a:extLst>
          </xdr:cNvPr>
          <xdr:cNvSpPr/>
        </xdr:nvSpPr>
        <xdr:spPr>
          <a:xfrm>
            <a:off x="26993" y="407598"/>
            <a:ext cx="14673439" cy="5293369"/>
          </a:xfrm>
          <a:custGeom>
            <a:avLst/>
            <a:gdLst>
              <a:gd name="csX0" fmla="*/ 0 w 14630400"/>
              <a:gd name="csY0" fmla="*/ 0 h 9936480"/>
              <a:gd name="csX1" fmla="*/ 14630400 w 14630400"/>
              <a:gd name="csY1" fmla="*/ 0 h 9936480"/>
              <a:gd name="csX2" fmla="*/ 14630400 w 14630400"/>
              <a:gd name="csY2" fmla="*/ 9936480 h 9936480"/>
              <a:gd name="csX3" fmla="*/ 0 w 14630400"/>
              <a:gd name="csY3" fmla="*/ 9936480 h 9936480"/>
              <a:gd name="csX4" fmla="*/ 0 w 14630400"/>
              <a:gd name="csY4" fmla="*/ 0 h 9936480"/>
              <a:gd name="csX0" fmla="*/ 45720 w 14630400"/>
              <a:gd name="csY0" fmla="*/ 5593080 h 9936480"/>
              <a:gd name="csX1" fmla="*/ 14630400 w 14630400"/>
              <a:gd name="csY1" fmla="*/ 0 h 9936480"/>
              <a:gd name="csX2" fmla="*/ 14630400 w 14630400"/>
              <a:gd name="csY2" fmla="*/ 9936480 h 9936480"/>
              <a:gd name="csX3" fmla="*/ 0 w 14630400"/>
              <a:gd name="csY3" fmla="*/ 9936480 h 9936480"/>
              <a:gd name="csX4" fmla="*/ 45720 w 14630400"/>
              <a:gd name="csY4" fmla="*/ 5593080 h 9936480"/>
              <a:gd name="csX0" fmla="*/ 45720 w 14630400"/>
              <a:gd name="csY0" fmla="*/ 5425440 h 9936480"/>
              <a:gd name="csX1" fmla="*/ 14630400 w 14630400"/>
              <a:gd name="csY1" fmla="*/ 0 h 9936480"/>
              <a:gd name="csX2" fmla="*/ 14630400 w 14630400"/>
              <a:gd name="csY2" fmla="*/ 9936480 h 9936480"/>
              <a:gd name="csX3" fmla="*/ 0 w 14630400"/>
              <a:gd name="csY3" fmla="*/ 9936480 h 9936480"/>
              <a:gd name="csX4" fmla="*/ 45720 w 14630400"/>
              <a:gd name="csY4"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30480 w 14615160"/>
              <a:gd name="csY0" fmla="*/ 5425440 h 9936480"/>
              <a:gd name="csX1" fmla="*/ 7467600 w 14615160"/>
              <a:gd name="csY1" fmla="*/ 2651760 h 9936480"/>
              <a:gd name="csX2" fmla="*/ 14615160 w 14615160"/>
              <a:gd name="csY2" fmla="*/ 0 h 9936480"/>
              <a:gd name="csX3" fmla="*/ 14615160 w 14615160"/>
              <a:gd name="csY3" fmla="*/ 9936480 h 9936480"/>
              <a:gd name="csX4" fmla="*/ 0 w 14615160"/>
              <a:gd name="csY4" fmla="*/ 6858000 h 9936480"/>
              <a:gd name="csX5" fmla="*/ 30480 w 14615160"/>
              <a:gd name="csY5" fmla="*/ 5425440 h 9936480"/>
              <a:gd name="csX0" fmla="*/ 30480 w 14615160"/>
              <a:gd name="csY0" fmla="*/ 5425440 h 6858000"/>
              <a:gd name="csX1" fmla="*/ 7467600 w 14615160"/>
              <a:gd name="csY1" fmla="*/ 2651760 h 6858000"/>
              <a:gd name="csX2" fmla="*/ 14615160 w 14615160"/>
              <a:gd name="csY2" fmla="*/ 0 h 6858000"/>
              <a:gd name="csX3" fmla="*/ 14554200 w 14615160"/>
              <a:gd name="csY3" fmla="*/ 5669280 h 6858000"/>
              <a:gd name="csX4" fmla="*/ 0 w 14615160"/>
              <a:gd name="csY4" fmla="*/ 6858000 h 6858000"/>
              <a:gd name="csX5" fmla="*/ 30480 w 14615160"/>
              <a:gd name="csY5" fmla="*/ 5425440 h 6858000"/>
              <a:gd name="csX0" fmla="*/ 30480 w 14615160"/>
              <a:gd name="csY0" fmla="*/ 5425440 h 6858000"/>
              <a:gd name="csX1" fmla="*/ 7467600 w 14615160"/>
              <a:gd name="csY1" fmla="*/ 2651760 h 6858000"/>
              <a:gd name="csX2" fmla="*/ 14615160 w 14615160"/>
              <a:gd name="csY2" fmla="*/ 0 h 6858000"/>
              <a:gd name="csX3" fmla="*/ 14584680 w 14615160"/>
              <a:gd name="csY3" fmla="*/ 5669280 h 6858000"/>
              <a:gd name="csX4" fmla="*/ 0 w 14615160"/>
              <a:gd name="csY4" fmla="*/ 6858000 h 6858000"/>
              <a:gd name="csX5" fmla="*/ 30480 w 14615160"/>
              <a:gd name="csY5" fmla="*/ 5425440 h 6858000"/>
              <a:gd name="csX0" fmla="*/ 30480 w 14615160"/>
              <a:gd name="csY0" fmla="*/ 5425440 h 6858000"/>
              <a:gd name="csX1" fmla="*/ 7467600 w 14615160"/>
              <a:gd name="csY1" fmla="*/ 2651760 h 6858000"/>
              <a:gd name="csX2" fmla="*/ 14615160 w 14615160"/>
              <a:gd name="csY2" fmla="*/ 0 h 6858000"/>
              <a:gd name="csX3" fmla="*/ 14584680 w 14615160"/>
              <a:gd name="csY3" fmla="*/ 5669280 h 6858000"/>
              <a:gd name="csX4" fmla="*/ 0 w 14615160"/>
              <a:gd name="csY4" fmla="*/ 6858000 h 6858000"/>
              <a:gd name="csX5" fmla="*/ 30480 w 14615160"/>
              <a:gd name="csY5" fmla="*/ 5425440 h 6858000"/>
              <a:gd name="csX0" fmla="*/ 30480 w 14615160"/>
              <a:gd name="csY0" fmla="*/ 5425440 h 6858000"/>
              <a:gd name="csX1" fmla="*/ 7467600 w 14615160"/>
              <a:gd name="csY1" fmla="*/ 2651760 h 6858000"/>
              <a:gd name="csX2" fmla="*/ 14615160 w 14615160"/>
              <a:gd name="csY2" fmla="*/ 0 h 6858000"/>
              <a:gd name="csX3" fmla="*/ 14584680 w 14615160"/>
              <a:gd name="csY3" fmla="*/ 5669280 h 6858000"/>
              <a:gd name="csX4" fmla="*/ 0 w 14615160"/>
              <a:gd name="csY4" fmla="*/ 6858000 h 6858000"/>
              <a:gd name="csX5" fmla="*/ 30480 w 14615160"/>
              <a:gd name="csY5" fmla="*/ 5425440 h 6858000"/>
              <a:gd name="csX0" fmla="*/ 30480 w 14615160"/>
              <a:gd name="csY0" fmla="*/ 5425440 h 6858000"/>
              <a:gd name="csX1" fmla="*/ 7467600 w 14615160"/>
              <a:gd name="csY1" fmla="*/ 2651760 h 6858000"/>
              <a:gd name="csX2" fmla="*/ 14615160 w 14615160"/>
              <a:gd name="csY2" fmla="*/ 0 h 6858000"/>
              <a:gd name="csX3" fmla="*/ 14584680 w 14615160"/>
              <a:gd name="csY3" fmla="*/ 5669280 h 6858000"/>
              <a:gd name="csX4" fmla="*/ 0 w 14615160"/>
              <a:gd name="csY4" fmla="*/ 6858000 h 6858000"/>
              <a:gd name="csX5" fmla="*/ 30480 w 14615160"/>
              <a:gd name="csY5" fmla="*/ 5425440 h 6858000"/>
              <a:gd name="csX0" fmla="*/ 4399 w 14619559"/>
              <a:gd name="csY0" fmla="*/ 5425440 h 6858000"/>
              <a:gd name="csX1" fmla="*/ 7471999 w 14619559"/>
              <a:gd name="csY1" fmla="*/ 2651760 h 6858000"/>
              <a:gd name="csX2" fmla="*/ 14619559 w 14619559"/>
              <a:gd name="csY2" fmla="*/ 0 h 6858000"/>
              <a:gd name="csX3" fmla="*/ 14589079 w 14619559"/>
              <a:gd name="csY3" fmla="*/ 5669280 h 6858000"/>
              <a:gd name="csX4" fmla="*/ 4399 w 14619559"/>
              <a:gd name="csY4" fmla="*/ 6858000 h 6858000"/>
              <a:gd name="csX5" fmla="*/ 4399 w 14619559"/>
              <a:gd name="csY5" fmla="*/ 5425440 h 6858000"/>
              <a:gd name="csX0" fmla="*/ 4399 w 14619559"/>
              <a:gd name="csY0" fmla="*/ 5425440 h 6858000"/>
              <a:gd name="csX1" fmla="*/ 7471999 w 14619559"/>
              <a:gd name="csY1" fmla="*/ 2651760 h 6858000"/>
              <a:gd name="csX2" fmla="*/ 14619559 w 14619559"/>
              <a:gd name="csY2" fmla="*/ 0 h 6858000"/>
              <a:gd name="csX3" fmla="*/ 14589079 w 14619559"/>
              <a:gd name="csY3" fmla="*/ 5669280 h 6858000"/>
              <a:gd name="csX4" fmla="*/ 4399 w 14619559"/>
              <a:gd name="csY4" fmla="*/ 6858000 h 6858000"/>
              <a:gd name="csX5" fmla="*/ 4399 w 14619559"/>
              <a:gd name="csY5" fmla="*/ 5425440 h 6858000"/>
              <a:gd name="csX0" fmla="*/ 4399 w 14619559"/>
              <a:gd name="csY0" fmla="*/ 5425440 h 6858000"/>
              <a:gd name="csX1" fmla="*/ 7471999 w 14619559"/>
              <a:gd name="csY1" fmla="*/ 2651760 h 6858000"/>
              <a:gd name="csX2" fmla="*/ 14619559 w 14619559"/>
              <a:gd name="csY2" fmla="*/ 0 h 6858000"/>
              <a:gd name="csX3" fmla="*/ 14589079 w 14619559"/>
              <a:gd name="csY3" fmla="*/ 5669280 h 6858000"/>
              <a:gd name="csX4" fmla="*/ 4399 w 14619559"/>
              <a:gd name="csY4" fmla="*/ 6858000 h 6858000"/>
              <a:gd name="csX5" fmla="*/ 4399 w 14619559"/>
              <a:gd name="csY5" fmla="*/ 5425440 h 6858000"/>
            </a:gdLst>
            <a:ahLst/>
            <a:cxnLst>
              <a:cxn ang="0">
                <a:pos x="csX0" y="csY0"/>
              </a:cxn>
              <a:cxn ang="0">
                <a:pos x="csX1" y="csY1"/>
              </a:cxn>
              <a:cxn ang="0">
                <a:pos x="csX2" y="csY2"/>
              </a:cxn>
              <a:cxn ang="0">
                <a:pos x="csX3" y="csY3"/>
              </a:cxn>
              <a:cxn ang="0">
                <a:pos x="csX4" y="csY4"/>
              </a:cxn>
              <a:cxn ang="0">
                <a:pos x="csX5" y="csY5"/>
              </a:cxn>
            </a:cxnLst>
            <a:rect l="l" t="t" r="r" b="b"/>
            <a:pathLst>
              <a:path w="14619559" h="6858000">
                <a:moveTo>
                  <a:pt x="4399" y="5425440"/>
                </a:moveTo>
                <a:cubicBezTo>
                  <a:pt x="1495379" y="2702560"/>
                  <a:pt x="5036139" y="3556000"/>
                  <a:pt x="7471999" y="2651760"/>
                </a:cubicBezTo>
                <a:cubicBezTo>
                  <a:pt x="9907859" y="1747520"/>
                  <a:pt x="11048319" y="198120"/>
                  <a:pt x="14619559" y="0"/>
                </a:cubicBezTo>
                <a:lnTo>
                  <a:pt x="14589079" y="5669280"/>
                </a:lnTo>
                <a:cubicBezTo>
                  <a:pt x="8935039" y="4480560"/>
                  <a:pt x="2976199" y="4587240"/>
                  <a:pt x="4399" y="6858000"/>
                </a:cubicBezTo>
                <a:cubicBezTo>
                  <a:pt x="19639" y="5354320"/>
                  <a:pt x="-10841" y="6929120"/>
                  <a:pt x="4399" y="5425440"/>
                </a:cubicBezTo>
                <a:close/>
              </a:path>
            </a:pathLst>
          </a:custGeom>
          <a:gradFill>
            <a:gsLst>
              <a:gs pos="0">
                <a:srgbClr val="0D5682"/>
              </a:gs>
              <a:gs pos="51000">
                <a:srgbClr val="0C1321"/>
              </a:gs>
            </a:gsLst>
            <a:lin ang="4200000" scaled="0"/>
          </a:gradFill>
          <a:ln w="9525">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50800">
              <a:schemeClr val="accent4">
                <a:satMod val="175000"/>
                <a:alpha val="40000"/>
              </a:schemeClr>
            </a:glow>
            <a:outerShdw blurRad="63500" dist="635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 name="Rectangle 6">
            <a:extLst>
              <a:ext uri="{FF2B5EF4-FFF2-40B4-BE49-F238E27FC236}">
                <a16:creationId xmlns:a16="http://schemas.microsoft.com/office/drawing/2014/main" id="{00000000-0008-0000-0000-00000A000000}"/>
              </a:ext>
            </a:extLst>
          </xdr:cNvPr>
          <xdr:cNvSpPr/>
        </xdr:nvSpPr>
        <xdr:spPr>
          <a:xfrm>
            <a:off x="55622" y="6706787"/>
            <a:ext cx="14633113" cy="1253836"/>
          </a:xfrm>
          <a:custGeom>
            <a:avLst/>
            <a:gdLst>
              <a:gd name="csX0" fmla="*/ 0 w 7267652"/>
              <a:gd name="csY0" fmla="*/ 0 h 1798320"/>
              <a:gd name="csX1" fmla="*/ 7267652 w 7267652"/>
              <a:gd name="csY1" fmla="*/ 0 h 1798320"/>
              <a:gd name="csX2" fmla="*/ 7267652 w 7267652"/>
              <a:gd name="csY2" fmla="*/ 1798320 h 1798320"/>
              <a:gd name="csX3" fmla="*/ 0 w 7267652"/>
              <a:gd name="csY3" fmla="*/ 1798320 h 1798320"/>
              <a:gd name="csX4" fmla="*/ 0 w 7267652"/>
              <a:gd name="csY4" fmla="*/ 0 h 1798320"/>
              <a:gd name="csX0" fmla="*/ 0 w 7267652"/>
              <a:gd name="csY0" fmla="*/ 1798320 h 1798320"/>
              <a:gd name="csX1" fmla="*/ 7267652 w 7267652"/>
              <a:gd name="csY1" fmla="*/ 0 h 1798320"/>
              <a:gd name="csX2" fmla="*/ 7267652 w 7267652"/>
              <a:gd name="csY2" fmla="*/ 1798320 h 1798320"/>
              <a:gd name="csX3" fmla="*/ 0 w 7267652"/>
              <a:gd name="csY3" fmla="*/ 1798320 h 1798320"/>
              <a:gd name="csX0" fmla="*/ 0 w 7267652"/>
              <a:gd name="csY0" fmla="*/ 1249680 h 1249680"/>
              <a:gd name="csX1" fmla="*/ 7267652 w 7267652"/>
              <a:gd name="csY1" fmla="*/ 0 h 1249680"/>
              <a:gd name="csX2" fmla="*/ 7267652 w 7267652"/>
              <a:gd name="csY2" fmla="*/ 1249680 h 1249680"/>
              <a:gd name="csX3" fmla="*/ 0 w 7267652"/>
              <a:gd name="csY3" fmla="*/ 1249680 h 1249680"/>
              <a:gd name="csX0" fmla="*/ 0 w 7267652"/>
              <a:gd name="csY0" fmla="*/ 1249680 h 1249680"/>
              <a:gd name="csX1" fmla="*/ 7267652 w 7267652"/>
              <a:gd name="csY1" fmla="*/ 0 h 1249680"/>
              <a:gd name="csX2" fmla="*/ 7267652 w 7267652"/>
              <a:gd name="csY2" fmla="*/ 1249680 h 1249680"/>
              <a:gd name="csX3" fmla="*/ 0 w 7267652"/>
              <a:gd name="csY3" fmla="*/ 1249680 h 1249680"/>
              <a:gd name="csX0" fmla="*/ 0 w 7267652"/>
              <a:gd name="csY0" fmla="*/ 1249680 h 1249680"/>
              <a:gd name="csX1" fmla="*/ 7267652 w 7267652"/>
              <a:gd name="csY1" fmla="*/ 0 h 1249680"/>
              <a:gd name="csX2" fmla="*/ 7267652 w 7267652"/>
              <a:gd name="csY2" fmla="*/ 1249680 h 1249680"/>
              <a:gd name="csX3" fmla="*/ 0 w 7267652"/>
              <a:gd name="csY3" fmla="*/ 1249680 h 1249680"/>
              <a:gd name="csX0" fmla="*/ 0 w 7267652"/>
              <a:gd name="csY0" fmla="*/ 1021135 h 1021135"/>
              <a:gd name="csX1" fmla="*/ 7267652 w 7267652"/>
              <a:gd name="csY1" fmla="*/ 55 h 1021135"/>
              <a:gd name="csX2" fmla="*/ 7267652 w 7267652"/>
              <a:gd name="csY2" fmla="*/ 1021135 h 1021135"/>
              <a:gd name="csX3" fmla="*/ 0 w 7267652"/>
              <a:gd name="csY3" fmla="*/ 1021135 h 1021135"/>
              <a:gd name="csX0" fmla="*/ 0 w 7267652"/>
              <a:gd name="csY0" fmla="*/ 1235328 h 1235328"/>
              <a:gd name="csX1" fmla="*/ 7267652 w 7267652"/>
              <a:gd name="csY1" fmla="*/ 214248 h 1235328"/>
              <a:gd name="csX2" fmla="*/ 7267652 w 7267652"/>
              <a:gd name="csY2" fmla="*/ 1235328 h 1235328"/>
              <a:gd name="csX3" fmla="*/ 0 w 7267652"/>
              <a:gd name="csY3" fmla="*/ 1235328 h 1235328"/>
              <a:gd name="csX0" fmla="*/ 0 w 7267652"/>
              <a:gd name="csY0" fmla="*/ 1415541 h 1415541"/>
              <a:gd name="csX1" fmla="*/ 7267652 w 7267652"/>
              <a:gd name="csY1" fmla="*/ 394461 h 1415541"/>
              <a:gd name="csX2" fmla="*/ 7267652 w 7267652"/>
              <a:gd name="csY2" fmla="*/ 1415541 h 1415541"/>
              <a:gd name="csX3" fmla="*/ 0 w 7267652"/>
              <a:gd name="csY3" fmla="*/ 1415541 h 1415541"/>
            </a:gdLst>
            <a:ahLst/>
            <a:cxnLst>
              <a:cxn ang="0">
                <a:pos x="csX0" y="csY0"/>
              </a:cxn>
              <a:cxn ang="0">
                <a:pos x="csX1" y="csY1"/>
              </a:cxn>
              <a:cxn ang="0">
                <a:pos x="csX2" y="csY2"/>
              </a:cxn>
              <a:cxn ang="0">
                <a:pos x="csX3" y="csY3"/>
              </a:cxn>
            </a:cxnLst>
            <a:rect l="l" t="t" r="r" b="b"/>
            <a:pathLst>
              <a:path w="7267652" h="1415541">
                <a:moveTo>
                  <a:pt x="0" y="1415541"/>
                </a:moveTo>
                <a:cubicBezTo>
                  <a:pt x="2054405" y="-400126"/>
                  <a:pt x="5766817" y="-138939"/>
                  <a:pt x="7267652" y="394461"/>
                </a:cubicBezTo>
                <a:lnTo>
                  <a:pt x="7267652" y="1415541"/>
                </a:lnTo>
                <a:lnTo>
                  <a:pt x="0" y="1415541"/>
                </a:lnTo>
                <a:close/>
              </a:path>
            </a:pathLst>
          </a:custGeom>
          <a:gradFill>
            <a:gsLst>
              <a:gs pos="0">
                <a:srgbClr val="0D5682"/>
              </a:gs>
              <a:gs pos="76000">
                <a:srgbClr val="0C1321"/>
              </a:gs>
            </a:gsLst>
            <a:lin ang="3600000" scaled="0"/>
          </a:gradFill>
          <a:ln w="9525">
            <a:solidFill>
              <a:srgbClr val="78DCF4"/>
            </a:solidFill>
          </a:ln>
          <a:effectLst>
            <a:glow rad="50800">
              <a:schemeClr val="accent4">
                <a:satMod val="175000"/>
                <a:alpha val="40000"/>
              </a:schemeClr>
            </a:glow>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 name="Rectangle 11">
            <a:extLst>
              <a:ext uri="{FF2B5EF4-FFF2-40B4-BE49-F238E27FC236}">
                <a16:creationId xmlns:a16="http://schemas.microsoft.com/office/drawing/2014/main" id="{00000000-0008-0000-0000-00000C000000}"/>
              </a:ext>
            </a:extLst>
          </xdr:cNvPr>
          <xdr:cNvSpPr/>
        </xdr:nvSpPr>
        <xdr:spPr>
          <a:xfrm>
            <a:off x="14493118" y="1"/>
            <a:ext cx="1070732" cy="8362120"/>
          </a:xfrm>
          <a:prstGeom prst="rect">
            <a:avLst/>
          </a:prstGeom>
          <a:solidFill>
            <a:srgbClr val="1118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 name="Rectangle 12">
            <a:extLst>
              <a:ext uri="{FF2B5EF4-FFF2-40B4-BE49-F238E27FC236}">
                <a16:creationId xmlns:a16="http://schemas.microsoft.com/office/drawing/2014/main" id="{00000000-0008-0000-0000-00000D000000}"/>
              </a:ext>
            </a:extLst>
          </xdr:cNvPr>
          <xdr:cNvSpPr/>
        </xdr:nvSpPr>
        <xdr:spPr>
          <a:xfrm rot="16200000">
            <a:off x="7385076" y="462063"/>
            <a:ext cx="779791" cy="15549943"/>
          </a:xfrm>
          <a:prstGeom prst="rect">
            <a:avLst/>
          </a:prstGeom>
          <a:solidFill>
            <a:srgbClr val="1118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 name="Rectangle 16">
            <a:extLst>
              <a:ext uri="{FF2B5EF4-FFF2-40B4-BE49-F238E27FC236}">
                <a16:creationId xmlns:a16="http://schemas.microsoft.com/office/drawing/2014/main" id="{00000000-0008-0000-0000-000011000000}"/>
              </a:ext>
            </a:extLst>
          </xdr:cNvPr>
          <xdr:cNvSpPr/>
        </xdr:nvSpPr>
        <xdr:spPr>
          <a:xfrm>
            <a:off x="0" y="1"/>
            <a:ext cx="97971" cy="8362120"/>
          </a:xfrm>
          <a:prstGeom prst="rect">
            <a:avLst/>
          </a:prstGeom>
          <a:solidFill>
            <a:srgbClr val="1118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xdr:col>
      <xdr:colOff>376029</xdr:colOff>
      <xdr:row>1</xdr:row>
      <xdr:rowOff>115646</xdr:rowOff>
    </xdr:from>
    <xdr:to>
      <xdr:col>23</xdr:col>
      <xdr:colOff>193149</xdr:colOff>
      <xdr:row>40</xdr:row>
      <xdr:rowOff>115646</xdr:rowOff>
    </xdr:to>
    <xdr:sp macro="" textlink="">
      <xdr:nvSpPr>
        <xdr:cNvPr id="11" name="Rectangle: Rounded Corners 10">
          <a:extLst>
            <a:ext uri="{FF2B5EF4-FFF2-40B4-BE49-F238E27FC236}">
              <a16:creationId xmlns:a16="http://schemas.microsoft.com/office/drawing/2014/main" id="{00000000-0008-0000-0000-00000B000000}"/>
            </a:ext>
          </a:extLst>
        </xdr:cNvPr>
        <xdr:cNvSpPr/>
      </xdr:nvSpPr>
      <xdr:spPr>
        <a:xfrm>
          <a:off x="1107549" y="298526"/>
          <a:ext cx="12618720" cy="7132320"/>
        </a:xfrm>
        <a:prstGeom prst="roundRect">
          <a:avLst>
            <a:gd name="adj" fmla="val 3299"/>
          </a:avLst>
        </a:prstGeom>
        <a:solidFill>
          <a:srgbClr val="0C203A"/>
        </a:solidFill>
        <a:ln w="9525">
          <a:gradFill>
            <a:gsLst>
              <a:gs pos="0">
                <a:schemeClr val="tx2">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554000</xdr:colOff>
      <xdr:row>3</xdr:row>
      <xdr:rowOff>16450</xdr:rowOff>
    </xdr:from>
    <xdr:to>
      <xdr:col>17</xdr:col>
      <xdr:colOff>279680</xdr:colOff>
      <xdr:row>16</xdr:row>
      <xdr:rowOff>16450</xdr:rowOff>
    </xdr:to>
    <xdr:grpSp>
      <xdr:nvGrpSpPr>
        <xdr:cNvPr id="19" name="Group 18">
          <a:extLst>
            <a:ext uri="{FF2B5EF4-FFF2-40B4-BE49-F238E27FC236}">
              <a16:creationId xmlns:a16="http://schemas.microsoft.com/office/drawing/2014/main" id="{00000000-0008-0000-0000-000013000000}"/>
            </a:ext>
          </a:extLst>
        </xdr:cNvPr>
        <xdr:cNvGrpSpPr/>
      </xdr:nvGrpSpPr>
      <xdr:grpSpPr>
        <a:xfrm>
          <a:off x="4802150" y="587950"/>
          <a:ext cx="5040630" cy="2476500"/>
          <a:chOff x="5463540" y="-137160"/>
          <a:chExt cx="4221480" cy="3276600"/>
        </a:xfrm>
        <a:effectLst>
          <a:outerShdw blurRad="190500" dist="127000" dir="8100000" algn="tr" rotWithShape="0">
            <a:prstClr val="black">
              <a:alpha val="70000"/>
            </a:prstClr>
          </a:outerShdw>
        </a:effectLst>
      </xdr:grpSpPr>
      <xdr:sp macro="" textlink="">
        <xdr:nvSpPr>
          <xdr:cNvPr id="31" name="Rectangle: Rounded Corners 30">
            <a:extLst>
              <a:ext uri="{FF2B5EF4-FFF2-40B4-BE49-F238E27FC236}">
                <a16:creationId xmlns:a16="http://schemas.microsoft.com/office/drawing/2014/main" id="{00000000-0008-0000-0000-00001F000000}"/>
              </a:ext>
            </a:extLst>
          </xdr:cNvPr>
          <xdr:cNvSpPr/>
        </xdr:nvSpPr>
        <xdr:spPr>
          <a:xfrm>
            <a:off x="5463540" y="-137160"/>
            <a:ext cx="4221480" cy="3276600"/>
          </a:xfrm>
          <a:prstGeom prst="roundRect">
            <a:avLst>
              <a:gd name="adj" fmla="val 7830"/>
            </a:avLst>
          </a:prstGeom>
          <a:gradFill>
            <a:gsLst>
              <a:gs pos="0">
                <a:srgbClr val="123A5D"/>
              </a:gs>
              <a:gs pos="91000">
                <a:srgbClr val="0E1B30"/>
              </a:gs>
            </a:gsLst>
            <a:lin ang="3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Rectangle: Rounded Corners 31">
            <a:extLst>
              <a:ext uri="{FF2B5EF4-FFF2-40B4-BE49-F238E27FC236}">
                <a16:creationId xmlns:a16="http://schemas.microsoft.com/office/drawing/2014/main" id="{00000000-0008-0000-0000-000020000000}"/>
              </a:ext>
            </a:extLst>
          </xdr:cNvPr>
          <xdr:cNvSpPr/>
        </xdr:nvSpPr>
        <xdr:spPr>
          <a:xfrm>
            <a:off x="5463540" y="-137160"/>
            <a:ext cx="4221480" cy="3276600"/>
          </a:xfrm>
          <a:prstGeom prst="roundRect">
            <a:avLst>
              <a:gd name="adj" fmla="val 7830"/>
            </a:avLst>
          </a:prstGeom>
          <a:gradFill flip="none" rotWithShape="1">
            <a:gsLst>
              <a:gs pos="7000">
                <a:srgbClr val="008AF2">
                  <a:alpha val="41961"/>
                </a:srgbClr>
              </a:gs>
              <a:gs pos="100000">
                <a:srgbClr val="10243D">
                  <a:alpha val="0"/>
                </a:srgb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17</xdr:col>
      <xdr:colOff>537151</xdr:colOff>
      <xdr:row>3</xdr:row>
      <xdr:rowOff>16450</xdr:rowOff>
    </xdr:from>
    <xdr:to>
      <xdr:col>22</xdr:col>
      <xdr:colOff>415231</xdr:colOff>
      <xdr:row>16</xdr:row>
      <xdr:rowOff>16450</xdr:rowOff>
    </xdr:to>
    <xdr:sp macro="" textlink="">
      <xdr:nvSpPr>
        <xdr:cNvPr id="20" name="Rectangle: Rounded Corners 19">
          <a:extLst>
            <a:ext uri="{FF2B5EF4-FFF2-40B4-BE49-F238E27FC236}">
              <a16:creationId xmlns:a16="http://schemas.microsoft.com/office/drawing/2014/main" id="{00000000-0008-0000-0000-000014000000}"/>
            </a:ext>
          </a:extLst>
        </xdr:cNvPr>
        <xdr:cNvSpPr/>
      </xdr:nvSpPr>
      <xdr:spPr>
        <a:xfrm>
          <a:off x="10412671" y="565090"/>
          <a:ext cx="2926080" cy="2377440"/>
        </a:xfrm>
        <a:prstGeom prst="roundRect">
          <a:avLst>
            <a:gd name="adj" fmla="val 7830"/>
          </a:avLst>
        </a:prstGeom>
        <a:gradFill flip="none" rotWithShape="1">
          <a:gsLst>
            <a:gs pos="0">
              <a:srgbClr val="123A5D"/>
            </a:gs>
            <a:gs pos="91000">
              <a:srgbClr val="0E1B30"/>
            </a:gs>
          </a:gsLst>
          <a:path path="circle">
            <a:fillToRect r="100000" b="100000"/>
          </a:path>
          <a:tileRect l="-100000" t="-100000"/>
        </a:gradFill>
        <a:ln>
          <a:noFill/>
        </a:ln>
        <a:effectLst>
          <a:outerShdw blurRad="190500" dist="1270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554000</xdr:colOff>
      <xdr:row>17</xdr:row>
      <xdr:rowOff>83361</xdr:rowOff>
    </xdr:from>
    <xdr:to>
      <xdr:col>15</xdr:col>
      <xdr:colOff>401600</xdr:colOff>
      <xdr:row>28</xdr:row>
      <xdr:rowOff>83361</xdr:rowOff>
    </xdr:to>
    <xdr:grpSp>
      <xdr:nvGrpSpPr>
        <xdr:cNvPr id="21" name="Group 20">
          <a:extLst>
            <a:ext uri="{FF2B5EF4-FFF2-40B4-BE49-F238E27FC236}">
              <a16:creationId xmlns:a16="http://schemas.microsoft.com/office/drawing/2014/main" id="{00000000-0008-0000-0000-000015000000}"/>
            </a:ext>
          </a:extLst>
        </xdr:cNvPr>
        <xdr:cNvGrpSpPr/>
      </xdr:nvGrpSpPr>
      <xdr:grpSpPr>
        <a:xfrm>
          <a:off x="4802150" y="3321861"/>
          <a:ext cx="3981450" cy="2095500"/>
          <a:chOff x="-541020" y="2958160"/>
          <a:chExt cx="4221480" cy="3276600"/>
        </a:xfrm>
        <a:effectLst>
          <a:outerShdw blurRad="190500" dist="127000" dir="8100000" algn="tr" rotWithShape="0">
            <a:prstClr val="black">
              <a:alpha val="70000"/>
            </a:prstClr>
          </a:outerShdw>
        </a:effectLst>
      </xdr:grpSpPr>
      <xdr:sp macro="" textlink="">
        <xdr:nvSpPr>
          <xdr:cNvPr id="29" name="Rectangle: Rounded Corners 28">
            <a:extLst>
              <a:ext uri="{FF2B5EF4-FFF2-40B4-BE49-F238E27FC236}">
                <a16:creationId xmlns:a16="http://schemas.microsoft.com/office/drawing/2014/main" id="{00000000-0008-0000-0000-00001D000000}"/>
              </a:ext>
            </a:extLst>
          </xdr:cNvPr>
          <xdr:cNvSpPr/>
        </xdr:nvSpPr>
        <xdr:spPr>
          <a:xfrm>
            <a:off x="-541020" y="2958160"/>
            <a:ext cx="4221480" cy="3276600"/>
          </a:xfrm>
          <a:prstGeom prst="roundRect">
            <a:avLst>
              <a:gd name="adj" fmla="val 7830"/>
            </a:avLst>
          </a:prstGeom>
          <a:gradFill flip="none" rotWithShape="1">
            <a:gsLst>
              <a:gs pos="0">
                <a:srgbClr val="123A5D"/>
              </a:gs>
              <a:gs pos="75000">
                <a:srgbClr val="0E1B3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Freeform: Shape 29">
            <a:extLst>
              <a:ext uri="{FF2B5EF4-FFF2-40B4-BE49-F238E27FC236}">
                <a16:creationId xmlns:a16="http://schemas.microsoft.com/office/drawing/2014/main" id="{00000000-0008-0000-0000-00001E000000}"/>
              </a:ext>
            </a:extLst>
          </xdr:cNvPr>
          <xdr:cNvSpPr/>
        </xdr:nvSpPr>
        <xdr:spPr>
          <a:xfrm>
            <a:off x="429915" y="3555268"/>
            <a:ext cx="2683919" cy="2255897"/>
          </a:xfrm>
          <a:custGeom>
            <a:avLst/>
            <a:gdLst>
              <a:gd name="csX0" fmla="*/ 4014688 w 4166661"/>
              <a:gd name="csY0" fmla="*/ 0 h 2894360"/>
              <a:gd name="csX1" fmla="*/ 4071766 w 4166661"/>
              <a:gd name="csY1" fmla="*/ 155950 h 2894360"/>
              <a:gd name="csX2" fmla="*/ 4166661 w 4166661"/>
              <a:gd name="csY2" fmla="*/ 783620 h 2894360"/>
              <a:gd name="csX3" fmla="*/ 2055921 w 4166661"/>
              <a:gd name="csY3" fmla="*/ 2894360 h 2894360"/>
              <a:gd name="csX4" fmla="*/ 40076 w 4166661"/>
              <a:gd name="csY4" fmla="*/ 1411290 h 2894360"/>
              <a:gd name="csX5" fmla="*/ 0 w 4166661"/>
              <a:gd name="csY5" fmla="*/ 1255429 h 2894360"/>
              <a:gd name="csX6" fmla="*/ 13899 w 4166661"/>
              <a:gd name="csY6" fmla="*/ 1293404 h 2894360"/>
              <a:gd name="csX7" fmla="*/ 1958767 w 4166661"/>
              <a:gd name="csY7" fmla="*/ 2582549 h 2894360"/>
              <a:gd name="csX8" fmla="*/ 4069507 w 4166661"/>
              <a:gd name="csY8" fmla="*/ 471809 h 2894360"/>
              <a:gd name="csX9" fmla="*/ 4026624 w 4166661"/>
              <a:gd name="csY9" fmla="*/ 46421 h 2894360"/>
              <a:gd name="csX10" fmla="*/ 4014688 w 4166661"/>
              <a:gd name="csY10" fmla="*/ 0 h 2894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4166661" h="2894360">
                <a:moveTo>
                  <a:pt x="4014688" y="0"/>
                </a:moveTo>
                <a:lnTo>
                  <a:pt x="4071766" y="155950"/>
                </a:lnTo>
                <a:cubicBezTo>
                  <a:pt x="4133438" y="354231"/>
                  <a:pt x="4166661" y="565046"/>
                  <a:pt x="4166661" y="783620"/>
                </a:cubicBezTo>
                <a:cubicBezTo>
                  <a:pt x="4166661" y="1949350"/>
                  <a:pt x="3221651" y="2894360"/>
                  <a:pt x="2055921" y="2894360"/>
                </a:cubicBezTo>
                <a:cubicBezTo>
                  <a:pt x="1108765" y="2894360"/>
                  <a:pt x="307320" y="2270506"/>
                  <a:pt x="40076" y="1411290"/>
                </a:cubicBezTo>
                <a:lnTo>
                  <a:pt x="0" y="1255429"/>
                </a:lnTo>
                <a:lnTo>
                  <a:pt x="13899" y="1293404"/>
                </a:lnTo>
                <a:cubicBezTo>
                  <a:pt x="334327" y="2050981"/>
                  <a:pt x="1084470" y="2582549"/>
                  <a:pt x="1958767" y="2582549"/>
                </a:cubicBezTo>
                <a:cubicBezTo>
                  <a:pt x="3124497" y="2582549"/>
                  <a:pt x="4069507" y="1637539"/>
                  <a:pt x="4069507" y="471809"/>
                </a:cubicBezTo>
                <a:cubicBezTo>
                  <a:pt x="4069507" y="326093"/>
                  <a:pt x="4054741" y="183825"/>
                  <a:pt x="4026624" y="46421"/>
                </a:cubicBezTo>
                <a:lnTo>
                  <a:pt x="4014688" y="0"/>
                </a:lnTo>
                <a:close/>
              </a:path>
            </a:pathLst>
          </a:custGeom>
          <a:gradFill flip="none" rotWithShape="1">
            <a:gsLst>
              <a:gs pos="0">
                <a:srgbClr val="1279A5">
                  <a:alpha val="45000"/>
                </a:srgbClr>
              </a:gs>
              <a:gs pos="100000">
                <a:srgbClr val="0E1B30">
                  <a:alpha val="0"/>
                </a:srgbClr>
              </a:gs>
            </a:gsLst>
            <a:path path="circle">
              <a:fillToRect t="100000" r="100000"/>
            </a:path>
            <a:tileRect l="-100000" b="-10000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49471</xdr:colOff>
      <xdr:row>17</xdr:row>
      <xdr:rowOff>81316</xdr:rowOff>
    </xdr:from>
    <xdr:to>
      <xdr:col>22</xdr:col>
      <xdr:colOff>415231</xdr:colOff>
      <xdr:row>28</xdr:row>
      <xdr:rowOff>81316</xdr:rowOff>
    </xdr:to>
    <xdr:sp macro="" textlink="">
      <xdr:nvSpPr>
        <xdr:cNvPr id="22" name="Rectangle: Rounded Corners 21">
          <a:extLst>
            <a:ext uri="{FF2B5EF4-FFF2-40B4-BE49-F238E27FC236}">
              <a16:creationId xmlns:a16="http://schemas.microsoft.com/office/drawing/2014/main" id="{00000000-0008-0000-0000-000016000000}"/>
            </a:ext>
          </a:extLst>
        </xdr:cNvPr>
        <xdr:cNvSpPr/>
      </xdr:nvSpPr>
      <xdr:spPr>
        <a:xfrm>
          <a:off x="9315391" y="3190276"/>
          <a:ext cx="4023360" cy="2011680"/>
        </a:xfrm>
        <a:prstGeom prst="roundRect">
          <a:avLst>
            <a:gd name="adj" fmla="val 7830"/>
          </a:avLst>
        </a:prstGeom>
        <a:gradFill flip="none" rotWithShape="1">
          <a:gsLst>
            <a:gs pos="0">
              <a:srgbClr val="123A5D"/>
            </a:gs>
            <a:gs pos="75000">
              <a:srgbClr val="0E1B30"/>
            </a:gs>
          </a:gsLst>
          <a:path path="circle">
            <a:fillToRect r="100000" b="100000"/>
          </a:path>
          <a:tileRect l="-100000" t="-100000"/>
        </a:gradFill>
        <a:ln>
          <a:noFill/>
        </a:ln>
        <a:effectLst>
          <a:outerShdw blurRad="190500" dist="1270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144780</xdr:colOff>
      <xdr:row>3</xdr:row>
      <xdr:rowOff>16449</xdr:rowOff>
    </xdr:from>
    <xdr:to>
      <xdr:col>8</xdr:col>
      <xdr:colOff>297180</xdr:colOff>
      <xdr:row>23</xdr:row>
      <xdr:rowOff>16449</xdr:rowOff>
    </xdr:to>
    <xdr:sp macro="" textlink="">
      <xdr:nvSpPr>
        <xdr:cNvPr id="23" name="Rectangle: Rounded Corners 22">
          <a:extLst>
            <a:ext uri="{FF2B5EF4-FFF2-40B4-BE49-F238E27FC236}">
              <a16:creationId xmlns:a16="http://schemas.microsoft.com/office/drawing/2014/main" id="{00000000-0008-0000-0000-000017000000}"/>
            </a:ext>
          </a:extLst>
        </xdr:cNvPr>
        <xdr:cNvSpPr/>
      </xdr:nvSpPr>
      <xdr:spPr>
        <a:xfrm>
          <a:off x="1485900" y="565089"/>
          <a:ext cx="3200400" cy="3657600"/>
        </a:xfrm>
        <a:prstGeom prst="roundRect">
          <a:avLst>
            <a:gd name="adj" fmla="val 5694"/>
          </a:avLst>
        </a:prstGeom>
        <a:gradFill flip="none" rotWithShape="1">
          <a:gsLst>
            <a:gs pos="0">
              <a:srgbClr val="123A5D"/>
            </a:gs>
            <a:gs pos="75000">
              <a:srgbClr val="0E1B30"/>
            </a:gs>
          </a:gsLst>
          <a:path path="circle">
            <a:fillToRect l="100000" b="100000"/>
          </a:path>
          <a:tileRect t="-100000" r="-100000"/>
        </a:gradFill>
        <a:ln>
          <a:noFill/>
        </a:ln>
        <a:effectLst>
          <a:outerShdw blurRad="190500" dist="1270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111628</xdr:colOff>
      <xdr:row>24</xdr:row>
      <xdr:rowOff>108127</xdr:rowOff>
    </xdr:from>
    <xdr:to>
      <xdr:col>8</xdr:col>
      <xdr:colOff>264028</xdr:colOff>
      <xdr:row>39</xdr:row>
      <xdr:rowOff>16687</xdr:rowOff>
    </xdr:to>
    <xdr:sp macro="" textlink="">
      <xdr:nvSpPr>
        <xdr:cNvPr id="24" name="Rectangle: Rounded Corners 23">
          <a:extLst>
            <a:ext uri="{FF2B5EF4-FFF2-40B4-BE49-F238E27FC236}">
              <a16:creationId xmlns:a16="http://schemas.microsoft.com/office/drawing/2014/main" id="{00000000-0008-0000-0000-000018000000}"/>
            </a:ext>
          </a:extLst>
        </xdr:cNvPr>
        <xdr:cNvSpPr/>
      </xdr:nvSpPr>
      <xdr:spPr>
        <a:xfrm>
          <a:off x="1452748" y="4497247"/>
          <a:ext cx="3200400" cy="2651760"/>
        </a:xfrm>
        <a:prstGeom prst="roundRect">
          <a:avLst>
            <a:gd name="adj" fmla="val 7830"/>
          </a:avLst>
        </a:prstGeom>
        <a:gradFill flip="none" rotWithShape="1">
          <a:gsLst>
            <a:gs pos="7000">
              <a:srgbClr val="11223A"/>
            </a:gs>
            <a:gs pos="75000">
              <a:srgbClr val="0E1525"/>
            </a:gs>
          </a:gsLst>
          <a:lin ang="6000000" scaled="0"/>
          <a:tileRect/>
        </a:gradFill>
        <a:ln>
          <a:noFill/>
        </a:ln>
        <a:effectLst>
          <a:outerShdw blurRad="190500" dist="1270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17</xdr:col>
      <xdr:colOff>242208</xdr:colOff>
      <xdr:row>30</xdr:row>
      <xdr:rowOff>16687</xdr:rowOff>
    </xdr:from>
    <xdr:to>
      <xdr:col>22</xdr:col>
      <xdr:colOff>404438</xdr:colOff>
      <xdr:row>39</xdr:row>
      <xdr:rowOff>16687</xdr:rowOff>
    </xdr:to>
    <xdr:sp macro="" textlink="">
      <xdr:nvSpPr>
        <xdr:cNvPr id="25" name="Rectangle: Rounded Corners 24">
          <a:extLst>
            <a:ext uri="{FF2B5EF4-FFF2-40B4-BE49-F238E27FC236}">
              <a16:creationId xmlns:a16="http://schemas.microsoft.com/office/drawing/2014/main" id="{00000000-0008-0000-0000-000019000000}"/>
            </a:ext>
          </a:extLst>
        </xdr:cNvPr>
        <xdr:cNvSpPr/>
      </xdr:nvSpPr>
      <xdr:spPr>
        <a:xfrm>
          <a:off x="10117728" y="5503087"/>
          <a:ext cx="3210230" cy="1645920"/>
        </a:xfrm>
        <a:prstGeom prst="roundRect">
          <a:avLst>
            <a:gd name="adj" fmla="val 7830"/>
          </a:avLst>
        </a:prstGeom>
        <a:gradFill>
          <a:gsLst>
            <a:gs pos="0">
              <a:srgbClr val="11223A"/>
            </a:gs>
            <a:gs pos="75000">
              <a:srgbClr val="0E1525"/>
            </a:gs>
          </a:gsLst>
          <a:lin ang="4800000" scaled="0"/>
        </a:gradFill>
        <a:ln>
          <a:noFill/>
        </a:ln>
        <a:effectLst>
          <a:outerShdw blurRad="190500" dist="1270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551884</xdr:colOff>
      <xdr:row>30</xdr:row>
      <xdr:rowOff>16687</xdr:rowOff>
    </xdr:from>
    <xdr:to>
      <xdr:col>16</xdr:col>
      <xdr:colOff>579120</xdr:colOff>
      <xdr:row>39</xdr:row>
      <xdr:rowOff>16687</xdr:rowOff>
    </xdr:to>
    <xdr:grpSp>
      <xdr:nvGrpSpPr>
        <xdr:cNvPr id="26" name="Group 25">
          <a:extLst>
            <a:ext uri="{FF2B5EF4-FFF2-40B4-BE49-F238E27FC236}">
              <a16:creationId xmlns:a16="http://schemas.microsoft.com/office/drawing/2014/main" id="{00000000-0008-0000-0000-00001A000000}"/>
            </a:ext>
          </a:extLst>
        </xdr:cNvPr>
        <xdr:cNvGrpSpPr/>
      </xdr:nvGrpSpPr>
      <xdr:grpSpPr>
        <a:xfrm>
          <a:off x="4800034" y="5731687"/>
          <a:ext cx="4751636" cy="1714500"/>
          <a:chOff x="3953110" y="5613314"/>
          <a:chExt cx="4221480" cy="1863353"/>
        </a:xfrm>
        <a:effectLst>
          <a:outerShdw blurRad="190500" dist="127000" dir="8100000" algn="tr" rotWithShape="0">
            <a:prstClr val="black">
              <a:alpha val="70000"/>
            </a:prstClr>
          </a:outerShdw>
        </a:effectLst>
      </xdr:grpSpPr>
      <xdr:sp macro="" textlink="">
        <xdr:nvSpPr>
          <xdr:cNvPr id="27" name="Rectangle: Rounded Corners 26">
            <a:extLst>
              <a:ext uri="{FF2B5EF4-FFF2-40B4-BE49-F238E27FC236}">
                <a16:creationId xmlns:a16="http://schemas.microsoft.com/office/drawing/2014/main" id="{00000000-0008-0000-0000-00001B000000}"/>
              </a:ext>
            </a:extLst>
          </xdr:cNvPr>
          <xdr:cNvSpPr/>
        </xdr:nvSpPr>
        <xdr:spPr>
          <a:xfrm>
            <a:off x="3953110" y="5613314"/>
            <a:ext cx="4221480" cy="1863353"/>
          </a:xfrm>
          <a:prstGeom prst="roundRect">
            <a:avLst>
              <a:gd name="adj" fmla="val 7830"/>
            </a:avLst>
          </a:prstGeom>
          <a:gradFill>
            <a:gsLst>
              <a:gs pos="0">
                <a:srgbClr val="11223A"/>
              </a:gs>
              <a:gs pos="75000">
                <a:srgbClr val="0E1525"/>
              </a:gs>
            </a:gsLst>
            <a:lin ang="6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Rectangle: Rounded Corners 27">
            <a:extLst>
              <a:ext uri="{FF2B5EF4-FFF2-40B4-BE49-F238E27FC236}">
                <a16:creationId xmlns:a16="http://schemas.microsoft.com/office/drawing/2014/main" id="{00000000-0008-0000-0000-00001C000000}"/>
              </a:ext>
            </a:extLst>
          </xdr:cNvPr>
          <xdr:cNvSpPr/>
        </xdr:nvSpPr>
        <xdr:spPr>
          <a:xfrm>
            <a:off x="3953110" y="5613314"/>
            <a:ext cx="4221480" cy="1863353"/>
          </a:xfrm>
          <a:prstGeom prst="roundRect">
            <a:avLst>
              <a:gd name="adj" fmla="val 7830"/>
            </a:avLst>
          </a:prstGeom>
          <a:gradFill flip="none" rotWithShape="1">
            <a:gsLst>
              <a:gs pos="0">
                <a:srgbClr val="008AF2">
                  <a:alpha val="62000"/>
                </a:srgbClr>
              </a:gs>
              <a:gs pos="62000">
                <a:srgbClr val="10243D">
                  <a:alpha val="0"/>
                </a:srgb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358140</xdr:colOff>
      <xdr:row>5</xdr:row>
      <xdr:rowOff>85029</xdr:rowOff>
    </xdr:from>
    <xdr:to>
      <xdr:col>8</xdr:col>
      <xdr:colOff>53340</xdr:colOff>
      <xdr:row>20</xdr:row>
      <xdr:rowOff>85029</xdr:rowOff>
    </xdr:to>
    <xdr:graphicFrame macro="">
      <xdr:nvGraphicFramePr>
        <xdr:cNvPr id="35" name="Chart 34">
          <a:extLst>
            <a:ext uri="{FF2B5EF4-FFF2-40B4-BE49-F238E27FC236}">
              <a16:creationId xmlns:a16="http://schemas.microsoft.com/office/drawing/2014/main" id="{00000000-0008-0000-00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203719</xdr:colOff>
      <xdr:row>3</xdr:row>
      <xdr:rowOff>121877</xdr:rowOff>
    </xdr:from>
    <xdr:to>
      <xdr:col>7</xdr:col>
      <xdr:colOff>207762</xdr:colOff>
      <xdr:row>5</xdr:row>
      <xdr:rowOff>20035</xdr:rowOff>
    </xdr:to>
    <xdr:sp macro="" textlink="Processing!A1">
      <xdr:nvSpPr>
        <xdr:cNvPr id="51" name="TextBox 50">
          <a:extLst>
            <a:ext uri="{FF2B5EF4-FFF2-40B4-BE49-F238E27FC236}">
              <a16:creationId xmlns:a16="http://schemas.microsoft.com/office/drawing/2014/main" id="{00000000-0008-0000-0000-000033000000}"/>
            </a:ext>
          </a:extLst>
        </xdr:cNvPr>
        <xdr:cNvSpPr txBox="1"/>
      </xdr:nvSpPr>
      <xdr:spPr>
        <a:xfrm>
          <a:off x="2154439" y="670517"/>
          <a:ext cx="1832843"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EF9EF1-2D6C-4763-B1FA-978FE815378E}" type="TxLink">
            <a:rPr lang="en-US" sz="1200" b="0" i="0" u="none" strike="noStrike">
              <a:solidFill>
                <a:schemeClr val="accent4">
                  <a:lumMod val="20000"/>
                  <a:lumOff val="80000"/>
                </a:schemeClr>
              </a:solidFill>
              <a:latin typeface="Aptos Narrow"/>
              <a:ea typeface="+mn-ea"/>
              <a:cs typeface="+mn-cs"/>
            </a:rPr>
            <a:pPr marL="0" indent="0" algn="ctr"/>
            <a:t>Employee Categories</a:t>
          </a:fld>
          <a:endParaRPr lang="ru-RU" sz="1200" b="0" i="0" u="none" strike="noStrike">
            <a:solidFill>
              <a:schemeClr val="accent4">
                <a:lumMod val="20000"/>
                <a:lumOff val="80000"/>
              </a:schemeClr>
            </a:solidFill>
            <a:latin typeface="Aptos Narrow"/>
            <a:ea typeface="+mn-ea"/>
            <a:cs typeface="+mn-cs"/>
          </a:endParaRPr>
        </a:p>
      </xdr:txBody>
    </xdr:sp>
    <xdr:clientData/>
  </xdr:twoCellAnchor>
  <xdr:twoCellAnchor>
    <xdr:from>
      <xdr:col>5</xdr:col>
      <xdr:colOff>579120</xdr:colOff>
      <xdr:row>13</xdr:row>
      <xdr:rowOff>76200</xdr:rowOff>
    </xdr:from>
    <xdr:to>
      <xdr:col>8</xdr:col>
      <xdr:colOff>108856</xdr:colOff>
      <xdr:row>20</xdr:row>
      <xdr:rowOff>27613</xdr:rowOff>
    </xdr:to>
    <xdr:grpSp>
      <xdr:nvGrpSpPr>
        <xdr:cNvPr id="60" name="Group 59">
          <a:extLst>
            <a:ext uri="{FF2B5EF4-FFF2-40B4-BE49-F238E27FC236}">
              <a16:creationId xmlns:a16="http://schemas.microsoft.com/office/drawing/2014/main" id="{00000000-0008-0000-0000-00003C000000}"/>
            </a:ext>
          </a:extLst>
        </xdr:cNvPr>
        <xdr:cNvGrpSpPr/>
      </xdr:nvGrpSpPr>
      <xdr:grpSpPr>
        <a:xfrm>
          <a:off x="3055620" y="2552700"/>
          <a:ext cx="1301386" cy="1284913"/>
          <a:chOff x="3139440" y="2705100"/>
          <a:chExt cx="1358536" cy="1231573"/>
        </a:xfrm>
      </xdr:grpSpPr>
      <xdr:sp macro="" textlink="">
        <xdr:nvSpPr>
          <xdr:cNvPr id="36" name="Oval 35">
            <a:extLst>
              <a:ext uri="{FF2B5EF4-FFF2-40B4-BE49-F238E27FC236}">
                <a16:creationId xmlns:a16="http://schemas.microsoft.com/office/drawing/2014/main" id="{00000000-0008-0000-0000-000024000000}"/>
              </a:ext>
            </a:extLst>
          </xdr:cNvPr>
          <xdr:cNvSpPr/>
        </xdr:nvSpPr>
        <xdr:spPr>
          <a:xfrm>
            <a:off x="3139440" y="2994660"/>
            <a:ext cx="118872" cy="121792"/>
          </a:xfrm>
          <a:prstGeom prst="ellipse">
            <a:avLst/>
          </a:prstGeom>
          <a:solidFill>
            <a:srgbClr val="52E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7" name="Oval 36">
            <a:extLst>
              <a:ext uri="{FF2B5EF4-FFF2-40B4-BE49-F238E27FC236}">
                <a16:creationId xmlns:a16="http://schemas.microsoft.com/office/drawing/2014/main" id="{00000000-0008-0000-0000-000025000000}"/>
              </a:ext>
            </a:extLst>
          </xdr:cNvPr>
          <xdr:cNvSpPr/>
        </xdr:nvSpPr>
        <xdr:spPr>
          <a:xfrm>
            <a:off x="3139440" y="3184363"/>
            <a:ext cx="118872" cy="121793"/>
          </a:xfrm>
          <a:prstGeom prst="ellipse">
            <a:avLst/>
          </a:prstGeom>
          <a:solidFill>
            <a:srgbClr val="22D9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8" name="Oval 37">
            <a:extLst>
              <a:ext uri="{FF2B5EF4-FFF2-40B4-BE49-F238E27FC236}">
                <a16:creationId xmlns:a16="http://schemas.microsoft.com/office/drawing/2014/main" id="{00000000-0008-0000-0000-000026000000}"/>
              </a:ext>
            </a:extLst>
          </xdr:cNvPr>
          <xdr:cNvSpPr/>
        </xdr:nvSpPr>
        <xdr:spPr>
          <a:xfrm>
            <a:off x="3139440" y="3374067"/>
            <a:ext cx="118872" cy="121793"/>
          </a:xfrm>
          <a:prstGeom prst="ellipse">
            <a:avLst/>
          </a:prstGeom>
          <a:solidFill>
            <a:srgbClr val="10B9C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9" name="Oval 38">
            <a:extLst>
              <a:ext uri="{FF2B5EF4-FFF2-40B4-BE49-F238E27FC236}">
                <a16:creationId xmlns:a16="http://schemas.microsoft.com/office/drawing/2014/main" id="{00000000-0008-0000-0000-000027000000}"/>
              </a:ext>
            </a:extLst>
          </xdr:cNvPr>
          <xdr:cNvSpPr/>
        </xdr:nvSpPr>
        <xdr:spPr>
          <a:xfrm>
            <a:off x="3139440" y="3563771"/>
            <a:ext cx="118872" cy="121792"/>
          </a:xfrm>
          <a:prstGeom prst="ellipse">
            <a:avLst/>
          </a:prstGeom>
          <a:solidFill>
            <a:srgbClr val="0C8D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0" name="Oval 39">
            <a:extLst>
              <a:ext uri="{FF2B5EF4-FFF2-40B4-BE49-F238E27FC236}">
                <a16:creationId xmlns:a16="http://schemas.microsoft.com/office/drawing/2014/main" id="{00000000-0008-0000-0000-000028000000}"/>
              </a:ext>
            </a:extLst>
          </xdr:cNvPr>
          <xdr:cNvSpPr/>
        </xdr:nvSpPr>
        <xdr:spPr>
          <a:xfrm>
            <a:off x="3139440" y="3753473"/>
            <a:ext cx="118872" cy="121793"/>
          </a:xfrm>
          <a:prstGeom prst="ellipse">
            <a:avLst/>
          </a:prstGeom>
          <a:solidFill>
            <a:srgbClr val="0A778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B1">
        <xdr:nvSpPr>
          <xdr:cNvPr id="41" name="TextBox 40">
            <a:extLst>
              <a:ext uri="{FF2B5EF4-FFF2-40B4-BE49-F238E27FC236}">
                <a16:creationId xmlns:a16="http://schemas.microsoft.com/office/drawing/2014/main" id="{00000000-0008-0000-0000-000029000000}"/>
              </a:ext>
            </a:extLst>
          </xdr:cNvPr>
          <xdr:cNvSpPr txBox="1"/>
        </xdr:nvSpPr>
        <xdr:spPr>
          <a:xfrm>
            <a:off x="3246120" y="2948940"/>
            <a:ext cx="1251856" cy="218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94A75D3-ED5B-4E8A-BAF3-2A6CF8074E1C}" type="TxLink">
              <a:rPr lang="en-US" sz="1100" b="0" i="0" u="none" strike="noStrike">
                <a:solidFill>
                  <a:srgbClr val="78DCF4"/>
                </a:solidFill>
                <a:latin typeface="Aptos Narrow"/>
                <a:ea typeface="+mn-ea"/>
                <a:cs typeface="+mn-cs"/>
              </a:rPr>
              <a:pPr marL="0" indent="0" algn="l"/>
              <a:t>Management</a:t>
            </a:fld>
            <a:endParaRPr lang="ru-RU" sz="1100" b="0" i="0" u="none" strike="noStrike">
              <a:solidFill>
                <a:srgbClr val="78DCF4"/>
              </a:solidFill>
              <a:latin typeface="Aptos Narrow"/>
              <a:ea typeface="+mn-ea"/>
              <a:cs typeface="+mn-cs"/>
            </a:endParaRPr>
          </a:p>
        </xdr:txBody>
      </xdr:sp>
      <xdr:sp macro="" textlink="Processing!C1">
        <xdr:nvSpPr>
          <xdr:cNvPr id="47" name="TextBox 46">
            <a:extLst>
              <a:ext uri="{FF2B5EF4-FFF2-40B4-BE49-F238E27FC236}">
                <a16:creationId xmlns:a16="http://schemas.microsoft.com/office/drawing/2014/main" id="{00000000-0008-0000-0000-00002F000000}"/>
              </a:ext>
            </a:extLst>
          </xdr:cNvPr>
          <xdr:cNvSpPr txBox="1"/>
        </xdr:nvSpPr>
        <xdr:spPr>
          <a:xfrm>
            <a:off x="3246120" y="3139440"/>
            <a:ext cx="1251856" cy="218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5C4C-C011-444B-A8B1-705909D208A7}" type="TxLink">
              <a:rPr lang="en-US" sz="1100" b="0" i="0" u="none" strike="noStrike">
                <a:solidFill>
                  <a:srgbClr val="22D9ED"/>
                </a:solidFill>
                <a:latin typeface="Aptos Narrow"/>
                <a:ea typeface="+mn-ea"/>
                <a:cs typeface="+mn-cs"/>
              </a:rPr>
              <a:pPr marL="0" indent="0" algn="l"/>
              <a:t>Administrative staff</a:t>
            </a:fld>
            <a:endParaRPr lang="ru-RU" sz="1100" b="0" i="0" u="none" strike="noStrike">
              <a:solidFill>
                <a:srgbClr val="22D9ED"/>
              </a:solidFill>
              <a:latin typeface="Aptos Narrow"/>
              <a:ea typeface="+mn-ea"/>
              <a:cs typeface="+mn-cs"/>
            </a:endParaRPr>
          </a:p>
        </xdr:txBody>
      </xdr:sp>
      <xdr:sp macro="" textlink="Processing!D1">
        <xdr:nvSpPr>
          <xdr:cNvPr id="48" name="TextBox 47">
            <a:extLst>
              <a:ext uri="{FF2B5EF4-FFF2-40B4-BE49-F238E27FC236}">
                <a16:creationId xmlns:a16="http://schemas.microsoft.com/office/drawing/2014/main" id="{00000000-0008-0000-0000-000030000000}"/>
              </a:ext>
            </a:extLst>
          </xdr:cNvPr>
          <xdr:cNvSpPr txBox="1"/>
        </xdr:nvSpPr>
        <xdr:spPr>
          <a:xfrm>
            <a:off x="3246120" y="3329940"/>
            <a:ext cx="1251856" cy="218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16C3592-0548-41D1-BE73-06E96007F120}" type="TxLink">
              <a:rPr lang="en-US" sz="1100" b="0" i="0" u="none" strike="noStrike">
                <a:solidFill>
                  <a:srgbClr val="10B9CB"/>
                </a:solidFill>
                <a:latin typeface="Aptos Narrow"/>
                <a:ea typeface="+mn-ea"/>
                <a:cs typeface="+mn-cs"/>
              </a:rPr>
              <a:pPr marL="0" indent="0" algn="l"/>
              <a:t>Sales department</a:t>
            </a:fld>
            <a:endParaRPr lang="ru-RU" sz="1100" b="0" i="0" u="none" strike="noStrike">
              <a:solidFill>
                <a:srgbClr val="10B9CB"/>
              </a:solidFill>
              <a:latin typeface="Aptos Narrow"/>
              <a:ea typeface="+mn-ea"/>
              <a:cs typeface="+mn-cs"/>
            </a:endParaRPr>
          </a:p>
        </xdr:txBody>
      </xdr:sp>
      <xdr:sp macro="" textlink="Processing!E1">
        <xdr:nvSpPr>
          <xdr:cNvPr id="49" name="TextBox 48">
            <a:extLst>
              <a:ext uri="{FF2B5EF4-FFF2-40B4-BE49-F238E27FC236}">
                <a16:creationId xmlns:a16="http://schemas.microsoft.com/office/drawing/2014/main" id="{00000000-0008-0000-0000-000031000000}"/>
              </a:ext>
            </a:extLst>
          </xdr:cNvPr>
          <xdr:cNvSpPr txBox="1"/>
        </xdr:nvSpPr>
        <xdr:spPr>
          <a:xfrm>
            <a:off x="3246120" y="3528060"/>
            <a:ext cx="1251856" cy="218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71C7431-F9AB-48A7-ADAF-AAF9E2AAD680}" type="TxLink">
              <a:rPr lang="en-US" sz="1100" b="0" i="0" u="none" strike="noStrike">
                <a:solidFill>
                  <a:srgbClr val="0E9FAE"/>
                </a:solidFill>
                <a:latin typeface="Aptos Narrow"/>
                <a:ea typeface="+mn-ea"/>
                <a:cs typeface="+mn-cs"/>
              </a:rPr>
              <a:pPr marL="0" indent="0" algn="l"/>
              <a:t>Production department</a:t>
            </a:fld>
            <a:endParaRPr lang="ru-RU" sz="1100" b="0" i="0" u="none" strike="noStrike">
              <a:solidFill>
                <a:srgbClr val="0E9FAE"/>
              </a:solidFill>
              <a:latin typeface="Aptos Narrow"/>
              <a:ea typeface="+mn-ea"/>
              <a:cs typeface="+mn-cs"/>
            </a:endParaRPr>
          </a:p>
        </xdr:txBody>
      </xdr:sp>
      <xdr:sp macro="" textlink="Processing!F1">
        <xdr:nvSpPr>
          <xdr:cNvPr id="50" name="TextBox 49">
            <a:extLst>
              <a:ext uri="{FF2B5EF4-FFF2-40B4-BE49-F238E27FC236}">
                <a16:creationId xmlns:a16="http://schemas.microsoft.com/office/drawing/2014/main" id="{00000000-0008-0000-0000-000032000000}"/>
              </a:ext>
            </a:extLst>
          </xdr:cNvPr>
          <xdr:cNvSpPr txBox="1"/>
        </xdr:nvSpPr>
        <xdr:spPr>
          <a:xfrm>
            <a:off x="3246120" y="3718560"/>
            <a:ext cx="1251856" cy="218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2A83065-A1C4-4521-825B-99666111D026}" type="TxLink">
              <a:rPr lang="en-US" sz="1100" b="0" i="0" u="none" strike="noStrike">
                <a:solidFill>
                  <a:srgbClr val="0C8E9C"/>
                </a:solidFill>
                <a:latin typeface="Aptos Narrow"/>
                <a:ea typeface="+mn-ea"/>
                <a:cs typeface="+mn-cs"/>
              </a:rPr>
              <a:pPr marL="0" indent="0" algn="l"/>
              <a:t>Logistics department</a:t>
            </a:fld>
            <a:endParaRPr lang="ru-RU" sz="1100" b="0" i="0" u="none" strike="noStrike">
              <a:solidFill>
                <a:srgbClr val="0C8E9C"/>
              </a:solidFill>
              <a:latin typeface="Aptos Narrow"/>
              <a:ea typeface="+mn-ea"/>
              <a:cs typeface="+mn-cs"/>
            </a:endParaRPr>
          </a:p>
        </xdr:txBody>
      </xdr:sp>
      <xdr:sp macro="" textlink="Processing!I2">
        <xdr:nvSpPr>
          <xdr:cNvPr id="52" name="TextBox 51">
            <a:extLst>
              <a:ext uri="{FF2B5EF4-FFF2-40B4-BE49-F238E27FC236}">
                <a16:creationId xmlns:a16="http://schemas.microsoft.com/office/drawing/2014/main" id="{00000000-0008-0000-0000-000034000000}"/>
              </a:ext>
            </a:extLst>
          </xdr:cNvPr>
          <xdr:cNvSpPr txBox="1"/>
        </xdr:nvSpPr>
        <xdr:spPr>
          <a:xfrm>
            <a:off x="3154680" y="2705100"/>
            <a:ext cx="1251856" cy="218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1E3AE4C-6980-4463-852A-5078CC210D84}" type="TxLink">
              <a:rPr lang="en-US" sz="1600" b="0" i="0" u="none" strike="noStrike">
                <a:solidFill>
                  <a:schemeClr val="accent4">
                    <a:lumMod val="20000"/>
                    <a:lumOff val="80000"/>
                  </a:schemeClr>
                </a:solidFill>
                <a:latin typeface="Aptos Narrow"/>
                <a:ea typeface="+mn-ea"/>
                <a:cs typeface="+mn-cs"/>
              </a:rPr>
              <a:pPr marL="0" indent="0" algn="r"/>
              <a:t> $118,840 </a:t>
            </a:fld>
            <a:endParaRPr lang="ru-RU" sz="1600" b="0" i="0" u="none" strike="noStrike">
              <a:solidFill>
                <a:schemeClr val="accent4">
                  <a:lumMod val="20000"/>
                  <a:lumOff val="80000"/>
                </a:schemeClr>
              </a:solidFill>
              <a:latin typeface="Aptos Narrow"/>
              <a:ea typeface="+mn-ea"/>
              <a:cs typeface="+mn-cs"/>
            </a:endParaRPr>
          </a:p>
        </xdr:txBody>
      </xdr:sp>
    </xdr:grpSp>
    <xdr:clientData/>
  </xdr:twoCellAnchor>
  <xdr:twoCellAnchor>
    <xdr:from>
      <xdr:col>4</xdr:col>
      <xdr:colOff>448634</xdr:colOff>
      <xdr:row>29</xdr:row>
      <xdr:rowOff>60604</xdr:rowOff>
    </xdr:from>
    <xdr:to>
      <xdr:col>6</xdr:col>
      <xdr:colOff>509594</xdr:colOff>
      <xdr:row>36</xdr:row>
      <xdr:rowOff>60604</xdr:rowOff>
    </xdr:to>
    <xdr:sp macro="" textlink="">
      <xdr:nvSpPr>
        <xdr:cNvPr id="54" name="Circle: Hollow 53">
          <a:extLst>
            <a:ext uri="{FF2B5EF4-FFF2-40B4-BE49-F238E27FC236}">
              <a16:creationId xmlns:a16="http://schemas.microsoft.com/office/drawing/2014/main" id="{00000000-0008-0000-0000-000036000000}"/>
            </a:ext>
          </a:extLst>
        </xdr:cNvPr>
        <xdr:cNvSpPr/>
      </xdr:nvSpPr>
      <xdr:spPr>
        <a:xfrm>
          <a:off x="2399354" y="5364124"/>
          <a:ext cx="1280160" cy="1280160"/>
        </a:xfrm>
        <a:prstGeom prst="donut">
          <a:avLst>
            <a:gd name="adj" fmla="val 18589"/>
          </a:avLst>
        </a:prstGeom>
        <a:gradFill>
          <a:gsLst>
            <a:gs pos="54000">
              <a:srgbClr val="008AF2"/>
            </a:gs>
            <a:gs pos="100000">
              <a:srgbClr val="4AA5FF"/>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3</xdr:col>
      <xdr:colOff>601034</xdr:colOff>
      <xdr:row>26</xdr:row>
      <xdr:rowOff>152044</xdr:rowOff>
    </xdr:from>
    <xdr:to>
      <xdr:col>7</xdr:col>
      <xdr:colOff>357194</xdr:colOff>
      <xdr:row>38</xdr:row>
      <xdr:rowOff>152044</xdr:rowOff>
    </xdr:to>
    <xdr:graphicFrame macro="">
      <xdr:nvGraphicFramePr>
        <xdr:cNvPr id="53" name="Chart 52">
          <a:extLst>
            <a:ext uri="{FF2B5EF4-FFF2-40B4-BE49-F238E27FC236}">
              <a16:creationId xmlns:a16="http://schemas.microsoft.com/office/drawing/2014/main" id="{00000000-0008-0000-00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11270</xdr:colOff>
      <xdr:row>25</xdr:row>
      <xdr:rowOff>38057</xdr:rowOff>
    </xdr:from>
    <xdr:to>
      <xdr:col>7</xdr:col>
      <xdr:colOff>400210</xdr:colOff>
      <xdr:row>26</xdr:row>
      <xdr:rowOff>119095</xdr:rowOff>
    </xdr:to>
    <xdr:sp macro="" textlink="Processing!N10">
      <xdr:nvSpPr>
        <xdr:cNvPr id="55" name="TextBox 54">
          <a:extLst>
            <a:ext uri="{FF2B5EF4-FFF2-40B4-BE49-F238E27FC236}">
              <a16:creationId xmlns:a16="http://schemas.microsoft.com/office/drawing/2014/main" id="{00000000-0008-0000-0000-000037000000}"/>
            </a:ext>
          </a:extLst>
        </xdr:cNvPr>
        <xdr:cNvSpPr txBox="1"/>
      </xdr:nvSpPr>
      <xdr:spPr>
        <a:xfrm>
          <a:off x="1961990" y="4610057"/>
          <a:ext cx="2217740"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AE9A26-2780-478D-9FD9-C3E2B6C4322C}" type="TxLink">
            <a:rPr lang="en-US" sz="1200" b="0" i="0" u="none" strike="noStrike">
              <a:solidFill>
                <a:schemeClr val="accent4">
                  <a:lumMod val="20000"/>
                  <a:lumOff val="80000"/>
                </a:schemeClr>
              </a:solidFill>
              <a:latin typeface="Aptos Narrow"/>
              <a:ea typeface="+mn-ea"/>
              <a:cs typeface="+mn-cs"/>
            </a:rPr>
            <a:pPr marL="0" indent="0" algn="ctr"/>
            <a:t>Payroll Distribution by Location</a:t>
          </a:fld>
          <a:endParaRPr lang="ru-RU" sz="1200" b="0" i="0" u="none" strike="noStrike">
            <a:solidFill>
              <a:schemeClr val="accent4">
                <a:lumMod val="20000"/>
                <a:lumOff val="80000"/>
              </a:schemeClr>
            </a:solidFill>
            <a:latin typeface="Aptos Narrow"/>
            <a:ea typeface="+mn-ea"/>
            <a:cs typeface="+mn-cs"/>
          </a:endParaRPr>
        </a:p>
      </xdr:txBody>
    </xdr:sp>
    <xdr:clientData/>
  </xdr:twoCellAnchor>
  <xdr:twoCellAnchor>
    <xdr:from>
      <xdr:col>18</xdr:col>
      <xdr:colOff>430471</xdr:colOff>
      <xdr:row>5</xdr:row>
      <xdr:rowOff>32004</xdr:rowOff>
    </xdr:from>
    <xdr:to>
      <xdr:col>21</xdr:col>
      <xdr:colOff>521911</xdr:colOff>
      <xdr:row>15</xdr:row>
      <xdr:rowOff>123444</xdr:rowOff>
    </xdr:to>
    <xdr:graphicFrame macro="">
      <xdr:nvGraphicFramePr>
        <xdr:cNvPr id="56" name="Chart 55">
          <a:extLst>
            <a:ext uri="{FF2B5EF4-FFF2-40B4-BE49-F238E27FC236}">
              <a16:creationId xmlns:a16="http://schemas.microsoft.com/office/drawing/2014/main" id="{00000000-0008-0000-00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353474</xdr:colOff>
      <xdr:row>9</xdr:row>
      <xdr:rowOff>48084</xdr:rowOff>
    </xdr:from>
    <xdr:to>
      <xdr:col>20</xdr:col>
      <xdr:colOff>598909</xdr:colOff>
      <xdr:row>11</xdr:row>
      <xdr:rowOff>107364</xdr:rowOff>
    </xdr:to>
    <xdr:sp macro="" textlink="Processing!J2">
      <xdr:nvSpPr>
        <xdr:cNvPr id="57" name="TextBox 56">
          <a:extLst>
            <a:ext uri="{FF2B5EF4-FFF2-40B4-BE49-F238E27FC236}">
              <a16:creationId xmlns:a16="http://schemas.microsoft.com/office/drawing/2014/main" id="{00000000-0008-0000-0000-000039000000}"/>
            </a:ext>
          </a:extLst>
        </xdr:cNvPr>
        <xdr:cNvSpPr txBox="1"/>
      </xdr:nvSpPr>
      <xdr:spPr>
        <a:xfrm>
          <a:off x="11448194" y="1694004"/>
          <a:ext cx="855035" cy="42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94CD34-A4FD-4A4F-B047-DF6796B2BA46}" type="TxLink">
            <a:rPr lang="en-US" sz="2400" b="0" i="0" u="none" strike="noStrike">
              <a:solidFill>
                <a:schemeClr val="accent4">
                  <a:lumMod val="20000"/>
                  <a:lumOff val="80000"/>
                </a:schemeClr>
              </a:solidFill>
              <a:latin typeface="Aptos Narrow"/>
              <a:ea typeface="+mn-ea"/>
              <a:cs typeface="+mn-cs"/>
            </a:rPr>
            <a:pPr marL="0" indent="0" algn="ctr"/>
            <a:t>72%</a:t>
          </a:fld>
          <a:endParaRPr lang="ru-RU" sz="3600" b="0" i="0" u="none" strike="noStrike">
            <a:solidFill>
              <a:schemeClr val="accent4">
                <a:lumMod val="20000"/>
                <a:lumOff val="80000"/>
              </a:schemeClr>
            </a:solidFill>
            <a:latin typeface="Aptos Narrow"/>
            <a:ea typeface="+mn-ea"/>
            <a:cs typeface="+mn-cs"/>
          </a:endParaRPr>
        </a:p>
      </xdr:txBody>
    </xdr:sp>
    <xdr:clientData/>
  </xdr:twoCellAnchor>
  <xdr:twoCellAnchor>
    <xdr:from>
      <xdr:col>9</xdr:col>
      <xdr:colOff>173000</xdr:colOff>
      <xdr:row>3</xdr:row>
      <xdr:rowOff>161847</xdr:rowOff>
    </xdr:from>
    <xdr:to>
      <xdr:col>17</xdr:col>
      <xdr:colOff>142520</xdr:colOff>
      <xdr:row>14</xdr:row>
      <xdr:rowOff>161847</xdr:rowOff>
    </xdr:to>
    <xdr:graphicFrame macro="">
      <xdr:nvGraphicFramePr>
        <xdr:cNvPr id="58" name="Chart 57">
          <a:extLst>
            <a:ext uri="{FF2B5EF4-FFF2-40B4-BE49-F238E27FC236}">
              <a16:creationId xmlns:a16="http://schemas.microsoft.com/office/drawing/2014/main" id="{00000000-0008-0000-0000-00003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414819</xdr:colOff>
      <xdr:row>3</xdr:row>
      <xdr:rowOff>121877</xdr:rowOff>
    </xdr:from>
    <xdr:to>
      <xdr:col>14</xdr:col>
      <xdr:colOff>418862</xdr:colOff>
      <xdr:row>5</xdr:row>
      <xdr:rowOff>20035</xdr:rowOff>
    </xdr:to>
    <xdr:sp macro="" textlink="Processing!A12">
      <xdr:nvSpPr>
        <xdr:cNvPr id="59" name="TextBox 58">
          <a:extLst>
            <a:ext uri="{FF2B5EF4-FFF2-40B4-BE49-F238E27FC236}">
              <a16:creationId xmlns:a16="http://schemas.microsoft.com/office/drawing/2014/main" id="{00000000-0008-0000-0000-00003B000000}"/>
            </a:ext>
          </a:extLst>
        </xdr:cNvPr>
        <xdr:cNvSpPr txBox="1"/>
      </xdr:nvSpPr>
      <xdr:spPr>
        <a:xfrm>
          <a:off x="6632739" y="670517"/>
          <a:ext cx="1832843"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0E5644E-1ADC-4E1A-88AC-87EAE97F8C23}" type="TxLink">
            <a:rPr lang="en-US" sz="1200" b="0" i="0" u="none" strike="noStrike">
              <a:solidFill>
                <a:schemeClr val="accent4">
                  <a:lumMod val="20000"/>
                  <a:lumOff val="80000"/>
                </a:schemeClr>
              </a:solidFill>
              <a:latin typeface="Aptos Narrow"/>
              <a:ea typeface="+mn-ea"/>
              <a:cs typeface="+mn-cs"/>
            </a:rPr>
            <a:pPr marL="0" indent="0" algn="ctr"/>
            <a:t>Payroll Forecast</a:t>
          </a:fld>
          <a:endParaRPr lang="ru-RU" sz="1200" b="0" i="0" u="none" strike="noStrike">
            <a:solidFill>
              <a:schemeClr val="accent4">
                <a:lumMod val="20000"/>
                <a:lumOff val="80000"/>
              </a:schemeClr>
            </a:solidFill>
            <a:latin typeface="Aptos Narrow"/>
            <a:ea typeface="+mn-ea"/>
            <a:cs typeface="+mn-cs"/>
          </a:endParaRPr>
        </a:p>
      </xdr:txBody>
    </xdr:sp>
    <xdr:clientData/>
  </xdr:twoCellAnchor>
  <xdr:twoCellAnchor editAs="oneCell">
    <xdr:from>
      <xdr:col>4</xdr:col>
      <xdr:colOff>19050</xdr:colOff>
      <xdr:row>20</xdr:row>
      <xdr:rowOff>121921</xdr:rowOff>
    </xdr:from>
    <xdr:to>
      <xdr:col>8</xdr:col>
      <xdr:colOff>19050</xdr:colOff>
      <xdr:row>22</xdr:row>
      <xdr:rowOff>121921</xdr:rowOff>
    </xdr:to>
    <mc:AlternateContent xmlns:mc="http://schemas.openxmlformats.org/markup-compatibility/2006" xmlns:a14="http://schemas.microsoft.com/office/drawing/2010/main">
      <mc:Choice Requires="a14">
        <xdr:graphicFrame macro="">
          <xdr:nvGraphicFramePr>
            <xdr:cNvPr id="61" name="Year">
              <a:extLst>
                <a:ext uri="{FF2B5EF4-FFF2-40B4-BE49-F238E27FC236}">
                  <a16:creationId xmlns:a16="http://schemas.microsoft.com/office/drawing/2014/main" id="{00000000-0008-0000-0000-00003D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56460" y="3779521"/>
              <a:ext cx="182880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218720</xdr:colOff>
      <xdr:row>13</xdr:row>
      <xdr:rowOff>129540</xdr:rowOff>
    </xdr:from>
    <xdr:to>
      <xdr:col>17</xdr:col>
      <xdr:colOff>96800</xdr:colOff>
      <xdr:row>15</xdr:row>
      <xdr:rowOff>129540</xdr:rowOff>
    </xdr:to>
    <mc:AlternateContent xmlns:mc="http://schemas.openxmlformats.org/markup-compatibility/2006" xmlns:a14="http://schemas.microsoft.com/office/drawing/2010/main">
      <mc:Choice Requires="a14">
        <xdr:graphicFrame macro="">
          <xdr:nvGraphicFramePr>
            <xdr:cNvPr id="62" name="Month">
              <a:extLst>
                <a:ext uri="{FF2B5EF4-FFF2-40B4-BE49-F238E27FC236}">
                  <a16:creationId xmlns:a16="http://schemas.microsoft.com/office/drawing/2014/main" id="{00000000-0008-0000-0000-00003E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217440" y="2506980"/>
              <a:ext cx="475488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47986</xdr:colOff>
      <xdr:row>18</xdr:row>
      <xdr:rowOff>134704</xdr:rowOff>
    </xdr:from>
    <xdr:to>
      <xdr:col>13</xdr:col>
      <xdr:colOff>389455</xdr:colOff>
      <xdr:row>26</xdr:row>
      <xdr:rowOff>168464</xdr:rowOff>
    </xdr:to>
    <xdr:grpSp>
      <xdr:nvGrpSpPr>
        <xdr:cNvPr id="7" name="Group 6">
          <a:extLst>
            <a:ext uri="{FF2B5EF4-FFF2-40B4-BE49-F238E27FC236}">
              <a16:creationId xmlns:a16="http://schemas.microsoft.com/office/drawing/2014/main" id="{00000000-0008-0000-0000-000007000000}"/>
            </a:ext>
          </a:extLst>
        </xdr:cNvPr>
        <xdr:cNvGrpSpPr/>
      </xdr:nvGrpSpPr>
      <xdr:grpSpPr>
        <a:xfrm>
          <a:off x="6067786" y="3563704"/>
          <a:ext cx="1522569" cy="1557760"/>
          <a:chOff x="6218680" y="3549579"/>
          <a:chExt cx="1560669" cy="1490734"/>
        </a:xfrm>
        <a:solidFill>
          <a:srgbClr val="A2D8F0"/>
        </a:solidFill>
      </xdr:grpSpPr>
      <xdr:sp macro="" textlink="">
        <xdr:nvSpPr>
          <xdr:cNvPr id="2" name="Oval 1">
            <a:extLst>
              <a:ext uri="{FF2B5EF4-FFF2-40B4-BE49-F238E27FC236}">
                <a16:creationId xmlns:a16="http://schemas.microsoft.com/office/drawing/2014/main" id="{00000000-0008-0000-0000-000002000000}"/>
              </a:ext>
            </a:extLst>
          </xdr:cNvPr>
          <xdr:cNvSpPr/>
        </xdr:nvSpPr>
        <xdr:spPr>
          <a:xfrm>
            <a:off x="6976154" y="3549579"/>
            <a:ext cx="45720" cy="4572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 name="Oval 2">
            <a:extLst>
              <a:ext uri="{FF2B5EF4-FFF2-40B4-BE49-F238E27FC236}">
                <a16:creationId xmlns:a16="http://schemas.microsoft.com/office/drawing/2014/main" id="{00000000-0008-0000-0000-000003000000}"/>
              </a:ext>
            </a:extLst>
          </xdr:cNvPr>
          <xdr:cNvSpPr/>
        </xdr:nvSpPr>
        <xdr:spPr>
          <a:xfrm>
            <a:off x="7733629" y="4095988"/>
            <a:ext cx="45720" cy="4572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 name="Oval 3">
            <a:extLst>
              <a:ext uri="{FF2B5EF4-FFF2-40B4-BE49-F238E27FC236}">
                <a16:creationId xmlns:a16="http://schemas.microsoft.com/office/drawing/2014/main" id="{00000000-0008-0000-0000-000004000000}"/>
              </a:ext>
            </a:extLst>
          </xdr:cNvPr>
          <xdr:cNvSpPr/>
        </xdr:nvSpPr>
        <xdr:spPr>
          <a:xfrm>
            <a:off x="6218680" y="4095988"/>
            <a:ext cx="45720" cy="4572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 name="Oval 4">
            <a:extLst>
              <a:ext uri="{FF2B5EF4-FFF2-40B4-BE49-F238E27FC236}">
                <a16:creationId xmlns:a16="http://schemas.microsoft.com/office/drawing/2014/main" id="{00000000-0008-0000-0000-000005000000}"/>
              </a:ext>
            </a:extLst>
          </xdr:cNvPr>
          <xdr:cNvSpPr/>
        </xdr:nvSpPr>
        <xdr:spPr>
          <a:xfrm>
            <a:off x="7436263" y="4994593"/>
            <a:ext cx="45720" cy="4572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 name="Oval 5">
            <a:extLst>
              <a:ext uri="{FF2B5EF4-FFF2-40B4-BE49-F238E27FC236}">
                <a16:creationId xmlns:a16="http://schemas.microsoft.com/office/drawing/2014/main" id="{00000000-0008-0000-0000-000006000000}"/>
              </a:ext>
            </a:extLst>
          </xdr:cNvPr>
          <xdr:cNvSpPr/>
        </xdr:nvSpPr>
        <xdr:spPr>
          <a:xfrm>
            <a:off x="6501177" y="4994593"/>
            <a:ext cx="45720" cy="4572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48859</xdr:colOff>
      <xdr:row>3</xdr:row>
      <xdr:rowOff>121877</xdr:rowOff>
    </xdr:from>
    <xdr:to>
      <xdr:col>22</xdr:col>
      <xdr:colOff>293924</xdr:colOff>
      <xdr:row>5</xdr:row>
      <xdr:rowOff>20035</xdr:rowOff>
    </xdr:to>
    <xdr:sp macro="" textlink="Processing!J1">
      <xdr:nvSpPr>
        <xdr:cNvPr id="63" name="TextBox 62">
          <a:extLst>
            <a:ext uri="{FF2B5EF4-FFF2-40B4-BE49-F238E27FC236}">
              <a16:creationId xmlns:a16="http://schemas.microsoft.com/office/drawing/2014/main" id="{00000000-0008-0000-0000-00003F000000}"/>
            </a:ext>
          </a:extLst>
        </xdr:cNvPr>
        <xdr:cNvSpPr txBox="1"/>
      </xdr:nvSpPr>
      <xdr:spPr>
        <a:xfrm>
          <a:off x="10533979" y="670517"/>
          <a:ext cx="2683465"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81ED2BA-3D41-46BC-AE93-480A1D14FCC1}" type="TxLink">
            <a:rPr lang="en-US" sz="1200" b="0" i="0" u="none" strike="noStrike">
              <a:solidFill>
                <a:schemeClr val="accent4">
                  <a:lumMod val="20000"/>
                  <a:lumOff val="80000"/>
                </a:schemeClr>
              </a:solidFill>
              <a:latin typeface="Aptos Narrow"/>
              <a:ea typeface="+mn-ea"/>
              <a:cs typeface="+mn-cs"/>
            </a:rPr>
            <a:pPr marL="0" indent="0" algn="ctr"/>
            <a:t>Payroll Work Hour Representation</a:t>
          </a:fld>
          <a:endParaRPr lang="ru-RU" sz="1200" b="0" i="0" u="none" strike="noStrike">
            <a:solidFill>
              <a:schemeClr val="accent4">
                <a:lumMod val="20000"/>
                <a:lumOff val="80000"/>
              </a:schemeClr>
            </a:solidFill>
            <a:latin typeface="Aptos Narrow"/>
            <a:ea typeface="+mn-ea"/>
            <a:cs typeface="+mn-cs"/>
          </a:endParaRPr>
        </a:p>
      </xdr:txBody>
    </xdr:sp>
    <xdr:clientData/>
  </xdr:twoCellAnchor>
  <xdr:twoCellAnchor>
    <xdr:from>
      <xdr:col>10</xdr:col>
      <xdr:colOff>386360</xdr:colOff>
      <xdr:row>17</xdr:row>
      <xdr:rowOff>83361</xdr:rowOff>
    </xdr:from>
    <xdr:to>
      <xdr:col>14</xdr:col>
      <xdr:colOff>51080</xdr:colOff>
      <xdr:row>28</xdr:row>
      <xdr:rowOff>174801</xdr:rowOff>
    </xdr:to>
    <xdr:grpSp>
      <xdr:nvGrpSpPr>
        <xdr:cNvPr id="66" name="Group 65">
          <a:extLst>
            <a:ext uri="{FF2B5EF4-FFF2-40B4-BE49-F238E27FC236}">
              <a16:creationId xmlns:a16="http://schemas.microsoft.com/office/drawing/2014/main" id="{00000000-0008-0000-0000-000042000000}"/>
            </a:ext>
          </a:extLst>
        </xdr:cNvPr>
        <xdr:cNvGrpSpPr/>
      </xdr:nvGrpSpPr>
      <xdr:grpSpPr>
        <a:xfrm>
          <a:off x="5815610" y="3321861"/>
          <a:ext cx="2026920" cy="2186940"/>
          <a:chOff x="5775960" y="3223260"/>
          <a:chExt cx="2473243" cy="2389909"/>
        </a:xfrm>
      </xdr:grpSpPr>
      <xdr:graphicFrame macro="">
        <xdr:nvGraphicFramePr>
          <xdr:cNvPr id="64" name="Chart 63">
            <a:extLst>
              <a:ext uri="{FF2B5EF4-FFF2-40B4-BE49-F238E27FC236}">
                <a16:creationId xmlns:a16="http://schemas.microsoft.com/office/drawing/2014/main" id="{00000000-0008-0000-0000-000040000000}"/>
              </a:ext>
            </a:extLst>
          </xdr:cNvPr>
          <xdr:cNvGraphicFramePr>
            <a:graphicFrameLocks/>
          </xdr:cNvGraphicFramePr>
        </xdr:nvGraphicFramePr>
        <xdr:xfrm>
          <a:off x="5839502" y="3387712"/>
          <a:ext cx="2346159" cy="206100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65" name="Chart 64">
            <a:extLst>
              <a:ext uri="{FF2B5EF4-FFF2-40B4-BE49-F238E27FC236}">
                <a16:creationId xmlns:a16="http://schemas.microsoft.com/office/drawing/2014/main" id="{00000000-0008-0000-0000-000041000000}"/>
              </a:ext>
            </a:extLst>
          </xdr:cNvPr>
          <xdr:cNvGraphicFramePr>
            <a:graphicFrameLocks/>
          </xdr:cNvGraphicFramePr>
        </xdr:nvGraphicFramePr>
        <xdr:xfrm>
          <a:off x="5775960" y="3223260"/>
          <a:ext cx="2473243" cy="238990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12</xdr:col>
      <xdr:colOff>224021</xdr:colOff>
      <xdr:row>17</xdr:row>
      <xdr:rowOff>164199</xdr:rowOff>
    </xdr:from>
    <xdr:to>
      <xdr:col>14</xdr:col>
      <xdr:colOff>256677</xdr:colOff>
      <xdr:row>19</xdr:row>
      <xdr:rowOff>14067</xdr:rowOff>
    </xdr:to>
    <xdr:sp macro="" textlink="Processing!P3">
      <xdr:nvSpPr>
        <xdr:cNvPr id="15" name="TextBox 14">
          <a:extLst>
            <a:ext uri="{FF2B5EF4-FFF2-40B4-BE49-F238E27FC236}">
              <a16:creationId xmlns:a16="http://schemas.microsoft.com/office/drawing/2014/main" id="{00000000-0008-0000-0000-00000F000000}"/>
            </a:ext>
          </a:extLst>
        </xdr:cNvPr>
        <xdr:cNvSpPr txBox="1"/>
      </xdr:nvSpPr>
      <xdr:spPr>
        <a:xfrm>
          <a:off x="7051541" y="3273159"/>
          <a:ext cx="1251856" cy="215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64CE47A-AAFE-4DCF-A7FE-C622DE598110}" type="TxLink">
            <a:rPr lang="en-US" sz="1000" b="0" i="0" u="none" strike="noStrike">
              <a:solidFill>
                <a:schemeClr val="tx2">
                  <a:lumMod val="75000"/>
                  <a:lumOff val="25000"/>
                </a:schemeClr>
              </a:solidFill>
              <a:latin typeface="Aptos Narrow"/>
              <a:ea typeface="+mn-ea"/>
              <a:cs typeface="+mn-cs"/>
            </a:rPr>
            <a:pPr marL="0" indent="0" algn="l"/>
            <a:t>Management</a:t>
          </a:fld>
          <a:endParaRPr lang="ru-RU" sz="1000" b="0" i="0" u="none" strike="noStrike">
            <a:solidFill>
              <a:schemeClr val="tx2">
                <a:lumMod val="75000"/>
                <a:lumOff val="25000"/>
              </a:schemeClr>
            </a:solidFill>
            <a:latin typeface="Aptos Narrow"/>
            <a:ea typeface="+mn-ea"/>
            <a:cs typeface="+mn-cs"/>
          </a:endParaRPr>
        </a:p>
      </xdr:txBody>
    </xdr:sp>
    <xdr:clientData/>
  </xdr:twoCellAnchor>
  <xdr:twoCellAnchor>
    <xdr:from>
      <xdr:col>13</xdr:col>
      <xdr:colOff>359193</xdr:colOff>
      <xdr:row>21</xdr:row>
      <xdr:rowOff>14781</xdr:rowOff>
    </xdr:from>
    <xdr:to>
      <xdr:col>15</xdr:col>
      <xdr:colOff>391849</xdr:colOff>
      <xdr:row>22</xdr:row>
      <xdr:rowOff>47529</xdr:rowOff>
    </xdr:to>
    <xdr:sp macro="" textlink="Processing!P4">
      <xdr:nvSpPr>
        <xdr:cNvPr id="16" name="TextBox 15">
          <a:extLst>
            <a:ext uri="{FF2B5EF4-FFF2-40B4-BE49-F238E27FC236}">
              <a16:creationId xmlns:a16="http://schemas.microsoft.com/office/drawing/2014/main" id="{00000000-0008-0000-0000-000010000000}"/>
            </a:ext>
          </a:extLst>
        </xdr:cNvPr>
        <xdr:cNvSpPr txBox="1"/>
      </xdr:nvSpPr>
      <xdr:spPr>
        <a:xfrm>
          <a:off x="7796313" y="3855261"/>
          <a:ext cx="1251856" cy="215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6B682D-70FA-44AC-A51C-3E3CF853CE88}" type="TxLink">
            <a:rPr lang="en-US" sz="1000" b="0" i="0" u="none" strike="noStrike">
              <a:solidFill>
                <a:schemeClr val="tx2">
                  <a:lumMod val="75000"/>
                  <a:lumOff val="25000"/>
                </a:schemeClr>
              </a:solidFill>
              <a:latin typeface="Aptos Narrow"/>
              <a:ea typeface="+mn-ea"/>
              <a:cs typeface="+mn-cs"/>
            </a:rPr>
            <a:pPr marL="0" indent="0" algn="l"/>
            <a:t>Administrative Staff</a:t>
          </a:fld>
          <a:endParaRPr lang="ru-RU" sz="1000" b="0" i="0" u="none" strike="noStrike">
            <a:solidFill>
              <a:schemeClr val="tx2">
                <a:lumMod val="75000"/>
                <a:lumOff val="25000"/>
              </a:schemeClr>
            </a:solidFill>
            <a:latin typeface="Aptos Narrow"/>
            <a:ea typeface="+mn-ea"/>
            <a:cs typeface="+mn-cs"/>
          </a:endParaRPr>
        </a:p>
      </xdr:txBody>
    </xdr:sp>
    <xdr:clientData/>
  </xdr:twoCellAnchor>
  <xdr:twoCellAnchor>
    <xdr:from>
      <xdr:col>13</xdr:col>
      <xdr:colOff>87523</xdr:colOff>
      <xdr:row>26</xdr:row>
      <xdr:rowOff>46254</xdr:rowOff>
    </xdr:from>
    <xdr:to>
      <xdr:col>15</xdr:col>
      <xdr:colOff>120179</xdr:colOff>
      <xdr:row>27</xdr:row>
      <xdr:rowOff>81653</xdr:rowOff>
    </xdr:to>
    <xdr:sp macro="" textlink="Processing!P5">
      <xdr:nvSpPr>
        <xdr:cNvPr id="33" name="TextBox 32">
          <a:extLst>
            <a:ext uri="{FF2B5EF4-FFF2-40B4-BE49-F238E27FC236}">
              <a16:creationId xmlns:a16="http://schemas.microsoft.com/office/drawing/2014/main" id="{00000000-0008-0000-0000-000021000000}"/>
            </a:ext>
          </a:extLst>
        </xdr:cNvPr>
        <xdr:cNvSpPr txBox="1"/>
      </xdr:nvSpPr>
      <xdr:spPr>
        <a:xfrm>
          <a:off x="7524643" y="4801134"/>
          <a:ext cx="1251856" cy="218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A6C0994-632A-4414-8CF7-4E682183989F}" type="TxLink">
            <a:rPr lang="en-US" sz="1000" b="0" i="0" u="none" strike="noStrike">
              <a:solidFill>
                <a:schemeClr val="tx2">
                  <a:lumMod val="75000"/>
                  <a:lumOff val="25000"/>
                </a:schemeClr>
              </a:solidFill>
              <a:latin typeface="Aptos Narrow"/>
              <a:ea typeface="+mn-ea"/>
              <a:cs typeface="+mn-cs"/>
            </a:rPr>
            <a:pPr marL="0" indent="0" algn="l"/>
            <a:t>Sales Department</a:t>
          </a:fld>
          <a:endParaRPr lang="ru-RU" sz="1000" b="0" i="0" u="none" strike="noStrike">
            <a:solidFill>
              <a:schemeClr val="tx2">
                <a:lumMod val="75000"/>
                <a:lumOff val="25000"/>
              </a:schemeClr>
            </a:solidFill>
            <a:latin typeface="Aptos Narrow"/>
            <a:ea typeface="+mn-ea"/>
            <a:cs typeface="+mn-cs"/>
          </a:endParaRPr>
        </a:p>
      </xdr:txBody>
    </xdr:sp>
    <xdr:clientData/>
  </xdr:twoCellAnchor>
  <xdr:twoCellAnchor>
    <xdr:from>
      <xdr:col>9</xdr:col>
      <xdr:colOff>291274</xdr:colOff>
      <xdr:row>26</xdr:row>
      <xdr:rowOff>46254</xdr:rowOff>
    </xdr:from>
    <xdr:to>
      <xdr:col>11</xdr:col>
      <xdr:colOff>323930</xdr:colOff>
      <xdr:row>27</xdr:row>
      <xdr:rowOff>81653</xdr:rowOff>
    </xdr:to>
    <xdr:sp macro="" textlink="Processing!P6">
      <xdr:nvSpPr>
        <xdr:cNvPr id="34" name="TextBox 33">
          <a:extLst>
            <a:ext uri="{FF2B5EF4-FFF2-40B4-BE49-F238E27FC236}">
              <a16:creationId xmlns:a16="http://schemas.microsoft.com/office/drawing/2014/main" id="{00000000-0008-0000-0000-000022000000}"/>
            </a:ext>
          </a:extLst>
        </xdr:cNvPr>
        <xdr:cNvSpPr txBox="1"/>
      </xdr:nvSpPr>
      <xdr:spPr>
        <a:xfrm>
          <a:off x="5289994" y="4801134"/>
          <a:ext cx="1251856" cy="218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8E1BB50-BE9D-4B8E-9D81-AB2EC02263CE}" type="TxLink">
            <a:rPr lang="en-US" sz="1000" b="0" i="0" u="none" strike="noStrike">
              <a:solidFill>
                <a:schemeClr val="tx2">
                  <a:lumMod val="75000"/>
                  <a:lumOff val="25000"/>
                </a:schemeClr>
              </a:solidFill>
              <a:latin typeface="Aptos Narrow"/>
              <a:ea typeface="+mn-ea"/>
              <a:cs typeface="+mn-cs"/>
            </a:rPr>
            <a:pPr marL="0" indent="0" algn="r"/>
            <a:t>Production Department</a:t>
          </a:fld>
          <a:endParaRPr lang="ru-RU" sz="1000" b="0" i="0" u="none" strike="noStrike">
            <a:solidFill>
              <a:schemeClr val="tx2">
                <a:lumMod val="75000"/>
                <a:lumOff val="25000"/>
              </a:schemeClr>
            </a:solidFill>
            <a:latin typeface="Aptos Narrow"/>
            <a:ea typeface="+mn-ea"/>
            <a:cs typeface="+mn-cs"/>
          </a:endParaRPr>
        </a:p>
      </xdr:txBody>
    </xdr:sp>
    <xdr:clientData/>
  </xdr:twoCellAnchor>
  <xdr:twoCellAnchor>
    <xdr:from>
      <xdr:col>9</xdr:col>
      <xdr:colOff>6022</xdr:colOff>
      <xdr:row>21</xdr:row>
      <xdr:rowOff>14781</xdr:rowOff>
    </xdr:from>
    <xdr:to>
      <xdr:col>11</xdr:col>
      <xdr:colOff>66982</xdr:colOff>
      <xdr:row>22</xdr:row>
      <xdr:rowOff>47529</xdr:rowOff>
    </xdr:to>
    <xdr:sp macro="" textlink="Processing!P7">
      <xdr:nvSpPr>
        <xdr:cNvPr id="42" name="TextBox 41">
          <a:extLst>
            <a:ext uri="{FF2B5EF4-FFF2-40B4-BE49-F238E27FC236}">
              <a16:creationId xmlns:a16="http://schemas.microsoft.com/office/drawing/2014/main" id="{00000000-0008-0000-0000-00002A000000}"/>
            </a:ext>
          </a:extLst>
        </xdr:cNvPr>
        <xdr:cNvSpPr txBox="1"/>
      </xdr:nvSpPr>
      <xdr:spPr>
        <a:xfrm>
          <a:off x="5004742" y="3855261"/>
          <a:ext cx="1280160" cy="215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E5206CB-A838-45F5-A4FC-3D8FF0F852FB}" type="TxLink">
            <a:rPr lang="en-US" sz="1000" b="0" i="0" u="none" strike="noStrike">
              <a:solidFill>
                <a:schemeClr val="tx2">
                  <a:lumMod val="75000"/>
                  <a:lumOff val="25000"/>
                </a:schemeClr>
              </a:solidFill>
              <a:latin typeface="Aptos Narrow"/>
              <a:ea typeface="+mn-ea"/>
              <a:cs typeface="+mn-cs"/>
            </a:rPr>
            <a:pPr marL="0" indent="0" algn="r"/>
            <a:t>Logistics Department</a:t>
          </a:fld>
          <a:endParaRPr lang="ru-RU" sz="1000" b="0" i="0" u="none" strike="noStrike">
            <a:solidFill>
              <a:schemeClr val="tx2">
                <a:lumMod val="75000"/>
                <a:lumOff val="25000"/>
              </a:schemeClr>
            </a:solidFill>
            <a:latin typeface="Aptos Narrow"/>
            <a:ea typeface="+mn-ea"/>
            <a:cs typeface="+mn-cs"/>
          </a:endParaRPr>
        </a:p>
      </xdr:txBody>
    </xdr:sp>
    <xdr:clientData/>
  </xdr:twoCellAnchor>
  <xdr:twoCellAnchor>
    <xdr:from>
      <xdr:col>9</xdr:col>
      <xdr:colOff>132879</xdr:colOff>
      <xdr:row>17</xdr:row>
      <xdr:rowOff>167597</xdr:rowOff>
    </xdr:from>
    <xdr:to>
      <xdr:col>11</xdr:col>
      <xdr:colOff>137160</xdr:colOff>
      <xdr:row>19</xdr:row>
      <xdr:rowOff>65755</xdr:rowOff>
    </xdr:to>
    <xdr:sp macro="" textlink="Processing!N1">
      <xdr:nvSpPr>
        <xdr:cNvPr id="43" name="TextBox 42">
          <a:extLst>
            <a:ext uri="{FF2B5EF4-FFF2-40B4-BE49-F238E27FC236}">
              <a16:creationId xmlns:a16="http://schemas.microsoft.com/office/drawing/2014/main" id="{00000000-0008-0000-0000-00002B000000}"/>
            </a:ext>
          </a:extLst>
        </xdr:cNvPr>
        <xdr:cNvSpPr txBox="1"/>
      </xdr:nvSpPr>
      <xdr:spPr>
        <a:xfrm>
          <a:off x="5131599" y="3276557"/>
          <a:ext cx="122348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174DB6-6331-4B2C-BAE7-592EC871F1EA}" type="TxLink">
            <a:rPr lang="en-US" sz="1200" b="0" i="0" u="none" strike="noStrike">
              <a:solidFill>
                <a:schemeClr val="accent4">
                  <a:lumMod val="20000"/>
                  <a:lumOff val="80000"/>
                </a:schemeClr>
              </a:solidFill>
              <a:latin typeface="Aptos Narrow"/>
              <a:ea typeface="+mn-ea"/>
              <a:cs typeface="+mn-cs"/>
            </a:rPr>
            <a:pPr marL="0" indent="0" algn="l"/>
            <a:t>Performance </a:t>
          </a:fld>
          <a:endParaRPr lang="ru-RU" sz="1200" b="0" i="0" u="none" strike="noStrike">
            <a:solidFill>
              <a:schemeClr val="accent4">
                <a:lumMod val="20000"/>
                <a:lumOff val="80000"/>
              </a:schemeClr>
            </a:solidFill>
            <a:latin typeface="Aptos Narrow"/>
            <a:ea typeface="+mn-ea"/>
            <a:cs typeface="+mn-cs"/>
          </a:endParaRPr>
        </a:p>
      </xdr:txBody>
    </xdr:sp>
    <xdr:clientData/>
  </xdr:twoCellAnchor>
  <xdr:twoCellAnchor>
    <xdr:from>
      <xdr:col>14</xdr:col>
      <xdr:colOff>68581</xdr:colOff>
      <xdr:row>17</xdr:row>
      <xdr:rowOff>149499</xdr:rowOff>
    </xdr:from>
    <xdr:to>
      <xdr:col>15</xdr:col>
      <xdr:colOff>1</xdr:colOff>
      <xdr:row>19</xdr:row>
      <xdr:rowOff>47657</xdr:rowOff>
    </xdr:to>
    <xdr:sp macro="" textlink="Processing!O2">
      <xdr:nvSpPr>
        <xdr:cNvPr id="44" name="TextBox 43">
          <a:extLst>
            <a:ext uri="{FF2B5EF4-FFF2-40B4-BE49-F238E27FC236}">
              <a16:creationId xmlns:a16="http://schemas.microsoft.com/office/drawing/2014/main" id="{00000000-0008-0000-0000-00002C000000}"/>
            </a:ext>
          </a:extLst>
        </xdr:cNvPr>
        <xdr:cNvSpPr txBox="1"/>
      </xdr:nvSpPr>
      <xdr:spPr>
        <a:xfrm>
          <a:off x="8115301" y="3258459"/>
          <a:ext cx="541020"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00F2E33-8125-4971-9329-38C5B111454F}" type="TxLink">
            <a:rPr lang="en-US" sz="1100" b="0" i="0" u="none" strike="noStrike">
              <a:solidFill>
                <a:srgbClr val="3B9BD1"/>
              </a:solidFill>
              <a:latin typeface="Aptos Narrow"/>
              <a:ea typeface="+mn-ea"/>
              <a:cs typeface="+mn-cs"/>
            </a:rPr>
            <a:pPr marL="0" indent="0" algn="l"/>
            <a:t>MoM</a:t>
          </a:fld>
          <a:endParaRPr lang="ru-RU" sz="1200" b="0" i="0" u="none" strike="noStrike">
            <a:solidFill>
              <a:srgbClr val="3B9BD1"/>
            </a:solidFill>
            <a:latin typeface="Aptos Narrow"/>
            <a:ea typeface="+mn-ea"/>
            <a:cs typeface="+mn-cs"/>
          </a:endParaRPr>
        </a:p>
      </xdr:txBody>
    </xdr:sp>
    <xdr:clientData/>
  </xdr:twoCellAnchor>
  <xdr:twoCellAnchor>
    <xdr:from>
      <xdr:col>14</xdr:col>
      <xdr:colOff>68581</xdr:colOff>
      <xdr:row>18</xdr:row>
      <xdr:rowOff>179028</xdr:rowOff>
    </xdr:from>
    <xdr:to>
      <xdr:col>14</xdr:col>
      <xdr:colOff>537682</xdr:colOff>
      <xdr:row>20</xdr:row>
      <xdr:rowOff>77186</xdr:rowOff>
    </xdr:to>
    <xdr:sp macro="" textlink="Processing!N2">
      <xdr:nvSpPr>
        <xdr:cNvPr id="45" name="TextBox 44">
          <a:extLst>
            <a:ext uri="{FF2B5EF4-FFF2-40B4-BE49-F238E27FC236}">
              <a16:creationId xmlns:a16="http://schemas.microsoft.com/office/drawing/2014/main" id="{00000000-0008-0000-0000-00002D000000}"/>
            </a:ext>
          </a:extLst>
        </xdr:cNvPr>
        <xdr:cNvSpPr txBox="1"/>
      </xdr:nvSpPr>
      <xdr:spPr>
        <a:xfrm>
          <a:off x="8115301" y="3470868"/>
          <a:ext cx="46910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2276457-BFF5-4BD9-BCCC-65A2965B1E15}" type="TxLink">
            <a:rPr lang="en-US" sz="1000" b="0" i="0" u="none" strike="noStrike">
              <a:solidFill>
                <a:srgbClr val="3B9BD1"/>
              </a:solidFill>
              <a:latin typeface="Aptos Narrow"/>
              <a:ea typeface="+mn-ea"/>
              <a:cs typeface="+mn-cs"/>
            </a:rPr>
            <a:pPr marL="0" indent="0" algn="l"/>
            <a:t>KPI</a:t>
          </a:fld>
          <a:endParaRPr lang="ru-RU" sz="1050" b="0" i="0" u="none" strike="noStrike">
            <a:solidFill>
              <a:srgbClr val="3B9BD1"/>
            </a:solidFill>
            <a:latin typeface="Aptos Narrow"/>
            <a:ea typeface="+mn-ea"/>
            <a:cs typeface="+mn-cs"/>
          </a:endParaRPr>
        </a:p>
      </xdr:txBody>
    </xdr:sp>
    <xdr:clientData/>
  </xdr:twoCellAnchor>
  <xdr:twoCellAnchor>
    <xdr:from>
      <xdr:col>14</xdr:col>
      <xdr:colOff>435712</xdr:colOff>
      <xdr:row>17</xdr:row>
      <xdr:rowOff>149499</xdr:rowOff>
    </xdr:from>
    <xdr:to>
      <xdr:col>15</xdr:col>
      <xdr:colOff>367132</xdr:colOff>
      <xdr:row>19</xdr:row>
      <xdr:rowOff>47657</xdr:rowOff>
    </xdr:to>
    <xdr:sp macro="" textlink="Processing!O8">
      <xdr:nvSpPr>
        <xdr:cNvPr id="46" name="TextBox 45">
          <a:extLst>
            <a:ext uri="{FF2B5EF4-FFF2-40B4-BE49-F238E27FC236}">
              <a16:creationId xmlns:a16="http://schemas.microsoft.com/office/drawing/2014/main" id="{00000000-0008-0000-0000-00002E000000}"/>
            </a:ext>
          </a:extLst>
        </xdr:cNvPr>
        <xdr:cNvSpPr txBox="1"/>
      </xdr:nvSpPr>
      <xdr:spPr>
        <a:xfrm>
          <a:off x="8482432" y="3258459"/>
          <a:ext cx="541020"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569C7A-6441-4C7D-A5C5-B54AB8723937}" type="TxLink">
            <a:rPr lang="en-US" sz="1100" b="0" i="0" u="none" strike="noStrike">
              <a:solidFill>
                <a:srgbClr val="6FD8F1"/>
              </a:solidFill>
              <a:latin typeface="Aptos Narrow"/>
              <a:ea typeface="+mn-ea"/>
              <a:cs typeface="+mn-cs"/>
            </a:rPr>
            <a:pPr marL="0" indent="0" algn="ctr"/>
            <a:t>51%</a:t>
          </a:fld>
          <a:endParaRPr lang="ru-RU" sz="1200" b="0" i="0" u="none" strike="noStrike">
            <a:solidFill>
              <a:srgbClr val="6FD8F1"/>
            </a:solidFill>
            <a:latin typeface="Aptos Narrow"/>
            <a:ea typeface="+mn-ea"/>
            <a:cs typeface="+mn-cs"/>
          </a:endParaRPr>
        </a:p>
      </xdr:txBody>
    </xdr:sp>
    <xdr:clientData/>
  </xdr:twoCellAnchor>
  <xdr:twoCellAnchor>
    <xdr:from>
      <xdr:col>14</xdr:col>
      <xdr:colOff>448217</xdr:colOff>
      <xdr:row>18</xdr:row>
      <xdr:rowOff>179028</xdr:rowOff>
    </xdr:from>
    <xdr:to>
      <xdr:col>15</xdr:col>
      <xdr:colOff>354628</xdr:colOff>
      <xdr:row>20</xdr:row>
      <xdr:rowOff>77186</xdr:rowOff>
    </xdr:to>
    <xdr:sp macro="" textlink="Processing!N8">
      <xdr:nvSpPr>
        <xdr:cNvPr id="67" name="TextBox 66">
          <a:extLst>
            <a:ext uri="{FF2B5EF4-FFF2-40B4-BE49-F238E27FC236}">
              <a16:creationId xmlns:a16="http://schemas.microsoft.com/office/drawing/2014/main" id="{00000000-0008-0000-0000-000043000000}"/>
            </a:ext>
          </a:extLst>
        </xdr:cNvPr>
        <xdr:cNvSpPr txBox="1"/>
      </xdr:nvSpPr>
      <xdr:spPr>
        <a:xfrm>
          <a:off x="8494937" y="3470868"/>
          <a:ext cx="51601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060C5E0-6BFA-45E5-B7BC-553635894B88}" type="TxLink">
            <a:rPr lang="en-US" sz="1100" b="0" i="0" u="none" strike="noStrike">
              <a:solidFill>
                <a:srgbClr val="6FD8F1"/>
              </a:solidFill>
              <a:latin typeface="Aptos Narrow"/>
              <a:ea typeface="+mn-ea"/>
              <a:cs typeface="+mn-cs"/>
            </a:rPr>
            <a:pPr marL="0" indent="0" algn="ctr"/>
            <a:t>68%</a:t>
          </a:fld>
          <a:endParaRPr lang="ru-RU" sz="1050" b="0" i="0" u="none" strike="noStrike">
            <a:solidFill>
              <a:srgbClr val="6FD8F1"/>
            </a:solidFill>
            <a:latin typeface="Aptos Narrow"/>
            <a:ea typeface="+mn-ea"/>
            <a:cs typeface="+mn-cs"/>
          </a:endParaRPr>
        </a:p>
      </xdr:txBody>
    </xdr:sp>
    <xdr:clientData/>
  </xdr:twoCellAnchor>
  <xdr:twoCellAnchor>
    <xdr:from>
      <xdr:col>14</xdr:col>
      <xdr:colOff>7620</xdr:colOff>
      <xdr:row>18</xdr:row>
      <xdr:rowOff>58102</xdr:rowOff>
    </xdr:from>
    <xdr:to>
      <xdr:col>14</xdr:col>
      <xdr:colOff>99060</xdr:colOff>
      <xdr:row>18</xdr:row>
      <xdr:rowOff>149542</xdr:rowOff>
    </xdr:to>
    <xdr:sp macro="" textlink="">
      <xdr:nvSpPr>
        <xdr:cNvPr id="68" name="Oval 67">
          <a:extLst>
            <a:ext uri="{FF2B5EF4-FFF2-40B4-BE49-F238E27FC236}">
              <a16:creationId xmlns:a16="http://schemas.microsoft.com/office/drawing/2014/main" id="{00000000-0008-0000-0000-000044000000}"/>
            </a:ext>
          </a:extLst>
        </xdr:cNvPr>
        <xdr:cNvSpPr/>
      </xdr:nvSpPr>
      <xdr:spPr>
        <a:xfrm>
          <a:off x="8054340" y="3349942"/>
          <a:ext cx="91440" cy="91440"/>
        </a:xfrm>
        <a:prstGeom prst="ellipse">
          <a:avLst/>
        </a:prstGeom>
        <a:solidFill>
          <a:srgbClr val="6FD8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7620</xdr:colOff>
      <xdr:row>19</xdr:row>
      <xdr:rowOff>80011</xdr:rowOff>
    </xdr:from>
    <xdr:to>
      <xdr:col>14</xdr:col>
      <xdr:colOff>99060</xdr:colOff>
      <xdr:row>19</xdr:row>
      <xdr:rowOff>171451</xdr:rowOff>
    </xdr:to>
    <xdr:sp macro="" textlink="">
      <xdr:nvSpPr>
        <xdr:cNvPr id="69" name="Oval 68">
          <a:extLst>
            <a:ext uri="{FF2B5EF4-FFF2-40B4-BE49-F238E27FC236}">
              <a16:creationId xmlns:a16="http://schemas.microsoft.com/office/drawing/2014/main" id="{00000000-0008-0000-0000-000045000000}"/>
            </a:ext>
          </a:extLst>
        </xdr:cNvPr>
        <xdr:cNvSpPr/>
      </xdr:nvSpPr>
      <xdr:spPr>
        <a:xfrm>
          <a:off x="8054340" y="3554731"/>
          <a:ext cx="91440" cy="91440"/>
        </a:xfrm>
        <a:prstGeom prst="ellipse">
          <a:avLst/>
        </a:prstGeom>
        <a:solidFill>
          <a:srgbClr val="008A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0</xdr:colOff>
      <xdr:row>18</xdr:row>
      <xdr:rowOff>167640</xdr:rowOff>
    </xdr:from>
    <xdr:to>
      <xdr:col>22</xdr:col>
      <xdr:colOff>457200</xdr:colOff>
      <xdr:row>28</xdr:row>
      <xdr:rowOff>0</xdr:rowOff>
    </xdr:to>
    <xdr:graphicFrame macro="">
      <xdr:nvGraphicFramePr>
        <xdr:cNvPr id="75" name="Chart 74">
          <a:extLst>
            <a:ext uri="{FF2B5EF4-FFF2-40B4-BE49-F238E27FC236}">
              <a16:creationId xmlns:a16="http://schemas.microsoft.com/office/drawing/2014/main" id="{00000000-0008-0000-0000-00004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179673</xdr:colOff>
      <xdr:row>17</xdr:row>
      <xdr:rowOff>167597</xdr:rowOff>
    </xdr:from>
    <xdr:to>
      <xdr:col>18</xdr:col>
      <xdr:colOff>440885</xdr:colOff>
      <xdr:row>19</xdr:row>
      <xdr:rowOff>65755</xdr:rowOff>
    </xdr:to>
    <xdr:sp macro="" textlink="Processing!F12">
      <xdr:nvSpPr>
        <xdr:cNvPr id="76" name="TextBox 75">
          <a:extLst>
            <a:ext uri="{FF2B5EF4-FFF2-40B4-BE49-F238E27FC236}">
              <a16:creationId xmlns:a16="http://schemas.microsoft.com/office/drawing/2014/main" id="{00000000-0008-0000-0000-00004C000000}"/>
            </a:ext>
          </a:extLst>
        </xdr:cNvPr>
        <xdr:cNvSpPr txBox="1"/>
      </xdr:nvSpPr>
      <xdr:spPr>
        <a:xfrm>
          <a:off x="9445593" y="3276557"/>
          <a:ext cx="1480412"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364DE8B-F12A-4DE0-AD57-2D39EFBE7A5E}" type="TxLink">
            <a:rPr lang="en-US" sz="1200" b="0" i="0" u="none" strike="noStrike">
              <a:solidFill>
                <a:schemeClr val="accent4">
                  <a:lumMod val="20000"/>
                  <a:lumOff val="80000"/>
                </a:schemeClr>
              </a:solidFill>
              <a:latin typeface="Aptos Narrow"/>
              <a:ea typeface="+mn-ea"/>
              <a:cs typeface="+mn-cs"/>
            </a:rPr>
            <a:pPr marL="0" indent="0" algn="l"/>
            <a:t>Payroll Fundation</a:t>
          </a:fld>
          <a:endParaRPr lang="ru-RU" sz="1200" b="0" i="0" u="none" strike="noStrike">
            <a:solidFill>
              <a:schemeClr val="accent4">
                <a:lumMod val="20000"/>
                <a:lumOff val="80000"/>
              </a:schemeClr>
            </a:solidFill>
            <a:latin typeface="Aptos Narrow"/>
            <a:ea typeface="+mn-ea"/>
            <a:cs typeface="+mn-cs"/>
          </a:endParaRPr>
        </a:p>
      </xdr:txBody>
    </xdr:sp>
    <xdr:clientData/>
  </xdr:twoCellAnchor>
  <xdr:twoCellAnchor>
    <xdr:from>
      <xdr:col>19</xdr:col>
      <xdr:colOff>568293</xdr:colOff>
      <xdr:row>17</xdr:row>
      <xdr:rowOff>167597</xdr:rowOff>
    </xdr:from>
    <xdr:to>
      <xdr:col>22</xdr:col>
      <xdr:colOff>219905</xdr:colOff>
      <xdr:row>19</xdr:row>
      <xdr:rowOff>65755</xdr:rowOff>
    </xdr:to>
    <xdr:sp macro="" textlink="Processing!I27">
      <xdr:nvSpPr>
        <xdr:cNvPr id="77" name="TextBox 76">
          <a:extLst>
            <a:ext uri="{FF2B5EF4-FFF2-40B4-BE49-F238E27FC236}">
              <a16:creationId xmlns:a16="http://schemas.microsoft.com/office/drawing/2014/main" id="{00000000-0008-0000-0000-00004D000000}"/>
            </a:ext>
          </a:extLst>
        </xdr:cNvPr>
        <xdr:cNvSpPr txBox="1"/>
      </xdr:nvSpPr>
      <xdr:spPr>
        <a:xfrm>
          <a:off x="11663013" y="3276557"/>
          <a:ext cx="1480412"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334CAC5-F600-45DA-A68C-59702B7A1EAF}" type="TxLink">
            <a:rPr lang="en-US" sz="1400" b="0" i="0" u="none" strike="noStrike">
              <a:solidFill>
                <a:schemeClr val="accent4">
                  <a:lumMod val="20000"/>
                  <a:lumOff val="80000"/>
                </a:schemeClr>
              </a:solidFill>
              <a:latin typeface="Aptos Narrow"/>
              <a:ea typeface="+mn-ea"/>
              <a:cs typeface="+mn-cs"/>
            </a:rPr>
            <a:pPr marL="0" indent="0" algn="r"/>
            <a:t> $118,840 </a:t>
          </a:fld>
          <a:endParaRPr lang="ru-RU" sz="1400" b="0" i="0" u="none" strike="noStrike">
            <a:solidFill>
              <a:schemeClr val="accent4">
                <a:lumMod val="20000"/>
                <a:lumOff val="80000"/>
              </a:schemeClr>
            </a:solidFill>
            <a:latin typeface="Aptos Narrow"/>
            <a:ea typeface="+mn-ea"/>
            <a:cs typeface="+mn-cs"/>
          </a:endParaRPr>
        </a:p>
      </xdr:txBody>
    </xdr:sp>
    <xdr:clientData/>
  </xdr:twoCellAnchor>
  <xdr:twoCellAnchor>
    <xdr:from>
      <xdr:col>17</xdr:col>
      <xdr:colOff>411480</xdr:colOff>
      <xdr:row>31</xdr:row>
      <xdr:rowOff>22860</xdr:rowOff>
    </xdr:from>
    <xdr:to>
      <xdr:col>22</xdr:col>
      <xdr:colOff>563880</xdr:colOff>
      <xdr:row>39</xdr:row>
      <xdr:rowOff>22860</xdr:rowOff>
    </xdr:to>
    <xdr:graphicFrame macro="">
      <xdr:nvGraphicFramePr>
        <xdr:cNvPr id="78" name="Chart 77">
          <a:extLst>
            <a:ext uri="{FF2B5EF4-FFF2-40B4-BE49-F238E27FC236}">
              <a16:creationId xmlns:a16="http://schemas.microsoft.com/office/drawing/2014/main" id="{00000000-0008-0000-0000-00004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407199</xdr:colOff>
      <xdr:row>30</xdr:row>
      <xdr:rowOff>60917</xdr:rowOff>
    </xdr:from>
    <xdr:to>
      <xdr:col>19</xdr:col>
      <xdr:colOff>411480</xdr:colOff>
      <xdr:row>31</xdr:row>
      <xdr:rowOff>141955</xdr:rowOff>
    </xdr:to>
    <xdr:sp macro="" textlink="Processing!K18">
      <xdr:nvSpPr>
        <xdr:cNvPr id="79" name="TextBox 78">
          <a:extLst>
            <a:ext uri="{FF2B5EF4-FFF2-40B4-BE49-F238E27FC236}">
              <a16:creationId xmlns:a16="http://schemas.microsoft.com/office/drawing/2014/main" id="{00000000-0008-0000-0000-00004F000000}"/>
            </a:ext>
          </a:extLst>
        </xdr:cNvPr>
        <xdr:cNvSpPr txBox="1"/>
      </xdr:nvSpPr>
      <xdr:spPr>
        <a:xfrm>
          <a:off x="10282719" y="5547317"/>
          <a:ext cx="122348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6805B9B-D6B3-4780-8453-42CB343775F1}" type="TxLink">
            <a:rPr lang="en-US" sz="1200" b="0" i="0" u="none" strike="noStrike">
              <a:solidFill>
                <a:schemeClr val="accent4">
                  <a:lumMod val="20000"/>
                  <a:lumOff val="80000"/>
                </a:schemeClr>
              </a:solidFill>
              <a:latin typeface="Aptos Narrow"/>
              <a:ea typeface="+mn-ea"/>
              <a:cs typeface="+mn-cs"/>
            </a:rPr>
            <a:pPr marL="0" indent="0" algn="l"/>
            <a:t>Top 5 Employees</a:t>
          </a:fld>
          <a:endParaRPr lang="ru-RU" sz="1200" b="0" i="0" u="none" strike="noStrike">
            <a:solidFill>
              <a:schemeClr val="accent4">
                <a:lumMod val="20000"/>
                <a:lumOff val="80000"/>
              </a:schemeClr>
            </a:solidFill>
            <a:latin typeface="Aptos Narrow"/>
            <a:ea typeface="+mn-ea"/>
            <a:cs typeface="+mn-cs"/>
          </a:endParaRPr>
        </a:p>
      </xdr:txBody>
    </xdr:sp>
    <xdr:clientData/>
  </xdr:twoCellAnchor>
  <xdr:twoCellAnchor>
    <xdr:from>
      <xdr:col>20</xdr:col>
      <xdr:colOff>102399</xdr:colOff>
      <xdr:row>30</xdr:row>
      <xdr:rowOff>60917</xdr:rowOff>
    </xdr:from>
    <xdr:to>
      <xdr:col>21</xdr:col>
      <xdr:colOff>83820</xdr:colOff>
      <xdr:row>31</xdr:row>
      <xdr:rowOff>141955</xdr:rowOff>
    </xdr:to>
    <xdr:sp macro="" textlink="Processing!N18">
      <xdr:nvSpPr>
        <xdr:cNvPr id="80" name="TextBox 79">
          <a:extLst>
            <a:ext uri="{FF2B5EF4-FFF2-40B4-BE49-F238E27FC236}">
              <a16:creationId xmlns:a16="http://schemas.microsoft.com/office/drawing/2014/main" id="{00000000-0008-0000-0000-000050000000}"/>
            </a:ext>
          </a:extLst>
        </xdr:cNvPr>
        <xdr:cNvSpPr txBox="1"/>
      </xdr:nvSpPr>
      <xdr:spPr>
        <a:xfrm>
          <a:off x="11806719" y="5547317"/>
          <a:ext cx="59102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16583C5-2333-4072-9950-50084CC9A056}" type="TxLink">
            <a:rPr lang="en-US" sz="1000" b="0" i="0" u="none" strike="noStrike">
              <a:solidFill>
                <a:schemeClr val="tx2">
                  <a:lumMod val="75000"/>
                  <a:lumOff val="25000"/>
                </a:schemeClr>
              </a:solidFill>
              <a:latin typeface="Aptos Narrow"/>
              <a:ea typeface="+mn-ea"/>
              <a:cs typeface="+mn-cs"/>
            </a:rPr>
            <a:pPr marL="0" indent="0" algn="r"/>
            <a:t>Bonus</a:t>
          </a:fld>
          <a:endParaRPr lang="ru-RU" sz="1000" b="0" i="0" u="none" strike="noStrike">
            <a:solidFill>
              <a:schemeClr val="tx2">
                <a:lumMod val="75000"/>
                <a:lumOff val="25000"/>
              </a:schemeClr>
            </a:solidFill>
            <a:latin typeface="Aptos Narrow"/>
            <a:ea typeface="+mn-ea"/>
            <a:cs typeface="+mn-cs"/>
          </a:endParaRPr>
        </a:p>
      </xdr:txBody>
    </xdr:sp>
    <xdr:clientData/>
  </xdr:twoCellAnchor>
  <xdr:twoCellAnchor>
    <xdr:from>
      <xdr:col>21</xdr:col>
      <xdr:colOff>216699</xdr:colOff>
      <xdr:row>30</xdr:row>
      <xdr:rowOff>60917</xdr:rowOff>
    </xdr:from>
    <xdr:to>
      <xdr:col>22</xdr:col>
      <xdr:colOff>198120</xdr:colOff>
      <xdr:row>31</xdr:row>
      <xdr:rowOff>141955</xdr:rowOff>
    </xdr:to>
    <xdr:sp macro="" textlink="Processing!M18">
      <xdr:nvSpPr>
        <xdr:cNvPr id="81" name="TextBox 80">
          <a:extLst>
            <a:ext uri="{FF2B5EF4-FFF2-40B4-BE49-F238E27FC236}">
              <a16:creationId xmlns:a16="http://schemas.microsoft.com/office/drawing/2014/main" id="{00000000-0008-0000-0000-000051000000}"/>
            </a:ext>
          </a:extLst>
        </xdr:cNvPr>
        <xdr:cNvSpPr txBox="1"/>
      </xdr:nvSpPr>
      <xdr:spPr>
        <a:xfrm>
          <a:off x="12530619" y="5547317"/>
          <a:ext cx="59102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DF2DC2D-5E7E-44ED-8FC7-F6F7F543924F}" type="TxLink">
            <a:rPr lang="en-US" sz="1000" b="0" i="0" u="none" strike="noStrike">
              <a:solidFill>
                <a:schemeClr val="tx2">
                  <a:lumMod val="75000"/>
                  <a:lumOff val="25000"/>
                </a:schemeClr>
              </a:solidFill>
              <a:latin typeface="Aptos Narrow"/>
              <a:ea typeface="+mn-ea"/>
              <a:cs typeface="+mn-cs"/>
            </a:rPr>
            <a:pPr marL="0" indent="0" algn="r"/>
            <a:t>Salary</a:t>
          </a:fld>
          <a:endParaRPr lang="ru-RU" sz="1000" b="0" i="0" u="none" strike="noStrike">
            <a:solidFill>
              <a:schemeClr val="tx2">
                <a:lumMod val="75000"/>
                <a:lumOff val="25000"/>
              </a:schemeClr>
            </a:solidFill>
            <a:latin typeface="Aptos Narrow"/>
            <a:ea typeface="+mn-ea"/>
            <a:cs typeface="+mn-cs"/>
          </a:endParaRPr>
        </a:p>
      </xdr:txBody>
    </xdr:sp>
    <xdr:clientData/>
  </xdr:twoCellAnchor>
  <xdr:twoCellAnchor>
    <xdr:from>
      <xdr:col>20</xdr:col>
      <xdr:colOff>102399</xdr:colOff>
      <xdr:row>30</xdr:row>
      <xdr:rowOff>60917</xdr:rowOff>
    </xdr:from>
    <xdr:to>
      <xdr:col>21</xdr:col>
      <xdr:colOff>83820</xdr:colOff>
      <xdr:row>31</xdr:row>
      <xdr:rowOff>141955</xdr:rowOff>
    </xdr:to>
    <xdr:sp macro="" textlink="Processing!N17">
      <xdr:nvSpPr>
        <xdr:cNvPr id="82" name="TextBox 81">
          <a:extLst>
            <a:ext uri="{FF2B5EF4-FFF2-40B4-BE49-F238E27FC236}">
              <a16:creationId xmlns:a16="http://schemas.microsoft.com/office/drawing/2014/main" id="{00000000-0008-0000-0000-000052000000}"/>
            </a:ext>
          </a:extLst>
        </xdr:cNvPr>
        <xdr:cNvSpPr txBox="1"/>
      </xdr:nvSpPr>
      <xdr:spPr>
        <a:xfrm>
          <a:off x="11806719" y="5547317"/>
          <a:ext cx="59102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78DFBE5-5692-459D-AFAA-99358011AB79}" type="TxLink">
            <a:rPr lang="en-US" sz="1100" b="0" i="0" u="none" strike="noStrike">
              <a:solidFill>
                <a:srgbClr val="6FD8F1"/>
              </a:solidFill>
              <a:latin typeface="Aptos Narrow"/>
              <a:ea typeface="+mn-ea"/>
              <a:cs typeface="+mn-cs"/>
            </a:rPr>
            <a:pPr marL="0" indent="0" algn="r"/>
            <a:t>Bonus</a:t>
          </a:fld>
          <a:endParaRPr lang="ru-RU" sz="1000" b="0" i="0" u="none" strike="noStrike">
            <a:solidFill>
              <a:srgbClr val="6FD8F1"/>
            </a:solidFill>
            <a:latin typeface="Aptos Narrow"/>
            <a:ea typeface="+mn-ea"/>
            <a:cs typeface="+mn-cs"/>
          </a:endParaRPr>
        </a:p>
      </xdr:txBody>
    </xdr:sp>
    <xdr:clientData/>
  </xdr:twoCellAnchor>
  <xdr:twoCellAnchor>
    <xdr:from>
      <xdr:col>21</xdr:col>
      <xdr:colOff>216699</xdr:colOff>
      <xdr:row>30</xdr:row>
      <xdr:rowOff>60917</xdr:rowOff>
    </xdr:from>
    <xdr:to>
      <xdr:col>22</xdr:col>
      <xdr:colOff>198120</xdr:colOff>
      <xdr:row>31</xdr:row>
      <xdr:rowOff>141955</xdr:rowOff>
    </xdr:to>
    <xdr:sp macro="" textlink="Processing!M17">
      <xdr:nvSpPr>
        <xdr:cNvPr id="83" name="TextBox 82">
          <a:extLst>
            <a:ext uri="{FF2B5EF4-FFF2-40B4-BE49-F238E27FC236}">
              <a16:creationId xmlns:a16="http://schemas.microsoft.com/office/drawing/2014/main" id="{00000000-0008-0000-0000-000053000000}"/>
            </a:ext>
          </a:extLst>
        </xdr:cNvPr>
        <xdr:cNvSpPr txBox="1"/>
      </xdr:nvSpPr>
      <xdr:spPr>
        <a:xfrm>
          <a:off x="12530619" y="5547317"/>
          <a:ext cx="59102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CF1466-456B-4C28-A06B-2429CE3A799F}" type="TxLink">
            <a:rPr lang="en-US" sz="1100" b="0" i="0" u="none" strike="noStrike">
              <a:solidFill>
                <a:srgbClr val="6FD8F1"/>
              </a:solidFill>
              <a:latin typeface="Aptos Narrow"/>
              <a:ea typeface="+mn-ea"/>
              <a:cs typeface="+mn-cs"/>
            </a:rPr>
            <a:pPr marL="0" indent="0" algn="r"/>
            <a:t> </a:t>
          </a:fld>
          <a:endParaRPr lang="ru-RU" sz="1000" b="0" i="0" u="none" strike="noStrike">
            <a:solidFill>
              <a:srgbClr val="6FD8F1"/>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20</xdr:col>
          <xdr:colOff>9525</xdr:colOff>
          <xdr:row>30</xdr:row>
          <xdr:rowOff>85725</xdr:rowOff>
        </xdr:from>
        <xdr:to>
          <xdr:col>21</xdr:col>
          <xdr:colOff>38100</xdr:colOff>
          <xdr:row>31</xdr:row>
          <xdr:rowOff>123825</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142875</xdr:colOff>
          <xdr:row>30</xdr:row>
          <xdr:rowOff>85725</xdr:rowOff>
        </xdr:from>
        <xdr:to>
          <xdr:col>22</xdr:col>
          <xdr:colOff>171450</xdr:colOff>
          <xdr:row>31</xdr:row>
          <xdr:rowOff>123825</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20</xdr:col>
      <xdr:colOff>53340</xdr:colOff>
      <xdr:row>30</xdr:row>
      <xdr:rowOff>146413</xdr:rowOff>
    </xdr:from>
    <xdr:to>
      <xdr:col>20</xdr:col>
      <xdr:colOff>172212</xdr:colOff>
      <xdr:row>31</xdr:row>
      <xdr:rowOff>82405</xdr:rowOff>
    </xdr:to>
    <xdr:sp macro="" textlink="">
      <xdr:nvSpPr>
        <xdr:cNvPr id="84" name="Oval 83">
          <a:extLst>
            <a:ext uri="{FF2B5EF4-FFF2-40B4-BE49-F238E27FC236}">
              <a16:creationId xmlns:a16="http://schemas.microsoft.com/office/drawing/2014/main" id="{00000000-0008-0000-0000-000054000000}"/>
            </a:ext>
          </a:extLst>
        </xdr:cNvPr>
        <xdr:cNvSpPr/>
      </xdr:nvSpPr>
      <xdr:spPr>
        <a:xfrm>
          <a:off x="11757660" y="5632813"/>
          <a:ext cx="118872" cy="118872"/>
        </a:xfrm>
        <a:prstGeom prst="ellipse">
          <a:avLst/>
        </a:prstGeom>
        <a:solidFill>
          <a:srgbClr val="52E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190499</xdr:colOff>
      <xdr:row>30</xdr:row>
      <xdr:rowOff>146413</xdr:rowOff>
    </xdr:from>
    <xdr:to>
      <xdr:col>21</xdr:col>
      <xdr:colOff>309371</xdr:colOff>
      <xdr:row>31</xdr:row>
      <xdr:rowOff>82405</xdr:rowOff>
    </xdr:to>
    <xdr:sp macro="" textlink="">
      <xdr:nvSpPr>
        <xdr:cNvPr id="85" name="Oval 84">
          <a:extLst>
            <a:ext uri="{FF2B5EF4-FFF2-40B4-BE49-F238E27FC236}">
              <a16:creationId xmlns:a16="http://schemas.microsoft.com/office/drawing/2014/main" id="{00000000-0008-0000-0000-000055000000}"/>
            </a:ext>
          </a:extLst>
        </xdr:cNvPr>
        <xdr:cNvSpPr/>
      </xdr:nvSpPr>
      <xdr:spPr>
        <a:xfrm>
          <a:off x="12504419" y="5632813"/>
          <a:ext cx="118872" cy="118872"/>
        </a:xfrm>
        <a:prstGeom prst="ellipse">
          <a:avLst/>
        </a:prstGeom>
        <a:gradFill>
          <a:gsLst>
            <a:gs pos="0">
              <a:srgbClr val="0F4672"/>
            </a:gs>
            <a:gs pos="100000">
              <a:srgbClr val="14557A"/>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142948</xdr:colOff>
      <xdr:row>31</xdr:row>
      <xdr:rowOff>152400</xdr:rowOff>
    </xdr:from>
    <xdr:to>
      <xdr:col>16</xdr:col>
      <xdr:colOff>356308</xdr:colOff>
      <xdr:row>37</xdr:row>
      <xdr:rowOff>152400</xdr:rowOff>
    </xdr:to>
    <xdr:graphicFrame macro="">
      <xdr:nvGraphicFramePr>
        <xdr:cNvPr id="86" name="Chart 85">
          <a:extLst>
            <a:ext uri="{FF2B5EF4-FFF2-40B4-BE49-F238E27FC236}">
              <a16:creationId xmlns:a16="http://schemas.microsoft.com/office/drawing/2014/main" id="{00000000-0008-0000-0000-00005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279453</xdr:colOff>
      <xdr:row>30</xdr:row>
      <xdr:rowOff>60917</xdr:rowOff>
    </xdr:from>
    <xdr:to>
      <xdr:col>14</xdr:col>
      <xdr:colOff>241951</xdr:colOff>
      <xdr:row>31</xdr:row>
      <xdr:rowOff>141955</xdr:rowOff>
    </xdr:to>
    <xdr:sp macro="" textlink="Processing!$G$29">
      <xdr:nvSpPr>
        <xdr:cNvPr id="88" name="TextBox 87">
          <a:extLst>
            <a:ext uri="{FF2B5EF4-FFF2-40B4-BE49-F238E27FC236}">
              <a16:creationId xmlns:a16="http://schemas.microsoft.com/office/drawing/2014/main" id="{00000000-0008-0000-0000-000058000000}"/>
            </a:ext>
          </a:extLst>
        </xdr:cNvPr>
        <xdr:cNvSpPr txBox="1"/>
      </xdr:nvSpPr>
      <xdr:spPr>
        <a:xfrm>
          <a:off x="6497373" y="5547317"/>
          <a:ext cx="1791298"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4B58EE3-5BFC-4C03-A17C-8AD64ADD1745}" type="TxLink">
            <a:rPr lang="en-US" sz="1100" b="0" i="0" u="none" strike="noStrike">
              <a:solidFill>
                <a:schemeClr val="accent4">
                  <a:lumMod val="20000"/>
                  <a:lumOff val="80000"/>
                </a:schemeClr>
              </a:solidFill>
              <a:latin typeface="Aptos Narrow"/>
              <a:ea typeface="+mn-ea"/>
              <a:cs typeface="+mn-cs"/>
            </a:rPr>
            <a:pPr marL="0" indent="0" algn="ctr"/>
            <a:t>Working Time Heat Map</a:t>
          </a:fld>
          <a:endParaRPr lang="ru-RU" sz="1200" b="0" i="0" u="none" strike="noStrike">
            <a:solidFill>
              <a:schemeClr val="accent4">
                <a:lumMod val="20000"/>
                <a:lumOff val="80000"/>
              </a:schemeClr>
            </a:solidFill>
            <a:latin typeface="Aptos Narrow"/>
            <a:ea typeface="+mn-ea"/>
            <a:cs typeface="+mn-cs"/>
          </a:endParaRPr>
        </a:p>
      </xdr:txBody>
    </xdr:sp>
    <xdr:clientData/>
  </xdr:twoCellAnchor>
  <xdr:twoCellAnchor>
    <xdr:from>
      <xdr:col>10</xdr:col>
      <xdr:colOff>137160</xdr:colOff>
      <xdr:row>38</xdr:row>
      <xdr:rowOff>22860</xdr:rowOff>
    </xdr:from>
    <xdr:to>
      <xdr:col>15</xdr:col>
      <xdr:colOff>472440</xdr:colOff>
      <xdr:row>38</xdr:row>
      <xdr:rowOff>50292</xdr:rowOff>
    </xdr:to>
    <xdr:sp macro="" textlink="">
      <xdr:nvSpPr>
        <xdr:cNvPr id="89" name="Rectangle 88">
          <a:extLst>
            <a:ext uri="{FF2B5EF4-FFF2-40B4-BE49-F238E27FC236}">
              <a16:creationId xmlns:a16="http://schemas.microsoft.com/office/drawing/2014/main" id="{00000000-0008-0000-0000-000059000000}"/>
            </a:ext>
          </a:extLst>
        </xdr:cNvPr>
        <xdr:cNvSpPr/>
      </xdr:nvSpPr>
      <xdr:spPr>
        <a:xfrm>
          <a:off x="5745480" y="6972300"/>
          <a:ext cx="3383280" cy="27432"/>
        </a:xfrm>
        <a:prstGeom prst="rect">
          <a:avLst/>
        </a:prstGeom>
        <a:gradFill>
          <a:gsLst>
            <a:gs pos="75000">
              <a:srgbClr val="65B5D4"/>
            </a:gs>
            <a:gs pos="50000">
              <a:srgbClr val="3493B8"/>
            </a:gs>
            <a:gs pos="10000">
              <a:srgbClr val="113454"/>
            </a:gs>
            <a:gs pos="100000">
              <a:srgbClr val="CAEEFB"/>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10</xdr:col>
      <xdr:colOff>99318</xdr:colOff>
      <xdr:row>36</xdr:row>
      <xdr:rowOff>170192</xdr:rowOff>
    </xdr:from>
    <xdr:to>
      <xdr:col>15</xdr:col>
      <xdr:colOff>486330</xdr:colOff>
      <xdr:row>39</xdr:row>
      <xdr:rowOff>78752</xdr:rowOff>
    </xdr:to>
    <xdr:graphicFrame macro="">
      <xdr:nvGraphicFramePr>
        <xdr:cNvPr id="90" name="Chart 89">
          <a:extLst>
            <a:ext uri="{FF2B5EF4-FFF2-40B4-BE49-F238E27FC236}">
              <a16:creationId xmlns:a16="http://schemas.microsoft.com/office/drawing/2014/main" id="{00000000-0008-0000-0000-00005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233733</xdr:colOff>
      <xdr:row>37</xdr:row>
      <xdr:rowOff>76157</xdr:rowOff>
    </xdr:from>
    <xdr:to>
      <xdr:col>10</xdr:col>
      <xdr:colOff>76200</xdr:colOff>
      <xdr:row>38</xdr:row>
      <xdr:rowOff>157195</xdr:rowOff>
    </xdr:to>
    <xdr:sp macro="" textlink="">
      <xdr:nvSpPr>
        <xdr:cNvPr id="91" name="TextBox 90">
          <a:extLst>
            <a:ext uri="{FF2B5EF4-FFF2-40B4-BE49-F238E27FC236}">
              <a16:creationId xmlns:a16="http://schemas.microsoft.com/office/drawing/2014/main" id="{00000000-0008-0000-0000-00005B000000}"/>
            </a:ext>
          </a:extLst>
        </xdr:cNvPr>
        <xdr:cNvSpPr txBox="1"/>
      </xdr:nvSpPr>
      <xdr:spPr>
        <a:xfrm>
          <a:off x="5232453" y="6842717"/>
          <a:ext cx="452067"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0" i="0" u="none" strike="noStrike">
              <a:solidFill>
                <a:schemeClr val="accent4">
                  <a:lumMod val="20000"/>
                  <a:lumOff val="80000"/>
                </a:schemeClr>
              </a:solidFill>
              <a:latin typeface="Aptos Narrow"/>
              <a:ea typeface="+mn-ea"/>
              <a:cs typeface="+mn-cs"/>
            </a:rPr>
            <a:t>Low</a:t>
          </a:r>
        </a:p>
      </xdr:txBody>
    </xdr:sp>
    <xdr:clientData/>
  </xdr:twoCellAnchor>
  <xdr:twoCellAnchor>
    <xdr:from>
      <xdr:col>15</xdr:col>
      <xdr:colOff>530913</xdr:colOff>
      <xdr:row>37</xdr:row>
      <xdr:rowOff>76157</xdr:rowOff>
    </xdr:from>
    <xdr:to>
      <xdr:col>16</xdr:col>
      <xdr:colOff>373380</xdr:colOff>
      <xdr:row>38</xdr:row>
      <xdr:rowOff>157195</xdr:rowOff>
    </xdr:to>
    <xdr:sp macro="" textlink="">
      <xdr:nvSpPr>
        <xdr:cNvPr id="92" name="TextBox 91">
          <a:extLst>
            <a:ext uri="{FF2B5EF4-FFF2-40B4-BE49-F238E27FC236}">
              <a16:creationId xmlns:a16="http://schemas.microsoft.com/office/drawing/2014/main" id="{00000000-0008-0000-0000-00005C000000}"/>
            </a:ext>
          </a:extLst>
        </xdr:cNvPr>
        <xdr:cNvSpPr txBox="1"/>
      </xdr:nvSpPr>
      <xdr:spPr>
        <a:xfrm>
          <a:off x="9187233" y="6842717"/>
          <a:ext cx="452067"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0" i="0" u="none" strike="noStrike">
              <a:solidFill>
                <a:schemeClr val="accent4">
                  <a:lumMod val="20000"/>
                  <a:lumOff val="80000"/>
                </a:schemeClr>
              </a:solidFill>
              <a:latin typeface="Aptos Narrow"/>
              <a:ea typeface="+mn-ea"/>
              <a:cs typeface="+mn-cs"/>
            </a:rPr>
            <a:t>High</a:t>
          </a:r>
        </a:p>
      </xdr:txBody>
    </xdr:sp>
    <xdr:clientData/>
  </xdr:twoCellAnchor>
  <xdr:twoCellAnchor editAs="oneCell">
    <xdr:from>
      <xdr:col>1</xdr:col>
      <xdr:colOff>76200</xdr:colOff>
      <xdr:row>1</xdr:row>
      <xdr:rowOff>0</xdr:rowOff>
    </xdr:from>
    <xdr:to>
      <xdr:col>1</xdr:col>
      <xdr:colOff>350520</xdr:colOff>
      <xdr:row>2</xdr:row>
      <xdr:rowOff>91440</xdr:rowOff>
    </xdr:to>
    <xdr:pic>
      <xdr:nvPicPr>
        <xdr:cNvPr id="95" name="Graphic 94" descr="Sun with solid fill">
          <a:hlinkClick xmlns:r="http://schemas.openxmlformats.org/officeDocument/2006/relationships" r:id="rId11"/>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8120" y="182880"/>
          <a:ext cx="274320" cy="274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274320</xdr:colOff>
      <xdr:row>46</xdr:row>
      <xdr:rowOff>114300</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0" y="0"/>
          <a:ext cx="15152370" cy="8877300"/>
          <a:chOff x="-7620" y="1"/>
          <a:chExt cx="15571470" cy="8626929"/>
        </a:xfrm>
      </xdr:grpSpPr>
      <xdr:sp macro="" textlink="">
        <xdr:nvSpPr>
          <xdr:cNvPr id="3" name="Rectangle 2">
            <a:extLst>
              <a:ext uri="{FF2B5EF4-FFF2-40B4-BE49-F238E27FC236}">
                <a16:creationId xmlns:a16="http://schemas.microsoft.com/office/drawing/2014/main" id="{00000000-0008-0000-0100-000003000000}"/>
              </a:ext>
            </a:extLst>
          </xdr:cNvPr>
          <xdr:cNvSpPr/>
        </xdr:nvSpPr>
        <xdr:spPr>
          <a:xfrm>
            <a:off x="0" y="1"/>
            <a:ext cx="14531359" cy="7941618"/>
          </a:xfrm>
          <a:prstGeom prst="rect">
            <a:avLst/>
          </a:prstGeom>
          <a:gradFill>
            <a:gsLst>
              <a:gs pos="0">
                <a:srgbClr val="E8ECF4"/>
              </a:gs>
              <a:gs pos="52000">
                <a:srgbClr val="CDD6E5"/>
              </a:gs>
            </a:gsLst>
            <a:lin ang="3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 name="Rectangle 4">
            <a:extLst>
              <a:ext uri="{FF2B5EF4-FFF2-40B4-BE49-F238E27FC236}">
                <a16:creationId xmlns:a16="http://schemas.microsoft.com/office/drawing/2014/main" id="{00000000-0008-0000-0100-000004000000}"/>
              </a:ext>
            </a:extLst>
          </xdr:cNvPr>
          <xdr:cNvSpPr/>
        </xdr:nvSpPr>
        <xdr:spPr>
          <a:xfrm>
            <a:off x="-7620" y="1"/>
            <a:ext cx="14693412" cy="6709561"/>
          </a:xfrm>
          <a:custGeom>
            <a:avLst/>
            <a:gdLst>
              <a:gd name="csX0" fmla="*/ 0 w 14630400"/>
              <a:gd name="csY0" fmla="*/ 0 h 9936480"/>
              <a:gd name="csX1" fmla="*/ 14630400 w 14630400"/>
              <a:gd name="csY1" fmla="*/ 0 h 9936480"/>
              <a:gd name="csX2" fmla="*/ 14630400 w 14630400"/>
              <a:gd name="csY2" fmla="*/ 9936480 h 9936480"/>
              <a:gd name="csX3" fmla="*/ 0 w 14630400"/>
              <a:gd name="csY3" fmla="*/ 9936480 h 9936480"/>
              <a:gd name="csX4" fmla="*/ 0 w 14630400"/>
              <a:gd name="csY4" fmla="*/ 0 h 9936480"/>
              <a:gd name="csX0" fmla="*/ 45720 w 14630400"/>
              <a:gd name="csY0" fmla="*/ 5593080 h 9936480"/>
              <a:gd name="csX1" fmla="*/ 14630400 w 14630400"/>
              <a:gd name="csY1" fmla="*/ 0 h 9936480"/>
              <a:gd name="csX2" fmla="*/ 14630400 w 14630400"/>
              <a:gd name="csY2" fmla="*/ 9936480 h 9936480"/>
              <a:gd name="csX3" fmla="*/ 0 w 14630400"/>
              <a:gd name="csY3" fmla="*/ 9936480 h 9936480"/>
              <a:gd name="csX4" fmla="*/ 45720 w 14630400"/>
              <a:gd name="csY4" fmla="*/ 5593080 h 9936480"/>
              <a:gd name="csX0" fmla="*/ 45720 w 14630400"/>
              <a:gd name="csY0" fmla="*/ 5425440 h 9936480"/>
              <a:gd name="csX1" fmla="*/ 14630400 w 14630400"/>
              <a:gd name="csY1" fmla="*/ 0 h 9936480"/>
              <a:gd name="csX2" fmla="*/ 14630400 w 14630400"/>
              <a:gd name="csY2" fmla="*/ 9936480 h 9936480"/>
              <a:gd name="csX3" fmla="*/ 0 w 14630400"/>
              <a:gd name="csY3" fmla="*/ 9936480 h 9936480"/>
              <a:gd name="csX4" fmla="*/ 45720 w 14630400"/>
              <a:gd name="csY4"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4221480 h 8732520"/>
              <a:gd name="csX1" fmla="*/ 7482840 w 14630400"/>
              <a:gd name="csY1" fmla="*/ 1447800 h 8732520"/>
              <a:gd name="csX2" fmla="*/ 14630400 w 14630400"/>
              <a:gd name="csY2" fmla="*/ 0 h 8732520"/>
              <a:gd name="csX3" fmla="*/ 14630400 w 14630400"/>
              <a:gd name="csY3" fmla="*/ 8732520 h 8732520"/>
              <a:gd name="csX4" fmla="*/ 0 w 14630400"/>
              <a:gd name="csY4" fmla="*/ 8732520 h 8732520"/>
              <a:gd name="csX5" fmla="*/ 45720 w 14630400"/>
              <a:gd name="csY5" fmla="*/ 4221480 h 8732520"/>
              <a:gd name="csX0" fmla="*/ 45720 w 14630400"/>
              <a:gd name="csY0" fmla="*/ 4450080 h 8961120"/>
              <a:gd name="csX1" fmla="*/ 7482840 w 14630400"/>
              <a:gd name="csY1" fmla="*/ 1676400 h 8961120"/>
              <a:gd name="csX2" fmla="*/ 14584680 w 14630400"/>
              <a:gd name="csY2" fmla="*/ 0 h 8961120"/>
              <a:gd name="csX3" fmla="*/ 14630400 w 14630400"/>
              <a:gd name="csY3" fmla="*/ 8961120 h 8961120"/>
              <a:gd name="csX4" fmla="*/ 0 w 14630400"/>
              <a:gd name="csY4" fmla="*/ 8961120 h 8961120"/>
              <a:gd name="csX5" fmla="*/ 45720 w 14630400"/>
              <a:gd name="csY5" fmla="*/ 4450080 h 8961120"/>
              <a:gd name="csX0" fmla="*/ 45720 w 14630400"/>
              <a:gd name="csY0" fmla="*/ 4450080 h 8961120"/>
              <a:gd name="csX1" fmla="*/ 7482840 w 14630400"/>
              <a:gd name="csY1" fmla="*/ 1676400 h 8961120"/>
              <a:gd name="csX2" fmla="*/ 14584680 w 14630400"/>
              <a:gd name="csY2" fmla="*/ 0 h 8961120"/>
              <a:gd name="csX3" fmla="*/ 14630400 w 14630400"/>
              <a:gd name="csY3" fmla="*/ 8961120 h 8961120"/>
              <a:gd name="csX4" fmla="*/ 0 w 14630400"/>
              <a:gd name="csY4" fmla="*/ 8961120 h 8961120"/>
              <a:gd name="csX5" fmla="*/ 45720 w 14630400"/>
              <a:gd name="csY5" fmla="*/ 4450080 h 8961120"/>
              <a:gd name="csX0" fmla="*/ 45720 w 14630400"/>
              <a:gd name="csY0" fmla="*/ 4450080 h 8961120"/>
              <a:gd name="csX1" fmla="*/ 6583680 w 14630400"/>
              <a:gd name="csY1" fmla="*/ 1752600 h 8961120"/>
              <a:gd name="csX2" fmla="*/ 14584680 w 14630400"/>
              <a:gd name="csY2" fmla="*/ 0 h 8961120"/>
              <a:gd name="csX3" fmla="*/ 14630400 w 14630400"/>
              <a:gd name="csY3" fmla="*/ 8961120 h 8961120"/>
              <a:gd name="csX4" fmla="*/ 0 w 14630400"/>
              <a:gd name="csY4" fmla="*/ 8961120 h 8961120"/>
              <a:gd name="csX5" fmla="*/ 45720 w 14630400"/>
              <a:gd name="csY5" fmla="*/ 4450080 h 8961120"/>
              <a:gd name="csX0" fmla="*/ 45720 w 14630400"/>
              <a:gd name="csY0" fmla="*/ 4450080 h 8961120"/>
              <a:gd name="csX1" fmla="*/ 6583680 w 14630400"/>
              <a:gd name="csY1" fmla="*/ 1752600 h 8961120"/>
              <a:gd name="csX2" fmla="*/ 14584680 w 14630400"/>
              <a:gd name="csY2" fmla="*/ 0 h 8961120"/>
              <a:gd name="csX3" fmla="*/ 14630400 w 14630400"/>
              <a:gd name="csY3" fmla="*/ 8961120 h 8961120"/>
              <a:gd name="csX4" fmla="*/ 0 w 14630400"/>
              <a:gd name="csY4" fmla="*/ 8961120 h 8961120"/>
              <a:gd name="csX5" fmla="*/ 45720 w 14630400"/>
              <a:gd name="csY5" fmla="*/ 4450080 h 8961120"/>
              <a:gd name="csX0" fmla="*/ 45720 w 14630400"/>
              <a:gd name="csY0" fmla="*/ 4450080 h 9266321"/>
              <a:gd name="csX1" fmla="*/ 6583680 w 14630400"/>
              <a:gd name="csY1" fmla="*/ 1752600 h 9266321"/>
              <a:gd name="csX2" fmla="*/ 14584680 w 14630400"/>
              <a:gd name="csY2" fmla="*/ 0 h 9266321"/>
              <a:gd name="csX3" fmla="*/ 14630400 w 14630400"/>
              <a:gd name="csY3" fmla="*/ 8961120 h 9266321"/>
              <a:gd name="csX4" fmla="*/ 0 w 14630400"/>
              <a:gd name="csY4" fmla="*/ 8961120 h 9266321"/>
              <a:gd name="csX5" fmla="*/ 45720 w 14630400"/>
              <a:gd name="csY5" fmla="*/ 4450080 h 9266321"/>
              <a:gd name="csX0" fmla="*/ 45720 w 14630400"/>
              <a:gd name="csY0" fmla="*/ 5027161 h 9843402"/>
              <a:gd name="csX1" fmla="*/ 6583680 w 14630400"/>
              <a:gd name="csY1" fmla="*/ 2329681 h 9843402"/>
              <a:gd name="csX2" fmla="*/ 11079480 w 14630400"/>
              <a:gd name="csY2" fmla="*/ 1049521 h 9843402"/>
              <a:gd name="csX3" fmla="*/ 14584680 w 14630400"/>
              <a:gd name="csY3" fmla="*/ 577081 h 9843402"/>
              <a:gd name="csX4" fmla="*/ 14630400 w 14630400"/>
              <a:gd name="csY4" fmla="*/ 9538201 h 9843402"/>
              <a:gd name="csX5" fmla="*/ 0 w 14630400"/>
              <a:gd name="csY5" fmla="*/ 9538201 h 9843402"/>
              <a:gd name="csX6" fmla="*/ 45720 w 14630400"/>
              <a:gd name="csY6" fmla="*/ 5027161 h 9843402"/>
              <a:gd name="csX0" fmla="*/ 45720 w 14645640"/>
              <a:gd name="csY0" fmla="*/ 4697711 h 9513952"/>
              <a:gd name="csX1" fmla="*/ 6583680 w 14645640"/>
              <a:gd name="csY1" fmla="*/ 2000231 h 9513952"/>
              <a:gd name="csX2" fmla="*/ 11079480 w 14645640"/>
              <a:gd name="csY2" fmla="*/ 720071 h 9513952"/>
              <a:gd name="csX3" fmla="*/ 14645640 w 14645640"/>
              <a:gd name="csY3" fmla="*/ 689591 h 9513952"/>
              <a:gd name="csX4" fmla="*/ 14630400 w 14645640"/>
              <a:gd name="csY4" fmla="*/ 9208751 h 9513952"/>
              <a:gd name="csX5" fmla="*/ 0 w 14645640"/>
              <a:gd name="csY5" fmla="*/ 9208751 h 9513952"/>
              <a:gd name="csX6" fmla="*/ 45720 w 14645640"/>
              <a:gd name="csY6" fmla="*/ 4697711 h 9513952"/>
              <a:gd name="csX0" fmla="*/ 45720 w 14645640"/>
              <a:gd name="csY0" fmla="*/ 4008120 h 8824361"/>
              <a:gd name="csX1" fmla="*/ 6583680 w 14645640"/>
              <a:gd name="csY1" fmla="*/ 1310640 h 8824361"/>
              <a:gd name="csX2" fmla="*/ 11079480 w 14645640"/>
              <a:gd name="csY2" fmla="*/ 30480 h 8824361"/>
              <a:gd name="csX3" fmla="*/ 14645640 w 14645640"/>
              <a:gd name="csY3" fmla="*/ 0 h 8824361"/>
              <a:gd name="csX4" fmla="*/ 14630400 w 14645640"/>
              <a:gd name="csY4" fmla="*/ 8519160 h 8824361"/>
              <a:gd name="csX5" fmla="*/ 0 w 14645640"/>
              <a:gd name="csY5" fmla="*/ 8519160 h 8824361"/>
              <a:gd name="csX6" fmla="*/ 45720 w 14645640"/>
              <a:gd name="csY6" fmla="*/ 4008120 h 8824361"/>
              <a:gd name="csX0" fmla="*/ 45720 w 14645640"/>
              <a:gd name="csY0" fmla="*/ 4008120 h 8824361"/>
              <a:gd name="csX1" fmla="*/ 6583680 w 14645640"/>
              <a:gd name="csY1" fmla="*/ 1310640 h 8824361"/>
              <a:gd name="csX2" fmla="*/ 11079480 w 14645640"/>
              <a:gd name="csY2" fmla="*/ 30480 h 8824361"/>
              <a:gd name="csX3" fmla="*/ 14645640 w 14645640"/>
              <a:gd name="csY3" fmla="*/ 0 h 8824361"/>
              <a:gd name="csX4" fmla="*/ 14630400 w 14645640"/>
              <a:gd name="csY4" fmla="*/ 8519160 h 8824361"/>
              <a:gd name="csX5" fmla="*/ 0 w 14645640"/>
              <a:gd name="csY5" fmla="*/ 8519160 h 8824361"/>
              <a:gd name="csX6" fmla="*/ 45720 w 14645640"/>
              <a:gd name="csY6" fmla="*/ 4008120 h 8824361"/>
              <a:gd name="csX0" fmla="*/ 45720 w 14645640"/>
              <a:gd name="csY0" fmla="*/ 3977640 h 8793881"/>
              <a:gd name="csX1" fmla="*/ 6583680 w 14645640"/>
              <a:gd name="csY1" fmla="*/ 1280160 h 8793881"/>
              <a:gd name="csX2" fmla="*/ 11079480 w 14645640"/>
              <a:gd name="csY2" fmla="*/ 0 h 8793881"/>
              <a:gd name="csX3" fmla="*/ 14645640 w 14645640"/>
              <a:gd name="csY3" fmla="*/ 0 h 8793881"/>
              <a:gd name="csX4" fmla="*/ 14630400 w 14645640"/>
              <a:gd name="csY4" fmla="*/ 8488680 h 8793881"/>
              <a:gd name="csX5" fmla="*/ 0 w 14645640"/>
              <a:gd name="csY5" fmla="*/ 8488680 h 8793881"/>
              <a:gd name="csX6" fmla="*/ 45720 w 14645640"/>
              <a:gd name="csY6" fmla="*/ 3977640 h 8793881"/>
              <a:gd name="csX0" fmla="*/ 45720 w 14645640"/>
              <a:gd name="csY0" fmla="*/ 3977640 h 8793881"/>
              <a:gd name="csX1" fmla="*/ 6583680 w 14645640"/>
              <a:gd name="csY1" fmla="*/ 1280160 h 8793881"/>
              <a:gd name="csX2" fmla="*/ 11079480 w 14645640"/>
              <a:gd name="csY2" fmla="*/ 0 h 8793881"/>
              <a:gd name="csX3" fmla="*/ 14645640 w 14645640"/>
              <a:gd name="csY3" fmla="*/ 0 h 8793881"/>
              <a:gd name="csX4" fmla="*/ 14630400 w 14645640"/>
              <a:gd name="csY4" fmla="*/ 8488680 h 8793881"/>
              <a:gd name="csX5" fmla="*/ 0 w 14645640"/>
              <a:gd name="csY5" fmla="*/ 8488680 h 8793881"/>
              <a:gd name="csX6" fmla="*/ 45720 w 14645640"/>
              <a:gd name="csY6" fmla="*/ 3977640 h 8793881"/>
              <a:gd name="csX0" fmla="*/ 45720 w 14645640"/>
              <a:gd name="csY0" fmla="*/ 3977640 h 8793881"/>
              <a:gd name="csX1" fmla="*/ 6583680 w 14645640"/>
              <a:gd name="csY1" fmla="*/ 1280160 h 8793881"/>
              <a:gd name="csX2" fmla="*/ 11079480 w 14645640"/>
              <a:gd name="csY2" fmla="*/ 0 h 8793881"/>
              <a:gd name="csX3" fmla="*/ 14645640 w 14645640"/>
              <a:gd name="csY3" fmla="*/ 0 h 8793881"/>
              <a:gd name="csX4" fmla="*/ 14630400 w 14645640"/>
              <a:gd name="csY4" fmla="*/ 8488680 h 8793881"/>
              <a:gd name="csX5" fmla="*/ 0 w 14645640"/>
              <a:gd name="csY5" fmla="*/ 8488680 h 8793881"/>
              <a:gd name="csX6" fmla="*/ 45720 w 14645640"/>
              <a:gd name="csY6" fmla="*/ 3977640 h 8793881"/>
              <a:gd name="csX0" fmla="*/ 45720 w 14645640"/>
              <a:gd name="csY0" fmla="*/ 3977640 h 8793881"/>
              <a:gd name="csX1" fmla="*/ 6583680 w 14645640"/>
              <a:gd name="csY1" fmla="*/ 1280160 h 8793881"/>
              <a:gd name="csX2" fmla="*/ 11079480 w 14645640"/>
              <a:gd name="csY2" fmla="*/ 0 h 8793881"/>
              <a:gd name="csX3" fmla="*/ 14645640 w 14645640"/>
              <a:gd name="csY3" fmla="*/ 0 h 8793881"/>
              <a:gd name="csX4" fmla="*/ 14630400 w 14645640"/>
              <a:gd name="csY4" fmla="*/ 8488680 h 8793881"/>
              <a:gd name="csX5" fmla="*/ 0 w 14645640"/>
              <a:gd name="csY5" fmla="*/ 8488680 h 8793881"/>
              <a:gd name="csX6" fmla="*/ 45720 w 14645640"/>
              <a:gd name="csY6" fmla="*/ 3977640 h 8793881"/>
              <a:gd name="csX0" fmla="*/ 45720 w 14645640"/>
              <a:gd name="csY0" fmla="*/ 3977640 h 8793881"/>
              <a:gd name="csX1" fmla="*/ 6141720 w 14645640"/>
              <a:gd name="csY1" fmla="*/ 975360 h 8793881"/>
              <a:gd name="csX2" fmla="*/ 11079480 w 14645640"/>
              <a:gd name="csY2" fmla="*/ 0 h 8793881"/>
              <a:gd name="csX3" fmla="*/ 14645640 w 14645640"/>
              <a:gd name="csY3" fmla="*/ 0 h 8793881"/>
              <a:gd name="csX4" fmla="*/ 14630400 w 14645640"/>
              <a:gd name="csY4" fmla="*/ 8488680 h 8793881"/>
              <a:gd name="csX5" fmla="*/ 0 w 14645640"/>
              <a:gd name="csY5" fmla="*/ 8488680 h 8793881"/>
              <a:gd name="csX6" fmla="*/ 45720 w 14645640"/>
              <a:gd name="csY6" fmla="*/ 3977640 h 8793881"/>
              <a:gd name="csX0" fmla="*/ 45720 w 14645640"/>
              <a:gd name="csY0" fmla="*/ 3977640 h 8793881"/>
              <a:gd name="csX1" fmla="*/ 6141720 w 14645640"/>
              <a:gd name="csY1" fmla="*/ 975360 h 8793881"/>
              <a:gd name="csX2" fmla="*/ 11079480 w 14645640"/>
              <a:gd name="csY2" fmla="*/ 0 h 8793881"/>
              <a:gd name="csX3" fmla="*/ 14645640 w 14645640"/>
              <a:gd name="csY3" fmla="*/ 0 h 8793881"/>
              <a:gd name="csX4" fmla="*/ 14630400 w 14645640"/>
              <a:gd name="csY4" fmla="*/ 8488680 h 8793881"/>
              <a:gd name="csX5" fmla="*/ 0 w 14645640"/>
              <a:gd name="csY5" fmla="*/ 8488680 h 8793881"/>
              <a:gd name="csX6" fmla="*/ 45720 w 14645640"/>
              <a:gd name="csY6" fmla="*/ 3977640 h 8793881"/>
              <a:gd name="csX0" fmla="*/ 45720 w 14645640"/>
              <a:gd name="csY0" fmla="*/ 3977640 h 8793881"/>
              <a:gd name="csX1" fmla="*/ 6141720 w 14645640"/>
              <a:gd name="csY1" fmla="*/ 975360 h 8793881"/>
              <a:gd name="csX2" fmla="*/ 11079480 w 14645640"/>
              <a:gd name="csY2" fmla="*/ 0 h 8793881"/>
              <a:gd name="csX3" fmla="*/ 14645640 w 14645640"/>
              <a:gd name="csY3" fmla="*/ 0 h 8793881"/>
              <a:gd name="csX4" fmla="*/ 14630400 w 14645640"/>
              <a:gd name="csY4" fmla="*/ 8488680 h 8793881"/>
              <a:gd name="csX5" fmla="*/ 0 w 14645640"/>
              <a:gd name="csY5" fmla="*/ 8488680 h 8793881"/>
              <a:gd name="csX6" fmla="*/ 45720 w 14645640"/>
              <a:gd name="csY6" fmla="*/ 3977640 h 8793881"/>
              <a:gd name="csX0" fmla="*/ 45720 w 14631866"/>
              <a:gd name="csY0" fmla="*/ 3977640 h 8793881"/>
              <a:gd name="csX1" fmla="*/ 6141720 w 14631866"/>
              <a:gd name="csY1" fmla="*/ 975360 h 8793881"/>
              <a:gd name="csX2" fmla="*/ 11079480 w 14631866"/>
              <a:gd name="csY2" fmla="*/ 0 h 8793881"/>
              <a:gd name="csX3" fmla="*/ 14630400 w 14631866"/>
              <a:gd name="csY3" fmla="*/ 0 h 8793881"/>
              <a:gd name="csX4" fmla="*/ 14630400 w 14631866"/>
              <a:gd name="csY4" fmla="*/ 8488680 h 8793881"/>
              <a:gd name="csX5" fmla="*/ 0 w 14631866"/>
              <a:gd name="csY5" fmla="*/ 8488680 h 8793881"/>
              <a:gd name="csX6" fmla="*/ 45720 w 14631866"/>
              <a:gd name="csY6" fmla="*/ 3977640 h 8793881"/>
              <a:gd name="csX0" fmla="*/ 53312 w 14639458"/>
              <a:gd name="csY0" fmla="*/ 3977640 h 9254291"/>
              <a:gd name="csX1" fmla="*/ 6149312 w 14639458"/>
              <a:gd name="csY1" fmla="*/ 975360 h 9254291"/>
              <a:gd name="csX2" fmla="*/ 11087072 w 14639458"/>
              <a:gd name="csY2" fmla="*/ 0 h 9254291"/>
              <a:gd name="csX3" fmla="*/ 14637992 w 14639458"/>
              <a:gd name="csY3" fmla="*/ 0 h 9254291"/>
              <a:gd name="csX4" fmla="*/ 14637992 w 14639458"/>
              <a:gd name="csY4" fmla="*/ 8488680 h 9254291"/>
              <a:gd name="csX5" fmla="*/ 0 w 14639458"/>
              <a:gd name="csY5" fmla="*/ 9254291 h 9254291"/>
              <a:gd name="csX6" fmla="*/ 53312 w 14639458"/>
              <a:gd name="csY6" fmla="*/ 3977640 h 9254291"/>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4639458" h="9254291">
                <a:moveTo>
                  <a:pt x="53312" y="3977640"/>
                </a:moveTo>
                <a:cubicBezTo>
                  <a:pt x="858492" y="1468120"/>
                  <a:pt x="4889472" y="1089660"/>
                  <a:pt x="6149312" y="975360"/>
                </a:cubicBezTo>
                <a:cubicBezTo>
                  <a:pt x="7409152" y="861060"/>
                  <a:pt x="9723092" y="474980"/>
                  <a:pt x="11087072" y="0"/>
                </a:cubicBezTo>
                <a:lnTo>
                  <a:pt x="14637992" y="0"/>
                </a:lnTo>
                <a:cubicBezTo>
                  <a:pt x="14632912" y="2829560"/>
                  <a:pt x="14643072" y="5659120"/>
                  <a:pt x="14637992" y="8488680"/>
                </a:cubicBezTo>
                <a:cubicBezTo>
                  <a:pt x="10096472" y="10073640"/>
                  <a:pt x="4434840" y="5550971"/>
                  <a:pt x="0" y="9254291"/>
                </a:cubicBezTo>
                <a:cubicBezTo>
                  <a:pt x="15240" y="7750611"/>
                  <a:pt x="38072" y="5481320"/>
                  <a:pt x="53312" y="3977640"/>
                </a:cubicBezTo>
                <a:close/>
              </a:path>
            </a:pathLst>
          </a:custGeom>
          <a:gradFill>
            <a:gsLst>
              <a:gs pos="0">
                <a:srgbClr val="E8ECF4"/>
              </a:gs>
              <a:gs pos="45000">
                <a:schemeClr val="bg1"/>
              </a:gs>
              <a:gs pos="72000">
                <a:srgbClr val="DEE6F2"/>
              </a:gs>
            </a:gsLst>
            <a:lin ang="4500000" scaled="0"/>
          </a:gradFill>
          <a:ln w="9525">
            <a:solidFill>
              <a:schemeClr val="bg1"/>
            </a:solidFill>
          </a:ln>
          <a:effectLst>
            <a:glow rad="50800">
              <a:schemeClr val="accent1">
                <a:lumMod val="50000"/>
                <a:alpha val="19000"/>
              </a:schemeClr>
            </a:glow>
            <a:outerShdw blurRad="38100" dist="25400" algn="c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 name="Rectangle 4">
            <a:extLst>
              <a:ext uri="{FF2B5EF4-FFF2-40B4-BE49-F238E27FC236}">
                <a16:creationId xmlns:a16="http://schemas.microsoft.com/office/drawing/2014/main" id="{00000000-0008-0000-0100-000005000000}"/>
              </a:ext>
            </a:extLst>
          </xdr:cNvPr>
          <xdr:cNvSpPr/>
        </xdr:nvSpPr>
        <xdr:spPr>
          <a:xfrm>
            <a:off x="26993" y="407598"/>
            <a:ext cx="14673439" cy="5293369"/>
          </a:xfrm>
          <a:custGeom>
            <a:avLst/>
            <a:gdLst>
              <a:gd name="csX0" fmla="*/ 0 w 14630400"/>
              <a:gd name="csY0" fmla="*/ 0 h 9936480"/>
              <a:gd name="csX1" fmla="*/ 14630400 w 14630400"/>
              <a:gd name="csY1" fmla="*/ 0 h 9936480"/>
              <a:gd name="csX2" fmla="*/ 14630400 w 14630400"/>
              <a:gd name="csY2" fmla="*/ 9936480 h 9936480"/>
              <a:gd name="csX3" fmla="*/ 0 w 14630400"/>
              <a:gd name="csY3" fmla="*/ 9936480 h 9936480"/>
              <a:gd name="csX4" fmla="*/ 0 w 14630400"/>
              <a:gd name="csY4" fmla="*/ 0 h 9936480"/>
              <a:gd name="csX0" fmla="*/ 45720 w 14630400"/>
              <a:gd name="csY0" fmla="*/ 5593080 h 9936480"/>
              <a:gd name="csX1" fmla="*/ 14630400 w 14630400"/>
              <a:gd name="csY1" fmla="*/ 0 h 9936480"/>
              <a:gd name="csX2" fmla="*/ 14630400 w 14630400"/>
              <a:gd name="csY2" fmla="*/ 9936480 h 9936480"/>
              <a:gd name="csX3" fmla="*/ 0 w 14630400"/>
              <a:gd name="csY3" fmla="*/ 9936480 h 9936480"/>
              <a:gd name="csX4" fmla="*/ 45720 w 14630400"/>
              <a:gd name="csY4" fmla="*/ 5593080 h 9936480"/>
              <a:gd name="csX0" fmla="*/ 45720 w 14630400"/>
              <a:gd name="csY0" fmla="*/ 5425440 h 9936480"/>
              <a:gd name="csX1" fmla="*/ 14630400 w 14630400"/>
              <a:gd name="csY1" fmla="*/ 0 h 9936480"/>
              <a:gd name="csX2" fmla="*/ 14630400 w 14630400"/>
              <a:gd name="csY2" fmla="*/ 9936480 h 9936480"/>
              <a:gd name="csX3" fmla="*/ 0 w 14630400"/>
              <a:gd name="csY3" fmla="*/ 9936480 h 9936480"/>
              <a:gd name="csX4" fmla="*/ 45720 w 14630400"/>
              <a:gd name="csY4"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45720 w 14630400"/>
              <a:gd name="csY0" fmla="*/ 5425440 h 9936480"/>
              <a:gd name="csX1" fmla="*/ 7482840 w 14630400"/>
              <a:gd name="csY1" fmla="*/ 2651760 h 9936480"/>
              <a:gd name="csX2" fmla="*/ 14630400 w 14630400"/>
              <a:gd name="csY2" fmla="*/ 0 h 9936480"/>
              <a:gd name="csX3" fmla="*/ 14630400 w 14630400"/>
              <a:gd name="csY3" fmla="*/ 9936480 h 9936480"/>
              <a:gd name="csX4" fmla="*/ 0 w 14630400"/>
              <a:gd name="csY4" fmla="*/ 9936480 h 9936480"/>
              <a:gd name="csX5" fmla="*/ 45720 w 14630400"/>
              <a:gd name="csY5" fmla="*/ 5425440 h 9936480"/>
              <a:gd name="csX0" fmla="*/ 30480 w 14615160"/>
              <a:gd name="csY0" fmla="*/ 5425440 h 9936480"/>
              <a:gd name="csX1" fmla="*/ 7467600 w 14615160"/>
              <a:gd name="csY1" fmla="*/ 2651760 h 9936480"/>
              <a:gd name="csX2" fmla="*/ 14615160 w 14615160"/>
              <a:gd name="csY2" fmla="*/ 0 h 9936480"/>
              <a:gd name="csX3" fmla="*/ 14615160 w 14615160"/>
              <a:gd name="csY3" fmla="*/ 9936480 h 9936480"/>
              <a:gd name="csX4" fmla="*/ 0 w 14615160"/>
              <a:gd name="csY4" fmla="*/ 6858000 h 9936480"/>
              <a:gd name="csX5" fmla="*/ 30480 w 14615160"/>
              <a:gd name="csY5" fmla="*/ 5425440 h 9936480"/>
              <a:gd name="csX0" fmla="*/ 30480 w 14615160"/>
              <a:gd name="csY0" fmla="*/ 5425440 h 6858000"/>
              <a:gd name="csX1" fmla="*/ 7467600 w 14615160"/>
              <a:gd name="csY1" fmla="*/ 2651760 h 6858000"/>
              <a:gd name="csX2" fmla="*/ 14615160 w 14615160"/>
              <a:gd name="csY2" fmla="*/ 0 h 6858000"/>
              <a:gd name="csX3" fmla="*/ 14554200 w 14615160"/>
              <a:gd name="csY3" fmla="*/ 5669280 h 6858000"/>
              <a:gd name="csX4" fmla="*/ 0 w 14615160"/>
              <a:gd name="csY4" fmla="*/ 6858000 h 6858000"/>
              <a:gd name="csX5" fmla="*/ 30480 w 14615160"/>
              <a:gd name="csY5" fmla="*/ 5425440 h 6858000"/>
              <a:gd name="csX0" fmla="*/ 30480 w 14615160"/>
              <a:gd name="csY0" fmla="*/ 5425440 h 6858000"/>
              <a:gd name="csX1" fmla="*/ 7467600 w 14615160"/>
              <a:gd name="csY1" fmla="*/ 2651760 h 6858000"/>
              <a:gd name="csX2" fmla="*/ 14615160 w 14615160"/>
              <a:gd name="csY2" fmla="*/ 0 h 6858000"/>
              <a:gd name="csX3" fmla="*/ 14584680 w 14615160"/>
              <a:gd name="csY3" fmla="*/ 5669280 h 6858000"/>
              <a:gd name="csX4" fmla="*/ 0 w 14615160"/>
              <a:gd name="csY4" fmla="*/ 6858000 h 6858000"/>
              <a:gd name="csX5" fmla="*/ 30480 w 14615160"/>
              <a:gd name="csY5" fmla="*/ 5425440 h 6858000"/>
              <a:gd name="csX0" fmla="*/ 30480 w 14615160"/>
              <a:gd name="csY0" fmla="*/ 5425440 h 6858000"/>
              <a:gd name="csX1" fmla="*/ 7467600 w 14615160"/>
              <a:gd name="csY1" fmla="*/ 2651760 h 6858000"/>
              <a:gd name="csX2" fmla="*/ 14615160 w 14615160"/>
              <a:gd name="csY2" fmla="*/ 0 h 6858000"/>
              <a:gd name="csX3" fmla="*/ 14584680 w 14615160"/>
              <a:gd name="csY3" fmla="*/ 5669280 h 6858000"/>
              <a:gd name="csX4" fmla="*/ 0 w 14615160"/>
              <a:gd name="csY4" fmla="*/ 6858000 h 6858000"/>
              <a:gd name="csX5" fmla="*/ 30480 w 14615160"/>
              <a:gd name="csY5" fmla="*/ 5425440 h 6858000"/>
              <a:gd name="csX0" fmla="*/ 30480 w 14615160"/>
              <a:gd name="csY0" fmla="*/ 5425440 h 6858000"/>
              <a:gd name="csX1" fmla="*/ 7467600 w 14615160"/>
              <a:gd name="csY1" fmla="*/ 2651760 h 6858000"/>
              <a:gd name="csX2" fmla="*/ 14615160 w 14615160"/>
              <a:gd name="csY2" fmla="*/ 0 h 6858000"/>
              <a:gd name="csX3" fmla="*/ 14584680 w 14615160"/>
              <a:gd name="csY3" fmla="*/ 5669280 h 6858000"/>
              <a:gd name="csX4" fmla="*/ 0 w 14615160"/>
              <a:gd name="csY4" fmla="*/ 6858000 h 6858000"/>
              <a:gd name="csX5" fmla="*/ 30480 w 14615160"/>
              <a:gd name="csY5" fmla="*/ 5425440 h 6858000"/>
              <a:gd name="csX0" fmla="*/ 30480 w 14615160"/>
              <a:gd name="csY0" fmla="*/ 5425440 h 6858000"/>
              <a:gd name="csX1" fmla="*/ 7467600 w 14615160"/>
              <a:gd name="csY1" fmla="*/ 2651760 h 6858000"/>
              <a:gd name="csX2" fmla="*/ 14615160 w 14615160"/>
              <a:gd name="csY2" fmla="*/ 0 h 6858000"/>
              <a:gd name="csX3" fmla="*/ 14584680 w 14615160"/>
              <a:gd name="csY3" fmla="*/ 5669280 h 6858000"/>
              <a:gd name="csX4" fmla="*/ 0 w 14615160"/>
              <a:gd name="csY4" fmla="*/ 6858000 h 6858000"/>
              <a:gd name="csX5" fmla="*/ 30480 w 14615160"/>
              <a:gd name="csY5" fmla="*/ 5425440 h 6858000"/>
              <a:gd name="csX0" fmla="*/ 4399 w 14619559"/>
              <a:gd name="csY0" fmla="*/ 5425440 h 6858000"/>
              <a:gd name="csX1" fmla="*/ 7471999 w 14619559"/>
              <a:gd name="csY1" fmla="*/ 2651760 h 6858000"/>
              <a:gd name="csX2" fmla="*/ 14619559 w 14619559"/>
              <a:gd name="csY2" fmla="*/ 0 h 6858000"/>
              <a:gd name="csX3" fmla="*/ 14589079 w 14619559"/>
              <a:gd name="csY3" fmla="*/ 5669280 h 6858000"/>
              <a:gd name="csX4" fmla="*/ 4399 w 14619559"/>
              <a:gd name="csY4" fmla="*/ 6858000 h 6858000"/>
              <a:gd name="csX5" fmla="*/ 4399 w 14619559"/>
              <a:gd name="csY5" fmla="*/ 5425440 h 6858000"/>
              <a:gd name="csX0" fmla="*/ 4399 w 14619559"/>
              <a:gd name="csY0" fmla="*/ 5425440 h 6858000"/>
              <a:gd name="csX1" fmla="*/ 7471999 w 14619559"/>
              <a:gd name="csY1" fmla="*/ 2651760 h 6858000"/>
              <a:gd name="csX2" fmla="*/ 14619559 w 14619559"/>
              <a:gd name="csY2" fmla="*/ 0 h 6858000"/>
              <a:gd name="csX3" fmla="*/ 14589079 w 14619559"/>
              <a:gd name="csY3" fmla="*/ 5669280 h 6858000"/>
              <a:gd name="csX4" fmla="*/ 4399 w 14619559"/>
              <a:gd name="csY4" fmla="*/ 6858000 h 6858000"/>
              <a:gd name="csX5" fmla="*/ 4399 w 14619559"/>
              <a:gd name="csY5" fmla="*/ 5425440 h 6858000"/>
              <a:gd name="csX0" fmla="*/ 4399 w 14619559"/>
              <a:gd name="csY0" fmla="*/ 5425440 h 6858000"/>
              <a:gd name="csX1" fmla="*/ 7471999 w 14619559"/>
              <a:gd name="csY1" fmla="*/ 2651760 h 6858000"/>
              <a:gd name="csX2" fmla="*/ 14619559 w 14619559"/>
              <a:gd name="csY2" fmla="*/ 0 h 6858000"/>
              <a:gd name="csX3" fmla="*/ 14589079 w 14619559"/>
              <a:gd name="csY3" fmla="*/ 5669280 h 6858000"/>
              <a:gd name="csX4" fmla="*/ 4399 w 14619559"/>
              <a:gd name="csY4" fmla="*/ 6858000 h 6858000"/>
              <a:gd name="csX5" fmla="*/ 4399 w 14619559"/>
              <a:gd name="csY5" fmla="*/ 5425440 h 6858000"/>
            </a:gdLst>
            <a:ahLst/>
            <a:cxnLst>
              <a:cxn ang="0">
                <a:pos x="csX0" y="csY0"/>
              </a:cxn>
              <a:cxn ang="0">
                <a:pos x="csX1" y="csY1"/>
              </a:cxn>
              <a:cxn ang="0">
                <a:pos x="csX2" y="csY2"/>
              </a:cxn>
              <a:cxn ang="0">
                <a:pos x="csX3" y="csY3"/>
              </a:cxn>
              <a:cxn ang="0">
                <a:pos x="csX4" y="csY4"/>
              </a:cxn>
              <a:cxn ang="0">
                <a:pos x="csX5" y="csY5"/>
              </a:cxn>
            </a:cxnLst>
            <a:rect l="l" t="t" r="r" b="b"/>
            <a:pathLst>
              <a:path w="14619559" h="6858000">
                <a:moveTo>
                  <a:pt x="4399" y="5425440"/>
                </a:moveTo>
                <a:cubicBezTo>
                  <a:pt x="1495379" y="2702560"/>
                  <a:pt x="5036139" y="3556000"/>
                  <a:pt x="7471999" y="2651760"/>
                </a:cubicBezTo>
                <a:cubicBezTo>
                  <a:pt x="9907859" y="1747520"/>
                  <a:pt x="11048319" y="198120"/>
                  <a:pt x="14619559" y="0"/>
                </a:cubicBezTo>
                <a:lnTo>
                  <a:pt x="14589079" y="5669280"/>
                </a:lnTo>
                <a:cubicBezTo>
                  <a:pt x="8935039" y="4480560"/>
                  <a:pt x="2976199" y="4587240"/>
                  <a:pt x="4399" y="6858000"/>
                </a:cubicBezTo>
                <a:cubicBezTo>
                  <a:pt x="19639" y="5354320"/>
                  <a:pt x="-10841" y="6929120"/>
                  <a:pt x="4399" y="5425440"/>
                </a:cubicBezTo>
                <a:close/>
              </a:path>
            </a:pathLst>
          </a:custGeom>
          <a:gradFill>
            <a:gsLst>
              <a:gs pos="0">
                <a:srgbClr val="E8ECF4"/>
              </a:gs>
              <a:gs pos="100000">
                <a:srgbClr val="B1BFD7"/>
              </a:gs>
            </a:gsLst>
            <a:lin ang="4200000" scaled="0"/>
          </a:gradFill>
          <a:ln w="9525">
            <a:solidFill>
              <a:schemeClr val="bg1"/>
            </a:solidFill>
          </a:ln>
          <a:effectLst>
            <a:outerShdw blurRad="63500" algn="ctr" rotWithShape="0">
              <a:schemeClr val="accent1">
                <a:lumMod val="50000"/>
                <a:alpha val="8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 name="Rectangle 6">
            <a:extLst>
              <a:ext uri="{FF2B5EF4-FFF2-40B4-BE49-F238E27FC236}">
                <a16:creationId xmlns:a16="http://schemas.microsoft.com/office/drawing/2014/main" id="{00000000-0008-0000-0100-000006000000}"/>
              </a:ext>
            </a:extLst>
          </xdr:cNvPr>
          <xdr:cNvSpPr/>
        </xdr:nvSpPr>
        <xdr:spPr>
          <a:xfrm>
            <a:off x="55622" y="6706787"/>
            <a:ext cx="14633113" cy="1253836"/>
          </a:xfrm>
          <a:custGeom>
            <a:avLst/>
            <a:gdLst>
              <a:gd name="csX0" fmla="*/ 0 w 7267652"/>
              <a:gd name="csY0" fmla="*/ 0 h 1798320"/>
              <a:gd name="csX1" fmla="*/ 7267652 w 7267652"/>
              <a:gd name="csY1" fmla="*/ 0 h 1798320"/>
              <a:gd name="csX2" fmla="*/ 7267652 w 7267652"/>
              <a:gd name="csY2" fmla="*/ 1798320 h 1798320"/>
              <a:gd name="csX3" fmla="*/ 0 w 7267652"/>
              <a:gd name="csY3" fmla="*/ 1798320 h 1798320"/>
              <a:gd name="csX4" fmla="*/ 0 w 7267652"/>
              <a:gd name="csY4" fmla="*/ 0 h 1798320"/>
              <a:gd name="csX0" fmla="*/ 0 w 7267652"/>
              <a:gd name="csY0" fmla="*/ 1798320 h 1798320"/>
              <a:gd name="csX1" fmla="*/ 7267652 w 7267652"/>
              <a:gd name="csY1" fmla="*/ 0 h 1798320"/>
              <a:gd name="csX2" fmla="*/ 7267652 w 7267652"/>
              <a:gd name="csY2" fmla="*/ 1798320 h 1798320"/>
              <a:gd name="csX3" fmla="*/ 0 w 7267652"/>
              <a:gd name="csY3" fmla="*/ 1798320 h 1798320"/>
              <a:gd name="csX0" fmla="*/ 0 w 7267652"/>
              <a:gd name="csY0" fmla="*/ 1249680 h 1249680"/>
              <a:gd name="csX1" fmla="*/ 7267652 w 7267652"/>
              <a:gd name="csY1" fmla="*/ 0 h 1249680"/>
              <a:gd name="csX2" fmla="*/ 7267652 w 7267652"/>
              <a:gd name="csY2" fmla="*/ 1249680 h 1249680"/>
              <a:gd name="csX3" fmla="*/ 0 w 7267652"/>
              <a:gd name="csY3" fmla="*/ 1249680 h 1249680"/>
              <a:gd name="csX0" fmla="*/ 0 w 7267652"/>
              <a:gd name="csY0" fmla="*/ 1249680 h 1249680"/>
              <a:gd name="csX1" fmla="*/ 7267652 w 7267652"/>
              <a:gd name="csY1" fmla="*/ 0 h 1249680"/>
              <a:gd name="csX2" fmla="*/ 7267652 w 7267652"/>
              <a:gd name="csY2" fmla="*/ 1249680 h 1249680"/>
              <a:gd name="csX3" fmla="*/ 0 w 7267652"/>
              <a:gd name="csY3" fmla="*/ 1249680 h 1249680"/>
              <a:gd name="csX0" fmla="*/ 0 w 7267652"/>
              <a:gd name="csY0" fmla="*/ 1249680 h 1249680"/>
              <a:gd name="csX1" fmla="*/ 7267652 w 7267652"/>
              <a:gd name="csY1" fmla="*/ 0 h 1249680"/>
              <a:gd name="csX2" fmla="*/ 7267652 w 7267652"/>
              <a:gd name="csY2" fmla="*/ 1249680 h 1249680"/>
              <a:gd name="csX3" fmla="*/ 0 w 7267652"/>
              <a:gd name="csY3" fmla="*/ 1249680 h 1249680"/>
              <a:gd name="csX0" fmla="*/ 0 w 7267652"/>
              <a:gd name="csY0" fmla="*/ 1021135 h 1021135"/>
              <a:gd name="csX1" fmla="*/ 7267652 w 7267652"/>
              <a:gd name="csY1" fmla="*/ 55 h 1021135"/>
              <a:gd name="csX2" fmla="*/ 7267652 w 7267652"/>
              <a:gd name="csY2" fmla="*/ 1021135 h 1021135"/>
              <a:gd name="csX3" fmla="*/ 0 w 7267652"/>
              <a:gd name="csY3" fmla="*/ 1021135 h 1021135"/>
              <a:gd name="csX0" fmla="*/ 0 w 7267652"/>
              <a:gd name="csY0" fmla="*/ 1235328 h 1235328"/>
              <a:gd name="csX1" fmla="*/ 7267652 w 7267652"/>
              <a:gd name="csY1" fmla="*/ 214248 h 1235328"/>
              <a:gd name="csX2" fmla="*/ 7267652 w 7267652"/>
              <a:gd name="csY2" fmla="*/ 1235328 h 1235328"/>
              <a:gd name="csX3" fmla="*/ 0 w 7267652"/>
              <a:gd name="csY3" fmla="*/ 1235328 h 1235328"/>
              <a:gd name="csX0" fmla="*/ 0 w 7267652"/>
              <a:gd name="csY0" fmla="*/ 1415541 h 1415541"/>
              <a:gd name="csX1" fmla="*/ 7267652 w 7267652"/>
              <a:gd name="csY1" fmla="*/ 394461 h 1415541"/>
              <a:gd name="csX2" fmla="*/ 7267652 w 7267652"/>
              <a:gd name="csY2" fmla="*/ 1415541 h 1415541"/>
              <a:gd name="csX3" fmla="*/ 0 w 7267652"/>
              <a:gd name="csY3" fmla="*/ 1415541 h 1415541"/>
            </a:gdLst>
            <a:ahLst/>
            <a:cxnLst>
              <a:cxn ang="0">
                <a:pos x="csX0" y="csY0"/>
              </a:cxn>
              <a:cxn ang="0">
                <a:pos x="csX1" y="csY1"/>
              </a:cxn>
              <a:cxn ang="0">
                <a:pos x="csX2" y="csY2"/>
              </a:cxn>
              <a:cxn ang="0">
                <a:pos x="csX3" y="csY3"/>
              </a:cxn>
            </a:cxnLst>
            <a:rect l="l" t="t" r="r" b="b"/>
            <a:pathLst>
              <a:path w="7267652" h="1415541">
                <a:moveTo>
                  <a:pt x="0" y="1415541"/>
                </a:moveTo>
                <a:cubicBezTo>
                  <a:pt x="2054405" y="-400126"/>
                  <a:pt x="5766817" y="-138939"/>
                  <a:pt x="7267652" y="394461"/>
                </a:cubicBezTo>
                <a:lnTo>
                  <a:pt x="7267652" y="1415541"/>
                </a:lnTo>
                <a:lnTo>
                  <a:pt x="0" y="1415541"/>
                </a:lnTo>
                <a:close/>
              </a:path>
            </a:pathLst>
          </a:custGeom>
          <a:gradFill>
            <a:gsLst>
              <a:gs pos="0">
                <a:srgbClr val="E8ECF4"/>
              </a:gs>
              <a:gs pos="76000">
                <a:srgbClr val="B1BFD7"/>
              </a:gs>
            </a:gsLst>
            <a:lin ang="3600000" scaled="0"/>
          </a:gradFill>
          <a:ln w="9525">
            <a:solidFill>
              <a:schemeClr val="bg1"/>
            </a:solidFill>
          </a:ln>
          <a:effectLst>
            <a:outerShdw blurRad="38100" dist="25400" dir="13500000" algn="br"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Rectangle 6">
            <a:extLst>
              <a:ext uri="{FF2B5EF4-FFF2-40B4-BE49-F238E27FC236}">
                <a16:creationId xmlns:a16="http://schemas.microsoft.com/office/drawing/2014/main" id="{00000000-0008-0000-0100-000007000000}"/>
              </a:ext>
            </a:extLst>
          </xdr:cNvPr>
          <xdr:cNvSpPr/>
        </xdr:nvSpPr>
        <xdr:spPr>
          <a:xfrm>
            <a:off x="14493118" y="1"/>
            <a:ext cx="1070732" cy="8362120"/>
          </a:xfrm>
          <a:prstGeom prst="rect">
            <a:avLst/>
          </a:prstGeom>
          <a:solidFill>
            <a:srgbClr val="E8EC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 name="Rectangle 7">
            <a:extLst>
              <a:ext uri="{FF2B5EF4-FFF2-40B4-BE49-F238E27FC236}">
                <a16:creationId xmlns:a16="http://schemas.microsoft.com/office/drawing/2014/main" id="{00000000-0008-0000-0100-000008000000}"/>
              </a:ext>
            </a:extLst>
          </xdr:cNvPr>
          <xdr:cNvSpPr/>
        </xdr:nvSpPr>
        <xdr:spPr>
          <a:xfrm rot="16200000">
            <a:off x="7385076" y="462063"/>
            <a:ext cx="779791" cy="15549943"/>
          </a:xfrm>
          <a:prstGeom prst="rect">
            <a:avLst/>
          </a:prstGeom>
          <a:solidFill>
            <a:srgbClr val="E8EC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 name="Rectangle 8">
            <a:extLst>
              <a:ext uri="{FF2B5EF4-FFF2-40B4-BE49-F238E27FC236}">
                <a16:creationId xmlns:a16="http://schemas.microsoft.com/office/drawing/2014/main" id="{00000000-0008-0000-0100-000009000000}"/>
              </a:ext>
            </a:extLst>
          </xdr:cNvPr>
          <xdr:cNvSpPr/>
        </xdr:nvSpPr>
        <xdr:spPr>
          <a:xfrm>
            <a:off x="0" y="1"/>
            <a:ext cx="97971" cy="8362120"/>
          </a:xfrm>
          <a:prstGeom prst="rect">
            <a:avLst/>
          </a:prstGeom>
          <a:solidFill>
            <a:srgbClr val="E8EC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xdr:col>
      <xdr:colOff>376029</xdr:colOff>
      <xdr:row>1</xdr:row>
      <xdr:rowOff>115646</xdr:rowOff>
    </xdr:from>
    <xdr:to>
      <xdr:col>23</xdr:col>
      <xdr:colOff>193149</xdr:colOff>
      <xdr:row>40</xdr:row>
      <xdr:rowOff>115646</xdr:rowOff>
    </xdr:to>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1107549" y="298526"/>
          <a:ext cx="12618720" cy="7132320"/>
        </a:xfrm>
        <a:prstGeom prst="roundRect">
          <a:avLst>
            <a:gd name="adj" fmla="val 3299"/>
          </a:avLst>
        </a:prstGeom>
        <a:solidFill>
          <a:srgbClr val="E7EBF3"/>
        </a:solidFill>
        <a:ln w="12700">
          <a:solidFill>
            <a:schemeClr val="bg1"/>
          </a:solidFill>
        </a:ln>
        <a:effectLst>
          <a:outerShdw blurRad="63500" dist="38100" dir="7200000" sx="103000" sy="103000" algn="ctr" rotWithShape="0">
            <a:srgbClr val="002854">
              <a:alpha val="1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554000</xdr:colOff>
      <xdr:row>3</xdr:row>
      <xdr:rowOff>16450</xdr:rowOff>
    </xdr:from>
    <xdr:to>
      <xdr:col>17</xdr:col>
      <xdr:colOff>279680</xdr:colOff>
      <xdr:row>16</xdr:row>
      <xdr:rowOff>16450</xdr:rowOff>
    </xdr:to>
    <xdr:grpSp>
      <xdr:nvGrpSpPr>
        <xdr:cNvPr id="11" name="Group 10">
          <a:extLst>
            <a:ext uri="{FF2B5EF4-FFF2-40B4-BE49-F238E27FC236}">
              <a16:creationId xmlns:a16="http://schemas.microsoft.com/office/drawing/2014/main" id="{00000000-0008-0000-0100-00000B000000}"/>
            </a:ext>
          </a:extLst>
        </xdr:cNvPr>
        <xdr:cNvGrpSpPr/>
      </xdr:nvGrpSpPr>
      <xdr:grpSpPr>
        <a:xfrm>
          <a:off x="4802150" y="587950"/>
          <a:ext cx="5040630" cy="2476500"/>
          <a:chOff x="5463540" y="-137160"/>
          <a:chExt cx="4221480" cy="3276600"/>
        </a:xfrm>
        <a:effectLst/>
      </xdr:grpSpPr>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5463540" y="-137160"/>
            <a:ext cx="4221480" cy="3276600"/>
          </a:xfrm>
          <a:prstGeom prst="roundRect">
            <a:avLst>
              <a:gd name="adj" fmla="val 7830"/>
            </a:avLst>
          </a:prstGeom>
          <a:solidFill>
            <a:srgbClr val="F9F9F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3" name="Rectangle: Rounded Corners 12">
            <a:extLst>
              <a:ext uri="{FF2B5EF4-FFF2-40B4-BE49-F238E27FC236}">
                <a16:creationId xmlns:a16="http://schemas.microsoft.com/office/drawing/2014/main" id="{00000000-0008-0000-0100-00000D000000}"/>
              </a:ext>
            </a:extLst>
          </xdr:cNvPr>
          <xdr:cNvSpPr/>
        </xdr:nvSpPr>
        <xdr:spPr>
          <a:xfrm>
            <a:off x="5463540" y="-137160"/>
            <a:ext cx="4221480" cy="3276600"/>
          </a:xfrm>
          <a:prstGeom prst="roundRect">
            <a:avLst>
              <a:gd name="adj" fmla="val 7496"/>
            </a:avLst>
          </a:prstGeom>
          <a:solidFill>
            <a:srgbClr val="F9F9FC"/>
          </a:solidFill>
          <a:ln>
            <a:noFill/>
          </a:ln>
          <a:effectLst>
            <a:outerShdw blurRad="190500" dist="127000" dir="8100000" algn="tr" rotWithShape="0">
              <a:srgbClr val="002854">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clientData/>
  </xdr:twoCellAnchor>
  <xdr:twoCellAnchor>
    <xdr:from>
      <xdr:col>17</xdr:col>
      <xdr:colOff>537151</xdr:colOff>
      <xdr:row>3</xdr:row>
      <xdr:rowOff>16450</xdr:rowOff>
    </xdr:from>
    <xdr:to>
      <xdr:col>22</xdr:col>
      <xdr:colOff>415231</xdr:colOff>
      <xdr:row>16</xdr:row>
      <xdr:rowOff>16450</xdr:rowOff>
    </xdr:to>
    <xdr:sp macro="" textlink="">
      <xdr:nvSpPr>
        <xdr:cNvPr id="14" name="Rectangle: Rounded Corners 13">
          <a:extLst>
            <a:ext uri="{FF2B5EF4-FFF2-40B4-BE49-F238E27FC236}">
              <a16:creationId xmlns:a16="http://schemas.microsoft.com/office/drawing/2014/main" id="{00000000-0008-0000-0100-00000E000000}"/>
            </a:ext>
          </a:extLst>
        </xdr:cNvPr>
        <xdr:cNvSpPr/>
      </xdr:nvSpPr>
      <xdr:spPr>
        <a:xfrm>
          <a:off x="10412671" y="565090"/>
          <a:ext cx="2926080" cy="2377440"/>
        </a:xfrm>
        <a:prstGeom prst="roundRect">
          <a:avLst>
            <a:gd name="adj" fmla="val 7830"/>
          </a:avLst>
        </a:prstGeom>
        <a:solidFill>
          <a:srgbClr val="F9F9FC"/>
        </a:solidFill>
        <a:ln>
          <a:noFill/>
        </a:ln>
        <a:effectLst>
          <a:outerShdw blurRad="190500" dist="127000" dir="8100000" algn="tr" rotWithShape="0">
            <a:srgbClr val="002854">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554000</xdr:colOff>
      <xdr:row>17</xdr:row>
      <xdr:rowOff>83361</xdr:rowOff>
    </xdr:from>
    <xdr:to>
      <xdr:col>15</xdr:col>
      <xdr:colOff>401600</xdr:colOff>
      <xdr:row>28</xdr:row>
      <xdr:rowOff>83361</xdr:rowOff>
    </xdr:to>
    <xdr:grpSp>
      <xdr:nvGrpSpPr>
        <xdr:cNvPr id="15" name="Group 14">
          <a:extLst>
            <a:ext uri="{FF2B5EF4-FFF2-40B4-BE49-F238E27FC236}">
              <a16:creationId xmlns:a16="http://schemas.microsoft.com/office/drawing/2014/main" id="{00000000-0008-0000-0100-00000F000000}"/>
            </a:ext>
          </a:extLst>
        </xdr:cNvPr>
        <xdr:cNvGrpSpPr/>
      </xdr:nvGrpSpPr>
      <xdr:grpSpPr>
        <a:xfrm>
          <a:off x="4802150" y="3321861"/>
          <a:ext cx="3981450" cy="2095500"/>
          <a:chOff x="-541020" y="2958160"/>
          <a:chExt cx="4221480" cy="3276600"/>
        </a:xfrm>
        <a:effectLst/>
      </xdr:grpSpPr>
      <xdr:sp macro="" textlink="">
        <xdr:nvSpPr>
          <xdr:cNvPr id="16" name="Rectangle: Rounded Corners 15">
            <a:extLst>
              <a:ext uri="{FF2B5EF4-FFF2-40B4-BE49-F238E27FC236}">
                <a16:creationId xmlns:a16="http://schemas.microsoft.com/office/drawing/2014/main" id="{00000000-0008-0000-0100-000010000000}"/>
              </a:ext>
            </a:extLst>
          </xdr:cNvPr>
          <xdr:cNvSpPr/>
        </xdr:nvSpPr>
        <xdr:spPr>
          <a:xfrm>
            <a:off x="-541020" y="2958160"/>
            <a:ext cx="4221480" cy="3276600"/>
          </a:xfrm>
          <a:prstGeom prst="roundRect">
            <a:avLst>
              <a:gd name="adj" fmla="val 7830"/>
            </a:avLst>
          </a:prstGeom>
          <a:solidFill>
            <a:srgbClr val="F9F9FC"/>
          </a:solidFill>
          <a:ln>
            <a:noFill/>
          </a:ln>
          <a:effectLst>
            <a:outerShdw blurRad="190500" dist="127000" dir="8100000" algn="tr" rotWithShape="0">
              <a:srgbClr val="002854">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7" name="Freeform: Shape 16">
            <a:extLst>
              <a:ext uri="{FF2B5EF4-FFF2-40B4-BE49-F238E27FC236}">
                <a16:creationId xmlns:a16="http://schemas.microsoft.com/office/drawing/2014/main" id="{00000000-0008-0000-0100-000011000000}"/>
              </a:ext>
            </a:extLst>
          </xdr:cNvPr>
          <xdr:cNvSpPr/>
        </xdr:nvSpPr>
        <xdr:spPr>
          <a:xfrm>
            <a:off x="429915" y="3555268"/>
            <a:ext cx="2683919" cy="2255897"/>
          </a:xfrm>
          <a:custGeom>
            <a:avLst/>
            <a:gdLst>
              <a:gd name="csX0" fmla="*/ 4014688 w 4166661"/>
              <a:gd name="csY0" fmla="*/ 0 h 2894360"/>
              <a:gd name="csX1" fmla="*/ 4071766 w 4166661"/>
              <a:gd name="csY1" fmla="*/ 155950 h 2894360"/>
              <a:gd name="csX2" fmla="*/ 4166661 w 4166661"/>
              <a:gd name="csY2" fmla="*/ 783620 h 2894360"/>
              <a:gd name="csX3" fmla="*/ 2055921 w 4166661"/>
              <a:gd name="csY3" fmla="*/ 2894360 h 2894360"/>
              <a:gd name="csX4" fmla="*/ 40076 w 4166661"/>
              <a:gd name="csY4" fmla="*/ 1411290 h 2894360"/>
              <a:gd name="csX5" fmla="*/ 0 w 4166661"/>
              <a:gd name="csY5" fmla="*/ 1255429 h 2894360"/>
              <a:gd name="csX6" fmla="*/ 13899 w 4166661"/>
              <a:gd name="csY6" fmla="*/ 1293404 h 2894360"/>
              <a:gd name="csX7" fmla="*/ 1958767 w 4166661"/>
              <a:gd name="csY7" fmla="*/ 2582549 h 2894360"/>
              <a:gd name="csX8" fmla="*/ 4069507 w 4166661"/>
              <a:gd name="csY8" fmla="*/ 471809 h 2894360"/>
              <a:gd name="csX9" fmla="*/ 4026624 w 4166661"/>
              <a:gd name="csY9" fmla="*/ 46421 h 2894360"/>
              <a:gd name="csX10" fmla="*/ 4014688 w 4166661"/>
              <a:gd name="csY10" fmla="*/ 0 h 2894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4166661" h="2894360">
                <a:moveTo>
                  <a:pt x="4014688" y="0"/>
                </a:moveTo>
                <a:lnTo>
                  <a:pt x="4071766" y="155950"/>
                </a:lnTo>
                <a:cubicBezTo>
                  <a:pt x="4133438" y="354231"/>
                  <a:pt x="4166661" y="565046"/>
                  <a:pt x="4166661" y="783620"/>
                </a:cubicBezTo>
                <a:cubicBezTo>
                  <a:pt x="4166661" y="1949350"/>
                  <a:pt x="3221651" y="2894360"/>
                  <a:pt x="2055921" y="2894360"/>
                </a:cubicBezTo>
                <a:cubicBezTo>
                  <a:pt x="1108765" y="2894360"/>
                  <a:pt x="307320" y="2270506"/>
                  <a:pt x="40076" y="1411290"/>
                </a:cubicBezTo>
                <a:lnTo>
                  <a:pt x="0" y="1255429"/>
                </a:lnTo>
                <a:lnTo>
                  <a:pt x="13899" y="1293404"/>
                </a:lnTo>
                <a:cubicBezTo>
                  <a:pt x="334327" y="2050981"/>
                  <a:pt x="1084470" y="2582549"/>
                  <a:pt x="1958767" y="2582549"/>
                </a:cubicBezTo>
                <a:cubicBezTo>
                  <a:pt x="3124497" y="2582549"/>
                  <a:pt x="4069507" y="1637539"/>
                  <a:pt x="4069507" y="471809"/>
                </a:cubicBezTo>
                <a:cubicBezTo>
                  <a:pt x="4069507" y="326093"/>
                  <a:pt x="4054741" y="183825"/>
                  <a:pt x="4026624" y="46421"/>
                </a:cubicBezTo>
                <a:lnTo>
                  <a:pt x="4014688" y="0"/>
                </a:lnTo>
                <a:close/>
              </a:path>
            </a:pathLst>
          </a:custGeom>
          <a:gradFill>
            <a:gsLst>
              <a:gs pos="18000">
                <a:srgbClr val="BBD6FB"/>
              </a:gs>
              <a:gs pos="100000">
                <a:schemeClr val="bg1">
                  <a:alpha val="0"/>
                </a:schemeClr>
              </a:gs>
            </a:gsLst>
            <a:lin ang="18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clientData/>
  </xdr:twoCellAnchor>
  <xdr:twoCellAnchor>
    <xdr:from>
      <xdr:col>16</xdr:col>
      <xdr:colOff>49471</xdr:colOff>
      <xdr:row>17</xdr:row>
      <xdr:rowOff>81316</xdr:rowOff>
    </xdr:from>
    <xdr:to>
      <xdr:col>22</xdr:col>
      <xdr:colOff>415231</xdr:colOff>
      <xdr:row>28</xdr:row>
      <xdr:rowOff>81316</xdr:rowOff>
    </xdr:to>
    <xdr:sp macro="" textlink="">
      <xdr:nvSpPr>
        <xdr:cNvPr id="18" name="Rectangle: Rounded Corners 17">
          <a:extLst>
            <a:ext uri="{FF2B5EF4-FFF2-40B4-BE49-F238E27FC236}">
              <a16:creationId xmlns:a16="http://schemas.microsoft.com/office/drawing/2014/main" id="{00000000-0008-0000-0100-000012000000}"/>
            </a:ext>
          </a:extLst>
        </xdr:cNvPr>
        <xdr:cNvSpPr/>
      </xdr:nvSpPr>
      <xdr:spPr>
        <a:xfrm>
          <a:off x="9315391" y="3190276"/>
          <a:ext cx="4023360" cy="2011680"/>
        </a:xfrm>
        <a:prstGeom prst="roundRect">
          <a:avLst>
            <a:gd name="adj" fmla="val 7830"/>
          </a:avLst>
        </a:prstGeom>
        <a:solidFill>
          <a:srgbClr val="F9F9FC"/>
        </a:solidFill>
        <a:ln>
          <a:noFill/>
        </a:ln>
        <a:effectLst>
          <a:outerShdw blurRad="190500" dist="127000" dir="8100000" algn="tr" rotWithShape="0">
            <a:srgbClr val="002854">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144780</xdr:colOff>
      <xdr:row>3</xdr:row>
      <xdr:rowOff>16449</xdr:rowOff>
    </xdr:from>
    <xdr:to>
      <xdr:col>8</xdr:col>
      <xdr:colOff>297180</xdr:colOff>
      <xdr:row>23</xdr:row>
      <xdr:rowOff>16449</xdr:rowOff>
    </xdr:to>
    <xdr:sp macro="" textlink="">
      <xdr:nvSpPr>
        <xdr:cNvPr id="19" name="Rectangle: Rounded Corners 18">
          <a:extLst>
            <a:ext uri="{FF2B5EF4-FFF2-40B4-BE49-F238E27FC236}">
              <a16:creationId xmlns:a16="http://schemas.microsoft.com/office/drawing/2014/main" id="{00000000-0008-0000-0100-000013000000}"/>
            </a:ext>
          </a:extLst>
        </xdr:cNvPr>
        <xdr:cNvSpPr/>
      </xdr:nvSpPr>
      <xdr:spPr>
        <a:xfrm>
          <a:off x="1485900" y="565089"/>
          <a:ext cx="3200400" cy="3657600"/>
        </a:xfrm>
        <a:prstGeom prst="roundRect">
          <a:avLst>
            <a:gd name="adj" fmla="val 5694"/>
          </a:avLst>
        </a:prstGeom>
        <a:solidFill>
          <a:srgbClr val="F9F9FC"/>
        </a:solidFill>
        <a:ln>
          <a:solidFill>
            <a:schemeClr val="bg1"/>
          </a:solidFill>
        </a:ln>
        <a:effectLst>
          <a:outerShdw blurRad="190500" dist="127000" dir="8100000" algn="tr" rotWithShape="0">
            <a:srgbClr val="002854">
              <a:alpha val="2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111628</xdr:colOff>
      <xdr:row>24</xdr:row>
      <xdr:rowOff>108127</xdr:rowOff>
    </xdr:from>
    <xdr:to>
      <xdr:col>8</xdr:col>
      <xdr:colOff>264028</xdr:colOff>
      <xdr:row>39</xdr:row>
      <xdr:rowOff>16687</xdr:rowOff>
    </xdr:to>
    <xdr:sp macro="" textlink="">
      <xdr:nvSpPr>
        <xdr:cNvPr id="20" name="Rectangle: Rounded Corners 19">
          <a:extLst>
            <a:ext uri="{FF2B5EF4-FFF2-40B4-BE49-F238E27FC236}">
              <a16:creationId xmlns:a16="http://schemas.microsoft.com/office/drawing/2014/main" id="{00000000-0008-0000-0100-000014000000}"/>
            </a:ext>
          </a:extLst>
        </xdr:cNvPr>
        <xdr:cNvSpPr/>
      </xdr:nvSpPr>
      <xdr:spPr>
        <a:xfrm>
          <a:off x="1452748" y="4497247"/>
          <a:ext cx="3200400" cy="2651760"/>
        </a:xfrm>
        <a:prstGeom prst="roundRect">
          <a:avLst>
            <a:gd name="adj" fmla="val 7830"/>
          </a:avLst>
        </a:prstGeom>
        <a:solidFill>
          <a:srgbClr val="F9F9FC"/>
        </a:solidFill>
        <a:ln>
          <a:noFill/>
        </a:ln>
        <a:effectLst>
          <a:outerShdw blurRad="190500" dist="127000" dir="8100000" algn="tr" rotWithShape="0">
            <a:srgbClr val="002854">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17</xdr:col>
      <xdr:colOff>242208</xdr:colOff>
      <xdr:row>30</xdr:row>
      <xdr:rowOff>16687</xdr:rowOff>
    </xdr:from>
    <xdr:to>
      <xdr:col>22</xdr:col>
      <xdr:colOff>404438</xdr:colOff>
      <xdr:row>39</xdr:row>
      <xdr:rowOff>16687</xdr:rowOff>
    </xdr:to>
    <xdr:sp macro="" textlink="">
      <xdr:nvSpPr>
        <xdr:cNvPr id="21" name="Rectangle: Rounded Corners 20">
          <a:extLst>
            <a:ext uri="{FF2B5EF4-FFF2-40B4-BE49-F238E27FC236}">
              <a16:creationId xmlns:a16="http://schemas.microsoft.com/office/drawing/2014/main" id="{00000000-0008-0000-0100-000015000000}"/>
            </a:ext>
          </a:extLst>
        </xdr:cNvPr>
        <xdr:cNvSpPr/>
      </xdr:nvSpPr>
      <xdr:spPr>
        <a:xfrm>
          <a:off x="10117728" y="5503087"/>
          <a:ext cx="3210230" cy="1645920"/>
        </a:xfrm>
        <a:prstGeom prst="roundRect">
          <a:avLst>
            <a:gd name="adj" fmla="val 7830"/>
          </a:avLst>
        </a:prstGeom>
        <a:solidFill>
          <a:srgbClr val="F9F9FC"/>
        </a:solidFill>
        <a:ln>
          <a:noFill/>
        </a:ln>
        <a:effectLst>
          <a:outerShdw blurRad="190500" dist="127000" dir="8100000" algn="tr" rotWithShape="0">
            <a:srgbClr val="002854">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551884</xdr:colOff>
      <xdr:row>30</xdr:row>
      <xdr:rowOff>16687</xdr:rowOff>
    </xdr:from>
    <xdr:to>
      <xdr:col>16</xdr:col>
      <xdr:colOff>579120</xdr:colOff>
      <xdr:row>39</xdr:row>
      <xdr:rowOff>16687</xdr:rowOff>
    </xdr:to>
    <xdr:grpSp>
      <xdr:nvGrpSpPr>
        <xdr:cNvPr id="22" name="Group 21">
          <a:extLst>
            <a:ext uri="{FF2B5EF4-FFF2-40B4-BE49-F238E27FC236}">
              <a16:creationId xmlns:a16="http://schemas.microsoft.com/office/drawing/2014/main" id="{00000000-0008-0000-0100-000016000000}"/>
            </a:ext>
          </a:extLst>
        </xdr:cNvPr>
        <xdr:cNvGrpSpPr/>
      </xdr:nvGrpSpPr>
      <xdr:grpSpPr>
        <a:xfrm>
          <a:off x="4800034" y="5731687"/>
          <a:ext cx="4751636" cy="1714500"/>
          <a:chOff x="3953110" y="5613314"/>
          <a:chExt cx="4221480" cy="1863353"/>
        </a:xfrm>
        <a:effectLst/>
      </xdr:grpSpPr>
      <xdr:sp macro="" textlink="">
        <xdr:nvSpPr>
          <xdr:cNvPr id="23" name="Rectangle: Rounded Corners 22">
            <a:extLst>
              <a:ext uri="{FF2B5EF4-FFF2-40B4-BE49-F238E27FC236}">
                <a16:creationId xmlns:a16="http://schemas.microsoft.com/office/drawing/2014/main" id="{00000000-0008-0000-0100-000017000000}"/>
              </a:ext>
            </a:extLst>
          </xdr:cNvPr>
          <xdr:cNvSpPr/>
        </xdr:nvSpPr>
        <xdr:spPr>
          <a:xfrm>
            <a:off x="3953110" y="5613314"/>
            <a:ext cx="4221480" cy="1863353"/>
          </a:xfrm>
          <a:prstGeom prst="roundRect">
            <a:avLst>
              <a:gd name="adj" fmla="val 7830"/>
            </a:avLst>
          </a:prstGeom>
          <a:solidFill>
            <a:srgbClr val="F9F9FC"/>
          </a:solidFill>
          <a:ln>
            <a:noFill/>
          </a:ln>
          <a:effectLst>
            <a:outerShdw blurRad="190500" dist="127000" dir="8100000" algn="tr" rotWithShape="0">
              <a:srgbClr val="002854">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24" name="Rectangle: Rounded Corners 23">
            <a:extLst>
              <a:ext uri="{FF2B5EF4-FFF2-40B4-BE49-F238E27FC236}">
                <a16:creationId xmlns:a16="http://schemas.microsoft.com/office/drawing/2014/main" id="{00000000-0008-0000-0100-000018000000}"/>
              </a:ext>
            </a:extLst>
          </xdr:cNvPr>
          <xdr:cNvSpPr/>
        </xdr:nvSpPr>
        <xdr:spPr>
          <a:xfrm>
            <a:off x="3953110" y="5613314"/>
            <a:ext cx="4221480" cy="1863353"/>
          </a:xfrm>
          <a:prstGeom prst="roundRect">
            <a:avLst>
              <a:gd name="adj" fmla="val 7830"/>
            </a:avLst>
          </a:prstGeom>
          <a:solidFill>
            <a:srgbClr val="F9F9F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clientData/>
  </xdr:twoCellAnchor>
  <xdr:twoCellAnchor>
    <xdr:from>
      <xdr:col>3</xdr:col>
      <xdr:colOff>358140</xdr:colOff>
      <xdr:row>5</xdr:row>
      <xdr:rowOff>85029</xdr:rowOff>
    </xdr:from>
    <xdr:to>
      <xdr:col>8</xdr:col>
      <xdr:colOff>53340</xdr:colOff>
      <xdr:row>20</xdr:row>
      <xdr:rowOff>85029</xdr:rowOff>
    </xdr:to>
    <xdr:graphicFrame macro="">
      <xdr:nvGraphicFramePr>
        <xdr:cNvPr id="25" name="Chart 24">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203719</xdr:colOff>
      <xdr:row>3</xdr:row>
      <xdr:rowOff>121877</xdr:rowOff>
    </xdr:from>
    <xdr:to>
      <xdr:col>7</xdr:col>
      <xdr:colOff>207762</xdr:colOff>
      <xdr:row>5</xdr:row>
      <xdr:rowOff>20035</xdr:rowOff>
    </xdr:to>
    <xdr:sp macro="" textlink="Processing!A1">
      <xdr:nvSpPr>
        <xdr:cNvPr id="26" name="TextBox 25">
          <a:extLst>
            <a:ext uri="{FF2B5EF4-FFF2-40B4-BE49-F238E27FC236}">
              <a16:creationId xmlns:a16="http://schemas.microsoft.com/office/drawing/2014/main" id="{00000000-0008-0000-0100-00001A000000}"/>
            </a:ext>
          </a:extLst>
        </xdr:cNvPr>
        <xdr:cNvSpPr txBox="1"/>
      </xdr:nvSpPr>
      <xdr:spPr>
        <a:xfrm>
          <a:off x="2154439" y="670517"/>
          <a:ext cx="1832843"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EF9EF1-2D6C-4763-B1FA-978FE815378E}" type="TxLink">
            <a:rPr lang="en-US" sz="1200" b="0" i="0" u="none" strike="noStrike">
              <a:solidFill>
                <a:schemeClr val="tx2">
                  <a:lumMod val="90000"/>
                  <a:lumOff val="10000"/>
                </a:schemeClr>
              </a:solidFill>
              <a:latin typeface="Aptos Narrow"/>
              <a:ea typeface="+mn-ea"/>
              <a:cs typeface="+mn-cs"/>
            </a:rPr>
            <a:pPr marL="0" indent="0" algn="ctr"/>
            <a:t>Employee Categories</a:t>
          </a:fld>
          <a:endParaRPr lang="ru-RU" sz="1200" b="0" i="0" u="none" strike="noStrike">
            <a:solidFill>
              <a:schemeClr val="tx2">
                <a:lumMod val="90000"/>
                <a:lumOff val="10000"/>
              </a:schemeClr>
            </a:solidFill>
            <a:latin typeface="Aptos Narrow"/>
            <a:ea typeface="+mn-ea"/>
            <a:cs typeface="+mn-cs"/>
          </a:endParaRPr>
        </a:p>
      </xdr:txBody>
    </xdr:sp>
    <xdr:clientData/>
  </xdr:twoCellAnchor>
  <xdr:twoCellAnchor>
    <xdr:from>
      <xdr:col>5</xdr:col>
      <xdr:colOff>579120</xdr:colOff>
      <xdr:row>13</xdr:row>
      <xdr:rowOff>76200</xdr:rowOff>
    </xdr:from>
    <xdr:to>
      <xdr:col>8</xdr:col>
      <xdr:colOff>108856</xdr:colOff>
      <xdr:row>20</xdr:row>
      <xdr:rowOff>27613</xdr:rowOff>
    </xdr:to>
    <xdr:grpSp>
      <xdr:nvGrpSpPr>
        <xdr:cNvPr id="27" name="Group 26">
          <a:extLst>
            <a:ext uri="{FF2B5EF4-FFF2-40B4-BE49-F238E27FC236}">
              <a16:creationId xmlns:a16="http://schemas.microsoft.com/office/drawing/2014/main" id="{00000000-0008-0000-0100-00001B000000}"/>
            </a:ext>
          </a:extLst>
        </xdr:cNvPr>
        <xdr:cNvGrpSpPr/>
      </xdr:nvGrpSpPr>
      <xdr:grpSpPr>
        <a:xfrm>
          <a:off x="3055620" y="2552700"/>
          <a:ext cx="1301386" cy="1284913"/>
          <a:chOff x="3139440" y="2705100"/>
          <a:chExt cx="1358536" cy="1231573"/>
        </a:xfrm>
      </xdr:grpSpPr>
      <xdr:sp macro="" textlink="">
        <xdr:nvSpPr>
          <xdr:cNvPr id="28" name="Oval 27">
            <a:extLst>
              <a:ext uri="{FF2B5EF4-FFF2-40B4-BE49-F238E27FC236}">
                <a16:creationId xmlns:a16="http://schemas.microsoft.com/office/drawing/2014/main" id="{00000000-0008-0000-0100-00001C000000}"/>
              </a:ext>
            </a:extLst>
          </xdr:cNvPr>
          <xdr:cNvSpPr/>
        </xdr:nvSpPr>
        <xdr:spPr>
          <a:xfrm>
            <a:off x="3139440" y="2994660"/>
            <a:ext cx="118872" cy="121792"/>
          </a:xfrm>
          <a:prstGeom prst="ellipse">
            <a:avLst/>
          </a:prstGeom>
          <a:solidFill>
            <a:srgbClr val="52E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9" name="Oval 28">
            <a:extLst>
              <a:ext uri="{FF2B5EF4-FFF2-40B4-BE49-F238E27FC236}">
                <a16:creationId xmlns:a16="http://schemas.microsoft.com/office/drawing/2014/main" id="{00000000-0008-0000-0100-00001D000000}"/>
              </a:ext>
            </a:extLst>
          </xdr:cNvPr>
          <xdr:cNvSpPr/>
        </xdr:nvSpPr>
        <xdr:spPr>
          <a:xfrm>
            <a:off x="3139440" y="3184363"/>
            <a:ext cx="118872" cy="121793"/>
          </a:xfrm>
          <a:prstGeom prst="ellipse">
            <a:avLst/>
          </a:prstGeom>
          <a:solidFill>
            <a:srgbClr val="22D9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0" name="Oval 29">
            <a:extLst>
              <a:ext uri="{FF2B5EF4-FFF2-40B4-BE49-F238E27FC236}">
                <a16:creationId xmlns:a16="http://schemas.microsoft.com/office/drawing/2014/main" id="{00000000-0008-0000-0100-00001E000000}"/>
              </a:ext>
            </a:extLst>
          </xdr:cNvPr>
          <xdr:cNvSpPr/>
        </xdr:nvSpPr>
        <xdr:spPr>
          <a:xfrm>
            <a:off x="3139440" y="3374067"/>
            <a:ext cx="118872" cy="121793"/>
          </a:xfrm>
          <a:prstGeom prst="ellipse">
            <a:avLst/>
          </a:prstGeom>
          <a:solidFill>
            <a:srgbClr val="10B9C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1" name="Oval 30">
            <a:extLst>
              <a:ext uri="{FF2B5EF4-FFF2-40B4-BE49-F238E27FC236}">
                <a16:creationId xmlns:a16="http://schemas.microsoft.com/office/drawing/2014/main" id="{00000000-0008-0000-0100-00001F000000}"/>
              </a:ext>
            </a:extLst>
          </xdr:cNvPr>
          <xdr:cNvSpPr/>
        </xdr:nvSpPr>
        <xdr:spPr>
          <a:xfrm>
            <a:off x="3139440" y="3563771"/>
            <a:ext cx="118872" cy="121792"/>
          </a:xfrm>
          <a:prstGeom prst="ellipse">
            <a:avLst/>
          </a:prstGeom>
          <a:solidFill>
            <a:srgbClr val="00A5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2" name="Oval 31">
            <a:extLst>
              <a:ext uri="{FF2B5EF4-FFF2-40B4-BE49-F238E27FC236}">
                <a16:creationId xmlns:a16="http://schemas.microsoft.com/office/drawing/2014/main" id="{00000000-0008-0000-0100-000020000000}"/>
              </a:ext>
            </a:extLst>
          </xdr:cNvPr>
          <xdr:cNvSpPr/>
        </xdr:nvSpPr>
        <xdr:spPr>
          <a:xfrm>
            <a:off x="3139440" y="3753473"/>
            <a:ext cx="118872" cy="121793"/>
          </a:xfrm>
          <a:prstGeom prst="ellipse">
            <a:avLst/>
          </a:prstGeom>
          <a:solidFill>
            <a:srgbClr val="009AB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B1">
        <xdr:nvSpPr>
          <xdr:cNvPr id="33" name="TextBox 32">
            <a:extLst>
              <a:ext uri="{FF2B5EF4-FFF2-40B4-BE49-F238E27FC236}">
                <a16:creationId xmlns:a16="http://schemas.microsoft.com/office/drawing/2014/main" id="{00000000-0008-0000-0100-000021000000}"/>
              </a:ext>
            </a:extLst>
          </xdr:cNvPr>
          <xdr:cNvSpPr txBox="1"/>
        </xdr:nvSpPr>
        <xdr:spPr>
          <a:xfrm>
            <a:off x="3246120" y="2948940"/>
            <a:ext cx="1251856" cy="218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94A75D3-ED5B-4E8A-BAF3-2A6CF8074E1C}" type="TxLink">
              <a:rPr lang="en-US" sz="1100" b="0" i="0" u="none" strike="noStrike">
                <a:solidFill>
                  <a:srgbClr val="58D5F2"/>
                </a:solidFill>
                <a:latin typeface="Aptos Narrow"/>
                <a:ea typeface="+mn-ea"/>
                <a:cs typeface="+mn-cs"/>
              </a:rPr>
              <a:pPr marL="0" indent="0" algn="l"/>
              <a:t>Management</a:t>
            </a:fld>
            <a:endParaRPr lang="ru-RU" sz="1100" b="0" i="0" u="none" strike="noStrike">
              <a:solidFill>
                <a:srgbClr val="58D5F2"/>
              </a:solidFill>
              <a:latin typeface="Aptos Narrow"/>
              <a:ea typeface="+mn-ea"/>
              <a:cs typeface="+mn-cs"/>
            </a:endParaRPr>
          </a:p>
        </xdr:txBody>
      </xdr:sp>
      <xdr:sp macro="" textlink="Processing!C1">
        <xdr:nvSpPr>
          <xdr:cNvPr id="34" name="TextBox 33">
            <a:extLst>
              <a:ext uri="{FF2B5EF4-FFF2-40B4-BE49-F238E27FC236}">
                <a16:creationId xmlns:a16="http://schemas.microsoft.com/office/drawing/2014/main" id="{00000000-0008-0000-0100-000022000000}"/>
              </a:ext>
            </a:extLst>
          </xdr:cNvPr>
          <xdr:cNvSpPr txBox="1"/>
        </xdr:nvSpPr>
        <xdr:spPr>
          <a:xfrm>
            <a:off x="3246120" y="3139440"/>
            <a:ext cx="1251856" cy="218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5C4C-C011-444B-A8B1-705909D208A7}" type="TxLink">
              <a:rPr lang="en-US" sz="1100" b="0" i="0" u="none" strike="noStrike">
                <a:solidFill>
                  <a:srgbClr val="22D9ED"/>
                </a:solidFill>
                <a:latin typeface="Aptos Narrow"/>
                <a:ea typeface="+mn-ea"/>
                <a:cs typeface="+mn-cs"/>
              </a:rPr>
              <a:pPr marL="0" indent="0" algn="l"/>
              <a:t>Administrative staff</a:t>
            </a:fld>
            <a:endParaRPr lang="ru-RU" sz="1100" b="0" i="0" u="none" strike="noStrike">
              <a:solidFill>
                <a:srgbClr val="22D9ED"/>
              </a:solidFill>
              <a:latin typeface="Aptos Narrow"/>
              <a:ea typeface="+mn-ea"/>
              <a:cs typeface="+mn-cs"/>
            </a:endParaRPr>
          </a:p>
        </xdr:txBody>
      </xdr:sp>
      <xdr:sp macro="" textlink="Processing!D1">
        <xdr:nvSpPr>
          <xdr:cNvPr id="35" name="TextBox 34">
            <a:extLst>
              <a:ext uri="{FF2B5EF4-FFF2-40B4-BE49-F238E27FC236}">
                <a16:creationId xmlns:a16="http://schemas.microsoft.com/office/drawing/2014/main" id="{00000000-0008-0000-0100-000023000000}"/>
              </a:ext>
            </a:extLst>
          </xdr:cNvPr>
          <xdr:cNvSpPr txBox="1"/>
        </xdr:nvSpPr>
        <xdr:spPr>
          <a:xfrm>
            <a:off x="3246120" y="3329940"/>
            <a:ext cx="1251856" cy="218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16C3592-0548-41D1-BE73-06E96007F120}" type="TxLink">
              <a:rPr lang="en-US" sz="1100" b="0" i="0" u="none" strike="noStrike">
                <a:solidFill>
                  <a:srgbClr val="10B9CB"/>
                </a:solidFill>
                <a:latin typeface="Aptos Narrow"/>
                <a:ea typeface="+mn-ea"/>
                <a:cs typeface="+mn-cs"/>
              </a:rPr>
              <a:pPr marL="0" indent="0" algn="l"/>
              <a:t>Sales department</a:t>
            </a:fld>
            <a:endParaRPr lang="ru-RU" sz="1100" b="0" i="0" u="none" strike="noStrike">
              <a:solidFill>
                <a:srgbClr val="10B9CB"/>
              </a:solidFill>
              <a:latin typeface="Aptos Narrow"/>
              <a:ea typeface="+mn-ea"/>
              <a:cs typeface="+mn-cs"/>
            </a:endParaRPr>
          </a:p>
        </xdr:txBody>
      </xdr:sp>
      <xdr:sp macro="" textlink="Processing!E1">
        <xdr:nvSpPr>
          <xdr:cNvPr id="36" name="TextBox 35">
            <a:extLst>
              <a:ext uri="{FF2B5EF4-FFF2-40B4-BE49-F238E27FC236}">
                <a16:creationId xmlns:a16="http://schemas.microsoft.com/office/drawing/2014/main" id="{00000000-0008-0000-0100-000024000000}"/>
              </a:ext>
            </a:extLst>
          </xdr:cNvPr>
          <xdr:cNvSpPr txBox="1"/>
        </xdr:nvSpPr>
        <xdr:spPr>
          <a:xfrm>
            <a:off x="3246120" y="3528060"/>
            <a:ext cx="1251856" cy="218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71C7431-F9AB-48A7-ADAF-AAF9E2AAD680}" type="TxLink">
              <a:rPr lang="en-US" sz="1100" b="0" i="0" u="none" strike="noStrike">
                <a:solidFill>
                  <a:srgbClr val="0E9FAE"/>
                </a:solidFill>
                <a:latin typeface="Aptos Narrow"/>
                <a:ea typeface="+mn-ea"/>
                <a:cs typeface="+mn-cs"/>
              </a:rPr>
              <a:pPr marL="0" indent="0" algn="l"/>
              <a:t>Production department</a:t>
            </a:fld>
            <a:endParaRPr lang="ru-RU" sz="1100" b="0" i="0" u="none" strike="noStrike">
              <a:solidFill>
                <a:srgbClr val="0E9FAE"/>
              </a:solidFill>
              <a:latin typeface="Aptos Narrow"/>
              <a:ea typeface="+mn-ea"/>
              <a:cs typeface="+mn-cs"/>
            </a:endParaRPr>
          </a:p>
        </xdr:txBody>
      </xdr:sp>
      <xdr:sp macro="" textlink="Processing!F1">
        <xdr:nvSpPr>
          <xdr:cNvPr id="37" name="TextBox 36">
            <a:extLst>
              <a:ext uri="{FF2B5EF4-FFF2-40B4-BE49-F238E27FC236}">
                <a16:creationId xmlns:a16="http://schemas.microsoft.com/office/drawing/2014/main" id="{00000000-0008-0000-0100-000025000000}"/>
              </a:ext>
            </a:extLst>
          </xdr:cNvPr>
          <xdr:cNvSpPr txBox="1"/>
        </xdr:nvSpPr>
        <xdr:spPr>
          <a:xfrm>
            <a:off x="3246120" y="3718560"/>
            <a:ext cx="1251856" cy="218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2A83065-A1C4-4521-825B-99666111D026}" type="TxLink">
              <a:rPr lang="en-US" sz="1100" b="0" i="0" u="none" strike="noStrike">
                <a:solidFill>
                  <a:srgbClr val="0C8E9C"/>
                </a:solidFill>
                <a:latin typeface="Aptos Narrow"/>
                <a:ea typeface="+mn-ea"/>
                <a:cs typeface="+mn-cs"/>
              </a:rPr>
              <a:pPr marL="0" indent="0" algn="l"/>
              <a:t>Logistics department</a:t>
            </a:fld>
            <a:endParaRPr lang="ru-RU" sz="1100" b="0" i="0" u="none" strike="noStrike">
              <a:solidFill>
                <a:srgbClr val="0C8E9C"/>
              </a:solidFill>
              <a:latin typeface="Aptos Narrow"/>
              <a:ea typeface="+mn-ea"/>
              <a:cs typeface="+mn-cs"/>
            </a:endParaRPr>
          </a:p>
        </xdr:txBody>
      </xdr:sp>
      <xdr:sp macro="" textlink="Processing!I2">
        <xdr:nvSpPr>
          <xdr:cNvPr id="38" name="TextBox 37">
            <a:extLst>
              <a:ext uri="{FF2B5EF4-FFF2-40B4-BE49-F238E27FC236}">
                <a16:creationId xmlns:a16="http://schemas.microsoft.com/office/drawing/2014/main" id="{00000000-0008-0000-0100-000026000000}"/>
              </a:ext>
            </a:extLst>
          </xdr:cNvPr>
          <xdr:cNvSpPr txBox="1"/>
        </xdr:nvSpPr>
        <xdr:spPr>
          <a:xfrm>
            <a:off x="3154680" y="2705100"/>
            <a:ext cx="1251856" cy="218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1E3AE4C-6980-4463-852A-5078CC210D84}" type="TxLink">
              <a:rPr lang="en-US" sz="1600" b="0" i="0" u="none" strike="noStrike">
                <a:solidFill>
                  <a:schemeClr val="tx2">
                    <a:lumMod val="90000"/>
                    <a:lumOff val="10000"/>
                  </a:schemeClr>
                </a:solidFill>
                <a:latin typeface="Aptos Narrow"/>
                <a:ea typeface="+mn-ea"/>
                <a:cs typeface="+mn-cs"/>
              </a:rPr>
              <a:pPr marL="0" indent="0" algn="r"/>
              <a:t> $118,840 </a:t>
            </a:fld>
            <a:endParaRPr lang="ru-RU" sz="1600" b="0" i="0" u="none" strike="noStrike">
              <a:solidFill>
                <a:schemeClr val="tx2">
                  <a:lumMod val="90000"/>
                  <a:lumOff val="10000"/>
                </a:schemeClr>
              </a:solidFill>
              <a:latin typeface="Aptos Narrow"/>
              <a:ea typeface="+mn-ea"/>
              <a:cs typeface="+mn-cs"/>
            </a:endParaRPr>
          </a:p>
        </xdr:txBody>
      </xdr:sp>
    </xdr:grpSp>
    <xdr:clientData/>
  </xdr:twoCellAnchor>
  <xdr:twoCellAnchor>
    <xdr:from>
      <xdr:col>4</xdr:col>
      <xdr:colOff>156026</xdr:colOff>
      <xdr:row>27</xdr:row>
      <xdr:rowOff>118516</xdr:rowOff>
    </xdr:from>
    <xdr:to>
      <xdr:col>7</xdr:col>
      <xdr:colOff>156026</xdr:colOff>
      <xdr:row>37</xdr:row>
      <xdr:rowOff>118516</xdr:rowOff>
    </xdr:to>
    <xdr:sp macro="" textlink="">
      <xdr:nvSpPr>
        <xdr:cNvPr id="39" name="Circle: Hollow 38">
          <a:extLst>
            <a:ext uri="{FF2B5EF4-FFF2-40B4-BE49-F238E27FC236}">
              <a16:creationId xmlns:a16="http://schemas.microsoft.com/office/drawing/2014/main" id="{00000000-0008-0000-0100-000027000000}"/>
            </a:ext>
          </a:extLst>
        </xdr:cNvPr>
        <xdr:cNvSpPr/>
      </xdr:nvSpPr>
      <xdr:spPr>
        <a:xfrm>
          <a:off x="2106746" y="5056276"/>
          <a:ext cx="1828800" cy="1828800"/>
        </a:xfrm>
        <a:prstGeom prst="donut">
          <a:avLst>
            <a:gd name="adj" fmla="val 7263"/>
          </a:avLst>
        </a:prstGeom>
        <a:gradFill>
          <a:gsLst>
            <a:gs pos="54000">
              <a:srgbClr val="008AF2"/>
            </a:gs>
            <a:gs pos="100000">
              <a:srgbClr val="4AA5FF"/>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3</xdr:col>
      <xdr:colOff>491306</xdr:colOff>
      <xdr:row>26</xdr:row>
      <xdr:rowOff>27076</xdr:rowOff>
    </xdr:from>
    <xdr:to>
      <xdr:col>7</xdr:col>
      <xdr:colOff>430346</xdr:colOff>
      <xdr:row>39</xdr:row>
      <xdr:rowOff>27076</xdr:rowOff>
    </xdr:to>
    <xdr:graphicFrame macro="">
      <xdr:nvGraphicFramePr>
        <xdr:cNvPr id="40" name="Chart 39">
          <a:extLst>
            <a:ext uri="{FF2B5EF4-FFF2-40B4-BE49-F238E27FC236}">
              <a16:creationId xmlns:a16="http://schemas.microsoft.com/office/drawing/2014/main" id="{00000000-0008-0000-01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11270</xdr:colOff>
      <xdr:row>25</xdr:row>
      <xdr:rowOff>38057</xdr:rowOff>
    </xdr:from>
    <xdr:to>
      <xdr:col>7</xdr:col>
      <xdr:colOff>400210</xdr:colOff>
      <xdr:row>26</xdr:row>
      <xdr:rowOff>119095</xdr:rowOff>
    </xdr:to>
    <xdr:sp macro="" textlink="Processing!N10">
      <xdr:nvSpPr>
        <xdr:cNvPr id="41" name="TextBox 40">
          <a:extLst>
            <a:ext uri="{FF2B5EF4-FFF2-40B4-BE49-F238E27FC236}">
              <a16:creationId xmlns:a16="http://schemas.microsoft.com/office/drawing/2014/main" id="{00000000-0008-0000-0100-000029000000}"/>
            </a:ext>
          </a:extLst>
        </xdr:cNvPr>
        <xdr:cNvSpPr txBox="1"/>
      </xdr:nvSpPr>
      <xdr:spPr>
        <a:xfrm>
          <a:off x="1961990" y="4610057"/>
          <a:ext cx="2217740"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AE9A26-2780-478D-9FD9-C3E2B6C4322C}" type="TxLink">
            <a:rPr lang="en-US" sz="1200" b="0" i="0" u="none" strike="noStrike">
              <a:solidFill>
                <a:schemeClr val="tx2">
                  <a:lumMod val="90000"/>
                  <a:lumOff val="10000"/>
                </a:schemeClr>
              </a:solidFill>
              <a:latin typeface="Aptos Narrow"/>
              <a:ea typeface="+mn-ea"/>
              <a:cs typeface="+mn-cs"/>
            </a:rPr>
            <a:pPr marL="0" indent="0" algn="ctr"/>
            <a:t>Payroll Distribution by Location</a:t>
          </a:fld>
          <a:endParaRPr lang="ru-RU" sz="1200" b="0" i="0" u="none" strike="noStrike">
            <a:solidFill>
              <a:schemeClr val="tx2">
                <a:lumMod val="90000"/>
                <a:lumOff val="10000"/>
              </a:schemeClr>
            </a:solidFill>
            <a:latin typeface="Aptos Narrow"/>
            <a:ea typeface="+mn-ea"/>
            <a:cs typeface="+mn-cs"/>
          </a:endParaRPr>
        </a:p>
      </xdr:txBody>
    </xdr:sp>
    <xdr:clientData/>
  </xdr:twoCellAnchor>
  <xdr:twoCellAnchor>
    <xdr:from>
      <xdr:col>18</xdr:col>
      <xdr:colOff>430471</xdr:colOff>
      <xdr:row>5</xdr:row>
      <xdr:rowOff>32004</xdr:rowOff>
    </xdr:from>
    <xdr:to>
      <xdr:col>21</xdr:col>
      <xdr:colOff>521911</xdr:colOff>
      <xdr:row>15</xdr:row>
      <xdr:rowOff>123444</xdr:rowOff>
    </xdr:to>
    <xdr:graphicFrame macro="">
      <xdr:nvGraphicFramePr>
        <xdr:cNvPr id="42" name="Chart 41">
          <a:extLst>
            <a:ext uri="{FF2B5EF4-FFF2-40B4-BE49-F238E27FC236}">
              <a16:creationId xmlns:a16="http://schemas.microsoft.com/office/drawing/2014/main" id="{00000000-0008-0000-01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353474</xdr:colOff>
      <xdr:row>9</xdr:row>
      <xdr:rowOff>48084</xdr:rowOff>
    </xdr:from>
    <xdr:to>
      <xdr:col>20</xdr:col>
      <xdr:colOff>598909</xdr:colOff>
      <xdr:row>11</xdr:row>
      <xdr:rowOff>107364</xdr:rowOff>
    </xdr:to>
    <xdr:sp macro="" textlink="Processing!J2">
      <xdr:nvSpPr>
        <xdr:cNvPr id="43" name="TextBox 42">
          <a:extLst>
            <a:ext uri="{FF2B5EF4-FFF2-40B4-BE49-F238E27FC236}">
              <a16:creationId xmlns:a16="http://schemas.microsoft.com/office/drawing/2014/main" id="{00000000-0008-0000-0100-00002B000000}"/>
            </a:ext>
          </a:extLst>
        </xdr:cNvPr>
        <xdr:cNvSpPr txBox="1"/>
      </xdr:nvSpPr>
      <xdr:spPr>
        <a:xfrm>
          <a:off x="11448194" y="1694004"/>
          <a:ext cx="855035" cy="42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94CD34-A4FD-4A4F-B047-DF6796B2BA46}" type="TxLink">
            <a:rPr lang="en-US" sz="2400" b="0" i="0" u="none" strike="noStrike">
              <a:solidFill>
                <a:schemeClr val="tx2">
                  <a:lumMod val="90000"/>
                  <a:lumOff val="10000"/>
                </a:schemeClr>
              </a:solidFill>
              <a:latin typeface="Aptos Narrow"/>
              <a:ea typeface="+mn-ea"/>
              <a:cs typeface="+mn-cs"/>
            </a:rPr>
            <a:pPr marL="0" indent="0" algn="ctr"/>
            <a:t>72%</a:t>
          </a:fld>
          <a:endParaRPr lang="ru-RU" sz="3600" b="0" i="0" u="none" strike="noStrike">
            <a:solidFill>
              <a:schemeClr val="tx2">
                <a:lumMod val="90000"/>
                <a:lumOff val="10000"/>
              </a:schemeClr>
            </a:solidFill>
            <a:latin typeface="Aptos Narrow"/>
            <a:ea typeface="+mn-ea"/>
            <a:cs typeface="+mn-cs"/>
          </a:endParaRPr>
        </a:p>
      </xdr:txBody>
    </xdr:sp>
    <xdr:clientData/>
  </xdr:twoCellAnchor>
  <xdr:twoCellAnchor>
    <xdr:from>
      <xdr:col>9</xdr:col>
      <xdr:colOff>173000</xdr:colOff>
      <xdr:row>3</xdr:row>
      <xdr:rowOff>161847</xdr:rowOff>
    </xdr:from>
    <xdr:to>
      <xdr:col>17</xdr:col>
      <xdr:colOff>142520</xdr:colOff>
      <xdr:row>14</xdr:row>
      <xdr:rowOff>161847</xdr:rowOff>
    </xdr:to>
    <xdr:graphicFrame macro="">
      <xdr:nvGraphicFramePr>
        <xdr:cNvPr id="44" name="Chart 43">
          <a:extLst>
            <a:ext uri="{FF2B5EF4-FFF2-40B4-BE49-F238E27FC236}">
              <a16:creationId xmlns:a16="http://schemas.microsoft.com/office/drawing/2014/main" id="{00000000-0008-0000-01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414819</xdr:colOff>
      <xdr:row>3</xdr:row>
      <xdr:rowOff>121877</xdr:rowOff>
    </xdr:from>
    <xdr:to>
      <xdr:col>14</xdr:col>
      <xdr:colOff>418862</xdr:colOff>
      <xdr:row>5</xdr:row>
      <xdr:rowOff>20035</xdr:rowOff>
    </xdr:to>
    <xdr:sp macro="" textlink="Processing!A12">
      <xdr:nvSpPr>
        <xdr:cNvPr id="45" name="TextBox 44">
          <a:extLst>
            <a:ext uri="{FF2B5EF4-FFF2-40B4-BE49-F238E27FC236}">
              <a16:creationId xmlns:a16="http://schemas.microsoft.com/office/drawing/2014/main" id="{00000000-0008-0000-0100-00002D000000}"/>
            </a:ext>
          </a:extLst>
        </xdr:cNvPr>
        <xdr:cNvSpPr txBox="1"/>
      </xdr:nvSpPr>
      <xdr:spPr>
        <a:xfrm>
          <a:off x="6632739" y="670517"/>
          <a:ext cx="1832843"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0E5644E-1ADC-4E1A-88AC-87EAE97F8C23}" type="TxLink">
            <a:rPr lang="en-US" sz="1200" b="0" i="0" u="none" strike="noStrike">
              <a:solidFill>
                <a:schemeClr val="tx2">
                  <a:lumMod val="90000"/>
                  <a:lumOff val="10000"/>
                </a:schemeClr>
              </a:solidFill>
              <a:latin typeface="Aptos Narrow"/>
              <a:ea typeface="+mn-ea"/>
              <a:cs typeface="+mn-cs"/>
            </a:rPr>
            <a:pPr marL="0" indent="0" algn="ctr"/>
            <a:t>Payroll Forecast</a:t>
          </a:fld>
          <a:endParaRPr lang="ru-RU" sz="1200" b="0" i="0" u="none" strike="noStrike">
            <a:solidFill>
              <a:schemeClr val="tx2">
                <a:lumMod val="90000"/>
                <a:lumOff val="10000"/>
              </a:schemeClr>
            </a:solidFill>
            <a:latin typeface="Aptos Narrow"/>
            <a:ea typeface="+mn-ea"/>
            <a:cs typeface="+mn-cs"/>
          </a:endParaRPr>
        </a:p>
      </xdr:txBody>
    </xdr:sp>
    <xdr:clientData/>
  </xdr:twoCellAnchor>
  <xdr:twoCellAnchor editAs="oneCell">
    <xdr:from>
      <xdr:col>4</xdr:col>
      <xdr:colOff>205740</xdr:colOff>
      <xdr:row>20</xdr:row>
      <xdr:rowOff>121921</xdr:rowOff>
    </xdr:from>
    <xdr:to>
      <xdr:col>7</xdr:col>
      <xdr:colOff>205740</xdr:colOff>
      <xdr:row>22</xdr:row>
      <xdr:rowOff>121921</xdr:rowOff>
    </xdr:to>
    <mc:AlternateContent xmlns:mc="http://schemas.openxmlformats.org/markup-compatibility/2006" xmlns:a14="http://schemas.microsoft.com/office/drawing/2010/main">
      <mc:Choice Requires="a14">
        <xdr:graphicFrame macro="">
          <xdr:nvGraphicFramePr>
            <xdr:cNvPr id="46" name="Year 1">
              <a:extLst>
                <a:ext uri="{FF2B5EF4-FFF2-40B4-BE49-F238E27FC236}">
                  <a16:creationId xmlns:a16="http://schemas.microsoft.com/office/drawing/2014/main" id="{00000000-0008-0000-0100-00002E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156460" y="3779521"/>
              <a:ext cx="182880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218720</xdr:colOff>
      <xdr:row>13</xdr:row>
      <xdr:rowOff>129540</xdr:rowOff>
    </xdr:from>
    <xdr:to>
      <xdr:col>17</xdr:col>
      <xdr:colOff>96800</xdr:colOff>
      <xdr:row>15</xdr:row>
      <xdr:rowOff>129540</xdr:rowOff>
    </xdr:to>
    <mc:AlternateContent xmlns:mc="http://schemas.openxmlformats.org/markup-compatibility/2006" xmlns:a14="http://schemas.microsoft.com/office/drawing/2010/main">
      <mc:Choice Requires="a14">
        <xdr:graphicFrame macro="">
          <xdr:nvGraphicFramePr>
            <xdr:cNvPr id="47" name="Month 1">
              <a:extLst>
                <a:ext uri="{FF2B5EF4-FFF2-40B4-BE49-F238E27FC236}">
                  <a16:creationId xmlns:a16="http://schemas.microsoft.com/office/drawing/2014/main" id="{00000000-0008-0000-0100-00002F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217440" y="2506980"/>
              <a:ext cx="475488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47986</xdr:colOff>
      <xdr:row>18</xdr:row>
      <xdr:rowOff>134704</xdr:rowOff>
    </xdr:from>
    <xdr:to>
      <xdr:col>13</xdr:col>
      <xdr:colOff>389455</xdr:colOff>
      <xdr:row>26</xdr:row>
      <xdr:rowOff>168464</xdr:rowOff>
    </xdr:to>
    <xdr:grpSp>
      <xdr:nvGrpSpPr>
        <xdr:cNvPr id="48" name="Group 47">
          <a:extLst>
            <a:ext uri="{FF2B5EF4-FFF2-40B4-BE49-F238E27FC236}">
              <a16:creationId xmlns:a16="http://schemas.microsoft.com/office/drawing/2014/main" id="{00000000-0008-0000-0100-000030000000}"/>
            </a:ext>
          </a:extLst>
        </xdr:cNvPr>
        <xdr:cNvGrpSpPr/>
      </xdr:nvGrpSpPr>
      <xdr:grpSpPr>
        <a:xfrm>
          <a:off x="6067786" y="3563704"/>
          <a:ext cx="1522569" cy="1557760"/>
          <a:chOff x="6218680" y="3549579"/>
          <a:chExt cx="1560669" cy="1490734"/>
        </a:xfrm>
        <a:solidFill>
          <a:srgbClr val="84B6F8"/>
        </a:solidFill>
      </xdr:grpSpPr>
      <xdr:sp macro="" textlink="">
        <xdr:nvSpPr>
          <xdr:cNvPr id="49" name="Oval 48">
            <a:extLst>
              <a:ext uri="{FF2B5EF4-FFF2-40B4-BE49-F238E27FC236}">
                <a16:creationId xmlns:a16="http://schemas.microsoft.com/office/drawing/2014/main" id="{00000000-0008-0000-0100-000031000000}"/>
              </a:ext>
            </a:extLst>
          </xdr:cNvPr>
          <xdr:cNvSpPr/>
        </xdr:nvSpPr>
        <xdr:spPr>
          <a:xfrm>
            <a:off x="6976154" y="3549579"/>
            <a:ext cx="45720" cy="4572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0" name="Oval 49">
            <a:extLst>
              <a:ext uri="{FF2B5EF4-FFF2-40B4-BE49-F238E27FC236}">
                <a16:creationId xmlns:a16="http://schemas.microsoft.com/office/drawing/2014/main" id="{00000000-0008-0000-0100-000032000000}"/>
              </a:ext>
            </a:extLst>
          </xdr:cNvPr>
          <xdr:cNvSpPr/>
        </xdr:nvSpPr>
        <xdr:spPr>
          <a:xfrm>
            <a:off x="7733629" y="4095988"/>
            <a:ext cx="45720" cy="4572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1" name="Oval 50">
            <a:extLst>
              <a:ext uri="{FF2B5EF4-FFF2-40B4-BE49-F238E27FC236}">
                <a16:creationId xmlns:a16="http://schemas.microsoft.com/office/drawing/2014/main" id="{00000000-0008-0000-0100-000033000000}"/>
              </a:ext>
            </a:extLst>
          </xdr:cNvPr>
          <xdr:cNvSpPr/>
        </xdr:nvSpPr>
        <xdr:spPr>
          <a:xfrm>
            <a:off x="6218680" y="4095988"/>
            <a:ext cx="45720" cy="4572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2" name="Oval 51">
            <a:extLst>
              <a:ext uri="{FF2B5EF4-FFF2-40B4-BE49-F238E27FC236}">
                <a16:creationId xmlns:a16="http://schemas.microsoft.com/office/drawing/2014/main" id="{00000000-0008-0000-0100-000034000000}"/>
              </a:ext>
            </a:extLst>
          </xdr:cNvPr>
          <xdr:cNvSpPr/>
        </xdr:nvSpPr>
        <xdr:spPr>
          <a:xfrm>
            <a:off x="7436263" y="4994593"/>
            <a:ext cx="45720" cy="4572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3" name="Oval 52">
            <a:extLst>
              <a:ext uri="{FF2B5EF4-FFF2-40B4-BE49-F238E27FC236}">
                <a16:creationId xmlns:a16="http://schemas.microsoft.com/office/drawing/2014/main" id="{00000000-0008-0000-0100-000035000000}"/>
              </a:ext>
            </a:extLst>
          </xdr:cNvPr>
          <xdr:cNvSpPr/>
        </xdr:nvSpPr>
        <xdr:spPr>
          <a:xfrm>
            <a:off x="6501177" y="4994593"/>
            <a:ext cx="45720" cy="4572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48859</xdr:colOff>
      <xdr:row>3</xdr:row>
      <xdr:rowOff>121877</xdr:rowOff>
    </xdr:from>
    <xdr:to>
      <xdr:col>22</xdr:col>
      <xdr:colOff>293924</xdr:colOff>
      <xdr:row>5</xdr:row>
      <xdr:rowOff>20035</xdr:rowOff>
    </xdr:to>
    <xdr:sp macro="" textlink="Processing!J1">
      <xdr:nvSpPr>
        <xdr:cNvPr id="54" name="TextBox 53">
          <a:extLst>
            <a:ext uri="{FF2B5EF4-FFF2-40B4-BE49-F238E27FC236}">
              <a16:creationId xmlns:a16="http://schemas.microsoft.com/office/drawing/2014/main" id="{00000000-0008-0000-0100-000036000000}"/>
            </a:ext>
          </a:extLst>
        </xdr:cNvPr>
        <xdr:cNvSpPr txBox="1"/>
      </xdr:nvSpPr>
      <xdr:spPr>
        <a:xfrm>
          <a:off x="10533979" y="670517"/>
          <a:ext cx="2683465"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81ED2BA-3D41-46BC-AE93-480A1D14FCC1}" type="TxLink">
            <a:rPr lang="en-US" sz="1200" b="0" i="0" u="none" strike="noStrike">
              <a:solidFill>
                <a:schemeClr val="tx2">
                  <a:lumMod val="90000"/>
                  <a:lumOff val="10000"/>
                </a:schemeClr>
              </a:solidFill>
              <a:latin typeface="Aptos Narrow"/>
              <a:ea typeface="+mn-ea"/>
              <a:cs typeface="+mn-cs"/>
            </a:rPr>
            <a:pPr marL="0" indent="0" algn="ctr"/>
            <a:t>Payroll Work Hour Representation</a:t>
          </a:fld>
          <a:endParaRPr lang="ru-RU" sz="1200" b="0" i="0" u="none" strike="noStrike">
            <a:solidFill>
              <a:schemeClr val="tx2">
                <a:lumMod val="90000"/>
                <a:lumOff val="10000"/>
              </a:schemeClr>
            </a:solidFill>
            <a:latin typeface="Aptos Narrow"/>
            <a:ea typeface="+mn-ea"/>
            <a:cs typeface="+mn-cs"/>
          </a:endParaRPr>
        </a:p>
      </xdr:txBody>
    </xdr:sp>
    <xdr:clientData/>
  </xdr:twoCellAnchor>
  <xdr:twoCellAnchor>
    <xdr:from>
      <xdr:col>10</xdr:col>
      <xdr:colOff>386360</xdr:colOff>
      <xdr:row>17</xdr:row>
      <xdr:rowOff>83361</xdr:rowOff>
    </xdr:from>
    <xdr:to>
      <xdr:col>14</xdr:col>
      <xdr:colOff>51080</xdr:colOff>
      <xdr:row>28</xdr:row>
      <xdr:rowOff>174801</xdr:rowOff>
    </xdr:to>
    <xdr:grpSp>
      <xdr:nvGrpSpPr>
        <xdr:cNvPr id="55" name="Group 54">
          <a:extLst>
            <a:ext uri="{FF2B5EF4-FFF2-40B4-BE49-F238E27FC236}">
              <a16:creationId xmlns:a16="http://schemas.microsoft.com/office/drawing/2014/main" id="{00000000-0008-0000-0100-000037000000}"/>
            </a:ext>
          </a:extLst>
        </xdr:cNvPr>
        <xdr:cNvGrpSpPr/>
      </xdr:nvGrpSpPr>
      <xdr:grpSpPr>
        <a:xfrm>
          <a:off x="5815610" y="3321861"/>
          <a:ext cx="2026920" cy="2186940"/>
          <a:chOff x="5775960" y="3223260"/>
          <a:chExt cx="2473243" cy="2389909"/>
        </a:xfrm>
      </xdr:grpSpPr>
      <xdr:graphicFrame macro="">
        <xdr:nvGraphicFramePr>
          <xdr:cNvPr id="56" name="Chart 55">
            <a:extLst>
              <a:ext uri="{FF2B5EF4-FFF2-40B4-BE49-F238E27FC236}">
                <a16:creationId xmlns:a16="http://schemas.microsoft.com/office/drawing/2014/main" id="{00000000-0008-0000-0100-000038000000}"/>
              </a:ext>
            </a:extLst>
          </xdr:cNvPr>
          <xdr:cNvGraphicFramePr>
            <a:graphicFrameLocks/>
          </xdr:cNvGraphicFramePr>
        </xdr:nvGraphicFramePr>
        <xdr:xfrm>
          <a:off x="5839502" y="3387712"/>
          <a:ext cx="2346159" cy="206100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7" name="Chart 56">
            <a:extLst>
              <a:ext uri="{FF2B5EF4-FFF2-40B4-BE49-F238E27FC236}">
                <a16:creationId xmlns:a16="http://schemas.microsoft.com/office/drawing/2014/main" id="{00000000-0008-0000-0100-000039000000}"/>
              </a:ext>
            </a:extLst>
          </xdr:cNvPr>
          <xdr:cNvGraphicFramePr>
            <a:graphicFrameLocks/>
          </xdr:cNvGraphicFramePr>
        </xdr:nvGraphicFramePr>
        <xdr:xfrm>
          <a:off x="5775960" y="3223260"/>
          <a:ext cx="2473243" cy="238990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12</xdr:col>
      <xdr:colOff>224021</xdr:colOff>
      <xdr:row>17</xdr:row>
      <xdr:rowOff>164199</xdr:rowOff>
    </xdr:from>
    <xdr:to>
      <xdr:col>14</xdr:col>
      <xdr:colOff>256677</xdr:colOff>
      <xdr:row>19</xdr:row>
      <xdr:rowOff>14067</xdr:rowOff>
    </xdr:to>
    <xdr:sp macro="" textlink="Processing!P3">
      <xdr:nvSpPr>
        <xdr:cNvPr id="58" name="TextBox 57">
          <a:extLst>
            <a:ext uri="{FF2B5EF4-FFF2-40B4-BE49-F238E27FC236}">
              <a16:creationId xmlns:a16="http://schemas.microsoft.com/office/drawing/2014/main" id="{00000000-0008-0000-0100-00003A000000}"/>
            </a:ext>
          </a:extLst>
        </xdr:cNvPr>
        <xdr:cNvSpPr txBox="1"/>
      </xdr:nvSpPr>
      <xdr:spPr>
        <a:xfrm>
          <a:off x="7051541" y="3273159"/>
          <a:ext cx="1251856" cy="215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64CE47A-AAFE-4DCF-A7FE-C622DE598110}" type="TxLink">
            <a:rPr lang="en-US" sz="1000" b="0" i="0" u="none" strike="noStrike">
              <a:solidFill>
                <a:schemeClr val="tx2">
                  <a:lumMod val="75000"/>
                  <a:lumOff val="25000"/>
                </a:schemeClr>
              </a:solidFill>
              <a:latin typeface="Aptos Narrow"/>
              <a:ea typeface="+mn-ea"/>
              <a:cs typeface="+mn-cs"/>
            </a:rPr>
            <a:pPr marL="0" indent="0" algn="l"/>
            <a:t>Management</a:t>
          </a:fld>
          <a:endParaRPr lang="ru-RU" sz="1000" b="0" i="0" u="none" strike="noStrike">
            <a:solidFill>
              <a:schemeClr val="tx2">
                <a:lumMod val="75000"/>
                <a:lumOff val="25000"/>
              </a:schemeClr>
            </a:solidFill>
            <a:latin typeface="Aptos Narrow"/>
            <a:ea typeface="+mn-ea"/>
            <a:cs typeface="+mn-cs"/>
          </a:endParaRPr>
        </a:p>
      </xdr:txBody>
    </xdr:sp>
    <xdr:clientData/>
  </xdr:twoCellAnchor>
  <xdr:twoCellAnchor>
    <xdr:from>
      <xdr:col>13</xdr:col>
      <xdr:colOff>359193</xdr:colOff>
      <xdr:row>21</xdr:row>
      <xdr:rowOff>14781</xdr:rowOff>
    </xdr:from>
    <xdr:to>
      <xdr:col>15</xdr:col>
      <xdr:colOff>391849</xdr:colOff>
      <xdr:row>22</xdr:row>
      <xdr:rowOff>47529</xdr:rowOff>
    </xdr:to>
    <xdr:sp macro="" textlink="Processing!P4">
      <xdr:nvSpPr>
        <xdr:cNvPr id="59" name="TextBox 58">
          <a:extLst>
            <a:ext uri="{FF2B5EF4-FFF2-40B4-BE49-F238E27FC236}">
              <a16:creationId xmlns:a16="http://schemas.microsoft.com/office/drawing/2014/main" id="{00000000-0008-0000-0100-00003B000000}"/>
            </a:ext>
          </a:extLst>
        </xdr:cNvPr>
        <xdr:cNvSpPr txBox="1"/>
      </xdr:nvSpPr>
      <xdr:spPr>
        <a:xfrm>
          <a:off x="7796313" y="3855261"/>
          <a:ext cx="1251856" cy="215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6B682D-70FA-44AC-A51C-3E3CF853CE88}" type="TxLink">
            <a:rPr lang="en-US" sz="1000" b="0" i="0" u="none" strike="noStrike">
              <a:solidFill>
                <a:schemeClr val="tx2">
                  <a:lumMod val="75000"/>
                  <a:lumOff val="25000"/>
                </a:schemeClr>
              </a:solidFill>
              <a:latin typeface="Aptos Narrow"/>
              <a:ea typeface="+mn-ea"/>
              <a:cs typeface="+mn-cs"/>
            </a:rPr>
            <a:pPr marL="0" indent="0" algn="l"/>
            <a:t>Administrative Staff</a:t>
          </a:fld>
          <a:endParaRPr lang="ru-RU" sz="1000" b="0" i="0" u="none" strike="noStrike">
            <a:solidFill>
              <a:schemeClr val="tx2">
                <a:lumMod val="75000"/>
                <a:lumOff val="25000"/>
              </a:schemeClr>
            </a:solidFill>
            <a:latin typeface="Aptos Narrow"/>
            <a:ea typeface="+mn-ea"/>
            <a:cs typeface="+mn-cs"/>
          </a:endParaRPr>
        </a:p>
      </xdr:txBody>
    </xdr:sp>
    <xdr:clientData/>
  </xdr:twoCellAnchor>
  <xdr:twoCellAnchor>
    <xdr:from>
      <xdr:col>13</xdr:col>
      <xdr:colOff>79903</xdr:colOff>
      <xdr:row>26</xdr:row>
      <xdr:rowOff>46254</xdr:rowOff>
    </xdr:from>
    <xdr:to>
      <xdr:col>15</xdr:col>
      <xdr:colOff>112559</xdr:colOff>
      <xdr:row>27</xdr:row>
      <xdr:rowOff>81653</xdr:rowOff>
    </xdr:to>
    <xdr:sp macro="" textlink="Processing!P5">
      <xdr:nvSpPr>
        <xdr:cNvPr id="60" name="TextBox 59">
          <a:extLst>
            <a:ext uri="{FF2B5EF4-FFF2-40B4-BE49-F238E27FC236}">
              <a16:creationId xmlns:a16="http://schemas.microsoft.com/office/drawing/2014/main" id="{00000000-0008-0000-0100-00003C000000}"/>
            </a:ext>
          </a:extLst>
        </xdr:cNvPr>
        <xdr:cNvSpPr txBox="1"/>
      </xdr:nvSpPr>
      <xdr:spPr>
        <a:xfrm>
          <a:off x="7517023" y="4801134"/>
          <a:ext cx="1251856" cy="218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A6C0994-632A-4414-8CF7-4E682183989F}" type="TxLink">
            <a:rPr lang="en-US" sz="1000" b="0" i="0" u="none" strike="noStrike">
              <a:solidFill>
                <a:schemeClr val="tx2">
                  <a:lumMod val="75000"/>
                  <a:lumOff val="25000"/>
                </a:schemeClr>
              </a:solidFill>
              <a:latin typeface="Aptos Narrow"/>
              <a:ea typeface="+mn-ea"/>
              <a:cs typeface="+mn-cs"/>
            </a:rPr>
            <a:pPr marL="0" indent="0" algn="l"/>
            <a:t>Sales Department</a:t>
          </a:fld>
          <a:endParaRPr lang="ru-RU" sz="1000" b="0" i="0" u="none" strike="noStrike">
            <a:solidFill>
              <a:schemeClr val="tx2">
                <a:lumMod val="75000"/>
                <a:lumOff val="25000"/>
              </a:schemeClr>
            </a:solidFill>
            <a:latin typeface="Aptos Narrow"/>
            <a:ea typeface="+mn-ea"/>
            <a:cs typeface="+mn-cs"/>
          </a:endParaRPr>
        </a:p>
      </xdr:txBody>
    </xdr:sp>
    <xdr:clientData/>
  </xdr:twoCellAnchor>
  <xdr:twoCellAnchor>
    <xdr:from>
      <xdr:col>9</xdr:col>
      <xdr:colOff>291274</xdr:colOff>
      <xdr:row>26</xdr:row>
      <xdr:rowOff>46254</xdr:rowOff>
    </xdr:from>
    <xdr:to>
      <xdr:col>11</xdr:col>
      <xdr:colOff>323930</xdr:colOff>
      <xdr:row>27</xdr:row>
      <xdr:rowOff>81653</xdr:rowOff>
    </xdr:to>
    <xdr:sp macro="" textlink="Processing!P6">
      <xdr:nvSpPr>
        <xdr:cNvPr id="61" name="TextBox 60">
          <a:extLst>
            <a:ext uri="{FF2B5EF4-FFF2-40B4-BE49-F238E27FC236}">
              <a16:creationId xmlns:a16="http://schemas.microsoft.com/office/drawing/2014/main" id="{00000000-0008-0000-0100-00003D000000}"/>
            </a:ext>
          </a:extLst>
        </xdr:cNvPr>
        <xdr:cNvSpPr txBox="1"/>
      </xdr:nvSpPr>
      <xdr:spPr>
        <a:xfrm>
          <a:off x="5289994" y="4801134"/>
          <a:ext cx="1251856" cy="218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8E1BB50-BE9D-4B8E-9D81-AB2EC02263CE}" type="TxLink">
            <a:rPr lang="en-US" sz="1000" b="0" i="0" u="none" strike="noStrike">
              <a:solidFill>
                <a:schemeClr val="tx2">
                  <a:lumMod val="75000"/>
                  <a:lumOff val="25000"/>
                </a:schemeClr>
              </a:solidFill>
              <a:latin typeface="Aptos Narrow"/>
              <a:ea typeface="+mn-ea"/>
              <a:cs typeface="+mn-cs"/>
            </a:rPr>
            <a:pPr marL="0" indent="0" algn="r"/>
            <a:t>Production Department</a:t>
          </a:fld>
          <a:endParaRPr lang="ru-RU" sz="1000" b="0" i="0" u="none" strike="noStrike">
            <a:solidFill>
              <a:schemeClr val="tx2">
                <a:lumMod val="75000"/>
                <a:lumOff val="25000"/>
              </a:schemeClr>
            </a:solidFill>
            <a:latin typeface="Aptos Narrow"/>
            <a:ea typeface="+mn-ea"/>
            <a:cs typeface="+mn-cs"/>
          </a:endParaRPr>
        </a:p>
      </xdr:txBody>
    </xdr:sp>
    <xdr:clientData/>
  </xdr:twoCellAnchor>
  <xdr:twoCellAnchor>
    <xdr:from>
      <xdr:col>9</xdr:col>
      <xdr:colOff>6022</xdr:colOff>
      <xdr:row>21</xdr:row>
      <xdr:rowOff>14781</xdr:rowOff>
    </xdr:from>
    <xdr:to>
      <xdr:col>11</xdr:col>
      <xdr:colOff>66982</xdr:colOff>
      <xdr:row>22</xdr:row>
      <xdr:rowOff>47529</xdr:rowOff>
    </xdr:to>
    <xdr:sp macro="" textlink="Processing!P7">
      <xdr:nvSpPr>
        <xdr:cNvPr id="62" name="TextBox 61">
          <a:extLst>
            <a:ext uri="{FF2B5EF4-FFF2-40B4-BE49-F238E27FC236}">
              <a16:creationId xmlns:a16="http://schemas.microsoft.com/office/drawing/2014/main" id="{00000000-0008-0000-0100-00003E000000}"/>
            </a:ext>
          </a:extLst>
        </xdr:cNvPr>
        <xdr:cNvSpPr txBox="1"/>
      </xdr:nvSpPr>
      <xdr:spPr>
        <a:xfrm>
          <a:off x="5004742" y="3855261"/>
          <a:ext cx="1280160" cy="215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E5206CB-A838-45F5-A4FC-3D8FF0F852FB}" type="TxLink">
            <a:rPr lang="en-US" sz="1000" b="0" i="0" u="none" strike="noStrike">
              <a:solidFill>
                <a:schemeClr val="tx2">
                  <a:lumMod val="75000"/>
                  <a:lumOff val="25000"/>
                </a:schemeClr>
              </a:solidFill>
              <a:latin typeface="Aptos Narrow"/>
              <a:ea typeface="+mn-ea"/>
              <a:cs typeface="+mn-cs"/>
            </a:rPr>
            <a:pPr marL="0" indent="0" algn="r"/>
            <a:t>Logistics Department</a:t>
          </a:fld>
          <a:endParaRPr lang="ru-RU" sz="1000" b="0" i="0" u="none" strike="noStrike">
            <a:solidFill>
              <a:schemeClr val="tx2">
                <a:lumMod val="75000"/>
                <a:lumOff val="25000"/>
              </a:schemeClr>
            </a:solidFill>
            <a:latin typeface="Aptos Narrow"/>
            <a:ea typeface="+mn-ea"/>
            <a:cs typeface="+mn-cs"/>
          </a:endParaRPr>
        </a:p>
      </xdr:txBody>
    </xdr:sp>
    <xdr:clientData/>
  </xdr:twoCellAnchor>
  <xdr:twoCellAnchor>
    <xdr:from>
      <xdr:col>9</xdr:col>
      <xdr:colOff>132879</xdr:colOff>
      <xdr:row>17</xdr:row>
      <xdr:rowOff>167597</xdr:rowOff>
    </xdr:from>
    <xdr:to>
      <xdr:col>11</xdr:col>
      <xdr:colOff>137160</xdr:colOff>
      <xdr:row>19</xdr:row>
      <xdr:rowOff>65755</xdr:rowOff>
    </xdr:to>
    <xdr:sp macro="" textlink="Processing!N1">
      <xdr:nvSpPr>
        <xdr:cNvPr id="63" name="TextBox 62">
          <a:extLst>
            <a:ext uri="{FF2B5EF4-FFF2-40B4-BE49-F238E27FC236}">
              <a16:creationId xmlns:a16="http://schemas.microsoft.com/office/drawing/2014/main" id="{00000000-0008-0000-0100-00003F000000}"/>
            </a:ext>
          </a:extLst>
        </xdr:cNvPr>
        <xdr:cNvSpPr txBox="1"/>
      </xdr:nvSpPr>
      <xdr:spPr>
        <a:xfrm>
          <a:off x="5131599" y="3276557"/>
          <a:ext cx="122348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174DB6-6331-4B2C-BAE7-592EC871F1EA}" type="TxLink">
            <a:rPr lang="en-US" sz="1200" b="0" i="0" u="none" strike="noStrike">
              <a:solidFill>
                <a:schemeClr val="tx2">
                  <a:lumMod val="90000"/>
                  <a:lumOff val="10000"/>
                </a:schemeClr>
              </a:solidFill>
              <a:latin typeface="Aptos Narrow"/>
              <a:ea typeface="+mn-ea"/>
              <a:cs typeface="+mn-cs"/>
            </a:rPr>
            <a:pPr marL="0" indent="0" algn="l"/>
            <a:t>Performance </a:t>
          </a:fld>
          <a:endParaRPr lang="ru-RU" sz="1200" b="0" i="0" u="none" strike="noStrike">
            <a:solidFill>
              <a:schemeClr val="tx2">
                <a:lumMod val="90000"/>
                <a:lumOff val="10000"/>
              </a:schemeClr>
            </a:solidFill>
            <a:latin typeface="Aptos Narrow"/>
            <a:ea typeface="+mn-ea"/>
            <a:cs typeface="+mn-cs"/>
          </a:endParaRPr>
        </a:p>
      </xdr:txBody>
    </xdr:sp>
    <xdr:clientData/>
  </xdr:twoCellAnchor>
  <xdr:twoCellAnchor>
    <xdr:from>
      <xdr:col>14</xdr:col>
      <xdr:colOff>68581</xdr:colOff>
      <xdr:row>17</xdr:row>
      <xdr:rowOff>149499</xdr:rowOff>
    </xdr:from>
    <xdr:to>
      <xdr:col>15</xdr:col>
      <xdr:colOff>1</xdr:colOff>
      <xdr:row>19</xdr:row>
      <xdr:rowOff>47657</xdr:rowOff>
    </xdr:to>
    <xdr:sp macro="" textlink="Processing!O2">
      <xdr:nvSpPr>
        <xdr:cNvPr id="64" name="TextBox 63">
          <a:extLst>
            <a:ext uri="{FF2B5EF4-FFF2-40B4-BE49-F238E27FC236}">
              <a16:creationId xmlns:a16="http://schemas.microsoft.com/office/drawing/2014/main" id="{00000000-0008-0000-0100-000040000000}"/>
            </a:ext>
          </a:extLst>
        </xdr:cNvPr>
        <xdr:cNvSpPr txBox="1"/>
      </xdr:nvSpPr>
      <xdr:spPr>
        <a:xfrm>
          <a:off x="8115301" y="3258459"/>
          <a:ext cx="541020"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00F2E33-8125-4971-9329-38C5B111454F}" type="TxLink">
            <a:rPr lang="en-US" sz="1100" b="0" i="0" u="none" strike="noStrike">
              <a:solidFill>
                <a:schemeClr val="tx2">
                  <a:lumMod val="90000"/>
                  <a:lumOff val="10000"/>
                </a:schemeClr>
              </a:solidFill>
              <a:latin typeface="Aptos Narrow"/>
              <a:ea typeface="+mn-ea"/>
              <a:cs typeface="+mn-cs"/>
            </a:rPr>
            <a:pPr marL="0" indent="0" algn="l"/>
            <a:t>MoM</a:t>
          </a:fld>
          <a:endParaRPr lang="ru-RU" sz="1200" b="0" i="0" u="none" strike="noStrike">
            <a:solidFill>
              <a:schemeClr val="tx2">
                <a:lumMod val="90000"/>
                <a:lumOff val="10000"/>
              </a:schemeClr>
            </a:solidFill>
            <a:latin typeface="Aptos Narrow"/>
            <a:ea typeface="+mn-ea"/>
            <a:cs typeface="+mn-cs"/>
          </a:endParaRPr>
        </a:p>
      </xdr:txBody>
    </xdr:sp>
    <xdr:clientData/>
  </xdr:twoCellAnchor>
  <xdr:twoCellAnchor>
    <xdr:from>
      <xdr:col>14</xdr:col>
      <xdr:colOff>68581</xdr:colOff>
      <xdr:row>18</xdr:row>
      <xdr:rowOff>179028</xdr:rowOff>
    </xdr:from>
    <xdr:to>
      <xdr:col>14</xdr:col>
      <xdr:colOff>537682</xdr:colOff>
      <xdr:row>20</xdr:row>
      <xdr:rowOff>77186</xdr:rowOff>
    </xdr:to>
    <xdr:sp macro="" textlink="Processing!N2">
      <xdr:nvSpPr>
        <xdr:cNvPr id="65" name="TextBox 64">
          <a:extLst>
            <a:ext uri="{FF2B5EF4-FFF2-40B4-BE49-F238E27FC236}">
              <a16:creationId xmlns:a16="http://schemas.microsoft.com/office/drawing/2014/main" id="{00000000-0008-0000-0100-000041000000}"/>
            </a:ext>
          </a:extLst>
        </xdr:cNvPr>
        <xdr:cNvSpPr txBox="1"/>
      </xdr:nvSpPr>
      <xdr:spPr>
        <a:xfrm>
          <a:off x="8115301" y="3470868"/>
          <a:ext cx="46910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2276457-BFF5-4BD9-BCCC-65A2965B1E15}" type="TxLink">
            <a:rPr lang="en-US" sz="1000" b="0" i="0" u="none" strike="noStrike">
              <a:solidFill>
                <a:schemeClr val="tx2">
                  <a:lumMod val="90000"/>
                  <a:lumOff val="10000"/>
                </a:schemeClr>
              </a:solidFill>
              <a:latin typeface="Aptos Narrow"/>
              <a:ea typeface="+mn-ea"/>
              <a:cs typeface="+mn-cs"/>
            </a:rPr>
            <a:pPr marL="0" indent="0" algn="l"/>
            <a:t>KPI</a:t>
          </a:fld>
          <a:endParaRPr lang="ru-RU" sz="1050" b="0" i="0" u="none" strike="noStrike">
            <a:solidFill>
              <a:schemeClr val="tx2">
                <a:lumMod val="90000"/>
                <a:lumOff val="10000"/>
              </a:schemeClr>
            </a:solidFill>
            <a:latin typeface="Aptos Narrow"/>
            <a:ea typeface="+mn-ea"/>
            <a:cs typeface="+mn-cs"/>
          </a:endParaRPr>
        </a:p>
      </xdr:txBody>
    </xdr:sp>
    <xdr:clientData/>
  </xdr:twoCellAnchor>
  <xdr:twoCellAnchor>
    <xdr:from>
      <xdr:col>14</xdr:col>
      <xdr:colOff>435712</xdr:colOff>
      <xdr:row>17</xdr:row>
      <xdr:rowOff>149499</xdr:rowOff>
    </xdr:from>
    <xdr:to>
      <xdr:col>15</xdr:col>
      <xdr:colOff>367132</xdr:colOff>
      <xdr:row>19</xdr:row>
      <xdr:rowOff>47657</xdr:rowOff>
    </xdr:to>
    <xdr:sp macro="" textlink="Processing!O8">
      <xdr:nvSpPr>
        <xdr:cNvPr id="66" name="TextBox 65">
          <a:extLst>
            <a:ext uri="{FF2B5EF4-FFF2-40B4-BE49-F238E27FC236}">
              <a16:creationId xmlns:a16="http://schemas.microsoft.com/office/drawing/2014/main" id="{00000000-0008-0000-0100-000042000000}"/>
            </a:ext>
          </a:extLst>
        </xdr:cNvPr>
        <xdr:cNvSpPr txBox="1"/>
      </xdr:nvSpPr>
      <xdr:spPr>
        <a:xfrm>
          <a:off x="8482432" y="3258459"/>
          <a:ext cx="541020"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569C7A-6441-4C7D-A5C5-B54AB8723937}" type="TxLink">
            <a:rPr lang="en-US" sz="1100" b="0" i="0" u="none" strike="noStrike">
              <a:solidFill>
                <a:schemeClr val="tx2">
                  <a:lumMod val="90000"/>
                  <a:lumOff val="10000"/>
                </a:schemeClr>
              </a:solidFill>
              <a:latin typeface="Aptos Narrow"/>
              <a:ea typeface="+mn-ea"/>
              <a:cs typeface="+mn-cs"/>
            </a:rPr>
            <a:pPr marL="0" indent="0" algn="ctr"/>
            <a:t>51%</a:t>
          </a:fld>
          <a:endParaRPr lang="ru-RU" sz="1200" b="0" i="0" u="none" strike="noStrike">
            <a:solidFill>
              <a:schemeClr val="tx2">
                <a:lumMod val="90000"/>
                <a:lumOff val="10000"/>
              </a:schemeClr>
            </a:solidFill>
            <a:latin typeface="Aptos Narrow"/>
            <a:ea typeface="+mn-ea"/>
            <a:cs typeface="+mn-cs"/>
          </a:endParaRPr>
        </a:p>
      </xdr:txBody>
    </xdr:sp>
    <xdr:clientData/>
  </xdr:twoCellAnchor>
  <xdr:twoCellAnchor>
    <xdr:from>
      <xdr:col>14</xdr:col>
      <xdr:colOff>448217</xdr:colOff>
      <xdr:row>18</xdr:row>
      <xdr:rowOff>179028</xdr:rowOff>
    </xdr:from>
    <xdr:to>
      <xdr:col>15</xdr:col>
      <xdr:colOff>354628</xdr:colOff>
      <xdr:row>20</xdr:row>
      <xdr:rowOff>77186</xdr:rowOff>
    </xdr:to>
    <xdr:sp macro="" textlink="Processing!N8">
      <xdr:nvSpPr>
        <xdr:cNvPr id="67" name="TextBox 66">
          <a:extLst>
            <a:ext uri="{FF2B5EF4-FFF2-40B4-BE49-F238E27FC236}">
              <a16:creationId xmlns:a16="http://schemas.microsoft.com/office/drawing/2014/main" id="{00000000-0008-0000-0100-000043000000}"/>
            </a:ext>
          </a:extLst>
        </xdr:cNvPr>
        <xdr:cNvSpPr txBox="1"/>
      </xdr:nvSpPr>
      <xdr:spPr>
        <a:xfrm>
          <a:off x="8494937" y="3470868"/>
          <a:ext cx="51601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060C5E0-6BFA-45E5-B7BC-553635894B88}" type="TxLink">
            <a:rPr lang="en-US" sz="1100" b="0" i="0" u="none" strike="noStrike">
              <a:solidFill>
                <a:schemeClr val="tx2">
                  <a:lumMod val="90000"/>
                  <a:lumOff val="10000"/>
                </a:schemeClr>
              </a:solidFill>
              <a:latin typeface="Aptos Narrow"/>
              <a:ea typeface="+mn-ea"/>
              <a:cs typeface="+mn-cs"/>
            </a:rPr>
            <a:pPr marL="0" indent="0" algn="ctr"/>
            <a:t>68%</a:t>
          </a:fld>
          <a:endParaRPr lang="ru-RU" sz="1050" b="0" i="0" u="none" strike="noStrike">
            <a:solidFill>
              <a:schemeClr val="tx2">
                <a:lumMod val="90000"/>
                <a:lumOff val="10000"/>
              </a:schemeClr>
            </a:solidFill>
            <a:latin typeface="Aptos Narrow"/>
            <a:ea typeface="+mn-ea"/>
            <a:cs typeface="+mn-cs"/>
          </a:endParaRPr>
        </a:p>
      </xdr:txBody>
    </xdr:sp>
    <xdr:clientData/>
  </xdr:twoCellAnchor>
  <xdr:twoCellAnchor>
    <xdr:from>
      <xdr:col>14</xdr:col>
      <xdr:colOff>7620</xdr:colOff>
      <xdr:row>18</xdr:row>
      <xdr:rowOff>58102</xdr:rowOff>
    </xdr:from>
    <xdr:to>
      <xdr:col>14</xdr:col>
      <xdr:colOff>99060</xdr:colOff>
      <xdr:row>18</xdr:row>
      <xdr:rowOff>149542</xdr:rowOff>
    </xdr:to>
    <xdr:sp macro="" textlink="">
      <xdr:nvSpPr>
        <xdr:cNvPr id="68" name="Oval 67">
          <a:extLst>
            <a:ext uri="{FF2B5EF4-FFF2-40B4-BE49-F238E27FC236}">
              <a16:creationId xmlns:a16="http://schemas.microsoft.com/office/drawing/2014/main" id="{00000000-0008-0000-0100-000044000000}"/>
            </a:ext>
          </a:extLst>
        </xdr:cNvPr>
        <xdr:cNvSpPr/>
      </xdr:nvSpPr>
      <xdr:spPr>
        <a:xfrm>
          <a:off x="8054340" y="3349942"/>
          <a:ext cx="91440" cy="91440"/>
        </a:xfrm>
        <a:prstGeom prst="ellipse">
          <a:avLst/>
        </a:prstGeom>
        <a:solidFill>
          <a:srgbClr val="6FD8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7620</xdr:colOff>
      <xdr:row>19</xdr:row>
      <xdr:rowOff>80011</xdr:rowOff>
    </xdr:from>
    <xdr:to>
      <xdr:col>14</xdr:col>
      <xdr:colOff>99060</xdr:colOff>
      <xdr:row>19</xdr:row>
      <xdr:rowOff>171451</xdr:rowOff>
    </xdr:to>
    <xdr:sp macro="" textlink="">
      <xdr:nvSpPr>
        <xdr:cNvPr id="69" name="Oval 68">
          <a:extLst>
            <a:ext uri="{FF2B5EF4-FFF2-40B4-BE49-F238E27FC236}">
              <a16:creationId xmlns:a16="http://schemas.microsoft.com/office/drawing/2014/main" id="{00000000-0008-0000-0100-000045000000}"/>
            </a:ext>
          </a:extLst>
        </xdr:cNvPr>
        <xdr:cNvSpPr/>
      </xdr:nvSpPr>
      <xdr:spPr>
        <a:xfrm>
          <a:off x="8054340" y="3554731"/>
          <a:ext cx="91440" cy="91440"/>
        </a:xfrm>
        <a:prstGeom prst="ellipse">
          <a:avLst/>
        </a:prstGeom>
        <a:solidFill>
          <a:srgbClr val="008A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0</xdr:colOff>
      <xdr:row>18</xdr:row>
      <xdr:rowOff>167640</xdr:rowOff>
    </xdr:from>
    <xdr:to>
      <xdr:col>22</xdr:col>
      <xdr:colOff>457200</xdr:colOff>
      <xdr:row>28</xdr:row>
      <xdr:rowOff>0</xdr:rowOff>
    </xdr:to>
    <xdr:graphicFrame macro="">
      <xdr:nvGraphicFramePr>
        <xdr:cNvPr id="70" name="Chart 69">
          <a:extLst>
            <a:ext uri="{FF2B5EF4-FFF2-40B4-BE49-F238E27FC236}">
              <a16:creationId xmlns:a16="http://schemas.microsoft.com/office/drawing/2014/main" id="{00000000-0008-0000-0100-00004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179673</xdr:colOff>
      <xdr:row>17</xdr:row>
      <xdr:rowOff>167597</xdr:rowOff>
    </xdr:from>
    <xdr:to>
      <xdr:col>18</xdr:col>
      <xdr:colOff>440885</xdr:colOff>
      <xdr:row>19</xdr:row>
      <xdr:rowOff>65755</xdr:rowOff>
    </xdr:to>
    <xdr:sp macro="" textlink="Processing!F12">
      <xdr:nvSpPr>
        <xdr:cNvPr id="71" name="TextBox 70">
          <a:extLst>
            <a:ext uri="{FF2B5EF4-FFF2-40B4-BE49-F238E27FC236}">
              <a16:creationId xmlns:a16="http://schemas.microsoft.com/office/drawing/2014/main" id="{00000000-0008-0000-0100-000047000000}"/>
            </a:ext>
          </a:extLst>
        </xdr:cNvPr>
        <xdr:cNvSpPr txBox="1"/>
      </xdr:nvSpPr>
      <xdr:spPr>
        <a:xfrm>
          <a:off x="9445593" y="3276557"/>
          <a:ext cx="1480412"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364DE8B-F12A-4DE0-AD57-2D39EFBE7A5E}" type="TxLink">
            <a:rPr lang="en-US" sz="1200" b="0" i="0" u="none" strike="noStrike">
              <a:solidFill>
                <a:schemeClr val="tx2">
                  <a:lumMod val="90000"/>
                  <a:lumOff val="10000"/>
                </a:schemeClr>
              </a:solidFill>
              <a:latin typeface="Aptos Narrow"/>
              <a:ea typeface="+mn-ea"/>
              <a:cs typeface="+mn-cs"/>
            </a:rPr>
            <a:pPr marL="0" indent="0" algn="l"/>
            <a:t>Payroll Fundation</a:t>
          </a:fld>
          <a:endParaRPr lang="ru-RU" sz="1200" b="0" i="0" u="none" strike="noStrike">
            <a:solidFill>
              <a:schemeClr val="tx2">
                <a:lumMod val="90000"/>
                <a:lumOff val="10000"/>
              </a:schemeClr>
            </a:solidFill>
            <a:latin typeface="Aptos Narrow"/>
            <a:ea typeface="+mn-ea"/>
            <a:cs typeface="+mn-cs"/>
          </a:endParaRPr>
        </a:p>
      </xdr:txBody>
    </xdr:sp>
    <xdr:clientData/>
  </xdr:twoCellAnchor>
  <xdr:twoCellAnchor>
    <xdr:from>
      <xdr:col>19</xdr:col>
      <xdr:colOff>568293</xdr:colOff>
      <xdr:row>17</xdr:row>
      <xdr:rowOff>167597</xdr:rowOff>
    </xdr:from>
    <xdr:to>
      <xdr:col>22</xdr:col>
      <xdr:colOff>219905</xdr:colOff>
      <xdr:row>19</xdr:row>
      <xdr:rowOff>65755</xdr:rowOff>
    </xdr:to>
    <xdr:sp macro="" textlink="Processing!I27">
      <xdr:nvSpPr>
        <xdr:cNvPr id="72" name="TextBox 71">
          <a:extLst>
            <a:ext uri="{FF2B5EF4-FFF2-40B4-BE49-F238E27FC236}">
              <a16:creationId xmlns:a16="http://schemas.microsoft.com/office/drawing/2014/main" id="{00000000-0008-0000-0100-000048000000}"/>
            </a:ext>
          </a:extLst>
        </xdr:cNvPr>
        <xdr:cNvSpPr txBox="1"/>
      </xdr:nvSpPr>
      <xdr:spPr>
        <a:xfrm>
          <a:off x="11663013" y="3276557"/>
          <a:ext cx="1480412"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334CAC5-F600-45DA-A68C-59702B7A1EAF}" type="TxLink">
            <a:rPr lang="en-US" sz="1400" b="0" i="0" u="none" strike="noStrike">
              <a:solidFill>
                <a:schemeClr val="tx2">
                  <a:lumMod val="90000"/>
                  <a:lumOff val="10000"/>
                </a:schemeClr>
              </a:solidFill>
              <a:latin typeface="Aptos Narrow"/>
              <a:ea typeface="+mn-ea"/>
              <a:cs typeface="+mn-cs"/>
            </a:rPr>
            <a:pPr marL="0" indent="0" algn="r"/>
            <a:t> $118,840 </a:t>
          </a:fld>
          <a:endParaRPr lang="ru-RU" sz="1400" b="0" i="0" u="none" strike="noStrike">
            <a:solidFill>
              <a:schemeClr val="tx2">
                <a:lumMod val="90000"/>
                <a:lumOff val="10000"/>
              </a:schemeClr>
            </a:solidFill>
            <a:latin typeface="Aptos Narrow"/>
            <a:ea typeface="+mn-ea"/>
            <a:cs typeface="+mn-cs"/>
          </a:endParaRPr>
        </a:p>
      </xdr:txBody>
    </xdr:sp>
    <xdr:clientData/>
  </xdr:twoCellAnchor>
  <xdr:twoCellAnchor>
    <xdr:from>
      <xdr:col>17</xdr:col>
      <xdr:colOff>411480</xdr:colOff>
      <xdr:row>31</xdr:row>
      <xdr:rowOff>22860</xdr:rowOff>
    </xdr:from>
    <xdr:to>
      <xdr:col>22</xdr:col>
      <xdr:colOff>563880</xdr:colOff>
      <xdr:row>39</xdr:row>
      <xdr:rowOff>22860</xdr:rowOff>
    </xdr:to>
    <xdr:graphicFrame macro="">
      <xdr:nvGraphicFramePr>
        <xdr:cNvPr id="73" name="Chart 72">
          <a:extLst>
            <a:ext uri="{FF2B5EF4-FFF2-40B4-BE49-F238E27FC236}">
              <a16:creationId xmlns:a16="http://schemas.microsoft.com/office/drawing/2014/main" id="{00000000-0008-0000-0100-00004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407199</xdr:colOff>
      <xdr:row>30</xdr:row>
      <xdr:rowOff>60917</xdr:rowOff>
    </xdr:from>
    <xdr:to>
      <xdr:col>19</xdr:col>
      <xdr:colOff>411480</xdr:colOff>
      <xdr:row>31</xdr:row>
      <xdr:rowOff>141955</xdr:rowOff>
    </xdr:to>
    <xdr:sp macro="" textlink="Processing!K18">
      <xdr:nvSpPr>
        <xdr:cNvPr id="74" name="TextBox 73">
          <a:extLst>
            <a:ext uri="{FF2B5EF4-FFF2-40B4-BE49-F238E27FC236}">
              <a16:creationId xmlns:a16="http://schemas.microsoft.com/office/drawing/2014/main" id="{00000000-0008-0000-0100-00004A000000}"/>
            </a:ext>
          </a:extLst>
        </xdr:cNvPr>
        <xdr:cNvSpPr txBox="1"/>
      </xdr:nvSpPr>
      <xdr:spPr>
        <a:xfrm>
          <a:off x="10282719" y="5547317"/>
          <a:ext cx="122348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6805B9B-D6B3-4780-8453-42CB343775F1}" type="TxLink">
            <a:rPr lang="en-US" sz="1200" b="0" i="0" u="none" strike="noStrike">
              <a:solidFill>
                <a:schemeClr val="tx2">
                  <a:lumMod val="90000"/>
                  <a:lumOff val="10000"/>
                </a:schemeClr>
              </a:solidFill>
              <a:latin typeface="Aptos Narrow"/>
              <a:ea typeface="+mn-ea"/>
              <a:cs typeface="+mn-cs"/>
            </a:rPr>
            <a:pPr marL="0" indent="0" algn="l"/>
            <a:t>Top 5 Employees</a:t>
          </a:fld>
          <a:endParaRPr lang="ru-RU" sz="1200" b="0" i="0" u="none" strike="noStrike">
            <a:solidFill>
              <a:schemeClr val="tx2">
                <a:lumMod val="90000"/>
                <a:lumOff val="10000"/>
              </a:schemeClr>
            </a:solidFill>
            <a:latin typeface="Aptos Narrow"/>
            <a:ea typeface="+mn-ea"/>
            <a:cs typeface="+mn-cs"/>
          </a:endParaRPr>
        </a:p>
      </xdr:txBody>
    </xdr:sp>
    <xdr:clientData/>
  </xdr:twoCellAnchor>
  <xdr:twoCellAnchor>
    <xdr:from>
      <xdr:col>20</xdr:col>
      <xdr:colOff>102399</xdr:colOff>
      <xdr:row>30</xdr:row>
      <xdr:rowOff>60917</xdr:rowOff>
    </xdr:from>
    <xdr:to>
      <xdr:col>21</xdr:col>
      <xdr:colOff>83820</xdr:colOff>
      <xdr:row>31</xdr:row>
      <xdr:rowOff>141955</xdr:rowOff>
    </xdr:to>
    <xdr:sp macro="" textlink="Processing!N18">
      <xdr:nvSpPr>
        <xdr:cNvPr id="75" name="TextBox 74">
          <a:extLst>
            <a:ext uri="{FF2B5EF4-FFF2-40B4-BE49-F238E27FC236}">
              <a16:creationId xmlns:a16="http://schemas.microsoft.com/office/drawing/2014/main" id="{00000000-0008-0000-0100-00004B000000}"/>
            </a:ext>
          </a:extLst>
        </xdr:cNvPr>
        <xdr:cNvSpPr txBox="1"/>
      </xdr:nvSpPr>
      <xdr:spPr>
        <a:xfrm>
          <a:off x="11806719" y="5547317"/>
          <a:ext cx="59102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16583C5-2333-4072-9950-50084CC9A056}" type="TxLink">
            <a:rPr lang="en-US" sz="1000" b="0" i="0" u="none" strike="noStrike">
              <a:solidFill>
                <a:schemeClr val="tx2">
                  <a:lumMod val="75000"/>
                  <a:lumOff val="25000"/>
                </a:schemeClr>
              </a:solidFill>
              <a:latin typeface="Aptos Narrow"/>
              <a:ea typeface="+mn-ea"/>
              <a:cs typeface="+mn-cs"/>
            </a:rPr>
            <a:pPr marL="0" indent="0" algn="r"/>
            <a:t>Bonus</a:t>
          </a:fld>
          <a:endParaRPr lang="ru-RU" sz="1000" b="0" i="0" u="none" strike="noStrike">
            <a:solidFill>
              <a:schemeClr val="tx2">
                <a:lumMod val="75000"/>
                <a:lumOff val="25000"/>
              </a:schemeClr>
            </a:solidFill>
            <a:latin typeface="Aptos Narrow"/>
            <a:ea typeface="+mn-ea"/>
            <a:cs typeface="+mn-cs"/>
          </a:endParaRPr>
        </a:p>
      </xdr:txBody>
    </xdr:sp>
    <xdr:clientData/>
  </xdr:twoCellAnchor>
  <xdr:twoCellAnchor>
    <xdr:from>
      <xdr:col>21</xdr:col>
      <xdr:colOff>216699</xdr:colOff>
      <xdr:row>30</xdr:row>
      <xdr:rowOff>60917</xdr:rowOff>
    </xdr:from>
    <xdr:to>
      <xdr:col>22</xdr:col>
      <xdr:colOff>198120</xdr:colOff>
      <xdr:row>31</xdr:row>
      <xdr:rowOff>141955</xdr:rowOff>
    </xdr:to>
    <xdr:sp macro="" textlink="Processing!M18">
      <xdr:nvSpPr>
        <xdr:cNvPr id="76" name="TextBox 75">
          <a:extLst>
            <a:ext uri="{FF2B5EF4-FFF2-40B4-BE49-F238E27FC236}">
              <a16:creationId xmlns:a16="http://schemas.microsoft.com/office/drawing/2014/main" id="{00000000-0008-0000-0100-00004C000000}"/>
            </a:ext>
          </a:extLst>
        </xdr:cNvPr>
        <xdr:cNvSpPr txBox="1"/>
      </xdr:nvSpPr>
      <xdr:spPr>
        <a:xfrm>
          <a:off x="12530619" y="5547317"/>
          <a:ext cx="59102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DF2DC2D-5E7E-44ED-8FC7-F6F7F543924F}" type="TxLink">
            <a:rPr lang="en-US" sz="1000" b="0" i="0" u="none" strike="noStrike">
              <a:solidFill>
                <a:schemeClr val="tx2">
                  <a:lumMod val="75000"/>
                  <a:lumOff val="25000"/>
                </a:schemeClr>
              </a:solidFill>
              <a:latin typeface="Aptos Narrow"/>
              <a:ea typeface="+mn-ea"/>
              <a:cs typeface="+mn-cs"/>
            </a:rPr>
            <a:pPr marL="0" indent="0" algn="r"/>
            <a:t>Salary</a:t>
          </a:fld>
          <a:endParaRPr lang="ru-RU" sz="1000" b="0" i="0" u="none" strike="noStrike">
            <a:solidFill>
              <a:schemeClr val="tx2">
                <a:lumMod val="75000"/>
                <a:lumOff val="25000"/>
              </a:schemeClr>
            </a:solidFill>
            <a:latin typeface="Aptos Narrow"/>
            <a:ea typeface="+mn-ea"/>
            <a:cs typeface="+mn-cs"/>
          </a:endParaRPr>
        </a:p>
      </xdr:txBody>
    </xdr:sp>
    <xdr:clientData/>
  </xdr:twoCellAnchor>
  <xdr:twoCellAnchor>
    <xdr:from>
      <xdr:col>20</xdr:col>
      <xdr:colOff>102399</xdr:colOff>
      <xdr:row>30</xdr:row>
      <xdr:rowOff>60917</xdr:rowOff>
    </xdr:from>
    <xdr:to>
      <xdr:col>21</xdr:col>
      <xdr:colOff>83820</xdr:colOff>
      <xdr:row>31</xdr:row>
      <xdr:rowOff>141955</xdr:rowOff>
    </xdr:to>
    <xdr:sp macro="" textlink="Processing!N17">
      <xdr:nvSpPr>
        <xdr:cNvPr id="77" name="TextBox 76">
          <a:extLst>
            <a:ext uri="{FF2B5EF4-FFF2-40B4-BE49-F238E27FC236}">
              <a16:creationId xmlns:a16="http://schemas.microsoft.com/office/drawing/2014/main" id="{00000000-0008-0000-0100-00004D000000}"/>
            </a:ext>
          </a:extLst>
        </xdr:cNvPr>
        <xdr:cNvSpPr txBox="1"/>
      </xdr:nvSpPr>
      <xdr:spPr>
        <a:xfrm>
          <a:off x="11806719" y="5547317"/>
          <a:ext cx="59102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78DFBE5-5692-459D-AFAA-99358011AB79}" type="TxLink">
            <a:rPr lang="en-US" sz="1000" b="0" i="0" u="none" strike="noStrike">
              <a:solidFill>
                <a:schemeClr val="tx1"/>
              </a:solidFill>
              <a:latin typeface="Aptos Narrow"/>
              <a:ea typeface="+mn-ea"/>
              <a:cs typeface="+mn-cs"/>
            </a:rPr>
            <a:pPr marL="0" indent="0" algn="r"/>
            <a:t>Bonus</a:t>
          </a:fld>
          <a:endParaRPr lang="ru-RU" sz="800" b="0" i="0" u="none" strike="noStrike">
            <a:solidFill>
              <a:schemeClr val="tx1"/>
            </a:solidFill>
            <a:latin typeface="Aptos Narrow"/>
            <a:ea typeface="+mn-ea"/>
            <a:cs typeface="+mn-cs"/>
          </a:endParaRPr>
        </a:p>
      </xdr:txBody>
    </xdr:sp>
    <xdr:clientData/>
  </xdr:twoCellAnchor>
  <xdr:twoCellAnchor>
    <xdr:from>
      <xdr:col>21</xdr:col>
      <xdr:colOff>216699</xdr:colOff>
      <xdr:row>30</xdr:row>
      <xdr:rowOff>60917</xdr:rowOff>
    </xdr:from>
    <xdr:to>
      <xdr:col>22</xdr:col>
      <xdr:colOff>198120</xdr:colOff>
      <xdr:row>31</xdr:row>
      <xdr:rowOff>141955</xdr:rowOff>
    </xdr:to>
    <xdr:sp macro="" textlink="Processing!M17">
      <xdr:nvSpPr>
        <xdr:cNvPr id="78" name="TextBox 77">
          <a:extLst>
            <a:ext uri="{FF2B5EF4-FFF2-40B4-BE49-F238E27FC236}">
              <a16:creationId xmlns:a16="http://schemas.microsoft.com/office/drawing/2014/main" id="{00000000-0008-0000-0100-00004E000000}"/>
            </a:ext>
          </a:extLst>
        </xdr:cNvPr>
        <xdr:cNvSpPr txBox="1"/>
      </xdr:nvSpPr>
      <xdr:spPr>
        <a:xfrm>
          <a:off x="12530619" y="5547317"/>
          <a:ext cx="591021"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CF1466-456B-4C28-A06B-2429CE3A799F}" type="TxLink">
            <a:rPr lang="en-US" sz="1000" b="0" i="0" u="none" strike="noStrike">
              <a:solidFill>
                <a:schemeClr val="tx1"/>
              </a:solidFill>
              <a:latin typeface="Aptos Narrow"/>
              <a:ea typeface="+mn-ea"/>
              <a:cs typeface="+mn-cs"/>
            </a:rPr>
            <a:pPr marL="0" indent="0" algn="r"/>
            <a:t> </a:t>
          </a:fld>
          <a:endParaRPr lang="ru-RU" sz="800" b="0" i="0" u="none" strike="noStrike">
            <a:solidFill>
              <a:schemeClr val="tx1"/>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20</xdr:col>
          <xdr:colOff>9525</xdr:colOff>
          <xdr:row>30</xdr:row>
          <xdr:rowOff>85725</xdr:rowOff>
        </xdr:from>
        <xdr:to>
          <xdr:col>21</xdr:col>
          <xdr:colOff>38100</xdr:colOff>
          <xdr:row>31</xdr:row>
          <xdr:rowOff>123825</xdr:rowOff>
        </xdr:to>
        <xdr:sp macro="" textlink="">
          <xdr:nvSpPr>
            <xdr:cNvPr id="7169" name="Option Button 1" hidden="1">
              <a:extLst>
                <a:ext uri="{63B3BB69-23CF-44E3-9099-C40C66FF867C}">
                  <a14:compatExt spid="_x0000_s7169"/>
                </a:ext>
                <a:ext uri="{FF2B5EF4-FFF2-40B4-BE49-F238E27FC236}">
                  <a16:creationId xmlns:a16="http://schemas.microsoft.com/office/drawing/2014/main" id="{00000000-0008-0000-01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133350</xdr:colOff>
          <xdr:row>30</xdr:row>
          <xdr:rowOff>85725</xdr:rowOff>
        </xdr:from>
        <xdr:to>
          <xdr:col>22</xdr:col>
          <xdr:colOff>161925</xdr:colOff>
          <xdr:row>31</xdr:row>
          <xdr:rowOff>123825</xdr:rowOff>
        </xdr:to>
        <xdr:sp macro="" textlink="">
          <xdr:nvSpPr>
            <xdr:cNvPr id="7170" name="Option Button 2" hidden="1">
              <a:extLst>
                <a:ext uri="{63B3BB69-23CF-44E3-9099-C40C66FF867C}">
                  <a14:compatExt spid="_x0000_s7170"/>
                </a:ext>
                <a:ext uri="{FF2B5EF4-FFF2-40B4-BE49-F238E27FC236}">
                  <a16:creationId xmlns:a16="http://schemas.microsoft.com/office/drawing/2014/main" id="{00000000-0008-0000-01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20</xdr:col>
      <xdr:colOff>53340</xdr:colOff>
      <xdr:row>30</xdr:row>
      <xdr:rowOff>138793</xdr:rowOff>
    </xdr:from>
    <xdr:to>
      <xdr:col>20</xdr:col>
      <xdr:colOff>172212</xdr:colOff>
      <xdr:row>31</xdr:row>
      <xdr:rowOff>74785</xdr:rowOff>
    </xdr:to>
    <xdr:sp macro="" textlink="">
      <xdr:nvSpPr>
        <xdr:cNvPr id="79" name="Oval 78">
          <a:extLst>
            <a:ext uri="{FF2B5EF4-FFF2-40B4-BE49-F238E27FC236}">
              <a16:creationId xmlns:a16="http://schemas.microsoft.com/office/drawing/2014/main" id="{00000000-0008-0000-0100-00004F000000}"/>
            </a:ext>
          </a:extLst>
        </xdr:cNvPr>
        <xdr:cNvSpPr/>
      </xdr:nvSpPr>
      <xdr:spPr>
        <a:xfrm>
          <a:off x="11757660" y="5625193"/>
          <a:ext cx="118872" cy="118872"/>
        </a:xfrm>
        <a:prstGeom prst="ellipse">
          <a:avLst/>
        </a:prstGeom>
        <a:solidFill>
          <a:srgbClr val="52E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175259</xdr:colOff>
      <xdr:row>30</xdr:row>
      <xdr:rowOff>138793</xdr:rowOff>
    </xdr:from>
    <xdr:to>
      <xdr:col>21</xdr:col>
      <xdr:colOff>294131</xdr:colOff>
      <xdr:row>31</xdr:row>
      <xdr:rowOff>74785</xdr:rowOff>
    </xdr:to>
    <xdr:sp macro="" textlink="">
      <xdr:nvSpPr>
        <xdr:cNvPr id="80" name="Oval 79">
          <a:extLst>
            <a:ext uri="{FF2B5EF4-FFF2-40B4-BE49-F238E27FC236}">
              <a16:creationId xmlns:a16="http://schemas.microsoft.com/office/drawing/2014/main" id="{00000000-0008-0000-0100-000050000000}"/>
            </a:ext>
          </a:extLst>
        </xdr:cNvPr>
        <xdr:cNvSpPr/>
      </xdr:nvSpPr>
      <xdr:spPr>
        <a:xfrm>
          <a:off x="12489179" y="5625193"/>
          <a:ext cx="118872" cy="118872"/>
        </a:xfrm>
        <a:prstGeom prst="ellipse">
          <a:avLst/>
        </a:prstGeom>
        <a:solidFill>
          <a:srgbClr val="84B6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142948</xdr:colOff>
      <xdr:row>31</xdr:row>
      <xdr:rowOff>152400</xdr:rowOff>
    </xdr:from>
    <xdr:to>
      <xdr:col>16</xdr:col>
      <xdr:colOff>356308</xdr:colOff>
      <xdr:row>37</xdr:row>
      <xdr:rowOff>152400</xdr:rowOff>
    </xdr:to>
    <xdr:graphicFrame macro="">
      <xdr:nvGraphicFramePr>
        <xdr:cNvPr id="81" name="Chart 80">
          <a:extLst>
            <a:ext uri="{FF2B5EF4-FFF2-40B4-BE49-F238E27FC236}">
              <a16:creationId xmlns:a16="http://schemas.microsoft.com/office/drawing/2014/main" id="{00000000-0008-0000-0100-00005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279453</xdr:colOff>
      <xdr:row>30</xdr:row>
      <xdr:rowOff>60917</xdr:rowOff>
    </xdr:from>
    <xdr:to>
      <xdr:col>14</xdr:col>
      <xdr:colOff>241951</xdr:colOff>
      <xdr:row>31</xdr:row>
      <xdr:rowOff>141955</xdr:rowOff>
    </xdr:to>
    <xdr:sp macro="" textlink="Processing!$G$29">
      <xdr:nvSpPr>
        <xdr:cNvPr id="82" name="TextBox 81">
          <a:extLst>
            <a:ext uri="{FF2B5EF4-FFF2-40B4-BE49-F238E27FC236}">
              <a16:creationId xmlns:a16="http://schemas.microsoft.com/office/drawing/2014/main" id="{00000000-0008-0000-0100-000052000000}"/>
            </a:ext>
          </a:extLst>
        </xdr:cNvPr>
        <xdr:cNvSpPr txBox="1"/>
      </xdr:nvSpPr>
      <xdr:spPr>
        <a:xfrm>
          <a:off x="6497373" y="5547317"/>
          <a:ext cx="1791298"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4B58EE3-5BFC-4C03-A17C-8AD64ADD1745}" type="TxLink">
            <a:rPr lang="en-US" sz="1100" b="0" i="0" u="none" strike="noStrike">
              <a:solidFill>
                <a:schemeClr val="tx2">
                  <a:lumMod val="90000"/>
                  <a:lumOff val="10000"/>
                </a:schemeClr>
              </a:solidFill>
              <a:latin typeface="Aptos Narrow"/>
              <a:ea typeface="+mn-ea"/>
              <a:cs typeface="+mn-cs"/>
            </a:rPr>
            <a:pPr marL="0" indent="0" algn="ctr"/>
            <a:t>Working Time Heat Map</a:t>
          </a:fld>
          <a:endParaRPr lang="ru-RU" sz="1200" b="0" i="0" u="none" strike="noStrike">
            <a:solidFill>
              <a:schemeClr val="tx2">
                <a:lumMod val="90000"/>
                <a:lumOff val="10000"/>
              </a:schemeClr>
            </a:solidFill>
            <a:latin typeface="Aptos Narrow"/>
            <a:ea typeface="+mn-ea"/>
            <a:cs typeface="+mn-cs"/>
          </a:endParaRPr>
        </a:p>
      </xdr:txBody>
    </xdr:sp>
    <xdr:clientData/>
  </xdr:twoCellAnchor>
  <xdr:twoCellAnchor>
    <xdr:from>
      <xdr:col>10</xdr:col>
      <xdr:colOff>137160</xdr:colOff>
      <xdr:row>38</xdr:row>
      <xdr:rowOff>22860</xdr:rowOff>
    </xdr:from>
    <xdr:to>
      <xdr:col>15</xdr:col>
      <xdr:colOff>472440</xdr:colOff>
      <xdr:row>38</xdr:row>
      <xdr:rowOff>50292</xdr:rowOff>
    </xdr:to>
    <xdr:sp macro="" textlink="">
      <xdr:nvSpPr>
        <xdr:cNvPr id="83" name="Rectangle 82">
          <a:extLst>
            <a:ext uri="{FF2B5EF4-FFF2-40B4-BE49-F238E27FC236}">
              <a16:creationId xmlns:a16="http://schemas.microsoft.com/office/drawing/2014/main" id="{00000000-0008-0000-0100-000053000000}"/>
            </a:ext>
          </a:extLst>
        </xdr:cNvPr>
        <xdr:cNvSpPr/>
      </xdr:nvSpPr>
      <xdr:spPr>
        <a:xfrm>
          <a:off x="5745480" y="6972300"/>
          <a:ext cx="3383280" cy="27432"/>
        </a:xfrm>
        <a:prstGeom prst="rect">
          <a:avLst/>
        </a:prstGeom>
        <a:gradFill>
          <a:gsLst>
            <a:gs pos="75000">
              <a:srgbClr val="65B5D4"/>
            </a:gs>
            <a:gs pos="50000">
              <a:srgbClr val="3493B8"/>
            </a:gs>
            <a:gs pos="10000">
              <a:srgbClr val="113454"/>
            </a:gs>
            <a:gs pos="100000">
              <a:srgbClr val="CAEEFB"/>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10</xdr:col>
      <xdr:colOff>99318</xdr:colOff>
      <xdr:row>36</xdr:row>
      <xdr:rowOff>170192</xdr:rowOff>
    </xdr:from>
    <xdr:to>
      <xdr:col>15</xdr:col>
      <xdr:colOff>486330</xdr:colOff>
      <xdr:row>39</xdr:row>
      <xdr:rowOff>78752</xdr:rowOff>
    </xdr:to>
    <xdr:graphicFrame macro="">
      <xdr:nvGraphicFramePr>
        <xdr:cNvPr id="84" name="Chart 83">
          <a:extLst>
            <a:ext uri="{FF2B5EF4-FFF2-40B4-BE49-F238E27FC236}">
              <a16:creationId xmlns:a16="http://schemas.microsoft.com/office/drawing/2014/main" id="{00000000-0008-0000-0100-00005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233733</xdr:colOff>
      <xdr:row>37</xdr:row>
      <xdr:rowOff>76157</xdr:rowOff>
    </xdr:from>
    <xdr:to>
      <xdr:col>10</xdr:col>
      <xdr:colOff>76200</xdr:colOff>
      <xdr:row>38</xdr:row>
      <xdr:rowOff>157195</xdr:rowOff>
    </xdr:to>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5232453" y="6842717"/>
          <a:ext cx="452067"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0" i="0" u="none" strike="noStrike">
              <a:solidFill>
                <a:schemeClr val="tx2">
                  <a:lumMod val="90000"/>
                  <a:lumOff val="10000"/>
                </a:schemeClr>
              </a:solidFill>
              <a:latin typeface="Aptos Narrow"/>
              <a:ea typeface="+mn-ea"/>
              <a:cs typeface="+mn-cs"/>
            </a:rPr>
            <a:t>Low</a:t>
          </a:r>
        </a:p>
      </xdr:txBody>
    </xdr:sp>
    <xdr:clientData/>
  </xdr:twoCellAnchor>
  <xdr:twoCellAnchor>
    <xdr:from>
      <xdr:col>15</xdr:col>
      <xdr:colOff>530913</xdr:colOff>
      <xdr:row>37</xdr:row>
      <xdr:rowOff>76157</xdr:rowOff>
    </xdr:from>
    <xdr:to>
      <xdr:col>16</xdr:col>
      <xdr:colOff>373380</xdr:colOff>
      <xdr:row>38</xdr:row>
      <xdr:rowOff>157195</xdr:rowOff>
    </xdr:to>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9187233" y="6842717"/>
          <a:ext cx="452067"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0" i="0" u="none" strike="noStrike">
              <a:solidFill>
                <a:schemeClr val="tx2">
                  <a:lumMod val="90000"/>
                  <a:lumOff val="10000"/>
                </a:schemeClr>
              </a:solidFill>
              <a:latin typeface="Aptos Narrow"/>
              <a:ea typeface="+mn-ea"/>
              <a:cs typeface="+mn-cs"/>
            </a:rPr>
            <a:t>High</a:t>
          </a:r>
        </a:p>
      </xdr:txBody>
    </xdr:sp>
    <xdr:clientData/>
  </xdr:twoCellAnchor>
  <xdr:twoCellAnchor>
    <xdr:from>
      <xdr:col>4</xdr:col>
      <xdr:colOff>571500</xdr:colOff>
      <xdr:row>29</xdr:row>
      <xdr:rowOff>129497</xdr:rowOff>
    </xdr:from>
    <xdr:to>
      <xdr:col>7</xdr:col>
      <xdr:colOff>83820</xdr:colOff>
      <xdr:row>35</xdr:row>
      <xdr:rowOff>88615</xdr:rowOff>
    </xdr:to>
    <xdr:grpSp>
      <xdr:nvGrpSpPr>
        <xdr:cNvPr id="97" name="Group 96">
          <a:extLst>
            <a:ext uri="{FF2B5EF4-FFF2-40B4-BE49-F238E27FC236}">
              <a16:creationId xmlns:a16="http://schemas.microsoft.com/office/drawing/2014/main" id="{00000000-0008-0000-0100-000061000000}"/>
            </a:ext>
          </a:extLst>
        </xdr:cNvPr>
        <xdr:cNvGrpSpPr/>
      </xdr:nvGrpSpPr>
      <xdr:grpSpPr>
        <a:xfrm>
          <a:off x="2457450" y="5653997"/>
          <a:ext cx="1283970" cy="1102118"/>
          <a:chOff x="2506980" y="5425397"/>
          <a:chExt cx="1341120" cy="1056398"/>
        </a:xfrm>
      </xdr:grpSpPr>
      <xdr:sp macro="" textlink="Processing!M11">
        <xdr:nvSpPr>
          <xdr:cNvPr id="87" name="TextBox 86">
            <a:extLst>
              <a:ext uri="{FF2B5EF4-FFF2-40B4-BE49-F238E27FC236}">
                <a16:creationId xmlns:a16="http://schemas.microsoft.com/office/drawing/2014/main" id="{00000000-0008-0000-0100-000057000000}"/>
              </a:ext>
            </a:extLst>
          </xdr:cNvPr>
          <xdr:cNvSpPr txBox="1"/>
        </xdr:nvSpPr>
        <xdr:spPr>
          <a:xfrm>
            <a:off x="2563970" y="5425397"/>
            <a:ext cx="1284130"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77C1B8F-0432-40D8-A77F-1F4235F8A87F}" type="TxLink">
              <a:rPr lang="en-US" sz="1000" b="0" i="0" u="none" strike="noStrike">
                <a:solidFill>
                  <a:srgbClr val="000000"/>
                </a:solidFill>
                <a:latin typeface="Aptos Narrow"/>
                <a:ea typeface="+mn-ea"/>
                <a:cs typeface="+mn-cs"/>
              </a:rPr>
              <a:pPr marL="0" indent="0" algn="l"/>
              <a:t>Head Office</a:t>
            </a:fld>
            <a:endParaRPr lang="ru-RU" sz="1050" b="0" i="0" u="none" strike="noStrike">
              <a:solidFill>
                <a:schemeClr val="tx2">
                  <a:lumMod val="90000"/>
                  <a:lumOff val="10000"/>
                </a:schemeClr>
              </a:solidFill>
              <a:latin typeface="Aptos Narrow"/>
              <a:ea typeface="+mn-ea"/>
              <a:cs typeface="+mn-cs"/>
            </a:endParaRPr>
          </a:p>
        </xdr:txBody>
      </xdr:sp>
      <xdr:sp macro="" textlink="Processing!M12">
        <xdr:nvSpPr>
          <xdr:cNvPr id="88" name="TextBox 87">
            <a:extLst>
              <a:ext uri="{FF2B5EF4-FFF2-40B4-BE49-F238E27FC236}">
                <a16:creationId xmlns:a16="http://schemas.microsoft.com/office/drawing/2014/main" id="{00000000-0008-0000-0100-000058000000}"/>
              </a:ext>
            </a:extLst>
          </xdr:cNvPr>
          <xdr:cNvSpPr txBox="1"/>
        </xdr:nvSpPr>
        <xdr:spPr>
          <a:xfrm>
            <a:off x="2563970" y="5600657"/>
            <a:ext cx="1284130"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9D613C7-779A-4164-B2C2-82B09C2F16A1}" type="TxLink">
              <a:rPr lang="en-US" sz="1000" b="0" i="0" u="none" strike="noStrike">
                <a:solidFill>
                  <a:srgbClr val="000000"/>
                </a:solidFill>
                <a:latin typeface="Aptos Narrow"/>
                <a:ea typeface="+mn-ea"/>
                <a:cs typeface="+mn-cs"/>
              </a:rPr>
              <a:pPr marL="0" indent="0" algn="l"/>
              <a:t>Regional Offices</a:t>
            </a:fld>
            <a:endParaRPr lang="ru-RU" sz="1050" b="0" i="0" u="none" strike="noStrike">
              <a:solidFill>
                <a:schemeClr val="tx2">
                  <a:lumMod val="90000"/>
                  <a:lumOff val="10000"/>
                </a:schemeClr>
              </a:solidFill>
              <a:latin typeface="Aptos Narrow"/>
              <a:ea typeface="+mn-ea"/>
              <a:cs typeface="+mn-cs"/>
            </a:endParaRPr>
          </a:p>
        </xdr:txBody>
      </xdr:sp>
      <xdr:sp macro="" textlink="Processing!M13">
        <xdr:nvSpPr>
          <xdr:cNvPr id="89" name="TextBox 88">
            <a:extLst>
              <a:ext uri="{FF2B5EF4-FFF2-40B4-BE49-F238E27FC236}">
                <a16:creationId xmlns:a16="http://schemas.microsoft.com/office/drawing/2014/main" id="{00000000-0008-0000-0100-000059000000}"/>
              </a:ext>
            </a:extLst>
          </xdr:cNvPr>
          <xdr:cNvSpPr txBox="1"/>
        </xdr:nvSpPr>
        <xdr:spPr>
          <a:xfrm>
            <a:off x="2563970" y="5806397"/>
            <a:ext cx="1284130"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B139796-528C-4E98-9929-404561660F2F}" type="TxLink">
              <a:rPr lang="en-US" sz="1000" b="0" i="0" u="none" strike="noStrike">
                <a:solidFill>
                  <a:srgbClr val="000000"/>
                </a:solidFill>
                <a:latin typeface="Aptos Narrow"/>
                <a:ea typeface="+mn-ea"/>
                <a:cs typeface="+mn-cs"/>
              </a:rPr>
              <a:pPr marL="0" indent="0" algn="l"/>
              <a:t>Regional Branches</a:t>
            </a:fld>
            <a:endParaRPr lang="ru-RU" sz="1050" b="0" i="0" u="none" strike="noStrike">
              <a:solidFill>
                <a:schemeClr val="tx2">
                  <a:lumMod val="90000"/>
                  <a:lumOff val="10000"/>
                </a:schemeClr>
              </a:solidFill>
              <a:latin typeface="Aptos Narrow"/>
              <a:ea typeface="+mn-ea"/>
              <a:cs typeface="+mn-cs"/>
            </a:endParaRPr>
          </a:p>
        </xdr:txBody>
      </xdr:sp>
      <xdr:sp macro="" textlink="Processing!M14">
        <xdr:nvSpPr>
          <xdr:cNvPr id="90" name="TextBox 89">
            <a:extLst>
              <a:ext uri="{FF2B5EF4-FFF2-40B4-BE49-F238E27FC236}">
                <a16:creationId xmlns:a16="http://schemas.microsoft.com/office/drawing/2014/main" id="{00000000-0008-0000-0100-00005A000000}"/>
              </a:ext>
            </a:extLst>
          </xdr:cNvPr>
          <xdr:cNvSpPr txBox="1"/>
        </xdr:nvSpPr>
        <xdr:spPr>
          <a:xfrm>
            <a:off x="2563970" y="6012137"/>
            <a:ext cx="1284130"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8D02627-BDCF-4EEE-91C3-8C3973C4640F}" type="TxLink">
              <a:rPr lang="en-US" sz="1000" b="0" i="0" u="none" strike="noStrike">
                <a:solidFill>
                  <a:srgbClr val="000000"/>
                </a:solidFill>
                <a:latin typeface="Aptos Narrow"/>
                <a:ea typeface="+mn-ea"/>
                <a:cs typeface="+mn-cs"/>
              </a:rPr>
              <a:pPr marL="0" indent="0" algn="l"/>
              <a:t>Remote Employees</a:t>
            </a:fld>
            <a:endParaRPr lang="ru-RU" sz="1050" b="0" i="0" u="none" strike="noStrike">
              <a:solidFill>
                <a:schemeClr val="tx2">
                  <a:lumMod val="90000"/>
                  <a:lumOff val="10000"/>
                </a:schemeClr>
              </a:solidFill>
              <a:latin typeface="Aptos Narrow"/>
              <a:ea typeface="+mn-ea"/>
              <a:cs typeface="+mn-cs"/>
            </a:endParaRPr>
          </a:p>
        </xdr:txBody>
      </xdr:sp>
      <xdr:sp macro="" textlink="Processing!M15">
        <xdr:nvSpPr>
          <xdr:cNvPr id="91" name="TextBox 90">
            <a:extLst>
              <a:ext uri="{FF2B5EF4-FFF2-40B4-BE49-F238E27FC236}">
                <a16:creationId xmlns:a16="http://schemas.microsoft.com/office/drawing/2014/main" id="{00000000-0008-0000-0100-00005B000000}"/>
              </a:ext>
            </a:extLst>
          </xdr:cNvPr>
          <xdr:cNvSpPr txBox="1"/>
        </xdr:nvSpPr>
        <xdr:spPr>
          <a:xfrm>
            <a:off x="2563970" y="6217877"/>
            <a:ext cx="1284130" cy="26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241AC9-F8F0-4CC6-A591-62F61F02F20E}" type="TxLink">
              <a:rPr lang="en-US" sz="1000" b="0" i="0" u="none" strike="noStrike">
                <a:solidFill>
                  <a:srgbClr val="000000"/>
                </a:solidFill>
                <a:latin typeface="Aptos Narrow"/>
                <a:ea typeface="+mn-ea"/>
                <a:cs typeface="+mn-cs"/>
              </a:rPr>
              <a:pPr marL="0" indent="0" algn="l"/>
              <a:t>Outsourcing</a:t>
            </a:fld>
            <a:endParaRPr lang="ru-RU" sz="1050" b="0" i="0" u="none" strike="noStrike">
              <a:solidFill>
                <a:schemeClr val="tx2">
                  <a:lumMod val="90000"/>
                  <a:lumOff val="10000"/>
                </a:schemeClr>
              </a:solidFill>
              <a:latin typeface="Aptos Narrow"/>
              <a:ea typeface="+mn-ea"/>
              <a:cs typeface="+mn-cs"/>
            </a:endParaRPr>
          </a:p>
        </xdr:txBody>
      </xdr:sp>
      <xdr:sp macro="" textlink="">
        <xdr:nvSpPr>
          <xdr:cNvPr id="92" name="Oval 91">
            <a:extLst>
              <a:ext uri="{FF2B5EF4-FFF2-40B4-BE49-F238E27FC236}">
                <a16:creationId xmlns:a16="http://schemas.microsoft.com/office/drawing/2014/main" id="{00000000-0008-0000-0100-00005C000000}"/>
              </a:ext>
            </a:extLst>
          </xdr:cNvPr>
          <xdr:cNvSpPr/>
        </xdr:nvSpPr>
        <xdr:spPr>
          <a:xfrm>
            <a:off x="2506980" y="6288133"/>
            <a:ext cx="91440" cy="91440"/>
          </a:xfrm>
          <a:prstGeom prst="ellipse">
            <a:avLst/>
          </a:prstGeom>
          <a:gradFill>
            <a:gsLst>
              <a:gs pos="0">
                <a:srgbClr val="14557A"/>
              </a:gs>
              <a:gs pos="100000">
                <a:srgbClr val="0F4672"/>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3" name="Oval 92">
            <a:extLst>
              <a:ext uri="{FF2B5EF4-FFF2-40B4-BE49-F238E27FC236}">
                <a16:creationId xmlns:a16="http://schemas.microsoft.com/office/drawing/2014/main" id="{00000000-0008-0000-0100-00005D000000}"/>
              </a:ext>
            </a:extLst>
          </xdr:cNvPr>
          <xdr:cNvSpPr/>
        </xdr:nvSpPr>
        <xdr:spPr>
          <a:xfrm>
            <a:off x="2506980" y="5520418"/>
            <a:ext cx="91440" cy="91440"/>
          </a:xfrm>
          <a:prstGeom prst="ellipse">
            <a:avLst/>
          </a:prstGeom>
          <a:gradFill>
            <a:gsLst>
              <a:gs pos="100000">
                <a:srgbClr val="DCF2FF"/>
              </a:gs>
              <a:gs pos="0">
                <a:srgbClr val="E1E9F5"/>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4" name="Oval 93">
            <a:extLst>
              <a:ext uri="{FF2B5EF4-FFF2-40B4-BE49-F238E27FC236}">
                <a16:creationId xmlns:a16="http://schemas.microsoft.com/office/drawing/2014/main" id="{00000000-0008-0000-0100-00005E000000}"/>
              </a:ext>
            </a:extLst>
          </xdr:cNvPr>
          <xdr:cNvSpPr/>
        </xdr:nvSpPr>
        <xdr:spPr>
          <a:xfrm>
            <a:off x="2506980" y="5712823"/>
            <a:ext cx="91440" cy="91440"/>
          </a:xfrm>
          <a:prstGeom prst="ellipse">
            <a:avLst/>
          </a:prstGeom>
          <a:gradFill>
            <a:gsLst>
              <a:gs pos="0">
                <a:srgbClr val="1C7A9D"/>
              </a:gs>
              <a:gs pos="100000">
                <a:srgbClr val="14547D"/>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5" name="Oval 94">
            <a:extLst>
              <a:ext uri="{FF2B5EF4-FFF2-40B4-BE49-F238E27FC236}">
                <a16:creationId xmlns:a16="http://schemas.microsoft.com/office/drawing/2014/main" id="{00000000-0008-0000-0100-00005F000000}"/>
              </a:ext>
            </a:extLst>
          </xdr:cNvPr>
          <xdr:cNvSpPr/>
        </xdr:nvSpPr>
        <xdr:spPr>
          <a:xfrm>
            <a:off x="2506980" y="5905228"/>
            <a:ext cx="91440" cy="91440"/>
          </a:xfrm>
          <a:prstGeom prst="ellipse">
            <a:avLst/>
          </a:prstGeom>
          <a:gradFill>
            <a:gsLst>
              <a:gs pos="0">
                <a:schemeClr val="accent4">
                  <a:lumMod val="20000"/>
                  <a:lumOff val="80000"/>
                </a:schemeClr>
              </a:gs>
              <a:gs pos="70000">
                <a:srgbClr val="52E1F1"/>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6" name="Oval 95">
            <a:extLst>
              <a:ext uri="{FF2B5EF4-FFF2-40B4-BE49-F238E27FC236}">
                <a16:creationId xmlns:a16="http://schemas.microsoft.com/office/drawing/2014/main" id="{00000000-0008-0000-0100-000060000000}"/>
              </a:ext>
            </a:extLst>
          </xdr:cNvPr>
          <xdr:cNvSpPr/>
        </xdr:nvSpPr>
        <xdr:spPr>
          <a:xfrm>
            <a:off x="2506980" y="6097633"/>
            <a:ext cx="91440" cy="91440"/>
          </a:xfrm>
          <a:prstGeom prst="ellipse">
            <a:avLst/>
          </a:prstGeom>
          <a:solidFill>
            <a:srgbClr val="3889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editAs="oneCell">
    <xdr:from>
      <xdr:col>1</xdr:col>
      <xdr:colOff>76200</xdr:colOff>
      <xdr:row>1</xdr:row>
      <xdr:rowOff>0</xdr:rowOff>
    </xdr:from>
    <xdr:to>
      <xdr:col>1</xdr:col>
      <xdr:colOff>350520</xdr:colOff>
      <xdr:row>2</xdr:row>
      <xdr:rowOff>91440</xdr:rowOff>
    </xdr:to>
    <xdr:pic>
      <xdr:nvPicPr>
        <xdr:cNvPr id="101" name="Graphic 100" descr="Moon with solid fill">
          <a:hlinkClick xmlns:r="http://schemas.openxmlformats.org/officeDocument/2006/relationships" r:id="rId11"/>
          <a:extLst>
            <a:ext uri="{FF2B5EF4-FFF2-40B4-BE49-F238E27FC236}">
              <a16:creationId xmlns:a16="http://schemas.microsoft.com/office/drawing/2014/main" id="{00000000-0008-0000-0100-000065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8120" y="182880"/>
          <a:ext cx="274320" cy="2743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0</xdr:colOff>
      <xdr:row>56</xdr:row>
      <xdr:rowOff>0</xdr:rowOff>
    </xdr:from>
    <xdr:to>
      <xdr:col>26</xdr:col>
      <xdr:colOff>213360</xdr:colOff>
      <xdr:row>62</xdr:row>
      <xdr:rowOff>21516</xdr:rowOff>
    </xdr:to>
    <xdr:graphicFrame macro="">
      <xdr:nvGraphicFramePr>
        <xdr:cNvPr id="15" name="Chart 14">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6</xdr:row>
      <xdr:rowOff>0</xdr:rowOff>
    </xdr:from>
    <xdr:to>
      <xdr:col>3</xdr:col>
      <xdr:colOff>157480</xdr:colOff>
      <xdr:row>6</xdr:row>
      <xdr:rowOff>138749</xdr:rowOff>
    </xdr:to>
    <xdr:sp macro="" textlink="">
      <xdr:nvSpPr>
        <xdr:cNvPr id="3" name="Rectangle 2">
          <a:extLst>
            <a:ext uri="{FF2B5EF4-FFF2-40B4-BE49-F238E27FC236}">
              <a16:creationId xmlns:a16="http://schemas.microsoft.com/office/drawing/2014/main" id="{00000000-0008-0000-0600-000003000000}"/>
            </a:ext>
          </a:extLst>
        </xdr:cNvPr>
        <xdr:cNvSpPr/>
      </xdr:nvSpPr>
      <xdr:spPr>
        <a:xfrm>
          <a:off x="1828800" y="1645920"/>
          <a:ext cx="157480" cy="138749"/>
        </a:xfrm>
        <a:prstGeom prst="rect">
          <a:avLst/>
        </a:prstGeom>
        <a:solidFill>
          <a:srgbClr val="1134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157480</xdr:colOff>
      <xdr:row>6</xdr:row>
      <xdr:rowOff>0</xdr:rowOff>
    </xdr:from>
    <xdr:to>
      <xdr:col>3</xdr:col>
      <xdr:colOff>314960</xdr:colOff>
      <xdr:row>6</xdr:row>
      <xdr:rowOff>138749</xdr:rowOff>
    </xdr:to>
    <xdr:sp macro="" textlink="">
      <xdr:nvSpPr>
        <xdr:cNvPr id="4" name="Rectangle 3">
          <a:extLst>
            <a:ext uri="{FF2B5EF4-FFF2-40B4-BE49-F238E27FC236}">
              <a16:creationId xmlns:a16="http://schemas.microsoft.com/office/drawing/2014/main" id="{00000000-0008-0000-0600-000004000000}"/>
            </a:ext>
          </a:extLst>
        </xdr:cNvPr>
        <xdr:cNvSpPr/>
      </xdr:nvSpPr>
      <xdr:spPr>
        <a:xfrm>
          <a:off x="1986280" y="1645920"/>
          <a:ext cx="157480" cy="138749"/>
        </a:xfrm>
        <a:prstGeom prst="rect">
          <a:avLst/>
        </a:prstGeom>
        <a:solidFill>
          <a:srgbClr val="3493B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472440</xdr:colOff>
      <xdr:row>6</xdr:row>
      <xdr:rowOff>0</xdr:rowOff>
    </xdr:from>
    <xdr:to>
      <xdr:col>4</xdr:col>
      <xdr:colOff>20320</xdr:colOff>
      <xdr:row>6</xdr:row>
      <xdr:rowOff>138749</xdr:rowOff>
    </xdr:to>
    <xdr:sp macro="" textlink="">
      <xdr:nvSpPr>
        <xdr:cNvPr id="5" name="Rectangle 4">
          <a:extLst>
            <a:ext uri="{FF2B5EF4-FFF2-40B4-BE49-F238E27FC236}">
              <a16:creationId xmlns:a16="http://schemas.microsoft.com/office/drawing/2014/main" id="{00000000-0008-0000-0600-000005000000}"/>
            </a:ext>
          </a:extLst>
        </xdr:cNvPr>
        <xdr:cNvSpPr/>
      </xdr:nvSpPr>
      <xdr:spPr>
        <a:xfrm>
          <a:off x="2301240" y="1645920"/>
          <a:ext cx="157480" cy="138749"/>
        </a:xfrm>
        <a:prstGeom prst="rect">
          <a:avLst/>
        </a:prstGeom>
        <a:solidFill>
          <a:srgbClr val="CAEE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307339</xdr:colOff>
      <xdr:row>6</xdr:row>
      <xdr:rowOff>3189</xdr:rowOff>
    </xdr:from>
    <xdr:to>
      <xdr:col>3</xdr:col>
      <xdr:colOff>464819</xdr:colOff>
      <xdr:row>6</xdr:row>
      <xdr:rowOff>141938</xdr:rowOff>
    </xdr:to>
    <xdr:sp macro="" textlink="">
      <xdr:nvSpPr>
        <xdr:cNvPr id="6" name="Rectangle 5">
          <a:extLst>
            <a:ext uri="{FF2B5EF4-FFF2-40B4-BE49-F238E27FC236}">
              <a16:creationId xmlns:a16="http://schemas.microsoft.com/office/drawing/2014/main" id="{00000000-0008-0000-0600-000006000000}"/>
            </a:ext>
          </a:extLst>
        </xdr:cNvPr>
        <xdr:cNvSpPr/>
      </xdr:nvSpPr>
      <xdr:spPr>
        <a:xfrm>
          <a:off x="2136139" y="1649109"/>
          <a:ext cx="157480" cy="138749"/>
        </a:xfrm>
        <a:prstGeom prst="rect">
          <a:avLst/>
        </a:prstGeom>
        <a:solidFill>
          <a:srgbClr val="65B5D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7.537627777776" createdVersion="8" refreshedVersion="8" minRefreshableVersion="3" recordCount="48" xr:uid="{4A97BEB5-0BD1-4CF6-9D90-1B5AB2E00023}">
  <cacheSource type="worksheet">
    <worksheetSource name="mydata"/>
  </cacheSource>
  <cacheFields count="55">
    <cacheField name="Year" numFmtId="0">
      <sharedItems containsSemiMixedTypes="0" containsString="0" containsNumber="1" containsInteger="1" minValue="2025" maxValue="2028" count="4">
        <n v="2025"/>
        <n v="2026"/>
        <n v="2027"/>
        <n v="2028"/>
      </sharedItems>
    </cacheField>
    <cacheField name="Month" numFmtId="0">
      <sharedItems count="12">
        <s v="JAN"/>
        <s v="FEB"/>
        <s v="MAR"/>
        <s v="APR"/>
        <s v="MAY"/>
        <s v="JUN"/>
        <s v="JUL"/>
        <s v="AUG"/>
        <s v="SEP"/>
        <s v="OCT"/>
        <s v="NOV"/>
        <s v="DEC"/>
      </sharedItems>
    </cacheField>
    <cacheField name="Management" numFmtId="0">
      <sharedItems containsSemiMixedTypes="0" containsString="0" containsNumber="1" containsInteger="1" minValue="20125" maxValue="194600"/>
    </cacheField>
    <cacheField name="Administrative Staff" numFmtId="0">
      <sharedItems containsSemiMixedTypes="0" containsString="0" containsNumber="1" containsInteger="1" minValue="14850" maxValue="135400"/>
    </cacheField>
    <cacheField name="Sales Department" numFmtId="0">
      <sharedItems containsSemiMixedTypes="0" containsString="0" containsNumber="1" containsInteger="1" minValue="11285" maxValue="145700"/>
    </cacheField>
    <cacheField name="Production Department" numFmtId="0">
      <sharedItems containsSemiMixedTypes="0" containsString="0" containsNumber="1" containsInteger="1" minValue="20270" maxValue="89950"/>
    </cacheField>
    <cacheField name="Logistics Department" numFmtId="0">
      <sharedItems containsSemiMixedTypes="0" containsString="0" containsNumber="1" containsInteger="1" minValue="20710" maxValue="68700"/>
    </cacheField>
    <cacheField name="Basic" numFmtId="9">
      <sharedItems containsSemiMixedTypes="0" containsString="0" containsNumber="1" minValue="0.35" maxValue="0.4"/>
    </cacheField>
    <cacheField name="Bonuses" numFmtId="9">
      <sharedItems containsSemiMixedTypes="0" containsString="0" containsNumber="1" minValue="0.4" maxValue="0.55000000000000004"/>
    </cacheField>
    <cacheField name="Payroll Taxes" numFmtId="9">
      <sharedItems containsSemiMixedTypes="0" containsString="0" containsNumber="1" minValue="5.9999999999999942E-2" maxValue="0.24"/>
    </cacheField>
    <cacheField name="Payroll" numFmtId="0">
      <sharedItems containsSemiMixedTypes="0" containsString="0" containsNumber="1" containsInteger="1" minValue="23200" maxValue="145000"/>
    </cacheField>
    <cacheField name="Annual Payroll Plan" numFmtId="0">
      <sharedItems containsSemiMixedTypes="0" containsString="0" containsNumber="1" containsInteger="1" minValue="51000" maxValue="100000"/>
    </cacheField>
    <cacheField name="Standard Hours" numFmtId="9">
      <sharedItems containsSemiMixedTypes="0" containsString="0" containsNumber="1" minValue="0.16" maxValue="0.75"/>
    </cacheField>
    <cacheField name="Actual Hours" numFmtId="9">
      <sharedItems containsSemiMixedTypes="0" containsString="0" containsNumber="1" minValue="0.2" maxValue="0.75"/>
    </cacheField>
    <cacheField name="Head Office" numFmtId="9">
      <sharedItems containsSemiMixedTypes="0" containsString="0" containsNumber="1" minValue="0.25" maxValue="0.35"/>
    </cacheField>
    <cacheField name="Regional Offices" numFmtId="9">
      <sharedItems containsSemiMixedTypes="0" containsString="0" containsNumber="1" minValue="0.2" maxValue="0.3"/>
    </cacheField>
    <cacheField name="Regional Branches" numFmtId="9">
      <sharedItems containsSemiMixedTypes="0" containsString="0" containsNumber="1" minValue="0.11" maxValue="0.2"/>
    </cacheField>
    <cacheField name="Remote Employees" numFmtId="9">
      <sharedItems containsSemiMixedTypes="0" containsString="0" containsNumber="1" minValue="0.05" maxValue="0.15"/>
    </cacheField>
    <cacheField name="Outsourcing" numFmtId="9">
      <sharedItems containsSemiMixedTypes="0" containsString="0" containsNumber="1" minValue="5.9999999999999942E-2" maxValue="0.36"/>
    </cacheField>
    <cacheField name="A" numFmtId="9">
      <sharedItems containsSemiMixedTypes="0" containsString="0" containsNumber="1" minValue="0.35" maxValue="1.35"/>
    </cacheField>
    <cacheField name="B" numFmtId="9">
      <sharedItems containsSemiMixedTypes="0" containsString="0" containsNumber="1" minValue="0.35" maxValue="1.31"/>
    </cacheField>
    <cacheField name="C" numFmtId="9">
      <sharedItems containsSemiMixedTypes="0" containsString="0" containsNumber="1" minValue="0.35" maxValue="1.34"/>
    </cacheField>
    <cacheField name="D" numFmtId="9">
      <sharedItems containsSemiMixedTypes="0" containsString="0" containsNumber="1" minValue="0.36" maxValue="1.35"/>
    </cacheField>
    <cacheField name="E" numFmtId="9">
      <sharedItems containsSemiMixedTypes="0" containsString="0" containsNumber="1" minValue="0.36" maxValue="1.3"/>
    </cacheField>
    <cacheField name="A2" numFmtId="9">
      <sharedItems containsSemiMixedTypes="0" containsString="0" containsNumber="1" minValue="0.25" maxValue="0.75"/>
    </cacheField>
    <cacheField name="B2" numFmtId="9">
      <sharedItems containsSemiMixedTypes="0" containsString="0" containsNumber="1" minValue="0.27" maxValue="0.73"/>
    </cacheField>
    <cacheField name="C2" numFmtId="9">
      <sharedItems containsSemiMixedTypes="0" containsString="0" containsNumber="1" minValue="0.25" maxValue="0.74"/>
    </cacheField>
    <cacheField name="D2" numFmtId="9">
      <sharedItems containsSemiMixedTypes="0" containsString="0" containsNumber="1" minValue="0.25" maxValue="0.75"/>
    </cacheField>
    <cacheField name="E2" numFmtId="9">
      <sharedItems containsSemiMixedTypes="0" containsString="0" containsNumber="1" minValue="0.26" maxValue="0.75"/>
    </cacheField>
    <cacheField name="SU" numFmtId="0">
      <sharedItems containsSemiMixedTypes="0" containsString="0" containsNumber="1" containsInteger="1" minValue="21" maxValue="123513"/>
    </cacheField>
    <cacheField name="MO" numFmtId="0">
      <sharedItems containsSemiMixedTypes="0" containsString="0" containsNumber="1" containsInteger="1" minValue="1787" maxValue="138033"/>
    </cacheField>
    <cacheField name="TU" numFmtId="0">
      <sharedItems containsSemiMixedTypes="0" containsString="0" containsNumber="1" containsInteger="1" minValue="695" maxValue="118263"/>
    </cacheField>
    <cacheField name="WE" numFmtId="0">
      <sharedItems containsSemiMixedTypes="0" containsString="0" containsNumber="1" containsInteger="1" minValue="667" maxValue="122369"/>
    </cacheField>
    <cacheField name="TH" numFmtId="0">
      <sharedItems containsSemiMixedTypes="0" containsString="0" containsNumber="1" containsInteger="1" minValue="1397" maxValue="113601"/>
    </cacheField>
    <cacheField name="FR" numFmtId="0">
      <sharedItems containsSemiMixedTypes="0" containsString="0" containsNumber="1" containsInteger="1" minValue="6186" maxValue="123177"/>
    </cacheField>
    <cacheField name="SA" numFmtId="0">
      <sharedItems containsSemiMixedTypes="0" containsString="0" containsNumber="1" containsInteger="1" minValue="34285" maxValue="71429"/>
    </cacheField>
    <cacheField name="SU2" numFmtId="0">
      <sharedItems containsSemiMixedTypes="0" containsString="0" containsNumber="1" containsInteger="1" minValue="1758" maxValue="174450"/>
    </cacheField>
    <cacheField name="MO2" numFmtId="0">
      <sharedItems containsSemiMixedTypes="0" containsString="0" containsNumber="1" containsInteger="1" minValue="2750" maxValue="199342"/>
    </cacheField>
    <cacheField name="TU2" numFmtId="0">
      <sharedItems containsSemiMixedTypes="0" containsString="0" containsNumber="1" containsInteger="1" minValue="669" maxValue="154993"/>
    </cacheField>
    <cacheField name="WE2" numFmtId="0">
      <sharedItems containsSemiMixedTypes="0" containsString="0" containsNumber="1" containsInteger="1" minValue="184" maxValue="157462"/>
    </cacheField>
    <cacheField name="TH2" numFmtId="0">
      <sharedItems containsSemiMixedTypes="0" containsString="0" containsNumber="1" containsInteger="1" minValue="4345" maxValue="201287"/>
    </cacheField>
    <cacheField name="FR2" numFmtId="0">
      <sharedItems containsSemiMixedTypes="0" containsString="0" containsNumber="1" containsInteger="1" minValue="494" maxValue="155172"/>
    </cacheField>
    <cacheField name="SA2" numFmtId="0">
      <sharedItems containsSemiMixedTypes="0" containsString="0" containsNumber="1" containsInteger="1" minValue="30515" maxValue="82950"/>
    </cacheField>
    <cacheField name="Employee1" numFmtId="0">
      <sharedItems containsSemiMixedTypes="0" containsString="0" containsNumber="1" containsInteger="1" minValue="2800" maxValue="9700"/>
    </cacheField>
    <cacheField name="Employee2" numFmtId="0">
      <sharedItems containsSemiMixedTypes="0" containsString="0" containsNumber="1" containsInteger="1" minValue="2500" maxValue="7300"/>
    </cacheField>
    <cacheField name="Employee3" numFmtId="0">
      <sharedItems containsSemiMixedTypes="0" containsString="0" containsNumber="1" containsInteger="1" minValue="2300" maxValue="7100"/>
    </cacheField>
    <cacheField name="Employee4" numFmtId="0">
      <sharedItems containsSemiMixedTypes="0" containsString="0" containsNumber="1" containsInteger="1" minValue="2400" maxValue="8300"/>
    </cacheField>
    <cacheField name="Employee5" numFmtId="0">
      <sharedItems containsSemiMixedTypes="0" containsString="0" containsNumber="1" containsInteger="1" minValue="2700" maxValue="7600"/>
    </cacheField>
    <cacheField name="Employee1BS" numFmtId="0">
      <sharedItems containsSemiMixedTypes="0" containsString="0" containsNumber="1" containsInteger="1" minValue="2400" maxValue="7800"/>
    </cacheField>
    <cacheField name="Employee2BS" numFmtId="0">
      <sharedItems containsSemiMixedTypes="0" containsString="0" containsNumber="1" containsInteger="1" minValue="2300" maxValue="7300"/>
    </cacheField>
    <cacheField name="Employee3BS" numFmtId="0">
      <sharedItems containsSemiMixedTypes="0" containsString="0" containsNumber="1" containsInteger="1" minValue="2400" maxValue="8200"/>
    </cacheField>
    <cacheField name="Employee4BS" numFmtId="0">
      <sharedItems containsSemiMixedTypes="0" containsString="0" containsNumber="1" containsInteger="1" minValue="2200" maxValue="7900"/>
    </cacheField>
    <cacheField name="Employee5BS" numFmtId="0">
      <sharedItems containsSemiMixedTypes="0" containsString="0" containsNumber="1" containsInteger="1" minValue="2500" maxValue="7000"/>
    </cacheField>
    <cacheField name="Forecast" numFmtId="0">
      <sharedItems containsSemiMixedTypes="0" containsString="0" containsNumber="1" containsInteger="1" minValue="40000" maxValue="140000"/>
    </cacheField>
    <cacheField name="Actual" numFmtId="0">
      <sharedItems containsSemiMixedTypes="0" containsString="0" containsNumber="1" containsInteger="1" minValue="35000" maxValue="100000"/>
    </cacheField>
  </cacheFields>
  <extLst>
    <ext xmlns:x14="http://schemas.microsoft.com/office/spreadsheetml/2009/9/main" uri="{725AE2AE-9491-48be-B2B4-4EB974FC3084}">
      <x14:pivotCacheDefinition pivotCacheId="1864308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28340"/>
    <n v="18130"/>
    <n v="20185"/>
    <n v="20270"/>
    <n v="20710"/>
    <n v="0.4"/>
    <n v="0.41"/>
    <n v="0.18999999999999995"/>
    <n v="53818"/>
    <n v="60000"/>
    <n v="0.33"/>
    <n v="0.71"/>
    <n v="0.26"/>
    <n v="0.23"/>
    <n v="0.12"/>
    <n v="0.11"/>
    <n v="0.28000000000000003"/>
    <n v="1.08"/>
    <n v="0.47"/>
    <n v="1.34"/>
    <n v="0.47"/>
    <n v="0.5"/>
    <n v="0.46"/>
    <n v="0.39"/>
    <n v="0.59"/>
    <n v="0.48"/>
    <n v="0.7"/>
    <n v="59867"/>
    <n v="29705"/>
    <n v="695"/>
    <n v="88522"/>
    <n v="10928"/>
    <n v="15996"/>
    <n v="34287"/>
    <n v="33107"/>
    <n v="10047"/>
    <n v="37625"/>
    <n v="42413"/>
    <n v="37885"/>
    <n v="27649"/>
    <n v="31454"/>
    <n v="5200"/>
    <n v="3100"/>
    <n v="6300"/>
    <n v="6000"/>
    <n v="6600"/>
    <n v="7300"/>
    <n v="4300"/>
    <n v="4500"/>
    <n v="4100"/>
    <n v="4100"/>
    <n v="50000"/>
    <n v="40000"/>
  </r>
  <r>
    <x v="0"/>
    <x v="1"/>
    <n v="33090"/>
    <n v="19480"/>
    <n v="23855"/>
    <n v="43990"/>
    <n v="33180"/>
    <n v="0.37"/>
    <n v="0.43"/>
    <n v="0.19999999999999996"/>
    <n v="76798"/>
    <n v="60000"/>
    <n v="0.17"/>
    <n v="0.5"/>
    <n v="0.34"/>
    <n v="0.23"/>
    <n v="0.12"/>
    <n v="0.12"/>
    <n v="0.18999999999999995"/>
    <n v="0.91"/>
    <n v="0.54"/>
    <n v="1.32"/>
    <n v="0.52"/>
    <n v="1.1299999999999999"/>
    <n v="0.48"/>
    <n v="0.56000000000000005"/>
    <n v="0.56999999999999995"/>
    <n v="0.38"/>
    <n v="0.64"/>
    <n v="10456"/>
    <n v="27396"/>
    <n v="49816"/>
    <n v="34348"/>
    <n v="38205"/>
    <n v="45492"/>
    <n v="34287"/>
    <n v="42731"/>
    <n v="41459"/>
    <n v="21075"/>
    <n v="31812"/>
    <n v="21932"/>
    <n v="38151"/>
    <n v="32860"/>
    <n v="9300"/>
    <n v="2900"/>
    <n v="3800"/>
    <n v="4800"/>
    <n v="6100"/>
    <n v="3600"/>
    <n v="5700"/>
    <n v="5400"/>
    <n v="3300"/>
    <n v="3700"/>
    <n v="40000"/>
    <n v="50000"/>
  </r>
  <r>
    <x v="0"/>
    <x v="2"/>
    <n v="31685"/>
    <n v="33955"/>
    <n v="27270"/>
    <n v="34630"/>
    <n v="29220"/>
    <n v="0.35"/>
    <n v="0.48"/>
    <n v="0.17000000000000004"/>
    <n v="78380"/>
    <n v="60000"/>
    <n v="0.64"/>
    <n v="0.64"/>
    <n v="0.28000000000000003"/>
    <n v="0.21"/>
    <n v="0.16"/>
    <n v="0.11"/>
    <n v="0.24"/>
    <n v="0.91"/>
    <n v="0.35"/>
    <n v="1.21"/>
    <n v="0.98"/>
    <n v="0.81"/>
    <n v="0.56999999999999995"/>
    <n v="0.45"/>
    <n v="0.61"/>
    <n v="0.38"/>
    <n v="0.26"/>
    <n v="24662"/>
    <n v="37454"/>
    <n v="37903"/>
    <n v="47190"/>
    <n v="44974"/>
    <n v="13532"/>
    <n v="34285"/>
    <n v="53313"/>
    <n v="4272"/>
    <n v="27492"/>
    <n v="43898"/>
    <n v="38795"/>
    <n v="42932"/>
    <n v="35118"/>
    <n v="7000"/>
    <n v="3000"/>
    <n v="7000"/>
    <n v="8300"/>
    <n v="2800"/>
    <n v="3100"/>
    <n v="5500"/>
    <n v="4400"/>
    <n v="3500"/>
    <n v="5200"/>
    <n v="50000"/>
    <n v="35000"/>
  </r>
  <r>
    <x v="0"/>
    <x v="3"/>
    <n v="36840"/>
    <n v="23340"/>
    <n v="36425"/>
    <n v="33470"/>
    <n v="30730"/>
    <n v="0.36"/>
    <n v="0.45"/>
    <n v="0.18999999999999995"/>
    <n v="80403"/>
    <n v="60000"/>
    <n v="0.4"/>
    <n v="0.24"/>
    <n v="0.31"/>
    <n v="0.3"/>
    <n v="0.12"/>
    <n v="7.0000000000000007E-2"/>
    <n v="0.19999999999999996"/>
    <n v="1.24"/>
    <n v="1.06"/>
    <n v="1.08"/>
    <n v="0.91"/>
    <n v="1.07"/>
    <n v="0.26"/>
    <n v="0.31"/>
    <n v="0.56000000000000005"/>
    <n v="0.7"/>
    <n v="0.3"/>
    <n v="28363"/>
    <n v="32559"/>
    <n v="2859"/>
    <n v="44682"/>
    <n v="89111"/>
    <n v="8141"/>
    <n v="34285"/>
    <n v="19542"/>
    <n v="42659"/>
    <n v="40003"/>
    <n v="20115"/>
    <n v="40007"/>
    <n v="40200"/>
    <n v="33754"/>
    <n v="6700"/>
    <n v="5700"/>
    <n v="4500"/>
    <n v="5000"/>
    <n v="2700"/>
    <n v="5900"/>
    <n v="6100"/>
    <n v="5500"/>
    <n v="3500"/>
    <n v="6100"/>
    <n v="45000"/>
    <n v="55000"/>
  </r>
  <r>
    <x v="0"/>
    <x v="4"/>
    <n v="64590"/>
    <n v="41860"/>
    <n v="49940"/>
    <n v="34330"/>
    <n v="29460"/>
    <n v="0.36"/>
    <n v="0.4"/>
    <n v="0.24"/>
    <n v="110090"/>
    <n v="60000"/>
    <n v="0.2"/>
    <n v="0.25"/>
    <n v="0.31"/>
    <n v="0.22"/>
    <n v="0.13"/>
    <n v="0.14000000000000001"/>
    <n v="0.19999999999999996"/>
    <n v="0.94"/>
    <n v="0.99"/>
    <n v="0.77"/>
    <n v="1.02"/>
    <n v="0.76"/>
    <n v="0.3"/>
    <n v="0.59"/>
    <n v="0.31"/>
    <n v="0.73"/>
    <n v="0.55000000000000004"/>
    <n v="6097"/>
    <n v="46394"/>
    <n v="56704"/>
    <n v="18425"/>
    <n v="17854"/>
    <n v="60241"/>
    <n v="34285"/>
    <n v="48037"/>
    <n v="41586"/>
    <n v="31950"/>
    <n v="44847"/>
    <n v="8193"/>
    <n v="43737"/>
    <n v="36390"/>
    <n v="8900"/>
    <n v="3400"/>
    <n v="2900"/>
    <n v="4000"/>
    <n v="4500"/>
    <n v="3500"/>
    <n v="5400"/>
    <n v="4200"/>
    <n v="2900"/>
    <n v="6600"/>
    <n v="70000"/>
    <n v="60000"/>
  </r>
  <r>
    <x v="0"/>
    <x v="5"/>
    <n v="76530"/>
    <n v="54200"/>
    <n v="45950"/>
    <n v="42900"/>
    <n v="34960"/>
    <n v="0.38"/>
    <n v="0.5"/>
    <n v="0.12"/>
    <n v="127270"/>
    <n v="60000"/>
    <n v="0.44"/>
    <n v="0.69"/>
    <n v="0.35"/>
    <n v="0.21"/>
    <n v="0.16"/>
    <n v="0.08"/>
    <n v="0.20000000000000007"/>
    <n v="1.1000000000000001"/>
    <n v="1.25"/>
    <n v="0.85"/>
    <n v="1.31"/>
    <n v="0.94"/>
    <n v="0.59"/>
    <n v="0.56000000000000005"/>
    <n v="0.7"/>
    <n v="0.73"/>
    <n v="0.39"/>
    <n v="23965"/>
    <n v="47071"/>
    <n v="30345"/>
    <n v="36671"/>
    <n v="54945"/>
    <n v="12717"/>
    <n v="34286"/>
    <n v="31971"/>
    <n v="45318"/>
    <n v="39555"/>
    <n v="45223"/>
    <n v="16585"/>
    <n v="43065"/>
    <n v="36953"/>
    <n v="6200"/>
    <n v="3200"/>
    <n v="4200"/>
    <n v="3100"/>
    <n v="4900"/>
    <n v="4000"/>
    <n v="4600"/>
    <n v="5500"/>
    <n v="5200"/>
    <n v="3800"/>
    <n v="60000"/>
    <n v="80000"/>
  </r>
  <r>
    <x v="0"/>
    <x v="6"/>
    <n v="84020"/>
    <n v="53040"/>
    <n v="54240"/>
    <n v="32710"/>
    <n v="30170"/>
    <n v="0.37"/>
    <n v="0.48"/>
    <n v="0.15000000000000002"/>
    <n v="127090"/>
    <n v="60000"/>
    <n v="0.24"/>
    <n v="0.41"/>
    <n v="0.31"/>
    <n v="0.2"/>
    <n v="0.16"/>
    <n v="0.11"/>
    <n v="0.21999999999999997"/>
    <n v="0.37"/>
    <n v="0.46"/>
    <n v="0.68"/>
    <n v="1.24"/>
    <n v="0.88"/>
    <n v="0.52"/>
    <n v="0.61"/>
    <n v="0.34"/>
    <n v="0.48"/>
    <n v="0.33"/>
    <n v="33952"/>
    <n v="59758"/>
    <n v="23186"/>
    <n v="5088"/>
    <n v="15481"/>
    <n v="68250"/>
    <n v="34285"/>
    <n v="73225"/>
    <n v="82752"/>
    <n v="6957"/>
    <n v="11539"/>
    <n v="18644"/>
    <n v="7222"/>
    <n v="33391"/>
    <n v="4900"/>
    <n v="4800"/>
    <n v="2300"/>
    <n v="2700"/>
    <n v="4700"/>
    <n v="4100"/>
    <n v="3400"/>
    <n v="4700"/>
    <n v="4800"/>
    <n v="2500"/>
    <n v="80000"/>
    <n v="95000"/>
  </r>
  <r>
    <x v="0"/>
    <x v="7"/>
    <n v="84170"/>
    <n v="49190"/>
    <n v="50140"/>
    <n v="41480"/>
    <n v="28310"/>
    <n v="0.37"/>
    <n v="0.44"/>
    <n v="0.18999999999999995"/>
    <n v="126645"/>
    <n v="60000"/>
    <n v="0.75"/>
    <n v="0.6"/>
    <n v="0.34"/>
    <n v="0.26"/>
    <n v="0.17"/>
    <n v="0.12"/>
    <n v="0.10999999999999988"/>
    <n v="0.53"/>
    <n v="1.05"/>
    <n v="0.59"/>
    <n v="0.44"/>
    <n v="0.64"/>
    <n v="0.51"/>
    <n v="0.28999999999999998"/>
    <n v="0.3"/>
    <n v="0.41"/>
    <n v="0.32"/>
    <n v="44592"/>
    <n v="48774"/>
    <n v="27775"/>
    <n v="25626"/>
    <n v="32862"/>
    <n v="26085"/>
    <n v="34286"/>
    <n v="56058"/>
    <n v="49917"/>
    <n v="48765"/>
    <n v="42341"/>
    <n v="4345"/>
    <n v="13391"/>
    <n v="35803"/>
    <n v="7900"/>
    <n v="5400"/>
    <n v="5800"/>
    <n v="4800"/>
    <n v="3300"/>
    <n v="4300"/>
    <n v="5100"/>
    <n v="3000"/>
    <n v="2200"/>
    <n v="7000"/>
    <n v="70000"/>
    <n v="90000"/>
  </r>
  <r>
    <x v="0"/>
    <x v="8"/>
    <n v="78630"/>
    <n v="41370"/>
    <n v="53770"/>
    <n v="37090"/>
    <n v="31990"/>
    <n v="0.37"/>
    <n v="0.44"/>
    <n v="0.18999999999999995"/>
    <n v="121425"/>
    <n v="60000"/>
    <n v="0.73"/>
    <n v="0.5"/>
    <n v="0.33"/>
    <n v="0.21"/>
    <n v="0.17"/>
    <n v="0.11"/>
    <n v="0.17999999999999994"/>
    <n v="0.74"/>
    <n v="0.45"/>
    <n v="1.24"/>
    <n v="0.38"/>
    <n v="1.06"/>
    <n v="0.72"/>
    <n v="0.42"/>
    <n v="0.38"/>
    <n v="0.74"/>
    <n v="0.49"/>
    <n v="41608"/>
    <n v="38687"/>
    <n v="32685"/>
    <n v="40758"/>
    <n v="15259"/>
    <n v="36718"/>
    <n v="34285"/>
    <n v="17916"/>
    <n v="14439"/>
    <n v="6383"/>
    <n v="47775"/>
    <n v="68781"/>
    <n v="62626"/>
    <n v="36320"/>
    <n v="6900"/>
    <n v="5400"/>
    <n v="3400"/>
    <n v="4800"/>
    <n v="4500"/>
    <n v="4200"/>
    <n v="5400"/>
    <n v="6000"/>
    <n v="5200"/>
    <n v="5600"/>
    <n v="80000"/>
    <n v="70000"/>
  </r>
  <r>
    <x v="0"/>
    <x v="9"/>
    <n v="60760"/>
    <n v="50950"/>
    <n v="53140"/>
    <n v="38170"/>
    <n v="34660"/>
    <n v="0.39"/>
    <n v="0.54"/>
    <n v="6.9999999999999951E-2"/>
    <n v="118840"/>
    <n v="60000"/>
    <n v="0.72"/>
    <n v="0.47"/>
    <n v="0.28000000000000003"/>
    <n v="0.21"/>
    <n v="0.13"/>
    <n v="0.05"/>
    <n v="0.32999999999999996"/>
    <n v="0.62"/>
    <n v="0.87"/>
    <n v="1.18"/>
    <n v="0.38"/>
    <n v="0.36"/>
    <n v="0.35"/>
    <n v="0.45"/>
    <n v="0.63"/>
    <n v="0.61"/>
    <n v="0.53"/>
    <n v="55756"/>
    <n v="73802"/>
    <n v="10991"/>
    <n v="7018"/>
    <n v="46491"/>
    <n v="11657"/>
    <n v="34285"/>
    <n v="30546"/>
    <n v="14673"/>
    <n v="18630"/>
    <n v="49112"/>
    <n v="49019"/>
    <n v="29146"/>
    <n v="31854"/>
    <n v="9700"/>
    <n v="2900"/>
    <n v="4600"/>
    <n v="5300"/>
    <n v="6000"/>
    <n v="3500"/>
    <n v="6500"/>
    <n v="2400"/>
    <n v="5900"/>
    <n v="3000"/>
    <n v="100000"/>
    <n v="80000"/>
  </r>
  <r>
    <x v="0"/>
    <x v="10"/>
    <n v="44165"/>
    <n v="37275"/>
    <n v="37120"/>
    <n v="44480"/>
    <n v="34330"/>
    <n v="0.38"/>
    <n v="0.45"/>
    <n v="0.16999999999999993"/>
    <n v="98685"/>
    <n v="60000"/>
    <n v="0.73"/>
    <n v="0.75"/>
    <n v="0.25"/>
    <n v="0.22"/>
    <n v="0.15"/>
    <n v="7.0000000000000007E-2"/>
    <n v="0.31000000000000005"/>
    <n v="0.63"/>
    <n v="0.97"/>
    <n v="0.82"/>
    <n v="1.07"/>
    <n v="0.72"/>
    <n v="0.61"/>
    <n v="0.4"/>
    <n v="0.68"/>
    <n v="0.39"/>
    <n v="0.63"/>
    <n v="41610"/>
    <n v="2642"/>
    <n v="48284"/>
    <n v="17938"/>
    <n v="48687"/>
    <n v="46554"/>
    <n v="34285"/>
    <n v="58809"/>
    <n v="44756"/>
    <n v="6109"/>
    <n v="24468"/>
    <n v="33398"/>
    <n v="49565"/>
    <n v="36185"/>
    <n v="5400"/>
    <n v="4700"/>
    <n v="3500"/>
    <n v="6000"/>
    <n v="4900"/>
    <n v="4800"/>
    <n v="2600"/>
    <n v="7500"/>
    <n v="4300"/>
    <n v="6200"/>
    <n v="95000"/>
    <n v="60000"/>
  </r>
  <r>
    <x v="0"/>
    <x v="11"/>
    <n v="21930"/>
    <n v="14850"/>
    <n v="11285"/>
    <n v="27630"/>
    <n v="22700"/>
    <n v="0.4"/>
    <n v="0.54"/>
    <n v="5.9999999999999942E-2"/>
    <n v="98395"/>
    <n v="60000"/>
    <n v="0.36"/>
    <n v="0.28000000000000003"/>
    <n v="0.3"/>
    <n v="0.24"/>
    <n v="0.15"/>
    <n v="0.15"/>
    <n v="0.15999999999999992"/>
    <n v="0.71"/>
    <n v="0.8"/>
    <n v="0.56999999999999995"/>
    <n v="0.39"/>
    <n v="0.61"/>
    <n v="0.72"/>
    <n v="0.57999999999999996"/>
    <n v="0.65"/>
    <n v="0.49"/>
    <n v="0.56999999999999995"/>
    <n v="45691"/>
    <n v="60215"/>
    <n v="19839"/>
    <n v="13621"/>
    <n v="59767"/>
    <n v="6581"/>
    <n v="34286"/>
    <n v="42222"/>
    <n v="4090"/>
    <n v="39033"/>
    <n v="58269"/>
    <n v="68482"/>
    <n v="58702"/>
    <n v="45132"/>
    <n v="8700"/>
    <n v="3600"/>
    <n v="4700"/>
    <n v="6500"/>
    <n v="4500"/>
    <n v="4900"/>
    <n v="4700"/>
    <n v="6700"/>
    <n v="3600"/>
    <n v="3200"/>
    <n v="80000"/>
    <n v="50000"/>
  </r>
  <r>
    <x v="1"/>
    <x v="0"/>
    <n v="84200"/>
    <n v="40800"/>
    <n v="39350"/>
    <n v="36450"/>
    <n v="34950"/>
    <n v="0.4"/>
    <n v="0.54"/>
    <n v="5.9999999999999942E-2"/>
    <n v="41400"/>
    <n v="51000"/>
    <n v="0.6"/>
    <n v="0.75"/>
    <n v="0.25"/>
    <n v="0.23"/>
    <n v="0.11"/>
    <n v="0.05"/>
    <n v="0.36"/>
    <n v="0.35"/>
    <n v="1.1499999999999999"/>
    <n v="1.33"/>
    <n v="0.95"/>
    <n v="0.46"/>
    <n v="0.51"/>
    <n v="0.55000000000000004"/>
    <n v="0.28000000000000003"/>
    <n v="0.28999999999999998"/>
    <n v="0.46"/>
    <n v="81834"/>
    <n v="46341"/>
    <n v="27595"/>
    <n v="41420"/>
    <n v="2838"/>
    <n v="18543"/>
    <n v="36429"/>
    <n v="3805"/>
    <n v="29822"/>
    <n v="34730"/>
    <n v="31455"/>
    <n v="69701"/>
    <n v="32558"/>
    <n v="33679"/>
    <n v="5600"/>
    <n v="4500"/>
    <n v="3900"/>
    <n v="4100"/>
    <n v="6700"/>
    <n v="3300"/>
    <n v="3000"/>
    <n v="3100"/>
    <n v="3900"/>
    <n v="4800"/>
    <n v="62000"/>
    <n v="95000"/>
  </r>
  <r>
    <x v="1"/>
    <x v="1"/>
    <n v="87050"/>
    <n v="48050"/>
    <n v="42200"/>
    <n v="36950"/>
    <n v="32150"/>
    <n v="0.39"/>
    <n v="0.55000000000000004"/>
    <n v="5.9999999999999942E-2"/>
    <n v="54100"/>
    <n v="51000"/>
    <n v="0.18"/>
    <n v="0.72"/>
    <n v="0.31"/>
    <n v="0.3"/>
    <n v="0.13"/>
    <n v="0.05"/>
    <n v="0.20999999999999996"/>
    <n v="1.19"/>
    <n v="1.05"/>
    <n v="0.44"/>
    <n v="0.85"/>
    <n v="0.79"/>
    <n v="0.42"/>
    <n v="0.63"/>
    <n v="0.67"/>
    <n v="0.62"/>
    <n v="0.68"/>
    <n v="6373"/>
    <n v="4854"/>
    <n v="14992"/>
    <n v="42439"/>
    <n v="65703"/>
    <n v="84210"/>
    <n v="36429"/>
    <n v="1758"/>
    <n v="83659"/>
    <n v="5282"/>
    <n v="61073"/>
    <n v="27287"/>
    <n v="45555"/>
    <n v="37436"/>
    <n v="7200"/>
    <n v="3200"/>
    <n v="5000"/>
    <n v="2900"/>
    <n v="4200"/>
    <n v="4600"/>
    <n v="6400"/>
    <n v="5800"/>
    <n v="4800"/>
    <n v="4600"/>
    <n v="75000"/>
    <n v="80000"/>
  </r>
  <r>
    <x v="1"/>
    <x v="2"/>
    <n v="38325"/>
    <n v="27375"/>
    <n v="19375"/>
    <n v="35350"/>
    <n v="33400"/>
    <n v="0.37"/>
    <n v="0.54"/>
    <n v="8.9999999999999969E-2"/>
    <n v="56200"/>
    <n v="51000"/>
    <n v="0.47"/>
    <n v="0.75"/>
    <n v="0.27"/>
    <n v="0.3"/>
    <n v="0.12"/>
    <n v="0.06"/>
    <n v="0.25"/>
    <n v="0.89"/>
    <n v="0.65"/>
    <n v="0.4"/>
    <n v="0.49"/>
    <n v="0.57999999999999996"/>
    <n v="0.28000000000000003"/>
    <n v="0.63"/>
    <n v="0.47"/>
    <n v="0.56000000000000005"/>
    <n v="0.73"/>
    <n v="1817"/>
    <n v="45859"/>
    <n v="25110"/>
    <n v="64908"/>
    <n v="46144"/>
    <n v="34733"/>
    <n v="36429"/>
    <n v="31967"/>
    <n v="56170"/>
    <n v="8135"/>
    <n v="59017"/>
    <n v="29476"/>
    <n v="19963"/>
    <n v="34122"/>
    <n v="5600"/>
    <n v="6600"/>
    <n v="5800"/>
    <n v="3800"/>
    <n v="4500"/>
    <n v="3400"/>
    <n v="3500"/>
    <n v="3400"/>
    <n v="6600"/>
    <n v="3700"/>
    <n v="88000"/>
    <n v="70000"/>
  </r>
  <r>
    <x v="1"/>
    <x v="3"/>
    <n v="20125"/>
    <n v="20775"/>
    <n v="21100"/>
    <n v="28000"/>
    <n v="21400"/>
    <n v="0.35"/>
    <n v="0.41"/>
    <n v="0.24"/>
    <n v="48800"/>
    <n v="51000"/>
    <n v="0.68"/>
    <n v="0.69"/>
    <n v="0.28000000000000003"/>
    <n v="0.24"/>
    <n v="0.14000000000000001"/>
    <n v="0.14000000000000001"/>
    <n v="0.19999999999999996"/>
    <n v="0.44"/>
    <n v="0.38"/>
    <n v="0.35"/>
    <n v="0.67"/>
    <n v="0.46"/>
    <n v="0.6"/>
    <n v="0.64"/>
    <n v="0.68"/>
    <n v="0.44"/>
    <n v="0.51"/>
    <n v="36007"/>
    <n v="27171"/>
    <n v="21469"/>
    <n v="59608"/>
    <n v="22177"/>
    <n v="52139"/>
    <n v="36429"/>
    <n v="78666"/>
    <n v="6195"/>
    <n v="27356"/>
    <n v="30512"/>
    <n v="57968"/>
    <n v="1075"/>
    <n v="33628"/>
    <n v="5500"/>
    <n v="3700"/>
    <n v="3300"/>
    <n v="4000"/>
    <n v="7600"/>
    <n v="6500"/>
    <n v="5000"/>
    <n v="5800"/>
    <n v="3400"/>
    <n v="3200"/>
    <n v="102000"/>
    <n v="65000"/>
  </r>
  <r>
    <x v="1"/>
    <x v="4"/>
    <n v="98450"/>
    <n v="57350"/>
    <n v="55350"/>
    <n v="30450"/>
    <n v="34950"/>
    <n v="0.37"/>
    <n v="0.4"/>
    <n v="0.22999999999999998"/>
    <n v="31400"/>
    <n v="51000"/>
    <n v="0.16"/>
    <n v="0.37"/>
    <n v="0.35"/>
    <n v="0.3"/>
    <n v="0.16"/>
    <n v="0.09"/>
    <n v="0.10000000000000009"/>
    <n v="0.8"/>
    <n v="0.57999999999999996"/>
    <n v="0.55000000000000004"/>
    <n v="0.8"/>
    <n v="0.86"/>
    <n v="0.52"/>
    <n v="0.53"/>
    <n v="0.25"/>
    <n v="0.41"/>
    <n v="0.27"/>
    <n v="51759"/>
    <n v="45223"/>
    <n v="21923"/>
    <n v="41807"/>
    <n v="1397"/>
    <n v="56463"/>
    <n v="36428"/>
    <n v="73029"/>
    <n v="6135"/>
    <n v="669"/>
    <n v="14237"/>
    <n v="8003"/>
    <n v="109127"/>
    <n v="35200"/>
    <n v="7300"/>
    <n v="6500"/>
    <n v="4600"/>
    <n v="3900"/>
    <n v="3200"/>
    <n v="3300"/>
    <n v="5300"/>
    <n v="3400"/>
    <n v="7900"/>
    <n v="5400"/>
    <n v="115000"/>
    <n v="55000"/>
  </r>
  <r>
    <x v="1"/>
    <x v="5"/>
    <n v="38800"/>
    <n v="37050"/>
    <n v="36475"/>
    <n v="34350"/>
    <n v="32950"/>
    <n v="0.35"/>
    <n v="0.54"/>
    <n v="0.10999999999999999"/>
    <n v="23200"/>
    <n v="51000"/>
    <n v="0.38"/>
    <n v="0.35"/>
    <n v="0.28000000000000003"/>
    <n v="0.21"/>
    <n v="0.11"/>
    <n v="0.11"/>
    <n v="0.29000000000000004"/>
    <n v="0.4"/>
    <n v="0.4"/>
    <n v="0.39"/>
    <n v="0.46"/>
    <n v="0.83"/>
    <n v="0.54"/>
    <n v="0.55000000000000004"/>
    <n v="0.39"/>
    <n v="0.57999999999999996"/>
    <n v="0.46"/>
    <n v="51331"/>
    <n v="52532"/>
    <n v="44586"/>
    <n v="11914"/>
    <n v="52023"/>
    <n v="6186"/>
    <n v="36428"/>
    <n v="13722"/>
    <n v="44927"/>
    <n v="46092"/>
    <n v="35494"/>
    <n v="60920"/>
    <n v="49473"/>
    <n v="41772"/>
    <n v="5000"/>
    <n v="5100"/>
    <n v="4000"/>
    <n v="4900"/>
    <n v="3500"/>
    <n v="4900"/>
    <n v="6200"/>
    <n v="7900"/>
    <n v="2400"/>
    <n v="3600"/>
    <n v="110000"/>
    <n v="60000"/>
  </r>
  <r>
    <x v="1"/>
    <x v="6"/>
    <n v="65850"/>
    <n v="72750"/>
    <n v="64900"/>
    <n v="37750"/>
    <n v="29900"/>
    <n v="0.39"/>
    <n v="0.49"/>
    <n v="0.12"/>
    <n v="34800"/>
    <n v="51000"/>
    <n v="0.33"/>
    <n v="0.31"/>
    <n v="0.28999999999999998"/>
    <n v="0.24"/>
    <n v="0.12"/>
    <n v="0.12"/>
    <n v="0.22999999999999998"/>
    <n v="0.85"/>
    <n v="0.66"/>
    <n v="1.34"/>
    <n v="0.36"/>
    <n v="0.78"/>
    <n v="0.53"/>
    <n v="0.73"/>
    <n v="0.44"/>
    <n v="0.55000000000000004"/>
    <n v="0.44"/>
    <n v="49646"/>
    <n v="30891"/>
    <n v="56260"/>
    <n v="48065"/>
    <n v="23201"/>
    <n v="10508"/>
    <n v="36429"/>
    <n v="23589"/>
    <n v="62477"/>
    <n v="70659"/>
    <n v="24604"/>
    <n v="5782"/>
    <n v="46588"/>
    <n v="38951"/>
    <n v="6500"/>
    <n v="4800"/>
    <n v="6100"/>
    <n v="4800"/>
    <n v="3500"/>
    <n v="3400"/>
    <n v="3000"/>
    <n v="5400"/>
    <n v="6700"/>
    <n v="6100"/>
    <n v="95000"/>
    <n v="75000"/>
  </r>
  <r>
    <x v="1"/>
    <x v="7"/>
    <n v="36450"/>
    <n v="24875"/>
    <n v="31275"/>
    <n v="41900"/>
    <n v="31600"/>
    <n v="0.35"/>
    <n v="0.49"/>
    <n v="0.16000000000000003"/>
    <n v="67500"/>
    <n v="51000"/>
    <n v="0.5"/>
    <n v="0.53"/>
    <n v="0.32"/>
    <n v="0.28000000000000003"/>
    <n v="0.14000000000000001"/>
    <n v="0.1"/>
    <n v="0.15999999999999992"/>
    <n v="1.04"/>
    <n v="0.51"/>
    <n v="1.23"/>
    <n v="1.07"/>
    <n v="1.08"/>
    <n v="0.42"/>
    <n v="0.35"/>
    <n v="0.48"/>
    <n v="0.64"/>
    <n v="0.44"/>
    <n v="51962"/>
    <n v="48810"/>
    <n v="46925"/>
    <n v="24132"/>
    <n v="17268"/>
    <n v="29474"/>
    <n v="36429"/>
    <n v="39031"/>
    <n v="8783"/>
    <n v="3381"/>
    <n v="40277"/>
    <n v="41504"/>
    <n v="50109"/>
    <n v="30515"/>
    <n v="5800"/>
    <n v="4200"/>
    <n v="5000"/>
    <n v="6800"/>
    <n v="6200"/>
    <n v="6900"/>
    <n v="6400"/>
    <n v="3100"/>
    <n v="3600"/>
    <n v="4300"/>
    <n v="85000"/>
    <n v="90000"/>
  </r>
  <r>
    <x v="1"/>
    <x v="8"/>
    <n v="78950"/>
    <n v="39250"/>
    <n v="56800"/>
    <n v="30900"/>
    <n v="28150"/>
    <n v="0.4"/>
    <n v="0.53"/>
    <n v="6.9999999999999951E-2"/>
    <n v="82000"/>
    <n v="51000"/>
    <n v="0.75"/>
    <n v="0.57999999999999996"/>
    <n v="0.33"/>
    <n v="0.23"/>
    <n v="0.15"/>
    <n v="0.1"/>
    <n v="0.18999999999999995"/>
    <n v="0.45"/>
    <n v="0.47"/>
    <n v="0.5"/>
    <n v="1.23"/>
    <n v="1.1100000000000001"/>
    <n v="0.67"/>
    <n v="0.68"/>
    <n v="0.49"/>
    <n v="0.75"/>
    <n v="0.38"/>
    <n v="78132"/>
    <n v="22140"/>
    <n v="13463"/>
    <n v="22015"/>
    <n v="54712"/>
    <n v="28109"/>
    <n v="36429"/>
    <n v="21220"/>
    <n v="53914"/>
    <n v="62840"/>
    <n v="21613"/>
    <n v="16404"/>
    <n v="55224"/>
    <n v="38535"/>
    <n v="6200"/>
    <n v="3900"/>
    <n v="4300"/>
    <n v="3900"/>
    <n v="4200"/>
    <n v="4100"/>
    <n v="5300"/>
    <n v="5000"/>
    <n v="3000"/>
    <n v="4800"/>
    <n v="70000"/>
    <n v="100000"/>
  </r>
  <r>
    <x v="1"/>
    <x v="9"/>
    <n v="30725"/>
    <n v="34325"/>
    <n v="34100"/>
    <n v="30950"/>
    <n v="28950"/>
    <n v="0.36"/>
    <n v="0.43"/>
    <n v="0.20999999999999996"/>
    <n v="70400"/>
    <n v="51000"/>
    <n v="0.73"/>
    <n v="0.37"/>
    <n v="0.3"/>
    <n v="0.24"/>
    <n v="0.17"/>
    <n v="0.14000000000000001"/>
    <n v="0.14999999999999991"/>
    <n v="1.18"/>
    <n v="0.6"/>
    <n v="1.28"/>
    <n v="0.88"/>
    <n v="0.37"/>
    <n v="0.39"/>
    <n v="0.41"/>
    <n v="0.74"/>
    <n v="0.66"/>
    <n v="0.26"/>
    <n v="50589"/>
    <n v="31175"/>
    <n v="2231"/>
    <n v="44476"/>
    <n v="53495"/>
    <n v="36605"/>
    <n v="36429"/>
    <n v="33235"/>
    <n v="48630"/>
    <n v="44239"/>
    <n v="3952"/>
    <n v="48904"/>
    <n v="42354"/>
    <n v="36886"/>
    <n v="5000"/>
    <n v="3600"/>
    <n v="5700"/>
    <n v="3300"/>
    <n v="4800"/>
    <n v="4500"/>
    <n v="3600"/>
    <n v="6200"/>
    <n v="6700"/>
    <n v="4400"/>
    <n v="65000"/>
    <n v="85000"/>
  </r>
  <r>
    <x v="1"/>
    <x v="10"/>
    <n v="75100"/>
    <n v="71100"/>
    <n v="45700"/>
    <n v="44900"/>
    <n v="29200"/>
    <n v="0.37"/>
    <n v="0.4"/>
    <n v="0.22999999999999998"/>
    <n v="54700"/>
    <n v="51000"/>
    <n v="0.39"/>
    <n v="0.62"/>
    <n v="0.28999999999999998"/>
    <n v="0.21"/>
    <n v="0.2"/>
    <n v="0.1"/>
    <n v="0.20000000000000007"/>
    <n v="0.84"/>
    <n v="1.26"/>
    <n v="1.29"/>
    <n v="0.62"/>
    <n v="0.96"/>
    <n v="0.42"/>
    <n v="0.46"/>
    <n v="0.28000000000000003"/>
    <n v="0.57999999999999996"/>
    <n v="0.43"/>
    <n v="61297"/>
    <n v="11417"/>
    <n v="78401"/>
    <n v="23263"/>
    <n v="29757"/>
    <n v="14437"/>
    <n v="36428"/>
    <n v="15712"/>
    <n v="2750"/>
    <n v="17909"/>
    <n v="31908"/>
    <n v="76740"/>
    <n v="82980"/>
    <n v="38001"/>
    <n v="5900"/>
    <n v="5300"/>
    <n v="3600"/>
    <n v="2500"/>
    <n v="6200"/>
    <n v="4100"/>
    <n v="2300"/>
    <n v="8200"/>
    <n v="4600"/>
    <n v="3300"/>
    <n v="80000"/>
    <n v="70000"/>
  </r>
  <r>
    <x v="1"/>
    <x v="11"/>
    <n v="44150"/>
    <n v="33750"/>
    <n v="28400"/>
    <n v="34150"/>
    <n v="33050"/>
    <n v="0.38"/>
    <n v="0.4"/>
    <n v="0.21999999999999997"/>
    <n v="60500"/>
    <n v="51000"/>
    <n v="0.71"/>
    <n v="0.61"/>
    <n v="0.25"/>
    <n v="0.27"/>
    <n v="0.16"/>
    <n v="0.1"/>
    <n v="0.21999999999999997"/>
    <n v="0.92"/>
    <n v="1.28"/>
    <n v="0.87"/>
    <n v="0.66"/>
    <n v="0.68"/>
    <n v="0.44"/>
    <n v="0.39"/>
    <n v="0.61"/>
    <n v="0.25"/>
    <n v="0.43"/>
    <n v="27485"/>
    <n v="65155"/>
    <n v="49231"/>
    <n v="5709"/>
    <n v="30633"/>
    <n v="40359"/>
    <n v="36428"/>
    <n v="15509"/>
    <n v="54263"/>
    <n v="57668"/>
    <n v="26601"/>
    <n v="39834"/>
    <n v="45953"/>
    <n v="39972"/>
    <n v="9100"/>
    <n v="2900"/>
    <n v="3000"/>
    <n v="5400"/>
    <n v="3200"/>
    <n v="4000"/>
    <n v="5900"/>
    <n v="3900"/>
    <n v="2500"/>
    <n v="6400"/>
    <n v="90000"/>
    <n v="60000"/>
  </r>
  <r>
    <x v="2"/>
    <x v="0"/>
    <n v="50700"/>
    <n v="46000"/>
    <n v="48625"/>
    <n v="71300"/>
    <n v="59050"/>
    <n v="0.38"/>
    <n v="0.52"/>
    <n v="9.9999999999999978E-2"/>
    <n v="49400"/>
    <n v="80000"/>
    <n v="0.68"/>
    <n v="0.31"/>
    <n v="0.27"/>
    <n v="0.3"/>
    <n v="0.17"/>
    <n v="0.05"/>
    <n v="0.20999999999999985"/>
    <n v="0.71"/>
    <n v="0.57999999999999996"/>
    <n v="0.96"/>
    <n v="0.5"/>
    <n v="1.23"/>
    <n v="0.6"/>
    <n v="0.32"/>
    <n v="0.4"/>
    <n v="0.28000000000000003"/>
    <n v="0.71"/>
    <n v="49619"/>
    <n v="44997"/>
    <n v="90800"/>
    <n v="15868"/>
    <n v="63131"/>
    <n v="78442"/>
    <n v="57143"/>
    <n v="70508"/>
    <n v="73443"/>
    <n v="14200"/>
    <n v="136332"/>
    <n v="60125"/>
    <n v="25321"/>
    <n v="63321"/>
    <n v="5600"/>
    <n v="3200"/>
    <n v="5200"/>
    <n v="4700"/>
    <n v="6700"/>
    <n v="6500"/>
    <n v="6600"/>
    <n v="5600"/>
    <n v="6400"/>
    <n v="5200"/>
    <n v="90000"/>
    <n v="80000"/>
  </r>
  <r>
    <x v="2"/>
    <x v="1"/>
    <n v="100800"/>
    <n v="106300"/>
    <n v="101300"/>
    <n v="67150"/>
    <n v="67700"/>
    <n v="0.4"/>
    <n v="0.53"/>
    <n v="6.9999999999999951E-2"/>
    <n v="48300"/>
    <n v="80000"/>
    <n v="0.56000000000000005"/>
    <n v="0.75"/>
    <n v="0.31"/>
    <n v="0.26"/>
    <n v="0.16"/>
    <n v="0.13"/>
    <n v="0.1399999999999999"/>
    <n v="0.37"/>
    <n v="0.51"/>
    <n v="1.08"/>
    <n v="0.39"/>
    <n v="1.0900000000000001"/>
    <n v="0.42"/>
    <n v="0.68"/>
    <n v="0.37"/>
    <n v="0.66"/>
    <n v="0.75"/>
    <n v="56868"/>
    <n v="63148"/>
    <n v="23937"/>
    <n v="62350"/>
    <n v="56683"/>
    <n v="79871"/>
    <n v="57143"/>
    <n v="2277"/>
    <n v="26257"/>
    <n v="63238"/>
    <n v="115351"/>
    <n v="106186"/>
    <n v="57962"/>
    <n v="61879"/>
    <n v="2800"/>
    <n v="5700"/>
    <n v="3800"/>
    <n v="4500"/>
    <n v="6700"/>
    <n v="4300"/>
    <n v="6200"/>
    <n v="7200"/>
    <n v="3300"/>
    <n v="4200"/>
    <n v="70000"/>
    <n v="95000"/>
  </r>
  <r>
    <x v="2"/>
    <x v="2"/>
    <n v="100900"/>
    <n v="70850"/>
    <n v="71300"/>
    <n v="71950"/>
    <n v="59300"/>
    <n v="0.38"/>
    <n v="0.49"/>
    <n v="0.13"/>
    <n v="56000"/>
    <n v="80000"/>
    <n v="0.39"/>
    <n v="0.49"/>
    <n v="0.31"/>
    <n v="0.27"/>
    <n v="0.12"/>
    <n v="0.05"/>
    <n v="0.24999999999999989"/>
    <n v="1.02"/>
    <n v="0.76"/>
    <n v="0.61"/>
    <n v="0.92"/>
    <n v="1.3"/>
    <n v="0.52"/>
    <n v="0.71"/>
    <n v="0.6"/>
    <n v="0.71"/>
    <n v="0.34"/>
    <n v="30176"/>
    <n v="70871"/>
    <n v="43786"/>
    <n v="34502"/>
    <n v="113601"/>
    <n v="49922"/>
    <n v="57142"/>
    <n v="80972"/>
    <n v="70011"/>
    <n v="98601"/>
    <n v="184"/>
    <n v="97849"/>
    <n v="77398"/>
    <n v="70835"/>
    <n v="3600"/>
    <n v="5800"/>
    <n v="7100"/>
    <n v="5200"/>
    <n v="5000"/>
    <n v="5600"/>
    <n v="2800"/>
    <n v="3100"/>
    <n v="6300"/>
    <n v="4000"/>
    <n v="80000"/>
    <n v="70000"/>
  </r>
  <r>
    <x v="2"/>
    <x v="3"/>
    <n v="51000"/>
    <n v="66800"/>
    <n v="73150"/>
    <n v="83750"/>
    <n v="59950"/>
    <n v="0.38"/>
    <n v="0.45"/>
    <n v="0.16999999999999993"/>
    <n v="72100"/>
    <n v="80000"/>
    <n v="0.63"/>
    <n v="0.22"/>
    <n v="0.34"/>
    <n v="0.28999999999999998"/>
    <n v="0.17"/>
    <n v="0.14000000000000001"/>
    <n v="5.9999999999999942E-2"/>
    <n v="0.69"/>
    <n v="1"/>
    <n v="1.03"/>
    <n v="0.36"/>
    <n v="0.59"/>
    <n v="0.74"/>
    <n v="0.6"/>
    <n v="0.71"/>
    <n v="0.74"/>
    <n v="0.53"/>
    <n v="52957"/>
    <n v="41804"/>
    <n v="82527"/>
    <n v="14966"/>
    <n v="83661"/>
    <n v="66943"/>
    <n v="57142"/>
    <n v="89767"/>
    <n v="64887"/>
    <n v="3141"/>
    <n v="82237"/>
    <n v="55205"/>
    <n v="91420"/>
    <n v="64443"/>
    <n v="3600"/>
    <n v="6100"/>
    <n v="4000"/>
    <n v="5100"/>
    <n v="7300"/>
    <n v="6000"/>
    <n v="5200"/>
    <n v="6900"/>
    <n v="6400"/>
    <n v="3500"/>
    <n v="90000"/>
    <n v="85000"/>
  </r>
  <r>
    <x v="2"/>
    <x v="4"/>
    <n v="70600"/>
    <n v="51100"/>
    <n v="35125"/>
    <n v="89950"/>
    <n v="67000"/>
    <n v="0.36"/>
    <n v="0.51"/>
    <n v="0.13"/>
    <n v="91500"/>
    <n v="80000"/>
    <n v="0.51"/>
    <n v="0.65"/>
    <n v="0.33"/>
    <n v="0.24"/>
    <n v="0.11"/>
    <n v="0.09"/>
    <n v="0.22999999999999998"/>
    <n v="0.67"/>
    <n v="0.71"/>
    <n v="1.18"/>
    <n v="1.35"/>
    <n v="1.06"/>
    <n v="0.31"/>
    <n v="0.27"/>
    <n v="0.65"/>
    <n v="0.4"/>
    <n v="0.65"/>
    <n v="66993"/>
    <n v="80607"/>
    <n v="45268"/>
    <n v="19824"/>
    <n v="70101"/>
    <n v="60063"/>
    <n v="57144"/>
    <n v="3599"/>
    <n v="89239"/>
    <n v="53980"/>
    <n v="41530"/>
    <n v="55959"/>
    <n v="81707"/>
    <n v="54336"/>
    <n v="3400"/>
    <n v="5400"/>
    <n v="4200"/>
    <n v="3700"/>
    <n v="3400"/>
    <n v="4300"/>
    <n v="6000"/>
    <n v="7100"/>
    <n v="4100"/>
    <n v="6600"/>
    <n v="105000"/>
    <n v="60000"/>
  </r>
  <r>
    <x v="2"/>
    <x v="5"/>
    <n v="133300"/>
    <n v="119100"/>
    <n v="117550"/>
    <n v="87300"/>
    <n v="65350"/>
    <n v="0.39"/>
    <n v="0.43"/>
    <n v="0.17999999999999994"/>
    <n v="108700"/>
    <n v="80000"/>
    <n v="0.4"/>
    <n v="0.22"/>
    <n v="0.32"/>
    <n v="0.28999999999999998"/>
    <n v="0.16"/>
    <n v="0.1"/>
    <n v="0.13"/>
    <n v="0.64"/>
    <n v="0.9"/>
    <n v="0.89"/>
    <n v="1.31"/>
    <n v="0.61"/>
    <n v="0.26"/>
    <n v="0.28999999999999998"/>
    <n v="0.69"/>
    <n v="0.56999999999999995"/>
    <n v="0.55000000000000004"/>
    <n v="61731"/>
    <n v="70672"/>
    <n v="15210"/>
    <n v="43615"/>
    <n v="89928"/>
    <n v="61702"/>
    <n v="57142"/>
    <n v="44028"/>
    <n v="47609"/>
    <n v="121003"/>
    <n v="108350"/>
    <n v="29960"/>
    <n v="105094"/>
    <n v="76006"/>
    <n v="5100"/>
    <n v="5000"/>
    <n v="5600"/>
    <n v="2400"/>
    <n v="4500"/>
    <n v="4200"/>
    <n v="4600"/>
    <n v="4100"/>
    <n v="4800"/>
    <n v="2600"/>
    <n v="110000"/>
    <n v="90000"/>
  </r>
  <r>
    <x v="2"/>
    <x v="6"/>
    <n v="72850"/>
    <n v="60400"/>
    <n v="34650"/>
    <n v="37350"/>
    <n v="26100"/>
    <n v="0.4"/>
    <n v="0.49"/>
    <n v="0.10999999999999999"/>
    <n v="118500"/>
    <n v="80000"/>
    <n v="0.53"/>
    <n v="0.49"/>
    <n v="0.25"/>
    <n v="0.26"/>
    <n v="0.2"/>
    <n v="0.1"/>
    <n v="0.19000000000000006"/>
    <n v="0.49"/>
    <n v="0.52"/>
    <n v="0.74"/>
    <n v="0.42"/>
    <n v="0.6"/>
    <n v="0.63"/>
    <n v="0.41"/>
    <n v="0.35"/>
    <n v="0.27"/>
    <n v="0.32"/>
    <n v="85576"/>
    <n v="13692"/>
    <n v="81285"/>
    <n v="55531"/>
    <n v="54552"/>
    <n v="52220"/>
    <n v="57144"/>
    <n v="105360"/>
    <n v="41432"/>
    <n v="10472"/>
    <n v="70272"/>
    <n v="90437"/>
    <n v="124784"/>
    <n v="73793"/>
    <n v="4600"/>
    <n v="3700"/>
    <n v="3000"/>
    <n v="3800"/>
    <n v="6400"/>
    <n v="2500"/>
    <n v="5300"/>
    <n v="5300"/>
    <n v="5400"/>
    <n v="3600"/>
    <n v="100000"/>
    <n v="75000"/>
  </r>
  <r>
    <x v="2"/>
    <x v="7"/>
    <n v="103750"/>
    <n v="135400"/>
    <n v="144750"/>
    <n v="63700"/>
    <n v="60000"/>
    <n v="0.38"/>
    <n v="0.55000000000000004"/>
    <n v="6.9999999999999951E-2"/>
    <n v="121000"/>
    <n v="80000"/>
    <n v="0.16"/>
    <n v="0.39"/>
    <n v="0.3"/>
    <n v="0.26"/>
    <n v="0.13"/>
    <n v="0.14000000000000001"/>
    <n v="0.16999999999999993"/>
    <n v="0.79"/>
    <n v="0.43"/>
    <n v="0.95"/>
    <n v="1.06"/>
    <n v="1.1599999999999999"/>
    <n v="0.71"/>
    <n v="0.5"/>
    <n v="0.53"/>
    <n v="0.3"/>
    <n v="0.66"/>
    <n v="123513"/>
    <n v="28129"/>
    <n v="13569"/>
    <n v="112315"/>
    <n v="9984"/>
    <n v="55347"/>
    <n v="57143"/>
    <n v="88289"/>
    <n v="56527"/>
    <n v="28046"/>
    <n v="26284"/>
    <n v="169188"/>
    <n v="494"/>
    <n v="61472"/>
    <n v="5400"/>
    <n v="3700"/>
    <n v="2700"/>
    <n v="3200"/>
    <n v="4700"/>
    <n v="4900"/>
    <n v="5600"/>
    <n v="6500"/>
    <n v="4700"/>
    <n v="3500"/>
    <n v="130000"/>
    <n v="100000"/>
  </r>
  <r>
    <x v="2"/>
    <x v="8"/>
    <n v="131050"/>
    <n v="93550"/>
    <n v="135050"/>
    <n v="69000"/>
    <n v="60400"/>
    <n v="0.38"/>
    <n v="0.55000000000000004"/>
    <n v="6.9999999999999951E-2"/>
    <n v="116100"/>
    <n v="80000"/>
    <n v="0.44"/>
    <n v="0.74"/>
    <n v="0.28999999999999998"/>
    <n v="0.21"/>
    <n v="0.16"/>
    <n v="0.1"/>
    <n v="0.24"/>
    <n v="0.35"/>
    <n v="0.39"/>
    <n v="0.75"/>
    <n v="0.61"/>
    <n v="1.27"/>
    <n v="0.25"/>
    <n v="0.4"/>
    <n v="0.55000000000000004"/>
    <n v="0.74"/>
    <n v="0.71"/>
    <n v="21"/>
    <n v="91779"/>
    <n v="70530"/>
    <n v="23891"/>
    <n v="82162"/>
    <n v="74474"/>
    <n v="57143"/>
    <n v="124149"/>
    <n v="29359"/>
    <n v="47814"/>
    <n v="82936"/>
    <n v="38506"/>
    <n v="115536"/>
    <n v="73050"/>
    <n v="5100"/>
    <n v="3100"/>
    <n v="4800"/>
    <n v="2900"/>
    <n v="6900"/>
    <n v="5500"/>
    <n v="4200"/>
    <n v="3700"/>
    <n v="5300"/>
    <n v="5000"/>
    <n v="140000"/>
    <n v="70000"/>
  </r>
  <r>
    <x v="2"/>
    <x v="9"/>
    <n v="54600"/>
    <n v="55350"/>
    <n v="42200"/>
    <n v="64200"/>
    <n v="64650"/>
    <n v="0.38"/>
    <n v="0.46"/>
    <n v="0.15999999999999992"/>
    <n v="100600"/>
    <n v="80000"/>
    <n v="0.32"/>
    <n v="0.26"/>
    <n v="0.25"/>
    <n v="0.26"/>
    <n v="0.14000000000000001"/>
    <n v="0.1"/>
    <n v="0.25"/>
    <n v="1.1599999999999999"/>
    <n v="0.46"/>
    <n v="0.53"/>
    <n v="1.28"/>
    <n v="1.3"/>
    <n v="0.65"/>
    <n v="0.62"/>
    <n v="0.61"/>
    <n v="0.56000000000000005"/>
    <n v="0.57999999999999996"/>
    <n v="86308"/>
    <n v="58777"/>
    <n v="73329"/>
    <n v="58578"/>
    <n v="15113"/>
    <n v="50752"/>
    <n v="57143"/>
    <n v="90279"/>
    <n v="50719"/>
    <n v="57972"/>
    <n v="91074"/>
    <n v="15757"/>
    <n v="97570"/>
    <n v="67229"/>
    <n v="3100"/>
    <n v="4400"/>
    <n v="5100"/>
    <n v="7900"/>
    <n v="7100"/>
    <n v="4600"/>
    <n v="6000"/>
    <n v="4300"/>
    <n v="3400"/>
    <n v="3200"/>
    <n v="120000"/>
    <n v="85000"/>
  </r>
  <r>
    <x v="2"/>
    <x v="10"/>
    <n v="60500"/>
    <n v="46450"/>
    <n v="36550"/>
    <n v="82900"/>
    <n v="67200"/>
    <n v="0.35"/>
    <n v="0.42"/>
    <n v="0.22999999999999998"/>
    <n v="80500"/>
    <n v="80000"/>
    <n v="0.69"/>
    <n v="0.2"/>
    <n v="0.28000000000000003"/>
    <n v="0.22"/>
    <n v="0.17"/>
    <n v="7.0000000000000007E-2"/>
    <n v="0.26"/>
    <n v="1.35"/>
    <n v="1.3"/>
    <n v="0.83"/>
    <n v="0.75"/>
    <n v="0.97"/>
    <n v="0.6"/>
    <n v="0.56999999999999995"/>
    <n v="0.37"/>
    <n v="0.52"/>
    <n v="0.59"/>
    <n v="90128"/>
    <n v="54464"/>
    <n v="62081"/>
    <n v="80887"/>
    <n v="18097"/>
    <n v="37201"/>
    <n v="57142"/>
    <n v="59040"/>
    <n v="32599"/>
    <n v="24010"/>
    <n v="157462"/>
    <n v="6803"/>
    <n v="155172"/>
    <n v="72514"/>
    <n v="3200"/>
    <n v="3900"/>
    <n v="2800"/>
    <n v="6600"/>
    <n v="4300"/>
    <n v="4900"/>
    <n v="7300"/>
    <n v="4100"/>
    <n v="3200"/>
    <n v="6800"/>
    <n v="130000"/>
    <n v="70000"/>
  </r>
  <r>
    <x v="2"/>
    <x v="11"/>
    <n v="64025"/>
    <n v="44375"/>
    <n v="45100"/>
    <n v="84150"/>
    <n v="66400"/>
    <n v="0.4"/>
    <n v="0.49"/>
    <n v="0.10999999999999999"/>
    <n v="67700"/>
    <n v="80000"/>
    <n v="0.23"/>
    <n v="0.74"/>
    <n v="0.33"/>
    <n v="0.26"/>
    <n v="0.14000000000000001"/>
    <n v="0.15"/>
    <n v="0.11999999999999988"/>
    <n v="0.91"/>
    <n v="0.86"/>
    <n v="1.28"/>
    <n v="1.27"/>
    <n v="1.1200000000000001"/>
    <n v="0.65"/>
    <n v="0.56999999999999995"/>
    <n v="0.64"/>
    <n v="0.28000000000000003"/>
    <n v="0.36"/>
    <n v="97897"/>
    <n v="124281"/>
    <n v="38613"/>
    <n v="3843"/>
    <n v="14836"/>
    <n v="63387"/>
    <n v="57143"/>
    <n v="7447"/>
    <n v="27989"/>
    <n v="119083"/>
    <n v="74139"/>
    <n v="46657"/>
    <n v="85543"/>
    <n v="60142"/>
    <n v="3500"/>
    <n v="4600"/>
    <n v="5800"/>
    <n v="5600"/>
    <n v="5800"/>
    <n v="4500"/>
    <n v="5000"/>
    <n v="3800"/>
    <n v="3400"/>
    <n v="4000"/>
    <n v="100000"/>
    <n v="95000"/>
  </r>
  <r>
    <x v="3"/>
    <x v="0"/>
    <n v="170350"/>
    <n v="98050"/>
    <n v="93400"/>
    <n v="63450"/>
    <n v="68700"/>
    <n v="0.37"/>
    <n v="0.4"/>
    <n v="0.22999999999999998"/>
    <n v="77600"/>
    <n v="100000"/>
    <n v="0.41"/>
    <n v="0.74"/>
    <n v="0.3"/>
    <n v="0.27"/>
    <n v="0.15"/>
    <n v="0.06"/>
    <n v="0.21999999999999997"/>
    <n v="1.06"/>
    <n v="0.5"/>
    <n v="1"/>
    <n v="0.87"/>
    <n v="0.85"/>
    <n v="0.53"/>
    <n v="0.28999999999999998"/>
    <n v="0.48"/>
    <n v="0.27"/>
    <n v="0.26"/>
    <n v="41333"/>
    <n v="124358"/>
    <n v="4831"/>
    <n v="114439"/>
    <n v="30521"/>
    <n v="113090"/>
    <n v="71428"/>
    <n v="76149"/>
    <n v="41962"/>
    <n v="124078"/>
    <n v="2187"/>
    <n v="86634"/>
    <n v="92376"/>
    <n v="70564"/>
    <n v="5600"/>
    <n v="5700"/>
    <n v="3300"/>
    <n v="3100"/>
    <n v="3000"/>
    <n v="4400"/>
    <n v="2600"/>
    <n v="7700"/>
    <n v="7400"/>
    <n v="6500"/>
    <n v="70000"/>
    <n v="85000"/>
  </r>
  <r>
    <x v="3"/>
    <x v="1"/>
    <n v="72975"/>
    <n v="54075"/>
    <n v="54600"/>
    <n v="81350"/>
    <n v="59950"/>
    <n v="0.35"/>
    <n v="0.46"/>
    <n v="0.18999999999999995"/>
    <n v="95100"/>
    <n v="100000"/>
    <n v="0.56000000000000005"/>
    <n v="0.42"/>
    <n v="0.34"/>
    <n v="0.28999999999999998"/>
    <n v="0.17"/>
    <n v="0.06"/>
    <n v="0.1399999999999999"/>
    <n v="0.43"/>
    <n v="1.31"/>
    <n v="1.21"/>
    <n v="0.59"/>
    <n v="0.52"/>
    <n v="0.69"/>
    <n v="0.33"/>
    <n v="0.69"/>
    <n v="0.64"/>
    <n v="0.43"/>
    <n v="2897"/>
    <n v="117296"/>
    <n v="97666"/>
    <n v="72420"/>
    <n v="63751"/>
    <n v="74541"/>
    <n v="71429"/>
    <n v="88165"/>
    <n v="56838"/>
    <n v="107807"/>
    <n v="83070"/>
    <n v="54632"/>
    <n v="42003"/>
    <n v="72085"/>
    <n v="3500"/>
    <n v="6700"/>
    <n v="4700"/>
    <n v="4300"/>
    <n v="4500"/>
    <n v="6700"/>
    <n v="3500"/>
    <n v="5300"/>
    <n v="6700"/>
    <n v="3300"/>
    <n v="82000"/>
    <n v="95000"/>
  </r>
  <r>
    <x v="3"/>
    <x v="2"/>
    <n v="99375"/>
    <n v="61600"/>
    <n v="52925"/>
    <n v="77100"/>
    <n v="58500"/>
    <n v="0.36"/>
    <n v="0.4"/>
    <n v="0.24"/>
    <n v="109600"/>
    <n v="100000"/>
    <n v="0.21"/>
    <n v="0.72"/>
    <n v="0.35"/>
    <n v="0.2"/>
    <n v="0.14000000000000001"/>
    <n v="0.14000000000000001"/>
    <n v="0.16999999999999993"/>
    <n v="1.04"/>
    <n v="0.5"/>
    <n v="0.84"/>
    <n v="0.98"/>
    <n v="1.1299999999999999"/>
    <n v="0.5"/>
    <n v="0.41"/>
    <n v="0.74"/>
    <n v="0.71"/>
    <n v="0.41"/>
    <n v="35320"/>
    <n v="110967"/>
    <n v="111962"/>
    <n v="3566"/>
    <n v="109467"/>
    <n v="57290"/>
    <n v="71428"/>
    <n v="60234"/>
    <n v="199342"/>
    <n v="154993"/>
    <n v="6735"/>
    <n v="20220"/>
    <n v="14648"/>
    <n v="76028"/>
    <n v="5100"/>
    <n v="7200"/>
    <n v="5000"/>
    <n v="3800"/>
    <n v="4800"/>
    <n v="2400"/>
    <n v="3100"/>
    <n v="2400"/>
    <n v="6600"/>
    <n v="4600"/>
    <n v="95000"/>
    <n v="75000"/>
  </r>
  <r>
    <x v="3"/>
    <x v="3"/>
    <n v="94200"/>
    <n v="46250"/>
    <n v="42325"/>
    <n v="79300"/>
    <n v="66700"/>
    <n v="0.36"/>
    <n v="0.48"/>
    <n v="0.16000000000000003"/>
    <n v="117100"/>
    <n v="100000"/>
    <n v="0.28999999999999998"/>
    <n v="0.73"/>
    <n v="0.25"/>
    <n v="0.25"/>
    <n v="0.19"/>
    <n v="0.12"/>
    <n v="0.19000000000000006"/>
    <n v="0.66"/>
    <n v="0.91"/>
    <n v="1.27"/>
    <n v="1"/>
    <n v="0.45"/>
    <n v="0.54"/>
    <n v="0.53"/>
    <n v="0.56000000000000005"/>
    <n v="0.65"/>
    <n v="0.48"/>
    <n v="90700"/>
    <n v="1787"/>
    <n v="84255"/>
    <n v="59026"/>
    <n v="104238"/>
    <n v="88565"/>
    <n v="71429"/>
    <n v="33526"/>
    <n v="129763"/>
    <n v="73392"/>
    <n v="93240"/>
    <n v="51651"/>
    <n v="50343"/>
    <n v="71985"/>
    <n v="5000"/>
    <n v="4600"/>
    <n v="3500"/>
    <n v="3700"/>
    <n v="3700"/>
    <n v="6400"/>
    <n v="4200"/>
    <n v="8000"/>
    <n v="4500"/>
    <n v="6300"/>
    <n v="108000"/>
    <n v="65000"/>
  </r>
  <r>
    <x v="3"/>
    <x v="4"/>
    <n v="193500"/>
    <n v="114750"/>
    <n v="126850"/>
    <n v="63200"/>
    <n v="67850"/>
    <n v="0.37"/>
    <n v="0.47"/>
    <n v="0.16000000000000003"/>
    <n v="109400"/>
    <n v="100000"/>
    <n v="0.41"/>
    <n v="0.47"/>
    <n v="0.32"/>
    <n v="0.27"/>
    <n v="0.2"/>
    <n v="0.09"/>
    <n v="0.12"/>
    <n v="1.07"/>
    <n v="0.59"/>
    <n v="0.77"/>
    <n v="1.22"/>
    <n v="0.86"/>
    <n v="0.28999999999999998"/>
    <n v="0.44"/>
    <n v="0.69"/>
    <n v="0.26"/>
    <n v="0.28000000000000003"/>
    <n v="87705"/>
    <n v="138033"/>
    <n v="19792"/>
    <n v="111843"/>
    <n v="3878"/>
    <n v="67320"/>
    <n v="71429"/>
    <n v="73706"/>
    <n v="100884"/>
    <n v="44289"/>
    <n v="84025"/>
    <n v="52705"/>
    <n v="124134"/>
    <n v="79957"/>
    <n v="2900"/>
    <n v="7000"/>
    <n v="6400"/>
    <n v="3000"/>
    <n v="4500"/>
    <n v="5200"/>
    <n v="4900"/>
    <n v="4300"/>
    <n v="5700"/>
    <n v="6600"/>
    <n v="120000"/>
    <n v="50000"/>
  </r>
  <r>
    <x v="3"/>
    <x v="5"/>
    <n v="87175"/>
    <n v="49250"/>
    <n v="44950"/>
    <n v="86100"/>
    <n v="58800"/>
    <n v="0.37"/>
    <n v="0.43"/>
    <n v="0.19999999999999996"/>
    <n v="95600"/>
    <n v="100000"/>
    <n v="0.7"/>
    <n v="0.72"/>
    <n v="0.34"/>
    <n v="0.25"/>
    <n v="0.15"/>
    <n v="0.05"/>
    <n v="0.20999999999999985"/>
    <n v="0.73"/>
    <n v="1.05"/>
    <n v="0.64"/>
    <n v="1.07"/>
    <n v="1.19"/>
    <n v="0.56999999999999995"/>
    <n v="0.47"/>
    <n v="0.33"/>
    <n v="0.64"/>
    <n v="0.51"/>
    <n v="52047"/>
    <n v="61611"/>
    <n v="34718"/>
    <n v="91934"/>
    <n v="98534"/>
    <n v="89727"/>
    <n v="71429"/>
    <n v="174450"/>
    <n v="26207"/>
    <n v="5381"/>
    <n v="36777"/>
    <n v="144174"/>
    <n v="53282"/>
    <n v="73379"/>
    <n v="6600"/>
    <n v="6200"/>
    <n v="4400"/>
    <n v="5200"/>
    <n v="4500"/>
    <n v="3600"/>
    <n v="4100"/>
    <n v="4400"/>
    <n v="3400"/>
    <n v="6500"/>
    <n v="112000"/>
    <n v="55000"/>
  </r>
  <r>
    <x v="3"/>
    <x v="6"/>
    <n v="139400"/>
    <n v="127300"/>
    <n v="135750"/>
    <n v="70900"/>
    <n v="59050"/>
    <n v="0.38"/>
    <n v="0.44"/>
    <n v="0.17999999999999994"/>
    <n v="89700"/>
    <n v="100000"/>
    <n v="0.18"/>
    <n v="0.43"/>
    <n v="0.28000000000000003"/>
    <n v="0.25"/>
    <n v="0.19"/>
    <n v="0.15"/>
    <n v="0.13"/>
    <n v="1.08"/>
    <n v="0.77"/>
    <n v="0.84"/>
    <n v="1.05"/>
    <n v="1.22"/>
    <n v="0.27"/>
    <n v="0.7"/>
    <n v="0.38"/>
    <n v="0.28999999999999998"/>
    <n v="0.56000000000000005"/>
    <n v="87638"/>
    <n v="30391"/>
    <n v="76481"/>
    <n v="122369"/>
    <n v="19186"/>
    <n v="92506"/>
    <n v="71429"/>
    <n v="147372"/>
    <n v="90251"/>
    <n v="115574"/>
    <n v="18154"/>
    <n v="63479"/>
    <n v="62870"/>
    <n v="82950"/>
    <n v="3600"/>
    <n v="2500"/>
    <n v="3800"/>
    <n v="6100"/>
    <n v="5000"/>
    <n v="7800"/>
    <n v="4700"/>
    <n v="5500"/>
    <n v="3500"/>
    <n v="6400"/>
    <n v="98000"/>
    <n v="70000"/>
  </r>
  <r>
    <x v="3"/>
    <x v="7"/>
    <n v="45575"/>
    <n v="27225"/>
    <n v="23375"/>
    <n v="48100"/>
    <n v="41400"/>
    <n v="0.35"/>
    <n v="0.51"/>
    <n v="0.14000000000000001"/>
    <n v="102600"/>
    <n v="100000"/>
    <n v="0.61"/>
    <n v="0.74"/>
    <n v="0.28999999999999998"/>
    <n v="0.27"/>
    <n v="0.13"/>
    <n v="0.05"/>
    <n v="0.2599999999999999"/>
    <n v="0.86"/>
    <n v="1.28"/>
    <n v="0.52"/>
    <n v="0.5"/>
    <n v="0.47"/>
    <n v="0.75"/>
    <n v="0.35"/>
    <n v="0.5"/>
    <n v="0.66"/>
    <n v="0.34"/>
    <n v="99597"/>
    <n v="52932"/>
    <n v="19518"/>
    <n v="53229"/>
    <n v="93583"/>
    <n v="109712"/>
    <n v="71429"/>
    <n v="33255"/>
    <n v="50966"/>
    <n v="18226"/>
    <n v="122086"/>
    <n v="201287"/>
    <n v="57096"/>
    <n v="80484"/>
    <n v="4600"/>
    <n v="3900"/>
    <n v="6100"/>
    <n v="2900"/>
    <n v="5600"/>
    <n v="6900"/>
    <n v="3400"/>
    <n v="2800"/>
    <n v="5100"/>
    <n v="4000"/>
    <n v="85000"/>
    <n v="88000"/>
  </r>
  <r>
    <x v="3"/>
    <x v="8"/>
    <n v="155900"/>
    <n v="127300"/>
    <n v="130200"/>
    <n v="60000"/>
    <n v="64800"/>
    <n v="0.38"/>
    <n v="0.46"/>
    <n v="0.15999999999999992"/>
    <n v="124500"/>
    <n v="100000"/>
    <n v="0.24"/>
    <n v="0.75"/>
    <n v="0.28999999999999998"/>
    <n v="0.26"/>
    <n v="0.17"/>
    <n v="0.15"/>
    <n v="0.12999999999999989"/>
    <n v="0.43"/>
    <n v="0.72"/>
    <n v="0.83"/>
    <n v="1.33"/>
    <n v="0.99"/>
    <n v="0.57999999999999996"/>
    <n v="0.37"/>
    <n v="0.45"/>
    <n v="0.69"/>
    <n v="0.56000000000000005"/>
    <n v="56343"/>
    <n v="68595"/>
    <n v="22057"/>
    <n v="90957"/>
    <n v="67442"/>
    <n v="123177"/>
    <n v="71429"/>
    <n v="115399"/>
    <n v="41003"/>
    <n v="83746"/>
    <n v="20641"/>
    <n v="101406"/>
    <n v="100704"/>
    <n v="77151"/>
    <n v="6400"/>
    <n v="4700"/>
    <n v="7100"/>
    <n v="3900"/>
    <n v="6600"/>
    <n v="4100"/>
    <n v="7000"/>
    <n v="4700"/>
    <n v="3900"/>
    <n v="3400"/>
    <n v="72000"/>
    <n v="92000"/>
  </r>
  <r>
    <x v="3"/>
    <x v="9"/>
    <n v="194600"/>
    <n v="123550"/>
    <n v="121750"/>
    <n v="77100"/>
    <n v="63650"/>
    <n v="0.39"/>
    <n v="0.49"/>
    <n v="0.12"/>
    <n v="137200"/>
    <n v="100000"/>
    <n v="0.4"/>
    <n v="0.35"/>
    <n v="0.32"/>
    <n v="0.21"/>
    <n v="0.12"/>
    <n v="0.08"/>
    <n v="0.27"/>
    <n v="0.65"/>
    <n v="0.67"/>
    <n v="1.24"/>
    <n v="1.1299999999999999"/>
    <n v="1.01"/>
    <n v="0.28000000000000003"/>
    <n v="0.4"/>
    <n v="0.26"/>
    <n v="0.46"/>
    <n v="0.71"/>
    <n v="53069"/>
    <n v="95808"/>
    <n v="78387"/>
    <n v="54157"/>
    <n v="107796"/>
    <n v="39356"/>
    <n v="71427"/>
    <n v="33872"/>
    <n v="177880"/>
    <n v="3390"/>
    <n v="69594"/>
    <n v="26673"/>
    <n v="72847"/>
    <n v="64044"/>
    <n v="3000"/>
    <n v="7300"/>
    <n v="5500"/>
    <n v="6000"/>
    <n v="5000"/>
    <n v="7000"/>
    <n v="4200"/>
    <n v="4500"/>
    <n v="2800"/>
    <n v="4700"/>
    <n v="68000"/>
    <n v="78000"/>
  </r>
  <r>
    <x v="3"/>
    <x v="10"/>
    <n v="128400"/>
    <n v="89600"/>
    <n v="145700"/>
    <n v="75100"/>
    <n v="66600"/>
    <n v="0.37"/>
    <n v="0.55000000000000004"/>
    <n v="7.999999999999996E-2"/>
    <n v="145000"/>
    <n v="100000"/>
    <n v="0.4"/>
    <n v="0.46"/>
    <n v="0.35"/>
    <n v="0.22"/>
    <n v="0.2"/>
    <n v="0.1"/>
    <n v="0.13"/>
    <n v="1.35"/>
    <n v="0.84"/>
    <n v="1.19"/>
    <n v="0.89"/>
    <n v="1.0900000000000001"/>
    <n v="0.65"/>
    <n v="0.48"/>
    <n v="0.28999999999999998"/>
    <n v="0.7"/>
    <n v="0.71"/>
    <n v="19080"/>
    <n v="22523"/>
    <n v="71977"/>
    <n v="83910"/>
    <n v="108311"/>
    <n v="122772"/>
    <n v="71427"/>
    <n v="75133"/>
    <n v="95251"/>
    <n v="67588"/>
    <n v="80119"/>
    <n v="75978"/>
    <n v="39131"/>
    <n v="72200"/>
    <n v="6700"/>
    <n v="4600"/>
    <n v="4300"/>
    <n v="4800"/>
    <n v="7200"/>
    <n v="5000"/>
    <n v="6200"/>
    <n v="4700"/>
    <n v="5800"/>
    <n v="3400"/>
    <n v="80000"/>
    <n v="65000"/>
  </r>
  <r>
    <x v="3"/>
    <x v="11"/>
    <n v="62575"/>
    <n v="70425"/>
    <n v="52725"/>
    <n v="79400"/>
    <n v="66650"/>
    <n v="0.36"/>
    <n v="0.48"/>
    <n v="0.16000000000000003"/>
    <n v="133700"/>
    <n v="100000"/>
    <n v="0.22"/>
    <n v="0.45"/>
    <n v="0.33"/>
    <n v="0.25"/>
    <n v="0.15"/>
    <n v="0.05"/>
    <n v="0.21999999999999986"/>
    <n v="1.04"/>
    <n v="0.95"/>
    <n v="0.63"/>
    <n v="0.55000000000000004"/>
    <n v="1.26"/>
    <n v="0.63"/>
    <n v="0.69"/>
    <n v="0.6"/>
    <n v="0.28000000000000003"/>
    <n v="0.28999999999999998"/>
    <n v="62859"/>
    <n v="117796"/>
    <n v="118263"/>
    <n v="667"/>
    <n v="74945"/>
    <n v="54042"/>
    <n v="71428"/>
    <n v="52446"/>
    <n v="92341"/>
    <n v="76327"/>
    <n v="33912"/>
    <n v="95373"/>
    <n v="93173"/>
    <n v="73928"/>
    <n v="3100"/>
    <n v="3900"/>
    <n v="7100"/>
    <n v="4600"/>
    <n v="4800"/>
    <n v="7400"/>
    <n v="4300"/>
    <n v="4400"/>
    <n v="5800"/>
    <n v="4300"/>
    <n v="92000"/>
    <n v="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AF80AF-1F5C-47F4-938F-E3B5C28973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A38" firstHeaderRow="1" firstDataRow="1" firstDataCol="1"/>
  <pivotFields count="55">
    <pivotField axis="axisRow" showAll="0">
      <items count="5">
        <item x="0"/>
        <item h="1" x="1"/>
        <item h="1" x="2"/>
        <item h="1" x="3"/>
        <item t="default"/>
      </items>
    </pivotField>
    <pivotField showAll="0"/>
    <pivotField showAll="0"/>
    <pivotField showAll="0"/>
    <pivotField showAll="0"/>
    <pivotField showAll="0"/>
    <pivotField showAll="0"/>
    <pivotField numFmtId="9" showAll="0"/>
    <pivotField numFmtId="9" showAll="0"/>
    <pivotField numFmtId="9"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9080A6-0085-4721-9046-310B7FD6E3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H5" firstHeaderRow="0" firstDataRow="1" firstDataCol="1"/>
  <pivotFields count="55">
    <pivotField showAll="0">
      <items count="5">
        <item x="0"/>
        <item h="1" x="1"/>
        <item h="1" x="2"/>
        <item h="1" x="3"/>
        <item t="default"/>
      </items>
    </pivotField>
    <pivotField axis="axisRow" showAll="0">
      <items count="13">
        <item h="1" x="0"/>
        <item h="1" x="1"/>
        <item h="1" x="2"/>
        <item h="1" x="3"/>
        <item h="1" x="4"/>
        <item h="1" x="5"/>
        <item h="1" x="6"/>
        <item h="1" x="7"/>
        <item h="1" x="8"/>
        <item x="9"/>
        <item h="1" x="10"/>
        <item h="1" x="11"/>
        <item t="default"/>
      </items>
    </pivotField>
    <pivotField dataField="1" showAll="0"/>
    <pivotField dataField="1" showAll="0"/>
    <pivotField dataField="1" showAll="0"/>
    <pivotField dataField="1" showAll="0"/>
    <pivotField dataField="1" showAll="0"/>
    <pivotField numFmtId="9" showAll="0"/>
    <pivotField numFmtId="9" showAll="0"/>
    <pivotField numFmtId="9" showAll="0"/>
    <pivotField dataField="1" showAll="0"/>
    <pivotField showAll="0"/>
    <pivotField dataField="1" numFmtId="9" showAll="0"/>
    <pivotField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s>
  <rowFields count="1">
    <field x="1"/>
  </rowFields>
  <rowItems count="2">
    <i>
      <x v="9"/>
    </i>
    <i t="grand">
      <x/>
    </i>
  </rowItems>
  <colFields count="1">
    <field x="-2"/>
  </colFields>
  <colItems count="33">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colItems>
  <dataFields count="33">
    <dataField name="Sum of Payroll" fld="10" baseField="0" baseItem="0"/>
    <dataField name="Sum of Actual" fld="54" baseField="0" baseItem="0"/>
    <dataField name="Sum of Management" fld="2" baseField="0" baseItem="0"/>
    <dataField name="Sum of Administrative Staff" fld="3" baseField="0" baseItem="0"/>
    <dataField name="Sum of Sales Department" fld="4" baseField="0" baseItem="0"/>
    <dataField name="Sum of Production Department" fld="5" baseField="0" baseItem="0"/>
    <dataField name="Sum of Logistics Department" fld="6" baseField="0" baseItem="0"/>
    <dataField name="Average of Standard Hours" fld="12" subtotal="average" baseField="1" baseItem="0" numFmtId="9"/>
    <dataField name="Average of A" fld="19" subtotal="average" baseField="1" baseItem="0" numFmtId="9"/>
    <dataField name="Average of B" fld="20" subtotal="average" baseField="1" baseItem="0" numFmtId="9"/>
    <dataField name="Average of C" fld="21" subtotal="average" baseField="1" baseItem="0" numFmtId="9"/>
    <dataField name="Average of D" fld="22" subtotal="average" baseField="1" baseItem="0" numFmtId="9"/>
    <dataField name="Average of E" fld="23" subtotal="average" baseField="1" baseItem="0" numFmtId="9"/>
    <dataField name="Average of A2" fld="24" subtotal="average" baseField="1" baseItem="0" numFmtId="9"/>
    <dataField name="Average of B2" fld="25" subtotal="average" baseField="1" baseItem="0" numFmtId="9"/>
    <dataField name="Average of C2" fld="26" subtotal="average" baseField="1" baseItem="0" numFmtId="9"/>
    <dataField name="Average of D2" fld="27" subtotal="average" baseField="1" baseItem="0" numFmtId="9"/>
    <dataField name="Average of E2" fld="28" subtotal="average" baseField="1" baseItem="0" numFmtId="9"/>
    <dataField name="Average of Head Office" fld="14" subtotal="average" baseField="1" baseItem="0" numFmtId="9"/>
    <dataField name="Average of Regional Offices" fld="15" subtotal="average" baseField="1" baseItem="0" numFmtId="9"/>
    <dataField name="Average of Regional Branches" fld="16" subtotal="average" baseField="1" baseItem="0" numFmtId="9"/>
    <dataField name="Average of Remote Employees" fld="17" subtotal="average" baseField="1" baseItem="0" numFmtId="9"/>
    <dataField name="Average of Outsourcing" fld="18" subtotal="average" baseField="1" baseItem="0" numFmtId="9"/>
    <dataField name="Sum of Employee1" fld="43" baseField="0" baseItem="0"/>
    <dataField name="Sum of Employee2" fld="44" baseField="0" baseItem="0"/>
    <dataField name="Sum of Employee3" fld="45" baseField="0" baseItem="0"/>
    <dataField name="Sum of Employee4" fld="46" baseField="0" baseItem="0"/>
    <dataField name="Sum of Employee5" fld="47" baseField="0" baseItem="0"/>
    <dataField name="Sum of Employee1BS" fld="48" baseField="0" baseItem="0"/>
    <dataField name="Sum of Employee2BS" fld="49" baseField="0" baseItem="0"/>
    <dataField name="Sum of Employee3BS" fld="50" baseField="0" baseItem="0"/>
    <dataField name="Sum of Employee4BS" fld="51" baseField="0" baseItem="0"/>
    <dataField name="Sum of Employee5BS" fld="5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78F6C2-9559-4B0F-80A2-BA038BB2478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E33" firstHeaderRow="0" firstDataRow="1" firstDataCol="1"/>
  <pivotFields count="55">
    <pivotField showAll="0">
      <items count="5">
        <item x="0"/>
        <item h="1" x="1"/>
        <item h="1" x="2"/>
        <item h="1" x="3"/>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numFmtId="9" showAll="0"/>
    <pivotField numFmtId="9" showAll="0"/>
    <pivotField numFmtId="9"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Payroll" fld="10" baseField="0" baseItem="0"/>
    <dataField name="Sum of Annual Payroll Plan" fld="11" baseField="0" baseItem="0"/>
    <dataField name="Sum of Forecast" fld="53" baseField="0" baseItem="0"/>
    <dataField name="Sum of Actual" fld="5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97662EF-5085-4539-A3CA-1BAB1B60719C}" sourceName="Year">
  <pivotTables>
    <pivotTable tabId="3" name="PivotTable1"/>
    <pivotTable tabId="3" name="PivotTable2"/>
    <pivotTable tabId="3" name="PivotTable3"/>
  </pivotTables>
  <data>
    <tabular pivotCacheId="1864308998">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7B02BF3-96CF-4D67-A2DC-AAB5C8AFFC41}" sourceName="Month">
  <pivotTables>
    <pivotTable tabId="3" name="PivotTable1"/>
  </pivotTables>
  <data>
    <tabular pivotCacheId="1864308998">
      <items count="12">
        <i x="0"/>
        <i x="1"/>
        <i x="2"/>
        <i x="3"/>
        <i x="4"/>
        <i x="5"/>
        <i x="6"/>
        <i x="7"/>
        <i x="8"/>
        <i x="9" s="1"/>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0DE85B0-A60E-4DBC-85AE-F840D8B1916E}" cache="Slicer_Year" caption="Year" columnCount="4" showCaption="0" style="SlicerStyleLight1 2 2" rowHeight="182880"/>
  <slicer name="Month" xr10:uid="{B0CB1851-AB17-47B2-9A06-FDE26034ADB5}" cache="Slicer_Month" caption="Month" columnCount="12" showCaption="0" style="SlicerStyleLight1 2 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A9B54C5-86CC-480E-9500-3D4D8EC54577}" cache="Slicer_Year" caption="Year" columnCount="4" showCaption="0" style="SlicerStyleLight1 2 2 2" rowHeight="182880"/>
  <slicer name="Month 1" xr10:uid="{84D23B81-CCF4-43DE-B704-BC24ED8C8F67}" cache="Slicer_Month" caption="Month" columnCount="12" showCaption="0" style="SlicerStyleLight1 2 2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80730C-7EC5-4FC9-B975-A43B23BBA71B}" name="mydata" displayName="mydata" ref="A3:BC51" totalsRowShown="0" headerRowDxfId="41" dataDxfId="40">
  <autoFilter ref="A3:BC51" xr:uid="{FB80730C-7EC5-4FC9-B975-A43B23BBA71B}"/>
  <tableColumns count="55">
    <tableColumn id="1" xr3:uid="{84FA5590-255A-4A8E-A821-D6F3DBFFC1EF}" name="Year" dataDxfId="39"/>
    <tableColumn id="2" xr3:uid="{82DC7961-3150-491D-8019-EE5B09A01458}" name="Month" dataDxfId="38"/>
    <tableColumn id="3" xr3:uid="{B0FEFB40-2778-4B04-9181-AE46D80D066C}" name="Management" dataDxfId="37"/>
    <tableColumn id="4" xr3:uid="{897E6390-09BE-4E8A-805F-21256C238ABF}" name="Administrative Staff" dataDxfId="36"/>
    <tableColumn id="5" xr3:uid="{557E3F33-9DA2-44E4-A830-ACE1F0917F02}" name="Sales Department" dataDxfId="35"/>
    <tableColumn id="6" xr3:uid="{08E935A7-D55C-4EFE-82D1-7F9E402FC922}" name="Production Department" dataDxfId="34"/>
    <tableColumn id="7" xr3:uid="{2FF67D24-23A4-4CF6-BA16-99FFA763BB20}" name="Logistics Department" dataDxfId="33"/>
    <tableColumn id="8" xr3:uid="{F0315E22-45A9-4A85-9BF2-7D19D03BBB2F}" name="Basic" dataDxfId="32" dataCellStyle="Percent"/>
    <tableColumn id="9" xr3:uid="{CFCDA78F-43E0-41BB-ADB4-62042A5C8C69}" name="Bonuses" dataDxfId="31" dataCellStyle="Percent"/>
    <tableColumn id="10" xr3:uid="{3A499F53-832A-4C88-AFFC-FFABDCE43BD1}" name="Payroll Taxes" dataDxfId="30" dataCellStyle="Percent"/>
    <tableColumn id="11" xr3:uid="{13157BB8-8B89-412C-BCF4-5FFF5BC814EF}" name="Payroll" dataDxfId="29"/>
    <tableColumn id="12" xr3:uid="{6A759131-C33D-43DE-8538-F7AF34927617}" name="Annual Payroll Plan"/>
    <tableColumn id="13" xr3:uid="{01D3F1AE-C026-403A-A495-45BD02BC783C}" name="Standard Hours" dataDxfId="28" dataCellStyle="Percent"/>
    <tableColumn id="14" xr3:uid="{56B2A604-033F-47BA-B3F8-038CA54B50E5}" name="Actual Hours" dataDxfId="27" dataCellStyle="Percent"/>
    <tableColumn id="15" xr3:uid="{BF21D3B1-C051-4964-8539-164C082825D2}" name="Head Office" dataDxfId="26" dataCellStyle="Percent"/>
    <tableColumn id="16" xr3:uid="{CCDA1CD2-484F-4E35-AA83-ABAA0AECADC4}" name="Regional Offices" dataDxfId="25" dataCellStyle="Percent"/>
    <tableColumn id="17" xr3:uid="{3BD736FB-6462-4441-9124-A97F9070F364}" name="Regional Branches" dataDxfId="24" dataCellStyle="Percent"/>
    <tableColumn id="18" xr3:uid="{CD675619-8791-4A59-8896-29B9EC7805EA}" name="Remote Employees" dataDxfId="23" dataCellStyle="Percent"/>
    <tableColumn id="19" xr3:uid="{D6BE39FE-D442-40C5-8E48-7D3C653A949D}" name="Outsourcing" dataDxfId="22" dataCellStyle="Percent"/>
    <tableColumn id="20" xr3:uid="{3E2A3400-2C72-430F-B096-24CA61C077C5}" name="A" dataDxfId="21" dataCellStyle="Percent"/>
    <tableColumn id="21" xr3:uid="{2C168CF3-5892-4668-9F49-40CEB4EB67F6}" name="B" dataDxfId="20" dataCellStyle="Percent"/>
    <tableColumn id="22" xr3:uid="{9F0139DF-F8CB-4CEE-9951-497CA92EB3D9}" name="C" dataDxfId="19" dataCellStyle="Percent"/>
    <tableColumn id="23" xr3:uid="{DDF11EF3-883D-44D2-B06E-9D1D6056464A}" name="D" dataDxfId="18" dataCellStyle="Percent"/>
    <tableColumn id="24" xr3:uid="{22E62AFA-9FD4-410A-839E-181B250D8B7D}" name="E" dataDxfId="17" dataCellStyle="Percent"/>
    <tableColumn id="25" xr3:uid="{BF9E6ECA-3D70-4F18-B7AE-08608C6B97AC}" name="A2" dataDxfId="16" dataCellStyle="Percent"/>
    <tableColumn id="26" xr3:uid="{28C8FCC7-F7AA-4DF3-BF3B-EF164405BF49}" name="B2" dataDxfId="15" dataCellStyle="Percent"/>
    <tableColumn id="27" xr3:uid="{4E202A4A-3C01-4FBA-BA59-87F7E2A0BDEF}" name="C2" dataDxfId="14" dataCellStyle="Percent"/>
    <tableColumn id="28" xr3:uid="{84A52141-36B2-4994-B090-2CA9BB4FA7C1}" name="D2" dataDxfId="13" dataCellStyle="Percent"/>
    <tableColumn id="29" xr3:uid="{F8AEF1CB-37FF-4BEE-887F-5AC53997BACC}" name="E2" dataDxfId="12" dataCellStyle="Percent"/>
    <tableColumn id="30" xr3:uid="{C48AF1DE-C243-4321-818F-F5B331038017}" name="SU"/>
    <tableColumn id="31" xr3:uid="{F8AA6FEC-519E-4592-B832-F79143ACBCDC}" name="MO"/>
    <tableColumn id="32" xr3:uid="{6C7E6E0D-B451-4BD5-837C-3EFE2856FDDD}" name="TU"/>
    <tableColumn id="33" xr3:uid="{6BB0C767-3A7E-4FB1-BEF7-D571E6DDDCA6}" name="WE"/>
    <tableColumn id="34" xr3:uid="{657BDB20-A5DD-4A7B-B5E9-A7CCB481447B}" name="TH"/>
    <tableColumn id="35" xr3:uid="{E9493343-4CD6-4A1A-9AF3-078BE8A3F176}" name="FR"/>
    <tableColumn id="36" xr3:uid="{796F5D27-EF12-4F5D-9891-1467CAE3F693}" name="SA"/>
    <tableColumn id="37" xr3:uid="{C360023B-9DA0-4D80-8AE4-4CA2FCF30715}" name="SU2"/>
    <tableColumn id="38" xr3:uid="{1E685991-BC34-4758-9C22-1CF81222F951}" name="MO2"/>
    <tableColumn id="39" xr3:uid="{3D7728B1-BAE3-4470-AAA5-0C62E3C56865}" name="TU2"/>
    <tableColumn id="40" xr3:uid="{841FE0D7-4A40-4F2F-AF8B-CC2F5D86DA5F}" name="WE2"/>
    <tableColumn id="41" xr3:uid="{A0710E5B-22DC-4AEB-834D-BDDD3E0993C3}" name="TH2"/>
    <tableColumn id="42" xr3:uid="{03003E68-4220-4029-AE90-4EA5802805B4}" name="FR2"/>
    <tableColumn id="43" xr3:uid="{FB124887-20D7-411C-9B02-E012A5BBFE6B}" name="SA2"/>
    <tableColumn id="44" xr3:uid="{CD976F35-9011-46D0-BFA2-819FBF2F73E5}" name="Employee1" dataDxfId="11"/>
    <tableColumn id="45" xr3:uid="{3D1C0444-9146-46F3-9EB5-DAEEC1BEC7B6}" name="Employee2" dataDxfId="10"/>
    <tableColumn id="46" xr3:uid="{FD04E63D-EA5B-44D9-8DB0-2220BAEE2900}" name="Employee3" dataDxfId="9"/>
    <tableColumn id="47" xr3:uid="{561BD00A-2E6B-4D12-9182-9038CF565447}" name="Employee4" dataDxfId="8"/>
    <tableColumn id="48" xr3:uid="{1459A839-B539-47D2-AA3A-5FFA34B51F72}" name="Employee5" dataDxfId="7"/>
    <tableColumn id="49" xr3:uid="{B74EDA5A-1BFB-45A7-815F-18ED126D65B5}" name="Employee1BS" dataDxfId="6"/>
    <tableColumn id="50" xr3:uid="{F73BC451-4BD7-451C-91C8-443665A0438A}" name="Employee2BS" dataDxfId="5"/>
    <tableColumn id="51" xr3:uid="{8FDF9D23-5D65-4CA9-868A-403323254B21}" name="Employee3BS" dataDxfId="4"/>
    <tableColumn id="52" xr3:uid="{954813AA-5FDF-4B10-B66A-079B7728C60D}" name="Employee4BS" dataDxfId="3"/>
    <tableColumn id="53" xr3:uid="{F853A4FE-28C1-49D7-B443-E1A6A34EE2B1}" name="Employee5BS" dataDxfId="2"/>
    <tableColumn id="54" xr3:uid="{19D68334-16D3-41E3-AF25-0EA834D206C5}" name="Forecast" dataDxfId="1"/>
    <tableColumn id="55" xr3:uid="{B8F7221C-10B7-462E-BBE9-F485835C9BE6}" name="Actua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07/relationships/slicer" Target="../slicers/slicer2.xml"/><Relationship Id="rId4" Type="http://schemas.openxmlformats.org/officeDocument/2006/relationships/ctrlProp" Target="../ctrlProps/ctrlProp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2F6A-E984-4425-96D7-915E7A7A0F71}">
  <dimension ref="A1"/>
  <sheetViews>
    <sheetView showRowColHeaders="0" tabSelected="1" zoomScaleNormal="100" workbookViewId="0">
      <selection activeCell="B1" sqref="B1"/>
    </sheetView>
  </sheetViews>
  <sheetFormatPr defaultColWidth="8.85546875" defaultRowHeight="15" x14ac:dyDescent="0.25"/>
  <cols>
    <col min="1" max="1" width="1.7109375" style="5" customWidth="1"/>
    <col min="2" max="16384" width="8.85546875" style="5"/>
  </cols>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Option Button 1">
              <controlPr defaultSize="0" autoFill="0" autoLine="0" autoPict="0">
                <anchor moveWithCells="1">
                  <from>
                    <xdr:col>20</xdr:col>
                    <xdr:colOff>9525</xdr:colOff>
                    <xdr:row>30</xdr:row>
                    <xdr:rowOff>85725</xdr:rowOff>
                  </from>
                  <to>
                    <xdr:col>21</xdr:col>
                    <xdr:colOff>38100</xdr:colOff>
                    <xdr:row>31</xdr:row>
                    <xdr:rowOff>123825</xdr:rowOff>
                  </to>
                </anchor>
              </controlPr>
            </control>
          </mc:Choice>
        </mc:AlternateContent>
        <mc:AlternateContent xmlns:mc="http://schemas.openxmlformats.org/markup-compatibility/2006">
          <mc:Choice Requires="x14">
            <control shapeId="1026" r:id="rId4" name="Option Button 2">
              <controlPr defaultSize="0" autoFill="0" autoLine="0" autoPict="0">
                <anchor moveWithCells="1">
                  <from>
                    <xdr:col>21</xdr:col>
                    <xdr:colOff>142875</xdr:colOff>
                    <xdr:row>30</xdr:row>
                    <xdr:rowOff>85725</xdr:rowOff>
                  </from>
                  <to>
                    <xdr:col>22</xdr:col>
                    <xdr:colOff>171450</xdr:colOff>
                    <xdr:row>31</xdr:row>
                    <xdr:rowOff>123825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AA8AD-251A-4B65-828B-6DCFC987787B}">
  <dimension ref="A48:A49"/>
  <sheetViews>
    <sheetView showRowColHeaders="0" topLeftCell="B1" zoomScaleNormal="100" workbookViewId="0">
      <selection activeCell="B1" sqref="B1"/>
    </sheetView>
  </sheetViews>
  <sheetFormatPr defaultColWidth="8.85546875" defaultRowHeight="15" x14ac:dyDescent="0.25"/>
  <cols>
    <col min="1" max="1" width="1.7109375" style="32" customWidth="1"/>
    <col min="2" max="16384" width="8.85546875" style="32"/>
  </cols>
  <sheetData>
    <row r="48" ht="14.45" customHeight="1" x14ac:dyDescent="0.25"/>
    <row r="49" ht="14.4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7169" r:id="rId3" name="Option Button 1">
              <controlPr defaultSize="0" autoFill="0" autoLine="0" autoPict="0">
                <anchor moveWithCells="1">
                  <from>
                    <xdr:col>20</xdr:col>
                    <xdr:colOff>9525</xdr:colOff>
                    <xdr:row>30</xdr:row>
                    <xdr:rowOff>85725</xdr:rowOff>
                  </from>
                  <to>
                    <xdr:col>21</xdr:col>
                    <xdr:colOff>38100</xdr:colOff>
                    <xdr:row>31</xdr:row>
                    <xdr:rowOff>123825</xdr:rowOff>
                  </to>
                </anchor>
              </controlPr>
            </control>
          </mc:Choice>
        </mc:AlternateContent>
        <mc:AlternateContent xmlns:mc="http://schemas.openxmlformats.org/markup-compatibility/2006">
          <mc:Choice Requires="x14">
            <control shapeId="7170" r:id="rId4" name="Option Button 2">
              <controlPr defaultSize="0" autoFill="0" autoLine="0" autoPict="0">
                <anchor moveWithCells="1">
                  <from>
                    <xdr:col>21</xdr:col>
                    <xdr:colOff>133350</xdr:colOff>
                    <xdr:row>30</xdr:row>
                    <xdr:rowOff>85725</xdr:rowOff>
                  </from>
                  <to>
                    <xdr:col>22</xdr:col>
                    <xdr:colOff>161925</xdr:colOff>
                    <xdr:row>31</xdr:row>
                    <xdr:rowOff>123825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D91D-BB1D-4473-BB0C-3E4D972C9B5D}">
  <dimension ref="A1:DI141"/>
  <sheetViews>
    <sheetView topLeftCell="A13" zoomScaleNormal="100" workbookViewId="0">
      <selection activeCell="G50" sqref="G50"/>
    </sheetView>
  </sheetViews>
  <sheetFormatPr defaultRowHeight="15" x14ac:dyDescent="0.25"/>
  <cols>
    <col min="1" max="1" width="19.42578125" bestFit="1" customWidth="1"/>
    <col min="2" max="2" width="13.7109375" bestFit="1" customWidth="1"/>
    <col min="3" max="3" width="18.42578125" bestFit="1" customWidth="1"/>
    <col min="4" max="4" width="16.5703125" bestFit="1" customWidth="1"/>
    <col min="5" max="5" width="21.7109375" bestFit="1" customWidth="1"/>
    <col min="6" max="6" width="19.5703125" bestFit="1" customWidth="1"/>
    <col min="7" max="7" width="22.140625" bestFit="1" customWidth="1"/>
    <col min="9" max="9" width="11.28515625" bestFit="1" customWidth="1"/>
    <col min="12" max="12" width="7.7109375" customWidth="1"/>
    <col min="13" max="13" width="8.5703125" customWidth="1"/>
    <col min="15" max="15" width="9.7109375" customWidth="1"/>
    <col min="18" max="18" width="10.42578125" customWidth="1"/>
    <col min="19" max="19" width="9.7109375" customWidth="1"/>
  </cols>
  <sheetData>
    <row r="1" spans="1:22" x14ac:dyDescent="0.25">
      <c r="A1" t="s">
        <v>10</v>
      </c>
      <c r="B1" t="s">
        <v>22</v>
      </c>
      <c r="C1" t="s">
        <v>87</v>
      </c>
      <c r="D1" t="s">
        <v>88</v>
      </c>
      <c r="E1" t="s">
        <v>89</v>
      </c>
      <c r="F1" t="s">
        <v>90</v>
      </c>
      <c r="I1" t="s">
        <v>110</v>
      </c>
      <c r="J1" s="20" t="s">
        <v>129</v>
      </c>
      <c r="N1" t="s">
        <v>135</v>
      </c>
    </row>
    <row r="2" spans="1:22" x14ac:dyDescent="0.25">
      <c r="A2" t="s">
        <v>91</v>
      </c>
      <c r="B2">
        <f>GETPIVOTDATA(""&amp;B1,Control!$A$3)</f>
        <v>60760</v>
      </c>
      <c r="C2">
        <f>GETPIVOTDATA(""&amp;C1,Control!$A$3)</f>
        <v>50950</v>
      </c>
      <c r="D2">
        <f>GETPIVOTDATA(""&amp;D1,Control!$A$3)</f>
        <v>53140</v>
      </c>
      <c r="E2">
        <f>GETPIVOTDATA(""&amp;E1,Control!$A$3)</f>
        <v>38170</v>
      </c>
      <c r="F2">
        <f>GETPIVOTDATA(""&amp;F1,Control!$A$3)</f>
        <v>34660</v>
      </c>
      <c r="I2" s="17">
        <f>GETPIVOTDATA("Sum of Payroll",Control!$A$3)</f>
        <v>118840</v>
      </c>
      <c r="J2" s="16">
        <f>GETPIVOTDATA("Average of Standard Hours",Control!$A$3)</f>
        <v>0.72</v>
      </c>
      <c r="K2" s="16">
        <f>100%-J2</f>
        <v>0.28000000000000003</v>
      </c>
      <c r="N2" s="2" t="s">
        <v>15</v>
      </c>
      <c r="O2" s="3" t="s">
        <v>136</v>
      </c>
      <c r="R2" s="2">
        <v>10</v>
      </c>
      <c r="S2" s="2">
        <v>10</v>
      </c>
      <c r="T2" s="2">
        <v>10</v>
      </c>
      <c r="U2" s="2">
        <v>10</v>
      </c>
      <c r="V2" s="2">
        <v>10</v>
      </c>
    </row>
    <row r="3" spans="1:22" x14ac:dyDescent="0.25">
      <c r="A3" t="s">
        <v>92</v>
      </c>
      <c r="B3" s="16">
        <f>B2/MAX($B$2:$F$2)</f>
        <v>1</v>
      </c>
      <c r="C3" s="16">
        <f t="shared" ref="C3:F3" si="0">C2/MAX($B$2:$F$2)</f>
        <v>0.83854509545753786</v>
      </c>
      <c r="D3" s="16">
        <f t="shared" si="0"/>
        <v>0.87458854509545758</v>
      </c>
      <c r="E3" s="16">
        <f t="shared" si="0"/>
        <v>0.62820934825543118</v>
      </c>
      <c r="F3" s="16">
        <f t="shared" si="0"/>
        <v>0.57044107965766955</v>
      </c>
      <c r="M3" s="2" t="s">
        <v>39</v>
      </c>
      <c r="N3" s="12">
        <f>GETPIVOTDATA(""&amp;M3,Control!$A$3)</f>
        <v>0.62</v>
      </c>
      <c r="O3" s="12">
        <f>GETPIVOTDATA(M3&amp;2,Control!$A$3)</f>
        <v>0.35</v>
      </c>
      <c r="P3" t="s">
        <v>22</v>
      </c>
      <c r="R3" s="2">
        <v>10</v>
      </c>
      <c r="S3" s="2">
        <v>10</v>
      </c>
      <c r="T3" s="2">
        <v>10</v>
      </c>
      <c r="U3" s="2">
        <v>10</v>
      </c>
      <c r="V3" s="2">
        <v>10</v>
      </c>
    </row>
    <row r="4" spans="1:22" x14ac:dyDescent="0.25">
      <c r="A4" t="s">
        <v>93</v>
      </c>
      <c r="B4" s="17">
        <f>SUM(B2:F2)</f>
        <v>237680</v>
      </c>
      <c r="C4" s="18">
        <f>B4</f>
        <v>237680</v>
      </c>
      <c r="M4" s="2" t="s">
        <v>40</v>
      </c>
      <c r="N4" s="12">
        <f>GETPIVOTDATA(""&amp;M4,Control!$A$3)</f>
        <v>0.87</v>
      </c>
      <c r="O4" s="12">
        <f>GETPIVOTDATA(M4&amp;2,Control!$A$3)</f>
        <v>0.45</v>
      </c>
      <c r="P4" t="s">
        <v>23</v>
      </c>
      <c r="R4" s="2">
        <v>10</v>
      </c>
      <c r="S4" s="2">
        <v>10</v>
      </c>
      <c r="T4" s="2">
        <v>10</v>
      </c>
      <c r="U4" s="2">
        <v>10</v>
      </c>
      <c r="V4" s="2">
        <v>10</v>
      </c>
    </row>
    <row r="5" spans="1:22" x14ac:dyDescent="0.25">
      <c r="M5" s="2" t="s">
        <v>41</v>
      </c>
      <c r="N5" s="12">
        <f>GETPIVOTDATA(""&amp;M5,Control!$A$3)</f>
        <v>1.18</v>
      </c>
      <c r="O5" s="12">
        <f>GETPIVOTDATA(M5&amp;2,Control!$A$3)</f>
        <v>0.63</v>
      </c>
      <c r="P5" t="s">
        <v>24</v>
      </c>
      <c r="R5" s="2">
        <v>10</v>
      </c>
      <c r="S5" s="2">
        <v>10</v>
      </c>
      <c r="T5" s="2">
        <v>10</v>
      </c>
      <c r="U5" s="2">
        <v>10</v>
      </c>
      <c r="V5" s="2">
        <v>10</v>
      </c>
    </row>
    <row r="6" spans="1:22" x14ac:dyDescent="0.25">
      <c r="B6" t="s">
        <v>94</v>
      </c>
      <c r="D6" t="s">
        <v>95</v>
      </c>
      <c r="F6" t="s">
        <v>96</v>
      </c>
      <c r="H6" t="s">
        <v>97</v>
      </c>
      <c r="J6" t="s">
        <v>98</v>
      </c>
      <c r="K6" t="s">
        <v>99</v>
      </c>
      <c r="M6" s="2" t="s">
        <v>42</v>
      </c>
      <c r="N6" s="12">
        <f>GETPIVOTDATA(""&amp;M6,Control!$A$3)</f>
        <v>0.38</v>
      </c>
      <c r="O6" s="12">
        <f>GETPIVOTDATA(M6&amp;2,Control!$A$3)</f>
        <v>0.61</v>
      </c>
      <c r="P6" t="s">
        <v>25</v>
      </c>
    </row>
    <row r="7" spans="1:22" x14ac:dyDescent="0.25">
      <c r="A7" t="s">
        <v>100</v>
      </c>
      <c r="B7" s="12" cm="1">
        <f t="array" ref="B7">(100%-B9)*INDEX($B$3:$F$3,1,B10)</f>
        <v>0.75</v>
      </c>
      <c r="C7" s="12" cm="1">
        <f t="array" ref="C7">(100%-C9)*INDEX($B$3:$F$3,1,C10)</f>
        <v>0.75</v>
      </c>
      <c r="D7" s="12" cm="1">
        <f t="array" ref="D7">(100%-D9)*INDEX($B$3:$F$3,1,D10)</f>
        <v>0.62890882159315342</v>
      </c>
      <c r="E7" s="12" cm="1">
        <f t="array" ref="E7">(100%-E9)*INDEX($B$3:$F$3,1,E10)</f>
        <v>0.62890882159315342</v>
      </c>
      <c r="F7" s="12" cm="1">
        <f t="array" ref="F7">(100%-F9)*INDEX($B$3:$F$3,1,F10)</f>
        <v>0.65594140882159313</v>
      </c>
      <c r="G7" s="12" cm="1">
        <f t="array" ref="G7">(100%-G9)*INDEX($B$3:$F$3,1,G10)</f>
        <v>0.65594140882159313</v>
      </c>
      <c r="H7" s="12" cm="1">
        <f t="array" ref="H7">(100%-H9)*INDEX($B$3:$F$3,1,H10)</f>
        <v>0.47115701119157338</v>
      </c>
      <c r="I7" s="12" cm="1">
        <f t="array" ref="I7">(100%-I9)*INDEX($B$3:$F$3,1,I10)</f>
        <v>0.47115701119157338</v>
      </c>
      <c r="J7" s="12" cm="1">
        <f t="array" ref="J7">(100%-J9)*INDEX($B$3:$F$3,1,J10)</f>
        <v>0.42783080974325216</v>
      </c>
      <c r="K7" s="16">
        <v>0.75</v>
      </c>
      <c r="M7" s="2" t="s">
        <v>43</v>
      </c>
      <c r="N7" s="12">
        <f>GETPIVOTDATA(""&amp;M7,Control!$A$3)</f>
        <v>0.36</v>
      </c>
      <c r="O7" s="12">
        <f>GETPIVOTDATA(M7&amp;2,Control!$A$3)</f>
        <v>0.53</v>
      </c>
      <c r="P7" t="s">
        <v>26</v>
      </c>
    </row>
    <row r="8" spans="1:22" x14ac:dyDescent="0.25">
      <c r="A8" t="s">
        <v>101</v>
      </c>
      <c r="B8" s="19">
        <f t="shared" ref="B8:J8" si="1">100%-B9-B7</f>
        <v>0</v>
      </c>
      <c r="C8" s="19">
        <f t="shared" si="1"/>
        <v>0</v>
      </c>
      <c r="D8" s="19">
        <f t="shared" si="1"/>
        <v>0.12109117840684658</v>
      </c>
      <c r="E8" s="19">
        <f t="shared" si="1"/>
        <v>0.12109117840684658</v>
      </c>
      <c r="F8" s="19">
        <f t="shared" si="1"/>
        <v>9.405859117840687E-2</v>
      </c>
      <c r="G8" s="19">
        <f t="shared" si="1"/>
        <v>9.405859117840687E-2</v>
      </c>
      <c r="H8" s="19">
        <f t="shared" si="1"/>
        <v>0.27884298880842662</v>
      </c>
      <c r="I8" s="19">
        <f t="shared" si="1"/>
        <v>0.27884298880842662</v>
      </c>
      <c r="J8" s="19">
        <f t="shared" si="1"/>
        <v>0.32216919025674784</v>
      </c>
      <c r="K8" s="16">
        <v>0</v>
      </c>
      <c r="M8" s="6" t="s">
        <v>93</v>
      </c>
      <c r="N8" s="22">
        <f>AVERAGE(N3:N7)</f>
        <v>0.68199999999999994</v>
      </c>
      <c r="O8" s="22">
        <f>AVERAGE(O3:O7)</f>
        <v>0.51400000000000001</v>
      </c>
    </row>
    <row r="9" spans="1:22" x14ac:dyDescent="0.25">
      <c r="A9" t="s">
        <v>102</v>
      </c>
      <c r="B9" s="19">
        <f>$K$9</f>
        <v>0.25</v>
      </c>
      <c r="C9" s="19">
        <f t="shared" ref="C9:J9" si="2">$K$9</f>
        <v>0.25</v>
      </c>
      <c r="D9" s="19">
        <f t="shared" si="2"/>
        <v>0.25</v>
      </c>
      <c r="E9" s="19">
        <f t="shared" si="2"/>
        <v>0.25</v>
      </c>
      <c r="F9" s="19">
        <f t="shared" si="2"/>
        <v>0.25</v>
      </c>
      <c r="G9" s="19">
        <f t="shared" si="2"/>
        <v>0.25</v>
      </c>
      <c r="H9" s="19">
        <f t="shared" si="2"/>
        <v>0.25</v>
      </c>
      <c r="I9" s="19">
        <f t="shared" si="2"/>
        <v>0.25</v>
      </c>
      <c r="J9" s="19">
        <f t="shared" si="2"/>
        <v>0.25</v>
      </c>
      <c r="K9" s="12">
        <f>100%-K7</f>
        <v>0.25</v>
      </c>
    </row>
    <row r="10" spans="1:22" x14ac:dyDescent="0.25">
      <c r="A10" s="19">
        <f>AVERAGE(J7,H7,F7,D7,B7)</f>
        <v>0.58676761026991442</v>
      </c>
      <c r="B10" s="2">
        <v>1</v>
      </c>
      <c r="C10" s="2">
        <v>1</v>
      </c>
      <c r="D10" s="2">
        <v>2</v>
      </c>
      <c r="E10" s="2">
        <v>2</v>
      </c>
      <c r="F10" s="2">
        <v>3</v>
      </c>
      <c r="G10" s="2">
        <v>3</v>
      </c>
      <c r="H10" s="2">
        <v>4</v>
      </c>
      <c r="I10" s="2">
        <v>4</v>
      </c>
      <c r="J10" s="2">
        <v>5</v>
      </c>
      <c r="M10" s="23" t="s">
        <v>112</v>
      </c>
      <c r="N10" t="s">
        <v>113</v>
      </c>
    </row>
    <row r="11" spans="1:22" ht="14.45" customHeight="1" x14ac:dyDescent="0.25">
      <c r="M11" s="23" t="s">
        <v>34</v>
      </c>
      <c r="N11" s="12">
        <f>GETPIVOTDATA(""&amp;M11,Control!$A$3)</f>
        <v>0.28000000000000003</v>
      </c>
      <c r="O11" s="12">
        <f t="shared" ref="O11:P15" si="3">$N11</f>
        <v>0.28000000000000003</v>
      </c>
      <c r="P11" s="12">
        <f t="shared" si="3"/>
        <v>0.28000000000000003</v>
      </c>
    </row>
    <row r="12" spans="1:22" ht="14.45" customHeight="1" x14ac:dyDescent="0.25">
      <c r="A12" t="s">
        <v>8</v>
      </c>
      <c r="B12" s="2" t="s">
        <v>66</v>
      </c>
      <c r="C12" s="2" t="s">
        <v>67</v>
      </c>
      <c r="D12" t="s">
        <v>115</v>
      </c>
      <c r="E12" s="3" t="s">
        <v>116</v>
      </c>
      <c r="F12" t="s">
        <v>137</v>
      </c>
      <c r="G12" s="2" t="s">
        <v>30</v>
      </c>
      <c r="H12" t="s">
        <v>31</v>
      </c>
      <c r="I12" s="2" t="s">
        <v>115</v>
      </c>
      <c r="M12" s="23" t="s">
        <v>35</v>
      </c>
      <c r="N12" s="12">
        <f>GETPIVOTDATA(""&amp;M12,Control!$A$3)</f>
        <v>0.21</v>
      </c>
      <c r="O12" s="12">
        <f t="shared" si="3"/>
        <v>0.21</v>
      </c>
      <c r="P12" s="12">
        <f t="shared" si="3"/>
        <v>0.21</v>
      </c>
    </row>
    <row r="13" spans="1:22" x14ac:dyDescent="0.25">
      <c r="A13" s="2" t="s">
        <v>68</v>
      </c>
      <c r="B13" s="2">
        <f>GETPIVOTDATA(""&amp;B$12,Control!$A$20,"Month",""&amp;$A13)</f>
        <v>50000</v>
      </c>
      <c r="C13" s="2">
        <f>GETPIVOTDATA(""&amp;C$12,Control!$A$20,"Month",""&amp;$A13)</f>
        <v>40000</v>
      </c>
      <c r="D13" s="2" t="e">
        <f>IFERROR(GETPIVOTDATA(""&amp;C$12,Control!$A$3,"Month",""&amp;$A13),NA())</f>
        <v>#N/A</v>
      </c>
      <c r="E13" s="2" t="str">
        <f>IF(ISNA(D13),"",ROUND(D13/1000,0)&amp;"k")</f>
        <v/>
      </c>
      <c r="H13">
        <f>H14</f>
        <v>60000</v>
      </c>
      <c r="M13" s="23" t="s">
        <v>36</v>
      </c>
      <c r="N13" s="12">
        <f>GETPIVOTDATA(""&amp;M13,Control!$A$3)</f>
        <v>0.13</v>
      </c>
      <c r="O13" s="12">
        <f t="shared" si="3"/>
        <v>0.13</v>
      </c>
      <c r="P13" s="12">
        <f t="shared" si="3"/>
        <v>0.13</v>
      </c>
    </row>
    <row r="14" spans="1:22" x14ac:dyDescent="0.25">
      <c r="A14" s="2" t="s">
        <v>69</v>
      </c>
      <c r="B14" s="2">
        <f>GETPIVOTDATA(""&amp;B$12,Control!$A$20,"Month",""&amp;$A14)</f>
        <v>40000</v>
      </c>
      <c r="C14" s="2">
        <f>GETPIVOTDATA(""&amp;C$12,Control!$A$20,"Month",""&amp;$A14)</f>
        <v>50000</v>
      </c>
      <c r="D14" s="2" t="e">
        <f>IFERROR(GETPIVOTDATA(""&amp;C$12,Control!$A$3,"Month",""&amp;$A14),NA())</f>
        <v>#N/A</v>
      </c>
      <c r="E14" s="2" t="str">
        <f t="shared" ref="E14:E24" si="4">IF(ISNA(D14),"",ROUND(D14/1000,0)&amp;"k")</f>
        <v/>
      </c>
      <c r="F14" s="2" t="s">
        <v>68</v>
      </c>
      <c r="G14">
        <f>GETPIVOTDATA(""&amp;G$12,Control!$A$20,"Month",""&amp;$F14)</f>
        <v>53818</v>
      </c>
      <c r="H14">
        <f>GETPIVOTDATA(""&amp;H$12,Control!$A$20,"Month",""&amp;$F14)</f>
        <v>60000</v>
      </c>
      <c r="I14" t="e">
        <f>IFERROR(GETPIVOTDATA("Sum of Payroll",Control!$A$3,"Month",""&amp;F14),NA())</f>
        <v>#N/A</v>
      </c>
      <c r="M14" s="23" t="s">
        <v>37</v>
      </c>
      <c r="N14" s="12">
        <f>GETPIVOTDATA(""&amp;M14,Control!$A$3)</f>
        <v>0.05</v>
      </c>
      <c r="O14" s="12">
        <f t="shared" si="3"/>
        <v>0.05</v>
      </c>
      <c r="P14" s="12">
        <f t="shared" si="3"/>
        <v>0.05</v>
      </c>
    </row>
    <row r="15" spans="1:22" x14ac:dyDescent="0.25">
      <c r="A15" s="2" t="s">
        <v>70</v>
      </c>
      <c r="B15" s="2">
        <f>GETPIVOTDATA(""&amp;B$12,Control!$A$20,"Month",""&amp;$A15)</f>
        <v>50000</v>
      </c>
      <c r="C15" s="2">
        <f>GETPIVOTDATA(""&amp;C$12,Control!$A$20,"Month",""&amp;$A15)</f>
        <v>35000</v>
      </c>
      <c r="D15" s="2" t="e">
        <f>IFERROR(GETPIVOTDATA(""&amp;C$12,Control!$A$3,"Month",""&amp;$A15),NA())</f>
        <v>#N/A</v>
      </c>
      <c r="E15" s="2" t="str">
        <f t="shared" si="4"/>
        <v/>
      </c>
      <c r="F15" s="2" t="s">
        <v>69</v>
      </c>
      <c r="G15">
        <f>GETPIVOTDATA(""&amp;G$12,Control!$A$20,"Month",""&amp;$F15)</f>
        <v>76798</v>
      </c>
      <c r="H15">
        <f>GETPIVOTDATA(""&amp;H$12,Control!$A$20,"Month",""&amp;$F15)</f>
        <v>60000</v>
      </c>
      <c r="I15" t="e">
        <f>IFERROR(GETPIVOTDATA("Sum of Payroll",Control!$A$3,"Month",""&amp;F15),NA())</f>
        <v>#N/A</v>
      </c>
      <c r="M15" s="23" t="s">
        <v>38</v>
      </c>
      <c r="N15" s="12">
        <f>GETPIVOTDATA(""&amp;M15,Control!$A$3)</f>
        <v>0.32999999999999996</v>
      </c>
      <c r="O15" s="12">
        <f t="shared" si="3"/>
        <v>0.32999999999999996</v>
      </c>
      <c r="P15" s="12">
        <f t="shared" si="3"/>
        <v>0.32999999999999996</v>
      </c>
    </row>
    <row r="16" spans="1:22" x14ac:dyDescent="0.25">
      <c r="A16" s="2" t="s">
        <v>71</v>
      </c>
      <c r="B16" s="2">
        <f>GETPIVOTDATA(""&amp;B$12,Control!$A$20,"Month",""&amp;$A16)</f>
        <v>45000</v>
      </c>
      <c r="C16" s="2">
        <f>GETPIVOTDATA(""&amp;C$12,Control!$A$20,"Month",""&amp;$A16)</f>
        <v>55000</v>
      </c>
      <c r="D16" s="2" t="e">
        <f>IFERROR(GETPIVOTDATA(""&amp;C$12,Control!$A$3,"Month",""&amp;$A16),NA())</f>
        <v>#N/A</v>
      </c>
      <c r="E16" s="2" t="str">
        <f t="shared" si="4"/>
        <v/>
      </c>
      <c r="F16" s="2" t="s">
        <v>70</v>
      </c>
      <c r="G16">
        <f>GETPIVOTDATA(""&amp;G$12,Control!$A$20,"Month",""&amp;$F16)</f>
        <v>78380</v>
      </c>
      <c r="H16">
        <f>GETPIVOTDATA(""&amp;H$12,Control!$A$20,"Month",""&amp;$F16)</f>
        <v>60000</v>
      </c>
      <c r="I16" t="e">
        <f>IFERROR(GETPIVOTDATA("Sum of Payroll",Control!$A$3,"Month",""&amp;F16),NA())</f>
        <v>#N/A</v>
      </c>
    </row>
    <row r="17" spans="1:29" x14ac:dyDescent="0.25">
      <c r="A17" s="2" t="s">
        <v>72</v>
      </c>
      <c r="B17" s="2">
        <f>GETPIVOTDATA(""&amp;B$12,Control!$A$20,"Month",""&amp;$A17)</f>
        <v>70000</v>
      </c>
      <c r="C17" s="2">
        <f>GETPIVOTDATA(""&amp;C$12,Control!$A$20,"Month",""&amp;$A17)</f>
        <v>60000</v>
      </c>
      <c r="D17" s="2" t="e">
        <f>IFERROR(GETPIVOTDATA(""&amp;C$12,Control!$A$3,"Month",""&amp;$A17),NA())</f>
        <v>#N/A</v>
      </c>
      <c r="E17" s="2" t="str">
        <f t="shared" si="4"/>
        <v/>
      </c>
      <c r="F17" s="2" t="s">
        <v>71</v>
      </c>
      <c r="G17">
        <f>GETPIVOTDATA(""&amp;G$12,Control!$A$20,"Month",""&amp;$F17)</f>
        <v>80403</v>
      </c>
      <c r="H17">
        <f>GETPIVOTDATA(""&amp;H$12,Control!$A$20,"Month",""&amp;$F17)</f>
        <v>60000</v>
      </c>
      <c r="I17" t="e">
        <f>IFERROR(GETPIVOTDATA("Sum of Payroll",Control!$A$3,"Month",""&amp;F17),NA())</f>
        <v>#N/A</v>
      </c>
      <c r="M17" s="2" t="str">
        <f>CHOOSE($O$24,"",M18)</f>
        <v/>
      </c>
      <c r="N17" s="2" t="str">
        <f>CHOOSE($O$24,N18,"")</f>
        <v>Bonus</v>
      </c>
      <c r="O17" s="2">
        <f>O24+2</f>
        <v>3</v>
      </c>
    </row>
    <row r="18" spans="1:29" x14ac:dyDescent="0.25">
      <c r="A18" s="2" t="s">
        <v>73</v>
      </c>
      <c r="B18" s="2">
        <f>GETPIVOTDATA(""&amp;B$12,Control!$A$20,"Month",""&amp;$A18)</f>
        <v>60000</v>
      </c>
      <c r="C18" s="2">
        <f>GETPIVOTDATA(""&amp;C$12,Control!$A$20,"Month",""&amp;$A18)</f>
        <v>80000</v>
      </c>
      <c r="D18" s="2" t="e">
        <f>IFERROR(GETPIVOTDATA(""&amp;C$12,Control!$A$3,"Month",""&amp;$A18),NA())</f>
        <v>#N/A</v>
      </c>
      <c r="E18" s="2" t="str">
        <f t="shared" si="4"/>
        <v/>
      </c>
      <c r="F18" s="2" t="s">
        <v>72</v>
      </c>
      <c r="G18">
        <f>GETPIVOTDATA(""&amp;G$12,Control!$A$20,"Month",""&amp;$F18)</f>
        <v>110090</v>
      </c>
      <c r="H18">
        <f>GETPIVOTDATA(""&amp;H$12,Control!$A$20,"Month",""&amp;$F18)</f>
        <v>60000</v>
      </c>
      <c r="I18" t="e">
        <f>IFERROR(GETPIVOTDATA("Sum of Payroll",Control!$A$3,"Month",""&amp;F18),NA())</f>
        <v>#N/A</v>
      </c>
      <c r="K18" s="24" t="s">
        <v>152</v>
      </c>
      <c r="L18" s="25">
        <v>1</v>
      </c>
      <c r="M18" s="6" t="s">
        <v>139</v>
      </c>
      <c r="N18" s="6" t="s">
        <v>18</v>
      </c>
      <c r="O18" s="6" t="s">
        <v>140</v>
      </c>
      <c r="P18" s="7" t="s">
        <v>93</v>
      </c>
      <c r="Q18" s="7" t="s">
        <v>18</v>
      </c>
      <c r="R18" s="26" t="s">
        <v>19</v>
      </c>
      <c r="S18" s="9" t="s">
        <v>141</v>
      </c>
      <c r="T18" s="9" t="s">
        <v>93</v>
      </c>
      <c r="U18" s="9" t="s">
        <v>18</v>
      </c>
      <c r="V18" s="9" t="s">
        <v>19</v>
      </c>
    </row>
    <row r="19" spans="1:29" x14ac:dyDescent="0.25">
      <c r="A19" s="2" t="s">
        <v>74</v>
      </c>
      <c r="B19" s="2">
        <f>GETPIVOTDATA(""&amp;B$12,Control!$A$20,"Month",""&amp;$A19)</f>
        <v>80000</v>
      </c>
      <c r="C19" s="2">
        <f>GETPIVOTDATA(""&amp;C$12,Control!$A$20,"Month",""&amp;$A19)</f>
        <v>95000</v>
      </c>
      <c r="D19" s="2" t="e">
        <f>IFERROR(GETPIVOTDATA(""&amp;C$12,Control!$A$3,"Month",""&amp;$A19),NA())</f>
        <v>#N/A</v>
      </c>
      <c r="E19" s="2" t="str">
        <f t="shared" si="4"/>
        <v/>
      </c>
      <c r="F19" s="2" t="s">
        <v>73</v>
      </c>
      <c r="G19">
        <f>GETPIVOTDATA(""&amp;G$12,Control!$A$20,"Month",""&amp;$F19)</f>
        <v>127270</v>
      </c>
      <c r="H19">
        <f>GETPIVOTDATA(""&amp;H$12,Control!$A$20,"Month",""&amp;$F19)</f>
        <v>60000</v>
      </c>
      <c r="I19" t="e">
        <f>IFERROR(GETPIVOTDATA("Sum of Payroll",Control!$A$3,"Month",""&amp;F19),NA())</f>
        <v>#N/A</v>
      </c>
      <c r="K19" s="23" t="str">
        <f>O19</f>
        <v>Employee1</v>
      </c>
      <c r="L19" s="4">
        <f>$L$18</f>
        <v>1</v>
      </c>
      <c r="M19" s="16">
        <f>R19/MAX($P$19:$P$23)+$K$24</f>
        <v>0.77272727272727271</v>
      </c>
      <c r="N19" s="12">
        <f>Q19/MAX($P$19:$P$23)</f>
        <v>0.73484848484848486</v>
      </c>
      <c r="O19" t="str">
        <f t="array" ref="O19:R23">_xlfn._xlws.SORT(S19:V23,$O$17,-1)</f>
        <v>Employee1</v>
      </c>
      <c r="P19">
        <v>13200</v>
      </c>
      <c r="Q19">
        <v>9700</v>
      </c>
      <c r="R19">
        <v>3500</v>
      </c>
      <c r="S19" s="23" t="s">
        <v>56</v>
      </c>
      <c r="T19" s="8">
        <f>SUM(U19:V19)</f>
        <v>13200</v>
      </c>
      <c r="U19">
        <f>GETPIVOTDATA(""&amp;S19,Control!$A$3)</f>
        <v>9700</v>
      </c>
      <c r="V19">
        <f>GETPIVOTDATA(S19&amp;"BS",Control!$A$3)</f>
        <v>3500</v>
      </c>
    </row>
    <row r="20" spans="1:29" x14ac:dyDescent="0.25">
      <c r="A20" s="2" t="s">
        <v>75</v>
      </c>
      <c r="B20" s="2">
        <f>GETPIVOTDATA(""&amp;B$12,Control!$A$20,"Month",""&amp;$A20)</f>
        <v>70000</v>
      </c>
      <c r="C20" s="2">
        <f>GETPIVOTDATA(""&amp;C$12,Control!$A$20,"Month",""&amp;$A20)</f>
        <v>90000</v>
      </c>
      <c r="D20" s="2" t="e">
        <f>IFERROR(GETPIVOTDATA(""&amp;C$12,Control!$A$3,"Month",""&amp;$A20),NA())</f>
        <v>#N/A</v>
      </c>
      <c r="E20" s="2" t="str">
        <f t="shared" si="4"/>
        <v/>
      </c>
      <c r="F20" s="2" t="s">
        <v>74</v>
      </c>
      <c r="G20">
        <f>GETPIVOTDATA(""&amp;G$12,Control!$A$20,"Month",""&amp;$F20)</f>
        <v>127090</v>
      </c>
      <c r="H20">
        <f>GETPIVOTDATA(""&amp;H$12,Control!$A$20,"Month",""&amp;$F20)</f>
        <v>60000</v>
      </c>
      <c r="I20" t="e">
        <f>IFERROR(GETPIVOTDATA("Sum of Payroll",Control!$A$3,"Month",""&amp;F20),NA())</f>
        <v>#N/A</v>
      </c>
      <c r="K20" s="23" t="str">
        <f t="shared" ref="K20:K23" si="5">O20</f>
        <v>Employee5</v>
      </c>
      <c r="L20" s="4">
        <f t="shared" ref="L20:L23" si="6">$L$18</f>
        <v>1</v>
      </c>
      <c r="M20" s="16">
        <f t="shared" ref="M20:M23" si="7">R20/MAX($P$19:$P$23)+$K$24</f>
        <v>0.73484848484848486</v>
      </c>
      <c r="N20" s="12">
        <f t="shared" ref="N20:N23" si="8">Q20/MAX($P$19:$P$23)</f>
        <v>0.45454545454545453</v>
      </c>
      <c r="O20" t="str">
        <v>Employee5</v>
      </c>
      <c r="P20">
        <v>9000</v>
      </c>
      <c r="Q20">
        <v>6000</v>
      </c>
      <c r="R20">
        <v>3000</v>
      </c>
      <c r="S20" s="23" t="s">
        <v>57</v>
      </c>
      <c r="T20" s="8">
        <f t="shared" ref="T20:T23" si="9">SUM(U20:V20)</f>
        <v>9400</v>
      </c>
      <c r="U20">
        <f>GETPIVOTDATA(""&amp;S20,Control!$A$3)</f>
        <v>2900</v>
      </c>
      <c r="V20">
        <f>GETPIVOTDATA(S20&amp;"BS",Control!$A$3)</f>
        <v>6500</v>
      </c>
    </row>
    <row r="21" spans="1:29" x14ac:dyDescent="0.25">
      <c r="A21" s="2" t="s">
        <v>76</v>
      </c>
      <c r="B21" s="2">
        <f>GETPIVOTDATA(""&amp;B$12,Control!$A$20,"Month",""&amp;$A21)</f>
        <v>80000</v>
      </c>
      <c r="C21" s="2">
        <f>GETPIVOTDATA(""&amp;C$12,Control!$A$20,"Month",""&amp;$A21)</f>
        <v>70000</v>
      </c>
      <c r="D21" s="2" t="e">
        <f>IFERROR(GETPIVOTDATA(""&amp;C$12,Control!$A$3,"Month",""&amp;$A21),NA())</f>
        <v>#N/A</v>
      </c>
      <c r="E21" s="2" t="str">
        <f t="shared" si="4"/>
        <v/>
      </c>
      <c r="F21" s="2" t="s">
        <v>75</v>
      </c>
      <c r="G21">
        <f>GETPIVOTDATA(""&amp;G$12,Control!$A$20,"Month",""&amp;$F21)</f>
        <v>126645</v>
      </c>
      <c r="H21">
        <f>GETPIVOTDATA(""&amp;H$12,Control!$A$20,"Month",""&amp;$F21)</f>
        <v>60000</v>
      </c>
      <c r="I21" t="e">
        <f>IFERROR(GETPIVOTDATA("Sum of Payroll",Control!$A$3,"Month",""&amp;F21),NA())</f>
        <v>#N/A</v>
      </c>
      <c r="K21" s="23" t="str">
        <f t="shared" si="5"/>
        <v>Employee4</v>
      </c>
      <c r="L21" s="4">
        <f t="shared" si="6"/>
        <v>1</v>
      </c>
      <c r="M21" s="16">
        <f t="shared" si="7"/>
        <v>0.95454545454545459</v>
      </c>
      <c r="N21" s="12">
        <f t="shared" si="8"/>
        <v>0.40151515151515149</v>
      </c>
      <c r="O21" t="str">
        <v>Employee4</v>
      </c>
      <c r="P21">
        <v>11200</v>
      </c>
      <c r="Q21">
        <v>5300</v>
      </c>
      <c r="R21">
        <v>5900</v>
      </c>
      <c r="S21" s="23" t="s">
        <v>58</v>
      </c>
      <c r="T21" s="8">
        <f t="shared" si="9"/>
        <v>7000</v>
      </c>
      <c r="U21">
        <f>GETPIVOTDATA(""&amp;S21,Control!$A$3)</f>
        <v>4600</v>
      </c>
      <c r="V21">
        <f>GETPIVOTDATA(S21&amp;"BS",Control!$A$3)</f>
        <v>2400</v>
      </c>
    </row>
    <row r="22" spans="1:29" x14ac:dyDescent="0.25">
      <c r="A22" s="2" t="s">
        <v>77</v>
      </c>
      <c r="B22" s="2">
        <f>GETPIVOTDATA(""&amp;B$12,Control!$A$20,"Month",""&amp;$A22)</f>
        <v>100000</v>
      </c>
      <c r="C22" s="2">
        <f>GETPIVOTDATA(""&amp;C$12,Control!$A$20,"Month",""&amp;$A22)</f>
        <v>80000</v>
      </c>
      <c r="D22" s="2">
        <f>IFERROR(GETPIVOTDATA(""&amp;C$12,Control!$A$3,"Month",""&amp;$A22),NA())</f>
        <v>80000</v>
      </c>
      <c r="E22" s="2" t="str">
        <f t="shared" si="4"/>
        <v>80k</v>
      </c>
      <c r="F22" s="2" t="s">
        <v>76</v>
      </c>
      <c r="G22">
        <f>GETPIVOTDATA(""&amp;G$12,Control!$A$20,"Month",""&amp;$F22)</f>
        <v>121425</v>
      </c>
      <c r="H22">
        <f>GETPIVOTDATA(""&amp;H$12,Control!$A$20,"Month",""&amp;$F22)</f>
        <v>60000</v>
      </c>
      <c r="I22" t="e">
        <f>IFERROR(GETPIVOTDATA("Sum of Payroll",Control!$A$3,"Month",""&amp;F22),NA())</f>
        <v>#N/A</v>
      </c>
      <c r="K22" s="23" t="str">
        <f t="shared" si="5"/>
        <v>Employee3</v>
      </c>
      <c r="L22" s="4">
        <f t="shared" si="6"/>
        <v>1</v>
      </c>
      <c r="M22" s="16">
        <f t="shared" si="7"/>
        <v>0.68939393939393945</v>
      </c>
      <c r="N22" s="12">
        <f t="shared" si="8"/>
        <v>0.34848484848484851</v>
      </c>
      <c r="O22" t="str">
        <v>Employee3</v>
      </c>
      <c r="P22">
        <v>7000</v>
      </c>
      <c r="Q22">
        <v>4600</v>
      </c>
      <c r="R22">
        <v>2400</v>
      </c>
      <c r="S22" s="23" t="s">
        <v>59</v>
      </c>
      <c r="T22" s="8">
        <f t="shared" si="9"/>
        <v>11200</v>
      </c>
      <c r="U22">
        <f>GETPIVOTDATA(""&amp;S22,Control!$A$3)</f>
        <v>5300</v>
      </c>
      <c r="V22">
        <f>GETPIVOTDATA(S22&amp;"BS",Control!$A$3)</f>
        <v>5900</v>
      </c>
    </row>
    <row r="23" spans="1:29" x14ac:dyDescent="0.25">
      <c r="A23" s="2" t="s">
        <v>78</v>
      </c>
      <c r="B23" s="2">
        <f>GETPIVOTDATA(""&amp;B$12,Control!$A$20,"Month",""&amp;$A23)</f>
        <v>95000</v>
      </c>
      <c r="C23" s="2">
        <f>GETPIVOTDATA(""&amp;C$12,Control!$A$20,"Month",""&amp;$A23)</f>
        <v>60000</v>
      </c>
      <c r="D23" s="2" t="e">
        <f>IFERROR(GETPIVOTDATA(""&amp;C$12,Control!$A$3,"Month",""&amp;$A23),NA())</f>
        <v>#N/A</v>
      </c>
      <c r="E23" s="2" t="str">
        <f t="shared" si="4"/>
        <v/>
      </c>
      <c r="F23" s="2" t="s">
        <v>77</v>
      </c>
      <c r="G23">
        <f>GETPIVOTDATA(""&amp;G$12,Control!$A$20,"Month",""&amp;$F23)</f>
        <v>118840</v>
      </c>
      <c r="H23">
        <f>GETPIVOTDATA(""&amp;H$12,Control!$A$20,"Month",""&amp;$F23)</f>
        <v>60000</v>
      </c>
      <c r="I23">
        <f>IFERROR(GETPIVOTDATA("Sum of Payroll",Control!$A$3,"Month",""&amp;F23),NA())</f>
        <v>118840</v>
      </c>
      <c r="K23" s="23" t="str">
        <f t="shared" si="5"/>
        <v>Employee2</v>
      </c>
      <c r="L23" s="4">
        <f t="shared" si="6"/>
        <v>1</v>
      </c>
      <c r="M23" s="16">
        <f t="shared" si="7"/>
        <v>1</v>
      </c>
      <c r="N23" s="12">
        <f t="shared" si="8"/>
        <v>0.2196969696969697</v>
      </c>
      <c r="O23" t="str">
        <v>Employee2</v>
      </c>
      <c r="P23">
        <v>9400</v>
      </c>
      <c r="Q23">
        <v>2900</v>
      </c>
      <c r="R23">
        <v>6500</v>
      </c>
      <c r="S23" s="23" t="s">
        <v>60</v>
      </c>
      <c r="T23" s="8">
        <f t="shared" si="9"/>
        <v>9000</v>
      </c>
      <c r="U23">
        <f>GETPIVOTDATA(""&amp;S23,Control!$A$3)</f>
        <v>6000</v>
      </c>
      <c r="V23">
        <f>GETPIVOTDATA(S23&amp;"BS",Control!$A$3)</f>
        <v>3000</v>
      </c>
    </row>
    <row r="24" spans="1:29" x14ac:dyDescent="0.25">
      <c r="A24" s="2" t="s">
        <v>79</v>
      </c>
      <c r="B24" s="2">
        <f>GETPIVOTDATA(""&amp;B$12,Control!$A$20,"Month",""&amp;$A24)</f>
        <v>80000</v>
      </c>
      <c r="C24" s="2">
        <f>GETPIVOTDATA(""&amp;C$12,Control!$A$20,"Month",""&amp;$A24)</f>
        <v>50000</v>
      </c>
      <c r="D24" s="2" t="e">
        <f>IFERROR(GETPIVOTDATA(""&amp;C$12,Control!$A$3,"Month",""&amp;$A24),NA())</f>
        <v>#N/A</v>
      </c>
      <c r="E24" s="2" t="str">
        <f t="shared" si="4"/>
        <v/>
      </c>
      <c r="F24" s="2" t="s">
        <v>78</v>
      </c>
      <c r="G24">
        <f>GETPIVOTDATA(""&amp;G$12,Control!$A$20,"Month",""&amp;$F24)</f>
        <v>98685</v>
      </c>
      <c r="H24">
        <f>GETPIVOTDATA(""&amp;H$12,Control!$A$20,"Month",""&amp;$F24)</f>
        <v>60000</v>
      </c>
      <c r="I24" t="e">
        <f>IFERROR(GETPIVOTDATA("Sum of Payroll",Control!$A$3,"Month",""&amp;F24),NA())</f>
        <v>#N/A</v>
      </c>
      <c r="K24" s="4">
        <f>L18-L24</f>
        <v>0.50757575757575757</v>
      </c>
      <c r="L24" s="4">
        <f>MAX(R19:R23)/MAX($P$19:$P$23)</f>
        <v>0.49242424242424243</v>
      </c>
      <c r="O24" s="2">
        <v>1</v>
      </c>
    </row>
    <row r="25" spans="1:29" x14ac:dyDescent="0.25">
      <c r="A25" s="9" t="s">
        <v>93</v>
      </c>
      <c r="B25" s="21">
        <v>495000</v>
      </c>
      <c r="C25" s="21">
        <v>290000</v>
      </c>
      <c r="F25" s="2" t="s">
        <v>79</v>
      </c>
      <c r="G25">
        <f>GETPIVOTDATA(""&amp;G$12,Control!$A$20,"Month",""&amp;$F25)</f>
        <v>98395</v>
      </c>
      <c r="H25">
        <f>GETPIVOTDATA(""&amp;H$12,Control!$A$20,"Month",""&amp;$F25)</f>
        <v>60000</v>
      </c>
      <c r="I25" t="e">
        <f>IFERROR(GETPIVOTDATA("Sum of Payroll",Control!$A$3,"Month",""&amp;F25),NA())</f>
        <v>#N/A</v>
      </c>
    </row>
    <row r="26" spans="1:29" x14ac:dyDescent="0.25">
      <c r="F26" s="9"/>
      <c r="G26" s="9"/>
      <c r="H26">
        <f>H25</f>
        <v>60000</v>
      </c>
      <c r="I26" s="21"/>
      <c r="N26" t="s">
        <v>162</v>
      </c>
    </row>
    <row r="27" spans="1:29" x14ac:dyDescent="0.25">
      <c r="A27" s="7" t="s">
        <v>20</v>
      </c>
      <c r="B27" s="7" t="s">
        <v>21</v>
      </c>
      <c r="I27" s="21">
        <f>GETPIVOTDATA("Sum of Payroll",Control!$A$3)</f>
        <v>118840</v>
      </c>
    </row>
    <row r="28" spans="1:29" x14ac:dyDescent="0.25">
      <c r="A28" s="2">
        <f>MAX(Control!A37:A40)</f>
        <v>2025</v>
      </c>
      <c r="B28" s="2" t="str" cm="1">
        <f t="array" ref="B28">INDEX(Control!A4:A15,COUNTA(Control!A4:A16)-1)</f>
        <v>OCT</v>
      </c>
    </row>
    <row r="29" spans="1:29" x14ac:dyDescent="0.25">
      <c r="A29" s="7" t="s">
        <v>153</v>
      </c>
      <c r="B29" s="8" t="s">
        <v>157</v>
      </c>
      <c r="C29" s="8" t="s">
        <v>156</v>
      </c>
      <c r="D29" s="8" t="s">
        <v>155</v>
      </c>
      <c r="E29" s="8" t="s">
        <v>154</v>
      </c>
      <c r="G29" s="20" t="s">
        <v>158</v>
      </c>
      <c r="H29" s="7" t="s">
        <v>153</v>
      </c>
      <c r="I29" s="8" t="s">
        <v>157</v>
      </c>
      <c r="J29" s="8" t="s">
        <v>156</v>
      </c>
      <c r="K29" s="8" t="s">
        <v>155</v>
      </c>
      <c r="L29" s="8" t="s">
        <v>154</v>
      </c>
    </row>
    <row r="30" spans="1:29" x14ac:dyDescent="0.25">
      <c r="A30" s="8">
        <v>1</v>
      </c>
      <c r="B30" s="8" cm="1">
        <f t="array" ref="B30">INDEX('HOTMAP-DATA'!$D$2:$G$1345,MATCH($A$28&amp;$B$28&amp;$A30,'HOTMAP-DATA'!$A$2:$A$1345&amp;'HOTMAP-DATA'!$B$2:$B$1345&amp;'HOTMAP-DATA'!$C$2:$C$1345,0),COLUMN(A$1))</f>
        <v>3</v>
      </c>
      <c r="C30" s="8" cm="1">
        <f t="array" ref="C30">INDEX('HOTMAP-DATA'!$D$2:$G$1345,MATCH($A$28&amp;$B$28&amp;$A30,'HOTMAP-DATA'!$A$2:$A$1345&amp;'HOTMAP-DATA'!$B$2:$B$1345&amp;'HOTMAP-DATA'!$C$2:$C$1345,0),COLUMN(B$1))</f>
        <v>2</v>
      </c>
      <c r="D30" s="8" cm="1">
        <f t="array" ref="D30">INDEX('HOTMAP-DATA'!$D$2:$G$1345,MATCH($A$28&amp;$B$28&amp;$A30,'HOTMAP-DATA'!$A$2:$A$1345&amp;'HOTMAP-DATA'!$B$2:$B$1345&amp;'HOTMAP-DATA'!$C$2:$C$1345,0),COLUMN(C$1))</f>
        <v>2</v>
      </c>
      <c r="E30" s="8" cm="1">
        <f t="array" ref="E30">INDEX('HOTMAP-DATA'!$D$2:$G$1345,MATCH($A$28&amp;$B$28&amp;$A30,'HOTMAP-DATA'!$A$2:$A$1345&amp;'HOTMAP-DATA'!$B$2:$B$1345&amp;'HOTMAP-DATA'!$C$2:$C$1345,0),COLUMN(D$1))</f>
        <v>2</v>
      </c>
      <c r="F30" s="31" t="s">
        <v>159</v>
      </c>
      <c r="G30" s="8">
        <v>1</v>
      </c>
      <c r="H30" s="8">
        <f>INT((ROW(A1)-1)/4)+1</f>
        <v>1</v>
      </c>
      <c r="I30" s="8" t="b" cm="1">
        <f t="array" ref="I30">INDEX(B$30:B$57,$H30)=$G30</f>
        <v>0</v>
      </c>
      <c r="J30" s="8" t="b" cm="1">
        <f t="array" ref="J30">INDEX(C$30:C$57,$H30)=$G30</f>
        <v>0</v>
      </c>
      <c r="K30" s="8" t="b" cm="1">
        <f t="array" ref="K30">INDEX(D$30:D$57,$H30)=$G30</f>
        <v>0</v>
      </c>
      <c r="L30" s="8" t="b" cm="1">
        <f t="array" ref="L30">INDEX(E$30:E$57,$H30)=$G30</f>
        <v>0</v>
      </c>
      <c r="M30" s="8" t="b">
        <v>1</v>
      </c>
      <c r="N30" s="8" t="b">
        <v>1</v>
      </c>
      <c r="O30" s="8" t="b">
        <v>1</v>
      </c>
      <c r="P30" s="8" t="b">
        <v>1</v>
      </c>
      <c r="Q30" s="8"/>
      <c r="R30" s="8"/>
      <c r="S30" s="8"/>
      <c r="T30" s="8"/>
      <c r="U30" s="8"/>
      <c r="V30" s="8"/>
      <c r="W30" s="8"/>
      <c r="X30" s="8"/>
      <c r="Y30" s="8"/>
      <c r="Z30" s="8"/>
      <c r="AA30" s="8"/>
      <c r="AB30" s="8"/>
      <c r="AC30" s="8"/>
    </row>
    <row r="31" spans="1:29" x14ac:dyDescent="0.25">
      <c r="A31" s="8">
        <v>2</v>
      </c>
      <c r="B31" s="8" cm="1">
        <f t="array" ref="B31">INDEX('HOTMAP-DATA'!$D$2:$G$1345,MATCH($A$28&amp;$B$28&amp;$A31,'HOTMAP-DATA'!$A$2:$A$1345&amp;'HOTMAP-DATA'!$B$2:$B$1345&amp;'HOTMAP-DATA'!$C$2:$C$1345,0),COLUMN(A$1))</f>
        <v>4</v>
      </c>
      <c r="C31" s="8" cm="1">
        <f t="array" ref="C31">INDEX('HOTMAP-DATA'!$D$2:$G$1345,MATCH($A$28&amp;$B$28&amp;$A31,'HOTMAP-DATA'!$A$2:$A$1345&amp;'HOTMAP-DATA'!$B$2:$B$1345&amp;'HOTMAP-DATA'!$C$2:$C$1345,0),COLUMN(B$1))</f>
        <v>1</v>
      </c>
      <c r="D31" s="8" cm="1">
        <f t="array" ref="D31">INDEX('HOTMAP-DATA'!$D$2:$G$1345,MATCH($A$28&amp;$B$28&amp;$A31,'HOTMAP-DATA'!$A$2:$A$1345&amp;'HOTMAP-DATA'!$B$2:$B$1345&amp;'HOTMAP-DATA'!$C$2:$C$1345,0),COLUMN(C$1))</f>
        <v>2</v>
      </c>
      <c r="E31" s="8" cm="1">
        <f t="array" ref="E31">INDEX('HOTMAP-DATA'!$D$2:$G$1345,MATCH($A$28&amp;$B$28&amp;$A31,'HOTMAP-DATA'!$A$2:$A$1345&amp;'HOTMAP-DATA'!$B$2:$B$1345&amp;'HOTMAP-DATA'!$C$2:$C$1345,0),COLUMN(D$1))</f>
        <v>1</v>
      </c>
      <c r="F31" s="27" t="s">
        <v>32</v>
      </c>
      <c r="G31" s="8">
        <v>2</v>
      </c>
      <c r="H31" s="8">
        <f t="shared" ref="H31:H94" si="10">INT((ROW(A2)-1)/4)+1</f>
        <v>1</v>
      </c>
      <c r="I31" s="8" t="b" cm="1">
        <f t="array" ref="I31">INDEX(B$30:B$57,$H31)=$G31</f>
        <v>0</v>
      </c>
      <c r="J31" s="8" t="b" cm="1">
        <f t="array" ref="J31">INDEX(C$30:C$57,$H31)=$G31</f>
        <v>1</v>
      </c>
      <c r="K31" s="8" t="b" cm="1">
        <f t="array" ref="K31">INDEX(D$30:D$57,$H31)=$G31</f>
        <v>1</v>
      </c>
      <c r="L31" s="8" t="b" cm="1">
        <f t="array" ref="L31">INDEX(E$30:E$57,$H31)=$G31</f>
        <v>1</v>
      </c>
      <c r="M31" s="8" t="b">
        <v>1</v>
      </c>
      <c r="N31" s="8" t="b">
        <v>1</v>
      </c>
      <c r="O31" s="8" t="b">
        <v>1</v>
      </c>
      <c r="P31" s="8" t="b">
        <v>1</v>
      </c>
      <c r="Q31" s="2"/>
      <c r="R31" s="2"/>
      <c r="S31" s="2"/>
      <c r="T31" s="2"/>
      <c r="U31" s="2"/>
      <c r="V31" s="2"/>
      <c r="W31" s="2"/>
      <c r="X31" s="2"/>
      <c r="Y31" s="2"/>
      <c r="Z31" s="2"/>
      <c r="AA31" s="2"/>
      <c r="AB31" s="2"/>
      <c r="AC31" s="2"/>
    </row>
    <row r="32" spans="1:29" x14ac:dyDescent="0.25">
      <c r="A32" s="8">
        <v>3</v>
      </c>
      <c r="B32" s="8" cm="1">
        <f t="array" ref="B32">INDEX('HOTMAP-DATA'!$D$2:$G$1345,MATCH($A$28&amp;$B$28&amp;$A32,'HOTMAP-DATA'!$A$2:$A$1345&amp;'HOTMAP-DATA'!$B$2:$B$1345&amp;'HOTMAP-DATA'!$C$2:$C$1345,0),COLUMN(A$1))</f>
        <v>1</v>
      </c>
      <c r="C32" s="8" cm="1">
        <f t="array" ref="C32">INDEX('HOTMAP-DATA'!$D$2:$G$1345,MATCH($A$28&amp;$B$28&amp;$A32,'HOTMAP-DATA'!$A$2:$A$1345&amp;'HOTMAP-DATA'!$B$2:$B$1345&amp;'HOTMAP-DATA'!$C$2:$C$1345,0),COLUMN(B$1))</f>
        <v>1</v>
      </c>
      <c r="D32" s="8" cm="1">
        <f t="array" ref="D32">INDEX('HOTMAP-DATA'!$D$2:$G$1345,MATCH($A$28&amp;$B$28&amp;$A32,'HOTMAP-DATA'!$A$2:$A$1345&amp;'HOTMAP-DATA'!$B$2:$B$1345&amp;'HOTMAP-DATA'!$C$2:$C$1345,0),COLUMN(C$1))</f>
        <v>1</v>
      </c>
      <c r="E32" s="8" cm="1">
        <f t="array" ref="E32">INDEX('HOTMAP-DATA'!$D$2:$G$1345,MATCH($A$28&amp;$B$28&amp;$A32,'HOTMAP-DATA'!$A$2:$A$1345&amp;'HOTMAP-DATA'!$B$2:$B$1345&amp;'HOTMAP-DATA'!$C$2:$C$1345,0),COLUMN(D$1))</f>
        <v>3</v>
      </c>
      <c r="F32" s="28" t="s">
        <v>160</v>
      </c>
      <c r="G32" s="8">
        <v>3</v>
      </c>
      <c r="H32" s="8">
        <f t="shared" si="10"/>
        <v>1</v>
      </c>
      <c r="I32" s="8" t="b" cm="1">
        <f t="array" ref="I32">INDEX(B$30:B$57,$H32)=$G32</f>
        <v>1</v>
      </c>
      <c r="J32" s="8" t="b" cm="1">
        <f t="array" ref="J32">INDEX(C$30:C$57,$H32)=$G32</f>
        <v>0</v>
      </c>
      <c r="K32" s="8" t="b" cm="1">
        <f t="array" ref="K32">INDEX(D$30:D$57,$H32)=$G32</f>
        <v>0</v>
      </c>
      <c r="L32" s="8" t="b" cm="1">
        <f t="array" ref="L32">INDEX(E$30:E$57,$H32)=$G32</f>
        <v>0</v>
      </c>
      <c r="M32" s="8" t="b">
        <v>1</v>
      </c>
      <c r="N32" s="8" t="b">
        <v>1</v>
      </c>
      <c r="O32" s="8" t="b">
        <v>1</v>
      </c>
      <c r="P32" s="8" t="b">
        <v>1</v>
      </c>
      <c r="Q32" s="2"/>
      <c r="R32" s="2"/>
      <c r="S32" s="2"/>
      <c r="T32" s="2"/>
      <c r="U32" s="2"/>
      <c r="V32" s="2"/>
      <c r="W32" s="2"/>
      <c r="X32" s="2"/>
      <c r="Y32" s="2"/>
      <c r="Z32" s="2"/>
      <c r="AA32" s="2"/>
      <c r="AB32" s="2"/>
      <c r="AC32" s="2"/>
    </row>
    <row r="33" spans="1:113" x14ac:dyDescent="0.25">
      <c r="A33" s="8">
        <v>4</v>
      </c>
      <c r="B33" s="8" cm="1">
        <f t="array" ref="B33">INDEX('HOTMAP-DATA'!$D$2:$G$1345,MATCH($A$28&amp;$B$28&amp;$A33,'HOTMAP-DATA'!$A$2:$A$1345&amp;'HOTMAP-DATA'!$B$2:$B$1345&amp;'HOTMAP-DATA'!$C$2:$C$1345,0),COLUMN(A$1))</f>
        <v>1</v>
      </c>
      <c r="C33" s="8" cm="1">
        <f t="array" ref="C33">INDEX('HOTMAP-DATA'!$D$2:$G$1345,MATCH($A$28&amp;$B$28&amp;$A33,'HOTMAP-DATA'!$A$2:$A$1345&amp;'HOTMAP-DATA'!$B$2:$B$1345&amp;'HOTMAP-DATA'!$C$2:$C$1345,0),COLUMN(B$1))</f>
        <v>1</v>
      </c>
      <c r="D33" s="8" cm="1">
        <f t="array" ref="D33">INDEX('HOTMAP-DATA'!$D$2:$G$1345,MATCH($A$28&amp;$B$28&amp;$A33,'HOTMAP-DATA'!$A$2:$A$1345&amp;'HOTMAP-DATA'!$B$2:$B$1345&amp;'HOTMAP-DATA'!$C$2:$C$1345,0),COLUMN(C$1))</f>
        <v>1</v>
      </c>
      <c r="E33" s="8" cm="1">
        <f t="array" ref="E33">INDEX('HOTMAP-DATA'!$D$2:$G$1345,MATCH($A$28&amp;$B$28&amp;$A33,'HOTMAP-DATA'!$A$2:$A$1345&amp;'HOTMAP-DATA'!$B$2:$B$1345&amp;'HOTMAP-DATA'!$C$2:$C$1345,0),COLUMN(D$1))</f>
        <v>1</v>
      </c>
      <c r="F33" s="29" t="s">
        <v>161</v>
      </c>
      <c r="G33" s="8">
        <v>4</v>
      </c>
      <c r="H33" s="8">
        <f t="shared" si="10"/>
        <v>1</v>
      </c>
      <c r="I33" s="8" t="b" cm="1">
        <f t="array" ref="I33">INDEX(B$30:B$57,$H33)=$G33</f>
        <v>0</v>
      </c>
      <c r="J33" s="8" t="b" cm="1">
        <f t="array" ref="J33">INDEX(C$30:C$57,$H33)=$G33</f>
        <v>0</v>
      </c>
      <c r="K33" s="8" t="b" cm="1">
        <f t="array" ref="K33">INDEX(D$30:D$57,$H33)=$G33</f>
        <v>0</v>
      </c>
      <c r="L33" s="8" t="b" cm="1">
        <f t="array" ref="L33">INDEX(E$30:E$57,$H33)=$G33</f>
        <v>0</v>
      </c>
      <c r="M33" s="8" t="b">
        <v>1</v>
      </c>
      <c r="N33" s="8" t="b">
        <v>1</v>
      </c>
      <c r="O33" s="8" t="b">
        <v>1</v>
      </c>
      <c r="P33" s="8" t="b">
        <v>1</v>
      </c>
      <c r="Q33" s="2"/>
      <c r="R33" s="2"/>
      <c r="S33" s="2"/>
      <c r="T33" s="2"/>
      <c r="U33" s="2"/>
      <c r="V33" s="2"/>
      <c r="W33" s="2"/>
      <c r="X33" s="2"/>
      <c r="Y33" s="2"/>
      <c r="Z33" s="2"/>
      <c r="AA33" s="2"/>
      <c r="AB33" s="2"/>
      <c r="AC33" s="2"/>
    </row>
    <row r="34" spans="1:113" x14ac:dyDescent="0.25">
      <c r="A34" s="8">
        <v>5</v>
      </c>
      <c r="B34" s="8" cm="1">
        <f t="array" ref="B34">INDEX('HOTMAP-DATA'!$D$2:$G$1345,MATCH($A$28&amp;$B$28&amp;$A34,'HOTMAP-DATA'!$A$2:$A$1345&amp;'HOTMAP-DATA'!$B$2:$B$1345&amp;'HOTMAP-DATA'!$C$2:$C$1345,0),COLUMN(A$1))</f>
        <v>4</v>
      </c>
      <c r="C34" s="8" cm="1">
        <f t="array" ref="C34">INDEX('HOTMAP-DATA'!$D$2:$G$1345,MATCH($A$28&amp;$B$28&amp;$A34,'HOTMAP-DATA'!$A$2:$A$1345&amp;'HOTMAP-DATA'!$B$2:$B$1345&amp;'HOTMAP-DATA'!$C$2:$C$1345,0),COLUMN(B$1))</f>
        <v>2</v>
      </c>
      <c r="D34" s="8" cm="1">
        <f t="array" ref="D34">INDEX('HOTMAP-DATA'!$D$2:$G$1345,MATCH($A$28&amp;$B$28&amp;$A34,'HOTMAP-DATA'!$A$2:$A$1345&amp;'HOTMAP-DATA'!$B$2:$B$1345&amp;'HOTMAP-DATA'!$C$2:$C$1345,0),COLUMN(C$1))</f>
        <v>4</v>
      </c>
      <c r="E34" s="8" cm="1">
        <f t="array" ref="E34">INDEX('HOTMAP-DATA'!$D$2:$G$1345,MATCH($A$28&amp;$B$28&amp;$A34,'HOTMAP-DATA'!$A$2:$A$1345&amp;'HOTMAP-DATA'!$B$2:$B$1345&amp;'HOTMAP-DATA'!$C$2:$C$1345,0),COLUMN(D$1))</f>
        <v>3</v>
      </c>
      <c r="F34" s="2"/>
      <c r="G34" s="8">
        <v>1</v>
      </c>
      <c r="H34" s="8">
        <f t="shared" si="10"/>
        <v>2</v>
      </c>
      <c r="I34" s="8" t="b" cm="1">
        <f t="array" ref="I34">INDEX(B$30:B$57,$H34)=$G34</f>
        <v>0</v>
      </c>
      <c r="J34" s="8" t="b" cm="1">
        <f t="array" ref="J34">INDEX(C$30:C$57,$H34)=$G34</f>
        <v>1</v>
      </c>
      <c r="K34" s="8" t="b" cm="1">
        <f t="array" ref="K34">INDEX(D$30:D$57,$H34)=$G34</f>
        <v>0</v>
      </c>
      <c r="L34" s="8" t="b" cm="1">
        <f t="array" ref="L34">INDEX(E$30:E$57,$H34)=$G34</f>
        <v>1</v>
      </c>
      <c r="M34" s="8" t="b">
        <v>1</v>
      </c>
      <c r="N34" s="8" t="b">
        <v>1</v>
      </c>
      <c r="O34" s="8" t="b">
        <v>1</v>
      </c>
      <c r="P34" s="8" t="b">
        <v>1</v>
      </c>
      <c r="Q34" s="2"/>
      <c r="R34" s="2"/>
      <c r="S34" s="2"/>
      <c r="T34" s="2"/>
      <c r="U34" s="2"/>
      <c r="V34" s="2"/>
      <c r="W34" s="2"/>
      <c r="X34" s="2"/>
      <c r="Y34" s="2"/>
      <c r="Z34" s="2"/>
      <c r="AA34" s="2"/>
      <c r="AB34" s="2"/>
      <c r="AC34" s="2"/>
    </row>
    <row r="35" spans="1:113" x14ac:dyDescent="0.25">
      <c r="A35" s="8">
        <v>6</v>
      </c>
      <c r="B35" s="8" cm="1">
        <f t="array" ref="B35">INDEX('HOTMAP-DATA'!$D$2:$G$1345,MATCH($A$28&amp;$B$28&amp;$A35,'HOTMAP-DATA'!$A$2:$A$1345&amp;'HOTMAP-DATA'!$B$2:$B$1345&amp;'HOTMAP-DATA'!$C$2:$C$1345,0),COLUMN(A$1))</f>
        <v>3</v>
      </c>
      <c r="C35" s="8" cm="1">
        <f t="array" ref="C35">INDEX('HOTMAP-DATA'!$D$2:$G$1345,MATCH($A$28&amp;$B$28&amp;$A35,'HOTMAP-DATA'!$A$2:$A$1345&amp;'HOTMAP-DATA'!$B$2:$B$1345&amp;'HOTMAP-DATA'!$C$2:$C$1345,0),COLUMN(B$1))</f>
        <v>1</v>
      </c>
      <c r="D35" s="8" cm="1">
        <f t="array" ref="D35">INDEX('HOTMAP-DATA'!$D$2:$G$1345,MATCH($A$28&amp;$B$28&amp;$A35,'HOTMAP-DATA'!$A$2:$A$1345&amp;'HOTMAP-DATA'!$B$2:$B$1345&amp;'HOTMAP-DATA'!$C$2:$C$1345,0),COLUMN(C$1))</f>
        <v>3</v>
      </c>
      <c r="E35" s="8" cm="1">
        <f t="array" ref="E35">INDEX('HOTMAP-DATA'!$D$2:$G$1345,MATCH($A$28&amp;$B$28&amp;$A35,'HOTMAP-DATA'!$A$2:$A$1345&amp;'HOTMAP-DATA'!$B$2:$B$1345&amp;'HOTMAP-DATA'!$C$2:$C$1345,0),COLUMN(D$1))</f>
        <v>1</v>
      </c>
      <c r="G35" s="8">
        <v>2</v>
      </c>
      <c r="H35" s="8">
        <f t="shared" si="10"/>
        <v>2</v>
      </c>
      <c r="I35" s="8" t="b" cm="1">
        <f t="array" ref="I35">INDEX(B$30:B$57,$H35)=$G35</f>
        <v>0</v>
      </c>
      <c r="J35" s="8" t="b" cm="1">
        <f t="array" ref="J35">INDEX(C$30:C$57,$H35)=$G35</f>
        <v>0</v>
      </c>
      <c r="K35" s="8" t="b" cm="1">
        <f t="array" ref="K35">INDEX(D$30:D$57,$H35)=$G35</f>
        <v>1</v>
      </c>
      <c r="L35" s="8" t="b" cm="1">
        <f t="array" ref="L35">INDEX(E$30:E$57,$H35)=$G35</f>
        <v>0</v>
      </c>
      <c r="M35" s="8" t="b">
        <v>1</v>
      </c>
      <c r="N35" s="8" t="b">
        <v>1</v>
      </c>
      <c r="O35" s="8" t="b">
        <v>1</v>
      </c>
      <c r="P35" s="8" t="b">
        <v>1</v>
      </c>
    </row>
    <row r="36" spans="1:113" x14ac:dyDescent="0.25">
      <c r="A36" s="8">
        <v>7</v>
      </c>
      <c r="B36" s="8" cm="1">
        <f t="array" ref="B36">INDEX('HOTMAP-DATA'!$D$2:$G$1345,MATCH($A$28&amp;$B$28&amp;$A36,'HOTMAP-DATA'!$A$2:$A$1345&amp;'HOTMAP-DATA'!$B$2:$B$1345&amp;'HOTMAP-DATA'!$C$2:$C$1345,0),COLUMN(A$1))</f>
        <v>4</v>
      </c>
      <c r="C36" s="8" cm="1">
        <f t="array" ref="C36">INDEX('HOTMAP-DATA'!$D$2:$G$1345,MATCH($A$28&amp;$B$28&amp;$A36,'HOTMAP-DATA'!$A$2:$A$1345&amp;'HOTMAP-DATA'!$B$2:$B$1345&amp;'HOTMAP-DATA'!$C$2:$C$1345,0),COLUMN(B$1))</f>
        <v>1</v>
      </c>
      <c r="D36" s="8" cm="1">
        <f t="array" ref="D36">INDEX('HOTMAP-DATA'!$D$2:$G$1345,MATCH($A$28&amp;$B$28&amp;$A36,'HOTMAP-DATA'!$A$2:$A$1345&amp;'HOTMAP-DATA'!$B$2:$B$1345&amp;'HOTMAP-DATA'!$C$2:$C$1345,0),COLUMN(C$1))</f>
        <v>3</v>
      </c>
      <c r="E36" s="8" cm="1">
        <f t="array" ref="E36">INDEX('HOTMAP-DATA'!$D$2:$G$1345,MATCH($A$28&amp;$B$28&amp;$A36,'HOTMAP-DATA'!$A$2:$A$1345&amp;'HOTMAP-DATA'!$B$2:$B$1345&amp;'HOTMAP-DATA'!$C$2:$C$1345,0),COLUMN(D$1))</f>
        <v>2</v>
      </c>
      <c r="G36" s="8">
        <v>3</v>
      </c>
      <c r="H36" s="8">
        <f t="shared" si="10"/>
        <v>2</v>
      </c>
      <c r="I36" s="8" t="b" cm="1">
        <f t="array" ref="I36">INDEX(B$30:B$57,$H36)=$G36</f>
        <v>0</v>
      </c>
      <c r="J36" s="8" t="b" cm="1">
        <f t="array" ref="J36">INDEX(C$30:C$57,$H36)=$G36</f>
        <v>0</v>
      </c>
      <c r="K36" s="8" t="b" cm="1">
        <f t="array" ref="K36">INDEX(D$30:D$57,$H36)=$G36</f>
        <v>0</v>
      </c>
      <c r="L36" s="8" t="b" cm="1">
        <f t="array" ref="L36">INDEX(E$30:E$57,$H36)=$G36</f>
        <v>0</v>
      </c>
      <c r="M36" s="8" t="b">
        <v>1</v>
      </c>
      <c r="N36" s="8" t="b">
        <v>1</v>
      </c>
      <c r="O36" s="8" t="b">
        <v>1</v>
      </c>
      <c r="P36" s="8" t="b">
        <v>1</v>
      </c>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row>
    <row r="37" spans="1:113" x14ac:dyDescent="0.25">
      <c r="A37" s="8">
        <v>8</v>
      </c>
      <c r="B37" s="8" cm="1">
        <f t="array" ref="B37">INDEX('HOTMAP-DATA'!$D$2:$G$1345,MATCH($A$28&amp;$B$28&amp;$A37,'HOTMAP-DATA'!$A$2:$A$1345&amp;'HOTMAP-DATA'!$B$2:$B$1345&amp;'HOTMAP-DATA'!$C$2:$C$1345,0),COLUMN(A$1))</f>
        <v>3</v>
      </c>
      <c r="C37" s="8" cm="1">
        <f t="array" ref="C37">INDEX('HOTMAP-DATA'!$D$2:$G$1345,MATCH($A$28&amp;$B$28&amp;$A37,'HOTMAP-DATA'!$A$2:$A$1345&amp;'HOTMAP-DATA'!$B$2:$B$1345&amp;'HOTMAP-DATA'!$C$2:$C$1345,0),COLUMN(B$1))</f>
        <v>3</v>
      </c>
      <c r="D37" s="8" cm="1">
        <f t="array" ref="D37">INDEX('HOTMAP-DATA'!$D$2:$G$1345,MATCH($A$28&amp;$B$28&amp;$A37,'HOTMAP-DATA'!$A$2:$A$1345&amp;'HOTMAP-DATA'!$B$2:$B$1345&amp;'HOTMAP-DATA'!$C$2:$C$1345,0),COLUMN(C$1))</f>
        <v>2</v>
      </c>
      <c r="E37" s="8" cm="1">
        <f t="array" ref="E37">INDEX('HOTMAP-DATA'!$D$2:$G$1345,MATCH($A$28&amp;$B$28&amp;$A37,'HOTMAP-DATA'!$A$2:$A$1345&amp;'HOTMAP-DATA'!$B$2:$B$1345&amp;'HOTMAP-DATA'!$C$2:$C$1345,0),COLUMN(D$1))</f>
        <v>1</v>
      </c>
      <c r="G37" s="8">
        <v>4</v>
      </c>
      <c r="H37" s="8">
        <f t="shared" si="10"/>
        <v>2</v>
      </c>
      <c r="I37" s="8" t="b" cm="1">
        <f t="array" ref="I37">INDEX(B$30:B$57,$H37)=$G37</f>
        <v>1</v>
      </c>
      <c r="J37" s="8" t="b" cm="1">
        <f t="array" ref="J37">INDEX(C$30:C$57,$H37)=$G37</f>
        <v>0</v>
      </c>
      <c r="K37" s="8" t="b" cm="1">
        <f t="array" ref="K37">INDEX(D$30:D$57,$H37)=$G37</f>
        <v>0</v>
      </c>
      <c r="L37" s="8" t="b" cm="1">
        <f t="array" ref="L37">INDEX(E$30:E$57,$H37)=$G37</f>
        <v>0</v>
      </c>
      <c r="M37" s="8" t="b">
        <v>1</v>
      </c>
      <c r="N37" s="8" t="b">
        <v>1</v>
      </c>
      <c r="O37" s="8" t="b">
        <v>1</v>
      </c>
      <c r="P37" s="8" t="b">
        <v>1</v>
      </c>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row>
    <row r="38" spans="1:113" x14ac:dyDescent="0.25">
      <c r="A38" s="8">
        <v>9</v>
      </c>
      <c r="B38" s="8" cm="1">
        <f t="array" ref="B38">INDEX('HOTMAP-DATA'!$D$2:$G$1345,MATCH($A$28&amp;$B$28&amp;$A38,'HOTMAP-DATA'!$A$2:$A$1345&amp;'HOTMAP-DATA'!$B$2:$B$1345&amp;'HOTMAP-DATA'!$C$2:$C$1345,0),COLUMN(A$1))</f>
        <v>1</v>
      </c>
      <c r="C38" s="8" cm="1">
        <f t="array" ref="C38">INDEX('HOTMAP-DATA'!$D$2:$G$1345,MATCH($A$28&amp;$B$28&amp;$A38,'HOTMAP-DATA'!$A$2:$A$1345&amp;'HOTMAP-DATA'!$B$2:$B$1345&amp;'HOTMAP-DATA'!$C$2:$C$1345,0),COLUMN(B$1))</f>
        <v>1</v>
      </c>
      <c r="D38" s="8" cm="1">
        <f t="array" ref="D38">INDEX('HOTMAP-DATA'!$D$2:$G$1345,MATCH($A$28&amp;$B$28&amp;$A38,'HOTMAP-DATA'!$A$2:$A$1345&amp;'HOTMAP-DATA'!$B$2:$B$1345&amp;'HOTMAP-DATA'!$C$2:$C$1345,0),COLUMN(C$1))</f>
        <v>1</v>
      </c>
      <c r="E38" s="8" cm="1">
        <f t="array" ref="E38">INDEX('HOTMAP-DATA'!$D$2:$G$1345,MATCH($A$28&amp;$B$28&amp;$A38,'HOTMAP-DATA'!$A$2:$A$1345&amp;'HOTMAP-DATA'!$B$2:$B$1345&amp;'HOTMAP-DATA'!$C$2:$C$1345,0),COLUMN(D$1))</f>
        <v>3</v>
      </c>
      <c r="G38" s="8">
        <v>1</v>
      </c>
      <c r="H38" s="8">
        <f t="shared" si="10"/>
        <v>3</v>
      </c>
      <c r="I38" s="8" t="b" cm="1">
        <f t="array" ref="I38">INDEX(B$30:B$57,$H38)=$G38</f>
        <v>1</v>
      </c>
      <c r="J38" s="8" t="b" cm="1">
        <f t="array" ref="J38">INDEX(C$30:C$57,$H38)=$G38</f>
        <v>1</v>
      </c>
      <c r="K38" s="8" t="b" cm="1">
        <f t="array" ref="K38">INDEX(D$30:D$57,$H38)=$G38</f>
        <v>1</v>
      </c>
      <c r="L38" s="8" t="b" cm="1">
        <f t="array" ref="L38">INDEX(E$30:E$57,$H38)=$G38</f>
        <v>0</v>
      </c>
      <c r="M38" s="8" t="b">
        <v>1</v>
      </c>
      <c r="N38" s="8" t="b">
        <v>1</v>
      </c>
      <c r="O38" s="8" t="b">
        <v>1</v>
      </c>
      <c r="P38" s="8" t="b">
        <v>1</v>
      </c>
    </row>
    <row r="39" spans="1:113" x14ac:dyDescent="0.25">
      <c r="A39" s="8">
        <v>10</v>
      </c>
      <c r="B39" s="8" cm="1">
        <f t="array" ref="B39">INDEX('HOTMAP-DATA'!$D$2:$G$1345,MATCH($A$28&amp;$B$28&amp;$A39,'HOTMAP-DATA'!$A$2:$A$1345&amp;'HOTMAP-DATA'!$B$2:$B$1345&amp;'HOTMAP-DATA'!$C$2:$C$1345,0),COLUMN(A$1))</f>
        <v>2</v>
      </c>
      <c r="C39" s="8" cm="1">
        <f t="array" ref="C39">INDEX('HOTMAP-DATA'!$D$2:$G$1345,MATCH($A$28&amp;$B$28&amp;$A39,'HOTMAP-DATA'!$A$2:$A$1345&amp;'HOTMAP-DATA'!$B$2:$B$1345&amp;'HOTMAP-DATA'!$C$2:$C$1345,0),COLUMN(B$1))</f>
        <v>4</v>
      </c>
      <c r="D39" s="8" cm="1">
        <f t="array" ref="D39">INDEX('HOTMAP-DATA'!$D$2:$G$1345,MATCH($A$28&amp;$B$28&amp;$A39,'HOTMAP-DATA'!$A$2:$A$1345&amp;'HOTMAP-DATA'!$B$2:$B$1345&amp;'HOTMAP-DATA'!$C$2:$C$1345,0),COLUMN(C$1))</f>
        <v>1</v>
      </c>
      <c r="E39" s="8" cm="1">
        <f t="array" ref="E39">INDEX('HOTMAP-DATA'!$D$2:$G$1345,MATCH($A$28&amp;$B$28&amp;$A39,'HOTMAP-DATA'!$A$2:$A$1345&amp;'HOTMAP-DATA'!$B$2:$B$1345&amp;'HOTMAP-DATA'!$C$2:$C$1345,0),COLUMN(D$1))</f>
        <v>1</v>
      </c>
      <c r="G39" s="8">
        <v>2</v>
      </c>
      <c r="H39" s="8">
        <f t="shared" si="10"/>
        <v>3</v>
      </c>
      <c r="I39" s="8" t="b" cm="1">
        <f t="array" ref="I39">INDEX(B$30:B$57,$H39)=$G39</f>
        <v>0</v>
      </c>
      <c r="J39" s="8" t="b" cm="1">
        <f t="array" ref="J39">INDEX(C$30:C$57,$H39)=$G39</f>
        <v>0</v>
      </c>
      <c r="K39" s="8" t="b" cm="1">
        <f t="array" ref="K39">INDEX(D$30:D$57,$H39)=$G39</f>
        <v>0</v>
      </c>
      <c r="L39" s="8" t="b" cm="1">
        <f t="array" ref="L39">INDEX(E$30:E$57,$H39)=$G39</f>
        <v>0</v>
      </c>
      <c r="M39" s="8" t="b">
        <v>1</v>
      </c>
      <c r="N39" s="8" t="b">
        <v>1</v>
      </c>
      <c r="O39" s="8" t="b">
        <v>1</v>
      </c>
      <c r="P39" s="8" t="b">
        <v>1</v>
      </c>
    </row>
    <row r="40" spans="1:113" x14ac:dyDescent="0.25">
      <c r="A40" s="8">
        <v>11</v>
      </c>
      <c r="B40" s="8" cm="1">
        <f t="array" ref="B40">INDEX('HOTMAP-DATA'!$D$2:$G$1345,MATCH($A$28&amp;$B$28&amp;$A40,'HOTMAP-DATA'!$A$2:$A$1345&amp;'HOTMAP-DATA'!$B$2:$B$1345&amp;'HOTMAP-DATA'!$C$2:$C$1345,0),COLUMN(A$1))</f>
        <v>2</v>
      </c>
      <c r="C40" s="8" cm="1">
        <f t="array" ref="C40">INDEX('HOTMAP-DATA'!$D$2:$G$1345,MATCH($A$28&amp;$B$28&amp;$A40,'HOTMAP-DATA'!$A$2:$A$1345&amp;'HOTMAP-DATA'!$B$2:$B$1345&amp;'HOTMAP-DATA'!$C$2:$C$1345,0),COLUMN(B$1))</f>
        <v>1</v>
      </c>
      <c r="D40" s="8" cm="1">
        <f t="array" ref="D40">INDEX('HOTMAP-DATA'!$D$2:$G$1345,MATCH($A$28&amp;$B$28&amp;$A40,'HOTMAP-DATA'!$A$2:$A$1345&amp;'HOTMAP-DATA'!$B$2:$B$1345&amp;'HOTMAP-DATA'!$C$2:$C$1345,0),COLUMN(C$1))</f>
        <v>2</v>
      </c>
      <c r="E40" s="8" cm="1">
        <f t="array" ref="E40">INDEX('HOTMAP-DATA'!$D$2:$G$1345,MATCH($A$28&amp;$B$28&amp;$A40,'HOTMAP-DATA'!$A$2:$A$1345&amp;'HOTMAP-DATA'!$B$2:$B$1345&amp;'HOTMAP-DATA'!$C$2:$C$1345,0),COLUMN(D$1))</f>
        <v>2</v>
      </c>
      <c r="G40" s="8">
        <v>3</v>
      </c>
      <c r="H40" s="8">
        <f t="shared" si="10"/>
        <v>3</v>
      </c>
      <c r="I40" s="8" t="b" cm="1">
        <f t="array" ref="I40">INDEX(B$30:B$57,$H40)=$G40</f>
        <v>0</v>
      </c>
      <c r="J40" s="8" t="b" cm="1">
        <f t="array" ref="J40">INDEX(C$30:C$57,$H40)=$G40</f>
        <v>0</v>
      </c>
      <c r="K40" s="8" t="b" cm="1">
        <f t="array" ref="K40">INDEX(D$30:D$57,$H40)=$G40</f>
        <v>0</v>
      </c>
      <c r="L40" s="8" t="b" cm="1">
        <f t="array" ref="L40">INDEX(E$30:E$57,$H40)=$G40</f>
        <v>1</v>
      </c>
      <c r="M40" s="8" t="b">
        <v>1</v>
      </c>
      <c r="N40" s="8" t="b">
        <v>1</v>
      </c>
      <c r="O40" s="8" t="b">
        <v>1</v>
      </c>
      <c r="P40" s="8" t="b">
        <v>1</v>
      </c>
    </row>
    <row r="41" spans="1:113" x14ac:dyDescent="0.25">
      <c r="A41" s="8">
        <v>12</v>
      </c>
      <c r="B41" s="8" cm="1">
        <f t="array" ref="B41">INDEX('HOTMAP-DATA'!$D$2:$G$1345,MATCH($A$28&amp;$B$28&amp;$A41,'HOTMAP-DATA'!$A$2:$A$1345&amp;'HOTMAP-DATA'!$B$2:$B$1345&amp;'HOTMAP-DATA'!$C$2:$C$1345,0),COLUMN(A$1))</f>
        <v>2</v>
      </c>
      <c r="C41" s="8" cm="1">
        <f t="array" ref="C41">INDEX('HOTMAP-DATA'!$D$2:$G$1345,MATCH($A$28&amp;$B$28&amp;$A41,'HOTMAP-DATA'!$A$2:$A$1345&amp;'HOTMAP-DATA'!$B$2:$B$1345&amp;'HOTMAP-DATA'!$C$2:$C$1345,0),COLUMN(B$1))</f>
        <v>1</v>
      </c>
      <c r="D41" s="8" cm="1">
        <f t="array" ref="D41">INDEX('HOTMAP-DATA'!$D$2:$G$1345,MATCH($A$28&amp;$B$28&amp;$A41,'HOTMAP-DATA'!$A$2:$A$1345&amp;'HOTMAP-DATA'!$B$2:$B$1345&amp;'HOTMAP-DATA'!$C$2:$C$1345,0),COLUMN(C$1))</f>
        <v>1</v>
      </c>
      <c r="E41" s="8" cm="1">
        <f t="array" ref="E41">INDEX('HOTMAP-DATA'!$D$2:$G$1345,MATCH($A$28&amp;$B$28&amp;$A41,'HOTMAP-DATA'!$A$2:$A$1345&amp;'HOTMAP-DATA'!$B$2:$B$1345&amp;'HOTMAP-DATA'!$C$2:$C$1345,0),COLUMN(D$1))</f>
        <v>1</v>
      </c>
      <c r="G41" s="8">
        <v>4</v>
      </c>
      <c r="H41" s="8">
        <f t="shared" si="10"/>
        <v>3</v>
      </c>
      <c r="I41" s="8" t="b" cm="1">
        <f t="array" ref="I41">INDEX(B$30:B$57,$H41)=$G41</f>
        <v>0</v>
      </c>
      <c r="J41" s="8" t="b" cm="1">
        <f t="array" ref="J41">INDEX(C$30:C$57,$H41)=$G41</f>
        <v>0</v>
      </c>
      <c r="K41" s="8" t="b" cm="1">
        <f t="array" ref="K41">INDEX(D$30:D$57,$H41)=$G41</f>
        <v>0</v>
      </c>
      <c r="L41" s="8" t="b" cm="1">
        <f t="array" ref="L41">INDEX(E$30:E$57,$H41)=$G41</f>
        <v>0</v>
      </c>
      <c r="M41" s="8" t="b">
        <v>1</v>
      </c>
      <c r="N41" s="8" t="b">
        <v>1</v>
      </c>
      <c r="O41" s="8" t="b">
        <v>1</v>
      </c>
      <c r="P41" s="8" t="b">
        <v>1</v>
      </c>
    </row>
    <row r="42" spans="1:113" x14ac:dyDescent="0.25">
      <c r="A42" s="8">
        <v>13</v>
      </c>
      <c r="B42" s="8" cm="1">
        <f t="array" ref="B42">INDEX('HOTMAP-DATA'!$D$2:$G$1345,MATCH($A$28&amp;$B$28&amp;$A42,'HOTMAP-DATA'!$A$2:$A$1345&amp;'HOTMAP-DATA'!$B$2:$B$1345&amp;'HOTMAP-DATA'!$C$2:$C$1345,0),COLUMN(A$1))</f>
        <v>2</v>
      </c>
      <c r="C42" s="8" cm="1">
        <f t="array" ref="C42">INDEX('HOTMAP-DATA'!$D$2:$G$1345,MATCH($A$28&amp;$B$28&amp;$A42,'HOTMAP-DATA'!$A$2:$A$1345&amp;'HOTMAP-DATA'!$B$2:$B$1345&amp;'HOTMAP-DATA'!$C$2:$C$1345,0),COLUMN(B$1))</f>
        <v>1</v>
      </c>
      <c r="D42" s="8" cm="1">
        <f t="array" ref="D42">INDEX('HOTMAP-DATA'!$D$2:$G$1345,MATCH($A$28&amp;$B$28&amp;$A42,'HOTMAP-DATA'!$A$2:$A$1345&amp;'HOTMAP-DATA'!$B$2:$B$1345&amp;'HOTMAP-DATA'!$C$2:$C$1345,0),COLUMN(C$1))</f>
        <v>2</v>
      </c>
      <c r="E42" s="8" cm="1">
        <f t="array" ref="E42">INDEX('HOTMAP-DATA'!$D$2:$G$1345,MATCH($A$28&amp;$B$28&amp;$A42,'HOTMAP-DATA'!$A$2:$A$1345&amp;'HOTMAP-DATA'!$B$2:$B$1345&amp;'HOTMAP-DATA'!$C$2:$C$1345,0),COLUMN(D$1))</f>
        <v>4</v>
      </c>
      <c r="G42" s="8">
        <v>1</v>
      </c>
      <c r="H42" s="8">
        <f t="shared" si="10"/>
        <v>4</v>
      </c>
      <c r="I42" s="8" t="b" cm="1">
        <f t="array" ref="I42">INDEX(B$30:B$57,$H42)=$G42</f>
        <v>1</v>
      </c>
      <c r="J42" s="8" t="b" cm="1">
        <f t="array" ref="J42">INDEX(C$30:C$57,$H42)=$G42</f>
        <v>1</v>
      </c>
      <c r="K42" s="8" t="b" cm="1">
        <f t="array" ref="K42">INDEX(D$30:D$57,$H42)=$G42</f>
        <v>1</v>
      </c>
      <c r="L42" s="8" t="b" cm="1">
        <f t="array" ref="L42">INDEX(E$30:E$57,$H42)=$G42</f>
        <v>1</v>
      </c>
      <c r="M42" s="8" t="b">
        <v>1</v>
      </c>
      <c r="N42" s="8" t="b">
        <v>1</v>
      </c>
      <c r="O42" s="8" t="b">
        <v>1</v>
      </c>
      <c r="P42" s="8" t="b">
        <v>1</v>
      </c>
    </row>
    <row r="43" spans="1:113" x14ac:dyDescent="0.25">
      <c r="A43" s="8">
        <v>14</v>
      </c>
      <c r="B43" s="8" cm="1">
        <f t="array" ref="B43">INDEX('HOTMAP-DATA'!$D$2:$G$1345,MATCH($A$28&amp;$B$28&amp;$A43,'HOTMAP-DATA'!$A$2:$A$1345&amp;'HOTMAP-DATA'!$B$2:$B$1345&amp;'HOTMAP-DATA'!$C$2:$C$1345,0),COLUMN(A$1))</f>
        <v>3</v>
      </c>
      <c r="C43" s="8" cm="1">
        <f t="array" ref="C43">INDEX('HOTMAP-DATA'!$D$2:$G$1345,MATCH($A$28&amp;$B$28&amp;$A43,'HOTMAP-DATA'!$A$2:$A$1345&amp;'HOTMAP-DATA'!$B$2:$B$1345&amp;'HOTMAP-DATA'!$C$2:$C$1345,0),COLUMN(B$1))</f>
        <v>1</v>
      </c>
      <c r="D43" s="8" cm="1">
        <f t="array" ref="D43">INDEX('HOTMAP-DATA'!$D$2:$G$1345,MATCH($A$28&amp;$B$28&amp;$A43,'HOTMAP-DATA'!$A$2:$A$1345&amp;'HOTMAP-DATA'!$B$2:$B$1345&amp;'HOTMAP-DATA'!$C$2:$C$1345,0),COLUMN(C$1))</f>
        <v>1</v>
      </c>
      <c r="E43" s="8" cm="1">
        <f t="array" ref="E43">INDEX('HOTMAP-DATA'!$D$2:$G$1345,MATCH($A$28&amp;$B$28&amp;$A43,'HOTMAP-DATA'!$A$2:$A$1345&amp;'HOTMAP-DATA'!$B$2:$B$1345&amp;'HOTMAP-DATA'!$C$2:$C$1345,0),COLUMN(D$1))</f>
        <v>4</v>
      </c>
      <c r="G43" s="8">
        <v>2</v>
      </c>
      <c r="H43" s="8">
        <f t="shared" si="10"/>
        <v>4</v>
      </c>
      <c r="I43" s="8" t="b" cm="1">
        <f t="array" ref="I43">INDEX(B$30:B$57,$H43)=$G43</f>
        <v>0</v>
      </c>
      <c r="J43" s="8" t="b" cm="1">
        <f t="array" ref="J43">INDEX(C$30:C$57,$H43)=$G43</f>
        <v>0</v>
      </c>
      <c r="K43" s="8" t="b" cm="1">
        <f t="array" ref="K43">INDEX(D$30:D$57,$H43)=$G43</f>
        <v>0</v>
      </c>
      <c r="L43" s="8" t="b" cm="1">
        <f t="array" ref="L43">INDEX(E$30:E$57,$H43)=$G43</f>
        <v>0</v>
      </c>
      <c r="M43" s="8" t="b">
        <v>1</v>
      </c>
      <c r="N43" s="8" t="b">
        <v>1</v>
      </c>
      <c r="O43" s="8" t="b">
        <v>1</v>
      </c>
      <c r="P43" s="8" t="b">
        <v>1</v>
      </c>
    </row>
    <row r="44" spans="1:113" x14ac:dyDescent="0.25">
      <c r="A44" s="8">
        <v>15</v>
      </c>
      <c r="B44" s="8" cm="1">
        <f t="array" ref="B44">INDEX('HOTMAP-DATA'!$D$2:$G$1345,MATCH($A$28&amp;$B$28&amp;$A44,'HOTMAP-DATA'!$A$2:$A$1345&amp;'HOTMAP-DATA'!$B$2:$B$1345&amp;'HOTMAP-DATA'!$C$2:$C$1345,0),COLUMN(A$1))</f>
        <v>2</v>
      </c>
      <c r="C44" s="8" cm="1">
        <f t="array" ref="C44">INDEX('HOTMAP-DATA'!$D$2:$G$1345,MATCH($A$28&amp;$B$28&amp;$A44,'HOTMAP-DATA'!$A$2:$A$1345&amp;'HOTMAP-DATA'!$B$2:$B$1345&amp;'HOTMAP-DATA'!$C$2:$C$1345,0),COLUMN(B$1))</f>
        <v>4</v>
      </c>
      <c r="D44" s="8" cm="1">
        <f t="array" ref="D44">INDEX('HOTMAP-DATA'!$D$2:$G$1345,MATCH($A$28&amp;$B$28&amp;$A44,'HOTMAP-DATA'!$A$2:$A$1345&amp;'HOTMAP-DATA'!$B$2:$B$1345&amp;'HOTMAP-DATA'!$C$2:$C$1345,0),COLUMN(C$1))</f>
        <v>3</v>
      </c>
      <c r="E44" s="8" cm="1">
        <f t="array" ref="E44">INDEX('HOTMAP-DATA'!$D$2:$G$1345,MATCH($A$28&amp;$B$28&amp;$A44,'HOTMAP-DATA'!$A$2:$A$1345&amp;'HOTMAP-DATA'!$B$2:$B$1345&amp;'HOTMAP-DATA'!$C$2:$C$1345,0),COLUMN(D$1))</f>
        <v>2</v>
      </c>
      <c r="G44" s="8">
        <v>3</v>
      </c>
      <c r="H44" s="8">
        <f t="shared" si="10"/>
        <v>4</v>
      </c>
      <c r="I44" s="8" t="b" cm="1">
        <f t="array" ref="I44">INDEX(B$30:B$57,$H44)=$G44</f>
        <v>0</v>
      </c>
      <c r="J44" s="8" t="b" cm="1">
        <f t="array" ref="J44">INDEX(C$30:C$57,$H44)=$G44</f>
        <v>0</v>
      </c>
      <c r="K44" s="8" t="b" cm="1">
        <f t="array" ref="K44">INDEX(D$30:D$57,$H44)=$G44</f>
        <v>0</v>
      </c>
      <c r="L44" s="8" t="b" cm="1">
        <f t="array" ref="L44">INDEX(E$30:E$57,$H44)=$G44</f>
        <v>0</v>
      </c>
      <c r="M44" s="8" t="b">
        <v>1</v>
      </c>
      <c r="N44" s="8" t="b">
        <v>1</v>
      </c>
      <c r="O44" s="8" t="b">
        <v>1</v>
      </c>
      <c r="P44" s="8" t="b">
        <v>1</v>
      </c>
    </row>
    <row r="45" spans="1:113" x14ac:dyDescent="0.25">
      <c r="A45" s="8">
        <v>16</v>
      </c>
      <c r="B45" s="8" cm="1">
        <f t="array" ref="B45">INDEX('HOTMAP-DATA'!$D$2:$G$1345,MATCH($A$28&amp;$B$28&amp;$A45,'HOTMAP-DATA'!$A$2:$A$1345&amp;'HOTMAP-DATA'!$B$2:$B$1345&amp;'HOTMAP-DATA'!$C$2:$C$1345,0),COLUMN(A$1))</f>
        <v>2</v>
      </c>
      <c r="C45" s="8" cm="1">
        <f t="array" ref="C45">INDEX('HOTMAP-DATA'!$D$2:$G$1345,MATCH($A$28&amp;$B$28&amp;$A45,'HOTMAP-DATA'!$A$2:$A$1345&amp;'HOTMAP-DATA'!$B$2:$B$1345&amp;'HOTMAP-DATA'!$C$2:$C$1345,0),COLUMN(B$1))</f>
        <v>1</v>
      </c>
      <c r="D45" s="8" cm="1">
        <f t="array" ref="D45">INDEX('HOTMAP-DATA'!$D$2:$G$1345,MATCH($A$28&amp;$B$28&amp;$A45,'HOTMAP-DATA'!$A$2:$A$1345&amp;'HOTMAP-DATA'!$B$2:$B$1345&amp;'HOTMAP-DATA'!$C$2:$C$1345,0),COLUMN(C$1))</f>
        <v>1</v>
      </c>
      <c r="E45" s="8" cm="1">
        <f t="array" ref="E45">INDEX('HOTMAP-DATA'!$D$2:$G$1345,MATCH($A$28&amp;$B$28&amp;$A45,'HOTMAP-DATA'!$A$2:$A$1345&amp;'HOTMAP-DATA'!$B$2:$B$1345&amp;'HOTMAP-DATA'!$C$2:$C$1345,0),COLUMN(D$1))</f>
        <v>1</v>
      </c>
      <c r="G45" s="8">
        <v>4</v>
      </c>
      <c r="H45" s="8">
        <f t="shared" si="10"/>
        <v>4</v>
      </c>
      <c r="I45" s="8" t="b" cm="1">
        <f t="array" ref="I45">INDEX(B$30:B$57,$H45)=$G45</f>
        <v>0</v>
      </c>
      <c r="J45" s="8" t="b" cm="1">
        <f t="array" ref="J45">INDEX(C$30:C$57,$H45)=$G45</f>
        <v>0</v>
      </c>
      <c r="K45" s="8" t="b" cm="1">
        <f t="array" ref="K45">INDEX(D$30:D$57,$H45)=$G45</f>
        <v>0</v>
      </c>
      <c r="L45" s="8" t="b" cm="1">
        <f t="array" ref="L45">INDEX(E$30:E$57,$H45)=$G45</f>
        <v>0</v>
      </c>
      <c r="M45" s="8" t="b">
        <v>1</v>
      </c>
      <c r="N45" s="8" t="b">
        <v>1</v>
      </c>
      <c r="O45" s="8" t="b">
        <v>1</v>
      </c>
      <c r="P45" s="8" t="b">
        <v>1</v>
      </c>
    </row>
    <row r="46" spans="1:113" x14ac:dyDescent="0.25">
      <c r="A46" s="8">
        <v>17</v>
      </c>
      <c r="B46" s="8" cm="1">
        <f t="array" ref="B46">INDEX('HOTMAP-DATA'!$D$2:$G$1345,MATCH($A$28&amp;$B$28&amp;$A46,'HOTMAP-DATA'!$A$2:$A$1345&amp;'HOTMAP-DATA'!$B$2:$B$1345&amp;'HOTMAP-DATA'!$C$2:$C$1345,0),COLUMN(A$1))</f>
        <v>3</v>
      </c>
      <c r="C46" s="8" cm="1">
        <f t="array" ref="C46">INDEX('HOTMAP-DATA'!$D$2:$G$1345,MATCH($A$28&amp;$B$28&amp;$A46,'HOTMAP-DATA'!$A$2:$A$1345&amp;'HOTMAP-DATA'!$B$2:$B$1345&amp;'HOTMAP-DATA'!$C$2:$C$1345,0),COLUMN(B$1))</f>
        <v>4</v>
      </c>
      <c r="D46" s="8" cm="1">
        <f t="array" ref="D46">INDEX('HOTMAP-DATA'!$D$2:$G$1345,MATCH($A$28&amp;$B$28&amp;$A46,'HOTMAP-DATA'!$A$2:$A$1345&amp;'HOTMAP-DATA'!$B$2:$B$1345&amp;'HOTMAP-DATA'!$C$2:$C$1345,0),COLUMN(C$1))</f>
        <v>1</v>
      </c>
      <c r="E46" s="8" cm="1">
        <f t="array" ref="E46">INDEX('HOTMAP-DATA'!$D$2:$G$1345,MATCH($A$28&amp;$B$28&amp;$A46,'HOTMAP-DATA'!$A$2:$A$1345&amp;'HOTMAP-DATA'!$B$2:$B$1345&amp;'HOTMAP-DATA'!$C$2:$C$1345,0),COLUMN(D$1))</f>
        <v>2</v>
      </c>
      <c r="G46" s="8">
        <v>1</v>
      </c>
      <c r="H46" s="8">
        <f t="shared" si="10"/>
        <v>5</v>
      </c>
      <c r="I46" s="8" t="b" cm="1">
        <f t="array" ref="I46">INDEX(B$30:B$57,$H46)=$G46</f>
        <v>0</v>
      </c>
      <c r="J46" s="8" t="b" cm="1">
        <f t="array" ref="J46">INDEX(C$30:C$57,$H46)=$G46</f>
        <v>0</v>
      </c>
      <c r="K46" s="8" t="b" cm="1">
        <f t="array" ref="K46">INDEX(D$30:D$57,$H46)=$G46</f>
        <v>0</v>
      </c>
      <c r="L46" s="8" t="b" cm="1">
        <f t="array" ref="L46">INDEX(E$30:E$57,$H46)=$G46</f>
        <v>0</v>
      </c>
      <c r="M46" s="8" t="b">
        <v>1</v>
      </c>
      <c r="N46" s="8" t="b">
        <v>1</v>
      </c>
      <c r="O46" s="8" t="b">
        <v>1</v>
      </c>
      <c r="P46" s="8" t="b">
        <v>1</v>
      </c>
    </row>
    <row r="47" spans="1:113" x14ac:dyDescent="0.25">
      <c r="A47" s="8">
        <v>18</v>
      </c>
      <c r="B47" s="8" cm="1">
        <f t="array" ref="B47">INDEX('HOTMAP-DATA'!$D$2:$G$1345,MATCH($A$28&amp;$B$28&amp;$A47,'HOTMAP-DATA'!$A$2:$A$1345&amp;'HOTMAP-DATA'!$B$2:$B$1345&amp;'HOTMAP-DATA'!$C$2:$C$1345,0),COLUMN(A$1))</f>
        <v>1</v>
      </c>
      <c r="C47" s="8" cm="1">
        <f t="array" ref="C47">INDEX('HOTMAP-DATA'!$D$2:$G$1345,MATCH($A$28&amp;$B$28&amp;$A47,'HOTMAP-DATA'!$A$2:$A$1345&amp;'HOTMAP-DATA'!$B$2:$B$1345&amp;'HOTMAP-DATA'!$C$2:$C$1345,0),COLUMN(B$1))</f>
        <v>4</v>
      </c>
      <c r="D47" s="8" cm="1">
        <f t="array" ref="D47">INDEX('HOTMAP-DATA'!$D$2:$G$1345,MATCH($A$28&amp;$B$28&amp;$A47,'HOTMAP-DATA'!$A$2:$A$1345&amp;'HOTMAP-DATA'!$B$2:$B$1345&amp;'HOTMAP-DATA'!$C$2:$C$1345,0),COLUMN(C$1))</f>
        <v>1</v>
      </c>
      <c r="E47" s="8" cm="1">
        <f t="array" ref="E47">INDEX('HOTMAP-DATA'!$D$2:$G$1345,MATCH($A$28&amp;$B$28&amp;$A47,'HOTMAP-DATA'!$A$2:$A$1345&amp;'HOTMAP-DATA'!$B$2:$B$1345&amp;'HOTMAP-DATA'!$C$2:$C$1345,0),COLUMN(D$1))</f>
        <v>3</v>
      </c>
      <c r="G47" s="8">
        <v>2</v>
      </c>
      <c r="H47" s="8">
        <f t="shared" si="10"/>
        <v>5</v>
      </c>
      <c r="I47" s="8" t="b" cm="1">
        <f t="array" ref="I47">INDEX(B$30:B$57,$H47)=$G47</f>
        <v>0</v>
      </c>
      <c r="J47" s="8" t="b" cm="1">
        <f t="array" ref="J47">INDEX(C$30:C$57,$H47)=$G47</f>
        <v>1</v>
      </c>
      <c r="K47" s="8" t="b" cm="1">
        <f t="array" ref="K47">INDEX(D$30:D$57,$H47)=$G47</f>
        <v>0</v>
      </c>
      <c r="L47" s="8" t="b" cm="1">
        <f t="array" ref="L47">INDEX(E$30:E$57,$H47)=$G47</f>
        <v>0</v>
      </c>
      <c r="M47" s="8" t="b">
        <v>1</v>
      </c>
      <c r="N47" s="8" t="b">
        <v>1</v>
      </c>
      <c r="O47" s="8" t="b">
        <v>1</v>
      </c>
      <c r="P47" s="8" t="b">
        <v>1</v>
      </c>
    </row>
    <row r="48" spans="1:113" x14ac:dyDescent="0.25">
      <c r="A48" s="8">
        <v>19</v>
      </c>
      <c r="B48" s="8" cm="1">
        <f t="array" ref="B48">INDEX('HOTMAP-DATA'!$D$2:$G$1345,MATCH($A$28&amp;$B$28&amp;$A48,'HOTMAP-DATA'!$A$2:$A$1345&amp;'HOTMAP-DATA'!$B$2:$B$1345&amp;'HOTMAP-DATA'!$C$2:$C$1345,0),COLUMN(A$1))</f>
        <v>2</v>
      </c>
      <c r="C48" s="8" cm="1">
        <f t="array" ref="C48">INDEX('HOTMAP-DATA'!$D$2:$G$1345,MATCH($A$28&amp;$B$28&amp;$A48,'HOTMAP-DATA'!$A$2:$A$1345&amp;'HOTMAP-DATA'!$B$2:$B$1345&amp;'HOTMAP-DATA'!$C$2:$C$1345,0),COLUMN(B$1))</f>
        <v>2</v>
      </c>
      <c r="D48" s="8" cm="1">
        <f t="array" ref="D48">INDEX('HOTMAP-DATA'!$D$2:$G$1345,MATCH($A$28&amp;$B$28&amp;$A48,'HOTMAP-DATA'!$A$2:$A$1345&amp;'HOTMAP-DATA'!$B$2:$B$1345&amp;'HOTMAP-DATA'!$C$2:$C$1345,0),COLUMN(C$1))</f>
        <v>1</v>
      </c>
      <c r="E48" s="8" cm="1">
        <f t="array" ref="E48">INDEX('HOTMAP-DATA'!$D$2:$G$1345,MATCH($A$28&amp;$B$28&amp;$A48,'HOTMAP-DATA'!$A$2:$A$1345&amp;'HOTMAP-DATA'!$B$2:$B$1345&amp;'HOTMAP-DATA'!$C$2:$C$1345,0),COLUMN(D$1))</f>
        <v>1</v>
      </c>
      <c r="G48" s="8">
        <v>3</v>
      </c>
      <c r="H48" s="8">
        <f t="shared" si="10"/>
        <v>5</v>
      </c>
      <c r="I48" s="8" t="b" cm="1">
        <f t="array" ref="I48">INDEX(B$30:B$57,$H48)=$G48</f>
        <v>0</v>
      </c>
      <c r="J48" s="8" t="b" cm="1">
        <f t="array" ref="J48">INDEX(C$30:C$57,$H48)=$G48</f>
        <v>0</v>
      </c>
      <c r="K48" s="8" t="b" cm="1">
        <f t="array" ref="K48">INDEX(D$30:D$57,$H48)=$G48</f>
        <v>0</v>
      </c>
      <c r="L48" s="8" t="b" cm="1">
        <f t="array" ref="L48">INDEX(E$30:E$57,$H48)=$G48</f>
        <v>1</v>
      </c>
      <c r="M48" s="8" t="b">
        <v>1</v>
      </c>
      <c r="N48" s="8" t="b">
        <v>1</v>
      </c>
      <c r="O48" s="8" t="b">
        <v>1</v>
      </c>
      <c r="P48" s="8" t="b">
        <v>1</v>
      </c>
    </row>
    <row r="49" spans="1:16" x14ac:dyDescent="0.25">
      <c r="A49" s="8">
        <v>20</v>
      </c>
      <c r="B49" s="8" cm="1">
        <f t="array" ref="B49">INDEX('HOTMAP-DATA'!$D$2:$G$1345,MATCH($A$28&amp;$B$28&amp;$A49,'HOTMAP-DATA'!$A$2:$A$1345&amp;'HOTMAP-DATA'!$B$2:$B$1345&amp;'HOTMAP-DATA'!$C$2:$C$1345,0),COLUMN(A$1))</f>
        <v>2</v>
      </c>
      <c r="C49" s="8" cm="1">
        <f t="array" ref="C49">INDEX('HOTMAP-DATA'!$D$2:$G$1345,MATCH($A$28&amp;$B$28&amp;$A49,'HOTMAP-DATA'!$A$2:$A$1345&amp;'HOTMAP-DATA'!$B$2:$B$1345&amp;'HOTMAP-DATA'!$C$2:$C$1345,0),COLUMN(B$1))</f>
        <v>2</v>
      </c>
      <c r="D49" s="8" cm="1">
        <f t="array" ref="D49">INDEX('HOTMAP-DATA'!$D$2:$G$1345,MATCH($A$28&amp;$B$28&amp;$A49,'HOTMAP-DATA'!$A$2:$A$1345&amp;'HOTMAP-DATA'!$B$2:$B$1345&amp;'HOTMAP-DATA'!$C$2:$C$1345,0),COLUMN(C$1))</f>
        <v>4</v>
      </c>
      <c r="E49" s="8" cm="1">
        <f t="array" ref="E49">INDEX('HOTMAP-DATA'!$D$2:$G$1345,MATCH($A$28&amp;$B$28&amp;$A49,'HOTMAP-DATA'!$A$2:$A$1345&amp;'HOTMAP-DATA'!$B$2:$B$1345&amp;'HOTMAP-DATA'!$C$2:$C$1345,0),COLUMN(D$1))</f>
        <v>1</v>
      </c>
      <c r="G49" s="8">
        <v>4</v>
      </c>
      <c r="H49" s="8">
        <f t="shared" si="10"/>
        <v>5</v>
      </c>
      <c r="I49" s="8" t="b" cm="1">
        <f t="array" ref="I49">INDEX(B$30:B$57,$H49)=$G49</f>
        <v>1</v>
      </c>
      <c r="J49" s="8" t="b" cm="1">
        <f t="array" ref="J49">INDEX(C$30:C$57,$H49)=$G49</f>
        <v>0</v>
      </c>
      <c r="K49" s="8" t="b" cm="1">
        <f t="array" ref="K49">INDEX(D$30:D$57,$H49)=$G49</f>
        <v>1</v>
      </c>
      <c r="L49" s="8" t="b" cm="1">
        <f t="array" ref="L49">INDEX(E$30:E$57,$H49)=$G49</f>
        <v>0</v>
      </c>
      <c r="M49" s="8" t="b">
        <v>1</v>
      </c>
      <c r="N49" s="8" t="b">
        <v>1</v>
      </c>
      <c r="O49" s="8" t="b">
        <v>1</v>
      </c>
      <c r="P49" s="8" t="b">
        <v>1</v>
      </c>
    </row>
    <row r="50" spans="1:16" x14ac:dyDescent="0.25">
      <c r="A50" s="8">
        <v>21</v>
      </c>
      <c r="B50" s="8" cm="1">
        <f t="array" ref="B50">INDEX('HOTMAP-DATA'!$D$2:$G$1345,MATCH($A$28&amp;$B$28&amp;$A50,'HOTMAP-DATA'!$A$2:$A$1345&amp;'HOTMAP-DATA'!$B$2:$B$1345&amp;'HOTMAP-DATA'!$C$2:$C$1345,0),COLUMN(A$1))</f>
        <v>1</v>
      </c>
      <c r="C50" s="8" cm="1">
        <f t="array" ref="C50">INDEX('HOTMAP-DATA'!$D$2:$G$1345,MATCH($A$28&amp;$B$28&amp;$A50,'HOTMAP-DATA'!$A$2:$A$1345&amp;'HOTMAP-DATA'!$B$2:$B$1345&amp;'HOTMAP-DATA'!$C$2:$C$1345,0),COLUMN(B$1))</f>
        <v>1</v>
      </c>
      <c r="D50" s="8" cm="1">
        <f t="array" ref="D50">INDEX('HOTMAP-DATA'!$D$2:$G$1345,MATCH($A$28&amp;$B$28&amp;$A50,'HOTMAP-DATA'!$A$2:$A$1345&amp;'HOTMAP-DATA'!$B$2:$B$1345&amp;'HOTMAP-DATA'!$C$2:$C$1345,0),COLUMN(C$1))</f>
        <v>1</v>
      </c>
      <c r="E50" s="8" cm="1">
        <f t="array" ref="E50">INDEX('HOTMAP-DATA'!$D$2:$G$1345,MATCH($A$28&amp;$B$28&amp;$A50,'HOTMAP-DATA'!$A$2:$A$1345&amp;'HOTMAP-DATA'!$B$2:$B$1345&amp;'HOTMAP-DATA'!$C$2:$C$1345,0),COLUMN(D$1))</f>
        <v>2</v>
      </c>
      <c r="G50" s="8">
        <v>1</v>
      </c>
      <c r="H50" s="8">
        <f t="shared" si="10"/>
        <v>6</v>
      </c>
      <c r="I50" s="8" t="b" cm="1">
        <f t="array" ref="I50">INDEX(B$30:B$57,$H50)=$G50</f>
        <v>0</v>
      </c>
      <c r="J50" s="8" t="b" cm="1">
        <f t="array" ref="J50">INDEX(C$30:C$57,$H50)=$G50</f>
        <v>1</v>
      </c>
      <c r="K50" s="8" t="b" cm="1">
        <f t="array" ref="K50">INDEX(D$30:D$57,$H50)=$G50</f>
        <v>0</v>
      </c>
      <c r="L50" s="8" t="b" cm="1">
        <f t="array" ref="L50">INDEX(E$30:E$57,$H50)=$G50</f>
        <v>1</v>
      </c>
      <c r="M50" s="8" t="b">
        <v>1</v>
      </c>
      <c r="N50" s="8" t="b">
        <v>1</v>
      </c>
      <c r="O50" s="8" t="b">
        <v>1</v>
      </c>
      <c r="P50" s="8" t="b">
        <v>1</v>
      </c>
    </row>
    <row r="51" spans="1:16" x14ac:dyDescent="0.25">
      <c r="A51" s="8">
        <v>22</v>
      </c>
      <c r="B51" s="8" cm="1">
        <f t="array" ref="B51">INDEX('HOTMAP-DATA'!$D$2:$G$1345,MATCH($A$28&amp;$B$28&amp;$A51,'HOTMAP-DATA'!$A$2:$A$1345&amp;'HOTMAP-DATA'!$B$2:$B$1345&amp;'HOTMAP-DATA'!$C$2:$C$1345,0),COLUMN(A$1))</f>
        <v>3</v>
      </c>
      <c r="C51" s="8" cm="1">
        <f t="array" ref="C51">INDEX('HOTMAP-DATA'!$D$2:$G$1345,MATCH($A$28&amp;$B$28&amp;$A51,'HOTMAP-DATA'!$A$2:$A$1345&amp;'HOTMAP-DATA'!$B$2:$B$1345&amp;'HOTMAP-DATA'!$C$2:$C$1345,0),COLUMN(B$1))</f>
        <v>1</v>
      </c>
      <c r="D51" s="8" cm="1">
        <f t="array" ref="D51">INDEX('HOTMAP-DATA'!$D$2:$G$1345,MATCH($A$28&amp;$B$28&amp;$A51,'HOTMAP-DATA'!$A$2:$A$1345&amp;'HOTMAP-DATA'!$B$2:$B$1345&amp;'HOTMAP-DATA'!$C$2:$C$1345,0),COLUMN(C$1))</f>
        <v>2</v>
      </c>
      <c r="E51" s="8" cm="1">
        <f t="array" ref="E51">INDEX('HOTMAP-DATA'!$D$2:$G$1345,MATCH($A$28&amp;$B$28&amp;$A51,'HOTMAP-DATA'!$A$2:$A$1345&amp;'HOTMAP-DATA'!$B$2:$B$1345&amp;'HOTMAP-DATA'!$C$2:$C$1345,0),COLUMN(D$1))</f>
        <v>2</v>
      </c>
      <c r="G51" s="8">
        <v>2</v>
      </c>
      <c r="H51" s="8">
        <f t="shared" si="10"/>
        <v>6</v>
      </c>
      <c r="I51" s="8" t="b" cm="1">
        <f t="array" ref="I51">INDEX(B$30:B$57,$H51)=$G51</f>
        <v>0</v>
      </c>
      <c r="J51" s="8" t="b" cm="1">
        <f t="array" ref="J51">INDEX(C$30:C$57,$H51)=$G51</f>
        <v>0</v>
      </c>
      <c r="K51" s="8" t="b" cm="1">
        <f t="array" ref="K51">INDEX(D$30:D$57,$H51)=$G51</f>
        <v>0</v>
      </c>
      <c r="L51" s="8" t="b" cm="1">
        <f t="array" ref="L51">INDEX(E$30:E$57,$H51)=$G51</f>
        <v>0</v>
      </c>
      <c r="M51" s="8" t="b">
        <v>1</v>
      </c>
      <c r="N51" s="8" t="b">
        <v>1</v>
      </c>
      <c r="O51" s="8" t="b">
        <v>1</v>
      </c>
      <c r="P51" s="8" t="b">
        <v>1</v>
      </c>
    </row>
    <row r="52" spans="1:16" x14ac:dyDescent="0.25">
      <c r="A52" s="8">
        <v>23</v>
      </c>
      <c r="B52" s="8" cm="1">
        <f t="array" ref="B52">INDEX('HOTMAP-DATA'!$D$2:$G$1345,MATCH($A$28&amp;$B$28&amp;$A52,'HOTMAP-DATA'!$A$2:$A$1345&amp;'HOTMAP-DATA'!$B$2:$B$1345&amp;'HOTMAP-DATA'!$C$2:$C$1345,0),COLUMN(A$1))</f>
        <v>1</v>
      </c>
      <c r="C52" s="8" cm="1">
        <f t="array" ref="C52">INDEX('HOTMAP-DATA'!$D$2:$G$1345,MATCH($A$28&amp;$B$28&amp;$A52,'HOTMAP-DATA'!$A$2:$A$1345&amp;'HOTMAP-DATA'!$B$2:$B$1345&amp;'HOTMAP-DATA'!$C$2:$C$1345,0),COLUMN(B$1))</f>
        <v>1</v>
      </c>
      <c r="D52" s="8" cm="1">
        <f t="array" ref="D52">INDEX('HOTMAP-DATA'!$D$2:$G$1345,MATCH($A$28&amp;$B$28&amp;$A52,'HOTMAP-DATA'!$A$2:$A$1345&amp;'HOTMAP-DATA'!$B$2:$B$1345&amp;'HOTMAP-DATA'!$C$2:$C$1345,0),COLUMN(C$1))</f>
        <v>3</v>
      </c>
      <c r="E52" s="8" cm="1">
        <f t="array" ref="E52">INDEX('HOTMAP-DATA'!$D$2:$G$1345,MATCH($A$28&amp;$B$28&amp;$A52,'HOTMAP-DATA'!$A$2:$A$1345&amp;'HOTMAP-DATA'!$B$2:$B$1345&amp;'HOTMAP-DATA'!$C$2:$C$1345,0),COLUMN(D$1))</f>
        <v>1</v>
      </c>
      <c r="G52" s="8">
        <v>3</v>
      </c>
      <c r="H52" s="8">
        <f t="shared" si="10"/>
        <v>6</v>
      </c>
      <c r="I52" s="8" t="b" cm="1">
        <f t="array" ref="I52">INDEX(B$30:B$57,$H52)=$G52</f>
        <v>1</v>
      </c>
      <c r="J52" s="8" t="b" cm="1">
        <f t="array" ref="J52">INDEX(C$30:C$57,$H52)=$G52</f>
        <v>0</v>
      </c>
      <c r="K52" s="8" t="b" cm="1">
        <f t="array" ref="K52">INDEX(D$30:D$57,$H52)=$G52</f>
        <v>1</v>
      </c>
      <c r="L52" s="8" t="b" cm="1">
        <f t="array" ref="L52">INDEX(E$30:E$57,$H52)=$G52</f>
        <v>0</v>
      </c>
      <c r="M52" s="8" t="b">
        <v>1</v>
      </c>
      <c r="N52" s="8" t="b">
        <v>1</v>
      </c>
      <c r="O52" s="8" t="b">
        <v>1</v>
      </c>
      <c r="P52" s="8" t="b">
        <v>1</v>
      </c>
    </row>
    <row r="53" spans="1:16" x14ac:dyDescent="0.25">
      <c r="A53" s="8">
        <v>24</v>
      </c>
      <c r="B53" s="8" cm="1">
        <f t="array" ref="B53">INDEX('HOTMAP-DATA'!$D$2:$G$1345,MATCH($A$28&amp;$B$28&amp;$A53,'HOTMAP-DATA'!$A$2:$A$1345&amp;'HOTMAP-DATA'!$B$2:$B$1345&amp;'HOTMAP-DATA'!$C$2:$C$1345,0),COLUMN(A$1))</f>
        <v>1</v>
      </c>
      <c r="C53" s="8" cm="1">
        <f t="array" ref="C53">INDEX('HOTMAP-DATA'!$D$2:$G$1345,MATCH($A$28&amp;$B$28&amp;$A53,'HOTMAP-DATA'!$A$2:$A$1345&amp;'HOTMAP-DATA'!$B$2:$B$1345&amp;'HOTMAP-DATA'!$C$2:$C$1345,0),COLUMN(B$1))</f>
        <v>2</v>
      </c>
      <c r="D53" s="8" cm="1">
        <f t="array" ref="D53">INDEX('HOTMAP-DATA'!$D$2:$G$1345,MATCH($A$28&amp;$B$28&amp;$A53,'HOTMAP-DATA'!$A$2:$A$1345&amp;'HOTMAP-DATA'!$B$2:$B$1345&amp;'HOTMAP-DATA'!$C$2:$C$1345,0),COLUMN(C$1))</f>
        <v>2</v>
      </c>
      <c r="E53" s="8" cm="1">
        <f t="array" ref="E53">INDEX('HOTMAP-DATA'!$D$2:$G$1345,MATCH($A$28&amp;$B$28&amp;$A53,'HOTMAP-DATA'!$A$2:$A$1345&amp;'HOTMAP-DATA'!$B$2:$B$1345&amp;'HOTMAP-DATA'!$C$2:$C$1345,0),COLUMN(D$1))</f>
        <v>3</v>
      </c>
      <c r="G53" s="8">
        <v>4</v>
      </c>
      <c r="H53" s="8">
        <f t="shared" si="10"/>
        <v>6</v>
      </c>
      <c r="I53" s="8" t="b" cm="1">
        <f t="array" ref="I53">INDEX(B$30:B$57,$H53)=$G53</f>
        <v>0</v>
      </c>
      <c r="J53" s="8" t="b" cm="1">
        <f t="array" ref="J53">INDEX(C$30:C$57,$H53)=$G53</f>
        <v>0</v>
      </c>
      <c r="K53" s="8" t="b" cm="1">
        <f t="array" ref="K53">INDEX(D$30:D$57,$H53)=$G53</f>
        <v>0</v>
      </c>
      <c r="L53" s="8" t="b" cm="1">
        <f t="array" ref="L53">INDEX(E$30:E$57,$H53)=$G53</f>
        <v>0</v>
      </c>
      <c r="M53" s="8" t="b">
        <v>1</v>
      </c>
      <c r="N53" s="8" t="b">
        <v>1</v>
      </c>
      <c r="O53" s="8" t="b">
        <v>1</v>
      </c>
      <c r="P53" s="8" t="b">
        <v>1</v>
      </c>
    </row>
    <row r="54" spans="1:16" x14ac:dyDescent="0.25">
      <c r="A54" s="8">
        <v>25</v>
      </c>
      <c r="B54" s="8" cm="1">
        <f t="array" ref="B54">INDEX('HOTMAP-DATA'!$D$2:$G$1345,MATCH($A$28&amp;$B$28&amp;$A54,'HOTMAP-DATA'!$A$2:$A$1345&amp;'HOTMAP-DATA'!$B$2:$B$1345&amp;'HOTMAP-DATA'!$C$2:$C$1345,0),COLUMN(A$1))</f>
        <v>1</v>
      </c>
      <c r="C54" s="8" cm="1">
        <f t="array" ref="C54">INDEX('HOTMAP-DATA'!$D$2:$G$1345,MATCH($A$28&amp;$B$28&amp;$A54,'HOTMAP-DATA'!$A$2:$A$1345&amp;'HOTMAP-DATA'!$B$2:$B$1345&amp;'HOTMAP-DATA'!$C$2:$C$1345,0),COLUMN(B$1))</f>
        <v>3</v>
      </c>
      <c r="D54" s="8" cm="1">
        <f t="array" ref="D54">INDEX('HOTMAP-DATA'!$D$2:$G$1345,MATCH($A$28&amp;$B$28&amp;$A54,'HOTMAP-DATA'!$A$2:$A$1345&amp;'HOTMAP-DATA'!$B$2:$B$1345&amp;'HOTMAP-DATA'!$C$2:$C$1345,0),COLUMN(C$1))</f>
        <v>2</v>
      </c>
      <c r="E54" s="8" cm="1">
        <f t="array" ref="E54">INDEX('HOTMAP-DATA'!$D$2:$G$1345,MATCH($A$28&amp;$B$28&amp;$A54,'HOTMAP-DATA'!$A$2:$A$1345&amp;'HOTMAP-DATA'!$B$2:$B$1345&amp;'HOTMAP-DATA'!$C$2:$C$1345,0),COLUMN(D$1))</f>
        <v>4</v>
      </c>
      <c r="G54" s="8">
        <v>1</v>
      </c>
      <c r="H54" s="8">
        <f t="shared" si="10"/>
        <v>7</v>
      </c>
      <c r="I54" s="8" t="b" cm="1">
        <f t="array" ref="I54">INDEX(B$30:B$57,$H54)=$G54</f>
        <v>0</v>
      </c>
      <c r="J54" s="8" t="b" cm="1">
        <f t="array" ref="J54">INDEX(C$30:C$57,$H54)=$G54</f>
        <v>1</v>
      </c>
      <c r="K54" s="8" t="b" cm="1">
        <f t="array" ref="K54">INDEX(D$30:D$57,$H54)=$G54</f>
        <v>0</v>
      </c>
      <c r="L54" s="8" t="b" cm="1">
        <f t="array" ref="L54">INDEX(E$30:E$57,$H54)=$G54</f>
        <v>0</v>
      </c>
      <c r="M54" s="8" t="b">
        <v>1</v>
      </c>
      <c r="N54" s="8" t="b">
        <v>1</v>
      </c>
      <c r="O54" s="8" t="b">
        <v>1</v>
      </c>
      <c r="P54" s="8" t="b">
        <v>1</v>
      </c>
    </row>
    <row r="55" spans="1:16" x14ac:dyDescent="0.25">
      <c r="A55" s="8">
        <v>26</v>
      </c>
      <c r="B55" s="8" cm="1">
        <f t="array" ref="B55">INDEX('HOTMAP-DATA'!$D$2:$G$1345,MATCH($A$28&amp;$B$28&amp;$A55,'HOTMAP-DATA'!$A$2:$A$1345&amp;'HOTMAP-DATA'!$B$2:$B$1345&amp;'HOTMAP-DATA'!$C$2:$C$1345,0),COLUMN(A$1))</f>
        <v>3</v>
      </c>
      <c r="C55" s="8" cm="1">
        <f t="array" ref="C55">INDEX('HOTMAP-DATA'!$D$2:$G$1345,MATCH($A$28&amp;$B$28&amp;$A55,'HOTMAP-DATA'!$A$2:$A$1345&amp;'HOTMAP-DATA'!$B$2:$B$1345&amp;'HOTMAP-DATA'!$C$2:$C$1345,0),COLUMN(B$1))</f>
        <v>2</v>
      </c>
      <c r="D55" s="8" cm="1">
        <f t="array" ref="D55">INDEX('HOTMAP-DATA'!$D$2:$G$1345,MATCH($A$28&amp;$B$28&amp;$A55,'HOTMAP-DATA'!$A$2:$A$1345&amp;'HOTMAP-DATA'!$B$2:$B$1345&amp;'HOTMAP-DATA'!$C$2:$C$1345,0),COLUMN(C$1))</f>
        <v>1</v>
      </c>
      <c r="E55" s="8" cm="1">
        <f t="array" ref="E55">INDEX('HOTMAP-DATA'!$D$2:$G$1345,MATCH($A$28&amp;$B$28&amp;$A55,'HOTMAP-DATA'!$A$2:$A$1345&amp;'HOTMAP-DATA'!$B$2:$B$1345&amp;'HOTMAP-DATA'!$C$2:$C$1345,0),COLUMN(D$1))</f>
        <v>3</v>
      </c>
      <c r="G55" s="8">
        <v>2</v>
      </c>
      <c r="H55" s="8">
        <f t="shared" si="10"/>
        <v>7</v>
      </c>
      <c r="I55" s="8" t="b" cm="1">
        <f t="array" ref="I55">INDEX(B$30:B$57,$H55)=$G55</f>
        <v>0</v>
      </c>
      <c r="J55" s="8" t="b" cm="1">
        <f t="array" ref="J55">INDEX(C$30:C$57,$H55)=$G55</f>
        <v>0</v>
      </c>
      <c r="K55" s="8" t="b" cm="1">
        <f t="array" ref="K55">INDEX(D$30:D$57,$H55)=$G55</f>
        <v>0</v>
      </c>
      <c r="L55" s="8" t="b" cm="1">
        <f t="array" ref="L55">INDEX(E$30:E$57,$H55)=$G55</f>
        <v>1</v>
      </c>
      <c r="M55" s="8" t="b">
        <v>1</v>
      </c>
      <c r="N55" s="8" t="b">
        <v>1</v>
      </c>
      <c r="O55" s="8" t="b">
        <v>1</v>
      </c>
      <c r="P55" s="8" t="b">
        <v>1</v>
      </c>
    </row>
    <row r="56" spans="1:16" x14ac:dyDescent="0.25">
      <c r="A56" s="8">
        <v>27</v>
      </c>
      <c r="B56" s="8" cm="1">
        <f t="array" ref="B56">INDEX('HOTMAP-DATA'!$D$2:$G$1345,MATCH($A$28&amp;$B$28&amp;$A56,'HOTMAP-DATA'!$A$2:$A$1345&amp;'HOTMAP-DATA'!$B$2:$B$1345&amp;'HOTMAP-DATA'!$C$2:$C$1345,0),COLUMN(A$1))</f>
        <v>4</v>
      </c>
      <c r="C56" s="8" cm="1">
        <f t="array" ref="C56">INDEX('HOTMAP-DATA'!$D$2:$G$1345,MATCH($A$28&amp;$B$28&amp;$A56,'HOTMAP-DATA'!$A$2:$A$1345&amp;'HOTMAP-DATA'!$B$2:$B$1345&amp;'HOTMAP-DATA'!$C$2:$C$1345,0),COLUMN(B$1))</f>
        <v>3</v>
      </c>
      <c r="D56" s="8" cm="1">
        <f t="array" ref="D56">INDEX('HOTMAP-DATA'!$D$2:$G$1345,MATCH($A$28&amp;$B$28&amp;$A56,'HOTMAP-DATA'!$A$2:$A$1345&amp;'HOTMAP-DATA'!$B$2:$B$1345&amp;'HOTMAP-DATA'!$C$2:$C$1345,0),COLUMN(C$1))</f>
        <v>2</v>
      </c>
      <c r="E56" s="8" cm="1">
        <f t="array" ref="E56">INDEX('HOTMAP-DATA'!$D$2:$G$1345,MATCH($A$28&amp;$B$28&amp;$A56,'HOTMAP-DATA'!$A$2:$A$1345&amp;'HOTMAP-DATA'!$B$2:$B$1345&amp;'HOTMAP-DATA'!$C$2:$C$1345,0),COLUMN(D$1))</f>
        <v>1</v>
      </c>
      <c r="G56" s="8">
        <v>3</v>
      </c>
      <c r="H56" s="8">
        <f t="shared" si="10"/>
        <v>7</v>
      </c>
      <c r="I56" s="8" t="b" cm="1">
        <f t="array" ref="I56">INDEX(B$30:B$57,$H56)=$G56</f>
        <v>0</v>
      </c>
      <c r="J56" s="8" t="b" cm="1">
        <f t="array" ref="J56">INDEX(C$30:C$57,$H56)=$G56</f>
        <v>0</v>
      </c>
      <c r="K56" s="8" t="b" cm="1">
        <f t="array" ref="K56">INDEX(D$30:D$57,$H56)=$G56</f>
        <v>1</v>
      </c>
      <c r="L56" s="8" t="b" cm="1">
        <f t="array" ref="L56">INDEX(E$30:E$57,$H56)=$G56</f>
        <v>0</v>
      </c>
      <c r="M56" s="8" t="b">
        <v>1</v>
      </c>
      <c r="N56" s="8" t="b">
        <v>1</v>
      </c>
      <c r="O56" s="8" t="b">
        <v>1</v>
      </c>
      <c r="P56" s="8" t="b">
        <v>1</v>
      </c>
    </row>
    <row r="57" spans="1:16" x14ac:dyDescent="0.25">
      <c r="A57" s="8">
        <v>28</v>
      </c>
      <c r="B57" s="8" cm="1">
        <f t="array" ref="B57">INDEX('HOTMAP-DATA'!$D$2:$G$1345,MATCH($A$28&amp;$B$28&amp;$A57,'HOTMAP-DATA'!$A$2:$A$1345&amp;'HOTMAP-DATA'!$B$2:$B$1345&amp;'HOTMAP-DATA'!$C$2:$C$1345,0),COLUMN(A$1))</f>
        <v>1</v>
      </c>
      <c r="C57" s="8" cm="1">
        <f t="array" ref="C57">INDEX('HOTMAP-DATA'!$D$2:$G$1345,MATCH($A$28&amp;$B$28&amp;$A57,'HOTMAP-DATA'!$A$2:$A$1345&amp;'HOTMAP-DATA'!$B$2:$B$1345&amp;'HOTMAP-DATA'!$C$2:$C$1345,0),COLUMN(B$1))</f>
        <v>1</v>
      </c>
      <c r="D57" s="8" cm="1">
        <f t="array" ref="D57">INDEX('HOTMAP-DATA'!$D$2:$G$1345,MATCH($A$28&amp;$B$28&amp;$A57,'HOTMAP-DATA'!$A$2:$A$1345&amp;'HOTMAP-DATA'!$B$2:$B$1345&amp;'HOTMAP-DATA'!$C$2:$C$1345,0),COLUMN(C$1))</f>
        <v>2</v>
      </c>
      <c r="E57" s="8" cm="1">
        <f t="array" ref="E57">INDEX('HOTMAP-DATA'!$D$2:$G$1345,MATCH($A$28&amp;$B$28&amp;$A57,'HOTMAP-DATA'!$A$2:$A$1345&amp;'HOTMAP-DATA'!$B$2:$B$1345&amp;'HOTMAP-DATA'!$C$2:$C$1345,0),COLUMN(D$1))</f>
        <v>1</v>
      </c>
      <c r="G57" s="8">
        <v>4</v>
      </c>
      <c r="H57" s="8">
        <f t="shared" si="10"/>
        <v>7</v>
      </c>
      <c r="I57" s="8" t="b" cm="1">
        <f t="array" ref="I57">INDEX(B$30:B$57,$H57)=$G57</f>
        <v>1</v>
      </c>
      <c r="J57" s="8" t="b" cm="1">
        <f t="array" ref="J57">INDEX(C$30:C$57,$H57)=$G57</f>
        <v>0</v>
      </c>
      <c r="K57" s="8" t="b" cm="1">
        <f t="array" ref="K57">INDEX(D$30:D$57,$H57)=$G57</f>
        <v>0</v>
      </c>
      <c r="L57" s="8" t="b" cm="1">
        <f t="array" ref="L57">INDEX(E$30:E$57,$H57)=$G57</f>
        <v>0</v>
      </c>
      <c r="M57" s="8" t="b">
        <v>1</v>
      </c>
      <c r="N57" s="8" t="b">
        <v>1</v>
      </c>
      <c r="O57" s="8" t="b">
        <v>1</v>
      </c>
      <c r="P57" s="8" t="b">
        <v>1</v>
      </c>
    </row>
    <row r="58" spans="1:16" x14ac:dyDescent="0.25">
      <c r="A58" t="s">
        <v>102</v>
      </c>
      <c r="B58" s="47">
        <f>AVERAGE(B30:E57)-(C58/2)</f>
        <v>1.8821428571428571</v>
      </c>
      <c r="C58" s="48">
        <v>0.2</v>
      </c>
      <c r="D58" s="47">
        <f>4-(B58+C58)</f>
        <v>1.9178571428571427</v>
      </c>
      <c r="G58" s="8">
        <v>1</v>
      </c>
      <c r="H58" s="8">
        <f t="shared" si="10"/>
        <v>8</v>
      </c>
      <c r="I58" s="8" t="b" cm="1">
        <f t="array" ref="I58">INDEX(B$30:B$57,$H58)=$G58</f>
        <v>0</v>
      </c>
      <c r="J58" s="8" t="b" cm="1">
        <f t="array" ref="J58">INDEX(C$30:C$57,$H58)=$G58</f>
        <v>0</v>
      </c>
      <c r="K58" s="8" t="b" cm="1">
        <f t="array" ref="K58">INDEX(D$30:D$57,$H58)=$G58</f>
        <v>0</v>
      </c>
      <c r="L58" s="8" t="b" cm="1">
        <f t="array" ref="L58">INDEX(E$30:E$57,$H58)=$G58</f>
        <v>1</v>
      </c>
      <c r="M58" s="8" t="b">
        <v>1</v>
      </c>
      <c r="N58" s="8" t="b">
        <v>1</v>
      </c>
      <c r="O58" s="8" t="b">
        <v>1</v>
      </c>
      <c r="P58" s="8" t="b">
        <v>1</v>
      </c>
    </row>
    <row r="59" spans="1:16" x14ac:dyDescent="0.25">
      <c r="G59" s="8">
        <v>2</v>
      </c>
      <c r="H59" s="8">
        <f t="shared" si="10"/>
        <v>8</v>
      </c>
      <c r="I59" s="8" t="b" cm="1">
        <f t="array" ref="I59">INDEX(B$30:B$57,$H59)=$G59</f>
        <v>0</v>
      </c>
      <c r="J59" s="8" t="b" cm="1">
        <f t="array" ref="J59">INDEX(C$30:C$57,$H59)=$G59</f>
        <v>0</v>
      </c>
      <c r="K59" s="8" t="b" cm="1">
        <f t="array" ref="K59">INDEX(D$30:D$57,$H59)=$G59</f>
        <v>1</v>
      </c>
      <c r="L59" s="8" t="b" cm="1">
        <f t="array" ref="L59">INDEX(E$30:E$57,$H59)=$G59</f>
        <v>0</v>
      </c>
      <c r="M59" s="8" t="b">
        <v>1</v>
      </c>
      <c r="N59" s="8" t="b">
        <v>1</v>
      </c>
      <c r="O59" s="8" t="b">
        <v>1</v>
      </c>
      <c r="P59" s="8" t="b">
        <v>1</v>
      </c>
    </row>
    <row r="60" spans="1:16" x14ac:dyDescent="0.25">
      <c r="G60" s="8">
        <v>3</v>
      </c>
      <c r="H60" s="8">
        <f t="shared" si="10"/>
        <v>8</v>
      </c>
      <c r="I60" s="8" t="b" cm="1">
        <f t="array" ref="I60">INDEX(B$30:B$57,$H60)=$G60</f>
        <v>1</v>
      </c>
      <c r="J60" s="8" t="b" cm="1">
        <f t="array" ref="J60">INDEX(C$30:C$57,$H60)=$G60</f>
        <v>1</v>
      </c>
      <c r="K60" s="8" t="b" cm="1">
        <f t="array" ref="K60">INDEX(D$30:D$57,$H60)=$G60</f>
        <v>0</v>
      </c>
      <c r="L60" s="8" t="b" cm="1">
        <f t="array" ref="L60">INDEX(E$30:E$57,$H60)=$G60</f>
        <v>0</v>
      </c>
      <c r="M60" s="8" t="b">
        <v>1</v>
      </c>
      <c r="N60" s="8" t="b">
        <v>1</v>
      </c>
      <c r="O60" s="8" t="b">
        <v>1</v>
      </c>
      <c r="P60" s="8" t="b">
        <v>1</v>
      </c>
    </row>
    <row r="61" spans="1:16" x14ac:dyDescent="0.25">
      <c r="G61" s="8">
        <v>4</v>
      </c>
      <c r="H61" s="8">
        <f t="shared" si="10"/>
        <v>8</v>
      </c>
      <c r="I61" s="8" t="b" cm="1">
        <f t="array" ref="I61">INDEX(B$30:B$57,$H61)=$G61</f>
        <v>0</v>
      </c>
      <c r="J61" s="8" t="b" cm="1">
        <f t="array" ref="J61">INDEX(C$30:C$57,$H61)=$G61</f>
        <v>0</v>
      </c>
      <c r="K61" s="8" t="b" cm="1">
        <f t="array" ref="K61">INDEX(D$30:D$57,$H61)=$G61</f>
        <v>0</v>
      </c>
      <c r="L61" s="8" t="b" cm="1">
        <f t="array" ref="L61">INDEX(E$30:E$57,$H61)=$G61</f>
        <v>0</v>
      </c>
      <c r="M61" s="8" t="b">
        <v>1</v>
      </c>
      <c r="N61" s="8" t="b">
        <v>1</v>
      </c>
      <c r="O61" s="8" t="b">
        <v>1</v>
      </c>
      <c r="P61" s="8" t="b">
        <v>1</v>
      </c>
    </row>
    <row r="62" spans="1:16" x14ac:dyDescent="0.25">
      <c r="G62" s="8">
        <v>1</v>
      </c>
      <c r="H62" s="8">
        <f t="shared" si="10"/>
        <v>9</v>
      </c>
      <c r="I62" s="8" t="b" cm="1">
        <f t="array" ref="I62">INDEX(B$30:B$57,$H62)=$G62</f>
        <v>1</v>
      </c>
      <c r="J62" s="8" t="b" cm="1">
        <f t="array" ref="J62">INDEX(C$30:C$57,$H62)=$G62</f>
        <v>1</v>
      </c>
      <c r="K62" s="8" t="b" cm="1">
        <f t="array" ref="K62">INDEX(D$30:D$57,$H62)=$G62</f>
        <v>1</v>
      </c>
      <c r="L62" s="8" t="b" cm="1">
        <f t="array" ref="L62">INDEX(E$30:E$57,$H62)=$G62</f>
        <v>0</v>
      </c>
      <c r="M62" s="8" t="b">
        <v>1</v>
      </c>
      <c r="N62" s="8" t="b">
        <v>1</v>
      </c>
      <c r="O62" s="8" t="b">
        <v>1</v>
      </c>
      <c r="P62" s="8" t="b">
        <v>1</v>
      </c>
    </row>
    <row r="63" spans="1:16" x14ac:dyDescent="0.25">
      <c r="G63" s="8">
        <v>2</v>
      </c>
      <c r="H63" s="8">
        <f t="shared" si="10"/>
        <v>9</v>
      </c>
      <c r="I63" s="8" t="b" cm="1">
        <f t="array" ref="I63">INDEX(B$30:B$57,$H63)=$G63</f>
        <v>0</v>
      </c>
      <c r="J63" s="8" t="b" cm="1">
        <f t="array" ref="J63">INDEX(C$30:C$57,$H63)=$G63</f>
        <v>0</v>
      </c>
      <c r="K63" s="8" t="b" cm="1">
        <f t="array" ref="K63">INDEX(D$30:D$57,$H63)=$G63</f>
        <v>0</v>
      </c>
      <c r="L63" s="8" t="b" cm="1">
        <f t="array" ref="L63">INDEX(E$30:E$57,$H63)=$G63</f>
        <v>0</v>
      </c>
      <c r="M63" s="8" t="b">
        <v>1</v>
      </c>
      <c r="N63" s="8" t="b">
        <v>1</v>
      </c>
      <c r="O63" s="8" t="b">
        <v>1</v>
      </c>
      <c r="P63" s="8" t="b">
        <v>1</v>
      </c>
    </row>
    <row r="64" spans="1:16" x14ac:dyDescent="0.25">
      <c r="G64" s="8">
        <v>3</v>
      </c>
      <c r="H64" s="8">
        <f t="shared" si="10"/>
        <v>9</v>
      </c>
      <c r="I64" s="8" t="b" cm="1">
        <f t="array" ref="I64">INDEX(B$30:B$57,$H64)=$G64</f>
        <v>0</v>
      </c>
      <c r="J64" s="8" t="b" cm="1">
        <f t="array" ref="J64">INDEX(C$30:C$57,$H64)=$G64</f>
        <v>0</v>
      </c>
      <c r="K64" s="8" t="b" cm="1">
        <f t="array" ref="K64">INDEX(D$30:D$57,$H64)=$G64</f>
        <v>0</v>
      </c>
      <c r="L64" s="8" t="b" cm="1">
        <f t="array" ref="L64">INDEX(E$30:E$57,$H64)=$G64</f>
        <v>1</v>
      </c>
      <c r="M64" s="8" t="b">
        <v>1</v>
      </c>
      <c r="N64" s="8" t="b">
        <v>1</v>
      </c>
      <c r="O64" s="8" t="b">
        <v>1</v>
      </c>
      <c r="P64" s="8" t="b">
        <v>1</v>
      </c>
    </row>
    <row r="65" spans="7:16" x14ac:dyDescent="0.25">
      <c r="G65" s="8">
        <v>4</v>
      </c>
      <c r="H65" s="8">
        <f t="shared" si="10"/>
        <v>9</v>
      </c>
      <c r="I65" s="8" t="b" cm="1">
        <f t="array" ref="I65">INDEX(B$30:B$57,$H65)=$G65</f>
        <v>0</v>
      </c>
      <c r="J65" s="8" t="b" cm="1">
        <f t="array" ref="J65">INDEX(C$30:C$57,$H65)=$G65</f>
        <v>0</v>
      </c>
      <c r="K65" s="8" t="b" cm="1">
        <f t="array" ref="K65">INDEX(D$30:D$57,$H65)=$G65</f>
        <v>0</v>
      </c>
      <c r="L65" s="8" t="b" cm="1">
        <f t="array" ref="L65">INDEX(E$30:E$57,$H65)=$G65</f>
        <v>0</v>
      </c>
      <c r="M65" s="8" t="b">
        <v>1</v>
      </c>
      <c r="N65" s="8" t="b">
        <v>1</v>
      </c>
      <c r="O65" s="8" t="b">
        <v>1</v>
      </c>
      <c r="P65" s="8" t="b">
        <v>1</v>
      </c>
    </row>
    <row r="66" spans="7:16" x14ac:dyDescent="0.25">
      <c r="G66" s="8">
        <v>1</v>
      </c>
      <c r="H66" s="8">
        <f t="shared" si="10"/>
        <v>10</v>
      </c>
      <c r="I66" s="8" t="b" cm="1">
        <f t="array" ref="I66">INDEX(B$30:B$57,$H66)=$G66</f>
        <v>0</v>
      </c>
      <c r="J66" s="8" t="b" cm="1">
        <f t="array" ref="J66">INDEX(C$30:C$57,$H66)=$G66</f>
        <v>0</v>
      </c>
      <c r="K66" s="8" t="b" cm="1">
        <f t="array" ref="K66">INDEX(D$30:D$57,$H66)=$G66</f>
        <v>1</v>
      </c>
      <c r="L66" s="8" t="b" cm="1">
        <f t="array" ref="L66">INDEX(E$30:E$57,$H66)=$G66</f>
        <v>1</v>
      </c>
      <c r="M66" s="8" t="b">
        <v>1</v>
      </c>
      <c r="N66" s="8" t="b">
        <v>1</v>
      </c>
      <c r="O66" s="8" t="b">
        <v>1</v>
      </c>
      <c r="P66" s="8" t="b">
        <v>1</v>
      </c>
    </row>
    <row r="67" spans="7:16" x14ac:dyDescent="0.25">
      <c r="G67" s="8">
        <v>2</v>
      </c>
      <c r="H67" s="8">
        <f t="shared" si="10"/>
        <v>10</v>
      </c>
      <c r="I67" s="8" t="b" cm="1">
        <f t="array" ref="I67">INDEX(B$30:B$57,$H67)=$G67</f>
        <v>1</v>
      </c>
      <c r="J67" s="8" t="b" cm="1">
        <f t="array" ref="J67">INDEX(C$30:C$57,$H67)=$G67</f>
        <v>0</v>
      </c>
      <c r="K67" s="8" t="b" cm="1">
        <f t="array" ref="K67">INDEX(D$30:D$57,$H67)=$G67</f>
        <v>0</v>
      </c>
      <c r="L67" s="8" t="b" cm="1">
        <f t="array" ref="L67">INDEX(E$30:E$57,$H67)=$G67</f>
        <v>0</v>
      </c>
      <c r="M67" s="8" t="b">
        <v>1</v>
      </c>
      <c r="N67" s="8" t="b">
        <v>1</v>
      </c>
      <c r="O67" s="8" t="b">
        <v>1</v>
      </c>
      <c r="P67" s="8" t="b">
        <v>1</v>
      </c>
    </row>
    <row r="68" spans="7:16" x14ac:dyDescent="0.25">
      <c r="G68" s="8">
        <v>3</v>
      </c>
      <c r="H68" s="8">
        <f t="shared" si="10"/>
        <v>10</v>
      </c>
      <c r="I68" s="8" t="b" cm="1">
        <f t="array" ref="I68">INDEX(B$30:B$57,$H68)=$G68</f>
        <v>0</v>
      </c>
      <c r="J68" s="8" t="b" cm="1">
        <f t="array" ref="J68">INDEX(C$30:C$57,$H68)=$G68</f>
        <v>0</v>
      </c>
      <c r="K68" s="8" t="b" cm="1">
        <f t="array" ref="K68">INDEX(D$30:D$57,$H68)=$G68</f>
        <v>0</v>
      </c>
      <c r="L68" s="8" t="b" cm="1">
        <f t="array" ref="L68">INDEX(E$30:E$57,$H68)=$G68</f>
        <v>0</v>
      </c>
      <c r="M68" s="8" t="b">
        <v>1</v>
      </c>
      <c r="N68" s="8" t="b">
        <v>1</v>
      </c>
      <c r="O68" s="8" t="b">
        <v>1</v>
      </c>
      <c r="P68" s="8" t="b">
        <v>1</v>
      </c>
    </row>
    <row r="69" spans="7:16" x14ac:dyDescent="0.25">
      <c r="G69" s="8">
        <v>4</v>
      </c>
      <c r="H69" s="8">
        <f t="shared" si="10"/>
        <v>10</v>
      </c>
      <c r="I69" s="8" t="b" cm="1">
        <f t="array" ref="I69">INDEX(B$30:B$57,$H69)=$G69</f>
        <v>0</v>
      </c>
      <c r="J69" s="8" t="b" cm="1">
        <f t="array" ref="J69">INDEX(C$30:C$57,$H69)=$G69</f>
        <v>1</v>
      </c>
      <c r="K69" s="8" t="b" cm="1">
        <f t="array" ref="K69">INDEX(D$30:D$57,$H69)=$G69</f>
        <v>0</v>
      </c>
      <c r="L69" s="8" t="b" cm="1">
        <f t="array" ref="L69">INDEX(E$30:E$57,$H69)=$G69</f>
        <v>0</v>
      </c>
      <c r="M69" s="8" t="b">
        <v>1</v>
      </c>
      <c r="N69" s="8" t="b">
        <v>1</v>
      </c>
      <c r="O69" s="8" t="b">
        <v>1</v>
      </c>
      <c r="P69" s="8" t="b">
        <v>1</v>
      </c>
    </row>
    <row r="70" spans="7:16" x14ac:dyDescent="0.25">
      <c r="G70" s="8">
        <v>1</v>
      </c>
      <c r="H70" s="8">
        <f t="shared" si="10"/>
        <v>11</v>
      </c>
      <c r="I70" s="8" t="b" cm="1">
        <f t="array" ref="I70">INDEX(B$30:B$57,$H70)=$G70</f>
        <v>0</v>
      </c>
      <c r="J70" s="8" t="b" cm="1">
        <f t="array" ref="J70">INDEX(C$30:C$57,$H70)=$G70</f>
        <v>1</v>
      </c>
      <c r="K70" s="8" t="b" cm="1">
        <f t="array" ref="K70">INDEX(D$30:D$57,$H70)=$G70</f>
        <v>0</v>
      </c>
      <c r="L70" s="8" t="b" cm="1">
        <f t="array" ref="L70">INDEX(E$30:E$57,$H70)=$G70</f>
        <v>0</v>
      </c>
      <c r="M70" s="8" t="b">
        <v>1</v>
      </c>
      <c r="N70" s="8" t="b">
        <v>1</v>
      </c>
      <c r="O70" s="8" t="b">
        <v>1</v>
      </c>
      <c r="P70" s="8" t="b">
        <v>1</v>
      </c>
    </row>
    <row r="71" spans="7:16" x14ac:dyDescent="0.25">
      <c r="G71" s="8">
        <v>2</v>
      </c>
      <c r="H71" s="8">
        <f t="shared" si="10"/>
        <v>11</v>
      </c>
      <c r="I71" s="8" t="b" cm="1">
        <f t="array" ref="I71">INDEX(B$30:B$57,$H71)=$G71</f>
        <v>1</v>
      </c>
      <c r="J71" s="8" t="b" cm="1">
        <f t="array" ref="J71">INDEX(C$30:C$57,$H71)=$G71</f>
        <v>0</v>
      </c>
      <c r="K71" s="8" t="b" cm="1">
        <f t="array" ref="K71">INDEX(D$30:D$57,$H71)=$G71</f>
        <v>1</v>
      </c>
      <c r="L71" s="8" t="b" cm="1">
        <f t="array" ref="L71">INDEX(E$30:E$57,$H71)=$G71</f>
        <v>1</v>
      </c>
      <c r="M71" s="8" t="b">
        <v>1</v>
      </c>
      <c r="N71" s="8" t="b">
        <v>1</v>
      </c>
      <c r="O71" s="8" t="b">
        <v>1</v>
      </c>
      <c r="P71" s="8" t="b">
        <v>1</v>
      </c>
    </row>
    <row r="72" spans="7:16" x14ac:dyDescent="0.25">
      <c r="G72" s="8">
        <v>3</v>
      </c>
      <c r="H72" s="8">
        <f t="shared" si="10"/>
        <v>11</v>
      </c>
      <c r="I72" s="8" t="b" cm="1">
        <f t="array" ref="I72">INDEX(B$30:B$57,$H72)=$G72</f>
        <v>0</v>
      </c>
      <c r="J72" s="8" t="b" cm="1">
        <f t="array" ref="J72">INDEX(C$30:C$57,$H72)=$G72</f>
        <v>0</v>
      </c>
      <c r="K72" s="8" t="b" cm="1">
        <f t="array" ref="K72">INDEX(D$30:D$57,$H72)=$G72</f>
        <v>0</v>
      </c>
      <c r="L72" s="8" t="b" cm="1">
        <f t="array" ref="L72">INDEX(E$30:E$57,$H72)=$G72</f>
        <v>0</v>
      </c>
      <c r="M72" s="8" t="b">
        <v>1</v>
      </c>
      <c r="N72" s="8" t="b">
        <v>1</v>
      </c>
      <c r="O72" s="8" t="b">
        <v>1</v>
      </c>
      <c r="P72" s="8" t="b">
        <v>1</v>
      </c>
    </row>
    <row r="73" spans="7:16" x14ac:dyDescent="0.25">
      <c r="G73" s="8">
        <v>4</v>
      </c>
      <c r="H73" s="8">
        <f t="shared" si="10"/>
        <v>11</v>
      </c>
      <c r="I73" s="8" t="b" cm="1">
        <f t="array" ref="I73">INDEX(B$30:B$57,$H73)=$G73</f>
        <v>0</v>
      </c>
      <c r="J73" s="8" t="b" cm="1">
        <f t="array" ref="J73">INDEX(C$30:C$57,$H73)=$G73</f>
        <v>0</v>
      </c>
      <c r="K73" s="8" t="b" cm="1">
        <f t="array" ref="K73">INDEX(D$30:D$57,$H73)=$G73</f>
        <v>0</v>
      </c>
      <c r="L73" s="8" t="b" cm="1">
        <f t="array" ref="L73">INDEX(E$30:E$57,$H73)=$G73</f>
        <v>0</v>
      </c>
      <c r="M73" s="8" t="b">
        <v>1</v>
      </c>
      <c r="N73" s="8" t="b">
        <v>1</v>
      </c>
      <c r="O73" s="8" t="b">
        <v>1</v>
      </c>
      <c r="P73" s="8" t="b">
        <v>1</v>
      </c>
    </row>
    <row r="74" spans="7:16" x14ac:dyDescent="0.25">
      <c r="G74" s="8">
        <v>1</v>
      </c>
      <c r="H74" s="8">
        <f t="shared" si="10"/>
        <v>12</v>
      </c>
      <c r="I74" s="8" t="b" cm="1">
        <f t="array" ref="I74">INDEX(B$30:B$57,$H74)=$G74</f>
        <v>0</v>
      </c>
      <c r="J74" s="8" t="b" cm="1">
        <f t="array" ref="J74">INDEX(C$30:C$57,$H74)=$G74</f>
        <v>1</v>
      </c>
      <c r="K74" s="8" t="b" cm="1">
        <f t="array" ref="K74">INDEX(D$30:D$57,$H74)=$G74</f>
        <v>1</v>
      </c>
      <c r="L74" s="8" t="b" cm="1">
        <f t="array" ref="L74">INDEX(E$30:E$57,$H74)=$G74</f>
        <v>1</v>
      </c>
      <c r="M74" s="8" t="b">
        <v>1</v>
      </c>
      <c r="N74" s="8" t="b">
        <v>1</v>
      </c>
      <c r="O74" s="8" t="b">
        <v>1</v>
      </c>
      <c r="P74" s="8" t="b">
        <v>1</v>
      </c>
    </row>
    <row r="75" spans="7:16" x14ac:dyDescent="0.25">
      <c r="G75" s="8">
        <v>2</v>
      </c>
      <c r="H75" s="8">
        <f t="shared" si="10"/>
        <v>12</v>
      </c>
      <c r="I75" s="8" t="b" cm="1">
        <f t="array" ref="I75">INDEX(B$30:B$57,$H75)=$G75</f>
        <v>1</v>
      </c>
      <c r="J75" s="8" t="b" cm="1">
        <f t="array" ref="J75">INDEX(C$30:C$57,$H75)=$G75</f>
        <v>0</v>
      </c>
      <c r="K75" s="8" t="b" cm="1">
        <f t="array" ref="K75">INDEX(D$30:D$57,$H75)=$G75</f>
        <v>0</v>
      </c>
      <c r="L75" s="8" t="b" cm="1">
        <f t="array" ref="L75">INDEX(E$30:E$57,$H75)=$G75</f>
        <v>0</v>
      </c>
      <c r="M75" s="8" t="b">
        <v>1</v>
      </c>
      <c r="N75" s="8" t="b">
        <v>1</v>
      </c>
      <c r="O75" s="8" t="b">
        <v>1</v>
      </c>
      <c r="P75" s="8" t="b">
        <v>1</v>
      </c>
    </row>
    <row r="76" spans="7:16" x14ac:dyDescent="0.25">
      <c r="G76" s="8">
        <v>3</v>
      </c>
      <c r="H76" s="8">
        <f t="shared" si="10"/>
        <v>12</v>
      </c>
      <c r="I76" s="8" t="b" cm="1">
        <f t="array" ref="I76">INDEX(B$30:B$57,$H76)=$G76</f>
        <v>0</v>
      </c>
      <c r="J76" s="8" t="b" cm="1">
        <f t="array" ref="J76">INDEX(C$30:C$57,$H76)=$G76</f>
        <v>0</v>
      </c>
      <c r="K76" s="8" t="b" cm="1">
        <f t="array" ref="K76">INDEX(D$30:D$57,$H76)=$G76</f>
        <v>0</v>
      </c>
      <c r="L76" s="8" t="b" cm="1">
        <f t="array" ref="L76">INDEX(E$30:E$57,$H76)=$G76</f>
        <v>0</v>
      </c>
      <c r="M76" s="8" t="b">
        <v>1</v>
      </c>
      <c r="N76" s="8" t="b">
        <v>1</v>
      </c>
      <c r="O76" s="8" t="b">
        <v>1</v>
      </c>
      <c r="P76" s="8" t="b">
        <v>1</v>
      </c>
    </row>
    <row r="77" spans="7:16" x14ac:dyDescent="0.25">
      <c r="G77" s="8">
        <v>4</v>
      </c>
      <c r="H77" s="8">
        <f t="shared" si="10"/>
        <v>12</v>
      </c>
      <c r="I77" s="8" t="b" cm="1">
        <f t="array" ref="I77">INDEX(B$30:B$57,$H77)=$G77</f>
        <v>0</v>
      </c>
      <c r="J77" s="8" t="b" cm="1">
        <f t="array" ref="J77">INDEX(C$30:C$57,$H77)=$G77</f>
        <v>0</v>
      </c>
      <c r="K77" s="8" t="b" cm="1">
        <f t="array" ref="K77">INDEX(D$30:D$57,$H77)=$G77</f>
        <v>0</v>
      </c>
      <c r="L77" s="8" t="b" cm="1">
        <f t="array" ref="L77">INDEX(E$30:E$57,$H77)=$G77</f>
        <v>0</v>
      </c>
      <c r="M77" s="8" t="b">
        <v>1</v>
      </c>
      <c r="N77" s="8" t="b">
        <v>1</v>
      </c>
      <c r="O77" s="8" t="b">
        <v>1</v>
      </c>
      <c r="P77" s="8" t="b">
        <v>1</v>
      </c>
    </row>
    <row r="78" spans="7:16" x14ac:dyDescent="0.25">
      <c r="G78" s="8">
        <v>1</v>
      </c>
      <c r="H78" s="8">
        <f t="shared" si="10"/>
        <v>13</v>
      </c>
      <c r="I78" s="8" t="b" cm="1">
        <f t="array" ref="I78">INDEX(B$30:B$57,$H78)=$G78</f>
        <v>0</v>
      </c>
      <c r="J78" s="8" t="b" cm="1">
        <f t="array" ref="J78">INDEX(C$30:C$57,$H78)=$G78</f>
        <v>1</v>
      </c>
      <c r="K78" s="8" t="b" cm="1">
        <f t="array" ref="K78">INDEX(D$30:D$57,$H78)=$G78</f>
        <v>0</v>
      </c>
      <c r="L78" s="8" t="b" cm="1">
        <f t="array" ref="L78">INDEX(E$30:E$57,$H78)=$G78</f>
        <v>0</v>
      </c>
      <c r="M78" s="8" t="b">
        <v>1</v>
      </c>
      <c r="N78" s="8" t="b">
        <v>1</v>
      </c>
      <c r="O78" s="8" t="b">
        <v>1</v>
      </c>
      <c r="P78" s="8" t="b">
        <v>1</v>
      </c>
    </row>
    <row r="79" spans="7:16" x14ac:dyDescent="0.25">
      <c r="G79" s="8">
        <v>2</v>
      </c>
      <c r="H79" s="8">
        <f t="shared" si="10"/>
        <v>13</v>
      </c>
      <c r="I79" s="8" t="b" cm="1">
        <f t="array" ref="I79">INDEX(B$30:B$57,$H79)=$G79</f>
        <v>1</v>
      </c>
      <c r="J79" s="8" t="b" cm="1">
        <f t="array" ref="J79">INDEX(C$30:C$57,$H79)=$G79</f>
        <v>0</v>
      </c>
      <c r="K79" s="8" t="b" cm="1">
        <f t="array" ref="K79">INDEX(D$30:D$57,$H79)=$G79</f>
        <v>1</v>
      </c>
      <c r="L79" s="8" t="b" cm="1">
        <f t="array" ref="L79">INDEX(E$30:E$57,$H79)=$G79</f>
        <v>0</v>
      </c>
      <c r="M79" s="8" t="b">
        <v>1</v>
      </c>
      <c r="N79" s="8" t="b">
        <v>1</v>
      </c>
      <c r="O79" s="8" t="b">
        <v>1</v>
      </c>
      <c r="P79" s="8" t="b">
        <v>1</v>
      </c>
    </row>
    <row r="80" spans="7:16" x14ac:dyDescent="0.25">
      <c r="G80" s="8">
        <v>3</v>
      </c>
      <c r="H80" s="8">
        <f t="shared" si="10"/>
        <v>13</v>
      </c>
      <c r="I80" s="8" t="b" cm="1">
        <f t="array" ref="I80">INDEX(B$30:B$57,$H80)=$G80</f>
        <v>0</v>
      </c>
      <c r="J80" s="8" t="b" cm="1">
        <f t="array" ref="J80">INDEX(C$30:C$57,$H80)=$G80</f>
        <v>0</v>
      </c>
      <c r="K80" s="8" t="b" cm="1">
        <f t="array" ref="K80">INDEX(D$30:D$57,$H80)=$G80</f>
        <v>0</v>
      </c>
      <c r="L80" s="8" t="b" cm="1">
        <f t="array" ref="L80">INDEX(E$30:E$57,$H80)=$G80</f>
        <v>0</v>
      </c>
      <c r="M80" s="8" t="b">
        <v>1</v>
      </c>
      <c r="N80" s="8" t="b">
        <v>1</v>
      </c>
      <c r="O80" s="8" t="b">
        <v>1</v>
      </c>
      <c r="P80" s="8" t="b">
        <v>1</v>
      </c>
    </row>
    <row r="81" spans="7:16" x14ac:dyDescent="0.25">
      <c r="G81" s="8">
        <v>4</v>
      </c>
      <c r="H81" s="8">
        <f t="shared" si="10"/>
        <v>13</v>
      </c>
      <c r="I81" s="8" t="b" cm="1">
        <f t="array" ref="I81">INDEX(B$30:B$57,$H81)=$G81</f>
        <v>0</v>
      </c>
      <c r="J81" s="8" t="b" cm="1">
        <f t="array" ref="J81">INDEX(C$30:C$57,$H81)=$G81</f>
        <v>0</v>
      </c>
      <c r="K81" s="8" t="b" cm="1">
        <f t="array" ref="K81">INDEX(D$30:D$57,$H81)=$G81</f>
        <v>0</v>
      </c>
      <c r="L81" s="8" t="b" cm="1">
        <f t="array" ref="L81">INDEX(E$30:E$57,$H81)=$G81</f>
        <v>1</v>
      </c>
      <c r="M81" s="8" t="b">
        <v>1</v>
      </c>
      <c r="N81" s="8" t="b">
        <v>1</v>
      </c>
      <c r="O81" s="8" t="b">
        <v>1</v>
      </c>
      <c r="P81" s="8" t="b">
        <v>1</v>
      </c>
    </row>
    <row r="82" spans="7:16" x14ac:dyDescent="0.25">
      <c r="G82" s="8">
        <v>1</v>
      </c>
      <c r="H82" s="8">
        <f t="shared" si="10"/>
        <v>14</v>
      </c>
      <c r="I82" s="8" t="b" cm="1">
        <f t="array" ref="I82">INDEX(B$30:B$57,$H82)=$G82</f>
        <v>0</v>
      </c>
      <c r="J82" s="8" t="b" cm="1">
        <f t="array" ref="J82">INDEX(C$30:C$57,$H82)=$G82</f>
        <v>1</v>
      </c>
      <c r="K82" s="8" t="b" cm="1">
        <f t="array" ref="K82">INDEX(D$30:D$57,$H82)=$G82</f>
        <v>1</v>
      </c>
      <c r="L82" s="8" t="b" cm="1">
        <f t="array" ref="L82">INDEX(E$30:E$57,$H82)=$G82</f>
        <v>0</v>
      </c>
      <c r="M82" s="8" t="b">
        <v>1</v>
      </c>
      <c r="N82" s="8" t="b">
        <v>1</v>
      </c>
      <c r="O82" s="8" t="b">
        <v>1</v>
      </c>
      <c r="P82" s="8" t="b">
        <v>1</v>
      </c>
    </row>
    <row r="83" spans="7:16" x14ac:dyDescent="0.25">
      <c r="G83" s="8">
        <v>2</v>
      </c>
      <c r="H83" s="8">
        <f t="shared" si="10"/>
        <v>14</v>
      </c>
      <c r="I83" s="8" t="b" cm="1">
        <f t="array" ref="I83">INDEX(B$30:B$57,$H83)=$G83</f>
        <v>0</v>
      </c>
      <c r="J83" s="8" t="b" cm="1">
        <f t="array" ref="J83">INDEX(C$30:C$57,$H83)=$G83</f>
        <v>0</v>
      </c>
      <c r="K83" s="8" t="b" cm="1">
        <f t="array" ref="K83">INDEX(D$30:D$57,$H83)=$G83</f>
        <v>0</v>
      </c>
      <c r="L83" s="8" t="b" cm="1">
        <f t="array" ref="L83">INDEX(E$30:E$57,$H83)=$G83</f>
        <v>0</v>
      </c>
      <c r="M83" s="8" t="b">
        <v>1</v>
      </c>
      <c r="N83" s="8" t="b">
        <v>1</v>
      </c>
      <c r="O83" s="8" t="b">
        <v>1</v>
      </c>
      <c r="P83" s="8" t="b">
        <v>1</v>
      </c>
    </row>
    <row r="84" spans="7:16" x14ac:dyDescent="0.25">
      <c r="G84" s="8">
        <v>3</v>
      </c>
      <c r="H84" s="8">
        <f t="shared" si="10"/>
        <v>14</v>
      </c>
      <c r="I84" s="8" t="b" cm="1">
        <f t="array" ref="I84">INDEX(B$30:B$57,$H84)=$G84</f>
        <v>1</v>
      </c>
      <c r="J84" s="8" t="b" cm="1">
        <f t="array" ref="J84">INDEX(C$30:C$57,$H84)=$G84</f>
        <v>0</v>
      </c>
      <c r="K84" s="8" t="b" cm="1">
        <f t="array" ref="K84">INDEX(D$30:D$57,$H84)=$G84</f>
        <v>0</v>
      </c>
      <c r="L84" s="8" t="b" cm="1">
        <f t="array" ref="L84">INDEX(E$30:E$57,$H84)=$G84</f>
        <v>0</v>
      </c>
      <c r="M84" s="8" t="b">
        <v>1</v>
      </c>
      <c r="N84" s="8" t="b">
        <v>1</v>
      </c>
      <c r="O84" s="8" t="b">
        <v>1</v>
      </c>
      <c r="P84" s="8" t="b">
        <v>1</v>
      </c>
    </row>
    <row r="85" spans="7:16" x14ac:dyDescent="0.25">
      <c r="G85" s="8">
        <v>4</v>
      </c>
      <c r="H85" s="8">
        <f t="shared" si="10"/>
        <v>14</v>
      </c>
      <c r="I85" s="8" t="b" cm="1">
        <f t="array" ref="I85">INDEX(B$30:B$57,$H85)=$G85</f>
        <v>0</v>
      </c>
      <c r="J85" s="8" t="b" cm="1">
        <f t="array" ref="J85">INDEX(C$30:C$57,$H85)=$G85</f>
        <v>0</v>
      </c>
      <c r="K85" s="8" t="b" cm="1">
        <f t="array" ref="K85">INDEX(D$30:D$57,$H85)=$G85</f>
        <v>0</v>
      </c>
      <c r="L85" s="8" t="b" cm="1">
        <f t="array" ref="L85">INDEX(E$30:E$57,$H85)=$G85</f>
        <v>1</v>
      </c>
      <c r="M85" s="8" t="b">
        <v>1</v>
      </c>
      <c r="N85" s="8" t="b">
        <v>1</v>
      </c>
      <c r="O85" s="8" t="b">
        <v>1</v>
      </c>
      <c r="P85" s="8" t="b">
        <v>1</v>
      </c>
    </row>
    <row r="86" spans="7:16" x14ac:dyDescent="0.25">
      <c r="G86" s="8">
        <v>1</v>
      </c>
      <c r="H86" s="8">
        <f t="shared" si="10"/>
        <v>15</v>
      </c>
      <c r="I86" s="8" t="b" cm="1">
        <f t="array" ref="I86">INDEX(B$30:B$57,$H86)=$G86</f>
        <v>0</v>
      </c>
      <c r="J86" s="8" t="b" cm="1">
        <f t="array" ref="J86">INDEX(C$30:C$57,$H86)=$G86</f>
        <v>0</v>
      </c>
      <c r="K86" s="8" t="b" cm="1">
        <f t="array" ref="K86">INDEX(D$30:D$57,$H86)=$G86</f>
        <v>0</v>
      </c>
      <c r="L86" s="8" t="b" cm="1">
        <f t="array" ref="L86">INDEX(E$30:E$57,$H86)=$G86</f>
        <v>0</v>
      </c>
      <c r="M86" s="8" t="b">
        <v>1</v>
      </c>
      <c r="N86" s="8" t="b">
        <v>1</v>
      </c>
      <c r="O86" s="8" t="b">
        <v>1</v>
      </c>
      <c r="P86" s="8" t="b">
        <v>1</v>
      </c>
    </row>
    <row r="87" spans="7:16" x14ac:dyDescent="0.25">
      <c r="G87" s="8">
        <v>2</v>
      </c>
      <c r="H87" s="8">
        <f t="shared" si="10"/>
        <v>15</v>
      </c>
      <c r="I87" s="8" t="b" cm="1">
        <f t="array" ref="I87">INDEX(B$30:B$57,$H87)=$G87</f>
        <v>1</v>
      </c>
      <c r="J87" s="8" t="b" cm="1">
        <f t="array" ref="J87">INDEX(C$30:C$57,$H87)=$G87</f>
        <v>0</v>
      </c>
      <c r="K87" s="8" t="b" cm="1">
        <f t="array" ref="K87">INDEX(D$30:D$57,$H87)=$G87</f>
        <v>0</v>
      </c>
      <c r="L87" s="8" t="b" cm="1">
        <f t="array" ref="L87">INDEX(E$30:E$57,$H87)=$G87</f>
        <v>1</v>
      </c>
      <c r="M87" s="8" t="b">
        <v>1</v>
      </c>
      <c r="N87" s="8" t="b">
        <v>1</v>
      </c>
      <c r="O87" s="8" t="b">
        <v>1</v>
      </c>
      <c r="P87" s="8" t="b">
        <v>1</v>
      </c>
    </row>
    <row r="88" spans="7:16" x14ac:dyDescent="0.25">
      <c r="G88" s="8">
        <v>3</v>
      </c>
      <c r="H88" s="8">
        <f t="shared" si="10"/>
        <v>15</v>
      </c>
      <c r="I88" s="8" t="b" cm="1">
        <f t="array" ref="I88">INDEX(B$30:B$57,$H88)=$G88</f>
        <v>0</v>
      </c>
      <c r="J88" s="8" t="b" cm="1">
        <f t="array" ref="J88">INDEX(C$30:C$57,$H88)=$G88</f>
        <v>0</v>
      </c>
      <c r="K88" s="8" t="b" cm="1">
        <f t="array" ref="K88">INDEX(D$30:D$57,$H88)=$G88</f>
        <v>1</v>
      </c>
      <c r="L88" s="8" t="b" cm="1">
        <f t="array" ref="L88">INDEX(E$30:E$57,$H88)=$G88</f>
        <v>0</v>
      </c>
      <c r="M88" s="8" t="b">
        <v>1</v>
      </c>
      <c r="N88" s="8" t="b">
        <v>1</v>
      </c>
      <c r="O88" s="8" t="b">
        <v>1</v>
      </c>
      <c r="P88" s="8" t="b">
        <v>1</v>
      </c>
    </row>
    <row r="89" spans="7:16" x14ac:dyDescent="0.25">
      <c r="G89" s="8">
        <v>4</v>
      </c>
      <c r="H89" s="8">
        <f t="shared" si="10"/>
        <v>15</v>
      </c>
      <c r="I89" s="8" t="b" cm="1">
        <f t="array" ref="I89">INDEX(B$30:B$57,$H89)=$G89</f>
        <v>0</v>
      </c>
      <c r="J89" s="8" t="b" cm="1">
        <f t="array" ref="J89">INDEX(C$30:C$57,$H89)=$G89</f>
        <v>1</v>
      </c>
      <c r="K89" s="8" t="b" cm="1">
        <f t="array" ref="K89">INDEX(D$30:D$57,$H89)=$G89</f>
        <v>0</v>
      </c>
      <c r="L89" s="8" t="b" cm="1">
        <f t="array" ref="L89">INDEX(E$30:E$57,$H89)=$G89</f>
        <v>0</v>
      </c>
      <c r="M89" s="8" t="b">
        <v>1</v>
      </c>
      <c r="N89" s="8" t="b">
        <v>1</v>
      </c>
      <c r="O89" s="8" t="b">
        <v>1</v>
      </c>
      <c r="P89" s="8" t="b">
        <v>1</v>
      </c>
    </row>
    <row r="90" spans="7:16" x14ac:dyDescent="0.25">
      <c r="G90" s="8">
        <v>1</v>
      </c>
      <c r="H90" s="8">
        <f t="shared" si="10"/>
        <v>16</v>
      </c>
      <c r="I90" s="8" t="b" cm="1">
        <f t="array" ref="I90">INDEX(B$30:B$57,$H90)=$G90</f>
        <v>0</v>
      </c>
      <c r="J90" s="8" t="b" cm="1">
        <f t="array" ref="J90">INDEX(C$30:C$57,$H90)=$G90</f>
        <v>1</v>
      </c>
      <c r="K90" s="8" t="b" cm="1">
        <f t="array" ref="K90">INDEX(D$30:D$57,$H90)=$G90</f>
        <v>1</v>
      </c>
      <c r="L90" s="8" t="b" cm="1">
        <f t="array" ref="L90">INDEX(E$30:E$57,$H90)=$G90</f>
        <v>1</v>
      </c>
      <c r="M90" s="8" t="b">
        <v>1</v>
      </c>
      <c r="N90" s="8" t="b">
        <v>1</v>
      </c>
      <c r="O90" s="8" t="b">
        <v>1</v>
      </c>
      <c r="P90" s="8" t="b">
        <v>1</v>
      </c>
    </row>
    <row r="91" spans="7:16" x14ac:dyDescent="0.25">
      <c r="G91" s="8">
        <v>2</v>
      </c>
      <c r="H91" s="8">
        <f t="shared" si="10"/>
        <v>16</v>
      </c>
      <c r="I91" s="8" t="b" cm="1">
        <f t="array" ref="I91">INDEX(B$30:B$57,$H91)=$G91</f>
        <v>1</v>
      </c>
      <c r="J91" s="8" t="b" cm="1">
        <f t="array" ref="J91">INDEX(C$30:C$57,$H91)=$G91</f>
        <v>0</v>
      </c>
      <c r="K91" s="8" t="b" cm="1">
        <f t="array" ref="K91">INDEX(D$30:D$57,$H91)=$G91</f>
        <v>0</v>
      </c>
      <c r="L91" s="8" t="b" cm="1">
        <f t="array" ref="L91">INDEX(E$30:E$57,$H91)=$G91</f>
        <v>0</v>
      </c>
      <c r="M91" s="8" t="b">
        <v>1</v>
      </c>
      <c r="N91" s="8" t="b">
        <v>1</v>
      </c>
      <c r="O91" s="8" t="b">
        <v>1</v>
      </c>
      <c r="P91" s="8" t="b">
        <v>1</v>
      </c>
    </row>
    <row r="92" spans="7:16" x14ac:dyDescent="0.25">
      <c r="G92" s="8">
        <v>3</v>
      </c>
      <c r="H92" s="8">
        <f t="shared" si="10"/>
        <v>16</v>
      </c>
      <c r="I92" s="8" t="b" cm="1">
        <f t="array" ref="I92">INDEX(B$30:B$57,$H92)=$G92</f>
        <v>0</v>
      </c>
      <c r="J92" s="8" t="b" cm="1">
        <f t="array" ref="J92">INDEX(C$30:C$57,$H92)=$G92</f>
        <v>0</v>
      </c>
      <c r="K92" s="8" t="b" cm="1">
        <f t="array" ref="K92">INDEX(D$30:D$57,$H92)=$G92</f>
        <v>0</v>
      </c>
      <c r="L92" s="8" t="b" cm="1">
        <f t="array" ref="L92">INDEX(E$30:E$57,$H92)=$G92</f>
        <v>0</v>
      </c>
      <c r="M92" s="8" t="b">
        <v>1</v>
      </c>
      <c r="N92" s="8" t="b">
        <v>1</v>
      </c>
      <c r="O92" s="8" t="b">
        <v>1</v>
      </c>
      <c r="P92" s="8" t="b">
        <v>1</v>
      </c>
    </row>
    <row r="93" spans="7:16" x14ac:dyDescent="0.25">
      <c r="G93" s="8">
        <v>4</v>
      </c>
      <c r="H93" s="8">
        <f t="shared" si="10"/>
        <v>16</v>
      </c>
      <c r="I93" s="8" t="b" cm="1">
        <f t="array" ref="I93">INDEX(B$30:B$57,$H93)=$G93</f>
        <v>0</v>
      </c>
      <c r="J93" s="8" t="b" cm="1">
        <f t="array" ref="J93">INDEX(C$30:C$57,$H93)=$G93</f>
        <v>0</v>
      </c>
      <c r="K93" s="8" t="b" cm="1">
        <f t="array" ref="K93">INDEX(D$30:D$57,$H93)=$G93</f>
        <v>0</v>
      </c>
      <c r="L93" s="8" t="b" cm="1">
        <f t="array" ref="L93">INDEX(E$30:E$57,$H93)=$G93</f>
        <v>0</v>
      </c>
      <c r="M93" s="8" t="b">
        <v>1</v>
      </c>
      <c r="N93" s="8" t="b">
        <v>1</v>
      </c>
      <c r="O93" s="8" t="b">
        <v>1</v>
      </c>
      <c r="P93" s="8" t="b">
        <v>1</v>
      </c>
    </row>
    <row r="94" spans="7:16" x14ac:dyDescent="0.25">
      <c r="G94" s="8">
        <v>1</v>
      </c>
      <c r="H94" s="8">
        <f t="shared" si="10"/>
        <v>17</v>
      </c>
      <c r="I94" s="8" t="b" cm="1">
        <f t="array" ref="I94">INDEX(B$30:B$57,$H94)=$G94</f>
        <v>0</v>
      </c>
      <c r="J94" s="8" t="b" cm="1">
        <f t="array" ref="J94">INDEX(C$30:C$57,$H94)=$G94</f>
        <v>0</v>
      </c>
      <c r="K94" s="8" t="b" cm="1">
        <f t="array" ref="K94">INDEX(D$30:D$57,$H94)=$G94</f>
        <v>1</v>
      </c>
      <c r="L94" s="8" t="b" cm="1">
        <f t="array" ref="L94">INDEX(E$30:E$57,$H94)=$G94</f>
        <v>0</v>
      </c>
      <c r="M94" s="8" t="b">
        <v>1</v>
      </c>
      <c r="N94" s="8" t="b">
        <v>1</v>
      </c>
      <c r="O94" s="8" t="b">
        <v>1</v>
      </c>
      <c r="P94" s="8" t="b">
        <v>1</v>
      </c>
    </row>
    <row r="95" spans="7:16" x14ac:dyDescent="0.25">
      <c r="G95" s="8">
        <v>2</v>
      </c>
      <c r="H95" s="8">
        <f t="shared" ref="H95:H141" si="11">INT((ROW(A66)-1)/4)+1</f>
        <v>17</v>
      </c>
      <c r="I95" s="8" t="b" cm="1">
        <f t="array" ref="I95">INDEX(B$30:B$57,$H95)=$G95</f>
        <v>0</v>
      </c>
      <c r="J95" s="8" t="b" cm="1">
        <f t="array" ref="J95">INDEX(C$30:C$57,$H95)=$G95</f>
        <v>0</v>
      </c>
      <c r="K95" s="8" t="b" cm="1">
        <f t="array" ref="K95">INDEX(D$30:D$57,$H95)=$G95</f>
        <v>0</v>
      </c>
      <c r="L95" s="8" t="b" cm="1">
        <f t="array" ref="L95">INDEX(E$30:E$57,$H95)=$G95</f>
        <v>1</v>
      </c>
      <c r="M95" s="8" t="b">
        <v>1</v>
      </c>
      <c r="N95" s="8" t="b">
        <v>1</v>
      </c>
      <c r="O95" s="8" t="b">
        <v>1</v>
      </c>
      <c r="P95" s="8" t="b">
        <v>1</v>
      </c>
    </row>
    <row r="96" spans="7:16" x14ac:dyDescent="0.25">
      <c r="G96" s="8">
        <v>3</v>
      </c>
      <c r="H96" s="8">
        <f t="shared" si="11"/>
        <v>17</v>
      </c>
      <c r="I96" s="8" t="b" cm="1">
        <f t="array" ref="I96">INDEX(B$30:B$57,$H96)=$G96</f>
        <v>1</v>
      </c>
      <c r="J96" s="8" t="b" cm="1">
        <f t="array" ref="J96">INDEX(C$30:C$57,$H96)=$G96</f>
        <v>0</v>
      </c>
      <c r="K96" s="8" t="b" cm="1">
        <f t="array" ref="K96">INDEX(D$30:D$57,$H96)=$G96</f>
        <v>0</v>
      </c>
      <c r="L96" s="8" t="b" cm="1">
        <f t="array" ref="L96">INDEX(E$30:E$57,$H96)=$G96</f>
        <v>0</v>
      </c>
      <c r="M96" s="8" t="b">
        <v>1</v>
      </c>
      <c r="N96" s="8" t="b">
        <v>1</v>
      </c>
      <c r="O96" s="8" t="b">
        <v>1</v>
      </c>
      <c r="P96" s="8" t="b">
        <v>1</v>
      </c>
    </row>
    <row r="97" spans="7:16" x14ac:dyDescent="0.25">
      <c r="G97" s="8">
        <v>4</v>
      </c>
      <c r="H97" s="8">
        <f t="shared" si="11"/>
        <v>17</v>
      </c>
      <c r="I97" s="8" t="b" cm="1">
        <f t="array" ref="I97">INDEX(B$30:B$57,$H97)=$G97</f>
        <v>0</v>
      </c>
      <c r="J97" s="8" t="b" cm="1">
        <f t="array" ref="J97">INDEX(C$30:C$57,$H97)=$G97</f>
        <v>1</v>
      </c>
      <c r="K97" s="8" t="b" cm="1">
        <f t="array" ref="K97">INDEX(D$30:D$57,$H97)=$G97</f>
        <v>0</v>
      </c>
      <c r="L97" s="8" t="b" cm="1">
        <f t="array" ref="L97">INDEX(E$30:E$57,$H97)=$G97</f>
        <v>0</v>
      </c>
      <c r="M97" s="8" t="b">
        <v>1</v>
      </c>
      <c r="N97" s="8" t="b">
        <v>1</v>
      </c>
      <c r="O97" s="8" t="b">
        <v>1</v>
      </c>
      <c r="P97" s="8" t="b">
        <v>1</v>
      </c>
    </row>
    <row r="98" spans="7:16" x14ac:dyDescent="0.25">
      <c r="G98" s="8">
        <v>1</v>
      </c>
      <c r="H98" s="8">
        <f t="shared" si="11"/>
        <v>18</v>
      </c>
      <c r="I98" s="8" t="b" cm="1">
        <f t="array" ref="I98">INDEX(B$30:B$57,$H98)=$G98</f>
        <v>1</v>
      </c>
      <c r="J98" s="8" t="b" cm="1">
        <f t="array" ref="J98">INDEX(C$30:C$57,$H98)=$G98</f>
        <v>0</v>
      </c>
      <c r="K98" s="8" t="b" cm="1">
        <f t="array" ref="K98">INDEX(D$30:D$57,$H98)=$G98</f>
        <v>1</v>
      </c>
      <c r="L98" s="8" t="b" cm="1">
        <f t="array" ref="L98">INDEX(E$30:E$57,$H98)=$G98</f>
        <v>0</v>
      </c>
      <c r="M98" s="8" t="b">
        <v>1</v>
      </c>
      <c r="N98" s="8" t="b">
        <v>1</v>
      </c>
      <c r="O98" s="8" t="b">
        <v>1</v>
      </c>
      <c r="P98" s="8" t="b">
        <v>1</v>
      </c>
    </row>
    <row r="99" spans="7:16" x14ac:dyDescent="0.25">
      <c r="G99" s="8">
        <v>2</v>
      </c>
      <c r="H99" s="8">
        <f t="shared" si="11"/>
        <v>18</v>
      </c>
      <c r="I99" s="8" t="b" cm="1">
        <f t="array" ref="I99">INDEX(B$30:B$57,$H99)=$G99</f>
        <v>0</v>
      </c>
      <c r="J99" s="8" t="b" cm="1">
        <f t="array" ref="J99">INDEX(C$30:C$57,$H99)=$G99</f>
        <v>0</v>
      </c>
      <c r="K99" s="8" t="b" cm="1">
        <f t="array" ref="K99">INDEX(D$30:D$57,$H99)=$G99</f>
        <v>0</v>
      </c>
      <c r="L99" s="8" t="b" cm="1">
        <f t="array" ref="L99">INDEX(E$30:E$57,$H99)=$G99</f>
        <v>0</v>
      </c>
      <c r="M99" s="8" t="b">
        <v>1</v>
      </c>
      <c r="N99" s="8" t="b">
        <v>1</v>
      </c>
      <c r="O99" s="8" t="b">
        <v>1</v>
      </c>
      <c r="P99" s="8" t="b">
        <v>1</v>
      </c>
    </row>
    <row r="100" spans="7:16" x14ac:dyDescent="0.25">
      <c r="G100" s="8">
        <v>3</v>
      </c>
      <c r="H100" s="8">
        <f t="shared" si="11"/>
        <v>18</v>
      </c>
      <c r="I100" s="8" t="b" cm="1">
        <f t="array" ref="I100">INDEX(B$30:B$57,$H100)=$G100</f>
        <v>0</v>
      </c>
      <c r="J100" s="8" t="b" cm="1">
        <f t="array" ref="J100">INDEX(C$30:C$57,$H100)=$G100</f>
        <v>0</v>
      </c>
      <c r="K100" s="8" t="b" cm="1">
        <f t="array" ref="K100">INDEX(D$30:D$57,$H100)=$G100</f>
        <v>0</v>
      </c>
      <c r="L100" s="8" t="b" cm="1">
        <f t="array" ref="L100">INDEX(E$30:E$57,$H100)=$G100</f>
        <v>1</v>
      </c>
      <c r="M100" s="8" t="b">
        <v>1</v>
      </c>
      <c r="N100" s="8" t="b">
        <v>1</v>
      </c>
      <c r="O100" s="8" t="b">
        <v>1</v>
      </c>
      <c r="P100" s="8" t="b">
        <v>1</v>
      </c>
    </row>
    <row r="101" spans="7:16" x14ac:dyDescent="0.25">
      <c r="G101" s="8">
        <v>4</v>
      </c>
      <c r="H101" s="8">
        <f t="shared" si="11"/>
        <v>18</v>
      </c>
      <c r="I101" s="8" t="b" cm="1">
        <f t="array" ref="I101">INDEX(B$30:B$57,$H101)=$G101</f>
        <v>0</v>
      </c>
      <c r="J101" s="8" t="b" cm="1">
        <f t="array" ref="J101">INDEX(C$30:C$57,$H101)=$G101</f>
        <v>1</v>
      </c>
      <c r="K101" s="8" t="b" cm="1">
        <f t="array" ref="K101">INDEX(D$30:D$57,$H101)=$G101</f>
        <v>0</v>
      </c>
      <c r="L101" s="8" t="b" cm="1">
        <f t="array" ref="L101">INDEX(E$30:E$57,$H101)=$G101</f>
        <v>0</v>
      </c>
      <c r="M101" s="8" t="b">
        <v>1</v>
      </c>
      <c r="N101" s="8" t="b">
        <v>1</v>
      </c>
      <c r="O101" s="8" t="b">
        <v>1</v>
      </c>
      <c r="P101" s="8" t="b">
        <v>1</v>
      </c>
    </row>
    <row r="102" spans="7:16" x14ac:dyDescent="0.25">
      <c r="G102" s="8">
        <v>1</v>
      </c>
      <c r="H102" s="8">
        <f t="shared" si="11"/>
        <v>19</v>
      </c>
      <c r="I102" s="8" t="b" cm="1">
        <f t="array" ref="I102">INDEX(B$30:B$57,$H102)=$G102</f>
        <v>0</v>
      </c>
      <c r="J102" s="8" t="b" cm="1">
        <f t="array" ref="J102">INDEX(C$30:C$57,$H102)=$G102</f>
        <v>0</v>
      </c>
      <c r="K102" s="8" t="b" cm="1">
        <f t="array" ref="K102">INDEX(D$30:D$57,$H102)=$G102</f>
        <v>1</v>
      </c>
      <c r="L102" s="8" t="b" cm="1">
        <f t="array" ref="L102">INDEX(E$30:E$57,$H102)=$G102</f>
        <v>1</v>
      </c>
      <c r="M102" s="8" t="b">
        <v>1</v>
      </c>
      <c r="N102" s="8" t="b">
        <v>1</v>
      </c>
      <c r="O102" s="8" t="b">
        <v>1</v>
      </c>
      <c r="P102" s="8" t="b">
        <v>1</v>
      </c>
    </row>
    <row r="103" spans="7:16" x14ac:dyDescent="0.25">
      <c r="G103" s="8">
        <v>2</v>
      </c>
      <c r="H103" s="8">
        <f t="shared" si="11"/>
        <v>19</v>
      </c>
      <c r="I103" s="8" t="b" cm="1">
        <f t="array" ref="I103">INDEX(B$30:B$57,$H103)=$G103</f>
        <v>1</v>
      </c>
      <c r="J103" s="8" t="b" cm="1">
        <f t="array" ref="J103">INDEX(C$30:C$57,$H103)=$G103</f>
        <v>1</v>
      </c>
      <c r="K103" s="8" t="b" cm="1">
        <f t="array" ref="K103">INDEX(D$30:D$57,$H103)=$G103</f>
        <v>0</v>
      </c>
      <c r="L103" s="8" t="b" cm="1">
        <f t="array" ref="L103">INDEX(E$30:E$57,$H103)=$G103</f>
        <v>0</v>
      </c>
      <c r="M103" s="8" t="b">
        <v>1</v>
      </c>
      <c r="N103" s="8" t="b">
        <v>1</v>
      </c>
      <c r="O103" s="8" t="b">
        <v>1</v>
      </c>
      <c r="P103" s="8" t="b">
        <v>1</v>
      </c>
    </row>
    <row r="104" spans="7:16" x14ac:dyDescent="0.25">
      <c r="G104" s="8">
        <v>3</v>
      </c>
      <c r="H104" s="8">
        <f t="shared" si="11"/>
        <v>19</v>
      </c>
      <c r="I104" s="8" t="b" cm="1">
        <f t="array" ref="I104">INDEX(B$30:B$57,$H104)=$G104</f>
        <v>0</v>
      </c>
      <c r="J104" s="8" t="b" cm="1">
        <f t="array" ref="J104">INDEX(C$30:C$57,$H104)=$G104</f>
        <v>0</v>
      </c>
      <c r="K104" s="8" t="b" cm="1">
        <f t="array" ref="K104">INDEX(D$30:D$57,$H104)=$G104</f>
        <v>0</v>
      </c>
      <c r="L104" s="8" t="b" cm="1">
        <f t="array" ref="L104">INDEX(E$30:E$57,$H104)=$G104</f>
        <v>0</v>
      </c>
      <c r="M104" s="8" t="b">
        <v>1</v>
      </c>
      <c r="N104" s="8" t="b">
        <v>1</v>
      </c>
      <c r="O104" s="8" t="b">
        <v>1</v>
      </c>
      <c r="P104" s="8" t="b">
        <v>1</v>
      </c>
    </row>
    <row r="105" spans="7:16" x14ac:dyDescent="0.25">
      <c r="G105" s="8">
        <v>4</v>
      </c>
      <c r="H105" s="8">
        <f t="shared" si="11"/>
        <v>19</v>
      </c>
      <c r="I105" s="8" t="b" cm="1">
        <f t="array" ref="I105">INDEX(B$30:B$57,$H105)=$G105</f>
        <v>0</v>
      </c>
      <c r="J105" s="8" t="b" cm="1">
        <f t="array" ref="J105">INDEX(C$30:C$57,$H105)=$G105</f>
        <v>0</v>
      </c>
      <c r="K105" s="8" t="b" cm="1">
        <f t="array" ref="K105">INDEX(D$30:D$57,$H105)=$G105</f>
        <v>0</v>
      </c>
      <c r="L105" s="8" t="b" cm="1">
        <f t="array" ref="L105">INDEX(E$30:E$57,$H105)=$G105</f>
        <v>0</v>
      </c>
      <c r="M105" s="8" t="b">
        <v>1</v>
      </c>
      <c r="N105" s="8" t="b">
        <v>1</v>
      </c>
      <c r="O105" s="8" t="b">
        <v>1</v>
      </c>
      <c r="P105" s="8" t="b">
        <v>1</v>
      </c>
    </row>
    <row r="106" spans="7:16" x14ac:dyDescent="0.25">
      <c r="G106" s="8">
        <v>1</v>
      </c>
      <c r="H106" s="8">
        <f t="shared" si="11"/>
        <v>20</v>
      </c>
      <c r="I106" s="8" t="b" cm="1">
        <f t="array" ref="I106">INDEX(B$30:B$57,$H106)=$G106</f>
        <v>0</v>
      </c>
      <c r="J106" s="8" t="b" cm="1">
        <f t="array" ref="J106">INDEX(C$30:C$57,$H106)=$G106</f>
        <v>0</v>
      </c>
      <c r="K106" s="8" t="b" cm="1">
        <f t="array" ref="K106">INDEX(D$30:D$57,$H106)=$G106</f>
        <v>0</v>
      </c>
      <c r="L106" s="8" t="b" cm="1">
        <f t="array" ref="L106">INDEX(E$30:E$57,$H106)=$G106</f>
        <v>1</v>
      </c>
      <c r="M106" s="8" t="b">
        <v>1</v>
      </c>
      <c r="N106" s="8" t="b">
        <v>1</v>
      </c>
      <c r="O106" s="8" t="b">
        <v>1</v>
      </c>
      <c r="P106" s="8" t="b">
        <v>1</v>
      </c>
    </row>
    <row r="107" spans="7:16" x14ac:dyDescent="0.25">
      <c r="G107" s="8">
        <v>2</v>
      </c>
      <c r="H107" s="8">
        <f t="shared" si="11"/>
        <v>20</v>
      </c>
      <c r="I107" s="8" t="b" cm="1">
        <f t="array" ref="I107">INDEX(B$30:B$57,$H107)=$G107</f>
        <v>1</v>
      </c>
      <c r="J107" s="8" t="b" cm="1">
        <f t="array" ref="J107">INDEX(C$30:C$57,$H107)=$G107</f>
        <v>1</v>
      </c>
      <c r="K107" s="8" t="b" cm="1">
        <f t="array" ref="K107">INDEX(D$30:D$57,$H107)=$G107</f>
        <v>0</v>
      </c>
      <c r="L107" s="8" t="b" cm="1">
        <f t="array" ref="L107">INDEX(E$30:E$57,$H107)=$G107</f>
        <v>0</v>
      </c>
      <c r="M107" s="8" t="b">
        <v>1</v>
      </c>
      <c r="N107" s="8" t="b">
        <v>1</v>
      </c>
      <c r="O107" s="8" t="b">
        <v>1</v>
      </c>
      <c r="P107" s="8" t="b">
        <v>1</v>
      </c>
    </row>
    <row r="108" spans="7:16" x14ac:dyDescent="0.25">
      <c r="G108" s="8">
        <v>3</v>
      </c>
      <c r="H108" s="8">
        <f t="shared" si="11"/>
        <v>20</v>
      </c>
      <c r="I108" s="8" t="b" cm="1">
        <f t="array" ref="I108">INDEX(B$30:B$57,$H108)=$G108</f>
        <v>0</v>
      </c>
      <c r="J108" s="8" t="b" cm="1">
        <f t="array" ref="J108">INDEX(C$30:C$57,$H108)=$G108</f>
        <v>0</v>
      </c>
      <c r="K108" s="8" t="b" cm="1">
        <f t="array" ref="K108">INDEX(D$30:D$57,$H108)=$G108</f>
        <v>0</v>
      </c>
      <c r="L108" s="8" t="b" cm="1">
        <f t="array" ref="L108">INDEX(E$30:E$57,$H108)=$G108</f>
        <v>0</v>
      </c>
      <c r="M108" s="8" t="b">
        <v>1</v>
      </c>
      <c r="N108" s="8" t="b">
        <v>1</v>
      </c>
      <c r="O108" s="8" t="b">
        <v>1</v>
      </c>
      <c r="P108" s="8" t="b">
        <v>1</v>
      </c>
    </row>
    <row r="109" spans="7:16" x14ac:dyDescent="0.25">
      <c r="G109" s="8">
        <v>4</v>
      </c>
      <c r="H109" s="8">
        <f t="shared" si="11"/>
        <v>20</v>
      </c>
      <c r="I109" s="8" t="b" cm="1">
        <f t="array" ref="I109">INDEX(B$30:B$57,$H109)=$G109</f>
        <v>0</v>
      </c>
      <c r="J109" s="8" t="b" cm="1">
        <f t="array" ref="J109">INDEX(C$30:C$57,$H109)=$G109</f>
        <v>0</v>
      </c>
      <c r="K109" s="8" t="b" cm="1">
        <f t="array" ref="K109">INDEX(D$30:D$57,$H109)=$G109</f>
        <v>1</v>
      </c>
      <c r="L109" s="8" t="b" cm="1">
        <f t="array" ref="L109">INDEX(E$30:E$57,$H109)=$G109</f>
        <v>0</v>
      </c>
      <c r="M109" s="8" t="b">
        <v>1</v>
      </c>
      <c r="N109" s="8" t="b">
        <v>1</v>
      </c>
      <c r="O109" s="8" t="b">
        <v>1</v>
      </c>
      <c r="P109" s="8" t="b">
        <v>1</v>
      </c>
    </row>
    <row r="110" spans="7:16" x14ac:dyDescent="0.25">
      <c r="G110" s="8">
        <v>1</v>
      </c>
      <c r="H110" s="8">
        <f t="shared" si="11"/>
        <v>21</v>
      </c>
      <c r="I110" s="8" t="b" cm="1">
        <f t="array" ref="I110">INDEX(B$30:B$57,$H110)=$G110</f>
        <v>1</v>
      </c>
      <c r="J110" s="8" t="b" cm="1">
        <f t="array" ref="J110">INDEX(C$30:C$57,$H110)=$G110</f>
        <v>1</v>
      </c>
      <c r="K110" s="8" t="b" cm="1">
        <f t="array" ref="K110">INDEX(D$30:D$57,$H110)=$G110</f>
        <v>1</v>
      </c>
      <c r="L110" s="8" t="b" cm="1">
        <f t="array" ref="L110">INDEX(E$30:E$57,$H110)=$G110</f>
        <v>0</v>
      </c>
      <c r="M110" s="8" t="b">
        <v>1</v>
      </c>
      <c r="N110" s="8" t="b">
        <v>1</v>
      </c>
      <c r="O110" s="8" t="b">
        <v>1</v>
      </c>
      <c r="P110" s="8" t="b">
        <v>1</v>
      </c>
    </row>
    <row r="111" spans="7:16" x14ac:dyDescent="0.25">
      <c r="G111" s="8">
        <v>2</v>
      </c>
      <c r="H111" s="8">
        <f t="shared" si="11"/>
        <v>21</v>
      </c>
      <c r="I111" s="8" t="b" cm="1">
        <f t="array" ref="I111">INDEX(B$30:B$57,$H111)=$G111</f>
        <v>0</v>
      </c>
      <c r="J111" s="8" t="b" cm="1">
        <f t="array" ref="J111">INDEX(C$30:C$57,$H111)=$G111</f>
        <v>0</v>
      </c>
      <c r="K111" s="8" t="b" cm="1">
        <f t="array" ref="K111">INDEX(D$30:D$57,$H111)=$G111</f>
        <v>0</v>
      </c>
      <c r="L111" s="8" t="b" cm="1">
        <f t="array" ref="L111">INDEX(E$30:E$57,$H111)=$G111</f>
        <v>1</v>
      </c>
      <c r="M111" s="8" t="b">
        <v>1</v>
      </c>
      <c r="N111" s="8" t="b">
        <v>1</v>
      </c>
      <c r="O111" s="8" t="b">
        <v>1</v>
      </c>
      <c r="P111" s="8" t="b">
        <v>1</v>
      </c>
    </row>
    <row r="112" spans="7:16" x14ac:dyDescent="0.25">
      <c r="G112" s="8">
        <v>3</v>
      </c>
      <c r="H112" s="8">
        <f t="shared" si="11"/>
        <v>21</v>
      </c>
      <c r="I112" s="8" t="b" cm="1">
        <f t="array" ref="I112">INDEX(B$30:B$57,$H112)=$G112</f>
        <v>0</v>
      </c>
      <c r="J112" s="8" t="b" cm="1">
        <f t="array" ref="J112">INDEX(C$30:C$57,$H112)=$G112</f>
        <v>0</v>
      </c>
      <c r="K112" s="8" t="b" cm="1">
        <f t="array" ref="K112">INDEX(D$30:D$57,$H112)=$G112</f>
        <v>0</v>
      </c>
      <c r="L112" s="8" t="b" cm="1">
        <f t="array" ref="L112">INDEX(E$30:E$57,$H112)=$G112</f>
        <v>0</v>
      </c>
      <c r="M112" s="8" t="b">
        <v>1</v>
      </c>
      <c r="N112" s="8" t="b">
        <v>1</v>
      </c>
      <c r="O112" s="8" t="b">
        <v>1</v>
      </c>
      <c r="P112" s="8" t="b">
        <v>1</v>
      </c>
    </row>
    <row r="113" spans="2:16" x14ac:dyDescent="0.25">
      <c r="G113" s="8">
        <v>4</v>
      </c>
      <c r="H113" s="8">
        <f t="shared" si="11"/>
        <v>21</v>
      </c>
      <c r="I113" s="8" t="b" cm="1">
        <f t="array" ref="I113">INDEX(B$30:B$57,$H113)=$G113</f>
        <v>0</v>
      </c>
      <c r="J113" s="8" t="b" cm="1">
        <f t="array" ref="J113">INDEX(C$30:C$57,$H113)=$G113</f>
        <v>0</v>
      </c>
      <c r="K113" s="8" t="b" cm="1">
        <f t="array" ref="K113">INDEX(D$30:D$57,$H113)=$G113</f>
        <v>0</v>
      </c>
      <c r="L113" s="8" t="b" cm="1">
        <f t="array" ref="L113">INDEX(E$30:E$57,$H113)=$G113</f>
        <v>0</v>
      </c>
      <c r="M113" s="8" t="b">
        <v>1</v>
      </c>
      <c r="N113" s="8" t="b">
        <v>1</v>
      </c>
      <c r="O113" s="8" t="b">
        <v>1</v>
      </c>
      <c r="P113" s="8" t="b">
        <v>1</v>
      </c>
    </row>
    <row r="114" spans="2:16" x14ac:dyDescent="0.25">
      <c r="G114" s="8">
        <v>1</v>
      </c>
      <c r="H114" s="8">
        <f t="shared" si="11"/>
        <v>22</v>
      </c>
      <c r="I114" s="8" t="b" cm="1">
        <f t="array" ref="I114">INDEX(B$30:B$57,$H114)=$G114</f>
        <v>0</v>
      </c>
      <c r="J114" s="8" t="b" cm="1">
        <f t="array" ref="J114">INDEX(C$30:C$57,$H114)=$G114</f>
        <v>1</v>
      </c>
      <c r="K114" s="8" t="b" cm="1">
        <f t="array" ref="K114">INDEX(D$30:D$57,$H114)=$G114</f>
        <v>0</v>
      </c>
      <c r="L114" s="8" t="b" cm="1">
        <f t="array" ref="L114">INDEX(E$30:E$57,$H114)=$G114</f>
        <v>0</v>
      </c>
      <c r="M114" s="8" t="b">
        <v>1</v>
      </c>
      <c r="N114" s="8" t="b">
        <v>1</v>
      </c>
      <c r="O114" s="8" t="b">
        <v>1</v>
      </c>
      <c r="P114" s="8" t="b">
        <v>1</v>
      </c>
    </row>
    <row r="115" spans="2:16" x14ac:dyDescent="0.25">
      <c r="G115" s="8">
        <v>2</v>
      </c>
      <c r="H115" s="8">
        <f t="shared" si="11"/>
        <v>22</v>
      </c>
      <c r="I115" s="8" t="b" cm="1">
        <f t="array" ref="I115">INDEX(B$30:B$57,$H115)=$G115</f>
        <v>0</v>
      </c>
      <c r="J115" s="8" t="b" cm="1">
        <f t="array" ref="J115">INDEX(C$30:C$57,$H115)=$G115</f>
        <v>0</v>
      </c>
      <c r="K115" s="8" t="b" cm="1">
        <f t="array" ref="K115">INDEX(D$30:D$57,$H115)=$G115</f>
        <v>1</v>
      </c>
      <c r="L115" s="8" t="b" cm="1">
        <f t="array" ref="L115">INDEX(E$30:E$57,$H115)=$G115</f>
        <v>1</v>
      </c>
      <c r="M115" s="8" t="b">
        <v>1</v>
      </c>
      <c r="N115" s="8" t="b">
        <v>1</v>
      </c>
      <c r="O115" s="8" t="b">
        <v>1</v>
      </c>
      <c r="P115" s="8" t="b">
        <v>1</v>
      </c>
    </row>
    <row r="116" spans="2:16" x14ac:dyDescent="0.25">
      <c r="G116" s="8">
        <v>3</v>
      </c>
      <c r="H116" s="8">
        <f t="shared" si="11"/>
        <v>22</v>
      </c>
      <c r="I116" s="8" t="b" cm="1">
        <f t="array" ref="I116">INDEX(B$30:B$57,$H116)=$G116</f>
        <v>1</v>
      </c>
      <c r="J116" s="8" t="b" cm="1">
        <f t="array" ref="J116">INDEX(C$30:C$57,$H116)=$G116</f>
        <v>0</v>
      </c>
      <c r="K116" s="8" t="b" cm="1">
        <f t="array" ref="K116">INDEX(D$30:D$57,$H116)=$G116</f>
        <v>0</v>
      </c>
      <c r="L116" s="8" t="b" cm="1">
        <f t="array" ref="L116">INDEX(E$30:E$57,$H116)=$G116</f>
        <v>0</v>
      </c>
      <c r="M116" s="8" t="b">
        <v>1</v>
      </c>
      <c r="N116" s="8" t="b">
        <v>1</v>
      </c>
      <c r="O116" s="8" t="b">
        <v>1</v>
      </c>
      <c r="P116" s="8" t="b">
        <v>1</v>
      </c>
    </row>
    <row r="117" spans="2:16" x14ac:dyDescent="0.25">
      <c r="B117" s="30"/>
      <c r="G117" s="8">
        <v>4</v>
      </c>
      <c r="H117" s="8">
        <f t="shared" si="11"/>
        <v>22</v>
      </c>
      <c r="I117" s="8" t="b" cm="1">
        <f t="array" ref="I117">INDEX(B$30:B$57,$H117)=$G117</f>
        <v>0</v>
      </c>
      <c r="J117" s="8" t="b" cm="1">
        <f t="array" ref="J117">INDEX(C$30:C$57,$H117)=$G117</f>
        <v>0</v>
      </c>
      <c r="K117" s="8" t="b" cm="1">
        <f t="array" ref="K117">INDEX(D$30:D$57,$H117)=$G117</f>
        <v>0</v>
      </c>
      <c r="L117" s="8" t="b" cm="1">
        <f t="array" ref="L117">INDEX(E$30:E$57,$H117)=$G117</f>
        <v>0</v>
      </c>
      <c r="M117" s="8" t="b">
        <v>1</v>
      </c>
      <c r="N117" s="8" t="b">
        <v>1</v>
      </c>
      <c r="O117" s="8" t="b">
        <v>1</v>
      </c>
      <c r="P117" s="8" t="b">
        <v>1</v>
      </c>
    </row>
    <row r="118" spans="2:16" x14ac:dyDescent="0.25">
      <c r="B118" s="27"/>
      <c r="G118" s="8">
        <v>1</v>
      </c>
      <c r="H118" s="8">
        <f t="shared" si="11"/>
        <v>23</v>
      </c>
      <c r="I118" s="8" t="b" cm="1">
        <f t="array" ref="I118">INDEX(B$30:B$57,$H118)=$G118</f>
        <v>1</v>
      </c>
      <c r="J118" s="8" t="b" cm="1">
        <f t="array" ref="J118">INDEX(C$30:C$57,$H118)=$G118</f>
        <v>1</v>
      </c>
      <c r="K118" s="8" t="b" cm="1">
        <f t="array" ref="K118">INDEX(D$30:D$57,$H118)=$G118</f>
        <v>0</v>
      </c>
      <c r="L118" s="8" t="b" cm="1">
        <f t="array" ref="L118">INDEX(E$30:E$57,$H118)=$G118</f>
        <v>1</v>
      </c>
      <c r="M118" s="8" t="b">
        <v>1</v>
      </c>
      <c r="N118" s="8" t="b">
        <v>1</v>
      </c>
      <c r="O118" s="8" t="b">
        <v>1</v>
      </c>
      <c r="P118" s="8" t="b">
        <v>1</v>
      </c>
    </row>
    <row r="119" spans="2:16" x14ac:dyDescent="0.25">
      <c r="B119" s="28"/>
      <c r="G119" s="8">
        <v>2</v>
      </c>
      <c r="H119" s="8">
        <f t="shared" si="11"/>
        <v>23</v>
      </c>
      <c r="I119" s="8" t="b" cm="1">
        <f t="array" ref="I119">INDEX(B$30:B$57,$H119)=$G119</f>
        <v>0</v>
      </c>
      <c r="J119" s="8" t="b" cm="1">
        <f t="array" ref="J119">INDEX(C$30:C$57,$H119)=$G119</f>
        <v>0</v>
      </c>
      <c r="K119" s="8" t="b" cm="1">
        <f t="array" ref="K119">INDEX(D$30:D$57,$H119)=$G119</f>
        <v>0</v>
      </c>
      <c r="L119" s="8" t="b" cm="1">
        <f t="array" ref="L119">INDEX(E$30:E$57,$H119)=$G119</f>
        <v>0</v>
      </c>
      <c r="M119" s="8" t="b">
        <v>1</v>
      </c>
      <c r="N119" s="8" t="b">
        <v>1</v>
      </c>
      <c r="O119" s="8" t="b">
        <v>1</v>
      </c>
      <c r="P119" s="8" t="b">
        <v>1</v>
      </c>
    </row>
    <row r="120" spans="2:16" x14ac:dyDescent="0.25">
      <c r="B120" s="29"/>
      <c r="G120" s="8">
        <v>3</v>
      </c>
      <c r="H120" s="8">
        <f t="shared" si="11"/>
        <v>23</v>
      </c>
      <c r="I120" s="8" t="b" cm="1">
        <f t="array" ref="I120">INDEX(B$30:B$57,$H120)=$G120</f>
        <v>0</v>
      </c>
      <c r="J120" s="8" t="b" cm="1">
        <f t="array" ref="J120">INDEX(C$30:C$57,$H120)=$G120</f>
        <v>0</v>
      </c>
      <c r="K120" s="8" t="b" cm="1">
        <f t="array" ref="K120">INDEX(D$30:D$57,$H120)=$G120</f>
        <v>1</v>
      </c>
      <c r="L120" s="8" t="b" cm="1">
        <f t="array" ref="L120">INDEX(E$30:E$57,$H120)=$G120</f>
        <v>0</v>
      </c>
      <c r="M120" s="8" t="b">
        <v>1</v>
      </c>
      <c r="N120" s="8" t="b">
        <v>1</v>
      </c>
      <c r="O120" s="8" t="b">
        <v>1</v>
      </c>
      <c r="P120" s="8" t="b">
        <v>1</v>
      </c>
    </row>
    <row r="121" spans="2:16" x14ac:dyDescent="0.25">
      <c r="G121" s="8">
        <v>4</v>
      </c>
      <c r="H121" s="8">
        <f t="shared" si="11"/>
        <v>23</v>
      </c>
      <c r="I121" s="8" t="b" cm="1">
        <f t="array" ref="I121">INDEX(B$30:B$57,$H121)=$G121</f>
        <v>0</v>
      </c>
      <c r="J121" s="8" t="b" cm="1">
        <f t="array" ref="J121">INDEX(C$30:C$57,$H121)=$G121</f>
        <v>0</v>
      </c>
      <c r="K121" s="8" t="b" cm="1">
        <f t="array" ref="K121">INDEX(D$30:D$57,$H121)=$G121</f>
        <v>0</v>
      </c>
      <c r="L121" s="8" t="b" cm="1">
        <f t="array" ref="L121">INDEX(E$30:E$57,$H121)=$G121</f>
        <v>0</v>
      </c>
      <c r="M121" s="8" t="b">
        <v>1</v>
      </c>
      <c r="N121" s="8" t="b">
        <v>1</v>
      </c>
      <c r="O121" s="8" t="b">
        <v>1</v>
      </c>
      <c r="P121" s="8" t="b">
        <v>1</v>
      </c>
    </row>
    <row r="122" spans="2:16" x14ac:dyDescent="0.25">
      <c r="G122" s="8">
        <v>1</v>
      </c>
      <c r="H122" s="8">
        <f t="shared" si="11"/>
        <v>24</v>
      </c>
      <c r="I122" s="8" t="b" cm="1">
        <f t="array" ref="I122">INDEX(B$30:B$57,$H122)=$G122</f>
        <v>1</v>
      </c>
      <c r="J122" s="8" t="b" cm="1">
        <f t="array" ref="J122">INDEX(C$30:C$57,$H122)=$G122</f>
        <v>0</v>
      </c>
      <c r="K122" s="8" t="b" cm="1">
        <f t="array" ref="K122">INDEX(D$30:D$57,$H122)=$G122</f>
        <v>0</v>
      </c>
      <c r="L122" s="8" t="b" cm="1">
        <f t="array" ref="L122">INDEX(E$30:E$57,$H122)=$G122</f>
        <v>0</v>
      </c>
      <c r="M122" s="8" t="b">
        <v>1</v>
      </c>
      <c r="N122" s="8" t="b">
        <v>1</v>
      </c>
      <c r="O122" s="8" t="b">
        <v>1</v>
      </c>
      <c r="P122" s="8" t="b">
        <v>1</v>
      </c>
    </row>
    <row r="123" spans="2:16" x14ac:dyDescent="0.25">
      <c r="G123" s="8">
        <v>2</v>
      </c>
      <c r="H123" s="8">
        <f t="shared" si="11"/>
        <v>24</v>
      </c>
      <c r="I123" s="8" t="b" cm="1">
        <f t="array" ref="I123">INDEX(B$30:B$57,$H123)=$G123</f>
        <v>0</v>
      </c>
      <c r="J123" s="8" t="b" cm="1">
        <f t="array" ref="J123">INDEX(C$30:C$57,$H123)=$G123</f>
        <v>1</v>
      </c>
      <c r="K123" s="8" t="b" cm="1">
        <f t="array" ref="K123">INDEX(D$30:D$57,$H123)=$G123</f>
        <v>1</v>
      </c>
      <c r="L123" s="8" t="b" cm="1">
        <f t="array" ref="L123">INDEX(E$30:E$57,$H123)=$G123</f>
        <v>0</v>
      </c>
      <c r="M123" s="8" t="b">
        <v>1</v>
      </c>
      <c r="N123" s="8" t="b">
        <v>1</v>
      </c>
      <c r="O123" s="8" t="b">
        <v>1</v>
      </c>
      <c r="P123" s="8" t="b">
        <v>1</v>
      </c>
    </row>
    <row r="124" spans="2:16" x14ac:dyDescent="0.25">
      <c r="G124" s="8">
        <v>3</v>
      </c>
      <c r="H124" s="8">
        <f t="shared" si="11"/>
        <v>24</v>
      </c>
      <c r="I124" s="8" t="b" cm="1">
        <f t="array" ref="I124">INDEX(B$30:B$57,$H124)=$G124</f>
        <v>0</v>
      </c>
      <c r="J124" s="8" t="b" cm="1">
        <f t="array" ref="J124">INDEX(C$30:C$57,$H124)=$G124</f>
        <v>0</v>
      </c>
      <c r="K124" s="8" t="b" cm="1">
        <f t="array" ref="K124">INDEX(D$30:D$57,$H124)=$G124</f>
        <v>0</v>
      </c>
      <c r="L124" s="8" t="b" cm="1">
        <f t="array" ref="L124">INDEX(E$30:E$57,$H124)=$G124</f>
        <v>1</v>
      </c>
      <c r="M124" s="8" t="b">
        <v>1</v>
      </c>
      <c r="N124" s="8" t="b">
        <v>1</v>
      </c>
      <c r="O124" s="8" t="b">
        <v>1</v>
      </c>
      <c r="P124" s="8" t="b">
        <v>1</v>
      </c>
    </row>
    <row r="125" spans="2:16" x14ac:dyDescent="0.25">
      <c r="G125" s="8">
        <v>4</v>
      </c>
      <c r="H125" s="8">
        <f t="shared" si="11"/>
        <v>24</v>
      </c>
      <c r="I125" s="8" t="b" cm="1">
        <f t="array" ref="I125">INDEX(B$30:B$57,$H125)=$G125</f>
        <v>0</v>
      </c>
      <c r="J125" s="8" t="b" cm="1">
        <f t="array" ref="J125">INDEX(C$30:C$57,$H125)=$G125</f>
        <v>0</v>
      </c>
      <c r="K125" s="8" t="b" cm="1">
        <f t="array" ref="K125">INDEX(D$30:D$57,$H125)=$G125</f>
        <v>0</v>
      </c>
      <c r="L125" s="8" t="b" cm="1">
        <f t="array" ref="L125">INDEX(E$30:E$57,$H125)=$G125</f>
        <v>0</v>
      </c>
      <c r="M125" s="8" t="b">
        <v>1</v>
      </c>
      <c r="N125" s="8" t="b">
        <v>1</v>
      </c>
      <c r="O125" s="8" t="b">
        <v>1</v>
      </c>
      <c r="P125" s="8" t="b">
        <v>1</v>
      </c>
    </row>
    <row r="126" spans="2:16" x14ac:dyDescent="0.25">
      <c r="G126" s="8">
        <v>1</v>
      </c>
      <c r="H126" s="8">
        <f t="shared" si="11"/>
        <v>25</v>
      </c>
      <c r="I126" s="8" t="b" cm="1">
        <f t="array" ref="I126">INDEX(B$30:B$57,$H126)=$G126</f>
        <v>1</v>
      </c>
      <c r="J126" s="8" t="b" cm="1">
        <f t="array" ref="J126">INDEX(C$30:C$57,$H126)=$G126</f>
        <v>0</v>
      </c>
      <c r="K126" s="8" t="b" cm="1">
        <f t="array" ref="K126">INDEX(D$30:D$57,$H126)=$G126</f>
        <v>0</v>
      </c>
      <c r="L126" s="8" t="b" cm="1">
        <f t="array" ref="L126">INDEX(E$30:E$57,$H126)=$G126</f>
        <v>0</v>
      </c>
      <c r="M126" s="8" t="b">
        <v>1</v>
      </c>
      <c r="N126" s="8" t="b">
        <v>1</v>
      </c>
      <c r="O126" s="8" t="b">
        <v>1</v>
      </c>
      <c r="P126" s="8" t="b">
        <v>1</v>
      </c>
    </row>
    <row r="127" spans="2:16" x14ac:dyDescent="0.25">
      <c r="G127" s="8">
        <v>2</v>
      </c>
      <c r="H127" s="8">
        <f t="shared" si="11"/>
        <v>25</v>
      </c>
      <c r="I127" s="8" t="b" cm="1">
        <f t="array" ref="I127">INDEX(B$30:B$57,$H127)=$G127</f>
        <v>0</v>
      </c>
      <c r="J127" s="8" t="b" cm="1">
        <f t="array" ref="J127">INDEX(C$30:C$57,$H127)=$G127</f>
        <v>0</v>
      </c>
      <c r="K127" s="8" t="b" cm="1">
        <f t="array" ref="K127">INDEX(D$30:D$57,$H127)=$G127</f>
        <v>1</v>
      </c>
      <c r="L127" s="8" t="b" cm="1">
        <f t="array" ref="L127">INDEX(E$30:E$57,$H127)=$G127</f>
        <v>0</v>
      </c>
      <c r="M127" s="8" t="b">
        <v>1</v>
      </c>
      <c r="N127" s="8" t="b">
        <v>1</v>
      </c>
      <c r="O127" s="8" t="b">
        <v>1</v>
      </c>
      <c r="P127" s="8" t="b">
        <v>1</v>
      </c>
    </row>
    <row r="128" spans="2:16" x14ac:dyDescent="0.25">
      <c r="G128" s="8">
        <v>3</v>
      </c>
      <c r="H128" s="8">
        <f t="shared" si="11"/>
        <v>25</v>
      </c>
      <c r="I128" s="8" t="b" cm="1">
        <f t="array" ref="I128">INDEX(B$30:B$57,$H128)=$G128</f>
        <v>0</v>
      </c>
      <c r="J128" s="8" t="b" cm="1">
        <f t="array" ref="J128">INDEX(C$30:C$57,$H128)=$G128</f>
        <v>1</v>
      </c>
      <c r="K128" s="8" t="b" cm="1">
        <f t="array" ref="K128">INDEX(D$30:D$57,$H128)=$G128</f>
        <v>0</v>
      </c>
      <c r="L128" s="8" t="b" cm="1">
        <f t="array" ref="L128">INDEX(E$30:E$57,$H128)=$G128</f>
        <v>0</v>
      </c>
      <c r="M128" s="8" t="b">
        <v>1</v>
      </c>
      <c r="N128" s="8" t="b">
        <v>1</v>
      </c>
      <c r="O128" s="8" t="b">
        <v>1</v>
      </c>
      <c r="P128" s="8" t="b">
        <v>1</v>
      </c>
    </row>
    <row r="129" spans="7:16" x14ac:dyDescent="0.25">
      <c r="G129" s="8">
        <v>4</v>
      </c>
      <c r="H129" s="8">
        <f t="shared" si="11"/>
        <v>25</v>
      </c>
      <c r="I129" s="8" t="b" cm="1">
        <f t="array" ref="I129">INDEX(B$30:B$57,$H129)=$G129</f>
        <v>0</v>
      </c>
      <c r="J129" s="8" t="b" cm="1">
        <f t="array" ref="J129">INDEX(C$30:C$57,$H129)=$G129</f>
        <v>0</v>
      </c>
      <c r="K129" s="8" t="b" cm="1">
        <f t="array" ref="K129">INDEX(D$30:D$57,$H129)=$G129</f>
        <v>0</v>
      </c>
      <c r="L129" s="8" t="b" cm="1">
        <f t="array" ref="L129">INDEX(E$30:E$57,$H129)=$G129</f>
        <v>1</v>
      </c>
      <c r="M129" s="8" t="b">
        <v>1</v>
      </c>
      <c r="N129" s="8" t="b">
        <v>1</v>
      </c>
      <c r="O129" s="8" t="b">
        <v>1</v>
      </c>
      <c r="P129" s="8" t="b">
        <v>1</v>
      </c>
    </row>
    <row r="130" spans="7:16" x14ac:dyDescent="0.25">
      <c r="G130" s="8">
        <v>1</v>
      </c>
      <c r="H130" s="8">
        <f t="shared" si="11"/>
        <v>26</v>
      </c>
      <c r="I130" s="8" t="b" cm="1">
        <f t="array" ref="I130">INDEX(B$30:B$57,$H130)=$G130</f>
        <v>0</v>
      </c>
      <c r="J130" s="8" t="b" cm="1">
        <f t="array" ref="J130">INDEX(C$30:C$57,$H130)=$G130</f>
        <v>0</v>
      </c>
      <c r="K130" s="8" t="b" cm="1">
        <f t="array" ref="K130">INDEX(D$30:D$57,$H130)=$G130</f>
        <v>1</v>
      </c>
      <c r="L130" s="8" t="b" cm="1">
        <f t="array" ref="L130">INDEX(E$30:E$57,$H130)=$G130</f>
        <v>0</v>
      </c>
      <c r="M130" s="8" t="b">
        <v>1</v>
      </c>
      <c r="N130" s="8" t="b">
        <v>1</v>
      </c>
      <c r="O130" s="8" t="b">
        <v>1</v>
      </c>
      <c r="P130" s="8" t="b">
        <v>1</v>
      </c>
    </row>
    <row r="131" spans="7:16" x14ac:dyDescent="0.25">
      <c r="G131" s="8">
        <v>2</v>
      </c>
      <c r="H131" s="8">
        <f t="shared" si="11"/>
        <v>26</v>
      </c>
      <c r="I131" s="8" t="b" cm="1">
        <f t="array" ref="I131">INDEX(B$30:B$57,$H131)=$G131</f>
        <v>0</v>
      </c>
      <c r="J131" s="8" t="b" cm="1">
        <f t="array" ref="J131">INDEX(C$30:C$57,$H131)=$G131</f>
        <v>1</v>
      </c>
      <c r="K131" s="8" t="b" cm="1">
        <f t="array" ref="K131">INDEX(D$30:D$57,$H131)=$G131</f>
        <v>0</v>
      </c>
      <c r="L131" s="8" t="b" cm="1">
        <f t="array" ref="L131">INDEX(E$30:E$57,$H131)=$G131</f>
        <v>0</v>
      </c>
      <c r="M131" s="8" t="b">
        <v>1</v>
      </c>
      <c r="N131" s="8" t="b">
        <v>1</v>
      </c>
      <c r="O131" s="8" t="b">
        <v>1</v>
      </c>
      <c r="P131" s="8" t="b">
        <v>1</v>
      </c>
    </row>
    <row r="132" spans="7:16" x14ac:dyDescent="0.25">
      <c r="G132" s="8">
        <v>3</v>
      </c>
      <c r="H132" s="8">
        <f t="shared" si="11"/>
        <v>26</v>
      </c>
      <c r="I132" s="8" t="b" cm="1">
        <f t="array" ref="I132">INDEX(B$30:B$57,$H132)=$G132</f>
        <v>1</v>
      </c>
      <c r="J132" s="8" t="b" cm="1">
        <f t="array" ref="J132">INDEX(C$30:C$57,$H132)=$G132</f>
        <v>0</v>
      </c>
      <c r="K132" s="8" t="b" cm="1">
        <f t="array" ref="K132">INDEX(D$30:D$57,$H132)=$G132</f>
        <v>0</v>
      </c>
      <c r="L132" s="8" t="b" cm="1">
        <f t="array" ref="L132">INDEX(E$30:E$57,$H132)=$G132</f>
        <v>1</v>
      </c>
      <c r="M132" s="8" t="b">
        <v>1</v>
      </c>
      <c r="N132" s="8" t="b">
        <v>1</v>
      </c>
      <c r="O132" s="8" t="b">
        <v>1</v>
      </c>
      <c r="P132" s="8" t="b">
        <v>1</v>
      </c>
    </row>
    <row r="133" spans="7:16" x14ac:dyDescent="0.25">
      <c r="G133" s="8">
        <v>4</v>
      </c>
      <c r="H133" s="8">
        <f t="shared" si="11"/>
        <v>26</v>
      </c>
      <c r="I133" s="8" t="b" cm="1">
        <f t="array" ref="I133">INDEX(B$30:B$57,$H133)=$G133</f>
        <v>0</v>
      </c>
      <c r="J133" s="8" t="b" cm="1">
        <f t="array" ref="J133">INDEX(C$30:C$57,$H133)=$G133</f>
        <v>0</v>
      </c>
      <c r="K133" s="8" t="b" cm="1">
        <f t="array" ref="K133">INDEX(D$30:D$57,$H133)=$G133</f>
        <v>0</v>
      </c>
      <c r="L133" s="8" t="b" cm="1">
        <f t="array" ref="L133">INDEX(E$30:E$57,$H133)=$G133</f>
        <v>0</v>
      </c>
      <c r="M133" s="8" t="b">
        <v>1</v>
      </c>
      <c r="N133" s="8" t="b">
        <v>1</v>
      </c>
      <c r="O133" s="8" t="b">
        <v>1</v>
      </c>
      <c r="P133" s="8" t="b">
        <v>1</v>
      </c>
    </row>
    <row r="134" spans="7:16" x14ac:dyDescent="0.25">
      <c r="G134" s="8">
        <v>1</v>
      </c>
      <c r="H134" s="8">
        <f t="shared" si="11"/>
        <v>27</v>
      </c>
      <c r="I134" s="8" t="b" cm="1">
        <f t="array" ref="I134">INDEX(B$30:B$57,$H134)=$G134</f>
        <v>0</v>
      </c>
      <c r="J134" s="8" t="b" cm="1">
        <f t="array" ref="J134">INDEX(C$30:C$57,$H134)=$G134</f>
        <v>0</v>
      </c>
      <c r="K134" s="8" t="b" cm="1">
        <f t="array" ref="K134">INDEX(D$30:D$57,$H134)=$G134</f>
        <v>0</v>
      </c>
      <c r="L134" s="8" t="b" cm="1">
        <f t="array" ref="L134">INDEX(E$30:E$57,$H134)=$G134</f>
        <v>1</v>
      </c>
      <c r="M134" s="8" t="b">
        <v>1</v>
      </c>
      <c r="N134" s="8" t="b">
        <v>1</v>
      </c>
      <c r="O134" s="8" t="b">
        <v>1</v>
      </c>
      <c r="P134" s="8" t="b">
        <v>1</v>
      </c>
    </row>
    <row r="135" spans="7:16" x14ac:dyDescent="0.25">
      <c r="G135" s="8">
        <v>2</v>
      </c>
      <c r="H135" s="8">
        <f t="shared" si="11"/>
        <v>27</v>
      </c>
      <c r="I135" s="8" t="b" cm="1">
        <f t="array" ref="I135">INDEX(B$30:B$57,$H135)=$G135</f>
        <v>0</v>
      </c>
      <c r="J135" s="8" t="b" cm="1">
        <f t="array" ref="J135">INDEX(C$30:C$57,$H135)=$G135</f>
        <v>0</v>
      </c>
      <c r="K135" s="8" t="b" cm="1">
        <f t="array" ref="K135">INDEX(D$30:D$57,$H135)=$G135</f>
        <v>1</v>
      </c>
      <c r="L135" s="8" t="b" cm="1">
        <f t="array" ref="L135">INDEX(E$30:E$57,$H135)=$G135</f>
        <v>0</v>
      </c>
      <c r="M135" s="8" t="b">
        <v>1</v>
      </c>
      <c r="N135" s="8" t="b">
        <v>1</v>
      </c>
      <c r="O135" s="8" t="b">
        <v>1</v>
      </c>
      <c r="P135" s="8" t="b">
        <v>1</v>
      </c>
    </row>
    <row r="136" spans="7:16" x14ac:dyDescent="0.25">
      <c r="G136" s="8">
        <v>3</v>
      </c>
      <c r="H136" s="8">
        <f t="shared" si="11"/>
        <v>27</v>
      </c>
      <c r="I136" s="8" t="b" cm="1">
        <f t="array" ref="I136">INDEX(B$30:B$57,$H136)=$G136</f>
        <v>0</v>
      </c>
      <c r="J136" s="8" t="b" cm="1">
        <f t="array" ref="J136">INDEX(C$30:C$57,$H136)=$G136</f>
        <v>1</v>
      </c>
      <c r="K136" s="8" t="b" cm="1">
        <f t="array" ref="K136">INDEX(D$30:D$57,$H136)=$G136</f>
        <v>0</v>
      </c>
      <c r="L136" s="8" t="b" cm="1">
        <f t="array" ref="L136">INDEX(E$30:E$57,$H136)=$G136</f>
        <v>0</v>
      </c>
      <c r="M136" s="8" t="b">
        <v>1</v>
      </c>
      <c r="N136" s="8" t="b">
        <v>1</v>
      </c>
      <c r="O136" s="8" t="b">
        <v>1</v>
      </c>
      <c r="P136" s="8" t="b">
        <v>1</v>
      </c>
    </row>
    <row r="137" spans="7:16" x14ac:dyDescent="0.25">
      <c r="G137" s="8">
        <v>4</v>
      </c>
      <c r="H137" s="8">
        <f t="shared" si="11"/>
        <v>27</v>
      </c>
      <c r="I137" s="8" t="b" cm="1">
        <f t="array" ref="I137">INDEX(B$30:B$57,$H137)=$G137</f>
        <v>1</v>
      </c>
      <c r="J137" s="8" t="b" cm="1">
        <f t="array" ref="J137">INDEX(C$30:C$57,$H137)=$G137</f>
        <v>0</v>
      </c>
      <c r="K137" s="8" t="b" cm="1">
        <f t="array" ref="K137">INDEX(D$30:D$57,$H137)=$G137</f>
        <v>0</v>
      </c>
      <c r="L137" s="8" t="b" cm="1">
        <f t="array" ref="L137">INDEX(E$30:E$57,$H137)=$G137</f>
        <v>0</v>
      </c>
      <c r="M137" s="8" t="b">
        <v>1</v>
      </c>
      <c r="N137" s="8" t="b">
        <v>1</v>
      </c>
      <c r="O137" s="8" t="b">
        <v>1</v>
      </c>
      <c r="P137" s="8" t="b">
        <v>1</v>
      </c>
    </row>
    <row r="138" spans="7:16" x14ac:dyDescent="0.25">
      <c r="G138" s="8">
        <v>1</v>
      </c>
      <c r="H138" s="8">
        <f t="shared" si="11"/>
        <v>28</v>
      </c>
      <c r="I138" s="8" t="b" cm="1">
        <f t="array" ref="I138">INDEX(B$30:B$57,$H138)=$G138</f>
        <v>1</v>
      </c>
      <c r="J138" s="8" t="b" cm="1">
        <f t="array" ref="J138">INDEX(C$30:C$57,$H138)=$G138</f>
        <v>1</v>
      </c>
      <c r="K138" s="8" t="b" cm="1">
        <f t="array" ref="K138">INDEX(D$30:D$57,$H138)=$G138</f>
        <v>0</v>
      </c>
      <c r="L138" s="8" t="b" cm="1">
        <f t="array" ref="L138">INDEX(E$30:E$57,$H138)=$G138</f>
        <v>1</v>
      </c>
      <c r="M138" s="8" t="b">
        <v>1</v>
      </c>
      <c r="N138" s="8" t="b">
        <v>1</v>
      </c>
      <c r="O138" s="8" t="b">
        <v>1</v>
      </c>
      <c r="P138" s="8" t="b">
        <v>1</v>
      </c>
    </row>
    <row r="139" spans="7:16" x14ac:dyDescent="0.25">
      <c r="G139" s="8">
        <v>2</v>
      </c>
      <c r="H139" s="8">
        <f t="shared" si="11"/>
        <v>28</v>
      </c>
      <c r="I139" s="8" t="b" cm="1">
        <f t="array" ref="I139">INDEX(B$30:B$57,$H139)=$G139</f>
        <v>0</v>
      </c>
      <c r="J139" s="8" t="b" cm="1">
        <f t="array" ref="J139">INDEX(C$30:C$57,$H139)=$G139</f>
        <v>0</v>
      </c>
      <c r="K139" s="8" t="b" cm="1">
        <f t="array" ref="K139">INDEX(D$30:D$57,$H139)=$G139</f>
        <v>1</v>
      </c>
      <c r="L139" s="8" t="b" cm="1">
        <f t="array" ref="L139">INDEX(E$30:E$57,$H139)=$G139</f>
        <v>0</v>
      </c>
      <c r="M139" s="8" t="b">
        <v>1</v>
      </c>
      <c r="N139" s="8" t="b">
        <v>1</v>
      </c>
      <c r="O139" s="8" t="b">
        <v>1</v>
      </c>
      <c r="P139" s="8" t="b">
        <v>1</v>
      </c>
    </row>
    <row r="140" spans="7:16" x14ac:dyDescent="0.25">
      <c r="G140" s="8">
        <v>3</v>
      </c>
      <c r="H140" s="8">
        <f t="shared" si="11"/>
        <v>28</v>
      </c>
      <c r="I140" s="8" t="b" cm="1">
        <f t="array" ref="I140">INDEX(B$30:B$57,$H140)=$G140</f>
        <v>0</v>
      </c>
      <c r="J140" s="8" t="b" cm="1">
        <f t="array" ref="J140">INDEX(C$30:C$57,$H140)=$G140</f>
        <v>0</v>
      </c>
      <c r="K140" s="8" t="b" cm="1">
        <f t="array" ref="K140">INDEX(D$30:D$57,$H140)=$G140</f>
        <v>0</v>
      </c>
      <c r="L140" s="8" t="b" cm="1">
        <f t="array" ref="L140">INDEX(E$30:E$57,$H140)=$G140</f>
        <v>0</v>
      </c>
      <c r="M140" s="8" t="b">
        <v>1</v>
      </c>
      <c r="N140" s="8" t="b">
        <v>1</v>
      </c>
      <c r="O140" s="8" t="b">
        <v>1</v>
      </c>
      <c r="P140" s="8" t="b">
        <v>1</v>
      </c>
    </row>
    <row r="141" spans="7:16" x14ac:dyDescent="0.25">
      <c r="G141" s="8">
        <v>4</v>
      </c>
      <c r="H141" s="8">
        <f t="shared" si="11"/>
        <v>28</v>
      </c>
      <c r="I141" s="8" t="b" cm="1">
        <f t="array" ref="I141">INDEX(B$30:B$57,$H141)=$G141</f>
        <v>0</v>
      </c>
      <c r="J141" s="8" t="b" cm="1">
        <f t="array" ref="J141">INDEX(C$30:C$57,$H141)=$G141</f>
        <v>0</v>
      </c>
      <c r="K141" s="8" t="b" cm="1">
        <f t="array" ref="K141">INDEX(D$30:D$57,$H141)=$G141</f>
        <v>0</v>
      </c>
      <c r="L141" s="8" t="b" cm="1">
        <f t="array" ref="L141">INDEX(E$30:E$57,$H141)=$G141</f>
        <v>0</v>
      </c>
      <c r="M141" s="8" t="b">
        <v>1</v>
      </c>
      <c r="N141" s="8" t="b">
        <v>1</v>
      </c>
      <c r="O141" s="8" t="b">
        <v>1</v>
      </c>
      <c r="P141" s="8" t="b">
        <v>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D853-D56E-4838-BDAE-E31D52FF339E}">
  <dimension ref="A3:AH38"/>
  <sheetViews>
    <sheetView workbookViewId="0">
      <selection activeCell="G15" sqref="G15"/>
    </sheetView>
  </sheetViews>
  <sheetFormatPr defaultRowHeight="15" x14ac:dyDescent="0.25"/>
  <cols>
    <col min="1" max="1" width="13.42578125" bestFit="1" customWidth="1"/>
    <col min="2" max="2" width="14" bestFit="1" customWidth="1"/>
    <col min="3" max="3" width="25.140625" bestFit="1" customWidth="1"/>
    <col min="4" max="4" width="15.5703125" bestFit="1" customWidth="1"/>
    <col min="5" max="5" width="13.42578125" bestFit="1" customWidth="1"/>
    <col min="6" max="6" width="24.28515625" bestFit="1" customWidth="1"/>
    <col min="7" max="7" width="29.42578125" bestFit="1" customWidth="1"/>
    <col min="8" max="8" width="27.5703125" bestFit="1" customWidth="1"/>
    <col min="9" max="9" width="25.140625" bestFit="1" customWidth="1"/>
    <col min="10" max="11" width="12" bestFit="1" customWidth="1"/>
    <col min="12" max="13" width="12.28515625" bestFit="1" customWidth="1"/>
    <col min="14" max="14" width="12" bestFit="1" customWidth="1"/>
    <col min="15" max="16" width="13.140625" bestFit="1" customWidth="1"/>
    <col min="17" max="18" width="13.42578125" bestFit="1" customWidth="1"/>
    <col min="19" max="19" width="13.140625" bestFit="1" customWidth="1"/>
    <col min="20" max="20" width="22" bestFit="1" customWidth="1"/>
    <col min="21" max="21" width="26.28515625" bestFit="1" customWidth="1"/>
    <col min="22" max="22" width="28" bestFit="1" customWidth="1"/>
    <col min="23" max="23" width="29" bestFit="1" customWidth="1"/>
    <col min="24" max="24" width="22.28515625" bestFit="1" customWidth="1"/>
    <col min="25" max="29" width="18" bestFit="1" customWidth="1"/>
    <col min="30" max="34" width="20.28515625" bestFit="1" customWidth="1"/>
  </cols>
  <sheetData>
    <row r="3" spans="1:34" x14ac:dyDescent="0.25">
      <c r="A3" s="15" t="s">
        <v>103</v>
      </c>
      <c r="B3" t="s">
        <v>111</v>
      </c>
      <c r="C3" t="s">
        <v>118</v>
      </c>
      <c r="D3" t="s">
        <v>105</v>
      </c>
      <c r="E3" t="s">
        <v>106</v>
      </c>
      <c r="F3" t="s">
        <v>107</v>
      </c>
      <c r="G3" t="s">
        <v>108</v>
      </c>
      <c r="H3" t="s">
        <v>109</v>
      </c>
      <c r="I3" t="s">
        <v>114</v>
      </c>
      <c r="J3" t="s">
        <v>119</v>
      </c>
      <c r="K3" t="s">
        <v>120</v>
      </c>
      <c r="L3" t="s">
        <v>121</v>
      </c>
      <c r="M3" t="s">
        <v>122</v>
      </c>
      <c r="N3" t="s">
        <v>123</v>
      </c>
      <c r="O3" t="s">
        <v>124</v>
      </c>
      <c r="P3" t="s">
        <v>125</v>
      </c>
      <c r="Q3" t="s">
        <v>126</v>
      </c>
      <c r="R3" t="s">
        <v>127</v>
      </c>
      <c r="S3" t="s">
        <v>128</v>
      </c>
      <c r="T3" t="s">
        <v>130</v>
      </c>
      <c r="U3" t="s">
        <v>131</v>
      </c>
      <c r="V3" t="s">
        <v>132</v>
      </c>
      <c r="W3" t="s">
        <v>133</v>
      </c>
      <c r="X3" t="s">
        <v>134</v>
      </c>
      <c r="Y3" t="s">
        <v>142</v>
      </c>
      <c r="Z3" t="s">
        <v>143</v>
      </c>
      <c r="AA3" t="s">
        <v>144</v>
      </c>
      <c r="AB3" t="s">
        <v>145</v>
      </c>
      <c r="AC3" t="s">
        <v>146</v>
      </c>
      <c r="AD3" t="s">
        <v>147</v>
      </c>
      <c r="AE3" t="s">
        <v>148</v>
      </c>
      <c r="AF3" t="s">
        <v>149</v>
      </c>
      <c r="AG3" t="s">
        <v>150</v>
      </c>
      <c r="AH3" t="s">
        <v>151</v>
      </c>
    </row>
    <row r="4" spans="1:34" x14ac:dyDescent="0.25">
      <c r="A4" s="3" t="s">
        <v>77</v>
      </c>
      <c r="B4" s="46">
        <v>118840</v>
      </c>
      <c r="C4" s="46">
        <v>80000</v>
      </c>
      <c r="D4" s="46">
        <v>60760</v>
      </c>
      <c r="E4" s="46">
        <v>50950</v>
      </c>
      <c r="F4" s="46">
        <v>53140</v>
      </c>
      <c r="G4" s="46">
        <v>38170</v>
      </c>
      <c r="H4" s="46">
        <v>34660</v>
      </c>
      <c r="I4" s="4">
        <v>0.72</v>
      </c>
      <c r="J4" s="4">
        <v>0.62</v>
      </c>
      <c r="K4" s="4">
        <v>0.87</v>
      </c>
      <c r="L4" s="4">
        <v>1.18</v>
      </c>
      <c r="M4" s="4">
        <v>0.38</v>
      </c>
      <c r="N4" s="4">
        <v>0.36</v>
      </c>
      <c r="O4" s="4">
        <v>0.35</v>
      </c>
      <c r="P4" s="4">
        <v>0.45</v>
      </c>
      <c r="Q4" s="4">
        <v>0.63</v>
      </c>
      <c r="R4" s="4">
        <v>0.61</v>
      </c>
      <c r="S4" s="4">
        <v>0.53</v>
      </c>
      <c r="T4" s="4">
        <v>0.28000000000000003</v>
      </c>
      <c r="U4" s="4">
        <v>0.21</v>
      </c>
      <c r="V4" s="4">
        <v>0.13</v>
      </c>
      <c r="W4" s="4">
        <v>0.05</v>
      </c>
      <c r="X4" s="4">
        <v>0.32999999999999996</v>
      </c>
      <c r="Y4" s="46">
        <v>9700</v>
      </c>
      <c r="Z4" s="46">
        <v>2900</v>
      </c>
      <c r="AA4" s="46">
        <v>4600</v>
      </c>
      <c r="AB4" s="46">
        <v>5300</v>
      </c>
      <c r="AC4" s="46">
        <v>6000</v>
      </c>
      <c r="AD4" s="46">
        <v>3500</v>
      </c>
      <c r="AE4" s="46">
        <v>6500</v>
      </c>
      <c r="AF4" s="46">
        <v>2400</v>
      </c>
      <c r="AG4" s="46">
        <v>5900</v>
      </c>
      <c r="AH4" s="46">
        <v>3000</v>
      </c>
    </row>
    <row r="5" spans="1:34" x14ac:dyDescent="0.25">
      <c r="A5" s="3" t="s">
        <v>104</v>
      </c>
      <c r="B5" s="46">
        <v>118840</v>
      </c>
      <c r="C5" s="46">
        <v>80000</v>
      </c>
      <c r="D5" s="46">
        <v>60760</v>
      </c>
      <c r="E5" s="46">
        <v>50950</v>
      </c>
      <c r="F5" s="46">
        <v>53140</v>
      </c>
      <c r="G5" s="46">
        <v>38170</v>
      </c>
      <c r="H5" s="46">
        <v>34660</v>
      </c>
      <c r="I5" s="4">
        <v>0.72</v>
      </c>
      <c r="J5" s="4">
        <v>0.62</v>
      </c>
      <c r="K5" s="4">
        <v>0.87</v>
      </c>
      <c r="L5" s="4">
        <v>1.18</v>
      </c>
      <c r="M5" s="4">
        <v>0.38</v>
      </c>
      <c r="N5" s="4">
        <v>0.36</v>
      </c>
      <c r="O5" s="4">
        <v>0.35</v>
      </c>
      <c r="P5" s="4">
        <v>0.45</v>
      </c>
      <c r="Q5" s="4">
        <v>0.63</v>
      </c>
      <c r="R5" s="4">
        <v>0.61</v>
      </c>
      <c r="S5" s="4">
        <v>0.53</v>
      </c>
      <c r="T5" s="4">
        <v>0.28000000000000003</v>
      </c>
      <c r="U5" s="4">
        <v>0.21</v>
      </c>
      <c r="V5" s="4">
        <v>0.13</v>
      </c>
      <c r="W5" s="4">
        <v>0.05</v>
      </c>
      <c r="X5" s="4">
        <v>0.32999999999999996</v>
      </c>
      <c r="Y5" s="46">
        <v>9700</v>
      </c>
      <c r="Z5" s="46">
        <v>2900</v>
      </c>
      <c r="AA5" s="46">
        <v>4600</v>
      </c>
      <c r="AB5" s="46">
        <v>5300</v>
      </c>
      <c r="AC5" s="46">
        <v>6000</v>
      </c>
      <c r="AD5" s="46">
        <v>3500</v>
      </c>
      <c r="AE5" s="46">
        <v>6500</v>
      </c>
      <c r="AF5" s="46">
        <v>2400</v>
      </c>
      <c r="AG5" s="46">
        <v>5900</v>
      </c>
      <c r="AH5" s="46">
        <v>3000</v>
      </c>
    </row>
    <row r="20" spans="1:5" x14ac:dyDescent="0.25">
      <c r="A20" s="15" t="s">
        <v>103</v>
      </c>
      <c r="B20" t="s">
        <v>111</v>
      </c>
      <c r="C20" t="s">
        <v>138</v>
      </c>
      <c r="D20" t="s">
        <v>117</v>
      </c>
      <c r="E20" t="s">
        <v>118</v>
      </c>
    </row>
    <row r="21" spans="1:5" x14ac:dyDescent="0.25">
      <c r="A21" s="3" t="s">
        <v>68</v>
      </c>
      <c r="B21" s="46">
        <v>53818</v>
      </c>
      <c r="C21" s="46">
        <v>60000</v>
      </c>
      <c r="D21" s="46">
        <v>50000</v>
      </c>
      <c r="E21" s="46">
        <v>40000</v>
      </c>
    </row>
    <row r="22" spans="1:5" x14ac:dyDescent="0.25">
      <c r="A22" s="3" t="s">
        <v>69</v>
      </c>
      <c r="B22" s="46">
        <v>76798</v>
      </c>
      <c r="C22" s="46">
        <v>60000</v>
      </c>
      <c r="D22" s="46">
        <v>40000</v>
      </c>
      <c r="E22" s="46">
        <v>50000</v>
      </c>
    </row>
    <row r="23" spans="1:5" x14ac:dyDescent="0.25">
      <c r="A23" s="3" t="s">
        <v>70</v>
      </c>
      <c r="B23" s="46">
        <v>78380</v>
      </c>
      <c r="C23" s="46">
        <v>60000</v>
      </c>
      <c r="D23" s="46">
        <v>50000</v>
      </c>
      <c r="E23" s="46">
        <v>35000</v>
      </c>
    </row>
    <row r="24" spans="1:5" x14ac:dyDescent="0.25">
      <c r="A24" s="3" t="s">
        <v>71</v>
      </c>
      <c r="B24" s="46">
        <v>80403</v>
      </c>
      <c r="C24" s="46">
        <v>60000</v>
      </c>
      <c r="D24" s="46">
        <v>45000</v>
      </c>
      <c r="E24" s="46">
        <v>55000</v>
      </c>
    </row>
    <row r="25" spans="1:5" x14ac:dyDescent="0.25">
      <c r="A25" s="3" t="s">
        <v>72</v>
      </c>
      <c r="B25" s="46">
        <v>110090</v>
      </c>
      <c r="C25" s="46">
        <v>60000</v>
      </c>
      <c r="D25" s="46">
        <v>70000</v>
      </c>
      <c r="E25" s="46">
        <v>60000</v>
      </c>
    </row>
    <row r="26" spans="1:5" x14ac:dyDescent="0.25">
      <c r="A26" s="3" t="s">
        <v>73</v>
      </c>
      <c r="B26" s="46">
        <v>127270</v>
      </c>
      <c r="C26" s="46">
        <v>60000</v>
      </c>
      <c r="D26" s="46">
        <v>60000</v>
      </c>
      <c r="E26" s="46">
        <v>80000</v>
      </c>
    </row>
    <row r="27" spans="1:5" x14ac:dyDescent="0.25">
      <c r="A27" s="3" t="s">
        <v>74</v>
      </c>
      <c r="B27" s="46">
        <v>127090</v>
      </c>
      <c r="C27" s="46">
        <v>60000</v>
      </c>
      <c r="D27" s="46">
        <v>80000</v>
      </c>
      <c r="E27" s="46">
        <v>95000</v>
      </c>
    </row>
    <row r="28" spans="1:5" x14ac:dyDescent="0.25">
      <c r="A28" s="3" t="s">
        <v>75</v>
      </c>
      <c r="B28" s="46">
        <v>126645</v>
      </c>
      <c r="C28" s="46">
        <v>60000</v>
      </c>
      <c r="D28" s="46">
        <v>70000</v>
      </c>
      <c r="E28" s="46">
        <v>90000</v>
      </c>
    </row>
    <row r="29" spans="1:5" x14ac:dyDescent="0.25">
      <c r="A29" s="3" t="s">
        <v>76</v>
      </c>
      <c r="B29" s="46">
        <v>121425</v>
      </c>
      <c r="C29" s="46">
        <v>60000</v>
      </c>
      <c r="D29" s="46">
        <v>80000</v>
      </c>
      <c r="E29" s="46">
        <v>70000</v>
      </c>
    </row>
    <row r="30" spans="1:5" x14ac:dyDescent="0.25">
      <c r="A30" s="3" t="s">
        <v>77</v>
      </c>
      <c r="B30" s="46">
        <v>118840</v>
      </c>
      <c r="C30" s="46">
        <v>60000</v>
      </c>
      <c r="D30" s="46">
        <v>100000</v>
      </c>
      <c r="E30" s="46">
        <v>80000</v>
      </c>
    </row>
    <row r="31" spans="1:5" x14ac:dyDescent="0.25">
      <c r="A31" s="3" t="s">
        <v>78</v>
      </c>
      <c r="B31" s="46">
        <v>98685</v>
      </c>
      <c r="C31" s="46">
        <v>60000</v>
      </c>
      <c r="D31" s="46">
        <v>95000</v>
      </c>
      <c r="E31" s="46">
        <v>60000</v>
      </c>
    </row>
    <row r="32" spans="1:5" x14ac:dyDescent="0.25">
      <c r="A32" s="3" t="s">
        <v>79</v>
      </c>
      <c r="B32" s="46">
        <v>98395</v>
      </c>
      <c r="C32" s="46">
        <v>60000</v>
      </c>
      <c r="D32" s="46">
        <v>80000</v>
      </c>
      <c r="E32" s="46">
        <v>50000</v>
      </c>
    </row>
    <row r="33" spans="1:5" x14ac:dyDescent="0.25">
      <c r="A33" s="3" t="s">
        <v>104</v>
      </c>
      <c r="B33" s="46">
        <v>1217839</v>
      </c>
      <c r="C33" s="46">
        <v>720000</v>
      </c>
      <c r="D33" s="46">
        <v>820000</v>
      </c>
      <c r="E33" s="46">
        <v>765000</v>
      </c>
    </row>
    <row r="36" spans="1:5" x14ac:dyDescent="0.25">
      <c r="A36" s="15" t="s">
        <v>103</v>
      </c>
    </row>
    <row r="37" spans="1:5" x14ac:dyDescent="0.25">
      <c r="A37" s="3">
        <v>2025</v>
      </c>
    </row>
    <row r="38" spans="1:5" x14ac:dyDescent="0.25">
      <c r="A38" s="3"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F24B-CC86-4770-8238-2C7B76F1B619}">
  <dimension ref="A1:BG51"/>
  <sheetViews>
    <sheetView topLeftCell="AL39" workbookViewId="0">
      <selection activeCell="BD12" sqref="BD12"/>
    </sheetView>
  </sheetViews>
  <sheetFormatPr defaultRowHeight="15" x14ac:dyDescent="0.25"/>
  <cols>
    <col min="1" max="2" width="8.85546875" style="2"/>
    <col min="3" max="3" width="13.5703125" style="2" customWidth="1"/>
    <col min="4" max="4" width="19.42578125" style="2" customWidth="1"/>
    <col min="5" max="5" width="17.7109375" style="2" customWidth="1"/>
    <col min="6" max="6" width="22.28515625" style="2" customWidth="1"/>
    <col min="7" max="7" width="20.5703125" style="2" customWidth="1"/>
    <col min="8" max="8" width="13.5703125" customWidth="1"/>
    <col min="9" max="9" width="18.7109375" customWidth="1"/>
    <col min="10" max="10" width="23.7109375" customWidth="1"/>
    <col min="11" max="11" width="11.28515625" customWidth="1"/>
    <col min="12" max="12" width="18.7109375" customWidth="1"/>
    <col min="13" max="13" width="15.7109375" customWidth="1"/>
    <col min="14" max="14" width="13.42578125" customWidth="1"/>
    <col min="15" max="15" width="12.7109375" customWidth="1"/>
    <col min="16" max="16" width="16.28515625" customWidth="1"/>
    <col min="17" max="17" width="18" customWidth="1"/>
    <col min="18" max="18" width="18.7109375" customWidth="1"/>
    <col min="19" max="19" width="12.85546875" customWidth="1"/>
    <col min="21" max="29" width="13.28515625" customWidth="1"/>
    <col min="44" max="48" width="12.140625" customWidth="1"/>
    <col min="49" max="53" width="14.140625" customWidth="1"/>
  </cols>
  <sheetData>
    <row r="1" spans="1:59" x14ac:dyDescent="0.25">
      <c r="T1" s="43" t="s">
        <v>7</v>
      </c>
      <c r="U1" s="43"/>
      <c r="V1" s="43"/>
      <c r="W1" s="43"/>
      <c r="X1" s="43"/>
      <c r="Y1" s="43"/>
      <c r="Z1" s="43"/>
      <c r="AA1" s="43"/>
      <c r="AB1" s="43"/>
      <c r="AC1" s="43"/>
      <c r="AD1" s="43" t="s">
        <v>8</v>
      </c>
      <c r="AE1" s="43"/>
      <c r="AF1" s="43"/>
      <c r="AG1" s="43"/>
      <c r="AH1" s="43"/>
      <c r="AI1" s="43"/>
      <c r="AJ1" s="43"/>
      <c r="AK1" s="43"/>
      <c r="AL1" s="43"/>
      <c r="AM1" s="43"/>
      <c r="AN1" s="43"/>
      <c r="AO1" s="43"/>
      <c r="AP1" s="43"/>
      <c r="AQ1" s="43"/>
      <c r="AR1" s="43" t="s">
        <v>9</v>
      </c>
      <c r="AS1" s="43"/>
      <c r="AT1" s="43"/>
      <c r="AU1" s="43"/>
      <c r="AV1" s="43"/>
      <c r="AW1" s="43"/>
      <c r="AX1" s="43"/>
      <c r="AY1" s="43"/>
      <c r="AZ1" s="43"/>
      <c r="BA1" s="43"/>
    </row>
    <row r="2" spans="1:59" s="9" customFormat="1" x14ac:dyDescent="0.25">
      <c r="A2" s="6"/>
      <c r="B2" s="6"/>
      <c r="C2" s="45" t="s">
        <v>10</v>
      </c>
      <c r="D2" s="45"/>
      <c r="E2" s="45"/>
      <c r="F2" s="45"/>
      <c r="G2" s="45"/>
      <c r="H2" s="45" t="s">
        <v>11</v>
      </c>
      <c r="I2" s="45"/>
      <c r="J2" s="45"/>
      <c r="K2" s="45" t="s">
        <v>12</v>
      </c>
      <c r="L2" s="45"/>
      <c r="M2" s="45" t="s">
        <v>13</v>
      </c>
      <c r="N2" s="45"/>
      <c r="O2" s="45" t="s">
        <v>14</v>
      </c>
      <c r="P2" s="45"/>
      <c r="Q2" s="45"/>
      <c r="R2" s="45"/>
      <c r="S2" s="45"/>
      <c r="T2" s="44" t="s">
        <v>15</v>
      </c>
      <c r="U2" s="44"/>
      <c r="V2" s="44"/>
      <c r="W2" s="44"/>
      <c r="X2" s="44"/>
      <c r="Y2" s="44" t="s">
        <v>136</v>
      </c>
      <c r="Z2" s="44"/>
      <c r="AA2" s="44"/>
      <c r="AB2" s="44"/>
      <c r="AC2" s="44"/>
      <c r="AD2" s="42" t="s">
        <v>16</v>
      </c>
      <c r="AE2" s="42"/>
      <c r="AF2" s="42"/>
      <c r="AG2" s="42"/>
      <c r="AH2" s="42"/>
      <c r="AI2" s="42"/>
      <c r="AJ2" s="42"/>
      <c r="AK2" s="42" t="s">
        <v>17</v>
      </c>
      <c r="AL2" s="42"/>
      <c r="AM2" s="42"/>
      <c r="AN2" s="42"/>
      <c r="AO2" s="42"/>
      <c r="AP2" s="42"/>
      <c r="AQ2" s="42"/>
      <c r="AR2" s="42" t="s">
        <v>18</v>
      </c>
      <c r="AS2" s="42"/>
      <c r="AT2" s="42"/>
      <c r="AU2" s="42"/>
      <c r="AV2" s="42"/>
      <c r="AW2" s="42" t="s">
        <v>19</v>
      </c>
      <c r="AX2" s="42"/>
      <c r="AY2" s="42"/>
      <c r="AZ2" s="42"/>
      <c r="BA2" s="42"/>
      <c r="BB2"/>
      <c r="BC2"/>
      <c r="BD2"/>
      <c r="BE2"/>
      <c r="BF2"/>
      <c r="BG2"/>
    </row>
    <row r="3" spans="1:59" ht="30" x14ac:dyDescent="0.25">
      <c r="A3" s="7" t="s">
        <v>20</v>
      </c>
      <c r="B3" s="7" t="s">
        <v>21</v>
      </c>
      <c r="C3" s="10" t="s">
        <v>22</v>
      </c>
      <c r="D3" s="10" t="s">
        <v>23</v>
      </c>
      <c r="E3" s="10" t="s">
        <v>24</v>
      </c>
      <c r="F3" s="10" t="s">
        <v>25</v>
      </c>
      <c r="G3" s="10" t="s">
        <v>26</v>
      </c>
      <c r="H3" s="10" t="s">
        <v>27</v>
      </c>
      <c r="I3" s="10" t="s">
        <v>28</v>
      </c>
      <c r="J3" s="10" t="s">
        <v>29</v>
      </c>
      <c r="K3" s="10" t="s">
        <v>30</v>
      </c>
      <c r="L3" s="10" t="s">
        <v>31</v>
      </c>
      <c r="M3" s="8" t="s">
        <v>32</v>
      </c>
      <c r="N3" s="8" t="s">
        <v>33</v>
      </c>
      <c r="O3" s="10" t="s">
        <v>34</v>
      </c>
      <c r="P3" s="10" t="s">
        <v>35</v>
      </c>
      <c r="Q3" s="10" t="s">
        <v>36</v>
      </c>
      <c r="R3" s="10" t="s">
        <v>37</v>
      </c>
      <c r="S3" s="10" t="s">
        <v>38</v>
      </c>
      <c r="T3" s="10" t="s">
        <v>39</v>
      </c>
      <c r="U3" s="10" t="s">
        <v>40</v>
      </c>
      <c r="V3" s="10" t="s">
        <v>41</v>
      </c>
      <c r="W3" s="10" t="s">
        <v>42</v>
      </c>
      <c r="X3" s="10" t="s">
        <v>43</v>
      </c>
      <c r="Y3" s="10" t="s">
        <v>44</v>
      </c>
      <c r="Z3" s="10" t="s">
        <v>45</v>
      </c>
      <c r="AA3" s="10" t="s">
        <v>46</v>
      </c>
      <c r="AB3" s="10" t="s">
        <v>47</v>
      </c>
      <c r="AC3" s="10" t="s">
        <v>48</v>
      </c>
      <c r="AD3" s="8" t="s">
        <v>49</v>
      </c>
      <c r="AE3" s="8" t="s">
        <v>50</v>
      </c>
      <c r="AF3" s="8" t="s">
        <v>51</v>
      </c>
      <c r="AG3" s="8" t="s">
        <v>52</v>
      </c>
      <c r="AH3" s="8" t="s">
        <v>53</v>
      </c>
      <c r="AI3" s="8" t="s">
        <v>54</v>
      </c>
      <c r="AJ3" s="8" t="s">
        <v>55</v>
      </c>
      <c r="AK3" s="8" t="s">
        <v>80</v>
      </c>
      <c r="AL3" s="8" t="s">
        <v>81</v>
      </c>
      <c r="AM3" s="8" t="s">
        <v>82</v>
      </c>
      <c r="AN3" s="8" t="s">
        <v>83</v>
      </c>
      <c r="AO3" s="8" t="s">
        <v>84</v>
      </c>
      <c r="AP3" s="8" t="s">
        <v>85</v>
      </c>
      <c r="AQ3" s="8" t="s">
        <v>86</v>
      </c>
      <c r="AR3" s="8" t="s">
        <v>56</v>
      </c>
      <c r="AS3" s="8" t="s">
        <v>57</v>
      </c>
      <c r="AT3" s="8" t="s">
        <v>58</v>
      </c>
      <c r="AU3" s="8" t="s">
        <v>59</v>
      </c>
      <c r="AV3" s="8" t="s">
        <v>60</v>
      </c>
      <c r="AW3" s="8" t="s">
        <v>61</v>
      </c>
      <c r="AX3" s="8" t="s">
        <v>62</v>
      </c>
      <c r="AY3" s="8" t="s">
        <v>63</v>
      </c>
      <c r="AZ3" s="8" t="s">
        <v>64</v>
      </c>
      <c r="BA3" s="8" t="s">
        <v>65</v>
      </c>
      <c r="BB3" s="11" t="s">
        <v>66</v>
      </c>
      <c r="BC3" s="11" t="s">
        <v>67</v>
      </c>
    </row>
    <row r="4" spans="1:59" x14ac:dyDescent="0.25">
      <c r="A4" s="2">
        <v>2025</v>
      </c>
      <c r="B4" s="2" t="s">
        <v>68</v>
      </c>
      <c r="C4" s="2">
        <v>28340</v>
      </c>
      <c r="D4" s="2">
        <v>18130</v>
      </c>
      <c r="E4" s="2">
        <v>20185</v>
      </c>
      <c r="F4" s="2">
        <v>20270</v>
      </c>
      <c r="G4" s="2">
        <v>20710</v>
      </c>
      <c r="H4" s="12">
        <v>0.4</v>
      </c>
      <c r="I4" s="12">
        <v>0.41</v>
      </c>
      <c r="J4" s="12">
        <v>0.18999999999999995</v>
      </c>
      <c r="K4" s="2">
        <v>53818</v>
      </c>
      <c r="L4">
        <v>60000</v>
      </c>
      <c r="M4" s="12">
        <v>0.33</v>
      </c>
      <c r="N4" s="12">
        <v>0.71</v>
      </c>
      <c r="O4" s="12">
        <v>0.26</v>
      </c>
      <c r="P4" s="12">
        <v>0.23</v>
      </c>
      <c r="Q4" s="12">
        <v>0.12</v>
      </c>
      <c r="R4" s="12">
        <v>0.11</v>
      </c>
      <c r="S4" s="12">
        <v>0.28000000000000003</v>
      </c>
      <c r="T4" s="12">
        <v>1.08</v>
      </c>
      <c r="U4" s="12">
        <v>0.47</v>
      </c>
      <c r="V4" s="12">
        <v>1.34</v>
      </c>
      <c r="W4" s="12">
        <v>0.47</v>
      </c>
      <c r="X4" s="12">
        <v>0.5</v>
      </c>
      <c r="Y4" s="12">
        <v>0.46</v>
      </c>
      <c r="Z4" s="12">
        <v>0.39</v>
      </c>
      <c r="AA4" s="12">
        <v>0.59</v>
      </c>
      <c r="AB4" s="12">
        <v>0.48</v>
      </c>
      <c r="AC4" s="12">
        <v>0.7</v>
      </c>
      <c r="AD4">
        <v>59867</v>
      </c>
      <c r="AE4">
        <v>29705</v>
      </c>
      <c r="AF4">
        <v>695</v>
      </c>
      <c r="AG4">
        <v>88522</v>
      </c>
      <c r="AH4">
        <v>10928</v>
      </c>
      <c r="AI4">
        <v>15996</v>
      </c>
      <c r="AJ4">
        <v>34287</v>
      </c>
      <c r="AK4">
        <v>33107</v>
      </c>
      <c r="AL4">
        <v>10047</v>
      </c>
      <c r="AM4">
        <v>37625</v>
      </c>
      <c r="AN4">
        <v>42413</v>
      </c>
      <c r="AO4">
        <v>37885</v>
      </c>
      <c r="AP4">
        <v>27649</v>
      </c>
      <c r="AQ4">
        <v>31454</v>
      </c>
      <c r="AR4" s="2">
        <v>5200</v>
      </c>
      <c r="AS4" s="2">
        <v>3100</v>
      </c>
      <c r="AT4" s="2">
        <v>6300</v>
      </c>
      <c r="AU4" s="2">
        <v>6000</v>
      </c>
      <c r="AV4" s="2">
        <v>6600</v>
      </c>
      <c r="AW4" s="2">
        <v>7300</v>
      </c>
      <c r="AX4" s="2">
        <v>4300</v>
      </c>
      <c r="AY4" s="2">
        <v>4500</v>
      </c>
      <c r="AZ4" s="2">
        <v>4100</v>
      </c>
      <c r="BA4" s="2">
        <v>4100</v>
      </c>
      <c r="BB4" s="13">
        <v>50000</v>
      </c>
      <c r="BC4" s="13">
        <v>40000</v>
      </c>
    </row>
    <row r="5" spans="1:59" x14ac:dyDescent="0.25">
      <c r="A5" s="2">
        <v>2025</v>
      </c>
      <c r="B5" s="2" t="s">
        <v>69</v>
      </c>
      <c r="C5" s="2">
        <v>33090</v>
      </c>
      <c r="D5" s="2">
        <v>19480</v>
      </c>
      <c r="E5" s="2">
        <v>23855</v>
      </c>
      <c r="F5" s="2">
        <v>43990</v>
      </c>
      <c r="G5" s="2">
        <v>33180</v>
      </c>
      <c r="H5" s="12">
        <v>0.37</v>
      </c>
      <c r="I5" s="12">
        <v>0.43</v>
      </c>
      <c r="J5" s="12">
        <v>0.19999999999999996</v>
      </c>
      <c r="K5" s="2">
        <v>76798</v>
      </c>
      <c r="L5">
        <v>60000</v>
      </c>
      <c r="M5" s="12">
        <v>0.17</v>
      </c>
      <c r="N5" s="12">
        <v>0.5</v>
      </c>
      <c r="O5" s="12">
        <v>0.34</v>
      </c>
      <c r="P5" s="12">
        <v>0.23</v>
      </c>
      <c r="Q5" s="12">
        <v>0.12</v>
      </c>
      <c r="R5" s="12">
        <v>0.12</v>
      </c>
      <c r="S5" s="12">
        <v>0.18999999999999995</v>
      </c>
      <c r="T5" s="12">
        <v>0.91</v>
      </c>
      <c r="U5" s="12">
        <v>0.54</v>
      </c>
      <c r="V5" s="12">
        <v>1.32</v>
      </c>
      <c r="W5" s="12">
        <v>0.52</v>
      </c>
      <c r="X5" s="12">
        <v>1.1299999999999999</v>
      </c>
      <c r="Y5" s="12">
        <v>0.48</v>
      </c>
      <c r="Z5" s="12">
        <v>0.56000000000000005</v>
      </c>
      <c r="AA5" s="12">
        <v>0.56999999999999995</v>
      </c>
      <c r="AB5" s="12">
        <v>0.38</v>
      </c>
      <c r="AC5" s="12">
        <v>0.64</v>
      </c>
      <c r="AD5">
        <v>10456</v>
      </c>
      <c r="AE5">
        <v>27396</v>
      </c>
      <c r="AF5">
        <v>49816</v>
      </c>
      <c r="AG5">
        <v>34348</v>
      </c>
      <c r="AH5">
        <v>38205</v>
      </c>
      <c r="AI5">
        <v>45492</v>
      </c>
      <c r="AJ5">
        <v>34287</v>
      </c>
      <c r="AK5">
        <v>42731</v>
      </c>
      <c r="AL5">
        <v>41459</v>
      </c>
      <c r="AM5">
        <v>21075</v>
      </c>
      <c r="AN5">
        <v>31812</v>
      </c>
      <c r="AO5">
        <v>21932</v>
      </c>
      <c r="AP5">
        <v>38151</v>
      </c>
      <c r="AQ5">
        <v>32860</v>
      </c>
      <c r="AR5" s="2">
        <v>9300</v>
      </c>
      <c r="AS5" s="2">
        <v>2900</v>
      </c>
      <c r="AT5" s="2">
        <v>3800</v>
      </c>
      <c r="AU5" s="2">
        <v>4800</v>
      </c>
      <c r="AV5" s="2">
        <v>6100</v>
      </c>
      <c r="AW5" s="2">
        <v>3600</v>
      </c>
      <c r="AX5" s="2">
        <v>5700</v>
      </c>
      <c r="AY5" s="2">
        <v>5400</v>
      </c>
      <c r="AZ5" s="2">
        <v>3300</v>
      </c>
      <c r="BA5" s="2">
        <v>3700</v>
      </c>
      <c r="BB5" s="14">
        <v>40000</v>
      </c>
      <c r="BC5" s="14">
        <v>50000</v>
      </c>
    </row>
    <row r="6" spans="1:59" x14ac:dyDescent="0.25">
      <c r="A6" s="2">
        <v>2025</v>
      </c>
      <c r="B6" s="2" t="s">
        <v>70</v>
      </c>
      <c r="C6" s="2">
        <v>31685</v>
      </c>
      <c r="D6" s="2">
        <v>33955</v>
      </c>
      <c r="E6" s="2">
        <v>27270</v>
      </c>
      <c r="F6" s="2">
        <v>34630</v>
      </c>
      <c r="G6" s="2">
        <v>29220</v>
      </c>
      <c r="H6" s="12">
        <v>0.35</v>
      </c>
      <c r="I6" s="12">
        <v>0.48</v>
      </c>
      <c r="J6" s="12">
        <v>0.17000000000000004</v>
      </c>
      <c r="K6" s="2">
        <v>78380</v>
      </c>
      <c r="L6">
        <v>60000</v>
      </c>
      <c r="M6" s="12">
        <v>0.64</v>
      </c>
      <c r="N6" s="12">
        <v>0.64</v>
      </c>
      <c r="O6" s="12">
        <v>0.28000000000000003</v>
      </c>
      <c r="P6" s="12">
        <v>0.21</v>
      </c>
      <c r="Q6" s="12">
        <v>0.16</v>
      </c>
      <c r="R6" s="12">
        <v>0.11</v>
      </c>
      <c r="S6" s="12">
        <v>0.24</v>
      </c>
      <c r="T6" s="12">
        <v>0.91</v>
      </c>
      <c r="U6" s="12">
        <v>0.35</v>
      </c>
      <c r="V6" s="12">
        <v>1.21</v>
      </c>
      <c r="W6" s="12">
        <v>0.98</v>
      </c>
      <c r="X6" s="12">
        <v>0.81</v>
      </c>
      <c r="Y6" s="12">
        <v>0.56999999999999995</v>
      </c>
      <c r="Z6" s="12">
        <v>0.45</v>
      </c>
      <c r="AA6" s="12">
        <v>0.61</v>
      </c>
      <c r="AB6" s="12">
        <v>0.38</v>
      </c>
      <c r="AC6" s="12">
        <v>0.26</v>
      </c>
      <c r="AD6">
        <v>24662</v>
      </c>
      <c r="AE6">
        <v>37454</v>
      </c>
      <c r="AF6">
        <v>37903</v>
      </c>
      <c r="AG6">
        <v>47190</v>
      </c>
      <c r="AH6">
        <v>44974</v>
      </c>
      <c r="AI6">
        <v>13532</v>
      </c>
      <c r="AJ6">
        <v>34285</v>
      </c>
      <c r="AK6">
        <v>53313</v>
      </c>
      <c r="AL6">
        <v>4272</v>
      </c>
      <c r="AM6">
        <v>27492</v>
      </c>
      <c r="AN6">
        <v>43898</v>
      </c>
      <c r="AO6">
        <v>38795</v>
      </c>
      <c r="AP6">
        <v>42932</v>
      </c>
      <c r="AQ6">
        <v>35118</v>
      </c>
      <c r="AR6" s="2">
        <v>7000</v>
      </c>
      <c r="AS6" s="2">
        <v>3000</v>
      </c>
      <c r="AT6" s="2">
        <v>7000</v>
      </c>
      <c r="AU6" s="2">
        <v>8300</v>
      </c>
      <c r="AV6" s="2">
        <v>2800</v>
      </c>
      <c r="AW6" s="2">
        <v>3100</v>
      </c>
      <c r="AX6" s="2">
        <v>5500</v>
      </c>
      <c r="AY6" s="2">
        <v>4400</v>
      </c>
      <c r="AZ6" s="2">
        <v>3500</v>
      </c>
      <c r="BA6" s="2">
        <v>5200</v>
      </c>
      <c r="BB6" s="13">
        <v>50000</v>
      </c>
      <c r="BC6" s="13">
        <v>35000</v>
      </c>
    </row>
    <row r="7" spans="1:59" x14ac:dyDescent="0.25">
      <c r="A7" s="2">
        <v>2025</v>
      </c>
      <c r="B7" s="2" t="s">
        <v>71</v>
      </c>
      <c r="C7" s="2">
        <v>36840</v>
      </c>
      <c r="D7" s="2">
        <v>23340</v>
      </c>
      <c r="E7" s="2">
        <v>36425</v>
      </c>
      <c r="F7" s="2">
        <v>33470</v>
      </c>
      <c r="G7" s="2">
        <v>30730</v>
      </c>
      <c r="H7" s="12">
        <v>0.36</v>
      </c>
      <c r="I7" s="12">
        <v>0.45</v>
      </c>
      <c r="J7" s="12">
        <v>0.18999999999999995</v>
      </c>
      <c r="K7" s="2">
        <v>80403</v>
      </c>
      <c r="L7">
        <v>60000</v>
      </c>
      <c r="M7" s="12">
        <v>0.4</v>
      </c>
      <c r="N7" s="12">
        <v>0.24</v>
      </c>
      <c r="O7" s="12">
        <v>0.31</v>
      </c>
      <c r="P7" s="12">
        <v>0.3</v>
      </c>
      <c r="Q7" s="12">
        <v>0.12</v>
      </c>
      <c r="R7" s="12">
        <v>7.0000000000000007E-2</v>
      </c>
      <c r="S7" s="12">
        <v>0.19999999999999996</v>
      </c>
      <c r="T7" s="12">
        <v>1.24</v>
      </c>
      <c r="U7" s="12">
        <v>1.06</v>
      </c>
      <c r="V7" s="12">
        <v>1.08</v>
      </c>
      <c r="W7" s="12">
        <v>0.91</v>
      </c>
      <c r="X7" s="12">
        <v>1.07</v>
      </c>
      <c r="Y7" s="12">
        <v>0.26</v>
      </c>
      <c r="Z7" s="12">
        <v>0.31</v>
      </c>
      <c r="AA7" s="12">
        <v>0.56000000000000005</v>
      </c>
      <c r="AB7" s="12">
        <v>0.7</v>
      </c>
      <c r="AC7" s="12">
        <v>0.3</v>
      </c>
      <c r="AD7">
        <v>28363</v>
      </c>
      <c r="AE7">
        <v>32559</v>
      </c>
      <c r="AF7">
        <v>2859</v>
      </c>
      <c r="AG7">
        <v>44682</v>
      </c>
      <c r="AH7">
        <v>89111</v>
      </c>
      <c r="AI7">
        <v>8141</v>
      </c>
      <c r="AJ7">
        <v>34285</v>
      </c>
      <c r="AK7">
        <v>19542</v>
      </c>
      <c r="AL7">
        <v>42659</v>
      </c>
      <c r="AM7">
        <v>40003</v>
      </c>
      <c r="AN7">
        <v>20115</v>
      </c>
      <c r="AO7">
        <v>40007</v>
      </c>
      <c r="AP7">
        <v>40200</v>
      </c>
      <c r="AQ7">
        <v>33754</v>
      </c>
      <c r="AR7" s="2">
        <v>6700</v>
      </c>
      <c r="AS7" s="2">
        <v>5700</v>
      </c>
      <c r="AT7" s="2">
        <v>4500</v>
      </c>
      <c r="AU7" s="2">
        <v>5000</v>
      </c>
      <c r="AV7" s="2">
        <v>2700</v>
      </c>
      <c r="AW7" s="2">
        <v>5900</v>
      </c>
      <c r="AX7" s="2">
        <v>6100</v>
      </c>
      <c r="AY7" s="2">
        <v>5500</v>
      </c>
      <c r="AZ7" s="2">
        <v>3500</v>
      </c>
      <c r="BA7" s="2">
        <v>6100</v>
      </c>
      <c r="BB7" s="14">
        <v>45000</v>
      </c>
      <c r="BC7" s="14">
        <v>55000</v>
      </c>
    </row>
    <row r="8" spans="1:59" x14ac:dyDescent="0.25">
      <c r="A8" s="2">
        <v>2025</v>
      </c>
      <c r="B8" s="2" t="s">
        <v>72</v>
      </c>
      <c r="C8" s="2">
        <v>64590</v>
      </c>
      <c r="D8" s="2">
        <v>41860</v>
      </c>
      <c r="E8" s="2">
        <v>49940</v>
      </c>
      <c r="F8" s="2">
        <v>34330</v>
      </c>
      <c r="G8" s="2">
        <v>29460</v>
      </c>
      <c r="H8" s="12">
        <v>0.36</v>
      </c>
      <c r="I8" s="12">
        <v>0.4</v>
      </c>
      <c r="J8" s="12">
        <v>0.24</v>
      </c>
      <c r="K8" s="2">
        <v>110090</v>
      </c>
      <c r="L8">
        <v>60000</v>
      </c>
      <c r="M8" s="12">
        <v>0.2</v>
      </c>
      <c r="N8" s="12">
        <v>0.25</v>
      </c>
      <c r="O8" s="12">
        <v>0.31</v>
      </c>
      <c r="P8" s="12">
        <v>0.22</v>
      </c>
      <c r="Q8" s="12">
        <v>0.13</v>
      </c>
      <c r="R8" s="12">
        <v>0.14000000000000001</v>
      </c>
      <c r="S8" s="12">
        <v>0.19999999999999996</v>
      </c>
      <c r="T8" s="12">
        <v>0.94</v>
      </c>
      <c r="U8" s="12">
        <v>0.99</v>
      </c>
      <c r="V8" s="12">
        <v>0.77</v>
      </c>
      <c r="W8" s="12">
        <v>1.02</v>
      </c>
      <c r="X8" s="12">
        <v>0.76</v>
      </c>
      <c r="Y8" s="12">
        <v>0.3</v>
      </c>
      <c r="Z8" s="12">
        <v>0.59</v>
      </c>
      <c r="AA8" s="12">
        <v>0.31</v>
      </c>
      <c r="AB8" s="12">
        <v>0.73</v>
      </c>
      <c r="AC8" s="12">
        <v>0.55000000000000004</v>
      </c>
      <c r="AD8">
        <v>6097</v>
      </c>
      <c r="AE8">
        <v>46394</v>
      </c>
      <c r="AF8">
        <v>56704</v>
      </c>
      <c r="AG8">
        <v>18425</v>
      </c>
      <c r="AH8">
        <v>17854</v>
      </c>
      <c r="AI8">
        <v>60241</v>
      </c>
      <c r="AJ8">
        <v>34285</v>
      </c>
      <c r="AK8">
        <v>48037</v>
      </c>
      <c r="AL8">
        <v>41586</v>
      </c>
      <c r="AM8">
        <v>31950</v>
      </c>
      <c r="AN8">
        <v>44847</v>
      </c>
      <c r="AO8">
        <v>8193</v>
      </c>
      <c r="AP8">
        <v>43737</v>
      </c>
      <c r="AQ8">
        <v>36390</v>
      </c>
      <c r="AR8" s="2">
        <v>8900</v>
      </c>
      <c r="AS8" s="2">
        <v>3400</v>
      </c>
      <c r="AT8" s="2">
        <v>2900</v>
      </c>
      <c r="AU8" s="2">
        <v>4000</v>
      </c>
      <c r="AV8" s="2">
        <v>4500</v>
      </c>
      <c r="AW8" s="2">
        <v>3500</v>
      </c>
      <c r="AX8" s="2">
        <v>5400</v>
      </c>
      <c r="AY8" s="2">
        <v>4200</v>
      </c>
      <c r="AZ8" s="2">
        <v>2900</v>
      </c>
      <c r="BA8" s="2">
        <v>6600</v>
      </c>
      <c r="BB8" s="13">
        <v>70000</v>
      </c>
      <c r="BC8" s="13">
        <v>60000</v>
      </c>
    </row>
    <row r="9" spans="1:59" x14ac:dyDescent="0.25">
      <c r="A9" s="2">
        <v>2025</v>
      </c>
      <c r="B9" s="2" t="s">
        <v>73</v>
      </c>
      <c r="C9" s="2">
        <v>76530</v>
      </c>
      <c r="D9" s="2">
        <v>54200</v>
      </c>
      <c r="E9" s="2">
        <v>45950</v>
      </c>
      <c r="F9" s="2">
        <v>42900</v>
      </c>
      <c r="G9" s="2">
        <v>34960</v>
      </c>
      <c r="H9" s="12">
        <v>0.38</v>
      </c>
      <c r="I9" s="12">
        <v>0.5</v>
      </c>
      <c r="J9" s="12">
        <v>0.12</v>
      </c>
      <c r="K9" s="2">
        <v>127270</v>
      </c>
      <c r="L9">
        <v>60000</v>
      </c>
      <c r="M9" s="12">
        <v>0.44</v>
      </c>
      <c r="N9" s="12">
        <v>0.69</v>
      </c>
      <c r="O9" s="12">
        <v>0.35</v>
      </c>
      <c r="P9" s="12">
        <v>0.21</v>
      </c>
      <c r="Q9" s="12">
        <v>0.16</v>
      </c>
      <c r="R9" s="12">
        <v>0.08</v>
      </c>
      <c r="S9" s="12">
        <v>0.20000000000000007</v>
      </c>
      <c r="T9" s="12">
        <v>1.1000000000000001</v>
      </c>
      <c r="U9" s="12">
        <v>1.25</v>
      </c>
      <c r="V9" s="12">
        <v>0.85</v>
      </c>
      <c r="W9" s="12">
        <v>1.31</v>
      </c>
      <c r="X9" s="12">
        <v>0.94</v>
      </c>
      <c r="Y9" s="12">
        <v>0.59</v>
      </c>
      <c r="Z9" s="12">
        <v>0.56000000000000005</v>
      </c>
      <c r="AA9" s="12">
        <v>0.7</v>
      </c>
      <c r="AB9" s="12">
        <v>0.73</v>
      </c>
      <c r="AC9" s="12">
        <v>0.39</v>
      </c>
      <c r="AD9">
        <v>23965</v>
      </c>
      <c r="AE9">
        <v>47071</v>
      </c>
      <c r="AF9">
        <v>30345</v>
      </c>
      <c r="AG9">
        <v>36671</v>
      </c>
      <c r="AH9">
        <v>54945</v>
      </c>
      <c r="AI9">
        <v>12717</v>
      </c>
      <c r="AJ9">
        <v>34286</v>
      </c>
      <c r="AK9">
        <v>31971</v>
      </c>
      <c r="AL9">
        <v>45318</v>
      </c>
      <c r="AM9">
        <v>39555</v>
      </c>
      <c r="AN9">
        <v>45223</v>
      </c>
      <c r="AO9">
        <v>16585</v>
      </c>
      <c r="AP9">
        <v>43065</v>
      </c>
      <c r="AQ9">
        <v>36953</v>
      </c>
      <c r="AR9" s="2">
        <v>6200</v>
      </c>
      <c r="AS9" s="2">
        <v>3200</v>
      </c>
      <c r="AT9" s="2">
        <v>4200</v>
      </c>
      <c r="AU9" s="2">
        <v>3100</v>
      </c>
      <c r="AV9" s="2">
        <v>4900</v>
      </c>
      <c r="AW9" s="2">
        <v>4000</v>
      </c>
      <c r="AX9" s="2">
        <v>4600</v>
      </c>
      <c r="AY9" s="2">
        <v>5500</v>
      </c>
      <c r="AZ9" s="2">
        <v>5200</v>
      </c>
      <c r="BA9" s="2">
        <v>3800</v>
      </c>
      <c r="BB9" s="14">
        <v>60000</v>
      </c>
      <c r="BC9" s="14">
        <v>80000</v>
      </c>
    </row>
    <row r="10" spans="1:59" x14ac:dyDescent="0.25">
      <c r="A10" s="2">
        <v>2025</v>
      </c>
      <c r="B10" s="2" t="s">
        <v>74</v>
      </c>
      <c r="C10" s="2">
        <v>84020</v>
      </c>
      <c r="D10" s="2">
        <v>53040</v>
      </c>
      <c r="E10" s="2">
        <v>54240</v>
      </c>
      <c r="F10" s="2">
        <v>32710</v>
      </c>
      <c r="G10" s="2">
        <v>30170</v>
      </c>
      <c r="H10" s="12">
        <v>0.37</v>
      </c>
      <c r="I10" s="12">
        <v>0.48</v>
      </c>
      <c r="J10" s="12">
        <v>0.15000000000000002</v>
      </c>
      <c r="K10" s="2">
        <v>127090</v>
      </c>
      <c r="L10">
        <v>60000</v>
      </c>
      <c r="M10" s="12">
        <v>0.24</v>
      </c>
      <c r="N10" s="12">
        <v>0.41</v>
      </c>
      <c r="O10" s="12">
        <v>0.31</v>
      </c>
      <c r="P10" s="12">
        <v>0.2</v>
      </c>
      <c r="Q10" s="12">
        <v>0.16</v>
      </c>
      <c r="R10" s="12">
        <v>0.11</v>
      </c>
      <c r="S10" s="12">
        <v>0.21999999999999997</v>
      </c>
      <c r="T10" s="12">
        <v>0.37</v>
      </c>
      <c r="U10" s="12">
        <v>0.46</v>
      </c>
      <c r="V10" s="12">
        <v>0.68</v>
      </c>
      <c r="W10" s="12">
        <v>1.24</v>
      </c>
      <c r="X10" s="12">
        <v>0.88</v>
      </c>
      <c r="Y10" s="12">
        <v>0.52</v>
      </c>
      <c r="Z10" s="12">
        <v>0.61</v>
      </c>
      <c r="AA10" s="12">
        <v>0.34</v>
      </c>
      <c r="AB10" s="12">
        <v>0.48</v>
      </c>
      <c r="AC10" s="12">
        <v>0.33</v>
      </c>
      <c r="AD10">
        <v>33952</v>
      </c>
      <c r="AE10">
        <v>59758</v>
      </c>
      <c r="AF10">
        <v>23186</v>
      </c>
      <c r="AG10">
        <v>5088</v>
      </c>
      <c r="AH10">
        <v>15481</v>
      </c>
      <c r="AI10">
        <v>68250</v>
      </c>
      <c r="AJ10">
        <v>34285</v>
      </c>
      <c r="AK10">
        <v>73225</v>
      </c>
      <c r="AL10">
        <v>82752</v>
      </c>
      <c r="AM10">
        <v>6957</v>
      </c>
      <c r="AN10">
        <v>11539</v>
      </c>
      <c r="AO10">
        <v>18644</v>
      </c>
      <c r="AP10">
        <v>7222</v>
      </c>
      <c r="AQ10">
        <v>33391</v>
      </c>
      <c r="AR10" s="2">
        <v>4900</v>
      </c>
      <c r="AS10" s="2">
        <v>4800</v>
      </c>
      <c r="AT10" s="2">
        <v>2300</v>
      </c>
      <c r="AU10" s="2">
        <v>2700</v>
      </c>
      <c r="AV10" s="2">
        <v>4700</v>
      </c>
      <c r="AW10" s="2">
        <v>4100</v>
      </c>
      <c r="AX10" s="2">
        <v>3400</v>
      </c>
      <c r="AY10" s="2">
        <v>4700</v>
      </c>
      <c r="AZ10" s="2">
        <v>4800</v>
      </c>
      <c r="BA10" s="2">
        <v>2500</v>
      </c>
      <c r="BB10" s="13">
        <v>80000</v>
      </c>
      <c r="BC10" s="13">
        <v>95000</v>
      </c>
    </row>
    <row r="11" spans="1:59" x14ac:dyDescent="0.25">
      <c r="A11" s="2">
        <v>2025</v>
      </c>
      <c r="B11" s="2" t="s">
        <v>75</v>
      </c>
      <c r="C11" s="2">
        <v>84170</v>
      </c>
      <c r="D11" s="2">
        <v>49190</v>
      </c>
      <c r="E11" s="2">
        <v>50140</v>
      </c>
      <c r="F11" s="2">
        <v>41480</v>
      </c>
      <c r="G11" s="2">
        <v>28310</v>
      </c>
      <c r="H11" s="12">
        <v>0.37</v>
      </c>
      <c r="I11" s="12">
        <v>0.44</v>
      </c>
      <c r="J11" s="12">
        <v>0.18999999999999995</v>
      </c>
      <c r="K11" s="2">
        <v>126645</v>
      </c>
      <c r="L11">
        <v>60000</v>
      </c>
      <c r="M11" s="12">
        <v>0.75</v>
      </c>
      <c r="N11" s="12">
        <v>0.6</v>
      </c>
      <c r="O11" s="12">
        <v>0.34</v>
      </c>
      <c r="P11" s="12">
        <v>0.26</v>
      </c>
      <c r="Q11" s="12">
        <v>0.17</v>
      </c>
      <c r="R11" s="12">
        <v>0.12</v>
      </c>
      <c r="S11" s="12">
        <v>0.10999999999999988</v>
      </c>
      <c r="T11" s="12">
        <v>0.53</v>
      </c>
      <c r="U11" s="12">
        <v>1.05</v>
      </c>
      <c r="V11" s="12">
        <v>0.59</v>
      </c>
      <c r="W11" s="12">
        <v>0.44</v>
      </c>
      <c r="X11" s="12">
        <v>0.64</v>
      </c>
      <c r="Y11" s="12">
        <v>0.51</v>
      </c>
      <c r="Z11" s="12">
        <v>0.28999999999999998</v>
      </c>
      <c r="AA11" s="12">
        <v>0.3</v>
      </c>
      <c r="AB11" s="12">
        <v>0.41</v>
      </c>
      <c r="AC11" s="12">
        <v>0.32</v>
      </c>
      <c r="AD11">
        <v>44592</v>
      </c>
      <c r="AE11">
        <v>48774</v>
      </c>
      <c r="AF11">
        <v>27775</v>
      </c>
      <c r="AG11">
        <v>25626</v>
      </c>
      <c r="AH11">
        <v>32862</v>
      </c>
      <c r="AI11">
        <v>26085</v>
      </c>
      <c r="AJ11">
        <v>34286</v>
      </c>
      <c r="AK11">
        <v>56058</v>
      </c>
      <c r="AL11">
        <v>49917</v>
      </c>
      <c r="AM11">
        <v>48765</v>
      </c>
      <c r="AN11">
        <v>42341</v>
      </c>
      <c r="AO11">
        <v>4345</v>
      </c>
      <c r="AP11">
        <v>13391</v>
      </c>
      <c r="AQ11">
        <v>35803</v>
      </c>
      <c r="AR11" s="2">
        <v>7900</v>
      </c>
      <c r="AS11" s="2">
        <v>5400</v>
      </c>
      <c r="AT11" s="2">
        <v>5800</v>
      </c>
      <c r="AU11" s="2">
        <v>4800</v>
      </c>
      <c r="AV11" s="2">
        <v>3300</v>
      </c>
      <c r="AW11" s="2">
        <v>4300</v>
      </c>
      <c r="AX11" s="2">
        <v>5100</v>
      </c>
      <c r="AY11" s="2">
        <v>3000</v>
      </c>
      <c r="AZ11" s="2">
        <v>2200</v>
      </c>
      <c r="BA11" s="2">
        <v>7000</v>
      </c>
      <c r="BB11" s="14">
        <v>70000</v>
      </c>
      <c r="BC11" s="14">
        <v>90000</v>
      </c>
    </row>
    <row r="12" spans="1:59" x14ac:dyDescent="0.25">
      <c r="A12" s="2">
        <v>2025</v>
      </c>
      <c r="B12" s="2" t="s">
        <v>76</v>
      </c>
      <c r="C12" s="2">
        <v>78630</v>
      </c>
      <c r="D12" s="2">
        <v>41370</v>
      </c>
      <c r="E12" s="2">
        <v>53770</v>
      </c>
      <c r="F12" s="2">
        <v>37090</v>
      </c>
      <c r="G12" s="2">
        <v>31990</v>
      </c>
      <c r="H12" s="12">
        <v>0.37</v>
      </c>
      <c r="I12" s="12">
        <v>0.44</v>
      </c>
      <c r="J12" s="12">
        <v>0.18999999999999995</v>
      </c>
      <c r="K12" s="2">
        <v>121425</v>
      </c>
      <c r="L12">
        <v>60000</v>
      </c>
      <c r="M12" s="12">
        <v>0.73</v>
      </c>
      <c r="N12" s="12">
        <v>0.5</v>
      </c>
      <c r="O12" s="12">
        <v>0.33</v>
      </c>
      <c r="P12" s="12">
        <v>0.21</v>
      </c>
      <c r="Q12" s="12">
        <v>0.17</v>
      </c>
      <c r="R12" s="12">
        <v>0.11</v>
      </c>
      <c r="S12" s="12">
        <v>0.17999999999999994</v>
      </c>
      <c r="T12" s="12">
        <v>0.74</v>
      </c>
      <c r="U12" s="12">
        <v>0.45</v>
      </c>
      <c r="V12" s="12">
        <v>1.24</v>
      </c>
      <c r="W12" s="12">
        <v>0.38</v>
      </c>
      <c r="X12" s="12">
        <v>1.06</v>
      </c>
      <c r="Y12" s="12">
        <v>0.72</v>
      </c>
      <c r="Z12" s="12">
        <v>0.42</v>
      </c>
      <c r="AA12" s="12">
        <v>0.38</v>
      </c>
      <c r="AB12" s="12">
        <v>0.74</v>
      </c>
      <c r="AC12" s="12">
        <v>0.49</v>
      </c>
      <c r="AD12">
        <v>41608</v>
      </c>
      <c r="AE12">
        <v>38687</v>
      </c>
      <c r="AF12">
        <v>32685</v>
      </c>
      <c r="AG12">
        <v>40758</v>
      </c>
      <c r="AH12">
        <v>15259</v>
      </c>
      <c r="AI12">
        <v>36718</v>
      </c>
      <c r="AJ12">
        <v>34285</v>
      </c>
      <c r="AK12">
        <v>17916</v>
      </c>
      <c r="AL12">
        <v>14439</v>
      </c>
      <c r="AM12">
        <v>6383</v>
      </c>
      <c r="AN12">
        <v>47775</v>
      </c>
      <c r="AO12">
        <v>68781</v>
      </c>
      <c r="AP12">
        <v>62626</v>
      </c>
      <c r="AQ12">
        <v>36320</v>
      </c>
      <c r="AR12" s="2">
        <v>6900</v>
      </c>
      <c r="AS12" s="2">
        <v>5400</v>
      </c>
      <c r="AT12" s="2">
        <v>3400</v>
      </c>
      <c r="AU12" s="2">
        <v>4800</v>
      </c>
      <c r="AV12" s="2">
        <v>4500</v>
      </c>
      <c r="AW12" s="2">
        <v>4200</v>
      </c>
      <c r="AX12" s="2">
        <v>5400</v>
      </c>
      <c r="AY12" s="2">
        <v>6000</v>
      </c>
      <c r="AZ12" s="2">
        <v>5200</v>
      </c>
      <c r="BA12" s="2">
        <v>5600</v>
      </c>
      <c r="BB12" s="13">
        <v>80000</v>
      </c>
      <c r="BC12" s="13">
        <v>70000</v>
      </c>
    </row>
    <row r="13" spans="1:59" x14ac:dyDescent="0.25">
      <c r="A13" s="2">
        <v>2025</v>
      </c>
      <c r="B13" s="2" t="s">
        <v>77</v>
      </c>
      <c r="C13" s="2">
        <v>60760</v>
      </c>
      <c r="D13" s="2">
        <v>50950</v>
      </c>
      <c r="E13" s="2">
        <v>53140</v>
      </c>
      <c r="F13" s="2">
        <v>38170</v>
      </c>
      <c r="G13" s="2">
        <v>34660</v>
      </c>
      <c r="H13" s="12">
        <v>0.39</v>
      </c>
      <c r="I13" s="12">
        <v>0.54</v>
      </c>
      <c r="J13" s="12">
        <v>6.9999999999999951E-2</v>
      </c>
      <c r="K13" s="2">
        <v>118840</v>
      </c>
      <c r="L13">
        <v>60000</v>
      </c>
      <c r="M13" s="12">
        <v>0.72</v>
      </c>
      <c r="N13" s="12">
        <v>0.47</v>
      </c>
      <c r="O13" s="12">
        <v>0.28000000000000003</v>
      </c>
      <c r="P13" s="12">
        <v>0.21</v>
      </c>
      <c r="Q13" s="12">
        <v>0.13</v>
      </c>
      <c r="R13" s="12">
        <v>0.05</v>
      </c>
      <c r="S13" s="12">
        <v>0.32999999999999996</v>
      </c>
      <c r="T13" s="12">
        <v>0.62</v>
      </c>
      <c r="U13" s="12">
        <v>0.87</v>
      </c>
      <c r="V13" s="12">
        <v>1.18</v>
      </c>
      <c r="W13" s="12">
        <v>0.38</v>
      </c>
      <c r="X13" s="12">
        <v>0.36</v>
      </c>
      <c r="Y13" s="12">
        <v>0.35</v>
      </c>
      <c r="Z13" s="12">
        <v>0.45</v>
      </c>
      <c r="AA13" s="12">
        <v>0.63</v>
      </c>
      <c r="AB13" s="12">
        <v>0.61</v>
      </c>
      <c r="AC13" s="12">
        <v>0.53</v>
      </c>
      <c r="AD13">
        <v>55756</v>
      </c>
      <c r="AE13">
        <v>73802</v>
      </c>
      <c r="AF13">
        <v>10991</v>
      </c>
      <c r="AG13">
        <v>7018</v>
      </c>
      <c r="AH13">
        <v>46491</v>
      </c>
      <c r="AI13">
        <v>11657</v>
      </c>
      <c r="AJ13">
        <v>34285</v>
      </c>
      <c r="AK13">
        <v>30546</v>
      </c>
      <c r="AL13">
        <v>14673</v>
      </c>
      <c r="AM13">
        <v>18630</v>
      </c>
      <c r="AN13">
        <v>49112</v>
      </c>
      <c r="AO13">
        <v>49019</v>
      </c>
      <c r="AP13">
        <v>29146</v>
      </c>
      <c r="AQ13">
        <v>31854</v>
      </c>
      <c r="AR13" s="2">
        <v>9700</v>
      </c>
      <c r="AS13" s="2">
        <v>2900</v>
      </c>
      <c r="AT13" s="2">
        <v>4600</v>
      </c>
      <c r="AU13" s="2">
        <v>5300</v>
      </c>
      <c r="AV13" s="2">
        <v>6000</v>
      </c>
      <c r="AW13" s="2">
        <v>3500</v>
      </c>
      <c r="AX13" s="2">
        <v>6500</v>
      </c>
      <c r="AY13" s="2">
        <v>2400</v>
      </c>
      <c r="AZ13" s="2">
        <v>5900</v>
      </c>
      <c r="BA13" s="2">
        <v>3000</v>
      </c>
      <c r="BB13" s="14">
        <v>100000</v>
      </c>
      <c r="BC13" s="14">
        <v>80000</v>
      </c>
    </row>
    <row r="14" spans="1:59" x14ac:dyDescent="0.25">
      <c r="A14" s="2">
        <v>2025</v>
      </c>
      <c r="B14" s="2" t="s">
        <v>78</v>
      </c>
      <c r="C14" s="2">
        <v>44165</v>
      </c>
      <c r="D14" s="2">
        <v>37275</v>
      </c>
      <c r="E14" s="2">
        <v>37120</v>
      </c>
      <c r="F14" s="2">
        <v>44480</v>
      </c>
      <c r="G14" s="2">
        <v>34330</v>
      </c>
      <c r="H14" s="12">
        <v>0.38</v>
      </c>
      <c r="I14" s="12">
        <v>0.45</v>
      </c>
      <c r="J14" s="12">
        <v>0.16999999999999993</v>
      </c>
      <c r="K14" s="2">
        <v>98685</v>
      </c>
      <c r="L14">
        <v>60000</v>
      </c>
      <c r="M14" s="12">
        <v>0.73</v>
      </c>
      <c r="N14" s="12">
        <v>0.75</v>
      </c>
      <c r="O14" s="12">
        <v>0.25</v>
      </c>
      <c r="P14" s="12">
        <v>0.22</v>
      </c>
      <c r="Q14" s="12">
        <v>0.15</v>
      </c>
      <c r="R14" s="12">
        <v>7.0000000000000007E-2</v>
      </c>
      <c r="S14" s="12">
        <v>0.31000000000000005</v>
      </c>
      <c r="T14" s="12">
        <v>0.63</v>
      </c>
      <c r="U14" s="12">
        <v>0.97</v>
      </c>
      <c r="V14" s="12">
        <v>0.82</v>
      </c>
      <c r="W14" s="12">
        <v>1.07</v>
      </c>
      <c r="X14" s="12">
        <v>0.72</v>
      </c>
      <c r="Y14" s="12">
        <v>0.61</v>
      </c>
      <c r="Z14" s="12">
        <v>0.4</v>
      </c>
      <c r="AA14" s="12">
        <v>0.68</v>
      </c>
      <c r="AB14" s="12">
        <v>0.39</v>
      </c>
      <c r="AC14" s="12">
        <v>0.63</v>
      </c>
      <c r="AD14">
        <v>41610</v>
      </c>
      <c r="AE14">
        <v>2642</v>
      </c>
      <c r="AF14">
        <v>48284</v>
      </c>
      <c r="AG14">
        <v>17938</v>
      </c>
      <c r="AH14">
        <v>48687</v>
      </c>
      <c r="AI14">
        <v>46554</v>
      </c>
      <c r="AJ14">
        <v>34285</v>
      </c>
      <c r="AK14">
        <v>58809</v>
      </c>
      <c r="AL14">
        <v>44756</v>
      </c>
      <c r="AM14">
        <v>6109</v>
      </c>
      <c r="AN14">
        <v>24468</v>
      </c>
      <c r="AO14">
        <v>33398</v>
      </c>
      <c r="AP14">
        <v>49565</v>
      </c>
      <c r="AQ14">
        <v>36185</v>
      </c>
      <c r="AR14" s="2">
        <v>5400</v>
      </c>
      <c r="AS14" s="2">
        <v>4700</v>
      </c>
      <c r="AT14" s="2">
        <v>3500</v>
      </c>
      <c r="AU14" s="2">
        <v>6000</v>
      </c>
      <c r="AV14" s="2">
        <v>4900</v>
      </c>
      <c r="AW14" s="2">
        <v>4800</v>
      </c>
      <c r="AX14" s="2">
        <v>2600</v>
      </c>
      <c r="AY14" s="2">
        <v>7500</v>
      </c>
      <c r="AZ14" s="2">
        <v>4300</v>
      </c>
      <c r="BA14" s="2">
        <v>6200</v>
      </c>
      <c r="BB14" s="13">
        <v>95000</v>
      </c>
      <c r="BC14" s="13">
        <v>60000</v>
      </c>
    </row>
    <row r="15" spans="1:59" x14ac:dyDescent="0.25">
      <c r="A15" s="2">
        <v>2025</v>
      </c>
      <c r="B15" s="2" t="s">
        <v>79</v>
      </c>
      <c r="C15" s="2">
        <v>21930</v>
      </c>
      <c r="D15" s="2">
        <v>14850</v>
      </c>
      <c r="E15" s="2">
        <v>11285</v>
      </c>
      <c r="F15" s="2">
        <v>27630</v>
      </c>
      <c r="G15" s="2">
        <v>22700</v>
      </c>
      <c r="H15" s="12">
        <v>0.4</v>
      </c>
      <c r="I15" s="12">
        <v>0.54</v>
      </c>
      <c r="J15" s="12">
        <v>5.9999999999999942E-2</v>
      </c>
      <c r="K15" s="2">
        <v>98395</v>
      </c>
      <c r="L15">
        <v>60000</v>
      </c>
      <c r="M15" s="12">
        <v>0.36</v>
      </c>
      <c r="N15" s="12">
        <v>0.28000000000000003</v>
      </c>
      <c r="O15" s="12">
        <v>0.3</v>
      </c>
      <c r="P15" s="12">
        <v>0.24</v>
      </c>
      <c r="Q15" s="12">
        <v>0.15</v>
      </c>
      <c r="R15" s="12">
        <v>0.15</v>
      </c>
      <c r="S15" s="12">
        <v>0.15999999999999992</v>
      </c>
      <c r="T15" s="12">
        <v>0.71</v>
      </c>
      <c r="U15" s="12">
        <v>0.8</v>
      </c>
      <c r="V15" s="12">
        <v>0.56999999999999995</v>
      </c>
      <c r="W15" s="12">
        <v>0.39</v>
      </c>
      <c r="X15" s="12">
        <v>0.61</v>
      </c>
      <c r="Y15" s="12">
        <v>0.72</v>
      </c>
      <c r="Z15" s="12">
        <v>0.57999999999999996</v>
      </c>
      <c r="AA15" s="12">
        <v>0.65</v>
      </c>
      <c r="AB15" s="12">
        <v>0.49</v>
      </c>
      <c r="AC15" s="12">
        <v>0.56999999999999995</v>
      </c>
      <c r="AD15">
        <v>45691</v>
      </c>
      <c r="AE15">
        <v>60215</v>
      </c>
      <c r="AF15">
        <v>19839</v>
      </c>
      <c r="AG15">
        <v>13621</v>
      </c>
      <c r="AH15">
        <v>59767</v>
      </c>
      <c r="AI15">
        <v>6581</v>
      </c>
      <c r="AJ15">
        <v>34286</v>
      </c>
      <c r="AK15">
        <v>42222</v>
      </c>
      <c r="AL15">
        <v>4090</v>
      </c>
      <c r="AM15">
        <v>39033</v>
      </c>
      <c r="AN15">
        <v>58269</v>
      </c>
      <c r="AO15">
        <v>68482</v>
      </c>
      <c r="AP15">
        <v>58702</v>
      </c>
      <c r="AQ15">
        <v>45132</v>
      </c>
      <c r="AR15" s="2">
        <v>8700</v>
      </c>
      <c r="AS15" s="2">
        <v>3600</v>
      </c>
      <c r="AT15" s="2">
        <v>4700</v>
      </c>
      <c r="AU15" s="2">
        <v>6500</v>
      </c>
      <c r="AV15" s="2">
        <v>4500</v>
      </c>
      <c r="AW15" s="2">
        <v>4900</v>
      </c>
      <c r="AX15" s="2">
        <v>4700</v>
      </c>
      <c r="AY15" s="2">
        <v>6700</v>
      </c>
      <c r="AZ15" s="2">
        <v>3600</v>
      </c>
      <c r="BA15" s="2">
        <v>3200</v>
      </c>
      <c r="BB15" s="14">
        <v>80000</v>
      </c>
      <c r="BC15" s="14">
        <v>50000</v>
      </c>
    </row>
    <row r="16" spans="1:59" x14ac:dyDescent="0.25">
      <c r="A16" s="2">
        <v>2026</v>
      </c>
      <c r="B16" s="2" t="s">
        <v>68</v>
      </c>
      <c r="C16" s="2">
        <v>84200</v>
      </c>
      <c r="D16" s="2">
        <v>40800</v>
      </c>
      <c r="E16" s="2">
        <v>39350</v>
      </c>
      <c r="F16" s="2">
        <v>36450</v>
      </c>
      <c r="G16" s="2">
        <v>34950</v>
      </c>
      <c r="H16" s="12">
        <v>0.4</v>
      </c>
      <c r="I16" s="12">
        <v>0.54</v>
      </c>
      <c r="J16" s="12">
        <v>5.9999999999999942E-2</v>
      </c>
      <c r="K16" s="2">
        <v>41400</v>
      </c>
      <c r="L16">
        <v>51000</v>
      </c>
      <c r="M16" s="12">
        <v>0.6</v>
      </c>
      <c r="N16" s="12">
        <v>0.75</v>
      </c>
      <c r="O16" s="12">
        <v>0.25</v>
      </c>
      <c r="P16" s="12">
        <v>0.23</v>
      </c>
      <c r="Q16" s="12">
        <v>0.11</v>
      </c>
      <c r="R16" s="12">
        <v>0.05</v>
      </c>
      <c r="S16" s="12">
        <v>0.36</v>
      </c>
      <c r="T16" s="12">
        <v>0.35</v>
      </c>
      <c r="U16" s="12">
        <v>1.1499999999999999</v>
      </c>
      <c r="V16" s="12">
        <v>1.33</v>
      </c>
      <c r="W16" s="12">
        <v>0.95</v>
      </c>
      <c r="X16" s="12">
        <v>0.46</v>
      </c>
      <c r="Y16" s="12">
        <v>0.51</v>
      </c>
      <c r="Z16" s="12">
        <v>0.55000000000000004</v>
      </c>
      <c r="AA16" s="12">
        <v>0.28000000000000003</v>
      </c>
      <c r="AB16" s="12">
        <v>0.28999999999999998</v>
      </c>
      <c r="AC16" s="12">
        <v>0.46</v>
      </c>
      <c r="AD16">
        <v>81834</v>
      </c>
      <c r="AE16">
        <v>46341</v>
      </c>
      <c r="AF16">
        <v>27595</v>
      </c>
      <c r="AG16">
        <v>41420</v>
      </c>
      <c r="AH16">
        <v>2838</v>
      </c>
      <c r="AI16">
        <v>18543</v>
      </c>
      <c r="AJ16">
        <v>36429</v>
      </c>
      <c r="AK16">
        <v>3805</v>
      </c>
      <c r="AL16">
        <v>29822</v>
      </c>
      <c r="AM16">
        <v>34730</v>
      </c>
      <c r="AN16">
        <v>31455</v>
      </c>
      <c r="AO16">
        <v>69701</v>
      </c>
      <c r="AP16">
        <v>32558</v>
      </c>
      <c r="AQ16">
        <v>33679</v>
      </c>
      <c r="AR16" s="2">
        <v>5600</v>
      </c>
      <c r="AS16" s="2">
        <v>4500</v>
      </c>
      <c r="AT16" s="2">
        <v>3900</v>
      </c>
      <c r="AU16" s="2">
        <v>4100</v>
      </c>
      <c r="AV16" s="2">
        <v>6700</v>
      </c>
      <c r="AW16" s="2">
        <v>3300</v>
      </c>
      <c r="AX16" s="2">
        <v>3000</v>
      </c>
      <c r="AY16" s="2">
        <v>3100</v>
      </c>
      <c r="AZ16" s="2">
        <v>3900</v>
      </c>
      <c r="BA16" s="2">
        <v>4800</v>
      </c>
      <c r="BB16" s="13">
        <v>62000</v>
      </c>
      <c r="BC16" s="13">
        <v>95000</v>
      </c>
    </row>
    <row r="17" spans="1:55" x14ac:dyDescent="0.25">
      <c r="A17" s="2">
        <v>2026</v>
      </c>
      <c r="B17" s="2" t="s">
        <v>69</v>
      </c>
      <c r="C17" s="2">
        <v>87050</v>
      </c>
      <c r="D17" s="2">
        <v>48050</v>
      </c>
      <c r="E17" s="2">
        <v>42200</v>
      </c>
      <c r="F17" s="2">
        <v>36950</v>
      </c>
      <c r="G17" s="2">
        <v>32150</v>
      </c>
      <c r="H17" s="12">
        <v>0.39</v>
      </c>
      <c r="I17" s="12">
        <v>0.55000000000000004</v>
      </c>
      <c r="J17" s="12">
        <v>5.9999999999999942E-2</v>
      </c>
      <c r="K17" s="2">
        <v>54100</v>
      </c>
      <c r="L17">
        <v>51000</v>
      </c>
      <c r="M17" s="12">
        <v>0.18</v>
      </c>
      <c r="N17" s="12">
        <v>0.72</v>
      </c>
      <c r="O17" s="12">
        <v>0.31</v>
      </c>
      <c r="P17" s="12">
        <v>0.3</v>
      </c>
      <c r="Q17" s="12">
        <v>0.13</v>
      </c>
      <c r="R17" s="12">
        <v>0.05</v>
      </c>
      <c r="S17" s="12">
        <v>0.20999999999999996</v>
      </c>
      <c r="T17" s="12">
        <v>1.19</v>
      </c>
      <c r="U17" s="12">
        <v>1.05</v>
      </c>
      <c r="V17" s="12">
        <v>0.44</v>
      </c>
      <c r="W17" s="12">
        <v>0.85</v>
      </c>
      <c r="X17" s="12">
        <v>0.79</v>
      </c>
      <c r="Y17" s="12">
        <v>0.42</v>
      </c>
      <c r="Z17" s="12">
        <v>0.63</v>
      </c>
      <c r="AA17" s="12">
        <v>0.67</v>
      </c>
      <c r="AB17" s="12">
        <v>0.62</v>
      </c>
      <c r="AC17" s="12">
        <v>0.68</v>
      </c>
      <c r="AD17">
        <v>6373</v>
      </c>
      <c r="AE17">
        <v>4854</v>
      </c>
      <c r="AF17">
        <v>14992</v>
      </c>
      <c r="AG17">
        <v>42439</v>
      </c>
      <c r="AH17">
        <v>65703</v>
      </c>
      <c r="AI17">
        <v>84210</v>
      </c>
      <c r="AJ17">
        <v>36429</v>
      </c>
      <c r="AK17">
        <v>1758</v>
      </c>
      <c r="AL17">
        <v>83659</v>
      </c>
      <c r="AM17">
        <v>5282</v>
      </c>
      <c r="AN17">
        <v>61073</v>
      </c>
      <c r="AO17">
        <v>27287</v>
      </c>
      <c r="AP17">
        <v>45555</v>
      </c>
      <c r="AQ17">
        <v>37436</v>
      </c>
      <c r="AR17" s="2">
        <v>7200</v>
      </c>
      <c r="AS17" s="2">
        <v>3200</v>
      </c>
      <c r="AT17" s="2">
        <v>5000</v>
      </c>
      <c r="AU17" s="2">
        <v>2900</v>
      </c>
      <c r="AV17" s="2">
        <v>4200</v>
      </c>
      <c r="AW17" s="2">
        <v>4600</v>
      </c>
      <c r="AX17" s="2">
        <v>6400</v>
      </c>
      <c r="AY17" s="2">
        <v>5800</v>
      </c>
      <c r="AZ17" s="2">
        <v>4800</v>
      </c>
      <c r="BA17" s="2">
        <v>4600</v>
      </c>
      <c r="BB17" s="14">
        <v>75000</v>
      </c>
      <c r="BC17" s="14">
        <v>80000</v>
      </c>
    </row>
    <row r="18" spans="1:55" x14ac:dyDescent="0.25">
      <c r="A18" s="2">
        <v>2026</v>
      </c>
      <c r="B18" s="2" t="s">
        <v>70</v>
      </c>
      <c r="C18" s="2">
        <v>38325</v>
      </c>
      <c r="D18" s="2">
        <v>27375</v>
      </c>
      <c r="E18" s="2">
        <v>19375</v>
      </c>
      <c r="F18" s="2">
        <v>35350</v>
      </c>
      <c r="G18" s="2">
        <v>33400</v>
      </c>
      <c r="H18" s="12">
        <v>0.37</v>
      </c>
      <c r="I18" s="12">
        <v>0.54</v>
      </c>
      <c r="J18" s="12">
        <v>8.9999999999999969E-2</v>
      </c>
      <c r="K18" s="2">
        <v>56200</v>
      </c>
      <c r="L18">
        <v>51000</v>
      </c>
      <c r="M18" s="12">
        <v>0.47</v>
      </c>
      <c r="N18" s="12">
        <v>0.75</v>
      </c>
      <c r="O18" s="12">
        <v>0.27</v>
      </c>
      <c r="P18" s="12">
        <v>0.3</v>
      </c>
      <c r="Q18" s="12">
        <v>0.12</v>
      </c>
      <c r="R18" s="12">
        <v>0.06</v>
      </c>
      <c r="S18" s="12">
        <v>0.25</v>
      </c>
      <c r="T18" s="12">
        <v>0.89</v>
      </c>
      <c r="U18" s="12">
        <v>0.65</v>
      </c>
      <c r="V18" s="12">
        <v>0.4</v>
      </c>
      <c r="W18" s="12">
        <v>0.49</v>
      </c>
      <c r="X18" s="12">
        <v>0.57999999999999996</v>
      </c>
      <c r="Y18" s="12">
        <v>0.28000000000000003</v>
      </c>
      <c r="Z18" s="12">
        <v>0.63</v>
      </c>
      <c r="AA18" s="12">
        <v>0.47</v>
      </c>
      <c r="AB18" s="12">
        <v>0.56000000000000005</v>
      </c>
      <c r="AC18" s="12">
        <v>0.73</v>
      </c>
      <c r="AD18">
        <v>1817</v>
      </c>
      <c r="AE18">
        <v>45859</v>
      </c>
      <c r="AF18">
        <v>25110</v>
      </c>
      <c r="AG18">
        <v>64908</v>
      </c>
      <c r="AH18">
        <v>46144</v>
      </c>
      <c r="AI18">
        <v>34733</v>
      </c>
      <c r="AJ18">
        <v>36429</v>
      </c>
      <c r="AK18">
        <v>31967</v>
      </c>
      <c r="AL18">
        <v>56170</v>
      </c>
      <c r="AM18">
        <v>8135</v>
      </c>
      <c r="AN18">
        <v>59017</v>
      </c>
      <c r="AO18">
        <v>29476</v>
      </c>
      <c r="AP18">
        <v>19963</v>
      </c>
      <c r="AQ18">
        <v>34122</v>
      </c>
      <c r="AR18" s="2">
        <v>5600</v>
      </c>
      <c r="AS18" s="2">
        <v>6600</v>
      </c>
      <c r="AT18" s="2">
        <v>5800</v>
      </c>
      <c r="AU18" s="2">
        <v>3800</v>
      </c>
      <c r="AV18" s="2">
        <v>4500</v>
      </c>
      <c r="AW18" s="2">
        <v>3400</v>
      </c>
      <c r="AX18" s="2">
        <v>3500</v>
      </c>
      <c r="AY18" s="2">
        <v>3400</v>
      </c>
      <c r="AZ18" s="2">
        <v>6600</v>
      </c>
      <c r="BA18" s="2">
        <v>3700</v>
      </c>
      <c r="BB18" s="13">
        <v>88000</v>
      </c>
      <c r="BC18" s="13">
        <v>70000</v>
      </c>
    </row>
    <row r="19" spans="1:55" x14ac:dyDescent="0.25">
      <c r="A19" s="2">
        <v>2026</v>
      </c>
      <c r="B19" s="2" t="s">
        <v>71</v>
      </c>
      <c r="C19" s="2">
        <v>20125</v>
      </c>
      <c r="D19" s="2">
        <v>20775</v>
      </c>
      <c r="E19" s="2">
        <v>21100</v>
      </c>
      <c r="F19" s="2">
        <v>28000</v>
      </c>
      <c r="G19" s="2">
        <v>21400</v>
      </c>
      <c r="H19" s="12">
        <v>0.35</v>
      </c>
      <c r="I19" s="12">
        <v>0.41</v>
      </c>
      <c r="J19" s="12">
        <v>0.24</v>
      </c>
      <c r="K19" s="2">
        <v>48800</v>
      </c>
      <c r="L19">
        <v>51000</v>
      </c>
      <c r="M19" s="12">
        <v>0.68</v>
      </c>
      <c r="N19" s="12">
        <v>0.69</v>
      </c>
      <c r="O19" s="12">
        <v>0.28000000000000003</v>
      </c>
      <c r="P19" s="12">
        <v>0.24</v>
      </c>
      <c r="Q19" s="12">
        <v>0.14000000000000001</v>
      </c>
      <c r="R19" s="12">
        <v>0.14000000000000001</v>
      </c>
      <c r="S19" s="12">
        <v>0.19999999999999996</v>
      </c>
      <c r="T19" s="12">
        <v>0.44</v>
      </c>
      <c r="U19" s="12">
        <v>0.38</v>
      </c>
      <c r="V19" s="12">
        <v>0.35</v>
      </c>
      <c r="W19" s="12">
        <v>0.67</v>
      </c>
      <c r="X19" s="12">
        <v>0.46</v>
      </c>
      <c r="Y19" s="12">
        <v>0.6</v>
      </c>
      <c r="Z19" s="12">
        <v>0.64</v>
      </c>
      <c r="AA19" s="12">
        <v>0.68</v>
      </c>
      <c r="AB19" s="12">
        <v>0.44</v>
      </c>
      <c r="AC19" s="12">
        <v>0.51</v>
      </c>
      <c r="AD19">
        <v>36007</v>
      </c>
      <c r="AE19">
        <v>27171</v>
      </c>
      <c r="AF19">
        <v>21469</v>
      </c>
      <c r="AG19">
        <v>59608</v>
      </c>
      <c r="AH19">
        <v>22177</v>
      </c>
      <c r="AI19">
        <v>52139</v>
      </c>
      <c r="AJ19">
        <v>36429</v>
      </c>
      <c r="AK19">
        <v>78666</v>
      </c>
      <c r="AL19">
        <v>6195</v>
      </c>
      <c r="AM19">
        <v>27356</v>
      </c>
      <c r="AN19">
        <v>30512</v>
      </c>
      <c r="AO19">
        <v>57968</v>
      </c>
      <c r="AP19">
        <v>1075</v>
      </c>
      <c r="AQ19">
        <v>33628</v>
      </c>
      <c r="AR19" s="2">
        <v>5500</v>
      </c>
      <c r="AS19" s="2">
        <v>3700</v>
      </c>
      <c r="AT19" s="2">
        <v>3300</v>
      </c>
      <c r="AU19" s="2">
        <v>4000</v>
      </c>
      <c r="AV19" s="2">
        <v>7600</v>
      </c>
      <c r="AW19" s="2">
        <v>6500</v>
      </c>
      <c r="AX19" s="2">
        <v>5000</v>
      </c>
      <c r="AY19" s="2">
        <v>5800</v>
      </c>
      <c r="AZ19" s="2">
        <v>3400</v>
      </c>
      <c r="BA19" s="2">
        <v>3200</v>
      </c>
      <c r="BB19" s="14">
        <v>102000</v>
      </c>
      <c r="BC19" s="14">
        <v>65000</v>
      </c>
    </row>
    <row r="20" spans="1:55" x14ac:dyDescent="0.25">
      <c r="A20" s="2">
        <v>2026</v>
      </c>
      <c r="B20" s="2" t="s">
        <v>72</v>
      </c>
      <c r="C20" s="2">
        <v>98450</v>
      </c>
      <c r="D20" s="2">
        <v>57350</v>
      </c>
      <c r="E20" s="2">
        <v>55350</v>
      </c>
      <c r="F20" s="2">
        <v>30450</v>
      </c>
      <c r="G20" s="2">
        <v>34950</v>
      </c>
      <c r="H20" s="12">
        <v>0.37</v>
      </c>
      <c r="I20" s="12">
        <v>0.4</v>
      </c>
      <c r="J20" s="12">
        <v>0.22999999999999998</v>
      </c>
      <c r="K20" s="2">
        <v>31400</v>
      </c>
      <c r="L20">
        <v>51000</v>
      </c>
      <c r="M20" s="12">
        <v>0.16</v>
      </c>
      <c r="N20" s="12">
        <v>0.37</v>
      </c>
      <c r="O20" s="12">
        <v>0.35</v>
      </c>
      <c r="P20" s="12">
        <v>0.3</v>
      </c>
      <c r="Q20" s="12">
        <v>0.16</v>
      </c>
      <c r="R20" s="12">
        <v>0.09</v>
      </c>
      <c r="S20" s="12">
        <v>0.10000000000000009</v>
      </c>
      <c r="T20" s="12">
        <v>0.8</v>
      </c>
      <c r="U20" s="12">
        <v>0.57999999999999996</v>
      </c>
      <c r="V20" s="12">
        <v>0.55000000000000004</v>
      </c>
      <c r="W20" s="12">
        <v>0.8</v>
      </c>
      <c r="X20" s="12">
        <v>0.86</v>
      </c>
      <c r="Y20" s="12">
        <v>0.52</v>
      </c>
      <c r="Z20" s="12">
        <v>0.53</v>
      </c>
      <c r="AA20" s="12">
        <v>0.25</v>
      </c>
      <c r="AB20" s="12">
        <v>0.41</v>
      </c>
      <c r="AC20" s="12">
        <v>0.27</v>
      </c>
      <c r="AD20">
        <v>51759</v>
      </c>
      <c r="AE20">
        <v>45223</v>
      </c>
      <c r="AF20">
        <v>21923</v>
      </c>
      <c r="AG20">
        <v>41807</v>
      </c>
      <c r="AH20">
        <v>1397</v>
      </c>
      <c r="AI20">
        <v>56463</v>
      </c>
      <c r="AJ20">
        <v>36428</v>
      </c>
      <c r="AK20">
        <v>73029</v>
      </c>
      <c r="AL20">
        <v>6135</v>
      </c>
      <c r="AM20">
        <v>669</v>
      </c>
      <c r="AN20">
        <v>14237</v>
      </c>
      <c r="AO20">
        <v>8003</v>
      </c>
      <c r="AP20">
        <v>109127</v>
      </c>
      <c r="AQ20">
        <v>35200</v>
      </c>
      <c r="AR20" s="2">
        <v>7300</v>
      </c>
      <c r="AS20" s="2">
        <v>6500</v>
      </c>
      <c r="AT20" s="2">
        <v>4600</v>
      </c>
      <c r="AU20" s="2">
        <v>3900</v>
      </c>
      <c r="AV20" s="2">
        <v>3200</v>
      </c>
      <c r="AW20" s="2">
        <v>3300</v>
      </c>
      <c r="AX20" s="2">
        <v>5300</v>
      </c>
      <c r="AY20" s="2">
        <v>3400</v>
      </c>
      <c r="AZ20" s="2">
        <v>7900</v>
      </c>
      <c r="BA20" s="2">
        <v>5400</v>
      </c>
      <c r="BB20" s="13">
        <v>115000</v>
      </c>
      <c r="BC20" s="13">
        <v>55000</v>
      </c>
    </row>
    <row r="21" spans="1:55" x14ac:dyDescent="0.25">
      <c r="A21" s="2">
        <v>2026</v>
      </c>
      <c r="B21" s="2" t="s">
        <v>73</v>
      </c>
      <c r="C21" s="2">
        <v>38800</v>
      </c>
      <c r="D21" s="2">
        <v>37050</v>
      </c>
      <c r="E21" s="2">
        <v>36475</v>
      </c>
      <c r="F21" s="2">
        <v>34350</v>
      </c>
      <c r="G21" s="2">
        <v>32950</v>
      </c>
      <c r="H21" s="12">
        <v>0.35</v>
      </c>
      <c r="I21" s="12">
        <v>0.54</v>
      </c>
      <c r="J21" s="12">
        <v>0.10999999999999999</v>
      </c>
      <c r="K21" s="2">
        <v>23200</v>
      </c>
      <c r="L21">
        <v>51000</v>
      </c>
      <c r="M21" s="12">
        <v>0.38</v>
      </c>
      <c r="N21" s="12">
        <v>0.35</v>
      </c>
      <c r="O21" s="12">
        <v>0.28000000000000003</v>
      </c>
      <c r="P21" s="12">
        <v>0.21</v>
      </c>
      <c r="Q21" s="12">
        <v>0.11</v>
      </c>
      <c r="R21" s="12">
        <v>0.11</v>
      </c>
      <c r="S21" s="12">
        <v>0.29000000000000004</v>
      </c>
      <c r="T21" s="12">
        <v>0.4</v>
      </c>
      <c r="U21" s="12">
        <v>0.4</v>
      </c>
      <c r="V21" s="12">
        <v>0.39</v>
      </c>
      <c r="W21" s="12">
        <v>0.46</v>
      </c>
      <c r="X21" s="12">
        <v>0.83</v>
      </c>
      <c r="Y21" s="12">
        <v>0.54</v>
      </c>
      <c r="Z21" s="12">
        <v>0.55000000000000004</v>
      </c>
      <c r="AA21" s="12">
        <v>0.39</v>
      </c>
      <c r="AB21" s="12">
        <v>0.57999999999999996</v>
      </c>
      <c r="AC21" s="12">
        <v>0.46</v>
      </c>
      <c r="AD21">
        <v>51331</v>
      </c>
      <c r="AE21">
        <v>52532</v>
      </c>
      <c r="AF21">
        <v>44586</v>
      </c>
      <c r="AG21">
        <v>11914</v>
      </c>
      <c r="AH21">
        <v>52023</v>
      </c>
      <c r="AI21">
        <v>6186</v>
      </c>
      <c r="AJ21">
        <v>36428</v>
      </c>
      <c r="AK21">
        <v>13722</v>
      </c>
      <c r="AL21">
        <v>44927</v>
      </c>
      <c r="AM21">
        <v>46092</v>
      </c>
      <c r="AN21">
        <v>35494</v>
      </c>
      <c r="AO21">
        <v>60920</v>
      </c>
      <c r="AP21">
        <v>49473</v>
      </c>
      <c r="AQ21">
        <v>41772</v>
      </c>
      <c r="AR21" s="2">
        <v>5000</v>
      </c>
      <c r="AS21" s="2">
        <v>5100</v>
      </c>
      <c r="AT21" s="2">
        <v>4000</v>
      </c>
      <c r="AU21" s="2">
        <v>4900</v>
      </c>
      <c r="AV21" s="2">
        <v>3500</v>
      </c>
      <c r="AW21" s="2">
        <v>4900</v>
      </c>
      <c r="AX21" s="2">
        <v>6200</v>
      </c>
      <c r="AY21" s="2">
        <v>7900</v>
      </c>
      <c r="AZ21" s="2">
        <v>2400</v>
      </c>
      <c r="BA21" s="2">
        <v>3600</v>
      </c>
      <c r="BB21" s="14">
        <v>110000</v>
      </c>
      <c r="BC21" s="14">
        <v>60000</v>
      </c>
    </row>
    <row r="22" spans="1:55" x14ac:dyDescent="0.25">
      <c r="A22" s="2">
        <v>2026</v>
      </c>
      <c r="B22" s="2" t="s">
        <v>74</v>
      </c>
      <c r="C22" s="2">
        <v>65850</v>
      </c>
      <c r="D22" s="2">
        <v>72750</v>
      </c>
      <c r="E22" s="2">
        <v>64900</v>
      </c>
      <c r="F22" s="2">
        <v>37750</v>
      </c>
      <c r="G22" s="2">
        <v>29900</v>
      </c>
      <c r="H22" s="12">
        <v>0.39</v>
      </c>
      <c r="I22" s="12">
        <v>0.49</v>
      </c>
      <c r="J22" s="12">
        <v>0.12</v>
      </c>
      <c r="K22" s="2">
        <v>34800</v>
      </c>
      <c r="L22">
        <v>51000</v>
      </c>
      <c r="M22" s="12">
        <v>0.33</v>
      </c>
      <c r="N22" s="12">
        <v>0.31</v>
      </c>
      <c r="O22" s="12">
        <v>0.28999999999999998</v>
      </c>
      <c r="P22" s="12">
        <v>0.24</v>
      </c>
      <c r="Q22" s="12">
        <v>0.12</v>
      </c>
      <c r="R22" s="12">
        <v>0.12</v>
      </c>
      <c r="S22" s="12">
        <v>0.22999999999999998</v>
      </c>
      <c r="T22" s="12">
        <v>0.85</v>
      </c>
      <c r="U22" s="12">
        <v>0.66</v>
      </c>
      <c r="V22" s="12">
        <v>1.34</v>
      </c>
      <c r="W22" s="12">
        <v>0.36</v>
      </c>
      <c r="X22" s="12">
        <v>0.78</v>
      </c>
      <c r="Y22" s="12">
        <v>0.53</v>
      </c>
      <c r="Z22" s="12">
        <v>0.73</v>
      </c>
      <c r="AA22" s="12">
        <v>0.44</v>
      </c>
      <c r="AB22" s="12">
        <v>0.55000000000000004</v>
      </c>
      <c r="AC22" s="12">
        <v>0.44</v>
      </c>
      <c r="AD22">
        <v>49646</v>
      </c>
      <c r="AE22">
        <v>30891</v>
      </c>
      <c r="AF22">
        <v>56260</v>
      </c>
      <c r="AG22">
        <v>48065</v>
      </c>
      <c r="AH22">
        <v>23201</v>
      </c>
      <c r="AI22">
        <v>10508</v>
      </c>
      <c r="AJ22">
        <v>36429</v>
      </c>
      <c r="AK22">
        <v>23589</v>
      </c>
      <c r="AL22">
        <v>62477</v>
      </c>
      <c r="AM22">
        <v>70659</v>
      </c>
      <c r="AN22">
        <v>24604</v>
      </c>
      <c r="AO22">
        <v>5782</v>
      </c>
      <c r="AP22">
        <v>46588</v>
      </c>
      <c r="AQ22">
        <v>38951</v>
      </c>
      <c r="AR22" s="2">
        <v>6500</v>
      </c>
      <c r="AS22" s="2">
        <v>4800</v>
      </c>
      <c r="AT22" s="2">
        <v>6100</v>
      </c>
      <c r="AU22" s="2">
        <v>4800</v>
      </c>
      <c r="AV22" s="2">
        <v>3500</v>
      </c>
      <c r="AW22" s="2">
        <v>3400</v>
      </c>
      <c r="AX22" s="2">
        <v>3000</v>
      </c>
      <c r="AY22" s="2">
        <v>5400</v>
      </c>
      <c r="AZ22" s="2">
        <v>6700</v>
      </c>
      <c r="BA22" s="2">
        <v>6100</v>
      </c>
      <c r="BB22" s="13">
        <v>95000</v>
      </c>
      <c r="BC22" s="13">
        <v>75000</v>
      </c>
    </row>
    <row r="23" spans="1:55" x14ac:dyDescent="0.25">
      <c r="A23" s="2">
        <v>2026</v>
      </c>
      <c r="B23" s="2" t="s">
        <v>75</v>
      </c>
      <c r="C23" s="2">
        <v>36450</v>
      </c>
      <c r="D23" s="2">
        <v>24875</v>
      </c>
      <c r="E23" s="2">
        <v>31275</v>
      </c>
      <c r="F23" s="2">
        <v>41900</v>
      </c>
      <c r="G23" s="2">
        <v>31600</v>
      </c>
      <c r="H23" s="12">
        <v>0.35</v>
      </c>
      <c r="I23" s="12">
        <v>0.49</v>
      </c>
      <c r="J23" s="12">
        <v>0.16000000000000003</v>
      </c>
      <c r="K23" s="2">
        <v>67500</v>
      </c>
      <c r="L23">
        <v>51000</v>
      </c>
      <c r="M23" s="12">
        <v>0.5</v>
      </c>
      <c r="N23" s="12">
        <v>0.53</v>
      </c>
      <c r="O23" s="12">
        <v>0.32</v>
      </c>
      <c r="P23" s="12">
        <v>0.28000000000000003</v>
      </c>
      <c r="Q23" s="12">
        <v>0.14000000000000001</v>
      </c>
      <c r="R23" s="12">
        <v>0.1</v>
      </c>
      <c r="S23" s="12">
        <v>0.15999999999999992</v>
      </c>
      <c r="T23" s="12">
        <v>1.04</v>
      </c>
      <c r="U23" s="12">
        <v>0.51</v>
      </c>
      <c r="V23" s="12">
        <v>1.23</v>
      </c>
      <c r="W23" s="12">
        <v>1.07</v>
      </c>
      <c r="X23" s="12">
        <v>1.08</v>
      </c>
      <c r="Y23" s="12">
        <v>0.42</v>
      </c>
      <c r="Z23" s="12">
        <v>0.35</v>
      </c>
      <c r="AA23" s="12">
        <v>0.48</v>
      </c>
      <c r="AB23" s="12">
        <v>0.64</v>
      </c>
      <c r="AC23" s="12">
        <v>0.44</v>
      </c>
      <c r="AD23">
        <v>51962</v>
      </c>
      <c r="AE23">
        <v>48810</v>
      </c>
      <c r="AF23">
        <v>46925</v>
      </c>
      <c r="AG23">
        <v>24132</v>
      </c>
      <c r="AH23">
        <v>17268</v>
      </c>
      <c r="AI23">
        <v>29474</v>
      </c>
      <c r="AJ23">
        <v>36429</v>
      </c>
      <c r="AK23">
        <v>39031</v>
      </c>
      <c r="AL23">
        <v>8783</v>
      </c>
      <c r="AM23">
        <v>3381</v>
      </c>
      <c r="AN23">
        <v>40277</v>
      </c>
      <c r="AO23">
        <v>41504</v>
      </c>
      <c r="AP23">
        <v>50109</v>
      </c>
      <c r="AQ23">
        <v>30515</v>
      </c>
      <c r="AR23" s="2">
        <v>5800</v>
      </c>
      <c r="AS23" s="2">
        <v>4200</v>
      </c>
      <c r="AT23" s="2">
        <v>5000</v>
      </c>
      <c r="AU23" s="2">
        <v>6800</v>
      </c>
      <c r="AV23" s="2">
        <v>6200</v>
      </c>
      <c r="AW23" s="2">
        <v>6900</v>
      </c>
      <c r="AX23" s="2">
        <v>6400</v>
      </c>
      <c r="AY23" s="2">
        <v>3100</v>
      </c>
      <c r="AZ23" s="2">
        <v>3600</v>
      </c>
      <c r="BA23" s="2">
        <v>4300</v>
      </c>
      <c r="BB23" s="14">
        <v>85000</v>
      </c>
      <c r="BC23" s="14">
        <v>90000</v>
      </c>
    </row>
    <row r="24" spans="1:55" x14ac:dyDescent="0.25">
      <c r="A24" s="2">
        <v>2026</v>
      </c>
      <c r="B24" s="2" t="s">
        <v>76</v>
      </c>
      <c r="C24" s="2">
        <v>78950</v>
      </c>
      <c r="D24" s="2">
        <v>39250</v>
      </c>
      <c r="E24" s="2">
        <v>56800</v>
      </c>
      <c r="F24" s="2">
        <v>30900</v>
      </c>
      <c r="G24" s="2">
        <v>28150</v>
      </c>
      <c r="H24" s="12">
        <v>0.4</v>
      </c>
      <c r="I24" s="12">
        <v>0.53</v>
      </c>
      <c r="J24" s="12">
        <v>6.9999999999999951E-2</v>
      </c>
      <c r="K24" s="2">
        <v>82000</v>
      </c>
      <c r="L24">
        <v>51000</v>
      </c>
      <c r="M24" s="12">
        <v>0.75</v>
      </c>
      <c r="N24" s="12">
        <v>0.57999999999999996</v>
      </c>
      <c r="O24" s="12">
        <v>0.33</v>
      </c>
      <c r="P24" s="12">
        <v>0.23</v>
      </c>
      <c r="Q24" s="12">
        <v>0.15</v>
      </c>
      <c r="R24" s="12">
        <v>0.1</v>
      </c>
      <c r="S24" s="12">
        <v>0.18999999999999995</v>
      </c>
      <c r="T24" s="12">
        <v>0.45</v>
      </c>
      <c r="U24" s="12">
        <v>0.47</v>
      </c>
      <c r="V24" s="12">
        <v>0.5</v>
      </c>
      <c r="W24" s="12">
        <v>1.23</v>
      </c>
      <c r="X24" s="12">
        <v>1.1100000000000001</v>
      </c>
      <c r="Y24" s="12">
        <v>0.67</v>
      </c>
      <c r="Z24" s="12">
        <v>0.68</v>
      </c>
      <c r="AA24" s="12">
        <v>0.49</v>
      </c>
      <c r="AB24" s="12">
        <v>0.75</v>
      </c>
      <c r="AC24" s="12">
        <v>0.38</v>
      </c>
      <c r="AD24">
        <v>78132</v>
      </c>
      <c r="AE24">
        <v>22140</v>
      </c>
      <c r="AF24">
        <v>13463</v>
      </c>
      <c r="AG24">
        <v>22015</v>
      </c>
      <c r="AH24">
        <v>54712</v>
      </c>
      <c r="AI24">
        <v>28109</v>
      </c>
      <c r="AJ24">
        <v>36429</v>
      </c>
      <c r="AK24">
        <v>21220</v>
      </c>
      <c r="AL24">
        <v>53914</v>
      </c>
      <c r="AM24">
        <v>62840</v>
      </c>
      <c r="AN24">
        <v>21613</v>
      </c>
      <c r="AO24">
        <v>16404</v>
      </c>
      <c r="AP24">
        <v>55224</v>
      </c>
      <c r="AQ24">
        <v>38535</v>
      </c>
      <c r="AR24" s="2">
        <v>6200</v>
      </c>
      <c r="AS24" s="2">
        <v>3900</v>
      </c>
      <c r="AT24" s="2">
        <v>4300</v>
      </c>
      <c r="AU24" s="2">
        <v>3900</v>
      </c>
      <c r="AV24" s="2">
        <v>4200</v>
      </c>
      <c r="AW24" s="2">
        <v>4100</v>
      </c>
      <c r="AX24" s="2">
        <v>5300</v>
      </c>
      <c r="AY24" s="2">
        <v>5000</v>
      </c>
      <c r="AZ24" s="2">
        <v>3000</v>
      </c>
      <c r="BA24" s="2">
        <v>4800</v>
      </c>
      <c r="BB24" s="13">
        <v>70000</v>
      </c>
      <c r="BC24" s="13">
        <v>100000</v>
      </c>
    </row>
    <row r="25" spans="1:55" x14ac:dyDescent="0.25">
      <c r="A25" s="2">
        <v>2026</v>
      </c>
      <c r="B25" s="2" t="s">
        <v>77</v>
      </c>
      <c r="C25" s="2">
        <v>30725</v>
      </c>
      <c r="D25" s="2">
        <v>34325</v>
      </c>
      <c r="E25" s="2">
        <v>34100</v>
      </c>
      <c r="F25" s="2">
        <v>30950</v>
      </c>
      <c r="G25" s="2">
        <v>28950</v>
      </c>
      <c r="H25" s="12">
        <v>0.36</v>
      </c>
      <c r="I25" s="12">
        <v>0.43</v>
      </c>
      <c r="J25" s="12">
        <v>0.20999999999999996</v>
      </c>
      <c r="K25" s="2">
        <v>70400</v>
      </c>
      <c r="L25">
        <v>51000</v>
      </c>
      <c r="M25" s="12">
        <v>0.73</v>
      </c>
      <c r="N25" s="12">
        <v>0.37</v>
      </c>
      <c r="O25" s="12">
        <v>0.3</v>
      </c>
      <c r="P25" s="12">
        <v>0.24</v>
      </c>
      <c r="Q25" s="12">
        <v>0.17</v>
      </c>
      <c r="R25" s="12">
        <v>0.14000000000000001</v>
      </c>
      <c r="S25" s="12">
        <v>0.14999999999999991</v>
      </c>
      <c r="T25" s="12">
        <v>1.18</v>
      </c>
      <c r="U25" s="12">
        <v>0.6</v>
      </c>
      <c r="V25" s="12">
        <v>1.28</v>
      </c>
      <c r="W25" s="12">
        <v>0.88</v>
      </c>
      <c r="X25" s="12">
        <v>0.37</v>
      </c>
      <c r="Y25" s="12">
        <v>0.39</v>
      </c>
      <c r="Z25" s="12">
        <v>0.41</v>
      </c>
      <c r="AA25" s="12">
        <v>0.74</v>
      </c>
      <c r="AB25" s="12">
        <v>0.66</v>
      </c>
      <c r="AC25" s="12">
        <v>0.26</v>
      </c>
      <c r="AD25">
        <v>50589</v>
      </c>
      <c r="AE25">
        <v>31175</v>
      </c>
      <c r="AF25">
        <v>2231</v>
      </c>
      <c r="AG25">
        <v>44476</v>
      </c>
      <c r="AH25">
        <v>53495</v>
      </c>
      <c r="AI25">
        <v>36605</v>
      </c>
      <c r="AJ25">
        <v>36429</v>
      </c>
      <c r="AK25">
        <v>33235</v>
      </c>
      <c r="AL25">
        <v>48630</v>
      </c>
      <c r="AM25">
        <v>44239</v>
      </c>
      <c r="AN25">
        <v>3952</v>
      </c>
      <c r="AO25">
        <v>48904</v>
      </c>
      <c r="AP25">
        <v>42354</v>
      </c>
      <c r="AQ25">
        <v>36886</v>
      </c>
      <c r="AR25" s="2">
        <v>5000</v>
      </c>
      <c r="AS25" s="2">
        <v>3600</v>
      </c>
      <c r="AT25" s="2">
        <v>5700</v>
      </c>
      <c r="AU25" s="2">
        <v>3300</v>
      </c>
      <c r="AV25" s="2">
        <v>4800</v>
      </c>
      <c r="AW25" s="2">
        <v>4500</v>
      </c>
      <c r="AX25" s="2">
        <v>3600</v>
      </c>
      <c r="AY25" s="2">
        <v>6200</v>
      </c>
      <c r="AZ25" s="2">
        <v>6700</v>
      </c>
      <c r="BA25" s="2">
        <v>4400</v>
      </c>
      <c r="BB25" s="14">
        <v>65000</v>
      </c>
      <c r="BC25" s="14">
        <v>85000</v>
      </c>
    </row>
    <row r="26" spans="1:55" x14ac:dyDescent="0.25">
      <c r="A26" s="2">
        <v>2026</v>
      </c>
      <c r="B26" s="2" t="s">
        <v>78</v>
      </c>
      <c r="C26" s="2">
        <v>75100</v>
      </c>
      <c r="D26" s="2">
        <v>71100</v>
      </c>
      <c r="E26" s="2">
        <v>45700</v>
      </c>
      <c r="F26" s="2">
        <v>44900</v>
      </c>
      <c r="G26" s="2">
        <v>29200</v>
      </c>
      <c r="H26" s="12">
        <v>0.37</v>
      </c>
      <c r="I26" s="12">
        <v>0.4</v>
      </c>
      <c r="J26" s="12">
        <v>0.22999999999999998</v>
      </c>
      <c r="K26" s="2">
        <v>54700</v>
      </c>
      <c r="L26">
        <v>51000</v>
      </c>
      <c r="M26" s="12">
        <v>0.39</v>
      </c>
      <c r="N26" s="12">
        <v>0.62</v>
      </c>
      <c r="O26" s="12">
        <v>0.28999999999999998</v>
      </c>
      <c r="P26" s="12">
        <v>0.21</v>
      </c>
      <c r="Q26" s="12">
        <v>0.2</v>
      </c>
      <c r="R26" s="12">
        <v>0.1</v>
      </c>
      <c r="S26" s="12">
        <v>0.20000000000000007</v>
      </c>
      <c r="T26" s="12">
        <v>0.84</v>
      </c>
      <c r="U26" s="12">
        <v>1.26</v>
      </c>
      <c r="V26" s="12">
        <v>1.29</v>
      </c>
      <c r="W26" s="12">
        <v>0.62</v>
      </c>
      <c r="X26" s="12">
        <v>0.96</v>
      </c>
      <c r="Y26" s="12">
        <v>0.42</v>
      </c>
      <c r="Z26" s="12">
        <v>0.46</v>
      </c>
      <c r="AA26" s="12">
        <v>0.28000000000000003</v>
      </c>
      <c r="AB26" s="12">
        <v>0.57999999999999996</v>
      </c>
      <c r="AC26" s="12">
        <v>0.43</v>
      </c>
      <c r="AD26">
        <v>61297</v>
      </c>
      <c r="AE26">
        <v>11417</v>
      </c>
      <c r="AF26">
        <v>78401</v>
      </c>
      <c r="AG26">
        <v>23263</v>
      </c>
      <c r="AH26">
        <v>29757</v>
      </c>
      <c r="AI26">
        <v>14437</v>
      </c>
      <c r="AJ26">
        <v>36428</v>
      </c>
      <c r="AK26">
        <v>15712</v>
      </c>
      <c r="AL26">
        <v>2750</v>
      </c>
      <c r="AM26">
        <v>17909</v>
      </c>
      <c r="AN26">
        <v>31908</v>
      </c>
      <c r="AO26">
        <v>76740</v>
      </c>
      <c r="AP26">
        <v>82980</v>
      </c>
      <c r="AQ26">
        <v>38001</v>
      </c>
      <c r="AR26" s="2">
        <v>5900</v>
      </c>
      <c r="AS26" s="2">
        <v>5300</v>
      </c>
      <c r="AT26" s="2">
        <v>3600</v>
      </c>
      <c r="AU26" s="2">
        <v>2500</v>
      </c>
      <c r="AV26" s="2">
        <v>6200</v>
      </c>
      <c r="AW26" s="2">
        <v>4100</v>
      </c>
      <c r="AX26" s="2">
        <v>2300</v>
      </c>
      <c r="AY26" s="2">
        <v>8200</v>
      </c>
      <c r="AZ26" s="2">
        <v>4600</v>
      </c>
      <c r="BA26" s="2">
        <v>3300</v>
      </c>
      <c r="BB26" s="13">
        <v>80000</v>
      </c>
      <c r="BC26" s="13">
        <v>70000</v>
      </c>
    </row>
    <row r="27" spans="1:55" x14ac:dyDescent="0.25">
      <c r="A27" s="2">
        <v>2026</v>
      </c>
      <c r="B27" s="2" t="s">
        <v>79</v>
      </c>
      <c r="C27" s="2">
        <v>44150</v>
      </c>
      <c r="D27" s="2">
        <v>33750</v>
      </c>
      <c r="E27" s="2">
        <v>28400</v>
      </c>
      <c r="F27" s="2">
        <v>34150</v>
      </c>
      <c r="G27" s="2">
        <v>33050</v>
      </c>
      <c r="H27" s="12">
        <v>0.38</v>
      </c>
      <c r="I27" s="12">
        <v>0.4</v>
      </c>
      <c r="J27" s="12">
        <v>0.21999999999999997</v>
      </c>
      <c r="K27" s="2">
        <v>60500</v>
      </c>
      <c r="L27">
        <v>51000</v>
      </c>
      <c r="M27" s="12">
        <v>0.71</v>
      </c>
      <c r="N27" s="12">
        <v>0.61</v>
      </c>
      <c r="O27" s="12">
        <v>0.25</v>
      </c>
      <c r="P27" s="12">
        <v>0.27</v>
      </c>
      <c r="Q27" s="12">
        <v>0.16</v>
      </c>
      <c r="R27" s="12">
        <v>0.1</v>
      </c>
      <c r="S27" s="12">
        <v>0.21999999999999997</v>
      </c>
      <c r="T27" s="12">
        <v>0.92</v>
      </c>
      <c r="U27" s="12">
        <v>1.28</v>
      </c>
      <c r="V27" s="12">
        <v>0.87</v>
      </c>
      <c r="W27" s="12">
        <v>0.66</v>
      </c>
      <c r="X27" s="12">
        <v>0.68</v>
      </c>
      <c r="Y27" s="12">
        <v>0.44</v>
      </c>
      <c r="Z27" s="12">
        <v>0.39</v>
      </c>
      <c r="AA27" s="12">
        <v>0.61</v>
      </c>
      <c r="AB27" s="12">
        <v>0.25</v>
      </c>
      <c r="AC27" s="12">
        <v>0.43</v>
      </c>
      <c r="AD27">
        <v>27485</v>
      </c>
      <c r="AE27">
        <v>65155</v>
      </c>
      <c r="AF27">
        <v>49231</v>
      </c>
      <c r="AG27">
        <v>5709</v>
      </c>
      <c r="AH27">
        <v>30633</v>
      </c>
      <c r="AI27">
        <v>40359</v>
      </c>
      <c r="AJ27">
        <v>36428</v>
      </c>
      <c r="AK27">
        <v>15509</v>
      </c>
      <c r="AL27">
        <v>54263</v>
      </c>
      <c r="AM27">
        <v>57668</v>
      </c>
      <c r="AN27">
        <v>26601</v>
      </c>
      <c r="AO27">
        <v>39834</v>
      </c>
      <c r="AP27">
        <v>45953</v>
      </c>
      <c r="AQ27">
        <v>39972</v>
      </c>
      <c r="AR27" s="2">
        <v>9100</v>
      </c>
      <c r="AS27" s="2">
        <v>2900</v>
      </c>
      <c r="AT27" s="2">
        <v>3000</v>
      </c>
      <c r="AU27" s="2">
        <v>5400</v>
      </c>
      <c r="AV27" s="2">
        <v>3200</v>
      </c>
      <c r="AW27" s="2">
        <v>4000</v>
      </c>
      <c r="AX27" s="2">
        <v>5900</v>
      </c>
      <c r="AY27" s="2">
        <v>3900</v>
      </c>
      <c r="AZ27" s="2">
        <v>2500</v>
      </c>
      <c r="BA27" s="2">
        <v>6400</v>
      </c>
      <c r="BB27" s="14">
        <v>90000</v>
      </c>
      <c r="BC27" s="14">
        <v>60000</v>
      </c>
    </row>
    <row r="28" spans="1:55" x14ac:dyDescent="0.25">
      <c r="A28" s="2">
        <v>2027</v>
      </c>
      <c r="B28" s="2" t="s">
        <v>68</v>
      </c>
      <c r="C28" s="2">
        <v>50700</v>
      </c>
      <c r="D28" s="2">
        <v>46000</v>
      </c>
      <c r="E28" s="2">
        <v>48625</v>
      </c>
      <c r="F28" s="2">
        <v>71300</v>
      </c>
      <c r="G28" s="2">
        <v>59050</v>
      </c>
      <c r="H28" s="12">
        <v>0.38</v>
      </c>
      <c r="I28" s="12">
        <v>0.52</v>
      </c>
      <c r="J28" s="12">
        <v>9.9999999999999978E-2</v>
      </c>
      <c r="K28" s="2">
        <v>49400</v>
      </c>
      <c r="L28">
        <v>80000</v>
      </c>
      <c r="M28" s="12">
        <v>0.68</v>
      </c>
      <c r="N28" s="12">
        <v>0.31</v>
      </c>
      <c r="O28" s="12">
        <v>0.27</v>
      </c>
      <c r="P28" s="12">
        <v>0.3</v>
      </c>
      <c r="Q28" s="12">
        <v>0.17</v>
      </c>
      <c r="R28" s="12">
        <v>0.05</v>
      </c>
      <c r="S28" s="12">
        <v>0.20999999999999985</v>
      </c>
      <c r="T28" s="12">
        <v>0.71</v>
      </c>
      <c r="U28" s="12">
        <v>0.57999999999999996</v>
      </c>
      <c r="V28" s="12">
        <v>0.96</v>
      </c>
      <c r="W28" s="12">
        <v>0.5</v>
      </c>
      <c r="X28" s="12">
        <v>1.23</v>
      </c>
      <c r="Y28" s="12">
        <v>0.6</v>
      </c>
      <c r="Z28" s="12">
        <v>0.32</v>
      </c>
      <c r="AA28" s="12">
        <v>0.4</v>
      </c>
      <c r="AB28" s="12">
        <v>0.28000000000000003</v>
      </c>
      <c r="AC28" s="12">
        <v>0.71</v>
      </c>
      <c r="AD28">
        <v>49619</v>
      </c>
      <c r="AE28">
        <v>44997</v>
      </c>
      <c r="AF28">
        <v>90800</v>
      </c>
      <c r="AG28">
        <v>15868</v>
      </c>
      <c r="AH28">
        <v>63131</v>
      </c>
      <c r="AI28">
        <v>78442</v>
      </c>
      <c r="AJ28">
        <v>57143</v>
      </c>
      <c r="AK28">
        <v>70508</v>
      </c>
      <c r="AL28">
        <v>73443</v>
      </c>
      <c r="AM28">
        <v>14200</v>
      </c>
      <c r="AN28">
        <v>136332</v>
      </c>
      <c r="AO28">
        <v>60125</v>
      </c>
      <c r="AP28">
        <v>25321</v>
      </c>
      <c r="AQ28">
        <v>63321</v>
      </c>
      <c r="AR28" s="2">
        <v>5600</v>
      </c>
      <c r="AS28" s="2">
        <v>3200</v>
      </c>
      <c r="AT28" s="2">
        <v>5200</v>
      </c>
      <c r="AU28" s="2">
        <v>4700</v>
      </c>
      <c r="AV28" s="2">
        <v>6700</v>
      </c>
      <c r="AW28" s="2">
        <v>6500</v>
      </c>
      <c r="AX28" s="2">
        <v>6600</v>
      </c>
      <c r="AY28" s="2">
        <v>5600</v>
      </c>
      <c r="AZ28" s="2">
        <v>6400</v>
      </c>
      <c r="BA28" s="2">
        <v>5200</v>
      </c>
      <c r="BB28" s="13">
        <v>90000</v>
      </c>
      <c r="BC28" s="13">
        <v>80000</v>
      </c>
    </row>
    <row r="29" spans="1:55" x14ac:dyDescent="0.25">
      <c r="A29" s="2">
        <v>2027</v>
      </c>
      <c r="B29" s="2" t="s">
        <v>69</v>
      </c>
      <c r="C29" s="2">
        <v>100800</v>
      </c>
      <c r="D29" s="2">
        <v>106300</v>
      </c>
      <c r="E29" s="2">
        <v>101300</v>
      </c>
      <c r="F29" s="2">
        <v>67150</v>
      </c>
      <c r="G29" s="2">
        <v>67700</v>
      </c>
      <c r="H29" s="12">
        <v>0.4</v>
      </c>
      <c r="I29" s="12">
        <v>0.53</v>
      </c>
      <c r="J29" s="12">
        <v>6.9999999999999951E-2</v>
      </c>
      <c r="K29" s="2">
        <v>48300</v>
      </c>
      <c r="L29">
        <v>80000</v>
      </c>
      <c r="M29" s="12">
        <v>0.56000000000000005</v>
      </c>
      <c r="N29" s="12">
        <v>0.75</v>
      </c>
      <c r="O29" s="12">
        <v>0.31</v>
      </c>
      <c r="P29" s="12">
        <v>0.26</v>
      </c>
      <c r="Q29" s="12">
        <v>0.16</v>
      </c>
      <c r="R29" s="12">
        <v>0.13</v>
      </c>
      <c r="S29" s="12">
        <v>0.1399999999999999</v>
      </c>
      <c r="T29" s="12">
        <v>0.37</v>
      </c>
      <c r="U29" s="12">
        <v>0.51</v>
      </c>
      <c r="V29" s="12">
        <v>1.08</v>
      </c>
      <c r="W29" s="12">
        <v>0.39</v>
      </c>
      <c r="X29" s="12">
        <v>1.0900000000000001</v>
      </c>
      <c r="Y29" s="12">
        <v>0.42</v>
      </c>
      <c r="Z29" s="12">
        <v>0.68</v>
      </c>
      <c r="AA29" s="12">
        <v>0.37</v>
      </c>
      <c r="AB29" s="12">
        <v>0.66</v>
      </c>
      <c r="AC29" s="12">
        <v>0.75</v>
      </c>
      <c r="AD29">
        <v>56868</v>
      </c>
      <c r="AE29">
        <v>63148</v>
      </c>
      <c r="AF29">
        <v>23937</v>
      </c>
      <c r="AG29">
        <v>62350</v>
      </c>
      <c r="AH29">
        <v>56683</v>
      </c>
      <c r="AI29">
        <v>79871</v>
      </c>
      <c r="AJ29">
        <v>57143</v>
      </c>
      <c r="AK29">
        <v>2277</v>
      </c>
      <c r="AL29">
        <v>26257</v>
      </c>
      <c r="AM29">
        <v>63238</v>
      </c>
      <c r="AN29">
        <v>115351</v>
      </c>
      <c r="AO29">
        <v>106186</v>
      </c>
      <c r="AP29">
        <v>57962</v>
      </c>
      <c r="AQ29">
        <v>61879</v>
      </c>
      <c r="AR29" s="2">
        <v>2800</v>
      </c>
      <c r="AS29" s="2">
        <v>5700</v>
      </c>
      <c r="AT29" s="2">
        <v>3800</v>
      </c>
      <c r="AU29" s="2">
        <v>4500</v>
      </c>
      <c r="AV29" s="2">
        <v>6700</v>
      </c>
      <c r="AW29" s="2">
        <v>4300</v>
      </c>
      <c r="AX29" s="2">
        <v>6200</v>
      </c>
      <c r="AY29" s="2">
        <v>7200</v>
      </c>
      <c r="AZ29" s="2">
        <v>3300</v>
      </c>
      <c r="BA29" s="2">
        <v>4200</v>
      </c>
      <c r="BB29" s="14">
        <v>70000</v>
      </c>
      <c r="BC29" s="14">
        <v>95000</v>
      </c>
    </row>
    <row r="30" spans="1:55" x14ac:dyDescent="0.25">
      <c r="A30" s="2">
        <v>2027</v>
      </c>
      <c r="B30" s="2" t="s">
        <v>70</v>
      </c>
      <c r="C30" s="2">
        <v>100900</v>
      </c>
      <c r="D30" s="2">
        <v>70850</v>
      </c>
      <c r="E30" s="2">
        <v>71300</v>
      </c>
      <c r="F30" s="2">
        <v>71950</v>
      </c>
      <c r="G30" s="2">
        <v>59300</v>
      </c>
      <c r="H30" s="12">
        <v>0.38</v>
      </c>
      <c r="I30" s="12">
        <v>0.49</v>
      </c>
      <c r="J30" s="12">
        <v>0.13</v>
      </c>
      <c r="K30" s="2">
        <v>56000</v>
      </c>
      <c r="L30">
        <v>80000</v>
      </c>
      <c r="M30" s="12">
        <v>0.39</v>
      </c>
      <c r="N30" s="12">
        <v>0.49</v>
      </c>
      <c r="O30" s="12">
        <v>0.31</v>
      </c>
      <c r="P30" s="12">
        <v>0.27</v>
      </c>
      <c r="Q30" s="12">
        <v>0.12</v>
      </c>
      <c r="R30" s="12">
        <v>0.05</v>
      </c>
      <c r="S30" s="12">
        <v>0.24999999999999989</v>
      </c>
      <c r="T30" s="12">
        <v>1.02</v>
      </c>
      <c r="U30" s="12">
        <v>0.76</v>
      </c>
      <c r="V30" s="12">
        <v>0.61</v>
      </c>
      <c r="W30" s="12">
        <v>0.92</v>
      </c>
      <c r="X30" s="12">
        <v>1.3</v>
      </c>
      <c r="Y30" s="12">
        <v>0.52</v>
      </c>
      <c r="Z30" s="12">
        <v>0.71</v>
      </c>
      <c r="AA30" s="12">
        <v>0.6</v>
      </c>
      <c r="AB30" s="12">
        <v>0.71</v>
      </c>
      <c r="AC30" s="12">
        <v>0.34</v>
      </c>
      <c r="AD30">
        <v>30176</v>
      </c>
      <c r="AE30">
        <v>70871</v>
      </c>
      <c r="AF30">
        <v>43786</v>
      </c>
      <c r="AG30">
        <v>34502</v>
      </c>
      <c r="AH30">
        <v>113601</v>
      </c>
      <c r="AI30">
        <v>49922</v>
      </c>
      <c r="AJ30">
        <v>57142</v>
      </c>
      <c r="AK30">
        <v>80972</v>
      </c>
      <c r="AL30">
        <v>70011</v>
      </c>
      <c r="AM30">
        <v>98601</v>
      </c>
      <c r="AN30">
        <v>184</v>
      </c>
      <c r="AO30">
        <v>97849</v>
      </c>
      <c r="AP30">
        <v>77398</v>
      </c>
      <c r="AQ30">
        <v>70835</v>
      </c>
      <c r="AR30" s="2">
        <v>3600</v>
      </c>
      <c r="AS30" s="2">
        <v>5800</v>
      </c>
      <c r="AT30" s="2">
        <v>7100</v>
      </c>
      <c r="AU30" s="2">
        <v>5200</v>
      </c>
      <c r="AV30" s="2">
        <v>5000</v>
      </c>
      <c r="AW30" s="2">
        <v>5600</v>
      </c>
      <c r="AX30" s="2">
        <v>2800</v>
      </c>
      <c r="AY30" s="2">
        <v>3100</v>
      </c>
      <c r="AZ30" s="2">
        <v>6300</v>
      </c>
      <c r="BA30" s="2">
        <v>4000</v>
      </c>
      <c r="BB30" s="13">
        <v>80000</v>
      </c>
      <c r="BC30" s="13">
        <v>70000</v>
      </c>
    </row>
    <row r="31" spans="1:55" x14ac:dyDescent="0.25">
      <c r="A31" s="2">
        <v>2027</v>
      </c>
      <c r="B31" s="2" t="s">
        <v>71</v>
      </c>
      <c r="C31" s="2">
        <v>51000</v>
      </c>
      <c r="D31" s="2">
        <v>66800</v>
      </c>
      <c r="E31" s="2">
        <v>73150</v>
      </c>
      <c r="F31" s="2">
        <v>83750</v>
      </c>
      <c r="G31" s="2">
        <v>59950</v>
      </c>
      <c r="H31" s="12">
        <v>0.38</v>
      </c>
      <c r="I31" s="12">
        <v>0.45</v>
      </c>
      <c r="J31" s="12">
        <v>0.16999999999999993</v>
      </c>
      <c r="K31" s="2">
        <v>72100</v>
      </c>
      <c r="L31">
        <v>80000</v>
      </c>
      <c r="M31" s="12">
        <v>0.63</v>
      </c>
      <c r="N31" s="12">
        <v>0.22</v>
      </c>
      <c r="O31" s="12">
        <v>0.34</v>
      </c>
      <c r="P31" s="12">
        <v>0.28999999999999998</v>
      </c>
      <c r="Q31" s="12">
        <v>0.17</v>
      </c>
      <c r="R31" s="12">
        <v>0.14000000000000001</v>
      </c>
      <c r="S31" s="12">
        <v>5.9999999999999942E-2</v>
      </c>
      <c r="T31" s="12">
        <v>0.69</v>
      </c>
      <c r="U31" s="12">
        <v>1</v>
      </c>
      <c r="V31" s="12">
        <v>1.03</v>
      </c>
      <c r="W31" s="12">
        <v>0.36</v>
      </c>
      <c r="X31" s="12">
        <v>0.59</v>
      </c>
      <c r="Y31" s="12">
        <v>0.74</v>
      </c>
      <c r="Z31" s="12">
        <v>0.6</v>
      </c>
      <c r="AA31" s="12">
        <v>0.71</v>
      </c>
      <c r="AB31" s="12">
        <v>0.74</v>
      </c>
      <c r="AC31" s="12">
        <v>0.53</v>
      </c>
      <c r="AD31">
        <v>52957</v>
      </c>
      <c r="AE31">
        <v>41804</v>
      </c>
      <c r="AF31">
        <v>82527</v>
      </c>
      <c r="AG31">
        <v>14966</v>
      </c>
      <c r="AH31">
        <v>83661</v>
      </c>
      <c r="AI31">
        <v>66943</v>
      </c>
      <c r="AJ31">
        <v>57142</v>
      </c>
      <c r="AK31">
        <v>89767</v>
      </c>
      <c r="AL31">
        <v>64887</v>
      </c>
      <c r="AM31">
        <v>3141</v>
      </c>
      <c r="AN31">
        <v>82237</v>
      </c>
      <c r="AO31">
        <v>55205</v>
      </c>
      <c r="AP31">
        <v>91420</v>
      </c>
      <c r="AQ31">
        <v>64443</v>
      </c>
      <c r="AR31" s="2">
        <v>3600</v>
      </c>
      <c r="AS31" s="2">
        <v>6100</v>
      </c>
      <c r="AT31" s="2">
        <v>4000</v>
      </c>
      <c r="AU31" s="2">
        <v>5100</v>
      </c>
      <c r="AV31" s="2">
        <v>7300</v>
      </c>
      <c r="AW31" s="2">
        <v>6000</v>
      </c>
      <c r="AX31" s="2">
        <v>5200</v>
      </c>
      <c r="AY31" s="2">
        <v>6900</v>
      </c>
      <c r="AZ31" s="2">
        <v>6400</v>
      </c>
      <c r="BA31" s="2">
        <v>3500</v>
      </c>
      <c r="BB31" s="14">
        <v>90000</v>
      </c>
      <c r="BC31" s="14">
        <v>85000</v>
      </c>
    </row>
    <row r="32" spans="1:55" x14ac:dyDescent="0.25">
      <c r="A32" s="2">
        <v>2027</v>
      </c>
      <c r="B32" s="2" t="s">
        <v>72</v>
      </c>
      <c r="C32" s="2">
        <v>70600</v>
      </c>
      <c r="D32" s="2">
        <v>51100</v>
      </c>
      <c r="E32" s="2">
        <v>35125</v>
      </c>
      <c r="F32" s="2">
        <v>89950</v>
      </c>
      <c r="G32" s="2">
        <v>67000</v>
      </c>
      <c r="H32" s="12">
        <v>0.36</v>
      </c>
      <c r="I32" s="12">
        <v>0.51</v>
      </c>
      <c r="J32" s="12">
        <v>0.13</v>
      </c>
      <c r="K32" s="2">
        <v>91500</v>
      </c>
      <c r="L32">
        <v>80000</v>
      </c>
      <c r="M32" s="12">
        <v>0.51</v>
      </c>
      <c r="N32" s="12">
        <v>0.65</v>
      </c>
      <c r="O32" s="12">
        <v>0.33</v>
      </c>
      <c r="P32" s="12">
        <v>0.24</v>
      </c>
      <c r="Q32" s="12">
        <v>0.11</v>
      </c>
      <c r="R32" s="12">
        <v>0.09</v>
      </c>
      <c r="S32" s="12">
        <v>0.22999999999999998</v>
      </c>
      <c r="T32" s="12">
        <v>0.67</v>
      </c>
      <c r="U32" s="12">
        <v>0.71</v>
      </c>
      <c r="V32" s="12">
        <v>1.18</v>
      </c>
      <c r="W32" s="12">
        <v>1.35</v>
      </c>
      <c r="X32" s="12">
        <v>1.06</v>
      </c>
      <c r="Y32" s="12">
        <v>0.31</v>
      </c>
      <c r="Z32" s="12">
        <v>0.27</v>
      </c>
      <c r="AA32" s="12">
        <v>0.65</v>
      </c>
      <c r="AB32" s="12">
        <v>0.4</v>
      </c>
      <c r="AC32" s="12">
        <v>0.65</v>
      </c>
      <c r="AD32">
        <v>66993</v>
      </c>
      <c r="AE32">
        <v>80607</v>
      </c>
      <c r="AF32">
        <v>45268</v>
      </c>
      <c r="AG32">
        <v>19824</v>
      </c>
      <c r="AH32">
        <v>70101</v>
      </c>
      <c r="AI32">
        <v>60063</v>
      </c>
      <c r="AJ32">
        <v>57144</v>
      </c>
      <c r="AK32">
        <v>3599</v>
      </c>
      <c r="AL32">
        <v>89239</v>
      </c>
      <c r="AM32">
        <v>53980</v>
      </c>
      <c r="AN32">
        <v>41530</v>
      </c>
      <c r="AO32">
        <v>55959</v>
      </c>
      <c r="AP32">
        <v>81707</v>
      </c>
      <c r="AQ32">
        <v>54336</v>
      </c>
      <c r="AR32" s="2">
        <v>3400</v>
      </c>
      <c r="AS32" s="2">
        <v>5400</v>
      </c>
      <c r="AT32" s="2">
        <v>4200</v>
      </c>
      <c r="AU32" s="2">
        <v>3700</v>
      </c>
      <c r="AV32" s="2">
        <v>3400</v>
      </c>
      <c r="AW32" s="2">
        <v>4300</v>
      </c>
      <c r="AX32" s="2">
        <v>6000</v>
      </c>
      <c r="AY32" s="2">
        <v>7100</v>
      </c>
      <c r="AZ32" s="2">
        <v>4100</v>
      </c>
      <c r="BA32" s="2">
        <v>6600</v>
      </c>
      <c r="BB32" s="13">
        <v>105000</v>
      </c>
      <c r="BC32" s="13">
        <v>60000</v>
      </c>
    </row>
    <row r="33" spans="1:55" x14ac:dyDescent="0.25">
      <c r="A33" s="2">
        <v>2027</v>
      </c>
      <c r="B33" s="2" t="s">
        <v>73</v>
      </c>
      <c r="C33" s="2">
        <v>133300</v>
      </c>
      <c r="D33" s="2">
        <v>119100</v>
      </c>
      <c r="E33" s="2">
        <v>117550</v>
      </c>
      <c r="F33" s="2">
        <v>87300</v>
      </c>
      <c r="G33" s="2">
        <v>65350</v>
      </c>
      <c r="H33" s="12">
        <v>0.39</v>
      </c>
      <c r="I33" s="12">
        <v>0.43</v>
      </c>
      <c r="J33" s="12">
        <v>0.17999999999999994</v>
      </c>
      <c r="K33" s="2">
        <v>108700</v>
      </c>
      <c r="L33">
        <v>80000</v>
      </c>
      <c r="M33" s="12">
        <v>0.4</v>
      </c>
      <c r="N33" s="12">
        <v>0.22</v>
      </c>
      <c r="O33" s="12">
        <v>0.32</v>
      </c>
      <c r="P33" s="12">
        <v>0.28999999999999998</v>
      </c>
      <c r="Q33" s="12">
        <v>0.16</v>
      </c>
      <c r="R33" s="12">
        <v>0.1</v>
      </c>
      <c r="S33" s="12">
        <v>0.13</v>
      </c>
      <c r="T33" s="12">
        <v>0.64</v>
      </c>
      <c r="U33" s="12">
        <v>0.9</v>
      </c>
      <c r="V33" s="12">
        <v>0.89</v>
      </c>
      <c r="W33" s="12">
        <v>1.31</v>
      </c>
      <c r="X33" s="12">
        <v>0.61</v>
      </c>
      <c r="Y33" s="12">
        <v>0.26</v>
      </c>
      <c r="Z33" s="12">
        <v>0.28999999999999998</v>
      </c>
      <c r="AA33" s="12">
        <v>0.69</v>
      </c>
      <c r="AB33" s="12">
        <v>0.56999999999999995</v>
      </c>
      <c r="AC33" s="12">
        <v>0.55000000000000004</v>
      </c>
      <c r="AD33">
        <v>61731</v>
      </c>
      <c r="AE33">
        <v>70672</v>
      </c>
      <c r="AF33">
        <v>15210</v>
      </c>
      <c r="AG33">
        <v>43615</v>
      </c>
      <c r="AH33">
        <v>89928</v>
      </c>
      <c r="AI33">
        <v>61702</v>
      </c>
      <c r="AJ33">
        <v>57142</v>
      </c>
      <c r="AK33">
        <v>44028</v>
      </c>
      <c r="AL33">
        <v>47609</v>
      </c>
      <c r="AM33">
        <v>121003</v>
      </c>
      <c r="AN33">
        <v>108350</v>
      </c>
      <c r="AO33">
        <v>29960</v>
      </c>
      <c r="AP33">
        <v>105094</v>
      </c>
      <c r="AQ33">
        <v>76006</v>
      </c>
      <c r="AR33" s="2">
        <v>5100</v>
      </c>
      <c r="AS33" s="2">
        <v>5000</v>
      </c>
      <c r="AT33" s="2">
        <v>5600</v>
      </c>
      <c r="AU33" s="2">
        <v>2400</v>
      </c>
      <c r="AV33" s="2">
        <v>4500</v>
      </c>
      <c r="AW33" s="2">
        <v>4200</v>
      </c>
      <c r="AX33" s="2">
        <v>4600</v>
      </c>
      <c r="AY33" s="2">
        <v>4100</v>
      </c>
      <c r="AZ33" s="2">
        <v>4800</v>
      </c>
      <c r="BA33" s="2">
        <v>2600</v>
      </c>
      <c r="BB33" s="14">
        <v>110000</v>
      </c>
      <c r="BC33" s="14">
        <v>90000</v>
      </c>
    </row>
    <row r="34" spans="1:55" x14ac:dyDescent="0.25">
      <c r="A34" s="2">
        <v>2027</v>
      </c>
      <c r="B34" s="2" t="s">
        <v>74</v>
      </c>
      <c r="C34" s="2">
        <v>72850</v>
      </c>
      <c r="D34" s="2">
        <v>60400</v>
      </c>
      <c r="E34" s="2">
        <v>34650</v>
      </c>
      <c r="F34" s="2">
        <v>37350</v>
      </c>
      <c r="G34" s="2">
        <v>26100</v>
      </c>
      <c r="H34" s="12">
        <v>0.4</v>
      </c>
      <c r="I34" s="12">
        <v>0.49</v>
      </c>
      <c r="J34" s="12">
        <v>0.10999999999999999</v>
      </c>
      <c r="K34" s="2">
        <v>118500</v>
      </c>
      <c r="L34">
        <v>80000</v>
      </c>
      <c r="M34" s="12">
        <v>0.53</v>
      </c>
      <c r="N34" s="12">
        <v>0.49</v>
      </c>
      <c r="O34" s="12">
        <v>0.25</v>
      </c>
      <c r="P34" s="12">
        <v>0.26</v>
      </c>
      <c r="Q34" s="12">
        <v>0.2</v>
      </c>
      <c r="R34" s="12">
        <v>0.1</v>
      </c>
      <c r="S34" s="12">
        <v>0.19000000000000006</v>
      </c>
      <c r="T34" s="12">
        <v>0.49</v>
      </c>
      <c r="U34" s="12">
        <v>0.52</v>
      </c>
      <c r="V34" s="12">
        <v>0.74</v>
      </c>
      <c r="W34" s="12">
        <v>0.42</v>
      </c>
      <c r="X34" s="12">
        <v>0.6</v>
      </c>
      <c r="Y34" s="12">
        <v>0.63</v>
      </c>
      <c r="Z34" s="12">
        <v>0.41</v>
      </c>
      <c r="AA34" s="12">
        <v>0.35</v>
      </c>
      <c r="AB34" s="12">
        <v>0.27</v>
      </c>
      <c r="AC34" s="12">
        <v>0.32</v>
      </c>
      <c r="AD34">
        <v>85576</v>
      </c>
      <c r="AE34">
        <v>13692</v>
      </c>
      <c r="AF34">
        <v>81285</v>
      </c>
      <c r="AG34">
        <v>55531</v>
      </c>
      <c r="AH34">
        <v>54552</v>
      </c>
      <c r="AI34">
        <v>52220</v>
      </c>
      <c r="AJ34">
        <v>57144</v>
      </c>
      <c r="AK34">
        <v>105360</v>
      </c>
      <c r="AL34">
        <v>41432</v>
      </c>
      <c r="AM34">
        <v>10472</v>
      </c>
      <c r="AN34">
        <v>70272</v>
      </c>
      <c r="AO34">
        <v>90437</v>
      </c>
      <c r="AP34">
        <v>124784</v>
      </c>
      <c r="AQ34">
        <v>73793</v>
      </c>
      <c r="AR34" s="2">
        <v>4600</v>
      </c>
      <c r="AS34" s="2">
        <v>3700</v>
      </c>
      <c r="AT34" s="2">
        <v>3000</v>
      </c>
      <c r="AU34" s="2">
        <v>3800</v>
      </c>
      <c r="AV34" s="2">
        <v>6400</v>
      </c>
      <c r="AW34" s="2">
        <v>2500</v>
      </c>
      <c r="AX34" s="2">
        <v>5300</v>
      </c>
      <c r="AY34" s="2">
        <v>5300</v>
      </c>
      <c r="AZ34" s="2">
        <v>5400</v>
      </c>
      <c r="BA34" s="2">
        <v>3600</v>
      </c>
      <c r="BB34" s="13">
        <v>100000</v>
      </c>
      <c r="BC34" s="13">
        <v>75000</v>
      </c>
    </row>
    <row r="35" spans="1:55" x14ac:dyDescent="0.25">
      <c r="A35" s="2">
        <v>2027</v>
      </c>
      <c r="B35" s="2" t="s">
        <v>75</v>
      </c>
      <c r="C35" s="2">
        <v>103750</v>
      </c>
      <c r="D35" s="2">
        <v>135400</v>
      </c>
      <c r="E35" s="2">
        <v>144750</v>
      </c>
      <c r="F35" s="2">
        <v>63700</v>
      </c>
      <c r="G35" s="2">
        <v>60000</v>
      </c>
      <c r="H35" s="12">
        <v>0.38</v>
      </c>
      <c r="I35" s="12">
        <v>0.55000000000000004</v>
      </c>
      <c r="J35" s="12">
        <v>6.9999999999999951E-2</v>
      </c>
      <c r="K35" s="2">
        <v>121000</v>
      </c>
      <c r="L35">
        <v>80000</v>
      </c>
      <c r="M35" s="12">
        <v>0.16</v>
      </c>
      <c r="N35" s="12">
        <v>0.39</v>
      </c>
      <c r="O35" s="12">
        <v>0.3</v>
      </c>
      <c r="P35" s="12">
        <v>0.26</v>
      </c>
      <c r="Q35" s="12">
        <v>0.13</v>
      </c>
      <c r="R35" s="12">
        <v>0.14000000000000001</v>
      </c>
      <c r="S35" s="12">
        <v>0.16999999999999993</v>
      </c>
      <c r="T35" s="12">
        <v>0.79</v>
      </c>
      <c r="U35" s="12">
        <v>0.43</v>
      </c>
      <c r="V35" s="12">
        <v>0.95</v>
      </c>
      <c r="W35" s="12">
        <v>1.06</v>
      </c>
      <c r="X35" s="12">
        <v>1.1599999999999999</v>
      </c>
      <c r="Y35" s="12">
        <v>0.71</v>
      </c>
      <c r="Z35" s="12">
        <v>0.5</v>
      </c>
      <c r="AA35" s="12">
        <v>0.53</v>
      </c>
      <c r="AB35" s="12">
        <v>0.3</v>
      </c>
      <c r="AC35" s="12">
        <v>0.66</v>
      </c>
      <c r="AD35">
        <v>123513</v>
      </c>
      <c r="AE35">
        <v>28129</v>
      </c>
      <c r="AF35">
        <v>13569</v>
      </c>
      <c r="AG35">
        <v>112315</v>
      </c>
      <c r="AH35">
        <v>9984</v>
      </c>
      <c r="AI35">
        <v>55347</v>
      </c>
      <c r="AJ35">
        <v>57143</v>
      </c>
      <c r="AK35">
        <v>88289</v>
      </c>
      <c r="AL35">
        <v>56527</v>
      </c>
      <c r="AM35">
        <v>28046</v>
      </c>
      <c r="AN35">
        <v>26284</v>
      </c>
      <c r="AO35">
        <v>169188</v>
      </c>
      <c r="AP35">
        <v>494</v>
      </c>
      <c r="AQ35">
        <v>61472</v>
      </c>
      <c r="AR35" s="2">
        <v>5400</v>
      </c>
      <c r="AS35" s="2">
        <v>3700</v>
      </c>
      <c r="AT35" s="2">
        <v>2700</v>
      </c>
      <c r="AU35" s="2">
        <v>3200</v>
      </c>
      <c r="AV35" s="2">
        <v>4700</v>
      </c>
      <c r="AW35" s="2">
        <v>4900</v>
      </c>
      <c r="AX35" s="2">
        <v>5600</v>
      </c>
      <c r="AY35" s="2">
        <v>6500</v>
      </c>
      <c r="AZ35" s="2">
        <v>4700</v>
      </c>
      <c r="BA35" s="2">
        <v>3500</v>
      </c>
      <c r="BB35" s="14">
        <v>130000</v>
      </c>
      <c r="BC35" s="14">
        <v>100000</v>
      </c>
    </row>
    <row r="36" spans="1:55" x14ac:dyDescent="0.25">
      <c r="A36" s="2">
        <v>2027</v>
      </c>
      <c r="B36" s="2" t="s">
        <v>76</v>
      </c>
      <c r="C36" s="2">
        <v>131050</v>
      </c>
      <c r="D36" s="2">
        <v>93550</v>
      </c>
      <c r="E36" s="2">
        <v>135050</v>
      </c>
      <c r="F36" s="2">
        <v>69000</v>
      </c>
      <c r="G36" s="2">
        <v>60400</v>
      </c>
      <c r="H36" s="12">
        <v>0.38</v>
      </c>
      <c r="I36" s="12">
        <v>0.55000000000000004</v>
      </c>
      <c r="J36" s="12">
        <v>6.9999999999999951E-2</v>
      </c>
      <c r="K36" s="2">
        <v>116100</v>
      </c>
      <c r="L36">
        <v>80000</v>
      </c>
      <c r="M36" s="12">
        <v>0.44</v>
      </c>
      <c r="N36" s="12">
        <v>0.74</v>
      </c>
      <c r="O36" s="12">
        <v>0.28999999999999998</v>
      </c>
      <c r="P36" s="12">
        <v>0.21</v>
      </c>
      <c r="Q36" s="12">
        <v>0.16</v>
      </c>
      <c r="R36" s="12">
        <v>0.1</v>
      </c>
      <c r="S36" s="12">
        <v>0.24</v>
      </c>
      <c r="T36" s="12">
        <v>0.35</v>
      </c>
      <c r="U36" s="12">
        <v>0.39</v>
      </c>
      <c r="V36" s="12">
        <v>0.75</v>
      </c>
      <c r="W36" s="12">
        <v>0.61</v>
      </c>
      <c r="X36" s="12">
        <v>1.27</v>
      </c>
      <c r="Y36" s="12">
        <v>0.25</v>
      </c>
      <c r="Z36" s="12">
        <v>0.4</v>
      </c>
      <c r="AA36" s="12">
        <v>0.55000000000000004</v>
      </c>
      <c r="AB36" s="12">
        <v>0.74</v>
      </c>
      <c r="AC36" s="12">
        <v>0.71</v>
      </c>
      <c r="AD36">
        <v>21</v>
      </c>
      <c r="AE36">
        <v>91779</v>
      </c>
      <c r="AF36">
        <v>70530</v>
      </c>
      <c r="AG36">
        <v>23891</v>
      </c>
      <c r="AH36">
        <v>82162</v>
      </c>
      <c r="AI36">
        <v>74474</v>
      </c>
      <c r="AJ36">
        <v>57143</v>
      </c>
      <c r="AK36">
        <v>124149</v>
      </c>
      <c r="AL36">
        <v>29359</v>
      </c>
      <c r="AM36">
        <v>47814</v>
      </c>
      <c r="AN36">
        <v>82936</v>
      </c>
      <c r="AO36">
        <v>38506</v>
      </c>
      <c r="AP36">
        <v>115536</v>
      </c>
      <c r="AQ36">
        <v>73050</v>
      </c>
      <c r="AR36" s="2">
        <v>5100</v>
      </c>
      <c r="AS36" s="2">
        <v>3100</v>
      </c>
      <c r="AT36" s="2">
        <v>4800</v>
      </c>
      <c r="AU36" s="2">
        <v>2900</v>
      </c>
      <c r="AV36" s="2">
        <v>6900</v>
      </c>
      <c r="AW36" s="2">
        <v>5500</v>
      </c>
      <c r="AX36" s="2">
        <v>4200</v>
      </c>
      <c r="AY36" s="2">
        <v>3700</v>
      </c>
      <c r="AZ36" s="2">
        <v>5300</v>
      </c>
      <c r="BA36" s="2">
        <v>5000</v>
      </c>
      <c r="BB36" s="13">
        <v>140000</v>
      </c>
      <c r="BC36" s="13">
        <v>70000</v>
      </c>
    </row>
    <row r="37" spans="1:55" x14ac:dyDescent="0.25">
      <c r="A37" s="2">
        <v>2027</v>
      </c>
      <c r="B37" s="2" t="s">
        <v>77</v>
      </c>
      <c r="C37" s="2">
        <v>54600</v>
      </c>
      <c r="D37" s="2">
        <v>55350</v>
      </c>
      <c r="E37" s="2">
        <v>42200</v>
      </c>
      <c r="F37" s="2">
        <v>64200</v>
      </c>
      <c r="G37" s="2">
        <v>64650</v>
      </c>
      <c r="H37" s="12">
        <v>0.38</v>
      </c>
      <c r="I37" s="12">
        <v>0.46</v>
      </c>
      <c r="J37" s="12">
        <v>0.15999999999999992</v>
      </c>
      <c r="K37" s="2">
        <v>100600</v>
      </c>
      <c r="L37">
        <v>80000</v>
      </c>
      <c r="M37" s="12">
        <v>0.32</v>
      </c>
      <c r="N37" s="12">
        <v>0.26</v>
      </c>
      <c r="O37" s="12">
        <v>0.25</v>
      </c>
      <c r="P37" s="12">
        <v>0.26</v>
      </c>
      <c r="Q37" s="12">
        <v>0.14000000000000001</v>
      </c>
      <c r="R37" s="12">
        <v>0.1</v>
      </c>
      <c r="S37" s="12">
        <v>0.25</v>
      </c>
      <c r="T37" s="12">
        <v>1.1599999999999999</v>
      </c>
      <c r="U37" s="12">
        <v>0.46</v>
      </c>
      <c r="V37" s="12">
        <v>0.53</v>
      </c>
      <c r="W37" s="12">
        <v>1.28</v>
      </c>
      <c r="X37" s="12">
        <v>1.3</v>
      </c>
      <c r="Y37" s="12">
        <v>0.65</v>
      </c>
      <c r="Z37" s="12">
        <v>0.62</v>
      </c>
      <c r="AA37" s="12">
        <v>0.61</v>
      </c>
      <c r="AB37" s="12">
        <v>0.56000000000000005</v>
      </c>
      <c r="AC37" s="12">
        <v>0.57999999999999996</v>
      </c>
      <c r="AD37">
        <v>86308</v>
      </c>
      <c r="AE37">
        <v>58777</v>
      </c>
      <c r="AF37">
        <v>73329</v>
      </c>
      <c r="AG37">
        <v>58578</v>
      </c>
      <c r="AH37">
        <v>15113</v>
      </c>
      <c r="AI37">
        <v>50752</v>
      </c>
      <c r="AJ37">
        <v>57143</v>
      </c>
      <c r="AK37">
        <v>90279</v>
      </c>
      <c r="AL37">
        <v>50719</v>
      </c>
      <c r="AM37">
        <v>57972</v>
      </c>
      <c r="AN37">
        <v>91074</v>
      </c>
      <c r="AO37">
        <v>15757</v>
      </c>
      <c r="AP37">
        <v>97570</v>
      </c>
      <c r="AQ37">
        <v>67229</v>
      </c>
      <c r="AR37" s="2">
        <v>3100</v>
      </c>
      <c r="AS37" s="2">
        <v>4400</v>
      </c>
      <c r="AT37" s="2">
        <v>5100</v>
      </c>
      <c r="AU37" s="2">
        <v>7900</v>
      </c>
      <c r="AV37" s="2">
        <v>7100</v>
      </c>
      <c r="AW37" s="2">
        <v>4600</v>
      </c>
      <c r="AX37" s="2">
        <v>6000</v>
      </c>
      <c r="AY37" s="2">
        <v>4300</v>
      </c>
      <c r="AZ37" s="2">
        <v>3400</v>
      </c>
      <c r="BA37" s="2">
        <v>3200</v>
      </c>
      <c r="BB37" s="14">
        <v>120000</v>
      </c>
      <c r="BC37" s="14">
        <v>85000</v>
      </c>
    </row>
    <row r="38" spans="1:55" x14ac:dyDescent="0.25">
      <c r="A38" s="2">
        <v>2027</v>
      </c>
      <c r="B38" s="2" t="s">
        <v>78</v>
      </c>
      <c r="C38" s="2">
        <v>60500</v>
      </c>
      <c r="D38" s="2">
        <v>46450</v>
      </c>
      <c r="E38" s="2">
        <v>36550</v>
      </c>
      <c r="F38" s="2">
        <v>82900</v>
      </c>
      <c r="G38" s="2">
        <v>67200</v>
      </c>
      <c r="H38" s="12">
        <v>0.35</v>
      </c>
      <c r="I38" s="12">
        <v>0.42</v>
      </c>
      <c r="J38" s="12">
        <v>0.22999999999999998</v>
      </c>
      <c r="K38" s="2">
        <v>80500</v>
      </c>
      <c r="L38">
        <v>80000</v>
      </c>
      <c r="M38" s="12">
        <v>0.69</v>
      </c>
      <c r="N38" s="12">
        <v>0.2</v>
      </c>
      <c r="O38" s="12">
        <v>0.28000000000000003</v>
      </c>
      <c r="P38" s="12">
        <v>0.22</v>
      </c>
      <c r="Q38" s="12">
        <v>0.17</v>
      </c>
      <c r="R38" s="12">
        <v>7.0000000000000007E-2</v>
      </c>
      <c r="S38" s="12">
        <v>0.26</v>
      </c>
      <c r="T38" s="12">
        <v>1.35</v>
      </c>
      <c r="U38" s="12">
        <v>1.3</v>
      </c>
      <c r="V38" s="12">
        <v>0.83</v>
      </c>
      <c r="W38" s="12">
        <v>0.75</v>
      </c>
      <c r="X38" s="12">
        <v>0.97</v>
      </c>
      <c r="Y38" s="12">
        <v>0.6</v>
      </c>
      <c r="Z38" s="12">
        <v>0.56999999999999995</v>
      </c>
      <c r="AA38" s="12">
        <v>0.37</v>
      </c>
      <c r="AB38" s="12">
        <v>0.52</v>
      </c>
      <c r="AC38" s="12">
        <v>0.59</v>
      </c>
      <c r="AD38">
        <v>90128</v>
      </c>
      <c r="AE38">
        <v>54464</v>
      </c>
      <c r="AF38">
        <v>62081</v>
      </c>
      <c r="AG38">
        <v>80887</v>
      </c>
      <c r="AH38">
        <v>18097</v>
      </c>
      <c r="AI38">
        <v>37201</v>
      </c>
      <c r="AJ38">
        <v>57142</v>
      </c>
      <c r="AK38">
        <v>59040</v>
      </c>
      <c r="AL38">
        <v>32599</v>
      </c>
      <c r="AM38">
        <v>24010</v>
      </c>
      <c r="AN38">
        <v>157462</v>
      </c>
      <c r="AO38">
        <v>6803</v>
      </c>
      <c r="AP38">
        <v>155172</v>
      </c>
      <c r="AQ38">
        <v>72514</v>
      </c>
      <c r="AR38" s="2">
        <v>3200</v>
      </c>
      <c r="AS38" s="2">
        <v>3900</v>
      </c>
      <c r="AT38" s="2">
        <v>2800</v>
      </c>
      <c r="AU38" s="2">
        <v>6600</v>
      </c>
      <c r="AV38" s="2">
        <v>4300</v>
      </c>
      <c r="AW38" s="2">
        <v>4900</v>
      </c>
      <c r="AX38" s="2">
        <v>7300</v>
      </c>
      <c r="AY38" s="2">
        <v>4100</v>
      </c>
      <c r="AZ38" s="2">
        <v>3200</v>
      </c>
      <c r="BA38" s="2">
        <v>6800</v>
      </c>
      <c r="BB38" s="13">
        <v>130000</v>
      </c>
      <c r="BC38" s="13">
        <v>70000</v>
      </c>
    </row>
    <row r="39" spans="1:55" x14ac:dyDescent="0.25">
      <c r="A39" s="2">
        <v>2027</v>
      </c>
      <c r="B39" s="2" t="s">
        <v>79</v>
      </c>
      <c r="C39" s="2">
        <v>64025</v>
      </c>
      <c r="D39" s="2">
        <v>44375</v>
      </c>
      <c r="E39" s="2">
        <v>45100</v>
      </c>
      <c r="F39" s="2">
        <v>84150</v>
      </c>
      <c r="G39" s="2">
        <v>66400</v>
      </c>
      <c r="H39" s="12">
        <v>0.4</v>
      </c>
      <c r="I39" s="12">
        <v>0.49</v>
      </c>
      <c r="J39" s="12">
        <v>0.10999999999999999</v>
      </c>
      <c r="K39" s="2">
        <v>67700</v>
      </c>
      <c r="L39">
        <v>80000</v>
      </c>
      <c r="M39" s="12">
        <v>0.23</v>
      </c>
      <c r="N39" s="12">
        <v>0.74</v>
      </c>
      <c r="O39" s="12">
        <v>0.33</v>
      </c>
      <c r="P39" s="12">
        <v>0.26</v>
      </c>
      <c r="Q39" s="12">
        <v>0.14000000000000001</v>
      </c>
      <c r="R39" s="12">
        <v>0.15</v>
      </c>
      <c r="S39" s="12">
        <v>0.11999999999999988</v>
      </c>
      <c r="T39" s="12">
        <v>0.91</v>
      </c>
      <c r="U39" s="12">
        <v>0.86</v>
      </c>
      <c r="V39" s="12">
        <v>1.28</v>
      </c>
      <c r="W39" s="12">
        <v>1.27</v>
      </c>
      <c r="X39" s="12">
        <v>1.1200000000000001</v>
      </c>
      <c r="Y39" s="12">
        <v>0.65</v>
      </c>
      <c r="Z39" s="12">
        <v>0.56999999999999995</v>
      </c>
      <c r="AA39" s="12">
        <v>0.64</v>
      </c>
      <c r="AB39" s="12">
        <v>0.28000000000000003</v>
      </c>
      <c r="AC39" s="12">
        <v>0.36</v>
      </c>
      <c r="AD39">
        <v>97897</v>
      </c>
      <c r="AE39">
        <v>124281</v>
      </c>
      <c r="AF39">
        <v>38613</v>
      </c>
      <c r="AG39">
        <v>3843</v>
      </c>
      <c r="AH39">
        <v>14836</v>
      </c>
      <c r="AI39">
        <v>63387</v>
      </c>
      <c r="AJ39">
        <v>57143</v>
      </c>
      <c r="AK39">
        <v>7447</v>
      </c>
      <c r="AL39">
        <v>27989</v>
      </c>
      <c r="AM39">
        <v>119083</v>
      </c>
      <c r="AN39">
        <v>74139</v>
      </c>
      <c r="AO39">
        <v>46657</v>
      </c>
      <c r="AP39">
        <v>85543</v>
      </c>
      <c r="AQ39">
        <v>60142</v>
      </c>
      <c r="AR39" s="2">
        <v>3500</v>
      </c>
      <c r="AS39" s="2">
        <v>4600</v>
      </c>
      <c r="AT39" s="2">
        <v>5800</v>
      </c>
      <c r="AU39" s="2">
        <v>5600</v>
      </c>
      <c r="AV39" s="2">
        <v>5800</v>
      </c>
      <c r="AW39" s="2">
        <v>4500</v>
      </c>
      <c r="AX39" s="2">
        <v>5000</v>
      </c>
      <c r="AY39" s="2">
        <v>3800</v>
      </c>
      <c r="AZ39" s="2">
        <v>3400</v>
      </c>
      <c r="BA39" s="2">
        <v>4000</v>
      </c>
      <c r="BB39" s="14">
        <v>100000</v>
      </c>
      <c r="BC39" s="14">
        <v>95000</v>
      </c>
    </row>
    <row r="40" spans="1:55" x14ac:dyDescent="0.25">
      <c r="A40" s="2">
        <v>2028</v>
      </c>
      <c r="B40" s="2" t="s">
        <v>68</v>
      </c>
      <c r="C40" s="2">
        <v>170350</v>
      </c>
      <c r="D40" s="2">
        <v>98050</v>
      </c>
      <c r="E40" s="2">
        <v>93400</v>
      </c>
      <c r="F40" s="2">
        <v>63450</v>
      </c>
      <c r="G40" s="2">
        <v>68700</v>
      </c>
      <c r="H40" s="12">
        <v>0.37</v>
      </c>
      <c r="I40" s="12">
        <v>0.4</v>
      </c>
      <c r="J40" s="12">
        <v>0.22999999999999998</v>
      </c>
      <c r="K40" s="2">
        <v>77600</v>
      </c>
      <c r="L40">
        <v>100000</v>
      </c>
      <c r="M40" s="12">
        <v>0.41</v>
      </c>
      <c r="N40" s="12">
        <v>0.74</v>
      </c>
      <c r="O40" s="12">
        <v>0.3</v>
      </c>
      <c r="P40" s="12">
        <v>0.27</v>
      </c>
      <c r="Q40" s="12">
        <v>0.15</v>
      </c>
      <c r="R40" s="12">
        <v>0.06</v>
      </c>
      <c r="S40" s="12">
        <v>0.21999999999999997</v>
      </c>
      <c r="T40" s="12">
        <v>1.06</v>
      </c>
      <c r="U40" s="12">
        <v>0.5</v>
      </c>
      <c r="V40" s="12">
        <v>1</v>
      </c>
      <c r="W40" s="12">
        <v>0.87</v>
      </c>
      <c r="X40" s="12">
        <v>0.85</v>
      </c>
      <c r="Y40" s="12">
        <v>0.53</v>
      </c>
      <c r="Z40" s="12">
        <v>0.28999999999999998</v>
      </c>
      <c r="AA40" s="12">
        <v>0.48</v>
      </c>
      <c r="AB40" s="12">
        <v>0.27</v>
      </c>
      <c r="AC40" s="12">
        <v>0.26</v>
      </c>
      <c r="AD40">
        <v>41333</v>
      </c>
      <c r="AE40">
        <v>124358</v>
      </c>
      <c r="AF40">
        <v>4831</v>
      </c>
      <c r="AG40">
        <v>114439</v>
      </c>
      <c r="AH40">
        <v>30521</v>
      </c>
      <c r="AI40">
        <v>113090</v>
      </c>
      <c r="AJ40">
        <v>71428</v>
      </c>
      <c r="AK40">
        <v>76149</v>
      </c>
      <c r="AL40">
        <v>41962</v>
      </c>
      <c r="AM40">
        <v>124078</v>
      </c>
      <c r="AN40">
        <v>2187</v>
      </c>
      <c r="AO40">
        <v>86634</v>
      </c>
      <c r="AP40">
        <v>92376</v>
      </c>
      <c r="AQ40">
        <v>70564</v>
      </c>
      <c r="AR40" s="2">
        <v>5600</v>
      </c>
      <c r="AS40" s="2">
        <v>5700</v>
      </c>
      <c r="AT40" s="2">
        <v>3300</v>
      </c>
      <c r="AU40" s="2">
        <v>3100</v>
      </c>
      <c r="AV40" s="2">
        <v>3000</v>
      </c>
      <c r="AW40" s="2">
        <v>4400</v>
      </c>
      <c r="AX40" s="2">
        <v>2600</v>
      </c>
      <c r="AY40" s="2">
        <v>7700</v>
      </c>
      <c r="AZ40" s="2">
        <v>7400</v>
      </c>
      <c r="BA40" s="2">
        <v>6500</v>
      </c>
      <c r="BB40" s="13">
        <v>70000</v>
      </c>
      <c r="BC40" s="13">
        <v>85000</v>
      </c>
    </row>
    <row r="41" spans="1:55" x14ac:dyDescent="0.25">
      <c r="A41" s="2">
        <v>2028</v>
      </c>
      <c r="B41" s="2" t="s">
        <v>69</v>
      </c>
      <c r="C41" s="2">
        <v>72975</v>
      </c>
      <c r="D41" s="2">
        <v>54075</v>
      </c>
      <c r="E41" s="2">
        <v>54600</v>
      </c>
      <c r="F41" s="2">
        <v>81350</v>
      </c>
      <c r="G41" s="2">
        <v>59950</v>
      </c>
      <c r="H41" s="12">
        <v>0.35</v>
      </c>
      <c r="I41" s="12">
        <v>0.46</v>
      </c>
      <c r="J41" s="12">
        <v>0.18999999999999995</v>
      </c>
      <c r="K41" s="2">
        <v>95100</v>
      </c>
      <c r="L41">
        <v>100000</v>
      </c>
      <c r="M41" s="12">
        <v>0.56000000000000005</v>
      </c>
      <c r="N41" s="12">
        <v>0.42</v>
      </c>
      <c r="O41" s="12">
        <v>0.34</v>
      </c>
      <c r="P41" s="12">
        <v>0.28999999999999998</v>
      </c>
      <c r="Q41" s="12">
        <v>0.17</v>
      </c>
      <c r="R41" s="12">
        <v>0.06</v>
      </c>
      <c r="S41" s="12">
        <v>0.1399999999999999</v>
      </c>
      <c r="T41" s="12">
        <v>0.43</v>
      </c>
      <c r="U41" s="12">
        <v>1.31</v>
      </c>
      <c r="V41" s="12">
        <v>1.21</v>
      </c>
      <c r="W41" s="12">
        <v>0.59</v>
      </c>
      <c r="X41" s="12">
        <v>0.52</v>
      </c>
      <c r="Y41" s="12">
        <v>0.69</v>
      </c>
      <c r="Z41" s="12">
        <v>0.33</v>
      </c>
      <c r="AA41" s="12">
        <v>0.69</v>
      </c>
      <c r="AB41" s="12">
        <v>0.64</v>
      </c>
      <c r="AC41" s="12">
        <v>0.43</v>
      </c>
      <c r="AD41">
        <v>2897</v>
      </c>
      <c r="AE41">
        <v>117296</v>
      </c>
      <c r="AF41">
        <v>97666</v>
      </c>
      <c r="AG41">
        <v>72420</v>
      </c>
      <c r="AH41">
        <v>63751</v>
      </c>
      <c r="AI41">
        <v>74541</v>
      </c>
      <c r="AJ41">
        <v>71429</v>
      </c>
      <c r="AK41">
        <v>88165</v>
      </c>
      <c r="AL41">
        <v>56838</v>
      </c>
      <c r="AM41">
        <v>107807</v>
      </c>
      <c r="AN41">
        <v>83070</v>
      </c>
      <c r="AO41">
        <v>54632</v>
      </c>
      <c r="AP41">
        <v>42003</v>
      </c>
      <c r="AQ41">
        <v>72085</v>
      </c>
      <c r="AR41" s="2">
        <v>3500</v>
      </c>
      <c r="AS41" s="2">
        <v>6700</v>
      </c>
      <c r="AT41" s="2">
        <v>4700</v>
      </c>
      <c r="AU41" s="2">
        <v>4300</v>
      </c>
      <c r="AV41" s="2">
        <v>4500</v>
      </c>
      <c r="AW41" s="2">
        <v>6700</v>
      </c>
      <c r="AX41" s="2">
        <v>3500</v>
      </c>
      <c r="AY41" s="2">
        <v>5300</v>
      </c>
      <c r="AZ41" s="2">
        <v>6700</v>
      </c>
      <c r="BA41" s="2">
        <v>3300</v>
      </c>
      <c r="BB41" s="14">
        <v>82000</v>
      </c>
      <c r="BC41" s="14">
        <v>95000</v>
      </c>
    </row>
    <row r="42" spans="1:55" x14ac:dyDescent="0.25">
      <c r="A42" s="2">
        <v>2028</v>
      </c>
      <c r="B42" s="2" t="s">
        <v>70</v>
      </c>
      <c r="C42" s="2">
        <v>99375</v>
      </c>
      <c r="D42" s="2">
        <v>61600</v>
      </c>
      <c r="E42" s="2">
        <v>52925</v>
      </c>
      <c r="F42" s="2">
        <v>77100</v>
      </c>
      <c r="G42" s="2">
        <v>58500</v>
      </c>
      <c r="H42" s="12">
        <v>0.36</v>
      </c>
      <c r="I42" s="12">
        <v>0.4</v>
      </c>
      <c r="J42" s="12">
        <v>0.24</v>
      </c>
      <c r="K42" s="2">
        <v>109600</v>
      </c>
      <c r="L42">
        <v>100000</v>
      </c>
      <c r="M42" s="12">
        <v>0.21</v>
      </c>
      <c r="N42" s="12">
        <v>0.72</v>
      </c>
      <c r="O42" s="12">
        <v>0.35</v>
      </c>
      <c r="P42" s="12">
        <v>0.2</v>
      </c>
      <c r="Q42" s="12">
        <v>0.14000000000000001</v>
      </c>
      <c r="R42" s="12">
        <v>0.14000000000000001</v>
      </c>
      <c r="S42" s="12">
        <v>0.16999999999999993</v>
      </c>
      <c r="T42" s="12">
        <v>1.04</v>
      </c>
      <c r="U42" s="12">
        <v>0.5</v>
      </c>
      <c r="V42" s="12">
        <v>0.84</v>
      </c>
      <c r="W42" s="12">
        <v>0.98</v>
      </c>
      <c r="X42" s="12">
        <v>1.1299999999999999</v>
      </c>
      <c r="Y42" s="12">
        <v>0.5</v>
      </c>
      <c r="Z42" s="12">
        <v>0.41</v>
      </c>
      <c r="AA42" s="12">
        <v>0.74</v>
      </c>
      <c r="AB42" s="12">
        <v>0.71</v>
      </c>
      <c r="AC42" s="12">
        <v>0.41</v>
      </c>
      <c r="AD42">
        <v>35320</v>
      </c>
      <c r="AE42">
        <v>110967</v>
      </c>
      <c r="AF42">
        <v>111962</v>
      </c>
      <c r="AG42">
        <v>3566</v>
      </c>
      <c r="AH42">
        <v>109467</v>
      </c>
      <c r="AI42">
        <v>57290</v>
      </c>
      <c r="AJ42">
        <v>71428</v>
      </c>
      <c r="AK42">
        <v>60234</v>
      </c>
      <c r="AL42">
        <v>199342</v>
      </c>
      <c r="AM42">
        <v>154993</v>
      </c>
      <c r="AN42">
        <v>6735</v>
      </c>
      <c r="AO42">
        <v>20220</v>
      </c>
      <c r="AP42">
        <v>14648</v>
      </c>
      <c r="AQ42">
        <v>76028</v>
      </c>
      <c r="AR42" s="2">
        <v>5100</v>
      </c>
      <c r="AS42" s="2">
        <v>7200</v>
      </c>
      <c r="AT42" s="2">
        <v>5000</v>
      </c>
      <c r="AU42" s="2">
        <v>3800</v>
      </c>
      <c r="AV42" s="2">
        <v>4800</v>
      </c>
      <c r="AW42" s="2">
        <v>2400</v>
      </c>
      <c r="AX42" s="2">
        <v>3100</v>
      </c>
      <c r="AY42" s="2">
        <v>2400</v>
      </c>
      <c r="AZ42" s="2">
        <v>6600</v>
      </c>
      <c r="BA42" s="2">
        <v>4600</v>
      </c>
      <c r="BB42" s="13">
        <v>95000</v>
      </c>
      <c r="BC42" s="13">
        <v>75000</v>
      </c>
    </row>
    <row r="43" spans="1:55" x14ac:dyDescent="0.25">
      <c r="A43" s="2">
        <v>2028</v>
      </c>
      <c r="B43" s="2" t="s">
        <v>71</v>
      </c>
      <c r="C43" s="2">
        <v>94200</v>
      </c>
      <c r="D43" s="2">
        <v>46250</v>
      </c>
      <c r="E43" s="2">
        <v>42325</v>
      </c>
      <c r="F43" s="2">
        <v>79300</v>
      </c>
      <c r="G43" s="2">
        <v>66700</v>
      </c>
      <c r="H43" s="12">
        <v>0.36</v>
      </c>
      <c r="I43" s="12">
        <v>0.48</v>
      </c>
      <c r="J43" s="12">
        <v>0.16000000000000003</v>
      </c>
      <c r="K43" s="2">
        <v>117100</v>
      </c>
      <c r="L43">
        <v>100000</v>
      </c>
      <c r="M43" s="12">
        <v>0.28999999999999998</v>
      </c>
      <c r="N43" s="12">
        <v>0.73</v>
      </c>
      <c r="O43" s="12">
        <v>0.25</v>
      </c>
      <c r="P43" s="12">
        <v>0.25</v>
      </c>
      <c r="Q43" s="12">
        <v>0.19</v>
      </c>
      <c r="R43" s="12">
        <v>0.12</v>
      </c>
      <c r="S43" s="12">
        <v>0.19000000000000006</v>
      </c>
      <c r="T43" s="12">
        <v>0.66</v>
      </c>
      <c r="U43" s="12">
        <v>0.91</v>
      </c>
      <c r="V43" s="12">
        <v>1.27</v>
      </c>
      <c r="W43" s="12">
        <v>1</v>
      </c>
      <c r="X43" s="12">
        <v>0.45</v>
      </c>
      <c r="Y43" s="12">
        <v>0.54</v>
      </c>
      <c r="Z43" s="12">
        <v>0.53</v>
      </c>
      <c r="AA43" s="12">
        <v>0.56000000000000005</v>
      </c>
      <c r="AB43" s="12">
        <v>0.65</v>
      </c>
      <c r="AC43" s="12">
        <v>0.48</v>
      </c>
      <c r="AD43">
        <v>90700</v>
      </c>
      <c r="AE43">
        <v>1787</v>
      </c>
      <c r="AF43">
        <v>84255</v>
      </c>
      <c r="AG43">
        <v>59026</v>
      </c>
      <c r="AH43">
        <v>104238</v>
      </c>
      <c r="AI43">
        <v>88565</v>
      </c>
      <c r="AJ43">
        <v>71429</v>
      </c>
      <c r="AK43">
        <v>33526</v>
      </c>
      <c r="AL43">
        <v>129763</v>
      </c>
      <c r="AM43">
        <v>73392</v>
      </c>
      <c r="AN43">
        <v>93240</v>
      </c>
      <c r="AO43">
        <v>51651</v>
      </c>
      <c r="AP43">
        <v>50343</v>
      </c>
      <c r="AQ43">
        <v>71985</v>
      </c>
      <c r="AR43" s="2">
        <v>5000</v>
      </c>
      <c r="AS43" s="2">
        <v>4600</v>
      </c>
      <c r="AT43" s="2">
        <v>3500</v>
      </c>
      <c r="AU43" s="2">
        <v>3700</v>
      </c>
      <c r="AV43" s="2">
        <v>3700</v>
      </c>
      <c r="AW43" s="2">
        <v>6400</v>
      </c>
      <c r="AX43" s="2">
        <v>4200</v>
      </c>
      <c r="AY43" s="2">
        <v>8000</v>
      </c>
      <c r="AZ43" s="2">
        <v>4500</v>
      </c>
      <c r="BA43" s="2">
        <v>6300</v>
      </c>
      <c r="BB43" s="14">
        <v>108000</v>
      </c>
      <c r="BC43" s="14">
        <v>65000</v>
      </c>
    </row>
    <row r="44" spans="1:55" x14ac:dyDescent="0.25">
      <c r="A44" s="2">
        <v>2028</v>
      </c>
      <c r="B44" s="2" t="s">
        <v>72</v>
      </c>
      <c r="C44" s="2">
        <v>193500</v>
      </c>
      <c r="D44" s="2">
        <v>114750</v>
      </c>
      <c r="E44" s="2">
        <v>126850</v>
      </c>
      <c r="F44" s="2">
        <v>63200</v>
      </c>
      <c r="G44" s="2">
        <v>67850</v>
      </c>
      <c r="H44" s="12">
        <v>0.37</v>
      </c>
      <c r="I44" s="12">
        <v>0.47</v>
      </c>
      <c r="J44" s="12">
        <v>0.16000000000000003</v>
      </c>
      <c r="K44" s="2">
        <v>109400</v>
      </c>
      <c r="L44">
        <v>100000</v>
      </c>
      <c r="M44" s="12">
        <v>0.41</v>
      </c>
      <c r="N44" s="12">
        <v>0.47</v>
      </c>
      <c r="O44" s="12">
        <v>0.32</v>
      </c>
      <c r="P44" s="12">
        <v>0.27</v>
      </c>
      <c r="Q44" s="12">
        <v>0.2</v>
      </c>
      <c r="R44" s="12">
        <v>0.09</v>
      </c>
      <c r="S44" s="12">
        <v>0.12</v>
      </c>
      <c r="T44" s="12">
        <v>1.07</v>
      </c>
      <c r="U44" s="12">
        <v>0.59</v>
      </c>
      <c r="V44" s="12">
        <v>0.77</v>
      </c>
      <c r="W44" s="12">
        <v>1.22</v>
      </c>
      <c r="X44" s="12">
        <v>0.86</v>
      </c>
      <c r="Y44" s="12">
        <v>0.28999999999999998</v>
      </c>
      <c r="Z44" s="12">
        <v>0.44</v>
      </c>
      <c r="AA44" s="12">
        <v>0.69</v>
      </c>
      <c r="AB44" s="12">
        <v>0.26</v>
      </c>
      <c r="AC44" s="12">
        <v>0.28000000000000003</v>
      </c>
      <c r="AD44">
        <v>87705</v>
      </c>
      <c r="AE44">
        <v>138033</v>
      </c>
      <c r="AF44">
        <v>19792</v>
      </c>
      <c r="AG44">
        <v>111843</v>
      </c>
      <c r="AH44">
        <v>3878</v>
      </c>
      <c r="AI44">
        <v>67320</v>
      </c>
      <c r="AJ44">
        <v>71429</v>
      </c>
      <c r="AK44">
        <v>73706</v>
      </c>
      <c r="AL44">
        <v>100884</v>
      </c>
      <c r="AM44">
        <v>44289</v>
      </c>
      <c r="AN44">
        <v>84025</v>
      </c>
      <c r="AO44">
        <v>52705</v>
      </c>
      <c r="AP44">
        <v>124134</v>
      </c>
      <c r="AQ44">
        <v>79957</v>
      </c>
      <c r="AR44" s="2">
        <v>2900</v>
      </c>
      <c r="AS44" s="2">
        <v>7000</v>
      </c>
      <c r="AT44" s="2">
        <v>6400</v>
      </c>
      <c r="AU44" s="2">
        <v>3000</v>
      </c>
      <c r="AV44" s="2">
        <v>4500</v>
      </c>
      <c r="AW44" s="2">
        <v>5200</v>
      </c>
      <c r="AX44" s="2">
        <v>4900</v>
      </c>
      <c r="AY44" s="2">
        <v>4300</v>
      </c>
      <c r="AZ44" s="2">
        <v>5700</v>
      </c>
      <c r="BA44" s="2">
        <v>6600</v>
      </c>
      <c r="BB44" s="13">
        <v>120000</v>
      </c>
      <c r="BC44" s="13">
        <v>50000</v>
      </c>
    </row>
    <row r="45" spans="1:55" x14ac:dyDescent="0.25">
      <c r="A45" s="2">
        <v>2028</v>
      </c>
      <c r="B45" s="2" t="s">
        <v>73</v>
      </c>
      <c r="C45" s="2">
        <v>87175</v>
      </c>
      <c r="D45" s="2">
        <v>49250</v>
      </c>
      <c r="E45" s="2">
        <v>44950</v>
      </c>
      <c r="F45" s="2">
        <v>86100</v>
      </c>
      <c r="G45" s="2">
        <v>58800</v>
      </c>
      <c r="H45" s="12">
        <v>0.37</v>
      </c>
      <c r="I45" s="12">
        <v>0.43</v>
      </c>
      <c r="J45" s="12">
        <v>0.19999999999999996</v>
      </c>
      <c r="K45" s="2">
        <v>95600</v>
      </c>
      <c r="L45">
        <v>100000</v>
      </c>
      <c r="M45" s="12">
        <v>0.7</v>
      </c>
      <c r="N45" s="12">
        <v>0.72</v>
      </c>
      <c r="O45" s="12">
        <v>0.34</v>
      </c>
      <c r="P45" s="12">
        <v>0.25</v>
      </c>
      <c r="Q45" s="12">
        <v>0.15</v>
      </c>
      <c r="R45" s="12">
        <v>0.05</v>
      </c>
      <c r="S45" s="12">
        <v>0.20999999999999985</v>
      </c>
      <c r="T45" s="12">
        <v>0.73</v>
      </c>
      <c r="U45" s="12">
        <v>1.05</v>
      </c>
      <c r="V45" s="12">
        <v>0.64</v>
      </c>
      <c r="W45" s="12">
        <v>1.07</v>
      </c>
      <c r="X45" s="12">
        <v>1.19</v>
      </c>
      <c r="Y45" s="12">
        <v>0.56999999999999995</v>
      </c>
      <c r="Z45" s="12">
        <v>0.47</v>
      </c>
      <c r="AA45" s="12">
        <v>0.33</v>
      </c>
      <c r="AB45" s="12">
        <v>0.64</v>
      </c>
      <c r="AC45" s="12">
        <v>0.51</v>
      </c>
      <c r="AD45">
        <v>52047</v>
      </c>
      <c r="AE45">
        <v>61611</v>
      </c>
      <c r="AF45">
        <v>34718</v>
      </c>
      <c r="AG45">
        <v>91934</v>
      </c>
      <c r="AH45">
        <v>98534</v>
      </c>
      <c r="AI45">
        <v>89727</v>
      </c>
      <c r="AJ45">
        <v>71429</v>
      </c>
      <c r="AK45">
        <v>174450</v>
      </c>
      <c r="AL45">
        <v>26207</v>
      </c>
      <c r="AM45">
        <v>5381</v>
      </c>
      <c r="AN45">
        <v>36777</v>
      </c>
      <c r="AO45">
        <v>144174</v>
      </c>
      <c r="AP45">
        <v>53282</v>
      </c>
      <c r="AQ45">
        <v>73379</v>
      </c>
      <c r="AR45" s="2">
        <v>6600</v>
      </c>
      <c r="AS45" s="2">
        <v>6200</v>
      </c>
      <c r="AT45" s="2">
        <v>4400</v>
      </c>
      <c r="AU45" s="2">
        <v>5200</v>
      </c>
      <c r="AV45" s="2">
        <v>4500</v>
      </c>
      <c r="AW45" s="2">
        <v>3600</v>
      </c>
      <c r="AX45" s="2">
        <v>4100</v>
      </c>
      <c r="AY45" s="2">
        <v>4400</v>
      </c>
      <c r="AZ45" s="2">
        <v>3400</v>
      </c>
      <c r="BA45" s="2">
        <v>6500</v>
      </c>
      <c r="BB45" s="14">
        <v>112000</v>
      </c>
      <c r="BC45" s="14">
        <v>55000</v>
      </c>
    </row>
    <row r="46" spans="1:55" x14ac:dyDescent="0.25">
      <c r="A46" s="2">
        <v>2028</v>
      </c>
      <c r="B46" s="2" t="s">
        <v>74</v>
      </c>
      <c r="C46" s="2">
        <v>139400</v>
      </c>
      <c r="D46" s="2">
        <v>127300</v>
      </c>
      <c r="E46" s="2">
        <v>135750</v>
      </c>
      <c r="F46" s="2">
        <v>70900</v>
      </c>
      <c r="G46" s="2">
        <v>59050</v>
      </c>
      <c r="H46" s="12">
        <v>0.38</v>
      </c>
      <c r="I46" s="12">
        <v>0.44</v>
      </c>
      <c r="J46" s="12">
        <v>0.17999999999999994</v>
      </c>
      <c r="K46" s="2">
        <v>89700</v>
      </c>
      <c r="L46">
        <v>100000</v>
      </c>
      <c r="M46" s="12">
        <v>0.18</v>
      </c>
      <c r="N46" s="12">
        <v>0.43</v>
      </c>
      <c r="O46" s="12">
        <v>0.28000000000000003</v>
      </c>
      <c r="P46" s="12">
        <v>0.25</v>
      </c>
      <c r="Q46" s="12">
        <v>0.19</v>
      </c>
      <c r="R46" s="12">
        <v>0.15</v>
      </c>
      <c r="S46" s="12">
        <v>0.13</v>
      </c>
      <c r="T46" s="12">
        <v>1.08</v>
      </c>
      <c r="U46" s="12">
        <v>0.77</v>
      </c>
      <c r="V46" s="12">
        <v>0.84</v>
      </c>
      <c r="W46" s="12">
        <v>1.05</v>
      </c>
      <c r="X46" s="12">
        <v>1.22</v>
      </c>
      <c r="Y46" s="12">
        <v>0.27</v>
      </c>
      <c r="Z46" s="12">
        <v>0.7</v>
      </c>
      <c r="AA46" s="12">
        <v>0.38</v>
      </c>
      <c r="AB46" s="12">
        <v>0.28999999999999998</v>
      </c>
      <c r="AC46" s="12">
        <v>0.56000000000000005</v>
      </c>
      <c r="AD46">
        <v>87638</v>
      </c>
      <c r="AE46">
        <v>30391</v>
      </c>
      <c r="AF46">
        <v>76481</v>
      </c>
      <c r="AG46">
        <v>122369</v>
      </c>
      <c r="AH46">
        <v>19186</v>
      </c>
      <c r="AI46">
        <v>92506</v>
      </c>
      <c r="AJ46">
        <v>71429</v>
      </c>
      <c r="AK46">
        <v>147372</v>
      </c>
      <c r="AL46">
        <v>90251</v>
      </c>
      <c r="AM46">
        <v>115574</v>
      </c>
      <c r="AN46">
        <v>18154</v>
      </c>
      <c r="AO46">
        <v>63479</v>
      </c>
      <c r="AP46">
        <v>62870</v>
      </c>
      <c r="AQ46">
        <v>82950</v>
      </c>
      <c r="AR46" s="2">
        <v>3600</v>
      </c>
      <c r="AS46" s="2">
        <v>2500</v>
      </c>
      <c r="AT46" s="2">
        <v>3800</v>
      </c>
      <c r="AU46" s="2">
        <v>6100</v>
      </c>
      <c r="AV46" s="2">
        <v>5000</v>
      </c>
      <c r="AW46" s="2">
        <v>7800</v>
      </c>
      <c r="AX46" s="2">
        <v>4700</v>
      </c>
      <c r="AY46" s="2">
        <v>5500</v>
      </c>
      <c r="AZ46" s="2">
        <v>3500</v>
      </c>
      <c r="BA46" s="2">
        <v>6400</v>
      </c>
      <c r="BB46" s="13">
        <v>98000</v>
      </c>
      <c r="BC46" s="13">
        <v>70000</v>
      </c>
    </row>
    <row r="47" spans="1:55" x14ac:dyDescent="0.25">
      <c r="A47" s="2">
        <v>2028</v>
      </c>
      <c r="B47" s="2" t="s">
        <v>75</v>
      </c>
      <c r="C47" s="2">
        <v>45575</v>
      </c>
      <c r="D47" s="2">
        <v>27225</v>
      </c>
      <c r="E47" s="2">
        <v>23375</v>
      </c>
      <c r="F47" s="2">
        <v>48100</v>
      </c>
      <c r="G47" s="2">
        <v>41400</v>
      </c>
      <c r="H47" s="12">
        <v>0.35</v>
      </c>
      <c r="I47" s="12">
        <v>0.51</v>
      </c>
      <c r="J47" s="12">
        <v>0.14000000000000001</v>
      </c>
      <c r="K47" s="2">
        <v>102600</v>
      </c>
      <c r="L47">
        <v>100000</v>
      </c>
      <c r="M47" s="12">
        <v>0.61</v>
      </c>
      <c r="N47" s="12">
        <v>0.74</v>
      </c>
      <c r="O47" s="12">
        <v>0.28999999999999998</v>
      </c>
      <c r="P47" s="12">
        <v>0.27</v>
      </c>
      <c r="Q47" s="12">
        <v>0.13</v>
      </c>
      <c r="R47" s="12">
        <v>0.05</v>
      </c>
      <c r="S47" s="12">
        <v>0.2599999999999999</v>
      </c>
      <c r="T47" s="12">
        <v>0.86</v>
      </c>
      <c r="U47" s="12">
        <v>1.28</v>
      </c>
      <c r="V47" s="12">
        <v>0.52</v>
      </c>
      <c r="W47" s="12">
        <v>0.5</v>
      </c>
      <c r="X47" s="12">
        <v>0.47</v>
      </c>
      <c r="Y47" s="12">
        <v>0.75</v>
      </c>
      <c r="Z47" s="12">
        <v>0.35</v>
      </c>
      <c r="AA47" s="12">
        <v>0.5</v>
      </c>
      <c r="AB47" s="12">
        <v>0.66</v>
      </c>
      <c r="AC47" s="12">
        <v>0.34</v>
      </c>
      <c r="AD47">
        <v>99597</v>
      </c>
      <c r="AE47">
        <v>52932</v>
      </c>
      <c r="AF47">
        <v>19518</v>
      </c>
      <c r="AG47">
        <v>53229</v>
      </c>
      <c r="AH47">
        <v>93583</v>
      </c>
      <c r="AI47">
        <v>109712</v>
      </c>
      <c r="AJ47">
        <v>71429</v>
      </c>
      <c r="AK47">
        <v>33255</v>
      </c>
      <c r="AL47">
        <v>50966</v>
      </c>
      <c r="AM47">
        <v>18226</v>
      </c>
      <c r="AN47">
        <v>122086</v>
      </c>
      <c r="AO47">
        <v>201287</v>
      </c>
      <c r="AP47">
        <v>57096</v>
      </c>
      <c r="AQ47">
        <v>80484</v>
      </c>
      <c r="AR47" s="2">
        <v>4600</v>
      </c>
      <c r="AS47" s="2">
        <v>3900</v>
      </c>
      <c r="AT47" s="2">
        <v>6100</v>
      </c>
      <c r="AU47" s="2">
        <v>2900</v>
      </c>
      <c r="AV47" s="2">
        <v>5600</v>
      </c>
      <c r="AW47" s="2">
        <v>6900</v>
      </c>
      <c r="AX47" s="2">
        <v>3400</v>
      </c>
      <c r="AY47" s="2">
        <v>2800</v>
      </c>
      <c r="AZ47" s="2">
        <v>5100</v>
      </c>
      <c r="BA47" s="2">
        <v>4000</v>
      </c>
      <c r="BB47" s="14">
        <v>85000</v>
      </c>
      <c r="BC47" s="14">
        <v>88000</v>
      </c>
    </row>
    <row r="48" spans="1:55" x14ac:dyDescent="0.25">
      <c r="A48" s="2">
        <v>2028</v>
      </c>
      <c r="B48" s="2" t="s">
        <v>76</v>
      </c>
      <c r="C48" s="2">
        <v>155900</v>
      </c>
      <c r="D48" s="2">
        <v>127300</v>
      </c>
      <c r="E48" s="2">
        <v>130200</v>
      </c>
      <c r="F48" s="2">
        <v>60000</v>
      </c>
      <c r="G48" s="2">
        <v>64800</v>
      </c>
      <c r="H48" s="12">
        <v>0.38</v>
      </c>
      <c r="I48" s="12">
        <v>0.46</v>
      </c>
      <c r="J48" s="12">
        <v>0.15999999999999992</v>
      </c>
      <c r="K48" s="2">
        <v>124500</v>
      </c>
      <c r="L48">
        <v>100000</v>
      </c>
      <c r="M48" s="12">
        <v>0.24</v>
      </c>
      <c r="N48" s="12">
        <v>0.75</v>
      </c>
      <c r="O48" s="12">
        <v>0.28999999999999998</v>
      </c>
      <c r="P48" s="12">
        <v>0.26</v>
      </c>
      <c r="Q48" s="12">
        <v>0.17</v>
      </c>
      <c r="R48" s="12">
        <v>0.15</v>
      </c>
      <c r="S48" s="12">
        <v>0.12999999999999989</v>
      </c>
      <c r="T48" s="12">
        <v>0.43</v>
      </c>
      <c r="U48" s="12">
        <v>0.72</v>
      </c>
      <c r="V48" s="12">
        <v>0.83</v>
      </c>
      <c r="W48" s="12">
        <v>1.33</v>
      </c>
      <c r="X48" s="12">
        <v>0.99</v>
      </c>
      <c r="Y48" s="12">
        <v>0.57999999999999996</v>
      </c>
      <c r="Z48" s="12">
        <v>0.37</v>
      </c>
      <c r="AA48" s="12">
        <v>0.45</v>
      </c>
      <c r="AB48" s="12">
        <v>0.69</v>
      </c>
      <c r="AC48" s="12">
        <v>0.56000000000000005</v>
      </c>
      <c r="AD48">
        <v>56343</v>
      </c>
      <c r="AE48">
        <v>68595</v>
      </c>
      <c r="AF48">
        <v>22057</v>
      </c>
      <c r="AG48">
        <v>90957</v>
      </c>
      <c r="AH48">
        <v>67442</v>
      </c>
      <c r="AI48">
        <v>123177</v>
      </c>
      <c r="AJ48">
        <v>71429</v>
      </c>
      <c r="AK48">
        <v>115399</v>
      </c>
      <c r="AL48">
        <v>41003</v>
      </c>
      <c r="AM48">
        <v>83746</v>
      </c>
      <c r="AN48">
        <v>20641</v>
      </c>
      <c r="AO48">
        <v>101406</v>
      </c>
      <c r="AP48">
        <v>100704</v>
      </c>
      <c r="AQ48">
        <v>77151</v>
      </c>
      <c r="AR48" s="2">
        <v>6400</v>
      </c>
      <c r="AS48" s="2">
        <v>4700</v>
      </c>
      <c r="AT48" s="2">
        <v>7100</v>
      </c>
      <c r="AU48" s="2">
        <v>3900</v>
      </c>
      <c r="AV48" s="2">
        <v>6600</v>
      </c>
      <c r="AW48" s="2">
        <v>4100</v>
      </c>
      <c r="AX48" s="2">
        <v>7000</v>
      </c>
      <c r="AY48" s="2">
        <v>4700</v>
      </c>
      <c r="AZ48" s="2">
        <v>3900</v>
      </c>
      <c r="BA48" s="2">
        <v>3400</v>
      </c>
      <c r="BB48" s="13">
        <v>72000</v>
      </c>
      <c r="BC48" s="13">
        <v>92000</v>
      </c>
    </row>
    <row r="49" spans="1:55" x14ac:dyDescent="0.25">
      <c r="A49" s="2">
        <v>2028</v>
      </c>
      <c r="B49" s="2" t="s">
        <v>77</v>
      </c>
      <c r="C49" s="2">
        <v>194600</v>
      </c>
      <c r="D49" s="2">
        <v>123550</v>
      </c>
      <c r="E49" s="2">
        <v>121750</v>
      </c>
      <c r="F49" s="2">
        <v>77100</v>
      </c>
      <c r="G49" s="2">
        <v>63650</v>
      </c>
      <c r="H49" s="12">
        <v>0.39</v>
      </c>
      <c r="I49" s="12">
        <v>0.49</v>
      </c>
      <c r="J49" s="12">
        <v>0.12</v>
      </c>
      <c r="K49" s="2">
        <v>137200</v>
      </c>
      <c r="L49">
        <v>100000</v>
      </c>
      <c r="M49" s="12">
        <v>0.4</v>
      </c>
      <c r="N49" s="12">
        <v>0.35</v>
      </c>
      <c r="O49" s="12">
        <v>0.32</v>
      </c>
      <c r="P49" s="12">
        <v>0.21</v>
      </c>
      <c r="Q49" s="12">
        <v>0.12</v>
      </c>
      <c r="R49" s="12">
        <v>0.08</v>
      </c>
      <c r="S49" s="12">
        <v>0.27</v>
      </c>
      <c r="T49" s="12">
        <v>0.65</v>
      </c>
      <c r="U49" s="12">
        <v>0.67</v>
      </c>
      <c r="V49" s="12">
        <v>1.24</v>
      </c>
      <c r="W49" s="12">
        <v>1.1299999999999999</v>
      </c>
      <c r="X49" s="12">
        <v>1.01</v>
      </c>
      <c r="Y49" s="12">
        <v>0.28000000000000003</v>
      </c>
      <c r="Z49" s="12">
        <v>0.4</v>
      </c>
      <c r="AA49" s="12">
        <v>0.26</v>
      </c>
      <c r="AB49" s="12">
        <v>0.46</v>
      </c>
      <c r="AC49" s="12">
        <v>0.71</v>
      </c>
      <c r="AD49">
        <v>53069</v>
      </c>
      <c r="AE49">
        <v>95808</v>
      </c>
      <c r="AF49">
        <v>78387</v>
      </c>
      <c r="AG49">
        <v>54157</v>
      </c>
      <c r="AH49">
        <v>107796</v>
      </c>
      <c r="AI49">
        <v>39356</v>
      </c>
      <c r="AJ49">
        <v>71427</v>
      </c>
      <c r="AK49">
        <v>33872</v>
      </c>
      <c r="AL49">
        <v>177880</v>
      </c>
      <c r="AM49">
        <v>3390</v>
      </c>
      <c r="AN49">
        <v>69594</v>
      </c>
      <c r="AO49">
        <v>26673</v>
      </c>
      <c r="AP49">
        <v>72847</v>
      </c>
      <c r="AQ49">
        <v>64044</v>
      </c>
      <c r="AR49" s="2">
        <v>3000</v>
      </c>
      <c r="AS49" s="2">
        <v>7300</v>
      </c>
      <c r="AT49" s="2">
        <v>5500</v>
      </c>
      <c r="AU49" s="2">
        <v>6000</v>
      </c>
      <c r="AV49" s="2">
        <v>5000</v>
      </c>
      <c r="AW49" s="2">
        <v>7000</v>
      </c>
      <c r="AX49" s="2">
        <v>4200</v>
      </c>
      <c r="AY49" s="2">
        <v>4500</v>
      </c>
      <c r="AZ49" s="2">
        <v>2800</v>
      </c>
      <c r="BA49" s="2">
        <v>4700</v>
      </c>
      <c r="BB49" s="14">
        <v>68000</v>
      </c>
      <c r="BC49" s="14">
        <v>78000</v>
      </c>
    </row>
    <row r="50" spans="1:55" x14ac:dyDescent="0.25">
      <c r="A50" s="2">
        <v>2028</v>
      </c>
      <c r="B50" s="2" t="s">
        <v>78</v>
      </c>
      <c r="C50" s="2">
        <v>128400</v>
      </c>
      <c r="D50" s="2">
        <v>89600</v>
      </c>
      <c r="E50" s="2">
        <v>145700</v>
      </c>
      <c r="F50" s="2">
        <v>75100</v>
      </c>
      <c r="G50" s="2">
        <v>66600</v>
      </c>
      <c r="H50" s="12">
        <v>0.37</v>
      </c>
      <c r="I50" s="12">
        <v>0.55000000000000004</v>
      </c>
      <c r="J50" s="12">
        <v>7.999999999999996E-2</v>
      </c>
      <c r="K50" s="2">
        <v>145000</v>
      </c>
      <c r="L50">
        <v>100000</v>
      </c>
      <c r="M50" s="12">
        <v>0.4</v>
      </c>
      <c r="N50" s="12">
        <v>0.46</v>
      </c>
      <c r="O50" s="12">
        <v>0.35</v>
      </c>
      <c r="P50" s="12">
        <v>0.22</v>
      </c>
      <c r="Q50" s="12">
        <v>0.2</v>
      </c>
      <c r="R50" s="12">
        <v>0.1</v>
      </c>
      <c r="S50" s="12">
        <v>0.13</v>
      </c>
      <c r="T50" s="12">
        <v>1.35</v>
      </c>
      <c r="U50" s="12">
        <v>0.84</v>
      </c>
      <c r="V50" s="12">
        <v>1.19</v>
      </c>
      <c r="W50" s="12">
        <v>0.89</v>
      </c>
      <c r="X50" s="12">
        <v>1.0900000000000001</v>
      </c>
      <c r="Y50" s="12">
        <v>0.65</v>
      </c>
      <c r="Z50" s="12">
        <v>0.48</v>
      </c>
      <c r="AA50" s="12">
        <v>0.28999999999999998</v>
      </c>
      <c r="AB50" s="12">
        <v>0.7</v>
      </c>
      <c r="AC50" s="12">
        <v>0.71</v>
      </c>
      <c r="AD50">
        <v>19080</v>
      </c>
      <c r="AE50">
        <v>22523</v>
      </c>
      <c r="AF50">
        <v>71977</v>
      </c>
      <c r="AG50">
        <v>83910</v>
      </c>
      <c r="AH50">
        <v>108311</v>
      </c>
      <c r="AI50">
        <v>122772</v>
      </c>
      <c r="AJ50">
        <v>71427</v>
      </c>
      <c r="AK50">
        <v>75133</v>
      </c>
      <c r="AL50">
        <v>95251</v>
      </c>
      <c r="AM50">
        <v>67588</v>
      </c>
      <c r="AN50">
        <v>80119</v>
      </c>
      <c r="AO50">
        <v>75978</v>
      </c>
      <c r="AP50">
        <v>39131</v>
      </c>
      <c r="AQ50">
        <v>72200</v>
      </c>
      <c r="AR50" s="2">
        <v>6700</v>
      </c>
      <c r="AS50" s="2">
        <v>4600</v>
      </c>
      <c r="AT50" s="2">
        <v>4300</v>
      </c>
      <c r="AU50" s="2">
        <v>4800</v>
      </c>
      <c r="AV50" s="2">
        <v>7200</v>
      </c>
      <c r="AW50" s="2">
        <v>5000</v>
      </c>
      <c r="AX50" s="2">
        <v>6200</v>
      </c>
      <c r="AY50" s="2">
        <v>4700</v>
      </c>
      <c r="AZ50" s="2">
        <v>5800</v>
      </c>
      <c r="BA50" s="2">
        <v>3400</v>
      </c>
      <c r="BB50" s="13">
        <v>80000</v>
      </c>
      <c r="BC50" s="13">
        <v>65000</v>
      </c>
    </row>
    <row r="51" spans="1:55" x14ac:dyDescent="0.25">
      <c r="A51" s="2">
        <v>2028</v>
      </c>
      <c r="B51" s="2" t="s">
        <v>79</v>
      </c>
      <c r="C51" s="2">
        <v>62575</v>
      </c>
      <c r="D51" s="2">
        <v>70425</v>
      </c>
      <c r="E51" s="2">
        <v>52725</v>
      </c>
      <c r="F51" s="2">
        <v>79400</v>
      </c>
      <c r="G51" s="2">
        <v>66650</v>
      </c>
      <c r="H51" s="12">
        <v>0.36</v>
      </c>
      <c r="I51" s="12">
        <v>0.48</v>
      </c>
      <c r="J51" s="12">
        <v>0.16000000000000003</v>
      </c>
      <c r="K51" s="2">
        <v>133700</v>
      </c>
      <c r="L51">
        <v>100000</v>
      </c>
      <c r="M51" s="12">
        <v>0.22</v>
      </c>
      <c r="N51" s="12">
        <v>0.45</v>
      </c>
      <c r="O51" s="12">
        <v>0.33</v>
      </c>
      <c r="P51" s="12">
        <v>0.25</v>
      </c>
      <c r="Q51" s="12">
        <v>0.15</v>
      </c>
      <c r="R51" s="12">
        <v>0.05</v>
      </c>
      <c r="S51" s="12">
        <v>0.21999999999999986</v>
      </c>
      <c r="T51" s="12">
        <v>1.04</v>
      </c>
      <c r="U51" s="12">
        <v>0.95</v>
      </c>
      <c r="V51" s="12">
        <v>0.63</v>
      </c>
      <c r="W51" s="12">
        <v>0.55000000000000004</v>
      </c>
      <c r="X51" s="12">
        <v>1.26</v>
      </c>
      <c r="Y51" s="12">
        <v>0.63</v>
      </c>
      <c r="Z51" s="12">
        <v>0.69</v>
      </c>
      <c r="AA51" s="12">
        <v>0.6</v>
      </c>
      <c r="AB51" s="12">
        <v>0.28000000000000003</v>
      </c>
      <c r="AC51" s="12">
        <v>0.28999999999999998</v>
      </c>
      <c r="AD51">
        <v>62859</v>
      </c>
      <c r="AE51">
        <v>117796</v>
      </c>
      <c r="AF51">
        <v>118263</v>
      </c>
      <c r="AG51">
        <v>667</v>
      </c>
      <c r="AH51">
        <v>74945</v>
      </c>
      <c r="AI51">
        <v>54042</v>
      </c>
      <c r="AJ51">
        <v>71428</v>
      </c>
      <c r="AK51">
        <v>52446</v>
      </c>
      <c r="AL51">
        <v>92341</v>
      </c>
      <c r="AM51">
        <v>76327</v>
      </c>
      <c r="AN51">
        <v>33912</v>
      </c>
      <c r="AO51">
        <v>95373</v>
      </c>
      <c r="AP51">
        <v>93173</v>
      </c>
      <c r="AQ51">
        <v>73928</v>
      </c>
      <c r="AR51" s="2">
        <v>3100</v>
      </c>
      <c r="AS51" s="2">
        <v>3900</v>
      </c>
      <c r="AT51" s="2">
        <v>7100</v>
      </c>
      <c r="AU51" s="2">
        <v>4600</v>
      </c>
      <c r="AV51" s="2">
        <v>4800</v>
      </c>
      <c r="AW51" s="2">
        <v>7400</v>
      </c>
      <c r="AX51" s="2">
        <v>4300</v>
      </c>
      <c r="AY51" s="2">
        <v>4400</v>
      </c>
      <c r="AZ51" s="2">
        <v>5800</v>
      </c>
      <c r="BA51" s="2">
        <v>4300</v>
      </c>
      <c r="BB51" s="14">
        <v>92000</v>
      </c>
      <c r="BC51" s="14">
        <v>80000</v>
      </c>
    </row>
  </sheetData>
  <mergeCells count="14">
    <mergeCell ref="C2:G2"/>
    <mergeCell ref="H2:J2"/>
    <mergeCell ref="K2:L2"/>
    <mergeCell ref="M2:N2"/>
    <mergeCell ref="O2:S2"/>
    <mergeCell ref="T1:AC1"/>
    <mergeCell ref="AD1:AQ1"/>
    <mergeCell ref="AR1:BA1"/>
    <mergeCell ref="T2:X2"/>
    <mergeCell ref="Y2:AC2"/>
    <mergeCell ref="AD2:AJ2"/>
    <mergeCell ref="AK2:AQ2"/>
    <mergeCell ref="AR2:AV2"/>
    <mergeCell ref="AW2:BA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AAADD-E784-4D71-96E5-5EDBB75D491B}">
  <dimension ref="A1:G1345"/>
  <sheetViews>
    <sheetView workbookViewId="0">
      <selection activeCell="O15" sqref="O15"/>
    </sheetView>
  </sheetViews>
  <sheetFormatPr defaultRowHeight="15" x14ac:dyDescent="0.25"/>
  <cols>
    <col min="1" max="1" width="8.85546875" style="2"/>
    <col min="2" max="2" width="11.42578125" style="2" customWidth="1"/>
  </cols>
  <sheetData>
    <row r="1" spans="1:7" x14ac:dyDescent="0.25">
      <c r="A1" s="7" t="s">
        <v>20</v>
      </c>
      <c r="B1" s="7" t="s">
        <v>21</v>
      </c>
      <c r="C1" s="7" t="s">
        <v>153</v>
      </c>
      <c r="D1" s="8" t="s">
        <v>157</v>
      </c>
      <c r="E1" s="8" t="s">
        <v>156</v>
      </c>
      <c r="F1" s="8" t="s">
        <v>155</v>
      </c>
      <c r="G1" s="8" t="s">
        <v>154</v>
      </c>
    </row>
    <row r="2" spans="1:7" x14ac:dyDescent="0.25">
      <c r="A2" s="2">
        <v>2025</v>
      </c>
      <c r="B2" s="2" t="s">
        <v>68</v>
      </c>
      <c r="C2" s="8">
        <v>1</v>
      </c>
      <c r="D2" s="8">
        <v>2</v>
      </c>
      <c r="E2" s="8">
        <v>1</v>
      </c>
      <c r="F2" s="8">
        <v>2</v>
      </c>
      <c r="G2" s="8">
        <v>4</v>
      </c>
    </row>
    <row r="3" spans="1:7" x14ac:dyDescent="0.25">
      <c r="A3" s="2">
        <v>2025</v>
      </c>
      <c r="B3" s="2" t="s">
        <v>68</v>
      </c>
      <c r="C3" s="8">
        <v>2</v>
      </c>
      <c r="D3" s="8">
        <v>1</v>
      </c>
      <c r="E3" s="8">
        <v>2</v>
      </c>
      <c r="F3" s="8">
        <v>1</v>
      </c>
      <c r="G3" s="8">
        <v>1</v>
      </c>
    </row>
    <row r="4" spans="1:7" x14ac:dyDescent="0.25">
      <c r="A4" s="2">
        <v>2025</v>
      </c>
      <c r="B4" s="2" t="s">
        <v>68</v>
      </c>
      <c r="C4" s="8">
        <v>3</v>
      </c>
      <c r="D4" s="8">
        <v>1</v>
      </c>
      <c r="E4" s="8">
        <v>2</v>
      </c>
      <c r="F4" s="8">
        <v>4</v>
      </c>
      <c r="G4" s="8">
        <v>1</v>
      </c>
    </row>
    <row r="5" spans="1:7" x14ac:dyDescent="0.25">
      <c r="A5" s="2">
        <v>2025</v>
      </c>
      <c r="B5" s="2" t="s">
        <v>68</v>
      </c>
      <c r="C5" s="8">
        <v>4</v>
      </c>
      <c r="D5" s="8">
        <v>3</v>
      </c>
      <c r="E5" s="8">
        <v>2</v>
      </c>
      <c r="F5" s="8">
        <v>1</v>
      </c>
      <c r="G5" s="8">
        <v>3</v>
      </c>
    </row>
    <row r="6" spans="1:7" x14ac:dyDescent="0.25">
      <c r="A6" s="2">
        <v>2025</v>
      </c>
      <c r="B6" s="2" t="s">
        <v>68</v>
      </c>
      <c r="C6" s="8">
        <v>5</v>
      </c>
      <c r="D6" s="8">
        <v>1</v>
      </c>
      <c r="E6" s="8">
        <v>2</v>
      </c>
      <c r="F6" s="8">
        <v>2</v>
      </c>
      <c r="G6" s="8">
        <v>3</v>
      </c>
    </row>
    <row r="7" spans="1:7" x14ac:dyDescent="0.25">
      <c r="A7" s="2">
        <v>2025</v>
      </c>
      <c r="B7" s="2" t="s">
        <v>68</v>
      </c>
      <c r="C7" s="8">
        <v>6</v>
      </c>
      <c r="D7" s="8">
        <v>1</v>
      </c>
      <c r="E7" s="8">
        <v>2</v>
      </c>
      <c r="F7" s="8">
        <v>2</v>
      </c>
      <c r="G7" s="8">
        <v>1</v>
      </c>
    </row>
    <row r="8" spans="1:7" x14ac:dyDescent="0.25">
      <c r="A8" s="2">
        <v>2025</v>
      </c>
      <c r="B8" s="2" t="s">
        <v>68</v>
      </c>
      <c r="C8" s="8">
        <v>7</v>
      </c>
      <c r="D8" s="8">
        <v>4</v>
      </c>
      <c r="E8" s="8">
        <v>2</v>
      </c>
      <c r="F8" s="8">
        <v>3</v>
      </c>
      <c r="G8" s="8">
        <v>1</v>
      </c>
    </row>
    <row r="9" spans="1:7" x14ac:dyDescent="0.25">
      <c r="A9" s="2">
        <v>2025</v>
      </c>
      <c r="B9" s="2" t="s">
        <v>68</v>
      </c>
      <c r="C9" s="8">
        <v>8</v>
      </c>
      <c r="D9" s="8">
        <v>1</v>
      </c>
      <c r="E9" s="8">
        <v>2</v>
      </c>
      <c r="F9" s="8">
        <v>3</v>
      </c>
      <c r="G9" s="8">
        <v>3</v>
      </c>
    </row>
    <row r="10" spans="1:7" x14ac:dyDescent="0.25">
      <c r="A10" s="2">
        <v>2025</v>
      </c>
      <c r="B10" s="2" t="s">
        <v>68</v>
      </c>
      <c r="C10" s="8">
        <v>9</v>
      </c>
      <c r="D10" s="8">
        <v>1</v>
      </c>
      <c r="E10" s="8">
        <v>2</v>
      </c>
      <c r="F10" s="8">
        <v>3</v>
      </c>
      <c r="G10" s="8">
        <v>3</v>
      </c>
    </row>
    <row r="11" spans="1:7" x14ac:dyDescent="0.25">
      <c r="A11" s="2">
        <v>2025</v>
      </c>
      <c r="B11" s="2" t="s">
        <v>68</v>
      </c>
      <c r="C11" s="8">
        <v>10</v>
      </c>
      <c r="D11" s="8">
        <v>1</v>
      </c>
      <c r="E11" s="8">
        <v>2</v>
      </c>
      <c r="F11" s="8">
        <v>3</v>
      </c>
      <c r="G11" s="8">
        <v>4</v>
      </c>
    </row>
    <row r="12" spans="1:7" x14ac:dyDescent="0.25">
      <c r="A12" s="2">
        <v>2025</v>
      </c>
      <c r="B12" s="2" t="s">
        <v>68</v>
      </c>
      <c r="C12" s="8">
        <v>11</v>
      </c>
      <c r="D12" s="8">
        <v>3</v>
      </c>
      <c r="E12" s="8">
        <v>2</v>
      </c>
      <c r="F12" s="8">
        <v>3</v>
      </c>
      <c r="G12" s="8">
        <v>4</v>
      </c>
    </row>
    <row r="13" spans="1:7" x14ac:dyDescent="0.25">
      <c r="A13" s="2">
        <v>2025</v>
      </c>
      <c r="B13" s="2" t="s">
        <v>68</v>
      </c>
      <c r="C13" s="8">
        <v>12</v>
      </c>
      <c r="D13" s="8">
        <v>1</v>
      </c>
      <c r="E13" s="8">
        <v>4</v>
      </c>
      <c r="F13" s="8">
        <v>3</v>
      </c>
      <c r="G13" s="8">
        <v>3</v>
      </c>
    </row>
    <row r="14" spans="1:7" x14ac:dyDescent="0.25">
      <c r="A14" s="2">
        <v>2025</v>
      </c>
      <c r="B14" s="2" t="s">
        <v>68</v>
      </c>
      <c r="C14" s="8">
        <v>13</v>
      </c>
      <c r="D14" s="8">
        <v>1</v>
      </c>
      <c r="E14" s="8">
        <v>2</v>
      </c>
      <c r="F14" s="8">
        <v>4</v>
      </c>
      <c r="G14" s="8">
        <v>2</v>
      </c>
    </row>
    <row r="15" spans="1:7" x14ac:dyDescent="0.25">
      <c r="A15" s="2">
        <v>2025</v>
      </c>
      <c r="B15" s="2" t="s">
        <v>68</v>
      </c>
      <c r="C15" s="8">
        <v>14</v>
      </c>
      <c r="D15" s="8">
        <v>1</v>
      </c>
      <c r="E15" s="8">
        <v>2</v>
      </c>
      <c r="F15" s="8">
        <v>3</v>
      </c>
      <c r="G15" s="8">
        <v>1</v>
      </c>
    </row>
    <row r="16" spans="1:7" x14ac:dyDescent="0.25">
      <c r="A16" s="2">
        <v>2025</v>
      </c>
      <c r="B16" s="2" t="s">
        <v>68</v>
      </c>
      <c r="C16" s="8">
        <v>15</v>
      </c>
      <c r="D16" s="8">
        <v>1</v>
      </c>
      <c r="E16" s="8">
        <v>2</v>
      </c>
      <c r="F16" s="8">
        <v>4</v>
      </c>
      <c r="G16" s="8">
        <v>1</v>
      </c>
    </row>
    <row r="17" spans="1:7" x14ac:dyDescent="0.25">
      <c r="A17" s="2">
        <v>2025</v>
      </c>
      <c r="B17" s="2" t="s">
        <v>68</v>
      </c>
      <c r="C17" s="8">
        <v>16</v>
      </c>
      <c r="D17" s="8">
        <v>1</v>
      </c>
      <c r="E17" s="8">
        <v>2</v>
      </c>
      <c r="F17" s="8">
        <v>3</v>
      </c>
      <c r="G17" s="8">
        <v>3</v>
      </c>
    </row>
    <row r="18" spans="1:7" x14ac:dyDescent="0.25">
      <c r="A18" s="2">
        <v>2025</v>
      </c>
      <c r="B18" s="2" t="s">
        <v>68</v>
      </c>
      <c r="C18" s="8">
        <v>17</v>
      </c>
      <c r="D18" s="8">
        <v>1</v>
      </c>
      <c r="E18" s="8">
        <v>2</v>
      </c>
      <c r="F18" s="8">
        <v>3</v>
      </c>
      <c r="G18" s="8">
        <v>3</v>
      </c>
    </row>
    <row r="19" spans="1:7" x14ac:dyDescent="0.25">
      <c r="A19" s="2">
        <v>2025</v>
      </c>
      <c r="B19" s="2" t="s">
        <v>68</v>
      </c>
      <c r="C19" s="8">
        <v>18</v>
      </c>
      <c r="D19" s="8">
        <v>1</v>
      </c>
      <c r="E19" s="8">
        <v>1</v>
      </c>
      <c r="F19" s="8">
        <v>3</v>
      </c>
      <c r="G19" s="8">
        <v>2</v>
      </c>
    </row>
    <row r="20" spans="1:7" x14ac:dyDescent="0.25">
      <c r="A20" s="2">
        <v>2025</v>
      </c>
      <c r="B20" s="2" t="s">
        <v>68</v>
      </c>
      <c r="C20" s="8">
        <v>19</v>
      </c>
      <c r="D20" s="8">
        <v>1</v>
      </c>
      <c r="E20" s="8">
        <v>1</v>
      </c>
      <c r="F20" s="8">
        <v>3</v>
      </c>
      <c r="G20" s="8">
        <v>3</v>
      </c>
    </row>
    <row r="21" spans="1:7" x14ac:dyDescent="0.25">
      <c r="A21" s="2">
        <v>2025</v>
      </c>
      <c r="B21" s="2" t="s">
        <v>68</v>
      </c>
      <c r="C21" s="8">
        <v>20</v>
      </c>
      <c r="D21" s="8">
        <v>2</v>
      </c>
      <c r="E21" s="8">
        <v>1</v>
      </c>
      <c r="F21" s="8">
        <v>2</v>
      </c>
      <c r="G21" s="8">
        <v>3</v>
      </c>
    </row>
    <row r="22" spans="1:7" x14ac:dyDescent="0.25">
      <c r="A22" s="2">
        <v>2025</v>
      </c>
      <c r="B22" s="2" t="s">
        <v>68</v>
      </c>
      <c r="C22" s="8">
        <v>21</v>
      </c>
      <c r="D22" s="8">
        <v>2</v>
      </c>
      <c r="E22" s="8">
        <v>2</v>
      </c>
      <c r="F22" s="8">
        <v>2</v>
      </c>
      <c r="G22" s="8">
        <v>4</v>
      </c>
    </row>
    <row r="23" spans="1:7" x14ac:dyDescent="0.25">
      <c r="A23" s="2">
        <v>2025</v>
      </c>
      <c r="B23" s="2" t="s">
        <v>68</v>
      </c>
      <c r="C23" s="8">
        <v>22</v>
      </c>
      <c r="D23" s="8">
        <v>2</v>
      </c>
      <c r="E23" s="8">
        <v>2</v>
      </c>
      <c r="F23" s="8">
        <v>1</v>
      </c>
      <c r="G23" s="8">
        <v>3</v>
      </c>
    </row>
    <row r="24" spans="1:7" x14ac:dyDescent="0.25">
      <c r="A24" s="2">
        <v>2025</v>
      </c>
      <c r="B24" s="2" t="s">
        <v>68</v>
      </c>
      <c r="C24" s="8">
        <v>23</v>
      </c>
      <c r="D24" s="8">
        <v>2</v>
      </c>
      <c r="E24" s="8">
        <v>2</v>
      </c>
      <c r="F24" s="8">
        <v>2</v>
      </c>
      <c r="G24" s="8">
        <v>4</v>
      </c>
    </row>
    <row r="25" spans="1:7" x14ac:dyDescent="0.25">
      <c r="A25" s="2">
        <v>2025</v>
      </c>
      <c r="B25" s="2" t="s">
        <v>68</v>
      </c>
      <c r="C25" s="8">
        <v>24</v>
      </c>
      <c r="D25" s="8">
        <v>1</v>
      </c>
      <c r="E25" s="8">
        <v>1</v>
      </c>
      <c r="F25" s="8">
        <v>1</v>
      </c>
      <c r="G25" s="8">
        <v>3</v>
      </c>
    </row>
    <row r="26" spans="1:7" x14ac:dyDescent="0.25">
      <c r="A26" s="2">
        <v>2025</v>
      </c>
      <c r="B26" s="2" t="s">
        <v>68</v>
      </c>
      <c r="C26" s="8">
        <v>25</v>
      </c>
      <c r="D26" s="8">
        <v>1</v>
      </c>
      <c r="E26" s="8">
        <v>1</v>
      </c>
      <c r="F26" s="8">
        <v>1</v>
      </c>
      <c r="G26" s="8">
        <v>2</v>
      </c>
    </row>
    <row r="27" spans="1:7" x14ac:dyDescent="0.25">
      <c r="A27" s="2">
        <v>2025</v>
      </c>
      <c r="B27" s="2" t="s">
        <v>68</v>
      </c>
      <c r="C27" s="8">
        <v>26</v>
      </c>
      <c r="D27" s="8">
        <v>1</v>
      </c>
      <c r="E27" s="8">
        <v>1</v>
      </c>
      <c r="F27" s="8">
        <v>1</v>
      </c>
      <c r="G27" s="8">
        <v>1</v>
      </c>
    </row>
    <row r="28" spans="1:7" x14ac:dyDescent="0.25">
      <c r="A28" s="2">
        <v>2025</v>
      </c>
      <c r="B28" s="2" t="s">
        <v>68</v>
      </c>
      <c r="C28" s="8">
        <v>27</v>
      </c>
      <c r="D28" s="8">
        <v>1</v>
      </c>
      <c r="E28" s="8">
        <v>1</v>
      </c>
      <c r="F28" s="8">
        <v>1</v>
      </c>
      <c r="G28" s="8">
        <v>1</v>
      </c>
    </row>
    <row r="29" spans="1:7" x14ac:dyDescent="0.25">
      <c r="A29" s="2">
        <v>2025</v>
      </c>
      <c r="B29" s="2" t="s">
        <v>68</v>
      </c>
      <c r="C29" s="8">
        <v>28</v>
      </c>
      <c r="D29" s="8">
        <v>1</v>
      </c>
      <c r="E29" s="8">
        <v>3</v>
      </c>
      <c r="F29" s="8">
        <v>3</v>
      </c>
      <c r="G29" s="8">
        <v>2</v>
      </c>
    </row>
    <row r="30" spans="1:7" x14ac:dyDescent="0.25">
      <c r="A30" s="2">
        <v>2025</v>
      </c>
      <c r="B30" s="2" t="s">
        <v>69</v>
      </c>
      <c r="C30" s="8">
        <v>1</v>
      </c>
      <c r="D30" s="2">
        <v>1</v>
      </c>
      <c r="E30" s="2">
        <v>3</v>
      </c>
      <c r="F30" s="2">
        <v>3</v>
      </c>
      <c r="G30" s="2">
        <v>1</v>
      </c>
    </row>
    <row r="31" spans="1:7" x14ac:dyDescent="0.25">
      <c r="A31" s="2">
        <v>2025</v>
      </c>
      <c r="B31" s="2" t="s">
        <v>69</v>
      </c>
      <c r="C31" s="8">
        <v>2</v>
      </c>
      <c r="D31" s="2">
        <v>2</v>
      </c>
      <c r="E31" s="2">
        <v>3</v>
      </c>
      <c r="F31" s="2">
        <v>1</v>
      </c>
      <c r="G31" s="2">
        <v>1</v>
      </c>
    </row>
    <row r="32" spans="1:7" x14ac:dyDescent="0.25">
      <c r="A32" s="2">
        <v>2025</v>
      </c>
      <c r="B32" s="2" t="s">
        <v>69</v>
      </c>
      <c r="C32" s="8">
        <v>3</v>
      </c>
      <c r="D32" s="2">
        <v>1</v>
      </c>
      <c r="E32" s="2">
        <v>2</v>
      </c>
      <c r="F32" s="2">
        <v>2</v>
      </c>
      <c r="G32" s="2">
        <v>3</v>
      </c>
    </row>
    <row r="33" spans="1:7" x14ac:dyDescent="0.25">
      <c r="A33" s="2">
        <v>2025</v>
      </c>
      <c r="B33" s="2" t="s">
        <v>69</v>
      </c>
      <c r="C33" s="8">
        <v>4</v>
      </c>
      <c r="D33" s="2">
        <v>3</v>
      </c>
      <c r="E33" s="2">
        <v>1</v>
      </c>
      <c r="F33" s="2">
        <v>2</v>
      </c>
      <c r="G33" s="2">
        <v>3</v>
      </c>
    </row>
    <row r="34" spans="1:7" x14ac:dyDescent="0.25">
      <c r="A34" s="2">
        <v>2025</v>
      </c>
      <c r="B34" s="2" t="s">
        <v>69</v>
      </c>
      <c r="C34" s="8">
        <v>5</v>
      </c>
      <c r="D34" s="2">
        <v>1</v>
      </c>
      <c r="E34" s="2">
        <v>1</v>
      </c>
      <c r="F34" s="2">
        <v>4</v>
      </c>
      <c r="G34" s="2">
        <v>2</v>
      </c>
    </row>
    <row r="35" spans="1:7" x14ac:dyDescent="0.25">
      <c r="A35" s="2">
        <v>2025</v>
      </c>
      <c r="B35" s="2" t="s">
        <v>69</v>
      </c>
      <c r="C35" s="8">
        <v>6</v>
      </c>
      <c r="D35" s="2">
        <v>1</v>
      </c>
      <c r="E35" s="2">
        <v>3</v>
      </c>
      <c r="F35" s="2">
        <v>1</v>
      </c>
      <c r="G35" s="2">
        <v>2</v>
      </c>
    </row>
    <row r="36" spans="1:7" x14ac:dyDescent="0.25">
      <c r="A36" s="2">
        <v>2025</v>
      </c>
      <c r="B36" s="2" t="s">
        <v>69</v>
      </c>
      <c r="C36" s="8">
        <v>7</v>
      </c>
      <c r="D36" s="2">
        <v>1</v>
      </c>
      <c r="E36" s="2">
        <v>1</v>
      </c>
      <c r="F36" s="2">
        <v>1</v>
      </c>
      <c r="G36" s="2">
        <v>1</v>
      </c>
    </row>
    <row r="37" spans="1:7" x14ac:dyDescent="0.25">
      <c r="A37" s="2">
        <v>2025</v>
      </c>
      <c r="B37" s="2" t="s">
        <v>69</v>
      </c>
      <c r="C37" s="8">
        <v>8</v>
      </c>
      <c r="D37" s="2">
        <v>1</v>
      </c>
      <c r="E37" s="2">
        <v>4</v>
      </c>
      <c r="F37" s="2">
        <v>4</v>
      </c>
      <c r="G37" s="2">
        <v>1</v>
      </c>
    </row>
    <row r="38" spans="1:7" x14ac:dyDescent="0.25">
      <c r="A38" s="2">
        <v>2025</v>
      </c>
      <c r="B38" s="2" t="s">
        <v>69</v>
      </c>
      <c r="C38" s="8">
        <v>9</v>
      </c>
      <c r="D38" s="2">
        <v>3</v>
      </c>
      <c r="E38" s="2">
        <v>1</v>
      </c>
      <c r="F38" s="2">
        <v>3</v>
      </c>
      <c r="G38" s="2">
        <v>2</v>
      </c>
    </row>
    <row r="39" spans="1:7" x14ac:dyDescent="0.25">
      <c r="A39" s="2">
        <v>2025</v>
      </c>
      <c r="B39" s="2" t="s">
        <v>69</v>
      </c>
      <c r="C39" s="8">
        <v>10</v>
      </c>
      <c r="D39" s="2">
        <v>3</v>
      </c>
      <c r="E39" s="2">
        <v>1</v>
      </c>
      <c r="F39" s="2">
        <v>1</v>
      </c>
      <c r="G39" s="2">
        <v>3</v>
      </c>
    </row>
    <row r="40" spans="1:7" x14ac:dyDescent="0.25">
      <c r="A40" s="2">
        <v>2025</v>
      </c>
      <c r="B40" s="2" t="s">
        <v>69</v>
      </c>
      <c r="C40" s="8">
        <v>11</v>
      </c>
      <c r="D40" s="2">
        <v>3</v>
      </c>
      <c r="E40" s="2">
        <v>2</v>
      </c>
      <c r="F40" s="2">
        <v>3</v>
      </c>
      <c r="G40" s="2">
        <v>1</v>
      </c>
    </row>
    <row r="41" spans="1:7" x14ac:dyDescent="0.25">
      <c r="A41" s="2">
        <v>2025</v>
      </c>
      <c r="B41" s="2" t="s">
        <v>69</v>
      </c>
      <c r="C41" s="8">
        <v>12</v>
      </c>
      <c r="D41" s="2">
        <v>1</v>
      </c>
      <c r="E41" s="2">
        <v>1</v>
      </c>
      <c r="F41" s="2">
        <v>3</v>
      </c>
      <c r="G41" s="2">
        <v>2</v>
      </c>
    </row>
    <row r="42" spans="1:7" x14ac:dyDescent="0.25">
      <c r="A42" s="2">
        <v>2025</v>
      </c>
      <c r="B42" s="2" t="s">
        <v>69</v>
      </c>
      <c r="C42" s="8">
        <v>13</v>
      </c>
      <c r="D42" s="2">
        <v>1</v>
      </c>
      <c r="E42" s="2">
        <v>1</v>
      </c>
      <c r="F42" s="2">
        <v>1</v>
      </c>
      <c r="G42" s="2">
        <v>1</v>
      </c>
    </row>
    <row r="43" spans="1:7" x14ac:dyDescent="0.25">
      <c r="A43" s="2">
        <v>2025</v>
      </c>
      <c r="B43" s="2" t="s">
        <v>69</v>
      </c>
      <c r="C43" s="8">
        <v>14</v>
      </c>
      <c r="D43" s="2">
        <v>3</v>
      </c>
      <c r="E43" s="2">
        <v>2</v>
      </c>
      <c r="F43" s="2">
        <v>2</v>
      </c>
      <c r="G43" s="2">
        <v>1</v>
      </c>
    </row>
    <row r="44" spans="1:7" x14ac:dyDescent="0.25">
      <c r="A44" s="2">
        <v>2025</v>
      </c>
      <c r="B44" s="2" t="s">
        <v>69</v>
      </c>
      <c r="C44" s="8">
        <v>15</v>
      </c>
      <c r="D44" s="2">
        <v>1</v>
      </c>
      <c r="E44" s="2">
        <v>3</v>
      </c>
      <c r="F44" s="2">
        <v>2</v>
      </c>
      <c r="G44" s="2">
        <v>1</v>
      </c>
    </row>
    <row r="45" spans="1:7" x14ac:dyDescent="0.25">
      <c r="A45" s="2">
        <v>2025</v>
      </c>
      <c r="B45" s="2" t="s">
        <v>69</v>
      </c>
      <c r="C45" s="8">
        <v>16</v>
      </c>
      <c r="D45" s="2">
        <v>2</v>
      </c>
      <c r="E45" s="2">
        <v>4</v>
      </c>
      <c r="F45" s="2">
        <v>1</v>
      </c>
      <c r="G45" s="2">
        <v>3</v>
      </c>
    </row>
    <row r="46" spans="1:7" x14ac:dyDescent="0.25">
      <c r="A46" s="2">
        <v>2025</v>
      </c>
      <c r="B46" s="2" t="s">
        <v>69</v>
      </c>
      <c r="C46" s="8">
        <v>17</v>
      </c>
      <c r="D46" s="2">
        <v>3</v>
      </c>
      <c r="E46" s="2">
        <v>1</v>
      </c>
      <c r="F46" s="2">
        <v>1</v>
      </c>
      <c r="G46" s="2">
        <v>4</v>
      </c>
    </row>
    <row r="47" spans="1:7" x14ac:dyDescent="0.25">
      <c r="A47" s="2">
        <v>2025</v>
      </c>
      <c r="B47" s="2" t="s">
        <v>69</v>
      </c>
      <c r="C47" s="8">
        <v>18</v>
      </c>
      <c r="D47" s="2">
        <v>2</v>
      </c>
      <c r="E47" s="2">
        <v>2</v>
      </c>
      <c r="F47" s="2">
        <v>1</v>
      </c>
      <c r="G47" s="2">
        <v>3</v>
      </c>
    </row>
    <row r="48" spans="1:7" x14ac:dyDescent="0.25">
      <c r="A48" s="2">
        <v>2025</v>
      </c>
      <c r="B48" s="2" t="s">
        <v>69</v>
      </c>
      <c r="C48" s="8">
        <v>19</v>
      </c>
      <c r="D48" s="2">
        <v>3</v>
      </c>
      <c r="E48" s="2">
        <v>3</v>
      </c>
      <c r="F48" s="2">
        <v>3</v>
      </c>
      <c r="G48" s="2">
        <v>4</v>
      </c>
    </row>
    <row r="49" spans="1:7" x14ac:dyDescent="0.25">
      <c r="A49" s="2">
        <v>2025</v>
      </c>
      <c r="B49" s="2" t="s">
        <v>69</v>
      </c>
      <c r="C49" s="8">
        <v>20</v>
      </c>
      <c r="D49" s="2">
        <v>2</v>
      </c>
      <c r="E49" s="2">
        <v>1</v>
      </c>
      <c r="F49" s="2">
        <v>3</v>
      </c>
      <c r="G49" s="2">
        <v>1</v>
      </c>
    </row>
    <row r="50" spans="1:7" x14ac:dyDescent="0.25">
      <c r="A50" s="2">
        <v>2025</v>
      </c>
      <c r="B50" s="2" t="s">
        <v>69</v>
      </c>
      <c r="C50" s="8">
        <v>21</v>
      </c>
      <c r="D50" s="2">
        <v>1</v>
      </c>
      <c r="E50" s="2">
        <v>1</v>
      </c>
      <c r="F50" s="2">
        <v>1</v>
      </c>
      <c r="G50" s="2">
        <v>2</v>
      </c>
    </row>
    <row r="51" spans="1:7" x14ac:dyDescent="0.25">
      <c r="A51" s="2">
        <v>2025</v>
      </c>
      <c r="B51" s="2" t="s">
        <v>69</v>
      </c>
      <c r="C51" s="8">
        <v>22</v>
      </c>
      <c r="D51" s="2">
        <v>2</v>
      </c>
      <c r="E51" s="2">
        <v>1</v>
      </c>
      <c r="F51" s="2">
        <v>4</v>
      </c>
      <c r="G51" s="2">
        <v>3</v>
      </c>
    </row>
    <row r="52" spans="1:7" x14ac:dyDescent="0.25">
      <c r="A52" s="2">
        <v>2025</v>
      </c>
      <c r="B52" s="2" t="s">
        <v>69</v>
      </c>
      <c r="C52" s="8">
        <v>23</v>
      </c>
      <c r="D52" s="2">
        <v>1</v>
      </c>
      <c r="E52" s="2">
        <v>1</v>
      </c>
      <c r="F52" s="2">
        <v>1</v>
      </c>
      <c r="G52" s="2">
        <v>1</v>
      </c>
    </row>
    <row r="53" spans="1:7" x14ac:dyDescent="0.25">
      <c r="A53" s="2">
        <v>2025</v>
      </c>
      <c r="B53" s="2" t="s">
        <v>69</v>
      </c>
      <c r="C53" s="8">
        <v>24</v>
      </c>
      <c r="D53" s="2">
        <v>2</v>
      </c>
      <c r="E53" s="2">
        <v>1</v>
      </c>
      <c r="F53" s="2">
        <v>2</v>
      </c>
      <c r="G53" s="2">
        <v>3</v>
      </c>
    </row>
    <row r="54" spans="1:7" x14ac:dyDescent="0.25">
      <c r="A54" s="2">
        <v>2025</v>
      </c>
      <c r="B54" s="2" t="s">
        <v>69</v>
      </c>
      <c r="C54" s="8">
        <v>25</v>
      </c>
      <c r="D54" s="2">
        <v>3</v>
      </c>
      <c r="E54" s="2">
        <v>1</v>
      </c>
      <c r="F54" s="2">
        <v>2</v>
      </c>
      <c r="G54" s="2">
        <v>1</v>
      </c>
    </row>
    <row r="55" spans="1:7" x14ac:dyDescent="0.25">
      <c r="A55" s="2">
        <v>2025</v>
      </c>
      <c r="B55" s="2" t="s">
        <v>69</v>
      </c>
      <c r="C55" s="8">
        <v>26</v>
      </c>
      <c r="D55" s="2">
        <v>4</v>
      </c>
      <c r="E55" s="2">
        <v>2</v>
      </c>
      <c r="F55" s="2">
        <v>1</v>
      </c>
      <c r="G55" s="2">
        <v>2</v>
      </c>
    </row>
    <row r="56" spans="1:7" x14ac:dyDescent="0.25">
      <c r="A56" s="2">
        <v>2025</v>
      </c>
      <c r="B56" s="2" t="s">
        <v>69</v>
      </c>
      <c r="C56" s="8">
        <v>27</v>
      </c>
      <c r="D56" s="2">
        <v>1</v>
      </c>
      <c r="E56" s="2">
        <v>1</v>
      </c>
      <c r="F56" s="2">
        <v>2</v>
      </c>
      <c r="G56" s="2">
        <v>1</v>
      </c>
    </row>
    <row r="57" spans="1:7" x14ac:dyDescent="0.25">
      <c r="A57" s="2">
        <v>2025</v>
      </c>
      <c r="B57" s="2" t="s">
        <v>69</v>
      </c>
      <c r="C57" s="8">
        <v>28</v>
      </c>
      <c r="D57" s="2">
        <v>3</v>
      </c>
      <c r="E57" s="2">
        <v>2</v>
      </c>
      <c r="F57" s="2">
        <v>1</v>
      </c>
      <c r="G57" s="2">
        <v>1</v>
      </c>
    </row>
    <row r="58" spans="1:7" x14ac:dyDescent="0.25">
      <c r="A58" s="2">
        <v>2025</v>
      </c>
      <c r="B58" s="2" t="s">
        <v>70</v>
      </c>
      <c r="C58" s="8">
        <v>1</v>
      </c>
      <c r="D58" s="2">
        <v>3</v>
      </c>
      <c r="E58" s="2">
        <v>2</v>
      </c>
      <c r="F58" s="2">
        <v>2</v>
      </c>
      <c r="G58" s="2">
        <v>1</v>
      </c>
    </row>
    <row r="59" spans="1:7" x14ac:dyDescent="0.25">
      <c r="A59" s="2">
        <v>2025</v>
      </c>
      <c r="B59" s="2" t="s">
        <v>70</v>
      </c>
      <c r="C59" s="8">
        <v>2</v>
      </c>
      <c r="D59" s="2">
        <v>3</v>
      </c>
      <c r="E59" s="2">
        <v>3</v>
      </c>
      <c r="F59" s="2">
        <v>2</v>
      </c>
      <c r="G59" s="2">
        <v>1</v>
      </c>
    </row>
    <row r="60" spans="1:7" x14ac:dyDescent="0.25">
      <c r="A60" s="2">
        <v>2025</v>
      </c>
      <c r="B60" s="2" t="s">
        <v>70</v>
      </c>
      <c r="C60" s="8">
        <v>3</v>
      </c>
      <c r="D60" s="2">
        <v>3</v>
      </c>
      <c r="E60" s="2">
        <v>1</v>
      </c>
      <c r="F60" s="2">
        <v>3</v>
      </c>
      <c r="G60" s="2">
        <v>1</v>
      </c>
    </row>
    <row r="61" spans="1:7" x14ac:dyDescent="0.25">
      <c r="A61" s="2">
        <v>2025</v>
      </c>
      <c r="B61" s="2" t="s">
        <v>70</v>
      </c>
      <c r="C61" s="8">
        <v>4</v>
      </c>
      <c r="D61" s="2">
        <v>1</v>
      </c>
      <c r="E61" s="2">
        <v>3</v>
      </c>
      <c r="F61" s="2">
        <v>1</v>
      </c>
      <c r="G61" s="2">
        <v>1</v>
      </c>
    </row>
    <row r="62" spans="1:7" x14ac:dyDescent="0.25">
      <c r="A62" s="2">
        <v>2025</v>
      </c>
      <c r="B62" s="2" t="s">
        <v>70</v>
      </c>
      <c r="C62" s="8">
        <v>5</v>
      </c>
      <c r="D62" s="2">
        <v>1</v>
      </c>
      <c r="E62" s="2">
        <v>3</v>
      </c>
      <c r="F62" s="2">
        <v>2</v>
      </c>
      <c r="G62" s="2">
        <v>1</v>
      </c>
    </row>
    <row r="63" spans="1:7" x14ac:dyDescent="0.25">
      <c r="A63" s="2">
        <v>2025</v>
      </c>
      <c r="B63" s="2" t="s">
        <v>70</v>
      </c>
      <c r="C63" s="8">
        <v>6</v>
      </c>
      <c r="D63" s="2">
        <v>1</v>
      </c>
      <c r="E63" s="2">
        <v>4</v>
      </c>
      <c r="F63" s="2">
        <v>1</v>
      </c>
      <c r="G63" s="2">
        <v>2</v>
      </c>
    </row>
    <row r="64" spans="1:7" x14ac:dyDescent="0.25">
      <c r="A64" s="2">
        <v>2025</v>
      </c>
      <c r="B64" s="2" t="s">
        <v>70</v>
      </c>
      <c r="C64" s="8">
        <v>7</v>
      </c>
      <c r="D64" s="2">
        <v>1</v>
      </c>
      <c r="E64" s="2">
        <v>2</v>
      </c>
      <c r="F64" s="2">
        <v>2</v>
      </c>
      <c r="G64" s="2">
        <v>1</v>
      </c>
    </row>
    <row r="65" spans="1:7" x14ac:dyDescent="0.25">
      <c r="A65" s="2">
        <v>2025</v>
      </c>
      <c r="B65" s="2" t="s">
        <v>70</v>
      </c>
      <c r="C65" s="8">
        <v>8</v>
      </c>
      <c r="D65" s="2">
        <v>1</v>
      </c>
      <c r="E65" s="2">
        <v>1</v>
      </c>
      <c r="F65" s="2">
        <v>1</v>
      </c>
      <c r="G65" s="2">
        <v>3</v>
      </c>
    </row>
    <row r="66" spans="1:7" x14ac:dyDescent="0.25">
      <c r="A66" s="2">
        <v>2025</v>
      </c>
      <c r="B66" s="2" t="s">
        <v>70</v>
      </c>
      <c r="C66" s="8">
        <v>9</v>
      </c>
      <c r="D66" s="2">
        <v>4</v>
      </c>
      <c r="E66" s="2">
        <v>2</v>
      </c>
      <c r="F66" s="2">
        <v>3</v>
      </c>
      <c r="G66" s="2">
        <v>4</v>
      </c>
    </row>
    <row r="67" spans="1:7" x14ac:dyDescent="0.25">
      <c r="A67" s="2">
        <v>2025</v>
      </c>
      <c r="B67" s="2" t="s">
        <v>70</v>
      </c>
      <c r="C67" s="8">
        <v>10</v>
      </c>
      <c r="D67" s="2">
        <v>2</v>
      </c>
      <c r="E67" s="2">
        <v>2</v>
      </c>
      <c r="F67" s="2">
        <v>1</v>
      </c>
      <c r="G67" s="2">
        <v>1</v>
      </c>
    </row>
    <row r="68" spans="1:7" x14ac:dyDescent="0.25">
      <c r="A68" s="2">
        <v>2025</v>
      </c>
      <c r="B68" s="2" t="s">
        <v>70</v>
      </c>
      <c r="C68" s="8">
        <v>11</v>
      </c>
      <c r="D68" s="2">
        <v>2</v>
      </c>
      <c r="E68" s="2">
        <v>2</v>
      </c>
      <c r="F68" s="2">
        <v>2</v>
      </c>
      <c r="G68" s="2">
        <v>2</v>
      </c>
    </row>
    <row r="69" spans="1:7" x14ac:dyDescent="0.25">
      <c r="A69" s="2">
        <v>2025</v>
      </c>
      <c r="B69" s="2" t="s">
        <v>70</v>
      </c>
      <c r="C69" s="8">
        <v>12</v>
      </c>
      <c r="D69" s="2">
        <v>4</v>
      </c>
      <c r="E69" s="2">
        <v>2</v>
      </c>
      <c r="F69" s="2">
        <v>1</v>
      </c>
      <c r="G69" s="2">
        <v>3</v>
      </c>
    </row>
    <row r="70" spans="1:7" x14ac:dyDescent="0.25">
      <c r="A70" s="2">
        <v>2025</v>
      </c>
      <c r="B70" s="2" t="s">
        <v>70</v>
      </c>
      <c r="C70" s="8">
        <v>13</v>
      </c>
      <c r="D70" s="2">
        <v>3</v>
      </c>
      <c r="E70" s="2">
        <v>1</v>
      </c>
      <c r="F70" s="2">
        <v>2</v>
      </c>
      <c r="G70" s="2">
        <v>1</v>
      </c>
    </row>
    <row r="71" spans="1:7" x14ac:dyDescent="0.25">
      <c r="A71" s="2">
        <v>2025</v>
      </c>
      <c r="B71" s="2" t="s">
        <v>70</v>
      </c>
      <c r="C71" s="8">
        <v>14</v>
      </c>
      <c r="D71" s="2">
        <v>1</v>
      </c>
      <c r="E71" s="2">
        <v>1</v>
      </c>
      <c r="F71" s="2">
        <v>2</v>
      </c>
      <c r="G71" s="2">
        <v>3</v>
      </c>
    </row>
    <row r="72" spans="1:7" x14ac:dyDescent="0.25">
      <c r="A72" s="2">
        <v>2025</v>
      </c>
      <c r="B72" s="2" t="s">
        <v>70</v>
      </c>
      <c r="C72" s="8">
        <v>15</v>
      </c>
      <c r="D72" s="2">
        <v>1</v>
      </c>
      <c r="E72" s="2">
        <v>1</v>
      </c>
      <c r="F72" s="2">
        <v>2</v>
      </c>
      <c r="G72" s="2">
        <v>1</v>
      </c>
    </row>
    <row r="73" spans="1:7" x14ac:dyDescent="0.25">
      <c r="A73" s="2">
        <v>2025</v>
      </c>
      <c r="B73" s="2" t="s">
        <v>70</v>
      </c>
      <c r="C73" s="8">
        <v>16</v>
      </c>
      <c r="D73" s="2">
        <v>1</v>
      </c>
      <c r="E73" s="2">
        <v>4</v>
      </c>
      <c r="F73" s="2">
        <v>4</v>
      </c>
      <c r="G73" s="2">
        <v>1</v>
      </c>
    </row>
    <row r="74" spans="1:7" x14ac:dyDescent="0.25">
      <c r="A74" s="2">
        <v>2025</v>
      </c>
      <c r="B74" s="2" t="s">
        <v>70</v>
      </c>
      <c r="C74" s="8">
        <v>17</v>
      </c>
      <c r="D74" s="2">
        <v>1</v>
      </c>
      <c r="E74" s="2">
        <v>1</v>
      </c>
      <c r="F74" s="2">
        <v>2</v>
      </c>
      <c r="G74" s="2">
        <v>2</v>
      </c>
    </row>
    <row r="75" spans="1:7" x14ac:dyDescent="0.25">
      <c r="A75" s="2">
        <v>2025</v>
      </c>
      <c r="B75" s="2" t="s">
        <v>70</v>
      </c>
      <c r="C75" s="8">
        <v>18</v>
      </c>
      <c r="D75" s="2">
        <v>3</v>
      </c>
      <c r="E75" s="2">
        <v>1</v>
      </c>
      <c r="F75" s="2">
        <v>2</v>
      </c>
      <c r="G75" s="2">
        <v>2</v>
      </c>
    </row>
    <row r="76" spans="1:7" x14ac:dyDescent="0.25">
      <c r="A76" s="2">
        <v>2025</v>
      </c>
      <c r="B76" s="2" t="s">
        <v>70</v>
      </c>
      <c r="C76" s="8">
        <v>19</v>
      </c>
      <c r="D76" s="2">
        <v>1</v>
      </c>
      <c r="E76" s="2">
        <v>4</v>
      </c>
      <c r="F76" s="2">
        <v>2</v>
      </c>
      <c r="G76" s="2">
        <v>1</v>
      </c>
    </row>
    <row r="77" spans="1:7" x14ac:dyDescent="0.25">
      <c r="A77" s="2">
        <v>2025</v>
      </c>
      <c r="B77" s="2" t="s">
        <v>70</v>
      </c>
      <c r="C77" s="8">
        <v>20</v>
      </c>
      <c r="D77" s="2">
        <v>4</v>
      </c>
      <c r="E77" s="2">
        <v>2</v>
      </c>
      <c r="F77" s="2">
        <v>4</v>
      </c>
      <c r="G77" s="2">
        <v>3</v>
      </c>
    </row>
    <row r="78" spans="1:7" x14ac:dyDescent="0.25">
      <c r="A78" s="2">
        <v>2025</v>
      </c>
      <c r="B78" s="2" t="s">
        <v>70</v>
      </c>
      <c r="C78" s="8">
        <v>21</v>
      </c>
      <c r="D78" s="2">
        <v>2</v>
      </c>
      <c r="E78" s="2">
        <v>1</v>
      </c>
      <c r="F78" s="2">
        <v>3</v>
      </c>
      <c r="G78" s="2">
        <v>4</v>
      </c>
    </row>
    <row r="79" spans="1:7" x14ac:dyDescent="0.25">
      <c r="A79" s="2">
        <v>2025</v>
      </c>
      <c r="B79" s="2" t="s">
        <v>70</v>
      </c>
      <c r="C79" s="8">
        <v>22</v>
      </c>
      <c r="D79" s="2">
        <v>1</v>
      </c>
      <c r="E79" s="2">
        <v>1</v>
      </c>
      <c r="F79" s="2">
        <v>3</v>
      </c>
      <c r="G79" s="2">
        <v>3</v>
      </c>
    </row>
    <row r="80" spans="1:7" x14ac:dyDescent="0.25">
      <c r="A80" s="2">
        <v>2025</v>
      </c>
      <c r="B80" s="2" t="s">
        <v>70</v>
      </c>
      <c r="C80" s="8">
        <v>23</v>
      </c>
      <c r="D80" s="2">
        <v>4</v>
      </c>
      <c r="E80" s="2">
        <v>3</v>
      </c>
      <c r="F80" s="2">
        <v>3</v>
      </c>
      <c r="G80" s="2">
        <v>2</v>
      </c>
    </row>
    <row r="81" spans="1:7" x14ac:dyDescent="0.25">
      <c r="A81" s="2">
        <v>2025</v>
      </c>
      <c r="B81" s="2" t="s">
        <v>70</v>
      </c>
      <c r="C81" s="8">
        <v>24</v>
      </c>
      <c r="D81" s="2">
        <v>1</v>
      </c>
      <c r="E81" s="2">
        <v>2</v>
      </c>
      <c r="F81" s="2">
        <v>1</v>
      </c>
      <c r="G81" s="2">
        <v>1</v>
      </c>
    </row>
    <row r="82" spans="1:7" x14ac:dyDescent="0.25">
      <c r="A82" s="2">
        <v>2025</v>
      </c>
      <c r="B82" s="2" t="s">
        <v>70</v>
      </c>
      <c r="C82" s="8">
        <v>25</v>
      </c>
      <c r="D82" s="2">
        <v>2</v>
      </c>
      <c r="E82" s="2">
        <v>1</v>
      </c>
      <c r="F82" s="2">
        <v>2</v>
      </c>
      <c r="G82" s="2">
        <v>3</v>
      </c>
    </row>
    <row r="83" spans="1:7" x14ac:dyDescent="0.25">
      <c r="A83" s="2">
        <v>2025</v>
      </c>
      <c r="B83" s="2" t="s">
        <v>70</v>
      </c>
      <c r="C83" s="8">
        <v>26</v>
      </c>
      <c r="D83" s="2">
        <v>2</v>
      </c>
      <c r="E83" s="2">
        <v>2</v>
      </c>
      <c r="F83" s="2">
        <v>1</v>
      </c>
      <c r="G83" s="2">
        <v>3</v>
      </c>
    </row>
    <row r="84" spans="1:7" x14ac:dyDescent="0.25">
      <c r="A84" s="2">
        <v>2025</v>
      </c>
      <c r="B84" s="2" t="s">
        <v>70</v>
      </c>
      <c r="C84" s="8">
        <v>27</v>
      </c>
      <c r="D84" s="2">
        <v>3</v>
      </c>
      <c r="E84" s="2">
        <v>4</v>
      </c>
      <c r="F84" s="2">
        <v>3</v>
      </c>
      <c r="G84" s="2">
        <v>1</v>
      </c>
    </row>
    <row r="85" spans="1:7" x14ac:dyDescent="0.25">
      <c r="A85" s="2">
        <v>2025</v>
      </c>
      <c r="B85" s="2" t="s">
        <v>70</v>
      </c>
      <c r="C85" s="8">
        <v>28</v>
      </c>
      <c r="D85" s="2">
        <v>3</v>
      </c>
      <c r="E85" s="2">
        <v>2</v>
      </c>
      <c r="F85" s="2">
        <v>2</v>
      </c>
      <c r="G85" s="2">
        <v>3</v>
      </c>
    </row>
    <row r="86" spans="1:7" x14ac:dyDescent="0.25">
      <c r="A86" s="2">
        <v>2025</v>
      </c>
      <c r="B86" s="2" t="s">
        <v>71</v>
      </c>
      <c r="C86" s="8">
        <v>1</v>
      </c>
      <c r="D86" s="2">
        <v>4</v>
      </c>
      <c r="E86" s="2">
        <v>2</v>
      </c>
      <c r="F86" s="2">
        <v>3</v>
      </c>
      <c r="G86" s="2">
        <v>1</v>
      </c>
    </row>
    <row r="87" spans="1:7" x14ac:dyDescent="0.25">
      <c r="A87" s="2">
        <v>2025</v>
      </c>
      <c r="B87" s="2" t="s">
        <v>71</v>
      </c>
      <c r="C87" s="8">
        <v>2</v>
      </c>
      <c r="D87" s="2">
        <v>2</v>
      </c>
      <c r="E87" s="2">
        <v>1</v>
      </c>
      <c r="F87" s="2">
        <v>1</v>
      </c>
      <c r="G87" s="2">
        <v>2</v>
      </c>
    </row>
    <row r="88" spans="1:7" x14ac:dyDescent="0.25">
      <c r="A88" s="2">
        <v>2025</v>
      </c>
      <c r="B88" s="2" t="s">
        <v>71</v>
      </c>
      <c r="C88" s="8">
        <v>3</v>
      </c>
      <c r="D88" s="2">
        <v>1</v>
      </c>
      <c r="E88" s="2">
        <v>3</v>
      </c>
      <c r="F88" s="2">
        <v>2</v>
      </c>
      <c r="G88" s="2">
        <v>1</v>
      </c>
    </row>
    <row r="89" spans="1:7" x14ac:dyDescent="0.25">
      <c r="A89" s="2">
        <v>2025</v>
      </c>
      <c r="B89" s="2" t="s">
        <v>71</v>
      </c>
      <c r="C89" s="8">
        <v>4</v>
      </c>
      <c r="D89" s="2">
        <v>2</v>
      </c>
      <c r="E89" s="2">
        <v>1</v>
      </c>
      <c r="F89" s="2">
        <v>1</v>
      </c>
      <c r="G89" s="2">
        <v>3</v>
      </c>
    </row>
    <row r="90" spans="1:7" x14ac:dyDescent="0.25">
      <c r="A90" s="2">
        <v>2025</v>
      </c>
      <c r="B90" s="2" t="s">
        <v>71</v>
      </c>
      <c r="C90" s="8">
        <v>5</v>
      </c>
      <c r="D90" s="2">
        <v>2</v>
      </c>
      <c r="E90" s="2">
        <v>2</v>
      </c>
      <c r="F90" s="2">
        <v>1</v>
      </c>
      <c r="G90" s="2">
        <v>3</v>
      </c>
    </row>
    <row r="91" spans="1:7" x14ac:dyDescent="0.25">
      <c r="A91" s="2">
        <v>2025</v>
      </c>
      <c r="B91" s="2" t="s">
        <v>71</v>
      </c>
      <c r="C91" s="8">
        <v>6</v>
      </c>
      <c r="D91" s="2">
        <v>2</v>
      </c>
      <c r="E91" s="2">
        <v>2</v>
      </c>
      <c r="F91" s="2">
        <v>2</v>
      </c>
      <c r="G91" s="2">
        <v>2</v>
      </c>
    </row>
    <row r="92" spans="1:7" x14ac:dyDescent="0.25">
      <c r="A92" s="2">
        <v>2025</v>
      </c>
      <c r="B92" s="2" t="s">
        <v>71</v>
      </c>
      <c r="C92" s="8">
        <v>7</v>
      </c>
      <c r="D92" s="2">
        <v>2</v>
      </c>
      <c r="E92" s="2">
        <v>3</v>
      </c>
      <c r="F92" s="2">
        <v>1</v>
      </c>
      <c r="G92" s="2">
        <v>3</v>
      </c>
    </row>
    <row r="93" spans="1:7" x14ac:dyDescent="0.25">
      <c r="A93" s="2">
        <v>2025</v>
      </c>
      <c r="B93" s="2" t="s">
        <v>71</v>
      </c>
      <c r="C93" s="8">
        <v>8</v>
      </c>
      <c r="D93" s="2">
        <v>1</v>
      </c>
      <c r="E93" s="2">
        <v>3</v>
      </c>
      <c r="F93" s="2">
        <v>1</v>
      </c>
      <c r="G93" s="2">
        <v>3</v>
      </c>
    </row>
    <row r="94" spans="1:7" x14ac:dyDescent="0.25">
      <c r="A94" s="2">
        <v>2025</v>
      </c>
      <c r="B94" s="2" t="s">
        <v>71</v>
      </c>
      <c r="C94" s="8">
        <v>9</v>
      </c>
      <c r="D94" s="2">
        <v>3</v>
      </c>
      <c r="E94" s="2">
        <v>2</v>
      </c>
      <c r="F94" s="2">
        <v>1</v>
      </c>
      <c r="G94" s="2">
        <v>2</v>
      </c>
    </row>
    <row r="95" spans="1:7" x14ac:dyDescent="0.25">
      <c r="A95" s="2">
        <v>2025</v>
      </c>
      <c r="B95" s="2" t="s">
        <v>71</v>
      </c>
      <c r="C95" s="8">
        <v>10</v>
      </c>
      <c r="D95" s="2">
        <v>1</v>
      </c>
      <c r="E95" s="2">
        <v>1</v>
      </c>
      <c r="F95" s="2">
        <v>1</v>
      </c>
      <c r="G95" s="2">
        <v>1</v>
      </c>
    </row>
    <row r="96" spans="1:7" x14ac:dyDescent="0.25">
      <c r="A96" s="2">
        <v>2025</v>
      </c>
      <c r="B96" s="2" t="s">
        <v>71</v>
      </c>
      <c r="C96" s="8">
        <v>11</v>
      </c>
      <c r="D96" s="2">
        <v>2</v>
      </c>
      <c r="E96" s="2">
        <v>1</v>
      </c>
      <c r="F96" s="2">
        <v>3</v>
      </c>
      <c r="G96" s="2">
        <v>3</v>
      </c>
    </row>
    <row r="97" spans="1:7" x14ac:dyDescent="0.25">
      <c r="A97" s="2">
        <v>2025</v>
      </c>
      <c r="B97" s="2" t="s">
        <v>71</v>
      </c>
      <c r="C97" s="8">
        <v>12</v>
      </c>
      <c r="D97" s="2">
        <v>3</v>
      </c>
      <c r="E97" s="2">
        <v>1</v>
      </c>
      <c r="F97" s="2">
        <v>4</v>
      </c>
      <c r="G97" s="2">
        <v>4</v>
      </c>
    </row>
    <row r="98" spans="1:7" x14ac:dyDescent="0.25">
      <c r="A98" s="2">
        <v>2025</v>
      </c>
      <c r="B98" s="2" t="s">
        <v>71</v>
      </c>
      <c r="C98" s="8">
        <v>13</v>
      </c>
      <c r="D98" s="2">
        <v>1</v>
      </c>
      <c r="E98" s="2">
        <v>3</v>
      </c>
      <c r="F98" s="2">
        <v>3</v>
      </c>
      <c r="G98" s="2">
        <v>2</v>
      </c>
    </row>
    <row r="99" spans="1:7" x14ac:dyDescent="0.25">
      <c r="A99" s="2">
        <v>2025</v>
      </c>
      <c r="B99" s="2" t="s">
        <v>71</v>
      </c>
      <c r="C99" s="8">
        <v>14</v>
      </c>
      <c r="D99" s="2">
        <v>2</v>
      </c>
      <c r="E99" s="2">
        <v>1</v>
      </c>
      <c r="F99" s="2">
        <v>1</v>
      </c>
      <c r="G99" s="2">
        <v>1</v>
      </c>
    </row>
    <row r="100" spans="1:7" x14ac:dyDescent="0.25">
      <c r="A100" s="2">
        <v>2025</v>
      </c>
      <c r="B100" s="2" t="s">
        <v>71</v>
      </c>
      <c r="C100" s="8">
        <v>15</v>
      </c>
      <c r="D100" s="2">
        <v>2</v>
      </c>
      <c r="E100" s="2">
        <v>1</v>
      </c>
      <c r="F100" s="2">
        <v>3</v>
      </c>
      <c r="G100" s="2">
        <v>3</v>
      </c>
    </row>
    <row r="101" spans="1:7" x14ac:dyDescent="0.25">
      <c r="A101" s="2">
        <v>2025</v>
      </c>
      <c r="B101" s="2" t="s">
        <v>71</v>
      </c>
      <c r="C101" s="8">
        <v>16</v>
      </c>
      <c r="D101" s="2">
        <v>2</v>
      </c>
      <c r="E101" s="2">
        <v>2</v>
      </c>
      <c r="F101" s="2">
        <v>1</v>
      </c>
      <c r="G101" s="2">
        <v>3</v>
      </c>
    </row>
    <row r="102" spans="1:7" x14ac:dyDescent="0.25">
      <c r="A102" s="2">
        <v>2025</v>
      </c>
      <c r="B102" s="2" t="s">
        <v>71</v>
      </c>
      <c r="C102" s="8">
        <v>17</v>
      </c>
      <c r="D102" s="2">
        <v>1</v>
      </c>
      <c r="E102" s="2">
        <v>2</v>
      </c>
      <c r="F102" s="2">
        <v>1</v>
      </c>
      <c r="G102" s="2">
        <v>2</v>
      </c>
    </row>
    <row r="103" spans="1:7" x14ac:dyDescent="0.25">
      <c r="A103" s="2">
        <v>2025</v>
      </c>
      <c r="B103" s="2" t="s">
        <v>71</v>
      </c>
      <c r="C103" s="8">
        <v>18</v>
      </c>
      <c r="D103" s="2">
        <v>1</v>
      </c>
      <c r="E103" s="2">
        <v>1</v>
      </c>
      <c r="F103" s="2">
        <v>2</v>
      </c>
      <c r="G103" s="2">
        <v>2</v>
      </c>
    </row>
    <row r="104" spans="1:7" x14ac:dyDescent="0.25">
      <c r="A104" s="2">
        <v>2025</v>
      </c>
      <c r="B104" s="2" t="s">
        <v>71</v>
      </c>
      <c r="C104" s="8">
        <v>19</v>
      </c>
      <c r="D104" s="2">
        <v>2</v>
      </c>
      <c r="E104" s="2">
        <v>3</v>
      </c>
      <c r="F104" s="2">
        <v>3</v>
      </c>
      <c r="G104" s="2">
        <v>2</v>
      </c>
    </row>
    <row r="105" spans="1:7" x14ac:dyDescent="0.25">
      <c r="A105" s="2">
        <v>2025</v>
      </c>
      <c r="B105" s="2" t="s">
        <v>71</v>
      </c>
      <c r="C105" s="8">
        <v>20</v>
      </c>
      <c r="D105" s="2">
        <v>4</v>
      </c>
      <c r="E105" s="2">
        <v>4</v>
      </c>
      <c r="F105" s="2">
        <v>1</v>
      </c>
      <c r="G105" s="2">
        <v>2</v>
      </c>
    </row>
    <row r="106" spans="1:7" x14ac:dyDescent="0.25">
      <c r="A106" s="2">
        <v>2025</v>
      </c>
      <c r="B106" s="2" t="s">
        <v>71</v>
      </c>
      <c r="C106" s="8">
        <v>21</v>
      </c>
      <c r="D106" s="2">
        <v>1</v>
      </c>
      <c r="E106" s="2">
        <v>3</v>
      </c>
      <c r="F106" s="2">
        <v>1</v>
      </c>
      <c r="G106" s="2">
        <v>1</v>
      </c>
    </row>
    <row r="107" spans="1:7" x14ac:dyDescent="0.25">
      <c r="A107" s="2">
        <v>2025</v>
      </c>
      <c r="B107" s="2" t="s">
        <v>71</v>
      </c>
      <c r="C107" s="8">
        <v>22</v>
      </c>
      <c r="D107" s="2">
        <v>1</v>
      </c>
      <c r="E107" s="2">
        <v>3</v>
      </c>
      <c r="F107" s="2">
        <v>1</v>
      </c>
      <c r="G107" s="2">
        <v>1</v>
      </c>
    </row>
    <row r="108" spans="1:7" x14ac:dyDescent="0.25">
      <c r="A108" s="2">
        <v>2025</v>
      </c>
      <c r="B108" s="2" t="s">
        <v>71</v>
      </c>
      <c r="C108" s="8">
        <v>23</v>
      </c>
      <c r="D108" s="2">
        <v>3</v>
      </c>
      <c r="E108" s="2">
        <v>1</v>
      </c>
      <c r="F108" s="2">
        <v>2</v>
      </c>
      <c r="G108" s="2">
        <v>4</v>
      </c>
    </row>
    <row r="109" spans="1:7" x14ac:dyDescent="0.25">
      <c r="A109" s="2">
        <v>2025</v>
      </c>
      <c r="B109" s="2" t="s">
        <v>71</v>
      </c>
      <c r="C109" s="8">
        <v>24</v>
      </c>
      <c r="D109" s="2">
        <v>1</v>
      </c>
      <c r="E109" s="2">
        <v>3</v>
      </c>
      <c r="F109" s="2">
        <v>1</v>
      </c>
      <c r="G109" s="2">
        <v>1</v>
      </c>
    </row>
    <row r="110" spans="1:7" x14ac:dyDescent="0.25">
      <c r="A110" s="2">
        <v>2025</v>
      </c>
      <c r="B110" s="2" t="s">
        <v>71</v>
      </c>
      <c r="C110" s="8">
        <v>25</v>
      </c>
      <c r="D110" s="2">
        <v>3</v>
      </c>
      <c r="E110" s="2">
        <v>2</v>
      </c>
      <c r="F110" s="2">
        <v>4</v>
      </c>
      <c r="G110" s="2">
        <v>1</v>
      </c>
    </row>
    <row r="111" spans="1:7" x14ac:dyDescent="0.25">
      <c r="A111" s="2">
        <v>2025</v>
      </c>
      <c r="B111" s="2" t="s">
        <v>71</v>
      </c>
      <c r="C111" s="8">
        <v>26</v>
      </c>
      <c r="D111" s="2">
        <v>2</v>
      </c>
      <c r="E111" s="2">
        <v>1</v>
      </c>
      <c r="F111" s="2">
        <v>1</v>
      </c>
      <c r="G111" s="2">
        <v>2</v>
      </c>
    </row>
    <row r="112" spans="1:7" x14ac:dyDescent="0.25">
      <c r="A112" s="2">
        <v>2025</v>
      </c>
      <c r="B112" s="2" t="s">
        <v>71</v>
      </c>
      <c r="C112" s="8">
        <v>27</v>
      </c>
      <c r="D112" s="2">
        <v>1</v>
      </c>
      <c r="E112" s="2">
        <v>1</v>
      </c>
      <c r="F112" s="2">
        <v>2</v>
      </c>
      <c r="G112" s="2">
        <v>1</v>
      </c>
    </row>
    <row r="113" spans="1:7" x14ac:dyDescent="0.25">
      <c r="A113" s="2">
        <v>2025</v>
      </c>
      <c r="B113" s="2" t="s">
        <v>71</v>
      </c>
      <c r="C113" s="8">
        <v>28</v>
      </c>
      <c r="D113" s="2">
        <v>1</v>
      </c>
      <c r="E113" s="2">
        <v>1</v>
      </c>
      <c r="F113" s="2">
        <v>1</v>
      </c>
      <c r="G113" s="2">
        <v>1</v>
      </c>
    </row>
    <row r="114" spans="1:7" x14ac:dyDescent="0.25">
      <c r="A114" s="2">
        <v>2025</v>
      </c>
      <c r="B114" s="2" t="s">
        <v>72</v>
      </c>
      <c r="C114" s="8">
        <v>1</v>
      </c>
      <c r="D114" s="2">
        <v>3</v>
      </c>
      <c r="E114" s="2">
        <v>1</v>
      </c>
      <c r="F114" s="2">
        <v>1</v>
      </c>
      <c r="G114" s="2">
        <v>1</v>
      </c>
    </row>
    <row r="115" spans="1:7" x14ac:dyDescent="0.25">
      <c r="A115" s="2">
        <v>2025</v>
      </c>
      <c r="B115" s="2" t="s">
        <v>72</v>
      </c>
      <c r="C115" s="8">
        <v>2</v>
      </c>
      <c r="D115" s="2">
        <v>3</v>
      </c>
      <c r="E115" s="2">
        <v>3</v>
      </c>
      <c r="F115" s="2">
        <v>1</v>
      </c>
      <c r="G115" s="2">
        <v>1</v>
      </c>
    </row>
    <row r="116" spans="1:7" x14ac:dyDescent="0.25">
      <c r="A116" s="2">
        <v>2025</v>
      </c>
      <c r="B116" s="2" t="s">
        <v>72</v>
      </c>
      <c r="C116" s="8">
        <v>3</v>
      </c>
      <c r="D116" s="2">
        <v>1</v>
      </c>
      <c r="E116" s="2">
        <v>3</v>
      </c>
      <c r="F116" s="2">
        <v>1</v>
      </c>
      <c r="G116" s="2">
        <v>2</v>
      </c>
    </row>
    <row r="117" spans="1:7" x14ac:dyDescent="0.25">
      <c r="A117" s="2">
        <v>2025</v>
      </c>
      <c r="B117" s="2" t="s">
        <v>72</v>
      </c>
      <c r="C117" s="8">
        <v>4</v>
      </c>
      <c r="D117" s="2">
        <v>3</v>
      </c>
      <c r="E117" s="2">
        <v>1</v>
      </c>
      <c r="F117" s="2">
        <v>2</v>
      </c>
      <c r="G117" s="2">
        <v>2</v>
      </c>
    </row>
    <row r="118" spans="1:7" x14ac:dyDescent="0.25">
      <c r="A118" s="2">
        <v>2025</v>
      </c>
      <c r="B118" s="2" t="s">
        <v>72</v>
      </c>
      <c r="C118" s="8">
        <v>5</v>
      </c>
      <c r="D118" s="2">
        <v>2</v>
      </c>
      <c r="E118" s="2">
        <v>4</v>
      </c>
      <c r="F118" s="2">
        <v>2</v>
      </c>
      <c r="G118" s="2">
        <v>2</v>
      </c>
    </row>
    <row r="119" spans="1:7" x14ac:dyDescent="0.25">
      <c r="A119" s="2">
        <v>2025</v>
      </c>
      <c r="B119" s="2" t="s">
        <v>72</v>
      </c>
      <c r="C119" s="8">
        <v>6</v>
      </c>
      <c r="D119" s="2">
        <v>2</v>
      </c>
      <c r="E119" s="2">
        <v>1</v>
      </c>
      <c r="F119" s="2">
        <v>3</v>
      </c>
      <c r="G119" s="2">
        <v>1</v>
      </c>
    </row>
    <row r="120" spans="1:7" x14ac:dyDescent="0.25">
      <c r="A120" s="2">
        <v>2025</v>
      </c>
      <c r="B120" s="2" t="s">
        <v>72</v>
      </c>
      <c r="C120" s="8">
        <v>7</v>
      </c>
      <c r="D120" s="2">
        <v>4</v>
      </c>
      <c r="E120" s="2">
        <v>1</v>
      </c>
      <c r="F120" s="2">
        <v>3</v>
      </c>
      <c r="G120" s="2">
        <v>3</v>
      </c>
    </row>
    <row r="121" spans="1:7" x14ac:dyDescent="0.25">
      <c r="A121" s="2">
        <v>2025</v>
      </c>
      <c r="B121" s="2" t="s">
        <v>72</v>
      </c>
      <c r="C121" s="8">
        <v>8</v>
      </c>
      <c r="D121" s="2">
        <v>1</v>
      </c>
      <c r="E121" s="2">
        <v>1</v>
      </c>
      <c r="F121" s="2">
        <v>1</v>
      </c>
      <c r="G121" s="2">
        <v>2</v>
      </c>
    </row>
    <row r="122" spans="1:7" x14ac:dyDescent="0.25">
      <c r="A122" s="2">
        <v>2025</v>
      </c>
      <c r="B122" s="2" t="s">
        <v>72</v>
      </c>
      <c r="C122" s="8">
        <v>9</v>
      </c>
      <c r="D122" s="2">
        <v>3</v>
      </c>
      <c r="E122" s="2">
        <v>2</v>
      </c>
      <c r="F122" s="2">
        <v>1</v>
      </c>
      <c r="G122" s="2">
        <v>2</v>
      </c>
    </row>
    <row r="123" spans="1:7" x14ac:dyDescent="0.25">
      <c r="A123" s="2">
        <v>2025</v>
      </c>
      <c r="B123" s="2" t="s">
        <v>72</v>
      </c>
      <c r="C123" s="8">
        <v>10</v>
      </c>
      <c r="D123" s="2">
        <v>3</v>
      </c>
      <c r="E123" s="2">
        <v>1</v>
      </c>
      <c r="F123" s="2">
        <v>1</v>
      </c>
      <c r="G123" s="2">
        <v>2</v>
      </c>
    </row>
    <row r="124" spans="1:7" x14ac:dyDescent="0.25">
      <c r="A124" s="2">
        <v>2025</v>
      </c>
      <c r="B124" s="2" t="s">
        <v>72</v>
      </c>
      <c r="C124" s="8">
        <v>11</v>
      </c>
      <c r="D124" s="2">
        <v>1</v>
      </c>
      <c r="E124" s="2">
        <v>3</v>
      </c>
      <c r="F124" s="2">
        <v>2</v>
      </c>
      <c r="G124" s="2">
        <v>2</v>
      </c>
    </row>
    <row r="125" spans="1:7" x14ac:dyDescent="0.25">
      <c r="A125" s="2">
        <v>2025</v>
      </c>
      <c r="B125" s="2" t="s">
        <v>72</v>
      </c>
      <c r="C125" s="8">
        <v>12</v>
      </c>
      <c r="D125" s="2">
        <v>3</v>
      </c>
      <c r="E125" s="2">
        <v>1</v>
      </c>
      <c r="F125" s="2">
        <v>1</v>
      </c>
      <c r="G125" s="2">
        <v>1</v>
      </c>
    </row>
    <row r="126" spans="1:7" x14ac:dyDescent="0.25">
      <c r="A126" s="2">
        <v>2025</v>
      </c>
      <c r="B126" s="2" t="s">
        <v>72</v>
      </c>
      <c r="C126" s="8">
        <v>13</v>
      </c>
      <c r="D126" s="2">
        <v>1</v>
      </c>
      <c r="E126" s="2">
        <v>2</v>
      </c>
      <c r="F126" s="2">
        <v>2</v>
      </c>
      <c r="G126" s="2">
        <v>2</v>
      </c>
    </row>
    <row r="127" spans="1:7" x14ac:dyDescent="0.25">
      <c r="A127" s="2">
        <v>2025</v>
      </c>
      <c r="B127" s="2" t="s">
        <v>72</v>
      </c>
      <c r="C127" s="8">
        <v>14</v>
      </c>
      <c r="D127" s="2">
        <v>1</v>
      </c>
      <c r="E127" s="2">
        <v>2</v>
      </c>
      <c r="F127" s="2">
        <v>1</v>
      </c>
      <c r="G127" s="2">
        <v>2</v>
      </c>
    </row>
    <row r="128" spans="1:7" x14ac:dyDescent="0.25">
      <c r="A128" s="2">
        <v>2025</v>
      </c>
      <c r="B128" s="2" t="s">
        <v>72</v>
      </c>
      <c r="C128" s="8">
        <v>15</v>
      </c>
      <c r="D128" s="2">
        <v>1</v>
      </c>
      <c r="E128" s="2">
        <v>3</v>
      </c>
      <c r="F128" s="2">
        <v>1</v>
      </c>
      <c r="G128" s="2">
        <v>1</v>
      </c>
    </row>
    <row r="129" spans="1:7" x14ac:dyDescent="0.25">
      <c r="A129" s="2">
        <v>2025</v>
      </c>
      <c r="B129" s="2" t="s">
        <v>72</v>
      </c>
      <c r="C129" s="8">
        <v>16</v>
      </c>
      <c r="D129" s="2">
        <v>2</v>
      </c>
      <c r="E129" s="2">
        <v>2</v>
      </c>
      <c r="F129" s="2">
        <v>3</v>
      </c>
      <c r="G129" s="2">
        <v>2</v>
      </c>
    </row>
    <row r="130" spans="1:7" x14ac:dyDescent="0.25">
      <c r="A130" s="2">
        <v>2025</v>
      </c>
      <c r="B130" s="2" t="s">
        <v>72</v>
      </c>
      <c r="C130" s="8">
        <v>17</v>
      </c>
      <c r="D130" s="2">
        <v>1</v>
      </c>
      <c r="E130" s="2">
        <v>1</v>
      </c>
      <c r="F130" s="2">
        <v>2</v>
      </c>
      <c r="G130" s="2">
        <v>2</v>
      </c>
    </row>
    <row r="131" spans="1:7" x14ac:dyDescent="0.25">
      <c r="A131" s="2">
        <v>2025</v>
      </c>
      <c r="B131" s="2" t="s">
        <v>72</v>
      </c>
      <c r="C131" s="8">
        <v>18</v>
      </c>
      <c r="D131" s="2">
        <v>2</v>
      </c>
      <c r="E131" s="2">
        <v>3</v>
      </c>
      <c r="F131" s="2">
        <v>2</v>
      </c>
      <c r="G131" s="2">
        <v>3</v>
      </c>
    </row>
    <row r="132" spans="1:7" x14ac:dyDescent="0.25">
      <c r="A132" s="2">
        <v>2025</v>
      </c>
      <c r="B132" s="2" t="s">
        <v>72</v>
      </c>
      <c r="C132" s="8">
        <v>19</v>
      </c>
      <c r="D132" s="2">
        <v>3</v>
      </c>
      <c r="E132" s="2">
        <v>1</v>
      </c>
      <c r="F132" s="2">
        <v>3</v>
      </c>
      <c r="G132" s="2">
        <v>1</v>
      </c>
    </row>
    <row r="133" spans="1:7" x14ac:dyDescent="0.25">
      <c r="A133" s="2">
        <v>2025</v>
      </c>
      <c r="B133" s="2" t="s">
        <v>72</v>
      </c>
      <c r="C133" s="8">
        <v>20</v>
      </c>
      <c r="D133" s="2">
        <v>1</v>
      </c>
      <c r="E133" s="2">
        <v>3</v>
      </c>
      <c r="F133" s="2">
        <v>4</v>
      </c>
      <c r="G133" s="2">
        <v>1</v>
      </c>
    </row>
    <row r="134" spans="1:7" x14ac:dyDescent="0.25">
      <c r="A134" s="2">
        <v>2025</v>
      </c>
      <c r="B134" s="2" t="s">
        <v>72</v>
      </c>
      <c r="C134" s="8">
        <v>21</v>
      </c>
      <c r="D134" s="2">
        <v>4</v>
      </c>
      <c r="E134" s="2">
        <v>3</v>
      </c>
      <c r="F134" s="2">
        <v>4</v>
      </c>
      <c r="G134" s="2">
        <v>1</v>
      </c>
    </row>
    <row r="135" spans="1:7" x14ac:dyDescent="0.25">
      <c r="A135" s="2">
        <v>2025</v>
      </c>
      <c r="B135" s="2" t="s">
        <v>72</v>
      </c>
      <c r="C135" s="8">
        <v>22</v>
      </c>
      <c r="D135" s="2">
        <v>1</v>
      </c>
      <c r="E135" s="2">
        <v>1</v>
      </c>
      <c r="F135" s="2">
        <v>1</v>
      </c>
      <c r="G135" s="2">
        <v>1</v>
      </c>
    </row>
    <row r="136" spans="1:7" x14ac:dyDescent="0.25">
      <c r="A136" s="2">
        <v>2025</v>
      </c>
      <c r="B136" s="2" t="s">
        <v>72</v>
      </c>
      <c r="C136" s="8">
        <v>23</v>
      </c>
      <c r="D136" s="2">
        <v>1</v>
      </c>
      <c r="E136" s="2">
        <v>1</v>
      </c>
      <c r="F136" s="2">
        <v>4</v>
      </c>
      <c r="G136" s="2">
        <v>1</v>
      </c>
    </row>
    <row r="137" spans="1:7" x14ac:dyDescent="0.25">
      <c r="A137" s="2">
        <v>2025</v>
      </c>
      <c r="B137" s="2" t="s">
        <v>72</v>
      </c>
      <c r="C137" s="8">
        <v>24</v>
      </c>
      <c r="D137" s="2">
        <v>3</v>
      </c>
      <c r="E137" s="2">
        <v>1</v>
      </c>
      <c r="F137" s="2">
        <v>4</v>
      </c>
      <c r="G137" s="2">
        <v>2</v>
      </c>
    </row>
    <row r="138" spans="1:7" x14ac:dyDescent="0.25">
      <c r="A138" s="2">
        <v>2025</v>
      </c>
      <c r="B138" s="2" t="s">
        <v>72</v>
      </c>
      <c r="C138" s="8">
        <v>25</v>
      </c>
      <c r="D138" s="2">
        <v>2</v>
      </c>
      <c r="E138" s="2">
        <v>2</v>
      </c>
      <c r="F138" s="2">
        <v>2</v>
      </c>
      <c r="G138" s="2">
        <v>1</v>
      </c>
    </row>
    <row r="139" spans="1:7" x14ac:dyDescent="0.25">
      <c r="A139" s="2">
        <v>2025</v>
      </c>
      <c r="B139" s="2" t="s">
        <v>72</v>
      </c>
      <c r="C139" s="8">
        <v>26</v>
      </c>
      <c r="D139" s="2">
        <v>3</v>
      </c>
      <c r="E139" s="2">
        <v>2</v>
      </c>
      <c r="F139" s="2">
        <v>2</v>
      </c>
      <c r="G139" s="2">
        <v>2</v>
      </c>
    </row>
    <row r="140" spans="1:7" x14ac:dyDescent="0.25">
      <c r="A140" s="2">
        <v>2025</v>
      </c>
      <c r="B140" s="2" t="s">
        <v>72</v>
      </c>
      <c r="C140" s="8">
        <v>27</v>
      </c>
      <c r="D140" s="2">
        <v>1</v>
      </c>
      <c r="E140" s="2">
        <v>2</v>
      </c>
      <c r="F140" s="2">
        <v>2</v>
      </c>
      <c r="G140" s="2">
        <v>3</v>
      </c>
    </row>
    <row r="141" spans="1:7" x14ac:dyDescent="0.25">
      <c r="A141" s="2">
        <v>2025</v>
      </c>
      <c r="B141" s="2" t="s">
        <v>72</v>
      </c>
      <c r="C141" s="8">
        <v>28</v>
      </c>
      <c r="D141" s="2">
        <v>3</v>
      </c>
      <c r="E141" s="2">
        <v>1</v>
      </c>
      <c r="F141" s="2">
        <v>1</v>
      </c>
      <c r="G141" s="2">
        <v>1</v>
      </c>
    </row>
    <row r="142" spans="1:7" x14ac:dyDescent="0.25">
      <c r="A142" s="2">
        <v>2025</v>
      </c>
      <c r="B142" s="2" t="s">
        <v>73</v>
      </c>
      <c r="C142" s="8">
        <v>1</v>
      </c>
      <c r="D142" s="2">
        <v>3</v>
      </c>
      <c r="E142" s="2">
        <v>3</v>
      </c>
      <c r="F142" s="2">
        <v>1</v>
      </c>
      <c r="G142" s="2">
        <v>2</v>
      </c>
    </row>
    <row r="143" spans="1:7" x14ac:dyDescent="0.25">
      <c r="A143" s="2">
        <v>2025</v>
      </c>
      <c r="B143" s="2" t="s">
        <v>73</v>
      </c>
      <c r="C143" s="8">
        <v>2</v>
      </c>
      <c r="D143" s="2">
        <v>2</v>
      </c>
      <c r="E143" s="2">
        <v>1</v>
      </c>
      <c r="F143" s="2">
        <v>4</v>
      </c>
      <c r="G143" s="2">
        <v>4</v>
      </c>
    </row>
    <row r="144" spans="1:7" x14ac:dyDescent="0.25">
      <c r="A144" s="2">
        <v>2025</v>
      </c>
      <c r="B144" s="2" t="s">
        <v>73</v>
      </c>
      <c r="C144" s="8">
        <v>3</v>
      </c>
      <c r="D144" s="2">
        <v>1</v>
      </c>
      <c r="E144" s="2">
        <v>2</v>
      </c>
      <c r="F144" s="2">
        <v>3</v>
      </c>
      <c r="G144" s="2">
        <v>1</v>
      </c>
    </row>
    <row r="145" spans="1:7" x14ac:dyDescent="0.25">
      <c r="A145" s="2">
        <v>2025</v>
      </c>
      <c r="B145" s="2" t="s">
        <v>73</v>
      </c>
      <c r="C145" s="8">
        <v>4</v>
      </c>
      <c r="D145" s="2">
        <v>3</v>
      </c>
      <c r="E145" s="2">
        <v>4</v>
      </c>
      <c r="F145" s="2">
        <v>1</v>
      </c>
      <c r="G145" s="2">
        <v>1</v>
      </c>
    </row>
    <row r="146" spans="1:7" x14ac:dyDescent="0.25">
      <c r="A146" s="2">
        <v>2025</v>
      </c>
      <c r="B146" s="2" t="s">
        <v>73</v>
      </c>
      <c r="C146" s="8">
        <v>5</v>
      </c>
      <c r="D146" s="2">
        <v>1</v>
      </c>
      <c r="E146" s="2">
        <v>1</v>
      </c>
      <c r="F146" s="2">
        <v>3</v>
      </c>
      <c r="G146" s="2">
        <v>3</v>
      </c>
    </row>
    <row r="147" spans="1:7" x14ac:dyDescent="0.25">
      <c r="A147" s="2">
        <v>2025</v>
      </c>
      <c r="B147" s="2" t="s">
        <v>73</v>
      </c>
      <c r="C147" s="8">
        <v>6</v>
      </c>
      <c r="D147" s="2">
        <v>1</v>
      </c>
      <c r="E147" s="2">
        <v>3</v>
      </c>
      <c r="F147" s="2">
        <v>1</v>
      </c>
      <c r="G147" s="2">
        <v>2</v>
      </c>
    </row>
    <row r="148" spans="1:7" x14ac:dyDescent="0.25">
      <c r="A148" s="2">
        <v>2025</v>
      </c>
      <c r="B148" s="2" t="s">
        <v>73</v>
      </c>
      <c r="C148" s="8">
        <v>7</v>
      </c>
      <c r="D148" s="2">
        <v>2</v>
      </c>
      <c r="E148" s="2">
        <v>3</v>
      </c>
      <c r="F148" s="2">
        <v>2</v>
      </c>
      <c r="G148" s="2">
        <v>1</v>
      </c>
    </row>
    <row r="149" spans="1:7" x14ac:dyDescent="0.25">
      <c r="A149" s="2">
        <v>2025</v>
      </c>
      <c r="B149" s="2" t="s">
        <v>73</v>
      </c>
      <c r="C149" s="8">
        <v>8</v>
      </c>
      <c r="D149" s="2">
        <v>1</v>
      </c>
      <c r="E149" s="2">
        <v>1</v>
      </c>
      <c r="F149" s="2">
        <v>1</v>
      </c>
      <c r="G149" s="2">
        <v>3</v>
      </c>
    </row>
    <row r="150" spans="1:7" x14ac:dyDescent="0.25">
      <c r="A150" s="2">
        <v>2025</v>
      </c>
      <c r="B150" s="2" t="s">
        <v>73</v>
      </c>
      <c r="C150" s="8">
        <v>9</v>
      </c>
      <c r="D150" s="2">
        <v>3</v>
      </c>
      <c r="E150" s="2">
        <v>1</v>
      </c>
      <c r="F150" s="2">
        <v>2</v>
      </c>
      <c r="G150" s="2">
        <v>4</v>
      </c>
    </row>
    <row r="151" spans="1:7" x14ac:dyDescent="0.25">
      <c r="A151" s="2">
        <v>2025</v>
      </c>
      <c r="B151" s="2" t="s">
        <v>73</v>
      </c>
      <c r="C151" s="8">
        <v>10</v>
      </c>
      <c r="D151" s="2">
        <v>1</v>
      </c>
      <c r="E151" s="2">
        <v>1</v>
      </c>
      <c r="F151" s="2">
        <v>2</v>
      </c>
      <c r="G151" s="2">
        <v>1</v>
      </c>
    </row>
    <row r="152" spans="1:7" x14ac:dyDescent="0.25">
      <c r="A152" s="2">
        <v>2025</v>
      </c>
      <c r="B152" s="2" t="s">
        <v>73</v>
      </c>
      <c r="C152" s="8">
        <v>11</v>
      </c>
      <c r="D152" s="2">
        <v>4</v>
      </c>
      <c r="E152" s="2">
        <v>1</v>
      </c>
      <c r="F152" s="2">
        <v>2</v>
      </c>
      <c r="G152" s="2">
        <v>1</v>
      </c>
    </row>
    <row r="153" spans="1:7" x14ac:dyDescent="0.25">
      <c r="A153" s="2">
        <v>2025</v>
      </c>
      <c r="B153" s="2" t="s">
        <v>73</v>
      </c>
      <c r="C153" s="8">
        <v>12</v>
      </c>
      <c r="D153" s="2">
        <v>1</v>
      </c>
      <c r="E153" s="2">
        <v>2</v>
      </c>
      <c r="F153" s="2">
        <v>4</v>
      </c>
      <c r="G153" s="2">
        <v>1</v>
      </c>
    </row>
    <row r="154" spans="1:7" x14ac:dyDescent="0.25">
      <c r="A154" s="2">
        <v>2025</v>
      </c>
      <c r="B154" s="2" t="s">
        <v>73</v>
      </c>
      <c r="C154" s="8">
        <v>13</v>
      </c>
      <c r="D154" s="2">
        <v>4</v>
      </c>
      <c r="E154" s="2">
        <v>2</v>
      </c>
      <c r="F154" s="2">
        <v>2</v>
      </c>
      <c r="G154" s="2">
        <v>2</v>
      </c>
    </row>
    <row r="155" spans="1:7" x14ac:dyDescent="0.25">
      <c r="A155" s="2">
        <v>2025</v>
      </c>
      <c r="B155" s="2" t="s">
        <v>73</v>
      </c>
      <c r="C155" s="8">
        <v>14</v>
      </c>
      <c r="D155" s="2">
        <v>1</v>
      </c>
      <c r="E155" s="2">
        <v>1</v>
      </c>
      <c r="F155" s="2">
        <v>1</v>
      </c>
      <c r="G155" s="2">
        <v>3</v>
      </c>
    </row>
    <row r="156" spans="1:7" x14ac:dyDescent="0.25">
      <c r="A156" s="2">
        <v>2025</v>
      </c>
      <c r="B156" s="2" t="s">
        <v>73</v>
      </c>
      <c r="C156" s="8">
        <v>15</v>
      </c>
      <c r="D156" s="2">
        <v>1</v>
      </c>
      <c r="E156" s="2">
        <v>1</v>
      </c>
      <c r="F156" s="2">
        <v>4</v>
      </c>
      <c r="G156" s="2">
        <v>2</v>
      </c>
    </row>
    <row r="157" spans="1:7" x14ac:dyDescent="0.25">
      <c r="A157" s="2">
        <v>2025</v>
      </c>
      <c r="B157" s="2" t="s">
        <v>73</v>
      </c>
      <c r="C157" s="8">
        <v>16</v>
      </c>
      <c r="D157" s="2">
        <v>3</v>
      </c>
      <c r="E157" s="2">
        <v>2</v>
      </c>
      <c r="F157" s="2">
        <v>3</v>
      </c>
      <c r="G157" s="2">
        <v>2</v>
      </c>
    </row>
    <row r="158" spans="1:7" x14ac:dyDescent="0.25">
      <c r="A158" s="2">
        <v>2025</v>
      </c>
      <c r="B158" s="2" t="s">
        <v>73</v>
      </c>
      <c r="C158" s="8">
        <v>17</v>
      </c>
      <c r="D158" s="2">
        <v>1</v>
      </c>
      <c r="E158" s="2">
        <v>1</v>
      </c>
      <c r="F158" s="2">
        <v>2</v>
      </c>
      <c r="G158" s="2">
        <v>3</v>
      </c>
    </row>
    <row r="159" spans="1:7" x14ac:dyDescent="0.25">
      <c r="A159" s="2">
        <v>2025</v>
      </c>
      <c r="B159" s="2" t="s">
        <v>73</v>
      </c>
      <c r="C159" s="8">
        <v>18</v>
      </c>
      <c r="D159" s="2">
        <v>2</v>
      </c>
      <c r="E159" s="2">
        <v>4</v>
      </c>
      <c r="F159" s="2">
        <v>2</v>
      </c>
      <c r="G159" s="2">
        <v>1</v>
      </c>
    </row>
    <row r="160" spans="1:7" x14ac:dyDescent="0.25">
      <c r="A160" s="2">
        <v>2025</v>
      </c>
      <c r="B160" s="2" t="s">
        <v>73</v>
      </c>
      <c r="C160" s="8">
        <v>19</v>
      </c>
      <c r="D160" s="2">
        <v>4</v>
      </c>
      <c r="E160" s="2">
        <v>2</v>
      </c>
      <c r="F160" s="2">
        <v>1</v>
      </c>
      <c r="G160" s="2">
        <v>1</v>
      </c>
    </row>
    <row r="161" spans="1:7" x14ac:dyDescent="0.25">
      <c r="A161" s="2">
        <v>2025</v>
      </c>
      <c r="B161" s="2" t="s">
        <v>73</v>
      </c>
      <c r="C161" s="8">
        <v>20</v>
      </c>
      <c r="D161" s="2">
        <v>2</v>
      </c>
      <c r="E161" s="2">
        <v>3</v>
      </c>
      <c r="F161" s="2">
        <v>2</v>
      </c>
      <c r="G161" s="2">
        <v>2</v>
      </c>
    </row>
    <row r="162" spans="1:7" x14ac:dyDescent="0.25">
      <c r="A162" s="2">
        <v>2025</v>
      </c>
      <c r="B162" s="2" t="s">
        <v>73</v>
      </c>
      <c r="C162" s="8">
        <v>21</v>
      </c>
      <c r="D162" s="2">
        <v>2</v>
      </c>
      <c r="E162" s="2">
        <v>1</v>
      </c>
      <c r="F162" s="2">
        <v>1</v>
      </c>
      <c r="G162" s="2">
        <v>2</v>
      </c>
    </row>
    <row r="163" spans="1:7" x14ac:dyDescent="0.25">
      <c r="A163" s="2">
        <v>2025</v>
      </c>
      <c r="B163" s="2" t="s">
        <v>73</v>
      </c>
      <c r="C163" s="8">
        <v>22</v>
      </c>
      <c r="D163" s="2">
        <v>1</v>
      </c>
      <c r="E163" s="2">
        <v>1</v>
      </c>
      <c r="F163" s="2">
        <v>1</v>
      </c>
      <c r="G163" s="2">
        <v>1</v>
      </c>
    </row>
    <row r="164" spans="1:7" x14ac:dyDescent="0.25">
      <c r="A164" s="2">
        <v>2025</v>
      </c>
      <c r="B164" s="2" t="s">
        <v>73</v>
      </c>
      <c r="C164" s="8">
        <v>23</v>
      </c>
      <c r="D164" s="2">
        <v>1</v>
      </c>
      <c r="E164" s="2">
        <v>1</v>
      </c>
      <c r="F164" s="2">
        <v>3</v>
      </c>
      <c r="G164" s="2">
        <v>2</v>
      </c>
    </row>
    <row r="165" spans="1:7" x14ac:dyDescent="0.25">
      <c r="A165" s="2">
        <v>2025</v>
      </c>
      <c r="B165" s="2" t="s">
        <v>73</v>
      </c>
      <c r="C165" s="8">
        <v>24</v>
      </c>
      <c r="D165" s="2">
        <v>2</v>
      </c>
      <c r="E165" s="2">
        <v>1</v>
      </c>
      <c r="F165" s="2">
        <v>1</v>
      </c>
      <c r="G165" s="2">
        <v>1</v>
      </c>
    </row>
    <row r="166" spans="1:7" x14ac:dyDescent="0.25">
      <c r="A166" s="2">
        <v>2025</v>
      </c>
      <c r="B166" s="2" t="s">
        <v>73</v>
      </c>
      <c r="C166" s="8">
        <v>25</v>
      </c>
      <c r="D166" s="2">
        <v>4</v>
      </c>
      <c r="E166" s="2">
        <v>1</v>
      </c>
      <c r="F166" s="2">
        <v>2</v>
      </c>
      <c r="G166" s="2">
        <v>2</v>
      </c>
    </row>
    <row r="167" spans="1:7" x14ac:dyDescent="0.25">
      <c r="A167" s="2">
        <v>2025</v>
      </c>
      <c r="B167" s="2" t="s">
        <v>73</v>
      </c>
      <c r="C167" s="8">
        <v>26</v>
      </c>
      <c r="D167" s="2">
        <v>3</v>
      </c>
      <c r="E167" s="2">
        <v>3</v>
      </c>
      <c r="F167" s="2">
        <v>3</v>
      </c>
      <c r="G167" s="2">
        <v>1</v>
      </c>
    </row>
    <row r="168" spans="1:7" x14ac:dyDescent="0.25">
      <c r="A168" s="2">
        <v>2025</v>
      </c>
      <c r="B168" s="2" t="s">
        <v>73</v>
      </c>
      <c r="C168" s="8">
        <v>27</v>
      </c>
      <c r="D168" s="2">
        <v>1</v>
      </c>
      <c r="E168" s="2">
        <v>4</v>
      </c>
      <c r="F168" s="2">
        <v>1</v>
      </c>
      <c r="G168" s="2">
        <v>1</v>
      </c>
    </row>
    <row r="169" spans="1:7" x14ac:dyDescent="0.25">
      <c r="A169" s="2">
        <v>2025</v>
      </c>
      <c r="B169" s="2" t="s">
        <v>73</v>
      </c>
      <c r="C169" s="8">
        <v>28</v>
      </c>
      <c r="D169" s="2">
        <v>1</v>
      </c>
      <c r="E169" s="2">
        <v>1</v>
      </c>
      <c r="F169" s="2">
        <v>3</v>
      </c>
      <c r="G169" s="2">
        <v>1</v>
      </c>
    </row>
    <row r="170" spans="1:7" x14ac:dyDescent="0.25">
      <c r="A170" s="2">
        <v>2025</v>
      </c>
      <c r="B170" s="2" t="s">
        <v>74</v>
      </c>
      <c r="C170" s="8">
        <v>1</v>
      </c>
      <c r="D170" s="2">
        <v>4</v>
      </c>
      <c r="E170" s="2">
        <v>2</v>
      </c>
      <c r="F170" s="2">
        <v>1</v>
      </c>
      <c r="G170" s="2">
        <v>1</v>
      </c>
    </row>
    <row r="171" spans="1:7" x14ac:dyDescent="0.25">
      <c r="A171" s="2">
        <v>2025</v>
      </c>
      <c r="B171" s="2" t="s">
        <v>74</v>
      </c>
      <c r="C171" s="8">
        <v>2</v>
      </c>
      <c r="D171" s="2">
        <v>2</v>
      </c>
      <c r="E171" s="2">
        <v>3</v>
      </c>
      <c r="F171" s="2">
        <v>2</v>
      </c>
      <c r="G171" s="2">
        <v>1</v>
      </c>
    </row>
    <row r="172" spans="1:7" x14ac:dyDescent="0.25">
      <c r="A172" s="2">
        <v>2025</v>
      </c>
      <c r="B172" s="2" t="s">
        <v>74</v>
      </c>
      <c r="C172" s="8">
        <v>3</v>
      </c>
      <c r="D172" s="2">
        <v>2</v>
      </c>
      <c r="E172" s="2">
        <v>1</v>
      </c>
      <c r="F172" s="2">
        <v>1</v>
      </c>
      <c r="G172" s="2">
        <v>2</v>
      </c>
    </row>
    <row r="173" spans="1:7" x14ac:dyDescent="0.25">
      <c r="A173" s="2">
        <v>2025</v>
      </c>
      <c r="B173" s="2" t="s">
        <v>74</v>
      </c>
      <c r="C173" s="8">
        <v>4</v>
      </c>
      <c r="D173" s="2">
        <v>2</v>
      </c>
      <c r="E173" s="2">
        <v>1</v>
      </c>
      <c r="F173" s="2">
        <v>2</v>
      </c>
      <c r="G173" s="2">
        <v>1</v>
      </c>
    </row>
    <row r="174" spans="1:7" x14ac:dyDescent="0.25">
      <c r="A174" s="2">
        <v>2025</v>
      </c>
      <c r="B174" s="2" t="s">
        <v>74</v>
      </c>
      <c r="C174" s="8">
        <v>5</v>
      </c>
      <c r="D174" s="2">
        <v>4</v>
      </c>
      <c r="E174" s="2">
        <v>1</v>
      </c>
      <c r="F174" s="2">
        <v>2</v>
      </c>
      <c r="G174" s="2">
        <v>1</v>
      </c>
    </row>
    <row r="175" spans="1:7" x14ac:dyDescent="0.25">
      <c r="A175" s="2">
        <v>2025</v>
      </c>
      <c r="B175" s="2" t="s">
        <v>74</v>
      </c>
      <c r="C175" s="8">
        <v>6</v>
      </c>
      <c r="D175" s="2">
        <v>4</v>
      </c>
      <c r="E175" s="2">
        <v>1</v>
      </c>
      <c r="F175" s="2">
        <v>1</v>
      </c>
      <c r="G175" s="2">
        <v>1</v>
      </c>
    </row>
    <row r="176" spans="1:7" x14ac:dyDescent="0.25">
      <c r="A176" s="2">
        <v>2025</v>
      </c>
      <c r="B176" s="2" t="s">
        <v>74</v>
      </c>
      <c r="C176" s="8">
        <v>7</v>
      </c>
      <c r="D176" s="2">
        <v>2</v>
      </c>
      <c r="E176" s="2">
        <v>2</v>
      </c>
      <c r="F176" s="2">
        <v>4</v>
      </c>
      <c r="G176" s="2">
        <v>3</v>
      </c>
    </row>
    <row r="177" spans="1:7" x14ac:dyDescent="0.25">
      <c r="A177" s="2">
        <v>2025</v>
      </c>
      <c r="B177" s="2" t="s">
        <v>74</v>
      </c>
      <c r="C177" s="8">
        <v>8</v>
      </c>
      <c r="D177" s="2">
        <v>2</v>
      </c>
      <c r="E177" s="2">
        <v>2</v>
      </c>
      <c r="F177" s="2">
        <v>1</v>
      </c>
      <c r="G177" s="2">
        <v>2</v>
      </c>
    </row>
    <row r="178" spans="1:7" x14ac:dyDescent="0.25">
      <c r="A178" s="2">
        <v>2025</v>
      </c>
      <c r="B178" s="2" t="s">
        <v>74</v>
      </c>
      <c r="C178" s="8">
        <v>9</v>
      </c>
      <c r="D178" s="2">
        <v>3</v>
      </c>
      <c r="E178" s="2">
        <v>2</v>
      </c>
      <c r="F178" s="2">
        <v>1</v>
      </c>
      <c r="G178" s="2">
        <v>1</v>
      </c>
    </row>
    <row r="179" spans="1:7" x14ac:dyDescent="0.25">
      <c r="A179" s="2">
        <v>2025</v>
      </c>
      <c r="B179" s="2" t="s">
        <v>74</v>
      </c>
      <c r="C179" s="8">
        <v>10</v>
      </c>
      <c r="D179" s="2">
        <v>1</v>
      </c>
      <c r="E179" s="2">
        <v>1</v>
      </c>
      <c r="F179" s="2">
        <v>3</v>
      </c>
      <c r="G179" s="2">
        <v>1</v>
      </c>
    </row>
    <row r="180" spans="1:7" x14ac:dyDescent="0.25">
      <c r="A180" s="2">
        <v>2025</v>
      </c>
      <c r="B180" s="2" t="s">
        <v>74</v>
      </c>
      <c r="C180" s="8">
        <v>11</v>
      </c>
      <c r="D180" s="2">
        <v>1</v>
      </c>
      <c r="E180" s="2">
        <v>2</v>
      </c>
      <c r="F180" s="2">
        <v>1</v>
      </c>
      <c r="G180" s="2">
        <v>1</v>
      </c>
    </row>
    <row r="181" spans="1:7" x14ac:dyDescent="0.25">
      <c r="A181" s="2">
        <v>2025</v>
      </c>
      <c r="B181" s="2" t="s">
        <v>74</v>
      </c>
      <c r="C181" s="8">
        <v>12</v>
      </c>
      <c r="D181" s="2">
        <v>1</v>
      </c>
      <c r="E181" s="2">
        <v>1</v>
      </c>
      <c r="F181" s="2">
        <v>2</v>
      </c>
      <c r="G181" s="2">
        <v>1</v>
      </c>
    </row>
    <row r="182" spans="1:7" x14ac:dyDescent="0.25">
      <c r="A182" s="2">
        <v>2025</v>
      </c>
      <c r="B182" s="2" t="s">
        <v>74</v>
      </c>
      <c r="C182" s="8">
        <v>13</v>
      </c>
      <c r="D182" s="2">
        <v>1</v>
      </c>
      <c r="E182" s="2">
        <v>2</v>
      </c>
      <c r="F182" s="2">
        <v>2</v>
      </c>
      <c r="G182" s="2">
        <v>2</v>
      </c>
    </row>
    <row r="183" spans="1:7" x14ac:dyDescent="0.25">
      <c r="A183" s="2">
        <v>2025</v>
      </c>
      <c r="B183" s="2" t="s">
        <v>74</v>
      </c>
      <c r="C183" s="8">
        <v>14</v>
      </c>
      <c r="D183" s="2">
        <v>4</v>
      </c>
      <c r="E183" s="2">
        <v>2</v>
      </c>
      <c r="F183" s="2">
        <v>3</v>
      </c>
      <c r="G183" s="2">
        <v>2</v>
      </c>
    </row>
    <row r="184" spans="1:7" x14ac:dyDescent="0.25">
      <c r="A184" s="2">
        <v>2025</v>
      </c>
      <c r="B184" s="2" t="s">
        <v>74</v>
      </c>
      <c r="C184" s="8">
        <v>15</v>
      </c>
      <c r="D184" s="2">
        <v>2</v>
      </c>
      <c r="E184" s="2">
        <v>3</v>
      </c>
      <c r="F184" s="2">
        <v>2</v>
      </c>
      <c r="G184" s="2">
        <v>1</v>
      </c>
    </row>
    <row r="185" spans="1:7" x14ac:dyDescent="0.25">
      <c r="A185" s="2">
        <v>2025</v>
      </c>
      <c r="B185" s="2" t="s">
        <v>74</v>
      </c>
      <c r="C185" s="8">
        <v>16</v>
      </c>
      <c r="D185" s="2">
        <v>1</v>
      </c>
      <c r="E185" s="2">
        <v>1</v>
      </c>
      <c r="F185" s="2">
        <v>2</v>
      </c>
      <c r="G185" s="2">
        <v>4</v>
      </c>
    </row>
    <row r="186" spans="1:7" x14ac:dyDescent="0.25">
      <c r="A186" s="2">
        <v>2025</v>
      </c>
      <c r="B186" s="2" t="s">
        <v>74</v>
      </c>
      <c r="C186" s="8">
        <v>17</v>
      </c>
      <c r="D186" s="2">
        <v>1</v>
      </c>
      <c r="E186" s="2">
        <v>2</v>
      </c>
      <c r="F186" s="2">
        <v>2</v>
      </c>
      <c r="G186" s="2">
        <v>1</v>
      </c>
    </row>
    <row r="187" spans="1:7" x14ac:dyDescent="0.25">
      <c r="A187" s="2">
        <v>2025</v>
      </c>
      <c r="B187" s="2" t="s">
        <v>74</v>
      </c>
      <c r="C187" s="8">
        <v>18</v>
      </c>
      <c r="D187" s="2">
        <v>1</v>
      </c>
      <c r="E187" s="2">
        <v>2</v>
      </c>
      <c r="F187" s="2">
        <v>2</v>
      </c>
      <c r="G187" s="2">
        <v>4</v>
      </c>
    </row>
    <row r="188" spans="1:7" x14ac:dyDescent="0.25">
      <c r="A188" s="2">
        <v>2025</v>
      </c>
      <c r="B188" s="2" t="s">
        <v>74</v>
      </c>
      <c r="C188" s="8">
        <v>19</v>
      </c>
      <c r="D188" s="2">
        <v>4</v>
      </c>
      <c r="E188" s="2">
        <v>1</v>
      </c>
      <c r="F188" s="2">
        <v>2</v>
      </c>
      <c r="G188" s="2">
        <v>4</v>
      </c>
    </row>
    <row r="189" spans="1:7" x14ac:dyDescent="0.25">
      <c r="A189" s="2">
        <v>2025</v>
      </c>
      <c r="B189" s="2" t="s">
        <v>74</v>
      </c>
      <c r="C189" s="8">
        <v>20</v>
      </c>
      <c r="D189" s="2">
        <v>2</v>
      </c>
      <c r="E189" s="2">
        <v>1</v>
      </c>
      <c r="F189" s="2">
        <v>4</v>
      </c>
      <c r="G189" s="2">
        <v>3</v>
      </c>
    </row>
    <row r="190" spans="1:7" x14ac:dyDescent="0.25">
      <c r="A190" s="2">
        <v>2025</v>
      </c>
      <c r="B190" s="2" t="s">
        <v>74</v>
      </c>
      <c r="C190" s="8">
        <v>21</v>
      </c>
      <c r="D190" s="2">
        <v>2</v>
      </c>
      <c r="E190" s="2">
        <v>3</v>
      </c>
      <c r="F190" s="2">
        <v>4</v>
      </c>
      <c r="G190" s="2">
        <v>4</v>
      </c>
    </row>
    <row r="191" spans="1:7" x14ac:dyDescent="0.25">
      <c r="A191" s="2">
        <v>2025</v>
      </c>
      <c r="B191" s="2" t="s">
        <v>74</v>
      </c>
      <c r="C191" s="8">
        <v>22</v>
      </c>
      <c r="D191" s="2">
        <v>4</v>
      </c>
      <c r="E191" s="2">
        <v>2</v>
      </c>
      <c r="F191" s="2">
        <v>3</v>
      </c>
      <c r="G191" s="2">
        <v>3</v>
      </c>
    </row>
    <row r="192" spans="1:7" x14ac:dyDescent="0.25">
      <c r="A192" s="2">
        <v>2025</v>
      </c>
      <c r="B192" s="2" t="s">
        <v>74</v>
      </c>
      <c r="C192" s="8">
        <v>23</v>
      </c>
      <c r="D192" s="2">
        <v>1</v>
      </c>
      <c r="E192" s="2">
        <v>1</v>
      </c>
      <c r="F192" s="2">
        <v>3</v>
      </c>
      <c r="G192" s="2">
        <v>4</v>
      </c>
    </row>
    <row r="193" spans="1:7" x14ac:dyDescent="0.25">
      <c r="A193" s="2">
        <v>2025</v>
      </c>
      <c r="B193" s="2" t="s">
        <v>74</v>
      </c>
      <c r="C193" s="8">
        <v>24</v>
      </c>
      <c r="D193" s="2">
        <v>1</v>
      </c>
      <c r="E193" s="2">
        <v>1</v>
      </c>
      <c r="F193" s="2">
        <v>1</v>
      </c>
      <c r="G193" s="2">
        <v>1</v>
      </c>
    </row>
    <row r="194" spans="1:7" x14ac:dyDescent="0.25">
      <c r="A194" s="2">
        <v>2025</v>
      </c>
      <c r="B194" s="2" t="s">
        <v>74</v>
      </c>
      <c r="C194" s="8">
        <v>25</v>
      </c>
      <c r="D194" s="2">
        <v>4</v>
      </c>
      <c r="E194" s="2">
        <v>1</v>
      </c>
      <c r="F194" s="2">
        <v>1</v>
      </c>
      <c r="G194" s="2">
        <v>2</v>
      </c>
    </row>
    <row r="195" spans="1:7" x14ac:dyDescent="0.25">
      <c r="A195" s="2">
        <v>2025</v>
      </c>
      <c r="B195" s="2" t="s">
        <v>74</v>
      </c>
      <c r="C195" s="8">
        <v>26</v>
      </c>
      <c r="D195" s="2">
        <v>2</v>
      </c>
      <c r="E195" s="2">
        <v>2</v>
      </c>
      <c r="F195" s="2">
        <v>3</v>
      </c>
      <c r="G195" s="2">
        <v>3</v>
      </c>
    </row>
    <row r="196" spans="1:7" x14ac:dyDescent="0.25">
      <c r="A196" s="2">
        <v>2025</v>
      </c>
      <c r="B196" s="2" t="s">
        <v>74</v>
      </c>
      <c r="C196" s="8">
        <v>27</v>
      </c>
      <c r="D196" s="2">
        <v>3</v>
      </c>
      <c r="E196" s="2">
        <v>3</v>
      </c>
      <c r="F196" s="2">
        <v>1</v>
      </c>
      <c r="G196" s="2">
        <v>3</v>
      </c>
    </row>
    <row r="197" spans="1:7" x14ac:dyDescent="0.25">
      <c r="A197" s="2">
        <v>2025</v>
      </c>
      <c r="B197" s="2" t="s">
        <v>74</v>
      </c>
      <c r="C197" s="8">
        <v>28</v>
      </c>
      <c r="D197" s="2">
        <v>1</v>
      </c>
      <c r="E197" s="2">
        <v>2</v>
      </c>
      <c r="F197" s="2">
        <v>1</v>
      </c>
      <c r="G197" s="2">
        <v>1</v>
      </c>
    </row>
    <row r="198" spans="1:7" x14ac:dyDescent="0.25">
      <c r="A198" s="2">
        <v>2025</v>
      </c>
      <c r="B198" s="2" t="s">
        <v>75</v>
      </c>
      <c r="C198" s="8">
        <v>1</v>
      </c>
      <c r="D198" s="2">
        <v>1</v>
      </c>
      <c r="E198" s="2">
        <v>1</v>
      </c>
      <c r="F198" s="2">
        <v>2</v>
      </c>
      <c r="G198" s="2">
        <v>1</v>
      </c>
    </row>
    <row r="199" spans="1:7" x14ac:dyDescent="0.25">
      <c r="A199" s="2">
        <v>2025</v>
      </c>
      <c r="B199" s="2" t="s">
        <v>75</v>
      </c>
      <c r="C199" s="8">
        <v>2</v>
      </c>
      <c r="D199" s="2">
        <v>2</v>
      </c>
      <c r="E199" s="2">
        <v>3</v>
      </c>
      <c r="F199" s="2">
        <v>1</v>
      </c>
      <c r="G199" s="2">
        <v>4</v>
      </c>
    </row>
    <row r="200" spans="1:7" x14ac:dyDescent="0.25">
      <c r="A200" s="2">
        <v>2025</v>
      </c>
      <c r="B200" s="2" t="s">
        <v>75</v>
      </c>
      <c r="C200" s="8">
        <v>3</v>
      </c>
      <c r="D200" s="2">
        <v>1</v>
      </c>
      <c r="E200" s="2">
        <v>1</v>
      </c>
      <c r="F200" s="2">
        <v>2</v>
      </c>
      <c r="G200" s="2">
        <v>4</v>
      </c>
    </row>
    <row r="201" spans="1:7" x14ac:dyDescent="0.25">
      <c r="A201" s="2">
        <v>2025</v>
      </c>
      <c r="B201" s="2" t="s">
        <v>75</v>
      </c>
      <c r="C201" s="8">
        <v>4</v>
      </c>
      <c r="D201" s="2">
        <v>1</v>
      </c>
      <c r="E201" s="2">
        <v>1</v>
      </c>
      <c r="F201" s="2">
        <v>1</v>
      </c>
      <c r="G201" s="2">
        <v>4</v>
      </c>
    </row>
    <row r="202" spans="1:7" x14ac:dyDescent="0.25">
      <c r="A202" s="2">
        <v>2025</v>
      </c>
      <c r="B202" s="2" t="s">
        <v>75</v>
      </c>
      <c r="C202" s="8">
        <v>5</v>
      </c>
      <c r="D202" s="2">
        <v>1</v>
      </c>
      <c r="E202" s="2">
        <v>2</v>
      </c>
      <c r="F202" s="2">
        <v>1</v>
      </c>
      <c r="G202" s="2">
        <v>1</v>
      </c>
    </row>
    <row r="203" spans="1:7" x14ac:dyDescent="0.25">
      <c r="A203" s="2">
        <v>2025</v>
      </c>
      <c r="B203" s="2" t="s">
        <v>75</v>
      </c>
      <c r="C203" s="8">
        <v>6</v>
      </c>
      <c r="D203" s="2">
        <v>3</v>
      </c>
      <c r="E203" s="2">
        <v>4</v>
      </c>
      <c r="F203" s="2">
        <v>2</v>
      </c>
      <c r="G203" s="2">
        <v>1</v>
      </c>
    </row>
    <row r="204" spans="1:7" x14ac:dyDescent="0.25">
      <c r="A204" s="2">
        <v>2025</v>
      </c>
      <c r="B204" s="2" t="s">
        <v>75</v>
      </c>
      <c r="C204" s="8">
        <v>7</v>
      </c>
      <c r="D204" s="2">
        <v>2</v>
      </c>
      <c r="E204" s="2">
        <v>1</v>
      </c>
      <c r="F204" s="2">
        <v>1</v>
      </c>
      <c r="G204" s="2">
        <v>2</v>
      </c>
    </row>
    <row r="205" spans="1:7" x14ac:dyDescent="0.25">
      <c r="A205" s="2">
        <v>2025</v>
      </c>
      <c r="B205" s="2" t="s">
        <v>75</v>
      </c>
      <c r="C205" s="8">
        <v>8</v>
      </c>
      <c r="D205" s="2">
        <v>1</v>
      </c>
      <c r="E205" s="2">
        <v>1</v>
      </c>
      <c r="F205" s="2">
        <v>4</v>
      </c>
      <c r="G205" s="2">
        <v>2</v>
      </c>
    </row>
    <row r="206" spans="1:7" x14ac:dyDescent="0.25">
      <c r="A206" s="2">
        <v>2025</v>
      </c>
      <c r="B206" s="2" t="s">
        <v>75</v>
      </c>
      <c r="C206" s="8">
        <v>9</v>
      </c>
      <c r="D206" s="2">
        <v>1</v>
      </c>
      <c r="E206" s="2">
        <v>2</v>
      </c>
      <c r="F206" s="2">
        <v>2</v>
      </c>
      <c r="G206" s="2">
        <v>1</v>
      </c>
    </row>
    <row r="207" spans="1:7" x14ac:dyDescent="0.25">
      <c r="A207" s="2">
        <v>2025</v>
      </c>
      <c r="B207" s="2" t="s">
        <v>75</v>
      </c>
      <c r="C207" s="8">
        <v>10</v>
      </c>
      <c r="D207" s="2">
        <v>1</v>
      </c>
      <c r="E207" s="2">
        <v>3</v>
      </c>
      <c r="F207" s="2">
        <v>3</v>
      </c>
      <c r="G207" s="2">
        <v>4</v>
      </c>
    </row>
    <row r="208" spans="1:7" x14ac:dyDescent="0.25">
      <c r="A208" s="2">
        <v>2025</v>
      </c>
      <c r="B208" s="2" t="s">
        <v>75</v>
      </c>
      <c r="C208" s="8">
        <v>11</v>
      </c>
      <c r="D208" s="2">
        <v>1</v>
      </c>
      <c r="E208" s="2">
        <v>1</v>
      </c>
      <c r="F208" s="2">
        <v>2</v>
      </c>
      <c r="G208" s="2">
        <v>4</v>
      </c>
    </row>
    <row r="209" spans="1:7" x14ac:dyDescent="0.25">
      <c r="A209" s="2">
        <v>2025</v>
      </c>
      <c r="B209" s="2" t="s">
        <v>75</v>
      </c>
      <c r="C209" s="8">
        <v>12</v>
      </c>
      <c r="D209" s="2">
        <v>1</v>
      </c>
      <c r="E209" s="2">
        <v>1</v>
      </c>
      <c r="F209" s="2">
        <v>2</v>
      </c>
      <c r="G209" s="2">
        <v>2</v>
      </c>
    </row>
    <row r="210" spans="1:7" x14ac:dyDescent="0.25">
      <c r="A210" s="2">
        <v>2025</v>
      </c>
      <c r="B210" s="2" t="s">
        <v>75</v>
      </c>
      <c r="C210" s="8">
        <v>13</v>
      </c>
      <c r="D210" s="2">
        <v>3</v>
      </c>
      <c r="E210" s="2">
        <v>2</v>
      </c>
      <c r="F210" s="2">
        <v>1</v>
      </c>
      <c r="G210" s="2">
        <v>1</v>
      </c>
    </row>
    <row r="211" spans="1:7" x14ac:dyDescent="0.25">
      <c r="A211" s="2">
        <v>2025</v>
      </c>
      <c r="B211" s="2" t="s">
        <v>75</v>
      </c>
      <c r="C211" s="8">
        <v>14</v>
      </c>
      <c r="D211" s="2">
        <v>2</v>
      </c>
      <c r="E211" s="2">
        <v>1</v>
      </c>
      <c r="F211" s="2">
        <v>3</v>
      </c>
      <c r="G211" s="2">
        <v>1</v>
      </c>
    </row>
    <row r="212" spans="1:7" x14ac:dyDescent="0.25">
      <c r="A212" s="2">
        <v>2025</v>
      </c>
      <c r="B212" s="2" t="s">
        <v>75</v>
      </c>
      <c r="C212" s="8">
        <v>15</v>
      </c>
      <c r="D212" s="2">
        <v>2</v>
      </c>
      <c r="E212" s="2">
        <v>3</v>
      </c>
      <c r="F212" s="2">
        <v>2</v>
      </c>
      <c r="G212" s="2">
        <v>1</v>
      </c>
    </row>
    <row r="213" spans="1:7" x14ac:dyDescent="0.25">
      <c r="A213" s="2">
        <v>2025</v>
      </c>
      <c r="B213" s="2" t="s">
        <v>75</v>
      </c>
      <c r="C213" s="8">
        <v>16</v>
      </c>
      <c r="D213" s="2">
        <v>1</v>
      </c>
      <c r="E213" s="2">
        <v>1</v>
      </c>
      <c r="F213" s="2">
        <v>1</v>
      </c>
      <c r="G213" s="2">
        <v>1</v>
      </c>
    </row>
    <row r="214" spans="1:7" x14ac:dyDescent="0.25">
      <c r="A214" s="2">
        <v>2025</v>
      </c>
      <c r="B214" s="2" t="s">
        <v>75</v>
      </c>
      <c r="C214" s="8">
        <v>17</v>
      </c>
      <c r="D214" s="2">
        <v>3</v>
      </c>
      <c r="E214" s="2">
        <v>1</v>
      </c>
      <c r="F214" s="2">
        <v>4</v>
      </c>
      <c r="G214" s="2">
        <v>2</v>
      </c>
    </row>
    <row r="215" spans="1:7" x14ac:dyDescent="0.25">
      <c r="A215" s="2">
        <v>2025</v>
      </c>
      <c r="B215" s="2" t="s">
        <v>75</v>
      </c>
      <c r="C215" s="8">
        <v>18</v>
      </c>
      <c r="D215" s="2">
        <v>1</v>
      </c>
      <c r="E215" s="2">
        <v>1</v>
      </c>
      <c r="F215" s="2">
        <v>3</v>
      </c>
      <c r="G215" s="2">
        <v>4</v>
      </c>
    </row>
    <row r="216" spans="1:7" x14ac:dyDescent="0.25">
      <c r="A216" s="2">
        <v>2025</v>
      </c>
      <c r="B216" s="2" t="s">
        <v>75</v>
      </c>
      <c r="C216" s="8">
        <v>19</v>
      </c>
      <c r="D216" s="2">
        <v>3</v>
      </c>
      <c r="E216" s="2">
        <v>4</v>
      </c>
      <c r="F216" s="2">
        <v>4</v>
      </c>
      <c r="G216" s="2">
        <v>2</v>
      </c>
    </row>
    <row r="217" spans="1:7" x14ac:dyDescent="0.25">
      <c r="A217" s="2">
        <v>2025</v>
      </c>
      <c r="B217" s="2" t="s">
        <v>75</v>
      </c>
      <c r="C217" s="8">
        <v>20</v>
      </c>
      <c r="D217" s="2">
        <v>1</v>
      </c>
      <c r="E217" s="2">
        <v>4</v>
      </c>
      <c r="F217" s="2">
        <v>1</v>
      </c>
      <c r="G217" s="2">
        <v>1</v>
      </c>
    </row>
    <row r="218" spans="1:7" x14ac:dyDescent="0.25">
      <c r="A218" s="2">
        <v>2025</v>
      </c>
      <c r="B218" s="2" t="s">
        <v>75</v>
      </c>
      <c r="C218" s="8">
        <v>21</v>
      </c>
      <c r="D218" s="2">
        <v>3</v>
      </c>
      <c r="E218" s="2">
        <v>2</v>
      </c>
      <c r="F218" s="2">
        <v>3</v>
      </c>
      <c r="G218" s="2">
        <v>4</v>
      </c>
    </row>
    <row r="219" spans="1:7" x14ac:dyDescent="0.25">
      <c r="A219" s="2">
        <v>2025</v>
      </c>
      <c r="B219" s="2" t="s">
        <v>75</v>
      </c>
      <c r="C219" s="8">
        <v>22</v>
      </c>
      <c r="D219" s="2">
        <v>1</v>
      </c>
      <c r="E219" s="2">
        <v>1</v>
      </c>
      <c r="F219" s="2">
        <v>3</v>
      </c>
      <c r="G219" s="2">
        <v>1</v>
      </c>
    </row>
    <row r="220" spans="1:7" x14ac:dyDescent="0.25">
      <c r="A220" s="2">
        <v>2025</v>
      </c>
      <c r="B220" s="2" t="s">
        <v>75</v>
      </c>
      <c r="C220" s="8">
        <v>23</v>
      </c>
      <c r="D220" s="2">
        <v>1</v>
      </c>
      <c r="E220" s="2">
        <v>1</v>
      </c>
      <c r="F220" s="2">
        <v>1</v>
      </c>
      <c r="G220" s="2">
        <v>1</v>
      </c>
    </row>
    <row r="221" spans="1:7" x14ac:dyDescent="0.25">
      <c r="A221" s="2">
        <v>2025</v>
      </c>
      <c r="B221" s="2" t="s">
        <v>75</v>
      </c>
      <c r="C221" s="8">
        <v>24</v>
      </c>
      <c r="D221" s="2">
        <v>1</v>
      </c>
      <c r="E221" s="2">
        <v>1</v>
      </c>
      <c r="F221" s="2">
        <v>2</v>
      </c>
      <c r="G221" s="2">
        <v>2</v>
      </c>
    </row>
    <row r="222" spans="1:7" x14ac:dyDescent="0.25">
      <c r="A222" s="2">
        <v>2025</v>
      </c>
      <c r="B222" s="2" t="s">
        <v>75</v>
      </c>
      <c r="C222" s="8">
        <v>25</v>
      </c>
      <c r="D222" s="2">
        <v>1</v>
      </c>
      <c r="E222" s="2">
        <v>2</v>
      </c>
      <c r="F222" s="2">
        <v>3</v>
      </c>
      <c r="G222" s="2">
        <v>1</v>
      </c>
    </row>
    <row r="223" spans="1:7" x14ac:dyDescent="0.25">
      <c r="A223" s="2">
        <v>2025</v>
      </c>
      <c r="B223" s="2" t="s">
        <v>75</v>
      </c>
      <c r="C223" s="8">
        <v>26</v>
      </c>
      <c r="D223" s="2">
        <v>1</v>
      </c>
      <c r="E223" s="2">
        <v>1</v>
      </c>
      <c r="F223" s="2">
        <v>2</v>
      </c>
      <c r="G223" s="2">
        <v>4</v>
      </c>
    </row>
    <row r="224" spans="1:7" x14ac:dyDescent="0.25">
      <c r="A224" s="2">
        <v>2025</v>
      </c>
      <c r="B224" s="2" t="s">
        <v>75</v>
      </c>
      <c r="C224" s="8">
        <v>27</v>
      </c>
      <c r="D224" s="2">
        <v>2</v>
      </c>
      <c r="E224" s="2">
        <v>4</v>
      </c>
      <c r="F224" s="2">
        <v>3</v>
      </c>
      <c r="G224" s="2">
        <v>4</v>
      </c>
    </row>
    <row r="225" spans="1:7" x14ac:dyDescent="0.25">
      <c r="A225" s="2">
        <v>2025</v>
      </c>
      <c r="B225" s="2" t="s">
        <v>75</v>
      </c>
      <c r="C225" s="8">
        <v>28</v>
      </c>
      <c r="D225" s="2">
        <v>4</v>
      </c>
      <c r="E225" s="2">
        <v>1</v>
      </c>
      <c r="F225" s="2">
        <v>1</v>
      </c>
      <c r="G225" s="2">
        <v>3</v>
      </c>
    </row>
    <row r="226" spans="1:7" x14ac:dyDescent="0.25">
      <c r="A226" s="2">
        <v>2025</v>
      </c>
      <c r="B226" s="2" t="s">
        <v>76</v>
      </c>
      <c r="C226" s="8">
        <v>1</v>
      </c>
      <c r="D226" s="2">
        <v>2</v>
      </c>
      <c r="E226" s="2">
        <v>1</v>
      </c>
      <c r="F226" s="2">
        <v>1</v>
      </c>
      <c r="G226" s="2">
        <v>1</v>
      </c>
    </row>
    <row r="227" spans="1:7" x14ac:dyDescent="0.25">
      <c r="A227" s="2">
        <v>2025</v>
      </c>
      <c r="B227" s="2" t="s">
        <v>76</v>
      </c>
      <c r="C227" s="8">
        <v>2</v>
      </c>
      <c r="D227" s="2">
        <v>4</v>
      </c>
      <c r="E227" s="2">
        <v>2</v>
      </c>
      <c r="F227" s="2">
        <v>1</v>
      </c>
      <c r="G227" s="2">
        <v>1</v>
      </c>
    </row>
    <row r="228" spans="1:7" x14ac:dyDescent="0.25">
      <c r="A228" s="2">
        <v>2025</v>
      </c>
      <c r="B228" s="2" t="s">
        <v>76</v>
      </c>
      <c r="C228" s="8">
        <v>3</v>
      </c>
      <c r="D228" s="2">
        <v>1</v>
      </c>
      <c r="E228" s="2">
        <v>2</v>
      </c>
      <c r="F228" s="2">
        <v>2</v>
      </c>
      <c r="G228" s="2">
        <v>1</v>
      </c>
    </row>
    <row r="229" spans="1:7" x14ac:dyDescent="0.25">
      <c r="A229" s="2">
        <v>2025</v>
      </c>
      <c r="B229" s="2" t="s">
        <v>76</v>
      </c>
      <c r="C229" s="8">
        <v>4</v>
      </c>
      <c r="D229" s="2">
        <v>1</v>
      </c>
      <c r="E229" s="2">
        <v>4</v>
      </c>
      <c r="F229" s="2">
        <v>4</v>
      </c>
      <c r="G229" s="2">
        <v>1</v>
      </c>
    </row>
    <row r="230" spans="1:7" x14ac:dyDescent="0.25">
      <c r="A230" s="2">
        <v>2025</v>
      </c>
      <c r="B230" s="2" t="s">
        <v>76</v>
      </c>
      <c r="C230" s="8">
        <v>5</v>
      </c>
      <c r="D230" s="2">
        <v>2</v>
      </c>
      <c r="E230" s="2">
        <v>1</v>
      </c>
      <c r="F230" s="2">
        <v>1</v>
      </c>
      <c r="G230" s="2">
        <v>3</v>
      </c>
    </row>
    <row r="231" spans="1:7" x14ac:dyDescent="0.25">
      <c r="A231" s="2">
        <v>2025</v>
      </c>
      <c r="B231" s="2" t="s">
        <v>76</v>
      </c>
      <c r="C231" s="8">
        <v>6</v>
      </c>
      <c r="D231" s="2">
        <v>1</v>
      </c>
      <c r="E231" s="2">
        <v>4</v>
      </c>
      <c r="F231" s="2">
        <v>1</v>
      </c>
      <c r="G231" s="2">
        <v>1</v>
      </c>
    </row>
    <row r="232" spans="1:7" x14ac:dyDescent="0.25">
      <c r="A232" s="2">
        <v>2025</v>
      </c>
      <c r="B232" s="2" t="s">
        <v>76</v>
      </c>
      <c r="C232" s="8">
        <v>7</v>
      </c>
      <c r="D232" s="2">
        <v>1</v>
      </c>
      <c r="E232" s="2">
        <v>1</v>
      </c>
      <c r="F232" s="2">
        <v>3</v>
      </c>
      <c r="G232" s="2">
        <v>1</v>
      </c>
    </row>
    <row r="233" spans="1:7" x14ac:dyDescent="0.25">
      <c r="A233" s="2">
        <v>2025</v>
      </c>
      <c r="B233" s="2" t="s">
        <v>76</v>
      </c>
      <c r="C233" s="8">
        <v>8</v>
      </c>
      <c r="D233" s="2">
        <v>4</v>
      </c>
      <c r="E233" s="2">
        <v>3</v>
      </c>
      <c r="F233" s="2">
        <v>3</v>
      </c>
      <c r="G233" s="2">
        <v>2</v>
      </c>
    </row>
    <row r="234" spans="1:7" x14ac:dyDescent="0.25">
      <c r="A234" s="2">
        <v>2025</v>
      </c>
      <c r="B234" s="2" t="s">
        <v>76</v>
      </c>
      <c r="C234" s="8">
        <v>9</v>
      </c>
      <c r="D234" s="2">
        <v>2</v>
      </c>
      <c r="E234" s="2">
        <v>3</v>
      </c>
      <c r="F234" s="2">
        <v>2</v>
      </c>
      <c r="G234" s="2">
        <v>2</v>
      </c>
    </row>
    <row r="235" spans="1:7" x14ac:dyDescent="0.25">
      <c r="A235" s="2">
        <v>2025</v>
      </c>
      <c r="B235" s="2" t="s">
        <v>76</v>
      </c>
      <c r="C235" s="8">
        <v>10</v>
      </c>
      <c r="D235" s="2">
        <v>3</v>
      </c>
      <c r="E235" s="2">
        <v>2</v>
      </c>
      <c r="F235" s="2">
        <v>2</v>
      </c>
      <c r="G235" s="2">
        <v>2</v>
      </c>
    </row>
    <row r="236" spans="1:7" x14ac:dyDescent="0.25">
      <c r="A236" s="2">
        <v>2025</v>
      </c>
      <c r="B236" s="2" t="s">
        <v>76</v>
      </c>
      <c r="C236" s="8">
        <v>11</v>
      </c>
      <c r="D236" s="2">
        <v>1</v>
      </c>
      <c r="E236" s="2">
        <v>1</v>
      </c>
      <c r="F236" s="2">
        <v>4</v>
      </c>
      <c r="G236" s="2">
        <v>2</v>
      </c>
    </row>
    <row r="237" spans="1:7" x14ac:dyDescent="0.25">
      <c r="A237" s="2">
        <v>2025</v>
      </c>
      <c r="B237" s="2" t="s">
        <v>76</v>
      </c>
      <c r="C237" s="8">
        <v>12</v>
      </c>
      <c r="D237" s="2">
        <v>1</v>
      </c>
      <c r="E237" s="2">
        <v>2</v>
      </c>
      <c r="F237" s="2">
        <v>4</v>
      </c>
      <c r="G237" s="2">
        <v>2</v>
      </c>
    </row>
    <row r="238" spans="1:7" x14ac:dyDescent="0.25">
      <c r="A238" s="2">
        <v>2025</v>
      </c>
      <c r="B238" s="2" t="s">
        <v>76</v>
      </c>
      <c r="C238" s="8">
        <v>13</v>
      </c>
      <c r="D238" s="2">
        <v>2</v>
      </c>
      <c r="E238" s="2">
        <v>2</v>
      </c>
      <c r="F238" s="2">
        <v>3</v>
      </c>
      <c r="G238" s="2">
        <v>1</v>
      </c>
    </row>
    <row r="239" spans="1:7" x14ac:dyDescent="0.25">
      <c r="A239" s="2">
        <v>2025</v>
      </c>
      <c r="B239" s="2" t="s">
        <v>76</v>
      </c>
      <c r="C239" s="8">
        <v>14</v>
      </c>
      <c r="D239" s="2">
        <v>3</v>
      </c>
      <c r="E239" s="2">
        <v>2</v>
      </c>
      <c r="F239" s="2">
        <v>1</v>
      </c>
      <c r="G239" s="2">
        <v>3</v>
      </c>
    </row>
    <row r="240" spans="1:7" x14ac:dyDescent="0.25">
      <c r="A240" s="2">
        <v>2025</v>
      </c>
      <c r="B240" s="2" t="s">
        <v>76</v>
      </c>
      <c r="C240" s="8">
        <v>15</v>
      </c>
      <c r="D240" s="2">
        <v>3</v>
      </c>
      <c r="E240" s="2">
        <v>3</v>
      </c>
      <c r="F240" s="2">
        <v>3</v>
      </c>
      <c r="G240" s="2">
        <v>3</v>
      </c>
    </row>
    <row r="241" spans="1:7" x14ac:dyDescent="0.25">
      <c r="A241" s="2">
        <v>2025</v>
      </c>
      <c r="B241" s="2" t="s">
        <v>76</v>
      </c>
      <c r="C241" s="8">
        <v>16</v>
      </c>
      <c r="D241" s="2">
        <v>1</v>
      </c>
      <c r="E241" s="2">
        <v>1</v>
      </c>
      <c r="F241" s="2">
        <v>1</v>
      </c>
      <c r="G241" s="2">
        <v>3</v>
      </c>
    </row>
    <row r="242" spans="1:7" x14ac:dyDescent="0.25">
      <c r="A242" s="2">
        <v>2025</v>
      </c>
      <c r="B242" s="2" t="s">
        <v>76</v>
      </c>
      <c r="C242" s="8">
        <v>17</v>
      </c>
      <c r="D242" s="2">
        <v>2</v>
      </c>
      <c r="E242" s="2">
        <v>2</v>
      </c>
      <c r="F242" s="2">
        <v>3</v>
      </c>
      <c r="G242" s="2">
        <v>1</v>
      </c>
    </row>
    <row r="243" spans="1:7" x14ac:dyDescent="0.25">
      <c r="A243" s="2">
        <v>2025</v>
      </c>
      <c r="B243" s="2" t="s">
        <v>76</v>
      </c>
      <c r="C243" s="8">
        <v>18</v>
      </c>
      <c r="D243" s="2">
        <v>2</v>
      </c>
      <c r="E243" s="2">
        <v>1</v>
      </c>
      <c r="F243" s="2">
        <v>3</v>
      </c>
      <c r="G243" s="2">
        <v>2</v>
      </c>
    </row>
    <row r="244" spans="1:7" x14ac:dyDescent="0.25">
      <c r="A244" s="2">
        <v>2025</v>
      </c>
      <c r="B244" s="2" t="s">
        <v>76</v>
      </c>
      <c r="C244" s="8">
        <v>19</v>
      </c>
      <c r="D244" s="2">
        <v>2</v>
      </c>
      <c r="E244" s="2">
        <v>1</v>
      </c>
      <c r="F244" s="2">
        <v>1</v>
      </c>
      <c r="G244" s="2">
        <v>4</v>
      </c>
    </row>
    <row r="245" spans="1:7" x14ac:dyDescent="0.25">
      <c r="A245" s="2">
        <v>2025</v>
      </c>
      <c r="B245" s="2" t="s">
        <v>76</v>
      </c>
      <c r="C245" s="8">
        <v>20</v>
      </c>
      <c r="D245" s="2">
        <v>1</v>
      </c>
      <c r="E245" s="2">
        <v>1</v>
      </c>
      <c r="F245" s="2">
        <v>3</v>
      </c>
      <c r="G245" s="2">
        <v>1</v>
      </c>
    </row>
    <row r="246" spans="1:7" x14ac:dyDescent="0.25">
      <c r="A246" s="2">
        <v>2025</v>
      </c>
      <c r="B246" s="2" t="s">
        <v>76</v>
      </c>
      <c r="C246" s="8">
        <v>21</v>
      </c>
      <c r="D246" s="2">
        <v>1</v>
      </c>
      <c r="E246" s="2">
        <v>2</v>
      </c>
      <c r="F246" s="2">
        <v>3</v>
      </c>
      <c r="G246" s="2">
        <v>4</v>
      </c>
    </row>
    <row r="247" spans="1:7" x14ac:dyDescent="0.25">
      <c r="A247" s="2">
        <v>2025</v>
      </c>
      <c r="B247" s="2" t="s">
        <v>76</v>
      </c>
      <c r="C247" s="8">
        <v>22</v>
      </c>
      <c r="D247" s="2">
        <v>1</v>
      </c>
      <c r="E247" s="2">
        <v>2</v>
      </c>
      <c r="F247" s="2">
        <v>2</v>
      </c>
      <c r="G247" s="2">
        <v>2</v>
      </c>
    </row>
    <row r="248" spans="1:7" x14ac:dyDescent="0.25">
      <c r="A248" s="2">
        <v>2025</v>
      </c>
      <c r="B248" s="2" t="s">
        <v>76</v>
      </c>
      <c r="C248" s="8">
        <v>23</v>
      </c>
      <c r="D248" s="2">
        <v>2</v>
      </c>
      <c r="E248" s="2">
        <v>1</v>
      </c>
      <c r="F248" s="2">
        <v>1</v>
      </c>
      <c r="G248" s="2">
        <v>3</v>
      </c>
    </row>
    <row r="249" spans="1:7" x14ac:dyDescent="0.25">
      <c r="A249" s="2">
        <v>2025</v>
      </c>
      <c r="B249" s="2" t="s">
        <v>76</v>
      </c>
      <c r="C249" s="8">
        <v>24</v>
      </c>
      <c r="D249" s="2">
        <v>1</v>
      </c>
      <c r="E249" s="2">
        <v>2</v>
      </c>
      <c r="F249" s="2">
        <v>3</v>
      </c>
      <c r="G249" s="2">
        <v>1</v>
      </c>
    </row>
    <row r="250" spans="1:7" x14ac:dyDescent="0.25">
      <c r="A250" s="2">
        <v>2025</v>
      </c>
      <c r="B250" s="2" t="s">
        <v>76</v>
      </c>
      <c r="C250" s="8">
        <v>25</v>
      </c>
      <c r="D250" s="2">
        <v>1</v>
      </c>
      <c r="E250" s="2">
        <v>2</v>
      </c>
      <c r="F250" s="2">
        <v>3</v>
      </c>
      <c r="G250" s="2">
        <v>3</v>
      </c>
    </row>
    <row r="251" spans="1:7" x14ac:dyDescent="0.25">
      <c r="A251" s="2">
        <v>2025</v>
      </c>
      <c r="B251" s="2" t="s">
        <v>76</v>
      </c>
      <c r="C251" s="8">
        <v>26</v>
      </c>
      <c r="D251" s="2">
        <v>2</v>
      </c>
      <c r="E251" s="2">
        <v>1</v>
      </c>
      <c r="F251" s="2">
        <v>4</v>
      </c>
      <c r="G251" s="2">
        <v>1</v>
      </c>
    </row>
    <row r="252" spans="1:7" x14ac:dyDescent="0.25">
      <c r="A252" s="2">
        <v>2025</v>
      </c>
      <c r="B252" s="2" t="s">
        <v>76</v>
      </c>
      <c r="C252" s="8">
        <v>27</v>
      </c>
      <c r="D252" s="2">
        <v>1</v>
      </c>
      <c r="E252" s="2">
        <v>1</v>
      </c>
      <c r="F252" s="2">
        <v>3</v>
      </c>
      <c r="G252" s="2">
        <v>1</v>
      </c>
    </row>
    <row r="253" spans="1:7" x14ac:dyDescent="0.25">
      <c r="A253" s="2">
        <v>2025</v>
      </c>
      <c r="B253" s="2" t="s">
        <v>76</v>
      </c>
      <c r="C253" s="8">
        <v>28</v>
      </c>
      <c r="D253" s="2">
        <v>3</v>
      </c>
      <c r="E253" s="2">
        <v>1</v>
      </c>
      <c r="F253" s="2">
        <v>2</v>
      </c>
      <c r="G253" s="2">
        <v>3</v>
      </c>
    </row>
    <row r="254" spans="1:7" x14ac:dyDescent="0.25">
      <c r="A254" s="2">
        <v>2025</v>
      </c>
      <c r="B254" s="2" t="s">
        <v>77</v>
      </c>
      <c r="C254" s="8">
        <v>1</v>
      </c>
      <c r="D254" s="2">
        <v>3</v>
      </c>
      <c r="E254" s="2">
        <v>2</v>
      </c>
      <c r="F254" s="2">
        <v>2</v>
      </c>
      <c r="G254" s="2">
        <v>2</v>
      </c>
    </row>
    <row r="255" spans="1:7" x14ac:dyDescent="0.25">
      <c r="A255" s="2">
        <v>2025</v>
      </c>
      <c r="B255" s="2" t="s">
        <v>77</v>
      </c>
      <c r="C255" s="8">
        <v>2</v>
      </c>
      <c r="D255" s="2">
        <v>4</v>
      </c>
      <c r="E255" s="2">
        <v>1</v>
      </c>
      <c r="F255" s="2">
        <v>2</v>
      </c>
      <c r="G255" s="2">
        <v>1</v>
      </c>
    </row>
    <row r="256" spans="1:7" x14ac:dyDescent="0.25">
      <c r="A256" s="2">
        <v>2025</v>
      </c>
      <c r="B256" s="2" t="s">
        <v>77</v>
      </c>
      <c r="C256" s="8">
        <v>3</v>
      </c>
      <c r="D256" s="2">
        <v>1</v>
      </c>
      <c r="E256" s="2">
        <v>1</v>
      </c>
      <c r="F256" s="2">
        <v>1</v>
      </c>
      <c r="G256" s="2">
        <v>3</v>
      </c>
    </row>
    <row r="257" spans="1:7" x14ac:dyDescent="0.25">
      <c r="A257" s="2">
        <v>2025</v>
      </c>
      <c r="B257" s="2" t="s">
        <v>77</v>
      </c>
      <c r="C257" s="8">
        <v>4</v>
      </c>
      <c r="D257" s="2">
        <v>1</v>
      </c>
      <c r="E257" s="2">
        <v>1</v>
      </c>
      <c r="F257" s="2">
        <v>1</v>
      </c>
      <c r="G257" s="2">
        <v>1</v>
      </c>
    </row>
    <row r="258" spans="1:7" x14ac:dyDescent="0.25">
      <c r="A258" s="2">
        <v>2025</v>
      </c>
      <c r="B258" s="2" t="s">
        <v>77</v>
      </c>
      <c r="C258" s="8">
        <v>5</v>
      </c>
      <c r="D258" s="2">
        <v>4</v>
      </c>
      <c r="E258" s="2">
        <v>2</v>
      </c>
      <c r="F258" s="2">
        <v>4</v>
      </c>
      <c r="G258" s="2">
        <v>3</v>
      </c>
    </row>
    <row r="259" spans="1:7" x14ac:dyDescent="0.25">
      <c r="A259" s="2">
        <v>2025</v>
      </c>
      <c r="B259" s="2" t="s">
        <v>77</v>
      </c>
      <c r="C259" s="8">
        <v>6</v>
      </c>
      <c r="D259" s="2">
        <v>3</v>
      </c>
      <c r="E259" s="2">
        <v>1</v>
      </c>
      <c r="F259" s="2">
        <v>3</v>
      </c>
      <c r="G259" s="2">
        <v>1</v>
      </c>
    </row>
    <row r="260" spans="1:7" x14ac:dyDescent="0.25">
      <c r="A260" s="2">
        <v>2025</v>
      </c>
      <c r="B260" s="2" t="s">
        <v>77</v>
      </c>
      <c r="C260" s="8">
        <v>7</v>
      </c>
      <c r="D260" s="2">
        <v>4</v>
      </c>
      <c r="E260" s="2">
        <v>1</v>
      </c>
      <c r="F260" s="2">
        <v>3</v>
      </c>
      <c r="G260" s="2">
        <v>2</v>
      </c>
    </row>
    <row r="261" spans="1:7" x14ac:dyDescent="0.25">
      <c r="A261" s="2">
        <v>2025</v>
      </c>
      <c r="B261" s="2" t="s">
        <v>77</v>
      </c>
      <c r="C261" s="8">
        <v>8</v>
      </c>
      <c r="D261" s="2">
        <v>3</v>
      </c>
      <c r="E261" s="2">
        <v>3</v>
      </c>
      <c r="F261" s="2">
        <v>2</v>
      </c>
      <c r="G261" s="2">
        <v>1</v>
      </c>
    </row>
    <row r="262" spans="1:7" x14ac:dyDescent="0.25">
      <c r="A262" s="2">
        <v>2025</v>
      </c>
      <c r="B262" s="2" t="s">
        <v>77</v>
      </c>
      <c r="C262" s="8">
        <v>9</v>
      </c>
      <c r="D262" s="2">
        <v>1</v>
      </c>
      <c r="E262" s="2">
        <v>1</v>
      </c>
      <c r="F262" s="2">
        <v>1</v>
      </c>
      <c r="G262" s="2">
        <v>3</v>
      </c>
    </row>
    <row r="263" spans="1:7" x14ac:dyDescent="0.25">
      <c r="A263" s="2">
        <v>2025</v>
      </c>
      <c r="B263" s="2" t="s">
        <v>77</v>
      </c>
      <c r="C263" s="8">
        <v>10</v>
      </c>
      <c r="D263" s="2">
        <v>2</v>
      </c>
      <c r="E263" s="2">
        <v>4</v>
      </c>
      <c r="F263" s="2">
        <v>1</v>
      </c>
      <c r="G263" s="2">
        <v>1</v>
      </c>
    </row>
    <row r="264" spans="1:7" x14ac:dyDescent="0.25">
      <c r="A264" s="2">
        <v>2025</v>
      </c>
      <c r="B264" s="2" t="s">
        <v>77</v>
      </c>
      <c r="C264" s="8">
        <v>11</v>
      </c>
      <c r="D264" s="2">
        <v>2</v>
      </c>
      <c r="E264" s="2">
        <v>1</v>
      </c>
      <c r="F264" s="2">
        <v>2</v>
      </c>
      <c r="G264" s="2">
        <v>2</v>
      </c>
    </row>
    <row r="265" spans="1:7" x14ac:dyDescent="0.25">
      <c r="A265" s="2">
        <v>2025</v>
      </c>
      <c r="B265" s="2" t="s">
        <v>77</v>
      </c>
      <c r="C265" s="8">
        <v>12</v>
      </c>
      <c r="D265" s="2">
        <v>2</v>
      </c>
      <c r="E265" s="2">
        <v>1</v>
      </c>
      <c r="F265" s="2">
        <v>1</v>
      </c>
      <c r="G265" s="2">
        <v>1</v>
      </c>
    </row>
    <row r="266" spans="1:7" x14ac:dyDescent="0.25">
      <c r="A266" s="2">
        <v>2025</v>
      </c>
      <c r="B266" s="2" t="s">
        <v>77</v>
      </c>
      <c r="C266" s="8">
        <v>13</v>
      </c>
      <c r="D266" s="2">
        <v>2</v>
      </c>
      <c r="E266" s="2">
        <v>1</v>
      </c>
      <c r="F266" s="2">
        <v>2</v>
      </c>
      <c r="G266" s="2">
        <v>4</v>
      </c>
    </row>
    <row r="267" spans="1:7" x14ac:dyDescent="0.25">
      <c r="A267" s="2">
        <v>2025</v>
      </c>
      <c r="B267" s="2" t="s">
        <v>77</v>
      </c>
      <c r="C267" s="8">
        <v>14</v>
      </c>
      <c r="D267" s="2">
        <v>3</v>
      </c>
      <c r="E267" s="2">
        <v>1</v>
      </c>
      <c r="F267" s="2">
        <v>1</v>
      </c>
      <c r="G267" s="2">
        <v>4</v>
      </c>
    </row>
    <row r="268" spans="1:7" x14ac:dyDescent="0.25">
      <c r="A268" s="2">
        <v>2025</v>
      </c>
      <c r="B268" s="2" t="s">
        <v>77</v>
      </c>
      <c r="C268" s="8">
        <v>15</v>
      </c>
      <c r="D268" s="2">
        <v>2</v>
      </c>
      <c r="E268" s="2">
        <v>4</v>
      </c>
      <c r="F268" s="2">
        <v>3</v>
      </c>
      <c r="G268" s="2">
        <v>2</v>
      </c>
    </row>
    <row r="269" spans="1:7" x14ac:dyDescent="0.25">
      <c r="A269" s="2">
        <v>2025</v>
      </c>
      <c r="B269" s="2" t="s">
        <v>77</v>
      </c>
      <c r="C269" s="8">
        <v>16</v>
      </c>
      <c r="D269" s="2">
        <v>2</v>
      </c>
      <c r="E269" s="2">
        <v>1</v>
      </c>
      <c r="F269" s="2">
        <v>1</v>
      </c>
      <c r="G269" s="2">
        <v>1</v>
      </c>
    </row>
    <row r="270" spans="1:7" x14ac:dyDescent="0.25">
      <c r="A270" s="2">
        <v>2025</v>
      </c>
      <c r="B270" s="2" t="s">
        <v>77</v>
      </c>
      <c r="C270" s="8">
        <v>17</v>
      </c>
      <c r="D270" s="2">
        <v>3</v>
      </c>
      <c r="E270" s="2">
        <v>4</v>
      </c>
      <c r="F270" s="2">
        <v>1</v>
      </c>
      <c r="G270" s="2">
        <v>2</v>
      </c>
    </row>
    <row r="271" spans="1:7" x14ac:dyDescent="0.25">
      <c r="A271" s="2">
        <v>2025</v>
      </c>
      <c r="B271" s="2" t="s">
        <v>77</v>
      </c>
      <c r="C271" s="8">
        <v>18</v>
      </c>
      <c r="D271" s="2">
        <v>1</v>
      </c>
      <c r="E271" s="2">
        <v>4</v>
      </c>
      <c r="F271" s="2">
        <v>1</v>
      </c>
      <c r="G271" s="2">
        <v>3</v>
      </c>
    </row>
    <row r="272" spans="1:7" x14ac:dyDescent="0.25">
      <c r="A272" s="2">
        <v>2025</v>
      </c>
      <c r="B272" s="2" t="s">
        <v>77</v>
      </c>
      <c r="C272" s="8">
        <v>19</v>
      </c>
      <c r="D272" s="2">
        <v>2</v>
      </c>
      <c r="E272" s="2">
        <v>2</v>
      </c>
      <c r="F272" s="2">
        <v>1</v>
      </c>
      <c r="G272" s="2">
        <v>1</v>
      </c>
    </row>
    <row r="273" spans="1:7" x14ac:dyDescent="0.25">
      <c r="A273" s="2">
        <v>2025</v>
      </c>
      <c r="B273" s="2" t="s">
        <v>77</v>
      </c>
      <c r="C273" s="8">
        <v>20</v>
      </c>
      <c r="D273" s="2">
        <v>2</v>
      </c>
      <c r="E273" s="2">
        <v>2</v>
      </c>
      <c r="F273" s="2">
        <v>4</v>
      </c>
      <c r="G273" s="2">
        <v>1</v>
      </c>
    </row>
    <row r="274" spans="1:7" x14ac:dyDescent="0.25">
      <c r="A274" s="2">
        <v>2025</v>
      </c>
      <c r="B274" s="2" t="s">
        <v>77</v>
      </c>
      <c r="C274" s="8">
        <v>21</v>
      </c>
      <c r="D274" s="2">
        <v>1</v>
      </c>
      <c r="E274" s="2">
        <v>1</v>
      </c>
      <c r="F274" s="2">
        <v>1</v>
      </c>
      <c r="G274" s="2">
        <v>2</v>
      </c>
    </row>
    <row r="275" spans="1:7" x14ac:dyDescent="0.25">
      <c r="A275" s="2">
        <v>2025</v>
      </c>
      <c r="B275" s="2" t="s">
        <v>77</v>
      </c>
      <c r="C275" s="8">
        <v>22</v>
      </c>
      <c r="D275" s="2">
        <v>3</v>
      </c>
      <c r="E275" s="2">
        <v>1</v>
      </c>
      <c r="F275" s="2">
        <v>2</v>
      </c>
      <c r="G275" s="2">
        <v>2</v>
      </c>
    </row>
    <row r="276" spans="1:7" x14ac:dyDescent="0.25">
      <c r="A276" s="2">
        <v>2025</v>
      </c>
      <c r="B276" s="2" t="s">
        <v>77</v>
      </c>
      <c r="C276" s="8">
        <v>23</v>
      </c>
      <c r="D276" s="2">
        <v>1</v>
      </c>
      <c r="E276" s="2">
        <v>1</v>
      </c>
      <c r="F276" s="2">
        <v>3</v>
      </c>
      <c r="G276" s="2">
        <v>1</v>
      </c>
    </row>
    <row r="277" spans="1:7" x14ac:dyDescent="0.25">
      <c r="A277" s="2">
        <v>2025</v>
      </c>
      <c r="B277" s="2" t="s">
        <v>77</v>
      </c>
      <c r="C277" s="8">
        <v>24</v>
      </c>
      <c r="D277" s="2">
        <v>1</v>
      </c>
      <c r="E277" s="2">
        <v>2</v>
      </c>
      <c r="F277" s="2">
        <v>2</v>
      </c>
      <c r="G277" s="2">
        <v>3</v>
      </c>
    </row>
    <row r="278" spans="1:7" x14ac:dyDescent="0.25">
      <c r="A278" s="2">
        <v>2025</v>
      </c>
      <c r="B278" s="2" t="s">
        <v>77</v>
      </c>
      <c r="C278" s="8">
        <v>25</v>
      </c>
      <c r="D278" s="2">
        <v>1</v>
      </c>
      <c r="E278" s="2">
        <v>3</v>
      </c>
      <c r="F278" s="2">
        <v>2</v>
      </c>
      <c r="G278" s="2">
        <v>4</v>
      </c>
    </row>
    <row r="279" spans="1:7" x14ac:dyDescent="0.25">
      <c r="A279" s="2">
        <v>2025</v>
      </c>
      <c r="B279" s="2" t="s">
        <v>77</v>
      </c>
      <c r="C279" s="8">
        <v>26</v>
      </c>
      <c r="D279" s="2">
        <v>3</v>
      </c>
      <c r="E279" s="2">
        <v>2</v>
      </c>
      <c r="F279" s="2">
        <v>1</v>
      </c>
      <c r="G279" s="2">
        <v>3</v>
      </c>
    </row>
    <row r="280" spans="1:7" x14ac:dyDescent="0.25">
      <c r="A280" s="2">
        <v>2025</v>
      </c>
      <c r="B280" s="2" t="s">
        <v>77</v>
      </c>
      <c r="C280" s="8">
        <v>27</v>
      </c>
      <c r="D280" s="2">
        <v>4</v>
      </c>
      <c r="E280" s="2">
        <v>3</v>
      </c>
      <c r="F280" s="2">
        <v>2</v>
      </c>
      <c r="G280" s="2">
        <v>1</v>
      </c>
    </row>
    <row r="281" spans="1:7" x14ac:dyDescent="0.25">
      <c r="A281" s="2">
        <v>2025</v>
      </c>
      <c r="B281" s="2" t="s">
        <v>77</v>
      </c>
      <c r="C281" s="8">
        <v>28</v>
      </c>
      <c r="D281" s="2">
        <v>1</v>
      </c>
      <c r="E281" s="2">
        <v>1</v>
      </c>
      <c r="F281" s="2">
        <v>2</v>
      </c>
      <c r="G281" s="2">
        <v>1</v>
      </c>
    </row>
    <row r="282" spans="1:7" x14ac:dyDescent="0.25">
      <c r="A282" s="2">
        <v>2025</v>
      </c>
      <c r="B282" s="2" t="s">
        <v>78</v>
      </c>
      <c r="C282" s="8">
        <v>1</v>
      </c>
      <c r="D282" s="2">
        <v>4</v>
      </c>
      <c r="E282" s="2">
        <v>2</v>
      </c>
      <c r="F282" s="2">
        <v>2</v>
      </c>
      <c r="G282" s="2">
        <v>4</v>
      </c>
    </row>
    <row r="283" spans="1:7" x14ac:dyDescent="0.25">
      <c r="A283" s="2">
        <v>2025</v>
      </c>
      <c r="B283" s="2" t="s">
        <v>78</v>
      </c>
      <c r="C283" s="8">
        <v>2</v>
      </c>
      <c r="D283" s="2">
        <v>4</v>
      </c>
      <c r="E283" s="2">
        <v>1</v>
      </c>
      <c r="F283" s="2">
        <v>2</v>
      </c>
      <c r="G283" s="2">
        <v>2</v>
      </c>
    </row>
    <row r="284" spans="1:7" x14ac:dyDescent="0.25">
      <c r="A284" s="2">
        <v>2025</v>
      </c>
      <c r="B284" s="2" t="s">
        <v>78</v>
      </c>
      <c r="C284" s="8">
        <v>3</v>
      </c>
      <c r="D284" s="2">
        <v>1</v>
      </c>
      <c r="E284" s="2">
        <v>1</v>
      </c>
      <c r="F284" s="2">
        <v>1</v>
      </c>
      <c r="G284" s="2">
        <v>1</v>
      </c>
    </row>
    <row r="285" spans="1:7" x14ac:dyDescent="0.25">
      <c r="A285" s="2">
        <v>2025</v>
      </c>
      <c r="B285" s="2" t="s">
        <v>78</v>
      </c>
      <c r="C285" s="8">
        <v>4</v>
      </c>
      <c r="D285" s="2">
        <v>1</v>
      </c>
      <c r="E285" s="2">
        <v>2</v>
      </c>
      <c r="F285" s="2">
        <v>3</v>
      </c>
      <c r="G285" s="2">
        <v>3</v>
      </c>
    </row>
    <row r="286" spans="1:7" x14ac:dyDescent="0.25">
      <c r="A286" s="2">
        <v>2025</v>
      </c>
      <c r="B286" s="2" t="s">
        <v>78</v>
      </c>
      <c r="C286" s="8">
        <v>5</v>
      </c>
      <c r="D286" s="2">
        <v>2</v>
      </c>
      <c r="E286" s="2">
        <v>2</v>
      </c>
      <c r="F286" s="2">
        <v>1</v>
      </c>
      <c r="G286" s="2">
        <v>1</v>
      </c>
    </row>
    <row r="287" spans="1:7" x14ac:dyDescent="0.25">
      <c r="A287" s="2">
        <v>2025</v>
      </c>
      <c r="B287" s="2" t="s">
        <v>78</v>
      </c>
      <c r="C287" s="8">
        <v>6</v>
      </c>
      <c r="D287" s="2">
        <v>3</v>
      </c>
      <c r="E287" s="2">
        <v>1</v>
      </c>
      <c r="F287" s="2">
        <v>2</v>
      </c>
      <c r="G287" s="2">
        <v>2</v>
      </c>
    </row>
    <row r="288" spans="1:7" x14ac:dyDescent="0.25">
      <c r="A288" s="2">
        <v>2025</v>
      </c>
      <c r="B288" s="2" t="s">
        <v>78</v>
      </c>
      <c r="C288" s="8">
        <v>7</v>
      </c>
      <c r="D288" s="2">
        <v>2</v>
      </c>
      <c r="E288" s="2">
        <v>4</v>
      </c>
      <c r="F288" s="2">
        <v>1</v>
      </c>
      <c r="G288" s="2">
        <v>1</v>
      </c>
    </row>
    <row r="289" spans="1:7" x14ac:dyDescent="0.25">
      <c r="A289" s="2">
        <v>2025</v>
      </c>
      <c r="B289" s="2" t="s">
        <v>78</v>
      </c>
      <c r="C289" s="8">
        <v>8</v>
      </c>
      <c r="D289" s="2">
        <v>2</v>
      </c>
      <c r="E289" s="2">
        <v>1</v>
      </c>
      <c r="F289" s="2">
        <v>1</v>
      </c>
      <c r="G289" s="2">
        <v>1</v>
      </c>
    </row>
    <row r="290" spans="1:7" x14ac:dyDescent="0.25">
      <c r="A290" s="2">
        <v>2025</v>
      </c>
      <c r="B290" s="2" t="s">
        <v>78</v>
      </c>
      <c r="C290" s="8">
        <v>9</v>
      </c>
      <c r="D290" s="2">
        <v>3</v>
      </c>
      <c r="E290" s="2">
        <v>1</v>
      </c>
      <c r="F290" s="2">
        <v>1</v>
      </c>
      <c r="G290" s="2">
        <v>3</v>
      </c>
    </row>
    <row r="291" spans="1:7" x14ac:dyDescent="0.25">
      <c r="A291" s="2">
        <v>2025</v>
      </c>
      <c r="B291" s="2" t="s">
        <v>78</v>
      </c>
      <c r="C291" s="8">
        <v>10</v>
      </c>
      <c r="D291" s="2">
        <v>1</v>
      </c>
      <c r="E291" s="2">
        <v>1</v>
      </c>
      <c r="F291" s="2">
        <v>1</v>
      </c>
      <c r="G291" s="2">
        <v>2</v>
      </c>
    </row>
    <row r="292" spans="1:7" x14ac:dyDescent="0.25">
      <c r="A292" s="2">
        <v>2025</v>
      </c>
      <c r="B292" s="2" t="s">
        <v>78</v>
      </c>
      <c r="C292" s="8">
        <v>11</v>
      </c>
      <c r="D292" s="2">
        <v>2</v>
      </c>
      <c r="E292" s="2">
        <v>1</v>
      </c>
      <c r="F292" s="2">
        <v>2</v>
      </c>
      <c r="G292" s="2">
        <v>4</v>
      </c>
    </row>
    <row r="293" spans="1:7" x14ac:dyDescent="0.25">
      <c r="A293" s="2">
        <v>2025</v>
      </c>
      <c r="B293" s="2" t="s">
        <v>78</v>
      </c>
      <c r="C293" s="8">
        <v>12</v>
      </c>
      <c r="D293" s="2">
        <v>1</v>
      </c>
      <c r="E293" s="2">
        <v>1</v>
      </c>
      <c r="F293" s="2">
        <v>3</v>
      </c>
      <c r="G293" s="2">
        <v>1</v>
      </c>
    </row>
    <row r="294" spans="1:7" x14ac:dyDescent="0.25">
      <c r="A294" s="2">
        <v>2025</v>
      </c>
      <c r="B294" s="2" t="s">
        <v>78</v>
      </c>
      <c r="C294" s="8">
        <v>13</v>
      </c>
      <c r="D294" s="2">
        <v>1</v>
      </c>
      <c r="E294" s="2">
        <v>1</v>
      </c>
      <c r="F294" s="2">
        <v>1</v>
      </c>
      <c r="G294" s="2">
        <v>2</v>
      </c>
    </row>
    <row r="295" spans="1:7" x14ac:dyDescent="0.25">
      <c r="A295" s="2">
        <v>2025</v>
      </c>
      <c r="B295" s="2" t="s">
        <v>78</v>
      </c>
      <c r="C295" s="8">
        <v>14</v>
      </c>
      <c r="D295" s="2">
        <v>1</v>
      </c>
      <c r="E295" s="2">
        <v>4</v>
      </c>
      <c r="F295" s="2">
        <v>1</v>
      </c>
      <c r="G295" s="2">
        <v>3</v>
      </c>
    </row>
    <row r="296" spans="1:7" x14ac:dyDescent="0.25">
      <c r="A296" s="2">
        <v>2025</v>
      </c>
      <c r="B296" s="2" t="s">
        <v>78</v>
      </c>
      <c r="C296" s="8">
        <v>15</v>
      </c>
      <c r="D296" s="2">
        <v>1</v>
      </c>
      <c r="E296" s="2">
        <v>1</v>
      </c>
      <c r="F296" s="2">
        <v>3</v>
      </c>
      <c r="G296" s="2">
        <v>2</v>
      </c>
    </row>
    <row r="297" spans="1:7" x14ac:dyDescent="0.25">
      <c r="A297" s="2">
        <v>2025</v>
      </c>
      <c r="B297" s="2" t="s">
        <v>78</v>
      </c>
      <c r="C297" s="8">
        <v>16</v>
      </c>
      <c r="D297" s="2">
        <v>2</v>
      </c>
      <c r="E297" s="2">
        <v>3</v>
      </c>
      <c r="F297" s="2">
        <v>1</v>
      </c>
      <c r="G297" s="2">
        <v>1</v>
      </c>
    </row>
    <row r="298" spans="1:7" x14ac:dyDescent="0.25">
      <c r="A298" s="2">
        <v>2025</v>
      </c>
      <c r="B298" s="2" t="s">
        <v>78</v>
      </c>
      <c r="C298" s="8">
        <v>17</v>
      </c>
      <c r="D298" s="2">
        <v>1</v>
      </c>
      <c r="E298" s="2">
        <v>1</v>
      </c>
      <c r="F298" s="2">
        <v>4</v>
      </c>
      <c r="G298" s="2">
        <v>2</v>
      </c>
    </row>
    <row r="299" spans="1:7" x14ac:dyDescent="0.25">
      <c r="A299" s="2">
        <v>2025</v>
      </c>
      <c r="B299" s="2" t="s">
        <v>78</v>
      </c>
      <c r="C299" s="8">
        <v>18</v>
      </c>
      <c r="D299" s="2">
        <v>1</v>
      </c>
      <c r="E299" s="2">
        <v>2</v>
      </c>
      <c r="F299" s="2">
        <v>1</v>
      </c>
      <c r="G299" s="2">
        <v>1</v>
      </c>
    </row>
    <row r="300" spans="1:7" x14ac:dyDescent="0.25">
      <c r="A300" s="2">
        <v>2025</v>
      </c>
      <c r="B300" s="2" t="s">
        <v>78</v>
      </c>
      <c r="C300" s="8">
        <v>19</v>
      </c>
      <c r="D300" s="2">
        <v>1</v>
      </c>
      <c r="E300" s="2">
        <v>3</v>
      </c>
      <c r="F300" s="2">
        <v>1</v>
      </c>
      <c r="G300" s="2">
        <v>1</v>
      </c>
    </row>
    <row r="301" spans="1:7" x14ac:dyDescent="0.25">
      <c r="A301" s="2">
        <v>2025</v>
      </c>
      <c r="B301" s="2" t="s">
        <v>78</v>
      </c>
      <c r="C301" s="8">
        <v>20</v>
      </c>
      <c r="D301" s="2">
        <v>1</v>
      </c>
      <c r="E301" s="2">
        <v>2</v>
      </c>
      <c r="F301" s="2">
        <v>3</v>
      </c>
      <c r="G301" s="2">
        <v>1</v>
      </c>
    </row>
    <row r="302" spans="1:7" x14ac:dyDescent="0.25">
      <c r="A302" s="2">
        <v>2025</v>
      </c>
      <c r="B302" s="2" t="s">
        <v>78</v>
      </c>
      <c r="C302" s="8">
        <v>21</v>
      </c>
      <c r="D302" s="2">
        <v>1</v>
      </c>
      <c r="E302" s="2">
        <v>4</v>
      </c>
      <c r="F302" s="2">
        <v>2</v>
      </c>
      <c r="G302" s="2">
        <v>2</v>
      </c>
    </row>
    <row r="303" spans="1:7" x14ac:dyDescent="0.25">
      <c r="A303" s="2">
        <v>2025</v>
      </c>
      <c r="B303" s="2" t="s">
        <v>78</v>
      </c>
      <c r="C303" s="8">
        <v>22</v>
      </c>
      <c r="D303" s="2">
        <v>2</v>
      </c>
      <c r="E303" s="2">
        <v>1</v>
      </c>
      <c r="F303" s="2">
        <v>2</v>
      </c>
      <c r="G303" s="2">
        <v>3</v>
      </c>
    </row>
    <row r="304" spans="1:7" x14ac:dyDescent="0.25">
      <c r="A304" s="2">
        <v>2025</v>
      </c>
      <c r="B304" s="2" t="s">
        <v>78</v>
      </c>
      <c r="C304" s="8">
        <v>23</v>
      </c>
      <c r="D304" s="2">
        <v>1</v>
      </c>
      <c r="E304" s="2">
        <v>1</v>
      </c>
      <c r="F304" s="2">
        <v>4</v>
      </c>
      <c r="G304" s="2">
        <v>2</v>
      </c>
    </row>
    <row r="305" spans="1:7" x14ac:dyDescent="0.25">
      <c r="A305" s="2">
        <v>2025</v>
      </c>
      <c r="B305" s="2" t="s">
        <v>78</v>
      </c>
      <c r="C305" s="8">
        <v>24</v>
      </c>
      <c r="D305" s="2">
        <v>3</v>
      </c>
      <c r="E305" s="2">
        <v>2</v>
      </c>
      <c r="F305" s="2">
        <v>4</v>
      </c>
      <c r="G305" s="2">
        <v>1</v>
      </c>
    </row>
    <row r="306" spans="1:7" x14ac:dyDescent="0.25">
      <c r="A306" s="2">
        <v>2025</v>
      </c>
      <c r="B306" s="2" t="s">
        <v>78</v>
      </c>
      <c r="C306" s="8">
        <v>25</v>
      </c>
      <c r="D306" s="2">
        <v>3</v>
      </c>
      <c r="E306" s="2">
        <v>1</v>
      </c>
      <c r="F306" s="2">
        <v>3</v>
      </c>
      <c r="G306" s="2">
        <v>4</v>
      </c>
    </row>
    <row r="307" spans="1:7" x14ac:dyDescent="0.25">
      <c r="A307" s="2">
        <v>2025</v>
      </c>
      <c r="B307" s="2" t="s">
        <v>78</v>
      </c>
      <c r="C307" s="8">
        <v>26</v>
      </c>
      <c r="D307" s="2">
        <v>1</v>
      </c>
      <c r="E307" s="2">
        <v>3</v>
      </c>
      <c r="F307" s="2">
        <v>3</v>
      </c>
      <c r="G307" s="2">
        <v>2</v>
      </c>
    </row>
    <row r="308" spans="1:7" x14ac:dyDescent="0.25">
      <c r="A308" s="2">
        <v>2025</v>
      </c>
      <c r="B308" s="2" t="s">
        <v>78</v>
      </c>
      <c r="C308" s="8">
        <v>27</v>
      </c>
      <c r="D308" s="2">
        <v>2</v>
      </c>
      <c r="E308" s="2">
        <v>1</v>
      </c>
      <c r="F308" s="2">
        <v>4</v>
      </c>
      <c r="G308" s="2">
        <v>1</v>
      </c>
    </row>
    <row r="309" spans="1:7" x14ac:dyDescent="0.25">
      <c r="A309" s="2">
        <v>2025</v>
      </c>
      <c r="B309" s="2" t="s">
        <v>78</v>
      </c>
      <c r="C309" s="8">
        <v>28</v>
      </c>
      <c r="D309" s="2">
        <v>2</v>
      </c>
      <c r="E309" s="2">
        <v>1</v>
      </c>
      <c r="F309" s="2">
        <v>1</v>
      </c>
      <c r="G309" s="2">
        <v>1</v>
      </c>
    </row>
    <row r="310" spans="1:7" x14ac:dyDescent="0.25">
      <c r="A310" s="2">
        <v>2025</v>
      </c>
      <c r="B310" s="2" t="s">
        <v>79</v>
      </c>
      <c r="C310" s="8">
        <v>1</v>
      </c>
      <c r="D310" s="2">
        <v>3</v>
      </c>
      <c r="E310" s="2">
        <v>2</v>
      </c>
      <c r="F310" s="2">
        <v>2</v>
      </c>
      <c r="G310" s="2">
        <v>1</v>
      </c>
    </row>
    <row r="311" spans="1:7" x14ac:dyDescent="0.25">
      <c r="A311" s="2">
        <v>2025</v>
      </c>
      <c r="B311" s="2" t="s">
        <v>79</v>
      </c>
      <c r="C311" s="8">
        <v>2</v>
      </c>
      <c r="D311" s="2">
        <v>1</v>
      </c>
      <c r="E311" s="2">
        <v>2</v>
      </c>
      <c r="F311" s="2">
        <v>2</v>
      </c>
      <c r="G311" s="2">
        <v>3</v>
      </c>
    </row>
    <row r="312" spans="1:7" x14ac:dyDescent="0.25">
      <c r="A312" s="2">
        <v>2025</v>
      </c>
      <c r="B312" s="2" t="s">
        <v>79</v>
      </c>
      <c r="C312" s="8">
        <v>3</v>
      </c>
      <c r="D312" s="2">
        <v>3</v>
      </c>
      <c r="E312" s="2">
        <v>2</v>
      </c>
      <c r="F312" s="2">
        <v>2</v>
      </c>
      <c r="G312" s="2">
        <v>3</v>
      </c>
    </row>
    <row r="313" spans="1:7" x14ac:dyDescent="0.25">
      <c r="A313" s="2">
        <v>2025</v>
      </c>
      <c r="B313" s="2" t="s">
        <v>79</v>
      </c>
      <c r="C313" s="8">
        <v>4</v>
      </c>
      <c r="D313" s="2">
        <v>1</v>
      </c>
      <c r="E313" s="2">
        <v>2</v>
      </c>
      <c r="F313" s="2">
        <v>1</v>
      </c>
      <c r="G313" s="2">
        <v>4</v>
      </c>
    </row>
    <row r="314" spans="1:7" x14ac:dyDescent="0.25">
      <c r="A314" s="2">
        <v>2025</v>
      </c>
      <c r="B314" s="2" t="s">
        <v>79</v>
      </c>
      <c r="C314" s="8">
        <v>5</v>
      </c>
      <c r="D314" s="2">
        <v>2</v>
      </c>
      <c r="E314" s="2">
        <v>4</v>
      </c>
      <c r="F314" s="2">
        <v>2</v>
      </c>
      <c r="G314" s="2">
        <v>2</v>
      </c>
    </row>
    <row r="315" spans="1:7" x14ac:dyDescent="0.25">
      <c r="A315" s="2">
        <v>2025</v>
      </c>
      <c r="B315" s="2" t="s">
        <v>79</v>
      </c>
      <c r="C315" s="8">
        <v>6</v>
      </c>
      <c r="D315" s="2">
        <v>3</v>
      </c>
      <c r="E315" s="2">
        <v>1</v>
      </c>
      <c r="F315" s="2">
        <v>4</v>
      </c>
      <c r="G315" s="2">
        <v>1</v>
      </c>
    </row>
    <row r="316" spans="1:7" x14ac:dyDescent="0.25">
      <c r="A316" s="2">
        <v>2025</v>
      </c>
      <c r="B316" s="2" t="s">
        <v>79</v>
      </c>
      <c r="C316" s="8">
        <v>7</v>
      </c>
      <c r="D316" s="2">
        <v>1</v>
      </c>
      <c r="E316" s="2">
        <v>1</v>
      </c>
      <c r="F316" s="2">
        <v>1</v>
      </c>
      <c r="G316" s="2">
        <v>2</v>
      </c>
    </row>
    <row r="317" spans="1:7" x14ac:dyDescent="0.25">
      <c r="A317" s="2">
        <v>2025</v>
      </c>
      <c r="B317" s="2" t="s">
        <v>79</v>
      </c>
      <c r="C317" s="8">
        <v>8</v>
      </c>
      <c r="D317" s="2">
        <v>1</v>
      </c>
      <c r="E317" s="2">
        <v>1</v>
      </c>
      <c r="F317" s="2">
        <v>1</v>
      </c>
      <c r="G317" s="2">
        <v>3</v>
      </c>
    </row>
    <row r="318" spans="1:7" x14ac:dyDescent="0.25">
      <c r="A318" s="2">
        <v>2025</v>
      </c>
      <c r="B318" s="2" t="s">
        <v>79</v>
      </c>
      <c r="C318" s="8">
        <v>9</v>
      </c>
      <c r="D318" s="2">
        <v>1</v>
      </c>
      <c r="E318" s="2">
        <v>2</v>
      </c>
      <c r="F318" s="2">
        <v>1</v>
      </c>
      <c r="G318" s="2">
        <v>1</v>
      </c>
    </row>
    <row r="319" spans="1:7" x14ac:dyDescent="0.25">
      <c r="A319" s="2">
        <v>2025</v>
      </c>
      <c r="B319" s="2" t="s">
        <v>79</v>
      </c>
      <c r="C319" s="8">
        <v>10</v>
      </c>
      <c r="D319" s="2">
        <v>3</v>
      </c>
      <c r="E319" s="2">
        <v>3</v>
      </c>
      <c r="F319" s="2">
        <v>1</v>
      </c>
      <c r="G319" s="2">
        <v>3</v>
      </c>
    </row>
    <row r="320" spans="1:7" x14ac:dyDescent="0.25">
      <c r="A320" s="2">
        <v>2025</v>
      </c>
      <c r="B320" s="2" t="s">
        <v>79</v>
      </c>
      <c r="C320" s="8">
        <v>11</v>
      </c>
      <c r="D320" s="2">
        <v>2</v>
      </c>
      <c r="E320" s="2">
        <v>4</v>
      </c>
      <c r="F320" s="2">
        <v>2</v>
      </c>
      <c r="G320" s="2">
        <v>2</v>
      </c>
    </row>
    <row r="321" spans="1:7" x14ac:dyDescent="0.25">
      <c r="A321" s="2">
        <v>2025</v>
      </c>
      <c r="B321" s="2" t="s">
        <v>79</v>
      </c>
      <c r="C321" s="8">
        <v>12</v>
      </c>
      <c r="D321" s="2">
        <v>1</v>
      </c>
      <c r="E321" s="2">
        <v>1</v>
      </c>
      <c r="F321" s="2">
        <v>3</v>
      </c>
      <c r="G321" s="2">
        <v>1</v>
      </c>
    </row>
    <row r="322" spans="1:7" x14ac:dyDescent="0.25">
      <c r="A322" s="2">
        <v>2025</v>
      </c>
      <c r="B322" s="2" t="s">
        <v>79</v>
      </c>
      <c r="C322" s="8">
        <v>13</v>
      </c>
      <c r="D322" s="2">
        <v>1</v>
      </c>
      <c r="E322" s="2">
        <v>2</v>
      </c>
      <c r="F322" s="2">
        <v>1</v>
      </c>
      <c r="G322" s="2">
        <v>1</v>
      </c>
    </row>
    <row r="323" spans="1:7" x14ac:dyDescent="0.25">
      <c r="A323" s="2">
        <v>2025</v>
      </c>
      <c r="B323" s="2" t="s">
        <v>79</v>
      </c>
      <c r="C323" s="8">
        <v>14</v>
      </c>
      <c r="D323" s="2">
        <v>4</v>
      </c>
      <c r="E323" s="2">
        <v>4</v>
      </c>
      <c r="F323" s="2">
        <v>2</v>
      </c>
      <c r="G323" s="2">
        <v>3</v>
      </c>
    </row>
    <row r="324" spans="1:7" x14ac:dyDescent="0.25">
      <c r="A324" s="2">
        <v>2025</v>
      </c>
      <c r="B324" s="2" t="s">
        <v>79</v>
      </c>
      <c r="C324" s="8">
        <v>15</v>
      </c>
      <c r="D324" s="2">
        <v>3</v>
      </c>
      <c r="E324" s="2">
        <v>2</v>
      </c>
      <c r="F324" s="2">
        <v>1</v>
      </c>
      <c r="G324" s="2">
        <v>1</v>
      </c>
    </row>
    <row r="325" spans="1:7" x14ac:dyDescent="0.25">
      <c r="A325" s="2">
        <v>2025</v>
      </c>
      <c r="B325" s="2" t="s">
        <v>79</v>
      </c>
      <c r="C325" s="8">
        <v>16</v>
      </c>
      <c r="D325" s="2">
        <v>2</v>
      </c>
      <c r="E325" s="2">
        <v>2</v>
      </c>
      <c r="F325" s="2">
        <v>3</v>
      </c>
      <c r="G325" s="2">
        <v>2</v>
      </c>
    </row>
    <row r="326" spans="1:7" x14ac:dyDescent="0.25">
      <c r="A326" s="2">
        <v>2025</v>
      </c>
      <c r="B326" s="2" t="s">
        <v>79</v>
      </c>
      <c r="C326" s="8">
        <v>17</v>
      </c>
      <c r="D326" s="2">
        <v>1</v>
      </c>
      <c r="E326" s="2">
        <v>1</v>
      </c>
      <c r="F326" s="2">
        <v>4</v>
      </c>
      <c r="G326" s="2">
        <v>3</v>
      </c>
    </row>
    <row r="327" spans="1:7" x14ac:dyDescent="0.25">
      <c r="A327" s="2">
        <v>2025</v>
      </c>
      <c r="B327" s="2" t="s">
        <v>79</v>
      </c>
      <c r="C327" s="8">
        <v>18</v>
      </c>
      <c r="D327" s="2">
        <v>1</v>
      </c>
      <c r="E327" s="2">
        <v>1</v>
      </c>
      <c r="F327" s="2">
        <v>2</v>
      </c>
      <c r="G327" s="2">
        <v>2</v>
      </c>
    </row>
    <row r="328" spans="1:7" x14ac:dyDescent="0.25">
      <c r="A328" s="2">
        <v>2025</v>
      </c>
      <c r="B328" s="2" t="s">
        <v>79</v>
      </c>
      <c r="C328" s="8">
        <v>19</v>
      </c>
      <c r="D328" s="2">
        <v>3</v>
      </c>
      <c r="E328" s="2">
        <v>1</v>
      </c>
      <c r="F328" s="2">
        <v>1</v>
      </c>
      <c r="G328" s="2">
        <v>3</v>
      </c>
    </row>
    <row r="329" spans="1:7" x14ac:dyDescent="0.25">
      <c r="A329" s="2">
        <v>2025</v>
      </c>
      <c r="B329" s="2" t="s">
        <v>79</v>
      </c>
      <c r="C329" s="8">
        <v>20</v>
      </c>
      <c r="D329" s="2">
        <v>3</v>
      </c>
      <c r="E329" s="2">
        <v>1</v>
      </c>
      <c r="F329" s="2">
        <v>1</v>
      </c>
      <c r="G329" s="2">
        <v>2</v>
      </c>
    </row>
    <row r="330" spans="1:7" x14ac:dyDescent="0.25">
      <c r="A330" s="2">
        <v>2025</v>
      </c>
      <c r="B330" s="2" t="s">
        <v>79</v>
      </c>
      <c r="C330" s="8">
        <v>21</v>
      </c>
      <c r="D330" s="2">
        <v>4</v>
      </c>
      <c r="E330" s="2">
        <v>2</v>
      </c>
      <c r="F330" s="2">
        <v>3</v>
      </c>
      <c r="G330" s="2">
        <v>1</v>
      </c>
    </row>
    <row r="331" spans="1:7" x14ac:dyDescent="0.25">
      <c r="A331" s="2">
        <v>2025</v>
      </c>
      <c r="B331" s="2" t="s">
        <v>79</v>
      </c>
      <c r="C331" s="8">
        <v>22</v>
      </c>
      <c r="D331" s="2">
        <v>4</v>
      </c>
      <c r="E331" s="2">
        <v>4</v>
      </c>
      <c r="F331" s="2">
        <v>1</v>
      </c>
      <c r="G331" s="2">
        <v>2</v>
      </c>
    </row>
    <row r="332" spans="1:7" x14ac:dyDescent="0.25">
      <c r="A332" s="2">
        <v>2025</v>
      </c>
      <c r="B332" s="2" t="s">
        <v>79</v>
      </c>
      <c r="C332" s="8">
        <v>23</v>
      </c>
      <c r="D332" s="2">
        <v>2</v>
      </c>
      <c r="E332" s="2">
        <v>2</v>
      </c>
      <c r="F332" s="2">
        <v>3</v>
      </c>
      <c r="G332" s="2">
        <v>1</v>
      </c>
    </row>
    <row r="333" spans="1:7" x14ac:dyDescent="0.25">
      <c r="A333" s="2">
        <v>2025</v>
      </c>
      <c r="B333" s="2" t="s">
        <v>79</v>
      </c>
      <c r="C333" s="8">
        <v>24</v>
      </c>
      <c r="D333" s="2">
        <v>2</v>
      </c>
      <c r="E333" s="2">
        <v>4</v>
      </c>
      <c r="F333" s="2">
        <v>1</v>
      </c>
      <c r="G333" s="2">
        <v>2</v>
      </c>
    </row>
    <row r="334" spans="1:7" x14ac:dyDescent="0.25">
      <c r="A334" s="2">
        <v>2025</v>
      </c>
      <c r="B334" s="2" t="s">
        <v>79</v>
      </c>
      <c r="C334" s="8">
        <v>25</v>
      </c>
      <c r="D334" s="2">
        <v>1</v>
      </c>
      <c r="E334" s="2">
        <v>4</v>
      </c>
      <c r="F334" s="2">
        <v>1</v>
      </c>
      <c r="G334" s="2">
        <v>1</v>
      </c>
    </row>
    <row r="335" spans="1:7" x14ac:dyDescent="0.25">
      <c r="A335" s="2">
        <v>2025</v>
      </c>
      <c r="B335" s="2" t="s">
        <v>79</v>
      </c>
      <c r="C335" s="8">
        <v>26</v>
      </c>
      <c r="D335" s="2">
        <v>4</v>
      </c>
      <c r="E335" s="2">
        <v>3</v>
      </c>
      <c r="F335" s="2">
        <v>3</v>
      </c>
      <c r="G335" s="2">
        <v>3</v>
      </c>
    </row>
    <row r="336" spans="1:7" x14ac:dyDescent="0.25">
      <c r="A336" s="2">
        <v>2025</v>
      </c>
      <c r="B336" s="2" t="s">
        <v>79</v>
      </c>
      <c r="C336" s="8">
        <v>27</v>
      </c>
      <c r="D336" s="2">
        <v>2</v>
      </c>
      <c r="E336" s="2">
        <v>1</v>
      </c>
      <c r="F336" s="2">
        <v>4</v>
      </c>
      <c r="G336" s="2">
        <v>1</v>
      </c>
    </row>
    <row r="337" spans="1:7" x14ac:dyDescent="0.25">
      <c r="A337" s="2">
        <v>2025</v>
      </c>
      <c r="B337" s="2" t="s">
        <v>79</v>
      </c>
      <c r="C337" s="8">
        <v>28</v>
      </c>
      <c r="D337" s="2">
        <v>1</v>
      </c>
      <c r="E337" s="2">
        <v>2</v>
      </c>
      <c r="F337" s="2">
        <v>2</v>
      </c>
      <c r="G337" s="2">
        <v>1</v>
      </c>
    </row>
    <row r="338" spans="1:7" x14ac:dyDescent="0.25">
      <c r="A338" s="2">
        <v>2026</v>
      </c>
      <c r="B338" s="2" t="s">
        <v>68</v>
      </c>
      <c r="C338" s="8">
        <v>1</v>
      </c>
      <c r="D338" s="2">
        <v>2</v>
      </c>
      <c r="E338" s="2">
        <v>1</v>
      </c>
      <c r="F338" s="2">
        <v>2</v>
      </c>
      <c r="G338" s="2">
        <v>4</v>
      </c>
    </row>
    <row r="339" spans="1:7" x14ac:dyDescent="0.25">
      <c r="A339" s="2">
        <v>2026</v>
      </c>
      <c r="B339" s="2" t="s">
        <v>68</v>
      </c>
      <c r="C339" s="8">
        <v>2</v>
      </c>
      <c r="D339" s="2">
        <v>2</v>
      </c>
      <c r="E339" s="2">
        <v>1</v>
      </c>
      <c r="F339" s="2">
        <v>4</v>
      </c>
      <c r="G339" s="2">
        <v>4</v>
      </c>
    </row>
    <row r="340" spans="1:7" x14ac:dyDescent="0.25">
      <c r="A340" s="2">
        <v>2026</v>
      </c>
      <c r="B340" s="2" t="s">
        <v>68</v>
      </c>
      <c r="C340" s="8">
        <v>3</v>
      </c>
      <c r="D340" s="2">
        <v>1</v>
      </c>
      <c r="E340" s="2">
        <v>3</v>
      </c>
      <c r="F340" s="2">
        <v>2</v>
      </c>
      <c r="G340" s="2">
        <v>4</v>
      </c>
    </row>
    <row r="341" spans="1:7" x14ac:dyDescent="0.25">
      <c r="A341" s="2">
        <v>2026</v>
      </c>
      <c r="B341" s="2" t="s">
        <v>68</v>
      </c>
      <c r="C341" s="8">
        <v>4</v>
      </c>
      <c r="D341" s="2">
        <v>3</v>
      </c>
      <c r="E341" s="2">
        <v>1</v>
      </c>
      <c r="F341" s="2">
        <v>1</v>
      </c>
      <c r="G341" s="2">
        <v>3</v>
      </c>
    </row>
    <row r="342" spans="1:7" x14ac:dyDescent="0.25">
      <c r="A342" s="2">
        <v>2026</v>
      </c>
      <c r="B342" s="2" t="s">
        <v>68</v>
      </c>
      <c r="C342" s="8">
        <v>5</v>
      </c>
      <c r="D342" s="2">
        <v>1</v>
      </c>
      <c r="E342" s="2">
        <v>2</v>
      </c>
      <c r="F342" s="2">
        <v>1</v>
      </c>
      <c r="G342" s="2">
        <v>2</v>
      </c>
    </row>
    <row r="343" spans="1:7" x14ac:dyDescent="0.25">
      <c r="A343" s="2">
        <v>2026</v>
      </c>
      <c r="B343" s="2" t="s">
        <v>68</v>
      </c>
      <c r="C343" s="8">
        <v>6</v>
      </c>
      <c r="D343" s="2">
        <v>1</v>
      </c>
      <c r="E343" s="2">
        <v>2</v>
      </c>
      <c r="F343" s="2">
        <v>3</v>
      </c>
      <c r="G343" s="2">
        <v>2</v>
      </c>
    </row>
    <row r="344" spans="1:7" x14ac:dyDescent="0.25">
      <c r="A344" s="2">
        <v>2026</v>
      </c>
      <c r="B344" s="2" t="s">
        <v>68</v>
      </c>
      <c r="C344" s="8">
        <v>7</v>
      </c>
      <c r="D344" s="2">
        <v>1</v>
      </c>
      <c r="E344" s="2">
        <v>1</v>
      </c>
      <c r="F344" s="2">
        <v>4</v>
      </c>
      <c r="G344" s="2">
        <v>2</v>
      </c>
    </row>
    <row r="345" spans="1:7" x14ac:dyDescent="0.25">
      <c r="A345" s="2">
        <v>2026</v>
      </c>
      <c r="B345" s="2" t="s">
        <v>68</v>
      </c>
      <c r="C345" s="8">
        <v>8</v>
      </c>
      <c r="D345" s="2">
        <v>1</v>
      </c>
      <c r="E345" s="2">
        <v>1</v>
      </c>
      <c r="F345" s="2">
        <v>2</v>
      </c>
      <c r="G345" s="2">
        <v>1</v>
      </c>
    </row>
    <row r="346" spans="1:7" x14ac:dyDescent="0.25">
      <c r="A346" s="2">
        <v>2026</v>
      </c>
      <c r="B346" s="2" t="s">
        <v>68</v>
      </c>
      <c r="C346" s="8">
        <v>9</v>
      </c>
      <c r="D346" s="2">
        <v>2</v>
      </c>
      <c r="E346" s="2">
        <v>1</v>
      </c>
      <c r="F346" s="2">
        <v>2</v>
      </c>
      <c r="G346" s="2">
        <v>2</v>
      </c>
    </row>
    <row r="347" spans="1:7" x14ac:dyDescent="0.25">
      <c r="A347" s="2">
        <v>2026</v>
      </c>
      <c r="B347" s="2" t="s">
        <v>68</v>
      </c>
      <c r="C347" s="8">
        <v>10</v>
      </c>
      <c r="D347" s="2">
        <v>3</v>
      </c>
      <c r="E347" s="2">
        <v>3</v>
      </c>
      <c r="F347" s="2">
        <v>1</v>
      </c>
      <c r="G347" s="2">
        <v>3</v>
      </c>
    </row>
    <row r="348" spans="1:7" x14ac:dyDescent="0.25">
      <c r="A348" s="2">
        <v>2026</v>
      </c>
      <c r="B348" s="2" t="s">
        <v>68</v>
      </c>
      <c r="C348" s="8">
        <v>11</v>
      </c>
      <c r="D348" s="2">
        <v>3</v>
      </c>
      <c r="E348" s="2">
        <v>1</v>
      </c>
      <c r="F348" s="2">
        <v>2</v>
      </c>
      <c r="G348" s="2">
        <v>2</v>
      </c>
    </row>
    <row r="349" spans="1:7" x14ac:dyDescent="0.25">
      <c r="A349" s="2">
        <v>2026</v>
      </c>
      <c r="B349" s="2" t="s">
        <v>68</v>
      </c>
      <c r="C349" s="8">
        <v>12</v>
      </c>
      <c r="D349" s="2">
        <v>1</v>
      </c>
      <c r="E349" s="2">
        <v>2</v>
      </c>
      <c r="F349" s="2">
        <v>2</v>
      </c>
      <c r="G349" s="2">
        <v>3</v>
      </c>
    </row>
    <row r="350" spans="1:7" x14ac:dyDescent="0.25">
      <c r="A350" s="2">
        <v>2026</v>
      </c>
      <c r="B350" s="2" t="s">
        <v>68</v>
      </c>
      <c r="C350" s="8">
        <v>13</v>
      </c>
      <c r="D350" s="2">
        <v>3</v>
      </c>
      <c r="E350" s="2">
        <v>1</v>
      </c>
      <c r="F350" s="2">
        <v>2</v>
      </c>
      <c r="G350" s="2">
        <v>3</v>
      </c>
    </row>
    <row r="351" spans="1:7" x14ac:dyDescent="0.25">
      <c r="A351" s="2">
        <v>2026</v>
      </c>
      <c r="B351" s="2" t="s">
        <v>68</v>
      </c>
      <c r="C351" s="8">
        <v>14</v>
      </c>
      <c r="D351" s="2">
        <v>1</v>
      </c>
      <c r="E351" s="2">
        <v>1</v>
      </c>
      <c r="F351" s="2">
        <v>1</v>
      </c>
      <c r="G351" s="2">
        <v>1</v>
      </c>
    </row>
    <row r="352" spans="1:7" x14ac:dyDescent="0.25">
      <c r="A352" s="2">
        <v>2026</v>
      </c>
      <c r="B352" s="2" t="s">
        <v>68</v>
      </c>
      <c r="C352" s="8">
        <v>15</v>
      </c>
      <c r="D352" s="2">
        <v>2</v>
      </c>
      <c r="E352" s="2">
        <v>1</v>
      </c>
      <c r="F352" s="2">
        <v>1</v>
      </c>
      <c r="G352" s="2">
        <v>4</v>
      </c>
    </row>
    <row r="353" spans="1:7" x14ac:dyDescent="0.25">
      <c r="A353" s="2">
        <v>2026</v>
      </c>
      <c r="B353" s="2" t="s">
        <v>68</v>
      </c>
      <c r="C353" s="8">
        <v>16</v>
      </c>
      <c r="D353" s="2">
        <v>3</v>
      </c>
      <c r="E353" s="2">
        <v>2</v>
      </c>
      <c r="F353" s="2">
        <v>2</v>
      </c>
      <c r="G353" s="2">
        <v>1</v>
      </c>
    </row>
    <row r="354" spans="1:7" x14ac:dyDescent="0.25">
      <c r="A354" s="2">
        <v>2026</v>
      </c>
      <c r="B354" s="2" t="s">
        <v>68</v>
      </c>
      <c r="C354" s="8">
        <v>17</v>
      </c>
      <c r="D354" s="2">
        <v>1</v>
      </c>
      <c r="E354" s="2">
        <v>1</v>
      </c>
      <c r="F354" s="2">
        <v>1</v>
      </c>
      <c r="G354" s="2">
        <v>3</v>
      </c>
    </row>
    <row r="355" spans="1:7" x14ac:dyDescent="0.25">
      <c r="A355" s="2">
        <v>2026</v>
      </c>
      <c r="B355" s="2" t="s">
        <v>68</v>
      </c>
      <c r="C355" s="8">
        <v>18</v>
      </c>
      <c r="D355" s="2">
        <v>1</v>
      </c>
      <c r="E355" s="2">
        <v>1</v>
      </c>
      <c r="F355" s="2">
        <v>1</v>
      </c>
      <c r="G355" s="2">
        <v>2</v>
      </c>
    </row>
    <row r="356" spans="1:7" x14ac:dyDescent="0.25">
      <c r="A356" s="2">
        <v>2026</v>
      </c>
      <c r="B356" s="2" t="s">
        <v>68</v>
      </c>
      <c r="C356" s="8">
        <v>19</v>
      </c>
      <c r="D356" s="2">
        <v>3</v>
      </c>
      <c r="E356" s="2">
        <v>2</v>
      </c>
      <c r="F356" s="2">
        <v>1</v>
      </c>
      <c r="G356" s="2">
        <v>2</v>
      </c>
    </row>
    <row r="357" spans="1:7" x14ac:dyDescent="0.25">
      <c r="A357" s="2">
        <v>2026</v>
      </c>
      <c r="B357" s="2" t="s">
        <v>68</v>
      </c>
      <c r="C357" s="8">
        <v>20</v>
      </c>
      <c r="D357" s="2">
        <v>2</v>
      </c>
      <c r="E357" s="2">
        <v>1</v>
      </c>
      <c r="F357" s="2">
        <v>1</v>
      </c>
      <c r="G357" s="2">
        <v>3</v>
      </c>
    </row>
    <row r="358" spans="1:7" x14ac:dyDescent="0.25">
      <c r="A358" s="2">
        <v>2026</v>
      </c>
      <c r="B358" s="2" t="s">
        <v>68</v>
      </c>
      <c r="C358" s="8">
        <v>21</v>
      </c>
      <c r="D358" s="2">
        <v>1</v>
      </c>
      <c r="E358" s="2">
        <v>2</v>
      </c>
      <c r="F358" s="2">
        <v>1</v>
      </c>
      <c r="G358" s="2">
        <v>2</v>
      </c>
    </row>
    <row r="359" spans="1:7" x14ac:dyDescent="0.25">
      <c r="A359" s="2">
        <v>2026</v>
      </c>
      <c r="B359" s="2" t="s">
        <v>68</v>
      </c>
      <c r="C359" s="8">
        <v>22</v>
      </c>
      <c r="D359" s="2">
        <v>3</v>
      </c>
      <c r="E359" s="2">
        <v>4</v>
      </c>
      <c r="F359" s="2">
        <v>2</v>
      </c>
      <c r="G359" s="2">
        <v>4</v>
      </c>
    </row>
    <row r="360" spans="1:7" x14ac:dyDescent="0.25">
      <c r="A360" s="2">
        <v>2026</v>
      </c>
      <c r="B360" s="2" t="s">
        <v>68</v>
      </c>
      <c r="C360" s="8">
        <v>23</v>
      </c>
      <c r="D360" s="2">
        <v>1</v>
      </c>
      <c r="E360" s="2">
        <v>2</v>
      </c>
      <c r="F360" s="2">
        <v>2</v>
      </c>
      <c r="G360" s="2">
        <v>4</v>
      </c>
    </row>
    <row r="361" spans="1:7" x14ac:dyDescent="0.25">
      <c r="A361" s="2">
        <v>2026</v>
      </c>
      <c r="B361" s="2" t="s">
        <v>68</v>
      </c>
      <c r="C361" s="8">
        <v>24</v>
      </c>
      <c r="D361" s="2">
        <v>3</v>
      </c>
      <c r="E361" s="2">
        <v>1</v>
      </c>
      <c r="F361" s="2">
        <v>1</v>
      </c>
      <c r="G361" s="2">
        <v>3</v>
      </c>
    </row>
    <row r="362" spans="1:7" x14ac:dyDescent="0.25">
      <c r="A362" s="2">
        <v>2026</v>
      </c>
      <c r="B362" s="2" t="s">
        <v>68</v>
      </c>
      <c r="C362" s="8">
        <v>25</v>
      </c>
      <c r="D362" s="2">
        <v>2</v>
      </c>
      <c r="E362" s="2">
        <v>1</v>
      </c>
      <c r="F362" s="2">
        <v>1</v>
      </c>
      <c r="G362" s="2">
        <v>1</v>
      </c>
    </row>
    <row r="363" spans="1:7" x14ac:dyDescent="0.25">
      <c r="A363" s="2">
        <v>2026</v>
      </c>
      <c r="B363" s="2" t="s">
        <v>68</v>
      </c>
      <c r="C363" s="8">
        <v>26</v>
      </c>
      <c r="D363" s="2">
        <v>2</v>
      </c>
      <c r="E363" s="2">
        <v>2</v>
      </c>
      <c r="F363" s="2">
        <v>1</v>
      </c>
      <c r="G363" s="2">
        <v>1</v>
      </c>
    </row>
    <row r="364" spans="1:7" x14ac:dyDescent="0.25">
      <c r="A364" s="2">
        <v>2026</v>
      </c>
      <c r="B364" s="2" t="s">
        <v>68</v>
      </c>
      <c r="C364" s="8">
        <v>27</v>
      </c>
      <c r="D364" s="2">
        <v>1</v>
      </c>
      <c r="E364" s="2">
        <v>3</v>
      </c>
      <c r="F364" s="2">
        <v>1</v>
      </c>
      <c r="G364" s="2">
        <v>1</v>
      </c>
    </row>
    <row r="365" spans="1:7" x14ac:dyDescent="0.25">
      <c r="A365" s="2">
        <v>2026</v>
      </c>
      <c r="B365" s="2" t="s">
        <v>68</v>
      </c>
      <c r="C365" s="8">
        <v>28</v>
      </c>
      <c r="D365" s="2">
        <v>3</v>
      </c>
      <c r="E365" s="2">
        <v>1</v>
      </c>
      <c r="F365" s="2">
        <v>2</v>
      </c>
      <c r="G365" s="2">
        <v>2</v>
      </c>
    </row>
    <row r="366" spans="1:7" x14ac:dyDescent="0.25">
      <c r="A366" s="2">
        <v>2026</v>
      </c>
      <c r="B366" s="2" t="s">
        <v>69</v>
      </c>
      <c r="C366" s="8">
        <v>1</v>
      </c>
      <c r="D366" s="2">
        <v>3</v>
      </c>
      <c r="E366" s="2">
        <v>2</v>
      </c>
      <c r="F366" s="2">
        <v>1</v>
      </c>
      <c r="G366" s="2">
        <v>1</v>
      </c>
    </row>
    <row r="367" spans="1:7" x14ac:dyDescent="0.25">
      <c r="A367" s="2">
        <v>2026</v>
      </c>
      <c r="B367" s="2" t="s">
        <v>69</v>
      </c>
      <c r="C367" s="8">
        <v>2</v>
      </c>
      <c r="D367" s="2">
        <v>2</v>
      </c>
      <c r="E367" s="2">
        <v>3</v>
      </c>
      <c r="F367" s="2">
        <v>1</v>
      </c>
      <c r="G367" s="2">
        <v>4</v>
      </c>
    </row>
    <row r="368" spans="1:7" x14ac:dyDescent="0.25">
      <c r="A368" s="2">
        <v>2026</v>
      </c>
      <c r="B368" s="2" t="s">
        <v>69</v>
      </c>
      <c r="C368" s="8">
        <v>3</v>
      </c>
      <c r="D368" s="2">
        <v>3</v>
      </c>
      <c r="E368" s="2">
        <v>2</v>
      </c>
      <c r="F368" s="2">
        <v>3</v>
      </c>
      <c r="G368" s="2">
        <v>1</v>
      </c>
    </row>
    <row r="369" spans="1:7" x14ac:dyDescent="0.25">
      <c r="A369" s="2">
        <v>2026</v>
      </c>
      <c r="B369" s="2" t="s">
        <v>69</v>
      </c>
      <c r="C369" s="8">
        <v>4</v>
      </c>
      <c r="D369" s="2">
        <v>2</v>
      </c>
      <c r="E369" s="2">
        <v>2</v>
      </c>
      <c r="F369" s="2">
        <v>1</v>
      </c>
      <c r="G369" s="2">
        <v>2</v>
      </c>
    </row>
    <row r="370" spans="1:7" x14ac:dyDescent="0.25">
      <c r="A370" s="2">
        <v>2026</v>
      </c>
      <c r="B370" s="2" t="s">
        <v>69</v>
      </c>
      <c r="C370" s="8">
        <v>5</v>
      </c>
      <c r="D370" s="2">
        <v>2</v>
      </c>
      <c r="E370" s="2">
        <v>2</v>
      </c>
      <c r="F370" s="2">
        <v>2</v>
      </c>
      <c r="G370" s="2">
        <v>1</v>
      </c>
    </row>
    <row r="371" spans="1:7" x14ac:dyDescent="0.25">
      <c r="A371" s="2">
        <v>2026</v>
      </c>
      <c r="B371" s="2" t="s">
        <v>69</v>
      </c>
      <c r="C371" s="8">
        <v>6</v>
      </c>
      <c r="D371" s="2">
        <v>2</v>
      </c>
      <c r="E371" s="2">
        <v>1</v>
      </c>
      <c r="F371" s="2">
        <v>3</v>
      </c>
      <c r="G371" s="2">
        <v>1</v>
      </c>
    </row>
    <row r="372" spans="1:7" x14ac:dyDescent="0.25">
      <c r="A372" s="2">
        <v>2026</v>
      </c>
      <c r="B372" s="2" t="s">
        <v>69</v>
      </c>
      <c r="C372" s="8">
        <v>7</v>
      </c>
      <c r="D372" s="2">
        <v>2</v>
      </c>
      <c r="E372" s="2">
        <v>1</v>
      </c>
      <c r="F372" s="2">
        <v>1</v>
      </c>
      <c r="G372" s="2">
        <v>2</v>
      </c>
    </row>
    <row r="373" spans="1:7" x14ac:dyDescent="0.25">
      <c r="A373" s="2">
        <v>2026</v>
      </c>
      <c r="B373" s="2" t="s">
        <v>69</v>
      </c>
      <c r="C373" s="8">
        <v>8</v>
      </c>
      <c r="D373" s="2">
        <v>2</v>
      </c>
      <c r="E373" s="2">
        <v>1</v>
      </c>
      <c r="F373" s="2">
        <v>1</v>
      </c>
      <c r="G373" s="2">
        <v>1</v>
      </c>
    </row>
    <row r="374" spans="1:7" x14ac:dyDescent="0.25">
      <c r="A374" s="2">
        <v>2026</v>
      </c>
      <c r="B374" s="2" t="s">
        <v>69</v>
      </c>
      <c r="C374" s="8">
        <v>9</v>
      </c>
      <c r="D374" s="2">
        <v>1</v>
      </c>
      <c r="E374" s="2">
        <v>1</v>
      </c>
      <c r="F374" s="2">
        <v>2</v>
      </c>
      <c r="G374" s="2">
        <v>2</v>
      </c>
    </row>
    <row r="375" spans="1:7" x14ac:dyDescent="0.25">
      <c r="A375" s="2">
        <v>2026</v>
      </c>
      <c r="B375" s="2" t="s">
        <v>69</v>
      </c>
      <c r="C375" s="8">
        <v>10</v>
      </c>
      <c r="D375" s="2">
        <v>1</v>
      </c>
      <c r="E375" s="2">
        <v>3</v>
      </c>
      <c r="F375" s="2">
        <v>2</v>
      </c>
      <c r="G375" s="2">
        <v>2</v>
      </c>
    </row>
    <row r="376" spans="1:7" x14ac:dyDescent="0.25">
      <c r="A376" s="2">
        <v>2026</v>
      </c>
      <c r="B376" s="2" t="s">
        <v>69</v>
      </c>
      <c r="C376" s="8">
        <v>11</v>
      </c>
      <c r="D376" s="2">
        <v>1</v>
      </c>
      <c r="E376" s="2">
        <v>2</v>
      </c>
      <c r="F376" s="2">
        <v>1</v>
      </c>
      <c r="G376" s="2">
        <v>2</v>
      </c>
    </row>
    <row r="377" spans="1:7" x14ac:dyDescent="0.25">
      <c r="A377" s="2">
        <v>2026</v>
      </c>
      <c r="B377" s="2" t="s">
        <v>69</v>
      </c>
      <c r="C377" s="8">
        <v>12</v>
      </c>
      <c r="D377" s="2">
        <v>4</v>
      </c>
      <c r="E377" s="2">
        <v>1</v>
      </c>
      <c r="F377" s="2">
        <v>3</v>
      </c>
      <c r="G377" s="2">
        <v>1</v>
      </c>
    </row>
    <row r="378" spans="1:7" x14ac:dyDescent="0.25">
      <c r="A378" s="2">
        <v>2026</v>
      </c>
      <c r="B378" s="2" t="s">
        <v>69</v>
      </c>
      <c r="C378" s="8">
        <v>13</v>
      </c>
      <c r="D378" s="2">
        <v>3</v>
      </c>
      <c r="E378" s="2">
        <v>2</v>
      </c>
      <c r="F378" s="2">
        <v>2</v>
      </c>
      <c r="G378" s="2">
        <v>2</v>
      </c>
    </row>
    <row r="379" spans="1:7" x14ac:dyDescent="0.25">
      <c r="A379" s="2">
        <v>2026</v>
      </c>
      <c r="B379" s="2" t="s">
        <v>69</v>
      </c>
      <c r="C379" s="8">
        <v>14</v>
      </c>
      <c r="D379" s="2">
        <v>2</v>
      </c>
      <c r="E379" s="2">
        <v>2</v>
      </c>
      <c r="F379" s="2">
        <v>2</v>
      </c>
      <c r="G379" s="2">
        <v>3</v>
      </c>
    </row>
    <row r="380" spans="1:7" x14ac:dyDescent="0.25">
      <c r="A380" s="2">
        <v>2026</v>
      </c>
      <c r="B380" s="2" t="s">
        <v>69</v>
      </c>
      <c r="C380" s="8">
        <v>15</v>
      </c>
      <c r="D380" s="2">
        <v>1</v>
      </c>
      <c r="E380" s="2">
        <v>3</v>
      </c>
      <c r="F380" s="2">
        <v>1</v>
      </c>
      <c r="G380" s="2">
        <v>2</v>
      </c>
    </row>
    <row r="381" spans="1:7" x14ac:dyDescent="0.25">
      <c r="A381" s="2">
        <v>2026</v>
      </c>
      <c r="B381" s="2" t="s">
        <v>69</v>
      </c>
      <c r="C381" s="8">
        <v>16</v>
      </c>
      <c r="D381" s="2">
        <v>1</v>
      </c>
      <c r="E381" s="2">
        <v>3</v>
      </c>
      <c r="F381" s="2">
        <v>4</v>
      </c>
      <c r="G381" s="2">
        <v>2</v>
      </c>
    </row>
    <row r="382" spans="1:7" x14ac:dyDescent="0.25">
      <c r="A382" s="2">
        <v>2026</v>
      </c>
      <c r="B382" s="2" t="s">
        <v>69</v>
      </c>
      <c r="C382" s="8">
        <v>17</v>
      </c>
      <c r="D382" s="2">
        <v>2</v>
      </c>
      <c r="E382" s="2">
        <v>2</v>
      </c>
      <c r="F382" s="2">
        <v>1</v>
      </c>
      <c r="G382" s="2">
        <v>2</v>
      </c>
    </row>
    <row r="383" spans="1:7" x14ac:dyDescent="0.25">
      <c r="A383" s="2">
        <v>2026</v>
      </c>
      <c r="B383" s="2" t="s">
        <v>69</v>
      </c>
      <c r="C383" s="8">
        <v>18</v>
      </c>
      <c r="D383" s="2">
        <v>1</v>
      </c>
      <c r="E383" s="2">
        <v>2</v>
      </c>
      <c r="F383" s="2">
        <v>1</v>
      </c>
      <c r="G383" s="2">
        <v>2</v>
      </c>
    </row>
    <row r="384" spans="1:7" x14ac:dyDescent="0.25">
      <c r="A384" s="2">
        <v>2026</v>
      </c>
      <c r="B384" s="2" t="s">
        <v>69</v>
      </c>
      <c r="C384" s="8">
        <v>19</v>
      </c>
      <c r="D384" s="2">
        <v>1</v>
      </c>
      <c r="E384" s="2">
        <v>3</v>
      </c>
      <c r="F384" s="2">
        <v>2</v>
      </c>
      <c r="G384" s="2">
        <v>1</v>
      </c>
    </row>
    <row r="385" spans="1:7" x14ac:dyDescent="0.25">
      <c r="A385" s="2">
        <v>2026</v>
      </c>
      <c r="B385" s="2" t="s">
        <v>69</v>
      </c>
      <c r="C385" s="8">
        <v>20</v>
      </c>
      <c r="D385" s="2">
        <v>2</v>
      </c>
      <c r="E385" s="2">
        <v>1</v>
      </c>
      <c r="F385" s="2">
        <v>3</v>
      </c>
      <c r="G385" s="2">
        <v>2</v>
      </c>
    </row>
    <row r="386" spans="1:7" x14ac:dyDescent="0.25">
      <c r="A386" s="2">
        <v>2026</v>
      </c>
      <c r="B386" s="2" t="s">
        <v>69</v>
      </c>
      <c r="C386" s="8">
        <v>21</v>
      </c>
      <c r="D386" s="2">
        <v>2</v>
      </c>
      <c r="E386" s="2">
        <v>1</v>
      </c>
      <c r="F386" s="2">
        <v>3</v>
      </c>
      <c r="G386" s="2">
        <v>2</v>
      </c>
    </row>
    <row r="387" spans="1:7" x14ac:dyDescent="0.25">
      <c r="A387" s="2">
        <v>2026</v>
      </c>
      <c r="B387" s="2" t="s">
        <v>69</v>
      </c>
      <c r="C387" s="8">
        <v>22</v>
      </c>
      <c r="D387" s="2">
        <v>1</v>
      </c>
      <c r="E387" s="2">
        <v>2</v>
      </c>
      <c r="F387" s="2">
        <v>1</v>
      </c>
      <c r="G387" s="2">
        <v>1</v>
      </c>
    </row>
    <row r="388" spans="1:7" x14ac:dyDescent="0.25">
      <c r="A388" s="2">
        <v>2026</v>
      </c>
      <c r="B388" s="2" t="s">
        <v>69</v>
      </c>
      <c r="C388" s="8">
        <v>23</v>
      </c>
      <c r="D388" s="2">
        <v>1</v>
      </c>
      <c r="E388" s="2">
        <v>2</v>
      </c>
      <c r="F388" s="2">
        <v>3</v>
      </c>
      <c r="G388" s="2">
        <v>1</v>
      </c>
    </row>
    <row r="389" spans="1:7" x14ac:dyDescent="0.25">
      <c r="A389" s="2">
        <v>2026</v>
      </c>
      <c r="B389" s="2" t="s">
        <v>69</v>
      </c>
      <c r="C389" s="8">
        <v>24</v>
      </c>
      <c r="D389" s="2">
        <v>3</v>
      </c>
      <c r="E389" s="2">
        <v>2</v>
      </c>
      <c r="F389" s="2">
        <v>1</v>
      </c>
      <c r="G389" s="2">
        <v>2</v>
      </c>
    </row>
    <row r="390" spans="1:7" x14ac:dyDescent="0.25">
      <c r="A390" s="2">
        <v>2026</v>
      </c>
      <c r="B390" s="2" t="s">
        <v>69</v>
      </c>
      <c r="C390" s="8">
        <v>25</v>
      </c>
      <c r="D390" s="2">
        <v>1</v>
      </c>
      <c r="E390" s="2">
        <v>2</v>
      </c>
      <c r="F390" s="2">
        <v>1</v>
      </c>
      <c r="G390" s="2">
        <v>4</v>
      </c>
    </row>
    <row r="391" spans="1:7" x14ac:dyDescent="0.25">
      <c r="A391" s="2">
        <v>2026</v>
      </c>
      <c r="B391" s="2" t="s">
        <v>69</v>
      </c>
      <c r="C391" s="8">
        <v>26</v>
      </c>
      <c r="D391" s="2">
        <v>3</v>
      </c>
      <c r="E391" s="2">
        <v>2</v>
      </c>
      <c r="F391" s="2">
        <v>2</v>
      </c>
      <c r="G391" s="2">
        <v>2</v>
      </c>
    </row>
    <row r="392" spans="1:7" x14ac:dyDescent="0.25">
      <c r="A392" s="2">
        <v>2026</v>
      </c>
      <c r="B392" s="2" t="s">
        <v>69</v>
      </c>
      <c r="C392" s="8">
        <v>27</v>
      </c>
      <c r="D392" s="2">
        <v>1</v>
      </c>
      <c r="E392" s="2">
        <v>2</v>
      </c>
      <c r="F392" s="2">
        <v>2</v>
      </c>
      <c r="G392" s="2">
        <v>2</v>
      </c>
    </row>
    <row r="393" spans="1:7" x14ac:dyDescent="0.25">
      <c r="A393" s="2">
        <v>2026</v>
      </c>
      <c r="B393" s="2" t="s">
        <v>69</v>
      </c>
      <c r="C393" s="8">
        <v>28</v>
      </c>
      <c r="D393" s="2">
        <v>2</v>
      </c>
      <c r="E393" s="2">
        <v>1</v>
      </c>
      <c r="F393" s="2">
        <v>3</v>
      </c>
      <c r="G393" s="2">
        <v>2</v>
      </c>
    </row>
    <row r="394" spans="1:7" x14ac:dyDescent="0.25">
      <c r="A394" s="2">
        <v>2026</v>
      </c>
      <c r="B394" s="2" t="s">
        <v>70</v>
      </c>
      <c r="C394" s="8">
        <v>1</v>
      </c>
      <c r="D394" s="2">
        <v>3</v>
      </c>
      <c r="E394" s="2">
        <v>3</v>
      </c>
      <c r="F394" s="2">
        <v>1</v>
      </c>
      <c r="G394" s="2">
        <v>3</v>
      </c>
    </row>
    <row r="395" spans="1:7" x14ac:dyDescent="0.25">
      <c r="A395" s="2">
        <v>2026</v>
      </c>
      <c r="B395" s="2" t="s">
        <v>70</v>
      </c>
      <c r="C395" s="8">
        <v>2</v>
      </c>
      <c r="D395" s="2">
        <v>2</v>
      </c>
      <c r="E395" s="2">
        <v>1</v>
      </c>
      <c r="F395" s="2">
        <v>2</v>
      </c>
      <c r="G395" s="2">
        <v>2</v>
      </c>
    </row>
    <row r="396" spans="1:7" x14ac:dyDescent="0.25">
      <c r="A396" s="2">
        <v>2026</v>
      </c>
      <c r="B396" s="2" t="s">
        <v>70</v>
      </c>
      <c r="C396" s="8">
        <v>3</v>
      </c>
      <c r="D396" s="2">
        <v>1</v>
      </c>
      <c r="E396" s="2">
        <v>1</v>
      </c>
      <c r="F396" s="2">
        <v>1</v>
      </c>
      <c r="G396" s="2">
        <v>3</v>
      </c>
    </row>
    <row r="397" spans="1:7" x14ac:dyDescent="0.25">
      <c r="A397" s="2">
        <v>2026</v>
      </c>
      <c r="B397" s="2" t="s">
        <v>70</v>
      </c>
      <c r="C397" s="8">
        <v>4</v>
      </c>
      <c r="D397" s="2">
        <v>2</v>
      </c>
      <c r="E397" s="2">
        <v>1</v>
      </c>
      <c r="F397" s="2">
        <v>3</v>
      </c>
      <c r="G397" s="2">
        <v>3</v>
      </c>
    </row>
    <row r="398" spans="1:7" x14ac:dyDescent="0.25">
      <c r="A398" s="2">
        <v>2026</v>
      </c>
      <c r="B398" s="2" t="s">
        <v>70</v>
      </c>
      <c r="C398" s="8">
        <v>5</v>
      </c>
      <c r="D398" s="2">
        <v>1</v>
      </c>
      <c r="E398" s="2">
        <v>1</v>
      </c>
      <c r="F398" s="2">
        <v>2</v>
      </c>
      <c r="G398" s="2">
        <v>1</v>
      </c>
    </row>
    <row r="399" spans="1:7" x14ac:dyDescent="0.25">
      <c r="A399" s="2">
        <v>2026</v>
      </c>
      <c r="B399" s="2" t="s">
        <v>70</v>
      </c>
      <c r="C399" s="8">
        <v>6</v>
      </c>
      <c r="D399" s="2">
        <v>1</v>
      </c>
      <c r="E399" s="2">
        <v>3</v>
      </c>
      <c r="F399" s="2">
        <v>3</v>
      </c>
      <c r="G399" s="2">
        <v>2</v>
      </c>
    </row>
    <row r="400" spans="1:7" x14ac:dyDescent="0.25">
      <c r="A400" s="2">
        <v>2026</v>
      </c>
      <c r="B400" s="2" t="s">
        <v>70</v>
      </c>
      <c r="C400" s="8">
        <v>7</v>
      </c>
      <c r="D400" s="2">
        <v>1</v>
      </c>
      <c r="E400" s="2">
        <v>1</v>
      </c>
      <c r="F400" s="2">
        <v>3</v>
      </c>
      <c r="G400" s="2">
        <v>4</v>
      </c>
    </row>
    <row r="401" spans="1:7" x14ac:dyDescent="0.25">
      <c r="A401" s="2">
        <v>2026</v>
      </c>
      <c r="B401" s="2" t="s">
        <v>70</v>
      </c>
      <c r="C401" s="8">
        <v>8</v>
      </c>
      <c r="D401" s="2">
        <v>2</v>
      </c>
      <c r="E401" s="2">
        <v>2</v>
      </c>
      <c r="F401" s="2">
        <v>3</v>
      </c>
      <c r="G401" s="2">
        <v>1</v>
      </c>
    </row>
    <row r="402" spans="1:7" x14ac:dyDescent="0.25">
      <c r="A402" s="2">
        <v>2026</v>
      </c>
      <c r="B402" s="2" t="s">
        <v>70</v>
      </c>
      <c r="C402" s="8">
        <v>9</v>
      </c>
      <c r="D402" s="2">
        <v>2</v>
      </c>
      <c r="E402" s="2">
        <v>3</v>
      </c>
      <c r="F402" s="2">
        <v>1</v>
      </c>
      <c r="G402" s="2">
        <v>3</v>
      </c>
    </row>
    <row r="403" spans="1:7" x14ac:dyDescent="0.25">
      <c r="A403" s="2">
        <v>2026</v>
      </c>
      <c r="B403" s="2" t="s">
        <v>70</v>
      </c>
      <c r="C403" s="8">
        <v>10</v>
      </c>
      <c r="D403" s="2">
        <v>2</v>
      </c>
      <c r="E403" s="2">
        <v>2</v>
      </c>
      <c r="F403" s="2">
        <v>2</v>
      </c>
      <c r="G403" s="2">
        <v>2</v>
      </c>
    </row>
    <row r="404" spans="1:7" x14ac:dyDescent="0.25">
      <c r="A404" s="2">
        <v>2026</v>
      </c>
      <c r="B404" s="2" t="s">
        <v>70</v>
      </c>
      <c r="C404" s="8">
        <v>11</v>
      </c>
      <c r="D404" s="2">
        <v>1</v>
      </c>
      <c r="E404" s="2">
        <v>3</v>
      </c>
      <c r="F404" s="2">
        <v>2</v>
      </c>
      <c r="G404" s="2">
        <v>4</v>
      </c>
    </row>
    <row r="405" spans="1:7" x14ac:dyDescent="0.25">
      <c r="A405" s="2">
        <v>2026</v>
      </c>
      <c r="B405" s="2" t="s">
        <v>70</v>
      </c>
      <c r="C405" s="8">
        <v>12</v>
      </c>
      <c r="D405" s="2">
        <v>1</v>
      </c>
      <c r="E405" s="2">
        <v>1</v>
      </c>
      <c r="F405" s="2">
        <v>1</v>
      </c>
      <c r="G405" s="2">
        <v>1</v>
      </c>
    </row>
    <row r="406" spans="1:7" x14ac:dyDescent="0.25">
      <c r="A406" s="2">
        <v>2026</v>
      </c>
      <c r="B406" s="2" t="s">
        <v>70</v>
      </c>
      <c r="C406" s="8">
        <v>13</v>
      </c>
      <c r="D406" s="2">
        <v>2</v>
      </c>
      <c r="E406" s="2">
        <v>3</v>
      </c>
      <c r="F406" s="2">
        <v>4</v>
      </c>
      <c r="G406" s="2">
        <v>2</v>
      </c>
    </row>
    <row r="407" spans="1:7" x14ac:dyDescent="0.25">
      <c r="A407" s="2">
        <v>2026</v>
      </c>
      <c r="B407" s="2" t="s">
        <v>70</v>
      </c>
      <c r="C407" s="8">
        <v>14</v>
      </c>
      <c r="D407" s="2">
        <v>1</v>
      </c>
      <c r="E407" s="2">
        <v>3</v>
      </c>
      <c r="F407" s="2">
        <v>1</v>
      </c>
      <c r="G407" s="2">
        <v>1</v>
      </c>
    </row>
    <row r="408" spans="1:7" x14ac:dyDescent="0.25">
      <c r="A408" s="2">
        <v>2026</v>
      </c>
      <c r="B408" s="2" t="s">
        <v>70</v>
      </c>
      <c r="C408" s="8">
        <v>15</v>
      </c>
      <c r="D408" s="2">
        <v>4</v>
      </c>
      <c r="E408" s="2">
        <v>1</v>
      </c>
      <c r="F408" s="2">
        <v>4</v>
      </c>
      <c r="G408" s="2">
        <v>1</v>
      </c>
    </row>
    <row r="409" spans="1:7" x14ac:dyDescent="0.25">
      <c r="A409" s="2">
        <v>2026</v>
      </c>
      <c r="B409" s="2" t="s">
        <v>70</v>
      </c>
      <c r="C409" s="8">
        <v>16</v>
      </c>
      <c r="D409" s="2">
        <v>2</v>
      </c>
      <c r="E409" s="2">
        <v>1</v>
      </c>
      <c r="F409" s="2">
        <v>3</v>
      </c>
      <c r="G409" s="2">
        <v>3</v>
      </c>
    </row>
    <row r="410" spans="1:7" x14ac:dyDescent="0.25">
      <c r="A410" s="2">
        <v>2026</v>
      </c>
      <c r="B410" s="2" t="s">
        <v>70</v>
      </c>
      <c r="C410" s="8">
        <v>17</v>
      </c>
      <c r="D410" s="2">
        <v>1</v>
      </c>
      <c r="E410" s="2">
        <v>2</v>
      </c>
      <c r="F410" s="2">
        <v>3</v>
      </c>
      <c r="G410" s="2">
        <v>2</v>
      </c>
    </row>
    <row r="411" spans="1:7" x14ac:dyDescent="0.25">
      <c r="A411" s="2">
        <v>2026</v>
      </c>
      <c r="B411" s="2" t="s">
        <v>70</v>
      </c>
      <c r="C411" s="8">
        <v>18</v>
      </c>
      <c r="D411" s="2">
        <v>1</v>
      </c>
      <c r="E411" s="2">
        <v>1</v>
      </c>
      <c r="F411" s="2">
        <v>3</v>
      </c>
      <c r="G411" s="2">
        <v>3</v>
      </c>
    </row>
    <row r="412" spans="1:7" x14ac:dyDescent="0.25">
      <c r="A412" s="2">
        <v>2026</v>
      </c>
      <c r="B412" s="2" t="s">
        <v>70</v>
      </c>
      <c r="C412" s="8">
        <v>19</v>
      </c>
      <c r="D412" s="2">
        <v>4</v>
      </c>
      <c r="E412" s="2">
        <v>4</v>
      </c>
      <c r="F412" s="2">
        <v>1</v>
      </c>
      <c r="G412" s="2">
        <v>3</v>
      </c>
    </row>
    <row r="413" spans="1:7" x14ac:dyDescent="0.25">
      <c r="A413" s="2">
        <v>2026</v>
      </c>
      <c r="B413" s="2" t="s">
        <v>70</v>
      </c>
      <c r="C413" s="8">
        <v>20</v>
      </c>
      <c r="D413" s="2">
        <v>3</v>
      </c>
      <c r="E413" s="2">
        <v>2</v>
      </c>
      <c r="F413" s="2">
        <v>1</v>
      </c>
      <c r="G413" s="2">
        <v>2</v>
      </c>
    </row>
    <row r="414" spans="1:7" x14ac:dyDescent="0.25">
      <c r="A414" s="2">
        <v>2026</v>
      </c>
      <c r="B414" s="2" t="s">
        <v>70</v>
      </c>
      <c r="C414" s="8">
        <v>21</v>
      </c>
      <c r="D414" s="2">
        <v>2</v>
      </c>
      <c r="E414" s="2">
        <v>1</v>
      </c>
      <c r="F414" s="2">
        <v>4</v>
      </c>
      <c r="G414" s="2">
        <v>1</v>
      </c>
    </row>
    <row r="415" spans="1:7" x14ac:dyDescent="0.25">
      <c r="A415" s="2">
        <v>2026</v>
      </c>
      <c r="B415" s="2" t="s">
        <v>70</v>
      </c>
      <c r="C415" s="8">
        <v>22</v>
      </c>
      <c r="D415" s="2">
        <v>1</v>
      </c>
      <c r="E415" s="2">
        <v>4</v>
      </c>
      <c r="F415" s="2">
        <v>2</v>
      </c>
      <c r="G415" s="2">
        <v>2</v>
      </c>
    </row>
    <row r="416" spans="1:7" x14ac:dyDescent="0.25">
      <c r="A416" s="2">
        <v>2026</v>
      </c>
      <c r="B416" s="2" t="s">
        <v>70</v>
      </c>
      <c r="C416" s="8">
        <v>23</v>
      </c>
      <c r="D416" s="2">
        <v>1</v>
      </c>
      <c r="E416" s="2">
        <v>2</v>
      </c>
      <c r="F416" s="2">
        <v>3</v>
      </c>
      <c r="G416" s="2">
        <v>4</v>
      </c>
    </row>
    <row r="417" spans="1:7" x14ac:dyDescent="0.25">
      <c r="A417" s="2">
        <v>2026</v>
      </c>
      <c r="B417" s="2" t="s">
        <v>70</v>
      </c>
      <c r="C417" s="8">
        <v>24</v>
      </c>
      <c r="D417" s="2">
        <v>1</v>
      </c>
      <c r="E417" s="2">
        <v>1</v>
      </c>
      <c r="F417" s="2">
        <v>1</v>
      </c>
      <c r="G417" s="2">
        <v>3</v>
      </c>
    </row>
    <row r="418" spans="1:7" x14ac:dyDescent="0.25">
      <c r="A418" s="2">
        <v>2026</v>
      </c>
      <c r="B418" s="2" t="s">
        <v>70</v>
      </c>
      <c r="C418" s="8">
        <v>25</v>
      </c>
      <c r="D418" s="2">
        <v>3</v>
      </c>
      <c r="E418" s="2">
        <v>1</v>
      </c>
      <c r="F418" s="2">
        <v>1</v>
      </c>
      <c r="G418" s="2">
        <v>1</v>
      </c>
    </row>
    <row r="419" spans="1:7" x14ac:dyDescent="0.25">
      <c r="A419" s="2">
        <v>2026</v>
      </c>
      <c r="B419" s="2" t="s">
        <v>70</v>
      </c>
      <c r="C419" s="8">
        <v>26</v>
      </c>
      <c r="D419" s="2">
        <v>3</v>
      </c>
      <c r="E419" s="2">
        <v>3</v>
      </c>
      <c r="F419" s="2">
        <v>1</v>
      </c>
      <c r="G419" s="2">
        <v>1</v>
      </c>
    </row>
    <row r="420" spans="1:7" x14ac:dyDescent="0.25">
      <c r="A420" s="2">
        <v>2026</v>
      </c>
      <c r="B420" s="2" t="s">
        <v>70</v>
      </c>
      <c r="C420" s="8">
        <v>27</v>
      </c>
      <c r="D420" s="2">
        <v>1</v>
      </c>
      <c r="E420" s="2">
        <v>1</v>
      </c>
      <c r="F420" s="2">
        <v>2</v>
      </c>
      <c r="G420" s="2">
        <v>1</v>
      </c>
    </row>
    <row r="421" spans="1:7" x14ac:dyDescent="0.25">
      <c r="A421" s="2">
        <v>2026</v>
      </c>
      <c r="B421" s="2" t="s">
        <v>70</v>
      </c>
      <c r="C421" s="8">
        <v>28</v>
      </c>
      <c r="D421" s="2">
        <v>3</v>
      </c>
      <c r="E421" s="2">
        <v>1</v>
      </c>
      <c r="F421" s="2">
        <v>4</v>
      </c>
      <c r="G421" s="2">
        <v>2</v>
      </c>
    </row>
    <row r="422" spans="1:7" x14ac:dyDescent="0.25">
      <c r="A422" s="2">
        <v>2026</v>
      </c>
      <c r="B422" s="2" t="s">
        <v>71</v>
      </c>
      <c r="C422" s="8">
        <v>1</v>
      </c>
      <c r="D422" s="2">
        <v>2</v>
      </c>
      <c r="E422" s="2">
        <v>4</v>
      </c>
      <c r="F422" s="2">
        <v>4</v>
      </c>
      <c r="G422" s="2">
        <v>4</v>
      </c>
    </row>
    <row r="423" spans="1:7" x14ac:dyDescent="0.25">
      <c r="A423" s="2">
        <v>2026</v>
      </c>
      <c r="B423" s="2" t="s">
        <v>71</v>
      </c>
      <c r="C423" s="8">
        <v>2</v>
      </c>
      <c r="D423" s="2">
        <v>4</v>
      </c>
      <c r="E423" s="2">
        <v>2</v>
      </c>
      <c r="F423" s="2">
        <v>3</v>
      </c>
      <c r="G423" s="2">
        <v>1</v>
      </c>
    </row>
    <row r="424" spans="1:7" x14ac:dyDescent="0.25">
      <c r="A424" s="2">
        <v>2026</v>
      </c>
      <c r="B424" s="2" t="s">
        <v>71</v>
      </c>
      <c r="C424" s="8">
        <v>3</v>
      </c>
      <c r="D424" s="2">
        <v>2</v>
      </c>
      <c r="E424" s="2">
        <v>1</v>
      </c>
      <c r="F424" s="2">
        <v>2</v>
      </c>
      <c r="G424" s="2">
        <v>1</v>
      </c>
    </row>
    <row r="425" spans="1:7" x14ac:dyDescent="0.25">
      <c r="A425" s="2">
        <v>2026</v>
      </c>
      <c r="B425" s="2" t="s">
        <v>71</v>
      </c>
      <c r="C425" s="8">
        <v>4</v>
      </c>
      <c r="D425" s="2">
        <v>2</v>
      </c>
      <c r="E425" s="2">
        <v>1</v>
      </c>
      <c r="F425" s="2">
        <v>3</v>
      </c>
      <c r="G425" s="2">
        <v>1</v>
      </c>
    </row>
    <row r="426" spans="1:7" x14ac:dyDescent="0.25">
      <c r="A426" s="2">
        <v>2026</v>
      </c>
      <c r="B426" s="2" t="s">
        <v>71</v>
      </c>
      <c r="C426" s="8">
        <v>5</v>
      </c>
      <c r="D426" s="2">
        <v>2</v>
      </c>
      <c r="E426" s="2">
        <v>3</v>
      </c>
      <c r="F426" s="2">
        <v>1</v>
      </c>
      <c r="G426" s="2">
        <v>1</v>
      </c>
    </row>
    <row r="427" spans="1:7" x14ac:dyDescent="0.25">
      <c r="A427" s="2">
        <v>2026</v>
      </c>
      <c r="B427" s="2" t="s">
        <v>71</v>
      </c>
      <c r="C427" s="8">
        <v>6</v>
      </c>
      <c r="D427" s="2">
        <v>2</v>
      </c>
      <c r="E427" s="2">
        <v>2</v>
      </c>
      <c r="F427" s="2">
        <v>1</v>
      </c>
      <c r="G427" s="2">
        <v>1</v>
      </c>
    </row>
    <row r="428" spans="1:7" x14ac:dyDescent="0.25">
      <c r="A428" s="2">
        <v>2026</v>
      </c>
      <c r="B428" s="2" t="s">
        <v>71</v>
      </c>
      <c r="C428" s="8">
        <v>7</v>
      </c>
      <c r="D428" s="2">
        <v>1</v>
      </c>
      <c r="E428" s="2">
        <v>2</v>
      </c>
      <c r="F428" s="2">
        <v>3</v>
      </c>
      <c r="G428" s="2">
        <v>1</v>
      </c>
    </row>
    <row r="429" spans="1:7" x14ac:dyDescent="0.25">
      <c r="A429" s="2">
        <v>2026</v>
      </c>
      <c r="B429" s="2" t="s">
        <v>71</v>
      </c>
      <c r="C429" s="8">
        <v>8</v>
      </c>
      <c r="D429" s="2">
        <v>2</v>
      </c>
      <c r="E429" s="2">
        <v>3</v>
      </c>
      <c r="F429" s="2">
        <v>1</v>
      </c>
      <c r="G429" s="2">
        <v>1</v>
      </c>
    </row>
    <row r="430" spans="1:7" x14ac:dyDescent="0.25">
      <c r="A430" s="2">
        <v>2026</v>
      </c>
      <c r="B430" s="2" t="s">
        <v>71</v>
      </c>
      <c r="C430" s="8">
        <v>9</v>
      </c>
      <c r="D430" s="2">
        <v>3</v>
      </c>
      <c r="E430" s="2">
        <v>3</v>
      </c>
      <c r="F430" s="2">
        <v>4</v>
      </c>
      <c r="G430" s="2">
        <v>1</v>
      </c>
    </row>
    <row r="431" spans="1:7" x14ac:dyDescent="0.25">
      <c r="A431" s="2">
        <v>2026</v>
      </c>
      <c r="B431" s="2" t="s">
        <v>71</v>
      </c>
      <c r="C431" s="8">
        <v>10</v>
      </c>
      <c r="D431" s="2">
        <v>3</v>
      </c>
      <c r="E431" s="2">
        <v>2</v>
      </c>
      <c r="F431" s="2">
        <v>1</v>
      </c>
      <c r="G431" s="2">
        <v>3</v>
      </c>
    </row>
    <row r="432" spans="1:7" x14ac:dyDescent="0.25">
      <c r="A432" s="2">
        <v>2026</v>
      </c>
      <c r="B432" s="2" t="s">
        <v>71</v>
      </c>
      <c r="C432" s="8">
        <v>11</v>
      </c>
      <c r="D432" s="2">
        <v>3</v>
      </c>
      <c r="E432" s="2">
        <v>4</v>
      </c>
      <c r="F432" s="2">
        <v>3</v>
      </c>
      <c r="G432" s="2">
        <v>2</v>
      </c>
    </row>
    <row r="433" spans="1:7" x14ac:dyDescent="0.25">
      <c r="A433" s="2">
        <v>2026</v>
      </c>
      <c r="B433" s="2" t="s">
        <v>71</v>
      </c>
      <c r="C433" s="8">
        <v>12</v>
      </c>
      <c r="D433" s="2">
        <v>2</v>
      </c>
      <c r="E433" s="2">
        <v>1</v>
      </c>
      <c r="F433" s="2">
        <v>2</v>
      </c>
      <c r="G433" s="2">
        <v>1</v>
      </c>
    </row>
    <row r="434" spans="1:7" x14ac:dyDescent="0.25">
      <c r="A434" s="2">
        <v>2026</v>
      </c>
      <c r="B434" s="2" t="s">
        <v>71</v>
      </c>
      <c r="C434" s="8">
        <v>13</v>
      </c>
      <c r="D434" s="2">
        <v>2</v>
      </c>
      <c r="E434" s="2">
        <v>1</v>
      </c>
      <c r="F434" s="2">
        <v>2</v>
      </c>
      <c r="G434" s="2">
        <v>2</v>
      </c>
    </row>
    <row r="435" spans="1:7" x14ac:dyDescent="0.25">
      <c r="A435" s="2">
        <v>2026</v>
      </c>
      <c r="B435" s="2" t="s">
        <v>71</v>
      </c>
      <c r="C435" s="8">
        <v>14</v>
      </c>
      <c r="D435" s="2">
        <v>1</v>
      </c>
      <c r="E435" s="2">
        <v>2</v>
      </c>
      <c r="F435" s="2">
        <v>1</v>
      </c>
      <c r="G435" s="2">
        <v>3</v>
      </c>
    </row>
    <row r="436" spans="1:7" x14ac:dyDescent="0.25">
      <c r="A436" s="2">
        <v>2026</v>
      </c>
      <c r="B436" s="2" t="s">
        <v>71</v>
      </c>
      <c r="C436" s="8">
        <v>15</v>
      </c>
      <c r="D436" s="2">
        <v>1</v>
      </c>
      <c r="E436" s="2">
        <v>2</v>
      </c>
      <c r="F436" s="2">
        <v>2</v>
      </c>
      <c r="G436" s="2">
        <v>2</v>
      </c>
    </row>
    <row r="437" spans="1:7" x14ac:dyDescent="0.25">
      <c r="A437" s="2">
        <v>2026</v>
      </c>
      <c r="B437" s="2" t="s">
        <v>71</v>
      </c>
      <c r="C437" s="8">
        <v>16</v>
      </c>
      <c r="D437" s="2">
        <v>3</v>
      </c>
      <c r="E437" s="2">
        <v>2</v>
      </c>
      <c r="F437" s="2">
        <v>2</v>
      </c>
      <c r="G437" s="2">
        <v>1</v>
      </c>
    </row>
    <row r="438" spans="1:7" x14ac:dyDescent="0.25">
      <c r="A438" s="2">
        <v>2026</v>
      </c>
      <c r="B438" s="2" t="s">
        <v>71</v>
      </c>
      <c r="C438" s="8">
        <v>17</v>
      </c>
      <c r="D438" s="2">
        <v>1</v>
      </c>
      <c r="E438" s="2">
        <v>4</v>
      </c>
      <c r="F438" s="2">
        <v>3</v>
      </c>
      <c r="G438" s="2">
        <v>2</v>
      </c>
    </row>
    <row r="439" spans="1:7" x14ac:dyDescent="0.25">
      <c r="A439" s="2">
        <v>2026</v>
      </c>
      <c r="B439" s="2" t="s">
        <v>71</v>
      </c>
      <c r="C439" s="8">
        <v>18</v>
      </c>
      <c r="D439" s="2">
        <v>4</v>
      </c>
      <c r="E439" s="2">
        <v>2</v>
      </c>
      <c r="F439" s="2">
        <v>4</v>
      </c>
      <c r="G439" s="2">
        <v>4</v>
      </c>
    </row>
    <row r="440" spans="1:7" x14ac:dyDescent="0.25">
      <c r="A440" s="2">
        <v>2026</v>
      </c>
      <c r="B440" s="2" t="s">
        <v>71</v>
      </c>
      <c r="C440" s="8">
        <v>19</v>
      </c>
      <c r="D440" s="2">
        <v>2</v>
      </c>
      <c r="E440" s="2">
        <v>2</v>
      </c>
      <c r="F440" s="2">
        <v>4</v>
      </c>
      <c r="G440" s="2">
        <v>3</v>
      </c>
    </row>
    <row r="441" spans="1:7" x14ac:dyDescent="0.25">
      <c r="A441" s="2">
        <v>2026</v>
      </c>
      <c r="B441" s="2" t="s">
        <v>71</v>
      </c>
      <c r="C441" s="8">
        <v>20</v>
      </c>
      <c r="D441" s="2">
        <v>1</v>
      </c>
      <c r="E441" s="2">
        <v>1</v>
      </c>
      <c r="F441" s="2">
        <v>2</v>
      </c>
      <c r="G441" s="2">
        <v>4</v>
      </c>
    </row>
    <row r="442" spans="1:7" x14ac:dyDescent="0.25">
      <c r="A442" s="2">
        <v>2026</v>
      </c>
      <c r="B442" s="2" t="s">
        <v>71</v>
      </c>
      <c r="C442" s="8">
        <v>21</v>
      </c>
      <c r="D442" s="2">
        <v>3</v>
      </c>
      <c r="E442" s="2">
        <v>1</v>
      </c>
      <c r="F442" s="2">
        <v>1</v>
      </c>
      <c r="G442" s="2">
        <v>3</v>
      </c>
    </row>
    <row r="443" spans="1:7" x14ac:dyDescent="0.25">
      <c r="A443" s="2">
        <v>2026</v>
      </c>
      <c r="B443" s="2" t="s">
        <v>71</v>
      </c>
      <c r="C443" s="8">
        <v>22</v>
      </c>
      <c r="D443" s="2">
        <v>1</v>
      </c>
      <c r="E443" s="2">
        <v>2</v>
      </c>
      <c r="F443" s="2">
        <v>3</v>
      </c>
      <c r="G443" s="2">
        <v>2</v>
      </c>
    </row>
    <row r="444" spans="1:7" x14ac:dyDescent="0.25">
      <c r="A444" s="2">
        <v>2026</v>
      </c>
      <c r="B444" s="2" t="s">
        <v>71</v>
      </c>
      <c r="C444" s="8">
        <v>23</v>
      </c>
      <c r="D444" s="2">
        <v>1</v>
      </c>
      <c r="E444" s="2">
        <v>3</v>
      </c>
      <c r="F444" s="2">
        <v>1</v>
      </c>
      <c r="G444" s="2">
        <v>1</v>
      </c>
    </row>
    <row r="445" spans="1:7" x14ac:dyDescent="0.25">
      <c r="A445" s="2">
        <v>2026</v>
      </c>
      <c r="B445" s="2" t="s">
        <v>71</v>
      </c>
      <c r="C445" s="8">
        <v>24</v>
      </c>
      <c r="D445" s="2">
        <v>1</v>
      </c>
      <c r="E445" s="2">
        <v>2</v>
      </c>
      <c r="F445" s="2">
        <v>3</v>
      </c>
      <c r="G445" s="2">
        <v>1</v>
      </c>
    </row>
    <row r="446" spans="1:7" x14ac:dyDescent="0.25">
      <c r="A446" s="2">
        <v>2026</v>
      </c>
      <c r="B446" s="2" t="s">
        <v>71</v>
      </c>
      <c r="C446" s="8">
        <v>25</v>
      </c>
      <c r="D446" s="2">
        <v>2</v>
      </c>
      <c r="E446" s="2">
        <v>2</v>
      </c>
      <c r="F446" s="2">
        <v>3</v>
      </c>
      <c r="G446" s="2">
        <v>4</v>
      </c>
    </row>
    <row r="447" spans="1:7" x14ac:dyDescent="0.25">
      <c r="A447" s="2">
        <v>2026</v>
      </c>
      <c r="B447" s="2" t="s">
        <v>71</v>
      </c>
      <c r="C447" s="8">
        <v>26</v>
      </c>
      <c r="D447" s="2">
        <v>2</v>
      </c>
      <c r="E447" s="2">
        <v>3</v>
      </c>
      <c r="F447" s="2">
        <v>4</v>
      </c>
      <c r="G447" s="2">
        <v>2</v>
      </c>
    </row>
    <row r="448" spans="1:7" x14ac:dyDescent="0.25">
      <c r="A448" s="2">
        <v>2026</v>
      </c>
      <c r="B448" s="2" t="s">
        <v>71</v>
      </c>
      <c r="C448" s="8">
        <v>27</v>
      </c>
      <c r="D448" s="2">
        <v>4</v>
      </c>
      <c r="E448" s="2">
        <v>2</v>
      </c>
      <c r="F448" s="2">
        <v>4</v>
      </c>
      <c r="G448" s="2">
        <v>3</v>
      </c>
    </row>
    <row r="449" spans="1:7" x14ac:dyDescent="0.25">
      <c r="A449" s="2">
        <v>2026</v>
      </c>
      <c r="B449" s="2" t="s">
        <v>71</v>
      </c>
      <c r="C449" s="8">
        <v>28</v>
      </c>
      <c r="D449" s="2">
        <v>1</v>
      </c>
      <c r="E449" s="2">
        <v>1</v>
      </c>
      <c r="F449" s="2">
        <v>3</v>
      </c>
      <c r="G449" s="2">
        <v>3</v>
      </c>
    </row>
    <row r="450" spans="1:7" x14ac:dyDescent="0.25">
      <c r="A450" s="2">
        <v>2026</v>
      </c>
      <c r="B450" s="2" t="s">
        <v>72</v>
      </c>
      <c r="C450" s="8">
        <v>1</v>
      </c>
      <c r="D450" s="2">
        <v>2</v>
      </c>
      <c r="E450" s="2">
        <v>1</v>
      </c>
      <c r="F450" s="2">
        <v>3</v>
      </c>
      <c r="G450" s="2">
        <v>2</v>
      </c>
    </row>
    <row r="451" spans="1:7" x14ac:dyDescent="0.25">
      <c r="A451" s="2">
        <v>2026</v>
      </c>
      <c r="B451" s="2" t="s">
        <v>72</v>
      </c>
      <c r="C451" s="8">
        <v>2</v>
      </c>
      <c r="D451" s="2">
        <v>1</v>
      </c>
      <c r="E451" s="2">
        <v>2</v>
      </c>
      <c r="F451" s="2">
        <v>1</v>
      </c>
      <c r="G451" s="2">
        <v>4</v>
      </c>
    </row>
    <row r="452" spans="1:7" x14ac:dyDescent="0.25">
      <c r="A452" s="2">
        <v>2026</v>
      </c>
      <c r="B452" s="2" t="s">
        <v>72</v>
      </c>
      <c r="C452" s="8">
        <v>3</v>
      </c>
      <c r="D452" s="2">
        <v>3</v>
      </c>
      <c r="E452" s="2">
        <v>3</v>
      </c>
      <c r="F452" s="2">
        <v>2</v>
      </c>
      <c r="G452" s="2">
        <v>2</v>
      </c>
    </row>
    <row r="453" spans="1:7" x14ac:dyDescent="0.25">
      <c r="A453" s="2">
        <v>2026</v>
      </c>
      <c r="B453" s="2" t="s">
        <v>72</v>
      </c>
      <c r="C453" s="8">
        <v>4</v>
      </c>
      <c r="D453" s="2">
        <v>3</v>
      </c>
      <c r="E453" s="2">
        <v>1</v>
      </c>
      <c r="F453" s="2">
        <v>2</v>
      </c>
      <c r="G453" s="2">
        <v>1</v>
      </c>
    </row>
    <row r="454" spans="1:7" x14ac:dyDescent="0.25">
      <c r="A454" s="2">
        <v>2026</v>
      </c>
      <c r="B454" s="2" t="s">
        <v>72</v>
      </c>
      <c r="C454" s="8">
        <v>5</v>
      </c>
      <c r="D454" s="2">
        <v>1</v>
      </c>
      <c r="E454" s="2">
        <v>3</v>
      </c>
      <c r="F454" s="2">
        <v>1</v>
      </c>
      <c r="G454" s="2">
        <v>3</v>
      </c>
    </row>
    <row r="455" spans="1:7" x14ac:dyDescent="0.25">
      <c r="A455" s="2">
        <v>2026</v>
      </c>
      <c r="B455" s="2" t="s">
        <v>72</v>
      </c>
      <c r="C455" s="8">
        <v>6</v>
      </c>
      <c r="D455" s="2">
        <v>1</v>
      </c>
      <c r="E455" s="2">
        <v>2</v>
      </c>
      <c r="F455" s="2">
        <v>1</v>
      </c>
      <c r="G455" s="2">
        <v>3</v>
      </c>
    </row>
    <row r="456" spans="1:7" x14ac:dyDescent="0.25">
      <c r="A456" s="2">
        <v>2026</v>
      </c>
      <c r="B456" s="2" t="s">
        <v>72</v>
      </c>
      <c r="C456" s="8">
        <v>7</v>
      </c>
      <c r="D456" s="2">
        <v>2</v>
      </c>
      <c r="E456" s="2">
        <v>2</v>
      </c>
      <c r="F456" s="2">
        <v>1</v>
      </c>
      <c r="G456" s="2">
        <v>3</v>
      </c>
    </row>
    <row r="457" spans="1:7" x14ac:dyDescent="0.25">
      <c r="A457" s="2">
        <v>2026</v>
      </c>
      <c r="B457" s="2" t="s">
        <v>72</v>
      </c>
      <c r="C457" s="8">
        <v>8</v>
      </c>
      <c r="D457" s="2">
        <v>1</v>
      </c>
      <c r="E457" s="2">
        <v>2</v>
      </c>
      <c r="F457" s="2">
        <v>1</v>
      </c>
      <c r="G457" s="2">
        <v>2</v>
      </c>
    </row>
    <row r="458" spans="1:7" x14ac:dyDescent="0.25">
      <c r="A458" s="2">
        <v>2026</v>
      </c>
      <c r="B458" s="2" t="s">
        <v>72</v>
      </c>
      <c r="C458" s="8">
        <v>9</v>
      </c>
      <c r="D458" s="2">
        <v>2</v>
      </c>
      <c r="E458" s="2">
        <v>1</v>
      </c>
      <c r="F458" s="2">
        <v>1</v>
      </c>
      <c r="G458" s="2">
        <v>3</v>
      </c>
    </row>
    <row r="459" spans="1:7" x14ac:dyDescent="0.25">
      <c r="A459" s="2">
        <v>2026</v>
      </c>
      <c r="B459" s="2" t="s">
        <v>72</v>
      </c>
      <c r="C459" s="8">
        <v>10</v>
      </c>
      <c r="D459" s="2">
        <v>1</v>
      </c>
      <c r="E459" s="2">
        <v>1</v>
      </c>
      <c r="F459" s="2">
        <v>1</v>
      </c>
      <c r="G459" s="2">
        <v>1</v>
      </c>
    </row>
    <row r="460" spans="1:7" x14ac:dyDescent="0.25">
      <c r="A460" s="2">
        <v>2026</v>
      </c>
      <c r="B460" s="2" t="s">
        <v>72</v>
      </c>
      <c r="C460" s="8">
        <v>11</v>
      </c>
      <c r="D460" s="2">
        <v>3</v>
      </c>
      <c r="E460" s="2">
        <v>2</v>
      </c>
      <c r="F460" s="2">
        <v>1</v>
      </c>
      <c r="G460" s="2">
        <v>3</v>
      </c>
    </row>
    <row r="461" spans="1:7" x14ac:dyDescent="0.25">
      <c r="A461" s="2">
        <v>2026</v>
      </c>
      <c r="B461" s="2" t="s">
        <v>72</v>
      </c>
      <c r="C461" s="8">
        <v>12</v>
      </c>
      <c r="D461" s="2">
        <v>1</v>
      </c>
      <c r="E461" s="2">
        <v>2</v>
      </c>
      <c r="F461" s="2">
        <v>1</v>
      </c>
      <c r="G461" s="2">
        <v>3</v>
      </c>
    </row>
    <row r="462" spans="1:7" x14ac:dyDescent="0.25">
      <c r="A462" s="2">
        <v>2026</v>
      </c>
      <c r="B462" s="2" t="s">
        <v>72</v>
      </c>
      <c r="C462" s="8">
        <v>13</v>
      </c>
      <c r="D462" s="2">
        <v>3</v>
      </c>
      <c r="E462" s="2">
        <v>2</v>
      </c>
      <c r="F462" s="2">
        <v>3</v>
      </c>
      <c r="G462" s="2">
        <v>1</v>
      </c>
    </row>
    <row r="463" spans="1:7" x14ac:dyDescent="0.25">
      <c r="A463" s="2">
        <v>2026</v>
      </c>
      <c r="B463" s="2" t="s">
        <v>72</v>
      </c>
      <c r="C463" s="8">
        <v>14</v>
      </c>
      <c r="D463" s="2">
        <v>1</v>
      </c>
      <c r="E463" s="2">
        <v>2</v>
      </c>
      <c r="F463" s="2">
        <v>1</v>
      </c>
      <c r="G463" s="2">
        <v>3</v>
      </c>
    </row>
    <row r="464" spans="1:7" x14ac:dyDescent="0.25">
      <c r="A464" s="2">
        <v>2026</v>
      </c>
      <c r="B464" s="2" t="s">
        <v>72</v>
      </c>
      <c r="C464" s="8">
        <v>15</v>
      </c>
      <c r="D464" s="2">
        <v>3</v>
      </c>
      <c r="E464" s="2">
        <v>3</v>
      </c>
      <c r="F464" s="2">
        <v>1</v>
      </c>
      <c r="G464" s="2">
        <v>2</v>
      </c>
    </row>
    <row r="465" spans="1:7" x14ac:dyDescent="0.25">
      <c r="A465" s="2">
        <v>2026</v>
      </c>
      <c r="B465" s="2" t="s">
        <v>72</v>
      </c>
      <c r="C465" s="8">
        <v>16</v>
      </c>
      <c r="D465" s="2">
        <v>4</v>
      </c>
      <c r="E465" s="2">
        <v>1</v>
      </c>
      <c r="F465" s="2">
        <v>1</v>
      </c>
      <c r="G465" s="2">
        <v>2</v>
      </c>
    </row>
    <row r="466" spans="1:7" x14ac:dyDescent="0.25">
      <c r="A466" s="2">
        <v>2026</v>
      </c>
      <c r="B466" s="2" t="s">
        <v>72</v>
      </c>
      <c r="C466" s="8">
        <v>17</v>
      </c>
      <c r="D466" s="2">
        <v>1</v>
      </c>
      <c r="E466" s="2">
        <v>2</v>
      </c>
      <c r="F466" s="2">
        <v>1</v>
      </c>
      <c r="G466" s="2">
        <v>1</v>
      </c>
    </row>
    <row r="467" spans="1:7" x14ac:dyDescent="0.25">
      <c r="A467" s="2">
        <v>2026</v>
      </c>
      <c r="B467" s="2" t="s">
        <v>72</v>
      </c>
      <c r="C467" s="8">
        <v>18</v>
      </c>
      <c r="D467" s="2">
        <v>4</v>
      </c>
      <c r="E467" s="2">
        <v>2</v>
      </c>
      <c r="F467" s="2">
        <v>3</v>
      </c>
      <c r="G467" s="2">
        <v>3</v>
      </c>
    </row>
    <row r="468" spans="1:7" x14ac:dyDescent="0.25">
      <c r="A468" s="2">
        <v>2026</v>
      </c>
      <c r="B468" s="2" t="s">
        <v>72</v>
      </c>
      <c r="C468" s="8">
        <v>19</v>
      </c>
      <c r="D468" s="2">
        <v>1</v>
      </c>
      <c r="E468" s="2">
        <v>3</v>
      </c>
      <c r="F468" s="2">
        <v>1</v>
      </c>
      <c r="G468" s="2">
        <v>4</v>
      </c>
    </row>
    <row r="469" spans="1:7" x14ac:dyDescent="0.25">
      <c r="A469" s="2">
        <v>2026</v>
      </c>
      <c r="B469" s="2" t="s">
        <v>72</v>
      </c>
      <c r="C469" s="8">
        <v>20</v>
      </c>
      <c r="D469" s="2">
        <v>3</v>
      </c>
      <c r="E469" s="2">
        <v>2</v>
      </c>
      <c r="F469" s="2">
        <v>2</v>
      </c>
      <c r="G469" s="2">
        <v>1</v>
      </c>
    </row>
    <row r="470" spans="1:7" x14ac:dyDescent="0.25">
      <c r="A470" s="2">
        <v>2026</v>
      </c>
      <c r="B470" s="2" t="s">
        <v>72</v>
      </c>
      <c r="C470" s="8">
        <v>21</v>
      </c>
      <c r="D470" s="2">
        <v>2</v>
      </c>
      <c r="E470" s="2">
        <v>3</v>
      </c>
      <c r="F470" s="2">
        <v>3</v>
      </c>
      <c r="G470" s="2">
        <v>4</v>
      </c>
    </row>
    <row r="471" spans="1:7" x14ac:dyDescent="0.25">
      <c r="A471" s="2">
        <v>2026</v>
      </c>
      <c r="B471" s="2" t="s">
        <v>72</v>
      </c>
      <c r="C471" s="8">
        <v>22</v>
      </c>
      <c r="D471" s="2">
        <v>1</v>
      </c>
      <c r="E471" s="2">
        <v>1</v>
      </c>
      <c r="F471" s="2">
        <v>2</v>
      </c>
      <c r="G471" s="2">
        <v>4</v>
      </c>
    </row>
    <row r="472" spans="1:7" x14ac:dyDescent="0.25">
      <c r="A472" s="2">
        <v>2026</v>
      </c>
      <c r="B472" s="2" t="s">
        <v>72</v>
      </c>
      <c r="C472" s="8">
        <v>23</v>
      </c>
      <c r="D472" s="2">
        <v>2</v>
      </c>
      <c r="E472" s="2">
        <v>2</v>
      </c>
      <c r="F472" s="2">
        <v>3</v>
      </c>
      <c r="G472" s="2">
        <v>4</v>
      </c>
    </row>
    <row r="473" spans="1:7" x14ac:dyDescent="0.25">
      <c r="A473" s="2">
        <v>2026</v>
      </c>
      <c r="B473" s="2" t="s">
        <v>72</v>
      </c>
      <c r="C473" s="8">
        <v>24</v>
      </c>
      <c r="D473" s="2">
        <v>3</v>
      </c>
      <c r="E473" s="2">
        <v>1</v>
      </c>
      <c r="F473" s="2">
        <v>1</v>
      </c>
      <c r="G473" s="2">
        <v>1</v>
      </c>
    </row>
    <row r="474" spans="1:7" x14ac:dyDescent="0.25">
      <c r="A474" s="2">
        <v>2026</v>
      </c>
      <c r="B474" s="2" t="s">
        <v>72</v>
      </c>
      <c r="C474" s="8">
        <v>25</v>
      </c>
      <c r="D474" s="2">
        <v>1</v>
      </c>
      <c r="E474" s="2">
        <v>1</v>
      </c>
      <c r="F474" s="2">
        <v>2</v>
      </c>
      <c r="G474" s="2">
        <v>1</v>
      </c>
    </row>
    <row r="475" spans="1:7" x14ac:dyDescent="0.25">
      <c r="A475" s="2">
        <v>2026</v>
      </c>
      <c r="B475" s="2" t="s">
        <v>72</v>
      </c>
      <c r="C475" s="8">
        <v>26</v>
      </c>
      <c r="D475" s="2">
        <v>3</v>
      </c>
      <c r="E475" s="2">
        <v>1</v>
      </c>
      <c r="F475" s="2">
        <v>2</v>
      </c>
      <c r="G475" s="2">
        <v>2</v>
      </c>
    </row>
    <row r="476" spans="1:7" x14ac:dyDescent="0.25">
      <c r="A476" s="2">
        <v>2026</v>
      </c>
      <c r="B476" s="2" t="s">
        <v>72</v>
      </c>
      <c r="C476" s="8">
        <v>27</v>
      </c>
      <c r="D476" s="2">
        <v>1</v>
      </c>
      <c r="E476" s="2">
        <v>2</v>
      </c>
      <c r="F476" s="2">
        <v>1</v>
      </c>
      <c r="G476" s="2">
        <v>1</v>
      </c>
    </row>
    <row r="477" spans="1:7" x14ac:dyDescent="0.25">
      <c r="A477" s="2">
        <v>2026</v>
      </c>
      <c r="B477" s="2" t="s">
        <v>72</v>
      </c>
      <c r="C477" s="8">
        <v>28</v>
      </c>
      <c r="D477" s="2">
        <v>4</v>
      </c>
      <c r="E477" s="2">
        <v>1</v>
      </c>
      <c r="F477" s="2">
        <v>1</v>
      </c>
      <c r="G477" s="2">
        <v>4</v>
      </c>
    </row>
    <row r="478" spans="1:7" x14ac:dyDescent="0.25">
      <c r="A478" s="2">
        <v>2026</v>
      </c>
      <c r="B478" s="2" t="s">
        <v>73</v>
      </c>
      <c r="C478" s="8">
        <v>1</v>
      </c>
      <c r="D478" s="2">
        <v>3</v>
      </c>
      <c r="E478" s="2">
        <v>3</v>
      </c>
      <c r="F478" s="2">
        <v>4</v>
      </c>
      <c r="G478" s="2">
        <v>1</v>
      </c>
    </row>
    <row r="479" spans="1:7" x14ac:dyDescent="0.25">
      <c r="A479" s="2">
        <v>2026</v>
      </c>
      <c r="B479" s="2" t="s">
        <v>73</v>
      </c>
      <c r="C479" s="8">
        <v>2</v>
      </c>
      <c r="D479" s="2">
        <v>2</v>
      </c>
      <c r="E479" s="2">
        <v>3</v>
      </c>
      <c r="F479" s="2">
        <v>3</v>
      </c>
      <c r="G479" s="2">
        <v>1</v>
      </c>
    </row>
    <row r="480" spans="1:7" x14ac:dyDescent="0.25">
      <c r="A480" s="2">
        <v>2026</v>
      </c>
      <c r="B480" s="2" t="s">
        <v>73</v>
      </c>
      <c r="C480" s="8">
        <v>3</v>
      </c>
      <c r="D480" s="2">
        <v>3</v>
      </c>
      <c r="E480" s="2">
        <v>1</v>
      </c>
      <c r="F480" s="2">
        <v>1</v>
      </c>
      <c r="G480" s="2">
        <v>4</v>
      </c>
    </row>
    <row r="481" spans="1:7" x14ac:dyDescent="0.25">
      <c r="A481" s="2">
        <v>2026</v>
      </c>
      <c r="B481" s="2" t="s">
        <v>73</v>
      </c>
      <c r="C481" s="8">
        <v>4</v>
      </c>
      <c r="D481" s="2">
        <v>3</v>
      </c>
      <c r="E481" s="2">
        <v>4</v>
      </c>
      <c r="F481" s="2">
        <v>2</v>
      </c>
      <c r="G481" s="2">
        <v>2</v>
      </c>
    </row>
    <row r="482" spans="1:7" x14ac:dyDescent="0.25">
      <c r="A482" s="2">
        <v>2026</v>
      </c>
      <c r="B482" s="2" t="s">
        <v>73</v>
      </c>
      <c r="C482" s="8">
        <v>5</v>
      </c>
      <c r="D482" s="2">
        <v>3</v>
      </c>
      <c r="E482" s="2">
        <v>1</v>
      </c>
      <c r="F482" s="2">
        <v>1</v>
      </c>
      <c r="G482" s="2">
        <v>1</v>
      </c>
    </row>
    <row r="483" spans="1:7" x14ac:dyDescent="0.25">
      <c r="A483" s="2">
        <v>2026</v>
      </c>
      <c r="B483" s="2" t="s">
        <v>73</v>
      </c>
      <c r="C483" s="8">
        <v>6</v>
      </c>
      <c r="D483" s="2">
        <v>4</v>
      </c>
      <c r="E483" s="2">
        <v>2</v>
      </c>
      <c r="F483" s="2">
        <v>1</v>
      </c>
      <c r="G483" s="2">
        <v>3</v>
      </c>
    </row>
    <row r="484" spans="1:7" x14ac:dyDescent="0.25">
      <c r="A484" s="2">
        <v>2026</v>
      </c>
      <c r="B484" s="2" t="s">
        <v>73</v>
      </c>
      <c r="C484" s="8">
        <v>7</v>
      </c>
      <c r="D484" s="2">
        <v>1</v>
      </c>
      <c r="E484" s="2">
        <v>3</v>
      </c>
      <c r="F484" s="2">
        <v>2</v>
      </c>
      <c r="G484" s="2">
        <v>4</v>
      </c>
    </row>
    <row r="485" spans="1:7" x14ac:dyDescent="0.25">
      <c r="A485" s="2">
        <v>2026</v>
      </c>
      <c r="B485" s="2" t="s">
        <v>73</v>
      </c>
      <c r="C485" s="8">
        <v>8</v>
      </c>
      <c r="D485" s="2">
        <v>4</v>
      </c>
      <c r="E485" s="2">
        <v>2</v>
      </c>
      <c r="F485" s="2">
        <v>4</v>
      </c>
      <c r="G485" s="2">
        <v>1</v>
      </c>
    </row>
    <row r="486" spans="1:7" x14ac:dyDescent="0.25">
      <c r="A486" s="2">
        <v>2026</v>
      </c>
      <c r="B486" s="2" t="s">
        <v>73</v>
      </c>
      <c r="C486" s="8">
        <v>9</v>
      </c>
      <c r="D486" s="2">
        <v>3</v>
      </c>
      <c r="E486" s="2">
        <v>2</v>
      </c>
      <c r="F486" s="2">
        <v>1</v>
      </c>
      <c r="G486" s="2">
        <v>1</v>
      </c>
    </row>
    <row r="487" spans="1:7" x14ac:dyDescent="0.25">
      <c r="A487" s="2">
        <v>2026</v>
      </c>
      <c r="B487" s="2" t="s">
        <v>73</v>
      </c>
      <c r="C487" s="8">
        <v>10</v>
      </c>
      <c r="D487" s="2">
        <v>1</v>
      </c>
      <c r="E487" s="2">
        <v>2</v>
      </c>
      <c r="F487" s="2">
        <v>1</v>
      </c>
      <c r="G487" s="2">
        <v>2</v>
      </c>
    </row>
    <row r="488" spans="1:7" x14ac:dyDescent="0.25">
      <c r="A488" s="2">
        <v>2026</v>
      </c>
      <c r="B488" s="2" t="s">
        <v>73</v>
      </c>
      <c r="C488" s="8">
        <v>11</v>
      </c>
      <c r="D488" s="2">
        <v>2</v>
      </c>
      <c r="E488" s="2">
        <v>1</v>
      </c>
      <c r="F488" s="2">
        <v>2</v>
      </c>
      <c r="G488" s="2">
        <v>2</v>
      </c>
    </row>
    <row r="489" spans="1:7" x14ac:dyDescent="0.25">
      <c r="A489" s="2">
        <v>2026</v>
      </c>
      <c r="B489" s="2" t="s">
        <v>73</v>
      </c>
      <c r="C489" s="8">
        <v>12</v>
      </c>
      <c r="D489" s="2">
        <v>1</v>
      </c>
      <c r="E489" s="2">
        <v>1</v>
      </c>
      <c r="F489" s="2">
        <v>1</v>
      </c>
      <c r="G489" s="2">
        <v>3</v>
      </c>
    </row>
    <row r="490" spans="1:7" x14ac:dyDescent="0.25">
      <c r="A490" s="2">
        <v>2026</v>
      </c>
      <c r="B490" s="2" t="s">
        <v>73</v>
      </c>
      <c r="C490" s="8">
        <v>13</v>
      </c>
      <c r="D490" s="2">
        <v>2</v>
      </c>
      <c r="E490" s="2">
        <v>1</v>
      </c>
      <c r="F490" s="2">
        <v>1</v>
      </c>
      <c r="G490" s="2">
        <v>2</v>
      </c>
    </row>
    <row r="491" spans="1:7" x14ac:dyDescent="0.25">
      <c r="A491" s="2">
        <v>2026</v>
      </c>
      <c r="B491" s="2" t="s">
        <v>73</v>
      </c>
      <c r="C491" s="8">
        <v>14</v>
      </c>
      <c r="D491" s="2">
        <v>1</v>
      </c>
      <c r="E491" s="2">
        <v>2</v>
      </c>
      <c r="F491" s="2">
        <v>1</v>
      </c>
      <c r="G491" s="2">
        <v>4</v>
      </c>
    </row>
    <row r="492" spans="1:7" x14ac:dyDescent="0.25">
      <c r="A492" s="2">
        <v>2026</v>
      </c>
      <c r="B492" s="2" t="s">
        <v>73</v>
      </c>
      <c r="C492" s="8">
        <v>15</v>
      </c>
      <c r="D492" s="2">
        <v>2</v>
      </c>
      <c r="E492" s="2">
        <v>1</v>
      </c>
      <c r="F492" s="2">
        <v>4</v>
      </c>
      <c r="G492" s="2">
        <v>4</v>
      </c>
    </row>
    <row r="493" spans="1:7" x14ac:dyDescent="0.25">
      <c r="A493" s="2">
        <v>2026</v>
      </c>
      <c r="B493" s="2" t="s">
        <v>73</v>
      </c>
      <c r="C493" s="8">
        <v>16</v>
      </c>
      <c r="D493" s="2">
        <v>2</v>
      </c>
      <c r="E493" s="2">
        <v>3</v>
      </c>
      <c r="F493" s="2">
        <v>4</v>
      </c>
      <c r="G493" s="2">
        <v>3</v>
      </c>
    </row>
    <row r="494" spans="1:7" x14ac:dyDescent="0.25">
      <c r="A494" s="2">
        <v>2026</v>
      </c>
      <c r="B494" s="2" t="s">
        <v>73</v>
      </c>
      <c r="C494" s="8">
        <v>17</v>
      </c>
      <c r="D494" s="2">
        <v>1</v>
      </c>
      <c r="E494" s="2">
        <v>2</v>
      </c>
      <c r="F494" s="2">
        <v>2</v>
      </c>
      <c r="G494" s="2">
        <v>1</v>
      </c>
    </row>
    <row r="495" spans="1:7" x14ac:dyDescent="0.25">
      <c r="A495" s="2">
        <v>2026</v>
      </c>
      <c r="B495" s="2" t="s">
        <v>73</v>
      </c>
      <c r="C495" s="8">
        <v>18</v>
      </c>
      <c r="D495" s="2">
        <v>1</v>
      </c>
      <c r="E495" s="2">
        <v>1</v>
      </c>
      <c r="F495" s="2">
        <v>2</v>
      </c>
      <c r="G495" s="2">
        <v>3</v>
      </c>
    </row>
    <row r="496" spans="1:7" x14ac:dyDescent="0.25">
      <c r="A496" s="2">
        <v>2026</v>
      </c>
      <c r="B496" s="2" t="s">
        <v>73</v>
      </c>
      <c r="C496" s="8">
        <v>19</v>
      </c>
      <c r="D496" s="2">
        <v>1</v>
      </c>
      <c r="E496" s="2">
        <v>1</v>
      </c>
      <c r="F496" s="2">
        <v>2</v>
      </c>
      <c r="G496" s="2">
        <v>3</v>
      </c>
    </row>
    <row r="497" spans="1:7" x14ac:dyDescent="0.25">
      <c r="A497" s="2">
        <v>2026</v>
      </c>
      <c r="B497" s="2" t="s">
        <v>73</v>
      </c>
      <c r="C497" s="8">
        <v>20</v>
      </c>
      <c r="D497" s="2">
        <v>1</v>
      </c>
      <c r="E497" s="2">
        <v>2</v>
      </c>
      <c r="F497" s="2">
        <v>2</v>
      </c>
      <c r="G497" s="2">
        <v>1</v>
      </c>
    </row>
    <row r="498" spans="1:7" x14ac:dyDescent="0.25">
      <c r="A498" s="2">
        <v>2026</v>
      </c>
      <c r="B498" s="2" t="s">
        <v>73</v>
      </c>
      <c r="C498" s="8">
        <v>21</v>
      </c>
      <c r="D498" s="2">
        <v>3</v>
      </c>
      <c r="E498" s="2">
        <v>3</v>
      </c>
      <c r="F498" s="2">
        <v>1</v>
      </c>
      <c r="G498" s="2">
        <v>4</v>
      </c>
    </row>
    <row r="499" spans="1:7" x14ac:dyDescent="0.25">
      <c r="A499" s="2">
        <v>2026</v>
      </c>
      <c r="B499" s="2" t="s">
        <v>73</v>
      </c>
      <c r="C499" s="8">
        <v>22</v>
      </c>
      <c r="D499" s="2">
        <v>2</v>
      </c>
      <c r="E499" s="2">
        <v>2</v>
      </c>
      <c r="F499" s="2">
        <v>2</v>
      </c>
      <c r="G499" s="2">
        <v>3</v>
      </c>
    </row>
    <row r="500" spans="1:7" x14ac:dyDescent="0.25">
      <c r="A500" s="2">
        <v>2026</v>
      </c>
      <c r="B500" s="2" t="s">
        <v>73</v>
      </c>
      <c r="C500" s="8">
        <v>23</v>
      </c>
      <c r="D500" s="2">
        <v>1</v>
      </c>
      <c r="E500" s="2">
        <v>1</v>
      </c>
      <c r="F500" s="2">
        <v>4</v>
      </c>
      <c r="G500" s="2">
        <v>1</v>
      </c>
    </row>
    <row r="501" spans="1:7" x14ac:dyDescent="0.25">
      <c r="A501" s="2">
        <v>2026</v>
      </c>
      <c r="B501" s="2" t="s">
        <v>73</v>
      </c>
      <c r="C501" s="8">
        <v>24</v>
      </c>
      <c r="D501" s="2">
        <v>1</v>
      </c>
      <c r="E501" s="2">
        <v>4</v>
      </c>
      <c r="F501" s="2">
        <v>4</v>
      </c>
      <c r="G501" s="2">
        <v>3</v>
      </c>
    </row>
    <row r="502" spans="1:7" x14ac:dyDescent="0.25">
      <c r="A502" s="2">
        <v>2026</v>
      </c>
      <c r="B502" s="2" t="s">
        <v>73</v>
      </c>
      <c r="C502" s="8">
        <v>25</v>
      </c>
      <c r="D502" s="2">
        <v>1</v>
      </c>
      <c r="E502" s="2">
        <v>3</v>
      </c>
      <c r="F502" s="2">
        <v>2</v>
      </c>
      <c r="G502" s="2">
        <v>1</v>
      </c>
    </row>
    <row r="503" spans="1:7" x14ac:dyDescent="0.25">
      <c r="A503" s="2">
        <v>2026</v>
      </c>
      <c r="B503" s="2" t="s">
        <v>73</v>
      </c>
      <c r="C503" s="8">
        <v>26</v>
      </c>
      <c r="D503" s="2">
        <v>2</v>
      </c>
      <c r="E503" s="2">
        <v>1</v>
      </c>
      <c r="F503" s="2">
        <v>3</v>
      </c>
      <c r="G503" s="2">
        <v>4</v>
      </c>
    </row>
    <row r="504" spans="1:7" x14ac:dyDescent="0.25">
      <c r="A504" s="2">
        <v>2026</v>
      </c>
      <c r="B504" s="2" t="s">
        <v>73</v>
      </c>
      <c r="C504" s="8">
        <v>27</v>
      </c>
      <c r="D504" s="2">
        <v>1</v>
      </c>
      <c r="E504" s="2">
        <v>3</v>
      </c>
      <c r="F504" s="2">
        <v>2</v>
      </c>
      <c r="G504" s="2">
        <v>2</v>
      </c>
    </row>
    <row r="505" spans="1:7" x14ac:dyDescent="0.25">
      <c r="A505" s="2">
        <v>2026</v>
      </c>
      <c r="B505" s="2" t="s">
        <v>73</v>
      </c>
      <c r="C505" s="8">
        <v>28</v>
      </c>
      <c r="D505" s="2">
        <v>1</v>
      </c>
      <c r="E505" s="2">
        <v>3</v>
      </c>
      <c r="F505" s="2">
        <v>2</v>
      </c>
      <c r="G505" s="2">
        <v>3</v>
      </c>
    </row>
    <row r="506" spans="1:7" x14ac:dyDescent="0.25">
      <c r="A506" s="2">
        <v>2026</v>
      </c>
      <c r="B506" s="2" t="s">
        <v>74</v>
      </c>
      <c r="C506" s="8">
        <v>1</v>
      </c>
      <c r="D506" s="2">
        <v>2</v>
      </c>
      <c r="E506" s="2">
        <v>1</v>
      </c>
      <c r="F506" s="2">
        <v>1</v>
      </c>
      <c r="G506" s="2">
        <v>1</v>
      </c>
    </row>
    <row r="507" spans="1:7" x14ac:dyDescent="0.25">
      <c r="A507" s="2">
        <v>2026</v>
      </c>
      <c r="B507" s="2" t="s">
        <v>74</v>
      </c>
      <c r="C507" s="8">
        <v>2</v>
      </c>
      <c r="D507" s="2">
        <v>2</v>
      </c>
      <c r="E507" s="2">
        <v>2</v>
      </c>
      <c r="F507" s="2">
        <v>1</v>
      </c>
      <c r="G507" s="2">
        <v>1</v>
      </c>
    </row>
    <row r="508" spans="1:7" x14ac:dyDescent="0.25">
      <c r="A508" s="2">
        <v>2026</v>
      </c>
      <c r="B508" s="2" t="s">
        <v>74</v>
      </c>
      <c r="C508" s="8">
        <v>3</v>
      </c>
      <c r="D508" s="2">
        <v>2</v>
      </c>
      <c r="E508" s="2">
        <v>2</v>
      </c>
      <c r="F508" s="2">
        <v>2</v>
      </c>
      <c r="G508" s="2">
        <v>4</v>
      </c>
    </row>
    <row r="509" spans="1:7" x14ac:dyDescent="0.25">
      <c r="A509" s="2">
        <v>2026</v>
      </c>
      <c r="B509" s="2" t="s">
        <v>74</v>
      </c>
      <c r="C509" s="8">
        <v>4</v>
      </c>
      <c r="D509" s="2">
        <v>2</v>
      </c>
      <c r="E509" s="2">
        <v>1</v>
      </c>
      <c r="F509" s="2">
        <v>3</v>
      </c>
      <c r="G509" s="2">
        <v>4</v>
      </c>
    </row>
    <row r="510" spans="1:7" x14ac:dyDescent="0.25">
      <c r="A510" s="2">
        <v>2026</v>
      </c>
      <c r="B510" s="2" t="s">
        <v>74</v>
      </c>
      <c r="C510" s="8">
        <v>5</v>
      </c>
      <c r="D510" s="2">
        <v>1</v>
      </c>
      <c r="E510" s="2">
        <v>2</v>
      </c>
      <c r="F510" s="2">
        <v>1</v>
      </c>
      <c r="G510" s="2">
        <v>4</v>
      </c>
    </row>
    <row r="511" spans="1:7" x14ac:dyDescent="0.25">
      <c r="A511" s="2">
        <v>2026</v>
      </c>
      <c r="B511" s="2" t="s">
        <v>74</v>
      </c>
      <c r="C511" s="8">
        <v>6</v>
      </c>
      <c r="D511" s="2">
        <v>1</v>
      </c>
      <c r="E511" s="2">
        <v>1</v>
      </c>
      <c r="F511" s="2">
        <v>1</v>
      </c>
      <c r="G511" s="2">
        <v>1</v>
      </c>
    </row>
    <row r="512" spans="1:7" x14ac:dyDescent="0.25">
      <c r="A512" s="2">
        <v>2026</v>
      </c>
      <c r="B512" s="2" t="s">
        <v>74</v>
      </c>
      <c r="C512" s="8">
        <v>7</v>
      </c>
      <c r="D512" s="2">
        <v>2</v>
      </c>
      <c r="E512" s="2">
        <v>2</v>
      </c>
      <c r="F512" s="2">
        <v>1</v>
      </c>
      <c r="G512" s="2">
        <v>3</v>
      </c>
    </row>
    <row r="513" spans="1:7" x14ac:dyDescent="0.25">
      <c r="A513" s="2">
        <v>2026</v>
      </c>
      <c r="B513" s="2" t="s">
        <v>74</v>
      </c>
      <c r="C513" s="8">
        <v>8</v>
      </c>
      <c r="D513" s="2">
        <v>1</v>
      </c>
      <c r="E513" s="2">
        <v>1</v>
      </c>
      <c r="F513" s="2">
        <v>4</v>
      </c>
      <c r="G513" s="2">
        <v>3</v>
      </c>
    </row>
    <row r="514" spans="1:7" x14ac:dyDescent="0.25">
      <c r="A514" s="2">
        <v>2026</v>
      </c>
      <c r="B514" s="2" t="s">
        <v>74</v>
      </c>
      <c r="C514" s="8">
        <v>9</v>
      </c>
      <c r="D514" s="2">
        <v>1</v>
      </c>
      <c r="E514" s="2">
        <v>1</v>
      </c>
      <c r="F514" s="2">
        <v>1</v>
      </c>
      <c r="G514" s="2">
        <v>3</v>
      </c>
    </row>
    <row r="515" spans="1:7" x14ac:dyDescent="0.25">
      <c r="A515" s="2">
        <v>2026</v>
      </c>
      <c r="B515" s="2" t="s">
        <v>74</v>
      </c>
      <c r="C515" s="8">
        <v>10</v>
      </c>
      <c r="D515" s="2">
        <v>4</v>
      </c>
      <c r="E515" s="2">
        <v>3</v>
      </c>
      <c r="F515" s="2">
        <v>3</v>
      </c>
      <c r="G515" s="2">
        <v>3</v>
      </c>
    </row>
    <row r="516" spans="1:7" x14ac:dyDescent="0.25">
      <c r="A516" s="2">
        <v>2026</v>
      </c>
      <c r="B516" s="2" t="s">
        <v>74</v>
      </c>
      <c r="C516" s="8">
        <v>11</v>
      </c>
      <c r="D516" s="2">
        <v>1</v>
      </c>
      <c r="E516" s="2">
        <v>1</v>
      </c>
      <c r="F516" s="2">
        <v>3</v>
      </c>
      <c r="G516" s="2">
        <v>2</v>
      </c>
    </row>
    <row r="517" spans="1:7" x14ac:dyDescent="0.25">
      <c r="A517" s="2">
        <v>2026</v>
      </c>
      <c r="B517" s="2" t="s">
        <v>74</v>
      </c>
      <c r="C517" s="8">
        <v>12</v>
      </c>
      <c r="D517" s="2">
        <v>2</v>
      </c>
      <c r="E517" s="2">
        <v>1</v>
      </c>
      <c r="F517" s="2">
        <v>2</v>
      </c>
      <c r="G517" s="2">
        <v>1</v>
      </c>
    </row>
    <row r="518" spans="1:7" x14ac:dyDescent="0.25">
      <c r="A518" s="2">
        <v>2026</v>
      </c>
      <c r="B518" s="2" t="s">
        <v>74</v>
      </c>
      <c r="C518" s="8">
        <v>13</v>
      </c>
      <c r="D518" s="2">
        <v>2</v>
      </c>
      <c r="E518" s="2">
        <v>2</v>
      </c>
      <c r="F518" s="2">
        <v>1</v>
      </c>
      <c r="G518" s="2">
        <v>1</v>
      </c>
    </row>
    <row r="519" spans="1:7" x14ac:dyDescent="0.25">
      <c r="A519" s="2">
        <v>2026</v>
      </c>
      <c r="B519" s="2" t="s">
        <v>74</v>
      </c>
      <c r="C519" s="8">
        <v>14</v>
      </c>
      <c r="D519" s="2">
        <v>1</v>
      </c>
      <c r="E519" s="2">
        <v>1</v>
      </c>
      <c r="F519" s="2">
        <v>1</v>
      </c>
      <c r="G519" s="2">
        <v>2</v>
      </c>
    </row>
    <row r="520" spans="1:7" x14ac:dyDescent="0.25">
      <c r="A520" s="2">
        <v>2026</v>
      </c>
      <c r="B520" s="2" t="s">
        <v>74</v>
      </c>
      <c r="C520" s="8">
        <v>15</v>
      </c>
      <c r="D520" s="2">
        <v>1</v>
      </c>
      <c r="E520" s="2">
        <v>1</v>
      </c>
      <c r="F520" s="2">
        <v>2</v>
      </c>
      <c r="G520" s="2">
        <v>1</v>
      </c>
    </row>
    <row r="521" spans="1:7" x14ac:dyDescent="0.25">
      <c r="A521" s="2">
        <v>2026</v>
      </c>
      <c r="B521" s="2" t="s">
        <v>74</v>
      </c>
      <c r="C521" s="8">
        <v>16</v>
      </c>
      <c r="D521" s="2">
        <v>2</v>
      </c>
      <c r="E521" s="2">
        <v>3</v>
      </c>
      <c r="F521" s="2">
        <v>2</v>
      </c>
      <c r="G521" s="2">
        <v>2</v>
      </c>
    </row>
    <row r="522" spans="1:7" x14ac:dyDescent="0.25">
      <c r="A522" s="2">
        <v>2026</v>
      </c>
      <c r="B522" s="2" t="s">
        <v>74</v>
      </c>
      <c r="C522" s="8">
        <v>17</v>
      </c>
      <c r="D522" s="2">
        <v>2</v>
      </c>
      <c r="E522" s="2">
        <v>1</v>
      </c>
      <c r="F522" s="2">
        <v>2</v>
      </c>
      <c r="G522" s="2">
        <v>1</v>
      </c>
    </row>
    <row r="523" spans="1:7" x14ac:dyDescent="0.25">
      <c r="A523" s="2">
        <v>2026</v>
      </c>
      <c r="B523" s="2" t="s">
        <v>74</v>
      </c>
      <c r="C523" s="8">
        <v>18</v>
      </c>
      <c r="D523" s="2">
        <v>2</v>
      </c>
      <c r="E523" s="2">
        <v>1</v>
      </c>
      <c r="F523" s="2">
        <v>1</v>
      </c>
      <c r="G523" s="2">
        <v>2</v>
      </c>
    </row>
    <row r="524" spans="1:7" x14ac:dyDescent="0.25">
      <c r="A524" s="2">
        <v>2026</v>
      </c>
      <c r="B524" s="2" t="s">
        <v>74</v>
      </c>
      <c r="C524" s="8">
        <v>19</v>
      </c>
      <c r="D524" s="2">
        <v>3</v>
      </c>
      <c r="E524" s="2">
        <v>4</v>
      </c>
      <c r="F524" s="2">
        <v>1</v>
      </c>
      <c r="G524" s="2">
        <v>1</v>
      </c>
    </row>
    <row r="525" spans="1:7" x14ac:dyDescent="0.25">
      <c r="A525" s="2">
        <v>2026</v>
      </c>
      <c r="B525" s="2" t="s">
        <v>74</v>
      </c>
      <c r="C525" s="8">
        <v>20</v>
      </c>
      <c r="D525" s="2">
        <v>4</v>
      </c>
      <c r="E525" s="2">
        <v>1</v>
      </c>
      <c r="F525" s="2">
        <v>3</v>
      </c>
      <c r="G525" s="2">
        <v>2</v>
      </c>
    </row>
    <row r="526" spans="1:7" x14ac:dyDescent="0.25">
      <c r="A526" s="2">
        <v>2026</v>
      </c>
      <c r="B526" s="2" t="s">
        <v>74</v>
      </c>
      <c r="C526" s="8">
        <v>21</v>
      </c>
      <c r="D526" s="2">
        <v>3</v>
      </c>
      <c r="E526" s="2">
        <v>1</v>
      </c>
      <c r="F526" s="2">
        <v>1</v>
      </c>
      <c r="G526" s="2">
        <v>2</v>
      </c>
    </row>
    <row r="527" spans="1:7" x14ac:dyDescent="0.25">
      <c r="A527" s="2">
        <v>2026</v>
      </c>
      <c r="B527" s="2" t="s">
        <v>74</v>
      </c>
      <c r="C527" s="8">
        <v>22</v>
      </c>
      <c r="D527" s="2">
        <v>3</v>
      </c>
      <c r="E527" s="2">
        <v>3</v>
      </c>
      <c r="F527" s="2">
        <v>1</v>
      </c>
      <c r="G527" s="2">
        <v>4</v>
      </c>
    </row>
    <row r="528" spans="1:7" x14ac:dyDescent="0.25">
      <c r="A528" s="2">
        <v>2026</v>
      </c>
      <c r="B528" s="2" t="s">
        <v>74</v>
      </c>
      <c r="C528" s="8">
        <v>23</v>
      </c>
      <c r="D528" s="2">
        <v>1</v>
      </c>
      <c r="E528" s="2">
        <v>2</v>
      </c>
      <c r="F528" s="2">
        <v>2</v>
      </c>
      <c r="G528" s="2">
        <v>1</v>
      </c>
    </row>
    <row r="529" spans="1:7" x14ac:dyDescent="0.25">
      <c r="A529" s="2">
        <v>2026</v>
      </c>
      <c r="B529" s="2" t="s">
        <v>74</v>
      </c>
      <c r="C529" s="8">
        <v>24</v>
      </c>
      <c r="D529" s="2">
        <v>1</v>
      </c>
      <c r="E529" s="2">
        <v>3</v>
      </c>
      <c r="F529" s="2">
        <v>1</v>
      </c>
      <c r="G529" s="2">
        <v>2</v>
      </c>
    </row>
    <row r="530" spans="1:7" x14ac:dyDescent="0.25">
      <c r="A530" s="2">
        <v>2026</v>
      </c>
      <c r="B530" s="2" t="s">
        <v>74</v>
      </c>
      <c r="C530" s="8">
        <v>25</v>
      </c>
      <c r="D530" s="2">
        <v>2</v>
      </c>
      <c r="E530" s="2">
        <v>3</v>
      </c>
      <c r="F530" s="2">
        <v>3</v>
      </c>
      <c r="G530" s="2">
        <v>1</v>
      </c>
    </row>
    <row r="531" spans="1:7" x14ac:dyDescent="0.25">
      <c r="A531" s="2">
        <v>2026</v>
      </c>
      <c r="B531" s="2" t="s">
        <v>74</v>
      </c>
      <c r="C531" s="8">
        <v>26</v>
      </c>
      <c r="D531" s="2">
        <v>1</v>
      </c>
      <c r="E531" s="2">
        <v>3</v>
      </c>
      <c r="F531" s="2">
        <v>3</v>
      </c>
      <c r="G531" s="2">
        <v>1</v>
      </c>
    </row>
    <row r="532" spans="1:7" x14ac:dyDescent="0.25">
      <c r="A532" s="2">
        <v>2026</v>
      </c>
      <c r="B532" s="2" t="s">
        <v>74</v>
      </c>
      <c r="C532" s="8">
        <v>27</v>
      </c>
      <c r="D532" s="2">
        <v>4</v>
      </c>
      <c r="E532" s="2">
        <v>1</v>
      </c>
      <c r="F532" s="2">
        <v>2</v>
      </c>
      <c r="G532" s="2">
        <v>2</v>
      </c>
    </row>
    <row r="533" spans="1:7" x14ac:dyDescent="0.25">
      <c r="A533" s="2">
        <v>2026</v>
      </c>
      <c r="B533" s="2" t="s">
        <v>74</v>
      </c>
      <c r="C533" s="8">
        <v>28</v>
      </c>
      <c r="D533" s="2">
        <v>2</v>
      </c>
      <c r="E533" s="2">
        <v>1</v>
      </c>
      <c r="F533" s="2">
        <v>3</v>
      </c>
      <c r="G533" s="2">
        <v>1</v>
      </c>
    </row>
    <row r="534" spans="1:7" x14ac:dyDescent="0.25">
      <c r="A534" s="2">
        <v>2026</v>
      </c>
      <c r="B534" s="2" t="s">
        <v>75</v>
      </c>
      <c r="C534" s="8">
        <v>1</v>
      </c>
      <c r="D534" s="2">
        <v>1</v>
      </c>
      <c r="E534" s="2">
        <v>4</v>
      </c>
      <c r="F534" s="2">
        <v>1</v>
      </c>
      <c r="G534" s="2">
        <v>1</v>
      </c>
    </row>
    <row r="535" spans="1:7" x14ac:dyDescent="0.25">
      <c r="A535" s="2">
        <v>2026</v>
      </c>
      <c r="B535" s="2" t="s">
        <v>75</v>
      </c>
      <c r="C535" s="8">
        <v>2</v>
      </c>
      <c r="D535" s="2">
        <v>1</v>
      </c>
      <c r="E535" s="2">
        <v>2</v>
      </c>
      <c r="F535" s="2">
        <v>2</v>
      </c>
      <c r="G535" s="2">
        <v>1</v>
      </c>
    </row>
    <row r="536" spans="1:7" x14ac:dyDescent="0.25">
      <c r="A536" s="2">
        <v>2026</v>
      </c>
      <c r="B536" s="2" t="s">
        <v>75</v>
      </c>
      <c r="C536" s="8">
        <v>3</v>
      </c>
      <c r="D536" s="2">
        <v>1</v>
      </c>
      <c r="E536" s="2">
        <v>3</v>
      </c>
      <c r="F536" s="2">
        <v>2</v>
      </c>
      <c r="G536" s="2">
        <v>1</v>
      </c>
    </row>
    <row r="537" spans="1:7" x14ac:dyDescent="0.25">
      <c r="A537" s="2">
        <v>2026</v>
      </c>
      <c r="B537" s="2" t="s">
        <v>75</v>
      </c>
      <c r="C537" s="8">
        <v>4</v>
      </c>
      <c r="D537" s="2">
        <v>1</v>
      </c>
      <c r="E537" s="2">
        <v>2</v>
      </c>
      <c r="F537" s="2">
        <v>1</v>
      </c>
      <c r="G537" s="2">
        <v>1</v>
      </c>
    </row>
    <row r="538" spans="1:7" x14ac:dyDescent="0.25">
      <c r="A538" s="2">
        <v>2026</v>
      </c>
      <c r="B538" s="2" t="s">
        <v>75</v>
      </c>
      <c r="C538" s="8">
        <v>5</v>
      </c>
      <c r="D538" s="2">
        <v>2</v>
      </c>
      <c r="E538" s="2">
        <v>1</v>
      </c>
      <c r="F538" s="2">
        <v>1</v>
      </c>
      <c r="G538" s="2">
        <v>1</v>
      </c>
    </row>
    <row r="539" spans="1:7" x14ac:dyDescent="0.25">
      <c r="A539" s="2">
        <v>2026</v>
      </c>
      <c r="B539" s="2" t="s">
        <v>75</v>
      </c>
      <c r="C539" s="8">
        <v>6</v>
      </c>
      <c r="D539" s="2">
        <v>3</v>
      </c>
      <c r="E539" s="2">
        <v>3</v>
      </c>
      <c r="F539" s="2">
        <v>2</v>
      </c>
      <c r="G539" s="2">
        <v>1</v>
      </c>
    </row>
    <row r="540" spans="1:7" x14ac:dyDescent="0.25">
      <c r="A540" s="2">
        <v>2026</v>
      </c>
      <c r="B540" s="2" t="s">
        <v>75</v>
      </c>
      <c r="C540" s="8">
        <v>7</v>
      </c>
      <c r="D540" s="2">
        <v>1</v>
      </c>
      <c r="E540" s="2">
        <v>1</v>
      </c>
      <c r="F540" s="2">
        <v>2</v>
      </c>
      <c r="G540" s="2">
        <v>2</v>
      </c>
    </row>
    <row r="541" spans="1:7" x14ac:dyDescent="0.25">
      <c r="A541" s="2">
        <v>2026</v>
      </c>
      <c r="B541" s="2" t="s">
        <v>75</v>
      </c>
      <c r="C541" s="8">
        <v>8</v>
      </c>
      <c r="D541" s="2">
        <v>4</v>
      </c>
      <c r="E541" s="2">
        <v>1</v>
      </c>
      <c r="F541" s="2">
        <v>4</v>
      </c>
      <c r="G541" s="2">
        <v>2</v>
      </c>
    </row>
    <row r="542" spans="1:7" x14ac:dyDescent="0.25">
      <c r="A542" s="2">
        <v>2026</v>
      </c>
      <c r="B542" s="2" t="s">
        <v>75</v>
      </c>
      <c r="C542" s="8">
        <v>9</v>
      </c>
      <c r="D542" s="2">
        <v>2</v>
      </c>
      <c r="E542" s="2">
        <v>1</v>
      </c>
      <c r="F542" s="2">
        <v>2</v>
      </c>
      <c r="G542" s="2">
        <v>1</v>
      </c>
    </row>
    <row r="543" spans="1:7" x14ac:dyDescent="0.25">
      <c r="A543" s="2">
        <v>2026</v>
      </c>
      <c r="B543" s="2" t="s">
        <v>75</v>
      </c>
      <c r="C543" s="8">
        <v>10</v>
      </c>
      <c r="D543" s="2">
        <v>3</v>
      </c>
      <c r="E543" s="2">
        <v>3</v>
      </c>
      <c r="F543" s="2">
        <v>3</v>
      </c>
      <c r="G543" s="2">
        <v>2</v>
      </c>
    </row>
    <row r="544" spans="1:7" x14ac:dyDescent="0.25">
      <c r="A544" s="2">
        <v>2026</v>
      </c>
      <c r="B544" s="2" t="s">
        <v>75</v>
      </c>
      <c r="C544" s="8">
        <v>11</v>
      </c>
      <c r="D544" s="2">
        <v>1</v>
      </c>
      <c r="E544" s="2">
        <v>1</v>
      </c>
      <c r="F544" s="2">
        <v>1</v>
      </c>
      <c r="G544" s="2">
        <v>1</v>
      </c>
    </row>
    <row r="545" spans="1:7" x14ac:dyDescent="0.25">
      <c r="A545" s="2">
        <v>2026</v>
      </c>
      <c r="B545" s="2" t="s">
        <v>75</v>
      </c>
      <c r="C545" s="8">
        <v>12</v>
      </c>
      <c r="D545" s="2">
        <v>1</v>
      </c>
      <c r="E545" s="2">
        <v>3</v>
      </c>
      <c r="F545" s="2">
        <v>2</v>
      </c>
      <c r="G545" s="2">
        <v>1</v>
      </c>
    </row>
    <row r="546" spans="1:7" x14ac:dyDescent="0.25">
      <c r="A546" s="2">
        <v>2026</v>
      </c>
      <c r="B546" s="2" t="s">
        <v>75</v>
      </c>
      <c r="C546" s="8">
        <v>13</v>
      </c>
      <c r="D546" s="2">
        <v>2</v>
      </c>
      <c r="E546" s="2">
        <v>2</v>
      </c>
      <c r="F546" s="2">
        <v>1</v>
      </c>
      <c r="G546" s="2">
        <v>4</v>
      </c>
    </row>
    <row r="547" spans="1:7" x14ac:dyDescent="0.25">
      <c r="A547" s="2">
        <v>2026</v>
      </c>
      <c r="B547" s="2" t="s">
        <v>75</v>
      </c>
      <c r="C547" s="8">
        <v>14</v>
      </c>
      <c r="D547" s="2">
        <v>2</v>
      </c>
      <c r="E547" s="2">
        <v>1</v>
      </c>
      <c r="F547" s="2">
        <v>2</v>
      </c>
      <c r="G547" s="2">
        <v>1</v>
      </c>
    </row>
    <row r="548" spans="1:7" x14ac:dyDescent="0.25">
      <c r="A548" s="2">
        <v>2026</v>
      </c>
      <c r="B548" s="2" t="s">
        <v>75</v>
      </c>
      <c r="C548" s="8">
        <v>15</v>
      </c>
      <c r="D548" s="2">
        <v>1</v>
      </c>
      <c r="E548" s="2">
        <v>1</v>
      </c>
      <c r="F548" s="2">
        <v>1</v>
      </c>
      <c r="G548" s="2">
        <v>2</v>
      </c>
    </row>
    <row r="549" spans="1:7" x14ac:dyDescent="0.25">
      <c r="A549" s="2">
        <v>2026</v>
      </c>
      <c r="B549" s="2" t="s">
        <v>75</v>
      </c>
      <c r="C549" s="8">
        <v>16</v>
      </c>
      <c r="D549" s="2">
        <v>3</v>
      </c>
      <c r="E549" s="2">
        <v>1</v>
      </c>
      <c r="F549" s="2">
        <v>2</v>
      </c>
      <c r="G549" s="2">
        <v>2</v>
      </c>
    </row>
    <row r="550" spans="1:7" x14ac:dyDescent="0.25">
      <c r="A550" s="2">
        <v>2026</v>
      </c>
      <c r="B550" s="2" t="s">
        <v>75</v>
      </c>
      <c r="C550" s="8">
        <v>17</v>
      </c>
      <c r="D550" s="2">
        <v>4</v>
      </c>
      <c r="E550" s="2">
        <v>1</v>
      </c>
      <c r="F550" s="2">
        <v>3</v>
      </c>
      <c r="G550" s="2">
        <v>3</v>
      </c>
    </row>
    <row r="551" spans="1:7" x14ac:dyDescent="0.25">
      <c r="A551" s="2">
        <v>2026</v>
      </c>
      <c r="B551" s="2" t="s">
        <v>75</v>
      </c>
      <c r="C551" s="8">
        <v>18</v>
      </c>
      <c r="D551" s="2">
        <v>2</v>
      </c>
      <c r="E551" s="2">
        <v>3</v>
      </c>
      <c r="F551" s="2">
        <v>3</v>
      </c>
      <c r="G551" s="2">
        <v>2</v>
      </c>
    </row>
    <row r="552" spans="1:7" x14ac:dyDescent="0.25">
      <c r="A552" s="2">
        <v>2026</v>
      </c>
      <c r="B552" s="2" t="s">
        <v>75</v>
      </c>
      <c r="C552" s="8">
        <v>19</v>
      </c>
      <c r="D552" s="2">
        <v>1</v>
      </c>
      <c r="E552" s="2">
        <v>2</v>
      </c>
      <c r="F552" s="2">
        <v>1</v>
      </c>
      <c r="G552" s="2">
        <v>3</v>
      </c>
    </row>
    <row r="553" spans="1:7" x14ac:dyDescent="0.25">
      <c r="A553" s="2">
        <v>2026</v>
      </c>
      <c r="B553" s="2" t="s">
        <v>75</v>
      </c>
      <c r="C553" s="8">
        <v>20</v>
      </c>
      <c r="D553" s="2">
        <v>1</v>
      </c>
      <c r="E553" s="2">
        <v>3</v>
      </c>
      <c r="F553" s="2">
        <v>1</v>
      </c>
      <c r="G553" s="2">
        <v>3</v>
      </c>
    </row>
    <row r="554" spans="1:7" x14ac:dyDescent="0.25">
      <c r="A554" s="2">
        <v>2026</v>
      </c>
      <c r="B554" s="2" t="s">
        <v>75</v>
      </c>
      <c r="C554" s="8">
        <v>21</v>
      </c>
      <c r="D554" s="2">
        <v>4</v>
      </c>
      <c r="E554" s="2">
        <v>2</v>
      </c>
      <c r="F554" s="2">
        <v>1</v>
      </c>
      <c r="G554" s="2">
        <v>1</v>
      </c>
    </row>
    <row r="555" spans="1:7" x14ac:dyDescent="0.25">
      <c r="A555" s="2">
        <v>2026</v>
      </c>
      <c r="B555" s="2" t="s">
        <v>75</v>
      </c>
      <c r="C555" s="8">
        <v>22</v>
      </c>
      <c r="D555" s="2">
        <v>1</v>
      </c>
      <c r="E555" s="2">
        <v>4</v>
      </c>
      <c r="F555" s="2">
        <v>1</v>
      </c>
      <c r="G555" s="2">
        <v>2</v>
      </c>
    </row>
    <row r="556" spans="1:7" x14ac:dyDescent="0.25">
      <c r="A556" s="2">
        <v>2026</v>
      </c>
      <c r="B556" s="2" t="s">
        <v>75</v>
      </c>
      <c r="C556" s="8">
        <v>23</v>
      </c>
      <c r="D556" s="2">
        <v>2</v>
      </c>
      <c r="E556" s="2">
        <v>1</v>
      </c>
      <c r="F556" s="2">
        <v>2</v>
      </c>
      <c r="G556" s="2">
        <v>4</v>
      </c>
    </row>
    <row r="557" spans="1:7" x14ac:dyDescent="0.25">
      <c r="A557" s="2">
        <v>2026</v>
      </c>
      <c r="B557" s="2" t="s">
        <v>75</v>
      </c>
      <c r="C557" s="8">
        <v>24</v>
      </c>
      <c r="D557" s="2">
        <v>1</v>
      </c>
      <c r="E557" s="2">
        <v>4</v>
      </c>
      <c r="F557" s="2">
        <v>2</v>
      </c>
      <c r="G557" s="2">
        <v>1</v>
      </c>
    </row>
    <row r="558" spans="1:7" x14ac:dyDescent="0.25">
      <c r="A558" s="2">
        <v>2026</v>
      </c>
      <c r="B558" s="2" t="s">
        <v>75</v>
      </c>
      <c r="C558" s="8">
        <v>25</v>
      </c>
      <c r="D558" s="2">
        <v>3</v>
      </c>
      <c r="E558" s="2">
        <v>2</v>
      </c>
      <c r="F558" s="2">
        <v>1</v>
      </c>
      <c r="G558" s="2">
        <v>2</v>
      </c>
    </row>
    <row r="559" spans="1:7" x14ac:dyDescent="0.25">
      <c r="A559" s="2">
        <v>2026</v>
      </c>
      <c r="B559" s="2" t="s">
        <v>75</v>
      </c>
      <c r="C559" s="8">
        <v>26</v>
      </c>
      <c r="D559" s="2">
        <v>1</v>
      </c>
      <c r="E559" s="2">
        <v>3</v>
      </c>
      <c r="F559" s="2">
        <v>1</v>
      </c>
      <c r="G559" s="2">
        <v>1</v>
      </c>
    </row>
    <row r="560" spans="1:7" x14ac:dyDescent="0.25">
      <c r="A560" s="2">
        <v>2026</v>
      </c>
      <c r="B560" s="2" t="s">
        <v>75</v>
      </c>
      <c r="C560" s="8">
        <v>27</v>
      </c>
      <c r="D560" s="2">
        <v>3</v>
      </c>
      <c r="E560" s="2">
        <v>1</v>
      </c>
      <c r="F560" s="2">
        <v>1</v>
      </c>
      <c r="G560" s="2">
        <v>2</v>
      </c>
    </row>
    <row r="561" spans="1:7" x14ac:dyDescent="0.25">
      <c r="A561" s="2">
        <v>2026</v>
      </c>
      <c r="B561" s="2" t="s">
        <v>75</v>
      </c>
      <c r="C561" s="8">
        <v>28</v>
      </c>
      <c r="D561" s="2">
        <v>4</v>
      </c>
      <c r="E561" s="2">
        <v>1</v>
      </c>
      <c r="F561" s="2">
        <v>2</v>
      </c>
      <c r="G561" s="2">
        <v>1</v>
      </c>
    </row>
    <row r="562" spans="1:7" x14ac:dyDescent="0.25">
      <c r="A562" s="2">
        <v>2026</v>
      </c>
      <c r="B562" s="2" t="s">
        <v>76</v>
      </c>
      <c r="C562" s="8">
        <v>1</v>
      </c>
      <c r="D562" s="2">
        <v>3</v>
      </c>
      <c r="E562" s="2">
        <v>1</v>
      </c>
      <c r="F562" s="2">
        <v>2</v>
      </c>
      <c r="G562" s="2">
        <v>1</v>
      </c>
    </row>
    <row r="563" spans="1:7" x14ac:dyDescent="0.25">
      <c r="A563" s="2">
        <v>2026</v>
      </c>
      <c r="B563" s="2" t="s">
        <v>76</v>
      </c>
      <c r="C563" s="8">
        <v>2</v>
      </c>
      <c r="D563" s="2">
        <v>3</v>
      </c>
      <c r="E563" s="2">
        <v>3</v>
      </c>
      <c r="F563" s="2">
        <v>1</v>
      </c>
      <c r="G563" s="2">
        <v>3</v>
      </c>
    </row>
    <row r="564" spans="1:7" x14ac:dyDescent="0.25">
      <c r="A564" s="2">
        <v>2026</v>
      </c>
      <c r="B564" s="2" t="s">
        <v>76</v>
      </c>
      <c r="C564" s="8">
        <v>3</v>
      </c>
      <c r="D564" s="2">
        <v>1</v>
      </c>
      <c r="E564" s="2">
        <v>2</v>
      </c>
      <c r="F564" s="2">
        <v>2</v>
      </c>
      <c r="G564" s="2">
        <v>1</v>
      </c>
    </row>
    <row r="565" spans="1:7" x14ac:dyDescent="0.25">
      <c r="A565" s="2">
        <v>2026</v>
      </c>
      <c r="B565" s="2" t="s">
        <v>76</v>
      </c>
      <c r="C565" s="8">
        <v>4</v>
      </c>
      <c r="D565" s="2">
        <v>1</v>
      </c>
      <c r="E565" s="2">
        <v>1</v>
      </c>
      <c r="F565" s="2">
        <v>2</v>
      </c>
      <c r="G565" s="2">
        <v>4</v>
      </c>
    </row>
    <row r="566" spans="1:7" x14ac:dyDescent="0.25">
      <c r="A566" s="2">
        <v>2026</v>
      </c>
      <c r="B566" s="2" t="s">
        <v>76</v>
      </c>
      <c r="C566" s="8">
        <v>5</v>
      </c>
      <c r="D566" s="2">
        <v>3</v>
      </c>
      <c r="E566" s="2">
        <v>2</v>
      </c>
      <c r="F566" s="2">
        <v>1</v>
      </c>
      <c r="G566" s="2">
        <v>1</v>
      </c>
    </row>
    <row r="567" spans="1:7" x14ac:dyDescent="0.25">
      <c r="A567" s="2">
        <v>2026</v>
      </c>
      <c r="B567" s="2" t="s">
        <v>76</v>
      </c>
      <c r="C567" s="8">
        <v>6</v>
      </c>
      <c r="D567" s="2">
        <v>3</v>
      </c>
      <c r="E567" s="2">
        <v>2</v>
      </c>
      <c r="F567" s="2">
        <v>1</v>
      </c>
      <c r="G567" s="2">
        <v>1</v>
      </c>
    </row>
    <row r="568" spans="1:7" x14ac:dyDescent="0.25">
      <c r="A568" s="2">
        <v>2026</v>
      </c>
      <c r="B568" s="2" t="s">
        <v>76</v>
      </c>
      <c r="C568" s="8">
        <v>7</v>
      </c>
      <c r="D568" s="2">
        <v>1</v>
      </c>
      <c r="E568" s="2">
        <v>1</v>
      </c>
      <c r="F568" s="2">
        <v>1</v>
      </c>
      <c r="G568" s="2">
        <v>2</v>
      </c>
    </row>
    <row r="569" spans="1:7" x14ac:dyDescent="0.25">
      <c r="A569" s="2">
        <v>2026</v>
      </c>
      <c r="B569" s="2" t="s">
        <v>76</v>
      </c>
      <c r="C569" s="8">
        <v>8</v>
      </c>
      <c r="D569" s="2">
        <v>3</v>
      </c>
      <c r="E569" s="2">
        <v>2</v>
      </c>
      <c r="F569" s="2">
        <v>2</v>
      </c>
      <c r="G569" s="2">
        <v>1</v>
      </c>
    </row>
    <row r="570" spans="1:7" x14ac:dyDescent="0.25">
      <c r="A570" s="2">
        <v>2026</v>
      </c>
      <c r="B570" s="2" t="s">
        <v>76</v>
      </c>
      <c r="C570" s="8">
        <v>9</v>
      </c>
      <c r="D570" s="2">
        <v>2</v>
      </c>
      <c r="E570" s="2">
        <v>2</v>
      </c>
      <c r="F570" s="2">
        <v>1</v>
      </c>
      <c r="G570" s="2">
        <v>2</v>
      </c>
    </row>
    <row r="571" spans="1:7" x14ac:dyDescent="0.25">
      <c r="A571" s="2">
        <v>2026</v>
      </c>
      <c r="B571" s="2" t="s">
        <v>76</v>
      </c>
      <c r="C571" s="8">
        <v>10</v>
      </c>
      <c r="D571" s="2">
        <v>1</v>
      </c>
      <c r="E571" s="2">
        <v>3</v>
      </c>
      <c r="F571" s="2">
        <v>3</v>
      </c>
      <c r="G571" s="2">
        <v>3</v>
      </c>
    </row>
    <row r="572" spans="1:7" x14ac:dyDescent="0.25">
      <c r="A572" s="2">
        <v>2026</v>
      </c>
      <c r="B572" s="2" t="s">
        <v>76</v>
      </c>
      <c r="C572" s="8">
        <v>11</v>
      </c>
      <c r="D572" s="2">
        <v>3</v>
      </c>
      <c r="E572" s="2">
        <v>1</v>
      </c>
      <c r="F572" s="2">
        <v>2</v>
      </c>
      <c r="G572" s="2">
        <v>1</v>
      </c>
    </row>
    <row r="573" spans="1:7" x14ac:dyDescent="0.25">
      <c r="A573" s="2">
        <v>2026</v>
      </c>
      <c r="B573" s="2" t="s">
        <v>76</v>
      </c>
      <c r="C573" s="8">
        <v>12</v>
      </c>
      <c r="D573" s="2">
        <v>2</v>
      </c>
      <c r="E573" s="2">
        <v>3</v>
      </c>
      <c r="F573" s="2">
        <v>1</v>
      </c>
      <c r="G573" s="2">
        <v>1</v>
      </c>
    </row>
    <row r="574" spans="1:7" x14ac:dyDescent="0.25">
      <c r="A574" s="2">
        <v>2026</v>
      </c>
      <c r="B574" s="2" t="s">
        <v>76</v>
      </c>
      <c r="C574" s="8">
        <v>13</v>
      </c>
      <c r="D574" s="2">
        <v>2</v>
      </c>
      <c r="E574" s="2">
        <v>3</v>
      </c>
      <c r="F574" s="2">
        <v>2</v>
      </c>
      <c r="G574" s="2">
        <v>1</v>
      </c>
    </row>
    <row r="575" spans="1:7" x14ac:dyDescent="0.25">
      <c r="A575" s="2">
        <v>2026</v>
      </c>
      <c r="B575" s="2" t="s">
        <v>76</v>
      </c>
      <c r="C575" s="8">
        <v>14</v>
      </c>
      <c r="D575" s="2">
        <v>4</v>
      </c>
      <c r="E575" s="2">
        <v>4</v>
      </c>
      <c r="F575" s="2">
        <v>1</v>
      </c>
      <c r="G575" s="2">
        <v>3</v>
      </c>
    </row>
    <row r="576" spans="1:7" x14ac:dyDescent="0.25">
      <c r="A576" s="2">
        <v>2026</v>
      </c>
      <c r="B576" s="2" t="s">
        <v>76</v>
      </c>
      <c r="C576" s="8">
        <v>15</v>
      </c>
      <c r="D576" s="2">
        <v>3</v>
      </c>
      <c r="E576" s="2">
        <v>1</v>
      </c>
      <c r="F576" s="2">
        <v>1</v>
      </c>
      <c r="G576" s="2">
        <v>2</v>
      </c>
    </row>
    <row r="577" spans="1:7" x14ac:dyDescent="0.25">
      <c r="A577" s="2">
        <v>2026</v>
      </c>
      <c r="B577" s="2" t="s">
        <v>76</v>
      </c>
      <c r="C577" s="8">
        <v>16</v>
      </c>
      <c r="D577" s="2">
        <v>1</v>
      </c>
      <c r="E577" s="2">
        <v>2</v>
      </c>
      <c r="F577" s="2">
        <v>2</v>
      </c>
      <c r="G577" s="2">
        <v>2</v>
      </c>
    </row>
    <row r="578" spans="1:7" x14ac:dyDescent="0.25">
      <c r="A578" s="2">
        <v>2026</v>
      </c>
      <c r="B578" s="2" t="s">
        <v>76</v>
      </c>
      <c r="C578" s="8">
        <v>17</v>
      </c>
      <c r="D578" s="2">
        <v>1</v>
      </c>
      <c r="E578" s="2">
        <v>3</v>
      </c>
      <c r="F578" s="2">
        <v>1</v>
      </c>
      <c r="G578" s="2">
        <v>1</v>
      </c>
    </row>
    <row r="579" spans="1:7" x14ac:dyDescent="0.25">
      <c r="A579" s="2">
        <v>2026</v>
      </c>
      <c r="B579" s="2" t="s">
        <v>76</v>
      </c>
      <c r="C579" s="8">
        <v>18</v>
      </c>
      <c r="D579" s="2">
        <v>1</v>
      </c>
      <c r="E579" s="2">
        <v>3</v>
      </c>
      <c r="F579" s="2">
        <v>1</v>
      </c>
      <c r="G579" s="2">
        <v>1</v>
      </c>
    </row>
    <row r="580" spans="1:7" x14ac:dyDescent="0.25">
      <c r="A580" s="2">
        <v>2026</v>
      </c>
      <c r="B580" s="2" t="s">
        <v>76</v>
      </c>
      <c r="C580" s="8">
        <v>19</v>
      </c>
      <c r="D580" s="2">
        <v>1</v>
      </c>
      <c r="E580" s="2">
        <v>2</v>
      </c>
      <c r="F580" s="2">
        <v>1</v>
      </c>
      <c r="G580" s="2">
        <v>1</v>
      </c>
    </row>
    <row r="581" spans="1:7" x14ac:dyDescent="0.25">
      <c r="A581" s="2">
        <v>2026</v>
      </c>
      <c r="B581" s="2" t="s">
        <v>76</v>
      </c>
      <c r="C581" s="8">
        <v>20</v>
      </c>
      <c r="D581" s="2">
        <v>3</v>
      </c>
      <c r="E581" s="2">
        <v>2</v>
      </c>
      <c r="F581" s="2">
        <v>2</v>
      </c>
      <c r="G581" s="2">
        <v>3</v>
      </c>
    </row>
    <row r="582" spans="1:7" x14ac:dyDescent="0.25">
      <c r="A582" s="2">
        <v>2026</v>
      </c>
      <c r="B582" s="2" t="s">
        <v>76</v>
      </c>
      <c r="C582" s="8">
        <v>21</v>
      </c>
      <c r="D582" s="2">
        <v>4</v>
      </c>
      <c r="E582" s="2">
        <v>4</v>
      </c>
      <c r="F582" s="2">
        <v>1</v>
      </c>
      <c r="G582" s="2">
        <v>2</v>
      </c>
    </row>
    <row r="583" spans="1:7" x14ac:dyDescent="0.25">
      <c r="A583" s="2">
        <v>2026</v>
      </c>
      <c r="B583" s="2" t="s">
        <v>76</v>
      </c>
      <c r="C583" s="8">
        <v>22</v>
      </c>
      <c r="D583" s="2">
        <v>3</v>
      </c>
      <c r="E583" s="2">
        <v>3</v>
      </c>
      <c r="F583" s="2">
        <v>1</v>
      </c>
      <c r="G583" s="2">
        <v>4</v>
      </c>
    </row>
    <row r="584" spans="1:7" x14ac:dyDescent="0.25">
      <c r="A584" s="2">
        <v>2026</v>
      </c>
      <c r="B584" s="2" t="s">
        <v>76</v>
      </c>
      <c r="C584" s="8">
        <v>23</v>
      </c>
      <c r="D584" s="2">
        <v>4</v>
      </c>
      <c r="E584" s="2">
        <v>2</v>
      </c>
      <c r="F584" s="2">
        <v>1</v>
      </c>
      <c r="G584" s="2">
        <v>2</v>
      </c>
    </row>
    <row r="585" spans="1:7" x14ac:dyDescent="0.25">
      <c r="A585" s="2">
        <v>2026</v>
      </c>
      <c r="B585" s="2" t="s">
        <v>76</v>
      </c>
      <c r="C585" s="8">
        <v>24</v>
      </c>
      <c r="D585" s="2">
        <v>3</v>
      </c>
      <c r="E585" s="2">
        <v>1</v>
      </c>
      <c r="F585" s="2">
        <v>1</v>
      </c>
      <c r="G585" s="2">
        <v>3</v>
      </c>
    </row>
    <row r="586" spans="1:7" x14ac:dyDescent="0.25">
      <c r="A586" s="2">
        <v>2026</v>
      </c>
      <c r="B586" s="2" t="s">
        <v>76</v>
      </c>
      <c r="C586" s="8">
        <v>25</v>
      </c>
      <c r="D586" s="2">
        <v>3</v>
      </c>
      <c r="E586" s="2">
        <v>3</v>
      </c>
      <c r="F586" s="2">
        <v>1</v>
      </c>
      <c r="G586" s="2">
        <v>1</v>
      </c>
    </row>
    <row r="587" spans="1:7" x14ac:dyDescent="0.25">
      <c r="A587" s="2">
        <v>2026</v>
      </c>
      <c r="B587" s="2" t="s">
        <v>76</v>
      </c>
      <c r="C587" s="8">
        <v>26</v>
      </c>
      <c r="D587" s="2">
        <v>3</v>
      </c>
      <c r="E587" s="2">
        <v>2</v>
      </c>
      <c r="F587" s="2">
        <v>2</v>
      </c>
      <c r="G587" s="2">
        <v>1</v>
      </c>
    </row>
    <row r="588" spans="1:7" x14ac:dyDescent="0.25">
      <c r="A588" s="2">
        <v>2026</v>
      </c>
      <c r="B588" s="2" t="s">
        <v>76</v>
      </c>
      <c r="C588" s="8">
        <v>27</v>
      </c>
      <c r="D588" s="2">
        <v>2</v>
      </c>
      <c r="E588" s="2">
        <v>1</v>
      </c>
      <c r="F588" s="2">
        <v>2</v>
      </c>
      <c r="G588" s="2">
        <v>3</v>
      </c>
    </row>
    <row r="589" spans="1:7" x14ac:dyDescent="0.25">
      <c r="A589" s="2">
        <v>2026</v>
      </c>
      <c r="B589" s="2" t="s">
        <v>76</v>
      </c>
      <c r="C589" s="8">
        <v>28</v>
      </c>
      <c r="D589" s="2">
        <v>2</v>
      </c>
      <c r="E589" s="2">
        <v>1</v>
      </c>
      <c r="F589" s="2">
        <v>3</v>
      </c>
      <c r="G589" s="2">
        <v>2</v>
      </c>
    </row>
    <row r="590" spans="1:7" x14ac:dyDescent="0.25">
      <c r="A590" s="2">
        <v>2026</v>
      </c>
      <c r="B590" s="2" t="s">
        <v>77</v>
      </c>
      <c r="C590" s="8">
        <v>1</v>
      </c>
      <c r="D590" s="2">
        <v>1</v>
      </c>
      <c r="E590" s="2">
        <v>1</v>
      </c>
      <c r="F590" s="2">
        <v>3</v>
      </c>
      <c r="G590" s="2">
        <v>3</v>
      </c>
    </row>
    <row r="591" spans="1:7" x14ac:dyDescent="0.25">
      <c r="A591" s="2">
        <v>2026</v>
      </c>
      <c r="B591" s="2" t="s">
        <v>77</v>
      </c>
      <c r="C591" s="8">
        <v>2</v>
      </c>
      <c r="D591" s="2">
        <v>1</v>
      </c>
      <c r="E591" s="2">
        <v>1</v>
      </c>
      <c r="F591" s="2">
        <v>3</v>
      </c>
      <c r="G591" s="2">
        <v>2</v>
      </c>
    </row>
    <row r="592" spans="1:7" x14ac:dyDescent="0.25">
      <c r="A592" s="2">
        <v>2026</v>
      </c>
      <c r="B592" s="2" t="s">
        <v>77</v>
      </c>
      <c r="C592" s="8">
        <v>3</v>
      </c>
      <c r="D592" s="2">
        <v>3</v>
      </c>
      <c r="E592" s="2">
        <v>2</v>
      </c>
      <c r="F592" s="2">
        <v>1</v>
      </c>
      <c r="G592" s="2">
        <v>1</v>
      </c>
    </row>
    <row r="593" spans="1:7" x14ac:dyDescent="0.25">
      <c r="A593" s="2">
        <v>2026</v>
      </c>
      <c r="B593" s="2" t="s">
        <v>77</v>
      </c>
      <c r="C593" s="8">
        <v>4</v>
      </c>
      <c r="D593" s="2">
        <v>3</v>
      </c>
      <c r="E593" s="2">
        <v>2</v>
      </c>
      <c r="F593" s="2">
        <v>1</v>
      </c>
      <c r="G593" s="2">
        <v>2</v>
      </c>
    </row>
    <row r="594" spans="1:7" x14ac:dyDescent="0.25">
      <c r="A594" s="2">
        <v>2026</v>
      </c>
      <c r="B594" s="2" t="s">
        <v>77</v>
      </c>
      <c r="C594" s="8">
        <v>5</v>
      </c>
      <c r="D594" s="2">
        <v>2</v>
      </c>
      <c r="E594" s="2">
        <v>3</v>
      </c>
      <c r="F594" s="2">
        <v>3</v>
      </c>
      <c r="G594" s="2">
        <v>1</v>
      </c>
    </row>
    <row r="595" spans="1:7" x14ac:dyDescent="0.25">
      <c r="A595" s="2">
        <v>2026</v>
      </c>
      <c r="B595" s="2" t="s">
        <v>77</v>
      </c>
      <c r="C595" s="8">
        <v>6</v>
      </c>
      <c r="D595" s="2">
        <v>3</v>
      </c>
      <c r="E595" s="2">
        <v>2</v>
      </c>
      <c r="F595" s="2">
        <v>4</v>
      </c>
      <c r="G595" s="2">
        <v>1</v>
      </c>
    </row>
    <row r="596" spans="1:7" x14ac:dyDescent="0.25">
      <c r="A596" s="2">
        <v>2026</v>
      </c>
      <c r="B596" s="2" t="s">
        <v>77</v>
      </c>
      <c r="C596" s="8">
        <v>7</v>
      </c>
      <c r="D596" s="2">
        <v>2</v>
      </c>
      <c r="E596" s="2">
        <v>1</v>
      </c>
      <c r="F596" s="2">
        <v>3</v>
      </c>
      <c r="G596" s="2">
        <v>3</v>
      </c>
    </row>
    <row r="597" spans="1:7" x14ac:dyDescent="0.25">
      <c r="A597" s="2">
        <v>2026</v>
      </c>
      <c r="B597" s="2" t="s">
        <v>77</v>
      </c>
      <c r="C597" s="8">
        <v>8</v>
      </c>
      <c r="D597" s="2">
        <v>3</v>
      </c>
      <c r="E597" s="2">
        <v>1</v>
      </c>
      <c r="F597" s="2">
        <v>1</v>
      </c>
      <c r="G597" s="2">
        <v>1</v>
      </c>
    </row>
    <row r="598" spans="1:7" x14ac:dyDescent="0.25">
      <c r="A598" s="2">
        <v>2026</v>
      </c>
      <c r="B598" s="2" t="s">
        <v>77</v>
      </c>
      <c r="C598" s="8">
        <v>9</v>
      </c>
      <c r="D598" s="2">
        <v>2</v>
      </c>
      <c r="E598" s="2">
        <v>1</v>
      </c>
      <c r="F598" s="2">
        <v>3</v>
      </c>
      <c r="G598" s="2">
        <v>4</v>
      </c>
    </row>
    <row r="599" spans="1:7" x14ac:dyDescent="0.25">
      <c r="A599" s="2">
        <v>2026</v>
      </c>
      <c r="B599" s="2" t="s">
        <v>77</v>
      </c>
      <c r="C599" s="8">
        <v>10</v>
      </c>
      <c r="D599" s="2">
        <v>2</v>
      </c>
      <c r="E599" s="2">
        <v>2</v>
      </c>
      <c r="F599" s="2">
        <v>1</v>
      </c>
      <c r="G599" s="2">
        <v>1</v>
      </c>
    </row>
    <row r="600" spans="1:7" x14ac:dyDescent="0.25">
      <c r="A600" s="2">
        <v>2026</v>
      </c>
      <c r="B600" s="2" t="s">
        <v>77</v>
      </c>
      <c r="C600" s="8">
        <v>11</v>
      </c>
      <c r="D600" s="2">
        <v>1</v>
      </c>
      <c r="E600" s="2">
        <v>1</v>
      </c>
      <c r="F600" s="2">
        <v>2</v>
      </c>
      <c r="G600" s="2">
        <v>1</v>
      </c>
    </row>
    <row r="601" spans="1:7" x14ac:dyDescent="0.25">
      <c r="A601" s="2">
        <v>2026</v>
      </c>
      <c r="B601" s="2" t="s">
        <v>77</v>
      </c>
      <c r="C601" s="8">
        <v>12</v>
      </c>
      <c r="D601" s="2">
        <v>1</v>
      </c>
      <c r="E601" s="2">
        <v>2</v>
      </c>
      <c r="F601" s="2">
        <v>1</v>
      </c>
      <c r="G601" s="2">
        <v>1</v>
      </c>
    </row>
    <row r="602" spans="1:7" x14ac:dyDescent="0.25">
      <c r="A602" s="2">
        <v>2026</v>
      </c>
      <c r="B602" s="2" t="s">
        <v>77</v>
      </c>
      <c r="C602" s="8">
        <v>13</v>
      </c>
      <c r="D602" s="2">
        <v>2</v>
      </c>
      <c r="E602" s="2">
        <v>2</v>
      </c>
      <c r="F602" s="2">
        <v>1</v>
      </c>
      <c r="G602" s="2">
        <v>4</v>
      </c>
    </row>
    <row r="603" spans="1:7" x14ac:dyDescent="0.25">
      <c r="A603" s="2">
        <v>2026</v>
      </c>
      <c r="B603" s="2" t="s">
        <v>77</v>
      </c>
      <c r="C603" s="8">
        <v>14</v>
      </c>
      <c r="D603" s="2">
        <v>3</v>
      </c>
      <c r="E603" s="2">
        <v>1</v>
      </c>
      <c r="F603" s="2">
        <v>3</v>
      </c>
      <c r="G603" s="2">
        <v>2</v>
      </c>
    </row>
    <row r="604" spans="1:7" x14ac:dyDescent="0.25">
      <c r="A604" s="2">
        <v>2026</v>
      </c>
      <c r="B604" s="2" t="s">
        <v>77</v>
      </c>
      <c r="C604" s="8">
        <v>15</v>
      </c>
      <c r="D604" s="2">
        <v>2</v>
      </c>
      <c r="E604" s="2">
        <v>2</v>
      </c>
      <c r="F604" s="2">
        <v>1</v>
      </c>
      <c r="G604" s="2">
        <v>1</v>
      </c>
    </row>
    <row r="605" spans="1:7" x14ac:dyDescent="0.25">
      <c r="A605" s="2">
        <v>2026</v>
      </c>
      <c r="B605" s="2" t="s">
        <v>77</v>
      </c>
      <c r="C605" s="8">
        <v>16</v>
      </c>
      <c r="D605" s="2">
        <v>3</v>
      </c>
      <c r="E605" s="2">
        <v>1</v>
      </c>
      <c r="F605" s="2">
        <v>2</v>
      </c>
      <c r="G605" s="2">
        <v>3</v>
      </c>
    </row>
    <row r="606" spans="1:7" x14ac:dyDescent="0.25">
      <c r="A606" s="2">
        <v>2026</v>
      </c>
      <c r="B606" s="2" t="s">
        <v>77</v>
      </c>
      <c r="C606" s="8">
        <v>17</v>
      </c>
      <c r="D606" s="2">
        <v>3</v>
      </c>
      <c r="E606" s="2">
        <v>3</v>
      </c>
      <c r="F606" s="2">
        <v>1</v>
      </c>
      <c r="G606" s="2">
        <v>2</v>
      </c>
    </row>
    <row r="607" spans="1:7" x14ac:dyDescent="0.25">
      <c r="A607" s="2">
        <v>2026</v>
      </c>
      <c r="B607" s="2" t="s">
        <v>77</v>
      </c>
      <c r="C607" s="8">
        <v>18</v>
      </c>
      <c r="D607" s="2">
        <v>1</v>
      </c>
      <c r="E607" s="2">
        <v>3</v>
      </c>
      <c r="F607" s="2">
        <v>1</v>
      </c>
      <c r="G607" s="2">
        <v>2</v>
      </c>
    </row>
    <row r="608" spans="1:7" x14ac:dyDescent="0.25">
      <c r="A608" s="2">
        <v>2026</v>
      </c>
      <c r="B608" s="2" t="s">
        <v>77</v>
      </c>
      <c r="C608" s="8">
        <v>19</v>
      </c>
      <c r="D608" s="2">
        <v>2</v>
      </c>
      <c r="E608" s="2">
        <v>1</v>
      </c>
      <c r="F608" s="2">
        <v>1</v>
      </c>
      <c r="G608" s="2">
        <v>1</v>
      </c>
    </row>
    <row r="609" spans="1:7" x14ac:dyDescent="0.25">
      <c r="A609" s="2">
        <v>2026</v>
      </c>
      <c r="B609" s="2" t="s">
        <v>77</v>
      </c>
      <c r="C609" s="8">
        <v>20</v>
      </c>
      <c r="D609" s="2">
        <v>1</v>
      </c>
      <c r="E609" s="2">
        <v>2</v>
      </c>
      <c r="F609" s="2">
        <v>4</v>
      </c>
      <c r="G609" s="2">
        <v>3</v>
      </c>
    </row>
    <row r="610" spans="1:7" x14ac:dyDescent="0.25">
      <c r="A610" s="2">
        <v>2026</v>
      </c>
      <c r="B610" s="2" t="s">
        <v>77</v>
      </c>
      <c r="C610" s="8">
        <v>21</v>
      </c>
      <c r="D610" s="2">
        <v>1</v>
      </c>
      <c r="E610" s="2">
        <v>4</v>
      </c>
      <c r="F610" s="2">
        <v>3</v>
      </c>
      <c r="G610" s="2">
        <v>1</v>
      </c>
    </row>
    <row r="611" spans="1:7" x14ac:dyDescent="0.25">
      <c r="A611" s="2">
        <v>2026</v>
      </c>
      <c r="B611" s="2" t="s">
        <v>77</v>
      </c>
      <c r="C611" s="8">
        <v>22</v>
      </c>
      <c r="D611" s="2">
        <v>1</v>
      </c>
      <c r="E611" s="2">
        <v>1</v>
      </c>
      <c r="F611" s="2">
        <v>2</v>
      </c>
      <c r="G611" s="2">
        <v>1</v>
      </c>
    </row>
    <row r="612" spans="1:7" x14ac:dyDescent="0.25">
      <c r="A612" s="2">
        <v>2026</v>
      </c>
      <c r="B612" s="2" t="s">
        <v>77</v>
      </c>
      <c r="C612" s="8">
        <v>23</v>
      </c>
      <c r="D612" s="2">
        <v>2</v>
      </c>
      <c r="E612" s="2">
        <v>2</v>
      </c>
      <c r="F612" s="2">
        <v>3</v>
      </c>
      <c r="G612" s="2">
        <v>1</v>
      </c>
    </row>
    <row r="613" spans="1:7" x14ac:dyDescent="0.25">
      <c r="A613" s="2">
        <v>2026</v>
      </c>
      <c r="B613" s="2" t="s">
        <v>77</v>
      </c>
      <c r="C613" s="8">
        <v>24</v>
      </c>
      <c r="D613" s="2">
        <v>3</v>
      </c>
      <c r="E613" s="2">
        <v>4</v>
      </c>
      <c r="F613" s="2">
        <v>3</v>
      </c>
      <c r="G613" s="2">
        <v>1</v>
      </c>
    </row>
    <row r="614" spans="1:7" x14ac:dyDescent="0.25">
      <c r="A614" s="2">
        <v>2026</v>
      </c>
      <c r="B614" s="2" t="s">
        <v>77</v>
      </c>
      <c r="C614" s="8">
        <v>25</v>
      </c>
      <c r="D614" s="2">
        <v>3</v>
      </c>
      <c r="E614" s="2">
        <v>2</v>
      </c>
      <c r="F614" s="2">
        <v>2</v>
      </c>
      <c r="G614" s="2">
        <v>3</v>
      </c>
    </row>
    <row r="615" spans="1:7" x14ac:dyDescent="0.25">
      <c r="A615" s="2">
        <v>2026</v>
      </c>
      <c r="B615" s="2" t="s">
        <v>77</v>
      </c>
      <c r="C615" s="8">
        <v>26</v>
      </c>
      <c r="D615" s="2">
        <v>3</v>
      </c>
      <c r="E615" s="2">
        <v>3</v>
      </c>
      <c r="F615" s="2">
        <v>1</v>
      </c>
      <c r="G615" s="2">
        <v>1</v>
      </c>
    </row>
    <row r="616" spans="1:7" x14ac:dyDescent="0.25">
      <c r="A616" s="2">
        <v>2026</v>
      </c>
      <c r="B616" s="2" t="s">
        <v>77</v>
      </c>
      <c r="C616" s="8">
        <v>27</v>
      </c>
      <c r="D616" s="2">
        <v>3</v>
      </c>
      <c r="E616" s="2">
        <v>2</v>
      </c>
      <c r="F616" s="2">
        <v>1</v>
      </c>
      <c r="G616" s="2">
        <v>2</v>
      </c>
    </row>
    <row r="617" spans="1:7" x14ac:dyDescent="0.25">
      <c r="A617" s="2">
        <v>2026</v>
      </c>
      <c r="B617" s="2" t="s">
        <v>77</v>
      </c>
      <c r="C617" s="8">
        <v>28</v>
      </c>
      <c r="D617" s="2">
        <v>1</v>
      </c>
      <c r="E617" s="2">
        <v>4</v>
      </c>
      <c r="F617" s="2">
        <v>4</v>
      </c>
      <c r="G617" s="2">
        <v>3</v>
      </c>
    </row>
    <row r="618" spans="1:7" x14ac:dyDescent="0.25">
      <c r="A618" s="2">
        <v>2026</v>
      </c>
      <c r="B618" s="2" t="s">
        <v>78</v>
      </c>
      <c r="C618" s="8">
        <v>1</v>
      </c>
      <c r="D618" s="2">
        <v>4</v>
      </c>
      <c r="E618" s="2">
        <v>3</v>
      </c>
      <c r="F618" s="2">
        <v>2</v>
      </c>
      <c r="G618" s="2">
        <v>1</v>
      </c>
    </row>
    <row r="619" spans="1:7" x14ac:dyDescent="0.25">
      <c r="A619" s="2">
        <v>2026</v>
      </c>
      <c r="B619" s="2" t="s">
        <v>78</v>
      </c>
      <c r="C619" s="8">
        <v>2</v>
      </c>
      <c r="D619" s="2">
        <v>1</v>
      </c>
      <c r="E619" s="2">
        <v>3</v>
      </c>
      <c r="F619" s="2">
        <v>1</v>
      </c>
      <c r="G619" s="2">
        <v>1</v>
      </c>
    </row>
    <row r="620" spans="1:7" x14ac:dyDescent="0.25">
      <c r="A620" s="2">
        <v>2026</v>
      </c>
      <c r="B620" s="2" t="s">
        <v>78</v>
      </c>
      <c r="C620" s="8">
        <v>3</v>
      </c>
      <c r="D620" s="2">
        <v>3</v>
      </c>
      <c r="E620" s="2">
        <v>3</v>
      </c>
      <c r="F620" s="2">
        <v>1</v>
      </c>
      <c r="G620" s="2">
        <v>2</v>
      </c>
    </row>
    <row r="621" spans="1:7" x14ac:dyDescent="0.25">
      <c r="A621" s="2">
        <v>2026</v>
      </c>
      <c r="B621" s="2" t="s">
        <v>78</v>
      </c>
      <c r="C621" s="8">
        <v>4</v>
      </c>
      <c r="D621" s="2">
        <v>2</v>
      </c>
      <c r="E621" s="2">
        <v>1</v>
      </c>
      <c r="F621" s="2">
        <v>2</v>
      </c>
      <c r="G621" s="2">
        <v>3</v>
      </c>
    </row>
    <row r="622" spans="1:7" x14ac:dyDescent="0.25">
      <c r="A622" s="2">
        <v>2026</v>
      </c>
      <c r="B622" s="2" t="s">
        <v>78</v>
      </c>
      <c r="C622" s="8">
        <v>5</v>
      </c>
      <c r="D622" s="2">
        <v>1</v>
      </c>
      <c r="E622" s="2">
        <v>2</v>
      </c>
      <c r="F622" s="2">
        <v>3</v>
      </c>
      <c r="G622" s="2">
        <v>3</v>
      </c>
    </row>
    <row r="623" spans="1:7" x14ac:dyDescent="0.25">
      <c r="A623" s="2">
        <v>2026</v>
      </c>
      <c r="B623" s="2" t="s">
        <v>78</v>
      </c>
      <c r="C623" s="8">
        <v>6</v>
      </c>
      <c r="D623" s="2">
        <v>1</v>
      </c>
      <c r="E623" s="2">
        <v>3</v>
      </c>
      <c r="F623" s="2">
        <v>1</v>
      </c>
      <c r="G623" s="2">
        <v>3</v>
      </c>
    </row>
    <row r="624" spans="1:7" x14ac:dyDescent="0.25">
      <c r="A624" s="2">
        <v>2026</v>
      </c>
      <c r="B624" s="2" t="s">
        <v>78</v>
      </c>
      <c r="C624" s="8">
        <v>7</v>
      </c>
      <c r="D624" s="2">
        <v>4</v>
      </c>
      <c r="E624" s="2">
        <v>4</v>
      </c>
      <c r="F624" s="2">
        <v>2</v>
      </c>
      <c r="G624" s="2">
        <v>1</v>
      </c>
    </row>
    <row r="625" spans="1:7" x14ac:dyDescent="0.25">
      <c r="A625" s="2">
        <v>2026</v>
      </c>
      <c r="B625" s="2" t="s">
        <v>78</v>
      </c>
      <c r="C625" s="8">
        <v>8</v>
      </c>
      <c r="D625" s="2">
        <v>2</v>
      </c>
      <c r="E625" s="2">
        <v>2</v>
      </c>
      <c r="F625" s="2">
        <v>1</v>
      </c>
      <c r="G625" s="2">
        <v>1</v>
      </c>
    </row>
    <row r="626" spans="1:7" x14ac:dyDescent="0.25">
      <c r="A626" s="2">
        <v>2026</v>
      </c>
      <c r="B626" s="2" t="s">
        <v>78</v>
      </c>
      <c r="C626" s="8">
        <v>9</v>
      </c>
      <c r="D626" s="2">
        <v>1</v>
      </c>
      <c r="E626" s="2">
        <v>3</v>
      </c>
      <c r="F626" s="2">
        <v>2</v>
      </c>
      <c r="G626" s="2">
        <v>2</v>
      </c>
    </row>
    <row r="627" spans="1:7" x14ac:dyDescent="0.25">
      <c r="A627" s="2">
        <v>2026</v>
      </c>
      <c r="B627" s="2" t="s">
        <v>78</v>
      </c>
      <c r="C627" s="8">
        <v>10</v>
      </c>
      <c r="D627" s="2">
        <v>2</v>
      </c>
      <c r="E627" s="2">
        <v>4</v>
      </c>
      <c r="F627" s="2">
        <v>2</v>
      </c>
      <c r="G627" s="2">
        <v>1</v>
      </c>
    </row>
    <row r="628" spans="1:7" x14ac:dyDescent="0.25">
      <c r="A628" s="2">
        <v>2026</v>
      </c>
      <c r="B628" s="2" t="s">
        <v>78</v>
      </c>
      <c r="C628" s="8">
        <v>11</v>
      </c>
      <c r="D628" s="2">
        <v>2</v>
      </c>
      <c r="E628" s="2">
        <v>3</v>
      </c>
      <c r="F628" s="2">
        <v>1</v>
      </c>
      <c r="G628" s="2">
        <v>3</v>
      </c>
    </row>
    <row r="629" spans="1:7" x14ac:dyDescent="0.25">
      <c r="A629" s="2">
        <v>2026</v>
      </c>
      <c r="B629" s="2" t="s">
        <v>78</v>
      </c>
      <c r="C629" s="8">
        <v>12</v>
      </c>
      <c r="D629" s="2">
        <v>1</v>
      </c>
      <c r="E629" s="2">
        <v>1</v>
      </c>
      <c r="F629" s="2">
        <v>3</v>
      </c>
      <c r="G629" s="2">
        <v>2</v>
      </c>
    </row>
    <row r="630" spans="1:7" x14ac:dyDescent="0.25">
      <c r="A630" s="2">
        <v>2026</v>
      </c>
      <c r="B630" s="2" t="s">
        <v>78</v>
      </c>
      <c r="C630" s="8">
        <v>13</v>
      </c>
      <c r="D630" s="2">
        <v>1</v>
      </c>
      <c r="E630" s="2">
        <v>2</v>
      </c>
      <c r="F630" s="2">
        <v>1</v>
      </c>
      <c r="G630" s="2">
        <v>1</v>
      </c>
    </row>
    <row r="631" spans="1:7" x14ac:dyDescent="0.25">
      <c r="A631" s="2">
        <v>2026</v>
      </c>
      <c r="B631" s="2" t="s">
        <v>78</v>
      </c>
      <c r="C631" s="8">
        <v>14</v>
      </c>
      <c r="D631" s="2">
        <v>2</v>
      </c>
      <c r="E631" s="2">
        <v>1</v>
      </c>
      <c r="F631" s="2">
        <v>1</v>
      </c>
      <c r="G631" s="2">
        <v>2</v>
      </c>
    </row>
    <row r="632" spans="1:7" x14ac:dyDescent="0.25">
      <c r="A632" s="2">
        <v>2026</v>
      </c>
      <c r="B632" s="2" t="s">
        <v>78</v>
      </c>
      <c r="C632" s="8">
        <v>15</v>
      </c>
      <c r="D632" s="2">
        <v>4</v>
      </c>
      <c r="E632" s="2">
        <v>4</v>
      </c>
      <c r="F632" s="2">
        <v>2</v>
      </c>
      <c r="G632" s="2">
        <v>1</v>
      </c>
    </row>
    <row r="633" spans="1:7" x14ac:dyDescent="0.25">
      <c r="A633" s="2">
        <v>2026</v>
      </c>
      <c r="B633" s="2" t="s">
        <v>78</v>
      </c>
      <c r="C633" s="8">
        <v>16</v>
      </c>
      <c r="D633" s="2">
        <v>1</v>
      </c>
      <c r="E633" s="2">
        <v>2</v>
      </c>
      <c r="F633" s="2">
        <v>1</v>
      </c>
      <c r="G633" s="2">
        <v>4</v>
      </c>
    </row>
    <row r="634" spans="1:7" x14ac:dyDescent="0.25">
      <c r="A634" s="2">
        <v>2026</v>
      </c>
      <c r="B634" s="2" t="s">
        <v>78</v>
      </c>
      <c r="C634" s="8">
        <v>17</v>
      </c>
      <c r="D634" s="2">
        <v>1</v>
      </c>
      <c r="E634" s="2">
        <v>1</v>
      </c>
      <c r="F634" s="2">
        <v>2</v>
      </c>
      <c r="G634" s="2">
        <v>1</v>
      </c>
    </row>
    <row r="635" spans="1:7" x14ac:dyDescent="0.25">
      <c r="A635" s="2">
        <v>2026</v>
      </c>
      <c r="B635" s="2" t="s">
        <v>78</v>
      </c>
      <c r="C635" s="8">
        <v>18</v>
      </c>
      <c r="D635" s="2">
        <v>3</v>
      </c>
      <c r="E635" s="2">
        <v>2</v>
      </c>
      <c r="F635" s="2">
        <v>1</v>
      </c>
      <c r="G635" s="2">
        <v>2</v>
      </c>
    </row>
    <row r="636" spans="1:7" x14ac:dyDescent="0.25">
      <c r="A636" s="2">
        <v>2026</v>
      </c>
      <c r="B636" s="2" t="s">
        <v>78</v>
      </c>
      <c r="C636" s="8">
        <v>19</v>
      </c>
      <c r="D636" s="2">
        <v>3</v>
      </c>
      <c r="E636" s="2">
        <v>2</v>
      </c>
      <c r="F636" s="2">
        <v>2</v>
      </c>
      <c r="G636" s="2">
        <v>2</v>
      </c>
    </row>
    <row r="637" spans="1:7" x14ac:dyDescent="0.25">
      <c r="A637" s="2">
        <v>2026</v>
      </c>
      <c r="B637" s="2" t="s">
        <v>78</v>
      </c>
      <c r="C637" s="8">
        <v>20</v>
      </c>
      <c r="D637" s="2">
        <v>4</v>
      </c>
      <c r="E637" s="2">
        <v>3</v>
      </c>
      <c r="F637" s="2">
        <v>3</v>
      </c>
      <c r="G637" s="2">
        <v>1</v>
      </c>
    </row>
    <row r="638" spans="1:7" x14ac:dyDescent="0.25">
      <c r="A638" s="2">
        <v>2026</v>
      </c>
      <c r="B638" s="2" t="s">
        <v>78</v>
      </c>
      <c r="C638" s="8">
        <v>21</v>
      </c>
      <c r="D638" s="2">
        <v>4</v>
      </c>
      <c r="E638" s="2">
        <v>3</v>
      </c>
      <c r="F638" s="2">
        <v>2</v>
      </c>
      <c r="G638" s="2">
        <v>3</v>
      </c>
    </row>
    <row r="639" spans="1:7" x14ac:dyDescent="0.25">
      <c r="A639" s="2">
        <v>2026</v>
      </c>
      <c r="B639" s="2" t="s">
        <v>78</v>
      </c>
      <c r="C639" s="8">
        <v>22</v>
      </c>
      <c r="D639" s="2">
        <v>3</v>
      </c>
      <c r="E639" s="2">
        <v>1</v>
      </c>
      <c r="F639" s="2">
        <v>1</v>
      </c>
      <c r="G639" s="2">
        <v>4</v>
      </c>
    </row>
    <row r="640" spans="1:7" x14ac:dyDescent="0.25">
      <c r="A640" s="2">
        <v>2026</v>
      </c>
      <c r="B640" s="2" t="s">
        <v>78</v>
      </c>
      <c r="C640" s="8">
        <v>23</v>
      </c>
      <c r="D640" s="2">
        <v>3</v>
      </c>
      <c r="E640" s="2">
        <v>2</v>
      </c>
      <c r="F640" s="2">
        <v>2</v>
      </c>
      <c r="G640" s="2">
        <v>2</v>
      </c>
    </row>
    <row r="641" spans="1:7" x14ac:dyDescent="0.25">
      <c r="A641" s="2">
        <v>2026</v>
      </c>
      <c r="B641" s="2" t="s">
        <v>78</v>
      </c>
      <c r="C641" s="8">
        <v>24</v>
      </c>
      <c r="D641" s="2">
        <v>2</v>
      </c>
      <c r="E641" s="2">
        <v>1</v>
      </c>
      <c r="F641" s="2">
        <v>2</v>
      </c>
      <c r="G641" s="2">
        <v>1</v>
      </c>
    </row>
    <row r="642" spans="1:7" x14ac:dyDescent="0.25">
      <c r="A642" s="2">
        <v>2026</v>
      </c>
      <c r="B642" s="2" t="s">
        <v>78</v>
      </c>
      <c r="C642" s="8">
        <v>25</v>
      </c>
      <c r="D642" s="2">
        <v>3</v>
      </c>
      <c r="E642" s="2">
        <v>1</v>
      </c>
      <c r="F642" s="2">
        <v>2</v>
      </c>
      <c r="G642" s="2">
        <v>4</v>
      </c>
    </row>
    <row r="643" spans="1:7" x14ac:dyDescent="0.25">
      <c r="A643" s="2">
        <v>2026</v>
      </c>
      <c r="B643" s="2" t="s">
        <v>78</v>
      </c>
      <c r="C643" s="8">
        <v>26</v>
      </c>
      <c r="D643" s="2">
        <v>3</v>
      </c>
      <c r="E643" s="2">
        <v>2</v>
      </c>
      <c r="F643" s="2">
        <v>1</v>
      </c>
      <c r="G643" s="2">
        <v>1</v>
      </c>
    </row>
    <row r="644" spans="1:7" x14ac:dyDescent="0.25">
      <c r="A644" s="2">
        <v>2026</v>
      </c>
      <c r="B644" s="2" t="s">
        <v>78</v>
      </c>
      <c r="C644" s="8">
        <v>27</v>
      </c>
      <c r="D644" s="2">
        <v>2</v>
      </c>
      <c r="E644" s="2">
        <v>1</v>
      </c>
      <c r="F644" s="2">
        <v>3</v>
      </c>
      <c r="G644" s="2">
        <v>1</v>
      </c>
    </row>
    <row r="645" spans="1:7" x14ac:dyDescent="0.25">
      <c r="A645" s="2">
        <v>2026</v>
      </c>
      <c r="B645" s="2" t="s">
        <v>78</v>
      </c>
      <c r="C645" s="8">
        <v>28</v>
      </c>
      <c r="D645" s="2">
        <v>1</v>
      </c>
      <c r="E645" s="2">
        <v>1</v>
      </c>
      <c r="F645" s="2">
        <v>2</v>
      </c>
      <c r="G645" s="2">
        <v>2</v>
      </c>
    </row>
    <row r="646" spans="1:7" x14ac:dyDescent="0.25">
      <c r="A646" s="2">
        <v>2026</v>
      </c>
      <c r="B646" s="2" t="s">
        <v>79</v>
      </c>
      <c r="C646" s="8">
        <v>1</v>
      </c>
      <c r="D646" s="2">
        <v>2</v>
      </c>
      <c r="E646" s="2">
        <v>1</v>
      </c>
      <c r="F646" s="2">
        <v>1</v>
      </c>
      <c r="G646" s="2">
        <v>1</v>
      </c>
    </row>
    <row r="647" spans="1:7" x14ac:dyDescent="0.25">
      <c r="A647" s="2">
        <v>2026</v>
      </c>
      <c r="B647" s="2" t="s">
        <v>79</v>
      </c>
      <c r="C647" s="8">
        <v>2</v>
      </c>
      <c r="D647" s="2">
        <v>1</v>
      </c>
      <c r="E647" s="2">
        <v>1</v>
      </c>
      <c r="F647" s="2">
        <v>1</v>
      </c>
      <c r="G647" s="2">
        <v>1</v>
      </c>
    </row>
    <row r="648" spans="1:7" x14ac:dyDescent="0.25">
      <c r="A648" s="2">
        <v>2026</v>
      </c>
      <c r="B648" s="2" t="s">
        <v>79</v>
      </c>
      <c r="C648" s="8">
        <v>3</v>
      </c>
      <c r="D648" s="2">
        <v>4</v>
      </c>
      <c r="E648" s="2">
        <v>2</v>
      </c>
      <c r="F648" s="2">
        <v>4</v>
      </c>
      <c r="G648" s="2">
        <v>1</v>
      </c>
    </row>
    <row r="649" spans="1:7" x14ac:dyDescent="0.25">
      <c r="A649" s="2">
        <v>2026</v>
      </c>
      <c r="B649" s="2" t="s">
        <v>79</v>
      </c>
      <c r="C649" s="8">
        <v>4</v>
      </c>
      <c r="D649" s="2">
        <v>1</v>
      </c>
      <c r="E649" s="2">
        <v>1</v>
      </c>
      <c r="F649" s="2">
        <v>1</v>
      </c>
      <c r="G649" s="2">
        <v>1</v>
      </c>
    </row>
    <row r="650" spans="1:7" x14ac:dyDescent="0.25">
      <c r="A650" s="2">
        <v>2026</v>
      </c>
      <c r="B650" s="2" t="s">
        <v>79</v>
      </c>
      <c r="C650" s="8">
        <v>5</v>
      </c>
      <c r="D650" s="2">
        <v>1</v>
      </c>
      <c r="E650" s="2">
        <v>1</v>
      </c>
      <c r="F650" s="2">
        <v>2</v>
      </c>
      <c r="G650" s="2">
        <v>1</v>
      </c>
    </row>
    <row r="651" spans="1:7" x14ac:dyDescent="0.25">
      <c r="A651" s="2">
        <v>2026</v>
      </c>
      <c r="B651" s="2" t="s">
        <v>79</v>
      </c>
      <c r="C651" s="8">
        <v>6</v>
      </c>
      <c r="D651" s="2">
        <v>1</v>
      </c>
      <c r="E651" s="2">
        <v>2</v>
      </c>
      <c r="F651" s="2">
        <v>1</v>
      </c>
      <c r="G651" s="2">
        <v>2</v>
      </c>
    </row>
    <row r="652" spans="1:7" x14ac:dyDescent="0.25">
      <c r="A652" s="2">
        <v>2026</v>
      </c>
      <c r="B652" s="2" t="s">
        <v>79</v>
      </c>
      <c r="C652" s="8">
        <v>7</v>
      </c>
      <c r="D652" s="2">
        <v>3</v>
      </c>
      <c r="E652" s="2">
        <v>2</v>
      </c>
      <c r="F652" s="2">
        <v>2</v>
      </c>
      <c r="G652" s="2">
        <v>3</v>
      </c>
    </row>
    <row r="653" spans="1:7" x14ac:dyDescent="0.25">
      <c r="A653" s="2">
        <v>2026</v>
      </c>
      <c r="B653" s="2" t="s">
        <v>79</v>
      </c>
      <c r="C653" s="8">
        <v>8</v>
      </c>
      <c r="D653" s="2">
        <v>3</v>
      </c>
      <c r="E653" s="2">
        <v>3</v>
      </c>
      <c r="F653" s="2">
        <v>2</v>
      </c>
      <c r="G653" s="2">
        <v>3</v>
      </c>
    </row>
    <row r="654" spans="1:7" x14ac:dyDescent="0.25">
      <c r="A654" s="2">
        <v>2026</v>
      </c>
      <c r="B654" s="2" t="s">
        <v>79</v>
      </c>
      <c r="C654" s="8">
        <v>9</v>
      </c>
      <c r="D654" s="2">
        <v>1</v>
      </c>
      <c r="E654" s="2">
        <v>2</v>
      </c>
      <c r="F654" s="2">
        <v>1</v>
      </c>
      <c r="G654" s="2">
        <v>2</v>
      </c>
    </row>
    <row r="655" spans="1:7" x14ac:dyDescent="0.25">
      <c r="A655" s="2">
        <v>2026</v>
      </c>
      <c r="B655" s="2" t="s">
        <v>79</v>
      </c>
      <c r="C655" s="8">
        <v>10</v>
      </c>
      <c r="D655" s="2">
        <v>1</v>
      </c>
      <c r="E655" s="2">
        <v>3</v>
      </c>
      <c r="F655" s="2">
        <v>3</v>
      </c>
      <c r="G655" s="2">
        <v>3</v>
      </c>
    </row>
    <row r="656" spans="1:7" x14ac:dyDescent="0.25">
      <c r="A656" s="2">
        <v>2026</v>
      </c>
      <c r="B656" s="2" t="s">
        <v>79</v>
      </c>
      <c r="C656" s="8">
        <v>11</v>
      </c>
      <c r="D656" s="2">
        <v>1</v>
      </c>
      <c r="E656" s="2">
        <v>1</v>
      </c>
      <c r="F656" s="2">
        <v>3</v>
      </c>
      <c r="G656" s="2">
        <v>1</v>
      </c>
    </row>
    <row r="657" spans="1:7" x14ac:dyDescent="0.25">
      <c r="A657" s="2">
        <v>2026</v>
      </c>
      <c r="B657" s="2" t="s">
        <v>79</v>
      </c>
      <c r="C657" s="8">
        <v>12</v>
      </c>
      <c r="D657" s="2">
        <v>2</v>
      </c>
      <c r="E657" s="2">
        <v>1</v>
      </c>
      <c r="F657" s="2">
        <v>2</v>
      </c>
      <c r="G657" s="2">
        <v>1</v>
      </c>
    </row>
    <row r="658" spans="1:7" x14ac:dyDescent="0.25">
      <c r="A658" s="2">
        <v>2026</v>
      </c>
      <c r="B658" s="2" t="s">
        <v>79</v>
      </c>
      <c r="C658" s="8">
        <v>13</v>
      </c>
      <c r="D658" s="2">
        <v>1</v>
      </c>
      <c r="E658" s="2">
        <v>1</v>
      </c>
      <c r="F658" s="2">
        <v>1</v>
      </c>
      <c r="G658" s="2">
        <v>1</v>
      </c>
    </row>
    <row r="659" spans="1:7" x14ac:dyDescent="0.25">
      <c r="A659" s="2">
        <v>2026</v>
      </c>
      <c r="B659" s="2" t="s">
        <v>79</v>
      </c>
      <c r="C659" s="8">
        <v>14</v>
      </c>
      <c r="D659" s="2">
        <v>4</v>
      </c>
      <c r="E659" s="2">
        <v>4</v>
      </c>
      <c r="F659" s="2">
        <v>2</v>
      </c>
      <c r="G659" s="2">
        <v>1</v>
      </c>
    </row>
    <row r="660" spans="1:7" x14ac:dyDescent="0.25">
      <c r="A660" s="2">
        <v>2026</v>
      </c>
      <c r="B660" s="2" t="s">
        <v>79</v>
      </c>
      <c r="C660" s="8">
        <v>15</v>
      </c>
      <c r="D660" s="2">
        <v>1</v>
      </c>
      <c r="E660" s="2">
        <v>1</v>
      </c>
      <c r="F660" s="2">
        <v>3</v>
      </c>
      <c r="G660" s="2">
        <v>4</v>
      </c>
    </row>
    <row r="661" spans="1:7" x14ac:dyDescent="0.25">
      <c r="A661" s="2">
        <v>2026</v>
      </c>
      <c r="B661" s="2" t="s">
        <v>79</v>
      </c>
      <c r="C661" s="8">
        <v>16</v>
      </c>
      <c r="D661" s="2">
        <v>1</v>
      </c>
      <c r="E661" s="2">
        <v>2</v>
      </c>
      <c r="F661" s="2">
        <v>1</v>
      </c>
      <c r="G661" s="2">
        <v>3</v>
      </c>
    </row>
    <row r="662" spans="1:7" x14ac:dyDescent="0.25">
      <c r="A662" s="2">
        <v>2026</v>
      </c>
      <c r="B662" s="2" t="s">
        <v>79</v>
      </c>
      <c r="C662" s="8">
        <v>17</v>
      </c>
      <c r="D662" s="2">
        <v>2</v>
      </c>
      <c r="E662" s="2">
        <v>1</v>
      </c>
      <c r="F662" s="2">
        <v>3</v>
      </c>
      <c r="G662" s="2">
        <v>4</v>
      </c>
    </row>
    <row r="663" spans="1:7" x14ac:dyDescent="0.25">
      <c r="A663" s="2">
        <v>2026</v>
      </c>
      <c r="B663" s="2" t="s">
        <v>79</v>
      </c>
      <c r="C663" s="8">
        <v>18</v>
      </c>
      <c r="D663" s="2">
        <v>1</v>
      </c>
      <c r="E663" s="2">
        <v>2</v>
      </c>
      <c r="F663" s="2">
        <v>2</v>
      </c>
      <c r="G663" s="2">
        <v>4</v>
      </c>
    </row>
    <row r="664" spans="1:7" x14ac:dyDescent="0.25">
      <c r="A664" s="2">
        <v>2026</v>
      </c>
      <c r="B664" s="2" t="s">
        <v>79</v>
      </c>
      <c r="C664" s="8">
        <v>19</v>
      </c>
      <c r="D664" s="2">
        <v>2</v>
      </c>
      <c r="E664" s="2">
        <v>2</v>
      </c>
      <c r="F664" s="2">
        <v>2</v>
      </c>
      <c r="G664" s="2">
        <v>2</v>
      </c>
    </row>
    <row r="665" spans="1:7" x14ac:dyDescent="0.25">
      <c r="A665" s="2">
        <v>2026</v>
      </c>
      <c r="B665" s="2" t="s">
        <v>79</v>
      </c>
      <c r="C665" s="8">
        <v>20</v>
      </c>
      <c r="D665" s="2">
        <v>4</v>
      </c>
      <c r="E665" s="2">
        <v>1</v>
      </c>
      <c r="F665" s="2">
        <v>1</v>
      </c>
      <c r="G665" s="2">
        <v>2</v>
      </c>
    </row>
    <row r="666" spans="1:7" x14ac:dyDescent="0.25">
      <c r="A666" s="2">
        <v>2026</v>
      </c>
      <c r="B666" s="2" t="s">
        <v>79</v>
      </c>
      <c r="C666" s="8">
        <v>21</v>
      </c>
      <c r="D666" s="2">
        <v>1</v>
      </c>
      <c r="E666" s="2">
        <v>2</v>
      </c>
      <c r="F666" s="2">
        <v>4</v>
      </c>
      <c r="G666" s="2">
        <v>2</v>
      </c>
    </row>
    <row r="667" spans="1:7" x14ac:dyDescent="0.25">
      <c r="A667" s="2">
        <v>2026</v>
      </c>
      <c r="B667" s="2" t="s">
        <v>79</v>
      </c>
      <c r="C667" s="8">
        <v>22</v>
      </c>
      <c r="D667" s="2">
        <v>2</v>
      </c>
      <c r="E667" s="2">
        <v>1</v>
      </c>
      <c r="F667" s="2">
        <v>3</v>
      </c>
      <c r="G667" s="2">
        <v>2</v>
      </c>
    </row>
    <row r="668" spans="1:7" x14ac:dyDescent="0.25">
      <c r="A668" s="2">
        <v>2026</v>
      </c>
      <c r="B668" s="2" t="s">
        <v>79</v>
      </c>
      <c r="C668" s="8">
        <v>23</v>
      </c>
      <c r="D668" s="2">
        <v>1</v>
      </c>
      <c r="E668" s="2">
        <v>3</v>
      </c>
      <c r="F668" s="2">
        <v>1</v>
      </c>
      <c r="G668" s="2">
        <v>2</v>
      </c>
    </row>
    <row r="669" spans="1:7" x14ac:dyDescent="0.25">
      <c r="A669" s="2">
        <v>2026</v>
      </c>
      <c r="B669" s="2" t="s">
        <v>79</v>
      </c>
      <c r="C669" s="8">
        <v>24</v>
      </c>
      <c r="D669" s="2">
        <v>2</v>
      </c>
      <c r="E669" s="2">
        <v>1</v>
      </c>
      <c r="F669" s="2">
        <v>1</v>
      </c>
      <c r="G669" s="2">
        <v>2</v>
      </c>
    </row>
    <row r="670" spans="1:7" x14ac:dyDescent="0.25">
      <c r="A670" s="2">
        <v>2026</v>
      </c>
      <c r="B670" s="2" t="s">
        <v>79</v>
      </c>
      <c r="C670" s="8">
        <v>25</v>
      </c>
      <c r="D670" s="2">
        <v>2</v>
      </c>
      <c r="E670" s="2">
        <v>3</v>
      </c>
      <c r="F670" s="2">
        <v>4</v>
      </c>
      <c r="G670" s="2">
        <v>1</v>
      </c>
    </row>
    <row r="671" spans="1:7" x14ac:dyDescent="0.25">
      <c r="A671" s="2">
        <v>2026</v>
      </c>
      <c r="B671" s="2" t="s">
        <v>79</v>
      </c>
      <c r="C671" s="8">
        <v>26</v>
      </c>
      <c r="D671" s="2">
        <v>2</v>
      </c>
      <c r="E671" s="2">
        <v>1</v>
      </c>
      <c r="F671" s="2">
        <v>1</v>
      </c>
      <c r="G671" s="2">
        <v>4</v>
      </c>
    </row>
    <row r="672" spans="1:7" x14ac:dyDescent="0.25">
      <c r="A672" s="2">
        <v>2026</v>
      </c>
      <c r="B672" s="2" t="s">
        <v>79</v>
      </c>
      <c r="C672" s="8">
        <v>27</v>
      </c>
      <c r="D672" s="2">
        <v>1</v>
      </c>
      <c r="E672" s="2">
        <v>1</v>
      </c>
      <c r="F672" s="2">
        <v>1</v>
      </c>
      <c r="G672" s="2">
        <v>2</v>
      </c>
    </row>
    <row r="673" spans="1:7" x14ac:dyDescent="0.25">
      <c r="A673" s="2">
        <v>2026</v>
      </c>
      <c r="B673" s="2" t="s">
        <v>79</v>
      </c>
      <c r="C673" s="8">
        <v>28</v>
      </c>
      <c r="D673" s="2">
        <v>1</v>
      </c>
      <c r="E673" s="2">
        <v>1</v>
      </c>
      <c r="F673" s="2">
        <v>1</v>
      </c>
      <c r="G673" s="2">
        <v>3</v>
      </c>
    </row>
    <row r="674" spans="1:7" x14ac:dyDescent="0.25">
      <c r="A674" s="2">
        <v>2027</v>
      </c>
      <c r="B674" s="2" t="s">
        <v>68</v>
      </c>
      <c r="C674" s="8">
        <v>1</v>
      </c>
      <c r="D674" s="2">
        <v>4</v>
      </c>
      <c r="E674" s="2">
        <v>2</v>
      </c>
      <c r="F674" s="2">
        <v>2</v>
      </c>
      <c r="G674" s="2">
        <v>1</v>
      </c>
    </row>
    <row r="675" spans="1:7" x14ac:dyDescent="0.25">
      <c r="A675" s="2">
        <v>2027</v>
      </c>
      <c r="B675" s="2" t="s">
        <v>68</v>
      </c>
      <c r="C675" s="8">
        <v>2</v>
      </c>
      <c r="D675" s="2">
        <v>2</v>
      </c>
      <c r="E675" s="2">
        <v>3</v>
      </c>
      <c r="F675" s="2">
        <v>3</v>
      </c>
      <c r="G675" s="2">
        <v>1</v>
      </c>
    </row>
    <row r="676" spans="1:7" x14ac:dyDescent="0.25">
      <c r="A676" s="2">
        <v>2027</v>
      </c>
      <c r="B676" s="2" t="s">
        <v>68</v>
      </c>
      <c r="C676" s="8">
        <v>3</v>
      </c>
      <c r="D676" s="2">
        <v>1</v>
      </c>
      <c r="E676" s="2">
        <v>1</v>
      </c>
      <c r="F676" s="2">
        <v>3</v>
      </c>
      <c r="G676" s="2">
        <v>1</v>
      </c>
    </row>
    <row r="677" spans="1:7" x14ac:dyDescent="0.25">
      <c r="A677" s="2">
        <v>2027</v>
      </c>
      <c r="B677" s="2" t="s">
        <v>68</v>
      </c>
      <c r="C677" s="8">
        <v>4</v>
      </c>
      <c r="D677" s="2">
        <v>1</v>
      </c>
      <c r="E677" s="2">
        <v>2</v>
      </c>
      <c r="F677" s="2">
        <v>3</v>
      </c>
      <c r="G677" s="2">
        <v>2</v>
      </c>
    </row>
    <row r="678" spans="1:7" x14ac:dyDescent="0.25">
      <c r="A678" s="2">
        <v>2027</v>
      </c>
      <c r="B678" s="2" t="s">
        <v>68</v>
      </c>
      <c r="C678" s="8">
        <v>5</v>
      </c>
      <c r="D678" s="2">
        <v>1</v>
      </c>
      <c r="E678" s="2">
        <v>3</v>
      </c>
      <c r="F678" s="2">
        <v>2</v>
      </c>
      <c r="G678" s="2">
        <v>1</v>
      </c>
    </row>
    <row r="679" spans="1:7" x14ac:dyDescent="0.25">
      <c r="A679" s="2">
        <v>2027</v>
      </c>
      <c r="B679" s="2" t="s">
        <v>68</v>
      </c>
      <c r="C679" s="8">
        <v>6</v>
      </c>
      <c r="D679" s="2">
        <v>3</v>
      </c>
      <c r="E679" s="2">
        <v>1</v>
      </c>
      <c r="F679" s="2">
        <v>2</v>
      </c>
      <c r="G679" s="2">
        <v>1</v>
      </c>
    </row>
    <row r="680" spans="1:7" x14ac:dyDescent="0.25">
      <c r="A680" s="2">
        <v>2027</v>
      </c>
      <c r="B680" s="2" t="s">
        <v>68</v>
      </c>
      <c r="C680" s="8">
        <v>7</v>
      </c>
      <c r="D680" s="2">
        <v>2</v>
      </c>
      <c r="E680" s="2">
        <v>3</v>
      </c>
      <c r="F680" s="2">
        <v>3</v>
      </c>
      <c r="G680" s="2">
        <v>1</v>
      </c>
    </row>
    <row r="681" spans="1:7" x14ac:dyDescent="0.25">
      <c r="A681" s="2">
        <v>2027</v>
      </c>
      <c r="B681" s="2" t="s">
        <v>68</v>
      </c>
      <c r="C681" s="8">
        <v>8</v>
      </c>
      <c r="D681" s="2">
        <v>1</v>
      </c>
      <c r="E681" s="2">
        <v>1</v>
      </c>
      <c r="F681" s="2">
        <v>1</v>
      </c>
      <c r="G681" s="2">
        <v>1</v>
      </c>
    </row>
    <row r="682" spans="1:7" x14ac:dyDescent="0.25">
      <c r="A682" s="2">
        <v>2027</v>
      </c>
      <c r="B682" s="2" t="s">
        <v>68</v>
      </c>
      <c r="C682" s="8">
        <v>9</v>
      </c>
      <c r="D682" s="2">
        <v>1</v>
      </c>
      <c r="E682" s="2">
        <v>2</v>
      </c>
      <c r="F682" s="2">
        <v>4</v>
      </c>
      <c r="G682" s="2">
        <v>1</v>
      </c>
    </row>
    <row r="683" spans="1:7" x14ac:dyDescent="0.25">
      <c r="A683" s="2">
        <v>2027</v>
      </c>
      <c r="B683" s="2" t="s">
        <v>68</v>
      </c>
      <c r="C683" s="8">
        <v>10</v>
      </c>
      <c r="D683" s="2">
        <v>2</v>
      </c>
      <c r="E683" s="2">
        <v>2</v>
      </c>
      <c r="F683" s="2">
        <v>4</v>
      </c>
      <c r="G683" s="2">
        <v>2</v>
      </c>
    </row>
    <row r="684" spans="1:7" x14ac:dyDescent="0.25">
      <c r="A684" s="2">
        <v>2027</v>
      </c>
      <c r="B684" s="2" t="s">
        <v>68</v>
      </c>
      <c r="C684" s="8">
        <v>11</v>
      </c>
      <c r="D684" s="2">
        <v>3</v>
      </c>
      <c r="E684" s="2">
        <v>4</v>
      </c>
      <c r="F684" s="2">
        <v>2</v>
      </c>
      <c r="G684" s="2">
        <v>1</v>
      </c>
    </row>
    <row r="685" spans="1:7" x14ac:dyDescent="0.25">
      <c r="A685" s="2">
        <v>2027</v>
      </c>
      <c r="B685" s="2" t="s">
        <v>68</v>
      </c>
      <c r="C685" s="8">
        <v>12</v>
      </c>
      <c r="D685" s="2">
        <v>1</v>
      </c>
      <c r="E685" s="2">
        <v>3</v>
      </c>
      <c r="F685" s="2">
        <v>1</v>
      </c>
      <c r="G685" s="2">
        <v>1</v>
      </c>
    </row>
    <row r="686" spans="1:7" x14ac:dyDescent="0.25">
      <c r="A686" s="2">
        <v>2027</v>
      </c>
      <c r="B686" s="2" t="s">
        <v>68</v>
      </c>
      <c r="C686" s="8">
        <v>13</v>
      </c>
      <c r="D686" s="2">
        <v>2</v>
      </c>
      <c r="E686" s="2">
        <v>2</v>
      </c>
      <c r="F686" s="2">
        <v>2</v>
      </c>
      <c r="G686" s="2">
        <v>3</v>
      </c>
    </row>
    <row r="687" spans="1:7" x14ac:dyDescent="0.25">
      <c r="A687" s="2">
        <v>2027</v>
      </c>
      <c r="B687" s="2" t="s">
        <v>68</v>
      </c>
      <c r="C687" s="8">
        <v>14</v>
      </c>
      <c r="D687" s="2">
        <v>2</v>
      </c>
      <c r="E687" s="2">
        <v>2</v>
      </c>
      <c r="F687" s="2">
        <v>4</v>
      </c>
      <c r="G687" s="2">
        <v>3</v>
      </c>
    </row>
    <row r="688" spans="1:7" x14ac:dyDescent="0.25">
      <c r="A688" s="2">
        <v>2027</v>
      </c>
      <c r="B688" s="2" t="s">
        <v>68</v>
      </c>
      <c r="C688" s="8">
        <v>15</v>
      </c>
      <c r="D688" s="2">
        <v>2</v>
      </c>
      <c r="E688" s="2">
        <v>1</v>
      </c>
      <c r="F688" s="2">
        <v>3</v>
      </c>
      <c r="G688" s="2">
        <v>1</v>
      </c>
    </row>
    <row r="689" spans="1:7" x14ac:dyDescent="0.25">
      <c r="A689" s="2">
        <v>2027</v>
      </c>
      <c r="B689" s="2" t="s">
        <v>68</v>
      </c>
      <c r="C689" s="8">
        <v>16</v>
      </c>
      <c r="D689" s="2">
        <v>4</v>
      </c>
      <c r="E689" s="2">
        <v>2</v>
      </c>
      <c r="F689" s="2">
        <v>3</v>
      </c>
      <c r="G689" s="2">
        <v>4</v>
      </c>
    </row>
    <row r="690" spans="1:7" x14ac:dyDescent="0.25">
      <c r="A690" s="2">
        <v>2027</v>
      </c>
      <c r="B690" s="2" t="s">
        <v>68</v>
      </c>
      <c r="C690" s="8">
        <v>17</v>
      </c>
      <c r="D690" s="2">
        <v>3</v>
      </c>
      <c r="E690" s="2">
        <v>2</v>
      </c>
      <c r="F690" s="2">
        <v>3</v>
      </c>
      <c r="G690" s="2">
        <v>1</v>
      </c>
    </row>
    <row r="691" spans="1:7" x14ac:dyDescent="0.25">
      <c r="A691" s="2">
        <v>2027</v>
      </c>
      <c r="B691" s="2" t="s">
        <v>68</v>
      </c>
      <c r="C691" s="8">
        <v>18</v>
      </c>
      <c r="D691" s="2">
        <v>2</v>
      </c>
      <c r="E691" s="2">
        <v>1</v>
      </c>
      <c r="F691" s="2">
        <v>2</v>
      </c>
      <c r="G691" s="2">
        <v>2</v>
      </c>
    </row>
    <row r="692" spans="1:7" x14ac:dyDescent="0.25">
      <c r="A692" s="2">
        <v>2027</v>
      </c>
      <c r="B692" s="2" t="s">
        <v>68</v>
      </c>
      <c r="C692" s="8">
        <v>19</v>
      </c>
      <c r="D692" s="2">
        <v>1</v>
      </c>
      <c r="E692" s="2">
        <v>1</v>
      </c>
      <c r="F692" s="2">
        <v>1</v>
      </c>
      <c r="G692" s="2">
        <v>1</v>
      </c>
    </row>
    <row r="693" spans="1:7" x14ac:dyDescent="0.25">
      <c r="A693" s="2">
        <v>2027</v>
      </c>
      <c r="B693" s="2" t="s">
        <v>68</v>
      </c>
      <c r="C693" s="8">
        <v>20</v>
      </c>
      <c r="D693" s="2">
        <v>1</v>
      </c>
      <c r="E693" s="2">
        <v>2</v>
      </c>
      <c r="F693" s="2">
        <v>2</v>
      </c>
      <c r="G693" s="2">
        <v>1</v>
      </c>
    </row>
    <row r="694" spans="1:7" x14ac:dyDescent="0.25">
      <c r="A694" s="2">
        <v>2027</v>
      </c>
      <c r="B694" s="2" t="s">
        <v>68</v>
      </c>
      <c r="C694" s="8">
        <v>21</v>
      </c>
      <c r="D694" s="2">
        <v>4</v>
      </c>
      <c r="E694" s="2">
        <v>1</v>
      </c>
      <c r="F694" s="2">
        <v>2</v>
      </c>
      <c r="G694" s="2">
        <v>2</v>
      </c>
    </row>
    <row r="695" spans="1:7" x14ac:dyDescent="0.25">
      <c r="A695" s="2">
        <v>2027</v>
      </c>
      <c r="B695" s="2" t="s">
        <v>68</v>
      </c>
      <c r="C695" s="8">
        <v>22</v>
      </c>
      <c r="D695" s="2">
        <v>3</v>
      </c>
      <c r="E695" s="2">
        <v>2</v>
      </c>
      <c r="F695" s="2">
        <v>3</v>
      </c>
      <c r="G695" s="2">
        <v>3</v>
      </c>
    </row>
    <row r="696" spans="1:7" x14ac:dyDescent="0.25">
      <c r="A696" s="2">
        <v>2027</v>
      </c>
      <c r="B696" s="2" t="s">
        <v>68</v>
      </c>
      <c r="C696" s="8">
        <v>23</v>
      </c>
      <c r="D696" s="2">
        <v>2</v>
      </c>
      <c r="E696" s="2">
        <v>3</v>
      </c>
      <c r="F696" s="2">
        <v>4</v>
      </c>
      <c r="G696" s="2">
        <v>1</v>
      </c>
    </row>
    <row r="697" spans="1:7" x14ac:dyDescent="0.25">
      <c r="A697" s="2">
        <v>2027</v>
      </c>
      <c r="B697" s="2" t="s">
        <v>68</v>
      </c>
      <c r="C697" s="8">
        <v>24</v>
      </c>
      <c r="D697" s="2">
        <v>1</v>
      </c>
      <c r="E697" s="2">
        <v>1</v>
      </c>
      <c r="F697" s="2">
        <v>2</v>
      </c>
      <c r="G697" s="2">
        <v>2</v>
      </c>
    </row>
    <row r="698" spans="1:7" x14ac:dyDescent="0.25">
      <c r="A698" s="2">
        <v>2027</v>
      </c>
      <c r="B698" s="2" t="s">
        <v>68</v>
      </c>
      <c r="C698" s="8">
        <v>25</v>
      </c>
      <c r="D698" s="2">
        <v>1</v>
      </c>
      <c r="E698" s="2">
        <v>1</v>
      </c>
      <c r="F698" s="2">
        <v>1</v>
      </c>
      <c r="G698" s="2">
        <v>2</v>
      </c>
    </row>
    <row r="699" spans="1:7" x14ac:dyDescent="0.25">
      <c r="A699" s="2">
        <v>2027</v>
      </c>
      <c r="B699" s="2" t="s">
        <v>68</v>
      </c>
      <c r="C699" s="8">
        <v>26</v>
      </c>
      <c r="D699" s="2">
        <v>1</v>
      </c>
      <c r="E699" s="2">
        <v>1</v>
      </c>
      <c r="F699" s="2">
        <v>2</v>
      </c>
      <c r="G699" s="2">
        <v>3</v>
      </c>
    </row>
    <row r="700" spans="1:7" x14ac:dyDescent="0.25">
      <c r="A700" s="2">
        <v>2027</v>
      </c>
      <c r="B700" s="2" t="s">
        <v>68</v>
      </c>
      <c r="C700" s="8">
        <v>27</v>
      </c>
      <c r="D700" s="2">
        <v>1</v>
      </c>
      <c r="E700" s="2">
        <v>1</v>
      </c>
      <c r="F700" s="2">
        <v>2</v>
      </c>
      <c r="G700" s="2">
        <v>1</v>
      </c>
    </row>
    <row r="701" spans="1:7" x14ac:dyDescent="0.25">
      <c r="A701" s="2">
        <v>2027</v>
      </c>
      <c r="B701" s="2" t="s">
        <v>68</v>
      </c>
      <c r="C701" s="8">
        <v>28</v>
      </c>
      <c r="D701" s="2">
        <v>1</v>
      </c>
      <c r="E701" s="2">
        <v>1</v>
      </c>
      <c r="F701" s="2">
        <v>2</v>
      </c>
      <c r="G701" s="2">
        <v>4</v>
      </c>
    </row>
    <row r="702" spans="1:7" x14ac:dyDescent="0.25">
      <c r="A702" s="2">
        <v>2027</v>
      </c>
      <c r="B702" s="2" t="s">
        <v>69</v>
      </c>
      <c r="C702" s="8">
        <v>1</v>
      </c>
      <c r="D702" s="2">
        <v>1</v>
      </c>
      <c r="E702" s="2">
        <v>1</v>
      </c>
      <c r="F702" s="2">
        <v>2</v>
      </c>
      <c r="G702" s="2">
        <v>1</v>
      </c>
    </row>
    <row r="703" spans="1:7" x14ac:dyDescent="0.25">
      <c r="A703" s="2">
        <v>2027</v>
      </c>
      <c r="B703" s="2" t="s">
        <v>69</v>
      </c>
      <c r="C703" s="8">
        <v>2</v>
      </c>
      <c r="D703" s="2">
        <v>1</v>
      </c>
      <c r="E703" s="2">
        <v>3</v>
      </c>
      <c r="F703" s="2">
        <v>3</v>
      </c>
      <c r="G703" s="2">
        <v>1</v>
      </c>
    </row>
    <row r="704" spans="1:7" x14ac:dyDescent="0.25">
      <c r="A704" s="2">
        <v>2027</v>
      </c>
      <c r="B704" s="2" t="s">
        <v>69</v>
      </c>
      <c r="C704" s="8">
        <v>3</v>
      </c>
      <c r="D704" s="2">
        <v>1</v>
      </c>
      <c r="E704" s="2">
        <v>1</v>
      </c>
      <c r="F704" s="2">
        <v>1</v>
      </c>
      <c r="G704" s="2">
        <v>4</v>
      </c>
    </row>
    <row r="705" spans="1:7" x14ac:dyDescent="0.25">
      <c r="A705" s="2">
        <v>2027</v>
      </c>
      <c r="B705" s="2" t="s">
        <v>69</v>
      </c>
      <c r="C705" s="8">
        <v>4</v>
      </c>
      <c r="D705" s="2">
        <v>4</v>
      </c>
      <c r="E705" s="2">
        <v>2</v>
      </c>
      <c r="F705" s="2">
        <v>1</v>
      </c>
      <c r="G705" s="2">
        <v>2</v>
      </c>
    </row>
    <row r="706" spans="1:7" x14ac:dyDescent="0.25">
      <c r="A706" s="2">
        <v>2027</v>
      </c>
      <c r="B706" s="2" t="s">
        <v>69</v>
      </c>
      <c r="C706" s="8">
        <v>5</v>
      </c>
      <c r="D706" s="2">
        <v>1</v>
      </c>
      <c r="E706" s="2">
        <v>2</v>
      </c>
      <c r="F706" s="2">
        <v>1</v>
      </c>
      <c r="G706" s="2">
        <v>1</v>
      </c>
    </row>
    <row r="707" spans="1:7" x14ac:dyDescent="0.25">
      <c r="A707" s="2">
        <v>2027</v>
      </c>
      <c r="B707" s="2" t="s">
        <v>69</v>
      </c>
      <c r="C707" s="8">
        <v>6</v>
      </c>
      <c r="D707" s="2">
        <v>4</v>
      </c>
      <c r="E707" s="2">
        <v>1</v>
      </c>
      <c r="F707" s="2">
        <v>1</v>
      </c>
      <c r="G707" s="2">
        <v>4</v>
      </c>
    </row>
    <row r="708" spans="1:7" x14ac:dyDescent="0.25">
      <c r="A708" s="2">
        <v>2027</v>
      </c>
      <c r="B708" s="2" t="s">
        <v>69</v>
      </c>
      <c r="C708" s="8">
        <v>7</v>
      </c>
      <c r="D708" s="2">
        <v>1</v>
      </c>
      <c r="E708" s="2">
        <v>2</v>
      </c>
      <c r="F708" s="2">
        <v>2</v>
      </c>
      <c r="G708" s="2">
        <v>2</v>
      </c>
    </row>
    <row r="709" spans="1:7" x14ac:dyDescent="0.25">
      <c r="A709" s="2">
        <v>2027</v>
      </c>
      <c r="B709" s="2" t="s">
        <v>69</v>
      </c>
      <c r="C709" s="8">
        <v>8</v>
      </c>
      <c r="D709" s="2">
        <v>1</v>
      </c>
      <c r="E709" s="2">
        <v>1</v>
      </c>
      <c r="F709" s="2">
        <v>3</v>
      </c>
      <c r="G709" s="2">
        <v>1</v>
      </c>
    </row>
    <row r="710" spans="1:7" x14ac:dyDescent="0.25">
      <c r="A710" s="2">
        <v>2027</v>
      </c>
      <c r="B710" s="2" t="s">
        <v>69</v>
      </c>
      <c r="C710" s="8">
        <v>9</v>
      </c>
      <c r="D710" s="2">
        <v>1</v>
      </c>
      <c r="E710" s="2">
        <v>2</v>
      </c>
      <c r="F710" s="2">
        <v>3</v>
      </c>
      <c r="G710" s="2">
        <v>3</v>
      </c>
    </row>
    <row r="711" spans="1:7" x14ac:dyDescent="0.25">
      <c r="A711" s="2">
        <v>2027</v>
      </c>
      <c r="B711" s="2" t="s">
        <v>69</v>
      </c>
      <c r="C711" s="8">
        <v>10</v>
      </c>
      <c r="D711" s="2">
        <v>1</v>
      </c>
      <c r="E711" s="2">
        <v>1</v>
      </c>
      <c r="F711" s="2">
        <v>3</v>
      </c>
      <c r="G711" s="2">
        <v>2</v>
      </c>
    </row>
    <row r="712" spans="1:7" x14ac:dyDescent="0.25">
      <c r="A712" s="2">
        <v>2027</v>
      </c>
      <c r="B712" s="2" t="s">
        <v>69</v>
      </c>
      <c r="C712" s="8">
        <v>11</v>
      </c>
      <c r="D712" s="2">
        <v>2</v>
      </c>
      <c r="E712" s="2">
        <v>2</v>
      </c>
      <c r="F712" s="2">
        <v>3</v>
      </c>
      <c r="G712" s="2">
        <v>4</v>
      </c>
    </row>
    <row r="713" spans="1:7" x14ac:dyDescent="0.25">
      <c r="A713" s="2">
        <v>2027</v>
      </c>
      <c r="B713" s="2" t="s">
        <v>69</v>
      </c>
      <c r="C713" s="8">
        <v>12</v>
      </c>
      <c r="D713" s="2">
        <v>1</v>
      </c>
      <c r="E713" s="2">
        <v>3</v>
      </c>
      <c r="F713" s="2">
        <v>3</v>
      </c>
      <c r="G713" s="2">
        <v>1</v>
      </c>
    </row>
    <row r="714" spans="1:7" x14ac:dyDescent="0.25">
      <c r="A714" s="2">
        <v>2027</v>
      </c>
      <c r="B714" s="2" t="s">
        <v>69</v>
      </c>
      <c r="C714" s="8">
        <v>13</v>
      </c>
      <c r="D714" s="2">
        <v>2</v>
      </c>
      <c r="E714" s="2">
        <v>2</v>
      </c>
      <c r="F714" s="2">
        <v>1</v>
      </c>
      <c r="G714" s="2">
        <v>1</v>
      </c>
    </row>
    <row r="715" spans="1:7" x14ac:dyDescent="0.25">
      <c r="A715" s="2">
        <v>2027</v>
      </c>
      <c r="B715" s="2" t="s">
        <v>69</v>
      </c>
      <c r="C715" s="8">
        <v>14</v>
      </c>
      <c r="D715" s="2">
        <v>1</v>
      </c>
      <c r="E715" s="2">
        <v>4</v>
      </c>
      <c r="F715" s="2">
        <v>1</v>
      </c>
      <c r="G715" s="2">
        <v>3</v>
      </c>
    </row>
    <row r="716" spans="1:7" x14ac:dyDescent="0.25">
      <c r="A716" s="2">
        <v>2027</v>
      </c>
      <c r="B716" s="2" t="s">
        <v>69</v>
      </c>
      <c r="C716" s="8">
        <v>15</v>
      </c>
      <c r="D716" s="2">
        <v>4</v>
      </c>
      <c r="E716" s="2">
        <v>1</v>
      </c>
      <c r="F716" s="2">
        <v>2</v>
      </c>
      <c r="G716" s="2">
        <v>4</v>
      </c>
    </row>
    <row r="717" spans="1:7" x14ac:dyDescent="0.25">
      <c r="A717" s="2">
        <v>2027</v>
      </c>
      <c r="B717" s="2" t="s">
        <v>69</v>
      </c>
      <c r="C717" s="8">
        <v>16</v>
      </c>
      <c r="D717" s="2">
        <v>1</v>
      </c>
      <c r="E717" s="2">
        <v>3</v>
      </c>
      <c r="F717" s="2">
        <v>2</v>
      </c>
      <c r="G717" s="2">
        <v>2</v>
      </c>
    </row>
    <row r="718" spans="1:7" x14ac:dyDescent="0.25">
      <c r="A718" s="2">
        <v>2027</v>
      </c>
      <c r="B718" s="2" t="s">
        <v>69</v>
      </c>
      <c r="C718" s="8">
        <v>17</v>
      </c>
      <c r="D718" s="2">
        <v>1</v>
      </c>
      <c r="E718" s="2">
        <v>2</v>
      </c>
      <c r="F718" s="2">
        <v>3</v>
      </c>
      <c r="G718" s="2">
        <v>2</v>
      </c>
    </row>
    <row r="719" spans="1:7" x14ac:dyDescent="0.25">
      <c r="A719" s="2">
        <v>2027</v>
      </c>
      <c r="B719" s="2" t="s">
        <v>69</v>
      </c>
      <c r="C719" s="8">
        <v>18</v>
      </c>
      <c r="D719" s="2">
        <v>2</v>
      </c>
      <c r="E719" s="2">
        <v>3</v>
      </c>
      <c r="F719" s="2">
        <v>1</v>
      </c>
      <c r="G719" s="2">
        <v>4</v>
      </c>
    </row>
    <row r="720" spans="1:7" x14ac:dyDescent="0.25">
      <c r="A720" s="2">
        <v>2027</v>
      </c>
      <c r="B720" s="2" t="s">
        <v>69</v>
      </c>
      <c r="C720" s="8">
        <v>19</v>
      </c>
      <c r="D720" s="2">
        <v>3</v>
      </c>
      <c r="E720" s="2">
        <v>1</v>
      </c>
      <c r="F720" s="2">
        <v>3</v>
      </c>
      <c r="G720" s="2">
        <v>2</v>
      </c>
    </row>
    <row r="721" spans="1:7" x14ac:dyDescent="0.25">
      <c r="A721" s="2">
        <v>2027</v>
      </c>
      <c r="B721" s="2" t="s">
        <v>69</v>
      </c>
      <c r="C721" s="8">
        <v>20</v>
      </c>
      <c r="D721" s="2">
        <v>2</v>
      </c>
      <c r="E721" s="2">
        <v>1</v>
      </c>
      <c r="F721" s="2">
        <v>1</v>
      </c>
      <c r="G721" s="2">
        <v>2</v>
      </c>
    </row>
    <row r="722" spans="1:7" x14ac:dyDescent="0.25">
      <c r="A722" s="2">
        <v>2027</v>
      </c>
      <c r="B722" s="2" t="s">
        <v>69</v>
      </c>
      <c r="C722" s="8">
        <v>21</v>
      </c>
      <c r="D722" s="2">
        <v>1</v>
      </c>
      <c r="E722" s="2">
        <v>1</v>
      </c>
      <c r="F722" s="2">
        <v>1</v>
      </c>
      <c r="G722" s="2">
        <v>1</v>
      </c>
    </row>
    <row r="723" spans="1:7" x14ac:dyDescent="0.25">
      <c r="A723" s="2">
        <v>2027</v>
      </c>
      <c r="B723" s="2" t="s">
        <v>69</v>
      </c>
      <c r="C723" s="8">
        <v>22</v>
      </c>
      <c r="D723" s="2">
        <v>2</v>
      </c>
      <c r="E723" s="2">
        <v>2</v>
      </c>
      <c r="F723" s="2">
        <v>1</v>
      </c>
      <c r="G723" s="2">
        <v>1</v>
      </c>
    </row>
    <row r="724" spans="1:7" x14ac:dyDescent="0.25">
      <c r="A724" s="2">
        <v>2027</v>
      </c>
      <c r="B724" s="2" t="s">
        <v>69</v>
      </c>
      <c r="C724" s="8">
        <v>23</v>
      </c>
      <c r="D724" s="2">
        <v>2</v>
      </c>
      <c r="E724" s="2">
        <v>4</v>
      </c>
      <c r="F724" s="2">
        <v>3</v>
      </c>
      <c r="G724" s="2">
        <v>2</v>
      </c>
    </row>
    <row r="725" spans="1:7" x14ac:dyDescent="0.25">
      <c r="A725" s="2">
        <v>2027</v>
      </c>
      <c r="B725" s="2" t="s">
        <v>69</v>
      </c>
      <c r="C725" s="8">
        <v>24</v>
      </c>
      <c r="D725" s="2">
        <v>1</v>
      </c>
      <c r="E725" s="2">
        <v>4</v>
      </c>
      <c r="F725" s="2">
        <v>2</v>
      </c>
      <c r="G725" s="2">
        <v>2</v>
      </c>
    </row>
    <row r="726" spans="1:7" x14ac:dyDescent="0.25">
      <c r="A726" s="2">
        <v>2027</v>
      </c>
      <c r="B726" s="2" t="s">
        <v>69</v>
      </c>
      <c r="C726" s="8">
        <v>25</v>
      </c>
      <c r="D726" s="2">
        <v>4</v>
      </c>
      <c r="E726" s="2">
        <v>2</v>
      </c>
      <c r="F726" s="2">
        <v>3</v>
      </c>
      <c r="G726" s="2">
        <v>2</v>
      </c>
    </row>
    <row r="727" spans="1:7" x14ac:dyDescent="0.25">
      <c r="A727" s="2">
        <v>2027</v>
      </c>
      <c r="B727" s="2" t="s">
        <v>69</v>
      </c>
      <c r="C727" s="8">
        <v>26</v>
      </c>
      <c r="D727" s="2">
        <v>3</v>
      </c>
      <c r="E727" s="2">
        <v>2</v>
      </c>
      <c r="F727" s="2">
        <v>1</v>
      </c>
      <c r="G727" s="2">
        <v>1</v>
      </c>
    </row>
    <row r="728" spans="1:7" x14ac:dyDescent="0.25">
      <c r="A728" s="2">
        <v>2027</v>
      </c>
      <c r="B728" s="2" t="s">
        <v>69</v>
      </c>
      <c r="C728" s="8">
        <v>27</v>
      </c>
      <c r="D728" s="2">
        <v>2</v>
      </c>
      <c r="E728" s="2">
        <v>1</v>
      </c>
      <c r="F728" s="2">
        <v>3</v>
      </c>
      <c r="G728" s="2">
        <v>2</v>
      </c>
    </row>
    <row r="729" spans="1:7" x14ac:dyDescent="0.25">
      <c r="A729" s="2">
        <v>2027</v>
      </c>
      <c r="B729" s="2" t="s">
        <v>69</v>
      </c>
      <c r="C729" s="8">
        <v>28</v>
      </c>
      <c r="D729" s="2">
        <v>1</v>
      </c>
      <c r="E729" s="2">
        <v>1</v>
      </c>
      <c r="F729" s="2">
        <v>1</v>
      </c>
      <c r="G729" s="2">
        <v>2</v>
      </c>
    </row>
    <row r="730" spans="1:7" x14ac:dyDescent="0.25">
      <c r="A730" s="2">
        <v>2027</v>
      </c>
      <c r="B730" s="2" t="s">
        <v>70</v>
      </c>
      <c r="C730" s="8">
        <v>1</v>
      </c>
      <c r="D730" s="2">
        <v>1</v>
      </c>
      <c r="E730" s="2">
        <v>2</v>
      </c>
      <c r="F730" s="2">
        <v>1</v>
      </c>
      <c r="G730" s="2">
        <v>1</v>
      </c>
    </row>
    <row r="731" spans="1:7" x14ac:dyDescent="0.25">
      <c r="A731" s="2">
        <v>2027</v>
      </c>
      <c r="B731" s="2" t="s">
        <v>70</v>
      </c>
      <c r="C731" s="8">
        <v>2</v>
      </c>
      <c r="D731" s="2">
        <v>1</v>
      </c>
      <c r="E731" s="2">
        <v>1</v>
      </c>
      <c r="F731" s="2">
        <v>2</v>
      </c>
      <c r="G731" s="2">
        <v>1</v>
      </c>
    </row>
    <row r="732" spans="1:7" x14ac:dyDescent="0.25">
      <c r="A732" s="2">
        <v>2027</v>
      </c>
      <c r="B732" s="2" t="s">
        <v>70</v>
      </c>
      <c r="C732" s="8">
        <v>3</v>
      </c>
      <c r="D732" s="2">
        <v>1</v>
      </c>
      <c r="E732" s="2">
        <v>2</v>
      </c>
      <c r="F732" s="2">
        <v>1</v>
      </c>
      <c r="G732" s="2">
        <v>1</v>
      </c>
    </row>
    <row r="733" spans="1:7" x14ac:dyDescent="0.25">
      <c r="A733" s="2">
        <v>2027</v>
      </c>
      <c r="B733" s="2" t="s">
        <v>70</v>
      </c>
      <c r="C733" s="8">
        <v>4</v>
      </c>
      <c r="D733" s="2">
        <v>2</v>
      </c>
      <c r="E733" s="2">
        <v>2</v>
      </c>
      <c r="F733" s="2">
        <v>1</v>
      </c>
      <c r="G733" s="2">
        <v>3</v>
      </c>
    </row>
    <row r="734" spans="1:7" x14ac:dyDescent="0.25">
      <c r="A734" s="2">
        <v>2027</v>
      </c>
      <c r="B734" s="2" t="s">
        <v>70</v>
      </c>
      <c r="C734" s="8">
        <v>5</v>
      </c>
      <c r="D734" s="2">
        <v>2</v>
      </c>
      <c r="E734" s="2">
        <v>1</v>
      </c>
      <c r="F734" s="2">
        <v>1</v>
      </c>
      <c r="G734" s="2">
        <v>1</v>
      </c>
    </row>
    <row r="735" spans="1:7" x14ac:dyDescent="0.25">
      <c r="A735" s="2">
        <v>2027</v>
      </c>
      <c r="B735" s="2" t="s">
        <v>70</v>
      </c>
      <c r="C735" s="8">
        <v>6</v>
      </c>
      <c r="D735" s="2">
        <v>2</v>
      </c>
      <c r="E735" s="2">
        <v>4</v>
      </c>
      <c r="F735" s="2">
        <v>1</v>
      </c>
      <c r="G735" s="2">
        <v>3</v>
      </c>
    </row>
    <row r="736" spans="1:7" x14ac:dyDescent="0.25">
      <c r="A736" s="2">
        <v>2027</v>
      </c>
      <c r="B736" s="2" t="s">
        <v>70</v>
      </c>
      <c r="C736" s="8">
        <v>7</v>
      </c>
      <c r="D736" s="2">
        <v>1</v>
      </c>
      <c r="E736" s="2">
        <v>3</v>
      </c>
      <c r="F736" s="2">
        <v>3</v>
      </c>
      <c r="G736" s="2">
        <v>3</v>
      </c>
    </row>
    <row r="737" spans="1:7" x14ac:dyDescent="0.25">
      <c r="A737" s="2">
        <v>2027</v>
      </c>
      <c r="B737" s="2" t="s">
        <v>70</v>
      </c>
      <c r="C737" s="8">
        <v>8</v>
      </c>
      <c r="D737" s="2">
        <v>1</v>
      </c>
      <c r="E737" s="2">
        <v>2</v>
      </c>
      <c r="F737" s="2">
        <v>2</v>
      </c>
      <c r="G737" s="2">
        <v>2</v>
      </c>
    </row>
    <row r="738" spans="1:7" x14ac:dyDescent="0.25">
      <c r="A738" s="2">
        <v>2027</v>
      </c>
      <c r="B738" s="2" t="s">
        <v>70</v>
      </c>
      <c r="C738" s="8">
        <v>9</v>
      </c>
      <c r="D738" s="2">
        <v>2</v>
      </c>
      <c r="E738" s="2">
        <v>3</v>
      </c>
      <c r="F738" s="2">
        <v>1</v>
      </c>
      <c r="G738" s="2">
        <v>2</v>
      </c>
    </row>
    <row r="739" spans="1:7" x14ac:dyDescent="0.25">
      <c r="A739" s="2">
        <v>2027</v>
      </c>
      <c r="B739" s="2" t="s">
        <v>70</v>
      </c>
      <c r="C739" s="8">
        <v>10</v>
      </c>
      <c r="D739" s="2">
        <v>3</v>
      </c>
      <c r="E739" s="2">
        <v>3</v>
      </c>
      <c r="F739" s="2">
        <v>1</v>
      </c>
      <c r="G739" s="2">
        <v>4</v>
      </c>
    </row>
    <row r="740" spans="1:7" x14ac:dyDescent="0.25">
      <c r="A740" s="2">
        <v>2027</v>
      </c>
      <c r="B740" s="2" t="s">
        <v>70</v>
      </c>
      <c r="C740" s="8">
        <v>11</v>
      </c>
      <c r="D740" s="2">
        <v>3</v>
      </c>
      <c r="E740" s="2">
        <v>4</v>
      </c>
      <c r="F740" s="2">
        <v>1</v>
      </c>
      <c r="G740" s="2">
        <v>4</v>
      </c>
    </row>
    <row r="741" spans="1:7" x14ac:dyDescent="0.25">
      <c r="A741" s="2">
        <v>2027</v>
      </c>
      <c r="B741" s="2" t="s">
        <v>70</v>
      </c>
      <c r="C741" s="8">
        <v>12</v>
      </c>
      <c r="D741" s="2">
        <v>4</v>
      </c>
      <c r="E741" s="2">
        <v>3</v>
      </c>
      <c r="F741" s="2">
        <v>1</v>
      </c>
      <c r="G741" s="2">
        <v>1</v>
      </c>
    </row>
    <row r="742" spans="1:7" x14ac:dyDescent="0.25">
      <c r="A742" s="2">
        <v>2027</v>
      </c>
      <c r="B742" s="2" t="s">
        <v>70</v>
      </c>
      <c r="C742" s="8">
        <v>13</v>
      </c>
      <c r="D742" s="2">
        <v>4</v>
      </c>
      <c r="E742" s="2">
        <v>1</v>
      </c>
      <c r="F742" s="2">
        <v>1</v>
      </c>
      <c r="G742" s="2">
        <v>3</v>
      </c>
    </row>
    <row r="743" spans="1:7" x14ac:dyDescent="0.25">
      <c r="A743" s="2">
        <v>2027</v>
      </c>
      <c r="B743" s="2" t="s">
        <v>70</v>
      </c>
      <c r="C743" s="8">
        <v>14</v>
      </c>
      <c r="D743" s="2">
        <v>2</v>
      </c>
      <c r="E743" s="2">
        <v>1</v>
      </c>
      <c r="F743" s="2">
        <v>1</v>
      </c>
      <c r="G743" s="2">
        <v>2</v>
      </c>
    </row>
    <row r="744" spans="1:7" x14ac:dyDescent="0.25">
      <c r="A744" s="2">
        <v>2027</v>
      </c>
      <c r="B744" s="2" t="s">
        <v>70</v>
      </c>
      <c r="C744" s="8">
        <v>15</v>
      </c>
      <c r="D744" s="2">
        <v>1</v>
      </c>
      <c r="E744" s="2">
        <v>3</v>
      </c>
      <c r="F744" s="2">
        <v>3</v>
      </c>
      <c r="G744" s="2">
        <v>1</v>
      </c>
    </row>
    <row r="745" spans="1:7" x14ac:dyDescent="0.25">
      <c r="A745" s="2">
        <v>2027</v>
      </c>
      <c r="B745" s="2" t="s">
        <v>70</v>
      </c>
      <c r="C745" s="8">
        <v>16</v>
      </c>
      <c r="D745" s="2">
        <v>1</v>
      </c>
      <c r="E745" s="2">
        <v>3</v>
      </c>
      <c r="F745" s="2">
        <v>2</v>
      </c>
      <c r="G745" s="2">
        <v>4</v>
      </c>
    </row>
    <row r="746" spans="1:7" x14ac:dyDescent="0.25">
      <c r="A746" s="2">
        <v>2027</v>
      </c>
      <c r="B746" s="2" t="s">
        <v>70</v>
      </c>
      <c r="C746" s="8">
        <v>17</v>
      </c>
      <c r="D746" s="2">
        <v>1</v>
      </c>
      <c r="E746" s="2">
        <v>2</v>
      </c>
      <c r="F746" s="2">
        <v>2</v>
      </c>
      <c r="G746" s="2">
        <v>1</v>
      </c>
    </row>
    <row r="747" spans="1:7" x14ac:dyDescent="0.25">
      <c r="A747" s="2">
        <v>2027</v>
      </c>
      <c r="B747" s="2" t="s">
        <v>70</v>
      </c>
      <c r="C747" s="8">
        <v>18</v>
      </c>
      <c r="D747" s="2">
        <v>2</v>
      </c>
      <c r="E747" s="2">
        <v>1</v>
      </c>
      <c r="F747" s="2">
        <v>3</v>
      </c>
      <c r="G747" s="2">
        <v>1</v>
      </c>
    </row>
    <row r="748" spans="1:7" x14ac:dyDescent="0.25">
      <c r="A748" s="2">
        <v>2027</v>
      </c>
      <c r="B748" s="2" t="s">
        <v>70</v>
      </c>
      <c r="C748" s="8">
        <v>19</v>
      </c>
      <c r="D748" s="2">
        <v>1</v>
      </c>
      <c r="E748" s="2">
        <v>2</v>
      </c>
      <c r="F748" s="2">
        <v>1</v>
      </c>
      <c r="G748" s="2">
        <v>3</v>
      </c>
    </row>
    <row r="749" spans="1:7" x14ac:dyDescent="0.25">
      <c r="A749" s="2">
        <v>2027</v>
      </c>
      <c r="B749" s="2" t="s">
        <v>70</v>
      </c>
      <c r="C749" s="8">
        <v>20</v>
      </c>
      <c r="D749" s="2">
        <v>4</v>
      </c>
      <c r="E749" s="2">
        <v>3</v>
      </c>
      <c r="F749" s="2">
        <v>3</v>
      </c>
      <c r="G749" s="2">
        <v>2</v>
      </c>
    </row>
    <row r="750" spans="1:7" x14ac:dyDescent="0.25">
      <c r="A750" s="2">
        <v>2027</v>
      </c>
      <c r="B750" s="2" t="s">
        <v>70</v>
      </c>
      <c r="C750" s="8">
        <v>21</v>
      </c>
      <c r="D750" s="2">
        <v>1</v>
      </c>
      <c r="E750" s="2">
        <v>1</v>
      </c>
      <c r="F750" s="2">
        <v>1</v>
      </c>
      <c r="G750" s="2">
        <v>4</v>
      </c>
    </row>
    <row r="751" spans="1:7" x14ac:dyDescent="0.25">
      <c r="A751" s="2">
        <v>2027</v>
      </c>
      <c r="B751" s="2" t="s">
        <v>70</v>
      </c>
      <c r="C751" s="8">
        <v>22</v>
      </c>
      <c r="D751" s="2">
        <v>2</v>
      </c>
      <c r="E751" s="2">
        <v>2</v>
      </c>
      <c r="F751" s="2">
        <v>2</v>
      </c>
      <c r="G751" s="2">
        <v>4</v>
      </c>
    </row>
    <row r="752" spans="1:7" x14ac:dyDescent="0.25">
      <c r="A752" s="2">
        <v>2027</v>
      </c>
      <c r="B752" s="2" t="s">
        <v>70</v>
      </c>
      <c r="C752" s="8">
        <v>23</v>
      </c>
      <c r="D752" s="2">
        <v>2</v>
      </c>
      <c r="E752" s="2">
        <v>2</v>
      </c>
      <c r="F752" s="2">
        <v>2</v>
      </c>
      <c r="G752" s="2">
        <v>2</v>
      </c>
    </row>
    <row r="753" spans="1:7" x14ac:dyDescent="0.25">
      <c r="A753" s="2">
        <v>2027</v>
      </c>
      <c r="B753" s="2" t="s">
        <v>70</v>
      </c>
      <c r="C753" s="8">
        <v>24</v>
      </c>
      <c r="D753" s="2">
        <v>1</v>
      </c>
      <c r="E753" s="2">
        <v>1</v>
      </c>
      <c r="F753" s="2">
        <v>3</v>
      </c>
      <c r="G753" s="2">
        <v>1</v>
      </c>
    </row>
    <row r="754" spans="1:7" x14ac:dyDescent="0.25">
      <c r="A754" s="2">
        <v>2027</v>
      </c>
      <c r="B754" s="2" t="s">
        <v>70</v>
      </c>
      <c r="C754" s="8">
        <v>25</v>
      </c>
      <c r="D754" s="2">
        <v>3</v>
      </c>
      <c r="E754" s="2">
        <v>1</v>
      </c>
      <c r="F754" s="2">
        <v>1</v>
      </c>
      <c r="G754" s="2">
        <v>2</v>
      </c>
    </row>
    <row r="755" spans="1:7" x14ac:dyDescent="0.25">
      <c r="A755" s="2">
        <v>2027</v>
      </c>
      <c r="B755" s="2" t="s">
        <v>70</v>
      </c>
      <c r="C755" s="8">
        <v>26</v>
      </c>
      <c r="D755" s="2">
        <v>3</v>
      </c>
      <c r="E755" s="2">
        <v>2</v>
      </c>
      <c r="F755" s="2">
        <v>1</v>
      </c>
      <c r="G755" s="2">
        <v>3</v>
      </c>
    </row>
    <row r="756" spans="1:7" x14ac:dyDescent="0.25">
      <c r="A756" s="2">
        <v>2027</v>
      </c>
      <c r="B756" s="2" t="s">
        <v>70</v>
      </c>
      <c r="C756" s="8">
        <v>27</v>
      </c>
      <c r="D756" s="2">
        <v>1</v>
      </c>
      <c r="E756" s="2">
        <v>1</v>
      </c>
      <c r="F756" s="2">
        <v>3</v>
      </c>
      <c r="G756" s="2">
        <v>3</v>
      </c>
    </row>
    <row r="757" spans="1:7" x14ac:dyDescent="0.25">
      <c r="A757" s="2">
        <v>2027</v>
      </c>
      <c r="B757" s="2" t="s">
        <v>70</v>
      </c>
      <c r="C757" s="8">
        <v>28</v>
      </c>
      <c r="D757" s="2">
        <v>3</v>
      </c>
      <c r="E757" s="2">
        <v>1</v>
      </c>
      <c r="F757" s="2">
        <v>1</v>
      </c>
      <c r="G757" s="2">
        <v>2</v>
      </c>
    </row>
    <row r="758" spans="1:7" x14ac:dyDescent="0.25">
      <c r="A758" s="2">
        <v>2027</v>
      </c>
      <c r="B758" s="2" t="s">
        <v>71</v>
      </c>
      <c r="C758" s="8">
        <v>1</v>
      </c>
      <c r="D758" s="2">
        <v>3</v>
      </c>
      <c r="E758" s="2">
        <v>1</v>
      </c>
      <c r="F758" s="2">
        <v>1</v>
      </c>
      <c r="G758" s="2">
        <v>2</v>
      </c>
    </row>
    <row r="759" spans="1:7" x14ac:dyDescent="0.25">
      <c r="A759" s="2">
        <v>2027</v>
      </c>
      <c r="B759" s="2" t="s">
        <v>71</v>
      </c>
      <c r="C759" s="8">
        <v>2</v>
      </c>
      <c r="D759" s="2">
        <v>1</v>
      </c>
      <c r="E759" s="2">
        <v>3</v>
      </c>
      <c r="F759" s="2">
        <v>2</v>
      </c>
      <c r="G759" s="2">
        <v>1</v>
      </c>
    </row>
    <row r="760" spans="1:7" x14ac:dyDescent="0.25">
      <c r="A760" s="2">
        <v>2027</v>
      </c>
      <c r="B760" s="2" t="s">
        <v>71</v>
      </c>
      <c r="C760" s="8">
        <v>3</v>
      </c>
      <c r="D760" s="2">
        <v>1</v>
      </c>
      <c r="E760" s="2">
        <v>3</v>
      </c>
      <c r="F760" s="2">
        <v>1</v>
      </c>
      <c r="G760" s="2">
        <v>3</v>
      </c>
    </row>
    <row r="761" spans="1:7" x14ac:dyDescent="0.25">
      <c r="A761" s="2">
        <v>2027</v>
      </c>
      <c r="B761" s="2" t="s">
        <v>71</v>
      </c>
      <c r="C761" s="8">
        <v>4</v>
      </c>
      <c r="D761" s="2">
        <v>3</v>
      </c>
      <c r="E761" s="2">
        <v>1</v>
      </c>
      <c r="F761" s="2">
        <v>2</v>
      </c>
      <c r="G761" s="2">
        <v>1</v>
      </c>
    </row>
    <row r="762" spans="1:7" x14ac:dyDescent="0.25">
      <c r="A762" s="2">
        <v>2027</v>
      </c>
      <c r="B762" s="2" t="s">
        <v>71</v>
      </c>
      <c r="C762" s="8">
        <v>5</v>
      </c>
      <c r="D762" s="2">
        <v>1</v>
      </c>
      <c r="E762" s="2">
        <v>1</v>
      </c>
      <c r="F762" s="2">
        <v>3</v>
      </c>
      <c r="G762" s="2">
        <v>3</v>
      </c>
    </row>
    <row r="763" spans="1:7" x14ac:dyDescent="0.25">
      <c r="A763" s="2">
        <v>2027</v>
      </c>
      <c r="B763" s="2" t="s">
        <v>71</v>
      </c>
      <c r="C763" s="8">
        <v>6</v>
      </c>
      <c r="D763" s="2">
        <v>4</v>
      </c>
      <c r="E763" s="2">
        <v>2</v>
      </c>
      <c r="F763" s="2">
        <v>4</v>
      </c>
      <c r="G763" s="2">
        <v>2</v>
      </c>
    </row>
    <row r="764" spans="1:7" x14ac:dyDescent="0.25">
      <c r="A764" s="2">
        <v>2027</v>
      </c>
      <c r="B764" s="2" t="s">
        <v>71</v>
      </c>
      <c r="C764" s="8">
        <v>7</v>
      </c>
      <c r="D764" s="2">
        <v>1</v>
      </c>
      <c r="E764" s="2">
        <v>3</v>
      </c>
      <c r="F764" s="2">
        <v>1</v>
      </c>
      <c r="G764" s="2">
        <v>4</v>
      </c>
    </row>
    <row r="765" spans="1:7" x14ac:dyDescent="0.25">
      <c r="A765" s="2">
        <v>2027</v>
      </c>
      <c r="B765" s="2" t="s">
        <v>71</v>
      </c>
      <c r="C765" s="8">
        <v>8</v>
      </c>
      <c r="D765" s="2">
        <v>1</v>
      </c>
      <c r="E765" s="2">
        <v>3</v>
      </c>
      <c r="F765" s="2">
        <v>2</v>
      </c>
      <c r="G765" s="2">
        <v>2</v>
      </c>
    </row>
    <row r="766" spans="1:7" x14ac:dyDescent="0.25">
      <c r="A766" s="2">
        <v>2027</v>
      </c>
      <c r="B766" s="2" t="s">
        <v>71</v>
      </c>
      <c r="C766" s="8">
        <v>9</v>
      </c>
      <c r="D766" s="2">
        <v>1</v>
      </c>
      <c r="E766" s="2">
        <v>3</v>
      </c>
      <c r="F766" s="2">
        <v>2</v>
      </c>
      <c r="G766" s="2">
        <v>3</v>
      </c>
    </row>
    <row r="767" spans="1:7" x14ac:dyDescent="0.25">
      <c r="A767" s="2">
        <v>2027</v>
      </c>
      <c r="B767" s="2" t="s">
        <v>71</v>
      </c>
      <c r="C767" s="8">
        <v>10</v>
      </c>
      <c r="D767" s="2">
        <v>1</v>
      </c>
      <c r="E767" s="2">
        <v>2</v>
      </c>
      <c r="F767" s="2">
        <v>2</v>
      </c>
      <c r="G767" s="2">
        <v>2</v>
      </c>
    </row>
    <row r="768" spans="1:7" x14ac:dyDescent="0.25">
      <c r="A768" s="2">
        <v>2027</v>
      </c>
      <c r="B768" s="2" t="s">
        <v>71</v>
      </c>
      <c r="C768" s="8">
        <v>11</v>
      </c>
      <c r="D768" s="2">
        <v>3</v>
      </c>
      <c r="E768" s="2">
        <v>1</v>
      </c>
      <c r="F768" s="2">
        <v>2</v>
      </c>
      <c r="G768" s="2">
        <v>1</v>
      </c>
    </row>
    <row r="769" spans="1:7" x14ac:dyDescent="0.25">
      <c r="A769" s="2">
        <v>2027</v>
      </c>
      <c r="B769" s="2" t="s">
        <v>71</v>
      </c>
      <c r="C769" s="8">
        <v>12</v>
      </c>
      <c r="D769" s="2">
        <v>1</v>
      </c>
      <c r="E769" s="2">
        <v>1</v>
      </c>
      <c r="F769" s="2">
        <v>2</v>
      </c>
      <c r="G769" s="2">
        <v>1</v>
      </c>
    </row>
    <row r="770" spans="1:7" x14ac:dyDescent="0.25">
      <c r="A770" s="2">
        <v>2027</v>
      </c>
      <c r="B770" s="2" t="s">
        <v>71</v>
      </c>
      <c r="C770" s="8">
        <v>13</v>
      </c>
      <c r="D770" s="2">
        <v>2</v>
      </c>
      <c r="E770" s="2">
        <v>3</v>
      </c>
      <c r="F770" s="2">
        <v>1</v>
      </c>
      <c r="G770" s="2">
        <v>2</v>
      </c>
    </row>
    <row r="771" spans="1:7" x14ac:dyDescent="0.25">
      <c r="A771" s="2">
        <v>2027</v>
      </c>
      <c r="B771" s="2" t="s">
        <v>71</v>
      </c>
      <c r="C771" s="8">
        <v>14</v>
      </c>
      <c r="D771" s="2">
        <v>1</v>
      </c>
      <c r="E771" s="2">
        <v>2</v>
      </c>
      <c r="F771" s="2">
        <v>1</v>
      </c>
      <c r="G771" s="2">
        <v>1</v>
      </c>
    </row>
    <row r="772" spans="1:7" x14ac:dyDescent="0.25">
      <c r="A772" s="2">
        <v>2027</v>
      </c>
      <c r="B772" s="2" t="s">
        <v>71</v>
      </c>
      <c r="C772" s="8">
        <v>15</v>
      </c>
      <c r="D772" s="2">
        <v>1</v>
      </c>
      <c r="E772" s="2">
        <v>1</v>
      </c>
      <c r="F772" s="2">
        <v>1</v>
      </c>
      <c r="G772" s="2">
        <v>4</v>
      </c>
    </row>
    <row r="773" spans="1:7" x14ac:dyDescent="0.25">
      <c r="A773" s="2">
        <v>2027</v>
      </c>
      <c r="B773" s="2" t="s">
        <v>71</v>
      </c>
      <c r="C773" s="8">
        <v>16</v>
      </c>
      <c r="D773" s="2">
        <v>3</v>
      </c>
      <c r="E773" s="2">
        <v>1</v>
      </c>
      <c r="F773" s="2">
        <v>1</v>
      </c>
      <c r="G773" s="2">
        <v>1</v>
      </c>
    </row>
    <row r="774" spans="1:7" x14ac:dyDescent="0.25">
      <c r="A774" s="2">
        <v>2027</v>
      </c>
      <c r="B774" s="2" t="s">
        <v>71</v>
      </c>
      <c r="C774" s="8">
        <v>17</v>
      </c>
      <c r="D774" s="2">
        <v>4</v>
      </c>
      <c r="E774" s="2">
        <v>3</v>
      </c>
      <c r="F774" s="2">
        <v>2</v>
      </c>
      <c r="G774" s="2">
        <v>2</v>
      </c>
    </row>
    <row r="775" spans="1:7" x14ac:dyDescent="0.25">
      <c r="A775" s="2">
        <v>2027</v>
      </c>
      <c r="B775" s="2" t="s">
        <v>71</v>
      </c>
      <c r="C775" s="8">
        <v>18</v>
      </c>
      <c r="D775" s="2">
        <v>1</v>
      </c>
      <c r="E775" s="2">
        <v>1</v>
      </c>
      <c r="F775" s="2">
        <v>2</v>
      </c>
      <c r="G775" s="2">
        <v>1</v>
      </c>
    </row>
    <row r="776" spans="1:7" x14ac:dyDescent="0.25">
      <c r="A776" s="2">
        <v>2027</v>
      </c>
      <c r="B776" s="2" t="s">
        <v>71</v>
      </c>
      <c r="C776" s="8">
        <v>19</v>
      </c>
      <c r="D776" s="2">
        <v>1</v>
      </c>
      <c r="E776" s="2">
        <v>1</v>
      </c>
      <c r="F776" s="2">
        <v>2</v>
      </c>
      <c r="G776" s="2">
        <v>2</v>
      </c>
    </row>
    <row r="777" spans="1:7" x14ac:dyDescent="0.25">
      <c r="A777" s="2">
        <v>2027</v>
      </c>
      <c r="B777" s="2" t="s">
        <v>71</v>
      </c>
      <c r="C777" s="8">
        <v>20</v>
      </c>
      <c r="D777" s="2">
        <v>1</v>
      </c>
      <c r="E777" s="2">
        <v>2</v>
      </c>
      <c r="F777" s="2">
        <v>2</v>
      </c>
      <c r="G777" s="2">
        <v>1</v>
      </c>
    </row>
    <row r="778" spans="1:7" x14ac:dyDescent="0.25">
      <c r="A778" s="2">
        <v>2027</v>
      </c>
      <c r="B778" s="2" t="s">
        <v>71</v>
      </c>
      <c r="C778" s="8">
        <v>21</v>
      </c>
      <c r="D778" s="2">
        <v>2</v>
      </c>
      <c r="E778" s="2">
        <v>4</v>
      </c>
      <c r="F778" s="2">
        <v>1</v>
      </c>
      <c r="G778" s="2">
        <v>2</v>
      </c>
    </row>
    <row r="779" spans="1:7" x14ac:dyDescent="0.25">
      <c r="A779" s="2">
        <v>2027</v>
      </c>
      <c r="B779" s="2" t="s">
        <v>71</v>
      </c>
      <c r="C779" s="8">
        <v>22</v>
      </c>
      <c r="D779" s="2">
        <v>1</v>
      </c>
      <c r="E779" s="2">
        <v>2</v>
      </c>
      <c r="F779" s="2">
        <v>1</v>
      </c>
      <c r="G779" s="2">
        <v>1</v>
      </c>
    </row>
    <row r="780" spans="1:7" x14ac:dyDescent="0.25">
      <c r="A780" s="2">
        <v>2027</v>
      </c>
      <c r="B780" s="2" t="s">
        <v>71</v>
      </c>
      <c r="C780" s="8">
        <v>23</v>
      </c>
      <c r="D780" s="2">
        <v>2</v>
      </c>
      <c r="E780" s="2">
        <v>2</v>
      </c>
      <c r="F780" s="2">
        <v>4</v>
      </c>
      <c r="G780" s="2">
        <v>3</v>
      </c>
    </row>
    <row r="781" spans="1:7" x14ac:dyDescent="0.25">
      <c r="A781" s="2">
        <v>2027</v>
      </c>
      <c r="B781" s="2" t="s">
        <v>71</v>
      </c>
      <c r="C781" s="8">
        <v>24</v>
      </c>
      <c r="D781" s="2">
        <v>1</v>
      </c>
      <c r="E781" s="2">
        <v>1</v>
      </c>
      <c r="F781" s="2">
        <v>1</v>
      </c>
      <c r="G781" s="2">
        <v>1</v>
      </c>
    </row>
    <row r="782" spans="1:7" x14ac:dyDescent="0.25">
      <c r="A782" s="2">
        <v>2027</v>
      </c>
      <c r="B782" s="2" t="s">
        <v>71</v>
      </c>
      <c r="C782" s="8">
        <v>25</v>
      </c>
      <c r="D782" s="2">
        <v>3</v>
      </c>
      <c r="E782" s="2">
        <v>1</v>
      </c>
      <c r="F782" s="2">
        <v>2</v>
      </c>
      <c r="G782" s="2">
        <v>3</v>
      </c>
    </row>
    <row r="783" spans="1:7" x14ac:dyDescent="0.25">
      <c r="A783" s="2">
        <v>2027</v>
      </c>
      <c r="B783" s="2" t="s">
        <v>71</v>
      </c>
      <c r="C783" s="8">
        <v>26</v>
      </c>
      <c r="D783" s="2">
        <v>2</v>
      </c>
      <c r="E783" s="2">
        <v>1</v>
      </c>
      <c r="F783" s="2">
        <v>1</v>
      </c>
      <c r="G783" s="2">
        <v>1</v>
      </c>
    </row>
    <row r="784" spans="1:7" x14ac:dyDescent="0.25">
      <c r="A784" s="2">
        <v>2027</v>
      </c>
      <c r="B784" s="2" t="s">
        <v>71</v>
      </c>
      <c r="C784" s="8">
        <v>27</v>
      </c>
      <c r="D784" s="2">
        <v>3</v>
      </c>
      <c r="E784" s="2">
        <v>2</v>
      </c>
      <c r="F784" s="2">
        <v>4</v>
      </c>
      <c r="G784" s="2">
        <v>1</v>
      </c>
    </row>
    <row r="785" spans="1:7" x14ac:dyDescent="0.25">
      <c r="A785" s="2">
        <v>2027</v>
      </c>
      <c r="B785" s="2" t="s">
        <v>71</v>
      </c>
      <c r="C785" s="8">
        <v>28</v>
      </c>
      <c r="D785" s="2">
        <v>2</v>
      </c>
      <c r="E785" s="2">
        <v>2</v>
      </c>
      <c r="F785" s="2">
        <v>2</v>
      </c>
      <c r="G785" s="2">
        <v>1</v>
      </c>
    </row>
    <row r="786" spans="1:7" x14ac:dyDescent="0.25">
      <c r="A786" s="2">
        <v>2027</v>
      </c>
      <c r="B786" s="2" t="s">
        <v>72</v>
      </c>
      <c r="C786" s="8">
        <v>1</v>
      </c>
      <c r="D786" s="2">
        <v>2</v>
      </c>
      <c r="E786" s="2">
        <v>4</v>
      </c>
      <c r="F786" s="2">
        <v>1</v>
      </c>
      <c r="G786" s="2">
        <v>3</v>
      </c>
    </row>
    <row r="787" spans="1:7" x14ac:dyDescent="0.25">
      <c r="A787" s="2">
        <v>2027</v>
      </c>
      <c r="B787" s="2" t="s">
        <v>72</v>
      </c>
      <c r="C787" s="8">
        <v>2</v>
      </c>
      <c r="D787" s="2">
        <v>3</v>
      </c>
      <c r="E787" s="2">
        <v>3</v>
      </c>
      <c r="F787" s="2">
        <v>1</v>
      </c>
      <c r="G787" s="2">
        <v>1</v>
      </c>
    </row>
    <row r="788" spans="1:7" x14ac:dyDescent="0.25">
      <c r="A788" s="2">
        <v>2027</v>
      </c>
      <c r="B788" s="2" t="s">
        <v>72</v>
      </c>
      <c r="C788" s="8">
        <v>3</v>
      </c>
      <c r="D788" s="2">
        <v>1</v>
      </c>
      <c r="E788" s="2">
        <v>4</v>
      </c>
      <c r="F788" s="2">
        <v>2</v>
      </c>
      <c r="G788" s="2">
        <v>2</v>
      </c>
    </row>
    <row r="789" spans="1:7" x14ac:dyDescent="0.25">
      <c r="A789" s="2">
        <v>2027</v>
      </c>
      <c r="B789" s="2" t="s">
        <v>72</v>
      </c>
      <c r="C789" s="8">
        <v>4</v>
      </c>
      <c r="D789" s="2">
        <v>1</v>
      </c>
      <c r="E789" s="2">
        <v>2</v>
      </c>
      <c r="F789" s="2">
        <v>2</v>
      </c>
      <c r="G789" s="2">
        <v>1</v>
      </c>
    </row>
    <row r="790" spans="1:7" x14ac:dyDescent="0.25">
      <c r="A790" s="2">
        <v>2027</v>
      </c>
      <c r="B790" s="2" t="s">
        <v>72</v>
      </c>
      <c r="C790" s="8">
        <v>5</v>
      </c>
      <c r="D790" s="2">
        <v>3</v>
      </c>
      <c r="E790" s="2">
        <v>1</v>
      </c>
      <c r="F790" s="2">
        <v>4</v>
      </c>
      <c r="G790" s="2">
        <v>2</v>
      </c>
    </row>
    <row r="791" spans="1:7" x14ac:dyDescent="0.25">
      <c r="A791" s="2">
        <v>2027</v>
      </c>
      <c r="B791" s="2" t="s">
        <v>72</v>
      </c>
      <c r="C791" s="8">
        <v>6</v>
      </c>
      <c r="D791" s="2">
        <v>2</v>
      </c>
      <c r="E791" s="2">
        <v>2</v>
      </c>
      <c r="F791" s="2">
        <v>1</v>
      </c>
      <c r="G791" s="2">
        <v>1</v>
      </c>
    </row>
    <row r="792" spans="1:7" x14ac:dyDescent="0.25">
      <c r="A792" s="2">
        <v>2027</v>
      </c>
      <c r="B792" s="2" t="s">
        <v>72</v>
      </c>
      <c r="C792" s="8">
        <v>7</v>
      </c>
      <c r="D792" s="2">
        <v>3</v>
      </c>
      <c r="E792" s="2">
        <v>1</v>
      </c>
      <c r="F792" s="2">
        <v>2</v>
      </c>
      <c r="G792" s="2">
        <v>2</v>
      </c>
    </row>
    <row r="793" spans="1:7" x14ac:dyDescent="0.25">
      <c r="A793" s="2">
        <v>2027</v>
      </c>
      <c r="B793" s="2" t="s">
        <v>72</v>
      </c>
      <c r="C793" s="8">
        <v>8</v>
      </c>
      <c r="D793" s="2">
        <v>3</v>
      </c>
      <c r="E793" s="2">
        <v>2</v>
      </c>
      <c r="F793" s="2">
        <v>2</v>
      </c>
      <c r="G793" s="2">
        <v>2</v>
      </c>
    </row>
    <row r="794" spans="1:7" x14ac:dyDescent="0.25">
      <c r="A794" s="2">
        <v>2027</v>
      </c>
      <c r="B794" s="2" t="s">
        <v>72</v>
      </c>
      <c r="C794" s="8">
        <v>9</v>
      </c>
      <c r="D794" s="2">
        <v>2</v>
      </c>
      <c r="E794" s="2">
        <v>4</v>
      </c>
      <c r="F794" s="2">
        <v>3</v>
      </c>
      <c r="G794" s="2">
        <v>1</v>
      </c>
    </row>
    <row r="795" spans="1:7" x14ac:dyDescent="0.25">
      <c r="A795" s="2">
        <v>2027</v>
      </c>
      <c r="B795" s="2" t="s">
        <v>72</v>
      </c>
      <c r="C795" s="8">
        <v>10</v>
      </c>
      <c r="D795" s="2">
        <v>2</v>
      </c>
      <c r="E795" s="2">
        <v>3</v>
      </c>
      <c r="F795" s="2">
        <v>1</v>
      </c>
      <c r="G795" s="2">
        <v>4</v>
      </c>
    </row>
    <row r="796" spans="1:7" x14ac:dyDescent="0.25">
      <c r="A796" s="2">
        <v>2027</v>
      </c>
      <c r="B796" s="2" t="s">
        <v>72</v>
      </c>
      <c r="C796" s="8">
        <v>11</v>
      </c>
      <c r="D796" s="2">
        <v>2</v>
      </c>
      <c r="E796" s="2">
        <v>4</v>
      </c>
      <c r="F796" s="2">
        <v>3</v>
      </c>
      <c r="G796" s="2">
        <v>1</v>
      </c>
    </row>
    <row r="797" spans="1:7" x14ac:dyDescent="0.25">
      <c r="A797" s="2">
        <v>2027</v>
      </c>
      <c r="B797" s="2" t="s">
        <v>72</v>
      </c>
      <c r="C797" s="8">
        <v>12</v>
      </c>
      <c r="D797" s="2">
        <v>1</v>
      </c>
      <c r="E797" s="2">
        <v>1</v>
      </c>
      <c r="F797" s="2">
        <v>1</v>
      </c>
      <c r="G797" s="2">
        <v>2</v>
      </c>
    </row>
    <row r="798" spans="1:7" x14ac:dyDescent="0.25">
      <c r="A798" s="2">
        <v>2027</v>
      </c>
      <c r="B798" s="2" t="s">
        <v>72</v>
      </c>
      <c r="C798" s="8">
        <v>13</v>
      </c>
      <c r="D798" s="2">
        <v>2</v>
      </c>
      <c r="E798" s="2">
        <v>2</v>
      </c>
      <c r="F798" s="2">
        <v>2</v>
      </c>
      <c r="G798" s="2">
        <v>2</v>
      </c>
    </row>
    <row r="799" spans="1:7" x14ac:dyDescent="0.25">
      <c r="A799" s="2">
        <v>2027</v>
      </c>
      <c r="B799" s="2" t="s">
        <v>72</v>
      </c>
      <c r="C799" s="8">
        <v>14</v>
      </c>
      <c r="D799" s="2">
        <v>2</v>
      </c>
      <c r="E799" s="2">
        <v>3</v>
      </c>
      <c r="F799" s="2">
        <v>2</v>
      </c>
      <c r="G799" s="2">
        <v>2</v>
      </c>
    </row>
    <row r="800" spans="1:7" x14ac:dyDescent="0.25">
      <c r="A800" s="2">
        <v>2027</v>
      </c>
      <c r="B800" s="2" t="s">
        <v>72</v>
      </c>
      <c r="C800" s="8">
        <v>15</v>
      </c>
      <c r="D800" s="2">
        <v>1</v>
      </c>
      <c r="E800" s="2">
        <v>2</v>
      </c>
      <c r="F800" s="2">
        <v>1</v>
      </c>
      <c r="G800" s="2">
        <v>3</v>
      </c>
    </row>
    <row r="801" spans="1:7" x14ac:dyDescent="0.25">
      <c r="A801" s="2">
        <v>2027</v>
      </c>
      <c r="B801" s="2" t="s">
        <v>72</v>
      </c>
      <c r="C801" s="8">
        <v>16</v>
      </c>
      <c r="D801" s="2">
        <v>2</v>
      </c>
      <c r="E801" s="2">
        <v>2</v>
      </c>
      <c r="F801" s="2">
        <v>1</v>
      </c>
      <c r="G801" s="2">
        <v>1</v>
      </c>
    </row>
    <row r="802" spans="1:7" x14ac:dyDescent="0.25">
      <c r="A802" s="2">
        <v>2027</v>
      </c>
      <c r="B802" s="2" t="s">
        <v>72</v>
      </c>
      <c r="C802" s="8">
        <v>17</v>
      </c>
      <c r="D802" s="2">
        <v>1</v>
      </c>
      <c r="E802" s="2">
        <v>1</v>
      </c>
      <c r="F802" s="2">
        <v>1</v>
      </c>
      <c r="G802" s="2">
        <v>1</v>
      </c>
    </row>
    <row r="803" spans="1:7" x14ac:dyDescent="0.25">
      <c r="A803" s="2">
        <v>2027</v>
      </c>
      <c r="B803" s="2" t="s">
        <v>72</v>
      </c>
      <c r="C803" s="8">
        <v>18</v>
      </c>
      <c r="D803" s="2">
        <v>1</v>
      </c>
      <c r="E803" s="2">
        <v>2</v>
      </c>
      <c r="F803" s="2">
        <v>3</v>
      </c>
      <c r="G803" s="2">
        <v>1</v>
      </c>
    </row>
    <row r="804" spans="1:7" x14ac:dyDescent="0.25">
      <c r="A804" s="2">
        <v>2027</v>
      </c>
      <c r="B804" s="2" t="s">
        <v>72</v>
      </c>
      <c r="C804" s="8">
        <v>19</v>
      </c>
      <c r="D804" s="2">
        <v>1</v>
      </c>
      <c r="E804" s="2">
        <v>1</v>
      </c>
      <c r="F804" s="2">
        <v>3</v>
      </c>
      <c r="G804" s="2">
        <v>3</v>
      </c>
    </row>
    <row r="805" spans="1:7" x14ac:dyDescent="0.25">
      <c r="A805" s="2">
        <v>2027</v>
      </c>
      <c r="B805" s="2" t="s">
        <v>72</v>
      </c>
      <c r="C805" s="8">
        <v>20</v>
      </c>
      <c r="D805" s="2">
        <v>1</v>
      </c>
      <c r="E805" s="2">
        <v>2</v>
      </c>
      <c r="F805" s="2">
        <v>3</v>
      </c>
      <c r="G805" s="2">
        <v>3</v>
      </c>
    </row>
    <row r="806" spans="1:7" x14ac:dyDescent="0.25">
      <c r="A806" s="2">
        <v>2027</v>
      </c>
      <c r="B806" s="2" t="s">
        <v>72</v>
      </c>
      <c r="C806" s="8">
        <v>21</v>
      </c>
      <c r="D806" s="2">
        <v>1</v>
      </c>
      <c r="E806" s="2">
        <v>2</v>
      </c>
      <c r="F806" s="2">
        <v>4</v>
      </c>
      <c r="G806" s="2">
        <v>1</v>
      </c>
    </row>
    <row r="807" spans="1:7" x14ac:dyDescent="0.25">
      <c r="A807" s="2">
        <v>2027</v>
      </c>
      <c r="B807" s="2" t="s">
        <v>72</v>
      </c>
      <c r="C807" s="8">
        <v>22</v>
      </c>
      <c r="D807" s="2">
        <v>4</v>
      </c>
      <c r="E807" s="2">
        <v>4</v>
      </c>
      <c r="F807" s="2">
        <v>1</v>
      </c>
      <c r="G807" s="2">
        <v>2</v>
      </c>
    </row>
    <row r="808" spans="1:7" x14ac:dyDescent="0.25">
      <c r="A808" s="2">
        <v>2027</v>
      </c>
      <c r="B808" s="2" t="s">
        <v>72</v>
      </c>
      <c r="C808" s="8">
        <v>23</v>
      </c>
      <c r="D808" s="2">
        <v>2</v>
      </c>
      <c r="E808" s="2">
        <v>2</v>
      </c>
      <c r="F808" s="2">
        <v>2</v>
      </c>
      <c r="G808" s="2">
        <v>1</v>
      </c>
    </row>
    <row r="809" spans="1:7" x14ac:dyDescent="0.25">
      <c r="A809" s="2">
        <v>2027</v>
      </c>
      <c r="B809" s="2" t="s">
        <v>72</v>
      </c>
      <c r="C809" s="8">
        <v>24</v>
      </c>
      <c r="D809" s="2">
        <v>3</v>
      </c>
      <c r="E809" s="2">
        <v>1</v>
      </c>
      <c r="F809" s="2">
        <v>4</v>
      </c>
      <c r="G809" s="2">
        <v>2</v>
      </c>
    </row>
    <row r="810" spans="1:7" x14ac:dyDescent="0.25">
      <c r="A810" s="2">
        <v>2027</v>
      </c>
      <c r="B810" s="2" t="s">
        <v>72</v>
      </c>
      <c r="C810" s="8">
        <v>25</v>
      </c>
      <c r="D810" s="2">
        <v>2</v>
      </c>
      <c r="E810" s="2">
        <v>1</v>
      </c>
      <c r="F810" s="2">
        <v>1</v>
      </c>
      <c r="G810" s="2">
        <v>2</v>
      </c>
    </row>
    <row r="811" spans="1:7" x14ac:dyDescent="0.25">
      <c r="A811" s="2">
        <v>2027</v>
      </c>
      <c r="B811" s="2" t="s">
        <v>72</v>
      </c>
      <c r="C811" s="8">
        <v>26</v>
      </c>
      <c r="D811" s="2">
        <v>2</v>
      </c>
      <c r="E811" s="2">
        <v>1</v>
      </c>
      <c r="F811" s="2">
        <v>2</v>
      </c>
      <c r="G811" s="2">
        <v>2</v>
      </c>
    </row>
    <row r="812" spans="1:7" x14ac:dyDescent="0.25">
      <c r="A812" s="2">
        <v>2027</v>
      </c>
      <c r="B812" s="2" t="s">
        <v>72</v>
      </c>
      <c r="C812" s="8">
        <v>27</v>
      </c>
      <c r="D812" s="2">
        <v>1</v>
      </c>
      <c r="E812" s="2">
        <v>2</v>
      </c>
      <c r="F812" s="2">
        <v>2</v>
      </c>
      <c r="G812" s="2">
        <v>2</v>
      </c>
    </row>
    <row r="813" spans="1:7" x14ac:dyDescent="0.25">
      <c r="A813" s="2">
        <v>2027</v>
      </c>
      <c r="B813" s="2" t="s">
        <v>72</v>
      </c>
      <c r="C813" s="8">
        <v>28</v>
      </c>
      <c r="D813" s="2">
        <v>1</v>
      </c>
      <c r="E813" s="2">
        <v>2</v>
      </c>
      <c r="F813" s="2">
        <v>1</v>
      </c>
      <c r="G813" s="2">
        <v>4</v>
      </c>
    </row>
    <row r="814" spans="1:7" x14ac:dyDescent="0.25">
      <c r="A814" s="2">
        <v>2027</v>
      </c>
      <c r="B814" s="2" t="s">
        <v>73</v>
      </c>
      <c r="C814" s="8">
        <v>1</v>
      </c>
      <c r="D814" s="2">
        <v>1</v>
      </c>
      <c r="E814" s="2">
        <v>4</v>
      </c>
      <c r="F814" s="2">
        <v>2</v>
      </c>
      <c r="G814" s="2">
        <v>4</v>
      </c>
    </row>
    <row r="815" spans="1:7" x14ac:dyDescent="0.25">
      <c r="A815" s="2">
        <v>2027</v>
      </c>
      <c r="B815" s="2" t="s">
        <v>73</v>
      </c>
      <c r="C815" s="8">
        <v>2</v>
      </c>
      <c r="D815" s="2">
        <v>2</v>
      </c>
      <c r="E815" s="2">
        <v>1</v>
      </c>
      <c r="F815" s="2">
        <v>3</v>
      </c>
      <c r="G815" s="2">
        <v>3</v>
      </c>
    </row>
    <row r="816" spans="1:7" x14ac:dyDescent="0.25">
      <c r="A816" s="2">
        <v>2027</v>
      </c>
      <c r="B816" s="2" t="s">
        <v>73</v>
      </c>
      <c r="C816" s="8">
        <v>3</v>
      </c>
      <c r="D816" s="2">
        <v>4</v>
      </c>
      <c r="E816" s="2">
        <v>2</v>
      </c>
      <c r="F816" s="2">
        <v>2</v>
      </c>
      <c r="G816" s="2">
        <v>3</v>
      </c>
    </row>
    <row r="817" spans="1:7" x14ac:dyDescent="0.25">
      <c r="A817" s="2">
        <v>2027</v>
      </c>
      <c r="B817" s="2" t="s">
        <v>73</v>
      </c>
      <c r="C817" s="8">
        <v>4</v>
      </c>
      <c r="D817" s="2">
        <v>1</v>
      </c>
      <c r="E817" s="2">
        <v>3</v>
      </c>
      <c r="F817" s="2">
        <v>1</v>
      </c>
      <c r="G817" s="2">
        <v>2</v>
      </c>
    </row>
    <row r="818" spans="1:7" x14ac:dyDescent="0.25">
      <c r="A818" s="2">
        <v>2027</v>
      </c>
      <c r="B818" s="2" t="s">
        <v>73</v>
      </c>
      <c r="C818" s="8">
        <v>5</v>
      </c>
      <c r="D818" s="2">
        <v>1</v>
      </c>
      <c r="E818" s="2">
        <v>1</v>
      </c>
      <c r="F818" s="2">
        <v>1</v>
      </c>
      <c r="G818" s="2">
        <v>3</v>
      </c>
    </row>
    <row r="819" spans="1:7" x14ac:dyDescent="0.25">
      <c r="A819" s="2">
        <v>2027</v>
      </c>
      <c r="B819" s="2" t="s">
        <v>73</v>
      </c>
      <c r="C819" s="8">
        <v>6</v>
      </c>
      <c r="D819" s="2">
        <v>2</v>
      </c>
      <c r="E819" s="2">
        <v>3</v>
      </c>
      <c r="F819" s="2">
        <v>2</v>
      </c>
      <c r="G819" s="2">
        <v>3</v>
      </c>
    </row>
    <row r="820" spans="1:7" x14ac:dyDescent="0.25">
      <c r="A820" s="2">
        <v>2027</v>
      </c>
      <c r="B820" s="2" t="s">
        <v>73</v>
      </c>
      <c r="C820" s="8">
        <v>7</v>
      </c>
      <c r="D820" s="2">
        <v>3</v>
      </c>
      <c r="E820" s="2">
        <v>4</v>
      </c>
      <c r="F820" s="2">
        <v>2</v>
      </c>
      <c r="G820" s="2">
        <v>2</v>
      </c>
    </row>
    <row r="821" spans="1:7" x14ac:dyDescent="0.25">
      <c r="A821" s="2">
        <v>2027</v>
      </c>
      <c r="B821" s="2" t="s">
        <v>73</v>
      </c>
      <c r="C821" s="8">
        <v>8</v>
      </c>
      <c r="D821" s="2">
        <v>2</v>
      </c>
      <c r="E821" s="2">
        <v>1</v>
      </c>
      <c r="F821" s="2">
        <v>3</v>
      </c>
      <c r="G821" s="2">
        <v>3</v>
      </c>
    </row>
    <row r="822" spans="1:7" x14ac:dyDescent="0.25">
      <c r="A822" s="2">
        <v>2027</v>
      </c>
      <c r="B822" s="2" t="s">
        <v>73</v>
      </c>
      <c r="C822" s="8">
        <v>9</v>
      </c>
      <c r="D822" s="2">
        <v>1</v>
      </c>
      <c r="E822" s="2">
        <v>3</v>
      </c>
      <c r="F822" s="2">
        <v>2</v>
      </c>
      <c r="G822" s="2">
        <v>3</v>
      </c>
    </row>
    <row r="823" spans="1:7" x14ac:dyDescent="0.25">
      <c r="A823" s="2">
        <v>2027</v>
      </c>
      <c r="B823" s="2" t="s">
        <v>73</v>
      </c>
      <c r="C823" s="8">
        <v>10</v>
      </c>
      <c r="D823" s="2">
        <v>4</v>
      </c>
      <c r="E823" s="2">
        <v>1</v>
      </c>
      <c r="F823" s="2">
        <v>3</v>
      </c>
      <c r="G823" s="2">
        <v>1</v>
      </c>
    </row>
    <row r="824" spans="1:7" x14ac:dyDescent="0.25">
      <c r="A824" s="2">
        <v>2027</v>
      </c>
      <c r="B824" s="2" t="s">
        <v>73</v>
      </c>
      <c r="C824" s="8">
        <v>11</v>
      </c>
      <c r="D824" s="2">
        <v>3</v>
      </c>
      <c r="E824" s="2">
        <v>2</v>
      </c>
      <c r="F824" s="2">
        <v>3</v>
      </c>
      <c r="G824" s="2">
        <v>2</v>
      </c>
    </row>
    <row r="825" spans="1:7" x14ac:dyDescent="0.25">
      <c r="A825" s="2">
        <v>2027</v>
      </c>
      <c r="B825" s="2" t="s">
        <v>73</v>
      </c>
      <c r="C825" s="8">
        <v>12</v>
      </c>
      <c r="D825" s="2">
        <v>3</v>
      </c>
      <c r="E825" s="2">
        <v>4</v>
      </c>
      <c r="F825" s="2">
        <v>3</v>
      </c>
      <c r="G825" s="2">
        <v>1</v>
      </c>
    </row>
    <row r="826" spans="1:7" x14ac:dyDescent="0.25">
      <c r="A826" s="2">
        <v>2027</v>
      </c>
      <c r="B826" s="2" t="s">
        <v>73</v>
      </c>
      <c r="C826" s="8">
        <v>13</v>
      </c>
      <c r="D826" s="2">
        <v>3</v>
      </c>
      <c r="E826" s="2">
        <v>2</v>
      </c>
      <c r="F826" s="2">
        <v>4</v>
      </c>
      <c r="G826" s="2">
        <v>2</v>
      </c>
    </row>
    <row r="827" spans="1:7" x14ac:dyDescent="0.25">
      <c r="A827" s="2">
        <v>2027</v>
      </c>
      <c r="B827" s="2" t="s">
        <v>73</v>
      </c>
      <c r="C827" s="8">
        <v>14</v>
      </c>
      <c r="D827" s="2">
        <v>2</v>
      </c>
      <c r="E827" s="2">
        <v>1</v>
      </c>
      <c r="F827" s="2">
        <v>1</v>
      </c>
      <c r="G827" s="2">
        <v>1</v>
      </c>
    </row>
    <row r="828" spans="1:7" x14ac:dyDescent="0.25">
      <c r="A828" s="2">
        <v>2027</v>
      </c>
      <c r="B828" s="2" t="s">
        <v>73</v>
      </c>
      <c r="C828" s="8">
        <v>15</v>
      </c>
      <c r="D828" s="2">
        <v>1</v>
      </c>
      <c r="E828" s="2">
        <v>4</v>
      </c>
      <c r="F828" s="2">
        <v>4</v>
      </c>
      <c r="G828" s="2">
        <v>3</v>
      </c>
    </row>
    <row r="829" spans="1:7" x14ac:dyDescent="0.25">
      <c r="A829" s="2">
        <v>2027</v>
      </c>
      <c r="B829" s="2" t="s">
        <v>73</v>
      </c>
      <c r="C829" s="8">
        <v>16</v>
      </c>
      <c r="D829" s="2">
        <v>2</v>
      </c>
      <c r="E829" s="2">
        <v>1</v>
      </c>
      <c r="F829" s="2">
        <v>2</v>
      </c>
      <c r="G829" s="2">
        <v>3</v>
      </c>
    </row>
    <row r="830" spans="1:7" x14ac:dyDescent="0.25">
      <c r="A830" s="2">
        <v>2027</v>
      </c>
      <c r="B830" s="2" t="s">
        <v>73</v>
      </c>
      <c r="C830" s="8">
        <v>17</v>
      </c>
      <c r="D830" s="2">
        <v>2</v>
      </c>
      <c r="E830" s="2">
        <v>3</v>
      </c>
      <c r="F830" s="2">
        <v>1</v>
      </c>
      <c r="G830" s="2">
        <v>1</v>
      </c>
    </row>
    <row r="831" spans="1:7" x14ac:dyDescent="0.25">
      <c r="A831" s="2">
        <v>2027</v>
      </c>
      <c r="B831" s="2" t="s">
        <v>73</v>
      </c>
      <c r="C831" s="8">
        <v>18</v>
      </c>
      <c r="D831" s="2">
        <v>2</v>
      </c>
      <c r="E831" s="2">
        <v>1</v>
      </c>
      <c r="F831" s="2">
        <v>1</v>
      </c>
      <c r="G831" s="2">
        <v>4</v>
      </c>
    </row>
    <row r="832" spans="1:7" x14ac:dyDescent="0.25">
      <c r="A832" s="2">
        <v>2027</v>
      </c>
      <c r="B832" s="2" t="s">
        <v>73</v>
      </c>
      <c r="C832" s="8">
        <v>19</v>
      </c>
      <c r="D832" s="2">
        <v>1</v>
      </c>
      <c r="E832" s="2">
        <v>1</v>
      </c>
      <c r="F832" s="2">
        <v>4</v>
      </c>
      <c r="G832" s="2">
        <v>1</v>
      </c>
    </row>
    <row r="833" spans="1:7" x14ac:dyDescent="0.25">
      <c r="A833" s="2">
        <v>2027</v>
      </c>
      <c r="B833" s="2" t="s">
        <v>73</v>
      </c>
      <c r="C833" s="8">
        <v>20</v>
      </c>
      <c r="D833" s="2">
        <v>4</v>
      </c>
      <c r="E833" s="2">
        <v>2</v>
      </c>
      <c r="F833" s="2">
        <v>3</v>
      </c>
      <c r="G833" s="2">
        <v>1</v>
      </c>
    </row>
    <row r="834" spans="1:7" x14ac:dyDescent="0.25">
      <c r="A834" s="2">
        <v>2027</v>
      </c>
      <c r="B834" s="2" t="s">
        <v>73</v>
      </c>
      <c r="C834" s="8">
        <v>21</v>
      </c>
      <c r="D834" s="2">
        <v>4</v>
      </c>
      <c r="E834" s="2">
        <v>4</v>
      </c>
      <c r="F834" s="2">
        <v>1</v>
      </c>
      <c r="G834" s="2">
        <v>1</v>
      </c>
    </row>
    <row r="835" spans="1:7" x14ac:dyDescent="0.25">
      <c r="A835" s="2">
        <v>2027</v>
      </c>
      <c r="B835" s="2" t="s">
        <v>73</v>
      </c>
      <c r="C835" s="8">
        <v>22</v>
      </c>
      <c r="D835" s="2">
        <v>4</v>
      </c>
      <c r="E835" s="2">
        <v>2</v>
      </c>
      <c r="F835" s="2">
        <v>2</v>
      </c>
      <c r="G835" s="2">
        <v>2</v>
      </c>
    </row>
    <row r="836" spans="1:7" x14ac:dyDescent="0.25">
      <c r="A836" s="2">
        <v>2027</v>
      </c>
      <c r="B836" s="2" t="s">
        <v>73</v>
      </c>
      <c r="C836" s="8">
        <v>23</v>
      </c>
      <c r="D836" s="2">
        <v>3</v>
      </c>
      <c r="E836" s="2">
        <v>2</v>
      </c>
      <c r="F836" s="2">
        <v>2</v>
      </c>
      <c r="G836" s="2">
        <v>1</v>
      </c>
    </row>
    <row r="837" spans="1:7" x14ac:dyDescent="0.25">
      <c r="A837" s="2">
        <v>2027</v>
      </c>
      <c r="B837" s="2" t="s">
        <v>73</v>
      </c>
      <c r="C837" s="8">
        <v>24</v>
      </c>
      <c r="D837" s="2">
        <v>1</v>
      </c>
      <c r="E837" s="2">
        <v>3</v>
      </c>
      <c r="F837" s="2">
        <v>1</v>
      </c>
      <c r="G837" s="2">
        <v>3</v>
      </c>
    </row>
    <row r="838" spans="1:7" x14ac:dyDescent="0.25">
      <c r="A838" s="2">
        <v>2027</v>
      </c>
      <c r="B838" s="2" t="s">
        <v>73</v>
      </c>
      <c r="C838" s="8">
        <v>25</v>
      </c>
      <c r="D838" s="2">
        <v>1</v>
      </c>
      <c r="E838" s="2">
        <v>1</v>
      </c>
      <c r="F838" s="2">
        <v>2</v>
      </c>
      <c r="G838" s="2">
        <v>4</v>
      </c>
    </row>
    <row r="839" spans="1:7" x14ac:dyDescent="0.25">
      <c r="A839" s="2">
        <v>2027</v>
      </c>
      <c r="B839" s="2" t="s">
        <v>73</v>
      </c>
      <c r="C839" s="8">
        <v>26</v>
      </c>
      <c r="D839" s="2">
        <v>3</v>
      </c>
      <c r="E839" s="2">
        <v>1</v>
      </c>
      <c r="F839" s="2">
        <v>3</v>
      </c>
      <c r="G839" s="2">
        <v>3</v>
      </c>
    </row>
    <row r="840" spans="1:7" x14ac:dyDescent="0.25">
      <c r="A840" s="2">
        <v>2027</v>
      </c>
      <c r="B840" s="2" t="s">
        <v>73</v>
      </c>
      <c r="C840" s="8">
        <v>27</v>
      </c>
      <c r="D840" s="2">
        <v>3</v>
      </c>
      <c r="E840" s="2">
        <v>2</v>
      </c>
      <c r="F840" s="2">
        <v>1</v>
      </c>
      <c r="G840" s="2">
        <v>1</v>
      </c>
    </row>
    <row r="841" spans="1:7" x14ac:dyDescent="0.25">
      <c r="A841" s="2">
        <v>2027</v>
      </c>
      <c r="B841" s="2" t="s">
        <v>73</v>
      </c>
      <c r="C841" s="8">
        <v>28</v>
      </c>
      <c r="D841" s="2">
        <v>1</v>
      </c>
      <c r="E841" s="2">
        <v>1</v>
      </c>
      <c r="F841" s="2">
        <v>2</v>
      </c>
      <c r="G841" s="2">
        <v>4</v>
      </c>
    </row>
    <row r="842" spans="1:7" x14ac:dyDescent="0.25">
      <c r="A842" s="2">
        <v>2027</v>
      </c>
      <c r="B842" s="2" t="s">
        <v>74</v>
      </c>
      <c r="C842" s="8">
        <v>1</v>
      </c>
      <c r="D842" s="2">
        <v>2</v>
      </c>
      <c r="E842" s="2">
        <v>1</v>
      </c>
      <c r="F842" s="2">
        <v>1</v>
      </c>
      <c r="G842" s="2">
        <v>4</v>
      </c>
    </row>
    <row r="843" spans="1:7" x14ac:dyDescent="0.25">
      <c r="A843" s="2">
        <v>2027</v>
      </c>
      <c r="B843" s="2" t="s">
        <v>74</v>
      </c>
      <c r="C843" s="8">
        <v>2</v>
      </c>
      <c r="D843" s="2">
        <v>3</v>
      </c>
      <c r="E843" s="2">
        <v>3</v>
      </c>
      <c r="F843" s="2">
        <v>1</v>
      </c>
      <c r="G843" s="2">
        <v>1</v>
      </c>
    </row>
    <row r="844" spans="1:7" x14ac:dyDescent="0.25">
      <c r="A844" s="2">
        <v>2027</v>
      </c>
      <c r="B844" s="2" t="s">
        <v>74</v>
      </c>
      <c r="C844" s="8">
        <v>3</v>
      </c>
      <c r="D844" s="2">
        <v>1</v>
      </c>
      <c r="E844" s="2">
        <v>3</v>
      </c>
      <c r="F844" s="2">
        <v>4</v>
      </c>
      <c r="G844" s="2">
        <v>2</v>
      </c>
    </row>
    <row r="845" spans="1:7" x14ac:dyDescent="0.25">
      <c r="A845" s="2">
        <v>2027</v>
      </c>
      <c r="B845" s="2" t="s">
        <v>74</v>
      </c>
      <c r="C845" s="8">
        <v>4</v>
      </c>
      <c r="D845" s="2">
        <v>2</v>
      </c>
      <c r="E845" s="2">
        <v>2</v>
      </c>
      <c r="F845" s="2">
        <v>3</v>
      </c>
      <c r="G845" s="2">
        <v>1</v>
      </c>
    </row>
    <row r="846" spans="1:7" x14ac:dyDescent="0.25">
      <c r="A846" s="2">
        <v>2027</v>
      </c>
      <c r="B846" s="2" t="s">
        <v>74</v>
      </c>
      <c r="C846" s="8">
        <v>5</v>
      </c>
      <c r="D846" s="2">
        <v>3</v>
      </c>
      <c r="E846" s="2">
        <v>1</v>
      </c>
      <c r="F846" s="2">
        <v>2</v>
      </c>
      <c r="G846" s="2">
        <v>2</v>
      </c>
    </row>
    <row r="847" spans="1:7" x14ac:dyDescent="0.25">
      <c r="A847" s="2">
        <v>2027</v>
      </c>
      <c r="B847" s="2" t="s">
        <v>74</v>
      </c>
      <c r="C847" s="8">
        <v>6</v>
      </c>
      <c r="D847" s="2">
        <v>1</v>
      </c>
      <c r="E847" s="2">
        <v>1</v>
      </c>
      <c r="F847" s="2">
        <v>2</v>
      </c>
      <c r="G847" s="2">
        <v>1</v>
      </c>
    </row>
    <row r="848" spans="1:7" x14ac:dyDescent="0.25">
      <c r="A848" s="2">
        <v>2027</v>
      </c>
      <c r="B848" s="2" t="s">
        <v>74</v>
      </c>
      <c r="C848" s="8">
        <v>7</v>
      </c>
      <c r="D848" s="2">
        <v>2</v>
      </c>
      <c r="E848" s="2">
        <v>2</v>
      </c>
      <c r="F848" s="2">
        <v>3</v>
      </c>
      <c r="G848" s="2">
        <v>1</v>
      </c>
    </row>
    <row r="849" spans="1:7" x14ac:dyDescent="0.25">
      <c r="A849" s="2">
        <v>2027</v>
      </c>
      <c r="B849" s="2" t="s">
        <v>74</v>
      </c>
      <c r="C849" s="8">
        <v>8</v>
      </c>
      <c r="D849" s="2">
        <v>4</v>
      </c>
      <c r="E849" s="2">
        <v>4</v>
      </c>
      <c r="F849" s="2">
        <v>2</v>
      </c>
      <c r="G849" s="2">
        <v>1</v>
      </c>
    </row>
    <row r="850" spans="1:7" x14ac:dyDescent="0.25">
      <c r="A850" s="2">
        <v>2027</v>
      </c>
      <c r="B850" s="2" t="s">
        <v>74</v>
      </c>
      <c r="C850" s="8">
        <v>9</v>
      </c>
      <c r="D850" s="2">
        <v>1</v>
      </c>
      <c r="E850" s="2">
        <v>3</v>
      </c>
      <c r="F850" s="2">
        <v>2</v>
      </c>
      <c r="G850" s="2">
        <v>3</v>
      </c>
    </row>
    <row r="851" spans="1:7" x14ac:dyDescent="0.25">
      <c r="A851" s="2">
        <v>2027</v>
      </c>
      <c r="B851" s="2" t="s">
        <v>74</v>
      </c>
      <c r="C851" s="8">
        <v>10</v>
      </c>
      <c r="D851" s="2">
        <v>1</v>
      </c>
      <c r="E851" s="2">
        <v>3</v>
      </c>
      <c r="F851" s="2">
        <v>3</v>
      </c>
      <c r="G851" s="2">
        <v>1</v>
      </c>
    </row>
    <row r="852" spans="1:7" x14ac:dyDescent="0.25">
      <c r="A852" s="2">
        <v>2027</v>
      </c>
      <c r="B852" s="2" t="s">
        <v>74</v>
      </c>
      <c r="C852" s="8">
        <v>11</v>
      </c>
      <c r="D852" s="2">
        <v>3</v>
      </c>
      <c r="E852" s="2">
        <v>1</v>
      </c>
      <c r="F852" s="2">
        <v>1</v>
      </c>
      <c r="G852" s="2">
        <v>4</v>
      </c>
    </row>
    <row r="853" spans="1:7" x14ac:dyDescent="0.25">
      <c r="A853" s="2">
        <v>2027</v>
      </c>
      <c r="B853" s="2" t="s">
        <v>74</v>
      </c>
      <c r="C853" s="8">
        <v>12</v>
      </c>
      <c r="D853" s="2">
        <v>2</v>
      </c>
      <c r="E853" s="2">
        <v>2</v>
      </c>
      <c r="F853" s="2">
        <v>1</v>
      </c>
      <c r="G853" s="2">
        <v>1</v>
      </c>
    </row>
    <row r="854" spans="1:7" x14ac:dyDescent="0.25">
      <c r="A854" s="2">
        <v>2027</v>
      </c>
      <c r="B854" s="2" t="s">
        <v>74</v>
      </c>
      <c r="C854" s="8">
        <v>13</v>
      </c>
      <c r="D854" s="2">
        <v>3</v>
      </c>
      <c r="E854" s="2">
        <v>1</v>
      </c>
      <c r="F854" s="2">
        <v>2</v>
      </c>
      <c r="G854" s="2">
        <v>1</v>
      </c>
    </row>
    <row r="855" spans="1:7" x14ac:dyDescent="0.25">
      <c r="A855" s="2">
        <v>2027</v>
      </c>
      <c r="B855" s="2" t="s">
        <v>74</v>
      </c>
      <c r="C855" s="8">
        <v>14</v>
      </c>
      <c r="D855" s="2">
        <v>2</v>
      </c>
      <c r="E855" s="2">
        <v>2</v>
      </c>
      <c r="F855" s="2">
        <v>1</v>
      </c>
      <c r="G855" s="2">
        <v>4</v>
      </c>
    </row>
    <row r="856" spans="1:7" x14ac:dyDescent="0.25">
      <c r="A856" s="2">
        <v>2027</v>
      </c>
      <c r="B856" s="2" t="s">
        <v>74</v>
      </c>
      <c r="C856" s="8">
        <v>15</v>
      </c>
      <c r="D856" s="2">
        <v>1</v>
      </c>
      <c r="E856" s="2">
        <v>4</v>
      </c>
      <c r="F856" s="2">
        <v>3</v>
      </c>
      <c r="G856" s="2">
        <v>2</v>
      </c>
    </row>
    <row r="857" spans="1:7" x14ac:dyDescent="0.25">
      <c r="A857" s="2">
        <v>2027</v>
      </c>
      <c r="B857" s="2" t="s">
        <v>74</v>
      </c>
      <c r="C857" s="8">
        <v>16</v>
      </c>
      <c r="D857" s="2">
        <v>1</v>
      </c>
      <c r="E857" s="2">
        <v>1</v>
      </c>
      <c r="F857" s="2">
        <v>1</v>
      </c>
      <c r="G857" s="2">
        <v>1</v>
      </c>
    </row>
    <row r="858" spans="1:7" x14ac:dyDescent="0.25">
      <c r="A858" s="2">
        <v>2027</v>
      </c>
      <c r="B858" s="2" t="s">
        <v>74</v>
      </c>
      <c r="C858" s="8">
        <v>17</v>
      </c>
      <c r="D858" s="2">
        <v>2</v>
      </c>
      <c r="E858" s="2">
        <v>3</v>
      </c>
      <c r="F858" s="2">
        <v>1</v>
      </c>
      <c r="G858" s="2">
        <v>3</v>
      </c>
    </row>
    <row r="859" spans="1:7" x14ac:dyDescent="0.25">
      <c r="A859" s="2">
        <v>2027</v>
      </c>
      <c r="B859" s="2" t="s">
        <v>74</v>
      </c>
      <c r="C859" s="8">
        <v>18</v>
      </c>
      <c r="D859" s="2">
        <v>3</v>
      </c>
      <c r="E859" s="2">
        <v>4</v>
      </c>
      <c r="F859" s="2">
        <v>3</v>
      </c>
      <c r="G859" s="2">
        <v>1</v>
      </c>
    </row>
    <row r="860" spans="1:7" x14ac:dyDescent="0.25">
      <c r="A860" s="2">
        <v>2027</v>
      </c>
      <c r="B860" s="2" t="s">
        <v>74</v>
      </c>
      <c r="C860" s="8">
        <v>19</v>
      </c>
      <c r="D860" s="2">
        <v>1</v>
      </c>
      <c r="E860" s="2">
        <v>3</v>
      </c>
      <c r="F860" s="2">
        <v>2</v>
      </c>
      <c r="G860" s="2">
        <v>1</v>
      </c>
    </row>
    <row r="861" spans="1:7" x14ac:dyDescent="0.25">
      <c r="A861" s="2">
        <v>2027</v>
      </c>
      <c r="B861" s="2" t="s">
        <v>74</v>
      </c>
      <c r="C861" s="8">
        <v>20</v>
      </c>
      <c r="D861" s="2">
        <v>3</v>
      </c>
      <c r="E861" s="2">
        <v>1</v>
      </c>
      <c r="F861" s="2">
        <v>2</v>
      </c>
      <c r="G861" s="2">
        <v>2</v>
      </c>
    </row>
    <row r="862" spans="1:7" x14ac:dyDescent="0.25">
      <c r="A862" s="2">
        <v>2027</v>
      </c>
      <c r="B862" s="2" t="s">
        <v>74</v>
      </c>
      <c r="C862" s="8">
        <v>21</v>
      </c>
      <c r="D862" s="2">
        <v>2</v>
      </c>
      <c r="E862" s="2">
        <v>4</v>
      </c>
      <c r="F862" s="2">
        <v>2</v>
      </c>
      <c r="G862" s="2">
        <v>2</v>
      </c>
    </row>
    <row r="863" spans="1:7" x14ac:dyDescent="0.25">
      <c r="A863" s="2">
        <v>2027</v>
      </c>
      <c r="B863" s="2" t="s">
        <v>74</v>
      </c>
      <c r="C863" s="8">
        <v>22</v>
      </c>
      <c r="D863" s="2">
        <v>2</v>
      </c>
      <c r="E863" s="2">
        <v>1</v>
      </c>
      <c r="F863" s="2">
        <v>1</v>
      </c>
      <c r="G863" s="2">
        <v>4</v>
      </c>
    </row>
    <row r="864" spans="1:7" x14ac:dyDescent="0.25">
      <c r="A864" s="2">
        <v>2027</v>
      </c>
      <c r="B864" s="2" t="s">
        <v>74</v>
      </c>
      <c r="C864" s="8">
        <v>23</v>
      </c>
      <c r="D864" s="2">
        <v>4</v>
      </c>
      <c r="E864" s="2">
        <v>1</v>
      </c>
      <c r="F864" s="2">
        <v>1</v>
      </c>
      <c r="G864" s="2">
        <v>2</v>
      </c>
    </row>
    <row r="865" spans="1:7" x14ac:dyDescent="0.25">
      <c r="A865" s="2">
        <v>2027</v>
      </c>
      <c r="B865" s="2" t="s">
        <v>74</v>
      </c>
      <c r="C865" s="8">
        <v>24</v>
      </c>
      <c r="D865" s="2">
        <v>2</v>
      </c>
      <c r="E865" s="2">
        <v>1</v>
      </c>
      <c r="F865" s="2">
        <v>2</v>
      </c>
      <c r="G865" s="2">
        <v>1</v>
      </c>
    </row>
    <row r="866" spans="1:7" x14ac:dyDescent="0.25">
      <c r="A866" s="2">
        <v>2027</v>
      </c>
      <c r="B866" s="2" t="s">
        <v>74</v>
      </c>
      <c r="C866" s="8">
        <v>25</v>
      </c>
      <c r="D866" s="2">
        <v>1</v>
      </c>
      <c r="E866" s="2">
        <v>1</v>
      </c>
      <c r="F866" s="2">
        <v>2</v>
      </c>
      <c r="G866" s="2">
        <v>3</v>
      </c>
    </row>
    <row r="867" spans="1:7" x14ac:dyDescent="0.25">
      <c r="A867" s="2">
        <v>2027</v>
      </c>
      <c r="B867" s="2" t="s">
        <v>74</v>
      </c>
      <c r="C867" s="8">
        <v>26</v>
      </c>
      <c r="D867" s="2">
        <v>2</v>
      </c>
      <c r="E867" s="2">
        <v>2</v>
      </c>
      <c r="F867" s="2">
        <v>3</v>
      </c>
      <c r="G867" s="2">
        <v>3</v>
      </c>
    </row>
    <row r="868" spans="1:7" x14ac:dyDescent="0.25">
      <c r="A868" s="2">
        <v>2027</v>
      </c>
      <c r="B868" s="2" t="s">
        <v>74</v>
      </c>
      <c r="C868" s="8">
        <v>27</v>
      </c>
      <c r="D868" s="2">
        <v>1</v>
      </c>
      <c r="E868" s="2">
        <v>3</v>
      </c>
      <c r="F868" s="2">
        <v>1</v>
      </c>
      <c r="G868" s="2">
        <v>1</v>
      </c>
    </row>
    <row r="869" spans="1:7" x14ac:dyDescent="0.25">
      <c r="A869" s="2">
        <v>2027</v>
      </c>
      <c r="B869" s="2" t="s">
        <v>74</v>
      </c>
      <c r="C869" s="8">
        <v>28</v>
      </c>
      <c r="D869" s="2">
        <v>3</v>
      </c>
      <c r="E869" s="2">
        <v>2</v>
      </c>
      <c r="F869" s="2">
        <v>1</v>
      </c>
      <c r="G869" s="2">
        <v>4</v>
      </c>
    </row>
    <row r="870" spans="1:7" x14ac:dyDescent="0.25">
      <c r="A870" s="2">
        <v>2027</v>
      </c>
      <c r="B870" s="2" t="s">
        <v>75</v>
      </c>
      <c r="C870" s="8">
        <v>1</v>
      </c>
      <c r="D870" s="2">
        <v>2</v>
      </c>
      <c r="E870" s="2">
        <v>1</v>
      </c>
      <c r="F870" s="2">
        <v>1</v>
      </c>
      <c r="G870" s="2">
        <v>2</v>
      </c>
    </row>
    <row r="871" spans="1:7" x14ac:dyDescent="0.25">
      <c r="A871" s="2">
        <v>2027</v>
      </c>
      <c r="B871" s="2" t="s">
        <v>75</v>
      </c>
      <c r="C871" s="8">
        <v>2</v>
      </c>
      <c r="D871" s="2">
        <v>2</v>
      </c>
      <c r="E871" s="2">
        <v>3</v>
      </c>
      <c r="F871" s="2">
        <v>1</v>
      </c>
      <c r="G871" s="2">
        <v>1</v>
      </c>
    </row>
    <row r="872" spans="1:7" x14ac:dyDescent="0.25">
      <c r="A872" s="2">
        <v>2027</v>
      </c>
      <c r="B872" s="2" t="s">
        <v>75</v>
      </c>
      <c r="C872" s="8">
        <v>3</v>
      </c>
      <c r="D872" s="2">
        <v>1</v>
      </c>
      <c r="E872" s="2">
        <v>3</v>
      </c>
      <c r="F872" s="2">
        <v>2</v>
      </c>
      <c r="G872" s="2">
        <v>1</v>
      </c>
    </row>
    <row r="873" spans="1:7" x14ac:dyDescent="0.25">
      <c r="A873" s="2">
        <v>2027</v>
      </c>
      <c r="B873" s="2" t="s">
        <v>75</v>
      </c>
      <c r="C873" s="8">
        <v>4</v>
      </c>
      <c r="D873" s="2">
        <v>3</v>
      </c>
      <c r="E873" s="2">
        <v>3</v>
      </c>
      <c r="F873" s="2">
        <v>1</v>
      </c>
      <c r="G873" s="2">
        <v>2</v>
      </c>
    </row>
    <row r="874" spans="1:7" x14ac:dyDescent="0.25">
      <c r="A874" s="2">
        <v>2027</v>
      </c>
      <c r="B874" s="2" t="s">
        <v>75</v>
      </c>
      <c r="C874" s="8">
        <v>5</v>
      </c>
      <c r="D874" s="2">
        <v>1</v>
      </c>
      <c r="E874" s="2">
        <v>1</v>
      </c>
      <c r="F874" s="2">
        <v>3</v>
      </c>
      <c r="G874" s="2">
        <v>3</v>
      </c>
    </row>
    <row r="875" spans="1:7" x14ac:dyDescent="0.25">
      <c r="A875" s="2">
        <v>2027</v>
      </c>
      <c r="B875" s="2" t="s">
        <v>75</v>
      </c>
      <c r="C875" s="8">
        <v>6</v>
      </c>
      <c r="D875" s="2">
        <v>2</v>
      </c>
      <c r="E875" s="2">
        <v>2</v>
      </c>
      <c r="F875" s="2">
        <v>3</v>
      </c>
      <c r="G875" s="2">
        <v>1</v>
      </c>
    </row>
    <row r="876" spans="1:7" x14ac:dyDescent="0.25">
      <c r="A876" s="2">
        <v>2027</v>
      </c>
      <c r="B876" s="2" t="s">
        <v>75</v>
      </c>
      <c r="C876" s="8">
        <v>7</v>
      </c>
      <c r="D876" s="2">
        <v>1</v>
      </c>
      <c r="E876" s="2">
        <v>1</v>
      </c>
      <c r="F876" s="2">
        <v>3</v>
      </c>
      <c r="G876" s="2">
        <v>1</v>
      </c>
    </row>
    <row r="877" spans="1:7" x14ac:dyDescent="0.25">
      <c r="A877" s="2">
        <v>2027</v>
      </c>
      <c r="B877" s="2" t="s">
        <v>75</v>
      </c>
      <c r="C877" s="8">
        <v>8</v>
      </c>
      <c r="D877" s="2">
        <v>2</v>
      </c>
      <c r="E877" s="2">
        <v>3</v>
      </c>
      <c r="F877" s="2">
        <v>1</v>
      </c>
      <c r="G877" s="2">
        <v>1</v>
      </c>
    </row>
    <row r="878" spans="1:7" x14ac:dyDescent="0.25">
      <c r="A878" s="2">
        <v>2027</v>
      </c>
      <c r="B878" s="2" t="s">
        <v>75</v>
      </c>
      <c r="C878" s="8">
        <v>9</v>
      </c>
      <c r="D878" s="2">
        <v>1</v>
      </c>
      <c r="E878" s="2">
        <v>4</v>
      </c>
      <c r="F878" s="2">
        <v>3</v>
      </c>
      <c r="G878" s="2">
        <v>2</v>
      </c>
    </row>
    <row r="879" spans="1:7" x14ac:dyDescent="0.25">
      <c r="A879" s="2">
        <v>2027</v>
      </c>
      <c r="B879" s="2" t="s">
        <v>75</v>
      </c>
      <c r="C879" s="8">
        <v>10</v>
      </c>
      <c r="D879" s="2">
        <v>1</v>
      </c>
      <c r="E879" s="2">
        <v>2</v>
      </c>
      <c r="F879" s="2">
        <v>2</v>
      </c>
      <c r="G879" s="2">
        <v>3</v>
      </c>
    </row>
    <row r="880" spans="1:7" x14ac:dyDescent="0.25">
      <c r="A880" s="2">
        <v>2027</v>
      </c>
      <c r="B880" s="2" t="s">
        <v>75</v>
      </c>
      <c r="C880" s="8">
        <v>11</v>
      </c>
      <c r="D880" s="2">
        <v>2</v>
      </c>
      <c r="E880" s="2">
        <v>1</v>
      </c>
      <c r="F880" s="2">
        <v>2</v>
      </c>
      <c r="G880" s="2">
        <v>1</v>
      </c>
    </row>
    <row r="881" spans="1:7" x14ac:dyDescent="0.25">
      <c r="A881" s="2">
        <v>2027</v>
      </c>
      <c r="B881" s="2" t="s">
        <v>75</v>
      </c>
      <c r="C881" s="8">
        <v>12</v>
      </c>
      <c r="D881" s="2">
        <v>1</v>
      </c>
      <c r="E881" s="2">
        <v>4</v>
      </c>
      <c r="F881" s="2">
        <v>3</v>
      </c>
      <c r="G881" s="2">
        <v>1</v>
      </c>
    </row>
    <row r="882" spans="1:7" x14ac:dyDescent="0.25">
      <c r="A882" s="2">
        <v>2027</v>
      </c>
      <c r="B882" s="2" t="s">
        <v>75</v>
      </c>
      <c r="C882" s="8">
        <v>13</v>
      </c>
      <c r="D882" s="2">
        <v>1</v>
      </c>
      <c r="E882" s="2">
        <v>1</v>
      </c>
      <c r="F882" s="2">
        <v>1</v>
      </c>
      <c r="G882" s="2">
        <v>2</v>
      </c>
    </row>
    <row r="883" spans="1:7" x14ac:dyDescent="0.25">
      <c r="A883" s="2">
        <v>2027</v>
      </c>
      <c r="B883" s="2" t="s">
        <v>75</v>
      </c>
      <c r="C883" s="8">
        <v>14</v>
      </c>
      <c r="D883" s="2">
        <v>4</v>
      </c>
      <c r="E883" s="2">
        <v>1</v>
      </c>
      <c r="F883" s="2">
        <v>2</v>
      </c>
      <c r="G883" s="2">
        <v>2</v>
      </c>
    </row>
    <row r="884" spans="1:7" x14ac:dyDescent="0.25">
      <c r="A884" s="2">
        <v>2027</v>
      </c>
      <c r="B884" s="2" t="s">
        <v>75</v>
      </c>
      <c r="C884" s="8">
        <v>15</v>
      </c>
      <c r="D884" s="2">
        <v>4</v>
      </c>
      <c r="E884" s="2">
        <v>1</v>
      </c>
      <c r="F884" s="2">
        <v>1</v>
      </c>
      <c r="G884" s="2">
        <v>3</v>
      </c>
    </row>
    <row r="885" spans="1:7" x14ac:dyDescent="0.25">
      <c r="A885" s="2">
        <v>2027</v>
      </c>
      <c r="B885" s="2" t="s">
        <v>75</v>
      </c>
      <c r="C885" s="8">
        <v>16</v>
      </c>
      <c r="D885" s="2">
        <v>1</v>
      </c>
      <c r="E885" s="2">
        <v>1</v>
      </c>
      <c r="F885" s="2">
        <v>1</v>
      </c>
      <c r="G885" s="2">
        <v>1</v>
      </c>
    </row>
    <row r="886" spans="1:7" x14ac:dyDescent="0.25">
      <c r="A886" s="2">
        <v>2027</v>
      </c>
      <c r="B886" s="2" t="s">
        <v>75</v>
      </c>
      <c r="C886" s="8">
        <v>17</v>
      </c>
      <c r="D886" s="2">
        <v>1</v>
      </c>
      <c r="E886" s="2">
        <v>2</v>
      </c>
      <c r="F886" s="2">
        <v>1</v>
      </c>
      <c r="G886" s="2">
        <v>2</v>
      </c>
    </row>
    <row r="887" spans="1:7" x14ac:dyDescent="0.25">
      <c r="A887" s="2">
        <v>2027</v>
      </c>
      <c r="B887" s="2" t="s">
        <v>75</v>
      </c>
      <c r="C887" s="8">
        <v>18</v>
      </c>
      <c r="D887" s="2">
        <v>1</v>
      </c>
      <c r="E887" s="2">
        <v>3</v>
      </c>
      <c r="F887" s="2">
        <v>1</v>
      </c>
      <c r="G887" s="2">
        <v>3</v>
      </c>
    </row>
    <row r="888" spans="1:7" x14ac:dyDescent="0.25">
      <c r="A888" s="2">
        <v>2027</v>
      </c>
      <c r="B888" s="2" t="s">
        <v>75</v>
      </c>
      <c r="C888" s="8">
        <v>19</v>
      </c>
      <c r="D888" s="2">
        <v>1</v>
      </c>
      <c r="E888" s="2">
        <v>1</v>
      </c>
      <c r="F888" s="2">
        <v>3</v>
      </c>
      <c r="G888" s="2">
        <v>4</v>
      </c>
    </row>
    <row r="889" spans="1:7" x14ac:dyDescent="0.25">
      <c r="A889" s="2">
        <v>2027</v>
      </c>
      <c r="B889" s="2" t="s">
        <v>75</v>
      </c>
      <c r="C889" s="8">
        <v>20</v>
      </c>
      <c r="D889" s="2">
        <v>1</v>
      </c>
      <c r="E889" s="2">
        <v>3</v>
      </c>
      <c r="F889" s="2">
        <v>2</v>
      </c>
      <c r="G889" s="2">
        <v>1</v>
      </c>
    </row>
    <row r="890" spans="1:7" x14ac:dyDescent="0.25">
      <c r="A890" s="2">
        <v>2027</v>
      </c>
      <c r="B890" s="2" t="s">
        <v>75</v>
      </c>
      <c r="C890" s="8">
        <v>21</v>
      </c>
      <c r="D890" s="2">
        <v>3</v>
      </c>
      <c r="E890" s="2">
        <v>1</v>
      </c>
      <c r="F890" s="2">
        <v>2</v>
      </c>
      <c r="G890" s="2">
        <v>2</v>
      </c>
    </row>
    <row r="891" spans="1:7" x14ac:dyDescent="0.25">
      <c r="A891" s="2">
        <v>2027</v>
      </c>
      <c r="B891" s="2" t="s">
        <v>75</v>
      </c>
      <c r="C891" s="8">
        <v>22</v>
      </c>
      <c r="D891" s="2">
        <v>1</v>
      </c>
      <c r="E891" s="2">
        <v>2</v>
      </c>
      <c r="F891" s="2">
        <v>1</v>
      </c>
      <c r="G891" s="2">
        <v>1</v>
      </c>
    </row>
    <row r="892" spans="1:7" x14ac:dyDescent="0.25">
      <c r="A892" s="2">
        <v>2027</v>
      </c>
      <c r="B892" s="2" t="s">
        <v>75</v>
      </c>
      <c r="C892" s="8">
        <v>23</v>
      </c>
      <c r="D892" s="2">
        <v>2</v>
      </c>
      <c r="E892" s="2">
        <v>3</v>
      </c>
      <c r="F892" s="2">
        <v>2</v>
      </c>
      <c r="G892" s="2">
        <v>2</v>
      </c>
    </row>
    <row r="893" spans="1:7" x14ac:dyDescent="0.25">
      <c r="A893" s="2">
        <v>2027</v>
      </c>
      <c r="B893" s="2" t="s">
        <v>75</v>
      </c>
      <c r="C893" s="8">
        <v>24</v>
      </c>
      <c r="D893" s="2">
        <v>2</v>
      </c>
      <c r="E893" s="2">
        <v>2</v>
      </c>
      <c r="F893" s="2">
        <v>3</v>
      </c>
      <c r="G893" s="2">
        <v>1</v>
      </c>
    </row>
    <row r="894" spans="1:7" x14ac:dyDescent="0.25">
      <c r="A894" s="2">
        <v>2027</v>
      </c>
      <c r="B894" s="2" t="s">
        <v>75</v>
      </c>
      <c r="C894" s="8">
        <v>25</v>
      </c>
      <c r="D894" s="2">
        <v>3</v>
      </c>
      <c r="E894" s="2">
        <v>3</v>
      </c>
      <c r="F894" s="2">
        <v>4</v>
      </c>
      <c r="G894" s="2">
        <v>2</v>
      </c>
    </row>
    <row r="895" spans="1:7" x14ac:dyDescent="0.25">
      <c r="A895" s="2">
        <v>2027</v>
      </c>
      <c r="B895" s="2" t="s">
        <v>75</v>
      </c>
      <c r="C895" s="8">
        <v>26</v>
      </c>
      <c r="D895" s="2">
        <v>2</v>
      </c>
      <c r="E895" s="2">
        <v>1</v>
      </c>
      <c r="F895" s="2">
        <v>1</v>
      </c>
      <c r="G895" s="2">
        <v>3</v>
      </c>
    </row>
    <row r="896" spans="1:7" x14ac:dyDescent="0.25">
      <c r="A896" s="2">
        <v>2027</v>
      </c>
      <c r="B896" s="2" t="s">
        <v>75</v>
      </c>
      <c r="C896" s="8">
        <v>27</v>
      </c>
      <c r="D896" s="2">
        <v>1</v>
      </c>
      <c r="E896" s="2">
        <v>1</v>
      </c>
      <c r="F896" s="2">
        <v>2</v>
      </c>
      <c r="G896" s="2">
        <v>2</v>
      </c>
    </row>
    <row r="897" spans="1:7" x14ac:dyDescent="0.25">
      <c r="A897" s="2">
        <v>2027</v>
      </c>
      <c r="B897" s="2" t="s">
        <v>75</v>
      </c>
      <c r="C897" s="8">
        <v>28</v>
      </c>
      <c r="D897" s="2">
        <v>1</v>
      </c>
      <c r="E897" s="2">
        <v>2</v>
      </c>
      <c r="F897" s="2">
        <v>2</v>
      </c>
      <c r="G897" s="2">
        <v>2</v>
      </c>
    </row>
    <row r="898" spans="1:7" x14ac:dyDescent="0.25">
      <c r="A898" s="2">
        <v>2027</v>
      </c>
      <c r="B898" s="2" t="s">
        <v>76</v>
      </c>
      <c r="C898" s="8">
        <v>1</v>
      </c>
      <c r="D898" s="2">
        <v>1</v>
      </c>
      <c r="E898" s="2">
        <v>1</v>
      </c>
      <c r="F898" s="2">
        <v>4</v>
      </c>
      <c r="G898" s="2">
        <v>1</v>
      </c>
    </row>
    <row r="899" spans="1:7" x14ac:dyDescent="0.25">
      <c r="A899" s="2">
        <v>2027</v>
      </c>
      <c r="B899" s="2" t="s">
        <v>76</v>
      </c>
      <c r="C899" s="8">
        <v>2</v>
      </c>
      <c r="D899" s="2">
        <v>2</v>
      </c>
      <c r="E899" s="2">
        <v>2</v>
      </c>
      <c r="F899" s="2">
        <v>2</v>
      </c>
      <c r="G899" s="2">
        <v>1</v>
      </c>
    </row>
    <row r="900" spans="1:7" x14ac:dyDescent="0.25">
      <c r="A900" s="2">
        <v>2027</v>
      </c>
      <c r="B900" s="2" t="s">
        <v>76</v>
      </c>
      <c r="C900" s="8">
        <v>3</v>
      </c>
      <c r="D900" s="2">
        <v>3</v>
      </c>
      <c r="E900" s="2">
        <v>1</v>
      </c>
      <c r="F900" s="2">
        <v>2</v>
      </c>
      <c r="G900" s="2">
        <v>1</v>
      </c>
    </row>
    <row r="901" spans="1:7" x14ac:dyDescent="0.25">
      <c r="A901" s="2">
        <v>2027</v>
      </c>
      <c r="B901" s="2" t="s">
        <v>76</v>
      </c>
      <c r="C901" s="8">
        <v>4</v>
      </c>
      <c r="D901" s="2">
        <v>2</v>
      </c>
      <c r="E901" s="2">
        <v>4</v>
      </c>
      <c r="F901" s="2">
        <v>4</v>
      </c>
      <c r="G901" s="2">
        <v>4</v>
      </c>
    </row>
    <row r="902" spans="1:7" x14ac:dyDescent="0.25">
      <c r="A902" s="2">
        <v>2027</v>
      </c>
      <c r="B902" s="2" t="s">
        <v>76</v>
      </c>
      <c r="C902" s="8">
        <v>5</v>
      </c>
      <c r="D902" s="2">
        <v>1</v>
      </c>
      <c r="E902" s="2">
        <v>2</v>
      </c>
      <c r="F902" s="2">
        <v>4</v>
      </c>
      <c r="G902" s="2">
        <v>2</v>
      </c>
    </row>
    <row r="903" spans="1:7" x14ac:dyDescent="0.25">
      <c r="A903" s="2">
        <v>2027</v>
      </c>
      <c r="B903" s="2" t="s">
        <v>76</v>
      </c>
      <c r="C903" s="8">
        <v>6</v>
      </c>
      <c r="D903" s="2">
        <v>1</v>
      </c>
      <c r="E903" s="2">
        <v>3</v>
      </c>
      <c r="F903" s="2">
        <v>1</v>
      </c>
      <c r="G903" s="2">
        <v>2</v>
      </c>
    </row>
    <row r="904" spans="1:7" x14ac:dyDescent="0.25">
      <c r="A904" s="2">
        <v>2027</v>
      </c>
      <c r="B904" s="2" t="s">
        <v>76</v>
      </c>
      <c r="C904" s="8">
        <v>7</v>
      </c>
      <c r="D904" s="2">
        <v>3</v>
      </c>
      <c r="E904" s="2">
        <v>3</v>
      </c>
      <c r="F904" s="2">
        <v>2</v>
      </c>
      <c r="G904" s="2">
        <v>2</v>
      </c>
    </row>
    <row r="905" spans="1:7" x14ac:dyDescent="0.25">
      <c r="A905" s="2">
        <v>2027</v>
      </c>
      <c r="B905" s="2" t="s">
        <v>76</v>
      </c>
      <c r="C905" s="8">
        <v>8</v>
      </c>
      <c r="D905" s="2">
        <v>1</v>
      </c>
      <c r="E905" s="2">
        <v>2</v>
      </c>
      <c r="F905" s="2">
        <v>2</v>
      </c>
      <c r="G905" s="2">
        <v>3</v>
      </c>
    </row>
    <row r="906" spans="1:7" x14ac:dyDescent="0.25">
      <c r="A906" s="2">
        <v>2027</v>
      </c>
      <c r="B906" s="2" t="s">
        <v>76</v>
      </c>
      <c r="C906" s="8">
        <v>9</v>
      </c>
      <c r="D906" s="2">
        <v>4</v>
      </c>
      <c r="E906" s="2">
        <v>1</v>
      </c>
      <c r="F906" s="2">
        <v>1</v>
      </c>
      <c r="G906" s="2">
        <v>2</v>
      </c>
    </row>
    <row r="907" spans="1:7" x14ac:dyDescent="0.25">
      <c r="A907" s="2">
        <v>2027</v>
      </c>
      <c r="B907" s="2" t="s">
        <v>76</v>
      </c>
      <c r="C907" s="8">
        <v>10</v>
      </c>
      <c r="D907" s="2">
        <v>1</v>
      </c>
      <c r="E907" s="2">
        <v>1</v>
      </c>
      <c r="F907" s="2">
        <v>1</v>
      </c>
      <c r="G907" s="2">
        <v>2</v>
      </c>
    </row>
    <row r="908" spans="1:7" x14ac:dyDescent="0.25">
      <c r="A908" s="2">
        <v>2027</v>
      </c>
      <c r="B908" s="2" t="s">
        <v>76</v>
      </c>
      <c r="C908" s="8">
        <v>11</v>
      </c>
      <c r="D908" s="2">
        <v>1</v>
      </c>
      <c r="E908" s="2">
        <v>1</v>
      </c>
      <c r="F908" s="2">
        <v>2</v>
      </c>
      <c r="G908" s="2">
        <v>1</v>
      </c>
    </row>
    <row r="909" spans="1:7" x14ac:dyDescent="0.25">
      <c r="A909" s="2">
        <v>2027</v>
      </c>
      <c r="B909" s="2" t="s">
        <v>76</v>
      </c>
      <c r="C909" s="8">
        <v>12</v>
      </c>
      <c r="D909" s="2">
        <v>4</v>
      </c>
      <c r="E909" s="2">
        <v>2</v>
      </c>
      <c r="F909" s="2">
        <v>4</v>
      </c>
      <c r="G909" s="2">
        <v>4</v>
      </c>
    </row>
    <row r="910" spans="1:7" x14ac:dyDescent="0.25">
      <c r="A910" s="2">
        <v>2027</v>
      </c>
      <c r="B910" s="2" t="s">
        <v>76</v>
      </c>
      <c r="C910" s="8">
        <v>13</v>
      </c>
      <c r="D910" s="2">
        <v>1</v>
      </c>
      <c r="E910" s="2">
        <v>2</v>
      </c>
      <c r="F910" s="2">
        <v>1</v>
      </c>
      <c r="G910" s="2">
        <v>1</v>
      </c>
    </row>
    <row r="911" spans="1:7" x14ac:dyDescent="0.25">
      <c r="A911" s="2">
        <v>2027</v>
      </c>
      <c r="B911" s="2" t="s">
        <v>76</v>
      </c>
      <c r="C911" s="8">
        <v>14</v>
      </c>
      <c r="D911" s="2">
        <v>4</v>
      </c>
      <c r="E911" s="2">
        <v>2</v>
      </c>
      <c r="F911" s="2">
        <v>3</v>
      </c>
      <c r="G911" s="2">
        <v>2</v>
      </c>
    </row>
    <row r="912" spans="1:7" x14ac:dyDescent="0.25">
      <c r="A912" s="2">
        <v>2027</v>
      </c>
      <c r="B912" s="2" t="s">
        <v>76</v>
      </c>
      <c r="C912" s="8">
        <v>15</v>
      </c>
      <c r="D912" s="2">
        <v>2</v>
      </c>
      <c r="E912" s="2">
        <v>2</v>
      </c>
      <c r="F912" s="2">
        <v>2</v>
      </c>
      <c r="G912" s="2">
        <v>2</v>
      </c>
    </row>
    <row r="913" spans="1:7" x14ac:dyDescent="0.25">
      <c r="A913" s="2">
        <v>2027</v>
      </c>
      <c r="B913" s="2" t="s">
        <v>76</v>
      </c>
      <c r="C913" s="8">
        <v>16</v>
      </c>
      <c r="D913" s="2">
        <v>2</v>
      </c>
      <c r="E913" s="2">
        <v>2</v>
      </c>
      <c r="F913" s="2">
        <v>4</v>
      </c>
      <c r="G913" s="2">
        <v>4</v>
      </c>
    </row>
    <row r="914" spans="1:7" x14ac:dyDescent="0.25">
      <c r="A914" s="2">
        <v>2027</v>
      </c>
      <c r="B914" s="2" t="s">
        <v>76</v>
      </c>
      <c r="C914" s="8">
        <v>17</v>
      </c>
      <c r="D914" s="2">
        <v>3</v>
      </c>
      <c r="E914" s="2">
        <v>2</v>
      </c>
      <c r="F914" s="2">
        <v>3</v>
      </c>
      <c r="G914" s="2">
        <v>1</v>
      </c>
    </row>
    <row r="915" spans="1:7" x14ac:dyDescent="0.25">
      <c r="A915" s="2">
        <v>2027</v>
      </c>
      <c r="B915" s="2" t="s">
        <v>76</v>
      </c>
      <c r="C915" s="8">
        <v>18</v>
      </c>
      <c r="D915" s="2">
        <v>1</v>
      </c>
      <c r="E915" s="2">
        <v>2</v>
      </c>
      <c r="F915" s="2">
        <v>1</v>
      </c>
      <c r="G915" s="2">
        <v>1</v>
      </c>
    </row>
    <row r="916" spans="1:7" x14ac:dyDescent="0.25">
      <c r="A916" s="2">
        <v>2027</v>
      </c>
      <c r="B916" s="2" t="s">
        <v>76</v>
      </c>
      <c r="C916" s="8">
        <v>19</v>
      </c>
      <c r="D916" s="2">
        <v>4</v>
      </c>
      <c r="E916" s="2">
        <v>1</v>
      </c>
      <c r="F916" s="2">
        <v>2</v>
      </c>
      <c r="G916" s="2">
        <v>1</v>
      </c>
    </row>
    <row r="917" spans="1:7" x14ac:dyDescent="0.25">
      <c r="A917" s="2">
        <v>2027</v>
      </c>
      <c r="B917" s="2" t="s">
        <v>76</v>
      </c>
      <c r="C917" s="8">
        <v>20</v>
      </c>
      <c r="D917" s="2">
        <v>2</v>
      </c>
      <c r="E917" s="2">
        <v>2</v>
      </c>
      <c r="F917" s="2">
        <v>1</v>
      </c>
      <c r="G917" s="2">
        <v>2</v>
      </c>
    </row>
    <row r="918" spans="1:7" x14ac:dyDescent="0.25">
      <c r="A918" s="2">
        <v>2027</v>
      </c>
      <c r="B918" s="2" t="s">
        <v>76</v>
      </c>
      <c r="C918" s="8">
        <v>21</v>
      </c>
      <c r="D918" s="2">
        <v>4</v>
      </c>
      <c r="E918" s="2">
        <v>1</v>
      </c>
      <c r="F918" s="2">
        <v>1</v>
      </c>
      <c r="G918" s="2">
        <v>1</v>
      </c>
    </row>
    <row r="919" spans="1:7" x14ac:dyDescent="0.25">
      <c r="A919" s="2">
        <v>2027</v>
      </c>
      <c r="B919" s="2" t="s">
        <v>76</v>
      </c>
      <c r="C919" s="8">
        <v>22</v>
      </c>
      <c r="D919" s="2">
        <v>1</v>
      </c>
      <c r="E919" s="2">
        <v>2</v>
      </c>
      <c r="F919" s="2">
        <v>3</v>
      </c>
      <c r="G919" s="2">
        <v>1</v>
      </c>
    </row>
    <row r="920" spans="1:7" x14ac:dyDescent="0.25">
      <c r="A920" s="2">
        <v>2027</v>
      </c>
      <c r="B920" s="2" t="s">
        <v>76</v>
      </c>
      <c r="C920" s="8">
        <v>23</v>
      </c>
      <c r="D920" s="2">
        <v>1</v>
      </c>
      <c r="E920" s="2">
        <v>1</v>
      </c>
      <c r="F920" s="2">
        <v>2</v>
      </c>
      <c r="G920" s="2">
        <v>2</v>
      </c>
    </row>
    <row r="921" spans="1:7" x14ac:dyDescent="0.25">
      <c r="A921" s="2">
        <v>2027</v>
      </c>
      <c r="B921" s="2" t="s">
        <v>76</v>
      </c>
      <c r="C921" s="8">
        <v>24</v>
      </c>
      <c r="D921" s="2">
        <v>1</v>
      </c>
      <c r="E921" s="2">
        <v>3</v>
      </c>
      <c r="F921" s="2">
        <v>1</v>
      </c>
      <c r="G921" s="2">
        <v>2</v>
      </c>
    </row>
    <row r="922" spans="1:7" x14ac:dyDescent="0.25">
      <c r="A922" s="2">
        <v>2027</v>
      </c>
      <c r="B922" s="2" t="s">
        <v>76</v>
      </c>
      <c r="C922" s="8">
        <v>25</v>
      </c>
      <c r="D922" s="2">
        <v>1</v>
      </c>
      <c r="E922" s="2">
        <v>1</v>
      </c>
      <c r="F922" s="2">
        <v>3</v>
      </c>
      <c r="G922" s="2">
        <v>3</v>
      </c>
    </row>
    <row r="923" spans="1:7" x14ac:dyDescent="0.25">
      <c r="A923" s="2">
        <v>2027</v>
      </c>
      <c r="B923" s="2" t="s">
        <v>76</v>
      </c>
      <c r="C923" s="8">
        <v>26</v>
      </c>
      <c r="D923" s="2">
        <v>2</v>
      </c>
      <c r="E923" s="2">
        <v>2</v>
      </c>
      <c r="F923" s="2">
        <v>1</v>
      </c>
      <c r="G923" s="2">
        <v>2</v>
      </c>
    </row>
    <row r="924" spans="1:7" x14ac:dyDescent="0.25">
      <c r="A924" s="2">
        <v>2027</v>
      </c>
      <c r="B924" s="2" t="s">
        <v>76</v>
      </c>
      <c r="C924" s="8">
        <v>27</v>
      </c>
      <c r="D924" s="2">
        <v>2</v>
      </c>
      <c r="E924" s="2">
        <v>2</v>
      </c>
      <c r="F924" s="2">
        <v>1</v>
      </c>
      <c r="G924" s="2">
        <v>1</v>
      </c>
    </row>
    <row r="925" spans="1:7" x14ac:dyDescent="0.25">
      <c r="A925" s="2">
        <v>2027</v>
      </c>
      <c r="B925" s="2" t="s">
        <v>76</v>
      </c>
      <c r="C925" s="8">
        <v>28</v>
      </c>
      <c r="D925" s="2">
        <v>1</v>
      </c>
      <c r="E925" s="2">
        <v>3</v>
      </c>
      <c r="F925" s="2">
        <v>1</v>
      </c>
      <c r="G925" s="2">
        <v>3</v>
      </c>
    </row>
    <row r="926" spans="1:7" x14ac:dyDescent="0.25">
      <c r="A926" s="2">
        <v>2027</v>
      </c>
      <c r="B926" s="2" t="s">
        <v>77</v>
      </c>
      <c r="C926" s="8">
        <v>1</v>
      </c>
      <c r="D926" s="2">
        <v>2</v>
      </c>
      <c r="E926" s="2">
        <v>2</v>
      </c>
      <c r="F926" s="2">
        <v>1</v>
      </c>
      <c r="G926" s="2">
        <v>1</v>
      </c>
    </row>
    <row r="927" spans="1:7" x14ac:dyDescent="0.25">
      <c r="A927" s="2">
        <v>2027</v>
      </c>
      <c r="B927" s="2" t="s">
        <v>77</v>
      </c>
      <c r="C927" s="8">
        <v>2</v>
      </c>
      <c r="D927" s="2">
        <v>1</v>
      </c>
      <c r="E927" s="2">
        <v>1</v>
      </c>
      <c r="F927" s="2">
        <v>2</v>
      </c>
      <c r="G927" s="2">
        <v>1</v>
      </c>
    </row>
    <row r="928" spans="1:7" x14ac:dyDescent="0.25">
      <c r="A928" s="2">
        <v>2027</v>
      </c>
      <c r="B928" s="2" t="s">
        <v>77</v>
      </c>
      <c r="C928" s="8">
        <v>3</v>
      </c>
      <c r="D928" s="2">
        <v>3</v>
      </c>
      <c r="E928" s="2">
        <v>3</v>
      </c>
      <c r="F928" s="2">
        <v>1</v>
      </c>
      <c r="G928" s="2">
        <v>1</v>
      </c>
    </row>
    <row r="929" spans="1:7" x14ac:dyDescent="0.25">
      <c r="A929" s="2">
        <v>2027</v>
      </c>
      <c r="B929" s="2" t="s">
        <v>77</v>
      </c>
      <c r="C929" s="8">
        <v>4</v>
      </c>
      <c r="D929" s="2">
        <v>2</v>
      </c>
      <c r="E929" s="2">
        <v>1</v>
      </c>
      <c r="F929" s="2">
        <v>4</v>
      </c>
      <c r="G929" s="2">
        <v>3</v>
      </c>
    </row>
    <row r="930" spans="1:7" x14ac:dyDescent="0.25">
      <c r="A930" s="2">
        <v>2027</v>
      </c>
      <c r="B930" s="2" t="s">
        <v>77</v>
      </c>
      <c r="C930" s="8">
        <v>5</v>
      </c>
      <c r="D930" s="2">
        <v>3</v>
      </c>
      <c r="E930" s="2">
        <v>2</v>
      </c>
      <c r="F930" s="2">
        <v>2</v>
      </c>
      <c r="G930" s="2">
        <v>1</v>
      </c>
    </row>
    <row r="931" spans="1:7" x14ac:dyDescent="0.25">
      <c r="A931" s="2">
        <v>2027</v>
      </c>
      <c r="B931" s="2" t="s">
        <v>77</v>
      </c>
      <c r="C931" s="8">
        <v>6</v>
      </c>
      <c r="D931" s="2">
        <v>1</v>
      </c>
      <c r="E931" s="2">
        <v>1</v>
      </c>
      <c r="F931" s="2">
        <v>1</v>
      </c>
      <c r="G931" s="2">
        <v>1</v>
      </c>
    </row>
    <row r="932" spans="1:7" x14ac:dyDescent="0.25">
      <c r="A932" s="2">
        <v>2027</v>
      </c>
      <c r="B932" s="2" t="s">
        <v>77</v>
      </c>
      <c r="C932" s="8">
        <v>7</v>
      </c>
      <c r="D932" s="2">
        <v>2</v>
      </c>
      <c r="E932" s="2">
        <v>1</v>
      </c>
      <c r="F932" s="2">
        <v>1</v>
      </c>
      <c r="G932" s="2">
        <v>4</v>
      </c>
    </row>
    <row r="933" spans="1:7" x14ac:dyDescent="0.25">
      <c r="A933" s="2">
        <v>2027</v>
      </c>
      <c r="B933" s="2" t="s">
        <v>77</v>
      </c>
      <c r="C933" s="8">
        <v>8</v>
      </c>
      <c r="D933" s="2">
        <v>2</v>
      </c>
      <c r="E933" s="2">
        <v>2</v>
      </c>
      <c r="F933" s="2">
        <v>3</v>
      </c>
      <c r="G933" s="2">
        <v>3</v>
      </c>
    </row>
    <row r="934" spans="1:7" x14ac:dyDescent="0.25">
      <c r="A934" s="2">
        <v>2027</v>
      </c>
      <c r="B934" s="2" t="s">
        <v>77</v>
      </c>
      <c r="C934" s="8">
        <v>9</v>
      </c>
      <c r="D934" s="2">
        <v>2</v>
      </c>
      <c r="E934" s="2">
        <v>3</v>
      </c>
      <c r="F934" s="2">
        <v>3</v>
      </c>
      <c r="G934" s="2">
        <v>1</v>
      </c>
    </row>
    <row r="935" spans="1:7" x14ac:dyDescent="0.25">
      <c r="A935" s="2">
        <v>2027</v>
      </c>
      <c r="B935" s="2" t="s">
        <v>77</v>
      </c>
      <c r="C935" s="8">
        <v>10</v>
      </c>
      <c r="D935" s="2">
        <v>1</v>
      </c>
      <c r="E935" s="2">
        <v>1</v>
      </c>
      <c r="F935" s="2">
        <v>2</v>
      </c>
      <c r="G935" s="2">
        <v>3</v>
      </c>
    </row>
    <row r="936" spans="1:7" x14ac:dyDescent="0.25">
      <c r="A936" s="2">
        <v>2027</v>
      </c>
      <c r="B936" s="2" t="s">
        <v>77</v>
      </c>
      <c r="C936" s="8">
        <v>11</v>
      </c>
      <c r="D936" s="2">
        <v>1</v>
      </c>
      <c r="E936" s="2">
        <v>4</v>
      </c>
      <c r="F936" s="2">
        <v>2</v>
      </c>
      <c r="G936" s="2">
        <v>1</v>
      </c>
    </row>
    <row r="937" spans="1:7" x14ac:dyDescent="0.25">
      <c r="A937" s="2">
        <v>2027</v>
      </c>
      <c r="B937" s="2" t="s">
        <v>77</v>
      </c>
      <c r="C937" s="8">
        <v>12</v>
      </c>
      <c r="D937" s="2">
        <v>4</v>
      </c>
      <c r="E937" s="2">
        <v>2</v>
      </c>
      <c r="F937" s="2">
        <v>1</v>
      </c>
      <c r="G937" s="2">
        <v>3</v>
      </c>
    </row>
    <row r="938" spans="1:7" x14ac:dyDescent="0.25">
      <c r="A938" s="2">
        <v>2027</v>
      </c>
      <c r="B938" s="2" t="s">
        <v>77</v>
      </c>
      <c r="C938" s="8">
        <v>13</v>
      </c>
      <c r="D938" s="2">
        <v>3</v>
      </c>
      <c r="E938" s="2">
        <v>1</v>
      </c>
      <c r="F938" s="2">
        <v>1</v>
      </c>
      <c r="G938" s="2">
        <v>1</v>
      </c>
    </row>
    <row r="939" spans="1:7" x14ac:dyDescent="0.25">
      <c r="A939" s="2">
        <v>2027</v>
      </c>
      <c r="B939" s="2" t="s">
        <v>77</v>
      </c>
      <c r="C939" s="8">
        <v>14</v>
      </c>
      <c r="D939" s="2">
        <v>2</v>
      </c>
      <c r="E939" s="2">
        <v>1</v>
      </c>
      <c r="F939" s="2">
        <v>3</v>
      </c>
      <c r="G939" s="2">
        <v>1</v>
      </c>
    </row>
    <row r="940" spans="1:7" x14ac:dyDescent="0.25">
      <c r="A940" s="2">
        <v>2027</v>
      </c>
      <c r="B940" s="2" t="s">
        <v>77</v>
      </c>
      <c r="C940" s="8">
        <v>15</v>
      </c>
      <c r="D940" s="2">
        <v>1</v>
      </c>
      <c r="E940" s="2">
        <v>4</v>
      </c>
      <c r="F940" s="2">
        <v>3</v>
      </c>
      <c r="G940" s="2">
        <v>2</v>
      </c>
    </row>
    <row r="941" spans="1:7" x14ac:dyDescent="0.25">
      <c r="A941" s="2">
        <v>2027</v>
      </c>
      <c r="B941" s="2" t="s">
        <v>77</v>
      </c>
      <c r="C941" s="8">
        <v>16</v>
      </c>
      <c r="D941" s="2">
        <v>3</v>
      </c>
      <c r="E941" s="2">
        <v>2</v>
      </c>
      <c r="F941" s="2">
        <v>1</v>
      </c>
      <c r="G941" s="2">
        <v>3</v>
      </c>
    </row>
    <row r="942" spans="1:7" x14ac:dyDescent="0.25">
      <c r="A942" s="2">
        <v>2027</v>
      </c>
      <c r="B942" s="2" t="s">
        <v>77</v>
      </c>
      <c r="C942" s="8">
        <v>17</v>
      </c>
      <c r="D942" s="2">
        <v>1</v>
      </c>
      <c r="E942" s="2">
        <v>2</v>
      </c>
      <c r="F942" s="2">
        <v>2</v>
      </c>
      <c r="G942" s="2">
        <v>2</v>
      </c>
    </row>
    <row r="943" spans="1:7" x14ac:dyDescent="0.25">
      <c r="A943" s="2">
        <v>2027</v>
      </c>
      <c r="B943" s="2" t="s">
        <v>77</v>
      </c>
      <c r="C943" s="8">
        <v>18</v>
      </c>
      <c r="D943" s="2">
        <v>4</v>
      </c>
      <c r="E943" s="2">
        <v>1</v>
      </c>
      <c r="F943" s="2">
        <v>3</v>
      </c>
      <c r="G943" s="2">
        <v>1</v>
      </c>
    </row>
    <row r="944" spans="1:7" x14ac:dyDescent="0.25">
      <c r="A944" s="2">
        <v>2027</v>
      </c>
      <c r="B944" s="2" t="s">
        <v>77</v>
      </c>
      <c r="C944" s="8">
        <v>19</v>
      </c>
      <c r="D944" s="2">
        <v>1</v>
      </c>
      <c r="E944" s="2">
        <v>4</v>
      </c>
      <c r="F944" s="2">
        <v>2</v>
      </c>
      <c r="G944" s="2">
        <v>3</v>
      </c>
    </row>
    <row r="945" spans="1:7" x14ac:dyDescent="0.25">
      <c r="A945" s="2">
        <v>2027</v>
      </c>
      <c r="B945" s="2" t="s">
        <v>77</v>
      </c>
      <c r="C945" s="8">
        <v>20</v>
      </c>
      <c r="D945" s="2">
        <v>1</v>
      </c>
      <c r="E945" s="2">
        <v>2</v>
      </c>
      <c r="F945" s="2">
        <v>2</v>
      </c>
      <c r="G945" s="2">
        <v>1</v>
      </c>
    </row>
    <row r="946" spans="1:7" x14ac:dyDescent="0.25">
      <c r="A946" s="2">
        <v>2027</v>
      </c>
      <c r="B946" s="2" t="s">
        <v>77</v>
      </c>
      <c r="C946" s="8">
        <v>21</v>
      </c>
      <c r="D946" s="2">
        <v>1</v>
      </c>
      <c r="E946" s="2">
        <v>1</v>
      </c>
      <c r="F946" s="2">
        <v>1</v>
      </c>
      <c r="G946" s="2">
        <v>1</v>
      </c>
    </row>
    <row r="947" spans="1:7" x14ac:dyDescent="0.25">
      <c r="A947" s="2">
        <v>2027</v>
      </c>
      <c r="B947" s="2" t="s">
        <v>77</v>
      </c>
      <c r="C947" s="8">
        <v>22</v>
      </c>
      <c r="D947" s="2">
        <v>3</v>
      </c>
      <c r="E947" s="2">
        <v>1</v>
      </c>
      <c r="F947" s="2">
        <v>1</v>
      </c>
      <c r="G947" s="2">
        <v>1</v>
      </c>
    </row>
    <row r="948" spans="1:7" x14ac:dyDescent="0.25">
      <c r="A948" s="2">
        <v>2027</v>
      </c>
      <c r="B948" s="2" t="s">
        <v>77</v>
      </c>
      <c r="C948" s="8">
        <v>23</v>
      </c>
      <c r="D948" s="2">
        <v>2</v>
      </c>
      <c r="E948" s="2">
        <v>3</v>
      </c>
      <c r="F948" s="2">
        <v>2</v>
      </c>
      <c r="G948" s="2">
        <v>2</v>
      </c>
    </row>
    <row r="949" spans="1:7" x14ac:dyDescent="0.25">
      <c r="A949" s="2">
        <v>2027</v>
      </c>
      <c r="B949" s="2" t="s">
        <v>77</v>
      </c>
      <c r="C949" s="8">
        <v>24</v>
      </c>
      <c r="D949" s="2">
        <v>3</v>
      </c>
      <c r="E949" s="2">
        <v>2</v>
      </c>
      <c r="F949" s="2">
        <v>4</v>
      </c>
      <c r="G949" s="2">
        <v>1</v>
      </c>
    </row>
    <row r="950" spans="1:7" x14ac:dyDescent="0.25">
      <c r="A950" s="2">
        <v>2027</v>
      </c>
      <c r="B950" s="2" t="s">
        <v>77</v>
      </c>
      <c r="C950" s="8">
        <v>25</v>
      </c>
      <c r="D950" s="2">
        <v>2</v>
      </c>
      <c r="E950" s="2">
        <v>2</v>
      </c>
      <c r="F950" s="2">
        <v>1</v>
      </c>
      <c r="G950" s="2">
        <v>1</v>
      </c>
    </row>
    <row r="951" spans="1:7" x14ac:dyDescent="0.25">
      <c r="A951" s="2">
        <v>2027</v>
      </c>
      <c r="B951" s="2" t="s">
        <v>77</v>
      </c>
      <c r="C951" s="8">
        <v>26</v>
      </c>
      <c r="D951" s="2">
        <v>1</v>
      </c>
      <c r="E951" s="2">
        <v>3</v>
      </c>
      <c r="F951" s="2">
        <v>1</v>
      </c>
      <c r="G951" s="2">
        <v>1</v>
      </c>
    </row>
    <row r="952" spans="1:7" x14ac:dyDescent="0.25">
      <c r="A952" s="2">
        <v>2027</v>
      </c>
      <c r="B952" s="2" t="s">
        <v>77</v>
      </c>
      <c r="C952" s="8">
        <v>27</v>
      </c>
      <c r="D952" s="2">
        <v>3</v>
      </c>
      <c r="E952" s="2">
        <v>1</v>
      </c>
      <c r="F952" s="2">
        <v>1</v>
      </c>
      <c r="G952" s="2">
        <v>2</v>
      </c>
    </row>
    <row r="953" spans="1:7" x14ac:dyDescent="0.25">
      <c r="A953" s="2">
        <v>2027</v>
      </c>
      <c r="B953" s="2" t="s">
        <v>77</v>
      </c>
      <c r="C953" s="8">
        <v>28</v>
      </c>
      <c r="D953" s="2">
        <v>4</v>
      </c>
      <c r="E953" s="2">
        <v>1</v>
      </c>
      <c r="F953" s="2">
        <v>3</v>
      </c>
      <c r="G953" s="2">
        <v>1</v>
      </c>
    </row>
    <row r="954" spans="1:7" x14ac:dyDescent="0.25">
      <c r="A954" s="2">
        <v>2027</v>
      </c>
      <c r="B954" s="2" t="s">
        <v>78</v>
      </c>
      <c r="C954" s="8">
        <v>1</v>
      </c>
      <c r="D954" s="2">
        <v>2</v>
      </c>
      <c r="E954" s="2">
        <v>2</v>
      </c>
      <c r="F954" s="2">
        <v>2</v>
      </c>
      <c r="G954" s="2">
        <v>4</v>
      </c>
    </row>
    <row r="955" spans="1:7" x14ac:dyDescent="0.25">
      <c r="A955" s="2">
        <v>2027</v>
      </c>
      <c r="B955" s="2" t="s">
        <v>78</v>
      </c>
      <c r="C955" s="8">
        <v>2</v>
      </c>
      <c r="D955" s="2">
        <v>2</v>
      </c>
      <c r="E955" s="2">
        <v>1</v>
      </c>
      <c r="F955" s="2">
        <v>2</v>
      </c>
      <c r="G955" s="2">
        <v>1</v>
      </c>
    </row>
    <row r="956" spans="1:7" x14ac:dyDescent="0.25">
      <c r="A956" s="2">
        <v>2027</v>
      </c>
      <c r="B956" s="2" t="s">
        <v>78</v>
      </c>
      <c r="C956" s="8">
        <v>3</v>
      </c>
      <c r="D956" s="2">
        <v>1</v>
      </c>
      <c r="E956" s="2">
        <v>1</v>
      </c>
      <c r="F956" s="2">
        <v>1</v>
      </c>
      <c r="G956" s="2">
        <v>1</v>
      </c>
    </row>
    <row r="957" spans="1:7" x14ac:dyDescent="0.25">
      <c r="A957" s="2">
        <v>2027</v>
      </c>
      <c r="B957" s="2" t="s">
        <v>78</v>
      </c>
      <c r="C957" s="8">
        <v>4</v>
      </c>
      <c r="D957" s="2">
        <v>2</v>
      </c>
      <c r="E957" s="2">
        <v>2</v>
      </c>
      <c r="F957" s="2">
        <v>3</v>
      </c>
      <c r="G957" s="2">
        <v>1</v>
      </c>
    </row>
    <row r="958" spans="1:7" x14ac:dyDescent="0.25">
      <c r="A958" s="2">
        <v>2027</v>
      </c>
      <c r="B958" s="2" t="s">
        <v>78</v>
      </c>
      <c r="C958" s="8">
        <v>5</v>
      </c>
      <c r="D958" s="2">
        <v>1</v>
      </c>
      <c r="E958" s="2">
        <v>1</v>
      </c>
      <c r="F958" s="2">
        <v>2</v>
      </c>
      <c r="G958" s="2">
        <v>2</v>
      </c>
    </row>
    <row r="959" spans="1:7" x14ac:dyDescent="0.25">
      <c r="A959" s="2">
        <v>2027</v>
      </c>
      <c r="B959" s="2" t="s">
        <v>78</v>
      </c>
      <c r="C959" s="8">
        <v>6</v>
      </c>
      <c r="D959" s="2">
        <v>1</v>
      </c>
      <c r="E959" s="2">
        <v>3</v>
      </c>
      <c r="F959" s="2">
        <v>1</v>
      </c>
      <c r="G959" s="2">
        <v>2</v>
      </c>
    </row>
    <row r="960" spans="1:7" x14ac:dyDescent="0.25">
      <c r="A960" s="2">
        <v>2027</v>
      </c>
      <c r="B960" s="2" t="s">
        <v>78</v>
      </c>
      <c r="C960" s="8">
        <v>7</v>
      </c>
      <c r="D960" s="2">
        <v>1</v>
      </c>
      <c r="E960" s="2">
        <v>3</v>
      </c>
      <c r="F960" s="2">
        <v>1</v>
      </c>
      <c r="G960" s="2">
        <v>1</v>
      </c>
    </row>
    <row r="961" spans="1:7" x14ac:dyDescent="0.25">
      <c r="A961" s="2">
        <v>2027</v>
      </c>
      <c r="B961" s="2" t="s">
        <v>78</v>
      </c>
      <c r="C961" s="8">
        <v>8</v>
      </c>
      <c r="D961" s="2">
        <v>1</v>
      </c>
      <c r="E961" s="2">
        <v>4</v>
      </c>
      <c r="F961" s="2">
        <v>2</v>
      </c>
      <c r="G961" s="2">
        <v>1</v>
      </c>
    </row>
    <row r="962" spans="1:7" x14ac:dyDescent="0.25">
      <c r="A962" s="2">
        <v>2027</v>
      </c>
      <c r="B962" s="2" t="s">
        <v>78</v>
      </c>
      <c r="C962" s="8">
        <v>9</v>
      </c>
      <c r="D962" s="2">
        <v>2</v>
      </c>
      <c r="E962" s="2">
        <v>2</v>
      </c>
      <c r="F962" s="2">
        <v>2</v>
      </c>
      <c r="G962" s="2">
        <v>2</v>
      </c>
    </row>
    <row r="963" spans="1:7" x14ac:dyDescent="0.25">
      <c r="A963" s="2">
        <v>2027</v>
      </c>
      <c r="B963" s="2" t="s">
        <v>78</v>
      </c>
      <c r="C963" s="8">
        <v>10</v>
      </c>
      <c r="D963" s="2">
        <v>2</v>
      </c>
      <c r="E963" s="2">
        <v>2</v>
      </c>
      <c r="F963" s="2">
        <v>3</v>
      </c>
      <c r="G963" s="2">
        <v>2</v>
      </c>
    </row>
    <row r="964" spans="1:7" x14ac:dyDescent="0.25">
      <c r="A964" s="2">
        <v>2027</v>
      </c>
      <c r="B964" s="2" t="s">
        <v>78</v>
      </c>
      <c r="C964" s="8">
        <v>11</v>
      </c>
      <c r="D964" s="2">
        <v>4</v>
      </c>
      <c r="E964" s="2">
        <v>1</v>
      </c>
      <c r="F964" s="2">
        <v>3</v>
      </c>
      <c r="G964" s="2">
        <v>2</v>
      </c>
    </row>
    <row r="965" spans="1:7" x14ac:dyDescent="0.25">
      <c r="A965" s="2">
        <v>2027</v>
      </c>
      <c r="B965" s="2" t="s">
        <v>78</v>
      </c>
      <c r="C965" s="8">
        <v>12</v>
      </c>
      <c r="D965" s="2">
        <v>1</v>
      </c>
      <c r="E965" s="2">
        <v>4</v>
      </c>
      <c r="F965" s="2">
        <v>1</v>
      </c>
      <c r="G965" s="2">
        <v>1</v>
      </c>
    </row>
    <row r="966" spans="1:7" x14ac:dyDescent="0.25">
      <c r="A966" s="2">
        <v>2027</v>
      </c>
      <c r="B966" s="2" t="s">
        <v>78</v>
      </c>
      <c r="C966" s="8">
        <v>13</v>
      </c>
      <c r="D966" s="2">
        <v>2</v>
      </c>
      <c r="E966" s="2">
        <v>1</v>
      </c>
      <c r="F966" s="2">
        <v>4</v>
      </c>
      <c r="G966" s="2">
        <v>2</v>
      </c>
    </row>
    <row r="967" spans="1:7" x14ac:dyDescent="0.25">
      <c r="A967" s="2">
        <v>2027</v>
      </c>
      <c r="B967" s="2" t="s">
        <v>78</v>
      </c>
      <c r="C967" s="8">
        <v>14</v>
      </c>
      <c r="D967" s="2">
        <v>1</v>
      </c>
      <c r="E967" s="2">
        <v>2</v>
      </c>
      <c r="F967" s="2">
        <v>3</v>
      </c>
      <c r="G967" s="2">
        <v>4</v>
      </c>
    </row>
    <row r="968" spans="1:7" x14ac:dyDescent="0.25">
      <c r="A968" s="2">
        <v>2027</v>
      </c>
      <c r="B968" s="2" t="s">
        <v>78</v>
      </c>
      <c r="C968" s="8">
        <v>15</v>
      </c>
      <c r="D968" s="2">
        <v>3</v>
      </c>
      <c r="E968" s="2">
        <v>1</v>
      </c>
      <c r="F968" s="2">
        <v>3</v>
      </c>
      <c r="G968" s="2">
        <v>2</v>
      </c>
    </row>
    <row r="969" spans="1:7" x14ac:dyDescent="0.25">
      <c r="A969" s="2">
        <v>2027</v>
      </c>
      <c r="B969" s="2" t="s">
        <v>78</v>
      </c>
      <c r="C969" s="8">
        <v>16</v>
      </c>
      <c r="D969" s="2">
        <v>3</v>
      </c>
      <c r="E969" s="2">
        <v>2</v>
      </c>
      <c r="F969" s="2">
        <v>2</v>
      </c>
      <c r="G969" s="2">
        <v>2</v>
      </c>
    </row>
    <row r="970" spans="1:7" x14ac:dyDescent="0.25">
      <c r="A970" s="2">
        <v>2027</v>
      </c>
      <c r="B970" s="2" t="s">
        <v>78</v>
      </c>
      <c r="C970" s="8">
        <v>17</v>
      </c>
      <c r="D970" s="2">
        <v>1</v>
      </c>
      <c r="E970" s="2">
        <v>3</v>
      </c>
      <c r="F970" s="2">
        <v>2</v>
      </c>
      <c r="G970" s="2">
        <v>4</v>
      </c>
    </row>
    <row r="971" spans="1:7" x14ac:dyDescent="0.25">
      <c r="A971" s="2">
        <v>2027</v>
      </c>
      <c r="B971" s="2" t="s">
        <v>78</v>
      </c>
      <c r="C971" s="8">
        <v>18</v>
      </c>
      <c r="D971" s="2">
        <v>1</v>
      </c>
      <c r="E971" s="2">
        <v>4</v>
      </c>
      <c r="F971" s="2">
        <v>1</v>
      </c>
      <c r="G971" s="2">
        <v>1</v>
      </c>
    </row>
    <row r="972" spans="1:7" x14ac:dyDescent="0.25">
      <c r="A972" s="2">
        <v>2027</v>
      </c>
      <c r="B972" s="2" t="s">
        <v>78</v>
      </c>
      <c r="C972" s="8">
        <v>19</v>
      </c>
      <c r="D972" s="2">
        <v>1</v>
      </c>
      <c r="E972" s="2">
        <v>2</v>
      </c>
      <c r="F972" s="2">
        <v>1</v>
      </c>
      <c r="G972" s="2">
        <v>3</v>
      </c>
    </row>
    <row r="973" spans="1:7" x14ac:dyDescent="0.25">
      <c r="A973" s="2">
        <v>2027</v>
      </c>
      <c r="B973" s="2" t="s">
        <v>78</v>
      </c>
      <c r="C973" s="8">
        <v>20</v>
      </c>
      <c r="D973" s="2">
        <v>3</v>
      </c>
      <c r="E973" s="2">
        <v>1</v>
      </c>
      <c r="F973" s="2">
        <v>4</v>
      </c>
      <c r="G973" s="2">
        <v>1</v>
      </c>
    </row>
    <row r="974" spans="1:7" x14ac:dyDescent="0.25">
      <c r="A974" s="2">
        <v>2027</v>
      </c>
      <c r="B974" s="2" t="s">
        <v>78</v>
      </c>
      <c r="C974" s="8">
        <v>21</v>
      </c>
      <c r="D974" s="2">
        <v>4</v>
      </c>
      <c r="E974" s="2">
        <v>2</v>
      </c>
      <c r="F974" s="2">
        <v>3</v>
      </c>
      <c r="G974" s="2">
        <v>4</v>
      </c>
    </row>
    <row r="975" spans="1:7" x14ac:dyDescent="0.25">
      <c r="A975" s="2">
        <v>2027</v>
      </c>
      <c r="B975" s="2" t="s">
        <v>78</v>
      </c>
      <c r="C975" s="8">
        <v>22</v>
      </c>
      <c r="D975" s="2">
        <v>2</v>
      </c>
      <c r="E975" s="2">
        <v>2</v>
      </c>
      <c r="F975" s="2">
        <v>1</v>
      </c>
      <c r="G975" s="2">
        <v>2</v>
      </c>
    </row>
    <row r="976" spans="1:7" x14ac:dyDescent="0.25">
      <c r="A976" s="2">
        <v>2027</v>
      </c>
      <c r="B976" s="2" t="s">
        <v>78</v>
      </c>
      <c r="C976" s="8">
        <v>23</v>
      </c>
      <c r="D976" s="2">
        <v>3</v>
      </c>
      <c r="E976" s="2">
        <v>2</v>
      </c>
      <c r="F976" s="2">
        <v>2</v>
      </c>
      <c r="G976" s="2">
        <v>1</v>
      </c>
    </row>
    <row r="977" spans="1:7" x14ac:dyDescent="0.25">
      <c r="A977" s="2">
        <v>2027</v>
      </c>
      <c r="B977" s="2" t="s">
        <v>78</v>
      </c>
      <c r="C977" s="8">
        <v>24</v>
      </c>
      <c r="D977" s="2">
        <v>4</v>
      </c>
      <c r="E977" s="2">
        <v>2</v>
      </c>
      <c r="F977" s="2">
        <v>1</v>
      </c>
      <c r="G977" s="2">
        <v>1</v>
      </c>
    </row>
    <row r="978" spans="1:7" x14ac:dyDescent="0.25">
      <c r="A978" s="2">
        <v>2027</v>
      </c>
      <c r="B978" s="2" t="s">
        <v>78</v>
      </c>
      <c r="C978" s="8">
        <v>25</v>
      </c>
      <c r="D978" s="2">
        <v>2</v>
      </c>
      <c r="E978" s="2">
        <v>3</v>
      </c>
      <c r="F978" s="2">
        <v>2</v>
      </c>
      <c r="G978" s="2">
        <v>1</v>
      </c>
    </row>
    <row r="979" spans="1:7" x14ac:dyDescent="0.25">
      <c r="A979" s="2">
        <v>2027</v>
      </c>
      <c r="B979" s="2" t="s">
        <v>78</v>
      </c>
      <c r="C979" s="8">
        <v>26</v>
      </c>
      <c r="D979" s="2">
        <v>3</v>
      </c>
      <c r="E979" s="2">
        <v>1</v>
      </c>
      <c r="F979" s="2">
        <v>3</v>
      </c>
      <c r="G979" s="2">
        <v>4</v>
      </c>
    </row>
    <row r="980" spans="1:7" x14ac:dyDescent="0.25">
      <c r="A980" s="2">
        <v>2027</v>
      </c>
      <c r="B980" s="2" t="s">
        <v>78</v>
      </c>
      <c r="C980" s="8">
        <v>27</v>
      </c>
      <c r="D980" s="2">
        <v>1</v>
      </c>
      <c r="E980" s="2">
        <v>2</v>
      </c>
      <c r="F980" s="2">
        <v>1</v>
      </c>
      <c r="G980" s="2">
        <v>1</v>
      </c>
    </row>
    <row r="981" spans="1:7" x14ac:dyDescent="0.25">
      <c r="A981" s="2">
        <v>2027</v>
      </c>
      <c r="B981" s="2" t="s">
        <v>78</v>
      </c>
      <c r="C981" s="8">
        <v>28</v>
      </c>
      <c r="D981" s="2">
        <v>2</v>
      </c>
      <c r="E981" s="2">
        <v>1</v>
      </c>
      <c r="F981" s="2">
        <v>2</v>
      </c>
      <c r="G981" s="2">
        <v>2</v>
      </c>
    </row>
    <row r="982" spans="1:7" x14ac:dyDescent="0.25">
      <c r="A982" s="2">
        <v>2027</v>
      </c>
      <c r="B982" s="2" t="s">
        <v>79</v>
      </c>
      <c r="C982" s="8">
        <v>1</v>
      </c>
      <c r="D982" s="2">
        <v>2</v>
      </c>
      <c r="E982" s="2">
        <v>4</v>
      </c>
      <c r="F982" s="2">
        <v>2</v>
      </c>
      <c r="G982" s="2">
        <v>2</v>
      </c>
    </row>
    <row r="983" spans="1:7" x14ac:dyDescent="0.25">
      <c r="A983" s="2">
        <v>2027</v>
      </c>
      <c r="B983" s="2" t="s">
        <v>79</v>
      </c>
      <c r="C983" s="8">
        <v>2</v>
      </c>
      <c r="D983" s="2">
        <v>2</v>
      </c>
      <c r="E983" s="2">
        <v>1</v>
      </c>
      <c r="F983" s="2">
        <v>4</v>
      </c>
      <c r="G983" s="2">
        <v>2</v>
      </c>
    </row>
    <row r="984" spans="1:7" x14ac:dyDescent="0.25">
      <c r="A984" s="2">
        <v>2027</v>
      </c>
      <c r="B984" s="2" t="s">
        <v>79</v>
      </c>
      <c r="C984" s="8">
        <v>3</v>
      </c>
      <c r="D984" s="2">
        <v>1</v>
      </c>
      <c r="E984" s="2">
        <v>2</v>
      </c>
      <c r="F984" s="2">
        <v>1</v>
      </c>
      <c r="G984" s="2">
        <v>4</v>
      </c>
    </row>
    <row r="985" spans="1:7" x14ac:dyDescent="0.25">
      <c r="A985" s="2">
        <v>2027</v>
      </c>
      <c r="B985" s="2" t="s">
        <v>79</v>
      </c>
      <c r="C985" s="8">
        <v>4</v>
      </c>
      <c r="D985" s="2">
        <v>1</v>
      </c>
      <c r="E985" s="2">
        <v>3</v>
      </c>
      <c r="F985" s="2">
        <v>2</v>
      </c>
      <c r="G985" s="2">
        <v>1</v>
      </c>
    </row>
    <row r="986" spans="1:7" x14ac:dyDescent="0.25">
      <c r="A986" s="2">
        <v>2027</v>
      </c>
      <c r="B986" s="2" t="s">
        <v>79</v>
      </c>
      <c r="C986" s="8">
        <v>5</v>
      </c>
      <c r="D986" s="2">
        <v>2</v>
      </c>
      <c r="E986" s="2">
        <v>1</v>
      </c>
      <c r="F986" s="2">
        <v>1</v>
      </c>
      <c r="G986" s="2">
        <v>1</v>
      </c>
    </row>
    <row r="987" spans="1:7" x14ac:dyDescent="0.25">
      <c r="A987" s="2">
        <v>2027</v>
      </c>
      <c r="B987" s="2" t="s">
        <v>79</v>
      </c>
      <c r="C987" s="8">
        <v>6</v>
      </c>
      <c r="D987" s="2">
        <v>3</v>
      </c>
      <c r="E987" s="2">
        <v>2</v>
      </c>
      <c r="F987" s="2">
        <v>3</v>
      </c>
      <c r="G987" s="2">
        <v>3</v>
      </c>
    </row>
    <row r="988" spans="1:7" x14ac:dyDescent="0.25">
      <c r="A988" s="2">
        <v>2027</v>
      </c>
      <c r="B988" s="2" t="s">
        <v>79</v>
      </c>
      <c r="C988" s="8">
        <v>7</v>
      </c>
      <c r="D988" s="2">
        <v>1</v>
      </c>
      <c r="E988" s="2">
        <v>1</v>
      </c>
      <c r="F988" s="2">
        <v>2</v>
      </c>
      <c r="G988" s="2">
        <v>1</v>
      </c>
    </row>
    <row r="989" spans="1:7" x14ac:dyDescent="0.25">
      <c r="A989" s="2">
        <v>2027</v>
      </c>
      <c r="B989" s="2" t="s">
        <v>79</v>
      </c>
      <c r="C989" s="8">
        <v>8</v>
      </c>
      <c r="D989" s="2">
        <v>1</v>
      </c>
      <c r="E989" s="2">
        <v>1</v>
      </c>
      <c r="F989" s="2">
        <v>3</v>
      </c>
      <c r="G989" s="2">
        <v>2</v>
      </c>
    </row>
    <row r="990" spans="1:7" x14ac:dyDescent="0.25">
      <c r="A990" s="2">
        <v>2027</v>
      </c>
      <c r="B990" s="2" t="s">
        <v>79</v>
      </c>
      <c r="C990" s="8">
        <v>9</v>
      </c>
      <c r="D990" s="2">
        <v>1</v>
      </c>
      <c r="E990" s="2">
        <v>2</v>
      </c>
      <c r="F990" s="2">
        <v>2</v>
      </c>
      <c r="G990" s="2">
        <v>3</v>
      </c>
    </row>
    <row r="991" spans="1:7" x14ac:dyDescent="0.25">
      <c r="A991" s="2">
        <v>2027</v>
      </c>
      <c r="B991" s="2" t="s">
        <v>79</v>
      </c>
      <c r="C991" s="8">
        <v>10</v>
      </c>
      <c r="D991" s="2">
        <v>1</v>
      </c>
      <c r="E991" s="2">
        <v>1</v>
      </c>
      <c r="F991" s="2">
        <v>1</v>
      </c>
      <c r="G991" s="2">
        <v>3</v>
      </c>
    </row>
    <row r="992" spans="1:7" x14ac:dyDescent="0.25">
      <c r="A992" s="2">
        <v>2027</v>
      </c>
      <c r="B992" s="2" t="s">
        <v>79</v>
      </c>
      <c r="C992" s="8">
        <v>11</v>
      </c>
      <c r="D992" s="2">
        <v>3</v>
      </c>
      <c r="E992" s="2">
        <v>1</v>
      </c>
      <c r="F992" s="2">
        <v>1</v>
      </c>
      <c r="G992" s="2">
        <v>1</v>
      </c>
    </row>
    <row r="993" spans="1:7" x14ac:dyDescent="0.25">
      <c r="A993" s="2">
        <v>2027</v>
      </c>
      <c r="B993" s="2" t="s">
        <v>79</v>
      </c>
      <c r="C993" s="8">
        <v>12</v>
      </c>
      <c r="D993" s="2">
        <v>1</v>
      </c>
      <c r="E993" s="2">
        <v>1</v>
      </c>
      <c r="F993" s="2">
        <v>3</v>
      </c>
      <c r="G993" s="2">
        <v>2</v>
      </c>
    </row>
    <row r="994" spans="1:7" x14ac:dyDescent="0.25">
      <c r="A994" s="2">
        <v>2027</v>
      </c>
      <c r="B994" s="2" t="s">
        <v>79</v>
      </c>
      <c r="C994" s="8">
        <v>13</v>
      </c>
      <c r="D994" s="2">
        <v>1</v>
      </c>
      <c r="E994" s="2">
        <v>1</v>
      </c>
      <c r="F994" s="2">
        <v>4</v>
      </c>
      <c r="G994" s="2">
        <v>4</v>
      </c>
    </row>
    <row r="995" spans="1:7" x14ac:dyDescent="0.25">
      <c r="A995" s="2">
        <v>2027</v>
      </c>
      <c r="B995" s="2" t="s">
        <v>79</v>
      </c>
      <c r="C995" s="8">
        <v>14</v>
      </c>
      <c r="D995" s="2">
        <v>1</v>
      </c>
      <c r="E995" s="2">
        <v>2</v>
      </c>
      <c r="F995" s="2">
        <v>1</v>
      </c>
      <c r="G995" s="2">
        <v>2</v>
      </c>
    </row>
    <row r="996" spans="1:7" x14ac:dyDescent="0.25">
      <c r="A996" s="2">
        <v>2027</v>
      </c>
      <c r="B996" s="2" t="s">
        <v>79</v>
      </c>
      <c r="C996" s="8">
        <v>15</v>
      </c>
      <c r="D996" s="2">
        <v>2</v>
      </c>
      <c r="E996" s="2">
        <v>2</v>
      </c>
      <c r="F996" s="2">
        <v>1</v>
      </c>
      <c r="G996" s="2">
        <v>1</v>
      </c>
    </row>
    <row r="997" spans="1:7" x14ac:dyDescent="0.25">
      <c r="A997" s="2">
        <v>2027</v>
      </c>
      <c r="B997" s="2" t="s">
        <v>79</v>
      </c>
      <c r="C997" s="8">
        <v>16</v>
      </c>
      <c r="D997" s="2">
        <v>2</v>
      </c>
      <c r="E997" s="2">
        <v>1</v>
      </c>
      <c r="F997" s="2">
        <v>3</v>
      </c>
      <c r="G997" s="2">
        <v>1</v>
      </c>
    </row>
    <row r="998" spans="1:7" x14ac:dyDescent="0.25">
      <c r="A998" s="2">
        <v>2027</v>
      </c>
      <c r="B998" s="2" t="s">
        <v>79</v>
      </c>
      <c r="C998" s="8">
        <v>17</v>
      </c>
      <c r="D998" s="2">
        <v>1</v>
      </c>
      <c r="E998" s="2">
        <v>1</v>
      </c>
      <c r="F998" s="2">
        <v>2</v>
      </c>
      <c r="G998" s="2">
        <v>1</v>
      </c>
    </row>
    <row r="999" spans="1:7" x14ac:dyDescent="0.25">
      <c r="A999" s="2">
        <v>2027</v>
      </c>
      <c r="B999" s="2" t="s">
        <v>79</v>
      </c>
      <c r="C999" s="8">
        <v>18</v>
      </c>
      <c r="D999" s="2">
        <v>1</v>
      </c>
      <c r="E999" s="2">
        <v>3</v>
      </c>
      <c r="F999" s="2">
        <v>2</v>
      </c>
      <c r="G999" s="2">
        <v>2</v>
      </c>
    </row>
    <row r="1000" spans="1:7" x14ac:dyDescent="0.25">
      <c r="A1000" s="2">
        <v>2027</v>
      </c>
      <c r="B1000" s="2" t="s">
        <v>79</v>
      </c>
      <c r="C1000" s="8">
        <v>19</v>
      </c>
      <c r="D1000" s="2">
        <v>1</v>
      </c>
      <c r="E1000" s="2">
        <v>1</v>
      </c>
      <c r="F1000" s="2">
        <v>1</v>
      </c>
      <c r="G1000" s="2">
        <v>3</v>
      </c>
    </row>
    <row r="1001" spans="1:7" x14ac:dyDescent="0.25">
      <c r="A1001" s="2">
        <v>2027</v>
      </c>
      <c r="B1001" s="2" t="s">
        <v>79</v>
      </c>
      <c r="C1001" s="8">
        <v>20</v>
      </c>
      <c r="D1001" s="2">
        <v>2</v>
      </c>
      <c r="E1001" s="2">
        <v>1</v>
      </c>
      <c r="F1001" s="2">
        <v>1</v>
      </c>
      <c r="G1001" s="2">
        <v>3</v>
      </c>
    </row>
    <row r="1002" spans="1:7" x14ac:dyDescent="0.25">
      <c r="A1002" s="2">
        <v>2027</v>
      </c>
      <c r="B1002" s="2" t="s">
        <v>79</v>
      </c>
      <c r="C1002" s="8">
        <v>21</v>
      </c>
      <c r="D1002" s="2">
        <v>2</v>
      </c>
      <c r="E1002" s="2">
        <v>1</v>
      </c>
      <c r="F1002" s="2">
        <v>1</v>
      </c>
      <c r="G1002" s="2">
        <v>1</v>
      </c>
    </row>
    <row r="1003" spans="1:7" x14ac:dyDescent="0.25">
      <c r="A1003" s="2">
        <v>2027</v>
      </c>
      <c r="B1003" s="2" t="s">
        <v>79</v>
      </c>
      <c r="C1003" s="8">
        <v>22</v>
      </c>
      <c r="D1003" s="2">
        <v>1</v>
      </c>
      <c r="E1003" s="2">
        <v>2</v>
      </c>
      <c r="F1003" s="2">
        <v>2</v>
      </c>
      <c r="G1003" s="2">
        <v>1</v>
      </c>
    </row>
    <row r="1004" spans="1:7" x14ac:dyDescent="0.25">
      <c r="A1004" s="2">
        <v>2027</v>
      </c>
      <c r="B1004" s="2" t="s">
        <v>79</v>
      </c>
      <c r="C1004" s="8">
        <v>23</v>
      </c>
      <c r="D1004" s="2">
        <v>1</v>
      </c>
      <c r="E1004" s="2">
        <v>1</v>
      </c>
      <c r="F1004" s="2">
        <v>3</v>
      </c>
      <c r="G1004" s="2">
        <v>1</v>
      </c>
    </row>
    <row r="1005" spans="1:7" x14ac:dyDescent="0.25">
      <c r="A1005" s="2">
        <v>2027</v>
      </c>
      <c r="B1005" s="2" t="s">
        <v>79</v>
      </c>
      <c r="C1005" s="8">
        <v>24</v>
      </c>
      <c r="D1005" s="2">
        <v>1</v>
      </c>
      <c r="E1005" s="2">
        <v>1</v>
      </c>
      <c r="F1005" s="2">
        <v>1</v>
      </c>
      <c r="G1005" s="2">
        <v>3</v>
      </c>
    </row>
    <row r="1006" spans="1:7" x14ac:dyDescent="0.25">
      <c r="A1006" s="2">
        <v>2027</v>
      </c>
      <c r="B1006" s="2" t="s">
        <v>79</v>
      </c>
      <c r="C1006" s="8">
        <v>25</v>
      </c>
      <c r="D1006" s="2">
        <v>3</v>
      </c>
      <c r="E1006" s="2">
        <v>2</v>
      </c>
      <c r="F1006" s="2">
        <v>1</v>
      </c>
      <c r="G1006" s="2">
        <v>2</v>
      </c>
    </row>
    <row r="1007" spans="1:7" x14ac:dyDescent="0.25">
      <c r="A1007" s="2">
        <v>2027</v>
      </c>
      <c r="B1007" s="2" t="s">
        <v>79</v>
      </c>
      <c r="C1007" s="8">
        <v>26</v>
      </c>
      <c r="D1007" s="2">
        <v>2</v>
      </c>
      <c r="E1007" s="2">
        <v>1</v>
      </c>
      <c r="F1007" s="2">
        <v>1</v>
      </c>
      <c r="G1007" s="2">
        <v>3</v>
      </c>
    </row>
    <row r="1008" spans="1:7" x14ac:dyDescent="0.25">
      <c r="A1008" s="2">
        <v>2027</v>
      </c>
      <c r="B1008" s="2" t="s">
        <v>79</v>
      </c>
      <c r="C1008" s="8">
        <v>27</v>
      </c>
      <c r="D1008" s="2">
        <v>2</v>
      </c>
      <c r="E1008" s="2">
        <v>1</v>
      </c>
      <c r="F1008" s="2">
        <v>2</v>
      </c>
      <c r="G1008" s="2">
        <v>4</v>
      </c>
    </row>
    <row r="1009" spans="1:7" x14ac:dyDescent="0.25">
      <c r="A1009" s="2">
        <v>2027</v>
      </c>
      <c r="B1009" s="2" t="s">
        <v>79</v>
      </c>
      <c r="C1009" s="8">
        <v>28</v>
      </c>
      <c r="D1009" s="2">
        <v>2</v>
      </c>
      <c r="E1009" s="2">
        <v>1</v>
      </c>
      <c r="F1009" s="2">
        <v>1</v>
      </c>
      <c r="G1009" s="2">
        <v>1</v>
      </c>
    </row>
    <row r="1010" spans="1:7" x14ac:dyDescent="0.25">
      <c r="A1010" s="2">
        <v>2028</v>
      </c>
      <c r="B1010" s="2" t="s">
        <v>68</v>
      </c>
      <c r="C1010" s="8">
        <v>1</v>
      </c>
      <c r="D1010" s="2">
        <v>1</v>
      </c>
      <c r="E1010" s="2">
        <v>1</v>
      </c>
      <c r="F1010" s="2">
        <v>1</v>
      </c>
      <c r="G1010" s="2">
        <v>1</v>
      </c>
    </row>
    <row r="1011" spans="1:7" x14ac:dyDescent="0.25">
      <c r="A1011" s="2">
        <v>2028</v>
      </c>
      <c r="B1011" s="2" t="s">
        <v>68</v>
      </c>
      <c r="C1011" s="8">
        <v>2</v>
      </c>
      <c r="D1011" s="2">
        <v>1</v>
      </c>
      <c r="E1011" s="2">
        <v>2</v>
      </c>
      <c r="F1011" s="2">
        <v>4</v>
      </c>
      <c r="G1011" s="2">
        <v>1</v>
      </c>
    </row>
    <row r="1012" spans="1:7" x14ac:dyDescent="0.25">
      <c r="A1012" s="2">
        <v>2028</v>
      </c>
      <c r="B1012" s="2" t="s">
        <v>68</v>
      </c>
      <c r="C1012" s="8">
        <v>3</v>
      </c>
      <c r="D1012" s="2">
        <v>2</v>
      </c>
      <c r="E1012" s="2">
        <v>1</v>
      </c>
      <c r="F1012" s="2">
        <v>3</v>
      </c>
      <c r="G1012" s="2">
        <v>1</v>
      </c>
    </row>
    <row r="1013" spans="1:7" x14ac:dyDescent="0.25">
      <c r="A1013" s="2">
        <v>2028</v>
      </c>
      <c r="B1013" s="2" t="s">
        <v>68</v>
      </c>
      <c r="C1013" s="8">
        <v>4</v>
      </c>
      <c r="D1013" s="2">
        <v>1</v>
      </c>
      <c r="E1013" s="2">
        <v>2</v>
      </c>
      <c r="F1013" s="2">
        <v>1</v>
      </c>
      <c r="G1013" s="2">
        <v>2</v>
      </c>
    </row>
    <row r="1014" spans="1:7" x14ac:dyDescent="0.25">
      <c r="A1014" s="2">
        <v>2028</v>
      </c>
      <c r="B1014" s="2" t="s">
        <v>68</v>
      </c>
      <c r="C1014" s="8">
        <v>5</v>
      </c>
      <c r="D1014" s="2">
        <v>3</v>
      </c>
      <c r="E1014" s="2">
        <v>1</v>
      </c>
      <c r="F1014" s="2">
        <v>4</v>
      </c>
      <c r="G1014" s="2">
        <v>2</v>
      </c>
    </row>
    <row r="1015" spans="1:7" x14ac:dyDescent="0.25">
      <c r="A1015" s="2">
        <v>2028</v>
      </c>
      <c r="B1015" s="2" t="s">
        <v>68</v>
      </c>
      <c r="C1015" s="8">
        <v>6</v>
      </c>
      <c r="D1015" s="2">
        <v>3</v>
      </c>
      <c r="E1015" s="2">
        <v>2</v>
      </c>
      <c r="F1015" s="2">
        <v>2</v>
      </c>
      <c r="G1015" s="2">
        <v>2</v>
      </c>
    </row>
    <row r="1016" spans="1:7" x14ac:dyDescent="0.25">
      <c r="A1016" s="2">
        <v>2028</v>
      </c>
      <c r="B1016" s="2" t="s">
        <v>68</v>
      </c>
      <c r="C1016" s="8">
        <v>7</v>
      </c>
      <c r="D1016" s="2">
        <v>4</v>
      </c>
      <c r="E1016" s="2">
        <v>1</v>
      </c>
      <c r="F1016" s="2">
        <v>4</v>
      </c>
      <c r="G1016" s="2">
        <v>1</v>
      </c>
    </row>
    <row r="1017" spans="1:7" x14ac:dyDescent="0.25">
      <c r="A1017" s="2">
        <v>2028</v>
      </c>
      <c r="B1017" s="2" t="s">
        <v>68</v>
      </c>
      <c r="C1017" s="8">
        <v>8</v>
      </c>
      <c r="D1017" s="2">
        <v>4</v>
      </c>
      <c r="E1017" s="2">
        <v>4</v>
      </c>
      <c r="F1017" s="2">
        <v>4</v>
      </c>
      <c r="G1017" s="2">
        <v>2</v>
      </c>
    </row>
    <row r="1018" spans="1:7" x14ac:dyDescent="0.25">
      <c r="A1018" s="2">
        <v>2028</v>
      </c>
      <c r="B1018" s="2" t="s">
        <v>68</v>
      </c>
      <c r="C1018" s="8">
        <v>9</v>
      </c>
      <c r="D1018" s="2">
        <v>4</v>
      </c>
      <c r="E1018" s="2">
        <v>3</v>
      </c>
      <c r="F1018" s="2">
        <v>2</v>
      </c>
      <c r="G1018" s="2">
        <v>1</v>
      </c>
    </row>
    <row r="1019" spans="1:7" x14ac:dyDescent="0.25">
      <c r="A1019" s="2">
        <v>2028</v>
      </c>
      <c r="B1019" s="2" t="s">
        <v>68</v>
      </c>
      <c r="C1019" s="8">
        <v>10</v>
      </c>
      <c r="D1019" s="2">
        <v>1</v>
      </c>
      <c r="E1019" s="2">
        <v>3</v>
      </c>
      <c r="F1019" s="2">
        <v>2</v>
      </c>
      <c r="G1019" s="2">
        <v>1</v>
      </c>
    </row>
    <row r="1020" spans="1:7" x14ac:dyDescent="0.25">
      <c r="A1020" s="2">
        <v>2028</v>
      </c>
      <c r="B1020" s="2" t="s">
        <v>68</v>
      </c>
      <c r="C1020" s="8">
        <v>11</v>
      </c>
      <c r="D1020" s="2">
        <v>2</v>
      </c>
      <c r="E1020" s="2">
        <v>2</v>
      </c>
      <c r="F1020" s="2">
        <v>3</v>
      </c>
      <c r="G1020" s="2">
        <v>1</v>
      </c>
    </row>
    <row r="1021" spans="1:7" x14ac:dyDescent="0.25">
      <c r="A1021" s="2">
        <v>2028</v>
      </c>
      <c r="B1021" s="2" t="s">
        <v>68</v>
      </c>
      <c r="C1021" s="8">
        <v>12</v>
      </c>
      <c r="D1021" s="2">
        <v>1</v>
      </c>
      <c r="E1021" s="2">
        <v>2</v>
      </c>
      <c r="F1021" s="2">
        <v>3</v>
      </c>
      <c r="G1021" s="2">
        <v>2</v>
      </c>
    </row>
    <row r="1022" spans="1:7" x14ac:dyDescent="0.25">
      <c r="A1022" s="2">
        <v>2028</v>
      </c>
      <c r="B1022" s="2" t="s">
        <v>68</v>
      </c>
      <c r="C1022" s="8">
        <v>13</v>
      </c>
      <c r="D1022" s="2">
        <v>1</v>
      </c>
      <c r="E1022" s="2">
        <v>3</v>
      </c>
      <c r="F1022" s="2">
        <v>2</v>
      </c>
      <c r="G1022" s="2">
        <v>3</v>
      </c>
    </row>
    <row r="1023" spans="1:7" x14ac:dyDescent="0.25">
      <c r="A1023" s="2">
        <v>2028</v>
      </c>
      <c r="B1023" s="2" t="s">
        <v>68</v>
      </c>
      <c r="C1023" s="8">
        <v>14</v>
      </c>
      <c r="D1023" s="2">
        <v>1</v>
      </c>
      <c r="E1023" s="2">
        <v>1</v>
      </c>
      <c r="F1023" s="2">
        <v>4</v>
      </c>
      <c r="G1023" s="2">
        <v>2</v>
      </c>
    </row>
    <row r="1024" spans="1:7" x14ac:dyDescent="0.25">
      <c r="A1024" s="2">
        <v>2028</v>
      </c>
      <c r="B1024" s="2" t="s">
        <v>68</v>
      </c>
      <c r="C1024" s="8">
        <v>15</v>
      </c>
      <c r="D1024" s="2">
        <v>1</v>
      </c>
      <c r="E1024" s="2">
        <v>1</v>
      </c>
      <c r="F1024" s="2">
        <v>2</v>
      </c>
      <c r="G1024" s="2">
        <v>3</v>
      </c>
    </row>
    <row r="1025" spans="1:7" x14ac:dyDescent="0.25">
      <c r="A1025" s="2">
        <v>2028</v>
      </c>
      <c r="B1025" s="2" t="s">
        <v>68</v>
      </c>
      <c r="C1025" s="8">
        <v>16</v>
      </c>
      <c r="D1025" s="2">
        <v>1</v>
      </c>
      <c r="E1025" s="2">
        <v>2</v>
      </c>
      <c r="F1025" s="2">
        <v>2</v>
      </c>
      <c r="G1025" s="2">
        <v>1</v>
      </c>
    </row>
    <row r="1026" spans="1:7" x14ac:dyDescent="0.25">
      <c r="A1026" s="2">
        <v>2028</v>
      </c>
      <c r="B1026" s="2" t="s">
        <v>68</v>
      </c>
      <c r="C1026" s="8">
        <v>17</v>
      </c>
      <c r="D1026" s="2">
        <v>1</v>
      </c>
      <c r="E1026" s="2">
        <v>1</v>
      </c>
      <c r="F1026" s="2">
        <v>2</v>
      </c>
      <c r="G1026" s="2">
        <v>4</v>
      </c>
    </row>
    <row r="1027" spans="1:7" x14ac:dyDescent="0.25">
      <c r="A1027" s="2">
        <v>2028</v>
      </c>
      <c r="B1027" s="2" t="s">
        <v>68</v>
      </c>
      <c r="C1027" s="8">
        <v>18</v>
      </c>
      <c r="D1027" s="2">
        <v>1</v>
      </c>
      <c r="E1027" s="2">
        <v>3</v>
      </c>
      <c r="F1027" s="2">
        <v>1</v>
      </c>
      <c r="G1027" s="2">
        <v>2</v>
      </c>
    </row>
    <row r="1028" spans="1:7" x14ac:dyDescent="0.25">
      <c r="A1028" s="2">
        <v>2028</v>
      </c>
      <c r="B1028" s="2" t="s">
        <v>68</v>
      </c>
      <c r="C1028" s="8">
        <v>19</v>
      </c>
      <c r="D1028" s="2">
        <v>2</v>
      </c>
      <c r="E1028" s="2">
        <v>2</v>
      </c>
      <c r="F1028" s="2">
        <v>1</v>
      </c>
      <c r="G1028" s="2">
        <v>3</v>
      </c>
    </row>
    <row r="1029" spans="1:7" x14ac:dyDescent="0.25">
      <c r="A1029" s="2">
        <v>2028</v>
      </c>
      <c r="B1029" s="2" t="s">
        <v>68</v>
      </c>
      <c r="C1029" s="8">
        <v>20</v>
      </c>
      <c r="D1029" s="2">
        <v>2</v>
      </c>
      <c r="E1029" s="2">
        <v>2</v>
      </c>
      <c r="F1029" s="2">
        <v>4</v>
      </c>
      <c r="G1029" s="2">
        <v>3</v>
      </c>
    </row>
    <row r="1030" spans="1:7" x14ac:dyDescent="0.25">
      <c r="A1030" s="2">
        <v>2028</v>
      </c>
      <c r="B1030" s="2" t="s">
        <v>68</v>
      </c>
      <c r="C1030" s="8">
        <v>21</v>
      </c>
      <c r="D1030" s="2">
        <v>3</v>
      </c>
      <c r="E1030" s="2">
        <v>1</v>
      </c>
      <c r="F1030" s="2">
        <v>1</v>
      </c>
      <c r="G1030" s="2">
        <v>3</v>
      </c>
    </row>
    <row r="1031" spans="1:7" x14ac:dyDescent="0.25">
      <c r="A1031" s="2">
        <v>2028</v>
      </c>
      <c r="B1031" s="2" t="s">
        <v>68</v>
      </c>
      <c r="C1031" s="8">
        <v>22</v>
      </c>
      <c r="D1031" s="2">
        <v>2</v>
      </c>
      <c r="E1031" s="2">
        <v>3</v>
      </c>
      <c r="F1031" s="2">
        <v>2</v>
      </c>
      <c r="G1031" s="2">
        <v>1</v>
      </c>
    </row>
    <row r="1032" spans="1:7" x14ac:dyDescent="0.25">
      <c r="A1032" s="2">
        <v>2028</v>
      </c>
      <c r="B1032" s="2" t="s">
        <v>68</v>
      </c>
      <c r="C1032" s="8">
        <v>23</v>
      </c>
      <c r="D1032" s="2">
        <v>2</v>
      </c>
      <c r="E1032" s="2">
        <v>1</v>
      </c>
      <c r="F1032" s="2">
        <v>1</v>
      </c>
      <c r="G1032" s="2">
        <v>2</v>
      </c>
    </row>
    <row r="1033" spans="1:7" x14ac:dyDescent="0.25">
      <c r="A1033" s="2">
        <v>2028</v>
      </c>
      <c r="B1033" s="2" t="s">
        <v>68</v>
      </c>
      <c r="C1033" s="8">
        <v>24</v>
      </c>
      <c r="D1033" s="2">
        <v>4</v>
      </c>
      <c r="E1033" s="2">
        <v>1</v>
      </c>
      <c r="F1033" s="2">
        <v>3</v>
      </c>
      <c r="G1033" s="2">
        <v>1</v>
      </c>
    </row>
    <row r="1034" spans="1:7" x14ac:dyDescent="0.25">
      <c r="A1034" s="2">
        <v>2028</v>
      </c>
      <c r="B1034" s="2" t="s">
        <v>68</v>
      </c>
      <c r="C1034" s="8">
        <v>25</v>
      </c>
      <c r="D1034" s="2">
        <v>3</v>
      </c>
      <c r="E1034" s="2">
        <v>2</v>
      </c>
      <c r="F1034" s="2">
        <v>1</v>
      </c>
      <c r="G1034" s="2">
        <v>1</v>
      </c>
    </row>
    <row r="1035" spans="1:7" x14ac:dyDescent="0.25">
      <c r="A1035" s="2">
        <v>2028</v>
      </c>
      <c r="B1035" s="2" t="s">
        <v>68</v>
      </c>
      <c r="C1035" s="8">
        <v>26</v>
      </c>
      <c r="D1035" s="2">
        <v>3</v>
      </c>
      <c r="E1035" s="2">
        <v>4</v>
      </c>
      <c r="F1035" s="2">
        <v>1</v>
      </c>
      <c r="G1035" s="2">
        <v>1</v>
      </c>
    </row>
    <row r="1036" spans="1:7" x14ac:dyDescent="0.25">
      <c r="A1036" s="2">
        <v>2028</v>
      </c>
      <c r="B1036" s="2" t="s">
        <v>68</v>
      </c>
      <c r="C1036" s="8">
        <v>27</v>
      </c>
      <c r="D1036" s="2">
        <v>1</v>
      </c>
      <c r="E1036" s="2">
        <v>3</v>
      </c>
      <c r="F1036" s="2">
        <v>1</v>
      </c>
      <c r="G1036" s="2">
        <v>1</v>
      </c>
    </row>
    <row r="1037" spans="1:7" x14ac:dyDescent="0.25">
      <c r="A1037" s="2">
        <v>2028</v>
      </c>
      <c r="B1037" s="2" t="s">
        <v>68</v>
      </c>
      <c r="C1037" s="8">
        <v>28</v>
      </c>
      <c r="D1037" s="2">
        <v>2</v>
      </c>
      <c r="E1037" s="2">
        <v>2</v>
      </c>
      <c r="F1037" s="2">
        <v>1</v>
      </c>
      <c r="G1037" s="2">
        <v>2</v>
      </c>
    </row>
    <row r="1038" spans="1:7" x14ac:dyDescent="0.25">
      <c r="A1038" s="2">
        <v>2028</v>
      </c>
      <c r="B1038" s="2" t="s">
        <v>69</v>
      </c>
      <c r="C1038" s="8">
        <v>1</v>
      </c>
      <c r="D1038" s="2">
        <v>2</v>
      </c>
      <c r="E1038" s="2">
        <v>3</v>
      </c>
      <c r="F1038" s="2">
        <v>2</v>
      </c>
      <c r="G1038" s="2">
        <v>1</v>
      </c>
    </row>
    <row r="1039" spans="1:7" x14ac:dyDescent="0.25">
      <c r="A1039" s="2">
        <v>2028</v>
      </c>
      <c r="B1039" s="2" t="s">
        <v>69</v>
      </c>
      <c r="C1039" s="8">
        <v>2</v>
      </c>
      <c r="D1039" s="2">
        <v>1</v>
      </c>
      <c r="E1039" s="2">
        <v>1</v>
      </c>
      <c r="F1039" s="2">
        <v>1</v>
      </c>
      <c r="G1039" s="2">
        <v>2</v>
      </c>
    </row>
    <row r="1040" spans="1:7" x14ac:dyDescent="0.25">
      <c r="A1040" s="2">
        <v>2028</v>
      </c>
      <c r="B1040" s="2" t="s">
        <v>69</v>
      </c>
      <c r="C1040" s="8">
        <v>3</v>
      </c>
      <c r="D1040" s="2">
        <v>3</v>
      </c>
      <c r="E1040" s="2">
        <v>2</v>
      </c>
      <c r="F1040" s="2">
        <v>1</v>
      </c>
      <c r="G1040" s="2">
        <v>4</v>
      </c>
    </row>
    <row r="1041" spans="1:7" x14ac:dyDescent="0.25">
      <c r="A1041" s="2">
        <v>2028</v>
      </c>
      <c r="B1041" s="2" t="s">
        <v>69</v>
      </c>
      <c r="C1041" s="8">
        <v>4</v>
      </c>
      <c r="D1041" s="2">
        <v>2</v>
      </c>
      <c r="E1041" s="2">
        <v>2</v>
      </c>
      <c r="F1041" s="2">
        <v>1</v>
      </c>
      <c r="G1041" s="2">
        <v>2</v>
      </c>
    </row>
    <row r="1042" spans="1:7" x14ac:dyDescent="0.25">
      <c r="A1042" s="2">
        <v>2028</v>
      </c>
      <c r="B1042" s="2" t="s">
        <v>69</v>
      </c>
      <c r="C1042" s="8">
        <v>5</v>
      </c>
      <c r="D1042" s="2">
        <v>2</v>
      </c>
      <c r="E1042" s="2">
        <v>1</v>
      </c>
      <c r="F1042" s="2">
        <v>2</v>
      </c>
      <c r="G1042" s="2">
        <v>2</v>
      </c>
    </row>
    <row r="1043" spans="1:7" x14ac:dyDescent="0.25">
      <c r="A1043" s="2">
        <v>2028</v>
      </c>
      <c r="B1043" s="2" t="s">
        <v>69</v>
      </c>
      <c r="C1043" s="8">
        <v>6</v>
      </c>
      <c r="D1043" s="2">
        <v>3</v>
      </c>
      <c r="E1043" s="2">
        <v>3</v>
      </c>
      <c r="F1043" s="2">
        <v>4</v>
      </c>
      <c r="G1043" s="2">
        <v>3</v>
      </c>
    </row>
    <row r="1044" spans="1:7" x14ac:dyDescent="0.25">
      <c r="A1044" s="2">
        <v>2028</v>
      </c>
      <c r="B1044" s="2" t="s">
        <v>69</v>
      </c>
      <c r="C1044" s="8">
        <v>7</v>
      </c>
      <c r="D1044" s="2">
        <v>4</v>
      </c>
      <c r="E1044" s="2">
        <v>2</v>
      </c>
      <c r="F1044" s="2">
        <v>3</v>
      </c>
      <c r="G1044" s="2">
        <v>1</v>
      </c>
    </row>
    <row r="1045" spans="1:7" x14ac:dyDescent="0.25">
      <c r="A1045" s="2">
        <v>2028</v>
      </c>
      <c r="B1045" s="2" t="s">
        <v>69</v>
      </c>
      <c r="C1045" s="8">
        <v>8</v>
      </c>
      <c r="D1045" s="2">
        <v>1</v>
      </c>
      <c r="E1045" s="2">
        <v>2</v>
      </c>
      <c r="F1045" s="2">
        <v>1</v>
      </c>
      <c r="G1045" s="2">
        <v>1</v>
      </c>
    </row>
    <row r="1046" spans="1:7" x14ac:dyDescent="0.25">
      <c r="A1046" s="2">
        <v>2028</v>
      </c>
      <c r="B1046" s="2" t="s">
        <v>69</v>
      </c>
      <c r="C1046" s="8">
        <v>9</v>
      </c>
      <c r="D1046" s="2">
        <v>1</v>
      </c>
      <c r="E1046" s="2">
        <v>2</v>
      </c>
      <c r="F1046" s="2">
        <v>1</v>
      </c>
      <c r="G1046" s="2">
        <v>2</v>
      </c>
    </row>
    <row r="1047" spans="1:7" x14ac:dyDescent="0.25">
      <c r="A1047" s="2">
        <v>2028</v>
      </c>
      <c r="B1047" s="2" t="s">
        <v>69</v>
      </c>
      <c r="C1047" s="8">
        <v>10</v>
      </c>
      <c r="D1047" s="2">
        <v>2</v>
      </c>
      <c r="E1047" s="2">
        <v>2</v>
      </c>
      <c r="F1047" s="2">
        <v>4</v>
      </c>
      <c r="G1047" s="2">
        <v>1</v>
      </c>
    </row>
    <row r="1048" spans="1:7" x14ac:dyDescent="0.25">
      <c r="A1048" s="2">
        <v>2028</v>
      </c>
      <c r="B1048" s="2" t="s">
        <v>69</v>
      </c>
      <c r="C1048" s="8">
        <v>11</v>
      </c>
      <c r="D1048" s="2">
        <v>1</v>
      </c>
      <c r="E1048" s="2">
        <v>1</v>
      </c>
      <c r="F1048" s="2">
        <v>4</v>
      </c>
      <c r="G1048" s="2">
        <v>1</v>
      </c>
    </row>
    <row r="1049" spans="1:7" x14ac:dyDescent="0.25">
      <c r="A1049" s="2">
        <v>2028</v>
      </c>
      <c r="B1049" s="2" t="s">
        <v>69</v>
      </c>
      <c r="C1049" s="8">
        <v>12</v>
      </c>
      <c r="D1049" s="2">
        <v>3</v>
      </c>
      <c r="E1049" s="2">
        <v>1</v>
      </c>
      <c r="F1049" s="2">
        <v>1</v>
      </c>
      <c r="G1049" s="2">
        <v>2</v>
      </c>
    </row>
    <row r="1050" spans="1:7" x14ac:dyDescent="0.25">
      <c r="A1050" s="2">
        <v>2028</v>
      </c>
      <c r="B1050" s="2" t="s">
        <v>69</v>
      </c>
      <c r="C1050" s="8">
        <v>13</v>
      </c>
      <c r="D1050" s="2">
        <v>1</v>
      </c>
      <c r="E1050" s="2">
        <v>2</v>
      </c>
      <c r="F1050" s="2">
        <v>4</v>
      </c>
      <c r="G1050" s="2">
        <v>1</v>
      </c>
    </row>
    <row r="1051" spans="1:7" x14ac:dyDescent="0.25">
      <c r="A1051" s="2">
        <v>2028</v>
      </c>
      <c r="B1051" s="2" t="s">
        <v>69</v>
      </c>
      <c r="C1051" s="8">
        <v>14</v>
      </c>
      <c r="D1051" s="2">
        <v>2</v>
      </c>
      <c r="E1051" s="2">
        <v>2</v>
      </c>
      <c r="F1051" s="2">
        <v>3</v>
      </c>
      <c r="G1051" s="2">
        <v>1</v>
      </c>
    </row>
    <row r="1052" spans="1:7" x14ac:dyDescent="0.25">
      <c r="A1052" s="2">
        <v>2028</v>
      </c>
      <c r="B1052" s="2" t="s">
        <v>69</v>
      </c>
      <c r="C1052" s="8">
        <v>15</v>
      </c>
      <c r="D1052" s="2">
        <v>1</v>
      </c>
      <c r="E1052" s="2">
        <v>3</v>
      </c>
      <c r="F1052" s="2">
        <v>2</v>
      </c>
      <c r="G1052" s="2">
        <v>2</v>
      </c>
    </row>
    <row r="1053" spans="1:7" x14ac:dyDescent="0.25">
      <c r="A1053" s="2">
        <v>2028</v>
      </c>
      <c r="B1053" s="2" t="s">
        <v>69</v>
      </c>
      <c r="C1053" s="8">
        <v>16</v>
      </c>
      <c r="D1053" s="2">
        <v>1</v>
      </c>
      <c r="E1053" s="2">
        <v>1</v>
      </c>
      <c r="F1053" s="2">
        <v>4</v>
      </c>
      <c r="G1053" s="2">
        <v>2</v>
      </c>
    </row>
    <row r="1054" spans="1:7" x14ac:dyDescent="0.25">
      <c r="A1054" s="2">
        <v>2028</v>
      </c>
      <c r="B1054" s="2" t="s">
        <v>69</v>
      </c>
      <c r="C1054" s="8">
        <v>17</v>
      </c>
      <c r="D1054" s="2">
        <v>2</v>
      </c>
      <c r="E1054" s="2">
        <v>1</v>
      </c>
      <c r="F1054" s="2">
        <v>1</v>
      </c>
      <c r="G1054" s="2">
        <v>1</v>
      </c>
    </row>
    <row r="1055" spans="1:7" x14ac:dyDescent="0.25">
      <c r="A1055" s="2">
        <v>2028</v>
      </c>
      <c r="B1055" s="2" t="s">
        <v>69</v>
      </c>
      <c r="C1055" s="8">
        <v>18</v>
      </c>
      <c r="D1055" s="2">
        <v>2</v>
      </c>
      <c r="E1055" s="2">
        <v>1</v>
      </c>
      <c r="F1055" s="2">
        <v>1</v>
      </c>
      <c r="G1055" s="2">
        <v>4</v>
      </c>
    </row>
    <row r="1056" spans="1:7" x14ac:dyDescent="0.25">
      <c r="A1056" s="2">
        <v>2028</v>
      </c>
      <c r="B1056" s="2" t="s">
        <v>69</v>
      </c>
      <c r="C1056" s="8">
        <v>19</v>
      </c>
      <c r="D1056" s="2">
        <v>3</v>
      </c>
      <c r="E1056" s="2">
        <v>1</v>
      </c>
      <c r="F1056" s="2">
        <v>1</v>
      </c>
      <c r="G1056" s="2">
        <v>3</v>
      </c>
    </row>
    <row r="1057" spans="1:7" x14ac:dyDescent="0.25">
      <c r="A1057" s="2">
        <v>2028</v>
      </c>
      <c r="B1057" s="2" t="s">
        <v>69</v>
      </c>
      <c r="C1057" s="8">
        <v>20</v>
      </c>
      <c r="D1057" s="2">
        <v>2</v>
      </c>
      <c r="E1057" s="2">
        <v>1</v>
      </c>
      <c r="F1057" s="2">
        <v>3</v>
      </c>
      <c r="G1057" s="2">
        <v>1</v>
      </c>
    </row>
    <row r="1058" spans="1:7" x14ac:dyDescent="0.25">
      <c r="A1058" s="2">
        <v>2028</v>
      </c>
      <c r="B1058" s="2" t="s">
        <v>69</v>
      </c>
      <c r="C1058" s="8">
        <v>21</v>
      </c>
      <c r="D1058" s="2">
        <v>3</v>
      </c>
      <c r="E1058" s="2">
        <v>4</v>
      </c>
      <c r="F1058" s="2">
        <v>2</v>
      </c>
      <c r="G1058" s="2">
        <v>1</v>
      </c>
    </row>
    <row r="1059" spans="1:7" x14ac:dyDescent="0.25">
      <c r="A1059" s="2">
        <v>2028</v>
      </c>
      <c r="B1059" s="2" t="s">
        <v>69</v>
      </c>
      <c r="C1059" s="8">
        <v>22</v>
      </c>
      <c r="D1059" s="2">
        <v>1</v>
      </c>
      <c r="E1059" s="2">
        <v>3</v>
      </c>
      <c r="F1059" s="2">
        <v>1</v>
      </c>
      <c r="G1059" s="2">
        <v>2</v>
      </c>
    </row>
    <row r="1060" spans="1:7" x14ac:dyDescent="0.25">
      <c r="A1060" s="2">
        <v>2028</v>
      </c>
      <c r="B1060" s="2" t="s">
        <v>69</v>
      </c>
      <c r="C1060" s="8">
        <v>23</v>
      </c>
      <c r="D1060" s="2">
        <v>2</v>
      </c>
      <c r="E1060" s="2">
        <v>3</v>
      </c>
      <c r="F1060" s="2">
        <v>1</v>
      </c>
      <c r="G1060" s="2">
        <v>1</v>
      </c>
    </row>
    <row r="1061" spans="1:7" x14ac:dyDescent="0.25">
      <c r="A1061" s="2">
        <v>2028</v>
      </c>
      <c r="B1061" s="2" t="s">
        <v>69</v>
      </c>
      <c r="C1061" s="8">
        <v>24</v>
      </c>
      <c r="D1061" s="2">
        <v>1</v>
      </c>
      <c r="E1061" s="2">
        <v>2</v>
      </c>
      <c r="F1061" s="2">
        <v>2</v>
      </c>
      <c r="G1061" s="2">
        <v>1</v>
      </c>
    </row>
    <row r="1062" spans="1:7" x14ac:dyDescent="0.25">
      <c r="A1062" s="2">
        <v>2028</v>
      </c>
      <c r="B1062" s="2" t="s">
        <v>69</v>
      </c>
      <c r="C1062" s="8">
        <v>25</v>
      </c>
      <c r="D1062" s="2">
        <v>2</v>
      </c>
      <c r="E1062" s="2">
        <v>1</v>
      </c>
      <c r="F1062" s="2">
        <v>4</v>
      </c>
      <c r="G1062" s="2">
        <v>1</v>
      </c>
    </row>
    <row r="1063" spans="1:7" x14ac:dyDescent="0.25">
      <c r="A1063" s="2">
        <v>2028</v>
      </c>
      <c r="B1063" s="2" t="s">
        <v>69</v>
      </c>
      <c r="C1063" s="8">
        <v>26</v>
      </c>
      <c r="D1063" s="2">
        <v>1</v>
      </c>
      <c r="E1063" s="2">
        <v>1</v>
      </c>
      <c r="F1063" s="2">
        <v>1</v>
      </c>
      <c r="G1063" s="2">
        <v>1</v>
      </c>
    </row>
    <row r="1064" spans="1:7" x14ac:dyDescent="0.25">
      <c r="A1064" s="2">
        <v>2028</v>
      </c>
      <c r="B1064" s="2" t="s">
        <v>69</v>
      </c>
      <c r="C1064" s="8">
        <v>27</v>
      </c>
      <c r="D1064" s="2">
        <v>2</v>
      </c>
      <c r="E1064" s="2">
        <v>2</v>
      </c>
      <c r="F1064" s="2">
        <v>4</v>
      </c>
      <c r="G1064" s="2">
        <v>3</v>
      </c>
    </row>
    <row r="1065" spans="1:7" x14ac:dyDescent="0.25">
      <c r="A1065" s="2">
        <v>2028</v>
      </c>
      <c r="B1065" s="2" t="s">
        <v>69</v>
      </c>
      <c r="C1065" s="8">
        <v>28</v>
      </c>
      <c r="D1065" s="2">
        <v>1</v>
      </c>
      <c r="E1065" s="2">
        <v>3</v>
      </c>
      <c r="F1065" s="2">
        <v>1</v>
      </c>
      <c r="G1065" s="2">
        <v>1</v>
      </c>
    </row>
    <row r="1066" spans="1:7" x14ac:dyDescent="0.25">
      <c r="A1066" s="2">
        <v>2028</v>
      </c>
      <c r="B1066" s="2" t="s">
        <v>70</v>
      </c>
      <c r="C1066" s="8">
        <v>1</v>
      </c>
      <c r="D1066" s="2">
        <v>2</v>
      </c>
      <c r="E1066" s="2">
        <v>2</v>
      </c>
      <c r="F1066" s="2">
        <v>3</v>
      </c>
      <c r="G1066" s="2">
        <v>1</v>
      </c>
    </row>
    <row r="1067" spans="1:7" x14ac:dyDescent="0.25">
      <c r="A1067" s="2">
        <v>2028</v>
      </c>
      <c r="B1067" s="2" t="s">
        <v>70</v>
      </c>
      <c r="C1067" s="8">
        <v>2</v>
      </c>
      <c r="D1067" s="2">
        <v>3</v>
      </c>
      <c r="E1067" s="2">
        <v>3</v>
      </c>
      <c r="F1067" s="2">
        <v>2</v>
      </c>
      <c r="G1067" s="2">
        <v>4</v>
      </c>
    </row>
    <row r="1068" spans="1:7" x14ac:dyDescent="0.25">
      <c r="A1068" s="2">
        <v>2028</v>
      </c>
      <c r="B1068" s="2" t="s">
        <v>70</v>
      </c>
      <c r="C1068" s="8">
        <v>3</v>
      </c>
      <c r="D1068" s="2">
        <v>1</v>
      </c>
      <c r="E1068" s="2">
        <v>1</v>
      </c>
      <c r="F1068" s="2">
        <v>3</v>
      </c>
      <c r="G1068" s="2">
        <v>2</v>
      </c>
    </row>
    <row r="1069" spans="1:7" x14ac:dyDescent="0.25">
      <c r="A1069" s="2">
        <v>2028</v>
      </c>
      <c r="B1069" s="2" t="s">
        <v>70</v>
      </c>
      <c r="C1069" s="8">
        <v>4</v>
      </c>
      <c r="D1069" s="2">
        <v>1</v>
      </c>
      <c r="E1069" s="2">
        <v>2</v>
      </c>
      <c r="F1069" s="2">
        <v>1</v>
      </c>
      <c r="G1069" s="2">
        <v>1</v>
      </c>
    </row>
    <row r="1070" spans="1:7" x14ac:dyDescent="0.25">
      <c r="A1070" s="2">
        <v>2028</v>
      </c>
      <c r="B1070" s="2" t="s">
        <v>70</v>
      </c>
      <c r="C1070" s="8">
        <v>5</v>
      </c>
      <c r="D1070" s="2">
        <v>4</v>
      </c>
      <c r="E1070" s="2">
        <v>4</v>
      </c>
      <c r="F1070" s="2">
        <v>3</v>
      </c>
      <c r="G1070" s="2">
        <v>4</v>
      </c>
    </row>
    <row r="1071" spans="1:7" x14ac:dyDescent="0.25">
      <c r="A1071" s="2">
        <v>2028</v>
      </c>
      <c r="B1071" s="2" t="s">
        <v>70</v>
      </c>
      <c r="C1071" s="8">
        <v>6</v>
      </c>
      <c r="D1071" s="2">
        <v>1</v>
      </c>
      <c r="E1071" s="2">
        <v>1</v>
      </c>
      <c r="F1071" s="2">
        <v>2</v>
      </c>
      <c r="G1071" s="2">
        <v>2</v>
      </c>
    </row>
    <row r="1072" spans="1:7" x14ac:dyDescent="0.25">
      <c r="A1072" s="2">
        <v>2028</v>
      </c>
      <c r="B1072" s="2" t="s">
        <v>70</v>
      </c>
      <c r="C1072" s="8">
        <v>7</v>
      </c>
      <c r="D1072" s="2">
        <v>1</v>
      </c>
      <c r="E1072" s="2">
        <v>1</v>
      </c>
      <c r="F1072" s="2">
        <v>2</v>
      </c>
      <c r="G1072" s="2">
        <v>2</v>
      </c>
    </row>
    <row r="1073" spans="1:7" x14ac:dyDescent="0.25">
      <c r="A1073" s="2">
        <v>2028</v>
      </c>
      <c r="B1073" s="2" t="s">
        <v>70</v>
      </c>
      <c r="C1073" s="8">
        <v>8</v>
      </c>
      <c r="D1073" s="2">
        <v>2</v>
      </c>
      <c r="E1073" s="2">
        <v>1</v>
      </c>
      <c r="F1073" s="2">
        <v>3</v>
      </c>
      <c r="G1073" s="2">
        <v>1</v>
      </c>
    </row>
    <row r="1074" spans="1:7" x14ac:dyDescent="0.25">
      <c r="A1074" s="2">
        <v>2028</v>
      </c>
      <c r="B1074" s="2" t="s">
        <v>70</v>
      </c>
      <c r="C1074" s="8">
        <v>9</v>
      </c>
      <c r="D1074" s="2">
        <v>1</v>
      </c>
      <c r="E1074" s="2">
        <v>3</v>
      </c>
      <c r="F1074" s="2">
        <v>2</v>
      </c>
      <c r="G1074" s="2">
        <v>2</v>
      </c>
    </row>
    <row r="1075" spans="1:7" x14ac:dyDescent="0.25">
      <c r="A1075" s="2">
        <v>2028</v>
      </c>
      <c r="B1075" s="2" t="s">
        <v>70</v>
      </c>
      <c r="C1075" s="8">
        <v>10</v>
      </c>
      <c r="D1075" s="2">
        <v>1</v>
      </c>
      <c r="E1075" s="2">
        <v>2</v>
      </c>
      <c r="F1075" s="2">
        <v>1</v>
      </c>
      <c r="G1075" s="2">
        <v>3</v>
      </c>
    </row>
    <row r="1076" spans="1:7" x14ac:dyDescent="0.25">
      <c r="A1076" s="2">
        <v>2028</v>
      </c>
      <c r="B1076" s="2" t="s">
        <v>70</v>
      </c>
      <c r="C1076" s="8">
        <v>11</v>
      </c>
      <c r="D1076" s="2">
        <v>4</v>
      </c>
      <c r="E1076" s="2">
        <v>1</v>
      </c>
      <c r="F1076" s="2">
        <v>1</v>
      </c>
      <c r="G1076" s="2">
        <v>4</v>
      </c>
    </row>
    <row r="1077" spans="1:7" x14ac:dyDescent="0.25">
      <c r="A1077" s="2">
        <v>2028</v>
      </c>
      <c r="B1077" s="2" t="s">
        <v>70</v>
      </c>
      <c r="C1077" s="8">
        <v>12</v>
      </c>
      <c r="D1077" s="2">
        <v>2</v>
      </c>
      <c r="E1077" s="2">
        <v>3</v>
      </c>
      <c r="F1077" s="2">
        <v>1</v>
      </c>
      <c r="G1077" s="2">
        <v>1</v>
      </c>
    </row>
    <row r="1078" spans="1:7" x14ac:dyDescent="0.25">
      <c r="A1078" s="2">
        <v>2028</v>
      </c>
      <c r="B1078" s="2" t="s">
        <v>70</v>
      </c>
      <c r="C1078" s="8">
        <v>13</v>
      </c>
      <c r="D1078" s="2">
        <v>2</v>
      </c>
      <c r="E1078" s="2">
        <v>1</v>
      </c>
      <c r="F1078" s="2">
        <v>2</v>
      </c>
      <c r="G1078" s="2">
        <v>4</v>
      </c>
    </row>
    <row r="1079" spans="1:7" x14ac:dyDescent="0.25">
      <c r="A1079" s="2">
        <v>2028</v>
      </c>
      <c r="B1079" s="2" t="s">
        <v>70</v>
      </c>
      <c r="C1079" s="8">
        <v>14</v>
      </c>
      <c r="D1079" s="2">
        <v>4</v>
      </c>
      <c r="E1079" s="2">
        <v>2</v>
      </c>
      <c r="F1079" s="2">
        <v>3</v>
      </c>
      <c r="G1079" s="2">
        <v>1</v>
      </c>
    </row>
    <row r="1080" spans="1:7" x14ac:dyDescent="0.25">
      <c r="A1080" s="2">
        <v>2028</v>
      </c>
      <c r="B1080" s="2" t="s">
        <v>70</v>
      </c>
      <c r="C1080" s="8">
        <v>15</v>
      </c>
      <c r="D1080" s="2">
        <v>1</v>
      </c>
      <c r="E1080" s="2">
        <v>2</v>
      </c>
      <c r="F1080" s="2">
        <v>3</v>
      </c>
      <c r="G1080" s="2">
        <v>4</v>
      </c>
    </row>
    <row r="1081" spans="1:7" x14ac:dyDescent="0.25">
      <c r="A1081" s="2">
        <v>2028</v>
      </c>
      <c r="B1081" s="2" t="s">
        <v>70</v>
      </c>
      <c r="C1081" s="8">
        <v>16</v>
      </c>
      <c r="D1081" s="2">
        <v>3</v>
      </c>
      <c r="E1081" s="2">
        <v>3</v>
      </c>
      <c r="F1081" s="2">
        <v>3</v>
      </c>
      <c r="G1081" s="2">
        <v>3</v>
      </c>
    </row>
    <row r="1082" spans="1:7" x14ac:dyDescent="0.25">
      <c r="A1082" s="2">
        <v>2028</v>
      </c>
      <c r="B1082" s="2" t="s">
        <v>70</v>
      </c>
      <c r="C1082" s="8">
        <v>17</v>
      </c>
      <c r="D1082" s="2">
        <v>3</v>
      </c>
      <c r="E1082" s="2">
        <v>4</v>
      </c>
      <c r="F1082" s="2">
        <v>1</v>
      </c>
      <c r="G1082" s="2">
        <v>2</v>
      </c>
    </row>
    <row r="1083" spans="1:7" x14ac:dyDescent="0.25">
      <c r="A1083" s="2">
        <v>2028</v>
      </c>
      <c r="B1083" s="2" t="s">
        <v>70</v>
      </c>
      <c r="C1083" s="8">
        <v>18</v>
      </c>
      <c r="D1083" s="2">
        <v>3</v>
      </c>
      <c r="E1083" s="2">
        <v>1</v>
      </c>
      <c r="F1083" s="2">
        <v>2</v>
      </c>
      <c r="G1083" s="2">
        <v>1</v>
      </c>
    </row>
    <row r="1084" spans="1:7" x14ac:dyDescent="0.25">
      <c r="A1084" s="2">
        <v>2028</v>
      </c>
      <c r="B1084" s="2" t="s">
        <v>70</v>
      </c>
      <c r="C1084" s="8">
        <v>19</v>
      </c>
      <c r="D1084" s="2">
        <v>1</v>
      </c>
      <c r="E1084" s="2">
        <v>1</v>
      </c>
      <c r="F1084" s="2">
        <v>3</v>
      </c>
      <c r="G1084" s="2">
        <v>1</v>
      </c>
    </row>
    <row r="1085" spans="1:7" x14ac:dyDescent="0.25">
      <c r="A1085" s="2">
        <v>2028</v>
      </c>
      <c r="B1085" s="2" t="s">
        <v>70</v>
      </c>
      <c r="C1085" s="8">
        <v>20</v>
      </c>
      <c r="D1085" s="2">
        <v>2</v>
      </c>
      <c r="E1085" s="2">
        <v>4</v>
      </c>
      <c r="F1085" s="2">
        <v>1</v>
      </c>
      <c r="G1085" s="2">
        <v>1</v>
      </c>
    </row>
    <row r="1086" spans="1:7" x14ac:dyDescent="0.25">
      <c r="A1086" s="2">
        <v>2028</v>
      </c>
      <c r="B1086" s="2" t="s">
        <v>70</v>
      </c>
      <c r="C1086" s="8">
        <v>21</v>
      </c>
      <c r="D1086" s="2">
        <v>1</v>
      </c>
      <c r="E1086" s="2">
        <v>4</v>
      </c>
      <c r="F1086" s="2">
        <v>3</v>
      </c>
      <c r="G1086" s="2">
        <v>4</v>
      </c>
    </row>
    <row r="1087" spans="1:7" x14ac:dyDescent="0.25">
      <c r="A1087" s="2">
        <v>2028</v>
      </c>
      <c r="B1087" s="2" t="s">
        <v>70</v>
      </c>
      <c r="C1087" s="8">
        <v>22</v>
      </c>
      <c r="D1087" s="2">
        <v>2</v>
      </c>
      <c r="E1087" s="2">
        <v>2</v>
      </c>
      <c r="F1087" s="2">
        <v>3</v>
      </c>
      <c r="G1087" s="2">
        <v>3</v>
      </c>
    </row>
    <row r="1088" spans="1:7" x14ac:dyDescent="0.25">
      <c r="A1088" s="2">
        <v>2028</v>
      </c>
      <c r="B1088" s="2" t="s">
        <v>70</v>
      </c>
      <c r="C1088" s="8">
        <v>23</v>
      </c>
      <c r="D1088" s="2">
        <v>2</v>
      </c>
      <c r="E1088" s="2">
        <v>2</v>
      </c>
      <c r="F1088" s="2">
        <v>2</v>
      </c>
      <c r="G1088" s="2">
        <v>1</v>
      </c>
    </row>
    <row r="1089" spans="1:7" x14ac:dyDescent="0.25">
      <c r="A1089" s="2">
        <v>2028</v>
      </c>
      <c r="B1089" s="2" t="s">
        <v>70</v>
      </c>
      <c r="C1089" s="8">
        <v>24</v>
      </c>
      <c r="D1089" s="2">
        <v>4</v>
      </c>
      <c r="E1089" s="2">
        <v>1</v>
      </c>
      <c r="F1089" s="2">
        <v>4</v>
      </c>
      <c r="G1089" s="2">
        <v>2</v>
      </c>
    </row>
    <row r="1090" spans="1:7" x14ac:dyDescent="0.25">
      <c r="A1090" s="2">
        <v>2028</v>
      </c>
      <c r="B1090" s="2" t="s">
        <v>70</v>
      </c>
      <c r="C1090" s="8">
        <v>25</v>
      </c>
      <c r="D1090" s="2">
        <v>1</v>
      </c>
      <c r="E1090" s="2">
        <v>4</v>
      </c>
      <c r="F1090" s="2">
        <v>1</v>
      </c>
      <c r="G1090" s="2">
        <v>2</v>
      </c>
    </row>
    <row r="1091" spans="1:7" x14ac:dyDescent="0.25">
      <c r="A1091" s="2">
        <v>2028</v>
      </c>
      <c r="B1091" s="2" t="s">
        <v>70</v>
      </c>
      <c r="C1091" s="8">
        <v>26</v>
      </c>
      <c r="D1091" s="2">
        <v>3</v>
      </c>
      <c r="E1091" s="2">
        <v>4</v>
      </c>
      <c r="F1091" s="2">
        <v>3</v>
      </c>
      <c r="G1091" s="2">
        <v>2</v>
      </c>
    </row>
    <row r="1092" spans="1:7" x14ac:dyDescent="0.25">
      <c r="A1092" s="2">
        <v>2028</v>
      </c>
      <c r="B1092" s="2" t="s">
        <v>70</v>
      </c>
      <c r="C1092" s="8">
        <v>27</v>
      </c>
      <c r="D1092" s="2">
        <v>2</v>
      </c>
      <c r="E1092" s="2">
        <v>3</v>
      </c>
      <c r="F1092" s="2">
        <v>1</v>
      </c>
      <c r="G1092" s="2">
        <v>4</v>
      </c>
    </row>
    <row r="1093" spans="1:7" x14ac:dyDescent="0.25">
      <c r="A1093" s="2">
        <v>2028</v>
      </c>
      <c r="B1093" s="2" t="s">
        <v>70</v>
      </c>
      <c r="C1093" s="8">
        <v>28</v>
      </c>
      <c r="D1093" s="2">
        <v>3</v>
      </c>
      <c r="E1093" s="2">
        <v>3</v>
      </c>
      <c r="F1093" s="2">
        <v>3</v>
      </c>
      <c r="G1093" s="2">
        <v>2</v>
      </c>
    </row>
    <row r="1094" spans="1:7" x14ac:dyDescent="0.25">
      <c r="A1094" s="2">
        <v>2028</v>
      </c>
      <c r="B1094" s="2" t="s">
        <v>71</v>
      </c>
      <c r="C1094" s="8">
        <v>1</v>
      </c>
      <c r="D1094" s="2">
        <v>2</v>
      </c>
      <c r="E1094" s="2">
        <v>1</v>
      </c>
      <c r="F1094" s="2">
        <v>4</v>
      </c>
      <c r="G1094" s="2">
        <v>2</v>
      </c>
    </row>
    <row r="1095" spans="1:7" x14ac:dyDescent="0.25">
      <c r="A1095" s="2">
        <v>2028</v>
      </c>
      <c r="B1095" s="2" t="s">
        <v>71</v>
      </c>
      <c r="C1095" s="8">
        <v>2</v>
      </c>
      <c r="D1095" s="2">
        <v>2</v>
      </c>
      <c r="E1095" s="2">
        <v>1</v>
      </c>
      <c r="F1095" s="2">
        <v>1</v>
      </c>
      <c r="G1095" s="2">
        <v>2</v>
      </c>
    </row>
    <row r="1096" spans="1:7" x14ac:dyDescent="0.25">
      <c r="A1096" s="2">
        <v>2028</v>
      </c>
      <c r="B1096" s="2" t="s">
        <v>71</v>
      </c>
      <c r="C1096" s="8">
        <v>3</v>
      </c>
      <c r="D1096" s="2">
        <v>1</v>
      </c>
      <c r="E1096" s="2">
        <v>1</v>
      </c>
      <c r="F1096" s="2">
        <v>2</v>
      </c>
      <c r="G1096" s="2">
        <v>1</v>
      </c>
    </row>
    <row r="1097" spans="1:7" x14ac:dyDescent="0.25">
      <c r="A1097" s="2">
        <v>2028</v>
      </c>
      <c r="B1097" s="2" t="s">
        <v>71</v>
      </c>
      <c r="C1097" s="8">
        <v>4</v>
      </c>
      <c r="D1097" s="2">
        <v>1</v>
      </c>
      <c r="E1097" s="2">
        <v>2</v>
      </c>
      <c r="F1097" s="2">
        <v>1</v>
      </c>
      <c r="G1097" s="2">
        <v>2</v>
      </c>
    </row>
    <row r="1098" spans="1:7" x14ac:dyDescent="0.25">
      <c r="A1098" s="2">
        <v>2028</v>
      </c>
      <c r="B1098" s="2" t="s">
        <v>71</v>
      </c>
      <c r="C1098" s="8">
        <v>5</v>
      </c>
      <c r="D1098" s="2">
        <v>1</v>
      </c>
      <c r="E1098" s="2">
        <v>1</v>
      </c>
      <c r="F1098" s="2">
        <v>1</v>
      </c>
      <c r="G1098" s="2">
        <v>2</v>
      </c>
    </row>
    <row r="1099" spans="1:7" x14ac:dyDescent="0.25">
      <c r="A1099" s="2">
        <v>2028</v>
      </c>
      <c r="B1099" s="2" t="s">
        <v>71</v>
      </c>
      <c r="C1099" s="8">
        <v>6</v>
      </c>
      <c r="D1099" s="2">
        <v>3</v>
      </c>
      <c r="E1099" s="2">
        <v>3</v>
      </c>
      <c r="F1099" s="2">
        <v>1</v>
      </c>
      <c r="G1099" s="2">
        <v>2</v>
      </c>
    </row>
    <row r="1100" spans="1:7" x14ac:dyDescent="0.25">
      <c r="A1100" s="2">
        <v>2028</v>
      </c>
      <c r="B1100" s="2" t="s">
        <v>71</v>
      </c>
      <c r="C1100" s="8">
        <v>7</v>
      </c>
      <c r="D1100" s="2">
        <v>1</v>
      </c>
      <c r="E1100" s="2">
        <v>3</v>
      </c>
      <c r="F1100" s="2">
        <v>1</v>
      </c>
      <c r="G1100" s="2">
        <v>4</v>
      </c>
    </row>
    <row r="1101" spans="1:7" x14ac:dyDescent="0.25">
      <c r="A1101" s="2">
        <v>2028</v>
      </c>
      <c r="B1101" s="2" t="s">
        <v>71</v>
      </c>
      <c r="C1101" s="8">
        <v>8</v>
      </c>
      <c r="D1101" s="2">
        <v>3</v>
      </c>
      <c r="E1101" s="2">
        <v>3</v>
      </c>
      <c r="F1101" s="2">
        <v>1</v>
      </c>
      <c r="G1101" s="2">
        <v>1</v>
      </c>
    </row>
    <row r="1102" spans="1:7" x14ac:dyDescent="0.25">
      <c r="A1102" s="2">
        <v>2028</v>
      </c>
      <c r="B1102" s="2" t="s">
        <v>71</v>
      </c>
      <c r="C1102" s="8">
        <v>9</v>
      </c>
      <c r="D1102" s="2">
        <v>2</v>
      </c>
      <c r="E1102" s="2">
        <v>3</v>
      </c>
      <c r="F1102" s="2">
        <v>2</v>
      </c>
      <c r="G1102" s="2">
        <v>2</v>
      </c>
    </row>
    <row r="1103" spans="1:7" x14ac:dyDescent="0.25">
      <c r="A1103" s="2">
        <v>2028</v>
      </c>
      <c r="B1103" s="2" t="s">
        <v>71</v>
      </c>
      <c r="C1103" s="8">
        <v>10</v>
      </c>
      <c r="D1103" s="2">
        <v>1</v>
      </c>
      <c r="E1103" s="2">
        <v>3</v>
      </c>
      <c r="F1103" s="2">
        <v>1</v>
      </c>
      <c r="G1103" s="2">
        <v>2</v>
      </c>
    </row>
    <row r="1104" spans="1:7" x14ac:dyDescent="0.25">
      <c r="A1104" s="2">
        <v>2028</v>
      </c>
      <c r="B1104" s="2" t="s">
        <v>71</v>
      </c>
      <c r="C1104" s="8">
        <v>11</v>
      </c>
      <c r="D1104" s="2">
        <v>1</v>
      </c>
      <c r="E1104" s="2">
        <v>2</v>
      </c>
      <c r="F1104" s="2">
        <v>3</v>
      </c>
      <c r="G1104" s="2">
        <v>1</v>
      </c>
    </row>
    <row r="1105" spans="1:7" x14ac:dyDescent="0.25">
      <c r="A1105" s="2">
        <v>2028</v>
      </c>
      <c r="B1105" s="2" t="s">
        <v>71</v>
      </c>
      <c r="C1105" s="8">
        <v>12</v>
      </c>
      <c r="D1105" s="2">
        <v>2</v>
      </c>
      <c r="E1105" s="2">
        <v>3</v>
      </c>
      <c r="F1105" s="2">
        <v>1</v>
      </c>
      <c r="G1105" s="2">
        <v>1</v>
      </c>
    </row>
    <row r="1106" spans="1:7" x14ac:dyDescent="0.25">
      <c r="A1106" s="2">
        <v>2028</v>
      </c>
      <c r="B1106" s="2" t="s">
        <v>71</v>
      </c>
      <c r="C1106" s="8">
        <v>13</v>
      </c>
      <c r="D1106" s="2">
        <v>1</v>
      </c>
      <c r="E1106" s="2">
        <v>1</v>
      </c>
      <c r="F1106" s="2">
        <v>4</v>
      </c>
      <c r="G1106" s="2">
        <v>4</v>
      </c>
    </row>
    <row r="1107" spans="1:7" x14ac:dyDescent="0.25">
      <c r="A1107" s="2">
        <v>2028</v>
      </c>
      <c r="B1107" s="2" t="s">
        <v>71</v>
      </c>
      <c r="C1107" s="8">
        <v>14</v>
      </c>
      <c r="D1107" s="2">
        <v>1</v>
      </c>
      <c r="E1107" s="2">
        <v>4</v>
      </c>
      <c r="F1107" s="2">
        <v>1</v>
      </c>
      <c r="G1107" s="2">
        <v>3</v>
      </c>
    </row>
    <row r="1108" spans="1:7" x14ac:dyDescent="0.25">
      <c r="A1108" s="2">
        <v>2028</v>
      </c>
      <c r="B1108" s="2" t="s">
        <v>71</v>
      </c>
      <c r="C1108" s="8">
        <v>15</v>
      </c>
      <c r="D1108" s="2">
        <v>1</v>
      </c>
      <c r="E1108" s="2">
        <v>2</v>
      </c>
      <c r="F1108" s="2">
        <v>1</v>
      </c>
      <c r="G1108" s="2">
        <v>3</v>
      </c>
    </row>
    <row r="1109" spans="1:7" x14ac:dyDescent="0.25">
      <c r="A1109" s="2">
        <v>2028</v>
      </c>
      <c r="B1109" s="2" t="s">
        <v>71</v>
      </c>
      <c r="C1109" s="8">
        <v>16</v>
      </c>
      <c r="D1109" s="2">
        <v>4</v>
      </c>
      <c r="E1109" s="2">
        <v>1</v>
      </c>
      <c r="F1109" s="2">
        <v>4</v>
      </c>
      <c r="G1109" s="2">
        <v>1</v>
      </c>
    </row>
    <row r="1110" spans="1:7" x14ac:dyDescent="0.25">
      <c r="A1110" s="2">
        <v>2028</v>
      </c>
      <c r="B1110" s="2" t="s">
        <v>71</v>
      </c>
      <c r="C1110" s="8">
        <v>17</v>
      </c>
      <c r="D1110" s="2">
        <v>2</v>
      </c>
      <c r="E1110" s="2">
        <v>2</v>
      </c>
      <c r="F1110" s="2">
        <v>1</v>
      </c>
      <c r="G1110" s="2">
        <v>1</v>
      </c>
    </row>
    <row r="1111" spans="1:7" x14ac:dyDescent="0.25">
      <c r="A1111" s="2">
        <v>2028</v>
      </c>
      <c r="B1111" s="2" t="s">
        <v>71</v>
      </c>
      <c r="C1111" s="8">
        <v>18</v>
      </c>
      <c r="D1111" s="2">
        <v>4</v>
      </c>
      <c r="E1111" s="2">
        <v>1</v>
      </c>
      <c r="F1111" s="2">
        <v>2</v>
      </c>
      <c r="G1111" s="2">
        <v>3</v>
      </c>
    </row>
    <row r="1112" spans="1:7" x14ac:dyDescent="0.25">
      <c r="A1112" s="2">
        <v>2028</v>
      </c>
      <c r="B1112" s="2" t="s">
        <v>71</v>
      </c>
      <c r="C1112" s="8">
        <v>19</v>
      </c>
      <c r="D1112" s="2">
        <v>1</v>
      </c>
      <c r="E1112" s="2">
        <v>2</v>
      </c>
      <c r="F1112" s="2">
        <v>1</v>
      </c>
      <c r="G1112" s="2">
        <v>1</v>
      </c>
    </row>
    <row r="1113" spans="1:7" x14ac:dyDescent="0.25">
      <c r="A1113" s="2">
        <v>2028</v>
      </c>
      <c r="B1113" s="2" t="s">
        <v>71</v>
      </c>
      <c r="C1113" s="8">
        <v>20</v>
      </c>
      <c r="D1113" s="2">
        <v>2</v>
      </c>
      <c r="E1113" s="2">
        <v>2</v>
      </c>
      <c r="F1113" s="2">
        <v>2</v>
      </c>
      <c r="G1113" s="2">
        <v>2</v>
      </c>
    </row>
    <row r="1114" spans="1:7" x14ac:dyDescent="0.25">
      <c r="A1114" s="2">
        <v>2028</v>
      </c>
      <c r="B1114" s="2" t="s">
        <v>71</v>
      </c>
      <c r="C1114" s="8">
        <v>21</v>
      </c>
      <c r="D1114" s="2">
        <v>1</v>
      </c>
      <c r="E1114" s="2">
        <v>2</v>
      </c>
      <c r="F1114" s="2">
        <v>4</v>
      </c>
      <c r="G1114" s="2">
        <v>1</v>
      </c>
    </row>
    <row r="1115" spans="1:7" x14ac:dyDescent="0.25">
      <c r="A1115" s="2">
        <v>2028</v>
      </c>
      <c r="B1115" s="2" t="s">
        <v>71</v>
      </c>
      <c r="C1115" s="8">
        <v>22</v>
      </c>
      <c r="D1115" s="2">
        <v>2</v>
      </c>
      <c r="E1115" s="2">
        <v>1</v>
      </c>
      <c r="F1115" s="2">
        <v>4</v>
      </c>
      <c r="G1115" s="2">
        <v>1</v>
      </c>
    </row>
    <row r="1116" spans="1:7" x14ac:dyDescent="0.25">
      <c r="A1116" s="2">
        <v>2028</v>
      </c>
      <c r="B1116" s="2" t="s">
        <v>71</v>
      </c>
      <c r="C1116" s="8">
        <v>23</v>
      </c>
      <c r="D1116" s="2">
        <v>3</v>
      </c>
      <c r="E1116" s="2">
        <v>1</v>
      </c>
      <c r="F1116" s="2">
        <v>2</v>
      </c>
      <c r="G1116" s="2">
        <v>4</v>
      </c>
    </row>
    <row r="1117" spans="1:7" x14ac:dyDescent="0.25">
      <c r="A1117" s="2">
        <v>2028</v>
      </c>
      <c r="B1117" s="2" t="s">
        <v>71</v>
      </c>
      <c r="C1117" s="8">
        <v>24</v>
      </c>
      <c r="D1117" s="2">
        <v>2</v>
      </c>
      <c r="E1117" s="2">
        <v>2</v>
      </c>
      <c r="F1117" s="2">
        <v>1</v>
      </c>
      <c r="G1117" s="2">
        <v>2</v>
      </c>
    </row>
    <row r="1118" spans="1:7" x14ac:dyDescent="0.25">
      <c r="A1118" s="2">
        <v>2028</v>
      </c>
      <c r="B1118" s="2" t="s">
        <v>71</v>
      </c>
      <c r="C1118" s="8">
        <v>25</v>
      </c>
      <c r="D1118" s="2">
        <v>1</v>
      </c>
      <c r="E1118" s="2">
        <v>4</v>
      </c>
      <c r="F1118" s="2">
        <v>1</v>
      </c>
      <c r="G1118" s="2">
        <v>1</v>
      </c>
    </row>
    <row r="1119" spans="1:7" x14ac:dyDescent="0.25">
      <c r="A1119" s="2">
        <v>2028</v>
      </c>
      <c r="B1119" s="2" t="s">
        <v>71</v>
      </c>
      <c r="C1119" s="8">
        <v>26</v>
      </c>
      <c r="D1119" s="2">
        <v>2</v>
      </c>
      <c r="E1119" s="2">
        <v>1</v>
      </c>
      <c r="F1119" s="2">
        <v>1</v>
      </c>
      <c r="G1119" s="2">
        <v>2</v>
      </c>
    </row>
    <row r="1120" spans="1:7" x14ac:dyDescent="0.25">
      <c r="A1120" s="2">
        <v>2028</v>
      </c>
      <c r="B1120" s="2" t="s">
        <v>71</v>
      </c>
      <c r="C1120" s="8">
        <v>27</v>
      </c>
      <c r="D1120" s="2">
        <v>1</v>
      </c>
      <c r="E1120" s="2">
        <v>1</v>
      </c>
      <c r="F1120" s="2">
        <v>3</v>
      </c>
      <c r="G1120" s="2">
        <v>4</v>
      </c>
    </row>
    <row r="1121" spans="1:7" x14ac:dyDescent="0.25">
      <c r="A1121" s="2">
        <v>2028</v>
      </c>
      <c r="B1121" s="2" t="s">
        <v>71</v>
      </c>
      <c r="C1121" s="8">
        <v>28</v>
      </c>
      <c r="D1121" s="2">
        <v>1</v>
      </c>
      <c r="E1121" s="2">
        <v>3</v>
      </c>
      <c r="F1121" s="2">
        <v>1</v>
      </c>
      <c r="G1121" s="2">
        <v>2</v>
      </c>
    </row>
    <row r="1122" spans="1:7" x14ac:dyDescent="0.25">
      <c r="A1122" s="2">
        <v>2028</v>
      </c>
      <c r="B1122" s="2" t="s">
        <v>72</v>
      </c>
      <c r="C1122" s="8">
        <v>1</v>
      </c>
      <c r="D1122" s="2">
        <v>1</v>
      </c>
      <c r="E1122" s="2">
        <v>2</v>
      </c>
      <c r="F1122" s="2">
        <v>1</v>
      </c>
      <c r="G1122" s="2">
        <v>3</v>
      </c>
    </row>
    <row r="1123" spans="1:7" x14ac:dyDescent="0.25">
      <c r="A1123" s="2">
        <v>2028</v>
      </c>
      <c r="B1123" s="2" t="s">
        <v>72</v>
      </c>
      <c r="C1123" s="8">
        <v>2</v>
      </c>
      <c r="D1123" s="2">
        <v>1</v>
      </c>
      <c r="E1123" s="2">
        <v>1</v>
      </c>
      <c r="F1123" s="2">
        <v>1</v>
      </c>
      <c r="G1123" s="2">
        <v>1</v>
      </c>
    </row>
    <row r="1124" spans="1:7" x14ac:dyDescent="0.25">
      <c r="A1124" s="2">
        <v>2028</v>
      </c>
      <c r="B1124" s="2" t="s">
        <v>72</v>
      </c>
      <c r="C1124" s="8">
        <v>3</v>
      </c>
      <c r="D1124" s="2">
        <v>3</v>
      </c>
      <c r="E1124" s="2">
        <v>1</v>
      </c>
      <c r="F1124" s="2">
        <v>2</v>
      </c>
      <c r="G1124" s="2">
        <v>4</v>
      </c>
    </row>
    <row r="1125" spans="1:7" x14ac:dyDescent="0.25">
      <c r="A1125" s="2">
        <v>2028</v>
      </c>
      <c r="B1125" s="2" t="s">
        <v>72</v>
      </c>
      <c r="C1125" s="8">
        <v>4</v>
      </c>
      <c r="D1125" s="2">
        <v>4</v>
      </c>
      <c r="E1125" s="2">
        <v>2</v>
      </c>
      <c r="F1125" s="2">
        <v>3</v>
      </c>
      <c r="G1125" s="2">
        <v>1</v>
      </c>
    </row>
    <row r="1126" spans="1:7" x14ac:dyDescent="0.25">
      <c r="A1126" s="2">
        <v>2028</v>
      </c>
      <c r="B1126" s="2" t="s">
        <v>72</v>
      </c>
      <c r="C1126" s="8">
        <v>5</v>
      </c>
      <c r="D1126" s="2">
        <v>2</v>
      </c>
      <c r="E1126" s="2">
        <v>2</v>
      </c>
      <c r="F1126" s="2">
        <v>2</v>
      </c>
      <c r="G1126" s="2">
        <v>4</v>
      </c>
    </row>
    <row r="1127" spans="1:7" x14ac:dyDescent="0.25">
      <c r="A1127" s="2">
        <v>2028</v>
      </c>
      <c r="B1127" s="2" t="s">
        <v>72</v>
      </c>
      <c r="C1127" s="8">
        <v>6</v>
      </c>
      <c r="D1127" s="2">
        <v>1</v>
      </c>
      <c r="E1127" s="2">
        <v>2</v>
      </c>
      <c r="F1127" s="2">
        <v>1</v>
      </c>
      <c r="G1127" s="2">
        <v>2</v>
      </c>
    </row>
    <row r="1128" spans="1:7" x14ac:dyDescent="0.25">
      <c r="A1128" s="2">
        <v>2028</v>
      </c>
      <c r="B1128" s="2" t="s">
        <v>72</v>
      </c>
      <c r="C1128" s="8">
        <v>7</v>
      </c>
      <c r="D1128" s="2">
        <v>1</v>
      </c>
      <c r="E1128" s="2">
        <v>1</v>
      </c>
      <c r="F1128" s="2">
        <v>3</v>
      </c>
      <c r="G1128" s="2">
        <v>2</v>
      </c>
    </row>
    <row r="1129" spans="1:7" x14ac:dyDescent="0.25">
      <c r="A1129" s="2">
        <v>2028</v>
      </c>
      <c r="B1129" s="2" t="s">
        <v>72</v>
      </c>
      <c r="C1129" s="8">
        <v>8</v>
      </c>
      <c r="D1129" s="2">
        <v>2</v>
      </c>
      <c r="E1129" s="2">
        <v>1</v>
      </c>
      <c r="F1129" s="2">
        <v>2</v>
      </c>
      <c r="G1129" s="2">
        <v>1</v>
      </c>
    </row>
    <row r="1130" spans="1:7" x14ac:dyDescent="0.25">
      <c r="A1130" s="2">
        <v>2028</v>
      </c>
      <c r="B1130" s="2" t="s">
        <v>72</v>
      </c>
      <c r="C1130" s="8">
        <v>9</v>
      </c>
      <c r="D1130" s="2">
        <v>3</v>
      </c>
      <c r="E1130" s="2">
        <v>2</v>
      </c>
      <c r="F1130" s="2">
        <v>3</v>
      </c>
      <c r="G1130" s="2">
        <v>1</v>
      </c>
    </row>
    <row r="1131" spans="1:7" x14ac:dyDescent="0.25">
      <c r="A1131" s="2">
        <v>2028</v>
      </c>
      <c r="B1131" s="2" t="s">
        <v>72</v>
      </c>
      <c r="C1131" s="8">
        <v>10</v>
      </c>
      <c r="D1131" s="2">
        <v>1</v>
      </c>
      <c r="E1131" s="2">
        <v>1</v>
      </c>
      <c r="F1131" s="2">
        <v>2</v>
      </c>
      <c r="G1131" s="2">
        <v>2</v>
      </c>
    </row>
    <row r="1132" spans="1:7" x14ac:dyDescent="0.25">
      <c r="A1132" s="2">
        <v>2028</v>
      </c>
      <c r="B1132" s="2" t="s">
        <v>72</v>
      </c>
      <c r="C1132" s="8">
        <v>11</v>
      </c>
      <c r="D1132" s="2">
        <v>1</v>
      </c>
      <c r="E1132" s="2">
        <v>1</v>
      </c>
      <c r="F1132" s="2">
        <v>4</v>
      </c>
      <c r="G1132" s="2">
        <v>2</v>
      </c>
    </row>
    <row r="1133" spans="1:7" x14ac:dyDescent="0.25">
      <c r="A1133" s="2">
        <v>2028</v>
      </c>
      <c r="B1133" s="2" t="s">
        <v>72</v>
      </c>
      <c r="C1133" s="8">
        <v>12</v>
      </c>
      <c r="D1133" s="2">
        <v>2</v>
      </c>
      <c r="E1133" s="2">
        <v>1</v>
      </c>
      <c r="F1133" s="2">
        <v>1</v>
      </c>
      <c r="G1133" s="2">
        <v>3</v>
      </c>
    </row>
    <row r="1134" spans="1:7" x14ac:dyDescent="0.25">
      <c r="A1134" s="2">
        <v>2028</v>
      </c>
      <c r="B1134" s="2" t="s">
        <v>72</v>
      </c>
      <c r="C1134" s="8">
        <v>13</v>
      </c>
      <c r="D1134" s="2">
        <v>2</v>
      </c>
      <c r="E1134" s="2">
        <v>1</v>
      </c>
      <c r="F1134" s="2">
        <v>3</v>
      </c>
      <c r="G1134" s="2">
        <v>3</v>
      </c>
    </row>
    <row r="1135" spans="1:7" x14ac:dyDescent="0.25">
      <c r="A1135" s="2">
        <v>2028</v>
      </c>
      <c r="B1135" s="2" t="s">
        <v>72</v>
      </c>
      <c r="C1135" s="8">
        <v>14</v>
      </c>
      <c r="D1135" s="2">
        <v>1</v>
      </c>
      <c r="E1135" s="2">
        <v>1</v>
      </c>
      <c r="F1135" s="2">
        <v>2</v>
      </c>
      <c r="G1135" s="2">
        <v>4</v>
      </c>
    </row>
    <row r="1136" spans="1:7" x14ac:dyDescent="0.25">
      <c r="A1136" s="2">
        <v>2028</v>
      </c>
      <c r="B1136" s="2" t="s">
        <v>72</v>
      </c>
      <c r="C1136" s="8">
        <v>15</v>
      </c>
      <c r="D1136" s="2">
        <v>2</v>
      </c>
      <c r="E1136" s="2">
        <v>2</v>
      </c>
      <c r="F1136" s="2">
        <v>1</v>
      </c>
      <c r="G1136" s="2">
        <v>1</v>
      </c>
    </row>
    <row r="1137" spans="1:7" x14ac:dyDescent="0.25">
      <c r="A1137" s="2">
        <v>2028</v>
      </c>
      <c r="B1137" s="2" t="s">
        <v>72</v>
      </c>
      <c r="C1137" s="8">
        <v>16</v>
      </c>
      <c r="D1137" s="2">
        <v>4</v>
      </c>
      <c r="E1137" s="2">
        <v>1</v>
      </c>
      <c r="F1137" s="2">
        <v>2</v>
      </c>
      <c r="G1137" s="2">
        <v>2</v>
      </c>
    </row>
    <row r="1138" spans="1:7" x14ac:dyDescent="0.25">
      <c r="A1138" s="2">
        <v>2028</v>
      </c>
      <c r="B1138" s="2" t="s">
        <v>72</v>
      </c>
      <c r="C1138" s="8">
        <v>17</v>
      </c>
      <c r="D1138" s="2">
        <v>4</v>
      </c>
      <c r="E1138" s="2">
        <v>2</v>
      </c>
      <c r="F1138" s="2">
        <v>2</v>
      </c>
      <c r="G1138" s="2">
        <v>1</v>
      </c>
    </row>
    <row r="1139" spans="1:7" x14ac:dyDescent="0.25">
      <c r="A1139" s="2">
        <v>2028</v>
      </c>
      <c r="B1139" s="2" t="s">
        <v>72</v>
      </c>
      <c r="C1139" s="8">
        <v>18</v>
      </c>
      <c r="D1139" s="2">
        <v>1</v>
      </c>
      <c r="E1139" s="2">
        <v>1</v>
      </c>
      <c r="F1139" s="2">
        <v>3</v>
      </c>
      <c r="G1139" s="2">
        <v>1</v>
      </c>
    </row>
    <row r="1140" spans="1:7" x14ac:dyDescent="0.25">
      <c r="A1140" s="2">
        <v>2028</v>
      </c>
      <c r="B1140" s="2" t="s">
        <v>72</v>
      </c>
      <c r="C1140" s="8">
        <v>19</v>
      </c>
      <c r="D1140" s="2">
        <v>1</v>
      </c>
      <c r="E1140" s="2">
        <v>2</v>
      </c>
      <c r="F1140" s="2">
        <v>1</v>
      </c>
      <c r="G1140" s="2">
        <v>1</v>
      </c>
    </row>
    <row r="1141" spans="1:7" x14ac:dyDescent="0.25">
      <c r="A1141" s="2">
        <v>2028</v>
      </c>
      <c r="B1141" s="2" t="s">
        <v>72</v>
      </c>
      <c r="C1141" s="8">
        <v>20</v>
      </c>
      <c r="D1141" s="2">
        <v>4</v>
      </c>
      <c r="E1141" s="2">
        <v>2</v>
      </c>
      <c r="F1141" s="2">
        <v>1</v>
      </c>
      <c r="G1141" s="2">
        <v>3</v>
      </c>
    </row>
    <row r="1142" spans="1:7" x14ac:dyDescent="0.25">
      <c r="A1142" s="2">
        <v>2028</v>
      </c>
      <c r="B1142" s="2" t="s">
        <v>72</v>
      </c>
      <c r="C1142" s="8">
        <v>21</v>
      </c>
      <c r="D1142" s="2">
        <v>1</v>
      </c>
      <c r="E1142" s="2">
        <v>1</v>
      </c>
      <c r="F1142" s="2">
        <v>2</v>
      </c>
      <c r="G1142" s="2">
        <v>2</v>
      </c>
    </row>
    <row r="1143" spans="1:7" x14ac:dyDescent="0.25">
      <c r="A1143" s="2">
        <v>2028</v>
      </c>
      <c r="B1143" s="2" t="s">
        <v>72</v>
      </c>
      <c r="C1143" s="8">
        <v>22</v>
      </c>
      <c r="D1143" s="2">
        <v>1</v>
      </c>
      <c r="E1143" s="2">
        <v>1</v>
      </c>
      <c r="F1143" s="2">
        <v>2</v>
      </c>
      <c r="G1143" s="2">
        <v>3</v>
      </c>
    </row>
    <row r="1144" spans="1:7" x14ac:dyDescent="0.25">
      <c r="A1144" s="2">
        <v>2028</v>
      </c>
      <c r="B1144" s="2" t="s">
        <v>72</v>
      </c>
      <c r="C1144" s="8">
        <v>23</v>
      </c>
      <c r="D1144" s="2">
        <v>1</v>
      </c>
      <c r="E1144" s="2">
        <v>4</v>
      </c>
      <c r="F1144" s="2">
        <v>1</v>
      </c>
      <c r="G1144" s="2">
        <v>3</v>
      </c>
    </row>
    <row r="1145" spans="1:7" x14ac:dyDescent="0.25">
      <c r="A1145" s="2">
        <v>2028</v>
      </c>
      <c r="B1145" s="2" t="s">
        <v>72</v>
      </c>
      <c r="C1145" s="8">
        <v>24</v>
      </c>
      <c r="D1145" s="2">
        <v>1</v>
      </c>
      <c r="E1145" s="2">
        <v>3</v>
      </c>
      <c r="F1145" s="2">
        <v>1</v>
      </c>
      <c r="G1145" s="2">
        <v>4</v>
      </c>
    </row>
    <row r="1146" spans="1:7" x14ac:dyDescent="0.25">
      <c r="A1146" s="2">
        <v>2028</v>
      </c>
      <c r="B1146" s="2" t="s">
        <v>72</v>
      </c>
      <c r="C1146" s="8">
        <v>25</v>
      </c>
      <c r="D1146" s="2">
        <v>3</v>
      </c>
      <c r="E1146" s="2">
        <v>3</v>
      </c>
      <c r="F1146" s="2">
        <v>1</v>
      </c>
      <c r="G1146" s="2">
        <v>3</v>
      </c>
    </row>
    <row r="1147" spans="1:7" x14ac:dyDescent="0.25">
      <c r="A1147" s="2">
        <v>2028</v>
      </c>
      <c r="B1147" s="2" t="s">
        <v>72</v>
      </c>
      <c r="C1147" s="8">
        <v>26</v>
      </c>
      <c r="D1147" s="2">
        <v>2</v>
      </c>
      <c r="E1147" s="2">
        <v>3</v>
      </c>
      <c r="F1147" s="2">
        <v>1</v>
      </c>
      <c r="G1147" s="2">
        <v>1</v>
      </c>
    </row>
    <row r="1148" spans="1:7" x14ac:dyDescent="0.25">
      <c r="A1148" s="2">
        <v>2028</v>
      </c>
      <c r="B1148" s="2" t="s">
        <v>72</v>
      </c>
      <c r="C1148" s="8">
        <v>27</v>
      </c>
      <c r="D1148" s="2">
        <v>1</v>
      </c>
      <c r="E1148" s="2">
        <v>1</v>
      </c>
      <c r="F1148" s="2">
        <v>1</v>
      </c>
      <c r="G1148" s="2">
        <v>2</v>
      </c>
    </row>
    <row r="1149" spans="1:7" x14ac:dyDescent="0.25">
      <c r="A1149" s="2">
        <v>2028</v>
      </c>
      <c r="B1149" s="2" t="s">
        <v>72</v>
      </c>
      <c r="C1149" s="8">
        <v>28</v>
      </c>
      <c r="D1149" s="2">
        <v>2</v>
      </c>
      <c r="E1149" s="2">
        <v>4</v>
      </c>
      <c r="F1149" s="2">
        <v>3</v>
      </c>
      <c r="G1149" s="2">
        <v>3</v>
      </c>
    </row>
    <row r="1150" spans="1:7" x14ac:dyDescent="0.25">
      <c r="A1150" s="2">
        <v>2028</v>
      </c>
      <c r="B1150" s="2" t="s">
        <v>73</v>
      </c>
      <c r="C1150" s="8">
        <v>1</v>
      </c>
      <c r="D1150" s="2">
        <v>1</v>
      </c>
      <c r="E1150" s="2">
        <v>2</v>
      </c>
      <c r="F1150" s="2">
        <v>3</v>
      </c>
      <c r="G1150" s="2">
        <v>4</v>
      </c>
    </row>
    <row r="1151" spans="1:7" x14ac:dyDescent="0.25">
      <c r="A1151" s="2">
        <v>2028</v>
      </c>
      <c r="B1151" s="2" t="s">
        <v>73</v>
      </c>
      <c r="C1151" s="8">
        <v>2</v>
      </c>
      <c r="D1151" s="2">
        <v>2</v>
      </c>
      <c r="E1151" s="2">
        <v>1</v>
      </c>
      <c r="F1151" s="2">
        <v>3</v>
      </c>
      <c r="G1151" s="2">
        <v>1</v>
      </c>
    </row>
    <row r="1152" spans="1:7" x14ac:dyDescent="0.25">
      <c r="A1152" s="2">
        <v>2028</v>
      </c>
      <c r="B1152" s="2" t="s">
        <v>73</v>
      </c>
      <c r="C1152" s="8">
        <v>3</v>
      </c>
      <c r="D1152" s="2">
        <v>1</v>
      </c>
      <c r="E1152" s="2">
        <v>1</v>
      </c>
      <c r="F1152" s="2">
        <v>2</v>
      </c>
      <c r="G1152" s="2">
        <v>2</v>
      </c>
    </row>
    <row r="1153" spans="1:7" x14ac:dyDescent="0.25">
      <c r="A1153" s="2">
        <v>2028</v>
      </c>
      <c r="B1153" s="2" t="s">
        <v>73</v>
      </c>
      <c r="C1153" s="8">
        <v>4</v>
      </c>
      <c r="D1153" s="2">
        <v>2</v>
      </c>
      <c r="E1153" s="2">
        <v>2</v>
      </c>
      <c r="F1153" s="2">
        <v>2</v>
      </c>
      <c r="G1153" s="2">
        <v>2</v>
      </c>
    </row>
    <row r="1154" spans="1:7" x14ac:dyDescent="0.25">
      <c r="A1154" s="2">
        <v>2028</v>
      </c>
      <c r="B1154" s="2" t="s">
        <v>73</v>
      </c>
      <c r="C1154" s="8">
        <v>5</v>
      </c>
      <c r="D1154" s="2">
        <v>3</v>
      </c>
      <c r="E1154" s="2">
        <v>1</v>
      </c>
      <c r="F1154" s="2">
        <v>1</v>
      </c>
      <c r="G1154" s="2">
        <v>2</v>
      </c>
    </row>
    <row r="1155" spans="1:7" x14ac:dyDescent="0.25">
      <c r="A1155" s="2">
        <v>2028</v>
      </c>
      <c r="B1155" s="2" t="s">
        <v>73</v>
      </c>
      <c r="C1155" s="8">
        <v>6</v>
      </c>
      <c r="D1155" s="2">
        <v>2</v>
      </c>
      <c r="E1155" s="2">
        <v>2</v>
      </c>
      <c r="F1155" s="2">
        <v>2</v>
      </c>
      <c r="G1155" s="2">
        <v>1</v>
      </c>
    </row>
    <row r="1156" spans="1:7" x14ac:dyDescent="0.25">
      <c r="A1156" s="2">
        <v>2028</v>
      </c>
      <c r="B1156" s="2" t="s">
        <v>73</v>
      </c>
      <c r="C1156" s="8">
        <v>7</v>
      </c>
      <c r="D1156" s="2">
        <v>1</v>
      </c>
      <c r="E1156" s="2">
        <v>1</v>
      </c>
      <c r="F1156" s="2">
        <v>2</v>
      </c>
      <c r="G1156" s="2">
        <v>3</v>
      </c>
    </row>
    <row r="1157" spans="1:7" x14ac:dyDescent="0.25">
      <c r="A1157" s="2">
        <v>2028</v>
      </c>
      <c r="B1157" s="2" t="s">
        <v>73</v>
      </c>
      <c r="C1157" s="8">
        <v>8</v>
      </c>
      <c r="D1157" s="2">
        <v>2</v>
      </c>
      <c r="E1157" s="2">
        <v>1</v>
      </c>
      <c r="F1157" s="2">
        <v>3</v>
      </c>
      <c r="G1157" s="2">
        <v>3</v>
      </c>
    </row>
    <row r="1158" spans="1:7" x14ac:dyDescent="0.25">
      <c r="A1158" s="2">
        <v>2028</v>
      </c>
      <c r="B1158" s="2" t="s">
        <v>73</v>
      </c>
      <c r="C1158" s="8">
        <v>9</v>
      </c>
      <c r="D1158" s="2">
        <v>1</v>
      </c>
      <c r="E1158" s="2">
        <v>2</v>
      </c>
      <c r="F1158" s="2">
        <v>2</v>
      </c>
      <c r="G1158" s="2">
        <v>2</v>
      </c>
    </row>
    <row r="1159" spans="1:7" x14ac:dyDescent="0.25">
      <c r="A1159" s="2">
        <v>2028</v>
      </c>
      <c r="B1159" s="2" t="s">
        <v>73</v>
      </c>
      <c r="C1159" s="8">
        <v>10</v>
      </c>
      <c r="D1159" s="2">
        <v>3</v>
      </c>
      <c r="E1159" s="2">
        <v>3</v>
      </c>
      <c r="F1159" s="2">
        <v>1</v>
      </c>
      <c r="G1159" s="2">
        <v>1</v>
      </c>
    </row>
    <row r="1160" spans="1:7" x14ac:dyDescent="0.25">
      <c r="A1160" s="2">
        <v>2028</v>
      </c>
      <c r="B1160" s="2" t="s">
        <v>73</v>
      </c>
      <c r="C1160" s="8">
        <v>11</v>
      </c>
      <c r="D1160" s="2">
        <v>1</v>
      </c>
      <c r="E1160" s="2">
        <v>1</v>
      </c>
      <c r="F1160" s="2">
        <v>1</v>
      </c>
      <c r="G1160" s="2">
        <v>1</v>
      </c>
    </row>
    <row r="1161" spans="1:7" x14ac:dyDescent="0.25">
      <c r="A1161" s="2">
        <v>2028</v>
      </c>
      <c r="B1161" s="2" t="s">
        <v>73</v>
      </c>
      <c r="C1161" s="8">
        <v>12</v>
      </c>
      <c r="D1161" s="2">
        <v>3</v>
      </c>
      <c r="E1161" s="2">
        <v>2</v>
      </c>
      <c r="F1161" s="2">
        <v>4</v>
      </c>
      <c r="G1161" s="2">
        <v>3</v>
      </c>
    </row>
    <row r="1162" spans="1:7" x14ac:dyDescent="0.25">
      <c r="A1162" s="2">
        <v>2028</v>
      </c>
      <c r="B1162" s="2" t="s">
        <v>73</v>
      </c>
      <c r="C1162" s="8">
        <v>13</v>
      </c>
      <c r="D1162" s="2">
        <v>1</v>
      </c>
      <c r="E1162" s="2">
        <v>2</v>
      </c>
      <c r="F1162" s="2">
        <v>1</v>
      </c>
      <c r="G1162" s="2">
        <v>2</v>
      </c>
    </row>
    <row r="1163" spans="1:7" x14ac:dyDescent="0.25">
      <c r="A1163" s="2">
        <v>2028</v>
      </c>
      <c r="B1163" s="2" t="s">
        <v>73</v>
      </c>
      <c r="C1163" s="8">
        <v>14</v>
      </c>
      <c r="D1163" s="2">
        <v>3</v>
      </c>
      <c r="E1163" s="2">
        <v>1</v>
      </c>
      <c r="F1163" s="2">
        <v>1</v>
      </c>
      <c r="G1163" s="2">
        <v>1</v>
      </c>
    </row>
    <row r="1164" spans="1:7" x14ac:dyDescent="0.25">
      <c r="A1164" s="2">
        <v>2028</v>
      </c>
      <c r="B1164" s="2" t="s">
        <v>73</v>
      </c>
      <c r="C1164" s="8">
        <v>15</v>
      </c>
      <c r="D1164" s="2">
        <v>2</v>
      </c>
      <c r="E1164" s="2">
        <v>2</v>
      </c>
      <c r="F1164" s="2">
        <v>4</v>
      </c>
      <c r="G1164" s="2">
        <v>2</v>
      </c>
    </row>
    <row r="1165" spans="1:7" x14ac:dyDescent="0.25">
      <c r="A1165" s="2">
        <v>2028</v>
      </c>
      <c r="B1165" s="2" t="s">
        <v>73</v>
      </c>
      <c r="C1165" s="8">
        <v>16</v>
      </c>
      <c r="D1165" s="2">
        <v>4</v>
      </c>
      <c r="E1165" s="2">
        <v>2</v>
      </c>
      <c r="F1165" s="2">
        <v>1</v>
      </c>
      <c r="G1165" s="2">
        <v>3</v>
      </c>
    </row>
    <row r="1166" spans="1:7" x14ac:dyDescent="0.25">
      <c r="A1166" s="2">
        <v>2028</v>
      </c>
      <c r="B1166" s="2" t="s">
        <v>73</v>
      </c>
      <c r="C1166" s="8">
        <v>17</v>
      </c>
      <c r="D1166" s="2">
        <v>4</v>
      </c>
      <c r="E1166" s="2">
        <v>2</v>
      </c>
      <c r="F1166" s="2">
        <v>1</v>
      </c>
      <c r="G1166" s="2">
        <v>1</v>
      </c>
    </row>
    <row r="1167" spans="1:7" x14ac:dyDescent="0.25">
      <c r="A1167" s="2">
        <v>2028</v>
      </c>
      <c r="B1167" s="2" t="s">
        <v>73</v>
      </c>
      <c r="C1167" s="8">
        <v>18</v>
      </c>
      <c r="D1167" s="2">
        <v>1</v>
      </c>
      <c r="E1167" s="2">
        <v>3</v>
      </c>
      <c r="F1167" s="2">
        <v>2</v>
      </c>
      <c r="G1167" s="2">
        <v>1</v>
      </c>
    </row>
    <row r="1168" spans="1:7" x14ac:dyDescent="0.25">
      <c r="A1168" s="2">
        <v>2028</v>
      </c>
      <c r="B1168" s="2" t="s">
        <v>73</v>
      </c>
      <c r="C1168" s="8">
        <v>19</v>
      </c>
      <c r="D1168" s="2">
        <v>1</v>
      </c>
      <c r="E1168" s="2">
        <v>2</v>
      </c>
      <c r="F1168" s="2">
        <v>3</v>
      </c>
      <c r="G1168" s="2">
        <v>1</v>
      </c>
    </row>
    <row r="1169" spans="1:7" x14ac:dyDescent="0.25">
      <c r="A1169" s="2">
        <v>2028</v>
      </c>
      <c r="B1169" s="2" t="s">
        <v>73</v>
      </c>
      <c r="C1169" s="8">
        <v>20</v>
      </c>
      <c r="D1169" s="2">
        <v>2</v>
      </c>
      <c r="E1169" s="2">
        <v>1</v>
      </c>
      <c r="F1169" s="2">
        <v>1</v>
      </c>
      <c r="G1169" s="2">
        <v>3</v>
      </c>
    </row>
    <row r="1170" spans="1:7" x14ac:dyDescent="0.25">
      <c r="A1170" s="2">
        <v>2028</v>
      </c>
      <c r="B1170" s="2" t="s">
        <v>73</v>
      </c>
      <c r="C1170" s="8">
        <v>21</v>
      </c>
      <c r="D1170" s="2">
        <v>3</v>
      </c>
      <c r="E1170" s="2">
        <v>1</v>
      </c>
      <c r="F1170" s="2">
        <v>4</v>
      </c>
      <c r="G1170" s="2">
        <v>1</v>
      </c>
    </row>
    <row r="1171" spans="1:7" x14ac:dyDescent="0.25">
      <c r="A1171" s="2">
        <v>2028</v>
      </c>
      <c r="B1171" s="2" t="s">
        <v>73</v>
      </c>
      <c r="C1171" s="8">
        <v>22</v>
      </c>
      <c r="D1171" s="2">
        <v>1</v>
      </c>
      <c r="E1171" s="2">
        <v>3</v>
      </c>
      <c r="F1171" s="2">
        <v>1</v>
      </c>
      <c r="G1171" s="2">
        <v>1</v>
      </c>
    </row>
    <row r="1172" spans="1:7" x14ac:dyDescent="0.25">
      <c r="A1172" s="2">
        <v>2028</v>
      </c>
      <c r="B1172" s="2" t="s">
        <v>73</v>
      </c>
      <c r="C1172" s="8">
        <v>23</v>
      </c>
      <c r="D1172" s="2">
        <v>1</v>
      </c>
      <c r="E1172" s="2">
        <v>1</v>
      </c>
      <c r="F1172" s="2">
        <v>1</v>
      </c>
      <c r="G1172" s="2">
        <v>4</v>
      </c>
    </row>
    <row r="1173" spans="1:7" x14ac:dyDescent="0.25">
      <c r="A1173" s="2">
        <v>2028</v>
      </c>
      <c r="B1173" s="2" t="s">
        <v>73</v>
      </c>
      <c r="C1173" s="8">
        <v>24</v>
      </c>
      <c r="D1173" s="2">
        <v>1</v>
      </c>
      <c r="E1173" s="2">
        <v>2</v>
      </c>
      <c r="F1173" s="2">
        <v>1</v>
      </c>
      <c r="G1173" s="2">
        <v>1</v>
      </c>
    </row>
    <row r="1174" spans="1:7" x14ac:dyDescent="0.25">
      <c r="A1174" s="2">
        <v>2028</v>
      </c>
      <c r="B1174" s="2" t="s">
        <v>73</v>
      </c>
      <c r="C1174" s="8">
        <v>25</v>
      </c>
      <c r="D1174" s="2">
        <v>3</v>
      </c>
      <c r="E1174" s="2">
        <v>1</v>
      </c>
      <c r="F1174" s="2">
        <v>1</v>
      </c>
      <c r="G1174" s="2">
        <v>3</v>
      </c>
    </row>
    <row r="1175" spans="1:7" x14ac:dyDescent="0.25">
      <c r="A1175" s="2">
        <v>2028</v>
      </c>
      <c r="B1175" s="2" t="s">
        <v>73</v>
      </c>
      <c r="C1175" s="8">
        <v>26</v>
      </c>
      <c r="D1175" s="2">
        <v>2</v>
      </c>
      <c r="E1175" s="2">
        <v>1</v>
      </c>
      <c r="F1175" s="2">
        <v>4</v>
      </c>
      <c r="G1175" s="2">
        <v>3</v>
      </c>
    </row>
    <row r="1176" spans="1:7" x14ac:dyDescent="0.25">
      <c r="A1176" s="2">
        <v>2028</v>
      </c>
      <c r="B1176" s="2" t="s">
        <v>73</v>
      </c>
      <c r="C1176" s="8">
        <v>27</v>
      </c>
      <c r="D1176" s="2">
        <v>1</v>
      </c>
      <c r="E1176" s="2">
        <v>1</v>
      </c>
      <c r="F1176" s="2">
        <v>1</v>
      </c>
      <c r="G1176" s="2">
        <v>2</v>
      </c>
    </row>
    <row r="1177" spans="1:7" x14ac:dyDescent="0.25">
      <c r="A1177" s="2">
        <v>2028</v>
      </c>
      <c r="B1177" s="2" t="s">
        <v>73</v>
      </c>
      <c r="C1177" s="8">
        <v>28</v>
      </c>
      <c r="D1177" s="2">
        <v>2</v>
      </c>
      <c r="E1177" s="2">
        <v>1</v>
      </c>
      <c r="F1177" s="2">
        <v>4</v>
      </c>
      <c r="G1177" s="2">
        <v>3</v>
      </c>
    </row>
    <row r="1178" spans="1:7" x14ac:dyDescent="0.25">
      <c r="A1178" s="2">
        <v>2028</v>
      </c>
      <c r="B1178" s="2" t="s">
        <v>74</v>
      </c>
      <c r="C1178" s="8">
        <v>1</v>
      </c>
      <c r="D1178" s="2">
        <v>2</v>
      </c>
      <c r="E1178" s="2">
        <v>2</v>
      </c>
      <c r="F1178" s="2">
        <v>3</v>
      </c>
      <c r="G1178" s="2">
        <v>1</v>
      </c>
    </row>
    <row r="1179" spans="1:7" x14ac:dyDescent="0.25">
      <c r="A1179" s="2">
        <v>2028</v>
      </c>
      <c r="B1179" s="2" t="s">
        <v>74</v>
      </c>
      <c r="C1179" s="8">
        <v>2</v>
      </c>
      <c r="D1179" s="2">
        <v>3</v>
      </c>
      <c r="E1179" s="2">
        <v>2</v>
      </c>
      <c r="F1179" s="2">
        <v>1</v>
      </c>
      <c r="G1179" s="2">
        <v>1</v>
      </c>
    </row>
    <row r="1180" spans="1:7" x14ac:dyDescent="0.25">
      <c r="A1180" s="2">
        <v>2028</v>
      </c>
      <c r="B1180" s="2" t="s">
        <v>74</v>
      </c>
      <c r="C1180" s="8">
        <v>3</v>
      </c>
      <c r="D1180" s="2">
        <v>3</v>
      </c>
      <c r="E1180" s="2">
        <v>1</v>
      </c>
      <c r="F1180" s="2">
        <v>2</v>
      </c>
      <c r="G1180" s="2">
        <v>2</v>
      </c>
    </row>
    <row r="1181" spans="1:7" x14ac:dyDescent="0.25">
      <c r="A1181" s="2">
        <v>2028</v>
      </c>
      <c r="B1181" s="2" t="s">
        <v>74</v>
      </c>
      <c r="C1181" s="8">
        <v>4</v>
      </c>
      <c r="D1181" s="2">
        <v>2</v>
      </c>
      <c r="E1181" s="2">
        <v>1</v>
      </c>
      <c r="F1181" s="2">
        <v>1</v>
      </c>
      <c r="G1181" s="2">
        <v>1</v>
      </c>
    </row>
    <row r="1182" spans="1:7" x14ac:dyDescent="0.25">
      <c r="A1182" s="2">
        <v>2028</v>
      </c>
      <c r="B1182" s="2" t="s">
        <v>74</v>
      </c>
      <c r="C1182" s="8">
        <v>5</v>
      </c>
      <c r="D1182" s="2">
        <v>3</v>
      </c>
      <c r="E1182" s="2">
        <v>2</v>
      </c>
      <c r="F1182" s="2">
        <v>4</v>
      </c>
      <c r="G1182" s="2">
        <v>1</v>
      </c>
    </row>
    <row r="1183" spans="1:7" x14ac:dyDescent="0.25">
      <c r="A1183" s="2">
        <v>2028</v>
      </c>
      <c r="B1183" s="2" t="s">
        <v>74</v>
      </c>
      <c r="C1183" s="8">
        <v>6</v>
      </c>
      <c r="D1183" s="2">
        <v>1</v>
      </c>
      <c r="E1183" s="2">
        <v>3</v>
      </c>
      <c r="F1183" s="2">
        <v>3</v>
      </c>
      <c r="G1183" s="2">
        <v>2</v>
      </c>
    </row>
    <row r="1184" spans="1:7" x14ac:dyDescent="0.25">
      <c r="A1184" s="2">
        <v>2028</v>
      </c>
      <c r="B1184" s="2" t="s">
        <v>74</v>
      </c>
      <c r="C1184" s="8">
        <v>7</v>
      </c>
      <c r="D1184" s="2">
        <v>1</v>
      </c>
      <c r="E1184" s="2">
        <v>1</v>
      </c>
      <c r="F1184" s="2">
        <v>1</v>
      </c>
      <c r="G1184" s="2">
        <v>4</v>
      </c>
    </row>
    <row r="1185" spans="1:7" x14ac:dyDescent="0.25">
      <c r="A1185" s="2">
        <v>2028</v>
      </c>
      <c r="B1185" s="2" t="s">
        <v>74</v>
      </c>
      <c r="C1185" s="8">
        <v>8</v>
      </c>
      <c r="D1185" s="2">
        <v>3</v>
      </c>
      <c r="E1185" s="2">
        <v>2</v>
      </c>
      <c r="F1185" s="2">
        <v>2</v>
      </c>
      <c r="G1185" s="2">
        <v>2</v>
      </c>
    </row>
    <row r="1186" spans="1:7" x14ac:dyDescent="0.25">
      <c r="A1186" s="2">
        <v>2028</v>
      </c>
      <c r="B1186" s="2" t="s">
        <v>74</v>
      </c>
      <c r="C1186" s="8">
        <v>9</v>
      </c>
      <c r="D1186" s="2">
        <v>2</v>
      </c>
      <c r="E1186" s="2">
        <v>4</v>
      </c>
      <c r="F1186" s="2">
        <v>4</v>
      </c>
      <c r="G1186" s="2">
        <v>1</v>
      </c>
    </row>
    <row r="1187" spans="1:7" x14ac:dyDescent="0.25">
      <c r="A1187" s="2">
        <v>2028</v>
      </c>
      <c r="B1187" s="2" t="s">
        <v>74</v>
      </c>
      <c r="C1187" s="8">
        <v>10</v>
      </c>
      <c r="D1187" s="2">
        <v>1</v>
      </c>
      <c r="E1187" s="2">
        <v>2</v>
      </c>
      <c r="F1187" s="2">
        <v>3</v>
      </c>
      <c r="G1187" s="2">
        <v>1</v>
      </c>
    </row>
    <row r="1188" spans="1:7" x14ac:dyDescent="0.25">
      <c r="A1188" s="2">
        <v>2028</v>
      </c>
      <c r="B1188" s="2" t="s">
        <v>74</v>
      </c>
      <c r="C1188" s="8">
        <v>11</v>
      </c>
      <c r="D1188" s="2">
        <v>2</v>
      </c>
      <c r="E1188" s="2">
        <v>2</v>
      </c>
      <c r="F1188" s="2">
        <v>2</v>
      </c>
      <c r="G1188" s="2">
        <v>2</v>
      </c>
    </row>
    <row r="1189" spans="1:7" x14ac:dyDescent="0.25">
      <c r="A1189" s="2">
        <v>2028</v>
      </c>
      <c r="B1189" s="2" t="s">
        <v>74</v>
      </c>
      <c r="C1189" s="8">
        <v>12</v>
      </c>
      <c r="D1189" s="2">
        <v>3</v>
      </c>
      <c r="E1189" s="2">
        <v>2</v>
      </c>
      <c r="F1189" s="2">
        <v>1</v>
      </c>
      <c r="G1189" s="2">
        <v>2</v>
      </c>
    </row>
    <row r="1190" spans="1:7" x14ac:dyDescent="0.25">
      <c r="A1190" s="2">
        <v>2028</v>
      </c>
      <c r="B1190" s="2" t="s">
        <v>74</v>
      </c>
      <c r="C1190" s="8">
        <v>13</v>
      </c>
      <c r="D1190" s="2">
        <v>1</v>
      </c>
      <c r="E1190" s="2">
        <v>2</v>
      </c>
      <c r="F1190" s="2">
        <v>1</v>
      </c>
      <c r="G1190" s="2">
        <v>2</v>
      </c>
    </row>
    <row r="1191" spans="1:7" x14ac:dyDescent="0.25">
      <c r="A1191" s="2">
        <v>2028</v>
      </c>
      <c r="B1191" s="2" t="s">
        <v>74</v>
      </c>
      <c r="C1191" s="8">
        <v>14</v>
      </c>
      <c r="D1191" s="2">
        <v>4</v>
      </c>
      <c r="E1191" s="2">
        <v>3</v>
      </c>
      <c r="F1191" s="2">
        <v>1</v>
      </c>
      <c r="G1191" s="2">
        <v>2</v>
      </c>
    </row>
    <row r="1192" spans="1:7" x14ac:dyDescent="0.25">
      <c r="A1192" s="2">
        <v>2028</v>
      </c>
      <c r="B1192" s="2" t="s">
        <v>74</v>
      </c>
      <c r="C1192" s="8">
        <v>15</v>
      </c>
      <c r="D1192" s="2">
        <v>2</v>
      </c>
      <c r="E1192" s="2">
        <v>2</v>
      </c>
      <c r="F1192" s="2">
        <v>4</v>
      </c>
      <c r="G1192" s="2">
        <v>2</v>
      </c>
    </row>
    <row r="1193" spans="1:7" x14ac:dyDescent="0.25">
      <c r="A1193" s="2">
        <v>2028</v>
      </c>
      <c r="B1193" s="2" t="s">
        <v>74</v>
      </c>
      <c r="C1193" s="8">
        <v>16</v>
      </c>
      <c r="D1193" s="2">
        <v>1</v>
      </c>
      <c r="E1193" s="2">
        <v>1</v>
      </c>
      <c r="F1193" s="2">
        <v>4</v>
      </c>
      <c r="G1193" s="2">
        <v>4</v>
      </c>
    </row>
    <row r="1194" spans="1:7" x14ac:dyDescent="0.25">
      <c r="A1194" s="2">
        <v>2028</v>
      </c>
      <c r="B1194" s="2" t="s">
        <v>74</v>
      </c>
      <c r="C1194" s="8">
        <v>17</v>
      </c>
      <c r="D1194" s="2">
        <v>1</v>
      </c>
      <c r="E1194" s="2">
        <v>1</v>
      </c>
      <c r="F1194" s="2">
        <v>1</v>
      </c>
      <c r="G1194" s="2">
        <v>1</v>
      </c>
    </row>
    <row r="1195" spans="1:7" x14ac:dyDescent="0.25">
      <c r="A1195" s="2">
        <v>2028</v>
      </c>
      <c r="B1195" s="2" t="s">
        <v>74</v>
      </c>
      <c r="C1195" s="8">
        <v>18</v>
      </c>
      <c r="D1195" s="2">
        <v>2</v>
      </c>
      <c r="E1195" s="2">
        <v>2</v>
      </c>
      <c r="F1195" s="2">
        <v>4</v>
      </c>
      <c r="G1195" s="2">
        <v>1</v>
      </c>
    </row>
    <row r="1196" spans="1:7" x14ac:dyDescent="0.25">
      <c r="A1196" s="2">
        <v>2028</v>
      </c>
      <c r="B1196" s="2" t="s">
        <v>74</v>
      </c>
      <c r="C1196" s="8">
        <v>19</v>
      </c>
      <c r="D1196" s="2">
        <v>2</v>
      </c>
      <c r="E1196" s="2">
        <v>2</v>
      </c>
      <c r="F1196" s="2">
        <v>3</v>
      </c>
      <c r="G1196" s="2">
        <v>1</v>
      </c>
    </row>
    <row r="1197" spans="1:7" x14ac:dyDescent="0.25">
      <c r="A1197" s="2">
        <v>2028</v>
      </c>
      <c r="B1197" s="2" t="s">
        <v>74</v>
      </c>
      <c r="C1197" s="8">
        <v>20</v>
      </c>
      <c r="D1197" s="2">
        <v>2</v>
      </c>
      <c r="E1197" s="2">
        <v>3</v>
      </c>
      <c r="F1197" s="2">
        <v>3</v>
      </c>
      <c r="G1197" s="2">
        <v>1</v>
      </c>
    </row>
    <row r="1198" spans="1:7" x14ac:dyDescent="0.25">
      <c r="A1198" s="2">
        <v>2028</v>
      </c>
      <c r="B1198" s="2" t="s">
        <v>74</v>
      </c>
      <c r="C1198" s="8">
        <v>21</v>
      </c>
      <c r="D1198" s="2">
        <v>3</v>
      </c>
      <c r="E1198" s="2">
        <v>1</v>
      </c>
      <c r="F1198" s="2">
        <v>2</v>
      </c>
      <c r="G1198" s="2">
        <v>3</v>
      </c>
    </row>
    <row r="1199" spans="1:7" x14ac:dyDescent="0.25">
      <c r="A1199" s="2">
        <v>2028</v>
      </c>
      <c r="B1199" s="2" t="s">
        <v>74</v>
      </c>
      <c r="C1199" s="8">
        <v>22</v>
      </c>
      <c r="D1199" s="2">
        <v>3</v>
      </c>
      <c r="E1199" s="2">
        <v>2</v>
      </c>
      <c r="F1199" s="2">
        <v>1</v>
      </c>
      <c r="G1199" s="2">
        <v>1</v>
      </c>
    </row>
    <row r="1200" spans="1:7" x14ac:dyDescent="0.25">
      <c r="A1200" s="2">
        <v>2028</v>
      </c>
      <c r="B1200" s="2" t="s">
        <v>74</v>
      </c>
      <c r="C1200" s="8">
        <v>23</v>
      </c>
      <c r="D1200" s="2">
        <v>2</v>
      </c>
      <c r="E1200" s="2">
        <v>2</v>
      </c>
      <c r="F1200" s="2">
        <v>4</v>
      </c>
      <c r="G1200" s="2">
        <v>3</v>
      </c>
    </row>
    <row r="1201" spans="1:7" x14ac:dyDescent="0.25">
      <c r="A1201" s="2">
        <v>2028</v>
      </c>
      <c r="B1201" s="2" t="s">
        <v>74</v>
      </c>
      <c r="C1201" s="8">
        <v>24</v>
      </c>
      <c r="D1201" s="2">
        <v>1</v>
      </c>
      <c r="E1201" s="2">
        <v>2</v>
      </c>
      <c r="F1201" s="2">
        <v>3</v>
      </c>
      <c r="G1201" s="2">
        <v>1</v>
      </c>
    </row>
    <row r="1202" spans="1:7" x14ac:dyDescent="0.25">
      <c r="A1202" s="2">
        <v>2028</v>
      </c>
      <c r="B1202" s="2" t="s">
        <v>74</v>
      </c>
      <c r="C1202" s="8">
        <v>25</v>
      </c>
      <c r="D1202" s="2">
        <v>3</v>
      </c>
      <c r="E1202" s="2">
        <v>1</v>
      </c>
      <c r="F1202" s="2">
        <v>3</v>
      </c>
      <c r="G1202" s="2">
        <v>2</v>
      </c>
    </row>
    <row r="1203" spans="1:7" x14ac:dyDescent="0.25">
      <c r="A1203" s="2">
        <v>2028</v>
      </c>
      <c r="B1203" s="2" t="s">
        <v>74</v>
      </c>
      <c r="C1203" s="8">
        <v>26</v>
      </c>
      <c r="D1203" s="2">
        <v>3</v>
      </c>
      <c r="E1203" s="2">
        <v>3</v>
      </c>
      <c r="F1203" s="2">
        <v>1</v>
      </c>
      <c r="G1203" s="2">
        <v>2</v>
      </c>
    </row>
    <row r="1204" spans="1:7" x14ac:dyDescent="0.25">
      <c r="A1204" s="2">
        <v>2028</v>
      </c>
      <c r="B1204" s="2" t="s">
        <v>74</v>
      </c>
      <c r="C1204" s="8">
        <v>27</v>
      </c>
      <c r="D1204" s="2">
        <v>3</v>
      </c>
      <c r="E1204" s="2">
        <v>2</v>
      </c>
      <c r="F1204" s="2">
        <v>2</v>
      </c>
      <c r="G1204" s="2">
        <v>4</v>
      </c>
    </row>
    <row r="1205" spans="1:7" x14ac:dyDescent="0.25">
      <c r="A1205" s="2">
        <v>2028</v>
      </c>
      <c r="B1205" s="2" t="s">
        <v>74</v>
      </c>
      <c r="C1205" s="8">
        <v>28</v>
      </c>
      <c r="D1205" s="2">
        <v>1</v>
      </c>
      <c r="E1205" s="2">
        <v>1</v>
      </c>
      <c r="F1205" s="2">
        <v>1</v>
      </c>
      <c r="G1205" s="2">
        <v>3</v>
      </c>
    </row>
    <row r="1206" spans="1:7" x14ac:dyDescent="0.25">
      <c r="A1206" s="2">
        <v>2028</v>
      </c>
      <c r="B1206" s="2" t="s">
        <v>75</v>
      </c>
      <c r="C1206" s="8">
        <v>1</v>
      </c>
      <c r="D1206" s="2">
        <v>1</v>
      </c>
      <c r="E1206" s="2">
        <v>2</v>
      </c>
      <c r="F1206" s="2">
        <v>1</v>
      </c>
      <c r="G1206" s="2">
        <v>1</v>
      </c>
    </row>
    <row r="1207" spans="1:7" x14ac:dyDescent="0.25">
      <c r="A1207" s="2">
        <v>2028</v>
      </c>
      <c r="B1207" s="2" t="s">
        <v>75</v>
      </c>
      <c r="C1207" s="8">
        <v>2</v>
      </c>
      <c r="D1207" s="2">
        <v>1</v>
      </c>
      <c r="E1207" s="2">
        <v>1</v>
      </c>
      <c r="F1207" s="2">
        <v>3</v>
      </c>
      <c r="G1207" s="2">
        <v>1</v>
      </c>
    </row>
    <row r="1208" spans="1:7" x14ac:dyDescent="0.25">
      <c r="A1208" s="2">
        <v>2028</v>
      </c>
      <c r="B1208" s="2" t="s">
        <v>75</v>
      </c>
      <c r="C1208" s="8">
        <v>3</v>
      </c>
      <c r="D1208" s="2">
        <v>3</v>
      </c>
      <c r="E1208" s="2">
        <v>4</v>
      </c>
      <c r="F1208" s="2">
        <v>2</v>
      </c>
      <c r="G1208" s="2">
        <v>1</v>
      </c>
    </row>
    <row r="1209" spans="1:7" x14ac:dyDescent="0.25">
      <c r="A1209" s="2">
        <v>2028</v>
      </c>
      <c r="B1209" s="2" t="s">
        <v>75</v>
      </c>
      <c r="C1209" s="8">
        <v>4</v>
      </c>
      <c r="D1209" s="2">
        <v>2</v>
      </c>
      <c r="E1209" s="2">
        <v>1</v>
      </c>
      <c r="F1209" s="2">
        <v>1</v>
      </c>
      <c r="G1209" s="2">
        <v>2</v>
      </c>
    </row>
    <row r="1210" spans="1:7" x14ac:dyDescent="0.25">
      <c r="A1210" s="2">
        <v>2028</v>
      </c>
      <c r="B1210" s="2" t="s">
        <v>75</v>
      </c>
      <c r="C1210" s="8">
        <v>5</v>
      </c>
      <c r="D1210" s="2">
        <v>3</v>
      </c>
      <c r="E1210" s="2">
        <v>2</v>
      </c>
      <c r="F1210" s="2">
        <v>2</v>
      </c>
      <c r="G1210" s="2">
        <v>3</v>
      </c>
    </row>
    <row r="1211" spans="1:7" x14ac:dyDescent="0.25">
      <c r="A1211" s="2">
        <v>2028</v>
      </c>
      <c r="B1211" s="2" t="s">
        <v>75</v>
      </c>
      <c r="C1211" s="8">
        <v>6</v>
      </c>
      <c r="D1211" s="2">
        <v>3</v>
      </c>
      <c r="E1211" s="2">
        <v>2</v>
      </c>
      <c r="F1211" s="2">
        <v>1</v>
      </c>
      <c r="G1211" s="2">
        <v>3</v>
      </c>
    </row>
    <row r="1212" spans="1:7" x14ac:dyDescent="0.25">
      <c r="A1212" s="2">
        <v>2028</v>
      </c>
      <c r="B1212" s="2" t="s">
        <v>75</v>
      </c>
      <c r="C1212" s="8">
        <v>7</v>
      </c>
      <c r="D1212" s="2">
        <v>3</v>
      </c>
      <c r="E1212" s="2">
        <v>3</v>
      </c>
      <c r="F1212" s="2">
        <v>1</v>
      </c>
      <c r="G1212" s="2">
        <v>3</v>
      </c>
    </row>
    <row r="1213" spans="1:7" x14ac:dyDescent="0.25">
      <c r="A1213" s="2">
        <v>2028</v>
      </c>
      <c r="B1213" s="2" t="s">
        <v>75</v>
      </c>
      <c r="C1213" s="8">
        <v>8</v>
      </c>
      <c r="D1213" s="2">
        <v>2</v>
      </c>
      <c r="E1213" s="2">
        <v>1</v>
      </c>
      <c r="F1213" s="2">
        <v>3</v>
      </c>
      <c r="G1213" s="2">
        <v>1</v>
      </c>
    </row>
    <row r="1214" spans="1:7" x14ac:dyDescent="0.25">
      <c r="A1214" s="2">
        <v>2028</v>
      </c>
      <c r="B1214" s="2" t="s">
        <v>75</v>
      </c>
      <c r="C1214" s="8">
        <v>9</v>
      </c>
      <c r="D1214" s="2">
        <v>1</v>
      </c>
      <c r="E1214" s="2">
        <v>2</v>
      </c>
      <c r="F1214" s="2">
        <v>3</v>
      </c>
      <c r="G1214" s="2">
        <v>4</v>
      </c>
    </row>
    <row r="1215" spans="1:7" x14ac:dyDescent="0.25">
      <c r="A1215" s="2">
        <v>2028</v>
      </c>
      <c r="B1215" s="2" t="s">
        <v>75</v>
      </c>
      <c r="C1215" s="8">
        <v>10</v>
      </c>
      <c r="D1215" s="2">
        <v>1</v>
      </c>
      <c r="E1215" s="2">
        <v>1</v>
      </c>
      <c r="F1215" s="2">
        <v>1</v>
      </c>
      <c r="G1215" s="2">
        <v>1</v>
      </c>
    </row>
    <row r="1216" spans="1:7" x14ac:dyDescent="0.25">
      <c r="A1216" s="2">
        <v>2028</v>
      </c>
      <c r="B1216" s="2" t="s">
        <v>75</v>
      </c>
      <c r="C1216" s="8">
        <v>11</v>
      </c>
      <c r="D1216" s="2">
        <v>2</v>
      </c>
      <c r="E1216" s="2">
        <v>3</v>
      </c>
      <c r="F1216" s="2">
        <v>2</v>
      </c>
      <c r="G1216" s="2">
        <v>2</v>
      </c>
    </row>
    <row r="1217" spans="1:7" x14ac:dyDescent="0.25">
      <c r="A1217" s="2">
        <v>2028</v>
      </c>
      <c r="B1217" s="2" t="s">
        <v>75</v>
      </c>
      <c r="C1217" s="8">
        <v>12</v>
      </c>
      <c r="D1217" s="2">
        <v>1</v>
      </c>
      <c r="E1217" s="2">
        <v>1</v>
      </c>
      <c r="F1217" s="2">
        <v>1</v>
      </c>
      <c r="G1217" s="2">
        <v>3</v>
      </c>
    </row>
    <row r="1218" spans="1:7" x14ac:dyDescent="0.25">
      <c r="A1218" s="2">
        <v>2028</v>
      </c>
      <c r="B1218" s="2" t="s">
        <v>75</v>
      </c>
      <c r="C1218" s="8">
        <v>13</v>
      </c>
      <c r="D1218" s="2">
        <v>1</v>
      </c>
      <c r="E1218" s="2">
        <v>1</v>
      </c>
      <c r="F1218" s="2">
        <v>4</v>
      </c>
      <c r="G1218" s="2">
        <v>3</v>
      </c>
    </row>
    <row r="1219" spans="1:7" x14ac:dyDescent="0.25">
      <c r="A1219" s="2">
        <v>2028</v>
      </c>
      <c r="B1219" s="2" t="s">
        <v>75</v>
      </c>
      <c r="C1219" s="8">
        <v>14</v>
      </c>
      <c r="D1219" s="2">
        <v>1</v>
      </c>
      <c r="E1219" s="2">
        <v>1</v>
      </c>
      <c r="F1219" s="2">
        <v>2</v>
      </c>
      <c r="G1219" s="2">
        <v>2</v>
      </c>
    </row>
    <row r="1220" spans="1:7" x14ac:dyDescent="0.25">
      <c r="A1220" s="2">
        <v>2028</v>
      </c>
      <c r="B1220" s="2" t="s">
        <v>75</v>
      </c>
      <c r="C1220" s="8">
        <v>15</v>
      </c>
      <c r="D1220" s="2">
        <v>1</v>
      </c>
      <c r="E1220" s="2">
        <v>4</v>
      </c>
      <c r="F1220" s="2">
        <v>1</v>
      </c>
      <c r="G1220" s="2">
        <v>3</v>
      </c>
    </row>
    <row r="1221" spans="1:7" x14ac:dyDescent="0.25">
      <c r="A1221" s="2">
        <v>2028</v>
      </c>
      <c r="B1221" s="2" t="s">
        <v>75</v>
      </c>
      <c r="C1221" s="8">
        <v>16</v>
      </c>
      <c r="D1221" s="2">
        <v>3</v>
      </c>
      <c r="E1221" s="2">
        <v>2</v>
      </c>
      <c r="F1221" s="2">
        <v>1</v>
      </c>
      <c r="G1221" s="2">
        <v>1</v>
      </c>
    </row>
    <row r="1222" spans="1:7" x14ac:dyDescent="0.25">
      <c r="A1222" s="2">
        <v>2028</v>
      </c>
      <c r="B1222" s="2" t="s">
        <v>75</v>
      </c>
      <c r="C1222" s="8">
        <v>17</v>
      </c>
      <c r="D1222" s="2">
        <v>3</v>
      </c>
      <c r="E1222" s="2">
        <v>1</v>
      </c>
      <c r="F1222" s="2">
        <v>2</v>
      </c>
      <c r="G1222" s="2">
        <v>4</v>
      </c>
    </row>
    <row r="1223" spans="1:7" x14ac:dyDescent="0.25">
      <c r="A1223" s="2">
        <v>2028</v>
      </c>
      <c r="B1223" s="2" t="s">
        <v>75</v>
      </c>
      <c r="C1223" s="8">
        <v>18</v>
      </c>
      <c r="D1223" s="2">
        <v>3</v>
      </c>
      <c r="E1223" s="2">
        <v>4</v>
      </c>
      <c r="F1223" s="2">
        <v>1</v>
      </c>
      <c r="G1223" s="2">
        <v>2</v>
      </c>
    </row>
    <row r="1224" spans="1:7" x14ac:dyDescent="0.25">
      <c r="A1224" s="2">
        <v>2028</v>
      </c>
      <c r="B1224" s="2" t="s">
        <v>75</v>
      </c>
      <c r="C1224" s="8">
        <v>19</v>
      </c>
      <c r="D1224" s="2">
        <v>3</v>
      </c>
      <c r="E1224" s="2">
        <v>3</v>
      </c>
      <c r="F1224" s="2">
        <v>3</v>
      </c>
      <c r="G1224" s="2">
        <v>3</v>
      </c>
    </row>
    <row r="1225" spans="1:7" x14ac:dyDescent="0.25">
      <c r="A1225" s="2">
        <v>2028</v>
      </c>
      <c r="B1225" s="2" t="s">
        <v>75</v>
      </c>
      <c r="C1225" s="8">
        <v>20</v>
      </c>
      <c r="D1225" s="2">
        <v>3</v>
      </c>
      <c r="E1225" s="2">
        <v>4</v>
      </c>
      <c r="F1225" s="2">
        <v>3</v>
      </c>
      <c r="G1225" s="2">
        <v>1</v>
      </c>
    </row>
    <row r="1226" spans="1:7" x14ac:dyDescent="0.25">
      <c r="A1226" s="2">
        <v>2028</v>
      </c>
      <c r="B1226" s="2" t="s">
        <v>75</v>
      </c>
      <c r="C1226" s="8">
        <v>21</v>
      </c>
      <c r="D1226" s="2">
        <v>2</v>
      </c>
      <c r="E1226" s="2">
        <v>1</v>
      </c>
      <c r="F1226" s="2">
        <v>3</v>
      </c>
      <c r="G1226" s="2">
        <v>2</v>
      </c>
    </row>
    <row r="1227" spans="1:7" x14ac:dyDescent="0.25">
      <c r="A1227" s="2">
        <v>2028</v>
      </c>
      <c r="B1227" s="2" t="s">
        <v>75</v>
      </c>
      <c r="C1227" s="8">
        <v>22</v>
      </c>
      <c r="D1227" s="2">
        <v>1</v>
      </c>
      <c r="E1227" s="2">
        <v>2</v>
      </c>
      <c r="F1227" s="2">
        <v>2</v>
      </c>
      <c r="G1227" s="2">
        <v>1</v>
      </c>
    </row>
    <row r="1228" spans="1:7" x14ac:dyDescent="0.25">
      <c r="A1228" s="2">
        <v>2028</v>
      </c>
      <c r="B1228" s="2" t="s">
        <v>75</v>
      </c>
      <c r="C1228" s="8">
        <v>23</v>
      </c>
      <c r="D1228" s="2">
        <v>1</v>
      </c>
      <c r="E1228" s="2">
        <v>2</v>
      </c>
      <c r="F1228" s="2">
        <v>3</v>
      </c>
      <c r="G1228" s="2">
        <v>2</v>
      </c>
    </row>
    <row r="1229" spans="1:7" x14ac:dyDescent="0.25">
      <c r="A1229" s="2">
        <v>2028</v>
      </c>
      <c r="B1229" s="2" t="s">
        <v>75</v>
      </c>
      <c r="C1229" s="8">
        <v>24</v>
      </c>
      <c r="D1229" s="2">
        <v>4</v>
      </c>
      <c r="E1229" s="2">
        <v>3</v>
      </c>
      <c r="F1229" s="2">
        <v>1</v>
      </c>
      <c r="G1229" s="2">
        <v>2</v>
      </c>
    </row>
    <row r="1230" spans="1:7" x14ac:dyDescent="0.25">
      <c r="A1230" s="2">
        <v>2028</v>
      </c>
      <c r="B1230" s="2" t="s">
        <v>75</v>
      </c>
      <c r="C1230" s="8">
        <v>25</v>
      </c>
      <c r="D1230" s="2">
        <v>1</v>
      </c>
      <c r="E1230" s="2">
        <v>3</v>
      </c>
      <c r="F1230" s="2">
        <v>3</v>
      </c>
      <c r="G1230" s="2">
        <v>1</v>
      </c>
    </row>
    <row r="1231" spans="1:7" x14ac:dyDescent="0.25">
      <c r="A1231" s="2">
        <v>2028</v>
      </c>
      <c r="B1231" s="2" t="s">
        <v>75</v>
      </c>
      <c r="C1231" s="8">
        <v>26</v>
      </c>
      <c r="D1231" s="2">
        <v>1</v>
      </c>
      <c r="E1231" s="2">
        <v>1</v>
      </c>
      <c r="F1231" s="2">
        <v>3</v>
      </c>
      <c r="G1231" s="2">
        <v>3</v>
      </c>
    </row>
    <row r="1232" spans="1:7" x14ac:dyDescent="0.25">
      <c r="A1232" s="2">
        <v>2028</v>
      </c>
      <c r="B1232" s="2" t="s">
        <v>75</v>
      </c>
      <c r="C1232" s="8">
        <v>27</v>
      </c>
      <c r="D1232" s="2">
        <v>1</v>
      </c>
      <c r="E1232" s="2">
        <v>2</v>
      </c>
      <c r="F1232" s="2">
        <v>1</v>
      </c>
      <c r="G1232" s="2">
        <v>2</v>
      </c>
    </row>
    <row r="1233" spans="1:7" x14ac:dyDescent="0.25">
      <c r="A1233" s="2">
        <v>2028</v>
      </c>
      <c r="B1233" s="2" t="s">
        <v>75</v>
      </c>
      <c r="C1233" s="8">
        <v>28</v>
      </c>
      <c r="D1233" s="2">
        <v>1</v>
      </c>
      <c r="E1233" s="2">
        <v>3</v>
      </c>
      <c r="F1233" s="2">
        <v>3</v>
      </c>
      <c r="G1233" s="2">
        <v>1</v>
      </c>
    </row>
    <row r="1234" spans="1:7" x14ac:dyDescent="0.25">
      <c r="A1234" s="2">
        <v>2028</v>
      </c>
      <c r="B1234" s="2" t="s">
        <v>76</v>
      </c>
      <c r="C1234" s="8">
        <v>1</v>
      </c>
      <c r="D1234" s="2">
        <v>2</v>
      </c>
      <c r="E1234" s="2">
        <v>2</v>
      </c>
      <c r="F1234" s="2">
        <v>1</v>
      </c>
      <c r="G1234" s="2">
        <v>1</v>
      </c>
    </row>
    <row r="1235" spans="1:7" x14ac:dyDescent="0.25">
      <c r="A1235" s="2">
        <v>2028</v>
      </c>
      <c r="B1235" s="2" t="s">
        <v>76</v>
      </c>
      <c r="C1235" s="8">
        <v>2</v>
      </c>
      <c r="D1235" s="2">
        <v>2</v>
      </c>
      <c r="E1235" s="2">
        <v>1</v>
      </c>
      <c r="F1235" s="2">
        <v>2</v>
      </c>
      <c r="G1235" s="2">
        <v>3</v>
      </c>
    </row>
    <row r="1236" spans="1:7" x14ac:dyDescent="0.25">
      <c r="A1236" s="2">
        <v>2028</v>
      </c>
      <c r="B1236" s="2" t="s">
        <v>76</v>
      </c>
      <c r="C1236" s="8">
        <v>3</v>
      </c>
      <c r="D1236" s="2">
        <v>1</v>
      </c>
      <c r="E1236" s="2">
        <v>4</v>
      </c>
      <c r="F1236" s="2">
        <v>1</v>
      </c>
      <c r="G1236" s="2">
        <v>1</v>
      </c>
    </row>
    <row r="1237" spans="1:7" x14ac:dyDescent="0.25">
      <c r="A1237" s="2">
        <v>2028</v>
      </c>
      <c r="B1237" s="2" t="s">
        <v>76</v>
      </c>
      <c r="C1237" s="8">
        <v>4</v>
      </c>
      <c r="D1237" s="2">
        <v>1</v>
      </c>
      <c r="E1237" s="2">
        <v>4</v>
      </c>
      <c r="F1237" s="2">
        <v>3</v>
      </c>
      <c r="G1237" s="2">
        <v>2</v>
      </c>
    </row>
    <row r="1238" spans="1:7" x14ac:dyDescent="0.25">
      <c r="A1238" s="2">
        <v>2028</v>
      </c>
      <c r="B1238" s="2" t="s">
        <v>76</v>
      </c>
      <c r="C1238" s="8">
        <v>5</v>
      </c>
      <c r="D1238" s="2">
        <v>1</v>
      </c>
      <c r="E1238" s="2">
        <v>2</v>
      </c>
      <c r="F1238" s="2">
        <v>1</v>
      </c>
      <c r="G1238" s="2">
        <v>4</v>
      </c>
    </row>
    <row r="1239" spans="1:7" x14ac:dyDescent="0.25">
      <c r="A1239" s="2">
        <v>2028</v>
      </c>
      <c r="B1239" s="2" t="s">
        <v>76</v>
      </c>
      <c r="C1239" s="8">
        <v>6</v>
      </c>
      <c r="D1239" s="2">
        <v>3</v>
      </c>
      <c r="E1239" s="2">
        <v>3</v>
      </c>
      <c r="F1239" s="2">
        <v>2</v>
      </c>
      <c r="G1239" s="2">
        <v>2</v>
      </c>
    </row>
    <row r="1240" spans="1:7" x14ac:dyDescent="0.25">
      <c r="A1240" s="2">
        <v>2028</v>
      </c>
      <c r="B1240" s="2" t="s">
        <v>76</v>
      </c>
      <c r="C1240" s="8">
        <v>7</v>
      </c>
      <c r="D1240" s="2">
        <v>3</v>
      </c>
      <c r="E1240" s="2">
        <v>1</v>
      </c>
      <c r="F1240" s="2">
        <v>1</v>
      </c>
      <c r="G1240" s="2">
        <v>1</v>
      </c>
    </row>
    <row r="1241" spans="1:7" x14ac:dyDescent="0.25">
      <c r="A1241" s="2">
        <v>2028</v>
      </c>
      <c r="B1241" s="2" t="s">
        <v>76</v>
      </c>
      <c r="C1241" s="8">
        <v>8</v>
      </c>
      <c r="D1241" s="2">
        <v>1</v>
      </c>
      <c r="E1241" s="2">
        <v>3</v>
      </c>
      <c r="F1241" s="2">
        <v>2</v>
      </c>
      <c r="G1241" s="2">
        <v>3</v>
      </c>
    </row>
    <row r="1242" spans="1:7" x14ac:dyDescent="0.25">
      <c r="A1242" s="2">
        <v>2028</v>
      </c>
      <c r="B1242" s="2" t="s">
        <v>76</v>
      </c>
      <c r="C1242" s="8">
        <v>9</v>
      </c>
      <c r="D1242" s="2">
        <v>2</v>
      </c>
      <c r="E1242" s="2">
        <v>2</v>
      </c>
      <c r="F1242" s="2">
        <v>3</v>
      </c>
      <c r="G1242" s="2">
        <v>2</v>
      </c>
    </row>
    <row r="1243" spans="1:7" x14ac:dyDescent="0.25">
      <c r="A1243" s="2">
        <v>2028</v>
      </c>
      <c r="B1243" s="2" t="s">
        <v>76</v>
      </c>
      <c r="C1243" s="8">
        <v>10</v>
      </c>
      <c r="D1243" s="2">
        <v>4</v>
      </c>
      <c r="E1243" s="2">
        <v>1</v>
      </c>
      <c r="F1243" s="2">
        <v>3</v>
      </c>
      <c r="G1243" s="2">
        <v>1</v>
      </c>
    </row>
    <row r="1244" spans="1:7" x14ac:dyDescent="0.25">
      <c r="A1244" s="2">
        <v>2028</v>
      </c>
      <c r="B1244" s="2" t="s">
        <v>76</v>
      </c>
      <c r="C1244" s="8">
        <v>11</v>
      </c>
      <c r="D1244" s="2">
        <v>2</v>
      </c>
      <c r="E1244" s="2">
        <v>1</v>
      </c>
      <c r="F1244" s="2">
        <v>2</v>
      </c>
      <c r="G1244" s="2">
        <v>4</v>
      </c>
    </row>
    <row r="1245" spans="1:7" x14ac:dyDescent="0.25">
      <c r="A1245" s="2">
        <v>2028</v>
      </c>
      <c r="B1245" s="2" t="s">
        <v>76</v>
      </c>
      <c r="C1245" s="8">
        <v>12</v>
      </c>
      <c r="D1245" s="2">
        <v>1</v>
      </c>
      <c r="E1245" s="2">
        <v>1</v>
      </c>
      <c r="F1245" s="2">
        <v>3</v>
      </c>
      <c r="G1245" s="2">
        <v>3</v>
      </c>
    </row>
    <row r="1246" spans="1:7" x14ac:dyDescent="0.25">
      <c r="A1246" s="2">
        <v>2028</v>
      </c>
      <c r="B1246" s="2" t="s">
        <v>76</v>
      </c>
      <c r="C1246" s="8">
        <v>13</v>
      </c>
      <c r="D1246" s="2">
        <v>2</v>
      </c>
      <c r="E1246" s="2">
        <v>2</v>
      </c>
      <c r="F1246" s="2">
        <v>3</v>
      </c>
      <c r="G1246" s="2">
        <v>4</v>
      </c>
    </row>
    <row r="1247" spans="1:7" x14ac:dyDescent="0.25">
      <c r="A1247" s="2">
        <v>2028</v>
      </c>
      <c r="B1247" s="2" t="s">
        <v>76</v>
      </c>
      <c r="C1247" s="8">
        <v>14</v>
      </c>
      <c r="D1247" s="2">
        <v>1</v>
      </c>
      <c r="E1247" s="2">
        <v>3</v>
      </c>
      <c r="F1247" s="2">
        <v>3</v>
      </c>
      <c r="G1247" s="2">
        <v>1</v>
      </c>
    </row>
    <row r="1248" spans="1:7" x14ac:dyDescent="0.25">
      <c r="A1248" s="2">
        <v>2028</v>
      </c>
      <c r="B1248" s="2" t="s">
        <v>76</v>
      </c>
      <c r="C1248" s="8">
        <v>15</v>
      </c>
      <c r="D1248" s="2">
        <v>1</v>
      </c>
      <c r="E1248" s="2">
        <v>2</v>
      </c>
      <c r="F1248" s="2">
        <v>4</v>
      </c>
      <c r="G1248" s="2">
        <v>1</v>
      </c>
    </row>
    <row r="1249" spans="1:7" x14ac:dyDescent="0.25">
      <c r="A1249" s="2">
        <v>2028</v>
      </c>
      <c r="B1249" s="2" t="s">
        <v>76</v>
      </c>
      <c r="C1249" s="8">
        <v>16</v>
      </c>
      <c r="D1249" s="2">
        <v>2</v>
      </c>
      <c r="E1249" s="2">
        <v>1</v>
      </c>
      <c r="F1249" s="2">
        <v>1</v>
      </c>
      <c r="G1249" s="2">
        <v>1</v>
      </c>
    </row>
    <row r="1250" spans="1:7" x14ac:dyDescent="0.25">
      <c r="A1250" s="2">
        <v>2028</v>
      </c>
      <c r="B1250" s="2" t="s">
        <v>76</v>
      </c>
      <c r="C1250" s="8">
        <v>17</v>
      </c>
      <c r="D1250" s="2">
        <v>2</v>
      </c>
      <c r="E1250" s="2">
        <v>3</v>
      </c>
      <c r="F1250" s="2">
        <v>1</v>
      </c>
      <c r="G1250" s="2">
        <v>2</v>
      </c>
    </row>
    <row r="1251" spans="1:7" x14ac:dyDescent="0.25">
      <c r="A1251" s="2">
        <v>2028</v>
      </c>
      <c r="B1251" s="2" t="s">
        <v>76</v>
      </c>
      <c r="C1251" s="8">
        <v>18</v>
      </c>
      <c r="D1251" s="2">
        <v>2</v>
      </c>
      <c r="E1251" s="2">
        <v>3</v>
      </c>
      <c r="F1251" s="2">
        <v>1</v>
      </c>
      <c r="G1251" s="2">
        <v>1</v>
      </c>
    </row>
    <row r="1252" spans="1:7" x14ac:dyDescent="0.25">
      <c r="A1252" s="2">
        <v>2028</v>
      </c>
      <c r="B1252" s="2" t="s">
        <v>76</v>
      </c>
      <c r="C1252" s="8">
        <v>19</v>
      </c>
      <c r="D1252" s="2">
        <v>4</v>
      </c>
      <c r="E1252" s="2">
        <v>1</v>
      </c>
      <c r="F1252" s="2">
        <v>2</v>
      </c>
      <c r="G1252" s="2">
        <v>3</v>
      </c>
    </row>
    <row r="1253" spans="1:7" x14ac:dyDescent="0.25">
      <c r="A1253" s="2">
        <v>2028</v>
      </c>
      <c r="B1253" s="2" t="s">
        <v>76</v>
      </c>
      <c r="C1253" s="8">
        <v>20</v>
      </c>
      <c r="D1253" s="2">
        <v>3</v>
      </c>
      <c r="E1253" s="2">
        <v>2</v>
      </c>
      <c r="F1253" s="2">
        <v>1</v>
      </c>
      <c r="G1253" s="2">
        <v>1</v>
      </c>
    </row>
    <row r="1254" spans="1:7" x14ac:dyDescent="0.25">
      <c r="A1254" s="2">
        <v>2028</v>
      </c>
      <c r="B1254" s="2" t="s">
        <v>76</v>
      </c>
      <c r="C1254" s="8">
        <v>21</v>
      </c>
      <c r="D1254" s="2">
        <v>2</v>
      </c>
      <c r="E1254" s="2">
        <v>1</v>
      </c>
      <c r="F1254" s="2">
        <v>3</v>
      </c>
      <c r="G1254" s="2">
        <v>1</v>
      </c>
    </row>
    <row r="1255" spans="1:7" x14ac:dyDescent="0.25">
      <c r="A1255" s="2">
        <v>2028</v>
      </c>
      <c r="B1255" s="2" t="s">
        <v>76</v>
      </c>
      <c r="C1255" s="8">
        <v>22</v>
      </c>
      <c r="D1255" s="2">
        <v>3</v>
      </c>
      <c r="E1255" s="2">
        <v>1</v>
      </c>
      <c r="F1255" s="2">
        <v>2</v>
      </c>
      <c r="G1255" s="2">
        <v>1</v>
      </c>
    </row>
    <row r="1256" spans="1:7" x14ac:dyDescent="0.25">
      <c r="A1256" s="2">
        <v>2028</v>
      </c>
      <c r="B1256" s="2" t="s">
        <v>76</v>
      </c>
      <c r="C1256" s="8">
        <v>23</v>
      </c>
      <c r="D1256" s="2">
        <v>3</v>
      </c>
      <c r="E1256" s="2">
        <v>2</v>
      </c>
      <c r="F1256" s="2">
        <v>2</v>
      </c>
      <c r="G1256" s="2">
        <v>1</v>
      </c>
    </row>
    <row r="1257" spans="1:7" x14ac:dyDescent="0.25">
      <c r="A1257" s="2">
        <v>2028</v>
      </c>
      <c r="B1257" s="2" t="s">
        <v>76</v>
      </c>
      <c r="C1257" s="8">
        <v>24</v>
      </c>
      <c r="D1257" s="2">
        <v>1</v>
      </c>
      <c r="E1257" s="2">
        <v>2</v>
      </c>
      <c r="F1257" s="2">
        <v>1</v>
      </c>
      <c r="G1257" s="2">
        <v>2</v>
      </c>
    </row>
    <row r="1258" spans="1:7" x14ac:dyDescent="0.25">
      <c r="A1258" s="2">
        <v>2028</v>
      </c>
      <c r="B1258" s="2" t="s">
        <v>76</v>
      </c>
      <c r="C1258" s="8">
        <v>25</v>
      </c>
      <c r="D1258" s="2">
        <v>1</v>
      </c>
      <c r="E1258" s="2">
        <v>1</v>
      </c>
      <c r="F1258" s="2">
        <v>3</v>
      </c>
      <c r="G1258" s="2">
        <v>1</v>
      </c>
    </row>
    <row r="1259" spans="1:7" x14ac:dyDescent="0.25">
      <c r="A1259" s="2">
        <v>2028</v>
      </c>
      <c r="B1259" s="2" t="s">
        <v>76</v>
      </c>
      <c r="C1259" s="8">
        <v>26</v>
      </c>
      <c r="D1259" s="2">
        <v>1</v>
      </c>
      <c r="E1259" s="2">
        <v>2</v>
      </c>
      <c r="F1259" s="2">
        <v>2</v>
      </c>
      <c r="G1259" s="2">
        <v>1</v>
      </c>
    </row>
    <row r="1260" spans="1:7" x14ac:dyDescent="0.25">
      <c r="A1260" s="2">
        <v>2028</v>
      </c>
      <c r="B1260" s="2" t="s">
        <v>76</v>
      </c>
      <c r="C1260" s="8">
        <v>27</v>
      </c>
      <c r="D1260" s="2">
        <v>3</v>
      </c>
      <c r="E1260" s="2">
        <v>1</v>
      </c>
      <c r="F1260" s="2">
        <v>2</v>
      </c>
      <c r="G1260" s="2">
        <v>1</v>
      </c>
    </row>
    <row r="1261" spans="1:7" x14ac:dyDescent="0.25">
      <c r="A1261" s="2">
        <v>2028</v>
      </c>
      <c r="B1261" s="2" t="s">
        <v>76</v>
      </c>
      <c r="C1261" s="8">
        <v>28</v>
      </c>
      <c r="D1261" s="2">
        <v>3</v>
      </c>
      <c r="E1261" s="2">
        <v>3</v>
      </c>
      <c r="F1261" s="2">
        <v>2</v>
      </c>
      <c r="G1261" s="2">
        <v>1</v>
      </c>
    </row>
    <row r="1262" spans="1:7" x14ac:dyDescent="0.25">
      <c r="A1262" s="2">
        <v>2028</v>
      </c>
      <c r="B1262" s="2" t="s">
        <v>77</v>
      </c>
      <c r="C1262" s="8">
        <v>1</v>
      </c>
      <c r="D1262" s="2">
        <v>3</v>
      </c>
      <c r="E1262" s="2">
        <v>1</v>
      </c>
      <c r="F1262" s="2">
        <v>1</v>
      </c>
      <c r="G1262" s="2">
        <v>1</v>
      </c>
    </row>
    <row r="1263" spans="1:7" x14ac:dyDescent="0.25">
      <c r="A1263" s="2">
        <v>2028</v>
      </c>
      <c r="B1263" s="2" t="s">
        <v>77</v>
      </c>
      <c r="C1263" s="8">
        <v>2</v>
      </c>
      <c r="D1263" s="2">
        <v>1</v>
      </c>
      <c r="E1263" s="2">
        <v>2</v>
      </c>
      <c r="F1263" s="2">
        <v>2</v>
      </c>
      <c r="G1263" s="2">
        <v>1</v>
      </c>
    </row>
    <row r="1264" spans="1:7" x14ac:dyDescent="0.25">
      <c r="A1264" s="2">
        <v>2028</v>
      </c>
      <c r="B1264" s="2" t="s">
        <v>77</v>
      </c>
      <c r="C1264" s="8">
        <v>3</v>
      </c>
      <c r="D1264" s="2">
        <v>1</v>
      </c>
      <c r="E1264" s="2">
        <v>2</v>
      </c>
      <c r="F1264" s="2">
        <v>2</v>
      </c>
      <c r="G1264" s="2">
        <v>1</v>
      </c>
    </row>
    <row r="1265" spans="1:7" x14ac:dyDescent="0.25">
      <c r="A1265" s="2">
        <v>2028</v>
      </c>
      <c r="B1265" s="2" t="s">
        <v>77</v>
      </c>
      <c r="C1265" s="8">
        <v>4</v>
      </c>
      <c r="D1265" s="2">
        <v>2</v>
      </c>
      <c r="E1265" s="2">
        <v>3</v>
      </c>
      <c r="F1265" s="2">
        <v>2</v>
      </c>
      <c r="G1265" s="2">
        <v>3</v>
      </c>
    </row>
    <row r="1266" spans="1:7" x14ac:dyDescent="0.25">
      <c r="A1266" s="2">
        <v>2028</v>
      </c>
      <c r="B1266" s="2" t="s">
        <v>77</v>
      </c>
      <c r="C1266" s="8">
        <v>5</v>
      </c>
      <c r="D1266" s="2">
        <v>3</v>
      </c>
      <c r="E1266" s="2">
        <v>2</v>
      </c>
      <c r="F1266" s="2">
        <v>3</v>
      </c>
      <c r="G1266" s="2">
        <v>2</v>
      </c>
    </row>
    <row r="1267" spans="1:7" x14ac:dyDescent="0.25">
      <c r="A1267" s="2">
        <v>2028</v>
      </c>
      <c r="B1267" s="2" t="s">
        <v>77</v>
      </c>
      <c r="C1267" s="8">
        <v>6</v>
      </c>
      <c r="D1267" s="2">
        <v>2</v>
      </c>
      <c r="E1267" s="2">
        <v>3</v>
      </c>
      <c r="F1267" s="2">
        <v>1</v>
      </c>
      <c r="G1267" s="2">
        <v>2</v>
      </c>
    </row>
    <row r="1268" spans="1:7" x14ac:dyDescent="0.25">
      <c r="A1268" s="2">
        <v>2028</v>
      </c>
      <c r="B1268" s="2" t="s">
        <v>77</v>
      </c>
      <c r="C1268" s="8">
        <v>7</v>
      </c>
      <c r="D1268" s="2">
        <v>2</v>
      </c>
      <c r="E1268" s="2">
        <v>2</v>
      </c>
      <c r="F1268" s="2">
        <v>3</v>
      </c>
      <c r="G1268" s="2">
        <v>1</v>
      </c>
    </row>
    <row r="1269" spans="1:7" x14ac:dyDescent="0.25">
      <c r="A1269" s="2">
        <v>2028</v>
      </c>
      <c r="B1269" s="2" t="s">
        <v>77</v>
      </c>
      <c r="C1269" s="8">
        <v>8</v>
      </c>
      <c r="D1269" s="2">
        <v>3</v>
      </c>
      <c r="E1269" s="2">
        <v>3</v>
      </c>
      <c r="F1269" s="2">
        <v>2</v>
      </c>
      <c r="G1269" s="2">
        <v>1</v>
      </c>
    </row>
    <row r="1270" spans="1:7" x14ac:dyDescent="0.25">
      <c r="A1270" s="2">
        <v>2028</v>
      </c>
      <c r="B1270" s="2" t="s">
        <v>77</v>
      </c>
      <c r="C1270" s="8">
        <v>9</v>
      </c>
      <c r="D1270" s="2">
        <v>1</v>
      </c>
      <c r="E1270" s="2">
        <v>2</v>
      </c>
      <c r="F1270" s="2">
        <v>1</v>
      </c>
      <c r="G1270" s="2">
        <v>1</v>
      </c>
    </row>
    <row r="1271" spans="1:7" x14ac:dyDescent="0.25">
      <c r="A1271" s="2">
        <v>2028</v>
      </c>
      <c r="B1271" s="2" t="s">
        <v>77</v>
      </c>
      <c r="C1271" s="8">
        <v>10</v>
      </c>
      <c r="D1271" s="2">
        <v>1</v>
      </c>
      <c r="E1271" s="2">
        <v>1</v>
      </c>
      <c r="F1271" s="2">
        <v>3</v>
      </c>
      <c r="G1271" s="2">
        <v>2</v>
      </c>
    </row>
    <row r="1272" spans="1:7" x14ac:dyDescent="0.25">
      <c r="A1272" s="2">
        <v>2028</v>
      </c>
      <c r="B1272" s="2" t="s">
        <v>77</v>
      </c>
      <c r="C1272" s="8">
        <v>11</v>
      </c>
      <c r="D1272" s="2">
        <v>2</v>
      </c>
      <c r="E1272" s="2">
        <v>2</v>
      </c>
      <c r="F1272" s="2">
        <v>3</v>
      </c>
      <c r="G1272" s="2">
        <v>2</v>
      </c>
    </row>
    <row r="1273" spans="1:7" x14ac:dyDescent="0.25">
      <c r="A1273" s="2">
        <v>2028</v>
      </c>
      <c r="B1273" s="2" t="s">
        <v>77</v>
      </c>
      <c r="C1273" s="8">
        <v>12</v>
      </c>
      <c r="D1273" s="2">
        <v>2</v>
      </c>
      <c r="E1273" s="2">
        <v>3</v>
      </c>
      <c r="F1273" s="2">
        <v>2</v>
      </c>
      <c r="G1273" s="2">
        <v>2</v>
      </c>
    </row>
    <row r="1274" spans="1:7" x14ac:dyDescent="0.25">
      <c r="A1274" s="2">
        <v>2028</v>
      </c>
      <c r="B1274" s="2" t="s">
        <v>77</v>
      </c>
      <c r="C1274" s="8">
        <v>13</v>
      </c>
      <c r="D1274" s="2">
        <v>1</v>
      </c>
      <c r="E1274" s="2">
        <v>2</v>
      </c>
      <c r="F1274" s="2">
        <v>1</v>
      </c>
      <c r="G1274" s="2">
        <v>1</v>
      </c>
    </row>
    <row r="1275" spans="1:7" x14ac:dyDescent="0.25">
      <c r="A1275" s="2">
        <v>2028</v>
      </c>
      <c r="B1275" s="2" t="s">
        <v>77</v>
      </c>
      <c r="C1275" s="8">
        <v>14</v>
      </c>
      <c r="D1275" s="2">
        <v>1</v>
      </c>
      <c r="E1275" s="2">
        <v>2</v>
      </c>
      <c r="F1275" s="2">
        <v>3</v>
      </c>
      <c r="G1275" s="2">
        <v>2</v>
      </c>
    </row>
    <row r="1276" spans="1:7" x14ac:dyDescent="0.25">
      <c r="A1276" s="2">
        <v>2028</v>
      </c>
      <c r="B1276" s="2" t="s">
        <v>77</v>
      </c>
      <c r="C1276" s="8">
        <v>15</v>
      </c>
      <c r="D1276" s="2">
        <v>4</v>
      </c>
      <c r="E1276" s="2">
        <v>1</v>
      </c>
      <c r="F1276" s="2">
        <v>2</v>
      </c>
      <c r="G1276" s="2">
        <v>2</v>
      </c>
    </row>
    <row r="1277" spans="1:7" x14ac:dyDescent="0.25">
      <c r="A1277" s="2">
        <v>2028</v>
      </c>
      <c r="B1277" s="2" t="s">
        <v>77</v>
      </c>
      <c r="C1277" s="8">
        <v>16</v>
      </c>
      <c r="D1277" s="2">
        <v>1</v>
      </c>
      <c r="E1277" s="2">
        <v>3</v>
      </c>
      <c r="F1277" s="2">
        <v>3</v>
      </c>
      <c r="G1277" s="2">
        <v>1</v>
      </c>
    </row>
    <row r="1278" spans="1:7" x14ac:dyDescent="0.25">
      <c r="A1278" s="2">
        <v>2028</v>
      </c>
      <c r="B1278" s="2" t="s">
        <v>77</v>
      </c>
      <c r="C1278" s="8">
        <v>17</v>
      </c>
      <c r="D1278" s="2">
        <v>1</v>
      </c>
      <c r="E1278" s="2">
        <v>1</v>
      </c>
      <c r="F1278" s="2">
        <v>3</v>
      </c>
      <c r="G1278" s="2">
        <v>2</v>
      </c>
    </row>
    <row r="1279" spans="1:7" x14ac:dyDescent="0.25">
      <c r="A1279" s="2">
        <v>2028</v>
      </c>
      <c r="B1279" s="2" t="s">
        <v>77</v>
      </c>
      <c r="C1279" s="8">
        <v>18</v>
      </c>
      <c r="D1279" s="2">
        <v>1</v>
      </c>
      <c r="E1279" s="2">
        <v>3</v>
      </c>
      <c r="F1279" s="2">
        <v>1</v>
      </c>
      <c r="G1279" s="2">
        <v>2</v>
      </c>
    </row>
    <row r="1280" spans="1:7" x14ac:dyDescent="0.25">
      <c r="A1280" s="2">
        <v>2028</v>
      </c>
      <c r="B1280" s="2" t="s">
        <v>77</v>
      </c>
      <c r="C1280" s="8">
        <v>19</v>
      </c>
      <c r="D1280" s="2">
        <v>1</v>
      </c>
      <c r="E1280" s="2">
        <v>1</v>
      </c>
      <c r="F1280" s="2">
        <v>3</v>
      </c>
      <c r="G1280" s="2">
        <v>4</v>
      </c>
    </row>
    <row r="1281" spans="1:7" x14ac:dyDescent="0.25">
      <c r="A1281" s="2">
        <v>2028</v>
      </c>
      <c r="B1281" s="2" t="s">
        <v>77</v>
      </c>
      <c r="C1281" s="8">
        <v>20</v>
      </c>
      <c r="D1281" s="2">
        <v>1</v>
      </c>
      <c r="E1281" s="2">
        <v>2</v>
      </c>
      <c r="F1281" s="2">
        <v>3</v>
      </c>
      <c r="G1281" s="2">
        <v>3</v>
      </c>
    </row>
    <row r="1282" spans="1:7" x14ac:dyDescent="0.25">
      <c r="A1282" s="2">
        <v>2028</v>
      </c>
      <c r="B1282" s="2" t="s">
        <v>77</v>
      </c>
      <c r="C1282" s="8">
        <v>21</v>
      </c>
      <c r="D1282" s="2">
        <v>3</v>
      </c>
      <c r="E1282" s="2">
        <v>1</v>
      </c>
      <c r="F1282" s="2">
        <v>2</v>
      </c>
      <c r="G1282" s="2">
        <v>2</v>
      </c>
    </row>
    <row r="1283" spans="1:7" x14ac:dyDescent="0.25">
      <c r="A1283" s="2">
        <v>2028</v>
      </c>
      <c r="B1283" s="2" t="s">
        <v>77</v>
      </c>
      <c r="C1283" s="8">
        <v>22</v>
      </c>
      <c r="D1283" s="2">
        <v>2</v>
      </c>
      <c r="E1283" s="2">
        <v>1</v>
      </c>
      <c r="F1283" s="2">
        <v>2</v>
      </c>
      <c r="G1283" s="2">
        <v>1</v>
      </c>
    </row>
    <row r="1284" spans="1:7" x14ac:dyDescent="0.25">
      <c r="A1284" s="2">
        <v>2028</v>
      </c>
      <c r="B1284" s="2" t="s">
        <v>77</v>
      </c>
      <c r="C1284" s="8">
        <v>23</v>
      </c>
      <c r="D1284" s="2">
        <v>2</v>
      </c>
      <c r="E1284" s="2">
        <v>3</v>
      </c>
      <c r="F1284" s="2">
        <v>1</v>
      </c>
      <c r="G1284" s="2">
        <v>2</v>
      </c>
    </row>
    <row r="1285" spans="1:7" x14ac:dyDescent="0.25">
      <c r="A1285" s="2">
        <v>2028</v>
      </c>
      <c r="B1285" s="2" t="s">
        <v>77</v>
      </c>
      <c r="C1285" s="8">
        <v>24</v>
      </c>
      <c r="D1285" s="2">
        <v>4</v>
      </c>
      <c r="E1285" s="2">
        <v>4</v>
      </c>
      <c r="F1285" s="2">
        <v>4</v>
      </c>
      <c r="G1285" s="2">
        <v>2</v>
      </c>
    </row>
    <row r="1286" spans="1:7" x14ac:dyDescent="0.25">
      <c r="A1286" s="2">
        <v>2028</v>
      </c>
      <c r="B1286" s="2" t="s">
        <v>77</v>
      </c>
      <c r="C1286" s="8">
        <v>25</v>
      </c>
      <c r="D1286" s="2">
        <v>1</v>
      </c>
      <c r="E1286" s="2">
        <v>1</v>
      </c>
      <c r="F1286" s="2">
        <v>2</v>
      </c>
      <c r="G1286" s="2">
        <v>1</v>
      </c>
    </row>
    <row r="1287" spans="1:7" x14ac:dyDescent="0.25">
      <c r="A1287" s="2">
        <v>2028</v>
      </c>
      <c r="B1287" s="2" t="s">
        <v>77</v>
      </c>
      <c r="C1287" s="8">
        <v>26</v>
      </c>
      <c r="D1287" s="2">
        <v>1</v>
      </c>
      <c r="E1287" s="2">
        <v>2</v>
      </c>
      <c r="F1287" s="2">
        <v>1</v>
      </c>
      <c r="G1287" s="2">
        <v>3</v>
      </c>
    </row>
    <row r="1288" spans="1:7" x14ac:dyDescent="0.25">
      <c r="A1288" s="2">
        <v>2028</v>
      </c>
      <c r="B1288" s="2" t="s">
        <v>77</v>
      </c>
      <c r="C1288" s="8">
        <v>27</v>
      </c>
      <c r="D1288" s="2">
        <v>2</v>
      </c>
      <c r="E1288" s="2">
        <v>2</v>
      </c>
      <c r="F1288" s="2">
        <v>2</v>
      </c>
      <c r="G1288" s="2">
        <v>1</v>
      </c>
    </row>
    <row r="1289" spans="1:7" x14ac:dyDescent="0.25">
      <c r="A1289" s="2">
        <v>2028</v>
      </c>
      <c r="B1289" s="2" t="s">
        <v>77</v>
      </c>
      <c r="C1289" s="8">
        <v>28</v>
      </c>
      <c r="D1289" s="2">
        <v>1</v>
      </c>
      <c r="E1289" s="2">
        <v>1</v>
      </c>
      <c r="F1289" s="2">
        <v>1</v>
      </c>
      <c r="G1289" s="2">
        <v>2</v>
      </c>
    </row>
    <row r="1290" spans="1:7" x14ac:dyDescent="0.25">
      <c r="A1290" s="2">
        <v>2028</v>
      </c>
      <c r="B1290" s="2" t="s">
        <v>78</v>
      </c>
      <c r="C1290" s="8">
        <v>1</v>
      </c>
      <c r="D1290" s="2">
        <v>4</v>
      </c>
      <c r="E1290" s="2">
        <v>3</v>
      </c>
      <c r="F1290" s="2">
        <v>3</v>
      </c>
      <c r="G1290" s="2">
        <v>2</v>
      </c>
    </row>
    <row r="1291" spans="1:7" x14ac:dyDescent="0.25">
      <c r="A1291" s="2">
        <v>2028</v>
      </c>
      <c r="B1291" s="2" t="s">
        <v>78</v>
      </c>
      <c r="C1291" s="8">
        <v>2</v>
      </c>
      <c r="D1291" s="2">
        <v>2</v>
      </c>
      <c r="E1291" s="2">
        <v>1</v>
      </c>
      <c r="F1291" s="2">
        <v>1</v>
      </c>
      <c r="G1291" s="2">
        <v>2</v>
      </c>
    </row>
    <row r="1292" spans="1:7" x14ac:dyDescent="0.25">
      <c r="A1292" s="2">
        <v>2028</v>
      </c>
      <c r="B1292" s="2" t="s">
        <v>78</v>
      </c>
      <c r="C1292" s="8">
        <v>3</v>
      </c>
      <c r="D1292" s="2">
        <v>4</v>
      </c>
      <c r="E1292" s="2">
        <v>1</v>
      </c>
      <c r="F1292" s="2">
        <v>2</v>
      </c>
      <c r="G1292" s="2">
        <v>2</v>
      </c>
    </row>
    <row r="1293" spans="1:7" x14ac:dyDescent="0.25">
      <c r="A1293" s="2">
        <v>2028</v>
      </c>
      <c r="B1293" s="2" t="s">
        <v>78</v>
      </c>
      <c r="C1293" s="8">
        <v>4</v>
      </c>
      <c r="D1293" s="2">
        <v>3</v>
      </c>
      <c r="E1293" s="2">
        <v>1</v>
      </c>
      <c r="F1293" s="2">
        <v>3</v>
      </c>
      <c r="G1293" s="2">
        <v>4</v>
      </c>
    </row>
    <row r="1294" spans="1:7" x14ac:dyDescent="0.25">
      <c r="A1294" s="2">
        <v>2028</v>
      </c>
      <c r="B1294" s="2" t="s">
        <v>78</v>
      </c>
      <c r="C1294" s="8">
        <v>5</v>
      </c>
      <c r="D1294" s="2">
        <v>2</v>
      </c>
      <c r="E1294" s="2">
        <v>1</v>
      </c>
      <c r="F1294" s="2">
        <v>1</v>
      </c>
      <c r="G1294" s="2">
        <v>1</v>
      </c>
    </row>
    <row r="1295" spans="1:7" x14ac:dyDescent="0.25">
      <c r="A1295" s="2">
        <v>2028</v>
      </c>
      <c r="B1295" s="2" t="s">
        <v>78</v>
      </c>
      <c r="C1295" s="8">
        <v>6</v>
      </c>
      <c r="D1295" s="2">
        <v>2</v>
      </c>
      <c r="E1295" s="2">
        <v>3</v>
      </c>
      <c r="F1295" s="2">
        <v>1</v>
      </c>
      <c r="G1295" s="2">
        <v>2</v>
      </c>
    </row>
    <row r="1296" spans="1:7" x14ac:dyDescent="0.25">
      <c r="A1296" s="2">
        <v>2028</v>
      </c>
      <c r="B1296" s="2" t="s">
        <v>78</v>
      </c>
      <c r="C1296" s="8">
        <v>7</v>
      </c>
      <c r="D1296" s="2">
        <v>3</v>
      </c>
      <c r="E1296" s="2">
        <v>2</v>
      </c>
      <c r="F1296" s="2">
        <v>1</v>
      </c>
      <c r="G1296" s="2">
        <v>1</v>
      </c>
    </row>
    <row r="1297" spans="1:7" x14ac:dyDescent="0.25">
      <c r="A1297" s="2">
        <v>2028</v>
      </c>
      <c r="B1297" s="2" t="s">
        <v>78</v>
      </c>
      <c r="C1297" s="8">
        <v>8</v>
      </c>
      <c r="D1297" s="2">
        <v>3</v>
      </c>
      <c r="E1297" s="2">
        <v>1</v>
      </c>
      <c r="F1297" s="2">
        <v>1</v>
      </c>
      <c r="G1297" s="2">
        <v>1</v>
      </c>
    </row>
    <row r="1298" spans="1:7" x14ac:dyDescent="0.25">
      <c r="A1298" s="2">
        <v>2028</v>
      </c>
      <c r="B1298" s="2" t="s">
        <v>78</v>
      </c>
      <c r="C1298" s="8">
        <v>9</v>
      </c>
      <c r="D1298" s="2">
        <v>3</v>
      </c>
      <c r="E1298" s="2">
        <v>1</v>
      </c>
      <c r="F1298" s="2">
        <v>4</v>
      </c>
      <c r="G1298" s="2">
        <v>2</v>
      </c>
    </row>
    <row r="1299" spans="1:7" x14ac:dyDescent="0.25">
      <c r="A1299" s="2">
        <v>2028</v>
      </c>
      <c r="B1299" s="2" t="s">
        <v>78</v>
      </c>
      <c r="C1299" s="8">
        <v>10</v>
      </c>
      <c r="D1299" s="2">
        <v>4</v>
      </c>
      <c r="E1299" s="2">
        <v>4</v>
      </c>
      <c r="F1299" s="2">
        <v>3</v>
      </c>
      <c r="G1299" s="2">
        <v>2</v>
      </c>
    </row>
    <row r="1300" spans="1:7" x14ac:dyDescent="0.25">
      <c r="A1300" s="2">
        <v>2028</v>
      </c>
      <c r="B1300" s="2" t="s">
        <v>78</v>
      </c>
      <c r="C1300" s="8">
        <v>11</v>
      </c>
      <c r="D1300" s="2">
        <v>1</v>
      </c>
      <c r="E1300" s="2">
        <v>1</v>
      </c>
      <c r="F1300" s="2">
        <v>3</v>
      </c>
      <c r="G1300" s="2">
        <v>2</v>
      </c>
    </row>
    <row r="1301" spans="1:7" x14ac:dyDescent="0.25">
      <c r="A1301" s="2">
        <v>2028</v>
      </c>
      <c r="B1301" s="2" t="s">
        <v>78</v>
      </c>
      <c r="C1301" s="8">
        <v>12</v>
      </c>
      <c r="D1301" s="2">
        <v>2</v>
      </c>
      <c r="E1301" s="2">
        <v>2</v>
      </c>
      <c r="F1301" s="2">
        <v>3</v>
      </c>
      <c r="G1301" s="2">
        <v>2</v>
      </c>
    </row>
    <row r="1302" spans="1:7" x14ac:dyDescent="0.25">
      <c r="A1302" s="2">
        <v>2028</v>
      </c>
      <c r="B1302" s="2" t="s">
        <v>78</v>
      </c>
      <c r="C1302" s="8">
        <v>13</v>
      </c>
      <c r="D1302" s="2">
        <v>1</v>
      </c>
      <c r="E1302" s="2">
        <v>1</v>
      </c>
      <c r="F1302" s="2">
        <v>1</v>
      </c>
      <c r="G1302" s="2">
        <v>1</v>
      </c>
    </row>
    <row r="1303" spans="1:7" x14ac:dyDescent="0.25">
      <c r="A1303" s="2">
        <v>2028</v>
      </c>
      <c r="B1303" s="2" t="s">
        <v>78</v>
      </c>
      <c r="C1303" s="8">
        <v>14</v>
      </c>
      <c r="D1303" s="2">
        <v>1</v>
      </c>
      <c r="E1303" s="2">
        <v>1</v>
      </c>
      <c r="F1303" s="2">
        <v>3</v>
      </c>
      <c r="G1303" s="2">
        <v>2</v>
      </c>
    </row>
    <row r="1304" spans="1:7" x14ac:dyDescent="0.25">
      <c r="A1304" s="2">
        <v>2028</v>
      </c>
      <c r="B1304" s="2" t="s">
        <v>78</v>
      </c>
      <c r="C1304" s="8">
        <v>15</v>
      </c>
      <c r="D1304" s="2">
        <v>1</v>
      </c>
      <c r="E1304" s="2">
        <v>1</v>
      </c>
      <c r="F1304" s="2">
        <v>4</v>
      </c>
      <c r="G1304" s="2">
        <v>4</v>
      </c>
    </row>
    <row r="1305" spans="1:7" x14ac:dyDescent="0.25">
      <c r="A1305" s="2">
        <v>2028</v>
      </c>
      <c r="B1305" s="2" t="s">
        <v>78</v>
      </c>
      <c r="C1305" s="8">
        <v>16</v>
      </c>
      <c r="D1305" s="2">
        <v>1</v>
      </c>
      <c r="E1305" s="2">
        <v>1</v>
      </c>
      <c r="F1305" s="2">
        <v>3</v>
      </c>
      <c r="G1305" s="2">
        <v>2</v>
      </c>
    </row>
    <row r="1306" spans="1:7" x14ac:dyDescent="0.25">
      <c r="A1306" s="2">
        <v>2028</v>
      </c>
      <c r="B1306" s="2" t="s">
        <v>78</v>
      </c>
      <c r="C1306" s="8">
        <v>17</v>
      </c>
      <c r="D1306" s="2">
        <v>1</v>
      </c>
      <c r="E1306" s="2">
        <v>2</v>
      </c>
      <c r="F1306" s="2">
        <v>2</v>
      </c>
      <c r="G1306" s="2">
        <v>2</v>
      </c>
    </row>
    <row r="1307" spans="1:7" x14ac:dyDescent="0.25">
      <c r="A1307" s="2">
        <v>2028</v>
      </c>
      <c r="B1307" s="2" t="s">
        <v>78</v>
      </c>
      <c r="C1307" s="8">
        <v>18</v>
      </c>
      <c r="D1307" s="2">
        <v>1</v>
      </c>
      <c r="E1307" s="2">
        <v>3</v>
      </c>
      <c r="F1307" s="2">
        <v>3</v>
      </c>
      <c r="G1307" s="2">
        <v>2</v>
      </c>
    </row>
    <row r="1308" spans="1:7" x14ac:dyDescent="0.25">
      <c r="A1308" s="2">
        <v>2028</v>
      </c>
      <c r="B1308" s="2" t="s">
        <v>78</v>
      </c>
      <c r="C1308" s="8">
        <v>19</v>
      </c>
      <c r="D1308" s="2">
        <v>2</v>
      </c>
      <c r="E1308" s="2">
        <v>4</v>
      </c>
      <c r="F1308" s="2">
        <v>3</v>
      </c>
      <c r="G1308" s="2">
        <v>3</v>
      </c>
    </row>
    <row r="1309" spans="1:7" x14ac:dyDescent="0.25">
      <c r="A1309" s="2">
        <v>2028</v>
      </c>
      <c r="B1309" s="2" t="s">
        <v>78</v>
      </c>
      <c r="C1309" s="8">
        <v>20</v>
      </c>
      <c r="D1309" s="2">
        <v>1</v>
      </c>
      <c r="E1309" s="2">
        <v>1</v>
      </c>
      <c r="F1309" s="2">
        <v>2</v>
      </c>
      <c r="G1309" s="2">
        <v>1</v>
      </c>
    </row>
    <row r="1310" spans="1:7" x14ac:dyDescent="0.25">
      <c r="A1310" s="2">
        <v>2028</v>
      </c>
      <c r="B1310" s="2" t="s">
        <v>78</v>
      </c>
      <c r="C1310" s="8">
        <v>21</v>
      </c>
      <c r="D1310" s="2">
        <v>2</v>
      </c>
      <c r="E1310" s="2">
        <v>1</v>
      </c>
      <c r="F1310" s="2">
        <v>1</v>
      </c>
      <c r="G1310" s="2">
        <v>1</v>
      </c>
    </row>
    <row r="1311" spans="1:7" x14ac:dyDescent="0.25">
      <c r="A1311" s="2">
        <v>2028</v>
      </c>
      <c r="B1311" s="2" t="s">
        <v>78</v>
      </c>
      <c r="C1311" s="8">
        <v>22</v>
      </c>
      <c r="D1311" s="2">
        <v>2</v>
      </c>
      <c r="E1311" s="2">
        <v>2</v>
      </c>
      <c r="F1311" s="2">
        <v>1</v>
      </c>
      <c r="G1311" s="2">
        <v>1</v>
      </c>
    </row>
    <row r="1312" spans="1:7" x14ac:dyDescent="0.25">
      <c r="A1312" s="2">
        <v>2028</v>
      </c>
      <c r="B1312" s="2" t="s">
        <v>78</v>
      </c>
      <c r="C1312" s="8">
        <v>23</v>
      </c>
      <c r="D1312" s="2">
        <v>3</v>
      </c>
      <c r="E1312" s="2">
        <v>1</v>
      </c>
      <c r="F1312" s="2">
        <v>3</v>
      </c>
      <c r="G1312" s="2">
        <v>2</v>
      </c>
    </row>
    <row r="1313" spans="1:7" x14ac:dyDescent="0.25">
      <c r="A1313" s="2">
        <v>2028</v>
      </c>
      <c r="B1313" s="2" t="s">
        <v>78</v>
      </c>
      <c r="C1313" s="8">
        <v>24</v>
      </c>
      <c r="D1313" s="2">
        <v>3</v>
      </c>
      <c r="E1313" s="2">
        <v>1</v>
      </c>
      <c r="F1313" s="2">
        <v>2</v>
      </c>
      <c r="G1313" s="2">
        <v>2</v>
      </c>
    </row>
    <row r="1314" spans="1:7" x14ac:dyDescent="0.25">
      <c r="A1314" s="2">
        <v>2028</v>
      </c>
      <c r="B1314" s="2" t="s">
        <v>78</v>
      </c>
      <c r="C1314" s="8">
        <v>25</v>
      </c>
      <c r="D1314" s="2">
        <v>3</v>
      </c>
      <c r="E1314" s="2">
        <v>1</v>
      </c>
      <c r="F1314" s="2">
        <v>3</v>
      </c>
      <c r="G1314" s="2">
        <v>1</v>
      </c>
    </row>
    <row r="1315" spans="1:7" x14ac:dyDescent="0.25">
      <c r="A1315" s="2">
        <v>2028</v>
      </c>
      <c r="B1315" s="2" t="s">
        <v>78</v>
      </c>
      <c r="C1315" s="8">
        <v>26</v>
      </c>
      <c r="D1315" s="2">
        <v>3</v>
      </c>
      <c r="E1315" s="2">
        <v>1</v>
      </c>
      <c r="F1315" s="2">
        <v>1</v>
      </c>
      <c r="G1315" s="2">
        <v>1</v>
      </c>
    </row>
    <row r="1316" spans="1:7" x14ac:dyDescent="0.25">
      <c r="A1316" s="2">
        <v>2028</v>
      </c>
      <c r="B1316" s="2" t="s">
        <v>78</v>
      </c>
      <c r="C1316" s="8">
        <v>27</v>
      </c>
      <c r="D1316" s="2">
        <v>1</v>
      </c>
      <c r="E1316" s="2">
        <v>2</v>
      </c>
      <c r="F1316" s="2">
        <v>1</v>
      </c>
      <c r="G1316" s="2">
        <v>3</v>
      </c>
    </row>
    <row r="1317" spans="1:7" x14ac:dyDescent="0.25">
      <c r="A1317" s="2">
        <v>2028</v>
      </c>
      <c r="B1317" s="2" t="s">
        <v>78</v>
      </c>
      <c r="C1317" s="8">
        <v>28</v>
      </c>
      <c r="D1317" s="2">
        <v>1</v>
      </c>
      <c r="E1317" s="2">
        <v>3</v>
      </c>
      <c r="F1317" s="2">
        <v>3</v>
      </c>
      <c r="G1317" s="2">
        <v>1</v>
      </c>
    </row>
    <row r="1318" spans="1:7" x14ac:dyDescent="0.25">
      <c r="A1318" s="2">
        <v>2028</v>
      </c>
      <c r="B1318" s="2" t="s">
        <v>79</v>
      </c>
      <c r="C1318" s="8">
        <v>1</v>
      </c>
      <c r="D1318" s="2">
        <v>1</v>
      </c>
      <c r="E1318" s="2">
        <v>2</v>
      </c>
      <c r="F1318" s="2">
        <v>2</v>
      </c>
      <c r="G1318" s="2">
        <v>3</v>
      </c>
    </row>
    <row r="1319" spans="1:7" x14ac:dyDescent="0.25">
      <c r="A1319" s="2">
        <v>2028</v>
      </c>
      <c r="B1319" s="2" t="s">
        <v>79</v>
      </c>
      <c r="C1319" s="8">
        <v>2</v>
      </c>
      <c r="D1319" s="2">
        <v>4</v>
      </c>
      <c r="E1319" s="2">
        <v>3</v>
      </c>
      <c r="F1319" s="2">
        <v>1</v>
      </c>
      <c r="G1319" s="2">
        <v>3</v>
      </c>
    </row>
    <row r="1320" spans="1:7" x14ac:dyDescent="0.25">
      <c r="A1320" s="2">
        <v>2028</v>
      </c>
      <c r="B1320" s="2" t="s">
        <v>79</v>
      </c>
      <c r="C1320" s="8">
        <v>3</v>
      </c>
      <c r="D1320" s="2">
        <v>2</v>
      </c>
      <c r="E1320" s="2">
        <v>1</v>
      </c>
      <c r="F1320" s="2">
        <v>1</v>
      </c>
      <c r="G1320" s="2">
        <v>1</v>
      </c>
    </row>
    <row r="1321" spans="1:7" x14ac:dyDescent="0.25">
      <c r="A1321" s="2">
        <v>2028</v>
      </c>
      <c r="B1321" s="2" t="s">
        <v>79</v>
      </c>
      <c r="C1321" s="8">
        <v>4</v>
      </c>
      <c r="D1321" s="2">
        <v>3</v>
      </c>
      <c r="E1321" s="2">
        <v>2</v>
      </c>
      <c r="F1321" s="2">
        <v>2</v>
      </c>
      <c r="G1321" s="2">
        <v>1</v>
      </c>
    </row>
    <row r="1322" spans="1:7" x14ac:dyDescent="0.25">
      <c r="A1322" s="2">
        <v>2028</v>
      </c>
      <c r="B1322" s="2" t="s">
        <v>79</v>
      </c>
      <c r="C1322" s="8">
        <v>5</v>
      </c>
      <c r="D1322" s="2">
        <v>1</v>
      </c>
      <c r="E1322" s="2">
        <v>3</v>
      </c>
      <c r="F1322" s="2">
        <v>1</v>
      </c>
      <c r="G1322" s="2">
        <v>2</v>
      </c>
    </row>
    <row r="1323" spans="1:7" x14ac:dyDescent="0.25">
      <c r="A1323" s="2">
        <v>2028</v>
      </c>
      <c r="B1323" s="2" t="s">
        <v>79</v>
      </c>
      <c r="C1323" s="8">
        <v>6</v>
      </c>
      <c r="D1323" s="2">
        <v>1</v>
      </c>
      <c r="E1323" s="2">
        <v>3</v>
      </c>
      <c r="F1323" s="2">
        <v>3</v>
      </c>
      <c r="G1323" s="2">
        <v>2</v>
      </c>
    </row>
    <row r="1324" spans="1:7" x14ac:dyDescent="0.25">
      <c r="A1324" s="2">
        <v>2028</v>
      </c>
      <c r="B1324" s="2" t="s">
        <v>79</v>
      </c>
      <c r="C1324" s="8">
        <v>7</v>
      </c>
      <c r="D1324" s="2">
        <v>3</v>
      </c>
      <c r="E1324" s="2">
        <v>4</v>
      </c>
      <c r="F1324" s="2">
        <v>1</v>
      </c>
      <c r="G1324" s="2">
        <v>1</v>
      </c>
    </row>
    <row r="1325" spans="1:7" x14ac:dyDescent="0.25">
      <c r="A1325" s="2">
        <v>2028</v>
      </c>
      <c r="B1325" s="2" t="s">
        <v>79</v>
      </c>
      <c r="C1325" s="8">
        <v>8</v>
      </c>
      <c r="D1325" s="2">
        <v>1</v>
      </c>
      <c r="E1325" s="2">
        <v>4</v>
      </c>
      <c r="F1325" s="2">
        <v>4</v>
      </c>
      <c r="G1325" s="2">
        <v>2</v>
      </c>
    </row>
    <row r="1326" spans="1:7" x14ac:dyDescent="0.25">
      <c r="A1326" s="2">
        <v>2028</v>
      </c>
      <c r="B1326" s="2" t="s">
        <v>79</v>
      </c>
      <c r="C1326" s="8">
        <v>9</v>
      </c>
      <c r="D1326" s="2">
        <v>1</v>
      </c>
      <c r="E1326" s="2">
        <v>2</v>
      </c>
      <c r="F1326" s="2">
        <v>1</v>
      </c>
      <c r="G1326" s="2">
        <v>4</v>
      </c>
    </row>
    <row r="1327" spans="1:7" x14ac:dyDescent="0.25">
      <c r="A1327" s="2">
        <v>2028</v>
      </c>
      <c r="B1327" s="2" t="s">
        <v>79</v>
      </c>
      <c r="C1327" s="8">
        <v>10</v>
      </c>
      <c r="D1327" s="2">
        <v>2</v>
      </c>
      <c r="E1327" s="2">
        <v>1</v>
      </c>
      <c r="F1327" s="2">
        <v>3</v>
      </c>
      <c r="G1327" s="2">
        <v>1</v>
      </c>
    </row>
    <row r="1328" spans="1:7" x14ac:dyDescent="0.25">
      <c r="A1328" s="2">
        <v>2028</v>
      </c>
      <c r="B1328" s="2" t="s">
        <v>79</v>
      </c>
      <c r="C1328" s="8">
        <v>11</v>
      </c>
      <c r="D1328" s="2">
        <v>2</v>
      </c>
      <c r="E1328" s="2">
        <v>3</v>
      </c>
      <c r="F1328" s="2">
        <v>1</v>
      </c>
      <c r="G1328" s="2">
        <v>1</v>
      </c>
    </row>
    <row r="1329" spans="1:7" x14ac:dyDescent="0.25">
      <c r="A1329" s="2">
        <v>2028</v>
      </c>
      <c r="B1329" s="2" t="s">
        <v>79</v>
      </c>
      <c r="C1329" s="8">
        <v>12</v>
      </c>
      <c r="D1329" s="2">
        <v>1</v>
      </c>
      <c r="E1329" s="2">
        <v>1</v>
      </c>
      <c r="F1329" s="2">
        <v>4</v>
      </c>
      <c r="G1329" s="2">
        <v>2</v>
      </c>
    </row>
    <row r="1330" spans="1:7" x14ac:dyDescent="0.25">
      <c r="A1330" s="2">
        <v>2028</v>
      </c>
      <c r="B1330" s="2" t="s">
        <v>79</v>
      </c>
      <c r="C1330" s="8">
        <v>13</v>
      </c>
      <c r="D1330" s="2">
        <v>2</v>
      </c>
      <c r="E1330" s="2">
        <v>1</v>
      </c>
      <c r="F1330" s="2">
        <v>2</v>
      </c>
      <c r="G1330" s="2">
        <v>1</v>
      </c>
    </row>
    <row r="1331" spans="1:7" x14ac:dyDescent="0.25">
      <c r="A1331" s="2">
        <v>2028</v>
      </c>
      <c r="B1331" s="2" t="s">
        <v>79</v>
      </c>
      <c r="C1331" s="8">
        <v>14</v>
      </c>
      <c r="D1331" s="2">
        <v>1</v>
      </c>
      <c r="E1331" s="2">
        <v>1</v>
      </c>
      <c r="F1331" s="2">
        <v>3</v>
      </c>
      <c r="G1331" s="2">
        <v>2</v>
      </c>
    </row>
    <row r="1332" spans="1:7" x14ac:dyDescent="0.25">
      <c r="A1332" s="2">
        <v>2028</v>
      </c>
      <c r="B1332" s="2" t="s">
        <v>79</v>
      </c>
      <c r="C1332" s="8">
        <v>15</v>
      </c>
      <c r="D1332" s="2">
        <v>3</v>
      </c>
      <c r="E1332" s="2">
        <v>1</v>
      </c>
      <c r="F1332" s="2">
        <v>1</v>
      </c>
      <c r="G1332" s="2">
        <v>1</v>
      </c>
    </row>
    <row r="1333" spans="1:7" x14ac:dyDescent="0.25">
      <c r="A1333" s="2">
        <v>2028</v>
      </c>
      <c r="B1333" s="2" t="s">
        <v>79</v>
      </c>
      <c r="C1333" s="8">
        <v>16</v>
      </c>
      <c r="D1333" s="2">
        <v>2</v>
      </c>
      <c r="E1333" s="2">
        <v>2</v>
      </c>
      <c r="F1333" s="2">
        <v>1</v>
      </c>
      <c r="G1333" s="2">
        <v>3</v>
      </c>
    </row>
    <row r="1334" spans="1:7" x14ac:dyDescent="0.25">
      <c r="A1334" s="2">
        <v>2028</v>
      </c>
      <c r="B1334" s="2" t="s">
        <v>79</v>
      </c>
      <c r="C1334" s="8">
        <v>17</v>
      </c>
      <c r="D1334" s="2">
        <v>3</v>
      </c>
      <c r="E1334" s="2">
        <v>1</v>
      </c>
      <c r="F1334" s="2">
        <v>3</v>
      </c>
      <c r="G1334" s="2">
        <v>2</v>
      </c>
    </row>
    <row r="1335" spans="1:7" x14ac:dyDescent="0.25">
      <c r="A1335" s="2">
        <v>2028</v>
      </c>
      <c r="B1335" s="2" t="s">
        <v>79</v>
      </c>
      <c r="C1335" s="8">
        <v>18</v>
      </c>
      <c r="D1335" s="2">
        <v>4</v>
      </c>
      <c r="E1335" s="2">
        <v>1</v>
      </c>
      <c r="F1335" s="2">
        <v>2</v>
      </c>
      <c r="G1335" s="2">
        <v>1</v>
      </c>
    </row>
    <row r="1336" spans="1:7" x14ac:dyDescent="0.25">
      <c r="A1336" s="2">
        <v>2028</v>
      </c>
      <c r="B1336" s="2" t="s">
        <v>79</v>
      </c>
      <c r="C1336" s="8">
        <v>19</v>
      </c>
      <c r="D1336" s="2">
        <v>4</v>
      </c>
      <c r="E1336" s="2">
        <v>2</v>
      </c>
      <c r="F1336" s="2">
        <v>2</v>
      </c>
      <c r="G1336" s="2">
        <v>2</v>
      </c>
    </row>
    <row r="1337" spans="1:7" x14ac:dyDescent="0.25">
      <c r="A1337" s="2">
        <v>2028</v>
      </c>
      <c r="B1337" s="2" t="s">
        <v>79</v>
      </c>
      <c r="C1337" s="8">
        <v>20</v>
      </c>
      <c r="D1337" s="2">
        <v>2</v>
      </c>
      <c r="E1337" s="2">
        <v>1</v>
      </c>
      <c r="F1337" s="2">
        <v>1</v>
      </c>
      <c r="G1337" s="2">
        <v>2</v>
      </c>
    </row>
    <row r="1338" spans="1:7" x14ac:dyDescent="0.25">
      <c r="A1338" s="2">
        <v>2028</v>
      </c>
      <c r="B1338" s="2" t="s">
        <v>79</v>
      </c>
      <c r="C1338" s="8">
        <v>21</v>
      </c>
      <c r="D1338" s="2">
        <v>2</v>
      </c>
      <c r="E1338" s="2">
        <v>2</v>
      </c>
      <c r="F1338" s="2">
        <v>3</v>
      </c>
      <c r="G1338" s="2">
        <v>1</v>
      </c>
    </row>
    <row r="1339" spans="1:7" x14ac:dyDescent="0.25">
      <c r="A1339" s="2">
        <v>2028</v>
      </c>
      <c r="B1339" s="2" t="s">
        <v>79</v>
      </c>
      <c r="C1339" s="8">
        <v>22</v>
      </c>
      <c r="D1339" s="2">
        <v>1</v>
      </c>
      <c r="E1339" s="2">
        <v>3</v>
      </c>
      <c r="F1339" s="2">
        <v>3</v>
      </c>
      <c r="G1339" s="2">
        <v>2</v>
      </c>
    </row>
    <row r="1340" spans="1:7" x14ac:dyDescent="0.25">
      <c r="A1340" s="2">
        <v>2028</v>
      </c>
      <c r="B1340" s="2" t="s">
        <v>79</v>
      </c>
      <c r="C1340" s="8">
        <v>23</v>
      </c>
      <c r="D1340" s="2">
        <v>1</v>
      </c>
      <c r="E1340" s="2">
        <v>1</v>
      </c>
      <c r="F1340" s="2">
        <v>1</v>
      </c>
      <c r="G1340" s="2">
        <v>2</v>
      </c>
    </row>
    <row r="1341" spans="1:7" x14ac:dyDescent="0.25">
      <c r="A1341" s="2">
        <v>2028</v>
      </c>
      <c r="B1341" s="2" t="s">
        <v>79</v>
      </c>
      <c r="C1341" s="8">
        <v>24</v>
      </c>
      <c r="D1341" s="2">
        <v>3</v>
      </c>
      <c r="E1341" s="2">
        <v>3</v>
      </c>
      <c r="F1341" s="2">
        <v>4</v>
      </c>
      <c r="G1341" s="2">
        <v>2</v>
      </c>
    </row>
    <row r="1342" spans="1:7" x14ac:dyDescent="0.25">
      <c r="A1342" s="2">
        <v>2028</v>
      </c>
      <c r="B1342" s="2" t="s">
        <v>79</v>
      </c>
      <c r="C1342" s="8">
        <v>25</v>
      </c>
      <c r="D1342" s="2">
        <v>2</v>
      </c>
      <c r="E1342" s="2">
        <v>1</v>
      </c>
      <c r="F1342" s="2">
        <v>2</v>
      </c>
      <c r="G1342" s="2">
        <v>1</v>
      </c>
    </row>
    <row r="1343" spans="1:7" x14ac:dyDescent="0.25">
      <c r="A1343" s="2">
        <v>2028</v>
      </c>
      <c r="B1343" s="2" t="s">
        <v>79</v>
      </c>
      <c r="C1343" s="8">
        <v>26</v>
      </c>
      <c r="D1343" s="2">
        <v>3</v>
      </c>
      <c r="E1343" s="2">
        <v>3</v>
      </c>
      <c r="F1343" s="2">
        <v>1</v>
      </c>
      <c r="G1343" s="2">
        <v>3</v>
      </c>
    </row>
    <row r="1344" spans="1:7" x14ac:dyDescent="0.25">
      <c r="A1344" s="2">
        <v>2028</v>
      </c>
      <c r="B1344" s="2" t="s">
        <v>79</v>
      </c>
      <c r="C1344" s="8">
        <v>27</v>
      </c>
      <c r="D1344" s="2">
        <v>2</v>
      </c>
      <c r="E1344" s="2">
        <v>2</v>
      </c>
      <c r="F1344" s="2">
        <v>1</v>
      </c>
      <c r="G1344" s="2">
        <v>1</v>
      </c>
    </row>
    <row r="1345" spans="1:7" x14ac:dyDescent="0.25">
      <c r="A1345" s="2">
        <v>2028</v>
      </c>
      <c r="B1345" s="2" t="s">
        <v>79</v>
      </c>
      <c r="C1345" s="8">
        <v>28</v>
      </c>
      <c r="D1345" s="2">
        <v>2</v>
      </c>
      <c r="E1345" s="2">
        <v>1</v>
      </c>
      <c r="F1345" s="2">
        <v>1</v>
      </c>
      <c r="G1345" s="2">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B59B-024D-430C-9C97-1A485FF9FE94}">
  <dimension ref="A1:R12"/>
  <sheetViews>
    <sheetView zoomScaleNormal="100" workbookViewId="0">
      <pane ySplit="1" topLeftCell="A2" activePane="bottomLeft" state="frozen"/>
      <selection pane="bottomLeft" activeCell="F27" sqref="F27"/>
    </sheetView>
  </sheetViews>
  <sheetFormatPr defaultRowHeight="15" x14ac:dyDescent="0.25"/>
  <sheetData>
    <row r="1" spans="1:18" x14ac:dyDescent="0.25">
      <c r="B1" s="1" t="s">
        <v>0</v>
      </c>
      <c r="C1" s="2" t="s">
        <v>1</v>
      </c>
      <c r="D1" s="2" t="s">
        <v>2</v>
      </c>
      <c r="E1" s="3" t="s">
        <v>3</v>
      </c>
      <c r="G1" s="2" t="s">
        <v>4</v>
      </c>
      <c r="H1" s="4"/>
      <c r="O1" t="s">
        <v>6</v>
      </c>
      <c r="R1" t="s">
        <v>5</v>
      </c>
    </row>
    <row r="2" spans="1:18" x14ac:dyDescent="0.25">
      <c r="B2" s="33" t="s">
        <v>163</v>
      </c>
      <c r="G2" s="2"/>
      <c r="H2" s="4"/>
    </row>
    <row r="3" spans="1:18" x14ac:dyDescent="0.25">
      <c r="B3" s="34" t="s">
        <v>164</v>
      </c>
    </row>
    <row r="4" spans="1:18" x14ac:dyDescent="0.25">
      <c r="A4" t="s">
        <v>165</v>
      </c>
      <c r="B4" s="35" t="s">
        <v>166</v>
      </c>
    </row>
    <row r="6" spans="1:18" x14ac:dyDescent="0.25">
      <c r="A6" t="s">
        <v>165</v>
      </c>
      <c r="B6" s="36" t="s">
        <v>167</v>
      </c>
    </row>
    <row r="7" spans="1:18" x14ac:dyDescent="0.25">
      <c r="B7" s="37" t="s">
        <v>168</v>
      </c>
    </row>
    <row r="8" spans="1:18" x14ac:dyDescent="0.25">
      <c r="B8" s="38" t="s">
        <v>169</v>
      </c>
    </row>
    <row r="9" spans="1:18" x14ac:dyDescent="0.25">
      <c r="B9" s="39" t="s">
        <v>170</v>
      </c>
    </row>
    <row r="10" spans="1:18" x14ac:dyDescent="0.25">
      <c r="B10" s="40"/>
    </row>
    <row r="11" spans="1:18" x14ac:dyDescent="0.25">
      <c r="A11" t="s">
        <v>165</v>
      </c>
      <c r="B11" s="41" t="s">
        <v>171</v>
      </c>
    </row>
    <row r="12" spans="1:18" x14ac:dyDescent="0.25">
      <c r="A12" t="s">
        <v>165</v>
      </c>
      <c r="B12" s="38" t="s">
        <v>169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DASHBOARD Light</vt:lpstr>
      <vt:lpstr>Processing</vt:lpstr>
      <vt:lpstr>Control</vt:lpstr>
      <vt:lpstr>Data</vt:lpstr>
      <vt:lpstr>HOTMAP-DATA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Luis Rivera</cp:lastModifiedBy>
  <dcterms:created xsi:type="dcterms:W3CDTF">2025-09-16T10:18:44Z</dcterms:created>
  <dcterms:modified xsi:type="dcterms:W3CDTF">2026-04-15T15:39:37Z</dcterms:modified>
</cp:coreProperties>
</file>