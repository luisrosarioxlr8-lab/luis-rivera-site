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Mortgage" sheetId="1" r:id="rId5"/>
    <sheet state="visible" name="Quick Calc" sheetId="2" r:id="rId6"/>
    <sheet state="visible" name="Rate Buydown" sheetId="3" r:id="rId7"/>
    <sheet state="visible" name="Refinance Analysis" sheetId="4" r:id="rId8"/>
  </sheets>
  <definedNames>
    <definedName localSheetId="0" name="solver_cvg">0.0001</definedName>
    <definedName localSheetId="0" name="solver_drv">1</definedName>
    <definedName localSheetId="0" name="solver_est">1</definedName>
    <definedName localSheetId="0" name="solver_itr">100</definedName>
    <definedName localSheetId="0" name="solver_lin">2</definedName>
    <definedName localSheetId="0" name="solver_neg">2</definedName>
    <definedName localSheetId="0" name="solver_num">0</definedName>
    <definedName localSheetId="0" name="solver_nwt">1</definedName>
    <definedName localSheetId="0" name="solver_opt">Mortgage!#REF!</definedName>
    <definedName localSheetId="0" name="solver_pre">0.000001</definedName>
    <definedName localSheetId="0" name="solver_scl">2</definedName>
    <definedName localSheetId="0" name="solver_sho">2</definedName>
    <definedName localSheetId="0" name="solver_tim">100</definedName>
    <definedName localSheetId="0" name="solver_tol">0.05</definedName>
    <definedName localSheetId="0" name="solver_typ">1</definedName>
    <definedName localSheetId="0" name="solver_val">0</definedName>
    <definedName name="Num_Pds2">'Quick Calc'!$C$4</definedName>
    <definedName name="Period">Mortgage!$B$23:$B$382</definedName>
    <definedName name="Rate_Var">'Quick Calc'!$F$5</definedName>
    <definedName name="Bal_Var">'Quick Calc'!$F$3</definedName>
    <definedName name="Bal_Var2">'Quick Calc'!$C$3</definedName>
    <definedName name="Rate_Var2">'Quick Calc'!$C$5</definedName>
    <definedName name="Pmt_Var2">'Quick Calc'!$C$6</definedName>
    <definedName name="Pmt_Var">'Quick Calc'!$F$6</definedName>
    <definedName name="Num_Pds">'Quick Calc'!$F$4</definedName>
  </definedNames>
  <calcPr/>
  <extLst>
    <ext uri="GoogleSheetsCustomDataVersion2">
      <go:sheetsCustomData xmlns:go="http://customooxmlschemas.google.com/" r:id="rId9" roundtripDataChecksum="Y2AcOgoRsKNEW8E7VwPApt6c4mFPf0Lctu2e7CV14Vk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N12">
      <text>
        <t xml:space="preserve">======
ID#AAAB-SK3lks
tc={57B3986F-8366-4590-BFC1-2C095E41BBC4}    (2026-06-24 21:58:03)
[Threaded comment]
Your version of Excel allows you to read this threaded comment; however, any edits to it will get removed if the file is opened in a newer version of Excel. Learn more: https://go.microsoft.com/fwlink/?linkid=870924
Comment:
    A borrower cannot cancel PMI payments until the following two conditions are satisfied:
1) The LTV must be less than or equal to 78% and.
2)The borrower has made a minimum of 60 PMI payments.
If both conditions have not been satisfied, the borrower continues to make PMI payments.</t>
      </text>
    </comment>
    <comment authorId="0" ref="C12">
      <text>
        <t xml:space="preserve">======
ID#AAAB-SK3lkY
galbrait    (2026-06-24 21:58:03)
PMI: Private Mortgage Insurance</t>
      </text>
    </comment>
  </commentList>
  <extLst>
    <ext uri="GoogleSheetsCustomDataVersion2">
      <go:sheetsCustomData xmlns:go="http://customooxmlschemas.google.com/" r:id="rId1" roundtripDataSignature="AMtx7mhOYm6wl4FfB4HS15kEf6gdtHk6hg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2">
      <text>
        <t xml:space="preserve">======
ID#AAAB-SK3lkw
tc={C08C4A25-37A0-4B82-8631-1EDFBA86BC6E}    (2026-06-24 21:58:03)
[Threaded comment]
Your version of Excel allows you to read this threaded comment; however, any edits to it will get removed if the file is opened in a newer version of Excel. Learn more: https://go.microsoft.com/fwlink/?linkid=870924
Comment:
    Input 3 of the variables and solve for the unknown variable by clicking on the corresponding button.</t>
      </text>
    </comment>
  </commentList>
  <extLst>
    <ext uri="GoogleSheetsCustomDataVersion2">
      <go:sheetsCustomData xmlns:go="http://customooxmlschemas.google.com/" r:id="rId1" roundtripDataSignature="AMtx7mhaezaAhQ42nNvfmhlvutKfM7BjDw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13">
      <text>
        <t xml:space="preserve">======
ID#AAAB-SK3lko
tc={7CEAE584-E32A-4785-A539-E81E1BBB1D88}    (2026-06-24 21:58:03)
[Threaded comment]
Your version of Excel allows you to read this threaded comment; however, any edits to it will get removed if the file is opened in a newer version of Excel. Learn more: https://go.microsoft.com/fwlink/?linkid=870924
Comment:
    Cumulative Annualized Payments + Cost of Poinst</t>
      </text>
    </comment>
  </commentList>
  <extLst>
    <ext uri="GoogleSheetsCustomDataVersion2">
      <go:sheetsCustomData xmlns:go="http://customooxmlschemas.google.com/" r:id="rId1" roundtripDataSignature="AMtx7mhjpKEL4bNGYcUPjmD0MJJd0Kd3Xw=="/>
    </ext>
  </extLst>
</comments>
</file>

<file path=xl/comments4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B16">
      <text>
        <t xml:space="preserve">======
ID#AAAB-SK3lkU
tc={D7AA467C-FBE5-468F-99BF-6CF2DB03290D}    (2026-06-24 21:58:03)
[Threaded comment]
Your version of Excel allows you to read this threaded comment; however, any edits to it will get removed if the file is opened in a newer version of Excel. Learn more: https://go.microsoft.com/fwlink/?linkid=870924
Comment:
    May include...
Tax fee: $85
Processing fee: $225
Courier fee: $20
Wire Fee: $20
Flood certification: $20</t>
      </text>
    </comment>
    <comment authorId="0" ref="B15">
      <text>
        <t xml:space="preserve">======
ID#AAAB-SK3lkk
tc={411B9536-7394-47A2-AE9A-6CF627242BBE}    (2026-06-24 21:58:03)
[Threaded comment]
Your version of Excel allows you to read this threaded comment; however, any edits to it will get removed if the file is opened in a newer version of Excel. Learn more: https://go.microsoft.com/fwlink/?linkid=870924
Comment:
    Charged by the title company. The cost is approcimately $800 and is usually split between the buyer and seller.</t>
      </text>
    </comment>
    <comment authorId="0" ref="B12">
      <text>
        <t xml:space="preserve">======
ID#AAAB-SK3lkg
tc={2B000F58-60FD-493A-BB2D-53B17D41414D}    (2026-06-24 21:58:03)
[Threaded comment]
Your version of Excel allows you to read this threaded comment; however, any edits to it will get removed if the file is opened in a newer version of Excel. Learn more: https://go.microsoft.com/fwlink/?linkid=870924
Comment:
    Generally, the title search is split between the buyer and seller. However, in the case of a refinance loan, the howeowner pays the entire amount.</t>
      </text>
    </comment>
    <comment authorId="0" ref="H16">
      <text>
        <t xml:space="preserve">======
ID#AAAB-SK3lk0
tc={1E47C0E3-512E-466E-A09A-DABF9E87C071}    (2026-06-24 21:58:03)
[Threaded comment]
Your version of Excel allows you to read this threaded comment; however, any edits to it will get removed if the file is opened in a newer version of Excel. Learn more: https://go.microsoft.com/fwlink/?linkid=870924
Comment:
    May include...
Tax fee: $85
Processing fee: $225
Courier fee: $20
Wire Fee: $20
Flood certification: $20</t>
      </text>
    </comment>
    <comment authorId="0" ref="H15">
      <text>
        <t xml:space="preserve">======
ID#AAAB-SK3lk8
tc={EE849659-C4DC-410B-A723-1C1B46D8074A}    (2026-06-24 21:58:03)
[Threaded comment]
Your version of Excel allows you to read this threaded comment; however, any edits to it will get removed if the file is opened in a newer version of Excel. Learn more: https://go.microsoft.com/fwlink/?linkid=870924
Comment:
    Charged by the title company. The cost is approcimately $800 and is usually split between the buyer and seller.</t>
      </text>
    </comment>
    <comment authorId="0" ref="H12">
      <text>
        <t xml:space="preserve">======
ID#AAAB-SK3lk4
tc={A2554AB7-E28C-4C7D-8B95-F38DF54913A6}    (2026-06-24 21:58:03)
[Threaded comment]
Your version of Excel allows you to read this threaded comment; however, any edits to it will get removed if the file is opened in a newer version of Excel. Learn more: https://go.microsoft.com/fwlink/?linkid=870924
Comment:
    Generally, the title search is split between the buyer and seller. However, in the case of a refinance loan, the howeowner pays the entire amount.</t>
      </text>
    </comment>
    <comment authorId="0" ref="E8">
      <text>
        <t xml:space="preserve">======
ID#AAAB-SK3lkc
tc={836F1F13-710F-4783-86B2-FC4D551E2471}    (2026-06-24 21:58:03)
[Threaded comment]
Your version of Excel allows you to read this threaded comment; however, any edits to it will get removed if the file is opened in a newer version of Excel. Learn more: https://go.microsoft.com/fwlink/?linkid=870924
Comment:
    Calculate this value in the "Itemized Cost of Refinance" area shown to the right</t>
      </text>
    </comment>
  </commentList>
  <extLst>
    <ext uri="GoogleSheetsCustomDataVersion2">
      <go:sheetsCustomData xmlns:go="http://customooxmlschemas.google.com/" r:id="rId1" roundtripDataSignature="AMtx7mjPFExrMGh3N4K7ujzVqHUJVYkwgA=="/>
    </ext>
  </extLst>
</comments>
</file>

<file path=xl/sharedStrings.xml><?xml version="1.0" encoding="utf-8"?>
<sst xmlns="http://schemas.openxmlformats.org/spreadsheetml/2006/main" count="128" uniqueCount="99">
  <si>
    <t>Mortgage Cash Flows</t>
  </si>
  <si>
    <t>Summary Information</t>
  </si>
  <si>
    <t>Private Mortgage Insurance</t>
  </si>
  <si>
    <t>First Loan Payment Date</t>
  </si>
  <si>
    <t>Today's Date</t>
  </si>
  <si>
    <t>LTV</t>
  </si>
  <si>
    <t>PMI Factor</t>
  </si>
  <si>
    <t>Original Loan Balance</t>
  </si>
  <si>
    <t>Periods Remaining until the Mortgage is paid off</t>
  </si>
  <si>
    <t>-</t>
  </si>
  <si>
    <t>Loan Coupon</t>
  </si>
  <si>
    <t>Loan Period in Years</t>
  </si>
  <si>
    <t>Balloon Period in Years</t>
  </si>
  <si>
    <t>Payments Per Year</t>
  </si>
  <si>
    <t>Loan Amt * PMI Factor / 12</t>
  </si>
  <si>
    <t>Mortgage Payment</t>
  </si>
  <si>
    <t>Not needed when LTV = 78.0</t>
  </si>
  <si>
    <t>Appraised Property Value</t>
  </si>
  <si>
    <t>Paid to Date</t>
  </si>
  <si>
    <t>Remaining</t>
  </si>
  <si>
    <t>Total</t>
  </si>
  <si>
    <t>Loan-to-Value</t>
  </si>
  <si>
    <t>Interest</t>
  </si>
  <si>
    <t>Minumum PMI Payment</t>
  </si>
  <si>
    <t>Monthly PMI Payment</t>
  </si>
  <si>
    <t>Scheduled Principal</t>
  </si>
  <si>
    <t>Min PMI Duration (Months)</t>
  </si>
  <si>
    <t>Monthly Taxes and Insurance</t>
  </si>
  <si>
    <t>Extra Principal Pmt</t>
  </si>
  <si>
    <t xml:space="preserve">Last PMI Payment Date </t>
  </si>
  <si>
    <t>Extra Principal Payment</t>
  </si>
  <si>
    <t>PMI Pmt</t>
  </si>
  <si>
    <t>Extra Principal Pmt Start Date</t>
  </si>
  <si>
    <t>Taxes and Insurance</t>
  </si>
  <si>
    <t>Total Monthly Payment</t>
  </si>
  <si>
    <t xml:space="preserve">                                  Column Totals ======&gt;</t>
  </si>
  <si>
    <t>Payment</t>
  </si>
  <si>
    <t>Balance after</t>
  </si>
  <si>
    <t>Scheduled</t>
  </si>
  <si>
    <t>Extra Principal</t>
  </si>
  <si>
    <t>PMI</t>
  </si>
  <si>
    <t>Taxes and Ins</t>
  </si>
  <si>
    <t>Total Monthly</t>
  </si>
  <si>
    <t>Period</t>
  </si>
  <si>
    <t>Date</t>
  </si>
  <si>
    <t>Principal</t>
  </si>
  <si>
    <t>Escrow</t>
  </si>
  <si>
    <t>Loan Inputs</t>
  </si>
  <si>
    <t>Quick Check</t>
  </si>
  <si>
    <t>Orig Balance</t>
  </si>
  <si>
    <t>Num of Pds</t>
  </si>
  <si>
    <t>Mortgage Rate</t>
  </si>
  <si>
    <t>General Loan Assumptions</t>
  </si>
  <si>
    <t>Inputs</t>
  </si>
  <si>
    <t>Loan A</t>
  </si>
  <si>
    <t>Loan B</t>
  </si>
  <si>
    <t>Periodic Payment</t>
  </si>
  <si>
    <t>Number of Points (percent)</t>
  </si>
  <si>
    <t>Upfront Cost of Points ($)</t>
  </si>
  <si>
    <t>Year</t>
  </si>
  <si>
    <t>Cumulative Annualized Costs</t>
  </si>
  <si>
    <t>Difference</t>
  </si>
  <si>
    <t>Refinancing Question (Costs vs. Benefits)</t>
  </si>
  <si>
    <t>Breakeven Approach (Method 1)</t>
  </si>
  <si>
    <t>Interest Approach (Method 2)</t>
  </si>
  <si>
    <t>Itemized Costs of Refinancing for Method 1</t>
  </si>
  <si>
    <t>Interest Remaining on the Original Mortgage</t>
  </si>
  <si>
    <t>Itemized Costs of Refinancing for Method 2</t>
  </si>
  <si>
    <t>Discount Points (lendor)</t>
  </si>
  <si>
    <t>Total Interest on New Mortgage</t>
  </si>
  <si>
    <t>Origination Fee (broker)</t>
  </si>
  <si>
    <t>Total Fees on the New Mortgage</t>
  </si>
  <si>
    <t>Underwriting Fee (broker)</t>
  </si>
  <si>
    <t>New Mortgage Interest +  Fees</t>
  </si>
  <si>
    <t>Credit Check (credit agency)</t>
  </si>
  <si>
    <t>Difference in Interest &amp; Fees*</t>
  </si>
  <si>
    <t>Attorney Review Fee (yours)</t>
  </si>
  <si>
    <t>* If the number is positive, then you may want to consider refinancing if you</t>
  </si>
  <si>
    <t>Title Search Fee (title company)</t>
  </si>
  <si>
    <t>plan on living in your home for 30 years. However, if you plan on selling</t>
  </si>
  <si>
    <t>Appraisal Fee (appraiser)</t>
  </si>
  <si>
    <t xml:space="preserve">your home in 5 years, then calculate the remaining interest on your </t>
  </si>
  <si>
    <t>Inspections (for the buyer's protection)</t>
  </si>
  <si>
    <t xml:space="preserve">original mortgage for only the next 5 years. Then calculate the first </t>
  </si>
  <si>
    <t>Escrow Fees (charged by title company)</t>
  </si>
  <si>
    <t xml:space="preserve">5 years of interest on your new mortgage. Then add your new mortgage </t>
  </si>
  <si>
    <t>Other Fees</t>
  </si>
  <si>
    <t>fees. Finally, compare the difference and see if it makes sense to refinance.</t>
  </si>
  <si>
    <t>Prepayment Penalty on existing Mortgage</t>
  </si>
  <si>
    <t>Current Montly Mortgage Payment</t>
  </si>
  <si>
    <r>
      <rPr>
        <rFont val="Times New Roman"/>
        <color theme="1"/>
        <sz val="10.0"/>
        <u/>
      </rPr>
      <t>Disclaimer</t>
    </r>
    <r>
      <rPr>
        <rFont val="Times New Roman"/>
        <color theme="1"/>
        <sz val="10.0"/>
      </rPr>
      <t>: This second approach works well if your new mortgage</t>
    </r>
  </si>
  <si>
    <t>New Monthly Mortgage Payment</t>
  </si>
  <si>
    <t xml:space="preserve"> has a balance equal to the outstanding balance of your old mortgage.</t>
  </si>
  <si>
    <t>Difference between the two Payments</t>
  </si>
  <si>
    <t xml:space="preserve"> If your new mortgage has a different balance, then other factors should </t>
  </si>
  <si>
    <t>be considered in the decision making process.</t>
  </si>
  <si>
    <t>in the future?</t>
  </si>
  <si>
    <t>Number of months to recoup costs:</t>
  </si>
  <si>
    <t>(Total of all fees divided by the diffence in monthly payments)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</si>
</sst>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_(&quot;$&quot;* #,##0.00_);_(&quot;$&quot;* \(#,##0.00\);_(&quot;$&quot;* &quot;-&quot;??_);_(@_)"/>
    <numFmt numFmtId="165" formatCode="&quot;$&quot;#,##0.00_);[Red]\(&quot;$&quot;#,##0.00\)"/>
    <numFmt numFmtId="166" formatCode="_(* #,##0.00_);_(* \(#,##0.00\);_(* &quot;-&quot;??_);_(@_)"/>
    <numFmt numFmtId="167" formatCode="_(* #,##0_);_(* \(#,##0\);_(* &quot;-&quot;??_);_(@_)"/>
    <numFmt numFmtId="168" formatCode="m/d/yy"/>
  </numFmts>
  <fonts count="13">
    <font>
      <sz val="10.0"/>
      <color rgb="FF000000"/>
      <name val="Times New Roman"/>
      <scheme val="minor"/>
    </font>
    <font>
      <sz val="10.0"/>
      <color theme="1"/>
      <name val="Arial"/>
    </font>
    <font>
      <b/>
      <sz val="12.0"/>
      <color rgb="FF000000"/>
      <name val="Arial"/>
    </font>
    <font/>
    <font>
      <b/>
      <sz val="10.0"/>
      <color theme="1"/>
      <name val="Times New Roman"/>
    </font>
    <font>
      <sz val="10.0"/>
      <color rgb="FF0000FF"/>
      <name val="Arial"/>
    </font>
    <font>
      <sz val="10.0"/>
      <color theme="1"/>
      <name val="Times New Roman"/>
    </font>
    <font>
      <b/>
      <sz val="10.0"/>
      <color rgb="FF000000"/>
      <name val="Arial"/>
    </font>
    <font>
      <b/>
      <sz val="10.0"/>
      <color theme="1"/>
      <name val="Arial"/>
    </font>
    <font>
      <sz val="10.0"/>
      <color rgb="FF000000"/>
      <name val="Arial"/>
    </font>
    <font>
      <b/>
      <sz val="10.0"/>
      <color theme="1"/>
      <name val="Calibri"/>
    </font>
    <font>
      <sz val="12.0"/>
      <color theme="1"/>
      <name val="Times New Roman"/>
    </font>
    <font>
      <sz val="9.0"/>
      <color theme="1"/>
      <name val="Calibri"/>
    </font>
  </fonts>
  <fills count="8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C2D69B"/>
        <bgColor rgb="FFC2D69B"/>
      </patternFill>
    </fill>
    <fill>
      <patternFill patternType="solid">
        <fgColor rgb="FFEAF1DD"/>
        <bgColor rgb="FFEAF1DD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C6D9F0"/>
        <bgColor rgb="FFC6D9F0"/>
      </patternFill>
    </fill>
  </fills>
  <borders count="56">
    <border/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/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/>
      <right style="thin">
        <color rgb="FF000000"/>
      </right>
      <top style="hair">
        <color rgb="FF000000"/>
      </top>
      <bottom style="hair">
        <color rgb="FF000000"/>
      </bottom>
    </border>
    <border>
      <right style="thin">
        <color rgb="FF000000"/>
      </right>
    </border>
    <border>
      <left/>
      <right/>
      <top/>
      <bottom style="hair">
        <color rgb="FF000000"/>
      </bottom>
    </border>
    <border>
      <left style="thin">
        <color rgb="FF000000"/>
      </left>
      <right style="thin">
        <color rgb="FF000000"/>
      </right>
      <top/>
      <bottom style="hair">
        <color rgb="FF000000"/>
      </bottom>
    </border>
    <border>
      <left/>
      <right style="thin">
        <color rgb="FF000000"/>
      </right>
      <top/>
      <bottom style="hair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/>
      <top style="thin">
        <color rgb="FF000000"/>
      </top>
      <bottom style="hair">
        <color rgb="FF000000"/>
      </bottom>
    </border>
    <border>
      <left/>
      <right style="thin">
        <color rgb="FF000000"/>
      </right>
      <top style="hair">
        <color rgb="FF000000"/>
      </top>
      <bottom/>
    </border>
    <border>
      <left/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left style="thin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</borders>
  <cellStyleXfs count="1">
    <xf borderId="0" fillId="0" fontId="0" numFmtId="0" applyAlignment="1" applyFont="1"/>
  </cellStyleXfs>
  <cellXfs count="179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1" numFmtId="0" xfId="0" applyAlignment="1" applyBorder="1" applyFont="1">
      <alignment horizontal="right"/>
    </xf>
    <xf borderId="2" fillId="3" fontId="2" numFmtId="0" xfId="0" applyAlignment="1" applyBorder="1" applyFill="1" applyFont="1">
      <alignment horizontal="center"/>
    </xf>
    <xf borderId="3" fillId="0" fontId="3" numFmtId="0" xfId="0" applyBorder="1" applyFont="1"/>
    <xf borderId="4" fillId="0" fontId="3" numFmtId="0" xfId="0" applyBorder="1" applyFont="1"/>
    <xf borderId="2" fillId="3" fontId="4" numFmtId="0" xfId="0" applyAlignment="1" applyBorder="1" applyFont="1">
      <alignment horizontal="center"/>
    </xf>
    <xf borderId="5" fillId="4" fontId="1" numFmtId="0" xfId="0" applyBorder="1" applyFill="1" applyFont="1"/>
    <xf borderId="6" fillId="4" fontId="1" numFmtId="0" xfId="0" applyAlignment="1" applyBorder="1" applyFont="1">
      <alignment horizontal="left"/>
    </xf>
    <xf borderId="7" fillId="4" fontId="5" numFmtId="14" xfId="0" applyAlignment="1" applyBorder="1" applyFont="1" applyNumberFormat="1">
      <alignment readingOrder="0"/>
    </xf>
    <xf borderId="6" fillId="4" fontId="1" numFmtId="0" xfId="0" applyBorder="1" applyFont="1"/>
    <xf borderId="7" fillId="4" fontId="5" numFmtId="14" xfId="0" applyAlignment="1" applyBorder="1" applyFont="1" applyNumberFormat="1">
      <alignment horizontal="center"/>
    </xf>
    <xf borderId="2" fillId="4" fontId="4" numFmtId="0" xfId="0" applyAlignment="1" applyBorder="1" applyFont="1">
      <alignment horizontal="center"/>
    </xf>
    <xf borderId="8" fillId="0" fontId="3" numFmtId="0" xfId="0" applyBorder="1" applyFont="1"/>
    <xf borderId="9" fillId="4" fontId="4" numFmtId="0" xfId="0" applyAlignment="1" applyBorder="1" applyFont="1">
      <alignment horizontal="center"/>
    </xf>
    <xf borderId="10" fillId="4" fontId="1" numFmtId="0" xfId="0" applyBorder="1" applyFont="1"/>
    <xf borderId="1" fillId="4" fontId="1" numFmtId="0" xfId="0" applyAlignment="1" applyBorder="1" applyFont="1">
      <alignment horizontal="left"/>
    </xf>
    <xf borderId="11" fillId="4" fontId="5" numFmtId="164" xfId="0" applyBorder="1" applyFont="1" applyNumberFormat="1"/>
    <xf borderId="12" fillId="4" fontId="1" numFmtId="0" xfId="0" applyBorder="1" applyFont="1"/>
    <xf borderId="13" fillId="4" fontId="1" numFmtId="0" xfId="0" applyBorder="1" applyFont="1"/>
    <xf borderId="14" fillId="4" fontId="1" numFmtId="1" xfId="0" applyAlignment="1" applyBorder="1" applyFont="1" applyNumberFormat="1">
      <alignment horizontal="center"/>
    </xf>
    <xf borderId="10" fillId="4" fontId="6" numFmtId="10" xfId="0" applyAlignment="1" applyBorder="1" applyFont="1" applyNumberFormat="1">
      <alignment horizontal="right"/>
    </xf>
    <xf quotePrefix="1" borderId="1" fillId="4" fontId="6" numFmtId="0" xfId="0" applyAlignment="1" applyBorder="1" applyFont="1">
      <alignment horizontal="center"/>
    </xf>
    <xf borderId="6" fillId="4" fontId="6" numFmtId="10" xfId="0" applyAlignment="1" applyBorder="1" applyFont="1" applyNumberFormat="1">
      <alignment horizontal="left"/>
    </xf>
    <xf borderId="11" fillId="4" fontId="6" numFmtId="10" xfId="0" applyAlignment="1" applyBorder="1" applyFont="1" applyNumberFormat="1">
      <alignment horizontal="center"/>
    </xf>
    <xf borderId="11" fillId="4" fontId="5" numFmtId="10" xfId="0" applyBorder="1" applyFont="1" applyNumberFormat="1"/>
    <xf borderId="1" fillId="4" fontId="6" numFmtId="10" xfId="0" applyAlignment="1" applyBorder="1" applyFont="1" applyNumberFormat="1">
      <alignment horizontal="left"/>
    </xf>
    <xf borderId="11" fillId="4" fontId="5" numFmtId="0" xfId="0" applyBorder="1" applyFont="1"/>
    <xf borderId="1" fillId="2" fontId="1" numFmtId="10" xfId="0" applyBorder="1" applyFont="1" applyNumberFormat="1"/>
    <xf borderId="1" fillId="2" fontId="1" numFmtId="164" xfId="0" applyBorder="1" applyFont="1" applyNumberFormat="1"/>
    <xf borderId="11" fillId="2" fontId="1" numFmtId="0" xfId="0" applyBorder="1" applyFont="1"/>
    <xf borderId="13" fillId="4" fontId="1" numFmtId="0" xfId="0" applyAlignment="1" applyBorder="1" applyFont="1">
      <alignment horizontal="left"/>
    </xf>
    <xf borderId="1" fillId="2" fontId="1" numFmtId="165" xfId="0" applyBorder="1" applyFont="1" applyNumberFormat="1"/>
    <xf borderId="15" fillId="4" fontId="6" numFmtId="0" xfId="0" applyAlignment="1" applyBorder="1" applyFont="1">
      <alignment horizontal="center"/>
    </xf>
    <xf borderId="16" fillId="0" fontId="3" numFmtId="0" xfId="0" applyBorder="1" applyFont="1"/>
    <xf borderId="17" fillId="0" fontId="3" numFmtId="0" xfId="0" applyBorder="1" applyFont="1"/>
    <xf borderId="18" fillId="4" fontId="1" numFmtId="0" xfId="0" applyBorder="1" applyFont="1"/>
    <xf borderId="19" fillId="4" fontId="1" numFmtId="0" xfId="0" applyBorder="1" applyFont="1"/>
    <xf borderId="9" fillId="4" fontId="7" numFmtId="164" xfId="0" applyBorder="1" applyFont="1" applyNumberFormat="1"/>
    <xf borderId="13" fillId="2" fontId="1" numFmtId="0" xfId="0" applyBorder="1" applyFont="1"/>
    <xf borderId="1" fillId="2" fontId="1" numFmtId="166" xfId="0" applyBorder="1" applyFont="1" applyNumberFormat="1"/>
    <xf borderId="20" fillId="4" fontId="6" numFmtId="0" xfId="0" applyAlignment="1" applyBorder="1" applyFont="1">
      <alignment horizontal="center"/>
    </xf>
    <xf borderId="21" fillId="0" fontId="3" numFmtId="0" xfId="0" applyBorder="1" applyFont="1"/>
    <xf borderId="22" fillId="0" fontId="3" numFmtId="0" xfId="0" applyBorder="1" applyFont="1"/>
    <xf borderId="23" fillId="0" fontId="8" numFmtId="0" xfId="0" applyAlignment="1" applyBorder="1" applyFont="1">
      <alignment horizontal="center" vertical="center"/>
    </xf>
    <xf borderId="11" fillId="4" fontId="5" numFmtId="166" xfId="0" applyBorder="1" applyFont="1" applyNumberFormat="1"/>
    <xf borderId="24" fillId="4" fontId="8" numFmtId="0" xfId="0" applyAlignment="1" applyBorder="1" applyFont="1">
      <alignment horizontal="right"/>
    </xf>
    <xf borderId="7" fillId="4" fontId="8" numFmtId="0" xfId="0" applyAlignment="1" applyBorder="1" applyFont="1">
      <alignment horizontal="right"/>
    </xf>
    <xf borderId="23" fillId="0" fontId="3" numFmtId="0" xfId="0" applyBorder="1" applyFont="1"/>
    <xf borderId="1" fillId="4" fontId="1" numFmtId="0" xfId="0" applyBorder="1" applyFont="1"/>
    <xf borderId="24" fillId="4" fontId="1" numFmtId="166" xfId="0" applyAlignment="1" applyBorder="1" applyFont="1" applyNumberFormat="1">
      <alignment horizontal="right"/>
    </xf>
    <xf borderId="7" fillId="4" fontId="1" numFmtId="166" xfId="0" applyAlignment="1" applyBorder="1" applyFont="1" applyNumberFormat="1">
      <alignment horizontal="right"/>
    </xf>
    <xf borderId="2" fillId="3" fontId="7" numFmtId="0" xfId="0" applyAlignment="1" applyBorder="1" applyFont="1">
      <alignment horizontal="center"/>
    </xf>
    <xf borderId="11" fillId="4" fontId="8" numFmtId="164" xfId="0" applyBorder="1" applyFont="1" applyNumberFormat="1"/>
    <xf borderId="25" fillId="4" fontId="1" numFmtId="0" xfId="0" applyBorder="1" applyFont="1"/>
    <xf borderId="26" fillId="4" fontId="1" numFmtId="166" xfId="0" applyAlignment="1" applyBorder="1" applyFont="1" applyNumberFormat="1">
      <alignment horizontal="right"/>
    </xf>
    <xf borderId="27" fillId="4" fontId="1" numFmtId="166" xfId="0" applyAlignment="1" applyBorder="1" applyFont="1" applyNumberFormat="1">
      <alignment horizontal="right"/>
    </xf>
    <xf borderId="28" fillId="0" fontId="4" numFmtId="0" xfId="0" applyAlignment="1" applyBorder="1" applyFont="1">
      <alignment horizontal="center" vertical="center"/>
    </xf>
    <xf borderId="9" fillId="4" fontId="5" numFmtId="164" xfId="0" applyBorder="1" applyFont="1" applyNumberFormat="1"/>
    <xf borderId="29" fillId="4" fontId="1" numFmtId="0" xfId="0" applyBorder="1" applyFont="1"/>
    <xf borderId="30" fillId="4" fontId="1" numFmtId="166" xfId="0" applyAlignment="1" applyBorder="1" applyFont="1" applyNumberFormat="1">
      <alignment horizontal="right"/>
    </xf>
    <xf borderId="31" fillId="4" fontId="1" numFmtId="166" xfId="0" applyBorder="1" applyFont="1" applyNumberFormat="1"/>
    <xf borderId="32" fillId="4" fontId="1" numFmtId="0" xfId="0" applyBorder="1" applyFont="1"/>
    <xf borderId="14" fillId="4" fontId="1" numFmtId="14" xfId="0" applyBorder="1" applyFont="1" applyNumberFormat="1"/>
    <xf borderId="33" fillId="4" fontId="1" numFmtId="0" xfId="0" applyAlignment="1" applyBorder="1" applyFont="1">
      <alignment horizontal="left"/>
    </xf>
    <xf borderId="31" fillId="4" fontId="5" numFmtId="164" xfId="0" applyBorder="1" applyFont="1" applyNumberFormat="1"/>
    <xf borderId="34" fillId="4" fontId="1" numFmtId="0" xfId="0" applyBorder="1" applyFont="1"/>
    <xf borderId="27" fillId="4" fontId="1" numFmtId="166" xfId="0" applyBorder="1" applyFont="1" applyNumberFormat="1"/>
    <xf borderId="1" fillId="2" fontId="1" numFmtId="166" xfId="0" applyAlignment="1" applyBorder="1" applyFont="1" applyNumberFormat="1">
      <alignment horizontal="right"/>
    </xf>
    <xf borderId="35" fillId="4" fontId="5" numFmtId="14" xfId="0" applyBorder="1" applyFont="1" applyNumberFormat="1"/>
    <xf borderId="36" fillId="4" fontId="1" numFmtId="0" xfId="0" applyBorder="1" applyFont="1"/>
    <xf borderId="14" fillId="4" fontId="1" numFmtId="166" xfId="0" applyAlignment="1" applyBorder="1" applyFont="1" applyNumberFormat="1">
      <alignment horizontal="right"/>
    </xf>
    <xf borderId="32" fillId="4" fontId="1" numFmtId="166" xfId="0" applyAlignment="1" applyBorder="1" applyFont="1" applyNumberFormat="1">
      <alignment horizontal="right"/>
    </xf>
    <xf borderId="14" fillId="4" fontId="1" numFmtId="166" xfId="0" applyBorder="1" applyFont="1" applyNumberFormat="1"/>
    <xf borderId="1" fillId="2" fontId="6" numFmtId="0" xfId="0" applyAlignment="1" applyBorder="1" applyFont="1">
      <alignment horizontal="center"/>
    </xf>
    <xf borderId="37" fillId="4" fontId="8" numFmtId="0" xfId="0" applyBorder="1" applyFont="1"/>
    <xf borderId="18" fillId="4" fontId="8" numFmtId="0" xfId="0" applyAlignment="1" applyBorder="1" applyFont="1">
      <alignment horizontal="left"/>
    </xf>
    <xf borderId="9" fillId="4" fontId="8" numFmtId="165" xfId="0" applyBorder="1" applyFont="1" applyNumberFormat="1"/>
    <xf borderId="18" fillId="4" fontId="8" numFmtId="0" xfId="0" applyBorder="1" applyFont="1"/>
    <xf borderId="37" fillId="4" fontId="8" numFmtId="166" xfId="0" applyAlignment="1" applyBorder="1" applyFont="1" applyNumberFormat="1">
      <alignment horizontal="right"/>
    </xf>
    <xf borderId="9" fillId="4" fontId="8" numFmtId="166" xfId="0" applyAlignment="1" applyBorder="1" applyFont="1" applyNumberFormat="1">
      <alignment horizontal="right"/>
    </xf>
    <xf borderId="2" fillId="4" fontId="7" numFmtId="0" xfId="0" applyAlignment="1" applyBorder="1" applyFont="1">
      <alignment horizontal="center"/>
    </xf>
    <xf borderId="37" fillId="4" fontId="9" numFmtId="164" xfId="0" applyBorder="1" applyFont="1" applyNumberFormat="1"/>
    <xf borderId="24" fillId="3" fontId="7" numFmtId="0" xfId="0" applyBorder="1" applyFont="1"/>
    <xf borderId="24" fillId="3" fontId="7" numFmtId="0" xfId="0" applyAlignment="1" applyBorder="1" applyFont="1">
      <alignment horizontal="center"/>
    </xf>
    <xf borderId="5" fillId="3" fontId="7" numFmtId="0" xfId="0" applyAlignment="1" applyBorder="1" applyFont="1">
      <alignment horizontal="center"/>
    </xf>
    <xf borderId="7" fillId="3" fontId="7" numFmtId="0" xfId="0" applyAlignment="1" applyBorder="1" applyFont="1">
      <alignment horizontal="center"/>
    </xf>
    <xf borderId="24" fillId="3" fontId="7" numFmtId="167" xfId="0" applyAlignment="1" applyBorder="1" applyFont="1" applyNumberFormat="1">
      <alignment horizontal="center"/>
    </xf>
    <xf borderId="24" fillId="3" fontId="7" numFmtId="167" xfId="0" applyAlignment="1" applyBorder="1" applyFont="1" applyNumberFormat="1">
      <alignment horizontal="right"/>
    </xf>
    <xf borderId="24" fillId="3" fontId="7" numFmtId="167" xfId="0" applyAlignment="1" applyBorder="1" applyFont="1" applyNumberFormat="1">
      <alignment horizontal="right" shrinkToFit="0" wrapText="1"/>
    </xf>
    <xf borderId="1" fillId="2" fontId="8" numFmtId="0" xfId="0" applyAlignment="1" applyBorder="1" applyFont="1">
      <alignment horizontal="center"/>
    </xf>
    <xf borderId="38" fillId="3" fontId="7" numFmtId="0" xfId="0" applyAlignment="1" applyBorder="1" applyFont="1">
      <alignment horizontal="center"/>
    </xf>
    <xf borderId="10" fillId="3" fontId="7" numFmtId="0" xfId="0" applyAlignment="1" applyBorder="1" applyFont="1">
      <alignment horizontal="center"/>
    </xf>
    <xf borderId="11" fillId="3" fontId="7" numFmtId="0" xfId="0" applyAlignment="1" applyBorder="1" applyFont="1">
      <alignment horizontal="center"/>
    </xf>
    <xf borderId="38" fillId="3" fontId="7" numFmtId="0" xfId="0" applyAlignment="1" applyBorder="1" applyFont="1">
      <alignment horizontal="center" shrinkToFit="0" wrapText="1"/>
    </xf>
    <xf borderId="5" fillId="2" fontId="1" numFmtId="37" xfId="0" applyAlignment="1" applyBorder="1" applyFont="1" applyNumberFormat="1">
      <alignment horizontal="center"/>
    </xf>
    <xf borderId="6" fillId="2" fontId="9" numFmtId="168" xfId="0" applyAlignment="1" applyBorder="1" applyFont="1" applyNumberFormat="1">
      <alignment horizontal="center"/>
    </xf>
    <xf borderId="6" fillId="2" fontId="1" numFmtId="166" xfId="0" applyBorder="1" applyFont="1" applyNumberFormat="1"/>
    <xf borderId="6" fillId="2" fontId="1" numFmtId="166" xfId="0" applyAlignment="1" applyBorder="1" applyFont="1" applyNumberFormat="1">
      <alignment horizontal="right"/>
    </xf>
    <xf borderId="7" fillId="2" fontId="1" numFmtId="166" xfId="0" applyBorder="1" applyFont="1" applyNumberFormat="1"/>
    <xf borderId="10" fillId="2" fontId="1" numFmtId="37" xfId="0" applyAlignment="1" applyBorder="1" applyFont="1" applyNumberFormat="1">
      <alignment horizontal="center"/>
    </xf>
    <xf borderId="1" fillId="2" fontId="1" numFmtId="168" xfId="0" applyAlignment="1" applyBorder="1" applyFont="1" applyNumberFormat="1">
      <alignment horizontal="center"/>
    </xf>
    <xf borderId="1" fillId="2" fontId="5" numFmtId="166" xfId="0" applyAlignment="1" applyBorder="1" applyFont="1" applyNumberFormat="1">
      <alignment horizontal="center"/>
    </xf>
    <xf borderId="1" fillId="2" fontId="1" numFmtId="166" xfId="0" applyAlignment="1" applyBorder="1" applyFont="1" applyNumberFormat="1">
      <alignment horizontal="center"/>
    </xf>
    <xf borderId="1" fillId="2" fontId="1" numFmtId="10" xfId="0" applyAlignment="1" applyBorder="1" applyFont="1" applyNumberFormat="1">
      <alignment horizontal="right"/>
    </xf>
    <xf borderId="11" fillId="2" fontId="1" numFmtId="166" xfId="0" applyBorder="1" applyFont="1" applyNumberFormat="1"/>
    <xf borderId="0" fillId="0" fontId="1" numFmtId="0" xfId="0" applyFont="1"/>
    <xf borderId="39" fillId="0" fontId="1" numFmtId="37" xfId="0" applyAlignment="1" applyBorder="1" applyFont="1" applyNumberFormat="1">
      <alignment horizontal="center"/>
    </xf>
    <xf borderId="0" fillId="0" fontId="1" numFmtId="168" xfId="0" applyAlignment="1" applyFont="1" applyNumberFormat="1">
      <alignment horizontal="center"/>
    </xf>
    <xf borderId="0" fillId="0" fontId="1" numFmtId="166" xfId="0" applyFont="1" applyNumberFormat="1"/>
    <xf borderId="0" fillId="0" fontId="1" numFmtId="10" xfId="0" applyAlignment="1" applyFont="1" applyNumberFormat="1">
      <alignment horizontal="right"/>
    </xf>
    <xf borderId="12" fillId="2" fontId="1" numFmtId="37" xfId="0" applyAlignment="1" applyBorder="1" applyFont="1" applyNumberFormat="1">
      <alignment horizontal="center"/>
    </xf>
    <xf borderId="13" fillId="2" fontId="1" numFmtId="168" xfId="0" applyAlignment="1" applyBorder="1" applyFont="1" applyNumberFormat="1">
      <alignment horizontal="center"/>
    </xf>
    <xf borderId="13" fillId="2" fontId="1" numFmtId="166" xfId="0" applyBorder="1" applyFont="1" applyNumberFormat="1"/>
    <xf borderId="13" fillId="2" fontId="5" numFmtId="166" xfId="0" applyAlignment="1" applyBorder="1" applyFont="1" applyNumberFormat="1">
      <alignment horizontal="center"/>
    </xf>
    <xf borderId="13" fillId="2" fontId="1" numFmtId="166" xfId="0" applyAlignment="1" applyBorder="1" applyFont="1" applyNumberFormat="1">
      <alignment horizontal="center"/>
    </xf>
    <xf borderId="13" fillId="2" fontId="1" numFmtId="10" xfId="0" applyAlignment="1" applyBorder="1" applyFont="1" applyNumberFormat="1">
      <alignment horizontal="right"/>
    </xf>
    <xf borderId="13" fillId="2" fontId="1" numFmtId="166" xfId="0" applyAlignment="1" applyBorder="1" applyFont="1" applyNumberFormat="1">
      <alignment horizontal="right"/>
    </xf>
    <xf borderId="14" fillId="2" fontId="1" numFmtId="166" xfId="0" applyBorder="1" applyFont="1" applyNumberFormat="1"/>
    <xf borderId="0" fillId="0" fontId="6" numFmtId="0" xfId="0" applyFont="1"/>
    <xf borderId="40" fillId="3" fontId="9" numFmtId="0" xfId="0" applyAlignment="1" applyBorder="1" applyFont="1">
      <alignment horizontal="center"/>
    </xf>
    <xf borderId="41" fillId="0" fontId="3" numFmtId="0" xfId="0" applyBorder="1" applyFont="1"/>
    <xf borderId="42" fillId="5" fontId="6" numFmtId="0" xfId="0" applyAlignment="1" applyBorder="1" applyFill="1" applyFont="1">
      <alignment horizontal="center" shrinkToFit="0" vertical="center" wrapText="1"/>
    </xf>
    <xf borderId="0" fillId="0" fontId="6" numFmtId="0" xfId="0" applyAlignment="1" applyFont="1">
      <alignment horizontal="center" shrinkToFit="0" vertical="center" wrapText="1"/>
    </xf>
    <xf borderId="43" fillId="4" fontId="1" numFmtId="0" xfId="0" applyAlignment="1" applyBorder="1" applyFont="1">
      <alignment horizontal="left"/>
    </xf>
    <xf borderId="44" fillId="4" fontId="5" numFmtId="167" xfId="0" applyBorder="1" applyFont="1" applyNumberFormat="1"/>
    <xf borderId="45" fillId="6" fontId="6" numFmtId="167" xfId="0" applyBorder="1" applyFill="1" applyFont="1" applyNumberFormat="1"/>
    <xf borderId="44" fillId="4" fontId="5" numFmtId="1" xfId="0" applyBorder="1" applyFont="1" applyNumberFormat="1"/>
    <xf borderId="45" fillId="6" fontId="6" numFmtId="1" xfId="0" applyBorder="1" applyFont="1" applyNumberFormat="1"/>
    <xf borderId="44" fillId="4" fontId="5" numFmtId="10" xfId="0" applyBorder="1" applyFont="1" applyNumberFormat="1"/>
    <xf borderId="45" fillId="6" fontId="6" numFmtId="9" xfId="0" applyBorder="1" applyFont="1" applyNumberFormat="1"/>
    <xf borderId="46" fillId="4" fontId="1" numFmtId="0" xfId="0" applyAlignment="1" applyBorder="1" applyFont="1">
      <alignment horizontal="left"/>
    </xf>
    <xf borderId="47" fillId="4" fontId="5" numFmtId="2" xfId="0" applyBorder="1" applyFont="1" applyNumberFormat="1"/>
    <xf borderId="48" fillId="6" fontId="6" numFmtId="166" xfId="0" applyBorder="1" applyFont="1" applyNumberFormat="1"/>
    <xf borderId="0" fillId="0" fontId="6" numFmtId="9" xfId="0" applyFont="1" applyNumberFormat="1"/>
    <xf borderId="40" fillId="3" fontId="10" numFmtId="0" xfId="0" applyAlignment="1" applyBorder="1" applyFont="1">
      <alignment horizontal="center"/>
    </xf>
    <xf borderId="43" fillId="4" fontId="6" numFmtId="0" xfId="0" applyBorder="1" applyFont="1"/>
    <xf borderId="49" fillId="4" fontId="5" numFmtId="164" xfId="0" applyBorder="1" applyFont="1" applyNumberFormat="1"/>
    <xf borderId="49" fillId="4" fontId="5" numFmtId="167" xfId="0" applyBorder="1" applyFont="1" applyNumberFormat="1"/>
    <xf borderId="46" fillId="4" fontId="6" numFmtId="0" xfId="0" applyBorder="1" applyFont="1"/>
    <xf borderId="50" fillId="4" fontId="5" numFmtId="167" xfId="0" applyBorder="1" applyFont="1" applyNumberFormat="1"/>
    <xf borderId="51" fillId="3" fontId="10" numFmtId="0" xfId="0" applyAlignment="1" applyBorder="1" applyFont="1">
      <alignment horizontal="center"/>
    </xf>
    <xf borderId="42" fillId="3" fontId="10" numFmtId="0" xfId="0" applyAlignment="1" applyBorder="1" applyFont="1">
      <alignment horizontal="center"/>
    </xf>
    <xf borderId="52" fillId="3" fontId="10" numFmtId="0" xfId="0" applyAlignment="1" applyBorder="1" applyFont="1">
      <alignment horizontal="center"/>
    </xf>
    <xf borderId="45" fillId="4" fontId="5" numFmtId="10" xfId="0" applyBorder="1" applyFont="1" applyNumberFormat="1"/>
    <xf borderId="45" fillId="4" fontId="6" numFmtId="164" xfId="0" applyBorder="1" applyFont="1" applyNumberFormat="1"/>
    <xf borderId="44" fillId="4" fontId="6" numFmtId="164" xfId="0" applyBorder="1" applyFont="1" applyNumberFormat="1"/>
    <xf borderId="48" fillId="4" fontId="6" numFmtId="164" xfId="0" applyBorder="1" applyFont="1" applyNumberFormat="1"/>
    <xf borderId="47" fillId="4" fontId="6" numFmtId="164" xfId="0" applyBorder="1" applyFont="1" applyNumberFormat="1"/>
    <xf borderId="42" fillId="3" fontId="10" numFmtId="0" xfId="0" applyAlignment="1" applyBorder="1" applyFont="1">
      <alignment horizontal="center" shrinkToFit="0" wrapText="1"/>
    </xf>
    <xf borderId="52" fillId="3" fontId="10" numFmtId="0" xfId="0" applyAlignment="1" applyBorder="1" applyFont="1">
      <alignment horizontal="center" shrinkToFit="0" wrapText="1"/>
    </xf>
    <xf borderId="45" fillId="4" fontId="6" numFmtId="0" xfId="0" applyBorder="1" applyFont="1"/>
    <xf borderId="45" fillId="4" fontId="6" numFmtId="167" xfId="0" applyBorder="1" applyFont="1" applyNumberFormat="1"/>
    <xf borderId="44" fillId="4" fontId="6" numFmtId="167" xfId="0" applyBorder="1" applyFont="1" applyNumberFormat="1"/>
    <xf borderId="48" fillId="4" fontId="6" numFmtId="0" xfId="0" applyBorder="1" applyFont="1"/>
    <xf borderId="48" fillId="4" fontId="6" numFmtId="167" xfId="0" applyBorder="1" applyFont="1" applyNumberFormat="1"/>
    <xf borderId="47" fillId="4" fontId="6" numFmtId="167" xfId="0" applyBorder="1" applyFont="1" applyNumberFormat="1"/>
    <xf borderId="53" fillId="0" fontId="3" numFmtId="0" xfId="0" applyBorder="1" applyFont="1"/>
    <xf borderId="54" fillId="4" fontId="11" numFmtId="0" xfId="0" applyBorder="1" applyFont="1"/>
    <xf borderId="55" fillId="4" fontId="5" numFmtId="164" xfId="0" applyBorder="1" applyFont="1" applyNumberFormat="1"/>
    <xf borderId="43" fillId="4" fontId="11" numFmtId="0" xfId="0" applyBorder="1" applyFont="1"/>
    <xf borderId="44" fillId="4" fontId="5" numFmtId="164" xfId="0" applyBorder="1" applyFont="1" applyNumberFormat="1"/>
    <xf borderId="46" fillId="4" fontId="11" numFmtId="0" xfId="0" applyBorder="1" applyFont="1"/>
    <xf borderId="47" fillId="4" fontId="5" numFmtId="164" xfId="0" applyBorder="1" applyFont="1" applyNumberFormat="1"/>
    <xf borderId="51" fillId="3" fontId="4" numFmtId="0" xfId="0" applyBorder="1" applyFont="1"/>
    <xf borderId="52" fillId="3" fontId="4" numFmtId="164" xfId="0" applyBorder="1" applyFont="1" applyNumberFormat="1"/>
    <xf borderId="43" fillId="7" fontId="6" numFmtId="0" xfId="0" applyBorder="1" applyFill="1" applyFont="1"/>
    <xf borderId="45" fillId="7" fontId="6" numFmtId="0" xfId="0" applyBorder="1" applyFont="1"/>
    <xf borderId="44" fillId="7" fontId="6" numFmtId="0" xfId="0" applyBorder="1" applyFont="1"/>
    <xf borderId="51" fillId="3" fontId="6" numFmtId="0" xfId="0" applyBorder="1" applyFont="1"/>
    <xf borderId="52" fillId="3" fontId="1" numFmtId="164" xfId="0" applyBorder="1" applyFont="1" applyNumberFormat="1"/>
    <xf borderId="46" fillId="7" fontId="6" numFmtId="0" xfId="0" applyBorder="1" applyFont="1"/>
    <xf borderId="47" fillId="7" fontId="6" numFmtId="0" xfId="0" applyBorder="1" applyFont="1"/>
    <xf borderId="54" fillId="7" fontId="6" numFmtId="0" xfId="0" applyBorder="1" applyFont="1"/>
    <xf borderId="55" fillId="7" fontId="6" numFmtId="0" xfId="0" applyBorder="1" applyFont="1"/>
    <xf borderId="55" fillId="7" fontId="4" numFmtId="1" xfId="0" applyBorder="1" applyFont="1" applyNumberFormat="1"/>
    <xf borderId="46" fillId="7" fontId="6" numFmtId="0" xfId="0" applyAlignment="1" applyBorder="1" applyFont="1">
      <alignment shrinkToFit="0" wrapText="1"/>
    </xf>
    <xf borderId="0" fillId="0" fontId="12" numFmtId="0" xfId="0" applyFont="1"/>
    <xf borderId="0" fillId="0" fontId="6" numFmtId="0" xfId="0" applyAlignment="1" applyFont="1">
      <alignment shrinkToFit="0" wrapText="1"/>
    </xf>
  </cellXfs>
  <cellStyles count="1">
    <cellStyle xfId="0" name="Normal" builtinId="0"/>
  </cellStyles>
  <dxfs count="4">
    <dxf>
      <font/>
      <fill>
        <patternFill patternType="solid">
          <fgColor rgb="FFFFFF99"/>
          <bgColor rgb="FFFFFF99"/>
        </patternFill>
      </fill>
      <border/>
    </dxf>
    <dxf>
      <font/>
      <fill>
        <patternFill patternType="solid">
          <fgColor rgb="FFBFBFBF"/>
          <bgColor rgb="FFBFBFBF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00B050"/>
          <bgColor rgb="FF00B050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76200</xdr:colOff>
      <xdr:row>5</xdr:row>
      <xdr:rowOff>19050</xdr:rowOff>
    </xdr:from>
    <xdr:ext cx="838200" cy="657225"/>
    <xdr:sp>
      <xdr:nvSpPr>
        <xdr:cNvPr id="3" name="Shape 3"/>
        <xdr:cNvSpPr/>
      </xdr:nvSpPr>
      <xdr:spPr>
        <a:xfrm>
          <a:off x="4941188" y="3456150"/>
          <a:ext cx="809625" cy="647700"/>
        </a:xfrm>
        <a:prstGeom prst="leftArrow">
          <a:avLst>
            <a:gd fmla="val 50000" name="adj1"/>
            <a:gd fmla="val 50000" name="adj2"/>
          </a:avLst>
        </a:prstGeom>
        <a:solidFill>
          <a:schemeClr val="accent1"/>
        </a:solidFill>
        <a:ln cap="flat" cmpd="sng" w="25400">
          <a:solidFill>
            <a:srgbClr val="395E89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C00000"/>
    <pageSetUpPr fitToPage="1"/>
  </sheetPr>
  <sheetViews>
    <sheetView showGridLines="0" workbookViewId="0"/>
  </sheetViews>
  <sheetFormatPr customHeight="1" defaultColWidth="14.43" defaultRowHeight="15.0"/>
  <cols>
    <col customWidth="1" min="1" max="1" width="13.71"/>
    <col customWidth="1" min="2" max="2" width="13.0"/>
    <col customWidth="1" min="3" max="3" width="17.29"/>
    <col customWidth="1" min="4" max="4" width="17.0"/>
    <col customWidth="1" min="5" max="5" width="2.29"/>
    <col customWidth="1" min="6" max="6" width="19.57"/>
    <col customWidth="1" min="7" max="7" width="20.0"/>
    <col customWidth="1" min="8" max="9" width="19.29"/>
    <col customWidth="1" min="10" max="10" width="11.14"/>
    <col customWidth="1" min="11" max="11" width="18.29"/>
    <col customWidth="1" min="12" max="13" width="17.0"/>
    <col customWidth="1" min="14" max="14" width="9.71"/>
    <col customWidth="1" min="15" max="15" width="1.71"/>
    <col customWidth="1" min="16" max="16" width="12.0"/>
    <col customWidth="1" min="17" max="17" width="12.71"/>
    <col customWidth="1" min="18" max="37" width="9.29"/>
  </cols>
  <sheetData>
    <row r="1" ht="12.75" customHeight="1">
      <c r="A1" s="1"/>
      <c r="B1" s="1"/>
      <c r="C1" s="1"/>
      <c r="D1" s="1"/>
      <c r="E1" s="1"/>
      <c r="F1" s="1"/>
      <c r="G1" s="1"/>
      <c r="H1" s="1"/>
      <c r="I1" s="1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ht="15.75" customHeight="1">
      <c r="A2" s="1"/>
      <c r="B2" s="3" t="s">
        <v>0</v>
      </c>
      <c r="C2" s="4"/>
      <c r="D2" s="5"/>
      <c r="E2" s="1"/>
      <c r="F2" s="3" t="s">
        <v>1</v>
      </c>
      <c r="G2" s="4"/>
      <c r="H2" s="4"/>
      <c r="I2" s="5"/>
      <c r="J2" s="1"/>
      <c r="K2" s="1"/>
      <c r="L2" s="1"/>
      <c r="M2" s="1"/>
      <c r="N2" s="6" t="s">
        <v>2</v>
      </c>
      <c r="O2" s="4"/>
      <c r="P2" s="4"/>
      <c r="Q2" s="5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ht="12.75" customHeight="1">
      <c r="A3" s="1"/>
      <c r="B3" s="7" t="s">
        <v>3</v>
      </c>
      <c r="C3" s="8"/>
      <c r="D3" s="9">
        <v>46147.0</v>
      </c>
      <c r="E3" s="1"/>
      <c r="F3" s="7" t="s">
        <v>4</v>
      </c>
      <c r="G3" s="10"/>
      <c r="H3" s="10"/>
      <c r="I3" s="11">
        <f>TODAY()</f>
        <v>46197</v>
      </c>
      <c r="J3" s="1"/>
      <c r="K3" s="1"/>
      <c r="L3" s="1"/>
      <c r="M3" s="1"/>
      <c r="N3" s="12" t="s">
        <v>5</v>
      </c>
      <c r="O3" s="4"/>
      <c r="P3" s="13"/>
      <c r="Q3" s="14" t="s">
        <v>6</v>
      </c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ht="12.75" customHeight="1">
      <c r="A4" s="1"/>
      <c r="B4" s="15" t="s">
        <v>7</v>
      </c>
      <c r="C4" s="16"/>
      <c r="D4" s="17">
        <v>178000.0</v>
      </c>
      <c r="E4" s="1"/>
      <c r="F4" s="18" t="s">
        <v>8</v>
      </c>
      <c r="G4" s="19"/>
      <c r="H4" s="19"/>
      <c r="I4" s="20">
        <f>COUNTIFS($C$22:$C$382,"&gt;="&amp;$I$3,$F$22:$F$382,"&gt;0")</f>
        <v>358</v>
      </c>
      <c r="J4" s="1"/>
      <c r="K4" s="1"/>
      <c r="L4" s="1"/>
      <c r="M4" s="1"/>
      <c r="N4" s="21">
        <v>0.8001</v>
      </c>
      <c r="O4" s="22" t="s">
        <v>9</v>
      </c>
      <c r="P4" s="23">
        <v>0.85</v>
      </c>
      <c r="Q4" s="24">
        <v>0.0032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ht="12.75" customHeight="1">
      <c r="A5" s="1"/>
      <c r="B5" s="15" t="s">
        <v>10</v>
      </c>
      <c r="C5" s="16"/>
      <c r="D5" s="25">
        <v>0.0525</v>
      </c>
      <c r="E5" s="1"/>
      <c r="F5" s="1"/>
      <c r="G5" s="1"/>
      <c r="H5" s="1"/>
      <c r="I5" s="1"/>
      <c r="J5" s="1"/>
      <c r="K5" s="1"/>
      <c r="L5" s="1"/>
      <c r="M5" s="1"/>
      <c r="N5" s="21">
        <v>0.8501</v>
      </c>
      <c r="O5" s="22" t="s">
        <v>9</v>
      </c>
      <c r="P5" s="26">
        <v>0.9</v>
      </c>
      <c r="Q5" s="24">
        <v>0.0052</v>
      </c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ht="12.75" customHeight="1">
      <c r="A6" s="1"/>
      <c r="B6" s="15" t="s">
        <v>11</v>
      </c>
      <c r="C6" s="16"/>
      <c r="D6" s="27">
        <v>30.0</v>
      </c>
      <c r="E6" s="1"/>
      <c r="F6" s="1"/>
      <c r="G6" s="1"/>
      <c r="H6" s="1"/>
      <c r="I6" s="1"/>
      <c r="J6" s="1"/>
      <c r="K6" s="1"/>
      <c r="L6" s="1"/>
      <c r="M6" s="1"/>
      <c r="N6" s="21">
        <v>0.9001</v>
      </c>
      <c r="O6" s="22" t="s">
        <v>9</v>
      </c>
      <c r="P6" s="26">
        <v>0.95</v>
      </c>
      <c r="Q6" s="24">
        <v>0.0078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ht="12.75" customHeight="1">
      <c r="A7" s="1"/>
      <c r="B7" s="15" t="s">
        <v>12</v>
      </c>
      <c r="C7" s="16"/>
      <c r="D7" s="27">
        <v>30.0</v>
      </c>
      <c r="E7" s="1"/>
      <c r="F7" s="28"/>
      <c r="G7" s="1"/>
      <c r="H7" s="29"/>
      <c r="I7" s="1"/>
      <c r="J7" s="1"/>
      <c r="K7" s="1"/>
      <c r="L7" s="1"/>
      <c r="M7" s="30"/>
      <c r="N7" s="21">
        <v>0.9501</v>
      </c>
      <c r="O7" s="22" t="s">
        <v>9</v>
      </c>
      <c r="P7" s="26">
        <v>0.97</v>
      </c>
      <c r="Q7" s="24">
        <v>0.0096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ht="12.75" customHeight="1">
      <c r="A8" s="1"/>
      <c r="B8" s="15" t="s">
        <v>13</v>
      </c>
      <c r="C8" s="31"/>
      <c r="D8" s="27">
        <v>12.0</v>
      </c>
      <c r="E8" s="1"/>
      <c r="F8" s="1"/>
      <c r="G8" s="1"/>
      <c r="H8" s="1"/>
      <c r="I8" s="1"/>
      <c r="J8" s="1"/>
      <c r="K8" s="1"/>
      <c r="L8" s="32"/>
      <c r="M8" s="1"/>
      <c r="N8" s="33" t="s">
        <v>14</v>
      </c>
      <c r="O8" s="34"/>
      <c r="P8" s="34"/>
      <c r="Q8" s="35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ht="12.75" customHeight="1">
      <c r="A9" s="30"/>
      <c r="B9" s="36" t="s">
        <v>15</v>
      </c>
      <c r="C9" s="37"/>
      <c r="D9" s="38">
        <f>-PMT($D$5/$D$8,$D$6*$D$8,$D$4)</f>
        <v>982.9225898</v>
      </c>
      <c r="E9" s="1"/>
      <c r="F9" s="1"/>
      <c r="G9" s="1"/>
      <c r="H9" s="1"/>
      <c r="I9" s="39"/>
      <c r="J9" s="1"/>
      <c r="K9" s="1"/>
      <c r="L9" s="40"/>
      <c r="M9" s="1"/>
      <c r="N9" s="41" t="s">
        <v>16</v>
      </c>
      <c r="O9" s="42"/>
      <c r="P9" s="42"/>
      <c r="Q9" s="43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ht="12.75" customHeight="1">
      <c r="A10" s="44"/>
      <c r="B10" s="7" t="s">
        <v>17</v>
      </c>
      <c r="C10" s="10"/>
      <c r="D10" s="45">
        <v>215000.0</v>
      </c>
      <c r="E10" s="1"/>
      <c r="F10" s="1"/>
      <c r="G10" s="46" t="s">
        <v>18</v>
      </c>
      <c r="H10" s="46" t="s">
        <v>19</v>
      </c>
      <c r="I10" s="47" t="s">
        <v>20</v>
      </c>
      <c r="J10" s="1"/>
      <c r="K10" s="1"/>
      <c r="L10" s="29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ht="12.75" customHeight="1">
      <c r="A11" s="48"/>
      <c r="B11" s="15" t="s">
        <v>21</v>
      </c>
      <c r="C11" s="49"/>
      <c r="D11" s="25">
        <f>D4/D10</f>
        <v>0.8279069767</v>
      </c>
      <c r="E11" s="30"/>
      <c r="F11" s="10" t="s">
        <v>22</v>
      </c>
      <c r="G11" s="50">
        <f>SUMIF($C$23:$C$382,"&lt;"&amp;$I$3,$G$23:$G$382)</f>
        <v>1556.606745</v>
      </c>
      <c r="H11" s="50">
        <f t="shared" ref="H11:H15" si="1">I11-G11</f>
        <v>174295.5256</v>
      </c>
      <c r="I11" s="51">
        <f>G19</f>
        <v>175852.1323</v>
      </c>
      <c r="J11" s="1"/>
      <c r="K11" s="29"/>
      <c r="L11" s="1"/>
      <c r="M11" s="1"/>
      <c r="N11" s="52" t="s">
        <v>23</v>
      </c>
      <c r="O11" s="4"/>
      <c r="P11" s="4"/>
      <c r="Q11" s="5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ht="12.75" customHeight="1">
      <c r="A12" s="48"/>
      <c r="B12" s="15" t="s">
        <v>24</v>
      </c>
      <c r="C12" s="19"/>
      <c r="D12" s="53">
        <f>IFERROR($D$4*(VLOOKUP($D$11,$N$4:$Q$7,4,TRUE)/$D$8),0)</f>
        <v>47.46666667</v>
      </c>
      <c r="E12" s="30"/>
      <c r="F12" s="54" t="s">
        <v>25</v>
      </c>
      <c r="G12" s="55">
        <f>SUMIF($C$23:$C$382,"&lt;"&amp;$I$3,$F$23:$F$382)</f>
        <v>409.2384347</v>
      </c>
      <c r="H12" s="55">
        <f t="shared" si="1"/>
        <v>177590.7616</v>
      </c>
      <c r="I12" s="56">
        <f>F19</f>
        <v>178000</v>
      </c>
      <c r="J12" s="1"/>
      <c r="K12" s="1"/>
      <c r="L12" s="1"/>
      <c r="M12" s="32"/>
      <c r="N12" s="15" t="s">
        <v>26</v>
      </c>
      <c r="O12" s="49"/>
      <c r="P12" s="49"/>
      <c r="Q12" s="27">
        <v>60.0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ht="12.75" customHeight="1">
      <c r="A13" s="57"/>
      <c r="B13" s="36" t="s">
        <v>27</v>
      </c>
      <c r="C13" s="37"/>
      <c r="D13" s="58">
        <v>204.17</v>
      </c>
      <c r="E13" s="30"/>
      <c r="F13" s="59" t="s">
        <v>28</v>
      </c>
      <c r="G13" s="60">
        <f>SUMIF($C$22:$C$382,"&lt;"&amp;$I$3,$H$22:$H$382)</f>
        <v>0</v>
      </c>
      <c r="H13" s="60">
        <f t="shared" si="1"/>
        <v>0</v>
      </c>
      <c r="I13" s="61">
        <f>H19</f>
        <v>0</v>
      </c>
      <c r="J13" s="1"/>
      <c r="K13" s="1"/>
      <c r="L13" s="1"/>
      <c r="M13" s="32"/>
      <c r="N13" s="62" t="s">
        <v>29</v>
      </c>
      <c r="O13" s="62"/>
      <c r="P13" s="18"/>
      <c r="Q13" s="63">
        <f>EDATE(EOMONTH($D$3,-2)+1,Q12)</f>
        <v>47939</v>
      </c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ht="12.75" customHeight="1">
      <c r="A14" s="30"/>
      <c r="B14" s="59" t="s">
        <v>30</v>
      </c>
      <c r="C14" s="64"/>
      <c r="D14" s="65">
        <v>0.0</v>
      </c>
      <c r="E14" s="30"/>
      <c r="F14" s="66" t="s">
        <v>31</v>
      </c>
      <c r="G14" s="56">
        <f>SUMIF($C$23:$C$382,"&lt;"&amp;$I$3,$I$23:$I$382)</f>
        <v>94.93333333</v>
      </c>
      <c r="H14" s="55">
        <f t="shared" si="1"/>
        <v>2753.066667</v>
      </c>
      <c r="I14" s="67">
        <f>I19</f>
        <v>2848</v>
      </c>
      <c r="J14" s="68"/>
      <c r="K14" s="68"/>
      <c r="L14" s="1"/>
      <c r="M14" s="32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ht="12.75" customHeight="1">
      <c r="A15" s="1"/>
      <c r="B15" s="18" t="s">
        <v>32</v>
      </c>
      <c r="C15" s="31"/>
      <c r="D15" s="69">
        <v>41306.0</v>
      </c>
      <c r="E15" s="1"/>
      <c r="F15" s="70" t="s">
        <v>33</v>
      </c>
      <c r="G15" s="71">
        <f>SUMIF($C$23:$C$382,"&lt;"&amp;$I$3,$K$23:$K$382)</f>
        <v>408.34</v>
      </c>
      <c r="H15" s="72">
        <f t="shared" si="1"/>
        <v>73092.86</v>
      </c>
      <c r="I15" s="73">
        <f>K19</f>
        <v>73501.2</v>
      </c>
      <c r="J15" s="2"/>
      <c r="K15" s="2"/>
      <c r="L15" s="1"/>
      <c r="M15" s="32"/>
      <c r="N15" s="74"/>
      <c r="O15" s="74"/>
      <c r="P15" s="74"/>
      <c r="Q15" s="74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ht="12.75" customHeight="1">
      <c r="A16" s="1"/>
      <c r="B16" s="75" t="s">
        <v>34</v>
      </c>
      <c r="C16" s="76"/>
      <c r="D16" s="77">
        <f>D9+D12+D13</f>
        <v>1234.559256</v>
      </c>
      <c r="E16" s="1"/>
      <c r="F16" s="78" t="s">
        <v>20</v>
      </c>
      <c r="G16" s="79">
        <f t="shared" ref="G16:I16" si="2">SUM(G11:G15)</f>
        <v>2469.118513</v>
      </c>
      <c r="H16" s="79">
        <f t="shared" si="2"/>
        <v>427732.2138</v>
      </c>
      <c r="I16" s="80">
        <f t="shared" si="2"/>
        <v>430201.3323</v>
      </c>
      <c r="J16" s="2"/>
      <c r="K16" s="2"/>
      <c r="L16" s="1"/>
      <c r="M16" s="32"/>
      <c r="N16" s="74"/>
      <c r="O16" s="74"/>
      <c r="P16" s="74"/>
      <c r="Q16" s="74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ht="12.75" customHeight="1">
      <c r="A17" s="1"/>
      <c r="B17" s="1"/>
      <c r="C17" s="1"/>
      <c r="D17" s="1"/>
      <c r="E17" s="1"/>
      <c r="F17" s="1"/>
      <c r="G17" s="1"/>
      <c r="H17" s="1"/>
      <c r="I17" s="1"/>
      <c r="J17" s="2"/>
      <c r="K17" s="2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ht="12.75" customHeight="1">
      <c r="A18" s="1"/>
      <c r="B18" s="1"/>
      <c r="C18" s="1"/>
      <c r="D18" s="1"/>
      <c r="E18" s="1"/>
      <c r="F18" s="1"/>
      <c r="G18" s="1"/>
      <c r="H18" s="1"/>
      <c r="I18" s="1"/>
      <c r="J18" s="2"/>
      <c r="K18" s="2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ht="12.75" customHeight="1">
      <c r="A19" s="1"/>
      <c r="B19" s="81" t="s">
        <v>35</v>
      </c>
      <c r="C19" s="4"/>
      <c r="D19" s="4"/>
      <c r="E19" s="5"/>
      <c r="F19" s="82">
        <f t="shared" ref="F19:I19" si="3">SUM(F23:F382)</f>
        <v>178000</v>
      </c>
      <c r="G19" s="82">
        <f t="shared" si="3"/>
        <v>175852.1323</v>
      </c>
      <c r="H19" s="82">
        <f t="shared" si="3"/>
        <v>0</v>
      </c>
      <c r="I19" s="82">
        <f t="shared" si="3"/>
        <v>2848</v>
      </c>
      <c r="J19" s="82"/>
      <c r="K19" s="82">
        <f t="shared" ref="K19:L19" si="4">SUM(K23:K382)</f>
        <v>73501.2</v>
      </c>
      <c r="L19" s="82">
        <f t="shared" si="4"/>
        <v>430201.3323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ht="12.75" customHeight="1">
      <c r="A20" s="1"/>
      <c r="B20" s="83"/>
      <c r="C20" s="84" t="s">
        <v>36</v>
      </c>
      <c r="D20" s="85" t="s">
        <v>37</v>
      </c>
      <c r="E20" s="86"/>
      <c r="F20" s="87" t="s">
        <v>38</v>
      </c>
      <c r="G20" s="87"/>
      <c r="H20" s="87" t="s">
        <v>39</v>
      </c>
      <c r="I20" s="87" t="s">
        <v>40</v>
      </c>
      <c r="J20" s="88"/>
      <c r="K20" s="89" t="s">
        <v>41</v>
      </c>
      <c r="L20" s="87" t="s">
        <v>42</v>
      </c>
      <c r="M20" s="1"/>
      <c r="N20" s="1"/>
      <c r="O20" s="1"/>
      <c r="P20" s="1"/>
      <c r="Q20" s="90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ht="12.75" customHeight="1">
      <c r="A21" s="1"/>
      <c r="B21" s="91" t="s">
        <v>43</v>
      </c>
      <c r="C21" s="91" t="s">
        <v>44</v>
      </c>
      <c r="D21" s="92" t="s">
        <v>36</v>
      </c>
      <c r="E21" s="93"/>
      <c r="F21" s="91" t="s">
        <v>45</v>
      </c>
      <c r="G21" s="91" t="s">
        <v>22</v>
      </c>
      <c r="H21" s="91" t="s">
        <v>36</v>
      </c>
      <c r="I21" s="91" t="s">
        <v>36</v>
      </c>
      <c r="J21" s="91" t="s">
        <v>5</v>
      </c>
      <c r="K21" s="94" t="s">
        <v>46</v>
      </c>
      <c r="L21" s="91" t="s">
        <v>36</v>
      </c>
      <c r="M21" s="1"/>
      <c r="N21" s="1"/>
      <c r="O21" s="1"/>
      <c r="P21" s="1"/>
      <c r="Q21" s="90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ht="12.75" customHeight="1">
      <c r="A22" s="1"/>
      <c r="B22" s="95">
        <v>0.0</v>
      </c>
      <c r="C22" s="96"/>
      <c r="D22" s="97">
        <f>D4</f>
        <v>178000</v>
      </c>
      <c r="E22" s="97"/>
      <c r="F22" s="97"/>
      <c r="G22" s="97"/>
      <c r="H22" s="97"/>
      <c r="I22" s="97"/>
      <c r="J22" s="98"/>
      <c r="K22" s="98"/>
      <c r="L22" s="99"/>
      <c r="M22" s="1"/>
      <c r="N22" s="1"/>
      <c r="O22" s="1"/>
      <c r="P22" s="1"/>
      <c r="Q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ht="12.75" customHeight="1">
      <c r="A23" s="1"/>
      <c r="B23" s="100">
        <v>1.0</v>
      </c>
      <c r="C23" s="101">
        <f>D3</f>
        <v>46147</v>
      </c>
      <c r="D23" s="40">
        <f t="shared" ref="D23:D382" si="5">IF(D22-H22-F23&gt;=0,D22-F23-H23,0)</f>
        <v>177795.8274</v>
      </c>
      <c r="E23" s="40"/>
      <c r="F23" s="40">
        <f t="shared" ref="F23:F382" si="6">IF(D22&lt;=0,0,IF(B23&lt;=$D$7*$D$8,MIN($D$9-G23,D22),0))</f>
        <v>204.1725898</v>
      </c>
      <c r="G23" s="40">
        <f t="shared" ref="G23:G382" si="7">$D$5/$D$8*$D22</f>
        <v>778.75</v>
      </c>
      <c r="H23" s="102">
        <f t="shared" ref="H23:H382" si="8">IF(D22-F23&lt;$D$14,D22-F23,IF(D22-H22&lt;=0,D22-F23,IF($D$7*$D$8&gt;B23,IF($D$15&lt;=C23,$D$14,0),0)))</f>
        <v>0</v>
      </c>
      <c r="I23" s="103">
        <f t="shared" ref="I23:I382" si="9">IF(D22&gt;0.0001,$D$12*AND(IF(J23&gt;=78%*AND(B23&gt;$Q$12),$D$12,0)),0)</f>
        <v>47.46666667</v>
      </c>
      <c r="J23" s="104">
        <f t="shared" ref="J23:J382" si="10">$D22/$D$10</f>
        <v>0.8279069767</v>
      </c>
      <c r="K23" s="68">
        <f t="shared" ref="K23:K382" si="11">IF(D22&lt;=0,0,$D$13)</f>
        <v>204.17</v>
      </c>
      <c r="L23" s="105">
        <f t="shared" ref="L23:L382" si="12">SUM(F23:I23,K23)</f>
        <v>1234.559256</v>
      </c>
      <c r="M23" s="1"/>
      <c r="N23" s="1"/>
      <c r="O23" s="1"/>
      <c r="P23" s="1"/>
      <c r="Q23" s="40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ht="12.75" customHeight="1">
      <c r="A24" s="1"/>
      <c r="B24" s="100">
        <v>2.0</v>
      </c>
      <c r="C24" s="101">
        <f t="shared" ref="C24:C382" si="13">DATE(YEAR(C23),MONTH(C23)+12/$D$8,DAY(C23))</f>
        <v>46178</v>
      </c>
      <c r="D24" s="40">
        <f t="shared" si="5"/>
        <v>177590.7616</v>
      </c>
      <c r="E24" s="40"/>
      <c r="F24" s="40">
        <f t="shared" si="6"/>
        <v>205.0658449</v>
      </c>
      <c r="G24" s="40">
        <f t="shared" si="7"/>
        <v>777.8567449</v>
      </c>
      <c r="H24" s="102">
        <f t="shared" si="8"/>
        <v>0</v>
      </c>
      <c r="I24" s="103">
        <f t="shared" si="9"/>
        <v>47.46666667</v>
      </c>
      <c r="J24" s="104">
        <f t="shared" si="10"/>
        <v>0.8269573368</v>
      </c>
      <c r="K24" s="68">
        <f t="shared" si="11"/>
        <v>204.17</v>
      </c>
      <c r="L24" s="105">
        <f t="shared" si="12"/>
        <v>1234.559256</v>
      </c>
      <c r="M24" s="1"/>
      <c r="N24" s="1"/>
      <c r="O24" s="1"/>
      <c r="P24" s="1"/>
      <c r="Q24" s="40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ht="12.75" customHeight="1">
      <c r="A25" s="1"/>
      <c r="B25" s="100">
        <v>3.0</v>
      </c>
      <c r="C25" s="101">
        <f t="shared" si="13"/>
        <v>46208</v>
      </c>
      <c r="D25" s="40">
        <f t="shared" si="5"/>
        <v>177384.7986</v>
      </c>
      <c r="E25" s="40"/>
      <c r="F25" s="40">
        <f t="shared" si="6"/>
        <v>205.963008</v>
      </c>
      <c r="G25" s="40">
        <f t="shared" si="7"/>
        <v>776.9595818</v>
      </c>
      <c r="H25" s="102">
        <f t="shared" si="8"/>
        <v>0</v>
      </c>
      <c r="I25" s="103">
        <f t="shared" si="9"/>
        <v>47.46666667</v>
      </c>
      <c r="J25" s="104">
        <f t="shared" si="10"/>
        <v>0.8260035422</v>
      </c>
      <c r="K25" s="68">
        <f t="shared" si="11"/>
        <v>204.17</v>
      </c>
      <c r="L25" s="105">
        <f t="shared" si="12"/>
        <v>1234.559256</v>
      </c>
      <c r="M25" s="1"/>
      <c r="N25" s="1"/>
      <c r="O25" s="1"/>
      <c r="P25" s="1"/>
      <c r="Q25" s="40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ht="12.75" customHeight="1">
      <c r="A26" s="1"/>
      <c r="B26" s="100">
        <v>4.0</v>
      </c>
      <c r="C26" s="101">
        <f t="shared" si="13"/>
        <v>46239</v>
      </c>
      <c r="D26" s="40">
        <f t="shared" si="5"/>
        <v>177177.9345</v>
      </c>
      <c r="E26" s="40"/>
      <c r="F26" s="40">
        <f t="shared" si="6"/>
        <v>206.8640961</v>
      </c>
      <c r="G26" s="40">
        <f t="shared" si="7"/>
        <v>776.0584937</v>
      </c>
      <c r="H26" s="102">
        <f t="shared" si="8"/>
        <v>0</v>
      </c>
      <c r="I26" s="103">
        <f t="shared" si="9"/>
        <v>47.46666667</v>
      </c>
      <c r="J26" s="104">
        <f t="shared" si="10"/>
        <v>0.8250455747</v>
      </c>
      <c r="K26" s="68">
        <f t="shared" si="11"/>
        <v>204.17</v>
      </c>
      <c r="L26" s="105">
        <f t="shared" si="12"/>
        <v>1234.559256</v>
      </c>
      <c r="M26" s="1"/>
      <c r="N26" s="1"/>
      <c r="O26" s="1"/>
      <c r="P26" s="1"/>
      <c r="Q26" s="40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ht="12.75" customHeight="1">
      <c r="A27" s="1"/>
      <c r="B27" s="100">
        <v>5.0</v>
      </c>
      <c r="C27" s="101">
        <f t="shared" si="13"/>
        <v>46270</v>
      </c>
      <c r="D27" s="40">
        <f t="shared" si="5"/>
        <v>176970.1653</v>
      </c>
      <c r="E27" s="40"/>
      <c r="F27" s="40">
        <f t="shared" si="6"/>
        <v>207.7691265</v>
      </c>
      <c r="G27" s="40">
        <f t="shared" si="7"/>
        <v>775.1534633</v>
      </c>
      <c r="H27" s="102">
        <f t="shared" si="8"/>
        <v>0</v>
      </c>
      <c r="I27" s="103">
        <f t="shared" si="9"/>
        <v>47.46666667</v>
      </c>
      <c r="J27" s="104">
        <f t="shared" si="10"/>
        <v>0.8240834161</v>
      </c>
      <c r="K27" s="68">
        <f t="shared" si="11"/>
        <v>204.17</v>
      </c>
      <c r="L27" s="105">
        <f t="shared" si="12"/>
        <v>1234.559256</v>
      </c>
      <c r="M27" s="1"/>
      <c r="N27" s="1"/>
      <c r="O27" s="1"/>
      <c r="P27" s="1"/>
      <c r="Q27" s="40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ht="12.75" customHeight="1">
      <c r="A28" s="1"/>
      <c r="B28" s="100">
        <v>6.0</v>
      </c>
      <c r="C28" s="101">
        <f t="shared" si="13"/>
        <v>46300</v>
      </c>
      <c r="D28" s="40">
        <f t="shared" si="5"/>
        <v>176761.4872</v>
      </c>
      <c r="E28" s="40"/>
      <c r="F28" s="40">
        <f t="shared" si="6"/>
        <v>208.6781165</v>
      </c>
      <c r="G28" s="40">
        <f t="shared" si="7"/>
        <v>774.2444733</v>
      </c>
      <c r="H28" s="102">
        <f t="shared" si="8"/>
        <v>0</v>
      </c>
      <c r="I28" s="103">
        <f t="shared" si="9"/>
        <v>47.46666667</v>
      </c>
      <c r="J28" s="104">
        <f t="shared" si="10"/>
        <v>0.8231170481</v>
      </c>
      <c r="K28" s="68">
        <f t="shared" si="11"/>
        <v>204.17</v>
      </c>
      <c r="L28" s="105">
        <f t="shared" si="12"/>
        <v>1234.559256</v>
      </c>
      <c r="M28" s="1"/>
      <c r="N28" s="1"/>
      <c r="O28" s="1"/>
      <c r="P28" s="1"/>
      <c r="Q28" s="40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ht="12.75" customHeight="1">
      <c r="A29" s="1"/>
      <c r="B29" s="100">
        <v>7.0</v>
      </c>
      <c r="C29" s="101">
        <f t="shared" si="13"/>
        <v>46331</v>
      </c>
      <c r="D29" s="40">
        <f t="shared" si="5"/>
        <v>176551.8961</v>
      </c>
      <c r="E29" s="40"/>
      <c r="F29" s="40">
        <f t="shared" si="6"/>
        <v>209.5910832</v>
      </c>
      <c r="G29" s="40">
        <f t="shared" si="7"/>
        <v>773.3315066</v>
      </c>
      <c r="H29" s="102">
        <f t="shared" si="8"/>
        <v>0</v>
      </c>
      <c r="I29" s="103">
        <f t="shared" si="9"/>
        <v>47.46666667</v>
      </c>
      <c r="J29" s="104">
        <f t="shared" si="10"/>
        <v>0.8221464522</v>
      </c>
      <c r="K29" s="68">
        <f t="shared" si="11"/>
        <v>204.17</v>
      </c>
      <c r="L29" s="105">
        <f t="shared" si="12"/>
        <v>1234.559256</v>
      </c>
      <c r="M29" s="1"/>
      <c r="N29" s="1"/>
      <c r="O29" s="1"/>
      <c r="P29" s="1"/>
      <c r="Q29" s="40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ht="12.75" customHeight="1">
      <c r="A30" s="1"/>
      <c r="B30" s="100">
        <v>8.0</v>
      </c>
      <c r="C30" s="101">
        <f t="shared" si="13"/>
        <v>46361</v>
      </c>
      <c r="D30" s="40">
        <f t="shared" si="5"/>
        <v>176341.3881</v>
      </c>
      <c r="E30" s="40"/>
      <c r="F30" s="40">
        <f t="shared" si="6"/>
        <v>210.5080442</v>
      </c>
      <c r="G30" s="40">
        <f t="shared" si="7"/>
        <v>772.4145456</v>
      </c>
      <c r="H30" s="102">
        <f t="shared" si="8"/>
        <v>0</v>
      </c>
      <c r="I30" s="103">
        <f t="shared" si="9"/>
        <v>47.46666667</v>
      </c>
      <c r="J30" s="104">
        <f t="shared" si="10"/>
        <v>0.8211716099</v>
      </c>
      <c r="K30" s="68">
        <f t="shared" si="11"/>
        <v>204.17</v>
      </c>
      <c r="L30" s="105">
        <f t="shared" si="12"/>
        <v>1234.559256</v>
      </c>
      <c r="M30" s="1"/>
      <c r="N30" s="1"/>
      <c r="O30" s="1"/>
      <c r="P30" s="1"/>
      <c r="Q30" s="40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ht="12.75" customHeight="1">
      <c r="A31" s="1"/>
      <c r="B31" s="100">
        <v>9.0</v>
      </c>
      <c r="C31" s="101">
        <f t="shared" si="13"/>
        <v>46392</v>
      </c>
      <c r="D31" s="40">
        <f t="shared" si="5"/>
        <v>176129.9591</v>
      </c>
      <c r="E31" s="40"/>
      <c r="F31" s="40">
        <f t="shared" si="6"/>
        <v>211.4290169</v>
      </c>
      <c r="G31" s="40">
        <f t="shared" si="7"/>
        <v>771.4935729</v>
      </c>
      <c r="H31" s="102">
        <f t="shared" si="8"/>
        <v>0</v>
      </c>
      <c r="I31" s="103">
        <f t="shared" si="9"/>
        <v>47.46666667</v>
      </c>
      <c r="J31" s="104">
        <f t="shared" si="10"/>
        <v>0.8201925027</v>
      </c>
      <c r="K31" s="68">
        <f t="shared" si="11"/>
        <v>204.17</v>
      </c>
      <c r="L31" s="105">
        <f t="shared" si="12"/>
        <v>1234.559256</v>
      </c>
      <c r="M31" s="1"/>
      <c r="N31" s="1"/>
      <c r="O31" s="1"/>
      <c r="P31" s="1"/>
      <c r="Q31" s="40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ht="12.75" customHeight="1">
      <c r="A32" s="1"/>
      <c r="B32" s="100">
        <v>10.0</v>
      </c>
      <c r="C32" s="101">
        <f t="shared" si="13"/>
        <v>46423</v>
      </c>
      <c r="D32" s="40">
        <f t="shared" si="5"/>
        <v>175917.6051</v>
      </c>
      <c r="E32" s="40"/>
      <c r="F32" s="40">
        <f t="shared" si="6"/>
        <v>212.3540189</v>
      </c>
      <c r="G32" s="40">
        <f t="shared" si="7"/>
        <v>770.5685709</v>
      </c>
      <c r="H32" s="102">
        <f t="shared" si="8"/>
        <v>0</v>
      </c>
      <c r="I32" s="103">
        <f t="shared" si="9"/>
        <v>47.46666667</v>
      </c>
      <c r="J32" s="104">
        <f t="shared" si="10"/>
        <v>0.819209112</v>
      </c>
      <c r="K32" s="68">
        <f t="shared" si="11"/>
        <v>204.17</v>
      </c>
      <c r="L32" s="105">
        <f t="shared" si="12"/>
        <v>1234.559256</v>
      </c>
      <c r="M32" s="1"/>
      <c r="N32" s="1"/>
      <c r="O32" s="1"/>
      <c r="P32" s="1"/>
      <c r="Q32" s="40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ht="12.75" customHeight="1">
      <c r="A33" s="1"/>
      <c r="B33" s="100">
        <v>11.0</v>
      </c>
      <c r="C33" s="101">
        <f t="shared" si="13"/>
        <v>46451</v>
      </c>
      <c r="D33" s="40">
        <f t="shared" si="5"/>
        <v>175704.322</v>
      </c>
      <c r="E33" s="40"/>
      <c r="F33" s="40">
        <f t="shared" si="6"/>
        <v>213.2830677</v>
      </c>
      <c r="G33" s="40">
        <f t="shared" si="7"/>
        <v>769.6395221</v>
      </c>
      <c r="H33" s="102">
        <f t="shared" si="8"/>
        <v>0</v>
      </c>
      <c r="I33" s="103">
        <f t="shared" si="9"/>
        <v>47.46666667</v>
      </c>
      <c r="J33" s="104">
        <f t="shared" si="10"/>
        <v>0.8182214189</v>
      </c>
      <c r="K33" s="68">
        <f t="shared" si="11"/>
        <v>204.17</v>
      </c>
      <c r="L33" s="105">
        <f t="shared" si="12"/>
        <v>1234.559256</v>
      </c>
      <c r="M33" s="1"/>
      <c r="N33" s="1"/>
      <c r="O33" s="1"/>
      <c r="P33" s="1"/>
      <c r="Q33" s="40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ht="12.75" customHeight="1">
      <c r="A34" s="1"/>
      <c r="B34" s="100">
        <v>12.0</v>
      </c>
      <c r="C34" s="101">
        <f t="shared" si="13"/>
        <v>46482</v>
      </c>
      <c r="D34" s="40">
        <f t="shared" si="5"/>
        <v>175490.1058</v>
      </c>
      <c r="E34" s="40"/>
      <c r="F34" s="40">
        <f t="shared" si="6"/>
        <v>214.2161811</v>
      </c>
      <c r="G34" s="40">
        <f t="shared" si="7"/>
        <v>768.7064087</v>
      </c>
      <c r="H34" s="102">
        <f t="shared" si="8"/>
        <v>0</v>
      </c>
      <c r="I34" s="103">
        <f t="shared" si="9"/>
        <v>47.46666667</v>
      </c>
      <c r="J34" s="104">
        <f t="shared" si="10"/>
        <v>0.8172294046</v>
      </c>
      <c r="K34" s="68">
        <f t="shared" si="11"/>
        <v>204.17</v>
      </c>
      <c r="L34" s="105">
        <f t="shared" si="12"/>
        <v>1234.559256</v>
      </c>
      <c r="M34" s="1"/>
      <c r="N34" s="1"/>
      <c r="O34" s="1"/>
      <c r="P34" s="1"/>
      <c r="Q34" s="40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ht="12.75" customHeight="1">
      <c r="A35" s="1"/>
      <c r="B35" s="100">
        <v>13.0</v>
      </c>
      <c r="C35" s="101">
        <f t="shared" si="13"/>
        <v>46512</v>
      </c>
      <c r="D35" s="40">
        <f t="shared" si="5"/>
        <v>175274.9524</v>
      </c>
      <c r="E35" s="40"/>
      <c r="F35" s="40">
        <f t="shared" si="6"/>
        <v>215.1533769</v>
      </c>
      <c r="G35" s="40">
        <f t="shared" si="7"/>
        <v>767.7692129</v>
      </c>
      <c r="H35" s="102">
        <f t="shared" si="8"/>
        <v>0</v>
      </c>
      <c r="I35" s="103">
        <f t="shared" si="9"/>
        <v>47.46666667</v>
      </c>
      <c r="J35" s="104">
        <f t="shared" si="10"/>
        <v>0.8162330503</v>
      </c>
      <c r="K35" s="68">
        <f t="shared" si="11"/>
        <v>204.17</v>
      </c>
      <c r="L35" s="105">
        <f t="shared" si="12"/>
        <v>1234.559256</v>
      </c>
      <c r="M35" s="1"/>
      <c r="N35" s="1"/>
      <c r="O35" s="1"/>
      <c r="P35" s="1"/>
      <c r="Q35" s="40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ht="12.75" customHeight="1">
      <c r="A36" s="1"/>
      <c r="B36" s="100">
        <v>14.0</v>
      </c>
      <c r="C36" s="101">
        <f t="shared" si="13"/>
        <v>46543</v>
      </c>
      <c r="D36" s="40">
        <f t="shared" si="5"/>
        <v>175058.8578</v>
      </c>
      <c r="E36" s="40"/>
      <c r="F36" s="40">
        <f t="shared" si="6"/>
        <v>216.0946729</v>
      </c>
      <c r="G36" s="40">
        <f t="shared" si="7"/>
        <v>766.8279169</v>
      </c>
      <c r="H36" s="102">
        <f t="shared" si="8"/>
        <v>0</v>
      </c>
      <c r="I36" s="103">
        <f t="shared" si="9"/>
        <v>47.46666667</v>
      </c>
      <c r="J36" s="104">
        <f t="shared" si="10"/>
        <v>0.8152323369</v>
      </c>
      <c r="K36" s="68">
        <f t="shared" si="11"/>
        <v>204.17</v>
      </c>
      <c r="L36" s="105">
        <f t="shared" si="12"/>
        <v>1234.559256</v>
      </c>
      <c r="M36" s="1"/>
      <c r="N36" s="1"/>
      <c r="O36" s="1"/>
      <c r="P36" s="1"/>
      <c r="Q36" s="40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ht="12.75" customHeight="1">
      <c r="A37" s="1"/>
      <c r="B37" s="100">
        <v>15.0</v>
      </c>
      <c r="C37" s="101">
        <f t="shared" si="13"/>
        <v>46573</v>
      </c>
      <c r="D37" s="40">
        <f t="shared" si="5"/>
        <v>174841.8177</v>
      </c>
      <c r="E37" s="40"/>
      <c r="F37" s="40">
        <f t="shared" si="6"/>
        <v>217.0400871</v>
      </c>
      <c r="G37" s="40">
        <f t="shared" si="7"/>
        <v>765.8825027</v>
      </c>
      <c r="H37" s="102">
        <f t="shared" si="8"/>
        <v>0</v>
      </c>
      <c r="I37" s="103">
        <f t="shared" si="9"/>
        <v>47.46666667</v>
      </c>
      <c r="J37" s="104">
        <f t="shared" si="10"/>
        <v>0.8142272454</v>
      </c>
      <c r="K37" s="68">
        <f t="shared" si="11"/>
        <v>204.17</v>
      </c>
      <c r="L37" s="105">
        <f t="shared" si="12"/>
        <v>1234.559256</v>
      </c>
      <c r="M37" s="1"/>
      <c r="N37" s="1"/>
      <c r="O37" s="1"/>
      <c r="P37" s="1"/>
      <c r="Q37" s="40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ht="12.75" customHeight="1">
      <c r="A38" s="106"/>
      <c r="B38" s="107">
        <v>16.0</v>
      </c>
      <c r="C38" s="108">
        <f t="shared" si="13"/>
        <v>46604</v>
      </c>
      <c r="D38" s="40">
        <f t="shared" si="5"/>
        <v>174623.828</v>
      </c>
      <c r="E38" s="109"/>
      <c r="F38" s="40">
        <f t="shared" si="6"/>
        <v>217.9896375</v>
      </c>
      <c r="G38" s="40">
        <f t="shared" si="7"/>
        <v>764.9329523</v>
      </c>
      <c r="H38" s="102">
        <f t="shared" si="8"/>
        <v>0</v>
      </c>
      <c r="I38" s="103">
        <f t="shared" si="9"/>
        <v>47.46666667</v>
      </c>
      <c r="J38" s="110">
        <f t="shared" si="10"/>
        <v>0.8132177566</v>
      </c>
      <c r="K38" s="68">
        <f t="shared" si="11"/>
        <v>204.17</v>
      </c>
      <c r="L38" s="105">
        <f t="shared" si="12"/>
        <v>1234.559256</v>
      </c>
      <c r="M38" s="106"/>
      <c r="N38" s="106"/>
      <c r="O38" s="106"/>
      <c r="P38" s="106"/>
      <c r="Q38" s="109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</row>
    <row r="39" ht="12.75" customHeight="1">
      <c r="A39" s="1"/>
      <c r="B39" s="100">
        <v>17.0</v>
      </c>
      <c r="C39" s="101">
        <f t="shared" si="13"/>
        <v>46635</v>
      </c>
      <c r="D39" s="40">
        <f t="shared" si="5"/>
        <v>174404.8847</v>
      </c>
      <c r="E39" s="40"/>
      <c r="F39" s="40">
        <f t="shared" si="6"/>
        <v>218.9433422</v>
      </c>
      <c r="G39" s="40">
        <f t="shared" si="7"/>
        <v>763.9792476</v>
      </c>
      <c r="H39" s="102">
        <f t="shared" si="8"/>
        <v>0</v>
      </c>
      <c r="I39" s="103">
        <f t="shared" si="9"/>
        <v>47.46666667</v>
      </c>
      <c r="J39" s="104">
        <f t="shared" si="10"/>
        <v>0.8122038513</v>
      </c>
      <c r="K39" s="68">
        <f t="shared" si="11"/>
        <v>204.17</v>
      </c>
      <c r="L39" s="105">
        <f t="shared" si="12"/>
        <v>1234.559256</v>
      </c>
      <c r="M39" s="1"/>
      <c r="N39" s="1"/>
      <c r="O39" s="1"/>
      <c r="P39" s="1"/>
      <c r="Q39" s="40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ht="12.75" customHeight="1">
      <c r="A40" s="1"/>
      <c r="B40" s="100">
        <v>18.0</v>
      </c>
      <c r="C40" s="101">
        <f t="shared" si="13"/>
        <v>46665</v>
      </c>
      <c r="D40" s="40">
        <f t="shared" si="5"/>
        <v>174184.9835</v>
      </c>
      <c r="E40" s="40"/>
      <c r="F40" s="40">
        <f t="shared" si="6"/>
        <v>219.9012193</v>
      </c>
      <c r="G40" s="40">
        <f t="shared" si="7"/>
        <v>763.0213705</v>
      </c>
      <c r="H40" s="102">
        <f t="shared" si="8"/>
        <v>0</v>
      </c>
      <c r="I40" s="103">
        <f t="shared" si="9"/>
        <v>47.46666667</v>
      </c>
      <c r="J40" s="104">
        <f t="shared" si="10"/>
        <v>0.8111855102</v>
      </c>
      <c r="K40" s="68">
        <f t="shared" si="11"/>
        <v>204.17</v>
      </c>
      <c r="L40" s="105">
        <f t="shared" si="12"/>
        <v>1234.559256</v>
      </c>
      <c r="M40" s="1"/>
      <c r="N40" s="1"/>
      <c r="O40" s="1"/>
      <c r="P40" s="1"/>
      <c r="Q40" s="40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ht="12.75" customHeight="1">
      <c r="A41" s="1"/>
      <c r="B41" s="100">
        <v>19.0</v>
      </c>
      <c r="C41" s="101">
        <f t="shared" si="13"/>
        <v>46696</v>
      </c>
      <c r="D41" s="40">
        <f t="shared" si="5"/>
        <v>173964.1202</v>
      </c>
      <c r="E41" s="40"/>
      <c r="F41" s="40">
        <f t="shared" si="6"/>
        <v>220.8632871</v>
      </c>
      <c r="G41" s="40">
        <f t="shared" si="7"/>
        <v>762.0593027</v>
      </c>
      <c r="H41" s="102">
        <f t="shared" si="8"/>
        <v>0</v>
      </c>
      <c r="I41" s="103">
        <f t="shared" si="9"/>
        <v>47.46666667</v>
      </c>
      <c r="J41" s="104">
        <f t="shared" si="10"/>
        <v>0.8101627138</v>
      </c>
      <c r="K41" s="68">
        <f t="shared" si="11"/>
        <v>204.17</v>
      </c>
      <c r="L41" s="105">
        <f t="shared" si="12"/>
        <v>1234.559256</v>
      </c>
      <c r="M41" s="1"/>
      <c r="N41" s="1"/>
      <c r="O41" s="1"/>
      <c r="P41" s="1"/>
      <c r="Q41" s="40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ht="12.75" customHeight="1">
      <c r="A42" s="1"/>
      <c r="B42" s="100">
        <v>20.0</v>
      </c>
      <c r="C42" s="101">
        <f t="shared" si="13"/>
        <v>46726</v>
      </c>
      <c r="D42" s="40">
        <f t="shared" si="5"/>
        <v>173742.2906</v>
      </c>
      <c r="E42" s="40"/>
      <c r="F42" s="40">
        <f t="shared" si="6"/>
        <v>221.829564</v>
      </c>
      <c r="G42" s="40">
        <f t="shared" si="7"/>
        <v>761.0930258</v>
      </c>
      <c r="H42" s="102">
        <f t="shared" si="8"/>
        <v>0</v>
      </c>
      <c r="I42" s="103">
        <f t="shared" si="9"/>
        <v>47.46666667</v>
      </c>
      <c r="J42" s="104">
        <f t="shared" si="10"/>
        <v>0.8091354427</v>
      </c>
      <c r="K42" s="68">
        <f t="shared" si="11"/>
        <v>204.17</v>
      </c>
      <c r="L42" s="105">
        <f t="shared" si="12"/>
        <v>1234.559256</v>
      </c>
      <c r="M42" s="1"/>
      <c r="N42" s="1"/>
      <c r="O42" s="1"/>
      <c r="P42" s="1"/>
      <c r="Q42" s="40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ht="12.75" customHeight="1">
      <c r="A43" s="1"/>
      <c r="B43" s="100">
        <v>21.0</v>
      </c>
      <c r="C43" s="101">
        <f t="shared" si="13"/>
        <v>46757</v>
      </c>
      <c r="D43" s="40">
        <f t="shared" si="5"/>
        <v>173519.4906</v>
      </c>
      <c r="E43" s="40"/>
      <c r="F43" s="40">
        <f t="shared" si="6"/>
        <v>222.8000684</v>
      </c>
      <c r="G43" s="40">
        <f t="shared" si="7"/>
        <v>760.1225215</v>
      </c>
      <c r="H43" s="102">
        <f t="shared" si="8"/>
        <v>0</v>
      </c>
      <c r="I43" s="103">
        <f t="shared" si="9"/>
        <v>47.46666667</v>
      </c>
      <c r="J43" s="104">
        <f t="shared" si="10"/>
        <v>0.8081036773</v>
      </c>
      <c r="K43" s="68">
        <f t="shared" si="11"/>
        <v>204.17</v>
      </c>
      <c r="L43" s="105">
        <f t="shared" si="12"/>
        <v>1234.559256</v>
      </c>
      <c r="M43" s="1"/>
      <c r="N43" s="1"/>
      <c r="O43" s="1"/>
      <c r="P43" s="1"/>
      <c r="Q43" s="40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ht="12.75" customHeight="1">
      <c r="A44" s="1"/>
      <c r="B44" s="100">
        <v>22.0</v>
      </c>
      <c r="C44" s="101">
        <f t="shared" si="13"/>
        <v>46788</v>
      </c>
      <c r="D44" s="40">
        <f t="shared" si="5"/>
        <v>173295.7157</v>
      </c>
      <c r="E44" s="40"/>
      <c r="F44" s="40">
        <f t="shared" si="6"/>
        <v>223.7748187</v>
      </c>
      <c r="G44" s="40">
        <f t="shared" si="7"/>
        <v>759.1477712</v>
      </c>
      <c r="H44" s="102">
        <f t="shared" si="8"/>
        <v>0</v>
      </c>
      <c r="I44" s="103">
        <f t="shared" si="9"/>
        <v>47.46666667</v>
      </c>
      <c r="J44" s="104">
        <f t="shared" si="10"/>
        <v>0.8070673979</v>
      </c>
      <c r="K44" s="68">
        <f t="shared" si="11"/>
        <v>204.17</v>
      </c>
      <c r="L44" s="105">
        <f t="shared" si="12"/>
        <v>1234.559256</v>
      </c>
      <c r="M44" s="1"/>
      <c r="N44" s="1"/>
      <c r="O44" s="1"/>
      <c r="P44" s="1"/>
      <c r="Q44" s="40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ht="12.75" customHeight="1">
      <c r="A45" s="1"/>
      <c r="B45" s="100">
        <v>23.0</v>
      </c>
      <c r="C45" s="101">
        <f t="shared" si="13"/>
        <v>46817</v>
      </c>
      <c r="D45" s="40">
        <f t="shared" si="5"/>
        <v>173070.9619</v>
      </c>
      <c r="E45" s="40"/>
      <c r="F45" s="40">
        <f t="shared" si="6"/>
        <v>224.7538335</v>
      </c>
      <c r="G45" s="40">
        <f t="shared" si="7"/>
        <v>758.1687563</v>
      </c>
      <c r="H45" s="102">
        <f t="shared" si="8"/>
        <v>0</v>
      </c>
      <c r="I45" s="103">
        <f t="shared" si="9"/>
        <v>47.46666667</v>
      </c>
      <c r="J45" s="104">
        <f t="shared" si="10"/>
        <v>0.8060265848</v>
      </c>
      <c r="K45" s="68">
        <f t="shared" si="11"/>
        <v>204.17</v>
      </c>
      <c r="L45" s="105">
        <f t="shared" si="12"/>
        <v>1234.559256</v>
      </c>
      <c r="M45" s="1"/>
      <c r="N45" s="1"/>
      <c r="O45" s="1"/>
      <c r="P45" s="1"/>
      <c r="Q45" s="40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ht="12.75" customHeight="1">
      <c r="A46" s="1"/>
      <c r="B46" s="100">
        <v>24.0</v>
      </c>
      <c r="C46" s="101">
        <f t="shared" si="13"/>
        <v>46848</v>
      </c>
      <c r="D46" s="40">
        <f t="shared" si="5"/>
        <v>172845.2248</v>
      </c>
      <c r="E46" s="40"/>
      <c r="F46" s="40">
        <f t="shared" si="6"/>
        <v>225.7371315</v>
      </c>
      <c r="G46" s="40">
        <f t="shared" si="7"/>
        <v>757.1854583</v>
      </c>
      <c r="H46" s="102">
        <f t="shared" si="8"/>
        <v>0</v>
      </c>
      <c r="I46" s="103">
        <f t="shared" si="9"/>
        <v>47.46666667</v>
      </c>
      <c r="J46" s="104">
        <f t="shared" si="10"/>
        <v>0.8049812181</v>
      </c>
      <c r="K46" s="68">
        <f t="shared" si="11"/>
        <v>204.17</v>
      </c>
      <c r="L46" s="105">
        <f t="shared" si="12"/>
        <v>1234.559256</v>
      </c>
      <c r="M46" s="1"/>
      <c r="N46" s="1"/>
      <c r="O46" s="1"/>
      <c r="P46" s="1"/>
      <c r="Q46" s="40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ht="12.75" customHeight="1">
      <c r="A47" s="1"/>
      <c r="B47" s="100">
        <v>25.0</v>
      </c>
      <c r="C47" s="101">
        <f t="shared" si="13"/>
        <v>46878</v>
      </c>
      <c r="D47" s="40">
        <f t="shared" si="5"/>
        <v>172618.5</v>
      </c>
      <c r="E47" s="40"/>
      <c r="F47" s="40">
        <f t="shared" si="6"/>
        <v>226.7247315</v>
      </c>
      <c r="G47" s="40">
        <f t="shared" si="7"/>
        <v>756.1978584</v>
      </c>
      <c r="H47" s="102">
        <f t="shared" si="8"/>
        <v>0</v>
      </c>
      <c r="I47" s="103">
        <f t="shared" si="9"/>
        <v>47.46666667</v>
      </c>
      <c r="J47" s="104">
        <f t="shared" si="10"/>
        <v>0.803931278</v>
      </c>
      <c r="K47" s="68">
        <f t="shared" si="11"/>
        <v>204.17</v>
      </c>
      <c r="L47" s="105">
        <f t="shared" si="12"/>
        <v>1234.559256</v>
      </c>
      <c r="M47" s="1"/>
      <c r="N47" s="1"/>
      <c r="O47" s="1"/>
      <c r="P47" s="1"/>
      <c r="Q47" s="40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ht="12.75" customHeight="1">
      <c r="A48" s="1"/>
      <c r="B48" s="100">
        <v>26.0</v>
      </c>
      <c r="C48" s="101">
        <f t="shared" si="13"/>
        <v>46909</v>
      </c>
      <c r="D48" s="40">
        <f t="shared" si="5"/>
        <v>172390.7834</v>
      </c>
      <c r="E48" s="40"/>
      <c r="F48" s="40">
        <f t="shared" si="6"/>
        <v>227.7166522</v>
      </c>
      <c r="G48" s="40">
        <f t="shared" si="7"/>
        <v>755.2059377</v>
      </c>
      <c r="H48" s="102">
        <f t="shared" si="8"/>
        <v>0</v>
      </c>
      <c r="I48" s="103">
        <f t="shared" si="9"/>
        <v>47.46666667</v>
      </c>
      <c r="J48" s="104">
        <f t="shared" si="10"/>
        <v>0.8028767444</v>
      </c>
      <c r="K48" s="68">
        <f t="shared" si="11"/>
        <v>204.17</v>
      </c>
      <c r="L48" s="105">
        <f t="shared" si="12"/>
        <v>1234.559256</v>
      </c>
      <c r="M48" s="1"/>
      <c r="N48" s="1"/>
      <c r="O48" s="1"/>
      <c r="P48" s="1"/>
      <c r="Q48" s="40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ht="12.75" customHeight="1">
      <c r="A49" s="1"/>
      <c r="B49" s="100">
        <v>27.0</v>
      </c>
      <c r="C49" s="101">
        <f t="shared" si="13"/>
        <v>46939</v>
      </c>
      <c r="D49" s="40">
        <f t="shared" si="5"/>
        <v>172162.0705</v>
      </c>
      <c r="E49" s="40"/>
      <c r="F49" s="40">
        <f t="shared" si="6"/>
        <v>228.7129125</v>
      </c>
      <c r="G49" s="40">
        <f t="shared" si="7"/>
        <v>754.2096773</v>
      </c>
      <c r="H49" s="102">
        <f t="shared" si="8"/>
        <v>0</v>
      </c>
      <c r="I49" s="103">
        <f t="shared" si="9"/>
        <v>47.46666667</v>
      </c>
      <c r="J49" s="104">
        <f t="shared" si="10"/>
        <v>0.8018175971</v>
      </c>
      <c r="K49" s="68">
        <f t="shared" si="11"/>
        <v>204.17</v>
      </c>
      <c r="L49" s="105">
        <f t="shared" si="12"/>
        <v>1234.559256</v>
      </c>
      <c r="M49" s="1"/>
      <c r="N49" s="1"/>
      <c r="O49" s="1"/>
      <c r="P49" s="1"/>
      <c r="Q49" s="40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ht="12.75" customHeight="1">
      <c r="A50" s="1"/>
      <c r="B50" s="100">
        <v>28.0</v>
      </c>
      <c r="C50" s="101">
        <f t="shared" si="13"/>
        <v>46970</v>
      </c>
      <c r="D50" s="40">
        <f t="shared" si="5"/>
        <v>171932.3569</v>
      </c>
      <c r="E50" s="40"/>
      <c r="F50" s="40">
        <f t="shared" si="6"/>
        <v>229.7135315</v>
      </c>
      <c r="G50" s="40">
        <f t="shared" si="7"/>
        <v>753.2090583</v>
      </c>
      <c r="H50" s="102">
        <f t="shared" si="8"/>
        <v>0</v>
      </c>
      <c r="I50" s="103">
        <f t="shared" si="9"/>
        <v>47.46666667</v>
      </c>
      <c r="J50" s="104">
        <f t="shared" si="10"/>
        <v>0.8007538161</v>
      </c>
      <c r="K50" s="68">
        <f t="shared" si="11"/>
        <v>204.17</v>
      </c>
      <c r="L50" s="105">
        <f t="shared" si="12"/>
        <v>1234.559256</v>
      </c>
      <c r="M50" s="1"/>
      <c r="N50" s="1"/>
      <c r="O50" s="1"/>
      <c r="P50" s="1"/>
      <c r="Q50" s="40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ht="12.75" customHeight="1">
      <c r="A51" s="1"/>
      <c r="B51" s="100">
        <v>29.0</v>
      </c>
      <c r="C51" s="101">
        <f t="shared" si="13"/>
        <v>47001</v>
      </c>
      <c r="D51" s="40">
        <f t="shared" si="5"/>
        <v>171701.6384</v>
      </c>
      <c r="E51" s="40"/>
      <c r="F51" s="40">
        <f t="shared" si="6"/>
        <v>230.7185282</v>
      </c>
      <c r="G51" s="40">
        <f t="shared" si="7"/>
        <v>752.2040616</v>
      </c>
      <c r="H51" s="102">
        <f t="shared" si="8"/>
        <v>0</v>
      </c>
      <c r="I51" s="103">
        <f t="shared" si="9"/>
        <v>47.46666667</v>
      </c>
      <c r="J51" s="104">
        <f t="shared" si="10"/>
        <v>0.7996853811</v>
      </c>
      <c r="K51" s="68">
        <f t="shared" si="11"/>
        <v>204.17</v>
      </c>
      <c r="L51" s="105">
        <f t="shared" si="12"/>
        <v>1234.559256</v>
      </c>
      <c r="M51" s="1"/>
      <c r="N51" s="1"/>
      <c r="O51" s="1"/>
      <c r="P51" s="1"/>
      <c r="Q51" s="40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ht="12.75" customHeight="1">
      <c r="A52" s="1"/>
      <c r="B52" s="100">
        <v>30.0</v>
      </c>
      <c r="C52" s="101">
        <f t="shared" si="13"/>
        <v>47031</v>
      </c>
      <c r="D52" s="40">
        <f t="shared" si="5"/>
        <v>171469.9105</v>
      </c>
      <c r="E52" s="40"/>
      <c r="F52" s="40">
        <f t="shared" si="6"/>
        <v>231.7279218</v>
      </c>
      <c r="G52" s="40">
        <f t="shared" si="7"/>
        <v>751.194668</v>
      </c>
      <c r="H52" s="102">
        <f t="shared" si="8"/>
        <v>0</v>
      </c>
      <c r="I52" s="103">
        <f t="shared" si="9"/>
        <v>47.46666667</v>
      </c>
      <c r="J52" s="104">
        <f t="shared" si="10"/>
        <v>0.7986122717</v>
      </c>
      <c r="K52" s="68">
        <f t="shared" si="11"/>
        <v>204.17</v>
      </c>
      <c r="L52" s="105">
        <f t="shared" si="12"/>
        <v>1234.559256</v>
      </c>
      <c r="M52" s="1"/>
      <c r="N52" s="1"/>
      <c r="O52" s="1"/>
      <c r="P52" s="1"/>
      <c r="Q52" s="40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ht="12.75" customHeight="1">
      <c r="A53" s="1"/>
      <c r="B53" s="100">
        <v>31.0</v>
      </c>
      <c r="C53" s="101">
        <f t="shared" si="13"/>
        <v>47062</v>
      </c>
      <c r="D53" s="40">
        <f t="shared" si="5"/>
        <v>171237.1688</v>
      </c>
      <c r="E53" s="40"/>
      <c r="F53" s="40">
        <f t="shared" si="6"/>
        <v>232.7417314</v>
      </c>
      <c r="G53" s="40">
        <f t="shared" si="7"/>
        <v>750.1808584</v>
      </c>
      <c r="H53" s="102">
        <f t="shared" si="8"/>
        <v>0</v>
      </c>
      <c r="I53" s="103">
        <f t="shared" si="9"/>
        <v>47.46666667</v>
      </c>
      <c r="J53" s="104">
        <f t="shared" si="10"/>
        <v>0.7975344674</v>
      </c>
      <c r="K53" s="68">
        <f t="shared" si="11"/>
        <v>204.17</v>
      </c>
      <c r="L53" s="105">
        <f t="shared" si="12"/>
        <v>1234.559256</v>
      </c>
      <c r="M53" s="1"/>
      <c r="N53" s="1"/>
      <c r="O53" s="1"/>
      <c r="P53" s="1"/>
      <c r="Q53" s="40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ht="12.75" customHeight="1">
      <c r="A54" s="1"/>
      <c r="B54" s="100">
        <v>32.0</v>
      </c>
      <c r="C54" s="101">
        <f t="shared" si="13"/>
        <v>47092</v>
      </c>
      <c r="D54" s="40">
        <f t="shared" si="5"/>
        <v>171003.4088</v>
      </c>
      <c r="E54" s="40"/>
      <c r="F54" s="40">
        <f t="shared" si="6"/>
        <v>233.7599765</v>
      </c>
      <c r="G54" s="40">
        <f t="shared" si="7"/>
        <v>749.1626133</v>
      </c>
      <c r="H54" s="102">
        <f t="shared" si="8"/>
        <v>0</v>
      </c>
      <c r="I54" s="103">
        <f t="shared" si="9"/>
        <v>47.46666667</v>
      </c>
      <c r="J54" s="104">
        <f t="shared" si="10"/>
        <v>0.7964519477</v>
      </c>
      <c r="K54" s="68">
        <f t="shared" si="11"/>
        <v>204.17</v>
      </c>
      <c r="L54" s="105">
        <f t="shared" si="12"/>
        <v>1234.559256</v>
      </c>
      <c r="M54" s="1"/>
      <c r="N54" s="1"/>
      <c r="O54" s="1"/>
      <c r="P54" s="1"/>
      <c r="Q54" s="40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ht="12.75" customHeight="1">
      <c r="A55" s="1"/>
      <c r="B55" s="100">
        <v>33.0</v>
      </c>
      <c r="C55" s="101">
        <f t="shared" si="13"/>
        <v>47123</v>
      </c>
      <c r="D55" s="40">
        <f t="shared" si="5"/>
        <v>170768.6261</v>
      </c>
      <c r="E55" s="40"/>
      <c r="F55" s="40">
        <f t="shared" si="6"/>
        <v>234.7826764</v>
      </c>
      <c r="G55" s="40">
        <f t="shared" si="7"/>
        <v>748.1399134</v>
      </c>
      <c r="H55" s="102">
        <f t="shared" si="8"/>
        <v>0</v>
      </c>
      <c r="I55" s="103">
        <f t="shared" si="9"/>
        <v>47.46666667</v>
      </c>
      <c r="J55" s="104">
        <f t="shared" si="10"/>
        <v>0.795364692</v>
      </c>
      <c r="K55" s="68">
        <f t="shared" si="11"/>
        <v>204.17</v>
      </c>
      <c r="L55" s="105">
        <f t="shared" si="12"/>
        <v>1234.559256</v>
      </c>
      <c r="M55" s="1"/>
      <c r="N55" s="1"/>
      <c r="O55" s="1"/>
      <c r="P55" s="1"/>
      <c r="Q55" s="40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ht="12.75" customHeight="1">
      <c r="A56" s="1"/>
      <c r="B56" s="100">
        <v>34.0</v>
      </c>
      <c r="C56" s="101">
        <f t="shared" si="13"/>
        <v>47154</v>
      </c>
      <c r="D56" s="40">
        <f t="shared" si="5"/>
        <v>170532.8163</v>
      </c>
      <c r="E56" s="40"/>
      <c r="F56" s="40">
        <f t="shared" si="6"/>
        <v>235.8098506</v>
      </c>
      <c r="G56" s="40">
        <f t="shared" si="7"/>
        <v>747.1127392</v>
      </c>
      <c r="H56" s="102">
        <f t="shared" si="8"/>
        <v>0</v>
      </c>
      <c r="I56" s="103">
        <f t="shared" si="9"/>
        <v>47.46666667</v>
      </c>
      <c r="J56" s="104">
        <f t="shared" si="10"/>
        <v>0.7942726796</v>
      </c>
      <c r="K56" s="68">
        <f t="shared" si="11"/>
        <v>204.17</v>
      </c>
      <c r="L56" s="105">
        <f t="shared" si="12"/>
        <v>1234.559256</v>
      </c>
      <c r="M56" s="1"/>
      <c r="N56" s="1"/>
      <c r="O56" s="1"/>
      <c r="P56" s="1"/>
      <c r="Q56" s="40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ht="12.75" customHeight="1">
      <c r="A57" s="1"/>
      <c r="B57" s="100">
        <v>35.0</v>
      </c>
      <c r="C57" s="101">
        <f t="shared" si="13"/>
        <v>47182</v>
      </c>
      <c r="D57" s="40">
        <f t="shared" si="5"/>
        <v>170295.9747</v>
      </c>
      <c r="E57" s="40"/>
      <c r="F57" s="40">
        <f t="shared" si="6"/>
        <v>236.8415187</v>
      </c>
      <c r="G57" s="40">
        <f t="shared" si="7"/>
        <v>746.0810711</v>
      </c>
      <c r="H57" s="102">
        <f t="shared" si="8"/>
        <v>0</v>
      </c>
      <c r="I57" s="103">
        <f t="shared" si="9"/>
        <v>47.46666667</v>
      </c>
      <c r="J57" s="104">
        <f t="shared" si="10"/>
        <v>0.7931758896</v>
      </c>
      <c r="K57" s="68">
        <f t="shared" si="11"/>
        <v>204.17</v>
      </c>
      <c r="L57" s="105">
        <f t="shared" si="12"/>
        <v>1234.559256</v>
      </c>
      <c r="M57" s="1"/>
      <c r="N57" s="1"/>
      <c r="O57" s="1"/>
      <c r="P57" s="1"/>
      <c r="Q57" s="40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ht="12.75" customHeight="1">
      <c r="A58" s="1"/>
      <c r="B58" s="100">
        <v>36.0</v>
      </c>
      <c r="C58" s="101">
        <f t="shared" si="13"/>
        <v>47213</v>
      </c>
      <c r="D58" s="40">
        <f t="shared" si="5"/>
        <v>170058.097</v>
      </c>
      <c r="E58" s="40"/>
      <c r="F58" s="40">
        <f t="shared" si="6"/>
        <v>237.8777003</v>
      </c>
      <c r="G58" s="40">
        <f t="shared" si="7"/>
        <v>745.0448895</v>
      </c>
      <c r="H58" s="102">
        <f t="shared" si="8"/>
        <v>0</v>
      </c>
      <c r="I58" s="103">
        <f t="shared" si="9"/>
        <v>47.46666667</v>
      </c>
      <c r="J58" s="104">
        <f t="shared" si="10"/>
        <v>0.7920743011</v>
      </c>
      <c r="K58" s="68">
        <f t="shared" si="11"/>
        <v>204.17</v>
      </c>
      <c r="L58" s="105">
        <f t="shared" si="12"/>
        <v>1234.559256</v>
      </c>
      <c r="M58" s="1"/>
      <c r="N58" s="1"/>
      <c r="O58" s="1"/>
      <c r="P58" s="1"/>
      <c r="Q58" s="40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ht="12.75" customHeight="1">
      <c r="A59" s="1"/>
      <c r="B59" s="100">
        <v>37.0</v>
      </c>
      <c r="C59" s="101">
        <f t="shared" si="13"/>
        <v>47243</v>
      </c>
      <c r="D59" s="40">
        <f t="shared" si="5"/>
        <v>169819.1786</v>
      </c>
      <c r="E59" s="40"/>
      <c r="F59" s="40">
        <f t="shared" si="6"/>
        <v>238.9184153</v>
      </c>
      <c r="G59" s="40">
        <f t="shared" si="7"/>
        <v>744.0041745</v>
      </c>
      <c r="H59" s="102">
        <f t="shared" si="8"/>
        <v>0</v>
      </c>
      <c r="I59" s="103">
        <f t="shared" si="9"/>
        <v>47.46666667</v>
      </c>
      <c r="J59" s="104">
        <f t="shared" si="10"/>
        <v>0.7909678932</v>
      </c>
      <c r="K59" s="68">
        <f t="shared" si="11"/>
        <v>204.17</v>
      </c>
      <c r="L59" s="105">
        <f t="shared" si="12"/>
        <v>1234.559256</v>
      </c>
      <c r="M59" s="1"/>
      <c r="N59" s="1"/>
      <c r="O59" s="1"/>
      <c r="P59" s="1"/>
      <c r="Q59" s="40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ht="12.75" customHeight="1">
      <c r="A60" s="1"/>
      <c r="B60" s="100">
        <v>38.0</v>
      </c>
      <c r="C60" s="101">
        <f t="shared" si="13"/>
        <v>47274</v>
      </c>
      <c r="D60" s="40">
        <f t="shared" si="5"/>
        <v>169579.2149</v>
      </c>
      <c r="E60" s="40"/>
      <c r="F60" s="40">
        <f t="shared" si="6"/>
        <v>239.9636833</v>
      </c>
      <c r="G60" s="40">
        <f t="shared" si="7"/>
        <v>742.9589065</v>
      </c>
      <c r="H60" s="102">
        <f t="shared" si="8"/>
        <v>0</v>
      </c>
      <c r="I60" s="103">
        <f t="shared" si="9"/>
        <v>47.46666667</v>
      </c>
      <c r="J60" s="104">
        <f t="shared" si="10"/>
        <v>0.7898566447</v>
      </c>
      <c r="K60" s="68">
        <f t="shared" si="11"/>
        <v>204.17</v>
      </c>
      <c r="L60" s="105">
        <f t="shared" si="12"/>
        <v>1234.559256</v>
      </c>
      <c r="M60" s="1"/>
      <c r="N60" s="1"/>
      <c r="O60" s="1"/>
      <c r="P60" s="1"/>
      <c r="Q60" s="40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ht="12.75" customHeight="1">
      <c r="A61" s="1"/>
      <c r="B61" s="100">
        <v>39.0</v>
      </c>
      <c r="C61" s="101">
        <f t="shared" si="13"/>
        <v>47304</v>
      </c>
      <c r="D61" s="40">
        <f t="shared" si="5"/>
        <v>169338.2014</v>
      </c>
      <c r="E61" s="40"/>
      <c r="F61" s="40">
        <f t="shared" si="6"/>
        <v>241.0135245</v>
      </c>
      <c r="G61" s="40">
        <f t="shared" si="7"/>
        <v>741.9090653</v>
      </c>
      <c r="H61" s="102">
        <f t="shared" si="8"/>
        <v>0</v>
      </c>
      <c r="I61" s="103">
        <f t="shared" si="9"/>
        <v>47.46666667</v>
      </c>
      <c r="J61" s="104">
        <f t="shared" si="10"/>
        <v>0.7887405346</v>
      </c>
      <c r="K61" s="68">
        <f t="shared" si="11"/>
        <v>204.17</v>
      </c>
      <c r="L61" s="105">
        <f t="shared" si="12"/>
        <v>1234.559256</v>
      </c>
      <c r="M61" s="1"/>
      <c r="N61" s="1"/>
      <c r="O61" s="1"/>
      <c r="P61" s="1"/>
      <c r="Q61" s="40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ht="12.75" customHeight="1">
      <c r="A62" s="1"/>
      <c r="B62" s="100">
        <v>40.0</v>
      </c>
      <c r="C62" s="101">
        <f t="shared" si="13"/>
        <v>47335</v>
      </c>
      <c r="D62" s="40">
        <f t="shared" si="5"/>
        <v>169096.1335</v>
      </c>
      <c r="E62" s="40"/>
      <c r="F62" s="40">
        <f t="shared" si="6"/>
        <v>242.0679586</v>
      </c>
      <c r="G62" s="40">
        <f t="shared" si="7"/>
        <v>740.8546312</v>
      </c>
      <c r="H62" s="102">
        <f t="shared" si="8"/>
        <v>0</v>
      </c>
      <c r="I62" s="103">
        <f t="shared" si="9"/>
        <v>47.46666667</v>
      </c>
      <c r="J62" s="104">
        <f t="shared" si="10"/>
        <v>0.7876195415</v>
      </c>
      <c r="K62" s="68">
        <f t="shared" si="11"/>
        <v>204.17</v>
      </c>
      <c r="L62" s="105">
        <f t="shared" si="12"/>
        <v>1234.559256</v>
      </c>
      <c r="M62" s="1"/>
      <c r="N62" s="1"/>
      <c r="O62" s="1"/>
      <c r="P62" s="1"/>
      <c r="Q62" s="40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ht="12.75" customHeight="1">
      <c r="A63" s="1"/>
      <c r="B63" s="100">
        <v>41.0</v>
      </c>
      <c r="C63" s="101">
        <f t="shared" si="13"/>
        <v>47366</v>
      </c>
      <c r="D63" s="40">
        <f t="shared" si="5"/>
        <v>168853.0064</v>
      </c>
      <c r="E63" s="40"/>
      <c r="F63" s="40">
        <f t="shared" si="6"/>
        <v>243.127006</v>
      </c>
      <c r="G63" s="40">
        <f t="shared" si="7"/>
        <v>739.7955839</v>
      </c>
      <c r="H63" s="102">
        <f t="shared" si="8"/>
        <v>0</v>
      </c>
      <c r="I63" s="103">
        <f t="shared" si="9"/>
        <v>47.46666667</v>
      </c>
      <c r="J63" s="104">
        <f t="shared" si="10"/>
        <v>0.786493644</v>
      </c>
      <c r="K63" s="68">
        <f t="shared" si="11"/>
        <v>204.17</v>
      </c>
      <c r="L63" s="105">
        <f t="shared" si="12"/>
        <v>1234.559256</v>
      </c>
      <c r="M63" s="1"/>
      <c r="N63" s="1"/>
      <c r="O63" s="1"/>
      <c r="P63" s="1"/>
      <c r="Q63" s="40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ht="12.75" customHeight="1">
      <c r="A64" s="1"/>
      <c r="B64" s="100">
        <v>42.0</v>
      </c>
      <c r="C64" s="101">
        <f t="shared" si="13"/>
        <v>47396</v>
      </c>
      <c r="D64" s="40">
        <f t="shared" si="5"/>
        <v>168608.8158</v>
      </c>
      <c r="E64" s="40"/>
      <c r="F64" s="40">
        <f t="shared" si="6"/>
        <v>244.1906866</v>
      </c>
      <c r="G64" s="40">
        <f t="shared" si="7"/>
        <v>738.7319032</v>
      </c>
      <c r="H64" s="102">
        <f t="shared" si="8"/>
        <v>0</v>
      </c>
      <c r="I64" s="103">
        <f t="shared" si="9"/>
        <v>47.46666667</v>
      </c>
      <c r="J64" s="104">
        <f t="shared" si="10"/>
        <v>0.7853628207</v>
      </c>
      <c r="K64" s="68">
        <f t="shared" si="11"/>
        <v>204.17</v>
      </c>
      <c r="L64" s="105">
        <f t="shared" si="12"/>
        <v>1234.559256</v>
      </c>
      <c r="M64" s="1"/>
      <c r="N64" s="1"/>
      <c r="O64" s="1"/>
      <c r="P64" s="1"/>
      <c r="Q64" s="40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ht="12.75" customHeight="1">
      <c r="A65" s="1"/>
      <c r="B65" s="100">
        <v>43.0</v>
      </c>
      <c r="C65" s="101">
        <f t="shared" si="13"/>
        <v>47427</v>
      </c>
      <c r="D65" s="40">
        <f t="shared" si="5"/>
        <v>168363.5567</v>
      </c>
      <c r="E65" s="40"/>
      <c r="F65" s="40">
        <f t="shared" si="6"/>
        <v>245.2590209</v>
      </c>
      <c r="G65" s="40">
        <f t="shared" si="7"/>
        <v>737.663569</v>
      </c>
      <c r="H65" s="102">
        <f t="shared" si="8"/>
        <v>0</v>
      </c>
      <c r="I65" s="103">
        <f t="shared" si="9"/>
        <v>47.46666667</v>
      </c>
      <c r="J65" s="104">
        <f t="shared" si="10"/>
        <v>0.7842270501</v>
      </c>
      <c r="K65" s="68">
        <f t="shared" si="11"/>
        <v>204.17</v>
      </c>
      <c r="L65" s="105">
        <f t="shared" si="12"/>
        <v>1234.559256</v>
      </c>
      <c r="M65" s="1"/>
      <c r="N65" s="1"/>
      <c r="O65" s="1"/>
      <c r="P65" s="1"/>
      <c r="Q65" s="40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ht="12.75" customHeight="1">
      <c r="A66" s="1"/>
      <c r="B66" s="100">
        <v>44.0</v>
      </c>
      <c r="C66" s="101">
        <f t="shared" si="13"/>
        <v>47457</v>
      </c>
      <c r="D66" s="40">
        <f t="shared" si="5"/>
        <v>168117.2247</v>
      </c>
      <c r="E66" s="40"/>
      <c r="F66" s="40">
        <f t="shared" si="6"/>
        <v>246.3320291</v>
      </c>
      <c r="G66" s="40">
        <f t="shared" si="7"/>
        <v>736.5905607</v>
      </c>
      <c r="H66" s="102">
        <f t="shared" si="8"/>
        <v>0</v>
      </c>
      <c r="I66" s="103">
        <f t="shared" si="9"/>
        <v>47.46666667</v>
      </c>
      <c r="J66" s="104">
        <f t="shared" si="10"/>
        <v>0.7830863104</v>
      </c>
      <c r="K66" s="68">
        <f t="shared" si="11"/>
        <v>204.17</v>
      </c>
      <c r="L66" s="105">
        <f t="shared" si="12"/>
        <v>1234.559256</v>
      </c>
      <c r="M66" s="1"/>
      <c r="N66" s="1"/>
      <c r="O66" s="1"/>
      <c r="P66" s="1"/>
      <c r="Q66" s="40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ht="12.75" customHeight="1">
      <c r="A67" s="1"/>
      <c r="B67" s="100">
        <v>45.0</v>
      </c>
      <c r="C67" s="101">
        <f t="shared" si="13"/>
        <v>47488</v>
      </c>
      <c r="D67" s="40">
        <f t="shared" si="5"/>
        <v>167869.815</v>
      </c>
      <c r="E67" s="40"/>
      <c r="F67" s="40">
        <f t="shared" si="6"/>
        <v>247.4097317</v>
      </c>
      <c r="G67" s="40">
        <f t="shared" si="7"/>
        <v>735.5128581</v>
      </c>
      <c r="H67" s="102">
        <f t="shared" si="8"/>
        <v>0</v>
      </c>
      <c r="I67" s="103">
        <f t="shared" si="9"/>
        <v>47.46666667</v>
      </c>
      <c r="J67" s="104">
        <f t="shared" si="10"/>
        <v>0.7819405801</v>
      </c>
      <c r="K67" s="68">
        <f t="shared" si="11"/>
        <v>204.17</v>
      </c>
      <c r="L67" s="105">
        <f t="shared" si="12"/>
        <v>1234.559256</v>
      </c>
      <c r="M67" s="1"/>
      <c r="N67" s="1"/>
      <c r="O67" s="1"/>
      <c r="P67" s="1"/>
      <c r="Q67" s="40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ht="12.75" customHeight="1">
      <c r="A68" s="1"/>
      <c r="B68" s="100">
        <v>46.0</v>
      </c>
      <c r="C68" s="101">
        <f t="shared" si="13"/>
        <v>47519</v>
      </c>
      <c r="D68" s="40">
        <f t="shared" si="5"/>
        <v>167621.3228</v>
      </c>
      <c r="E68" s="40"/>
      <c r="F68" s="40">
        <f t="shared" si="6"/>
        <v>248.4921493</v>
      </c>
      <c r="G68" s="40">
        <f t="shared" si="7"/>
        <v>734.4304405</v>
      </c>
      <c r="H68" s="102">
        <f t="shared" si="8"/>
        <v>0</v>
      </c>
      <c r="I68" s="103">
        <f t="shared" si="9"/>
        <v>47.46666667</v>
      </c>
      <c r="J68" s="104">
        <f t="shared" si="10"/>
        <v>0.7807898371</v>
      </c>
      <c r="K68" s="68">
        <f t="shared" si="11"/>
        <v>204.17</v>
      </c>
      <c r="L68" s="105">
        <f t="shared" si="12"/>
        <v>1234.559256</v>
      </c>
      <c r="M68" s="1"/>
      <c r="N68" s="1"/>
      <c r="O68" s="1"/>
      <c r="P68" s="1"/>
      <c r="Q68" s="40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ht="12.75" customHeight="1">
      <c r="A69" s="1"/>
      <c r="B69" s="100">
        <v>47.0</v>
      </c>
      <c r="C69" s="101">
        <f t="shared" si="13"/>
        <v>47547</v>
      </c>
      <c r="D69" s="40">
        <f t="shared" si="5"/>
        <v>167371.7435</v>
      </c>
      <c r="E69" s="40"/>
      <c r="F69" s="40">
        <f t="shared" si="6"/>
        <v>249.5793024</v>
      </c>
      <c r="G69" s="40">
        <f t="shared" si="7"/>
        <v>733.3432874</v>
      </c>
      <c r="H69" s="102">
        <f t="shared" si="8"/>
        <v>0</v>
      </c>
      <c r="I69" s="103">
        <f t="shared" si="9"/>
        <v>47.46666667</v>
      </c>
      <c r="J69" s="104">
        <f t="shared" si="10"/>
        <v>0.7796340597</v>
      </c>
      <c r="K69" s="68">
        <f t="shared" si="11"/>
        <v>204.17</v>
      </c>
      <c r="L69" s="105">
        <f t="shared" si="12"/>
        <v>1234.559256</v>
      </c>
      <c r="M69" s="1"/>
      <c r="N69" s="1"/>
      <c r="O69" s="1"/>
      <c r="P69" s="1"/>
      <c r="Q69" s="40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ht="12.75" customHeight="1">
      <c r="A70" s="1"/>
      <c r="B70" s="100">
        <v>48.0</v>
      </c>
      <c r="C70" s="101">
        <f t="shared" si="13"/>
        <v>47578</v>
      </c>
      <c r="D70" s="40">
        <f t="shared" si="5"/>
        <v>167121.0723</v>
      </c>
      <c r="E70" s="40"/>
      <c r="F70" s="40">
        <f t="shared" si="6"/>
        <v>250.6712119</v>
      </c>
      <c r="G70" s="40">
        <f t="shared" si="7"/>
        <v>732.2513779</v>
      </c>
      <c r="H70" s="102">
        <f t="shared" si="8"/>
        <v>0</v>
      </c>
      <c r="I70" s="103">
        <f t="shared" si="9"/>
        <v>47.46666667</v>
      </c>
      <c r="J70" s="104">
        <f t="shared" si="10"/>
        <v>0.7784732257</v>
      </c>
      <c r="K70" s="68">
        <f t="shared" si="11"/>
        <v>204.17</v>
      </c>
      <c r="L70" s="105">
        <f t="shared" si="12"/>
        <v>1234.559256</v>
      </c>
      <c r="M70" s="1"/>
      <c r="N70" s="1"/>
      <c r="O70" s="1"/>
      <c r="P70" s="1"/>
      <c r="Q70" s="40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ht="12.75" customHeight="1">
      <c r="A71" s="1"/>
      <c r="B71" s="100">
        <v>49.0</v>
      </c>
      <c r="C71" s="101">
        <f t="shared" si="13"/>
        <v>47608</v>
      </c>
      <c r="D71" s="40">
        <f t="shared" si="5"/>
        <v>166869.3044</v>
      </c>
      <c r="E71" s="40"/>
      <c r="F71" s="40">
        <f t="shared" si="6"/>
        <v>251.7678984</v>
      </c>
      <c r="G71" s="40">
        <f t="shared" si="7"/>
        <v>731.1546914</v>
      </c>
      <c r="H71" s="102">
        <f t="shared" si="8"/>
        <v>0</v>
      </c>
      <c r="I71" s="103">
        <f t="shared" si="9"/>
        <v>47.46666667</v>
      </c>
      <c r="J71" s="104">
        <f t="shared" si="10"/>
        <v>0.7773073131</v>
      </c>
      <c r="K71" s="68">
        <f t="shared" si="11"/>
        <v>204.17</v>
      </c>
      <c r="L71" s="105">
        <f t="shared" si="12"/>
        <v>1234.559256</v>
      </c>
      <c r="M71" s="1"/>
      <c r="N71" s="1"/>
      <c r="O71" s="1"/>
      <c r="P71" s="1"/>
      <c r="Q71" s="40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ht="12.75" customHeight="1">
      <c r="A72" s="1"/>
      <c r="B72" s="100">
        <v>50.0</v>
      </c>
      <c r="C72" s="101">
        <f t="shared" si="13"/>
        <v>47639</v>
      </c>
      <c r="D72" s="40">
        <f t="shared" si="5"/>
        <v>166616.435</v>
      </c>
      <c r="E72" s="40"/>
      <c r="F72" s="40">
        <f t="shared" si="6"/>
        <v>252.869383</v>
      </c>
      <c r="G72" s="40">
        <f t="shared" si="7"/>
        <v>730.0532068</v>
      </c>
      <c r="H72" s="102">
        <f t="shared" si="8"/>
        <v>0</v>
      </c>
      <c r="I72" s="103">
        <f t="shared" si="9"/>
        <v>47.46666667</v>
      </c>
      <c r="J72" s="104">
        <f t="shared" si="10"/>
        <v>0.7761362996</v>
      </c>
      <c r="K72" s="68">
        <f t="shared" si="11"/>
        <v>204.17</v>
      </c>
      <c r="L72" s="105">
        <f t="shared" si="12"/>
        <v>1234.559256</v>
      </c>
      <c r="M72" s="1"/>
      <c r="N72" s="1"/>
      <c r="O72" s="1"/>
      <c r="P72" s="1"/>
      <c r="Q72" s="40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ht="12.75" customHeight="1">
      <c r="A73" s="1"/>
      <c r="B73" s="100">
        <v>51.0</v>
      </c>
      <c r="C73" s="101">
        <f t="shared" si="13"/>
        <v>47669</v>
      </c>
      <c r="D73" s="40">
        <f t="shared" si="5"/>
        <v>166362.4593</v>
      </c>
      <c r="E73" s="40"/>
      <c r="F73" s="40">
        <f t="shared" si="6"/>
        <v>253.9756865</v>
      </c>
      <c r="G73" s="40">
        <f t="shared" si="7"/>
        <v>728.9469033</v>
      </c>
      <c r="H73" s="102">
        <f t="shared" si="8"/>
        <v>0</v>
      </c>
      <c r="I73" s="103">
        <f t="shared" si="9"/>
        <v>47.46666667</v>
      </c>
      <c r="J73" s="104">
        <f t="shared" si="10"/>
        <v>0.774960163</v>
      </c>
      <c r="K73" s="68">
        <f t="shared" si="11"/>
        <v>204.17</v>
      </c>
      <c r="L73" s="105">
        <f t="shared" si="12"/>
        <v>1234.559256</v>
      </c>
      <c r="M73" s="1"/>
      <c r="N73" s="1"/>
      <c r="O73" s="1"/>
      <c r="P73" s="1"/>
      <c r="Q73" s="40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ht="12.75" customHeight="1">
      <c r="A74" s="1"/>
      <c r="B74" s="100">
        <v>52.0</v>
      </c>
      <c r="C74" s="101">
        <f t="shared" si="13"/>
        <v>47700</v>
      </c>
      <c r="D74" s="40">
        <f t="shared" si="5"/>
        <v>166107.3725</v>
      </c>
      <c r="E74" s="40"/>
      <c r="F74" s="40">
        <f t="shared" si="6"/>
        <v>255.0868302</v>
      </c>
      <c r="G74" s="40">
        <f t="shared" si="7"/>
        <v>727.8357596</v>
      </c>
      <c r="H74" s="102">
        <f t="shared" si="8"/>
        <v>0</v>
      </c>
      <c r="I74" s="103">
        <f t="shared" si="9"/>
        <v>47.46666667</v>
      </c>
      <c r="J74" s="104">
        <f t="shared" si="10"/>
        <v>0.7737788807</v>
      </c>
      <c r="K74" s="68">
        <f t="shared" si="11"/>
        <v>204.17</v>
      </c>
      <c r="L74" s="105">
        <f t="shared" si="12"/>
        <v>1234.559256</v>
      </c>
      <c r="M74" s="1"/>
      <c r="N74" s="1"/>
      <c r="O74" s="1"/>
      <c r="P74" s="1"/>
      <c r="Q74" s="40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ht="12.75" customHeight="1">
      <c r="A75" s="1"/>
      <c r="B75" s="100">
        <v>53.0</v>
      </c>
      <c r="C75" s="101">
        <f t="shared" si="13"/>
        <v>47731</v>
      </c>
      <c r="D75" s="40">
        <f t="shared" si="5"/>
        <v>165851.1697</v>
      </c>
      <c r="E75" s="40"/>
      <c r="F75" s="40">
        <f t="shared" si="6"/>
        <v>256.202835</v>
      </c>
      <c r="G75" s="40">
        <f t="shared" si="7"/>
        <v>726.7197548</v>
      </c>
      <c r="H75" s="102">
        <f t="shared" si="8"/>
        <v>0</v>
      </c>
      <c r="I75" s="103">
        <f t="shared" si="9"/>
        <v>47.46666667</v>
      </c>
      <c r="J75" s="104">
        <f t="shared" si="10"/>
        <v>0.7725924303</v>
      </c>
      <c r="K75" s="68">
        <f t="shared" si="11"/>
        <v>204.17</v>
      </c>
      <c r="L75" s="105">
        <f t="shared" si="12"/>
        <v>1234.559256</v>
      </c>
      <c r="M75" s="1"/>
      <c r="N75" s="1"/>
      <c r="O75" s="1"/>
      <c r="P75" s="1"/>
      <c r="Q75" s="40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ht="12.75" customHeight="1">
      <c r="A76" s="1"/>
      <c r="B76" s="100">
        <v>54.0</v>
      </c>
      <c r="C76" s="101">
        <f t="shared" si="13"/>
        <v>47761</v>
      </c>
      <c r="D76" s="40">
        <f t="shared" si="5"/>
        <v>165593.846</v>
      </c>
      <c r="E76" s="40"/>
      <c r="F76" s="40">
        <f t="shared" si="6"/>
        <v>257.3237225</v>
      </c>
      <c r="G76" s="40">
        <f t="shared" si="7"/>
        <v>725.5988674</v>
      </c>
      <c r="H76" s="102">
        <f t="shared" si="8"/>
        <v>0</v>
      </c>
      <c r="I76" s="103">
        <f t="shared" si="9"/>
        <v>47.46666667</v>
      </c>
      <c r="J76" s="104">
        <f t="shared" si="10"/>
        <v>0.7714007892</v>
      </c>
      <c r="K76" s="68">
        <f t="shared" si="11"/>
        <v>204.17</v>
      </c>
      <c r="L76" s="105">
        <f t="shared" si="12"/>
        <v>1234.559256</v>
      </c>
      <c r="M76" s="1"/>
      <c r="N76" s="1"/>
      <c r="O76" s="1"/>
      <c r="P76" s="1"/>
      <c r="Q76" s="40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ht="12.75" customHeight="1">
      <c r="A77" s="1"/>
      <c r="B77" s="100">
        <v>55.0</v>
      </c>
      <c r="C77" s="101">
        <f t="shared" si="13"/>
        <v>47792</v>
      </c>
      <c r="D77" s="40">
        <f t="shared" si="5"/>
        <v>165335.3964</v>
      </c>
      <c r="E77" s="40"/>
      <c r="F77" s="40">
        <f t="shared" si="6"/>
        <v>258.4495137</v>
      </c>
      <c r="G77" s="40">
        <f t="shared" si="7"/>
        <v>724.4730761</v>
      </c>
      <c r="H77" s="102">
        <f t="shared" si="8"/>
        <v>0</v>
      </c>
      <c r="I77" s="103">
        <f t="shared" si="9"/>
        <v>47.46666667</v>
      </c>
      <c r="J77" s="104">
        <f t="shared" si="10"/>
        <v>0.7702039347</v>
      </c>
      <c r="K77" s="68">
        <f t="shared" si="11"/>
        <v>204.17</v>
      </c>
      <c r="L77" s="105">
        <f t="shared" si="12"/>
        <v>1234.559256</v>
      </c>
      <c r="M77" s="1"/>
      <c r="N77" s="1"/>
      <c r="O77" s="1"/>
      <c r="P77" s="1"/>
      <c r="Q77" s="40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ht="12.75" customHeight="1">
      <c r="A78" s="1"/>
      <c r="B78" s="100">
        <v>56.0</v>
      </c>
      <c r="C78" s="101">
        <f t="shared" si="13"/>
        <v>47822</v>
      </c>
      <c r="D78" s="40">
        <f t="shared" si="5"/>
        <v>165075.8162</v>
      </c>
      <c r="E78" s="40"/>
      <c r="F78" s="40">
        <f t="shared" si="6"/>
        <v>259.5802304</v>
      </c>
      <c r="G78" s="40">
        <f t="shared" si="7"/>
        <v>723.3423595</v>
      </c>
      <c r="H78" s="102">
        <f t="shared" si="8"/>
        <v>0</v>
      </c>
      <c r="I78" s="103">
        <f t="shared" si="9"/>
        <v>47.46666667</v>
      </c>
      <c r="J78" s="104">
        <f t="shared" si="10"/>
        <v>0.7690018439</v>
      </c>
      <c r="K78" s="68">
        <f t="shared" si="11"/>
        <v>204.17</v>
      </c>
      <c r="L78" s="105">
        <f t="shared" si="12"/>
        <v>1234.559256</v>
      </c>
      <c r="M78" s="1"/>
      <c r="N78" s="1"/>
      <c r="O78" s="1"/>
      <c r="P78" s="1"/>
      <c r="Q78" s="40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ht="12.75" customHeight="1">
      <c r="A79" s="1"/>
      <c r="B79" s="100">
        <v>57.0</v>
      </c>
      <c r="C79" s="101">
        <f t="shared" si="13"/>
        <v>47853</v>
      </c>
      <c r="D79" s="40">
        <f t="shared" si="5"/>
        <v>164815.1003</v>
      </c>
      <c r="E79" s="40"/>
      <c r="F79" s="40">
        <f t="shared" si="6"/>
        <v>260.7158939</v>
      </c>
      <c r="G79" s="40">
        <f t="shared" si="7"/>
        <v>722.2066959</v>
      </c>
      <c r="H79" s="102">
        <f t="shared" si="8"/>
        <v>0</v>
      </c>
      <c r="I79" s="103">
        <f t="shared" si="9"/>
        <v>47.46666667</v>
      </c>
      <c r="J79" s="104">
        <f t="shared" si="10"/>
        <v>0.767794494</v>
      </c>
      <c r="K79" s="68">
        <f t="shared" si="11"/>
        <v>204.17</v>
      </c>
      <c r="L79" s="105">
        <f t="shared" si="12"/>
        <v>1234.559256</v>
      </c>
      <c r="M79" s="1"/>
      <c r="N79" s="1"/>
      <c r="O79" s="1"/>
      <c r="P79" s="1"/>
      <c r="Q79" s="40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ht="12.75" customHeight="1">
      <c r="A80" s="1"/>
      <c r="B80" s="100">
        <v>58.0</v>
      </c>
      <c r="C80" s="101">
        <f t="shared" si="13"/>
        <v>47884</v>
      </c>
      <c r="D80" s="40">
        <f t="shared" si="5"/>
        <v>164553.2438</v>
      </c>
      <c r="E80" s="40"/>
      <c r="F80" s="40">
        <f t="shared" si="6"/>
        <v>261.8565259</v>
      </c>
      <c r="G80" s="40">
        <f t="shared" si="7"/>
        <v>721.0660639</v>
      </c>
      <c r="H80" s="102">
        <f t="shared" si="8"/>
        <v>0</v>
      </c>
      <c r="I80" s="103">
        <f t="shared" si="9"/>
        <v>47.46666667</v>
      </c>
      <c r="J80" s="104">
        <f t="shared" si="10"/>
        <v>0.766581862</v>
      </c>
      <c r="K80" s="68">
        <f t="shared" si="11"/>
        <v>204.17</v>
      </c>
      <c r="L80" s="105">
        <f t="shared" si="12"/>
        <v>1234.559256</v>
      </c>
      <c r="M80" s="1"/>
      <c r="N80" s="1"/>
      <c r="O80" s="1"/>
      <c r="P80" s="1"/>
      <c r="Q80" s="40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ht="12.75" customHeight="1">
      <c r="A81" s="1"/>
      <c r="B81" s="100">
        <v>59.0</v>
      </c>
      <c r="C81" s="101">
        <f t="shared" si="13"/>
        <v>47912</v>
      </c>
      <c r="D81" s="40">
        <f t="shared" si="5"/>
        <v>164290.2416</v>
      </c>
      <c r="E81" s="40"/>
      <c r="F81" s="40">
        <f t="shared" si="6"/>
        <v>263.0021482</v>
      </c>
      <c r="G81" s="40">
        <f t="shared" si="7"/>
        <v>719.9204416</v>
      </c>
      <c r="H81" s="102">
        <f t="shared" si="8"/>
        <v>0</v>
      </c>
      <c r="I81" s="103">
        <f t="shared" si="9"/>
        <v>47.46666667</v>
      </c>
      <c r="J81" s="104">
        <f t="shared" si="10"/>
        <v>0.7653639246</v>
      </c>
      <c r="K81" s="68">
        <f t="shared" si="11"/>
        <v>204.17</v>
      </c>
      <c r="L81" s="105">
        <f t="shared" si="12"/>
        <v>1234.559256</v>
      </c>
      <c r="M81" s="1"/>
      <c r="N81" s="1"/>
      <c r="O81" s="1"/>
      <c r="P81" s="1"/>
      <c r="Q81" s="40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ht="12.75" customHeight="1">
      <c r="A82" s="1"/>
      <c r="B82" s="100">
        <v>60.0</v>
      </c>
      <c r="C82" s="101">
        <f t="shared" si="13"/>
        <v>47943</v>
      </c>
      <c r="D82" s="40">
        <f t="shared" si="5"/>
        <v>164026.0889</v>
      </c>
      <c r="E82" s="40"/>
      <c r="F82" s="40">
        <f t="shared" si="6"/>
        <v>264.1527826</v>
      </c>
      <c r="G82" s="40">
        <f t="shared" si="7"/>
        <v>718.7698072</v>
      </c>
      <c r="H82" s="102">
        <f t="shared" si="8"/>
        <v>0</v>
      </c>
      <c r="I82" s="103">
        <f t="shared" si="9"/>
        <v>47.46666667</v>
      </c>
      <c r="J82" s="104">
        <f t="shared" si="10"/>
        <v>0.7641406588</v>
      </c>
      <c r="K82" s="68">
        <f t="shared" si="11"/>
        <v>204.17</v>
      </c>
      <c r="L82" s="105">
        <f t="shared" si="12"/>
        <v>1234.559256</v>
      </c>
      <c r="M82" s="1"/>
      <c r="N82" s="1"/>
      <c r="O82" s="1"/>
      <c r="P82" s="1"/>
      <c r="Q82" s="40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ht="12.75" customHeight="1">
      <c r="A83" s="1"/>
      <c r="B83" s="100">
        <v>61.0</v>
      </c>
      <c r="C83" s="101">
        <f t="shared" si="13"/>
        <v>47973</v>
      </c>
      <c r="D83" s="40">
        <f t="shared" si="5"/>
        <v>163760.7804</v>
      </c>
      <c r="E83" s="40"/>
      <c r="F83" s="40">
        <f t="shared" si="6"/>
        <v>265.308451</v>
      </c>
      <c r="G83" s="40">
        <f t="shared" si="7"/>
        <v>717.6141388</v>
      </c>
      <c r="H83" s="102">
        <f t="shared" si="8"/>
        <v>0</v>
      </c>
      <c r="I83" s="103">
        <f t="shared" si="9"/>
        <v>0</v>
      </c>
      <c r="J83" s="104">
        <f t="shared" si="10"/>
        <v>0.7629120412</v>
      </c>
      <c r="K83" s="68">
        <f t="shared" si="11"/>
        <v>204.17</v>
      </c>
      <c r="L83" s="105">
        <f t="shared" si="12"/>
        <v>1187.09259</v>
      </c>
      <c r="M83" s="1"/>
      <c r="N83" s="1"/>
      <c r="O83" s="1"/>
      <c r="P83" s="1"/>
      <c r="Q83" s="40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ht="12.75" customHeight="1">
      <c r="A84" s="1"/>
      <c r="B84" s="100">
        <v>62.0</v>
      </c>
      <c r="C84" s="101">
        <f t="shared" si="13"/>
        <v>48004</v>
      </c>
      <c r="D84" s="40">
        <f t="shared" si="5"/>
        <v>163494.3112</v>
      </c>
      <c r="E84" s="40"/>
      <c r="F84" s="40">
        <f t="shared" si="6"/>
        <v>266.4691755</v>
      </c>
      <c r="G84" s="40">
        <f t="shared" si="7"/>
        <v>716.4534143</v>
      </c>
      <c r="H84" s="102">
        <f t="shared" si="8"/>
        <v>0</v>
      </c>
      <c r="I84" s="103">
        <f t="shared" si="9"/>
        <v>0</v>
      </c>
      <c r="J84" s="104">
        <f t="shared" si="10"/>
        <v>0.7616780484</v>
      </c>
      <c r="K84" s="68">
        <f t="shared" si="11"/>
        <v>204.17</v>
      </c>
      <c r="L84" s="105">
        <f t="shared" si="12"/>
        <v>1187.09259</v>
      </c>
      <c r="M84" s="1"/>
      <c r="N84" s="1"/>
      <c r="O84" s="1"/>
      <c r="P84" s="1"/>
      <c r="Q84" s="40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ht="12.75" customHeight="1">
      <c r="A85" s="1"/>
      <c r="B85" s="100">
        <v>63.0</v>
      </c>
      <c r="C85" s="101">
        <f t="shared" si="13"/>
        <v>48034</v>
      </c>
      <c r="D85" s="40">
        <f t="shared" si="5"/>
        <v>163226.6763</v>
      </c>
      <c r="E85" s="40"/>
      <c r="F85" s="40">
        <f t="shared" si="6"/>
        <v>267.6349781</v>
      </c>
      <c r="G85" s="40">
        <f t="shared" si="7"/>
        <v>715.2876117</v>
      </c>
      <c r="H85" s="102">
        <f t="shared" si="8"/>
        <v>0</v>
      </c>
      <c r="I85" s="103">
        <f t="shared" si="9"/>
        <v>0</v>
      </c>
      <c r="J85" s="104">
        <f t="shared" si="10"/>
        <v>0.7604386569</v>
      </c>
      <c r="K85" s="68">
        <f t="shared" si="11"/>
        <v>204.17</v>
      </c>
      <c r="L85" s="105">
        <f t="shared" si="12"/>
        <v>1187.09259</v>
      </c>
      <c r="M85" s="1"/>
      <c r="N85" s="1"/>
      <c r="O85" s="1"/>
      <c r="P85" s="1"/>
      <c r="Q85" s="40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ht="12.75" customHeight="1">
      <c r="A86" s="1"/>
      <c r="B86" s="100">
        <v>64.0</v>
      </c>
      <c r="C86" s="101">
        <f t="shared" si="13"/>
        <v>48065</v>
      </c>
      <c r="D86" s="40">
        <f t="shared" si="5"/>
        <v>162957.8704</v>
      </c>
      <c r="E86" s="40"/>
      <c r="F86" s="40">
        <f t="shared" si="6"/>
        <v>268.8058812</v>
      </c>
      <c r="G86" s="40">
        <f t="shared" si="7"/>
        <v>714.1167086</v>
      </c>
      <c r="H86" s="102">
        <f t="shared" si="8"/>
        <v>0</v>
      </c>
      <c r="I86" s="103">
        <f t="shared" si="9"/>
        <v>0</v>
      </c>
      <c r="J86" s="104">
        <f t="shared" si="10"/>
        <v>0.7591938431</v>
      </c>
      <c r="K86" s="68">
        <f t="shared" si="11"/>
        <v>204.17</v>
      </c>
      <c r="L86" s="105">
        <f t="shared" si="12"/>
        <v>1187.09259</v>
      </c>
      <c r="M86" s="1"/>
      <c r="N86" s="1"/>
      <c r="O86" s="1"/>
      <c r="P86" s="1"/>
      <c r="Q86" s="40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ht="12.75" customHeight="1">
      <c r="A87" s="1"/>
      <c r="B87" s="100">
        <v>65.0</v>
      </c>
      <c r="C87" s="101">
        <f t="shared" si="13"/>
        <v>48096</v>
      </c>
      <c r="D87" s="40">
        <f t="shared" si="5"/>
        <v>162687.8885</v>
      </c>
      <c r="E87" s="40"/>
      <c r="F87" s="40">
        <f t="shared" si="6"/>
        <v>269.9819069</v>
      </c>
      <c r="G87" s="40">
        <f t="shared" si="7"/>
        <v>712.9406829</v>
      </c>
      <c r="H87" s="102">
        <f t="shared" si="8"/>
        <v>0</v>
      </c>
      <c r="I87" s="103">
        <f t="shared" si="9"/>
        <v>0</v>
      </c>
      <c r="J87" s="104">
        <f t="shared" si="10"/>
        <v>0.7579435832</v>
      </c>
      <c r="K87" s="68">
        <f t="shared" si="11"/>
        <v>204.17</v>
      </c>
      <c r="L87" s="105">
        <f t="shared" si="12"/>
        <v>1187.09259</v>
      </c>
      <c r="M87" s="1"/>
      <c r="N87" s="1"/>
      <c r="O87" s="1"/>
      <c r="P87" s="1"/>
      <c r="Q87" s="40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ht="12.75" customHeight="1">
      <c r="A88" s="1"/>
      <c r="B88" s="100">
        <v>66.0</v>
      </c>
      <c r="C88" s="101">
        <f t="shared" si="13"/>
        <v>48126</v>
      </c>
      <c r="D88" s="40">
        <f t="shared" si="5"/>
        <v>162416.7254</v>
      </c>
      <c r="E88" s="40"/>
      <c r="F88" s="40">
        <f t="shared" si="6"/>
        <v>271.1630777</v>
      </c>
      <c r="G88" s="40">
        <f t="shared" si="7"/>
        <v>711.7595121</v>
      </c>
      <c r="H88" s="102">
        <f t="shared" si="8"/>
        <v>0</v>
      </c>
      <c r="I88" s="103">
        <f t="shared" si="9"/>
        <v>0</v>
      </c>
      <c r="J88" s="104">
        <f t="shared" si="10"/>
        <v>0.7566878534</v>
      </c>
      <c r="K88" s="68">
        <f t="shared" si="11"/>
        <v>204.17</v>
      </c>
      <c r="L88" s="105">
        <f t="shared" si="12"/>
        <v>1187.09259</v>
      </c>
      <c r="M88" s="1"/>
      <c r="N88" s="1"/>
      <c r="O88" s="1"/>
      <c r="P88" s="1"/>
      <c r="Q88" s="40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ht="12.75" customHeight="1">
      <c r="A89" s="1"/>
      <c r="B89" s="100">
        <v>67.0</v>
      </c>
      <c r="C89" s="101">
        <f t="shared" si="13"/>
        <v>48157</v>
      </c>
      <c r="D89" s="40">
        <f t="shared" si="5"/>
        <v>162144.376</v>
      </c>
      <c r="E89" s="40"/>
      <c r="F89" s="40">
        <f t="shared" si="6"/>
        <v>272.3494162</v>
      </c>
      <c r="G89" s="40">
        <f t="shared" si="7"/>
        <v>710.5731736</v>
      </c>
      <c r="H89" s="102">
        <f t="shared" si="8"/>
        <v>0</v>
      </c>
      <c r="I89" s="103">
        <f t="shared" si="9"/>
        <v>0</v>
      </c>
      <c r="J89" s="104">
        <f t="shared" si="10"/>
        <v>0.7554266297</v>
      </c>
      <c r="K89" s="68">
        <f t="shared" si="11"/>
        <v>204.17</v>
      </c>
      <c r="L89" s="105">
        <f t="shared" si="12"/>
        <v>1187.09259</v>
      </c>
      <c r="M89" s="1"/>
      <c r="N89" s="1"/>
      <c r="O89" s="1"/>
      <c r="P89" s="1"/>
      <c r="Q89" s="40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ht="12.75" customHeight="1">
      <c r="A90" s="1"/>
      <c r="B90" s="100">
        <v>68.0</v>
      </c>
      <c r="C90" s="101">
        <f t="shared" si="13"/>
        <v>48187</v>
      </c>
      <c r="D90" s="40">
        <f t="shared" si="5"/>
        <v>161870.835</v>
      </c>
      <c r="E90" s="40"/>
      <c r="F90" s="40">
        <f t="shared" si="6"/>
        <v>273.5409449</v>
      </c>
      <c r="G90" s="40">
        <f t="shared" si="7"/>
        <v>709.3816449</v>
      </c>
      <c r="H90" s="102">
        <f t="shared" si="8"/>
        <v>0</v>
      </c>
      <c r="I90" s="103">
        <f t="shared" si="9"/>
        <v>0</v>
      </c>
      <c r="J90" s="104">
        <f t="shared" si="10"/>
        <v>0.7541598883</v>
      </c>
      <c r="K90" s="68">
        <f t="shared" si="11"/>
        <v>204.17</v>
      </c>
      <c r="L90" s="105">
        <f t="shared" si="12"/>
        <v>1187.09259</v>
      </c>
      <c r="M90" s="1"/>
      <c r="N90" s="1"/>
      <c r="O90" s="1"/>
      <c r="P90" s="1"/>
      <c r="Q90" s="40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ht="12.75" customHeight="1">
      <c r="A91" s="1"/>
      <c r="B91" s="100">
        <v>69.0</v>
      </c>
      <c r="C91" s="101">
        <f t="shared" si="13"/>
        <v>48218</v>
      </c>
      <c r="D91" s="40">
        <f t="shared" si="5"/>
        <v>161596.0973</v>
      </c>
      <c r="E91" s="40"/>
      <c r="F91" s="40">
        <f t="shared" si="6"/>
        <v>274.7376865</v>
      </c>
      <c r="G91" s="40">
        <f t="shared" si="7"/>
        <v>708.1849033</v>
      </c>
      <c r="H91" s="102">
        <f t="shared" si="8"/>
        <v>0</v>
      </c>
      <c r="I91" s="103">
        <f t="shared" si="9"/>
        <v>0</v>
      </c>
      <c r="J91" s="104">
        <f t="shared" si="10"/>
        <v>0.7528876048</v>
      </c>
      <c r="K91" s="68">
        <f t="shared" si="11"/>
        <v>204.17</v>
      </c>
      <c r="L91" s="105">
        <f t="shared" si="12"/>
        <v>1187.09259</v>
      </c>
      <c r="M91" s="1"/>
      <c r="N91" s="1"/>
      <c r="O91" s="1"/>
      <c r="P91" s="1"/>
      <c r="Q91" s="40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ht="12.75" customHeight="1">
      <c r="A92" s="1"/>
      <c r="B92" s="100">
        <v>70.0</v>
      </c>
      <c r="C92" s="101">
        <f t="shared" si="13"/>
        <v>48249</v>
      </c>
      <c r="D92" s="40">
        <f t="shared" si="5"/>
        <v>161320.1577</v>
      </c>
      <c r="E92" s="40"/>
      <c r="F92" s="40">
        <f t="shared" si="6"/>
        <v>275.9396639</v>
      </c>
      <c r="G92" s="40">
        <f t="shared" si="7"/>
        <v>706.9829259</v>
      </c>
      <c r="H92" s="102">
        <f t="shared" si="8"/>
        <v>0</v>
      </c>
      <c r="I92" s="103">
        <f t="shared" si="9"/>
        <v>0</v>
      </c>
      <c r="J92" s="104">
        <f t="shared" si="10"/>
        <v>0.7516097551</v>
      </c>
      <c r="K92" s="68">
        <f t="shared" si="11"/>
        <v>204.17</v>
      </c>
      <c r="L92" s="105">
        <f t="shared" si="12"/>
        <v>1187.09259</v>
      </c>
      <c r="M92" s="1"/>
      <c r="N92" s="1"/>
      <c r="O92" s="1"/>
      <c r="P92" s="1"/>
      <c r="Q92" s="40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ht="12.75" customHeight="1">
      <c r="A93" s="1"/>
      <c r="B93" s="100">
        <v>71.0</v>
      </c>
      <c r="C93" s="101">
        <f t="shared" si="13"/>
        <v>48278</v>
      </c>
      <c r="D93" s="40">
        <f t="shared" si="5"/>
        <v>161043.0108</v>
      </c>
      <c r="E93" s="40"/>
      <c r="F93" s="40">
        <f t="shared" si="6"/>
        <v>277.1468999</v>
      </c>
      <c r="G93" s="40">
        <f t="shared" si="7"/>
        <v>705.7756899</v>
      </c>
      <c r="H93" s="102">
        <f t="shared" si="8"/>
        <v>0</v>
      </c>
      <c r="I93" s="103">
        <f t="shared" si="9"/>
        <v>0</v>
      </c>
      <c r="J93" s="104">
        <f t="shared" si="10"/>
        <v>0.7503263148</v>
      </c>
      <c r="K93" s="68">
        <f t="shared" si="11"/>
        <v>204.17</v>
      </c>
      <c r="L93" s="105">
        <f t="shared" si="12"/>
        <v>1187.09259</v>
      </c>
      <c r="M93" s="1"/>
      <c r="N93" s="1"/>
      <c r="O93" s="1"/>
      <c r="P93" s="1"/>
      <c r="Q93" s="40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ht="12.75" customHeight="1">
      <c r="A94" s="1"/>
      <c r="B94" s="100">
        <v>72.0</v>
      </c>
      <c r="C94" s="101">
        <f t="shared" si="13"/>
        <v>48309</v>
      </c>
      <c r="D94" s="40">
        <f t="shared" si="5"/>
        <v>160764.6514</v>
      </c>
      <c r="E94" s="40"/>
      <c r="F94" s="40">
        <f t="shared" si="6"/>
        <v>278.3594176</v>
      </c>
      <c r="G94" s="40">
        <f t="shared" si="7"/>
        <v>704.5631722</v>
      </c>
      <c r="H94" s="102">
        <f t="shared" si="8"/>
        <v>0</v>
      </c>
      <c r="I94" s="103">
        <f t="shared" si="9"/>
        <v>0</v>
      </c>
      <c r="J94" s="104">
        <f t="shared" si="10"/>
        <v>0.7490372595</v>
      </c>
      <c r="K94" s="68">
        <f t="shared" si="11"/>
        <v>204.17</v>
      </c>
      <c r="L94" s="105">
        <f t="shared" si="12"/>
        <v>1187.09259</v>
      </c>
      <c r="M94" s="1"/>
      <c r="N94" s="1"/>
      <c r="O94" s="1"/>
      <c r="P94" s="1"/>
      <c r="Q94" s="40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ht="12.75" customHeight="1">
      <c r="A95" s="1"/>
      <c r="B95" s="100">
        <v>73.0</v>
      </c>
      <c r="C95" s="101">
        <f t="shared" si="13"/>
        <v>48339</v>
      </c>
      <c r="D95" s="40">
        <f t="shared" si="5"/>
        <v>160485.0741</v>
      </c>
      <c r="E95" s="40"/>
      <c r="F95" s="40">
        <f t="shared" si="6"/>
        <v>279.5772401</v>
      </c>
      <c r="G95" s="40">
        <f t="shared" si="7"/>
        <v>703.3453497</v>
      </c>
      <c r="H95" s="102">
        <f t="shared" si="8"/>
        <v>0</v>
      </c>
      <c r="I95" s="103">
        <f t="shared" si="9"/>
        <v>0</v>
      </c>
      <c r="J95" s="104">
        <f t="shared" si="10"/>
        <v>0.7477425645</v>
      </c>
      <c r="K95" s="68">
        <f t="shared" si="11"/>
        <v>204.17</v>
      </c>
      <c r="L95" s="105">
        <f t="shared" si="12"/>
        <v>1187.09259</v>
      </c>
      <c r="M95" s="1"/>
      <c r="N95" s="1"/>
      <c r="O95" s="1"/>
      <c r="P95" s="1"/>
      <c r="Q95" s="40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ht="12.75" customHeight="1">
      <c r="A96" s="1"/>
      <c r="B96" s="100">
        <v>74.0</v>
      </c>
      <c r="C96" s="101">
        <f t="shared" si="13"/>
        <v>48370</v>
      </c>
      <c r="D96" s="40">
        <f t="shared" si="5"/>
        <v>160204.2737</v>
      </c>
      <c r="E96" s="40"/>
      <c r="F96" s="40">
        <f t="shared" si="6"/>
        <v>280.8003905</v>
      </c>
      <c r="G96" s="40">
        <f t="shared" si="7"/>
        <v>702.1221993</v>
      </c>
      <c r="H96" s="102">
        <f t="shared" si="8"/>
        <v>0</v>
      </c>
      <c r="I96" s="103">
        <f t="shared" si="9"/>
        <v>0</v>
      </c>
      <c r="J96" s="104">
        <f t="shared" si="10"/>
        <v>0.7464422052</v>
      </c>
      <c r="K96" s="68">
        <f t="shared" si="11"/>
        <v>204.17</v>
      </c>
      <c r="L96" s="105">
        <f t="shared" si="12"/>
        <v>1187.09259</v>
      </c>
      <c r="M96" s="1"/>
      <c r="N96" s="1"/>
      <c r="O96" s="1"/>
      <c r="P96" s="1"/>
      <c r="Q96" s="40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ht="12.75" customHeight="1">
      <c r="A97" s="1"/>
      <c r="B97" s="100">
        <v>75.0</v>
      </c>
      <c r="C97" s="101">
        <f t="shared" si="13"/>
        <v>48400</v>
      </c>
      <c r="D97" s="40">
        <f t="shared" si="5"/>
        <v>159922.2448</v>
      </c>
      <c r="E97" s="40"/>
      <c r="F97" s="40">
        <f t="shared" si="6"/>
        <v>282.0288922</v>
      </c>
      <c r="G97" s="40">
        <f t="shared" si="7"/>
        <v>700.8936976</v>
      </c>
      <c r="H97" s="102">
        <f t="shared" si="8"/>
        <v>0</v>
      </c>
      <c r="I97" s="103">
        <f t="shared" si="9"/>
        <v>0</v>
      </c>
      <c r="J97" s="104">
        <f t="shared" si="10"/>
        <v>0.7451361569</v>
      </c>
      <c r="K97" s="68">
        <f t="shared" si="11"/>
        <v>204.17</v>
      </c>
      <c r="L97" s="105">
        <f t="shared" si="12"/>
        <v>1187.09259</v>
      </c>
      <c r="M97" s="1"/>
      <c r="N97" s="1"/>
      <c r="O97" s="1"/>
      <c r="P97" s="1"/>
      <c r="Q97" s="40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ht="12.75" customHeight="1">
      <c r="A98" s="1"/>
      <c r="B98" s="100">
        <v>76.0</v>
      </c>
      <c r="C98" s="101">
        <f t="shared" si="13"/>
        <v>48431</v>
      </c>
      <c r="D98" s="40">
        <f t="shared" si="5"/>
        <v>159638.9821</v>
      </c>
      <c r="E98" s="40"/>
      <c r="F98" s="40">
        <f t="shared" si="6"/>
        <v>283.2627686</v>
      </c>
      <c r="G98" s="40">
        <f t="shared" si="7"/>
        <v>699.6598212</v>
      </c>
      <c r="H98" s="102">
        <f t="shared" si="8"/>
        <v>0</v>
      </c>
      <c r="I98" s="103">
        <f t="shared" si="9"/>
        <v>0</v>
      </c>
      <c r="J98" s="104">
        <f t="shared" si="10"/>
        <v>0.7438243946</v>
      </c>
      <c r="K98" s="68">
        <f t="shared" si="11"/>
        <v>204.17</v>
      </c>
      <c r="L98" s="105">
        <f t="shared" si="12"/>
        <v>1187.09259</v>
      </c>
      <c r="M98" s="1"/>
      <c r="N98" s="1"/>
      <c r="O98" s="1"/>
      <c r="P98" s="1"/>
      <c r="Q98" s="40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ht="12.75" customHeight="1">
      <c r="A99" s="1"/>
      <c r="B99" s="100">
        <v>77.0</v>
      </c>
      <c r="C99" s="101">
        <f t="shared" si="13"/>
        <v>48462</v>
      </c>
      <c r="D99" s="40">
        <f t="shared" si="5"/>
        <v>159354.48</v>
      </c>
      <c r="E99" s="40"/>
      <c r="F99" s="40">
        <f t="shared" si="6"/>
        <v>284.5020432</v>
      </c>
      <c r="G99" s="40">
        <f t="shared" si="7"/>
        <v>698.4205466</v>
      </c>
      <c r="H99" s="102">
        <f t="shared" si="8"/>
        <v>0</v>
      </c>
      <c r="I99" s="103">
        <f t="shared" si="9"/>
        <v>0</v>
      </c>
      <c r="J99" s="104">
        <f t="shared" si="10"/>
        <v>0.7425068934</v>
      </c>
      <c r="K99" s="68">
        <f t="shared" si="11"/>
        <v>204.17</v>
      </c>
      <c r="L99" s="105">
        <f t="shared" si="12"/>
        <v>1187.09259</v>
      </c>
      <c r="M99" s="1"/>
      <c r="N99" s="1"/>
      <c r="O99" s="1"/>
      <c r="P99" s="1"/>
      <c r="Q99" s="40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ht="12.75" customHeight="1">
      <c r="A100" s="1"/>
      <c r="B100" s="100">
        <v>78.0</v>
      </c>
      <c r="C100" s="101">
        <f t="shared" si="13"/>
        <v>48492</v>
      </c>
      <c r="D100" s="40">
        <f t="shared" si="5"/>
        <v>159068.7333</v>
      </c>
      <c r="E100" s="40"/>
      <c r="F100" s="40">
        <f t="shared" si="6"/>
        <v>285.7467397</v>
      </c>
      <c r="G100" s="40">
        <f t="shared" si="7"/>
        <v>697.1758501</v>
      </c>
      <c r="H100" s="102">
        <f t="shared" si="8"/>
        <v>0</v>
      </c>
      <c r="I100" s="103">
        <f t="shared" si="9"/>
        <v>0</v>
      </c>
      <c r="J100" s="104">
        <f t="shared" si="10"/>
        <v>0.7411836281</v>
      </c>
      <c r="K100" s="68">
        <f t="shared" si="11"/>
        <v>204.17</v>
      </c>
      <c r="L100" s="105">
        <f t="shared" si="12"/>
        <v>1187.09259</v>
      </c>
      <c r="M100" s="1"/>
      <c r="N100" s="1"/>
      <c r="O100" s="1"/>
      <c r="P100" s="1"/>
      <c r="Q100" s="40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ht="12.75" customHeight="1">
      <c r="A101" s="1"/>
      <c r="B101" s="100">
        <v>79.0</v>
      </c>
      <c r="C101" s="101">
        <f t="shared" si="13"/>
        <v>48523</v>
      </c>
      <c r="D101" s="40">
        <f t="shared" si="5"/>
        <v>158781.7364</v>
      </c>
      <c r="E101" s="40"/>
      <c r="F101" s="40">
        <f t="shared" si="6"/>
        <v>286.9968817</v>
      </c>
      <c r="G101" s="40">
        <f t="shared" si="7"/>
        <v>695.9257082</v>
      </c>
      <c r="H101" s="102">
        <f t="shared" si="8"/>
        <v>0</v>
      </c>
      <c r="I101" s="103">
        <f t="shared" si="9"/>
        <v>0</v>
      </c>
      <c r="J101" s="104">
        <f t="shared" si="10"/>
        <v>0.7398545734</v>
      </c>
      <c r="K101" s="68">
        <f t="shared" si="11"/>
        <v>204.17</v>
      </c>
      <c r="L101" s="105">
        <f t="shared" si="12"/>
        <v>1187.09259</v>
      </c>
      <c r="M101" s="1"/>
      <c r="N101" s="1"/>
      <c r="O101" s="1"/>
      <c r="P101" s="1"/>
      <c r="Q101" s="40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ht="12.75" customHeight="1">
      <c r="A102" s="1"/>
      <c r="B102" s="100">
        <v>80.0</v>
      </c>
      <c r="C102" s="101">
        <f t="shared" si="13"/>
        <v>48553</v>
      </c>
      <c r="D102" s="40">
        <f t="shared" si="5"/>
        <v>158493.4839</v>
      </c>
      <c r="E102" s="40"/>
      <c r="F102" s="40">
        <f t="shared" si="6"/>
        <v>288.252493</v>
      </c>
      <c r="G102" s="40">
        <f t="shared" si="7"/>
        <v>694.6700968</v>
      </c>
      <c r="H102" s="102">
        <f t="shared" si="8"/>
        <v>0</v>
      </c>
      <c r="I102" s="103">
        <f t="shared" si="9"/>
        <v>0</v>
      </c>
      <c r="J102" s="104">
        <f t="shared" si="10"/>
        <v>0.7385197042</v>
      </c>
      <c r="K102" s="68">
        <f t="shared" si="11"/>
        <v>204.17</v>
      </c>
      <c r="L102" s="105">
        <f t="shared" si="12"/>
        <v>1187.09259</v>
      </c>
      <c r="M102" s="1"/>
      <c r="N102" s="1"/>
      <c r="O102" s="1"/>
      <c r="P102" s="1"/>
      <c r="Q102" s="40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ht="12.75" customHeight="1">
      <c r="A103" s="1"/>
      <c r="B103" s="100">
        <v>81.0</v>
      </c>
      <c r="C103" s="101">
        <f t="shared" si="13"/>
        <v>48584</v>
      </c>
      <c r="D103" s="40">
        <f t="shared" si="5"/>
        <v>158203.9703</v>
      </c>
      <c r="E103" s="40"/>
      <c r="F103" s="40">
        <f t="shared" si="6"/>
        <v>289.5135977</v>
      </c>
      <c r="G103" s="40">
        <f t="shared" si="7"/>
        <v>693.4089921</v>
      </c>
      <c r="H103" s="102">
        <f t="shared" si="8"/>
        <v>0</v>
      </c>
      <c r="I103" s="103">
        <f t="shared" si="9"/>
        <v>0</v>
      </c>
      <c r="J103" s="104">
        <f t="shared" si="10"/>
        <v>0.737178995</v>
      </c>
      <c r="K103" s="68">
        <f t="shared" si="11"/>
        <v>204.17</v>
      </c>
      <c r="L103" s="105">
        <f t="shared" si="12"/>
        <v>1187.09259</v>
      </c>
      <c r="M103" s="1"/>
      <c r="N103" s="1"/>
      <c r="O103" s="1"/>
      <c r="P103" s="1"/>
      <c r="Q103" s="40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ht="12.75" customHeight="1">
      <c r="A104" s="1"/>
      <c r="B104" s="100">
        <v>82.0</v>
      </c>
      <c r="C104" s="101">
        <f t="shared" si="13"/>
        <v>48615</v>
      </c>
      <c r="D104" s="40">
        <f t="shared" si="5"/>
        <v>157913.1901</v>
      </c>
      <c r="E104" s="40"/>
      <c r="F104" s="40">
        <f t="shared" si="6"/>
        <v>290.7802197</v>
      </c>
      <c r="G104" s="40">
        <f t="shared" si="7"/>
        <v>692.1423701</v>
      </c>
      <c r="H104" s="102">
        <f t="shared" si="8"/>
        <v>0</v>
      </c>
      <c r="I104" s="103">
        <f t="shared" si="9"/>
        <v>0</v>
      </c>
      <c r="J104" s="104">
        <f t="shared" si="10"/>
        <v>0.7358324201</v>
      </c>
      <c r="K104" s="68">
        <f t="shared" si="11"/>
        <v>204.17</v>
      </c>
      <c r="L104" s="105">
        <f t="shared" si="12"/>
        <v>1187.09259</v>
      </c>
      <c r="M104" s="1"/>
      <c r="N104" s="1"/>
      <c r="O104" s="1"/>
      <c r="P104" s="1"/>
      <c r="Q104" s="40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ht="12.75" customHeight="1">
      <c r="A105" s="1"/>
      <c r="B105" s="100">
        <v>83.0</v>
      </c>
      <c r="C105" s="101">
        <f t="shared" si="13"/>
        <v>48643</v>
      </c>
      <c r="D105" s="40">
        <f t="shared" si="5"/>
        <v>157621.1377</v>
      </c>
      <c r="E105" s="40"/>
      <c r="F105" s="40">
        <f t="shared" si="6"/>
        <v>292.0523831</v>
      </c>
      <c r="G105" s="40">
        <f t="shared" si="7"/>
        <v>690.8702067</v>
      </c>
      <c r="H105" s="102">
        <f t="shared" si="8"/>
        <v>0</v>
      </c>
      <c r="I105" s="103">
        <f t="shared" si="9"/>
        <v>0</v>
      </c>
      <c r="J105" s="104">
        <f t="shared" si="10"/>
        <v>0.734479954</v>
      </c>
      <c r="K105" s="68">
        <f t="shared" si="11"/>
        <v>204.17</v>
      </c>
      <c r="L105" s="105">
        <f t="shared" si="12"/>
        <v>1187.09259</v>
      </c>
      <c r="M105" s="1"/>
      <c r="N105" s="1"/>
      <c r="O105" s="1"/>
      <c r="P105" s="1"/>
      <c r="Q105" s="40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ht="12.75" customHeight="1">
      <c r="A106" s="1"/>
      <c r="B106" s="100">
        <v>84.0</v>
      </c>
      <c r="C106" s="101">
        <f t="shared" si="13"/>
        <v>48674</v>
      </c>
      <c r="D106" s="40">
        <f t="shared" si="5"/>
        <v>157327.8076</v>
      </c>
      <c r="E106" s="40"/>
      <c r="F106" s="40">
        <f t="shared" si="6"/>
        <v>293.3301123</v>
      </c>
      <c r="G106" s="40">
        <f t="shared" si="7"/>
        <v>689.5924775</v>
      </c>
      <c r="H106" s="102">
        <f t="shared" si="8"/>
        <v>0</v>
      </c>
      <c r="I106" s="103">
        <f t="shared" si="9"/>
        <v>0</v>
      </c>
      <c r="J106" s="104">
        <f t="shared" si="10"/>
        <v>0.7331215708</v>
      </c>
      <c r="K106" s="68">
        <f t="shared" si="11"/>
        <v>204.17</v>
      </c>
      <c r="L106" s="105">
        <f t="shared" si="12"/>
        <v>1187.09259</v>
      </c>
      <c r="M106" s="1"/>
      <c r="N106" s="1"/>
      <c r="O106" s="1"/>
      <c r="P106" s="1"/>
      <c r="Q106" s="40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ht="12.75" customHeight="1">
      <c r="A107" s="1"/>
      <c r="B107" s="100">
        <v>85.0</v>
      </c>
      <c r="C107" s="101">
        <f t="shared" si="13"/>
        <v>48704</v>
      </c>
      <c r="D107" s="40">
        <f t="shared" si="5"/>
        <v>157033.1942</v>
      </c>
      <c r="E107" s="40"/>
      <c r="F107" s="40">
        <f t="shared" si="6"/>
        <v>294.6134315</v>
      </c>
      <c r="G107" s="40">
        <f t="shared" si="7"/>
        <v>688.3091583</v>
      </c>
      <c r="H107" s="102">
        <f t="shared" si="8"/>
        <v>0</v>
      </c>
      <c r="I107" s="103">
        <f t="shared" si="9"/>
        <v>0</v>
      </c>
      <c r="J107" s="104">
        <f t="shared" si="10"/>
        <v>0.7317572447</v>
      </c>
      <c r="K107" s="68">
        <f t="shared" si="11"/>
        <v>204.17</v>
      </c>
      <c r="L107" s="105">
        <f t="shared" si="12"/>
        <v>1187.09259</v>
      </c>
      <c r="M107" s="1"/>
      <c r="N107" s="1"/>
      <c r="O107" s="1"/>
      <c r="P107" s="1"/>
      <c r="Q107" s="40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ht="12.75" customHeight="1">
      <c r="A108" s="1"/>
      <c r="B108" s="100">
        <v>86.0</v>
      </c>
      <c r="C108" s="101">
        <f t="shared" si="13"/>
        <v>48735</v>
      </c>
      <c r="D108" s="40">
        <f t="shared" si="5"/>
        <v>156737.2918</v>
      </c>
      <c r="E108" s="40"/>
      <c r="F108" s="40">
        <f t="shared" si="6"/>
        <v>295.9023653</v>
      </c>
      <c r="G108" s="40">
        <f t="shared" si="7"/>
        <v>687.0202245</v>
      </c>
      <c r="H108" s="102">
        <f t="shared" si="8"/>
        <v>0</v>
      </c>
      <c r="I108" s="103">
        <f t="shared" si="9"/>
        <v>0</v>
      </c>
      <c r="J108" s="104">
        <f t="shared" si="10"/>
        <v>0.7303869496</v>
      </c>
      <c r="K108" s="68">
        <f t="shared" si="11"/>
        <v>204.17</v>
      </c>
      <c r="L108" s="105">
        <f t="shared" si="12"/>
        <v>1187.09259</v>
      </c>
      <c r="M108" s="1"/>
      <c r="N108" s="1"/>
      <c r="O108" s="1"/>
      <c r="P108" s="1"/>
      <c r="Q108" s="40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ht="12.75" customHeight="1">
      <c r="A109" s="1"/>
      <c r="B109" s="100">
        <v>87.0</v>
      </c>
      <c r="C109" s="101">
        <f t="shared" si="13"/>
        <v>48765</v>
      </c>
      <c r="D109" s="40">
        <f t="shared" si="5"/>
        <v>156440.0949</v>
      </c>
      <c r="E109" s="40"/>
      <c r="F109" s="40">
        <f t="shared" si="6"/>
        <v>297.1969382</v>
      </c>
      <c r="G109" s="40">
        <f t="shared" si="7"/>
        <v>685.7256517</v>
      </c>
      <c r="H109" s="102">
        <f t="shared" si="8"/>
        <v>0</v>
      </c>
      <c r="I109" s="103">
        <f t="shared" si="9"/>
        <v>0</v>
      </c>
      <c r="J109" s="104">
        <f t="shared" si="10"/>
        <v>0.7290106596</v>
      </c>
      <c r="K109" s="68">
        <f t="shared" si="11"/>
        <v>204.17</v>
      </c>
      <c r="L109" s="105">
        <f t="shared" si="12"/>
        <v>1187.09259</v>
      </c>
      <c r="M109" s="1"/>
      <c r="N109" s="1"/>
      <c r="O109" s="1"/>
      <c r="P109" s="1"/>
      <c r="Q109" s="40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ht="12.75" customHeight="1">
      <c r="A110" s="1"/>
      <c r="B110" s="100">
        <v>88.0</v>
      </c>
      <c r="C110" s="101">
        <f t="shared" si="13"/>
        <v>48796</v>
      </c>
      <c r="D110" s="40">
        <f t="shared" si="5"/>
        <v>156141.5977</v>
      </c>
      <c r="E110" s="40"/>
      <c r="F110" s="40">
        <f t="shared" si="6"/>
        <v>298.4971748</v>
      </c>
      <c r="G110" s="40">
        <f t="shared" si="7"/>
        <v>684.4254151</v>
      </c>
      <c r="H110" s="102">
        <f t="shared" si="8"/>
        <v>0</v>
      </c>
      <c r="I110" s="103">
        <f t="shared" si="9"/>
        <v>0</v>
      </c>
      <c r="J110" s="104">
        <f t="shared" si="10"/>
        <v>0.7276283482</v>
      </c>
      <c r="K110" s="68">
        <f t="shared" si="11"/>
        <v>204.17</v>
      </c>
      <c r="L110" s="105">
        <f t="shared" si="12"/>
        <v>1187.09259</v>
      </c>
      <c r="M110" s="1"/>
      <c r="N110" s="1"/>
      <c r="O110" s="1"/>
      <c r="P110" s="1"/>
      <c r="Q110" s="40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ht="12.75" customHeight="1">
      <c r="A111" s="1"/>
      <c r="B111" s="100">
        <v>89.0</v>
      </c>
      <c r="C111" s="101">
        <f t="shared" si="13"/>
        <v>48827</v>
      </c>
      <c r="D111" s="40">
        <f t="shared" si="5"/>
        <v>155841.7946</v>
      </c>
      <c r="E111" s="40"/>
      <c r="F111" s="40">
        <f t="shared" si="6"/>
        <v>299.8030999</v>
      </c>
      <c r="G111" s="40">
        <f t="shared" si="7"/>
        <v>683.1194899</v>
      </c>
      <c r="H111" s="102">
        <f t="shared" si="8"/>
        <v>0</v>
      </c>
      <c r="I111" s="103">
        <f t="shared" si="9"/>
        <v>0</v>
      </c>
      <c r="J111" s="104">
        <f t="shared" si="10"/>
        <v>0.7262399893</v>
      </c>
      <c r="K111" s="68">
        <f t="shared" si="11"/>
        <v>204.17</v>
      </c>
      <c r="L111" s="105">
        <f t="shared" si="12"/>
        <v>1187.09259</v>
      </c>
      <c r="M111" s="1"/>
      <c r="N111" s="1"/>
      <c r="O111" s="1"/>
      <c r="P111" s="1"/>
      <c r="Q111" s="40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ht="12.75" customHeight="1">
      <c r="A112" s="1"/>
      <c r="B112" s="100">
        <v>90.0</v>
      </c>
      <c r="C112" s="101">
        <f t="shared" si="13"/>
        <v>48857</v>
      </c>
      <c r="D112" s="40">
        <f t="shared" si="5"/>
        <v>155540.6799</v>
      </c>
      <c r="E112" s="40"/>
      <c r="F112" s="40">
        <f t="shared" si="6"/>
        <v>301.1147385</v>
      </c>
      <c r="G112" s="40">
        <f t="shared" si="7"/>
        <v>681.8078514</v>
      </c>
      <c r="H112" s="102">
        <f t="shared" si="8"/>
        <v>0</v>
      </c>
      <c r="I112" s="103">
        <f t="shared" si="9"/>
        <v>0</v>
      </c>
      <c r="J112" s="104">
        <f t="shared" si="10"/>
        <v>0.7248455563</v>
      </c>
      <c r="K112" s="68">
        <f t="shared" si="11"/>
        <v>204.17</v>
      </c>
      <c r="L112" s="105">
        <f t="shared" si="12"/>
        <v>1187.09259</v>
      </c>
      <c r="M112" s="1"/>
      <c r="N112" s="1"/>
      <c r="O112" s="1"/>
      <c r="P112" s="1"/>
      <c r="Q112" s="40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ht="12.75" customHeight="1">
      <c r="A113" s="1"/>
      <c r="B113" s="100">
        <v>91.0</v>
      </c>
      <c r="C113" s="101">
        <f t="shared" si="13"/>
        <v>48888</v>
      </c>
      <c r="D113" s="40">
        <f t="shared" si="5"/>
        <v>155238.2477</v>
      </c>
      <c r="E113" s="40"/>
      <c r="F113" s="40">
        <f t="shared" si="6"/>
        <v>302.4321154</v>
      </c>
      <c r="G113" s="40">
        <f t="shared" si="7"/>
        <v>680.4904744</v>
      </c>
      <c r="H113" s="102">
        <f t="shared" si="8"/>
        <v>0</v>
      </c>
      <c r="I113" s="103">
        <f t="shared" si="9"/>
        <v>0</v>
      </c>
      <c r="J113" s="104">
        <f t="shared" si="10"/>
        <v>0.7234450226</v>
      </c>
      <c r="K113" s="68">
        <f t="shared" si="11"/>
        <v>204.17</v>
      </c>
      <c r="L113" s="105">
        <f t="shared" si="12"/>
        <v>1187.09259</v>
      </c>
      <c r="M113" s="1"/>
      <c r="N113" s="1"/>
      <c r="O113" s="1"/>
      <c r="P113" s="1"/>
      <c r="Q113" s="40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ht="12.75" customHeight="1">
      <c r="A114" s="1"/>
      <c r="B114" s="100">
        <v>92.0</v>
      </c>
      <c r="C114" s="101">
        <f t="shared" si="13"/>
        <v>48918</v>
      </c>
      <c r="D114" s="40">
        <f t="shared" si="5"/>
        <v>154934.4925</v>
      </c>
      <c r="E114" s="40"/>
      <c r="F114" s="40">
        <f t="shared" si="6"/>
        <v>303.7552559</v>
      </c>
      <c r="G114" s="40">
        <f t="shared" si="7"/>
        <v>679.1673339</v>
      </c>
      <c r="H114" s="102">
        <f t="shared" si="8"/>
        <v>0</v>
      </c>
      <c r="I114" s="103">
        <f t="shared" si="9"/>
        <v>0</v>
      </c>
      <c r="J114" s="104">
        <f t="shared" si="10"/>
        <v>0.7220383616</v>
      </c>
      <c r="K114" s="68">
        <f t="shared" si="11"/>
        <v>204.17</v>
      </c>
      <c r="L114" s="105">
        <f t="shared" si="12"/>
        <v>1187.09259</v>
      </c>
      <c r="M114" s="1"/>
      <c r="N114" s="1"/>
      <c r="O114" s="1"/>
      <c r="P114" s="1"/>
      <c r="Q114" s="40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ht="12.75" customHeight="1">
      <c r="A115" s="1"/>
      <c r="B115" s="100">
        <v>93.0</v>
      </c>
      <c r="C115" s="101">
        <f t="shared" si="13"/>
        <v>48949</v>
      </c>
      <c r="D115" s="40">
        <f t="shared" si="5"/>
        <v>154629.4083</v>
      </c>
      <c r="E115" s="40"/>
      <c r="F115" s="40">
        <f t="shared" si="6"/>
        <v>305.0841852</v>
      </c>
      <c r="G115" s="40">
        <f t="shared" si="7"/>
        <v>677.8384046</v>
      </c>
      <c r="H115" s="102">
        <f t="shared" si="8"/>
        <v>0</v>
      </c>
      <c r="I115" s="103">
        <f t="shared" si="9"/>
        <v>0</v>
      </c>
      <c r="J115" s="104">
        <f t="shared" si="10"/>
        <v>0.7206255464</v>
      </c>
      <c r="K115" s="68">
        <f t="shared" si="11"/>
        <v>204.17</v>
      </c>
      <c r="L115" s="105">
        <f t="shared" si="12"/>
        <v>1187.09259</v>
      </c>
      <c r="M115" s="1"/>
      <c r="N115" s="1"/>
      <c r="O115" s="1"/>
      <c r="P115" s="1"/>
      <c r="Q115" s="40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ht="12.75" customHeight="1">
      <c r="A116" s="1"/>
      <c r="B116" s="100">
        <v>94.0</v>
      </c>
      <c r="C116" s="101">
        <f t="shared" si="13"/>
        <v>48980</v>
      </c>
      <c r="D116" s="40">
        <f t="shared" si="5"/>
        <v>154322.9894</v>
      </c>
      <c r="E116" s="40"/>
      <c r="F116" s="40">
        <f t="shared" si="6"/>
        <v>306.4189285</v>
      </c>
      <c r="G116" s="40">
        <f t="shared" si="7"/>
        <v>676.5036613</v>
      </c>
      <c r="H116" s="102">
        <f t="shared" si="8"/>
        <v>0</v>
      </c>
      <c r="I116" s="103">
        <f t="shared" si="9"/>
        <v>0</v>
      </c>
      <c r="J116" s="104">
        <f t="shared" si="10"/>
        <v>0.7192065502</v>
      </c>
      <c r="K116" s="68">
        <f t="shared" si="11"/>
        <v>204.17</v>
      </c>
      <c r="L116" s="105">
        <f t="shared" si="12"/>
        <v>1187.09259</v>
      </c>
      <c r="M116" s="1"/>
      <c r="N116" s="1"/>
      <c r="O116" s="1"/>
      <c r="P116" s="1"/>
      <c r="Q116" s="40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ht="12.75" customHeight="1">
      <c r="A117" s="1"/>
      <c r="B117" s="100">
        <v>95.0</v>
      </c>
      <c r="C117" s="101">
        <f t="shared" si="13"/>
        <v>49008</v>
      </c>
      <c r="D117" s="40">
        <f t="shared" si="5"/>
        <v>154015.2299</v>
      </c>
      <c r="E117" s="40"/>
      <c r="F117" s="40">
        <f t="shared" si="6"/>
        <v>307.7595113</v>
      </c>
      <c r="G117" s="40">
        <f t="shared" si="7"/>
        <v>675.1630785</v>
      </c>
      <c r="H117" s="102">
        <f t="shared" si="8"/>
        <v>0</v>
      </c>
      <c r="I117" s="103">
        <f t="shared" si="9"/>
        <v>0</v>
      </c>
      <c r="J117" s="104">
        <f t="shared" si="10"/>
        <v>0.7177813459</v>
      </c>
      <c r="K117" s="68">
        <f t="shared" si="11"/>
        <v>204.17</v>
      </c>
      <c r="L117" s="105">
        <f t="shared" si="12"/>
        <v>1187.09259</v>
      </c>
      <c r="M117" s="1"/>
      <c r="N117" s="1"/>
      <c r="O117" s="1"/>
      <c r="P117" s="1"/>
      <c r="Q117" s="40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ht="12.75" customHeight="1">
      <c r="A118" s="1"/>
      <c r="B118" s="100">
        <v>96.0</v>
      </c>
      <c r="C118" s="101">
        <f t="shared" si="13"/>
        <v>49039</v>
      </c>
      <c r="D118" s="40">
        <f t="shared" si="5"/>
        <v>153706.1239</v>
      </c>
      <c r="E118" s="40"/>
      <c r="F118" s="40">
        <f t="shared" si="6"/>
        <v>309.1059592</v>
      </c>
      <c r="G118" s="40">
        <f t="shared" si="7"/>
        <v>673.8166306</v>
      </c>
      <c r="H118" s="102">
        <f t="shared" si="8"/>
        <v>0</v>
      </c>
      <c r="I118" s="103">
        <f t="shared" si="9"/>
        <v>0</v>
      </c>
      <c r="J118" s="104">
        <f t="shared" si="10"/>
        <v>0.7163499063</v>
      </c>
      <c r="K118" s="68">
        <f t="shared" si="11"/>
        <v>204.17</v>
      </c>
      <c r="L118" s="105">
        <f t="shared" si="12"/>
        <v>1187.09259</v>
      </c>
      <c r="M118" s="1"/>
      <c r="N118" s="1"/>
      <c r="O118" s="1"/>
      <c r="P118" s="1"/>
      <c r="Q118" s="40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ht="12.75" customHeight="1">
      <c r="A119" s="1"/>
      <c r="B119" s="100">
        <v>97.0</v>
      </c>
      <c r="C119" s="101">
        <f t="shared" si="13"/>
        <v>49069</v>
      </c>
      <c r="D119" s="40">
        <f t="shared" si="5"/>
        <v>153395.6656</v>
      </c>
      <c r="E119" s="40"/>
      <c r="F119" s="40">
        <f t="shared" si="6"/>
        <v>310.4582977</v>
      </c>
      <c r="G119" s="40">
        <f t="shared" si="7"/>
        <v>672.4642921</v>
      </c>
      <c r="H119" s="102">
        <f t="shared" si="8"/>
        <v>0</v>
      </c>
      <c r="I119" s="103">
        <f t="shared" si="9"/>
        <v>0</v>
      </c>
      <c r="J119" s="104">
        <f t="shared" si="10"/>
        <v>0.7149122042</v>
      </c>
      <c r="K119" s="68">
        <f t="shared" si="11"/>
        <v>204.17</v>
      </c>
      <c r="L119" s="105">
        <f t="shared" si="12"/>
        <v>1187.09259</v>
      </c>
      <c r="M119" s="1"/>
      <c r="N119" s="1"/>
      <c r="O119" s="1"/>
      <c r="P119" s="1"/>
      <c r="Q119" s="40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ht="12.75" customHeight="1">
      <c r="A120" s="1"/>
      <c r="B120" s="100">
        <v>98.0</v>
      </c>
      <c r="C120" s="101">
        <f t="shared" si="13"/>
        <v>49100</v>
      </c>
      <c r="D120" s="40">
        <f t="shared" si="5"/>
        <v>153083.8491</v>
      </c>
      <c r="E120" s="40"/>
      <c r="F120" s="40">
        <f t="shared" si="6"/>
        <v>311.8165528</v>
      </c>
      <c r="G120" s="40">
        <f t="shared" si="7"/>
        <v>671.106037</v>
      </c>
      <c r="H120" s="102">
        <f t="shared" si="8"/>
        <v>0</v>
      </c>
      <c r="I120" s="103">
        <f t="shared" si="9"/>
        <v>0</v>
      </c>
      <c r="J120" s="104">
        <f t="shared" si="10"/>
        <v>0.7134682121</v>
      </c>
      <c r="K120" s="68">
        <f t="shared" si="11"/>
        <v>204.17</v>
      </c>
      <c r="L120" s="105">
        <f t="shared" si="12"/>
        <v>1187.09259</v>
      </c>
      <c r="M120" s="1"/>
      <c r="N120" s="1"/>
      <c r="O120" s="1"/>
      <c r="P120" s="1"/>
      <c r="Q120" s="40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ht="12.75" customHeight="1">
      <c r="A121" s="1"/>
      <c r="B121" s="100">
        <v>99.0</v>
      </c>
      <c r="C121" s="101">
        <f t="shared" si="13"/>
        <v>49130</v>
      </c>
      <c r="D121" s="40">
        <f t="shared" si="5"/>
        <v>152770.6683</v>
      </c>
      <c r="E121" s="40"/>
      <c r="F121" s="40">
        <f t="shared" si="6"/>
        <v>313.1807502</v>
      </c>
      <c r="G121" s="40">
        <f t="shared" si="7"/>
        <v>669.7418396</v>
      </c>
      <c r="H121" s="102">
        <f t="shared" si="8"/>
        <v>0</v>
      </c>
      <c r="I121" s="103">
        <f t="shared" si="9"/>
        <v>0</v>
      </c>
      <c r="J121" s="104">
        <f t="shared" si="10"/>
        <v>0.7120179026</v>
      </c>
      <c r="K121" s="68">
        <f t="shared" si="11"/>
        <v>204.17</v>
      </c>
      <c r="L121" s="105">
        <f t="shared" si="12"/>
        <v>1187.09259</v>
      </c>
      <c r="M121" s="1"/>
      <c r="N121" s="1"/>
      <c r="O121" s="1"/>
      <c r="P121" s="1"/>
      <c r="Q121" s="40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ht="12.75" customHeight="1">
      <c r="A122" s="1"/>
      <c r="B122" s="100">
        <v>100.0</v>
      </c>
      <c r="C122" s="101">
        <f t="shared" si="13"/>
        <v>49161</v>
      </c>
      <c r="D122" s="40">
        <f t="shared" si="5"/>
        <v>152456.1174</v>
      </c>
      <c r="E122" s="40"/>
      <c r="F122" s="40">
        <f t="shared" si="6"/>
        <v>314.550916</v>
      </c>
      <c r="G122" s="40">
        <f t="shared" si="7"/>
        <v>668.3716738</v>
      </c>
      <c r="H122" s="102">
        <f t="shared" si="8"/>
        <v>0</v>
      </c>
      <c r="I122" s="103">
        <f t="shared" si="9"/>
        <v>0</v>
      </c>
      <c r="J122" s="104">
        <f t="shared" si="10"/>
        <v>0.7105612479</v>
      </c>
      <c r="K122" s="68">
        <f t="shared" si="11"/>
        <v>204.17</v>
      </c>
      <c r="L122" s="105">
        <f t="shared" si="12"/>
        <v>1187.09259</v>
      </c>
      <c r="M122" s="1"/>
      <c r="N122" s="1"/>
      <c r="O122" s="1"/>
      <c r="P122" s="1"/>
      <c r="Q122" s="40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ht="12.75" customHeight="1">
      <c r="A123" s="1"/>
      <c r="B123" s="100">
        <v>101.0</v>
      </c>
      <c r="C123" s="101">
        <f t="shared" si="13"/>
        <v>49192</v>
      </c>
      <c r="D123" s="40">
        <f t="shared" si="5"/>
        <v>152140.1903</v>
      </c>
      <c r="E123" s="40"/>
      <c r="F123" s="40">
        <f t="shared" si="6"/>
        <v>315.9270763</v>
      </c>
      <c r="G123" s="40">
        <f t="shared" si="7"/>
        <v>666.9955136</v>
      </c>
      <c r="H123" s="102">
        <f t="shared" si="8"/>
        <v>0</v>
      </c>
      <c r="I123" s="103">
        <f t="shared" si="9"/>
        <v>0</v>
      </c>
      <c r="J123" s="104">
        <f t="shared" si="10"/>
        <v>0.7090982204</v>
      </c>
      <c r="K123" s="68">
        <f t="shared" si="11"/>
        <v>204.17</v>
      </c>
      <c r="L123" s="105">
        <f t="shared" si="12"/>
        <v>1187.09259</v>
      </c>
      <c r="M123" s="1"/>
      <c r="N123" s="1"/>
      <c r="O123" s="1"/>
      <c r="P123" s="1"/>
      <c r="Q123" s="40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ht="12.75" customHeight="1">
      <c r="A124" s="1"/>
      <c r="B124" s="100">
        <v>102.0</v>
      </c>
      <c r="C124" s="101">
        <f t="shared" si="13"/>
        <v>49222</v>
      </c>
      <c r="D124" s="40">
        <f t="shared" si="5"/>
        <v>151822.8811</v>
      </c>
      <c r="E124" s="40"/>
      <c r="F124" s="40">
        <f t="shared" si="6"/>
        <v>317.3092572</v>
      </c>
      <c r="G124" s="40">
        <f t="shared" si="7"/>
        <v>665.6133326</v>
      </c>
      <c r="H124" s="102">
        <f t="shared" si="8"/>
        <v>0</v>
      </c>
      <c r="I124" s="103">
        <f t="shared" si="9"/>
        <v>0</v>
      </c>
      <c r="J124" s="104">
        <f t="shared" si="10"/>
        <v>0.7076287921</v>
      </c>
      <c r="K124" s="68">
        <f t="shared" si="11"/>
        <v>204.17</v>
      </c>
      <c r="L124" s="105">
        <f t="shared" si="12"/>
        <v>1187.09259</v>
      </c>
      <c r="M124" s="1"/>
      <c r="N124" s="1"/>
      <c r="O124" s="1"/>
      <c r="P124" s="1"/>
      <c r="Q124" s="40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ht="12.75" customHeight="1">
      <c r="A125" s="1"/>
      <c r="B125" s="100">
        <v>103.0</v>
      </c>
      <c r="C125" s="101">
        <f t="shared" si="13"/>
        <v>49253</v>
      </c>
      <c r="D125" s="40">
        <f t="shared" si="5"/>
        <v>151504.1836</v>
      </c>
      <c r="E125" s="40"/>
      <c r="F125" s="40">
        <f t="shared" si="6"/>
        <v>318.6974852</v>
      </c>
      <c r="G125" s="40">
        <f t="shared" si="7"/>
        <v>664.2251046</v>
      </c>
      <c r="H125" s="102">
        <f t="shared" si="8"/>
        <v>0</v>
      </c>
      <c r="I125" s="103">
        <f t="shared" si="9"/>
        <v>0</v>
      </c>
      <c r="J125" s="104">
        <f t="shared" si="10"/>
        <v>0.7061529351</v>
      </c>
      <c r="K125" s="68">
        <f t="shared" si="11"/>
        <v>204.17</v>
      </c>
      <c r="L125" s="105">
        <f t="shared" si="12"/>
        <v>1187.09259</v>
      </c>
      <c r="M125" s="1"/>
      <c r="N125" s="1"/>
      <c r="O125" s="1"/>
      <c r="P125" s="1"/>
      <c r="Q125" s="40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ht="12.75" customHeight="1">
      <c r="A126" s="1"/>
      <c r="B126" s="100">
        <v>104.0</v>
      </c>
      <c r="C126" s="101">
        <f t="shared" si="13"/>
        <v>49283</v>
      </c>
      <c r="D126" s="40">
        <f t="shared" si="5"/>
        <v>151184.0918</v>
      </c>
      <c r="E126" s="40"/>
      <c r="F126" s="40">
        <f t="shared" si="6"/>
        <v>320.0917867</v>
      </c>
      <c r="G126" s="40">
        <f t="shared" si="7"/>
        <v>662.8308031</v>
      </c>
      <c r="H126" s="102">
        <f t="shared" si="8"/>
        <v>0</v>
      </c>
      <c r="I126" s="103">
        <f t="shared" si="9"/>
        <v>0</v>
      </c>
      <c r="J126" s="104">
        <f t="shared" si="10"/>
        <v>0.7046706212</v>
      </c>
      <c r="K126" s="68">
        <f t="shared" si="11"/>
        <v>204.17</v>
      </c>
      <c r="L126" s="105">
        <f t="shared" si="12"/>
        <v>1187.09259</v>
      </c>
      <c r="M126" s="1"/>
      <c r="N126" s="1"/>
      <c r="O126" s="1"/>
      <c r="P126" s="1"/>
      <c r="Q126" s="40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ht="12.75" customHeight="1">
      <c r="A127" s="1"/>
      <c r="B127" s="100">
        <v>105.0</v>
      </c>
      <c r="C127" s="101">
        <f t="shared" si="13"/>
        <v>49314</v>
      </c>
      <c r="D127" s="40">
        <f t="shared" si="5"/>
        <v>150862.5996</v>
      </c>
      <c r="E127" s="40"/>
      <c r="F127" s="40">
        <f t="shared" si="6"/>
        <v>321.4921883</v>
      </c>
      <c r="G127" s="40">
        <f t="shared" si="7"/>
        <v>661.4304015</v>
      </c>
      <c r="H127" s="102">
        <f t="shared" si="8"/>
        <v>0</v>
      </c>
      <c r="I127" s="103">
        <f t="shared" si="9"/>
        <v>0</v>
      </c>
      <c r="J127" s="104">
        <f t="shared" si="10"/>
        <v>0.7031818222</v>
      </c>
      <c r="K127" s="68">
        <f t="shared" si="11"/>
        <v>204.17</v>
      </c>
      <c r="L127" s="105">
        <f t="shared" si="12"/>
        <v>1187.09259</v>
      </c>
      <c r="M127" s="1"/>
      <c r="N127" s="1"/>
      <c r="O127" s="1"/>
      <c r="P127" s="1"/>
      <c r="Q127" s="40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ht="12.75" customHeight="1">
      <c r="A128" s="1"/>
      <c r="B128" s="100">
        <v>106.0</v>
      </c>
      <c r="C128" s="101">
        <f t="shared" si="13"/>
        <v>49345</v>
      </c>
      <c r="D128" s="40">
        <f t="shared" si="5"/>
        <v>150539.7009</v>
      </c>
      <c r="E128" s="40"/>
      <c r="F128" s="40">
        <f t="shared" si="6"/>
        <v>322.8987166</v>
      </c>
      <c r="G128" s="40">
        <f t="shared" si="7"/>
        <v>660.0238732</v>
      </c>
      <c r="H128" s="102">
        <f t="shared" si="8"/>
        <v>0</v>
      </c>
      <c r="I128" s="103">
        <f t="shared" si="9"/>
        <v>0</v>
      </c>
      <c r="J128" s="104">
        <f t="shared" si="10"/>
        <v>0.7016865097</v>
      </c>
      <c r="K128" s="68">
        <f t="shared" si="11"/>
        <v>204.17</v>
      </c>
      <c r="L128" s="105">
        <f t="shared" si="12"/>
        <v>1187.09259</v>
      </c>
      <c r="M128" s="1"/>
      <c r="N128" s="1"/>
      <c r="O128" s="1"/>
      <c r="P128" s="1"/>
      <c r="Q128" s="40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ht="12.75" customHeight="1">
      <c r="A129" s="1"/>
      <c r="B129" s="100">
        <v>107.0</v>
      </c>
      <c r="C129" s="101">
        <f t="shared" si="13"/>
        <v>49373</v>
      </c>
      <c r="D129" s="40">
        <f t="shared" si="5"/>
        <v>150215.3895</v>
      </c>
      <c r="E129" s="40"/>
      <c r="F129" s="40">
        <f t="shared" si="6"/>
        <v>324.3113985</v>
      </c>
      <c r="G129" s="40">
        <f t="shared" si="7"/>
        <v>658.6111913</v>
      </c>
      <c r="H129" s="102">
        <f t="shared" si="8"/>
        <v>0</v>
      </c>
      <c r="I129" s="103">
        <f t="shared" si="9"/>
        <v>0</v>
      </c>
      <c r="J129" s="104">
        <f t="shared" si="10"/>
        <v>0.7001846552</v>
      </c>
      <c r="K129" s="68">
        <f t="shared" si="11"/>
        <v>204.17</v>
      </c>
      <c r="L129" s="105">
        <f t="shared" si="12"/>
        <v>1187.09259</v>
      </c>
      <c r="M129" s="1"/>
      <c r="N129" s="1"/>
      <c r="O129" s="1"/>
      <c r="P129" s="1"/>
      <c r="Q129" s="40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ht="12.75" customHeight="1">
      <c r="A130" s="1"/>
      <c r="B130" s="100">
        <v>108.0</v>
      </c>
      <c r="C130" s="101">
        <f t="shared" si="13"/>
        <v>49404</v>
      </c>
      <c r="D130" s="40">
        <f t="shared" si="5"/>
        <v>149889.6592</v>
      </c>
      <c r="E130" s="40"/>
      <c r="F130" s="40">
        <f t="shared" si="6"/>
        <v>325.7302609</v>
      </c>
      <c r="G130" s="40">
        <f t="shared" si="7"/>
        <v>657.192329</v>
      </c>
      <c r="H130" s="102">
        <f t="shared" si="8"/>
        <v>0</v>
      </c>
      <c r="I130" s="103">
        <f t="shared" si="9"/>
        <v>0</v>
      </c>
      <c r="J130" s="104">
        <f t="shared" si="10"/>
        <v>0.6986762301</v>
      </c>
      <c r="K130" s="68">
        <f t="shared" si="11"/>
        <v>204.17</v>
      </c>
      <c r="L130" s="105">
        <f t="shared" si="12"/>
        <v>1187.09259</v>
      </c>
      <c r="M130" s="1"/>
      <c r="N130" s="1"/>
      <c r="O130" s="1"/>
      <c r="P130" s="1"/>
      <c r="Q130" s="40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ht="12.75" customHeight="1">
      <c r="A131" s="1"/>
      <c r="B131" s="100">
        <v>109.0</v>
      </c>
      <c r="C131" s="101">
        <f t="shared" si="13"/>
        <v>49434</v>
      </c>
      <c r="D131" s="40">
        <f t="shared" si="5"/>
        <v>149562.5039</v>
      </c>
      <c r="E131" s="40"/>
      <c r="F131" s="40">
        <f t="shared" si="6"/>
        <v>327.1553308</v>
      </c>
      <c r="G131" s="40">
        <f t="shared" si="7"/>
        <v>655.7672591</v>
      </c>
      <c r="H131" s="102">
        <f t="shared" si="8"/>
        <v>0</v>
      </c>
      <c r="I131" s="103">
        <f t="shared" si="9"/>
        <v>0</v>
      </c>
      <c r="J131" s="104">
        <f t="shared" si="10"/>
        <v>0.6971612056</v>
      </c>
      <c r="K131" s="68">
        <f t="shared" si="11"/>
        <v>204.17</v>
      </c>
      <c r="L131" s="105">
        <f t="shared" si="12"/>
        <v>1187.09259</v>
      </c>
      <c r="M131" s="1"/>
      <c r="N131" s="1"/>
      <c r="O131" s="1"/>
      <c r="P131" s="1"/>
      <c r="Q131" s="40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ht="12.75" customHeight="1">
      <c r="A132" s="1"/>
      <c r="B132" s="100">
        <v>110.0</v>
      </c>
      <c r="C132" s="101">
        <f t="shared" si="13"/>
        <v>49465</v>
      </c>
      <c r="D132" s="40">
        <f t="shared" si="5"/>
        <v>149233.9172</v>
      </c>
      <c r="E132" s="40"/>
      <c r="F132" s="40">
        <f t="shared" si="6"/>
        <v>328.5866353</v>
      </c>
      <c r="G132" s="40">
        <f t="shared" si="7"/>
        <v>654.3359545</v>
      </c>
      <c r="H132" s="102">
        <f t="shared" si="8"/>
        <v>0</v>
      </c>
      <c r="I132" s="103">
        <f t="shared" si="9"/>
        <v>0</v>
      </c>
      <c r="J132" s="104">
        <f t="shared" si="10"/>
        <v>0.6956395529</v>
      </c>
      <c r="K132" s="68">
        <f t="shared" si="11"/>
        <v>204.17</v>
      </c>
      <c r="L132" s="105">
        <f t="shared" si="12"/>
        <v>1187.09259</v>
      </c>
      <c r="M132" s="1"/>
      <c r="N132" s="1"/>
      <c r="O132" s="1"/>
      <c r="P132" s="1"/>
      <c r="Q132" s="40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ht="12.75" customHeight="1">
      <c r="A133" s="1"/>
      <c r="B133" s="100">
        <v>111.0</v>
      </c>
      <c r="C133" s="101">
        <f t="shared" si="13"/>
        <v>49495</v>
      </c>
      <c r="D133" s="40">
        <f t="shared" si="5"/>
        <v>148903.893</v>
      </c>
      <c r="E133" s="40"/>
      <c r="F133" s="40">
        <f t="shared" si="6"/>
        <v>330.0242019</v>
      </c>
      <c r="G133" s="40">
        <f t="shared" si="7"/>
        <v>652.898388</v>
      </c>
      <c r="H133" s="102">
        <f t="shared" si="8"/>
        <v>0</v>
      </c>
      <c r="I133" s="103">
        <f t="shared" si="9"/>
        <v>0</v>
      </c>
      <c r="J133" s="104">
        <f t="shared" si="10"/>
        <v>0.694111243</v>
      </c>
      <c r="K133" s="68">
        <f t="shared" si="11"/>
        <v>204.17</v>
      </c>
      <c r="L133" s="105">
        <f t="shared" si="12"/>
        <v>1187.09259</v>
      </c>
      <c r="M133" s="1"/>
      <c r="N133" s="1"/>
      <c r="O133" s="1"/>
      <c r="P133" s="1"/>
      <c r="Q133" s="40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ht="12.75" customHeight="1">
      <c r="A134" s="1"/>
      <c r="B134" s="100">
        <v>112.0</v>
      </c>
      <c r="C134" s="101">
        <f t="shared" si="13"/>
        <v>49526</v>
      </c>
      <c r="D134" s="40">
        <f t="shared" si="5"/>
        <v>148572.425</v>
      </c>
      <c r="E134" s="40"/>
      <c r="F134" s="40">
        <f t="shared" si="6"/>
        <v>331.4680577</v>
      </c>
      <c r="G134" s="40">
        <f t="shared" si="7"/>
        <v>651.4545321</v>
      </c>
      <c r="H134" s="102">
        <f t="shared" si="8"/>
        <v>0</v>
      </c>
      <c r="I134" s="103">
        <f t="shared" si="9"/>
        <v>0</v>
      </c>
      <c r="J134" s="104">
        <f t="shared" si="10"/>
        <v>0.6925762467</v>
      </c>
      <c r="K134" s="68">
        <f t="shared" si="11"/>
        <v>204.17</v>
      </c>
      <c r="L134" s="105">
        <f t="shared" si="12"/>
        <v>1187.09259</v>
      </c>
      <c r="M134" s="1"/>
      <c r="N134" s="1"/>
      <c r="O134" s="1"/>
      <c r="P134" s="1"/>
      <c r="Q134" s="40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ht="12.75" customHeight="1">
      <c r="A135" s="1"/>
      <c r="B135" s="100">
        <v>113.0</v>
      </c>
      <c r="C135" s="101">
        <f t="shared" si="13"/>
        <v>49557</v>
      </c>
      <c r="D135" s="40">
        <f t="shared" si="5"/>
        <v>148239.5068</v>
      </c>
      <c r="E135" s="40"/>
      <c r="F135" s="40">
        <f t="shared" si="6"/>
        <v>332.9182305</v>
      </c>
      <c r="G135" s="40">
        <f t="shared" si="7"/>
        <v>650.0043593</v>
      </c>
      <c r="H135" s="102">
        <f t="shared" si="8"/>
        <v>0</v>
      </c>
      <c r="I135" s="103">
        <f t="shared" si="9"/>
        <v>0</v>
      </c>
      <c r="J135" s="104">
        <f t="shared" si="10"/>
        <v>0.6910345348</v>
      </c>
      <c r="K135" s="68">
        <f t="shared" si="11"/>
        <v>204.17</v>
      </c>
      <c r="L135" s="105">
        <f t="shared" si="12"/>
        <v>1187.09259</v>
      </c>
      <c r="M135" s="1"/>
      <c r="N135" s="1"/>
      <c r="O135" s="1"/>
      <c r="P135" s="1"/>
      <c r="Q135" s="40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ht="12.75" customHeight="1">
      <c r="A136" s="1"/>
      <c r="B136" s="100">
        <v>114.0</v>
      </c>
      <c r="C136" s="101">
        <f t="shared" si="13"/>
        <v>49587</v>
      </c>
      <c r="D136" s="40">
        <f t="shared" si="5"/>
        <v>147905.132</v>
      </c>
      <c r="E136" s="40"/>
      <c r="F136" s="40">
        <f t="shared" si="6"/>
        <v>334.3747477</v>
      </c>
      <c r="G136" s="40">
        <f t="shared" si="7"/>
        <v>648.5478421</v>
      </c>
      <c r="H136" s="102">
        <f t="shared" si="8"/>
        <v>0</v>
      </c>
      <c r="I136" s="103">
        <f t="shared" si="9"/>
        <v>0</v>
      </c>
      <c r="J136" s="104">
        <f t="shared" si="10"/>
        <v>0.6894860779</v>
      </c>
      <c r="K136" s="68">
        <f t="shared" si="11"/>
        <v>204.17</v>
      </c>
      <c r="L136" s="105">
        <f t="shared" si="12"/>
        <v>1187.09259</v>
      </c>
      <c r="M136" s="1"/>
      <c r="N136" s="1"/>
      <c r="O136" s="1"/>
      <c r="P136" s="1"/>
      <c r="Q136" s="40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ht="12.75" customHeight="1">
      <c r="A137" s="1"/>
      <c r="B137" s="100">
        <v>115.0</v>
      </c>
      <c r="C137" s="101">
        <f t="shared" si="13"/>
        <v>49618</v>
      </c>
      <c r="D137" s="40">
        <f t="shared" si="5"/>
        <v>147569.2944</v>
      </c>
      <c r="E137" s="40"/>
      <c r="F137" s="40">
        <f t="shared" si="6"/>
        <v>335.8376373</v>
      </c>
      <c r="G137" s="40">
        <f t="shared" si="7"/>
        <v>647.0849525</v>
      </c>
      <c r="H137" s="102">
        <f t="shared" si="8"/>
        <v>0</v>
      </c>
      <c r="I137" s="103">
        <f t="shared" si="9"/>
        <v>0</v>
      </c>
      <c r="J137" s="104">
        <f t="shared" si="10"/>
        <v>0.6879308466</v>
      </c>
      <c r="K137" s="68">
        <f t="shared" si="11"/>
        <v>204.17</v>
      </c>
      <c r="L137" s="105">
        <f t="shared" si="12"/>
        <v>1187.09259</v>
      </c>
      <c r="M137" s="1"/>
      <c r="N137" s="1"/>
      <c r="O137" s="1"/>
      <c r="P137" s="1"/>
      <c r="Q137" s="40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ht="12.75" customHeight="1">
      <c r="A138" s="1"/>
      <c r="B138" s="100">
        <v>116.0</v>
      </c>
      <c r="C138" s="101">
        <f t="shared" si="13"/>
        <v>49648</v>
      </c>
      <c r="D138" s="40">
        <f t="shared" si="5"/>
        <v>147231.9874</v>
      </c>
      <c r="E138" s="40"/>
      <c r="F138" s="40">
        <f t="shared" si="6"/>
        <v>337.3069269</v>
      </c>
      <c r="G138" s="40">
        <f t="shared" si="7"/>
        <v>645.6156629</v>
      </c>
      <c r="H138" s="102">
        <f t="shared" si="8"/>
        <v>0</v>
      </c>
      <c r="I138" s="103">
        <f t="shared" si="9"/>
        <v>0</v>
      </c>
      <c r="J138" s="104">
        <f t="shared" si="10"/>
        <v>0.686368811</v>
      </c>
      <c r="K138" s="68">
        <f t="shared" si="11"/>
        <v>204.17</v>
      </c>
      <c r="L138" s="105">
        <f t="shared" si="12"/>
        <v>1187.09259</v>
      </c>
      <c r="M138" s="1"/>
      <c r="N138" s="1"/>
      <c r="O138" s="1"/>
      <c r="P138" s="1"/>
      <c r="Q138" s="40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ht="12.75" customHeight="1">
      <c r="A139" s="1"/>
      <c r="B139" s="100">
        <v>117.0</v>
      </c>
      <c r="C139" s="101">
        <f t="shared" si="13"/>
        <v>49679</v>
      </c>
      <c r="D139" s="40">
        <f t="shared" si="5"/>
        <v>146893.2048</v>
      </c>
      <c r="E139" s="40"/>
      <c r="F139" s="40">
        <f t="shared" si="6"/>
        <v>338.7826447</v>
      </c>
      <c r="G139" s="40">
        <f t="shared" si="7"/>
        <v>644.1399451</v>
      </c>
      <c r="H139" s="102">
        <f t="shared" si="8"/>
        <v>0</v>
      </c>
      <c r="I139" s="103">
        <f t="shared" si="9"/>
        <v>0</v>
      </c>
      <c r="J139" s="104">
        <f t="shared" si="10"/>
        <v>0.6847999416</v>
      </c>
      <c r="K139" s="68">
        <f t="shared" si="11"/>
        <v>204.17</v>
      </c>
      <c r="L139" s="105">
        <f t="shared" si="12"/>
        <v>1187.09259</v>
      </c>
      <c r="M139" s="1"/>
      <c r="N139" s="1"/>
      <c r="O139" s="1"/>
      <c r="P139" s="1"/>
      <c r="Q139" s="40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ht="12.75" customHeight="1">
      <c r="A140" s="1"/>
      <c r="B140" s="100">
        <v>118.0</v>
      </c>
      <c r="C140" s="101">
        <f t="shared" si="13"/>
        <v>49710</v>
      </c>
      <c r="D140" s="40">
        <f t="shared" si="5"/>
        <v>146552.94</v>
      </c>
      <c r="E140" s="40"/>
      <c r="F140" s="40">
        <f t="shared" si="6"/>
        <v>340.2648188</v>
      </c>
      <c r="G140" s="40">
        <f t="shared" si="7"/>
        <v>642.657771</v>
      </c>
      <c r="H140" s="102">
        <f t="shared" si="8"/>
        <v>0</v>
      </c>
      <c r="I140" s="103">
        <f t="shared" si="9"/>
        <v>0</v>
      </c>
      <c r="J140" s="104">
        <f t="shared" si="10"/>
        <v>0.6832242084</v>
      </c>
      <c r="K140" s="68">
        <f t="shared" si="11"/>
        <v>204.17</v>
      </c>
      <c r="L140" s="105">
        <f t="shared" si="12"/>
        <v>1187.09259</v>
      </c>
      <c r="M140" s="1"/>
      <c r="N140" s="1"/>
      <c r="O140" s="1"/>
      <c r="P140" s="1"/>
      <c r="Q140" s="40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ht="12.75" customHeight="1">
      <c r="A141" s="1"/>
      <c r="B141" s="100">
        <v>119.0</v>
      </c>
      <c r="C141" s="101">
        <f t="shared" si="13"/>
        <v>49739</v>
      </c>
      <c r="D141" s="40">
        <f t="shared" si="5"/>
        <v>146211.1865</v>
      </c>
      <c r="E141" s="40"/>
      <c r="F141" s="40">
        <f t="shared" si="6"/>
        <v>341.7534774</v>
      </c>
      <c r="G141" s="40">
        <f t="shared" si="7"/>
        <v>641.1691124</v>
      </c>
      <c r="H141" s="102">
        <f t="shared" si="8"/>
        <v>0</v>
      </c>
      <c r="I141" s="103">
        <f t="shared" si="9"/>
        <v>0</v>
      </c>
      <c r="J141" s="104">
        <f t="shared" si="10"/>
        <v>0.6816415813</v>
      </c>
      <c r="K141" s="68">
        <f t="shared" si="11"/>
        <v>204.17</v>
      </c>
      <c r="L141" s="105">
        <f t="shared" si="12"/>
        <v>1187.09259</v>
      </c>
      <c r="M141" s="1"/>
      <c r="N141" s="1"/>
      <c r="O141" s="1"/>
      <c r="P141" s="1"/>
      <c r="Q141" s="40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ht="12.75" customHeight="1">
      <c r="A142" s="1"/>
      <c r="B142" s="100">
        <v>120.0</v>
      </c>
      <c r="C142" s="101">
        <f t="shared" si="13"/>
        <v>49770</v>
      </c>
      <c r="D142" s="40">
        <f t="shared" si="5"/>
        <v>145867.9379</v>
      </c>
      <c r="E142" s="40"/>
      <c r="F142" s="40">
        <f t="shared" si="6"/>
        <v>343.2486489</v>
      </c>
      <c r="G142" s="40">
        <f t="shared" si="7"/>
        <v>639.673941</v>
      </c>
      <c r="H142" s="102">
        <f t="shared" si="8"/>
        <v>0</v>
      </c>
      <c r="I142" s="103">
        <f t="shared" si="9"/>
        <v>0</v>
      </c>
      <c r="J142" s="104">
        <f t="shared" si="10"/>
        <v>0.6800520303</v>
      </c>
      <c r="K142" s="68">
        <f t="shared" si="11"/>
        <v>204.17</v>
      </c>
      <c r="L142" s="105">
        <f t="shared" si="12"/>
        <v>1187.09259</v>
      </c>
      <c r="M142" s="1"/>
      <c r="N142" s="1"/>
      <c r="O142" s="1"/>
      <c r="P142" s="1"/>
      <c r="Q142" s="40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ht="12.75" customHeight="1">
      <c r="A143" s="1"/>
      <c r="B143" s="100">
        <v>121.0</v>
      </c>
      <c r="C143" s="101">
        <f t="shared" si="13"/>
        <v>49800</v>
      </c>
      <c r="D143" s="40">
        <f t="shared" si="5"/>
        <v>145523.1875</v>
      </c>
      <c r="E143" s="40"/>
      <c r="F143" s="40">
        <f t="shared" si="6"/>
        <v>344.7503617</v>
      </c>
      <c r="G143" s="40">
        <f t="shared" si="7"/>
        <v>638.1722281</v>
      </c>
      <c r="H143" s="102">
        <f t="shared" si="8"/>
        <v>0</v>
      </c>
      <c r="I143" s="103">
        <f t="shared" si="9"/>
        <v>0</v>
      </c>
      <c r="J143" s="104">
        <f t="shared" si="10"/>
        <v>0.6784555249</v>
      </c>
      <c r="K143" s="68">
        <f t="shared" si="11"/>
        <v>204.17</v>
      </c>
      <c r="L143" s="105">
        <f t="shared" si="12"/>
        <v>1187.09259</v>
      </c>
      <c r="M143" s="1"/>
      <c r="N143" s="1"/>
      <c r="O143" s="1"/>
      <c r="P143" s="1"/>
      <c r="Q143" s="40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ht="12.75" customHeight="1">
      <c r="A144" s="1"/>
      <c r="B144" s="100">
        <v>122.0</v>
      </c>
      <c r="C144" s="101">
        <f t="shared" si="13"/>
        <v>49831</v>
      </c>
      <c r="D144" s="40">
        <f t="shared" si="5"/>
        <v>145176.9289</v>
      </c>
      <c r="E144" s="40"/>
      <c r="F144" s="40">
        <f t="shared" si="6"/>
        <v>346.2586445</v>
      </c>
      <c r="G144" s="40">
        <f t="shared" si="7"/>
        <v>636.6639453</v>
      </c>
      <c r="H144" s="102">
        <f t="shared" si="8"/>
        <v>0</v>
      </c>
      <c r="I144" s="103">
        <f t="shared" si="9"/>
        <v>0</v>
      </c>
      <c r="J144" s="104">
        <f t="shared" si="10"/>
        <v>0.6768520349</v>
      </c>
      <c r="K144" s="68">
        <f t="shared" si="11"/>
        <v>204.17</v>
      </c>
      <c r="L144" s="105">
        <f t="shared" si="12"/>
        <v>1187.09259</v>
      </c>
      <c r="M144" s="1"/>
      <c r="N144" s="1"/>
      <c r="O144" s="1"/>
      <c r="P144" s="1"/>
      <c r="Q144" s="40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ht="12.75" customHeight="1">
      <c r="A145" s="1"/>
      <c r="B145" s="100">
        <v>123.0</v>
      </c>
      <c r="C145" s="101">
        <f t="shared" si="13"/>
        <v>49861</v>
      </c>
      <c r="D145" s="40">
        <f t="shared" si="5"/>
        <v>144829.1553</v>
      </c>
      <c r="E145" s="40"/>
      <c r="F145" s="40">
        <f t="shared" si="6"/>
        <v>347.7735261</v>
      </c>
      <c r="G145" s="40">
        <f t="shared" si="7"/>
        <v>635.1490637</v>
      </c>
      <c r="H145" s="102">
        <f t="shared" si="8"/>
        <v>0</v>
      </c>
      <c r="I145" s="103">
        <f t="shared" si="9"/>
        <v>0</v>
      </c>
      <c r="J145" s="104">
        <f t="shared" si="10"/>
        <v>0.6752415295</v>
      </c>
      <c r="K145" s="68">
        <f t="shared" si="11"/>
        <v>204.17</v>
      </c>
      <c r="L145" s="105">
        <f t="shared" si="12"/>
        <v>1187.09259</v>
      </c>
      <c r="M145" s="1"/>
      <c r="N145" s="1"/>
      <c r="O145" s="1"/>
      <c r="P145" s="1"/>
      <c r="Q145" s="40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ht="12.75" customHeight="1">
      <c r="A146" s="1"/>
      <c r="B146" s="100">
        <v>124.0</v>
      </c>
      <c r="C146" s="101">
        <f t="shared" si="13"/>
        <v>49892</v>
      </c>
      <c r="D146" s="40">
        <f t="shared" si="5"/>
        <v>144479.8603</v>
      </c>
      <c r="E146" s="40"/>
      <c r="F146" s="40">
        <f t="shared" si="6"/>
        <v>349.2950353</v>
      </c>
      <c r="G146" s="40">
        <f t="shared" si="7"/>
        <v>633.6275545</v>
      </c>
      <c r="H146" s="102">
        <f t="shared" si="8"/>
        <v>0</v>
      </c>
      <c r="I146" s="103">
        <f t="shared" si="9"/>
        <v>0</v>
      </c>
      <c r="J146" s="104">
        <f t="shared" si="10"/>
        <v>0.6736239783</v>
      </c>
      <c r="K146" s="68">
        <f t="shared" si="11"/>
        <v>204.17</v>
      </c>
      <c r="L146" s="105">
        <f t="shared" si="12"/>
        <v>1187.09259</v>
      </c>
      <c r="M146" s="1"/>
      <c r="N146" s="1"/>
      <c r="O146" s="1"/>
      <c r="P146" s="1"/>
      <c r="Q146" s="40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ht="12.75" customHeight="1">
      <c r="A147" s="1"/>
      <c r="B147" s="100">
        <v>125.0</v>
      </c>
      <c r="C147" s="101">
        <f t="shared" si="13"/>
        <v>49923</v>
      </c>
      <c r="D147" s="40">
        <f t="shared" si="5"/>
        <v>144129.0371</v>
      </c>
      <c r="E147" s="40"/>
      <c r="F147" s="40">
        <f t="shared" si="6"/>
        <v>350.823201</v>
      </c>
      <c r="G147" s="40">
        <f t="shared" si="7"/>
        <v>632.0993888</v>
      </c>
      <c r="H147" s="102">
        <f t="shared" si="8"/>
        <v>0</v>
      </c>
      <c r="I147" s="103">
        <f t="shared" si="9"/>
        <v>0</v>
      </c>
      <c r="J147" s="104">
        <f t="shared" si="10"/>
        <v>0.6719993502</v>
      </c>
      <c r="K147" s="68">
        <f t="shared" si="11"/>
        <v>204.17</v>
      </c>
      <c r="L147" s="105">
        <f t="shared" si="12"/>
        <v>1187.09259</v>
      </c>
      <c r="M147" s="1"/>
      <c r="N147" s="1"/>
      <c r="O147" s="1"/>
      <c r="P147" s="1"/>
      <c r="Q147" s="40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ht="12.75" customHeight="1">
      <c r="A148" s="1"/>
      <c r="B148" s="100">
        <v>126.0</v>
      </c>
      <c r="C148" s="101">
        <f t="shared" si="13"/>
        <v>49953</v>
      </c>
      <c r="D148" s="40">
        <f t="shared" si="5"/>
        <v>143776.679</v>
      </c>
      <c r="E148" s="40"/>
      <c r="F148" s="40">
        <f t="shared" si="6"/>
        <v>352.3580526</v>
      </c>
      <c r="G148" s="40">
        <f t="shared" si="7"/>
        <v>630.5645373</v>
      </c>
      <c r="H148" s="102">
        <f t="shared" si="8"/>
        <v>0</v>
      </c>
      <c r="I148" s="103">
        <f t="shared" si="9"/>
        <v>0</v>
      </c>
      <c r="J148" s="104">
        <f t="shared" si="10"/>
        <v>0.6703676144</v>
      </c>
      <c r="K148" s="68">
        <f t="shared" si="11"/>
        <v>204.17</v>
      </c>
      <c r="L148" s="105">
        <f t="shared" si="12"/>
        <v>1187.09259</v>
      </c>
      <c r="M148" s="1"/>
      <c r="N148" s="1"/>
      <c r="O148" s="1"/>
      <c r="P148" s="1"/>
      <c r="Q148" s="40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ht="12.75" customHeight="1">
      <c r="A149" s="1"/>
      <c r="B149" s="100">
        <v>127.0</v>
      </c>
      <c r="C149" s="101">
        <f t="shared" si="13"/>
        <v>49984</v>
      </c>
      <c r="D149" s="40">
        <f t="shared" si="5"/>
        <v>143422.7794</v>
      </c>
      <c r="E149" s="40"/>
      <c r="F149" s="40">
        <f t="shared" si="6"/>
        <v>353.899619</v>
      </c>
      <c r="G149" s="40">
        <f t="shared" si="7"/>
        <v>629.0229708</v>
      </c>
      <c r="H149" s="102">
        <f t="shared" si="8"/>
        <v>0</v>
      </c>
      <c r="I149" s="103">
        <f t="shared" si="9"/>
        <v>0</v>
      </c>
      <c r="J149" s="104">
        <f t="shared" si="10"/>
        <v>0.6687287397</v>
      </c>
      <c r="K149" s="68">
        <f t="shared" si="11"/>
        <v>204.17</v>
      </c>
      <c r="L149" s="105">
        <f t="shared" si="12"/>
        <v>1187.09259</v>
      </c>
      <c r="M149" s="1"/>
      <c r="N149" s="1"/>
      <c r="O149" s="1"/>
      <c r="P149" s="1"/>
      <c r="Q149" s="40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ht="12.75" customHeight="1">
      <c r="A150" s="1"/>
      <c r="B150" s="100">
        <v>128.0</v>
      </c>
      <c r="C150" s="101">
        <f t="shared" si="13"/>
        <v>50014</v>
      </c>
      <c r="D150" s="40">
        <f t="shared" si="5"/>
        <v>143067.3315</v>
      </c>
      <c r="E150" s="40"/>
      <c r="F150" s="40">
        <f t="shared" si="6"/>
        <v>355.4479299</v>
      </c>
      <c r="G150" s="40">
        <f t="shared" si="7"/>
        <v>627.4746599</v>
      </c>
      <c r="H150" s="102">
        <f t="shared" si="8"/>
        <v>0</v>
      </c>
      <c r="I150" s="103">
        <f t="shared" si="9"/>
        <v>0</v>
      </c>
      <c r="J150" s="104">
        <f t="shared" si="10"/>
        <v>0.667082695</v>
      </c>
      <c r="K150" s="68">
        <f t="shared" si="11"/>
        <v>204.17</v>
      </c>
      <c r="L150" s="105">
        <f t="shared" si="12"/>
        <v>1187.09259</v>
      </c>
      <c r="M150" s="1"/>
      <c r="N150" s="1"/>
      <c r="O150" s="1"/>
      <c r="P150" s="1"/>
      <c r="Q150" s="40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ht="12.75" customHeight="1">
      <c r="A151" s="1"/>
      <c r="B151" s="100">
        <v>129.0</v>
      </c>
      <c r="C151" s="101">
        <f t="shared" si="13"/>
        <v>50045</v>
      </c>
      <c r="D151" s="40">
        <f t="shared" si="5"/>
        <v>142710.3285</v>
      </c>
      <c r="E151" s="40"/>
      <c r="F151" s="40">
        <f t="shared" si="6"/>
        <v>357.0030146</v>
      </c>
      <c r="G151" s="40">
        <f t="shared" si="7"/>
        <v>625.9195753</v>
      </c>
      <c r="H151" s="102">
        <f t="shared" si="8"/>
        <v>0</v>
      </c>
      <c r="I151" s="103">
        <f t="shared" si="9"/>
        <v>0</v>
      </c>
      <c r="J151" s="104">
        <f t="shared" si="10"/>
        <v>0.6654294488</v>
      </c>
      <c r="K151" s="68">
        <f t="shared" si="11"/>
        <v>204.17</v>
      </c>
      <c r="L151" s="105">
        <f t="shared" si="12"/>
        <v>1187.09259</v>
      </c>
      <c r="M151" s="1"/>
      <c r="N151" s="1"/>
      <c r="O151" s="1"/>
      <c r="P151" s="1"/>
      <c r="Q151" s="40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ht="12.75" customHeight="1">
      <c r="A152" s="1"/>
      <c r="B152" s="100">
        <v>130.0</v>
      </c>
      <c r="C152" s="101">
        <f t="shared" si="13"/>
        <v>50076</v>
      </c>
      <c r="D152" s="40">
        <f t="shared" si="5"/>
        <v>142351.7636</v>
      </c>
      <c r="E152" s="40"/>
      <c r="F152" s="40">
        <f t="shared" si="6"/>
        <v>358.5649027</v>
      </c>
      <c r="G152" s="40">
        <f t="shared" si="7"/>
        <v>624.3576871</v>
      </c>
      <c r="H152" s="102">
        <f t="shared" si="8"/>
        <v>0</v>
      </c>
      <c r="I152" s="103">
        <f t="shared" si="9"/>
        <v>0</v>
      </c>
      <c r="J152" s="104">
        <f t="shared" si="10"/>
        <v>0.6637689696</v>
      </c>
      <c r="K152" s="68">
        <f t="shared" si="11"/>
        <v>204.17</v>
      </c>
      <c r="L152" s="105">
        <f t="shared" si="12"/>
        <v>1187.09259</v>
      </c>
      <c r="M152" s="1"/>
      <c r="N152" s="1"/>
      <c r="O152" s="1"/>
      <c r="P152" s="1"/>
      <c r="Q152" s="40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  <row r="153" ht="12.75" customHeight="1">
      <c r="A153" s="1"/>
      <c r="B153" s="100">
        <v>131.0</v>
      </c>
      <c r="C153" s="101">
        <f t="shared" si="13"/>
        <v>50104</v>
      </c>
      <c r="D153" s="40">
        <f t="shared" si="5"/>
        <v>141991.6299</v>
      </c>
      <c r="E153" s="40"/>
      <c r="F153" s="40">
        <f t="shared" si="6"/>
        <v>360.1336242</v>
      </c>
      <c r="G153" s="40">
        <f t="shared" si="7"/>
        <v>622.7889656</v>
      </c>
      <c r="H153" s="102">
        <f t="shared" si="8"/>
        <v>0</v>
      </c>
      <c r="I153" s="103">
        <f t="shared" si="9"/>
        <v>0</v>
      </c>
      <c r="J153" s="104">
        <f t="shared" si="10"/>
        <v>0.6621012259</v>
      </c>
      <c r="K153" s="68">
        <f t="shared" si="11"/>
        <v>204.17</v>
      </c>
      <c r="L153" s="105">
        <f t="shared" si="12"/>
        <v>1187.09259</v>
      </c>
      <c r="M153" s="1"/>
      <c r="N153" s="1"/>
      <c r="O153" s="1"/>
      <c r="P153" s="1"/>
      <c r="Q153" s="40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</row>
    <row r="154" ht="12.75" customHeight="1">
      <c r="A154" s="1"/>
      <c r="B154" s="100">
        <v>132.0</v>
      </c>
      <c r="C154" s="101">
        <f t="shared" si="13"/>
        <v>50135</v>
      </c>
      <c r="D154" s="40">
        <f t="shared" si="5"/>
        <v>141629.9207</v>
      </c>
      <c r="E154" s="40"/>
      <c r="F154" s="40">
        <f t="shared" si="6"/>
        <v>361.7092088</v>
      </c>
      <c r="G154" s="40">
        <f t="shared" si="7"/>
        <v>621.213381</v>
      </c>
      <c r="H154" s="102">
        <f t="shared" si="8"/>
        <v>0</v>
      </c>
      <c r="I154" s="103">
        <f t="shared" si="9"/>
        <v>0</v>
      </c>
      <c r="J154" s="104">
        <f t="shared" si="10"/>
        <v>0.6604261858</v>
      </c>
      <c r="K154" s="68">
        <f t="shared" si="11"/>
        <v>204.17</v>
      </c>
      <c r="L154" s="105">
        <f t="shared" si="12"/>
        <v>1187.09259</v>
      </c>
      <c r="M154" s="1"/>
      <c r="N154" s="1"/>
      <c r="O154" s="1"/>
      <c r="P154" s="1"/>
      <c r="Q154" s="40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</row>
    <row r="155" ht="12.75" customHeight="1">
      <c r="A155" s="1"/>
      <c r="B155" s="100">
        <v>133.0</v>
      </c>
      <c r="C155" s="101">
        <f t="shared" si="13"/>
        <v>50165</v>
      </c>
      <c r="D155" s="40">
        <f t="shared" si="5"/>
        <v>141266.629</v>
      </c>
      <c r="E155" s="40"/>
      <c r="F155" s="40">
        <f t="shared" si="6"/>
        <v>363.2916866</v>
      </c>
      <c r="G155" s="40">
        <f t="shared" si="7"/>
        <v>619.6309032</v>
      </c>
      <c r="H155" s="102">
        <f t="shared" si="8"/>
        <v>0</v>
      </c>
      <c r="I155" s="103">
        <f t="shared" si="9"/>
        <v>0</v>
      </c>
      <c r="J155" s="104">
        <f t="shared" si="10"/>
        <v>0.6587438174</v>
      </c>
      <c r="K155" s="68">
        <f t="shared" si="11"/>
        <v>204.17</v>
      </c>
      <c r="L155" s="105">
        <f t="shared" si="12"/>
        <v>1187.09259</v>
      </c>
      <c r="M155" s="1"/>
      <c r="N155" s="1"/>
      <c r="O155" s="1"/>
      <c r="P155" s="1"/>
      <c r="Q155" s="40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</row>
    <row r="156" ht="12.75" customHeight="1">
      <c r="A156" s="1"/>
      <c r="B156" s="100">
        <v>134.0</v>
      </c>
      <c r="C156" s="101">
        <f t="shared" si="13"/>
        <v>50196</v>
      </c>
      <c r="D156" s="40">
        <f t="shared" si="5"/>
        <v>140901.748</v>
      </c>
      <c r="E156" s="40"/>
      <c r="F156" s="40">
        <f t="shared" si="6"/>
        <v>364.8810877</v>
      </c>
      <c r="G156" s="40">
        <f t="shared" si="7"/>
        <v>618.0415021</v>
      </c>
      <c r="H156" s="102">
        <f t="shared" si="8"/>
        <v>0</v>
      </c>
      <c r="I156" s="103">
        <f t="shared" si="9"/>
        <v>0</v>
      </c>
      <c r="J156" s="104">
        <f t="shared" si="10"/>
        <v>0.6570540886</v>
      </c>
      <c r="K156" s="68">
        <f t="shared" si="11"/>
        <v>204.17</v>
      </c>
      <c r="L156" s="105">
        <f t="shared" si="12"/>
        <v>1187.09259</v>
      </c>
      <c r="M156" s="1"/>
      <c r="N156" s="1"/>
      <c r="O156" s="1"/>
      <c r="P156" s="1"/>
      <c r="Q156" s="40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</row>
    <row r="157" ht="12.75" customHeight="1">
      <c r="A157" s="1"/>
      <c r="B157" s="100">
        <v>135.0</v>
      </c>
      <c r="C157" s="101">
        <f t="shared" si="13"/>
        <v>50226</v>
      </c>
      <c r="D157" s="40">
        <f t="shared" si="5"/>
        <v>140535.2705</v>
      </c>
      <c r="E157" s="40"/>
      <c r="F157" s="40">
        <f t="shared" si="6"/>
        <v>366.4774425</v>
      </c>
      <c r="G157" s="40">
        <f t="shared" si="7"/>
        <v>616.4451473</v>
      </c>
      <c r="H157" s="102">
        <f t="shared" si="8"/>
        <v>0</v>
      </c>
      <c r="I157" s="103">
        <f t="shared" si="9"/>
        <v>0</v>
      </c>
      <c r="J157" s="104">
        <f t="shared" si="10"/>
        <v>0.6553569673</v>
      </c>
      <c r="K157" s="68">
        <f t="shared" si="11"/>
        <v>204.17</v>
      </c>
      <c r="L157" s="105">
        <f t="shared" si="12"/>
        <v>1187.09259</v>
      </c>
      <c r="M157" s="1"/>
      <c r="N157" s="1"/>
      <c r="O157" s="1"/>
      <c r="P157" s="1"/>
      <c r="Q157" s="40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</row>
    <row r="158" ht="12.75" customHeight="1">
      <c r="A158" s="1"/>
      <c r="B158" s="100">
        <v>136.0</v>
      </c>
      <c r="C158" s="101">
        <f t="shared" si="13"/>
        <v>50257</v>
      </c>
      <c r="D158" s="40">
        <f t="shared" si="5"/>
        <v>140167.1897</v>
      </c>
      <c r="E158" s="40"/>
      <c r="F158" s="40">
        <f t="shared" si="6"/>
        <v>368.0807813</v>
      </c>
      <c r="G158" s="40">
        <f t="shared" si="7"/>
        <v>614.8418085</v>
      </c>
      <c r="H158" s="102">
        <f t="shared" si="8"/>
        <v>0</v>
      </c>
      <c r="I158" s="103">
        <f t="shared" si="9"/>
        <v>0</v>
      </c>
      <c r="J158" s="104">
        <f t="shared" si="10"/>
        <v>0.653652421</v>
      </c>
      <c r="K158" s="68">
        <f t="shared" si="11"/>
        <v>204.17</v>
      </c>
      <c r="L158" s="105">
        <f t="shared" si="12"/>
        <v>1187.09259</v>
      </c>
      <c r="M158" s="1"/>
      <c r="N158" s="1"/>
      <c r="O158" s="1"/>
      <c r="P158" s="1"/>
      <c r="Q158" s="40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</row>
    <row r="159" ht="12.75" customHeight="1">
      <c r="A159" s="1"/>
      <c r="B159" s="100">
        <v>137.0</v>
      </c>
      <c r="C159" s="101">
        <f t="shared" si="13"/>
        <v>50288</v>
      </c>
      <c r="D159" s="40">
        <f t="shared" si="5"/>
        <v>139797.4986</v>
      </c>
      <c r="E159" s="40"/>
      <c r="F159" s="40">
        <f t="shared" si="6"/>
        <v>369.6911347</v>
      </c>
      <c r="G159" s="40">
        <f t="shared" si="7"/>
        <v>613.2314551</v>
      </c>
      <c r="H159" s="102">
        <f t="shared" si="8"/>
        <v>0</v>
      </c>
      <c r="I159" s="103">
        <f t="shared" si="9"/>
        <v>0</v>
      </c>
      <c r="J159" s="104">
        <f t="shared" si="10"/>
        <v>0.6519404174</v>
      </c>
      <c r="K159" s="68">
        <f t="shared" si="11"/>
        <v>204.17</v>
      </c>
      <c r="L159" s="105">
        <f t="shared" si="12"/>
        <v>1187.09259</v>
      </c>
      <c r="M159" s="1"/>
      <c r="N159" s="1"/>
      <c r="O159" s="1"/>
      <c r="P159" s="1"/>
      <c r="Q159" s="40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</row>
    <row r="160" ht="12.75" customHeight="1">
      <c r="A160" s="1"/>
      <c r="B160" s="100">
        <v>138.0</v>
      </c>
      <c r="C160" s="101">
        <f t="shared" si="13"/>
        <v>50318</v>
      </c>
      <c r="D160" s="40">
        <f t="shared" si="5"/>
        <v>139426.1901</v>
      </c>
      <c r="E160" s="40"/>
      <c r="F160" s="40">
        <f t="shared" si="6"/>
        <v>371.3085334</v>
      </c>
      <c r="G160" s="40">
        <f t="shared" si="7"/>
        <v>611.6140564</v>
      </c>
      <c r="H160" s="102">
        <f t="shared" si="8"/>
        <v>0</v>
      </c>
      <c r="I160" s="103">
        <f t="shared" si="9"/>
        <v>0</v>
      </c>
      <c r="J160" s="104">
        <f t="shared" si="10"/>
        <v>0.6502209237</v>
      </c>
      <c r="K160" s="68">
        <f t="shared" si="11"/>
        <v>204.17</v>
      </c>
      <c r="L160" s="105">
        <f t="shared" si="12"/>
        <v>1187.09259</v>
      </c>
      <c r="M160" s="1"/>
      <c r="N160" s="1"/>
      <c r="O160" s="1"/>
      <c r="P160" s="1"/>
      <c r="Q160" s="40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</row>
    <row r="161" ht="12.75" customHeight="1">
      <c r="A161" s="1"/>
      <c r="B161" s="100">
        <v>139.0</v>
      </c>
      <c r="C161" s="101">
        <f t="shared" si="13"/>
        <v>50349</v>
      </c>
      <c r="D161" s="40">
        <f t="shared" si="5"/>
        <v>139053.2571</v>
      </c>
      <c r="E161" s="40"/>
      <c r="F161" s="40">
        <f t="shared" si="6"/>
        <v>372.9330083</v>
      </c>
      <c r="G161" s="40">
        <f t="shared" si="7"/>
        <v>609.9895816</v>
      </c>
      <c r="H161" s="102">
        <f t="shared" si="8"/>
        <v>0</v>
      </c>
      <c r="I161" s="103">
        <f t="shared" si="9"/>
        <v>0</v>
      </c>
      <c r="J161" s="104">
        <f t="shared" si="10"/>
        <v>0.6484939073</v>
      </c>
      <c r="K161" s="68">
        <f t="shared" si="11"/>
        <v>204.17</v>
      </c>
      <c r="L161" s="105">
        <f t="shared" si="12"/>
        <v>1187.09259</v>
      </c>
      <c r="M161" s="1"/>
      <c r="N161" s="1"/>
      <c r="O161" s="1"/>
      <c r="P161" s="1"/>
      <c r="Q161" s="40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</row>
    <row r="162" ht="12.75" customHeight="1">
      <c r="A162" s="1"/>
      <c r="B162" s="100">
        <v>140.0</v>
      </c>
      <c r="C162" s="101">
        <f t="shared" si="13"/>
        <v>50379</v>
      </c>
      <c r="D162" s="40">
        <f t="shared" si="5"/>
        <v>138678.6925</v>
      </c>
      <c r="E162" s="40"/>
      <c r="F162" s="40">
        <f t="shared" si="6"/>
        <v>374.5645902</v>
      </c>
      <c r="G162" s="40">
        <f t="shared" si="7"/>
        <v>608.3579996</v>
      </c>
      <c r="H162" s="102">
        <f t="shared" si="8"/>
        <v>0</v>
      </c>
      <c r="I162" s="103">
        <f t="shared" si="9"/>
        <v>0</v>
      </c>
      <c r="J162" s="104">
        <f t="shared" si="10"/>
        <v>0.6467593352</v>
      </c>
      <c r="K162" s="68">
        <f t="shared" si="11"/>
        <v>204.17</v>
      </c>
      <c r="L162" s="105">
        <f t="shared" si="12"/>
        <v>1187.09259</v>
      </c>
      <c r="M162" s="1"/>
      <c r="N162" s="1"/>
      <c r="O162" s="1"/>
      <c r="P162" s="1"/>
      <c r="Q162" s="40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</row>
    <row r="163" ht="12.75" customHeight="1">
      <c r="A163" s="1"/>
      <c r="B163" s="100">
        <v>141.0</v>
      </c>
      <c r="C163" s="101">
        <f t="shared" si="13"/>
        <v>50410</v>
      </c>
      <c r="D163" s="40">
        <f t="shared" si="5"/>
        <v>138302.4892</v>
      </c>
      <c r="E163" s="40"/>
      <c r="F163" s="40">
        <f t="shared" si="6"/>
        <v>376.2033103</v>
      </c>
      <c r="G163" s="40">
        <f t="shared" si="7"/>
        <v>606.7192796</v>
      </c>
      <c r="H163" s="102">
        <f t="shared" si="8"/>
        <v>0</v>
      </c>
      <c r="I163" s="103">
        <f t="shared" si="9"/>
        <v>0</v>
      </c>
      <c r="J163" s="104">
        <f t="shared" si="10"/>
        <v>0.6450171743</v>
      </c>
      <c r="K163" s="68">
        <f t="shared" si="11"/>
        <v>204.17</v>
      </c>
      <c r="L163" s="105">
        <f t="shared" si="12"/>
        <v>1187.09259</v>
      </c>
      <c r="M163" s="1"/>
      <c r="N163" s="1"/>
      <c r="O163" s="1"/>
      <c r="P163" s="1"/>
      <c r="Q163" s="40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</row>
    <row r="164" ht="12.75" customHeight="1">
      <c r="A164" s="1"/>
      <c r="B164" s="100">
        <v>142.0</v>
      </c>
      <c r="C164" s="101">
        <f t="shared" si="13"/>
        <v>50441</v>
      </c>
      <c r="D164" s="40">
        <f t="shared" si="5"/>
        <v>137924.64</v>
      </c>
      <c r="E164" s="40"/>
      <c r="F164" s="40">
        <f t="shared" si="6"/>
        <v>377.8491997</v>
      </c>
      <c r="G164" s="40">
        <f t="shared" si="7"/>
        <v>605.0733901</v>
      </c>
      <c r="H164" s="102">
        <f t="shared" si="8"/>
        <v>0</v>
      </c>
      <c r="I164" s="103">
        <f t="shared" si="9"/>
        <v>0</v>
      </c>
      <c r="J164" s="104">
        <f t="shared" si="10"/>
        <v>0.6432673914</v>
      </c>
      <c r="K164" s="68">
        <f t="shared" si="11"/>
        <v>204.17</v>
      </c>
      <c r="L164" s="105">
        <f t="shared" si="12"/>
        <v>1187.09259</v>
      </c>
      <c r="M164" s="1"/>
      <c r="N164" s="1"/>
      <c r="O164" s="1"/>
      <c r="P164" s="1"/>
      <c r="Q164" s="40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</row>
    <row r="165" ht="12.75" customHeight="1">
      <c r="A165" s="1"/>
      <c r="B165" s="100">
        <v>143.0</v>
      </c>
      <c r="C165" s="101">
        <f t="shared" si="13"/>
        <v>50469</v>
      </c>
      <c r="D165" s="40">
        <f t="shared" si="5"/>
        <v>137545.1377</v>
      </c>
      <c r="E165" s="40"/>
      <c r="F165" s="40">
        <f t="shared" si="6"/>
        <v>379.50229</v>
      </c>
      <c r="G165" s="40">
        <f t="shared" si="7"/>
        <v>603.4202998</v>
      </c>
      <c r="H165" s="102">
        <f t="shared" si="8"/>
        <v>0</v>
      </c>
      <c r="I165" s="103">
        <f t="shared" si="9"/>
        <v>0</v>
      </c>
      <c r="J165" s="104">
        <f t="shared" si="10"/>
        <v>0.6415099533</v>
      </c>
      <c r="K165" s="68">
        <f t="shared" si="11"/>
        <v>204.17</v>
      </c>
      <c r="L165" s="105">
        <f t="shared" si="12"/>
        <v>1187.09259</v>
      </c>
      <c r="M165" s="1"/>
      <c r="N165" s="1"/>
      <c r="O165" s="1"/>
      <c r="P165" s="1"/>
      <c r="Q165" s="40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</row>
    <row r="166" ht="12.75" customHeight="1">
      <c r="A166" s="1"/>
      <c r="B166" s="100">
        <v>144.0</v>
      </c>
      <c r="C166" s="101">
        <f t="shared" si="13"/>
        <v>50500</v>
      </c>
      <c r="D166" s="40">
        <f t="shared" si="5"/>
        <v>137163.9751</v>
      </c>
      <c r="E166" s="40"/>
      <c r="F166" s="40">
        <f t="shared" si="6"/>
        <v>381.1626125</v>
      </c>
      <c r="G166" s="40">
        <f t="shared" si="7"/>
        <v>601.7599773</v>
      </c>
      <c r="H166" s="102">
        <f t="shared" si="8"/>
        <v>0</v>
      </c>
      <c r="I166" s="103">
        <f t="shared" si="9"/>
        <v>0</v>
      </c>
      <c r="J166" s="104">
        <f t="shared" si="10"/>
        <v>0.6397448264</v>
      </c>
      <c r="K166" s="68">
        <f t="shared" si="11"/>
        <v>204.17</v>
      </c>
      <c r="L166" s="105">
        <f t="shared" si="12"/>
        <v>1187.09259</v>
      </c>
      <c r="M166" s="1"/>
      <c r="N166" s="1"/>
      <c r="O166" s="1"/>
      <c r="P166" s="1"/>
      <c r="Q166" s="40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</row>
    <row r="167" ht="12.75" customHeight="1">
      <c r="A167" s="1"/>
      <c r="B167" s="100">
        <v>145.0</v>
      </c>
      <c r="C167" s="101">
        <f t="shared" si="13"/>
        <v>50530</v>
      </c>
      <c r="D167" s="40">
        <f t="shared" si="5"/>
        <v>136781.1449</v>
      </c>
      <c r="E167" s="40"/>
      <c r="F167" s="40">
        <f t="shared" si="6"/>
        <v>382.8301989</v>
      </c>
      <c r="G167" s="40">
        <f t="shared" si="7"/>
        <v>600.0923909</v>
      </c>
      <c r="H167" s="102">
        <f t="shared" si="8"/>
        <v>0</v>
      </c>
      <c r="I167" s="103">
        <f t="shared" si="9"/>
        <v>0</v>
      </c>
      <c r="J167" s="104">
        <f t="shared" si="10"/>
        <v>0.637971977</v>
      </c>
      <c r="K167" s="68">
        <f t="shared" si="11"/>
        <v>204.17</v>
      </c>
      <c r="L167" s="105">
        <f t="shared" si="12"/>
        <v>1187.09259</v>
      </c>
      <c r="M167" s="1"/>
      <c r="N167" s="1"/>
      <c r="O167" s="1"/>
      <c r="P167" s="1"/>
      <c r="Q167" s="40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</row>
    <row r="168" ht="12.75" customHeight="1">
      <c r="A168" s="1"/>
      <c r="B168" s="100">
        <v>146.0</v>
      </c>
      <c r="C168" s="101">
        <f t="shared" si="13"/>
        <v>50561</v>
      </c>
      <c r="D168" s="40">
        <f t="shared" si="5"/>
        <v>136396.6398</v>
      </c>
      <c r="E168" s="40"/>
      <c r="F168" s="40">
        <f t="shared" si="6"/>
        <v>384.5050811</v>
      </c>
      <c r="G168" s="40">
        <f t="shared" si="7"/>
        <v>598.4175088</v>
      </c>
      <c r="H168" s="102">
        <f t="shared" si="8"/>
        <v>0</v>
      </c>
      <c r="I168" s="103">
        <f t="shared" si="9"/>
        <v>0</v>
      </c>
      <c r="J168" s="104">
        <f t="shared" si="10"/>
        <v>0.6361913714</v>
      </c>
      <c r="K168" s="68">
        <f t="shared" si="11"/>
        <v>204.17</v>
      </c>
      <c r="L168" s="105">
        <f t="shared" si="12"/>
        <v>1187.09259</v>
      </c>
      <c r="M168" s="1"/>
      <c r="N168" s="1"/>
      <c r="O168" s="1"/>
      <c r="P168" s="1"/>
      <c r="Q168" s="40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</row>
    <row r="169" ht="12.75" customHeight="1">
      <c r="A169" s="1"/>
      <c r="B169" s="100">
        <v>147.0</v>
      </c>
      <c r="C169" s="101">
        <f t="shared" si="13"/>
        <v>50591</v>
      </c>
      <c r="D169" s="40">
        <f t="shared" si="5"/>
        <v>136010.4525</v>
      </c>
      <c r="E169" s="40"/>
      <c r="F169" s="40">
        <f t="shared" si="6"/>
        <v>386.1872908</v>
      </c>
      <c r="G169" s="40">
        <f t="shared" si="7"/>
        <v>596.735299</v>
      </c>
      <c r="H169" s="102">
        <f t="shared" si="8"/>
        <v>0</v>
      </c>
      <c r="I169" s="103">
        <f t="shared" si="9"/>
        <v>0</v>
      </c>
      <c r="J169" s="104">
        <f t="shared" si="10"/>
        <v>0.6344029757</v>
      </c>
      <c r="K169" s="68">
        <f t="shared" si="11"/>
        <v>204.17</v>
      </c>
      <c r="L169" s="105">
        <f t="shared" si="12"/>
        <v>1187.09259</v>
      </c>
      <c r="M169" s="1"/>
      <c r="N169" s="1"/>
      <c r="O169" s="1"/>
      <c r="P169" s="1"/>
      <c r="Q169" s="40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</row>
    <row r="170" ht="12.75" customHeight="1">
      <c r="A170" s="1"/>
      <c r="B170" s="100">
        <v>148.0</v>
      </c>
      <c r="C170" s="101">
        <f t="shared" si="13"/>
        <v>50622</v>
      </c>
      <c r="D170" s="40">
        <f t="shared" si="5"/>
        <v>135622.5756</v>
      </c>
      <c r="E170" s="40"/>
      <c r="F170" s="40">
        <f t="shared" si="6"/>
        <v>387.8768602</v>
      </c>
      <c r="G170" s="40">
        <f t="shared" si="7"/>
        <v>595.0457296</v>
      </c>
      <c r="H170" s="102">
        <f t="shared" si="8"/>
        <v>0</v>
      </c>
      <c r="I170" s="103">
        <f t="shared" si="9"/>
        <v>0</v>
      </c>
      <c r="J170" s="104">
        <f t="shared" si="10"/>
        <v>0.6326067558</v>
      </c>
      <c r="K170" s="68">
        <f t="shared" si="11"/>
        <v>204.17</v>
      </c>
      <c r="L170" s="105">
        <f t="shared" si="12"/>
        <v>1187.09259</v>
      </c>
      <c r="M170" s="1"/>
      <c r="N170" s="1"/>
      <c r="O170" s="1"/>
      <c r="P170" s="1"/>
      <c r="Q170" s="40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</row>
    <row r="171" ht="12.75" customHeight="1">
      <c r="A171" s="1"/>
      <c r="B171" s="100">
        <v>149.0</v>
      </c>
      <c r="C171" s="101">
        <f t="shared" si="13"/>
        <v>50653</v>
      </c>
      <c r="D171" s="40">
        <f t="shared" si="5"/>
        <v>135233.0018</v>
      </c>
      <c r="E171" s="40"/>
      <c r="F171" s="40">
        <f t="shared" si="6"/>
        <v>389.5738214</v>
      </c>
      <c r="G171" s="40">
        <f t="shared" si="7"/>
        <v>593.3487684</v>
      </c>
      <c r="H171" s="102">
        <f t="shared" si="8"/>
        <v>0</v>
      </c>
      <c r="I171" s="103">
        <f t="shared" si="9"/>
        <v>0</v>
      </c>
      <c r="J171" s="104">
        <f t="shared" si="10"/>
        <v>0.6308026773</v>
      </c>
      <c r="K171" s="68">
        <f t="shared" si="11"/>
        <v>204.17</v>
      </c>
      <c r="L171" s="105">
        <f t="shared" si="12"/>
        <v>1187.09259</v>
      </c>
      <c r="M171" s="1"/>
      <c r="N171" s="1"/>
      <c r="O171" s="1"/>
      <c r="P171" s="1"/>
      <c r="Q171" s="40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</row>
    <row r="172" ht="12.75" customHeight="1">
      <c r="A172" s="1"/>
      <c r="B172" s="100">
        <v>150.0</v>
      </c>
      <c r="C172" s="101">
        <f t="shared" si="13"/>
        <v>50683</v>
      </c>
      <c r="D172" s="40">
        <f t="shared" si="5"/>
        <v>134841.7236</v>
      </c>
      <c r="E172" s="40"/>
      <c r="F172" s="40">
        <f t="shared" si="6"/>
        <v>391.2782069</v>
      </c>
      <c r="G172" s="40">
        <f t="shared" si="7"/>
        <v>591.6443829</v>
      </c>
      <c r="H172" s="102">
        <f t="shared" si="8"/>
        <v>0</v>
      </c>
      <c r="I172" s="103">
        <f t="shared" si="9"/>
        <v>0</v>
      </c>
      <c r="J172" s="104">
        <f t="shared" si="10"/>
        <v>0.6289907061</v>
      </c>
      <c r="K172" s="68">
        <f t="shared" si="11"/>
        <v>204.17</v>
      </c>
      <c r="L172" s="105">
        <f t="shared" si="12"/>
        <v>1187.09259</v>
      </c>
      <c r="M172" s="1"/>
      <c r="N172" s="1"/>
      <c r="O172" s="1"/>
      <c r="P172" s="1"/>
      <c r="Q172" s="40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</row>
    <row r="173" ht="12.75" customHeight="1">
      <c r="A173" s="1"/>
      <c r="B173" s="100">
        <v>151.0</v>
      </c>
      <c r="C173" s="101">
        <f t="shared" si="13"/>
        <v>50714</v>
      </c>
      <c r="D173" s="40">
        <f t="shared" si="5"/>
        <v>134448.7336</v>
      </c>
      <c r="E173" s="40"/>
      <c r="F173" s="40">
        <f t="shared" si="6"/>
        <v>392.9900491</v>
      </c>
      <c r="G173" s="40">
        <f t="shared" si="7"/>
        <v>589.9325407</v>
      </c>
      <c r="H173" s="102">
        <f t="shared" si="8"/>
        <v>0</v>
      </c>
      <c r="I173" s="103">
        <f t="shared" si="9"/>
        <v>0</v>
      </c>
      <c r="J173" s="104">
        <f t="shared" si="10"/>
        <v>0.6271708074</v>
      </c>
      <c r="K173" s="68">
        <f t="shared" si="11"/>
        <v>204.17</v>
      </c>
      <c r="L173" s="105">
        <f t="shared" si="12"/>
        <v>1187.09259</v>
      </c>
      <c r="M173" s="1"/>
      <c r="N173" s="1"/>
      <c r="O173" s="1"/>
      <c r="P173" s="1"/>
      <c r="Q173" s="40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</row>
    <row r="174" ht="12.75" customHeight="1">
      <c r="A174" s="1"/>
      <c r="B174" s="100">
        <v>152.0</v>
      </c>
      <c r="C174" s="101">
        <f t="shared" si="13"/>
        <v>50744</v>
      </c>
      <c r="D174" s="40">
        <f t="shared" si="5"/>
        <v>134054.0242</v>
      </c>
      <c r="E174" s="40"/>
      <c r="F174" s="40">
        <f t="shared" si="6"/>
        <v>394.7093805</v>
      </c>
      <c r="G174" s="40">
        <f t="shared" si="7"/>
        <v>588.2132093</v>
      </c>
      <c r="H174" s="102">
        <f t="shared" si="8"/>
        <v>0</v>
      </c>
      <c r="I174" s="103">
        <f t="shared" si="9"/>
        <v>0</v>
      </c>
      <c r="J174" s="104">
        <f t="shared" si="10"/>
        <v>0.6253429467</v>
      </c>
      <c r="K174" s="68">
        <f t="shared" si="11"/>
        <v>204.17</v>
      </c>
      <c r="L174" s="105">
        <f t="shared" si="12"/>
        <v>1187.09259</v>
      </c>
      <c r="M174" s="1"/>
      <c r="N174" s="1"/>
      <c r="O174" s="1"/>
      <c r="P174" s="1"/>
      <c r="Q174" s="40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</row>
    <row r="175" ht="12.75" customHeight="1">
      <c r="A175" s="1"/>
      <c r="B175" s="100">
        <v>153.0</v>
      </c>
      <c r="C175" s="101">
        <f t="shared" si="13"/>
        <v>50775</v>
      </c>
      <c r="D175" s="40">
        <f t="shared" si="5"/>
        <v>133657.5879</v>
      </c>
      <c r="E175" s="40"/>
      <c r="F175" s="40">
        <f t="shared" si="6"/>
        <v>396.4362341</v>
      </c>
      <c r="G175" s="40">
        <f t="shared" si="7"/>
        <v>586.4863557</v>
      </c>
      <c r="H175" s="102">
        <f t="shared" si="8"/>
        <v>0</v>
      </c>
      <c r="I175" s="103">
        <f t="shared" si="9"/>
        <v>0</v>
      </c>
      <c r="J175" s="104">
        <f t="shared" si="10"/>
        <v>0.6235070892</v>
      </c>
      <c r="K175" s="68">
        <f t="shared" si="11"/>
        <v>204.17</v>
      </c>
      <c r="L175" s="105">
        <f t="shared" si="12"/>
        <v>1187.09259</v>
      </c>
      <c r="M175" s="1"/>
      <c r="N175" s="1"/>
      <c r="O175" s="1"/>
      <c r="P175" s="1"/>
      <c r="Q175" s="40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</row>
    <row r="176" ht="12.75" customHeight="1">
      <c r="A176" s="1"/>
      <c r="B176" s="100">
        <v>154.0</v>
      </c>
      <c r="C176" s="101">
        <f t="shared" si="13"/>
        <v>50806</v>
      </c>
      <c r="D176" s="40">
        <f t="shared" si="5"/>
        <v>133259.4173</v>
      </c>
      <c r="E176" s="40"/>
      <c r="F176" s="40">
        <f t="shared" si="6"/>
        <v>398.1706426</v>
      </c>
      <c r="G176" s="40">
        <f t="shared" si="7"/>
        <v>584.7519472</v>
      </c>
      <c r="H176" s="102">
        <f t="shared" si="8"/>
        <v>0</v>
      </c>
      <c r="I176" s="103">
        <f t="shared" si="9"/>
        <v>0</v>
      </c>
      <c r="J176" s="104">
        <f t="shared" si="10"/>
        <v>0.6216631997</v>
      </c>
      <c r="K176" s="68">
        <f t="shared" si="11"/>
        <v>204.17</v>
      </c>
      <c r="L176" s="105">
        <f t="shared" si="12"/>
        <v>1187.09259</v>
      </c>
      <c r="M176" s="1"/>
      <c r="N176" s="1"/>
      <c r="O176" s="1"/>
      <c r="P176" s="1"/>
      <c r="Q176" s="40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</row>
    <row r="177" ht="12.75" customHeight="1">
      <c r="A177" s="1"/>
      <c r="B177" s="100">
        <v>155.0</v>
      </c>
      <c r="C177" s="101">
        <f t="shared" si="13"/>
        <v>50834</v>
      </c>
      <c r="D177" s="40">
        <f t="shared" si="5"/>
        <v>132859.5047</v>
      </c>
      <c r="E177" s="40"/>
      <c r="F177" s="40">
        <f t="shared" si="6"/>
        <v>399.9126392</v>
      </c>
      <c r="G177" s="40">
        <f t="shared" si="7"/>
        <v>583.0099507</v>
      </c>
      <c r="H177" s="102">
        <f t="shared" si="8"/>
        <v>0</v>
      </c>
      <c r="I177" s="103">
        <f t="shared" si="9"/>
        <v>0</v>
      </c>
      <c r="J177" s="104">
        <f t="shared" si="10"/>
        <v>0.6198112432</v>
      </c>
      <c r="K177" s="68">
        <f t="shared" si="11"/>
        <v>204.17</v>
      </c>
      <c r="L177" s="105">
        <f t="shared" si="12"/>
        <v>1187.09259</v>
      </c>
      <c r="M177" s="1"/>
      <c r="N177" s="1"/>
      <c r="O177" s="1"/>
      <c r="P177" s="1"/>
      <c r="Q177" s="40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</row>
    <row r="178" ht="12.75" customHeight="1">
      <c r="A178" s="1"/>
      <c r="B178" s="100">
        <v>156.0</v>
      </c>
      <c r="C178" s="101">
        <f t="shared" si="13"/>
        <v>50865</v>
      </c>
      <c r="D178" s="40">
        <f t="shared" si="5"/>
        <v>132457.8424</v>
      </c>
      <c r="E178" s="40"/>
      <c r="F178" s="40">
        <f t="shared" si="6"/>
        <v>401.662257</v>
      </c>
      <c r="G178" s="40">
        <f t="shared" si="7"/>
        <v>581.2603329</v>
      </c>
      <c r="H178" s="102">
        <f t="shared" si="8"/>
        <v>0</v>
      </c>
      <c r="I178" s="103">
        <f t="shared" si="9"/>
        <v>0</v>
      </c>
      <c r="J178" s="104">
        <f t="shared" si="10"/>
        <v>0.6179511844</v>
      </c>
      <c r="K178" s="68">
        <f t="shared" si="11"/>
        <v>204.17</v>
      </c>
      <c r="L178" s="105">
        <f t="shared" si="12"/>
        <v>1187.09259</v>
      </c>
      <c r="M178" s="1"/>
      <c r="N178" s="1"/>
      <c r="O178" s="1"/>
      <c r="P178" s="1"/>
      <c r="Q178" s="40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</row>
    <row r="179" ht="12.75" customHeight="1">
      <c r="A179" s="1"/>
      <c r="B179" s="100">
        <v>157.0</v>
      </c>
      <c r="C179" s="101">
        <f t="shared" si="13"/>
        <v>50895</v>
      </c>
      <c r="D179" s="40">
        <f t="shared" si="5"/>
        <v>132054.4229</v>
      </c>
      <c r="E179" s="40"/>
      <c r="F179" s="40">
        <f t="shared" si="6"/>
        <v>403.4195293</v>
      </c>
      <c r="G179" s="40">
        <f t="shared" si="7"/>
        <v>579.5030605</v>
      </c>
      <c r="H179" s="102">
        <f t="shared" si="8"/>
        <v>0</v>
      </c>
      <c r="I179" s="103">
        <f t="shared" si="9"/>
        <v>0</v>
      </c>
      <c r="J179" s="104">
        <f t="shared" si="10"/>
        <v>0.6160829879</v>
      </c>
      <c r="K179" s="68">
        <f t="shared" si="11"/>
        <v>204.17</v>
      </c>
      <c r="L179" s="105">
        <f t="shared" si="12"/>
        <v>1187.09259</v>
      </c>
      <c r="M179" s="1"/>
      <c r="N179" s="1"/>
      <c r="O179" s="1"/>
      <c r="P179" s="1"/>
      <c r="Q179" s="40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</row>
    <row r="180" ht="12.75" customHeight="1">
      <c r="A180" s="1"/>
      <c r="B180" s="100">
        <v>158.0</v>
      </c>
      <c r="C180" s="101">
        <f t="shared" si="13"/>
        <v>50926</v>
      </c>
      <c r="D180" s="40">
        <f t="shared" si="5"/>
        <v>131649.2384</v>
      </c>
      <c r="E180" s="40"/>
      <c r="F180" s="40">
        <f t="shared" si="6"/>
        <v>405.1844898</v>
      </c>
      <c r="G180" s="40">
        <f t="shared" si="7"/>
        <v>577.7381</v>
      </c>
      <c r="H180" s="102">
        <f t="shared" si="8"/>
        <v>0</v>
      </c>
      <c r="I180" s="103">
        <f t="shared" si="9"/>
        <v>0</v>
      </c>
      <c r="J180" s="104">
        <f t="shared" si="10"/>
        <v>0.614206618</v>
      </c>
      <c r="K180" s="68">
        <f t="shared" si="11"/>
        <v>204.17</v>
      </c>
      <c r="L180" s="105">
        <f t="shared" si="12"/>
        <v>1187.09259</v>
      </c>
      <c r="M180" s="1"/>
      <c r="N180" s="1"/>
      <c r="O180" s="1"/>
      <c r="P180" s="1"/>
      <c r="Q180" s="40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</row>
    <row r="181" ht="12.75" customHeight="1">
      <c r="A181" s="1"/>
      <c r="B181" s="100">
        <v>159.0</v>
      </c>
      <c r="C181" s="101">
        <f t="shared" si="13"/>
        <v>50956</v>
      </c>
      <c r="D181" s="40">
        <f t="shared" si="5"/>
        <v>131242.2812</v>
      </c>
      <c r="E181" s="40"/>
      <c r="F181" s="40">
        <f t="shared" si="6"/>
        <v>406.9571719</v>
      </c>
      <c r="G181" s="40">
        <f t="shared" si="7"/>
        <v>575.9654179</v>
      </c>
      <c r="H181" s="102">
        <f t="shared" si="8"/>
        <v>0</v>
      </c>
      <c r="I181" s="103">
        <f t="shared" si="9"/>
        <v>0</v>
      </c>
      <c r="J181" s="104">
        <f t="shared" si="10"/>
        <v>0.612322039</v>
      </c>
      <c r="K181" s="68">
        <f t="shared" si="11"/>
        <v>204.17</v>
      </c>
      <c r="L181" s="105">
        <f t="shared" si="12"/>
        <v>1187.09259</v>
      </c>
      <c r="M181" s="1"/>
      <c r="N181" s="1"/>
      <c r="O181" s="1"/>
      <c r="P181" s="1"/>
      <c r="Q181" s="40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</row>
    <row r="182" ht="12.75" customHeight="1">
      <c r="A182" s="1"/>
      <c r="B182" s="100">
        <v>160.0</v>
      </c>
      <c r="C182" s="101">
        <f t="shared" si="13"/>
        <v>50987</v>
      </c>
      <c r="D182" s="40">
        <f t="shared" si="5"/>
        <v>130833.5436</v>
      </c>
      <c r="E182" s="40"/>
      <c r="F182" s="40">
        <f t="shared" si="6"/>
        <v>408.7376095</v>
      </c>
      <c r="G182" s="40">
        <f t="shared" si="7"/>
        <v>574.1849803</v>
      </c>
      <c r="H182" s="102">
        <f t="shared" si="8"/>
        <v>0</v>
      </c>
      <c r="I182" s="103">
        <f t="shared" si="9"/>
        <v>0</v>
      </c>
      <c r="J182" s="104">
        <f t="shared" si="10"/>
        <v>0.6104292149</v>
      </c>
      <c r="K182" s="68">
        <f t="shared" si="11"/>
        <v>204.17</v>
      </c>
      <c r="L182" s="105">
        <f t="shared" si="12"/>
        <v>1187.09259</v>
      </c>
      <c r="M182" s="1"/>
      <c r="N182" s="1"/>
      <c r="O182" s="1"/>
      <c r="P182" s="1"/>
      <c r="Q182" s="40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</row>
    <row r="183" ht="12.75" customHeight="1">
      <c r="A183" s="1"/>
      <c r="B183" s="100">
        <v>161.0</v>
      </c>
      <c r="C183" s="101">
        <f t="shared" si="13"/>
        <v>51018</v>
      </c>
      <c r="D183" s="40">
        <f t="shared" si="5"/>
        <v>130423.0178</v>
      </c>
      <c r="E183" s="40"/>
      <c r="F183" s="40">
        <f t="shared" si="6"/>
        <v>410.5258366</v>
      </c>
      <c r="G183" s="40">
        <f t="shared" si="7"/>
        <v>572.3967532</v>
      </c>
      <c r="H183" s="102">
        <f t="shared" si="8"/>
        <v>0</v>
      </c>
      <c r="I183" s="103">
        <f t="shared" si="9"/>
        <v>0</v>
      </c>
      <c r="J183" s="104">
        <f t="shared" si="10"/>
        <v>0.6085281098</v>
      </c>
      <c r="K183" s="68">
        <f t="shared" si="11"/>
        <v>204.17</v>
      </c>
      <c r="L183" s="105">
        <f t="shared" si="12"/>
        <v>1187.09259</v>
      </c>
      <c r="M183" s="1"/>
      <c r="N183" s="1"/>
      <c r="O183" s="1"/>
      <c r="P183" s="1"/>
      <c r="Q183" s="40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</row>
    <row r="184" ht="12.75" customHeight="1">
      <c r="A184" s="1"/>
      <c r="B184" s="100">
        <v>162.0</v>
      </c>
      <c r="C184" s="101">
        <f t="shared" si="13"/>
        <v>51048</v>
      </c>
      <c r="D184" s="40">
        <f t="shared" si="5"/>
        <v>130010.6959</v>
      </c>
      <c r="E184" s="40"/>
      <c r="F184" s="40">
        <f t="shared" si="6"/>
        <v>412.3218871</v>
      </c>
      <c r="G184" s="40">
        <f t="shared" si="7"/>
        <v>570.6007027</v>
      </c>
      <c r="H184" s="102">
        <f t="shared" si="8"/>
        <v>0</v>
      </c>
      <c r="I184" s="103">
        <f t="shared" si="9"/>
        <v>0</v>
      </c>
      <c r="J184" s="104">
        <f t="shared" si="10"/>
        <v>0.6066186873</v>
      </c>
      <c r="K184" s="68">
        <f t="shared" si="11"/>
        <v>204.17</v>
      </c>
      <c r="L184" s="105">
        <f t="shared" si="12"/>
        <v>1187.09259</v>
      </c>
      <c r="M184" s="1"/>
      <c r="N184" s="1"/>
      <c r="O184" s="1"/>
      <c r="P184" s="1"/>
      <c r="Q184" s="40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</row>
    <row r="185" ht="12.75" customHeight="1">
      <c r="A185" s="1"/>
      <c r="B185" s="100">
        <v>163.0</v>
      </c>
      <c r="C185" s="101">
        <f t="shared" si="13"/>
        <v>51079</v>
      </c>
      <c r="D185" s="40">
        <f t="shared" si="5"/>
        <v>129596.5701</v>
      </c>
      <c r="E185" s="40"/>
      <c r="F185" s="40">
        <f t="shared" si="6"/>
        <v>414.1257954</v>
      </c>
      <c r="G185" s="40">
        <f t="shared" si="7"/>
        <v>568.7967944</v>
      </c>
      <c r="H185" s="102">
        <f t="shared" si="8"/>
        <v>0</v>
      </c>
      <c r="I185" s="103">
        <f t="shared" si="9"/>
        <v>0</v>
      </c>
      <c r="J185" s="104">
        <f t="shared" si="10"/>
        <v>0.604700911</v>
      </c>
      <c r="K185" s="68">
        <f t="shared" si="11"/>
        <v>204.17</v>
      </c>
      <c r="L185" s="105">
        <f t="shared" si="12"/>
        <v>1187.09259</v>
      </c>
      <c r="M185" s="1"/>
      <c r="N185" s="1"/>
      <c r="O185" s="1"/>
      <c r="P185" s="1"/>
      <c r="Q185" s="40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</row>
    <row r="186" ht="12.75" customHeight="1">
      <c r="A186" s="1"/>
      <c r="B186" s="100">
        <v>164.0</v>
      </c>
      <c r="C186" s="101">
        <f t="shared" si="13"/>
        <v>51109</v>
      </c>
      <c r="D186" s="40">
        <f t="shared" si="5"/>
        <v>129180.6325</v>
      </c>
      <c r="E186" s="40"/>
      <c r="F186" s="40">
        <f t="shared" si="6"/>
        <v>415.9375957</v>
      </c>
      <c r="G186" s="40">
        <f t="shared" si="7"/>
        <v>566.9849941</v>
      </c>
      <c r="H186" s="102">
        <f t="shared" si="8"/>
        <v>0</v>
      </c>
      <c r="I186" s="103">
        <f t="shared" si="9"/>
        <v>0</v>
      </c>
      <c r="J186" s="104">
        <f t="shared" si="10"/>
        <v>0.6027747445</v>
      </c>
      <c r="K186" s="68">
        <f t="shared" si="11"/>
        <v>204.17</v>
      </c>
      <c r="L186" s="105">
        <f t="shared" si="12"/>
        <v>1187.09259</v>
      </c>
      <c r="M186" s="1"/>
      <c r="N186" s="1"/>
      <c r="O186" s="1"/>
      <c r="P186" s="1"/>
      <c r="Q186" s="40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</row>
    <row r="187" ht="12.75" customHeight="1">
      <c r="A187" s="1"/>
      <c r="B187" s="100">
        <v>165.0</v>
      </c>
      <c r="C187" s="101">
        <f t="shared" si="13"/>
        <v>51140</v>
      </c>
      <c r="D187" s="40">
        <f t="shared" si="5"/>
        <v>128762.8752</v>
      </c>
      <c r="E187" s="40"/>
      <c r="F187" s="40">
        <f t="shared" si="6"/>
        <v>417.7573227</v>
      </c>
      <c r="G187" s="40">
        <f t="shared" si="7"/>
        <v>565.1652671</v>
      </c>
      <c r="H187" s="102">
        <f t="shared" si="8"/>
        <v>0</v>
      </c>
      <c r="I187" s="103">
        <f t="shared" si="9"/>
        <v>0</v>
      </c>
      <c r="J187" s="104">
        <f t="shared" si="10"/>
        <v>0.6008401511</v>
      </c>
      <c r="K187" s="68">
        <f t="shared" si="11"/>
        <v>204.17</v>
      </c>
      <c r="L187" s="105">
        <f t="shared" si="12"/>
        <v>1187.09259</v>
      </c>
      <c r="M187" s="1"/>
      <c r="N187" s="1"/>
      <c r="O187" s="1"/>
      <c r="P187" s="1"/>
      <c r="Q187" s="40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</row>
    <row r="188" ht="12.75" customHeight="1">
      <c r="A188" s="1"/>
      <c r="B188" s="100">
        <v>166.0</v>
      </c>
      <c r="C188" s="101">
        <f t="shared" si="13"/>
        <v>51171</v>
      </c>
      <c r="D188" s="40">
        <f t="shared" si="5"/>
        <v>128343.2901</v>
      </c>
      <c r="E188" s="40"/>
      <c r="F188" s="40">
        <f t="shared" si="6"/>
        <v>419.585011</v>
      </c>
      <c r="G188" s="40">
        <f t="shared" si="7"/>
        <v>563.3375788</v>
      </c>
      <c r="H188" s="102">
        <f t="shared" si="8"/>
        <v>0</v>
      </c>
      <c r="I188" s="103">
        <f t="shared" si="9"/>
        <v>0</v>
      </c>
      <c r="J188" s="104">
        <f t="shared" si="10"/>
        <v>0.5988970938</v>
      </c>
      <c r="K188" s="68">
        <f t="shared" si="11"/>
        <v>204.17</v>
      </c>
      <c r="L188" s="105">
        <f t="shared" si="12"/>
        <v>1187.09259</v>
      </c>
      <c r="M188" s="1"/>
      <c r="N188" s="1"/>
      <c r="O188" s="1"/>
      <c r="P188" s="1"/>
      <c r="Q188" s="40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</row>
    <row r="189" ht="12.75" customHeight="1">
      <c r="A189" s="1"/>
      <c r="B189" s="100">
        <v>167.0</v>
      </c>
      <c r="C189" s="101">
        <f t="shared" si="13"/>
        <v>51200</v>
      </c>
      <c r="D189" s="40">
        <f t="shared" si="5"/>
        <v>127921.8695</v>
      </c>
      <c r="E189" s="40"/>
      <c r="F189" s="40">
        <f t="shared" si="6"/>
        <v>421.4206954</v>
      </c>
      <c r="G189" s="40">
        <f t="shared" si="7"/>
        <v>561.5018944</v>
      </c>
      <c r="H189" s="102">
        <f t="shared" si="8"/>
        <v>0</v>
      </c>
      <c r="I189" s="103">
        <f t="shared" si="9"/>
        <v>0</v>
      </c>
      <c r="J189" s="104">
        <f t="shared" si="10"/>
        <v>0.5969455356</v>
      </c>
      <c r="K189" s="68">
        <f t="shared" si="11"/>
        <v>204.17</v>
      </c>
      <c r="L189" s="105">
        <f t="shared" si="12"/>
        <v>1187.09259</v>
      </c>
      <c r="M189" s="1"/>
      <c r="N189" s="1"/>
      <c r="O189" s="1"/>
      <c r="P189" s="1"/>
      <c r="Q189" s="40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</row>
    <row r="190" ht="12.75" customHeight="1">
      <c r="A190" s="1"/>
      <c r="B190" s="100">
        <v>168.0</v>
      </c>
      <c r="C190" s="101">
        <f t="shared" si="13"/>
        <v>51231</v>
      </c>
      <c r="D190" s="40">
        <f t="shared" si="5"/>
        <v>127498.605</v>
      </c>
      <c r="E190" s="40"/>
      <c r="F190" s="40">
        <f t="shared" si="6"/>
        <v>423.264411</v>
      </c>
      <c r="G190" s="40">
        <f t="shared" si="7"/>
        <v>559.6581789</v>
      </c>
      <c r="H190" s="102">
        <f t="shared" si="8"/>
        <v>0</v>
      </c>
      <c r="I190" s="103">
        <f t="shared" si="9"/>
        <v>0</v>
      </c>
      <c r="J190" s="104">
        <f t="shared" si="10"/>
        <v>0.5949854393</v>
      </c>
      <c r="K190" s="68">
        <f t="shared" si="11"/>
        <v>204.17</v>
      </c>
      <c r="L190" s="105">
        <f t="shared" si="12"/>
        <v>1187.09259</v>
      </c>
      <c r="M190" s="1"/>
      <c r="N190" s="1"/>
      <c r="O190" s="1"/>
      <c r="P190" s="1"/>
      <c r="Q190" s="40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</row>
    <row r="191" ht="12.75" customHeight="1">
      <c r="A191" s="1"/>
      <c r="B191" s="100">
        <v>169.0</v>
      </c>
      <c r="C191" s="101">
        <f t="shared" si="13"/>
        <v>51261</v>
      </c>
      <c r="D191" s="40">
        <f t="shared" si="5"/>
        <v>127073.4888</v>
      </c>
      <c r="E191" s="40"/>
      <c r="F191" s="40">
        <f t="shared" si="6"/>
        <v>425.1161928</v>
      </c>
      <c r="G191" s="40">
        <f t="shared" si="7"/>
        <v>557.8063971</v>
      </c>
      <c r="H191" s="102">
        <f t="shared" si="8"/>
        <v>0</v>
      </c>
      <c r="I191" s="103">
        <f t="shared" si="9"/>
        <v>0</v>
      </c>
      <c r="J191" s="104">
        <f t="shared" si="10"/>
        <v>0.5930167676</v>
      </c>
      <c r="K191" s="68">
        <f t="shared" si="11"/>
        <v>204.17</v>
      </c>
      <c r="L191" s="105">
        <f t="shared" si="12"/>
        <v>1187.09259</v>
      </c>
      <c r="M191" s="1"/>
      <c r="N191" s="1"/>
      <c r="O191" s="1"/>
      <c r="P191" s="1"/>
      <c r="Q191" s="40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</row>
    <row r="192" ht="12.75" customHeight="1">
      <c r="A192" s="1"/>
      <c r="B192" s="100">
        <v>170.0</v>
      </c>
      <c r="C192" s="101">
        <f t="shared" si="13"/>
        <v>51292</v>
      </c>
      <c r="D192" s="40">
        <f t="shared" si="5"/>
        <v>126646.5128</v>
      </c>
      <c r="E192" s="40"/>
      <c r="F192" s="40">
        <f t="shared" si="6"/>
        <v>426.9760761</v>
      </c>
      <c r="G192" s="40">
        <f t="shared" si="7"/>
        <v>555.9465137</v>
      </c>
      <c r="H192" s="102">
        <f t="shared" si="8"/>
        <v>0</v>
      </c>
      <c r="I192" s="103">
        <f t="shared" si="9"/>
        <v>0</v>
      </c>
      <c r="J192" s="104">
        <f t="shared" si="10"/>
        <v>0.591039483</v>
      </c>
      <c r="K192" s="68">
        <f t="shared" si="11"/>
        <v>204.17</v>
      </c>
      <c r="L192" s="105">
        <f t="shared" si="12"/>
        <v>1187.09259</v>
      </c>
      <c r="M192" s="1"/>
      <c r="N192" s="1"/>
      <c r="O192" s="1"/>
      <c r="P192" s="1"/>
      <c r="Q192" s="40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</row>
    <row r="193" ht="12.75" customHeight="1">
      <c r="A193" s="1"/>
      <c r="B193" s="100">
        <v>171.0</v>
      </c>
      <c r="C193" s="101">
        <f t="shared" si="13"/>
        <v>51322</v>
      </c>
      <c r="D193" s="40">
        <f t="shared" si="5"/>
        <v>126217.6687</v>
      </c>
      <c r="E193" s="40"/>
      <c r="F193" s="40">
        <f t="shared" si="6"/>
        <v>428.8440964</v>
      </c>
      <c r="G193" s="40">
        <f t="shared" si="7"/>
        <v>554.0784934</v>
      </c>
      <c r="H193" s="102">
        <f t="shared" si="8"/>
        <v>0</v>
      </c>
      <c r="I193" s="103">
        <f t="shared" si="9"/>
        <v>0</v>
      </c>
      <c r="J193" s="104">
        <f t="shared" si="10"/>
        <v>0.5890535478</v>
      </c>
      <c r="K193" s="68">
        <f t="shared" si="11"/>
        <v>204.17</v>
      </c>
      <c r="L193" s="105">
        <f t="shared" si="12"/>
        <v>1187.09259</v>
      </c>
      <c r="M193" s="1"/>
      <c r="N193" s="1"/>
      <c r="O193" s="1"/>
      <c r="P193" s="1"/>
      <c r="Q193" s="40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</row>
    <row r="194" ht="12.75" customHeight="1">
      <c r="A194" s="1"/>
      <c r="B194" s="100">
        <v>172.0</v>
      </c>
      <c r="C194" s="101">
        <f t="shared" si="13"/>
        <v>51353</v>
      </c>
      <c r="D194" s="40">
        <f t="shared" si="5"/>
        <v>125786.9484</v>
      </c>
      <c r="E194" s="40"/>
      <c r="F194" s="40">
        <f t="shared" si="6"/>
        <v>430.7202894</v>
      </c>
      <c r="G194" s="40">
        <f t="shared" si="7"/>
        <v>552.2023005</v>
      </c>
      <c r="H194" s="102">
        <f t="shared" si="8"/>
        <v>0</v>
      </c>
      <c r="I194" s="103">
        <f t="shared" si="9"/>
        <v>0</v>
      </c>
      <c r="J194" s="104">
        <f t="shared" si="10"/>
        <v>0.5870589241</v>
      </c>
      <c r="K194" s="68">
        <f t="shared" si="11"/>
        <v>204.17</v>
      </c>
      <c r="L194" s="105">
        <f t="shared" si="12"/>
        <v>1187.09259</v>
      </c>
      <c r="M194" s="1"/>
      <c r="N194" s="1"/>
      <c r="O194" s="1"/>
      <c r="P194" s="1"/>
      <c r="Q194" s="40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</row>
    <row r="195" ht="12.75" customHeight="1">
      <c r="A195" s="1"/>
      <c r="B195" s="100">
        <v>173.0</v>
      </c>
      <c r="C195" s="101">
        <f t="shared" si="13"/>
        <v>51384</v>
      </c>
      <c r="D195" s="40">
        <f t="shared" si="5"/>
        <v>125354.3437</v>
      </c>
      <c r="E195" s="40"/>
      <c r="F195" s="40">
        <f t="shared" si="6"/>
        <v>432.6046906</v>
      </c>
      <c r="G195" s="40">
        <f t="shared" si="7"/>
        <v>550.3178992</v>
      </c>
      <c r="H195" s="102">
        <f t="shared" si="8"/>
        <v>0</v>
      </c>
      <c r="I195" s="103">
        <f t="shared" si="9"/>
        <v>0</v>
      </c>
      <c r="J195" s="104">
        <f t="shared" si="10"/>
        <v>0.5850555739</v>
      </c>
      <c r="K195" s="68">
        <f t="shared" si="11"/>
        <v>204.17</v>
      </c>
      <c r="L195" s="105">
        <f t="shared" si="12"/>
        <v>1187.09259</v>
      </c>
      <c r="M195" s="1"/>
      <c r="N195" s="1"/>
      <c r="O195" s="1"/>
      <c r="P195" s="1"/>
      <c r="Q195" s="40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</row>
    <row r="196" ht="12.75" customHeight="1">
      <c r="A196" s="1"/>
      <c r="B196" s="100">
        <v>174.0</v>
      </c>
      <c r="C196" s="101">
        <f t="shared" si="13"/>
        <v>51414</v>
      </c>
      <c r="D196" s="40">
        <f t="shared" si="5"/>
        <v>124919.8464</v>
      </c>
      <c r="E196" s="40"/>
      <c r="F196" s="40">
        <f t="shared" si="6"/>
        <v>434.4973361</v>
      </c>
      <c r="G196" s="40">
        <f t="shared" si="7"/>
        <v>548.4252537</v>
      </c>
      <c r="H196" s="102">
        <f t="shared" si="8"/>
        <v>0</v>
      </c>
      <c r="I196" s="103">
        <f t="shared" si="9"/>
        <v>0</v>
      </c>
      <c r="J196" s="104">
        <f t="shared" si="10"/>
        <v>0.5830434591</v>
      </c>
      <c r="K196" s="68">
        <f t="shared" si="11"/>
        <v>204.17</v>
      </c>
      <c r="L196" s="105">
        <f t="shared" si="12"/>
        <v>1187.09259</v>
      </c>
      <c r="M196" s="1"/>
      <c r="N196" s="1"/>
      <c r="O196" s="1"/>
      <c r="P196" s="1"/>
      <c r="Q196" s="40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</row>
    <row r="197" ht="12.75" customHeight="1">
      <c r="A197" s="1"/>
      <c r="B197" s="100">
        <v>175.0</v>
      </c>
      <c r="C197" s="101">
        <f t="shared" si="13"/>
        <v>51445</v>
      </c>
      <c r="D197" s="40">
        <f t="shared" si="5"/>
        <v>124483.4481</v>
      </c>
      <c r="E197" s="40"/>
      <c r="F197" s="40">
        <f t="shared" si="6"/>
        <v>436.398262</v>
      </c>
      <c r="G197" s="40">
        <f t="shared" si="7"/>
        <v>546.5243278</v>
      </c>
      <c r="H197" s="102">
        <f t="shared" si="8"/>
        <v>0</v>
      </c>
      <c r="I197" s="103">
        <f t="shared" si="9"/>
        <v>0</v>
      </c>
      <c r="J197" s="104">
        <f t="shared" si="10"/>
        <v>0.5810225412</v>
      </c>
      <c r="K197" s="68">
        <f t="shared" si="11"/>
        <v>204.17</v>
      </c>
      <c r="L197" s="105">
        <f t="shared" si="12"/>
        <v>1187.09259</v>
      </c>
      <c r="M197" s="1"/>
      <c r="N197" s="1"/>
      <c r="O197" s="1"/>
      <c r="P197" s="1"/>
      <c r="Q197" s="40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</row>
    <row r="198" ht="12.75" customHeight="1">
      <c r="A198" s="1"/>
      <c r="B198" s="100">
        <v>176.0</v>
      </c>
      <c r="C198" s="101">
        <f t="shared" si="13"/>
        <v>51475</v>
      </c>
      <c r="D198" s="40">
        <f t="shared" si="5"/>
        <v>124045.1406</v>
      </c>
      <c r="E198" s="40"/>
      <c r="F198" s="40">
        <f t="shared" si="6"/>
        <v>438.3075044</v>
      </c>
      <c r="G198" s="40">
        <f t="shared" si="7"/>
        <v>544.6150854</v>
      </c>
      <c r="H198" s="102">
        <f t="shared" si="8"/>
        <v>0</v>
      </c>
      <c r="I198" s="103">
        <f t="shared" si="9"/>
        <v>0</v>
      </c>
      <c r="J198" s="104">
        <f t="shared" si="10"/>
        <v>0.5789927819</v>
      </c>
      <c r="K198" s="68">
        <f t="shared" si="11"/>
        <v>204.17</v>
      </c>
      <c r="L198" s="105">
        <f t="shared" si="12"/>
        <v>1187.09259</v>
      </c>
      <c r="M198" s="1"/>
      <c r="N198" s="1"/>
      <c r="O198" s="1"/>
      <c r="P198" s="1"/>
      <c r="Q198" s="40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</row>
    <row r="199" ht="12.75" customHeight="1">
      <c r="A199" s="1"/>
      <c r="B199" s="100">
        <v>177.0</v>
      </c>
      <c r="C199" s="101">
        <f t="shared" si="13"/>
        <v>51506</v>
      </c>
      <c r="D199" s="40">
        <f t="shared" si="5"/>
        <v>123604.9155</v>
      </c>
      <c r="E199" s="40"/>
      <c r="F199" s="40">
        <f t="shared" si="6"/>
        <v>440.2250997</v>
      </c>
      <c r="G199" s="40">
        <f t="shared" si="7"/>
        <v>542.6974901</v>
      </c>
      <c r="H199" s="102">
        <f t="shared" si="8"/>
        <v>0</v>
      </c>
      <c r="I199" s="103">
        <f t="shared" si="9"/>
        <v>0</v>
      </c>
      <c r="J199" s="104">
        <f t="shared" si="10"/>
        <v>0.5769541423</v>
      </c>
      <c r="K199" s="68">
        <f t="shared" si="11"/>
        <v>204.17</v>
      </c>
      <c r="L199" s="105">
        <f t="shared" si="12"/>
        <v>1187.09259</v>
      </c>
      <c r="M199" s="1"/>
      <c r="N199" s="1"/>
      <c r="O199" s="1"/>
      <c r="P199" s="1"/>
      <c r="Q199" s="40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</row>
    <row r="200" ht="12.75" customHeight="1">
      <c r="A200" s="1"/>
      <c r="B200" s="100">
        <v>178.0</v>
      </c>
      <c r="C200" s="101">
        <f t="shared" si="13"/>
        <v>51537</v>
      </c>
      <c r="D200" s="40">
        <f t="shared" si="5"/>
        <v>123162.7644</v>
      </c>
      <c r="E200" s="40"/>
      <c r="F200" s="40">
        <f t="shared" si="6"/>
        <v>442.1510845</v>
      </c>
      <c r="G200" s="40">
        <f t="shared" si="7"/>
        <v>540.7715053</v>
      </c>
      <c r="H200" s="102">
        <f t="shared" si="8"/>
        <v>0</v>
      </c>
      <c r="I200" s="103">
        <f t="shared" si="9"/>
        <v>0</v>
      </c>
      <c r="J200" s="104">
        <f t="shared" si="10"/>
        <v>0.5749065837</v>
      </c>
      <c r="K200" s="68">
        <f t="shared" si="11"/>
        <v>204.17</v>
      </c>
      <c r="L200" s="105">
        <f t="shared" si="12"/>
        <v>1187.09259</v>
      </c>
      <c r="M200" s="1"/>
      <c r="N200" s="1"/>
      <c r="O200" s="1"/>
      <c r="P200" s="1"/>
      <c r="Q200" s="40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</row>
    <row r="201" ht="12.75" customHeight="1">
      <c r="A201" s="1"/>
      <c r="B201" s="100">
        <v>179.0</v>
      </c>
      <c r="C201" s="101">
        <f t="shared" si="13"/>
        <v>51565</v>
      </c>
      <c r="D201" s="40">
        <f t="shared" si="5"/>
        <v>122718.6789</v>
      </c>
      <c r="E201" s="40"/>
      <c r="F201" s="40">
        <f t="shared" si="6"/>
        <v>444.0854955</v>
      </c>
      <c r="G201" s="40">
        <f t="shared" si="7"/>
        <v>538.8370943</v>
      </c>
      <c r="H201" s="102">
        <f t="shared" si="8"/>
        <v>0</v>
      </c>
      <c r="I201" s="103">
        <f t="shared" si="9"/>
        <v>0</v>
      </c>
      <c r="J201" s="104">
        <f t="shared" si="10"/>
        <v>0.572850067</v>
      </c>
      <c r="K201" s="68">
        <f t="shared" si="11"/>
        <v>204.17</v>
      </c>
      <c r="L201" s="105">
        <f t="shared" si="12"/>
        <v>1187.09259</v>
      </c>
      <c r="M201" s="1"/>
      <c r="N201" s="1"/>
      <c r="O201" s="1"/>
      <c r="P201" s="1"/>
      <c r="Q201" s="40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</row>
    <row r="202" ht="12.75" customHeight="1">
      <c r="A202" s="1"/>
      <c r="B202" s="100">
        <v>180.0</v>
      </c>
      <c r="C202" s="101">
        <f t="shared" si="13"/>
        <v>51596</v>
      </c>
      <c r="D202" s="40">
        <f t="shared" si="5"/>
        <v>122272.6505</v>
      </c>
      <c r="E202" s="40"/>
      <c r="F202" s="40">
        <f t="shared" si="6"/>
        <v>446.0283696</v>
      </c>
      <c r="G202" s="40">
        <f t="shared" si="7"/>
        <v>536.8942202</v>
      </c>
      <c r="H202" s="102">
        <f t="shared" si="8"/>
        <v>0</v>
      </c>
      <c r="I202" s="103">
        <f t="shared" si="9"/>
        <v>0</v>
      </c>
      <c r="J202" s="104">
        <f t="shared" si="10"/>
        <v>0.5707845531</v>
      </c>
      <c r="K202" s="68">
        <f t="shared" si="11"/>
        <v>204.17</v>
      </c>
      <c r="L202" s="105">
        <f t="shared" si="12"/>
        <v>1187.09259</v>
      </c>
      <c r="M202" s="1"/>
      <c r="N202" s="1"/>
      <c r="O202" s="1"/>
      <c r="P202" s="1"/>
      <c r="Q202" s="40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</row>
    <row r="203" ht="12.75" customHeight="1">
      <c r="A203" s="1"/>
      <c r="B203" s="100">
        <v>181.0</v>
      </c>
      <c r="C203" s="101">
        <f t="shared" si="13"/>
        <v>51626</v>
      </c>
      <c r="D203" s="40">
        <f t="shared" si="5"/>
        <v>121824.6708</v>
      </c>
      <c r="E203" s="40"/>
      <c r="F203" s="40">
        <f t="shared" si="6"/>
        <v>447.9797437</v>
      </c>
      <c r="G203" s="40">
        <f t="shared" si="7"/>
        <v>534.9428461</v>
      </c>
      <c r="H203" s="102">
        <f t="shared" si="8"/>
        <v>0</v>
      </c>
      <c r="I203" s="103">
        <f t="shared" si="9"/>
        <v>0</v>
      </c>
      <c r="J203" s="104">
        <f t="shared" si="10"/>
        <v>0.5687100025</v>
      </c>
      <c r="K203" s="68">
        <f t="shared" si="11"/>
        <v>204.17</v>
      </c>
      <c r="L203" s="105">
        <f t="shared" si="12"/>
        <v>1187.09259</v>
      </c>
      <c r="M203" s="1"/>
      <c r="N203" s="1"/>
      <c r="O203" s="1"/>
      <c r="P203" s="1"/>
      <c r="Q203" s="40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</row>
    <row r="204" ht="12.75" customHeight="1">
      <c r="A204" s="1"/>
      <c r="B204" s="100">
        <v>182.0</v>
      </c>
      <c r="C204" s="101">
        <f t="shared" si="13"/>
        <v>51657</v>
      </c>
      <c r="D204" s="40">
        <f t="shared" si="5"/>
        <v>121374.7311</v>
      </c>
      <c r="E204" s="40"/>
      <c r="F204" s="40">
        <f t="shared" si="6"/>
        <v>449.9396551</v>
      </c>
      <c r="G204" s="40">
        <f t="shared" si="7"/>
        <v>532.9829348</v>
      </c>
      <c r="H204" s="102">
        <f t="shared" si="8"/>
        <v>0</v>
      </c>
      <c r="I204" s="103">
        <f t="shared" si="9"/>
        <v>0</v>
      </c>
      <c r="J204" s="104">
        <f t="shared" si="10"/>
        <v>0.5666263758</v>
      </c>
      <c r="K204" s="68">
        <f t="shared" si="11"/>
        <v>204.17</v>
      </c>
      <c r="L204" s="105">
        <f t="shared" si="12"/>
        <v>1187.09259</v>
      </c>
      <c r="M204" s="1"/>
      <c r="N204" s="1"/>
      <c r="O204" s="1"/>
      <c r="P204" s="1"/>
      <c r="Q204" s="40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</row>
    <row r="205" ht="12.75" customHeight="1">
      <c r="A205" s="1"/>
      <c r="B205" s="100">
        <v>183.0</v>
      </c>
      <c r="C205" s="101">
        <f t="shared" si="13"/>
        <v>51687</v>
      </c>
      <c r="D205" s="40">
        <f t="shared" si="5"/>
        <v>120922.823</v>
      </c>
      <c r="E205" s="40"/>
      <c r="F205" s="40">
        <f t="shared" si="6"/>
        <v>451.908141</v>
      </c>
      <c r="G205" s="40">
        <f t="shared" si="7"/>
        <v>531.0144488</v>
      </c>
      <c r="H205" s="102">
        <f t="shared" si="8"/>
        <v>0</v>
      </c>
      <c r="I205" s="103">
        <f t="shared" si="9"/>
        <v>0</v>
      </c>
      <c r="J205" s="104">
        <f t="shared" si="10"/>
        <v>0.5645336332</v>
      </c>
      <c r="K205" s="68">
        <f t="shared" si="11"/>
        <v>204.17</v>
      </c>
      <c r="L205" s="105">
        <f t="shared" si="12"/>
        <v>1187.09259</v>
      </c>
      <c r="M205" s="1"/>
      <c r="N205" s="1"/>
      <c r="O205" s="1"/>
      <c r="P205" s="1"/>
      <c r="Q205" s="40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</row>
    <row r="206" ht="12.75" customHeight="1">
      <c r="A206" s="1"/>
      <c r="B206" s="100">
        <v>184.0</v>
      </c>
      <c r="C206" s="101">
        <f t="shared" si="13"/>
        <v>51718</v>
      </c>
      <c r="D206" s="40">
        <f t="shared" si="5"/>
        <v>120468.9378</v>
      </c>
      <c r="E206" s="40"/>
      <c r="F206" s="40">
        <f t="shared" si="6"/>
        <v>453.8852392</v>
      </c>
      <c r="G206" s="40">
        <f t="shared" si="7"/>
        <v>529.0373506</v>
      </c>
      <c r="H206" s="102">
        <f t="shared" si="8"/>
        <v>0</v>
      </c>
      <c r="I206" s="103">
        <f t="shared" si="9"/>
        <v>0</v>
      </c>
      <c r="J206" s="104">
        <f t="shared" si="10"/>
        <v>0.5624317349</v>
      </c>
      <c r="K206" s="68">
        <f t="shared" si="11"/>
        <v>204.17</v>
      </c>
      <c r="L206" s="105">
        <f t="shared" si="12"/>
        <v>1187.09259</v>
      </c>
      <c r="M206" s="1"/>
      <c r="N206" s="1"/>
      <c r="O206" s="1"/>
      <c r="P206" s="1"/>
      <c r="Q206" s="40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</row>
    <row r="207" ht="12.75" customHeight="1">
      <c r="A207" s="1"/>
      <c r="B207" s="100">
        <v>185.0</v>
      </c>
      <c r="C207" s="101">
        <f t="shared" si="13"/>
        <v>51749</v>
      </c>
      <c r="D207" s="40">
        <f t="shared" si="5"/>
        <v>120013.0668</v>
      </c>
      <c r="E207" s="40"/>
      <c r="F207" s="40">
        <f t="shared" si="6"/>
        <v>455.8709871</v>
      </c>
      <c r="G207" s="40">
        <f t="shared" si="7"/>
        <v>527.0516027</v>
      </c>
      <c r="H207" s="102">
        <f t="shared" si="8"/>
        <v>0</v>
      </c>
      <c r="I207" s="103">
        <f t="shared" si="9"/>
        <v>0</v>
      </c>
      <c r="J207" s="104">
        <f t="shared" si="10"/>
        <v>0.5603206408</v>
      </c>
      <c r="K207" s="68">
        <f t="shared" si="11"/>
        <v>204.17</v>
      </c>
      <c r="L207" s="105">
        <f t="shared" si="12"/>
        <v>1187.09259</v>
      </c>
      <c r="M207" s="1"/>
      <c r="N207" s="1"/>
      <c r="O207" s="1"/>
      <c r="P207" s="1"/>
      <c r="Q207" s="40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</row>
    <row r="208" ht="12.75" customHeight="1">
      <c r="A208" s="1"/>
      <c r="B208" s="100">
        <v>186.0</v>
      </c>
      <c r="C208" s="101">
        <f t="shared" si="13"/>
        <v>51779</v>
      </c>
      <c r="D208" s="40">
        <f t="shared" si="5"/>
        <v>119555.2014</v>
      </c>
      <c r="E208" s="40"/>
      <c r="F208" s="40">
        <f t="shared" si="6"/>
        <v>457.8654227</v>
      </c>
      <c r="G208" s="40">
        <f t="shared" si="7"/>
        <v>525.0571672</v>
      </c>
      <c r="H208" s="102">
        <f t="shared" si="8"/>
        <v>0</v>
      </c>
      <c r="I208" s="103">
        <f t="shared" si="9"/>
        <v>0</v>
      </c>
      <c r="J208" s="104">
        <f t="shared" si="10"/>
        <v>0.5582003106</v>
      </c>
      <c r="K208" s="68">
        <f t="shared" si="11"/>
        <v>204.17</v>
      </c>
      <c r="L208" s="105">
        <f t="shared" si="12"/>
        <v>1187.09259</v>
      </c>
      <c r="M208" s="1"/>
      <c r="N208" s="1"/>
      <c r="O208" s="1"/>
      <c r="P208" s="1"/>
      <c r="Q208" s="40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</row>
    <row r="209" ht="12.75" customHeight="1">
      <c r="A209" s="1"/>
      <c r="B209" s="100">
        <v>187.0</v>
      </c>
      <c r="C209" s="101">
        <f t="shared" si="13"/>
        <v>51810</v>
      </c>
      <c r="D209" s="40">
        <f t="shared" si="5"/>
        <v>119095.3328</v>
      </c>
      <c r="E209" s="40"/>
      <c r="F209" s="40">
        <f t="shared" si="6"/>
        <v>459.8685839</v>
      </c>
      <c r="G209" s="40">
        <f t="shared" si="7"/>
        <v>523.0540059</v>
      </c>
      <c r="H209" s="102">
        <f t="shared" si="8"/>
        <v>0</v>
      </c>
      <c r="I209" s="103">
        <f t="shared" si="9"/>
        <v>0</v>
      </c>
      <c r="J209" s="104">
        <f t="shared" si="10"/>
        <v>0.556070704</v>
      </c>
      <c r="K209" s="68">
        <f t="shared" si="11"/>
        <v>204.17</v>
      </c>
      <c r="L209" s="105">
        <f t="shared" si="12"/>
        <v>1187.09259</v>
      </c>
      <c r="M209" s="1"/>
      <c r="N209" s="1"/>
      <c r="O209" s="1"/>
      <c r="P209" s="1"/>
      <c r="Q209" s="40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</row>
    <row r="210" ht="12.75" customHeight="1">
      <c r="A210" s="1"/>
      <c r="B210" s="100">
        <v>188.0</v>
      </c>
      <c r="C210" s="101">
        <f t="shared" si="13"/>
        <v>51840</v>
      </c>
      <c r="D210" s="40">
        <f t="shared" si="5"/>
        <v>118633.4523</v>
      </c>
      <c r="E210" s="40"/>
      <c r="F210" s="40">
        <f t="shared" si="6"/>
        <v>461.8805089</v>
      </c>
      <c r="G210" s="40">
        <f t="shared" si="7"/>
        <v>521.0420809</v>
      </c>
      <c r="H210" s="102">
        <f t="shared" si="8"/>
        <v>0</v>
      </c>
      <c r="I210" s="103">
        <f t="shared" si="9"/>
        <v>0</v>
      </c>
      <c r="J210" s="104">
        <f t="shared" si="10"/>
        <v>0.5539317803</v>
      </c>
      <c r="K210" s="68">
        <f t="shared" si="11"/>
        <v>204.17</v>
      </c>
      <c r="L210" s="105">
        <f t="shared" si="12"/>
        <v>1187.09259</v>
      </c>
      <c r="M210" s="1"/>
      <c r="N210" s="1"/>
      <c r="O210" s="1"/>
      <c r="P210" s="1"/>
      <c r="Q210" s="40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</row>
    <row r="211" ht="12.75" customHeight="1">
      <c r="A211" s="1"/>
      <c r="B211" s="100">
        <v>189.0</v>
      </c>
      <c r="C211" s="101">
        <f t="shared" si="13"/>
        <v>51871</v>
      </c>
      <c r="D211" s="40">
        <f t="shared" si="5"/>
        <v>118169.551</v>
      </c>
      <c r="E211" s="40"/>
      <c r="F211" s="40">
        <f t="shared" si="6"/>
        <v>463.9012362</v>
      </c>
      <c r="G211" s="40">
        <f t="shared" si="7"/>
        <v>519.0213537</v>
      </c>
      <c r="H211" s="102">
        <f t="shared" si="8"/>
        <v>0</v>
      </c>
      <c r="I211" s="103">
        <f t="shared" si="9"/>
        <v>0</v>
      </c>
      <c r="J211" s="104">
        <f t="shared" si="10"/>
        <v>0.5517834989</v>
      </c>
      <c r="K211" s="68">
        <f t="shared" si="11"/>
        <v>204.17</v>
      </c>
      <c r="L211" s="105">
        <f t="shared" si="12"/>
        <v>1187.09259</v>
      </c>
      <c r="M211" s="1"/>
      <c r="N211" s="1"/>
      <c r="O211" s="1"/>
      <c r="P211" s="1"/>
      <c r="Q211" s="40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</row>
    <row r="212" ht="12.75" customHeight="1">
      <c r="A212" s="1"/>
      <c r="B212" s="100">
        <v>190.0</v>
      </c>
      <c r="C212" s="101">
        <f t="shared" si="13"/>
        <v>51902</v>
      </c>
      <c r="D212" s="40">
        <f t="shared" si="5"/>
        <v>117703.6202</v>
      </c>
      <c r="E212" s="40"/>
      <c r="F212" s="40">
        <f t="shared" si="6"/>
        <v>465.9308041</v>
      </c>
      <c r="G212" s="40">
        <f t="shared" si="7"/>
        <v>516.9917857</v>
      </c>
      <c r="H212" s="102">
        <f t="shared" si="8"/>
        <v>0</v>
      </c>
      <c r="I212" s="103">
        <f t="shared" si="9"/>
        <v>0</v>
      </c>
      <c r="J212" s="104">
        <f t="shared" si="10"/>
        <v>0.5496258187</v>
      </c>
      <c r="K212" s="68">
        <f t="shared" si="11"/>
        <v>204.17</v>
      </c>
      <c r="L212" s="105">
        <f t="shared" si="12"/>
        <v>1187.09259</v>
      </c>
      <c r="M212" s="1"/>
      <c r="N212" s="1"/>
      <c r="O212" s="1"/>
      <c r="P212" s="1"/>
      <c r="Q212" s="40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</row>
    <row r="213" ht="12.75" customHeight="1">
      <c r="A213" s="1"/>
      <c r="B213" s="100">
        <v>191.0</v>
      </c>
      <c r="C213" s="101">
        <f t="shared" si="13"/>
        <v>51930</v>
      </c>
      <c r="D213" s="40">
        <f t="shared" si="5"/>
        <v>117235.651</v>
      </c>
      <c r="E213" s="40"/>
      <c r="F213" s="40">
        <f t="shared" si="6"/>
        <v>467.9692513</v>
      </c>
      <c r="G213" s="40">
        <f t="shared" si="7"/>
        <v>514.9533385</v>
      </c>
      <c r="H213" s="102">
        <f t="shared" si="8"/>
        <v>0</v>
      </c>
      <c r="I213" s="103">
        <f t="shared" si="9"/>
        <v>0</v>
      </c>
      <c r="J213" s="104">
        <f t="shared" si="10"/>
        <v>0.5474586987</v>
      </c>
      <c r="K213" s="68">
        <f t="shared" si="11"/>
        <v>204.17</v>
      </c>
      <c r="L213" s="105">
        <f t="shared" si="12"/>
        <v>1187.09259</v>
      </c>
      <c r="M213" s="1"/>
      <c r="N213" s="1"/>
      <c r="O213" s="1"/>
      <c r="P213" s="1"/>
      <c r="Q213" s="40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</row>
    <row r="214" ht="12.75" customHeight="1">
      <c r="A214" s="1"/>
      <c r="B214" s="100">
        <v>192.0</v>
      </c>
      <c r="C214" s="101">
        <f t="shared" si="13"/>
        <v>51961</v>
      </c>
      <c r="D214" s="40">
        <f t="shared" si="5"/>
        <v>116765.6344</v>
      </c>
      <c r="E214" s="40"/>
      <c r="F214" s="40">
        <f t="shared" si="6"/>
        <v>470.0166168</v>
      </c>
      <c r="G214" s="40">
        <f t="shared" si="7"/>
        <v>512.905973</v>
      </c>
      <c r="H214" s="102">
        <f t="shared" si="8"/>
        <v>0</v>
      </c>
      <c r="I214" s="103">
        <f t="shared" si="9"/>
        <v>0</v>
      </c>
      <c r="J214" s="104">
        <f t="shared" si="10"/>
        <v>0.5452820975</v>
      </c>
      <c r="K214" s="68">
        <f t="shared" si="11"/>
        <v>204.17</v>
      </c>
      <c r="L214" s="105">
        <f t="shared" si="12"/>
        <v>1187.09259</v>
      </c>
      <c r="M214" s="1"/>
      <c r="N214" s="1"/>
      <c r="O214" s="1"/>
      <c r="P214" s="1"/>
      <c r="Q214" s="40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</row>
    <row r="215" ht="12.75" customHeight="1">
      <c r="A215" s="1"/>
      <c r="B215" s="100">
        <v>193.0</v>
      </c>
      <c r="C215" s="101">
        <f t="shared" si="13"/>
        <v>51991</v>
      </c>
      <c r="D215" s="40">
        <f t="shared" si="5"/>
        <v>116293.5614</v>
      </c>
      <c r="E215" s="40"/>
      <c r="F215" s="40">
        <f t="shared" si="6"/>
        <v>472.0729395</v>
      </c>
      <c r="G215" s="40">
        <f t="shared" si="7"/>
        <v>510.8496503</v>
      </c>
      <c r="H215" s="102">
        <f t="shared" si="8"/>
        <v>0</v>
      </c>
      <c r="I215" s="103">
        <f t="shared" si="9"/>
        <v>0</v>
      </c>
      <c r="J215" s="104">
        <f t="shared" si="10"/>
        <v>0.5430959737</v>
      </c>
      <c r="K215" s="68">
        <f t="shared" si="11"/>
        <v>204.17</v>
      </c>
      <c r="L215" s="105">
        <f t="shared" si="12"/>
        <v>1187.09259</v>
      </c>
      <c r="M215" s="1"/>
      <c r="N215" s="1"/>
      <c r="O215" s="1"/>
      <c r="P215" s="1"/>
      <c r="Q215" s="40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</row>
    <row r="216" ht="12.75" customHeight="1">
      <c r="A216" s="1"/>
      <c r="B216" s="100">
        <v>194.0</v>
      </c>
      <c r="C216" s="101">
        <f t="shared" si="13"/>
        <v>52022</v>
      </c>
      <c r="D216" s="40">
        <f t="shared" si="5"/>
        <v>115819.4232</v>
      </c>
      <c r="E216" s="40"/>
      <c r="F216" s="40">
        <f t="shared" si="6"/>
        <v>474.1382586</v>
      </c>
      <c r="G216" s="40">
        <f t="shared" si="7"/>
        <v>508.7843312</v>
      </c>
      <c r="H216" s="102">
        <f t="shared" si="8"/>
        <v>0</v>
      </c>
      <c r="I216" s="103">
        <f t="shared" si="9"/>
        <v>0</v>
      </c>
      <c r="J216" s="104">
        <f t="shared" si="10"/>
        <v>0.5409002857</v>
      </c>
      <c r="K216" s="68">
        <f t="shared" si="11"/>
        <v>204.17</v>
      </c>
      <c r="L216" s="105">
        <f t="shared" si="12"/>
        <v>1187.09259</v>
      </c>
      <c r="M216" s="1"/>
      <c r="N216" s="1"/>
      <c r="O216" s="1"/>
      <c r="P216" s="1"/>
      <c r="Q216" s="40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</row>
    <row r="217" ht="12.75" customHeight="1">
      <c r="A217" s="1"/>
      <c r="B217" s="100">
        <v>195.0</v>
      </c>
      <c r="C217" s="101">
        <f t="shared" si="13"/>
        <v>52052</v>
      </c>
      <c r="D217" s="40">
        <f t="shared" si="5"/>
        <v>115343.2105</v>
      </c>
      <c r="E217" s="40"/>
      <c r="F217" s="40">
        <f t="shared" si="6"/>
        <v>476.2126135</v>
      </c>
      <c r="G217" s="40">
        <f t="shared" si="7"/>
        <v>506.7099763</v>
      </c>
      <c r="H217" s="102">
        <f t="shared" si="8"/>
        <v>0</v>
      </c>
      <c r="I217" s="103">
        <f t="shared" si="9"/>
        <v>0</v>
      </c>
      <c r="J217" s="104">
        <f t="shared" si="10"/>
        <v>0.5386949914</v>
      </c>
      <c r="K217" s="68">
        <f t="shared" si="11"/>
        <v>204.17</v>
      </c>
      <c r="L217" s="105">
        <f t="shared" si="12"/>
        <v>1187.09259</v>
      </c>
      <c r="M217" s="1"/>
      <c r="N217" s="1"/>
      <c r="O217" s="1"/>
      <c r="P217" s="1"/>
      <c r="Q217" s="40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</row>
    <row r="218" ht="12.75" customHeight="1">
      <c r="A218" s="1"/>
      <c r="B218" s="100">
        <v>196.0</v>
      </c>
      <c r="C218" s="101">
        <f t="shared" si="13"/>
        <v>52083</v>
      </c>
      <c r="D218" s="40">
        <f t="shared" si="5"/>
        <v>114864.9145</v>
      </c>
      <c r="E218" s="40"/>
      <c r="F218" s="40">
        <f t="shared" si="6"/>
        <v>478.2960437</v>
      </c>
      <c r="G218" s="40">
        <f t="shared" si="7"/>
        <v>504.6265461</v>
      </c>
      <c r="H218" s="102">
        <f t="shared" si="8"/>
        <v>0</v>
      </c>
      <c r="I218" s="103">
        <f t="shared" si="9"/>
        <v>0</v>
      </c>
      <c r="J218" s="104">
        <f t="shared" si="10"/>
        <v>0.536480049</v>
      </c>
      <c r="K218" s="68">
        <f t="shared" si="11"/>
        <v>204.17</v>
      </c>
      <c r="L218" s="105">
        <f t="shared" si="12"/>
        <v>1187.09259</v>
      </c>
      <c r="M218" s="1"/>
      <c r="N218" s="1"/>
      <c r="O218" s="1"/>
      <c r="P218" s="1"/>
      <c r="Q218" s="40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</row>
    <row r="219" ht="12.75" customHeight="1">
      <c r="A219" s="1"/>
      <c r="B219" s="100">
        <v>197.0</v>
      </c>
      <c r="C219" s="101">
        <f t="shared" si="13"/>
        <v>52114</v>
      </c>
      <c r="D219" s="40">
        <f t="shared" si="5"/>
        <v>114384.5259</v>
      </c>
      <c r="E219" s="40"/>
      <c r="F219" s="40">
        <f t="shared" si="6"/>
        <v>480.3885889</v>
      </c>
      <c r="G219" s="40">
        <f t="shared" si="7"/>
        <v>502.5340009</v>
      </c>
      <c r="H219" s="102">
        <f t="shared" si="8"/>
        <v>0</v>
      </c>
      <c r="I219" s="103">
        <f t="shared" si="9"/>
        <v>0</v>
      </c>
      <c r="J219" s="104">
        <f t="shared" si="10"/>
        <v>0.5342554163</v>
      </c>
      <c r="K219" s="68">
        <f t="shared" si="11"/>
        <v>204.17</v>
      </c>
      <c r="L219" s="105">
        <f t="shared" si="12"/>
        <v>1187.09259</v>
      </c>
      <c r="M219" s="1"/>
      <c r="N219" s="1"/>
      <c r="O219" s="1"/>
      <c r="P219" s="1"/>
      <c r="Q219" s="40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</row>
    <row r="220" ht="12.75" customHeight="1">
      <c r="A220" s="1"/>
      <c r="B220" s="100">
        <v>198.0</v>
      </c>
      <c r="C220" s="101">
        <f t="shared" si="13"/>
        <v>52144</v>
      </c>
      <c r="D220" s="40">
        <f t="shared" si="5"/>
        <v>113902.0356</v>
      </c>
      <c r="E220" s="40"/>
      <c r="F220" s="40">
        <f t="shared" si="6"/>
        <v>482.490289</v>
      </c>
      <c r="G220" s="40">
        <f t="shared" si="7"/>
        <v>500.4323009</v>
      </c>
      <c r="H220" s="102">
        <f t="shared" si="8"/>
        <v>0</v>
      </c>
      <c r="I220" s="103">
        <f t="shared" si="9"/>
        <v>0</v>
      </c>
      <c r="J220" s="104">
        <f t="shared" si="10"/>
        <v>0.5320210507</v>
      </c>
      <c r="K220" s="68">
        <f t="shared" si="11"/>
        <v>204.17</v>
      </c>
      <c r="L220" s="105">
        <f t="shared" si="12"/>
        <v>1187.09259</v>
      </c>
      <c r="M220" s="1"/>
      <c r="N220" s="1"/>
      <c r="O220" s="1"/>
      <c r="P220" s="1"/>
      <c r="Q220" s="40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</row>
    <row r="221" ht="12.75" customHeight="1">
      <c r="A221" s="1"/>
      <c r="B221" s="100">
        <v>199.0</v>
      </c>
      <c r="C221" s="101">
        <f t="shared" si="13"/>
        <v>52175</v>
      </c>
      <c r="D221" s="40">
        <f t="shared" si="5"/>
        <v>113417.4344</v>
      </c>
      <c r="E221" s="40"/>
      <c r="F221" s="40">
        <f t="shared" si="6"/>
        <v>484.601184</v>
      </c>
      <c r="G221" s="40">
        <f t="shared" si="7"/>
        <v>498.3214058</v>
      </c>
      <c r="H221" s="102">
        <f t="shared" si="8"/>
        <v>0</v>
      </c>
      <c r="I221" s="103">
        <f t="shared" si="9"/>
        <v>0</v>
      </c>
      <c r="J221" s="104">
        <f t="shared" si="10"/>
        <v>0.5297769099</v>
      </c>
      <c r="K221" s="68">
        <f t="shared" si="11"/>
        <v>204.17</v>
      </c>
      <c r="L221" s="105">
        <f t="shared" si="12"/>
        <v>1187.09259</v>
      </c>
      <c r="M221" s="1"/>
      <c r="N221" s="1"/>
      <c r="O221" s="1"/>
      <c r="P221" s="1"/>
      <c r="Q221" s="40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</row>
    <row r="222" ht="12.75" customHeight="1">
      <c r="A222" s="1"/>
      <c r="B222" s="100">
        <v>200.0</v>
      </c>
      <c r="C222" s="101">
        <f t="shared" si="13"/>
        <v>52205</v>
      </c>
      <c r="D222" s="40">
        <f t="shared" si="5"/>
        <v>112930.7131</v>
      </c>
      <c r="E222" s="40"/>
      <c r="F222" s="40">
        <f t="shared" si="6"/>
        <v>486.7213141</v>
      </c>
      <c r="G222" s="40">
        <f t="shared" si="7"/>
        <v>496.2012757</v>
      </c>
      <c r="H222" s="102">
        <f t="shared" si="8"/>
        <v>0</v>
      </c>
      <c r="I222" s="103">
        <f t="shared" si="9"/>
        <v>0</v>
      </c>
      <c r="J222" s="104">
        <f t="shared" si="10"/>
        <v>0.5275229509</v>
      </c>
      <c r="K222" s="68">
        <f t="shared" si="11"/>
        <v>204.17</v>
      </c>
      <c r="L222" s="105">
        <f t="shared" si="12"/>
        <v>1187.09259</v>
      </c>
      <c r="M222" s="1"/>
      <c r="N222" s="1"/>
      <c r="O222" s="1"/>
      <c r="P222" s="1"/>
      <c r="Q222" s="40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</row>
    <row r="223" ht="12.75" customHeight="1">
      <c r="A223" s="1"/>
      <c r="B223" s="100">
        <v>201.0</v>
      </c>
      <c r="C223" s="101">
        <f t="shared" si="13"/>
        <v>52236</v>
      </c>
      <c r="D223" s="40">
        <f t="shared" si="5"/>
        <v>112441.8624</v>
      </c>
      <c r="E223" s="40"/>
      <c r="F223" s="40">
        <f t="shared" si="6"/>
        <v>488.8507199</v>
      </c>
      <c r="G223" s="40">
        <f t="shared" si="7"/>
        <v>494.0718699</v>
      </c>
      <c r="H223" s="102">
        <f t="shared" si="8"/>
        <v>0</v>
      </c>
      <c r="I223" s="103">
        <f t="shared" si="9"/>
        <v>0</v>
      </c>
      <c r="J223" s="104">
        <f t="shared" si="10"/>
        <v>0.5252591308</v>
      </c>
      <c r="K223" s="68">
        <f t="shared" si="11"/>
        <v>204.17</v>
      </c>
      <c r="L223" s="105">
        <f t="shared" si="12"/>
        <v>1187.09259</v>
      </c>
      <c r="M223" s="1"/>
      <c r="N223" s="1"/>
      <c r="O223" s="1"/>
      <c r="P223" s="1"/>
      <c r="Q223" s="40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</row>
    <row r="224" ht="12.75" customHeight="1">
      <c r="A224" s="1"/>
      <c r="B224" s="100">
        <v>202.0</v>
      </c>
      <c r="C224" s="101">
        <f t="shared" si="13"/>
        <v>52267</v>
      </c>
      <c r="D224" s="40">
        <f t="shared" si="5"/>
        <v>111950.873</v>
      </c>
      <c r="E224" s="40"/>
      <c r="F224" s="40">
        <f t="shared" si="6"/>
        <v>490.9894418</v>
      </c>
      <c r="G224" s="40">
        <f t="shared" si="7"/>
        <v>491.933148</v>
      </c>
      <c r="H224" s="102">
        <f t="shared" si="8"/>
        <v>0</v>
      </c>
      <c r="I224" s="103">
        <f t="shared" si="9"/>
        <v>0</v>
      </c>
      <c r="J224" s="104">
        <f t="shared" si="10"/>
        <v>0.5229854065</v>
      </c>
      <c r="K224" s="68">
        <f t="shared" si="11"/>
        <v>204.17</v>
      </c>
      <c r="L224" s="105">
        <f t="shared" si="12"/>
        <v>1187.09259</v>
      </c>
      <c r="M224" s="1"/>
      <c r="N224" s="1"/>
      <c r="O224" s="1"/>
      <c r="P224" s="1"/>
      <c r="Q224" s="40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</row>
    <row r="225" ht="12.75" customHeight="1">
      <c r="A225" s="1"/>
      <c r="B225" s="100">
        <v>203.0</v>
      </c>
      <c r="C225" s="101">
        <f t="shared" si="13"/>
        <v>52295</v>
      </c>
      <c r="D225" s="40">
        <f t="shared" si="5"/>
        <v>111457.7354</v>
      </c>
      <c r="E225" s="40"/>
      <c r="F225" s="40">
        <f t="shared" si="6"/>
        <v>493.1375206</v>
      </c>
      <c r="G225" s="40">
        <f t="shared" si="7"/>
        <v>489.7850692</v>
      </c>
      <c r="H225" s="102">
        <f t="shared" si="8"/>
        <v>0</v>
      </c>
      <c r="I225" s="103">
        <f t="shared" si="9"/>
        <v>0</v>
      </c>
      <c r="J225" s="104">
        <f t="shared" si="10"/>
        <v>0.5207017347</v>
      </c>
      <c r="K225" s="68">
        <f t="shared" si="11"/>
        <v>204.17</v>
      </c>
      <c r="L225" s="105">
        <f t="shared" si="12"/>
        <v>1187.09259</v>
      </c>
      <c r="M225" s="1"/>
      <c r="N225" s="1"/>
      <c r="O225" s="1"/>
      <c r="P225" s="1"/>
      <c r="Q225" s="40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</row>
    <row r="226" ht="12.75" customHeight="1">
      <c r="A226" s="1"/>
      <c r="B226" s="100">
        <v>204.0</v>
      </c>
      <c r="C226" s="101">
        <f t="shared" si="13"/>
        <v>52326</v>
      </c>
      <c r="D226" s="40">
        <f t="shared" si="5"/>
        <v>110962.4404</v>
      </c>
      <c r="E226" s="40"/>
      <c r="F226" s="40">
        <f t="shared" si="6"/>
        <v>495.2949973</v>
      </c>
      <c r="G226" s="40">
        <f t="shared" si="7"/>
        <v>487.6275926</v>
      </c>
      <c r="H226" s="102">
        <f t="shared" si="8"/>
        <v>0</v>
      </c>
      <c r="I226" s="103">
        <f t="shared" si="9"/>
        <v>0</v>
      </c>
      <c r="J226" s="104">
        <f t="shared" si="10"/>
        <v>0.5184080718</v>
      </c>
      <c r="K226" s="68">
        <f t="shared" si="11"/>
        <v>204.17</v>
      </c>
      <c r="L226" s="105">
        <f t="shared" si="12"/>
        <v>1187.09259</v>
      </c>
      <c r="M226" s="1"/>
      <c r="N226" s="1"/>
      <c r="O226" s="1"/>
      <c r="P226" s="1"/>
      <c r="Q226" s="40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</row>
    <row r="227" ht="12.75" customHeight="1">
      <c r="A227" s="1"/>
      <c r="B227" s="100">
        <v>205.0</v>
      </c>
      <c r="C227" s="101">
        <f t="shared" si="13"/>
        <v>52356</v>
      </c>
      <c r="D227" s="40">
        <f t="shared" si="5"/>
        <v>110464.9785</v>
      </c>
      <c r="E227" s="40"/>
      <c r="F227" s="40">
        <f t="shared" si="6"/>
        <v>497.4619129</v>
      </c>
      <c r="G227" s="40">
        <f t="shared" si="7"/>
        <v>485.4606769</v>
      </c>
      <c r="H227" s="102">
        <f t="shared" si="8"/>
        <v>0</v>
      </c>
      <c r="I227" s="103">
        <f t="shared" si="9"/>
        <v>0</v>
      </c>
      <c r="J227" s="104">
        <f t="shared" si="10"/>
        <v>0.5161043742</v>
      </c>
      <c r="K227" s="68">
        <f t="shared" si="11"/>
        <v>204.17</v>
      </c>
      <c r="L227" s="105">
        <f t="shared" si="12"/>
        <v>1187.09259</v>
      </c>
      <c r="M227" s="1"/>
      <c r="N227" s="1"/>
      <c r="O227" s="1"/>
      <c r="P227" s="1"/>
      <c r="Q227" s="40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</row>
    <row r="228" ht="12.75" customHeight="1">
      <c r="A228" s="1"/>
      <c r="B228" s="100">
        <v>206.0</v>
      </c>
      <c r="C228" s="101">
        <f t="shared" si="13"/>
        <v>52387</v>
      </c>
      <c r="D228" s="40">
        <f t="shared" si="5"/>
        <v>109965.3402</v>
      </c>
      <c r="E228" s="40"/>
      <c r="F228" s="40">
        <f t="shared" si="6"/>
        <v>499.6383087</v>
      </c>
      <c r="G228" s="40">
        <f t="shared" si="7"/>
        <v>483.2842811</v>
      </c>
      <c r="H228" s="102">
        <f t="shared" si="8"/>
        <v>0</v>
      </c>
      <c r="I228" s="103">
        <f t="shared" si="9"/>
        <v>0</v>
      </c>
      <c r="J228" s="104">
        <f t="shared" si="10"/>
        <v>0.5137905978</v>
      </c>
      <c r="K228" s="68">
        <f t="shared" si="11"/>
        <v>204.17</v>
      </c>
      <c r="L228" s="105">
        <f t="shared" si="12"/>
        <v>1187.09259</v>
      </c>
      <c r="M228" s="1"/>
      <c r="N228" s="1"/>
      <c r="O228" s="1"/>
      <c r="P228" s="1"/>
      <c r="Q228" s="40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</row>
    <row r="229" ht="12.75" customHeight="1">
      <c r="A229" s="1"/>
      <c r="B229" s="100">
        <v>207.0</v>
      </c>
      <c r="C229" s="101">
        <f t="shared" si="13"/>
        <v>52417</v>
      </c>
      <c r="D229" s="40">
        <f t="shared" si="5"/>
        <v>109463.516</v>
      </c>
      <c r="E229" s="40"/>
      <c r="F229" s="40">
        <f t="shared" si="6"/>
        <v>501.8242263</v>
      </c>
      <c r="G229" s="40">
        <f t="shared" si="7"/>
        <v>481.0983635</v>
      </c>
      <c r="H229" s="102">
        <f t="shared" si="8"/>
        <v>0</v>
      </c>
      <c r="I229" s="103">
        <f t="shared" si="9"/>
        <v>0</v>
      </c>
      <c r="J229" s="104">
        <f t="shared" si="10"/>
        <v>0.5114666987</v>
      </c>
      <c r="K229" s="68">
        <f t="shared" si="11"/>
        <v>204.17</v>
      </c>
      <c r="L229" s="105">
        <f t="shared" si="12"/>
        <v>1187.09259</v>
      </c>
      <c r="M229" s="1"/>
      <c r="N229" s="1"/>
      <c r="O229" s="1"/>
      <c r="P229" s="1"/>
      <c r="Q229" s="40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</row>
    <row r="230" ht="12.75" customHeight="1">
      <c r="A230" s="1"/>
      <c r="B230" s="100">
        <v>208.0</v>
      </c>
      <c r="C230" s="101">
        <f t="shared" si="13"/>
        <v>52448</v>
      </c>
      <c r="D230" s="40">
        <f t="shared" si="5"/>
        <v>108959.4963</v>
      </c>
      <c r="E230" s="40"/>
      <c r="F230" s="40">
        <f t="shared" si="6"/>
        <v>504.0197073</v>
      </c>
      <c r="G230" s="40">
        <f t="shared" si="7"/>
        <v>478.9028825</v>
      </c>
      <c r="H230" s="102">
        <f t="shared" si="8"/>
        <v>0</v>
      </c>
      <c r="I230" s="103">
        <f t="shared" si="9"/>
        <v>0</v>
      </c>
      <c r="J230" s="104">
        <f t="shared" si="10"/>
        <v>0.5091326325</v>
      </c>
      <c r="K230" s="68">
        <f t="shared" si="11"/>
        <v>204.17</v>
      </c>
      <c r="L230" s="105">
        <f t="shared" si="12"/>
        <v>1187.09259</v>
      </c>
      <c r="M230" s="1"/>
      <c r="N230" s="1"/>
      <c r="O230" s="1"/>
      <c r="P230" s="1"/>
      <c r="Q230" s="40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</row>
    <row r="231" ht="12.75" customHeight="1">
      <c r="A231" s="1"/>
      <c r="B231" s="100">
        <v>209.0</v>
      </c>
      <c r="C231" s="101">
        <f t="shared" si="13"/>
        <v>52479</v>
      </c>
      <c r="D231" s="40">
        <f t="shared" si="5"/>
        <v>108453.2715</v>
      </c>
      <c r="E231" s="40"/>
      <c r="F231" s="40">
        <f t="shared" si="6"/>
        <v>506.2247935</v>
      </c>
      <c r="G231" s="40">
        <f t="shared" si="7"/>
        <v>476.6977963</v>
      </c>
      <c r="H231" s="102">
        <f t="shared" si="8"/>
        <v>0</v>
      </c>
      <c r="I231" s="103">
        <f t="shared" si="9"/>
        <v>0</v>
      </c>
      <c r="J231" s="104">
        <f t="shared" si="10"/>
        <v>0.5067883548</v>
      </c>
      <c r="K231" s="68">
        <f t="shared" si="11"/>
        <v>204.17</v>
      </c>
      <c r="L231" s="105">
        <f t="shared" si="12"/>
        <v>1187.09259</v>
      </c>
      <c r="M231" s="1"/>
      <c r="N231" s="1"/>
      <c r="O231" s="1"/>
      <c r="P231" s="1"/>
      <c r="Q231" s="40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</row>
    <row r="232" ht="12.75" customHeight="1">
      <c r="A232" s="1"/>
      <c r="B232" s="100">
        <v>210.0</v>
      </c>
      <c r="C232" s="101">
        <f t="shared" si="13"/>
        <v>52509</v>
      </c>
      <c r="D232" s="40">
        <f t="shared" si="5"/>
        <v>107944.832</v>
      </c>
      <c r="E232" s="40"/>
      <c r="F232" s="40">
        <f t="shared" si="6"/>
        <v>508.439527</v>
      </c>
      <c r="G232" s="40">
        <f t="shared" si="7"/>
        <v>474.4830628</v>
      </c>
      <c r="H232" s="102">
        <f t="shared" si="8"/>
        <v>0</v>
      </c>
      <c r="I232" s="103">
        <f t="shared" si="9"/>
        <v>0</v>
      </c>
      <c r="J232" s="104">
        <f t="shared" si="10"/>
        <v>0.5044338209</v>
      </c>
      <c r="K232" s="68">
        <f t="shared" si="11"/>
        <v>204.17</v>
      </c>
      <c r="L232" s="105">
        <f t="shared" si="12"/>
        <v>1187.09259</v>
      </c>
      <c r="M232" s="1"/>
      <c r="N232" s="1"/>
      <c r="O232" s="1"/>
      <c r="P232" s="1"/>
      <c r="Q232" s="40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</row>
    <row r="233" ht="12.75" customHeight="1">
      <c r="A233" s="1"/>
      <c r="B233" s="100">
        <v>211.0</v>
      </c>
      <c r="C233" s="101">
        <f t="shared" si="13"/>
        <v>52540</v>
      </c>
      <c r="D233" s="40">
        <f t="shared" si="5"/>
        <v>107434.168</v>
      </c>
      <c r="E233" s="40"/>
      <c r="F233" s="40">
        <f t="shared" si="6"/>
        <v>510.66395</v>
      </c>
      <c r="G233" s="40">
        <f t="shared" si="7"/>
        <v>472.2586399</v>
      </c>
      <c r="H233" s="102">
        <f t="shared" si="8"/>
        <v>0</v>
      </c>
      <c r="I233" s="103">
        <f t="shared" si="9"/>
        <v>0</v>
      </c>
      <c r="J233" s="104">
        <f t="shared" si="10"/>
        <v>0.5020689859</v>
      </c>
      <c r="K233" s="68">
        <f t="shared" si="11"/>
        <v>204.17</v>
      </c>
      <c r="L233" s="105">
        <f t="shared" si="12"/>
        <v>1187.09259</v>
      </c>
      <c r="M233" s="1"/>
      <c r="N233" s="1"/>
      <c r="O233" s="1"/>
      <c r="P233" s="1"/>
      <c r="Q233" s="40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</row>
    <row r="234" ht="12.75" customHeight="1">
      <c r="A234" s="1"/>
      <c r="B234" s="100">
        <v>212.0</v>
      </c>
      <c r="C234" s="101">
        <f t="shared" si="13"/>
        <v>52570</v>
      </c>
      <c r="D234" s="40">
        <f t="shared" si="5"/>
        <v>106921.2699</v>
      </c>
      <c r="E234" s="40"/>
      <c r="F234" s="40">
        <f t="shared" si="6"/>
        <v>512.8981047</v>
      </c>
      <c r="G234" s="40">
        <f t="shared" si="7"/>
        <v>470.0244851</v>
      </c>
      <c r="H234" s="102">
        <f t="shared" si="8"/>
        <v>0</v>
      </c>
      <c r="I234" s="103">
        <f t="shared" si="9"/>
        <v>0</v>
      </c>
      <c r="J234" s="104">
        <f t="shared" si="10"/>
        <v>0.4996938047</v>
      </c>
      <c r="K234" s="68">
        <f t="shared" si="11"/>
        <v>204.17</v>
      </c>
      <c r="L234" s="105">
        <f t="shared" si="12"/>
        <v>1187.09259</v>
      </c>
      <c r="M234" s="1"/>
      <c r="N234" s="1"/>
      <c r="O234" s="1"/>
      <c r="P234" s="1"/>
      <c r="Q234" s="40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</row>
    <row r="235" ht="12.75" customHeight="1">
      <c r="A235" s="1"/>
      <c r="B235" s="100">
        <v>213.0</v>
      </c>
      <c r="C235" s="101">
        <f t="shared" si="13"/>
        <v>52601</v>
      </c>
      <c r="D235" s="40">
        <f t="shared" si="5"/>
        <v>106406.1279</v>
      </c>
      <c r="E235" s="40"/>
      <c r="F235" s="40">
        <f t="shared" si="6"/>
        <v>515.1420339</v>
      </c>
      <c r="G235" s="40">
        <f t="shared" si="7"/>
        <v>467.7805559</v>
      </c>
      <c r="H235" s="102">
        <f t="shared" si="8"/>
        <v>0</v>
      </c>
      <c r="I235" s="103">
        <f t="shared" si="9"/>
        <v>0</v>
      </c>
      <c r="J235" s="104">
        <f t="shared" si="10"/>
        <v>0.4973082322</v>
      </c>
      <c r="K235" s="68">
        <f t="shared" si="11"/>
        <v>204.17</v>
      </c>
      <c r="L235" s="105">
        <f t="shared" si="12"/>
        <v>1187.09259</v>
      </c>
      <c r="M235" s="1"/>
      <c r="N235" s="1"/>
      <c r="O235" s="1"/>
      <c r="P235" s="1"/>
      <c r="Q235" s="40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</row>
    <row r="236" ht="12.75" customHeight="1">
      <c r="A236" s="1"/>
      <c r="B236" s="100">
        <v>214.0</v>
      </c>
      <c r="C236" s="101">
        <f t="shared" si="13"/>
        <v>52632</v>
      </c>
      <c r="D236" s="40">
        <f t="shared" si="5"/>
        <v>105888.7321</v>
      </c>
      <c r="E236" s="40"/>
      <c r="F236" s="40">
        <f t="shared" si="6"/>
        <v>517.3957803</v>
      </c>
      <c r="G236" s="40">
        <f t="shared" si="7"/>
        <v>465.5268095</v>
      </c>
      <c r="H236" s="102">
        <f t="shared" si="8"/>
        <v>0</v>
      </c>
      <c r="I236" s="103">
        <f t="shared" si="9"/>
        <v>0</v>
      </c>
      <c r="J236" s="104">
        <f t="shared" si="10"/>
        <v>0.4949122227</v>
      </c>
      <c r="K236" s="68">
        <f t="shared" si="11"/>
        <v>204.17</v>
      </c>
      <c r="L236" s="105">
        <f t="shared" si="12"/>
        <v>1187.09259</v>
      </c>
      <c r="M236" s="1"/>
      <c r="N236" s="1"/>
      <c r="O236" s="1"/>
      <c r="P236" s="1"/>
      <c r="Q236" s="40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</row>
    <row r="237" ht="12.75" customHeight="1">
      <c r="A237" s="1"/>
      <c r="B237" s="100">
        <v>215.0</v>
      </c>
      <c r="C237" s="101">
        <f t="shared" si="13"/>
        <v>52661</v>
      </c>
      <c r="D237" s="40">
        <f t="shared" si="5"/>
        <v>105369.0727</v>
      </c>
      <c r="E237" s="40"/>
      <c r="F237" s="40">
        <f t="shared" si="6"/>
        <v>519.6593869</v>
      </c>
      <c r="G237" s="40">
        <f t="shared" si="7"/>
        <v>463.2632029</v>
      </c>
      <c r="H237" s="102">
        <f t="shared" si="8"/>
        <v>0</v>
      </c>
      <c r="I237" s="103">
        <f t="shared" si="9"/>
        <v>0</v>
      </c>
      <c r="J237" s="104">
        <f t="shared" si="10"/>
        <v>0.4925057307</v>
      </c>
      <c r="K237" s="68">
        <f t="shared" si="11"/>
        <v>204.17</v>
      </c>
      <c r="L237" s="105">
        <f t="shared" si="12"/>
        <v>1187.09259</v>
      </c>
      <c r="M237" s="1"/>
      <c r="N237" s="1"/>
      <c r="O237" s="1"/>
      <c r="P237" s="1"/>
      <c r="Q237" s="40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</row>
    <row r="238" ht="12.75" customHeight="1">
      <c r="A238" s="1"/>
      <c r="B238" s="100">
        <v>216.0</v>
      </c>
      <c r="C238" s="101">
        <f t="shared" si="13"/>
        <v>52692</v>
      </c>
      <c r="D238" s="40">
        <f t="shared" si="5"/>
        <v>104847.1398</v>
      </c>
      <c r="E238" s="40"/>
      <c r="F238" s="40">
        <f t="shared" si="6"/>
        <v>521.9328967</v>
      </c>
      <c r="G238" s="40">
        <f t="shared" si="7"/>
        <v>460.9896931</v>
      </c>
      <c r="H238" s="102">
        <f t="shared" si="8"/>
        <v>0</v>
      </c>
      <c r="I238" s="103">
        <f t="shared" si="9"/>
        <v>0</v>
      </c>
      <c r="J238" s="104">
        <f t="shared" si="10"/>
        <v>0.4900887103</v>
      </c>
      <c r="K238" s="68">
        <f t="shared" si="11"/>
        <v>204.17</v>
      </c>
      <c r="L238" s="105">
        <f t="shared" si="12"/>
        <v>1187.09259</v>
      </c>
      <c r="M238" s="1"/>
      <c r="N238" s="1"/>
      <c r="O238" s="1"/>
      <c r="P238" s="1"/>
      <c r="Q238" s="40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</row>
    <row r="239" ht="12.75" customHeight="1">
      <c r="A239" s="1"/>
      <c r="B239" s="100">
        <v>217.0</v>
      </c>
      <c r="C239" s="101">
        <f t="shared" si="13"/>
        <v>52722</v>
      </c>
      <c r="D239" s="40">
        <f t="shared" si="5"/>
        <v>104322.9235</v>
      </c>
      <c r="E239" s="40"/>
      <c r="F239" s="40">
        <f t="shared" si="6"/>
        <v>524.2163531</v>
      </c>
      <c r="G239" s="40">
        <f t="shared" si="7"/>
        <v>458.7062367</v>
      </c>
      <c r="H239" s="102">
        <f t="shared" si="8"/>
        <v>0</v>
      </c>
      <c r="I239" s="103">
        <f t="shared" si="9"/>
        <v>0</v>
      </c>
      <c r="J239" s="104">
        <f t="shared" si="10"/>
        <v>0.4876611154</v>
      </c>
      <c r="K239" s="68">
        <f t="shared" si="11"/>
        <v>204.17</v>
      </c>
      <c r="L239" s="105">
        <f t="shared" si="12"/>
        <v>1187.09259</v>
      </c>
      <c r="M239" s="1"/>
      <c r="N239" s="1"/>
      <c r="O239" s="1"/>
      <c r="P239" s="1"/>
      <c r="Q239" s="40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</row>
    <row r="240" ht="12.75" customHeight="1">
      <c r="A240" s="1"/>
      <c r="B240" s="100">
        <v>218.0</v>
      </c>
      <c r="C240" s="101">
        <f t="shared" si="13"/>
        <v>52753</v>
      </c>
      <c r="D240" s="40">
        <f t="shared" si="5"/>
        <v>103796.4137</v>
      </c>
      <c r="E240" s="40"/>
      <c r="F240" s="40">
        <f t="shared" si="6"/>
        <v>526.5097997</v>
      </c>
      <c r="G240" s="40">
        <f t="shared" si="7"/>
        <v>456.4127901</v>
      </c>
      <c r="H240" s="102">
        <f t="shared" si="8"/>
        <v>0</v>
      </c>
      <c r="I240" s="103">
        <f t="shared" si="9"/>
        <v>0</v>
      </c>
      <c r="J240" s="104">
        <f t="shared" si="10"/>
        <v>0.4852228998</v>
      </c>
      <c r="K240" s="68">
        <f t="shared" si="11"/>
        <v>204.17</v>
      </c>
      <c r="L240" s="105">
        <f t="shared" si="12"/>
        <v>1187.09259</v>
      </c>
      <c r="M240" s="1"/>
      <c r="N240" s="1"/>
      <c r="O240" s="1"/>
      <c r="P240" s="1"/>
      <c r="Q240" s="40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</row>
    <row r="241" ht="12.75" customHeight="1">
      <c r="A241" s="1"/>
      <c r="B241" s="100">
        <v>219.0</v>
      </c>
      <c r="C241" s="101">
        <f t="shared" si="13"/>
        <v>52783</v>
      </c>
      <c r="D241" s="40">
        <f t="shared" si="5"/>
        <v>103267.6004</v>
      </c>
      <c r="E241" s="40"/>
      <c r="F241" s="40">
        <f t="shared" si="6"/>
        <v>528.81328</v>
      </c>
      <c r="G241" s="40">
        <f t="shared" si="7"/>
        <v>454.1093098</v>
      </c>
      <c r="H241" s="102">
        <f t="shared" si="8"/>
        <v>0</v>
      </c>
      <c r="I241" s="103">
        <f t="shared" si="9"/>
        <v>0</v>
      </c>
      <c r="J241" s="104">
        <f t="shared" si="10"/>
        <v>0.482774017</v>
      </c>
      <c r="K241" s="68">
        <f t="shared" si="11"/>
        <v>204.17</v>
      </c>
      <c r="L241" s="105">
        <f t="shared" si="12"/>
        <v>1187.09259</v>
      </c>
      <c r="M241" s="1"/>
      <c r="N241" s="1"/>
      <c r="O241" s="1"/>
      <c r="P241" s="1"/>
      <c r="Q241" s="40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</row>
    <row r="242" ht="12.75" customHeight="1">
      <c r="A242" s="1"/>
      <c r="B242" s="100">
        <v>220.0</v>
      </c>
      <c r="C242" s="101">
        <f t="shared" si="13"/>
        <v>52814</v>
      </c>
      <c r="D242" s="40">
        <f t="shared" si="5"/>
        <v>102736.4735</v>
      </c>
      <c r="E242" s="40"/>
      <c r="F242" s="40">
        <f t="shared" si="6"/>
        <v>531.1268381</v>
      </c>
      <c r="G242" s="40">
        <f t="shared" si="7"/>
        <v>451.7957517</v>
      </c>
      <c r="H242" s="102">
        <f t="shared" si="8"/>
        <v>0</v>
      </c>
      <c r="I242" s="103">
        <f t="shared" si="9"/>
        <v>0</v>
      </c>
      <c r="J242" s="104">
        <f t="shared" si="10"/>
        <v>0.4803144204</v>
      </c>
      <c r="K242" s="68">
        <f t="shared" si="11"/>
        <v>204.17</v>
      </c>
      <c r="L242" s="105">
        <f t="shared" si="12"/>
        <v>1187.09259</v>
      </c>
      <c r="M242" s="1"/>
      <c r="N242" s="1"/>
      <c r="O242" s="1"/>
      <c r="P242" s="1"/>
      <c r="Q242" s="40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</row>
    <row r="243" ht="12.75" customHeight="1">
      <c r="A243" s="1"/>
      <c r="B243" s="100">
        <v>221.0</v>
      </c>
      <c r="C243" s="101">
        <f t="shared" si="13"/>
        <v>52845</v>
      </c>
      <c r="D243" s="40">
        <f t="shared" si="5"/>
        <v>102203.023</v>
      </c>
      <c r="E243" s="40"/>
      <c r="F243" s="40">
        <f t="shared" si="6"/>
        <v>533.4505181</v>
      </c>
      <c r="G243" s="40">
        <f t="shared" si="7"/>
        <v>449.4720718</v>
      </c>
      <c r="H243" s="102">
        <f t="shared" si="8"/>
        <v>0</v>
      </c>
      <c r="I243" s="103">
        <f t="shared" si="9"/>
        <v>0</v>
      </c>
      <c r="J243" s="104">
        <f t="shared" si="10"/>
        <v>0.477844063</v>
      </c>
      <c r="K243" s="68">
        <f t="shared" si="11"/>
        <v>204.17</v>
      </c>
      <c r="L243" s="105">
        <f t="shared" si="12"/>
        <v>1187.09259</v>
      </c>
      <c r="M243" s="1"/>
      <c r="N243" s="1"/>
      <c r="O243" s="1"/>
      <c r="P243" s="1"/>
      <c r="Q243" s="40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</row>
    <row r="244" ht="12.75" customHeight="1">
      <c r="A244" s="1"/>
      <c r="B244" s="100">
        <v>222.0</v>
      </c>
      <c r="C244" s="101">
        <f t="shared" si="13"/>
        <v>52875</v>
      </c>
      <c r="D244" s="40">
        <f t="shared" si="5"/>
        <v>101667.2387</v>
      </c>
      <c r="E244" s="40"/>
      <c r="F244" s="40">
        <f t="shared" si="6"/>
        <v>535.7843641</v>
      </c>
      <c r="G244" s="40">
        <f t="shared" si="7"/>
        <v>447.1382257</v>
      </c>
      <c r="H244" s="102">
        <f t="shared" si="8"/>
        <v>0</v>
      </c>
      <c r="I244" s="103">
        <f t="shared" si="9"/>
        <v>0</v>
      </c>
      <c r="J244" s="104">
        <f t="shared" si="10"/>
        <v>0.4753628978</v>
      </c>
      <c r="K244" s="68">
        <f t="shared" si="11"/>
        <v>204.17</v>
      </c>
      <c r="L244" s="105">
        <f t="shared" si="12"/>
        <v>1187.09259</v>
      </c>
      <c r="M244" s="1"/>
      <c r="N244" s="1"/>
      <c r="O244" s="1"/>
      <c r="P244" s="1"/>
      <c r="Q244" s="40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</row>
    <row r="245" ht="12.75" customHeight="1">
      <c r="A245" s="1"/>
      <c r="B245" s="100">
        <v>223.0</v>
      </c>
      <c r="C245" s="101">
        <f t="shared" si="13"/>
        <v>52906</v>
      </c>
      <c r="D245" s="40">
        <f t="shared" si="5"/>
        <v>101129.1102</v>
      </c>
      <c r="E245" s="40"/>
      <c r="F245" s="40">
        <f t="shared" si="6"/>
        <v>538.1284207</v>
      </c>
      <c r="G245" s="40">
        <f t="shared" si="7"/>
        <v>444.7941691</v>
      </c>
      <c r="H245" s="102">
        <f t="shared" si="8"/>
        <v>0</v>
      </c>
      <c r="I245" s="103">
        <f t="shared" si="9"/>
        <v>0</v>
      </c>
      <c r="J245" s="104">
        <f t="shared" si="10"/>
        <v>0.4728708775</v>
      </c>
      <c r="K245" s="68">
        <f t="shared" si="11"/>
        <v>204.17</v>
      </c>
      <c r="L245" s="105">
        <f t="shared" si="12"/>
        <v>1187.09259</v>
      </c>
      <c r="M245" s="1"/>
      <c r="N245" s="1"/>
      <c r="O245" s="1"/>
      <c r="P245" s="1"/>
      <c r="Q245" s="40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</row>
    <row r="246" ht="12.75" customHeight="1">
      <c r="A246" s="1"/>
      <c r="B246" s="100">
        <v>224.0</v>
      </c>
      <c r="C246" s="101">
        <f t="shared" si="13"/>
        <v>52936</v>
      </c>
      <c r="D246" s="40">
        <f t="shared" si="5"/>
        <v>100588.6275</v>
      </c>
      <c r="E246" s="40"/>
      <c r="F246" s="40">
        <f t="shared" si="6"/>
        <v>540.4827325</v>
      </c>
      <c r="G246" s="40">
        <f t="shared" si="7"/>
        <v>442.4398573</v>
      </c>
      <c r="H246" s="102">
        <f t="shared" si="8"/>
        <v>0</v>
      </c>
      <c r="I246" s="103">
        <f t="shared" si="9"/>
        <v>0</v>
      </c>
      <c r="J246" s="104">
        <f t="shared" si="10"/>
        <v>0.4703679546</v>
      </c>
      <c r="K246" s="68">
        <f t="shared" si="11"/>
        <v>204.17</v>
      </c>
      <c r="L246" s="105">
        <f t="shared" si="12"/>
        <v>1187.09259</v>
      </c>
      <c r="M246" s="1"/>
      <c r="N246" s="1"/>
      <c r="O246" s="1"/>
      <c r="P246" s="1"/>
      <c r="Q246" s="40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</row>
    <row r="247" ht="12.75" customHeight="1">
      <c r="A247" s="1"/>
      <c r="B247" s="100">
        <v>225.0</v>
      </c>
      <c r="C247" s="101">
        <f t="shared" si="13"/>
        <v>52967</v>
      </c>
      <c r="D247" s="40">
        <f t="shared" si="5"/>
        <v>100045.7802</v>
      </c>
      <c r="E247" s="40"/>
      <c r="F247" s="40">
        <f t="shared" si="6"/>
        <v>542.8473445</v>
      </c>
      <c r="G247" s="40">
        <f t="shared" si="7"/>
        <v>440.0752454</v>
      </c>
      <c r="H247" s="102">
        <f t="shared" si="8"/>
        <v>0</v>
      </c>
      <c r="I247" s="103">
        <f t="shared" si="9"/>
        <v>0</v>
      </c>
      <c r="J247" s="104">
        <f t="shared" si="10"/>
        <v>0.4678540814</v>
      </c>
      <c r="K247" s="68">
        <f t="shared" si="11"/>
        <v>204.17</v>
      </c>
      <c r="L247" s="105">
        <f t="shared" si="12"/>
        <v>1187.09259</v>
      </c>
      <c r="M247" s="1"/>
      <c r="N247" s="1"/>
      <c r="O247" s="1"/>
      <c r="P247" s="1"/>
      <c r="Q247" s="40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</row>
    <row r="248" ht="12.75" customHeight="1">
      <c r="A248" s="1"/>
      <c r="B248" s="100">
        <v>226.0</v>
      </c>
      <c r="C248" s="101">
        <f t="shared" si="13"/>
        <v>52998</v>
      </c>
      <c r="D248" s="40">
        <f t="shared" si="5"/>
        <v>99500.55786</v>
      </c>
      <c r="E248" s="40"/>
      <c r="F248" s="40">
        <f t="shared" si="6"/>
        <v>545.2223016</v>
      </c>
      <c r="G248" s="40">
        <f t="shared" si="7"/>
        <v>437.7002882</v>
      </c>
      <c r="H248" s="102">
        <f t="shared" si="8"/>
        <v>0</v>
      </c>
      <c r="I248" s="103">
        <f t="shared" si="9"/>
        <v>0</v>
      </c>
      <c r="J248" s="104">
        <f t="shared" si="10"/>
        <v>0.4653292101</v>
      </c>
      <c r="K248" s="68">
        <f t="shared" si="11"/>
        <v>204.17</v>
      </c>
      <c r="L248" s="105">
        <f t="shared" si="12"/>
        <v>1187.09259</v>
      </c>
      <c r="M248" s="1"/>
      <c r="N248" s="1"/>
      <c r="O248" s="1"/>
      <c r="P248" s="1"/>
      <c r="Q248" s="40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</row>
    <row r="249" ht="12.75" customHeight="1">
      <c r="A249" s="1"/>
      <c r="B249" s="100">
        <v>227.0</v>
      </c>
      <c r="C249" s="101">
        <f t="shared" si="13"/>
        <v>53026</v>
      </c>
      <c r="D249" s="40">
        <f t="shared" si="5"/>
        <v>98952.95021</v>
      </c>
      <c r="E249" s="40"/>
      <c r="F249" s="40">
        <f t="shared" si="6"/>
        <v>547.6076492</v>
      </c>
      <c r="G249" s="40">
        <f t="shared" si="7"/>
        <v>435.3149407</v>
      </c>
      <c r="H249" s="102">
        <f t="shared" si="8"/>
        <v>0</v>
      </c>
      <c r="I249" s="103">
        <f t="shared" si="9"/>
        <v>0</v>
      </c>
      <c r="J249" s="104">
        <f t="shared" si="10"/>
        <v>0.4627932924</v>
      </c>
      <c r="K249" s="68">
        <f t="shared" si="11"/>
        <v>204.17</v>
      </c>
      <c r="L249" s="105">
        <f t="shared" si="12"/>
        <v>1187.09259</v>
      </c>
      <c r="M249" s="1"/>
      <c r="N249" s="1"/>
      <c r="O249" s="1"/>
      <c r="P249" s="1"/>
      <c r="Q249" s="40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</row>
    <row r="250" ht="12.75" customHeight="1">
      <c r="A250" s="1"/>
      <c r="B250" s="100">
        <v>228.0</v>
      </c>
      <c r="C250" s="101">
        <f t="shared" si="13"/>
        <v>53057</v>
      </c>
      <c r="D250" s="40">
        <f t="shared" si="5"/>
        <v>98402.94678</v>
      </c>
      <c r="E250" s="40"/>
      <c r="F250" s="40">
        <f t="shared" si="6"/>
        <v>550.0034326</v>
      </c>
      <c r="G250" s="40">
        <f t="shared" si="7"/>
        <v>432.9191572</v>
      </c>
      <c r="H250" s="102">
        <f t="shared" si="8"/>
        <v>0</v>
      </c>
      <c r="I250" s="103">
        <f t="shared" si="9"/>
        <v>0</v>
      </c>
      <c r="J250" s="104">
        <f t="shared" si="10"/>
        <v>0.4602462801</v>
      </c>
      <c r="K250" s="68">
        <f t="shared" si="11"/>
        <v>204.17</v>
      </c>
      <c r="L250" s="105">
        <f t="shared" si="12"/>
        <v>1187.09259</v>
      </c>
      <c r="M250" s="1"/>
      <c r="N250" s="1"/>
      <c r="O250" s="1"/>
      <c r="P250" s="1"/>
      <c r="Q250" s="40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</row>
    <row r="251" ht="12.75" customHeight="1">
      <c r="A251" s="1"/>
      <c r="B251" s="100">
        <v>229.0</v>
      </c>
      <c r="C251" s="101">
        <f t="shared" si="13"/>
        <v>53087</v>
      </c>
      <c r="D251" s="40">
        <f t="shared" si="5"/>
        <v>97850.53708</v>
      </c>
      <c r="E251" s="40"/>
      <c r="F251" s="40">
        <f t="shared" si="6"/>
        <v>552.4096976</v>
      </c>
      <c r="G251" s="40">
        <f t="shared" si="7"/>
        <v>430.5128922</v>
      </c>
      <c r="H251" s="102">
        <f t="shared" si="8"/>
        <v>0</v>
      </c>
      <c r="I251" s="103">
        <f t="shared" si="9"/>
        <v>0</v>
      </c>
      <c r="J251" s="104">
        <f t="shared" si="10"/>
        <v>0.4576881246</v>
      </c>
      <c r="K251" s="68">
        <f t="shared" si="11"/>
        <v>204.17</v>
      </c>
      <c r="L251" s="105">
        <f t="shared" si="12"/>
        <v>1187.09259</v>
      </c>
      <c r="M251" s="1"/>
      <c r="N251" s="1"/>
      <c r="O251" s="1"/>
      <c r="P251" s="1"/>
      <c r="Q251" s="40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</row>
    <row r="252" ht="12.75" customHeight="1">
      <c r="A252" s="1"/>
      <c r="B252" s="100">
        <v>230.0</v>
      </c>
      <c r="C252" s="101">
        <f t="shared" si="13"/>
        <v>53118</v>
      </c>
      <c r="D252" s="40">
        <f t="shared" si="5"/>
        <v>97295.71059</v>
      </c>
      <c r="E252" s="40"/>
      <c r="F252" s="40">
        <f t="shared" si="6"/>
        <v>554.8264901</v>
      </c>
      <c r="G252" s="40">
        <f t="shared" si="7"/>
        <v>428.0960997</v>
      </c>
      <c r="H252" s="102">
        <f t="shared" si="8"/>
        <v>0</v>
      </c>
      <c r="I252" s="103">
        <f t="shared" si="9"/>
        <v>0</v>
      </c>
      <c r="J252" s="104">
        <f t="shared" si="10"/>
        <v>0.4551187771</v>
      </c>
      <c r="K252" s="68">
        <f t="shared" si="11"/>
        <v>204.17</v>
      </c>
      <c r="L252" s="105">
        <f t="shared" si="12"/>
        <v>1187.09259</v>
      </c>
      <c r="M252" s="1"/>
      <c r="N252" s="1"/>
      <c r="O252" s="1"/>
      <c r="P252" s="1"/>
      <c r="Q252" s="40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</row>
    <row r="253" ht="12.75" customHeight="1">
      <c r="A253" s="1"/>
      <c r="B253" s="100">
        <v>231.0</v>
      </c>
      <c r="C253" s="101">
        <f t="shared" si="13"/>
        <v>53148</v>
      </c>
      <c r="D253" s="40">
        <f t="shared" si="5"/>
        <v>96738.45674</v>
      </c>
      <c r="E253" s="40"/>
      <c r="F253" s="40">
        <f t="shared" si="6"/>
        <v>557.253856</v>
      </c>
      <c r="G253" s="40">
        <f t="shared" si="7"/>
        <v>425.6687338</v>
      </c>
      <c r="H253" s="102">
        <f t="shared" si="8"/>
        <v>0</v>
      </c>
      <c r="I253" s="103">
        <f t="shared" si="9"/>
        <v>0</v>
      </c>
      <c r="J253" s="104">
        <f t="shared" si="10"/>
        <v>0.4525381888</v>
      </c>
      <c r="K253" s="68">
        <f t="shared" si="11"/>
        <v>204.17</v>
      </c>
      <c r="L253" s="105">
        <f t="shared" si="12"/>
        <v>1187.09259</v>
      </c>
      <c r="M253" s="1"/>
      <c r="N253" s="1"/>
      <c r="O253" s="1"/>
      <c r="P253" s="1"/>
      <c r="Q253" s="40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</row>
    <row r="254" ht="12.75" customHeight="1">
      <c r="A254" s="1"/>
      <c r="B254" s="100">
        <v>232.0</v>
      </c>
      <c r="C254" s="101">
        <f t="shared" si="13"/>
        <v>53179</v>
      </c>
      <c r="D254" s="40">
        <f t="shared" si="5"/>
        <v>96178.7649</v>
      </c>
      <c r="E254" s="40"/>
      <c r="F254" s="40">
        <f t="shared" si="6"/>
        <v>559.6918416</v>
      </c>
      <c r="G254" s="40">
        <f t="shared" si="7"/>
        <v>423.2307482</v>
      </c>
      <c r="H254" s="102">
        <f t="shared" si="8"/>
        <v>0</v>
      </c>
      <c r="I254" s="103">
        <f t="shared" si="9"/>
        <v>0</v>
      </c>
      <c r="J254" s="104">
        <f t="shared" si="10"/>
        <v>0.4499463104</v>
      </c>
      <c r="K254" s="68">
        <f t="shared" si="11"/>
        <v>204.17</v>
      </c>
      <c r="L254" s="105">
        <f t="shared" si="12"/>
        <v>1187.09259</v>
      </c>
      <c r="M254" s="1"/>
      <c r="N254" s="1"/>
      <c r="O254" s="1"/>
      <c r="P254" s="1"/>
      <c r="Q254" s="40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</row>
    <row r="255" ht="12.75" customHeight="1">
      <c r="A255" s="1"/>
      <c r="B255" s="100">
        <v>233.0</v>
      </c>
      <c r="C255" s="101">
        <f t="shared" si="13"/>
        <v>53210</v>
      </c>
      <c r="D255" s="40">
        <f t="shared" si="5"/>
        <v>95616.6244</v>
      </c>
      <c r="E255" s="40"/>
      <c r="F255" s="40">
        <f t="shared" si="6"/>
        <v>562.1404934</v>
      </c>
      <c r="G255" s="40">
        <f t="shared" si="7"/>
        <v>420.7820964</v>
      </c>
      <c r="H255" s="102">
        <f t="shared" si="8"/>
        <v>0</v>
      </c>
      <c r="I255" s="103">
        <f t="shared" si="9"/>
        <v>0</v>
      </c>
      <c r="J255" s="104">
        <f t="shared" si="10"/>
        <v>0.4473430925</v>
      </c>
      <c r="K255" s="68">
        <f t="shared" si="11"/>
        <v>204.17</v>
      </c>
      <c r="L255" s="105">
        <f t="shared" si="12"/>
        <v>1187.09259</v>
      </c>
      <c r="M255" s="1"/>
      <c r="N255" s="1"/>
      <c r="O255" s="1"/>
      <c r="P255" s="1"/>
      <c r="Q255" s="40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</row>
    <row r="256" ht="12.75" customHeight="1">
      <c r="A256" s="1"/>
      <c r="B256" s="100">
        <v>234.0</v>
      </c>
      <c r="C256" s="101">
        <f t="shared" si="13"/>
        <v>53240</v>
      </c>
      <c r="D256" s="40">
        <f t="shared" si="5"/>
        <v>95052.02454</v>
      </c>
      <c r="E256" s="40"/>
      <c r="F256" s="40">
        <f t="shared" si="6"/>
        <v>564.5998581</v>
      </c>
      <c r="G256" s="40">
        <f t="shared" si="7"/>
        <v>418.3227318</v>
      </c>
      <c r="H256" s="102">
        <f t="shared" si="8"/>
        <v>0</v>
      </c>
      <c r="I256" s="103">
        <f t="shared" si="9"/>
        <v>0</v>
      </c>
      <c r="J256" s="104">
        <f t="shared" si="10"/>
        <v>0.4447284856</v>
      </c>
      <c r="K256" s="68">
        <f t="shared" si="11"/>
        <v>204.17</v>
      </c>
      <c r="L256" s="105">
        <f t="shared" si="12"/>
        <v>1187.09259</v>
      </c>
      <c r="M256" s="1"/>
      <c r="N256" s="1"/>
      <c r="O256" s="1"/>
      <c r="P256" s="1"/>
      <c r="Q256" s="40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</row>
    <row r="257" ht="12.75" customHeight="1">
      <c r="A257" s="1"/>
      <c r="B257" s="100">
        <v>235.0</v>
      </c>
      <c r="C257" s="101">
        <f t="shared" si="13"/>
        <v>53271</v>
      </c>
      <c r="D257" s="40">
        <f t="shared" si="5"/>
        <v>94484.95456</v>
      </c>
      <c r="E257" s="40"/>
      <c r="F257" s="40">
        <f t="shared" si="6"/>
        <v>567.0699824</v>
      </c>
      <c r="G257" s="40">
        <f t="shared" si="7"/>
        <v>415.8526074</v>
      </c>
      <c r="H257" s="102">
        <f t="shared" si="8"/>
        <v>0</v>
      </c>
      <c r="I257" s="103">
        <f t="shared" si="9"/>
        <v>0</v>
      </c>
      <c r="J257" s="104">
        <f t="shared" si="10"/>
        <v>0.4421024397</v>
      </c>
      <c r="K257" s="68">
        <f t="shared" si="11"/>
        <v>204.17</v>
      </c>
      <c r="L257" s="105">
        <f t="shared" si="12"/>
        <v>1187.09259</v>
      </c>
      <c r="M257" s="1"/>
      <c r="N257" s="1"/>
      <c r="O257" s="1"/>
      <c r="P257" s="1"/>
      <c r="Q257" s="40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</row>
    <row r="258" ht="12.75" customHeight="1">
      <c r="A258" s="1"/>
      <c r="B258" s="100">
        <v>236.0</v>
      </c>
      <c r="C258" s="101">
        <f t="shared" si="13"/>
        <v>53301</v>
      </c>
      <c r="D258" s="40">
        <f t="shared" si="5"/>
        <v>93915.40365</v>
      </c>
      <c r="E258" s="40"/>
      <c r="F258" s="40">
        <f t="shared" si="6"/>
        <v>569.5509136</v>
      </c>
      <c r="G258" s="40">
        <f t="shared" si="7"/>
        <v>413.3716762</v>
      </c>
      <c r="H258" s="102">
        <f t="shared" si="8"/>
        <v>0</v>
      </c>
      <c r="I258" s="103">
        <f t="shared" si="9"/>
        <v>0</v>
      </c>
      <c r="J258" s="104">
        <f t="shared" si="10"/>
        <v>0.4394649049</v>
      </c>
      <c r="K258" s="68">
        <f t="shared" si="11"/>
        <v>204.17</v>
      </c>
      <c r="L258" s="105">
        <f t="shared" si="12"/>
        <v>1187.09259</v>
      </c>
      <c r="M258" s="1"/>
      <c r="N258" s="1"/>
      <c r="O258" s="1"/>
      <c r="P258" s="1"/>
      <c r="Q258" s="40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</row>
    <row r="259" ht="12.75" customHeight="1">
      <c r="A259" s="1"/>
      <c r="B259" s="100">
        <v>237.0</v>
      </c>
      <c r="C259" s="101">
        <f t="shared" si="13"/>
        <v>53332</v>
      </c>
      <c r="D259" s="40">
        <f t="shared" si="5"/>
        <v>93343.36095</v>
      </c>
      <c r="E259" s="40"/>
      <c r="F259" s="40">
        <f t="shared" si="6"/>
        <v>572.0426988</v>
      </c>
      <c r="G259" s="40">
        <f t="shared" si="7"/>
        <v>410.879891</v>
      </c>
      <c r="H259" s="102">
        <f t="shared" si="8"/>
        <v>0</v>
      </c>
      <c r="I259" s="103">
        <f t="shared" si="9"/>
        <v>0</v>
      </c>
      <c r="J259" s="104">
        <f t="shared" si="10"/>
        <v>0.4368158309</v>
      </c>
      <c r="K259" s="68">
        <f t="shared" si="11"/>
        <v>204.17</v>
      </c>
      <c r="L259" s="105">
        <f t="shared" si="12"/>
        <v>1187.09259</v>
      </c>
      <c r="M259" s="1"/>
      <c r="N259" s="1"/>
      <c r="O259" s="1"/>
      <c r="P259" s="1"/>
      <c r="Q259" s="40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</row>
    <row r="260" ht="12.75" customHeight="1">
      <c r="A260" s="1"/>
      <c r="B260" s="100">
        <v>238.0</v>
      </c>
      <c r="C260" s="101">
        <f t="shared" si="13"/>
        <v>53363</v>
      </c>
      <c r="D260" s="40">
        <f t="shared" si="5"/>
        <v>92768.81556</v>
      </c>
      <c r="E260" s="40"/>
      <c r="F260" s="40">
        <f t="shared" si="6"/>
        <v>574.5453857</v>
      </c>
      <c r="G260" s="40">
        <f t="shared" si="7"/>
        <v>408.3772042</v>
      </c>
      <c r="H260" s="102">
        <f t="shared" si="8"/>
        <v>0</v>
      </c>
      <c r="I260" s="103">
        <f t="shared" si="9"/>
        <v>0</v>
      </c>
      <c r="J260" s="104">
        <f t="shared" si="10"/>
        <v>0.4341551672</v>
      </c>
      <c r="K260" s="68">
        <f t="shared" si="11"/>
        <v>204.17</v>
      </c>
      <c r="L260" s="105">
        <f t="shared" si="12"/>
        <v>1187.09259</v>
      </c>
      <c r="M260" s="1"/>
      <c r="N260" s="1"/>
      <c r="O260" s="1"/>
      <c r="P260" s="1"/>
      <c r="Q260" s="40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</row>
    <row r="261" ht="12.75" customHeight="1">
      <c r="A261" s="1"/>
      <c r="B261" s="100">
        <v>239.0</v>
      </c>
      <c r="C261" s="101">
        <f t="shared" si="13"/>
        <v>53391</v>
      </c>
      <c r="D261" s="40">
        <f t="shared" si="5"/>
        <v>92191.75654</v>
      </c>
      <c r="E261" s="40"/>
      <c r="F261" s="40">
        <f t="shared" si="6"/>
        <v>577.0590217</v>
      </c>
      <c r="G261" s="40">
        <f t="shared" si="7"/>
        <v>405.8635681</v>
      </c>
      <c r="H261" s="102">
        <f t="shared" si="8"/>
        <v>0</v>
      </c>
      <c r="I261" s="103">
        <f t="shared" si="9"/>
        <v>0</v>
      </c>
      <c r="J261" s="104">
        <f t="shared" si="10"/>
        <v>0.4314828631</v>
      </c>
      <c r="K261" s="68">
        <f t="shared" si="11"/>
        <v>204.17</v>
      </c>
      <c r="L261" s="105">
        <f t="shared" si="12"/>
        <v>1187.09259</v>
      </c>
      <c r="M261" s="1"/>
      <c r="N261" s="1"/>
      <c r="O261" s="1"/>
      <c r="P261" s="1"/>
      <c r="Q261" s="40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</row>
    <row r="262" ht="12.75" customHeight="1">
      <c r="A262" s="1"/>
      <c r="B262" s="100">
        <v>240.0</v>
      </c>
      <c r="C262" s="101">
        <f t="shared" si="13"/>
        <v>53422</v>
      </c>
      <c r="D262" s="40">
        <f t="shared" si="5"/>
        <v>91612.17289</v>
      </c>
      <c r="E262" s="40"/>
      <c r="F262" s="40">
        <f t="shared" si="6"/>
        <v>579.5836549</v>
      </c>
      <c r="G262" s="40">
        <f t="shared" si="7"/>
        <v>403.3389349</v>
      </c>
      <c r="H262" s="102">
        <f t="shared" si="8"/>
        <v>0</v>
      </c>
      <c r="I262" s="103">
        <f t="shared" si="9"/>
        <v>0</v>
      </c>
      <c r="J262" s="104">
        <f t="shared" si="10"/>
        <v>0.4287988676</v>
      </c>
      <c r="K262" s="68">
        <f t="shared" si="11"/>
        <v>204.17</v>
      </c>
      <c r="L262" s="105">
        <f t="shared" si="12"/>
        <v>1187.09259</v>
      </c>
      <c r="M262" s="1"/>
      <c r="N262" s="1"/>
      <c r="O262" s="1"/>
      <c r="P262" s="1"/>
      <c r="Q262" s="40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</row>
    <row r="263" ht="12.75" customHeight="1">
      <c r="A263" s="1"/>
      <c r="B263" s="100">
        <v>241.0</v>
      </c>
      <c r="C263" s="101">
        <f t="shared" si="13"/>
        <v>53452</v>
      </c>
      <c r="D263" s="40">
        <f t="shared" si="5"/>
        <v>91030.05355</v>
      </c>
      <c r="E263" s="40"/>
      <c r="F263" s="40">
        <f t="shared" si="6"/>
        <v>582.1193334</v>
      </c>
      <c r="G263" s="40">
        <f t="shared" si="7"/>
        <v>400.8032564</v>
      </c>
      <c r="H263" s="102">
        <f t="shared" si="8"/>
        <v>0</v>
      </c>
      <c r="I263" s="103">
        <f t="shared" si="9"/>
        <v>0</v>
      </c>
      <c r="J263" s="104">
        <f t="shared" si="10"/>
        <v>0.4261031297</v>
      </c>
      <c r="K263" s="68">
        <f t="shared" si="11"/>
        <v>204.17</v>
      </c>
      <c r="L263" s="105">
        <f t="shared" si="12"/>
        <v>1187.09259</v>
      </c>
      <c r="M263" s="1"/>
      <c r="N263" s="1"/>
      <c r="O263" s="1"/>
      <c r="P263" s="1"/>
      <c r="Q263" s="40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</row>
    <row r="264" ht="12.75" customHeight="1">
      <c r="A264" s="1"/>
      <c r="B264" s="100">
        <v>242.0</v>
      </c>
      <c r="C264" s="101">
        <f t="shared" si="13"/>
        <v>53483</v>
      </c>
      <c r="D264" s="40">
        <f t="shared" si="5"/>
        <v>90445.38745</v>
      </c>
      <c r="E264" s="40"/>
      <c r="F264" s="40">
        <f t="shared" si="6"/>
        <v>584.6661055</v>
      </c>
      <c r="G264" s="40">
        <f t="shared" si="7"/>
        <v>398.2564843</v>
      </c>
      <c r="H264" s="102">
        <f t="shared" si="8"/>
        <v>0</v>
      </c>
      <c r="I264" s="103">
        <f t="shared" si="9"/>
        <v>0</v>
      </c>
      <c r="J264" s="104">
        <f t="shared" si="10"/>
        <v>0.4233955979</v>
      </c>
      <c r="K264" s="68">
        <f t="shared" si="11"/>
        <v>204.17</v>
      </c>
      <c r="L264" s="105">
        <f t="shared" si="12"/>
        <v>1187.09259</v>
      </c>
      <c r="M264" s="1"/>
      <c r="N264" s="1"/>
      <c r="O264" s="1"/>
      <c r="P264" s="1"/>
      <c r="Q264" s="40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</row>
    <row r="265" ht="12.75" customHeight="1">
      <c r="A265" s="1"/>
      <c r="B265" s="100">
        <v>243.0</v>
      </c>
      <c r="C265" s="101">
        <f t="shared" si="13"/>
        <v>53513</v>
      </c>
      <c r="D265" s="40">
        <f t="shared" si="5"/>
        <v>89858.16343</v>
      </c>
      <c r="E265" s="40"/>
      <c r="F265" s="40">
        <f t="shared" si="6"/>
        <v>587.2240197</v>
      </c>
      <c r="G265" s="40">
        <f t="shared" si="7"/>
        <v>395.6985701</v>
      </c>
      <c r="H265" s="102">
        <f t="shared" si="8"/>
        <v>0</v>
      </c>
      <c r="I265" s="103">
        <f t="shared" si="9"/>
        <v>0</v>
      </c>
      <c r="J265" s="104">
        <f t="shared" si="10"/>
        <v>0.4206762207</v>
      </c>
      <c r="K265" s="68">
        <f t="shared" si="11"/>
        <v>204.17</v>
      </c>
      <c r="L265" s="105">
        <f t="shared" si="12"/>
        <v>1187.09259</v>
      </c>
      <c r="M265" s="1"/>
      <c r="N265" s="1"/>
      <c r="O265" s="1"/>
      <c r="P265" s="1"/>
      <c r="Q265" s="40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</row>
    <row r="266" ht="12.75" customHeight="1">
      <c r="A266" s="1"/>
      <c r="B266" s="100">
        <v>244.0</v>
      </c>
      <c r="C266" s="101">
        <f t="shared" si="13"/>
        <v>53544</v>
      </c>
      <c r="D266" s="40">
        <f t="shared" si="5"/>
        <v>89268.3703</v>
      </c>
      <c r="E266" s="40"/>
      <c r="F266" s="40">
        <f t="shared" si="6"/>
        <v>589.7931248</v>
      </c>
      <c r="G266" s="40">
        <f t="shared" si="7"/>
        <v>393.129465</v>
      </c>
      <c r="H266" s="102">
        <f t="shared" si="8"/>
        <v>0</v>
      </c>
      <c r="I266" s="103">
        <f t="shared" si="9"/>
        <v>0</v>
      </c>
      <c r="J266" s="104">
        <f t="shared" si="10"/>
        <v>0.4179449462</v>
      </c>
      <c r="K266" s="68">
        <f t="shared" si="11"/>
        <v>204.17</v>
      </c>
      <c r="L266" s="105">
        <f t="shared" si="12"/>
        <v>1187.09259</v>
      </c>
      <c r="M266" s="1"/>
      <c r="N266" s="1"/>
      <c r="O266" s="1"/>
      <c r="P266" s="1"/>
      <c r="Q266" s="40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</row>
    <row r="267" ht="12.75" customHeight="1">
      <c r="A267" s="1"/>
      <c r="B267" s="100">
        <v>245.0</v>
      </c>
      <c r="C267" s="101">
        <f t="shared" si="13"/>
        <v>53575</v>
      </c>
      <c r="D267" s="40">
        <f t="shared" si="5"/>
        <v>88675.99683</v>
      </c>
      <c r="E267" s="40"/>
      <c r="F267" s="40">
        <f t="shared" si="6"/>
        <v>592.3734697</v>
      </c>
      <c r="G267" s="40">
        <f t="shared" si="7"/>
        <v>390.5491201</v>
      </c>
      <c r="H267" s="102">
        <f t="shared" si="8"/>
        <v>0</v>
      </c>
      <c r="I267" s="103">
        <f t="shared" si="9"/>
        <v>0</v>
      </c>
      <c r="J267" s="104">
        <f t="shared" si="10"/>
        <v>0.4152017223</v>
      </c>
      <c r="K267" s="68">
        <f t="shared" si="11"/>
        <v>204.17</v>
      </c>
      <c r="L267" s="105">
        <f t="shared" si="12"/>
        <v>1187.09259</v>
      </c>
      <c r="M267" s="1"/>
      <c r="N267" s="1"/>
      <c r="O267" s="1"/>
      <c r="P267" s="1"/>
      <c r="Q267" s="40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</row>
    <row r="268" ht="12.75" customHeight="1">
      <c r="A268" s="1"/>
      <c r="B268" s="100">
        <v>246.0</v>
      </c>
      <c r="C268" s="101">
        <f t="shared" si="13"/>
        <v>53605</v>
      </c>
      <c r="D268" s="40">
        <f t="shared" si="5"/>
        <v>88081.03173</v>
      </c>
      <c r="E268" s="40"/>
      <c r="F268" s="40">
        <f t="shared" si="6"/>
        <v>594.9651037</v>
      </c>
      <c r="G268" s="40">
        <f t="shared" si="7"/>
        <v>387.9574862</v>
      </c>
      <c r="H268" s="102">
        <f t="shared" si="8"/>
        <v>0</v>
      </c>
      <c r="I268" s="103">
        <f t="shared" si="9"/>
        <v>0</v>
      </c>
      <c r="J268" s="104">
        <f t="shared" si="10"/>
        <v>0.4124464969</v>
      </c>
      <c r="K268" s="68">
        <f t="shared" si="11"/>
        <v>204.17</v>
      </c>
      <c r="L268" s="105">
        <f t="shared" si="12"/>
        <v>1187.09259</v>
      </c>
      <c r="M268" s="1"/>
      <c r="N268" s="1"/>
      <c r="O268" s="1"/>
      <c r="P268" s="1"/>
      <c r="Q268" s="40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</row>
    <row r="269" ht="12.75" customHeight="1">
      <c r="A269" s="1"/>
      <c r="B269" s="100">
        <v>247.0</v>
      </c>
      <c r="C269" s="101">
        <f t="shared" si="13"/>
        <v>53636</v>
      </c>
      <c r="D269" s="40">
        <f t="shared" si="5"/>
        <v>87483.46365</v>
      </c>
      <c r="E269" s="40"/>
      <c r="F269" s="40">
        <f t="shared" si="6"/>
        <v>597.568076</v>
      </c>
      <c r="G269" s="40">
        <f t="shared" si="7"/>
        <v>385.3545138</v>
      </c>
      <c r="H269" s="102">
        <f t="shared" si="8"/>
        <v>0</v>
      </c>
      <c r="I269" s="103">
        <f t="shared" si="9"/>
        <v>0</v>
      </c>
      <c r="J269" s="104">
        <f t="shared" si="10"/>
        <v>0.4096792174</v>
      </c>
      <c r="K269" s="68">
        <f t="shared" si="11"/>
        <v>204.17</v>
      </c>
      <c r="L269" s="105">
        <f t="shared" si="12"/>
        <v>1187.09259</v>
      </c>
      <c r="M269" s="1"/>
      <c r="N269" s="1"/>
      <c r="O269" s="1"/>
      <c r="P269" s="1"/>
      <c r="Q269" s="40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</row>
    <row r="270" ht="12.75" customHeight="1">
      <c r="A270" s="1"/>
      <c r="B270" s="100">
        <v>248.0</v>
      </c>
      <c r="C270" s="101">
        <f t="shared" si="13"/>
        <v>53666</v>
      </c>
      <c r="D270" s="40">
        <f t="shared" si="5"/>
        <v>86883.28122</v>
      </c>
      <c r="E270" s="40"/>
      <c r="F270" s="40">
        <f t="shared" si="6"/>
        <v>600.1824363</v>
      </c>
      <c r="G270" s="40">
        <f t="shared" si="7"/>
        <v>382.7401535</v>
      </c>
      <c r="H270" s="102">
        <f t="shared" si="8"/>
        <v>0</v>
      </c>
      <c r="I270" s="103">
        <f t="shared" si="9"/>
        <v>0</v>
      </c>
      <c r="J270" s="104">
        <f t="shared" si="10"/>
        <v>0.406899831</v>
      </c>
      <c r="K270" s="68">
        <f t="shared" si="11"/>
        <v>204.17</v>
      </c>
      <c r="L270" s="105">
        <f t="shared" si="12"/>
        <v>1187.09259</v>
      </c>
      <c r="M270" s="1"/>
      <c r="N270" s="1"/>
      <c r="O270" s="1"/>
      <c r="P270" s="1"/>
      <c r="Q270" s="40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</row>
    <row r="271" ht="12.75" customHeight="1">
      <c r="A271" s="1"/>
      <c r="B271" s="100">
        <v>249.0</v>
      </c>
      <c r="C271" s="101">
        <f t="shared" si="13"/>
        <v>53697</v>
      </c>
      <c r="D271" s="40">
        <f t="shared" si="5"/>
        <v>86280.47298</v>
      </c>
      <c r="E271" s="40"/>
      <c r="F271" s="40">
        <f t="shared" si="6"/>
        <v>602.8082345</v>
      </c>
      <c r="G271" s="40">
        <f t="shared" si="7"/>
        <v>380.1143553</v>
      </c>
      <c r="H271" s="102">
        <f t="shared" si="8"/>
        <v>0</v>
      </c>
      <c r="I271" s="103">
        <f t="shared" si="9"/>
        <v>0</v>
      </c>
      <c r="J271" s="104">
        <f t="shared" si="10"/>
        <v>0.4041082847</v>
      </c>
      <c r="K271" s="68">
        <f t="shared" si="11"/>
        <v>204.17</v>
      </c>
      <c r="L271" s="105">
        <f t="shared" si="12"/>
        <v>1187.09259</v>
      </c>
      <c r="M271" s="1"/>
      <c r="N271" s="1"/>
      <c r="O271" s="1"/>
      <c r="P271" s="1"/>
      <c r="Q271" s="40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</row>
    <row r="272" ht="12.75" customHeight="1">
      <c r="A272" s="1"/>
      <c r="B272" s="100">
        <v>250.0</v>
      </c>
      <c r="C272" s="101">
        <f t="shared" si="13"/>
        <v>53728</v>
      </c>
      <c r="D272" s="40">
        <f t="shared" si="5"/>
        <v>85675.02746</v>
      </c>
      <c r="E272" s="40"/>
      <c r="F272" s="40">
        <f t="shared" si="6"/>
        <v>605.4455205</v>
      </c>
      <c r="G272" s="40">
        <f t="shared" si="7"/>
        <v>377.4770693</v>
      </c>
      <c r="H272" s="102">
        <f t="shared" si="8"/>
        <v>0</v>
      </c>
      <c r="I272" s="103">
        <f t="shared" si="9"/>
        <v>0</v>
      </c>
      <c r="J272" s="104">
        <f t="shared" si="10"/>
        <v>0.4013045255</v>
      </c>
      <c r="K272" s="68">
        <f t="shared" si="11"/>
        <v>204.17</v>
      </c>
      <c r="L272" s="105">
        <f t="shared" si="12"/>
        <v>1187.09259</v>
      </c>
      <c r="M272" s="1"/>
      <c r="N272" s="1"/>
      <c r="O272" s="1"/>
      <c r="P272" s="1"/>
      <c r="Q272" s="40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</row>
    <row r="273" ht="12.75" customHeight="1">
      <c r="A273" s="1"/>
      <c r="B273" s="100">
        <v>251.0</v>
      </c>
      <c r="C273" s="101">
        <f t="shared" si="13"/>
        <v>53756</v>
      </c>
      <c r="D273" s="40">
        <f t="shared" si="5"/>
        <v>85066.93312</v>
      </c>
      <c r="E273" s="40"/>
      <c r="F273" s="40">
        <f t="shared" si="6"/>
        <v>608.0943447</v>
      </c>
      <c r="G273" s="40">
        <f t="shared" si="7"/>
        <v>374.8282452</v>
      </c>
      <c r="H273" s="102">
        <f t="shared" si="8"/>
        <v>0</v>
      </c>
      <c r="I273" s="103">
        <f t="shared" si="9"/>
        <v>0</v>
      </c>
      <c r="J273" s="104">
        <f t="shared" si="10"/>
        <v>0.3984884998</v>
      </c>
      <c r="K273" s="68">
        <f t="shared" si="11"/>
        <v>204.17</v>
      </c>
      <c r="L273" s="105">
        <f t="shared" si="12"/>
        <v>1187.09259</v>
      </c>
      <c r="M273" s="1"/>
      <c r="N273" s="1"/>
      <c r="O273" s="1"/>
      <c r="P273" s="1"/>
      <c r="Q273" s="40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</row>
    <row r="274" ht="12.75" customHeight="1">
      <c r="A274" s="1"/>
      <c r="B274" s="100">
        <v>252.0</v>
      </c>
      <c r="C274" s="101">
        <f t="shared" si="13"/>
        <v>53787</v>
      </c>
      <c r="D274" s="40">
        <f t="shared" si="5"/>
        <v>84456.17836</v>
      </c>
      <c r="E274" s="40"/>
      <c r="F274" s="40">
        <f t="shared" si="6"/>
        <v>610.7547574</v>
      </c>
      <c r="G274" s="40">
        <f t="shared" si="7"/>
        <v>372.1678324</v>
      </c>
      <c r="H274" s="102">
        <f t="shared" si="8"/>
        <v>0</v>
      </c>
      <c r="I274" s="103">
        <f t="shared" si="9"/>
        <v>0</v>
      </c>
      <c r="J274" s="104">
        <f t="shared" si="10"/>
        <v>0.395660154</v>
      </c>
      <c r="K274" s="68">
        <f t="shared" si="11"/>
        <v>204.17</v>
      </c>
      <c r="L274" s="105">
        <f t="shared" si="12"/>
        <v>1187.09259</v>
      </c>
      <c r="M274" s="1"/>
      <c r="N274" s="1"/>
      <c r="O274" s="1"/>
      <c r="P274" s="1"/>
      <c r="Q274" s="40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</row>
    <row r="275" ht="12.75" customHeight="1">
      <c r="A275" s="1"/>
      <c r="B275" s="100">
        <v>253.0</v>
      </c>
      <c r="C275" s="101">
        <f t="shared" si="13"/>
        <v>53817</v>
      </c>
      <c r="D275" s="40">
        <f t="shared" si="5"/>
        <v>83842.75155</v>
      </c>
      <c r="E275" s="40"/>
      <c r="F275" s="40">
        <f t="shared" si="6"/>
        <v>613.4268095</v>
      </c>
      <c r="G275" s="40">
        <f t="shared" si="7"/>
        <v>369.4957803</v>
      </c>
      <c r="H275" s="102">
        <f t="shared" si="8"/>
        <v>0</v>
      </c>
      <c r="I275" s="103">
        <f t="shared" si="9"/>
        <v>0</v>
      </c>
      <c r="J275" s="104">
        <f t="shared" si="10"/>
        <v>0.3928194342</v>
      </c>
      <c r="K275" s="68">
        <f t="shared" si="11"/>
        <v>204.17</v>
      </c>
      <c r="L275" s="105">
        <f t="shared" si="12"/>
        <v>1187.09259</v>
      </c>
      <c r="M275" s="1"/>
      <c r="N275" s="1"/>
      <c r="O275" s="1"/>
      <c r="P275" s="1"/>
      <c r="Q275" s="40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</row>
    <row r="276" ht="12.75" customHeight="1">
      <c r="A276" s="1"/>
      <c r="B276" s="100">
        <v>254.0</v>
      </c>
      <c r="C276" s="101">
        <f t="shared" si="13"/>
        <v>53848</v>
      </c>
      <c r="D276" s="40">
        <f t="shared" si="5"/>
        <v>83226.641</v>
      </c>
      <c r="E276" s="40"/>
      <c r="F276" s="40">
        <f t="shared" si="6"/>
        <v>616.1105518</v>
      </c>
      <c r="G276" s="40">
        <f t="shared" si="7"/>
        <v>366.812038</v>
      </c>
      <c r="H276" s="102">
        <f t="shared" si="8"/>
        <v>0</v>
      </c>
      <c r="I276" s="103">
        <f t="shared" si="9"/>
        <v>0</v>
      </c>
      <c r="J276" s="104">
        <f t="shared" si="10"/>
        <v>0.3899662863</v>
      </c>
      <c r="K276" s="68">
        <f t="shared" si="11"/>
        <v>204.17</v>
      </c>
      <c r="L276" s="105">
        <f t="shared" si="12"/>
        <v>1187.09259</v>
      </c>
      <c r="M276" s="1"/>
      <c r="N276" s="1"/>
      <c r="O276" s="1"/>
      <c r="P276" s="1"/>
      <c r="Q276" s="40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</row>
    <row r="277" ht="12.75" customHeight="1">
      <c r="A277" s="1"/>
      <c r="B277" s="100">
        <v>255.0</v>
      </c>
      <c r="C277" s="101">
        <f t="shared" si="13"/>
        <v>53878</v>
      </c>
      <c r="D277" s="40">
        <f t="shared" si="5"/>
        <v>82607.83496</v>
      </c>
      <c r="E277" s="40"/>
      <c r="F277" s="40">
        <f t="shared" si="6"/>
        <v>618.8060354</v>
      </c>
      <c r="G277" s="40">
        <f t="shared" si="7"/>
        <v>364.1165544</v>
      </c>
      <c r="H277" s="102">
        <f t="shared" si="8"/>
        <v>0</v>
      </c>
      <c r="I277" s="103">
        <f t="shared" si="9"/>
        <v>0</v>
      </c>
      <c r="J277" s="104">
        <f t="shared" si="10"/>
        <v>0.3871006558</v>
      </c>
      <c r="K277" s="68">
        <f t="shared" si="11"/>
        <v>204.17</v>
      </c>
      <c r="L277" s="105">
        <f t="shared" si="12"/>
        <v>1187.09259</v>
      </c>
      <c r="M277" s="1"/>
      <c r="N277" s="1"/>
      <c r="O277" s="1"/>
      <c r="P277" s="1"/>
      <c r="Q277" s="40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</row>
    <row r="278" ht="12.75" customHeight="1">
      <c r="A278" s="1"/>
      <c r="B278" s="100">
        <v>256.0</v>
      </c>
      <c r="C278" s="101">
        <f t="shared" si="13"/>
        <v>53909</v>
      </c>
      <c r="D278" s="40">
        <f t="shared" si="5"/>
        <v>81986.32165</v>
      </c>
      <c r="E278" s="40"/>
      <c r="F278" s="40">
        <f t="shared" si="6"/>
        <v>621.5133118</v>
      </c>
      <c r="G278" s="40">
        <f t="shared" si="7"/>
        <v>361.409278</v>
      </c>
      <c r="H278" s="102">
        <f t="shared" si="8"/>
        <v>0</v>
      </c>
      <c r="I278" s="103">
        <f t="shared" si="9"/>
        <v>0</v>
      </c>
      <c r="J278" s="104">
        <f t="shared" si="10"/>
        <v>0.3842224882</v>
      </c>
      <c r="K278" s="68">
        <f t="shared" si="11"/>
        <v>204.17</v>
      </c>
      <c r="L278" s="105">
        <f t="shared" si="12"/>
        <v>1187.09259</v>
      </c>
      <c r="M278" s="1"/>
      <c r="N278" s="1"/>
      <c r="O278" s="1"/>
      <c r="P278" s="1"/>
      <c r="Q278" s="40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</row>
    <row r="279" ht="12.75" customHeight="1">
      <c r="A279" s="1"/>
      <c r="B279" s="100">
        <v>257.0</v>
      </c>
      <c r="C279" s="101">
        <f t="shared" si="13"/>
        <v>53940</v>
      </c>
      <c r="D279" s="40">
        <f t="shared" si="5"/>
        <v>81362.08922</v>
      </c>
      <c r="E279" s="40"/>
      <c r="F279" s="40">
        <f t="shared" si="6"/>
        <v>624.2324326</v>
      </c>
      <c r="G279" s="40">
        <f t="shared" si="7"/>
        <v>358.6901572</v>
      </c>
      <c r="H279" s="102">
        <f t="shared" si="8"/>
        <v>0</v>
      </c>
      <c r="I279" s="103">
        <f t="shared" si="9"/>
        <v>0</v>
      </c>
      <c r="J279" s="104">
        <f t="shared" si="10"/>
        <v>0.3813317286</v>
      </c>
      <c r="K279" s="68">
        <f t="shared" si="11"/>
        <v>204.17</v>
      </c>
      <c r="L279" s="105">
        <f t="shared" si="12"/>
        <v>1187.09259</v>
      </c>
      <c r="M279" s="1"/>
      <c r="N279" s="1"/>
      <c r="O279" s="1"/>
      <c r="P279" s="1"/>
      <c r="Q279" s="40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</row>
    <row r="280" ht="12.75" customHeight="1">
      <c r="A280" s="1"/>
      <c r="B280" s="100">
        <v>258.0</v>
      </c>
      <c r="C280" s="101">
        <f t="shared" si="13"/>
        <v>53970</v>
      </c>
      <c r="D280" s="40">
        <f t="shared" si="5"/>
        <v>80735.12577</v>
      </c>
      <c r="E280" s="40"/>
      <c r="F280" s="40">
        <f t="shared" si="6"/>
        <v>626.9634495</v>
      </c>
      <c r="G280" s="40">
        <f t="shared" si="7"/>
        <v>355.9591403</v>
      </c>
      <c r="H280" s="102">
        <f t="shared" si="8"/>
        <v>0</v>
      </c>
      <c r="I280" s="103">
        <f t="shared" si="9"/>
        <v>0</v>
      </c>
      <c r="J280" s="104">
        <f t="shared" si="10"/>
        <v>0.378428322</v>
      </c>
      <c r="K280" s="68">
        <f t="shared" si="11"/>
        <v>204.17</v>
      </c>
      <c r="L280" s="105">
        <f t="shared" si="12"/>
        <v>1187.09259</v>
      </c>
      <c r="M280" s="1"/>
      <c r="N280" s="1"/>
      <c r="O280" s="1"/>
      <c r="P280" s="1"/>
      <c r="Q280" s="40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</row>
    <row r="281" ht="12.75" customHeight="1">
      <c r="A281" s="1"/>
      <c r="B281" s="100">
        <v>259.0</v>
      </c>
      <c r="C281" s="101">
        <f t="shared" si="13"/>
        <v>54001</v>
      </c>
      <c r="D281" s="40">
        <f t="shared" si="5"/>
        <v>80105.41936</v>
      </c>
      <c r="E281" s="40"/>
      <c r="F281" s="40">
        <f t="shared" si="6"/>
        <v>629.7064146</v>
      </c>
      <c r="G281" s="40">
        <f t="shared" si="7"/>
        <v>353.2161752</v>
      </c>
      <c r="H281" s="102">
        <f t="shared" si="8"/>
        <v>0</v>
      </c>
      <c r="I281" s="103">
        <f t="shared" si="9"/>
        <v>0</v>
      </c>
      <c r="J281" s="104">
        <f t="shared" si="10"/>
        <v>0.3755122129</v>
      </c>
      <c r="K281" s="68">
        <f t="shared" si="11"/>
        <v>204.17</v>
      </c>
      <c r="L281" s="105">
        <f t="shared" si="12"/>
        <v>1187.09259</v>
      </c>
      <c r="M281" s="1"/>
      <c r="N281" s="1"/>
      <c r="O281" s="1"/>
      <c r="P281" s="1"/>
      <c r="Q281" s="40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</row>
    <row r="282" ht="12.75" customHeight="1">
      <c r="A282" s="1"/>
      <c r="B282" s="100">
        <v>260.0</v>
      </c>
      <c r="C282" s="101">
        <f t="shared" si="13"/>
        <v>54031</v>
      </c>
      <c r="D282" s="40">
        <f t="shared" si="5"/>
        <v>79472.95798</v>
      </c>
      <c r="E282" s="40"/>
      <c r="F282" s="40">
        <f t="shared" si="6"/>
        <v>632.4613801</v>
      </c>
      <c r="G282" s="40">
        <f t="shared" si="7"/>
        <v>350.4612097</v>
      </c>
      <c r="H282" s="102">
        <f t="shared" si="8"/>
        <v>0</v>
      </c>
      <c r="I282" s="103">
        <f t="shared" si="9"/>
        <v>0</v>
      </c>
      <c r="J282" s="104">
        <f t="shared" si="10"/>
        <v>0.3725833458</v>
      </c>
      <c r="K282" s="68">
        <f t="shared" si="11"/>
        <v>204.17</v>
      </c>
      <c r="L282" s="105">
        <f t="shared" si="12"/>
        <v>1187.09259</v>
      </c>
      <c r="M282" s="1"/>
      <c r="N282" s="1"/>
      <c r="O282" s="1"/>
      <c r="P282" s="1"/>
      <c r="Q282" s="40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</row>
    <row r="283" ht="12.75" customHeight="1">
      <c r="A283" s="1"/>
      <c r="B283" s="100">
        <v>261.0</v>
      </c>
      <c r="C283" s="101">
        <f t="shared" si="13"/>
        <v>54062</v>
      </c>
      <c r="D283" s="40">
        <f t="shared" si="5"/>
        <v>78837.72958</v>
      </c>
      <c r="E283" s="40"/>
      <c r="F283" s="40">
        <f t="shared" si="6"/>
        <v>635.2283987</v>
      </c>
      <c r="G283" s="40">
        <f t="shared" si="7"/>
        <v>347.6941911</v>
      </c>
      <c r="H283" s="102">
        <f t="shared" si="8"/>
        <v>0</v>
      </c>
      <c r="I283" s="103">
        <f t="shared" si="9"/>
        <v>0</v>
      </c>
      <c r="J283" s="104">
        <f t="shared" si="10"/>
        <v>0.369641665</v>
      </c>
      <c r="K283" s="68">
        <f t="shared" si="11"/>
        <v>204.17</v>
      </c>
      <c r="L283" s="105">
        <f t="shared" si="12"/>
        <v>1187.09259</v>
      </c>
      <c r="M283" s="1"/>
      <c r="N283" s="1"/>
      <c r="O283" s="1"/>
      <c r="P283" s="1"/>
      <c r="Q283" s="40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</row>
    <row r="284" ht="12.75" customHeight="1">
      <c r="A284" s="1"/>
      <c r="B284" s="100">
        <v>262.0</v>
      </c>
      <c r="C284" s="101">
        <f t="shared" si="13"/>
        <v>54093</v>
      </c>
      <c r="D284" s="40">
        <f t="shared" si="5"/>
        <v>78199.72205</v>
      </c>
      <c r="E284" s="40"/>
      <c r="F284" s="40">
        <f t="shared" si="6"/>
        <v>638.0075229</v>
      </c>
      <c r="G284" s="40">
        <f t="shared" si="7"/>
        <v>344.9150669</v>
      </c>
      <c r="H284" s="102">
        <f t="shared" si="8"/>
        <v>0</v>
      </c>
      <c r="I284" s="103">
        <f t="shared" si="9"/>
        <v>0</v>
      </c>
      <c r="J284" s="104">
        <f t="shared" si="10"/>
        <v>0.3666871143</v>
      </c>
      <c r="K284" s="68">
        <f t="shared" si="11"/>
        <v>204.17</v>
      </c>
      <c r="L284" s="105">
        <f t="shared" si="12"/>
        <v>1187.09259</v>
      </c>
      <c r="M284" s="1"/>
      <c r="N284" s="1"/>
      <c r="O284" s="1"/>
      <c r="P284" s="1"/>
      <c r="Q284" s="40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</row>
    <row r="285" ht="12.75" customHeight="1">
      <c r="A285" s="1"/>
      <c r="B285" s="100">
        <v>263.0</v>
      </c>
      <c r="C285" s="101">
        <f t="shared" si="13"/>
        <v>54122</v>
      </c>
      <c r="D285" s="40">
        <f t="shared" si="5"/>
        <v>77558.92325</v>
      </c>
      <c r="E285" s="40"/>
      <c r="F285" s="40">
        <f t="shared" si="6"/>
        <v>640.7988058</v>
      </c>
      <c r="G285" s="40">
        <f t="shared" si="7"/>
        <v>342.123784</v>
      </c>
      <c r="H285" s="102">
        <f t="shared" si="8"/>
        <v>0</v>
      </c>
      <c r="I285" s="103">
        <f t="shared" si="9"/>
        <v>0</v>
      </c>
      <c r="J285" s="104">
        <f t="shared" si="10"/>
        <v>0.3637196375</v>
      </c>
      <c r="K285" s="68">
        <f t="shared" si="11"/>
        <v>204.17</v>
      </c>
      <c r="L285" s="105">
        <f t="shared" si="12"/>
        <v>1187.09259</v>
      </c>
      <c r="M285" s="1"/>
      <c r="N285" s="1"/>
      <c r="O285" s="1"/>
      <c r="P285" s="1"/>
      <c r="Q285" s="40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</row>
    <row r="286" ht="12.75" customHeight="1">
      <c r="A286" s="1"/>
      <c r="B286" s="100">
        <v>264.0</v>
      </c>
      <c r="C286" s="101">
        <f t="shared" si="13"/>
        <v>54153</v>
      </c>
      <c r="D286" s="40">
        <f t="shared" si="5"/>
        <v>76915.32095</v>
      </c>
      <c r="E286" s="40"/>
      <c r="F286" s="40">
        <f t="shared" si="6"/>
        <v>643.6023006</v>
      </c>
      <c r="G286" s="40">
        <f t="shared" si="7"/>
        <v>339.3202892</v>
      </c>
      <c r="H286" s="102">
        <f t="shared" si="8"/>
        <v>0</v>
      </c>
      <c r="I286" s="103">
        <f t="shared" si="9"/>
        <v>0</v>
      </c>
      <c r="J286" s="104">
        <f t="shared" si="10"/>
        <v>0.3607391779</v>
      </c>
      <c r="K286" s="68">
        <f t="shared" si="11"/>
        <v>204.17</v>
      </c>
      <c r="L286" s="105">
        <f t="shared" si="12"/>
        <v>1187.09259</v>
      </c>
      <c r="M286" s="1"/>
      <c r="N286" s="1"/>
      <c r="O286" s="1"/>
      <c r="P286" s="1"/>
      <c r="Q286" s="40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</row>
    <row r="287" ht="12.75" customHeight="1">
      <c r="A287" s="1"/>
      <c r="B287" s="100">
        <v>265.0</v>
      </c>
      <c r="C287" s="101">
        <f t="shared" si="13"/>
        <v>54183</v>
      </c>
      <c r="D287" s="40">
        <f t="shared" si="5"/>
        <v>76268.90289</v>
      </c>
      <c r="E287" s="40"/>
      <c r="F287" s="40">
        <f t="shared" si="6"/>
        <v>646.4180607</v>
      </c>
      <c r="G287" s="40">
        <f t="shared" si="7"/>
        <v>336.5045291</v>
      </c>
      <c r="H287" s="102">
        <f t="shared" si="8"/>
        <v>0</v>
      </c>
      <c r="I287" s="103">
        <f t="shared" si="9"/>
        <v>0</v>
      </c>
      <c r="J287" s="104">
        <f t="shared" si="10"/>
        <v>0.3577456788</v>
      </c>
      <c r="K287" s="68">
        <f t="shared" si="11"/>
        <v>204.17</v>
      </c>
      <c r="L287" s="105">
        <f t="shared" si="12"/>
        <v>1187.09259</v>
      </c>
      <c r="M287" s="1"/>
      <c r="N287" s="1"/>
      <c r="O287" s="1"/>
      <c r="P287" s="1"/>
      <c r="Q287" s="40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</row>
    <row r="288" ht="12.75" customHeight="1">
      <c r="A288" s="1"/>
      <c r="B288" s="100">
        <v>266.0</v>
      </c>
      <c r="C288" s="101">
        <f t="shared" si="13"/>
        <v>54214</v>
      </c>
      <c r="D288" s="40">
        <f t="shared" si="5"/>
        <v>75619.65675</v>
      </c>
      <c r="E288" s="40"/>
      <c r="F288" s="40">
        <f t="shared" si="6"/>
        <v>649.2461397</v>
      </c>
      <c r="G288" s="40">
        <f t="shared" si="7"/>
        <v>333.6764501</v>
      </c>
      <c r="H288" s="102">
        <f t="shared" si="8"/>
        <v>0</v>
      </c>
      <c r="I288" s="103">
        <f t="shared" si="9"/>
        <v>0</v>
      </c>
      <c r="J288" s="104">
        <f t="shared" si="10"/>
        <v>0.3547390832</v>
      </c>
      <c r="K288" s="68">
        <f t="shared" si="11"/>
        <v>204.17</v>
      </c>
      <c r="L288" s="105">
        <f t="shared" si="12"/>
        <v>1187.09259</v>
      </c>
      <c r="M288" s="1"/>
      <c r="N288" s="1"/>
      <c r="O288" s="1"/>
      <c r="P288" s="1"/>
      <c r="Q288" s="40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</row>
    <row r="289" ht="12.75" customHeight="1">
      <c r="A289" s="1"/>
      <c r="B289" s="100">
        <v>267.0</v>
      </c>
      <c r="C289" s="101">
        <f t="shared" si="13"/>
        <v>54244</v>
      </c>
      <c r="D289" s="40">
        <f t="shared" si="5"/>
        <v>74967.57016</v>
      </c>
      <c r="E289" s="40"/>
      <c r="F289" s="40">
        <f t="shared" si="6"/>
        <v>652.0865915</v>
      </c>
      <c r="G289" s="40">
        <f t="shared" si="7"/>
        <v>330.8359983</v>
      </c>
      <c r="H289" s="102">
        <f t="shared" si="8"/>
        <v>0</v>
      </c>
      <c r="I289" s="103">
        <f t="shared" si="9"/>
        <v>0</v>
      </c>
      <c r="J289" s="104">
        <f t="shared" si="10"/>
        <v>0.3517193337</v>
      </c>
      <c r="K289" s="68">
        <f t="shared" si="11"/>
        <v>204.17</v>
      </c>
      <c r="L289" s="105">
        <f t="shared" si="12"/>
        <v>1187.09259</v>
      </c>
      <c r="M289" s="1"/>
      <c r="N289" s="1"/>
      <c r="O289" s="1"/>
      <c r="P289" s="1"/>
      <c r="Q289" s="40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</row>
    <row r="290" ht="12.75" customHeight="1">
      <c r="A290" s="1"/>
      <c r="B290" s="100">
        <v>268.0</v>
      </c>
      <c r="C290" s="101">
        <f t="shared" si="13"/>
        <v>54275</v>
      </c>
      <c r="D290" s="40">
        <f t="shared" si="5"/>
        <v>74312.63069</v>
      </c>
      <c r="E290" s="40"/>
      <c r="F290" s="40">
        <f t="shared" si="6"/>
        <v>654.9394704</v>
      </c>
      <c r="G290" s="40">
        <f t="shared" si="7"/>
        <v>327.9831194</v>
      </c>
      <c r="H290" s="102">
        <f t="shared" si="8"/>
        <v>0</v>
      </c>
      <c r="I290" s="103">
        <f t="shared" si="9"/>
        <v>0</v>
      </c>
      <c r="J290" s="104">
        <f t="shared" si="10"/>
        <v>0.3486863728</v>
      </c>
      <c r="K290" s="68">
        <f t="shared" si="11"/>
        <v>204.17</v>
      </c>
      <c r="L290" s="105">
        <f t="shared" si="12"/>
        <v>1187.09259</v>
      </c>
      <c r="M290" s="1"/>
      <c r="N290" s="1"/>
      <c r="O290" s="1"/>
      <c r="P290" s="1"/>
      <c r="Q290" s="40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</row>
    <row r="291" ht="12.75" customHeight="1">
      <c r="A291" s="1"/>
      <c r="B291" s="100">
        <v>269.0</v>
      </c>
      <c r="C291" s="101">
        <f t="shared" si="13"/>
        <v>54306</v>
      </c>
      <c r="D291" s="40">
        <f t="shared" si="5"/>
        <v>73654.82586</v>
      </c>
      <c r="E291" s="40"/>
      <c r="F291" s="40">
        <f t="shared" si="6"/>
        <v>657.8048306</v>
      </c>
      <c r="G291" s="40">
        <f t="shared" si="7"/>
        <v>325.1177593</v>
      </c>
      <c r="H291" s="102">
        <f t="shared" si="8"/>
        <v>0</v>
      </c>
      <c r="I291" s="103">
        <f t="shared" si="9"/>
        <v>0</v>
      </c>
      <c r="J291" s="104">
        <f t="shared" si="10"/>
        <v>0.3456401427</v>
      </c>
      <c r="K291" s="68">
        <f t="shared" si="11"/>
        <v>204.17</v>
      </c>
      <c r="L291" s="105">
        <f t="shared" si="12"/>
        <v>1187.09259</v>
      </c>
      <c r="M291" s="1"/>
      <c r="N291" s="1"/>
      <c r="O291" s="1"/>
      <c r="P291" s="1"/>
      <c r="Q291" s="40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</row>
    <row r="292" ht="12.75" customHeight="1">
      <c r="A292" s="1"/>
      <c r="B292" s="100">
        <v>270.0</v>
      </c>
      <c r="C292" s="101">
        <f t="shared" si="13"/>
        <v>54336</v>
      </c>
      <c r="D292" s="40">
        <f t="shared" si="5"/>
        <v>72994.14313</v>
      </c>
      <c r="E292" s="40"/>
      <c r="F292" s="40">
        <f t="shared" si="6"/>
        <v>660.6827267</v>
      </c>
      <c r="G292" s="40">
        <f t="shared" si="7"/>
        <v>322.2398631</v>
      </c>
      <c r="H292" s="102">
        <f t="shared" si="8"/>
        <v>0</v>
      </c>
      <c r="I292" s="103">
        <f t="shared" si="9"/>
        <v>0</v>
      </c>
      <c r="J292" s="104">
        <f t="shared" si="10"/>
        <v>0.3425805854</v>
      </c>
      <c r="K292" s="68">
        <f t="shared" si="11"/>
        <v>204.17</v>
      </c>
      <c r="L292" s="105">
        <f t="shared" si="12"/>
        <v>1187.09259</v>
      </c>
      <c r="M292" s="1"/>
      <c r="N292" s="1"/>
      <c r="O292" s="1"/>
      <c r="P292" s="1"/>
      <c r="Q292" s="40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</row>
    <row r="293" ht="12.75" customHeight="1">
      <c r="A293" s="1"/>
      <c r="B293" s="100">
        <v>271.0</v>
      </c>
      <c r="C293" s="101">
        <f t="shared" si="13"/>
        <v>54367</v>
      </c>
      <c r="D293" s="40">
        <f t="shared" si="5"/>
        <v>72330.56991</v>
      </c>
      <c r="E293" s="40"/>
      <c r="F293" s="40">
        <f t="shared" si="6"/>
        <v>663.5732136</v>
      </c>
      <c r="G293" s="40">
        <f t="shared" si="7"/>
        <v>319.3493762</v>
      </c>
      <c r="H293" s="102">
        <f t="shared" si="8"/>
        <v>0</v>
      </c>
      <c r="I293" s="103">
        <f t="shared" si="9"/>
        <v>0</v>
      </c>
      <c r="J293" s="104">
        <f t="shared" si="10"/>
        <v>0.3395076425</v>
      </c>
      <c r="K293" s="68">
        <f t="shared" si="11"/>
        <v>204.17</v>
      </c>
      <c r="L293" s="105">
        <f t="shared" si="12"/>
        <v>1187.09259</v>
      </c>
      <c r="M293" s="1"/>
      <c r="N293" s="1"/>
      <c r="O293" s="1"/>
      <c r="P293" s="1"/>
      <c r="Q293" s="40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</row>
    <row r="294" ht="12.75" customHeight="1">
      <c r="A294" s="1"/>
      <c r="B294" s="100">
        <v>272.0</v>
      </c>
      <c r="C294" s="101">
        <f t="shared" si="13"/>
        <v>54397</v>
      </c>
      <c r="D294" s="40">
        <f t="shared" si="5"/>
        <v>71664.09357</v>
      </c>
      <c r="E294" s="40"/>
      <c r="F294" s="40">
        <f t="shared" si="6"/>
        <v>666.4763464</v>
      </c>
      <c r="G294" s="40">
        <f t="shared" si="7"/>
        <v>316.4462434</v>
      </c>
      <c r="H294" s="102">
        <f t="shared" si="8"/>
        <v>0</v>
      </c>
      <c r="I294" s="103">
        <f t="shared" si="9"/>
        <v>0</v>
      </c>
      <c r="J294" s="104">
        <f t="shared" si="10"/>
        <v>0.3364212554</v>
      </c>
      <c r="K294" s="68">
        <f t="shared" si="11"/>
        <v>204.17</v>
      </c>
      <c r="L294" s="105">
        <f t="shared" si="12"/>
        <v>1187.09259</v>
      </c>
      <c r="M294" s="1"/>
      <c r="N294" s="1"/>
      <c r="O294" s="1"/>
      <c r="P294" s="1"/>
      <c r="Q294" s="40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</row>
    <row r="295" ht="12.75" customHeight="1">
      <c r="A295" s="1"/>
      <c r="B295" s="100">
        <v>273.0</v>
      </c>
      <c r="C295" s="101">
        <f t="shared" si="13"/>
        <v>54428</v>
      </c>
      <c r="D295" s="40">
        <f t="shared" si="5"/>
        <v>70994.70139</v>
      </c>
      <c r="E295" s="40"/>
      <c r="F295" s="40">
        <f t="shared" si="6"/>
        <v>669.3921805</v>
      </c>
      <c r="G295" s="40">
        <f t="shared" si="7"/>
        <v>313.5304094</v>
      </c>
      <c r="H295" s="102">
        <f t="shared" si="8"/>
        <v>0</v>
      </c>
      <c r="I295" s="103">
        <f t="shared" si="9"/>
        <v>0</v>
      </c>
      <c r="J295" s="104">
        <f t="shared" si="10"/>
        <v>0.3333213654</v>
      </c>
      <c r="K295" s="68">
        <f t="shared" si="11"/>
        <v>204.17</v>
      </c>
      <c r="L295" s="105">
        <f t="shared" si="12"/>
        <v>1187.09259</v>
      </c>
      <c r="M295" s="1"/>
      <c r="N295" s="1"/>
      <c r="O295" s="1"/>
      <c r="P295" s="1"/>
      <c r="Q295" s="40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</row>
    <row r="296" ht="12.75" customHeight="1">
      <c r="A296" s="1"/>
      <c r="B296" s="100">
        <v>274.0</v>
      </c>
      <c r="C296" s="101">
        <f t="shared" si="13"/>
        <v>54459</v>
      </c>
      <c r="D296" s="40">
        <f t="shared" si="5"/>
        <v>70322.38062</v>
      </c>
      <c r="E296" s="40"/>
      <c r="F296" s="40">
        <f t="shared" si="6"/>
        <v>672.3207712</v>
      </c>
      <c r="G296" s="40">
        <f t="shared" si="7"/>
        <v>310.6018186</v>
      </c>
      <c r="H296" s="102">
        <f t="shared" si="8"/>
        <v>0</v>
      </c>
      <c r="I296" s="103">
        <f t="shared" si="9"/>
        <v>0</v>
      </c>
      <c r="J296" s="104">
        <f t="shared" si="10"/>
        <v>0.3302079134</v>
      </c>
      <c r="K296" s="68">
        <f t="shared" si="11"/>
        <v>204.17</v>
      </c>
      <c r="L296" s="105">
        <f t="shared" si="12"/>
        <v>1187.09259</v>
      </c>
      <c r="M296" s="1"/>
      <c r="N296" s="1"/>
      <c r="O296" s="1"/>
      <c r="P296" s="1"/>
      <c r="Q296" s="40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</row>
    <row r="297" ht="12.75" customHeight="1">
      <c r="A297" s="1"/>
      <c r="B297" s="100">
        <v>275.0</v>
      </c>
      <c r="C297" s="101">
        <f t="shared" si="13"/>
        <v>54487</v>
      </c>
      <c r="D297" s="40">
        <f t="shared" si="5"/>
        <v>69647.11844</v>
      </c>
      <c r="E297" s="40"/>
      <c r="F297" s="40">
        <f t="shared" si="6"/>
        <v>675.2621746</v>
      </c>
      <c r="G297" s="40">
        <f t="shared" si="7"/>
        <v>307.6604152</v>
      </c>
      <c r="H297" s="102">
        <f t="shared" si="8"/>
        <v>0</v>
      </c>
      <c r="I297" s="103">
        <f t="shared" si="9"/>
        <v>0</v>
      </c>
      <c r="J297" s="104">
        <f t="shared" si="10"/>
        <v>0.3270808401</v>
      </c>
      <c r="K297" s="68">
        <f t="shared" si="11"/>
        <v>204.17</v>
      </c>
      <c r="L297" s="105">
        <f t="shared" si="12"/>
        <v>1187.09259</v>
      </c>
      <c r="M297" s="1"/>
      <c r="N297" s="1"/>
      <c r="O297" s="1"/>
      <c r="P297" s="1"/>
      <c r="Q297" s="40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</row>
    <row r="298" ht="12.75" customHeight="1">
      <c r="A298" s="1"/>
      <c r="B298" s="100">
        <v>276.0</v>
      </c>
      <c r="C298" s="101">
        <f t="shared" si="13"/>
        <v>54518</v>
      </c>
      <c r="D298" s="40">
        <f t="shared" si="5"/>
        <v>68968.902</v>
      </c>
      <c r="E298" s="40"/>
      <c r="F298" s="40">
        <f t="shared" si="6"/>
        <v>678.2164466</v>
      </c>
      <c r="G298" s="40">
        <f t="shared" si="7"/>
        <v>304.7061432</v>
      </c>
      <c r="H298" s="102">
        <f t="shared" si="8"/>
        <v>0</v>
      </c>
      <c r="I298" s="103">
        <f t="shared" si="9"/>
        <v>0</v>
      </c>
      <c r="J298" s="104">
        <f t="shared" si="10"/>
        <v>0.3239400858</v>
      </c>
      <c r="K298" s="68">
        <f t="shared" si="11"/>
        <v>204.17</v>
      </c>
      <c r="L298" s="105">
        <f t="shared" si="12"/>
        <v>1187.09259</v>
      </c>
      <c r="M298" s="1"/>
      <c r="N298" s="1"/>
      <c r="O298" s="1"/>
      <c r="P298" s="1"/>
      <c r="Q298" s="40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</row>
    <row r="299" ht="12.75" customHeight="1">
      <c r="A299" s="1"/>
      <c r="B299" s="100">
        <v>277.0</v>
      </c>
      <c r="C299" s="101">
        <f t="shared" si="13"/>
        <v>54548</v>
      </c>
      <c r="D299" s="40">
        <f t="shared" si="5"/>
        <v>68287.71835</v>
      </c>
      <c r="E299" s="40"/>
      <c r="F299" s="40">
        <f t="shared" si="6"/>
        <v>681.1836436</v>
      </c>
      <c r="G299" s="40">
        <f t="shared" si="7"/>
        <v>301.7389462</v>
      </c>
      <c r="H299" s="102">
        <f t="shared" si="8"/>
        <v>0</v>
      </c>
      <c r="I299" s="103">
        <f t="shared" si="9"/>
        <v>0</v>
      </c>
      <c r="J299" s="104">
        <f t="shared" si="10"/>
        <v>0.3207855907</v>
      </c>
      <c r="K299" s="68">
        <f t="shared" si="11"/>
        <v>204.17</v>
      </c>
      <c r="L299" s="105">
        <f t="shared" si="12"/>
        <v>1187.09259</v>
      </c>
      <c r="M299" s="1"/>
      <c r="N299" s="1"/>
      <c r="O299" s="1"/>
      <c r="P299" s="1"/>
      <c r="Q299" s="40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</row>
    <row r="300" ht="12.75" customHeight="1">
      <c r="A300" s="1"/>
      <c r="B300" s="100">
        <v>278.0</v>
      </c>
      <c r="C300" s="101">
        <f t="shared" si="13"/>
        <v>54579</v>
      </c>
      <c r="D300" s="40">
        <f t="shared" si="5"/>
        <v>67603.55453</v>
      </c>
      <c r="E300" s="40"/>
      <c r="F300" s="40">
        <f t="shared" si="6"/>
        <v>684.163822</v>
      </c>
      <c r="G300" s="40">
        <f t="shared" si="7"/>
        <v>298.7587678</v>
      </c>
      <c r="H300" s="102">
        <f t="shared" si="8"/>
        <v>0</v>
      </c>
      <c r="I300" s="103">
        <f t="shared" si="9"/>
        <v>0</v>
      </c>
      <c r="J300" s="104">
        <f t="shared" si="10"/>
        <v>0.3176172947</v>
      </c>
      <c r="K300" s="68">
        <f t="shared" si="11"/>
        <v>204.17</v>
      </c>
      <c r="L300" s="105">
        <f t="shared" si="12"/>
        <v>1187.09259</v>
      </c>
      <c r="M300" s="1"/>
      <c r="N300" s="1"/>
      <c r="O300" s="1"/>
      <c r="P300" s="1"/>
      <c r="Q300" s="40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</row>
    <row r="301" ht="12.75" customHeight="1">
      <c r="A301" s="1"/>
      <c r="B301" s="100">
        <v>279.0</v>
      </c>
      <c r="C301" s="101">
        <f t="shared" si="13"/>
        <v>54609</v>
      </c>
      <c r="D301" s="40">
        <f t="shared" si="5"/>
        <v>66916.39749</v>
      </c>
      <c r="E301" s="40"/>
      <c r="F301" s="40">
        <f t="shared" si="6"/>
        <v>687.1570387</v>
      </c>
      <c r="G301" s="40">
        <f t="shared" si="7"/>
        <v>295.7655511</v>
      </c>
      <c r="H301" s="102">
        <f t="shared" si="8"/>
        <v>0</v>
      </c>
      <c r="I301" s="103">
        <f t="shared" si="9"/>
        <v>0</v>
      </c>
      <c r="J301" s="104">
        <f t="shared" si="10"/>
        <v>0.3144351373</v>
      </c>
      <c r="K301" s="68">
        <f t="shared" si="11"/>
        <v>204.17</v>
      </c>
      <c r="L301" s="105">
        <f t="shared" si="12"/>
        <v>1187.09259</v>
      </c>
      <c r="M301" s="1"/>
      <c r="N301" s="1"/>
      <c r="O301" s="1"/>
      <c r="P301" s="1"/>
      <c r="Q301" s="40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</row>
    <row r="302" ht="12.75" customHeight="1">
      <c r="A302" s="1"/>
      <c r="B302" s="100">
        <v>280.0</v>
      </c>
      <c r="C302" s="101">
        <f t="shared" si="13"/>
        <v>54640</v>
      </c>
      <c r="D302" s="40">
        <f t="shared" si="5"/>
        <v>66226.23414</v>
      </c>
      <c r="E302" s="40"/>
      <c r="F302" s="40">
        <f t="shared" si="6"/>
        <v>690.1633508</v>
      </c>
      <c r="G302" s="40">
        <f t="shared" si="7"/>
        <v>292.759239</v>
      </c>
      <c r="H302" s="102">
        <f t="shared" si="8"/>
        <v>0</v>
      </c>
      <c r="I302" s="103">
        <f t="shared" si="9"/>
        <v>0</v>
      </c>
      <c r="J302" s="104">
        <f t="shared" si="10"/>
        <v>0.3112390581</v>
      </c>
      <c r="K302" s="68">
        <f t="shared" si="11"/>
        <v>204.17</v>
      </c>
      <c r="L302" s="105">
        <f t="shared" si="12"/>
        <v>1187.09259</v>
      </c>
      <c r="M302" s="1"/>
      <c r="N302" s="1"/>
      <c r="O302" s="1"/>
      <c r="P302" s="1"/>
      <c r="Q302" s="40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</row>
    <row r="303" ht="12.75" customHeight="1">
      <c r="A303" s="1"/>
      <c r="B303" s="100">
        <v>281.0</v>
      </c>
      <c r="C303" s="101">
        <f t="shared" si="13"/>
        <v>54671</v>
      </c>
      <c r="D303" s="40">
        <f t="shared" si="5"/>
        <v>65533.05132</v>
      </c>
      <c r="E303" s="40"/>
      <c r="F303" s="40">
        <f t="shared" si="6"/>
        <v>693.1828154</v>
      </c>
      <c r="G303" s="40">
        <f t="shared" si="7"/>
        <v>289.7397744</v>
      </c>
      <c r="H303" s="102">
        <f t="shared" si="8"/>
        <v>0</v>
      </c>
      <c r="I303" s="103">
        <f t="shared" si="9"/>
        <v>0</v>
      </c>
      <c r="J303" s="104">
        <f t="shared" si="10"/>
        <v>0.308028996</v>
      </c>
      <c r="K303" s="68">
        <f t="shared" si="11"/>
        <v>204.17</v>
      </c>
      <c r="L303" s="105">
        <f t="shared" si="12"/>
        <v>1187.09259</v>
      </c>
      <c r="M303" s="1"/>
      <c r="N303" s="1"/>
      <c r="O303" s="1"/>
      <c r="P303" s="1"/>
      <c r="Q303" s="40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</row>
    <row r="304" ht="12.75" customHeight="1">
      <c r="A304" s="1"/>
      <c r="B304" s="100">
        <v>282.0</v>
      </c>
      <c r="C304" s="101">
        <f t="shared" si="13"/>
        <v>54701</v>
      </c>
      <c r="D304" s="40">
        <f t="shared" si="5"/>
        <v>64836.83583</v>
      </c>
      <c r="E304" s="40"/>
      <c r="F304" s="40">
        <f t="shared" si="6"/>
        <v>696.2154903</v>
      </c>
      <c r="G304" s="40">
        <f t="shared" si="7"/>
        <v>286.7070995</v>
      </c>
      <c r="H304" s="102">
        <f t="shared" si="8"/>
        <v>0</v>
      </c>
      <c r="I304" s="103">
        <f t="shared" si="9"/>
        <v>0</v>
      </c>
      <c r="J304" s="104">
        <f t="shared" si="10"/>
        <v>0.3048048899</v>
      </c>
      <c r="K304" s="68">
        <f t="shared" si="11"/>
        <v>204.17</v>
      </c>
      <c r="L304" s="105">
        <f t="shared" si="12"/>
        <v>1187.09259</v>
      </c>
      <c r="M304" s="1"/>
      <c r="N304" s="1"/>
      <c r="O304" s="1"/>
      <c r="P304" s="1"/>
      <c r="Q304" s="40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</row>
    <row r="305" ht="12.75" customHeight="1">
      <c r="A305" s="1"/>
      <c r="B305" s="100">
        <v>283.0</v>
      </c>
      <c r="C305" s="101">
        <f t="shared" si="13"/>
        <v>54732</v>
      </c>
      <c r="D305" s="40">
        <f t="shared" si="5"/>
        <v>64137.5744</v>
      </c>
      <c r="E305" s="40"/>
      <c r="F305" s="40">
        <f t="shared" si="6"/>
        <v>699.261433</v>
      </c>
      <c r="G305" s="40">
        <f t="shared" si="7"/>
        <v>283.6611568</v>
      </c>
      <c r="H305" s="102">
        <f t="shared" si="8"/>
        <v>0</v>
      </c>
      <c r="I305" s="103">
        <f t="shared" si="9"/>
        <v>0</v>
      </c>
      <c r="J305" s="104">
        <f t="shared" si="10"/>
        <v>0.3015666783</v>
      </c>
      <c r="K305" s="68">
        <f t="shared" si="11"/>
        <v>204.17</v>
      </c>
      <c r="L305" s="105">
        <f t="shared" si="12"/>
        <v>1187.09259</v>
      </c>
      <c r="M305" s="1"/>
      <c r="N305" s="1"/>
      <c r="O305" s="1"/>
      <c r="P305" s="1"/>
      <c r="Q305" s="40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</row>
    <row r="306" ht="12.75" customHeight="1">
      <c r="A306" s="1"/>
      <c r="B306" s="100">
        <v>284.0</v>
      </c>
      <c r="C306" s="101">
        <f t="shared" si="13"/>
        <v>54762</v>
      </c>
      <c r="D306" s="40">
        <f t="shared" si="5"/>
        <v>63435.2537</v>
      </c>
      <c r="E306" s="40"/>
      <c r="F306" s="40">
        <f t="shared" si="6"/>
        <v>702.3207018</v>
      </c>
      <c r="G306" s="40">
        <f t="shared" si="7"/>
        <v>280.601888</v>
      </c>
      <c r="H306" s="102">
        <f t="shared" si="8"/>
        <v>0</v>
      </c>
      <c r="I306" s="103">
        <f t="shared" si="9"/>
        <v>0</v>
      </c>
      <c r="J306" s="104">
        <f t="shared" si="10"/>
        <v>0.2983142995</v>
      </c>
      <c r="K306" s="68">
        <f t="shared" si="11"/>
        <v>204.17</v>
      </c>
      <c r="L306" s="105">
        <f t="shared" si="12"/>
        <v>1187.09259</v>
      </c>
      <c r="M306" s="1"/>
      <c r="N306" s="1"/>
      <c r="O306" s="1"/>
      <c r="P306" s="1"/>
      <c r="Q306" s="40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</row>
    <row r="307" ht="12.75" customHeight="1">
      <c r="A307" s="1"/>
      <c r="B307" s="100">
        <v>285.0</v>
      </c>
      <c r="C307" s="101">
        <f t="shared" si="13"/>
        <v>54793</v>
      </c>
      <c r="D307" s="40">
        <f t="shared" si="5"/>
        <v>62729.86034</v>
      </c>
      <c r="E307" s="40"/>
      <c r="F307" s="40">
        <f t="shared" si="6"/>
        <v>705.3933549</v>
      </c>
      <c r="G307" s="40">
        <f t="shared" si="7"/>
        <v>277.5292349</v>
      </c>
      <c r="H307" s="102">
        <f t="shared" si="8"/>
        <v>0</v>
      </c>
      <c r="I307" s="103">
        <f t="shared" si="9"/>
        <v>0</v>
      </c>
      <c r="J307" s="104">
        <f t="shared" si="10"/>
        <v>0.2950476916</v>
      </c>
      <c r="K307" s="68">
        <f t="shared" si="11"/>
        <v>204.17</v>
      </c>
      <c r="L307" s="105">
        <f t="shared" si="12"/>
        <v>1187.09259</v>
      </c>
      <c r="M307" s="1"/>
      <c r="N307" s="1"/>
      <c r="O307" s="1"/>
      <c r="P307" s="1"/>
      <c r="Q307" s="40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</row>
    <row r="308" ht="12.75" customHeight="1">
      <c r="A308" s="1"/>
      <c r="B308" s="100">
        <v>286.0</v>
      </c>
      <c r="C308" s="101">
        <f t="shared" si="13"/>
        <v>54824</v>
      </c>
      <c r="D308" s="40">
        <f t="shared" si="5"/>
        <v>62021.38089</v>
      </c>
      <c r="E308" s="40"/>
      <c r="F308" s="40">
        <f t="shared" si="6"/>
        <v>708.4794508</v>
      </c>
      <c r="G308" s="40">
        <f t="shared" si="7"/>
        <v>274.443139</v>
      </c>
      <c r="H308" s="102">
        <f t="shared" si="8"/>
        <v>0</v>
      </c>
      <c r="I308" s="103">
        <f t="shared" si="9"/>
        <v>0</v>
      </c>
      <c r="J308" s="104">
        <f t="shared" si="10"/>
        <v>0.2917667923</v>
      </c>
      <c r="K308" s="68">
        <f t="shared" si="11"/>
        <v>204.17</v>
      </c>
      <c r="L308" s="105">
        <f t="shared" si="12"/>
        <v>1187.09259</v>
      </c>
      <c r="M308" s="1"/>
      <c r="N308" s="1"/>
      <c r="O308" s="1"/>
      <c r="P308" s="1"/>
      <c r="Q308" s="40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</row>
    <row r="309" ht="12.75" customHeight="1">
      <c r="A309" s="1"/>
      <c r="B309" s="100">
        <v>287.0</v>
      </c>
      <c r="C309" s="101">
        <f t="shared" si="13"/>
        <v>54852</v>
      </c>
      <c r="D309" s="40">
        <f t="shared" si="5"/>
        <v>61309.80185</v>
      </c>
      <c r="E309" s="40"/>
      <c r="F309" s="40">
        <f t="shared" si="6"/>
        <v>711.5790484</v>
      </c>
      <c r="G309" s="40">
        <f t="shared" si="7"/>
        <v>271.3435414</v>
      </c>
      <c r="H309" s="102">
        <f t="shared" si="8"/>
        <v>0</v>
      </c>
      <c r="I309" s="103">
        <f t="shared" si="9"/>
        <v>0</v>
      </c>
      <c r="J309" s="104">
        <f t="shared" si="10"/>
        <v>0.288471539</v>
      </c>
      <c r="K309" s="68">
        <f t="shared" si="11"/>
        <v>204.17</v>
      </c>
      <c r="L309" s="105">
        <f t="shared" si="12"/>
        <v>1187.09259</v>
      </c>
      <c r="M309" s="1"/>
      <c r="N309" s="1"/>
      <c r="O309" s="1"/>
      <c r="P309" s="1"/>
      <c r="Q309" s="40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</row>
    <row r="310" ht="12.75" customHeight="1">
      <c r="A310" s="1"/>
      <c r="B310" s="100">
        <v>288.0</v>
      </c>
      <c r="C310" s="101">
        <f t="shared" si="13"/>
        <v>54883</v>
      </c>
      <c r="D310" s="40">
        <f t="shared" si="5"/>
        <v>60595.10964</v>
      </c>
      <c r="E310" s="40"/>
      <c r="F310" s="40">
        <f t="shared" si="6"/>
        <v>714.6922067</v>
      </c>
      <c r="G310" s="40">
        <f t="shared" si="7"/>
        <v>268.2303831</v>
      </c>
      <c r="H310" s="102">
        <f t="shared" si="8"/>
        <v>0</v>
      </c>
      <c r="I310" s="103">
        <f t="shared" si="9"/>
        <v>0</v>
      </c>
      <c r="J310" s="104">
        <f t="shared" si="10"/>
        <v>0.285161869</v>
      </c>
      <c r="K310" s="68">
        <f t="shared" si="11"/>
        <v>204.17</v>
      </c>
      <c r="L310" s="105">
        <f t="shared" si="12"/>
        <v>1187.09259</v>
      </c>
      <c r="M310" s="1"/>
      <c r="N310" s="1"/>
      <c r="O310" s="1"/>
      <c r="P310" s="1"/>
      <c r="Q310" s="40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</row>
    <row r="311" ht="12.75" customHeight="1">
      <c r="A311" s="1"/>
      <c r="B311" s="100">
        <v>289.0</v>
      </c>
      <c r="C311" s="101">
        <f t="shared" si="13"/>
        <v>54913</v>
      </c>
      <c r="D311" s="40">
        <f t="shared" si="5"/>
        <v>59877.29065</v>
      </c>
      <c r="E311" s="40"/>
      <c r="F311" s="40">
        <f t="shared" si="6"/>
        <v>717.8189851</v>
      </c>
      <c r="G311" s="40">
        <f t="shared" si="7"/>
        <v>265.1036047</v>
      </c>
      <c r="H311" s="102">
        <f t="shared" si="8"/>
        <v>0</v>
      </c>
      <c r="I311" s="103">
        <f t="shared" si="9"/>
        <v>0</v>
      </c>
      <c r="J311" s="104">
        <f t="shared" si="10"/>
        <v>0.2818377193</v>
      </c>
      <c r="K311" s="68">
        <f t="shared" si="11"/>
        <v>204.17</v>
      </c>
      <c r="L311" s="105">
        <f t="shared" si="12"/>
        <v>1187.09259</v>
      </c>
      <c r="M311" s="1"/>
      <c r="N311" s="1"/>
      <c r="O311" s="1"/>
      <c r="P311" s="1"/>
      <c r="Q311" s="40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</row>
    <row r="312" ht="12.75" customHeight="1">
      <c r="A312" s="1"/>
      <c r="B312" s="100">
        <v>290.0</v>
      </c>
      <c r="C312" s="101">
        <f t="shared" si="13"/>
        <v>54944</v>
      </c>
      <c r="D312" s="40">
        <f t="shared" si="5"/>
        <v>59156.33121</v>
      </c>
      <c r="E312" s="40"/>
      <c r="F312" s="40">
        <f t="shared" si="6"/>
        <v>720.9594432</v>
      </c>
      <c r="G312" s="40">
        <f t="shared" si="7"/>
        <v>261.9631466</v>
      </c>
      <c r="H312" s="102">
        <f t="shared" si="8"/>
        <v>0</v>
      </c>
      <c r="I312" s="103">
        <f t="shared" si="9"/>
        <v>0</v>
      </c>
      <c r="J312" s="104">
        <f t="shared" si="10"/>
        <v>0.2784990263</v>
      </c>
      <c r="K312" s="68">
        <f t="shared" si="11"/>
        <v>204.17</v>
      </c>
      <c r="L312" s="105">
        <f t="shared" si="12"/>
        <v>1187.09259</v>
      </c>
      <c r="M312" s="1"/>
      <c r="N312" s="1"/>
      <c r="O312" s="1"/>
      <c r="P312" s="1"/>
      <c r="Q312" s="40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</row>
    <row r="313" ht="12.75" customHeight="1">
      <c r="A313" s="1"/>
      <c r="B313" s="100">
        <v>291.0</v>
      </c>
      <c r="C313" s="101">
        <f t="shared" si="13"/>
        <v>54974</v>
      </c>
      <c r="D313" s="40">
        <f t="shared" si="5"/>
        <v>58432.21757</v>
      </c>
      <c r="E313" s="40"/>
      <c r="F313" s="40">
        <f t="shared" si="6"/>
        <v>724.1136408</v>
      </c>
      <c r="G313" s="40">
        <f t="shared" si="7"/>
        <v>258.808949</v>
      </c>
      <c r="H313" s="102">
        <f t="shared" si="8"/>
        <v>0</v>
      </c>
      <c r="I313" s="103">
        <f t="shared" si="9"/>
        <v>0</v>
      </c>
      <c r="J313" s="104">
        <f t="shared" si="10"/>
        <v>0.2751457266</v>
      </c>
      <c r="K313" s="68">
        <f t="shared" si="11"/>
        <v>204.17</v>
      </c>
      <c r="L313" s="105">
        <f t="shared" si="12"/>
        <v>1187.09259</v>
      </c>
      <c r="M313" s="1"/>
      <c r="N313" s="1"/>
      <c r="O313" s="1"/>
      <c r="P313" s="1"/>
      <c r="Q313" s="40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</row>
    <row r="314" ht="12.75" customHeight="1">
      <c r="A314" s="1"/>
      <c r="B314" s="100">
        <v>292.0</v>
      </c>
      <c r="C314" s="101">
        <f t="shared" si="13"/>
        <v>55005</v>
      </c>
      <c r="D314" s="40">
        <f t="shared" si="5"/>
        <v>57704.93593</v>
      </c>
      <c r="E314" s="40"/>
      <c r="F314" s="40">
        <f t="shared" si="6"/>
        <v>727.2816379</v>
      </c>
      <c r="G314" s="40">
        <f t="shared" si="7"/>
        <v>255.6409519</v>
      </c>
      <c r="H314" s="102">
        <f t="shared" si="8"/>
        <v>0</v>
      </c>
      <c r="I314" s="103">
        <f t="shared" si="9"/>
        <v>0</v>
      </c>
      <c r="J314" s="104">
        <f t="shared" si="10"/>
        <v>0.2717777561</v>
      </c>
      <c r="K314" s="68">
        <f t="shared" si="11"/>
        <v>204.17</v>
      </c>
      <c r="L314" s="105">
        <f t="shared" si="12"/>
        <v>1187.09259</v>
      </c>
      <c r="M314" s="1"/>
      <c r="N314" s="1"/>
      <c r="O314" s="1"/>
      <c r="P314" s="1"/>
      <c r="Q314" s="40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</row>
    <row r="315" ht="12.75" customHeight="1">
      <c r="A315" s="1"/>
      <c r="B315" s="100">
        <v>293.0</v>
      </c>
      <c r="C315" s="101">
        <f t="shared" si="13"/>
        <v>55036</v>
      </c>
      <c r="D315" s="40">
        <f t="shared" si="5"/>
        <v>56974.47244</v>
      </c>
      <c r="E315" s="40"/>
      <c r="F315" s="40">
        <f t="shared" si="6"/>
        <v>730.4634951</v>
      </c>
      <c r="G315" s="40">
        <f t="shared" si="7"/>
        <v>252.4590947</v>
      </c>
      <c r="H315" s="102">
        <f t="shared" si="8"/>
        <v>0</v>
      </c>
      <c r="I315" s="103">
        <f t="shared" si="9"/>
        <v>0</v>
      </c>
      <c r="J315" s="104">
        <f t="shared" si="10"/>
        <v>0.2683950508</v>
      </c>
      <c r="K315" s="68">
        <f t="shared" si="11"/>
        <v>204.17</v>
      </c>
      <c r="L315" s="105">
        <f t="shared" si="12"/>
        <v>1187.09259</v>
      </c>
      <c r="M315" s="1"/>
      <c r="N315" s="1"/>
      <c r="O315" s="1"/>
      <c r="P315" s="1"/>
      <c r="Q315" s="40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</row>
    <row r="316" ht="12.75" customHeight="1">
      <c r="A316" s="1"/>
      <c r="B316" s="100">
        <v>294.0</v>
      </c>
      <c r="C316" s="101">
        <f t="shared" si="13"/>
        <v>55066</v>
      </c>
      <c r="D316" s="40">
        <f t="shared" si="5"/>
        <v>56240.81316</v>
      </c>
      <c r="E316" s="40"/>
      <c r="F316" s="40">
        <f t="shared" si="6"/>
        <v>733.6592729</v>
      </c>
      <c r="G316" s="40">
        <f t="shared" si="7"/>
        <v>249.2633169</v>
      </c>
      <c r="H316" s="102">
        <f t="shared" si="8"/>
        <v>0</v>
      </c>
      <c r="I316" s="103">
        <f t="shared" si="9"/>
        <v>0</v>
      </c>
      <c r="J316" s="104">
        <f t="shared" si="10"/>
        <v>0.2649975462</v>
      </c>
      <c r="K316" s="68">
        <f t="shared" si="11"/>
        <v>204.17</v>
      </c>
      <c r="L316" s="105">
        <f t="shared" si="12"/>
        <v>1187.09259</v>
      </c>
      <c r="M316" s="1"/>
      <c r="N316" s="1"/>
      <c r="O316" s="1"/>
      <c r="P316" s="1"/>
      <c r="Q316" s="40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</row>
    <row r="317" ht="12.75" customHeight="1">
      <c r="A317" s="1"/>
      <c r="B317" s="100">
        <v>295.0</v>
      </c>
      <c r="C317" s="101">
        <f t="shared" si="13"/>
        <v>55097</v>
      </c>
      <c r="D317" s="40">
        <f t="shared" si="5"/>
        <v>55503.94413</v>
      </c>
      <c r="E317" s="40"/>
      <c r="F317" s="40">
        <f t="shared" si="6"/>
        <v>736.8690322</v>
      </c>
      <c r="G317" s="40">
        <f t="shared" si="7"/>
        <v>246.0535576</v>
      </c>
      <c r="H317" s="102">
        <f t="shared" si="8"/>
        <v>0</v>
      </c>
      <c r="I317" s="103">
        <f t="shared" si="9"/>
        <v>0</v>
      </c>
      <c r="J317" s="104">
        <f t="shared" si="10"/>
        <v>0.2615851775</v>
      </c>
      <c r="K317" s="68">
        <f t="shared" si="11"/>
        <v>204.17</v>
      </c>
      <c r="L317" s="105">
        <f t="shared" si="12"/>
        <v>1187.09259</v>
      </c>
      <c r="M317" s="1"/>
      <c r="N317" s="1"/>
      <c r="O317" s="1"/>
      <c r="P317" s="1"/>
      <c r="Q317" s="40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</row>
    <row r="318" ht="12.75" customHeight="1">
      <c r="A318" s="1"/>
      <c r="B318" s="100">
        <v>296.0</v>
      </c>
      <c r="C318" s="101">
        <f t="shared" si="13"/>
        <v>55127</v>
      </c>
      <c r="D318" s="40">
        <f t="shared" si="5"/>
        <v>54763.8513</v>
      </c>
      <c r="E318" s="40"/>
      <c r="F318" s="40">
        <f t="shared" si="6"/>
        <v>740.0928342</v>
      </c>
      <c r="G318" s="40">
        <f t="shared" si="7"/>
        <v>242.8297556</v>
      </c>
      <c r="H318" s="102">
        <f t="shared" si="8"/>
        <v>0</v>
      </c>
      <c r="I318" s="103">
        <f t="shared" si="9"/>
        <v>0</v>
      </c>
      <c r="J318" s="104">
        <f t="shared" si="10"/>
        <v>0.2581578797</v>
      </c>
      <c r="K318" s="68">
        <f t="shared" si="11"/>
        <v>204.17</v>
      </c>
      <c r="L318" s="105">
        <f t="shared" si="12"/>
        <v>1187.09259</v>
      </c>
      <c r="M318" s="1"/>
      <c r="N318" s="1"/>
      <c r="O318" s="1"/>
      <c r="P318" s="1"/>
      <c r="Q318" s="40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</row>
    <row r="319" ht="12.75" customHeight="1">
      <c r="A319" s="1"/>
      <c r="B319" s="100">
        <v>297.0</v>
      </c>
      <c r="C319" s="101">
        <f t="shared" si="13"/>
        <v>55158</v>
      </c>
      <c r="D319" s="40">
        <f t="shared" si="5"/>
        <v>54020.52056</v>
      </c>
      <c r="E319" s="40"/>
      <c r="F319" s="40">
        <f t="shared" si="6"/>
        <v>743.3307404</v>
      </c>
      <c r="G319" s="40">
        <f t="shared" si="7"/>
        <v>239.5918494</v>
      </c>
      <c r="H319" s="102">
        <f t="shared" si="8"/>
        <v>0</v>
      </c>
      <c r="I319" s="103">
        <f t="shared" si="9"/>
        <v>0</v>
      </c>
      <c r="J319" s="104">
        <f t="shared" si="10"/>
        <v>0.2547155874</v>
      </c>
      <c r="K319" s="68">
        <f t="shared" si="11"/>
        <v>204.17</v>
      </c>
      <c r="L319" s="105">
        <f t="shared" si="12"/>
        <v>1187.09259</v>
      </c>
      <c r="M319" s="1"/>
      <c r="N319" s="1"/>
      <c r="O319" s="1"/>
      <c r="P319" s="1"/>
      <c r="Q319" s="40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</row>
    <row r="320" ht="12.75" customHeight="1">
      <c r="A320" s="1"/>
      <c r="B320" s="100">
        <v>298.0</v>
      </c>
      <c r="C320" s="101">
        <f t="shared" si="13"/>
        <v>55189</v>
      </c>
      <c r="D320" s="40">
        <f t="shared" si="5"/>
        <v>53273.93774</v>
      </c>
      <c r="E320" s="40"/>
      <c r="F320" s="40">
        <f t="shared" si="6"/>
        <v>746.5828124</v>
      </c>
      <c r="G320" s="40">
        <f t="shared" si="7"/>
        <v>236.3397774</v>
      </c>
      <c r="H320" s="102">
        <f t="shared" si="8"/>
        <v>0</v>
      </c>
      <c r="I320" s="103">
        <f t="shared" si="9"/>
        <v>0</v>
      </c>
      <c r="J320" s="104">
        <f t="shared" si="10"/>
        <v>0.2512582351</v>
      </c>
      <c r="K320" s="68">
        <f t="shared" si="11"/>
        <v>204.17</v>
      </c>
      <c r="L320" s="105">
        <f t="shared" si="12"/>
        <v>1187.09259</v>
      </c>
      <c r="M320" s="1"/>
      <c r="N320" s="1"/>
      <c r="O320" s="1"/>
      <c r="P320" s="1"/>
      <c r="Q320" s="40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</row>
    <row r="321" ht="12.75" customHeight="1">
      <c r="A321" s="1"/>
      <c r="B321" s="100">
        <v>299.0</v>
      </c>
      <c r="C321" s="101">
        <f t="shared" si="13"/>
        <v>55217</v>
      </c>
      <c r="D321" s="40">
        <f t="shared" si="5"/>
        <v>52524.08863</v>
      </c>
      <c r="E321" s="40"/>
      <c r="F321" s="40">
        <f t="shared" si="6"/>
        <v>749.8491122</v>
      </c>
      <c r="G321" s="40">
        <f t="shared" si="7"/>
        <v>233.0734776</v>
      </c>
      <c r="H321" s="102">
        <f t="shared" si="8"/>
        <v>0</v>
      </c>
      <c r="I321" s="103">
        <f t="shared" si="9"/>
        <v>0</v>
      </c>
      <c r="J321" s="104">
        <f t="shared" si="10"/>
        <v>0.247785757</v>
      </c>
      <c r="K321" s="68">
        <f t="shared" si="11"/>
        <v>204.17</v>
      </c>
      <c r="L321" s="105">
        <f t="shared" si="12"/>
        <v>1187.09259</v>
      </c>
      <c r="M321" s="1"/>
      <c r="N321" s="1"/>
      <c r="O321" s="1"/>
      <c r="P321" s="1"/>
      <c r="Q321" s="40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</row>
    <row r="322" ht="12.75" customHeight="1">
      <c r="A322" s="1"/>
      <c r="B322" s="100">
        <v>300.0</v>
      </c>
      <c r="C322" s="101">
        <f t="shared" si="13"/>
        <v>55248</v>
      </c>
      <c r="D322" s="40">
        <f t="shared" si="5"/>
        <v>51770.95893</v>
      </c>
      <c r="E322" s="40"/>
      <c r="F322" s="40">
        <f t="shared" si="6"/>
        <v>753.129702</v>
      </c>
      <c r="G322" s="40">
        <f t="shared" si="7"/>
        <v>229.7928878</v>
      </c>
      <c r="H322" s="102">
        <f t="shared" si="8"/>
        <v>0</v>
      </c>
      <c r="I322" s="103">
        <f t="shared" si="9"/>
        <v>0</v>
      </c>
      <c r="J322" s="104">
        <f t="shared" si="10"/>
        <v>0.2442980867</v>
      </c>
      <c r="K322" s="68">
        <f t="shared" si="11"/>
        <v>204.17</v>
      </c>
      <c r="L322" s="105">
        <f t="shared" si="12"/>
        <v>1187.09259</v>
      </c>
      <c r="M322" s="1"/>
      <c r="N322" s="1"/>
      <c r="O322" s="1"/>
      <c r="P322" s="1"/>
      <c r="Q322" s="40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</row>
    <row r="323" ht="12.75" customHeight="1">
      <c r="A323" s="1"/>
      <c r="B323" s="100">
        <v>301.0</v>
      </c>
      <c r="C323" s="101">
        <f t="shared" si="13"/>
        <v>55278</v>
      </c>
      <c r="D323" s="40">
        <f t="shared" si="5"/>
        <v>51014.53429</v>
      </c>
      <c r="E323" s="40"/>
      <c r="F323" s="40">
        <f t="shared" si="6"/>
        <v>756.4246445</v>
      </c>
      <c r="G323" s="40">
        <f t="shared" si="7"/>
        <v>226.4979453</v>
      </c>
      <c r="H323" s="102">
        <f t="shared" si="8"/>
        <v>0</v>
      </c>
      <c r="I323" s="103">
        <f t="shared" si="9"/>
        <v>0</v>
      </c>
      <c r="J323" s="104">
        <f t="shared" si="10"/>
        <v>0.2407951578</v>
      </c>
      <c r="K323" s="68">
        <f t="shared" si="11"/>
        <v>204.17</v>
      </c>
      <c r="L323" s="105">
        <f t="shared" si="12"/>
        <v>1187.09259</v>
      </c>
      <c r="M323" s="1"/>
      <c r="N323" s="1"/>
      <c r="O323" s="1"/>
      <c r="P323" s="1"/>
      <c r="Q323" s="40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</row>
    <row r="324" ht="12.75" customHeight="1">
      <c r="A324" s="1"/>
      <c r="B324" s="100">
        <v>302.0</v>
      </c>
      <c r="C324" s="101">
        <f t="shared" si="13"/>
        <v>55309</v>
      </c>
      <c r="D324" s="40">
        <f t="shared" si="5"/>
        <v>50254.80028</v>
      </c>
      <c r="E324" s="40"/>
      <c r="F324" s="40">
        <f t="shared" si="6"/>
        <v>759.7340023</v>
      </c>
      <c r="G324" s="40">
        <f t="shared" si="7"/>
        <v>223.1885875</v>
      </c>
      <c r="H324" s="102">
        <f t="shared" si="8"/>
        <v>0</v>
      </c>
      <c r="I324" s="103">
        <f t="shared" si="9"/>
        <v>0</v>
      </c>
      <c r="J324" s="104">
        <f t="shared" si="10"/>
        <v>0.2372769037</v>
      </c>
      <c r="K324" s="68">
        <f t="shared" si="11"/>
        <v>204.17</v>
      </c>
      <c r="L324" s="105">
        <f t="shared" si="12"/>
        <v>1187.09259</v>
      </c>
      <c r="M324" s="1"/>
      <c r="N324" s="1"/>
      <c r="O324" s="1"/>
      <c r="P324" s="1"/>
      <c r="Q324" s="40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</row>
    <row r="325" ht="12.75" customHeight="1">
      <c r="A325" s="1"/>
      <c r="B325" s="100">
        <v>303.0</v>
      </c>
      <c r="C325" s="101">
        <f t="shared" si="13"/>
        <v>55339</v>
      </c>
      <c r="D325" s="40">
        <f t="shared" si="5"/>
        <v>49491.74245</v>
      </c>
      <c r="E325" s="40"/>
      <c r="F325" s="40">
        <f t="shared" si="6"/>
        <v>763.0578386</v>
      </c>
      <c r="G325" s="40">
        <f t="shared" si="7"/>
        <v>219.8647512</v>
      </c>
      <c r="H325" s="102">
        <f t="shared" si="8"/>
        <v>0</v>
      </c>
      <c r="I325" s="103">
        <f t="shared" si="9"/>
        <v>0</v>
      </c>
      <c r="J325" s="104">
        <f t="shared" si="10"/>
        <v>0.2337432571</v>
      </c>
      <c r="K325" s="68">
        <f t="shared" si="11"/>
        <v>204.17</v>
      </c>
      <c r="L325" s="105">
        <f t="shared" si="12"/>
        <v>1187.09259</v>
      </c>
      <c r="M325" s="1"/>
      <c r="N325" s="1"/>
      <c r="O325" s="1"/>
      <c r="P325" s="1"/>
      <c r="Q325" s="40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</row>
    <row r="326" ht="12.75" customHeight="1">
      <c r="A326" s="1"/>
      <c r="B326" s="100">
        <v>304.0</v>
      </c>
      <c r="C326" s="101">
        <f t="shared" si="13"/>
        <v>55370</v>
      </c>
      <c r="D326" s="40">
        <f t="shared" si="5"/>
        <v>48725.34623</v>
      </c>
      <c r="E326" s="40"/>
      <c r="F326" s="40">
        <f t="shared" si="6"/>
        <v>766.3962166</v>
      </c>
      <c r="G326" s="40">
        <f t="shared" si="7"/>
        <v>216.5263732</v>
      </c>
      <c r="H326" s="102">
        <f t="shared" si="8"/>
        <v>0</v>
      </c>
      <c r="I326" s="103">
        <f t="shared" si="9"/>
        <v>0</v>
      </c>
      <c r="J326" s="104">
        <f t="shared" si="10"/>
        <v>0.2301941509</v>
      </c>
      <c r="K326" s="68">
        <f t="shared" si="11"/>
        <v>204.17</v>
      </c>
      <c r="L326" s="105">
        <f t="shared" si="12"/>
        <v>1187.09259</v>
      </c>
      <c r="M326" s="1"/>
      <c r="N326" s="1"/>
      <c r="O326" s="1"/>
      <c r="P326" s="1"/>
      <c r="Q326" s="40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</row>
    <row r="327" ht="12.75" customHeight="1">
      <c r="A327" s="1"/>
      <c r="B327" s="100">
        <v>305.0</v>
      </c>
      <c r="C327" s="101">
        <f t="shared" si="13"/>
        <v>55401</v>
      </c>
      <c r="D327" s="40">
        <f t="shared" si="5"/>
        <v>47955.59703</v>
      </c>
      <c r="E327" s="40"/>
      <c r="F327" s="40">
        <f t="shared" si="6"/>
        <v>769.7492001</v>
      </c>
      <c r="G327" s="40">
        <f t="shared" si="7"/>
        <v>213.1733897</v>
      </c>
      <c r="H327" s="102">
        <f t="shared" si="8"/>
        <v>0</v>
      </c>
      <c r="I327" s="103">
        <f t="shared" si="9"/>
        <v>0</v>
      </c>
      <c r="J327" s="104">
        <f t="shared" si="10"/>
        <v>0.2266295173</v>
      </c>
      <c r="K327" s="68">
        <f t="shared" si="11"/>
        <v>204.17</v>
      </c>
      <c r="L327" s="105">
        <f t="shared" si="12"/>
        <v>1187.09259</v>
      </c>
      <c r="M327" s="1"/>
      <c r="N327" s="1"/>
      <c r="O327" s="1"/>
      <c r="P327" s="1"/>
      <c r="Q327" s="40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</row>
    <row r="328" ht="12.75" customHeight="1">
      <c r="A328" s="1"/>
      <c r="B328" s="100">
        <v>306.0</v>
      </c>
      <c r="C328" s="101">
        <f t="shared" si="13"/>
        <v>55431</v>
      </c>
      <c r="D328" s="40">
        <f t="shared" si="5"/>
        <v>47182.48018</v>
      </c>
      <c r="E328" s="40"/>
      <c r="F328" s="40">
        <f t="shared" si="6"/>
        <v>773.1168528</v>
      </c>
      <c r="G328" s="40">
        <f t="shared" si="7"/>
        <v>209.805737</v>
      </c>
      <c r="H328" s="102">
        <f t="shared" si="8"/>
        <v>0</v>
      </c>
      <c r="I328" s="103">
        <f t="shared" si="9"/>
        <v>0</v>
      </c>
      <c r="J328" s="104">
        <f t="shared" si="10"/>
        <v>0.2230492885</v>
      </c>
      <c r="K328" s="68">
        <f t="shared" si="11"/>
        <v>204.17</v>
      </c>
      <c r="L328" s="105">
        <f t="shared" si="12"/>
        <v>1187.09259</v>
      </c>
      <c r="M328" s="1"/>
      <c r="N328" s="1"/>
      <c r="O328" s="1"/>
      <c r="P328" s="1"/>
      <c r="Q328" s="40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</row>
    <row r="329" ht="12.75" customHeight="1">
      <c r="A329" s="1"/>
      <c r="B329" s="100">
        <v>307.0</v>
      </c>
      <c r="C329" s="101">
        <f t="shared" si="13"/>
        <v>55462</v>
      </c>
      <c r="D329" s="40">
        <f t="shared" si="5"/>
        <v>46405.98094</v>
      </c>
      <c r="E329" s="40"/>
      <c r="F329" s="40">
        <f t="shared" si="6"/>
        <v>776.499239</v>
      </c>
      <c r="G329" s="40">
        <f t="shared" si="7"/>
        <v>206.4233508</v>
      </c>
      <c r="H329" s="102">
        <f t="shared" si="8"/>
        <v>0</v>
      </c>
      <c r="I329" s="103">
        <f t="shared" si="9"/>
        <v>0</v>
      </c>
      <c r="J329" s="104">
        <f t="shared" si="10"/>
        <v>0.2194533962</v>
      </c>
      <c r="K329" s="68">
        <f t="shared" si="11"/>
        <v>204.17</v>
      </c>
      <c r="L329" s="105">
        <f t="shared" si="12"/>
        <v>1187.09259</v>
      </c>
      <c r="M329" s="1"/>
      <c r="N329" s="1"/>
      <c r="O329" s="1"/>
      <c r="P329" s="1"/>
      <c r="Q329" s="40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</row>
    <row r="330" ht="12.75" customHeight="1">
      <c r="A330" s="1"/>
      <c r="B330" s="100">
        <v>308.0</v>
      </c>
      <c r="C330" s="101">
        <f t="shared" si="13"/>
        <v>55492</v>
      </c>
      <c r="D330" s="40">
        <f t="shared" si="5"/>
        <v>45626.08451</v>
      </c>
      <c r="E330" s="40"/>
      <c r="F330" s="40">
        <f t="shared" si="6"/>
        <v>779.8964232</v>
      </c>
      <c r="G330" s="40">
        <f t="shared" si="7"/>
        <v>203.0261666</v>
      </c>
      <c r="H330" s="102">
        <f t="shared" si="8"/>
        <v>0</v>
      </c>
      <c r="I330" s="103">
        <f t="shared" si="9"/>
        <v>0</v>
      </c>
      <c r="J330" s="104">
        <f t="shared" si="10"/>
        <v>0.2158417718</v>
      </c>
      <c r="K330" s="68">
        <f t="shared" si="11"/>
        <v>204.17</v>
      </c>
      <c r="L330" s="105">
        <f t="shared" si="12"/>
        <v>1187.09259</v>
      </c>
      <c r="M330" s="1"/>
      <c r="N330" s="1"/>
      <c r="O330" s="1"/>
      <c r="P330" s="1"/>
      <c r="Q330" s="40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</row>
    <row r="331" ht="12.75" customHeight="1">
      <c r="A331" s="1"/>
      <c r="B331" s="100">
        <v>309.0</v>
      </c>
      <c r="C331" s="101">
        <f t="shared" si="13"/>
        <v>55523</v>
      </c>
      <c r="D331" s="40">
        <f t="shared" si="5"/>
        <v>44842.77604</v>
      </c>
      <c r="E331" s="40"/>
      <c r="F331" s="40">
        <f t="shared" si="6"/>
        <v>783.3084701</v>
      </c>
      <c r="G331" s="40">
        <f t="shared" si="7"/>
        <v>199.6141197</v>
      </c>
      <c r="H331" s="102">
        <f t="shared" si="8"/>
        <v>0</v>
      </c>
      <c r="I331" s="103">
        <f t="shared" si="9"/>
        <v>0</v>
      </c>
      <c r="J331" s="104">
        <f t="shared" si="10"/>
        <v>0.2122143466</v>
      </c>
      <c r="K331" s="68">
        <f t="shared" si="11"/>
        <v>204.17</v>
      </c>
      <c r="L331" s="105">
        <f t="shared" si="12"/>
        <v>1187.09259</v>
      </c>
      <c r="M331" s="1"/>
      <c r="N331" s="1"/>
      <c r="O331" s="1"/>
      <c r="P331" s="1"/>
      <c r="Q331" s="40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</row>
    <row r="332" ht="12.75" customHeight="1">
      <c r="A332" s="1"/>
      <c r="B332" s="100">
        <v>310.0</v>
      </c>
      <c r="C332" s="101">
        <f t="shared" si="13"/>
        <v>55554</v>
      </c>
      <c r="D332" s="40">
        <f t="shared" si="5"/>
        <v>44056.0406</v>
      </c>
      <c r="E332" s="40"/>
      <c r="F332" s="40">
        <f t="shared" si="6"/>
        <v>786.7354446</v>
      </c>
      <c r="G332" s="40">
        <f t="shared" si="7"/>
        <v>196.1871452</v>
      </c>
      <c r="H332" s="102">
        <f t="shared" si="8"/>
        <v>0</v>
      </c>
      <c r="I332" s="103">
        <f t="shared" si="9"/>
        <v>0</v>
      </c>
      <c r="J332" s="104">
        <f t="shared" si="10"/>
        <v>0.2085710514</v>
      </c>
      <c r="K332" s="68">
        <f t="shared" si="11"/>
        <v>204.17</v>
      </c>
      <c r="L332" s="105">
        <f t="shared" si="12"/>
        <v>1187.09259</v>
      </c>
      <c r="M332" s="1"/>
      <c r="N332" s="1"/>
      <c r="O332" s="1"/>
      <c r="P332" s="1"/>
      <c r="Q332" s="40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</row>
    <row r="333" ht="12.75" customHeight="1">
      <c r="A333" s="1"/>
      <c r="B333" s="100">
        <v>311.0</v>
      </c>
      <c r="C333" s="101">
        <f t="shared" si="13"/>
        <v>55583</v>
      </c>
      <c r="D333" s="40">
        <f t="shared" si="5"/>
        <v>43265.86319</v>
      </c>
      <c r="E333" s="40"/>
      <c r="F333" s="40">
        <f t="shared" si="6"/>
        <v>790.1774122</v>
      </c>
      <c r="G333" s="40">
        <f t="shared" si="7"/>
        <v>192.7451776</v>
      </c>
      <c r="H333" s="102">
        <f t="shared" si="8"/>
        <v>0</v>
      </c>
      <c r="I333" s="103">
        <f t="shared" si="9"/>
        <v>0</v>
      </c>
      <c r="J333" s="104">
        <f t="shared" si="10"/>
        <v>0.2049118167</v>
      </c>
      <c r="K333" s="68">
        <f t="shared" si="11"/>
        <v>204.17</v>
      </c>
      <c r="L333" s="105">
        <f t="shared" si="12"/>
        <v>1187.09259</v>
      </c>
      <c r="M333" s="1"/>
      <c r="N333" s="1"/>
      <c r="O333" s="1"/>
      <c r="P333" s="1"/>
      <c r="Q333" s="40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</row>
    <row r="334" ht="12.75" customHeight="1">
      <c r="A334" s="1"/>
      <c r="B334" s="100">
        <v>312.0</v>
      </c>
      <c r="C334" s="101">
        <f t="shared" si="13"/>
        <v>55614</v>
      </c>
      <c r="D334" s="40">
        <f t="shared" si="5"/>
        <v>42472.22875</v>
      </c>
      <c r="E334" s="40"/>
      <c r="F334" s="40">
        <f t="shared" si="6"/>
        <v>793.6344384</v>
      </c>
      <c r="G334" s="40">
        <f t="shared" si="7"/>
        <v>189.2881514</v>
      </c>
      <c r="H334" s="102">
        <f t="shared" si="8"/>
        <v>0</v>
      </c>
      <c r="I334" s="103">
        <f t="shared" si="9"/>
        <v>0</v>
      </c>
      <c r="J334" s="104">
        <f t="shared" si="10"/>
        <v>0.201236573</v>
      </c>
      <c r="K334" s="68">
        <f t="shared" si="11"/>
        <v>204.17</v>
      </c>
      <c r="L334" s="105">
        <f t="shared" si="12"/>
        <v>1187.09259</v>
      </c>
      <c r="M334" s="1"/>
      <c r="N334" s="1"/>
      <c r="O334" s="1"/>
      <c r="P334" s="1"/>
      <c r="Q334" s="40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</row>
    <row r="335" ht="12.75" customHeight="1">
      <c r="A335" s="1"/>
      <c r="B335" s="100">
        <v>313.0</v>
      </c>
      <c r="C335" s="101">
        <f t="shared" si="13"/>
        <v>55644</v>
      </c>
      <c r="D335" s="40">
        <f t="shared" si="5"/>
        <v>41675.12216</v>
      </c>
      <c r="E335" s="40"/>
      <c r="F335" s="40">
        <f t="shared" si="6"/>
        <v>797.106589</v>
      </c>
      <c r="G335" s="40">
        <f t="shared" si="7"/>
        <v>185.8160008</v>
      </c>
      <c r="H335" s="102">
        <f t="shared" si="8"/>
        <v>0</v>
      </c>
      <c r="I335" s="103">
        <f t="shared" si="9"/>
        <v>0</v>
      </c>
      <c r="J335" s="104">
        <f t="shared" si="10"/>
        <v>0.19754525</v>
      </c>
      <c r="K335" s="68">
        <f t="shared" si="11"/>
        <v>204.17</v>
      </c>
      <c r="L335" s="105">
        <f t="shared" si="12"/>
        <v>1187.09259</v>
      </c>
      <c r="M335" s="1"/>
      <c r="N335" s="1"/>
      <c r="O335" s="1"/>
      <c r="P335" s="1"/>
      <c r="Q335" s="40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</row>
    <row r="336" ht="12.75" customHeight="1">
      <c r="A336" s="1"/>
      <c r="B336" s="100">
        <v>314.0</v>
      </c>
      <c r="C336" s="101">
        <f t="shared" si="13"/>
        <v>55675</v>
      </c>
      <c r="D336" s="40">
        <f t="shared" si="5"/>
        <v>40874.52823</v>
      </c>
      <c r="E336" s="40"/>
      <c r="F336" s="40">
        <f t="shared" si="6"/>
        <v>800.5939304</v>
      </c>
      <c r="G336" s="40">
        <f t="shared" si="7"/>
        <v>182.3286594</v>
      </c>
      <c r="H336" s="102">
        <f t="shared" si="8"/>
        <v>0</v>
      </c>
      <c r="I336" s="103">
        <f t="shared" si="9"/>
        <v>0</v>
      </c>
      <c r="J336" s="104">
        <f t="shared" si="10"/>
        <v>0.1938377775</v>
      </c>
      <c r="K336" s="68">
        <f t="shared" si="11"/>
        <v>204.17</v>
      </c>
      <c r="L336" s="105">
        <f t="shared" si="12"/>
        <v>1187.09259</v>
      </c>
      <c r="M336" s="1"/>
      <c r="N336" s="1"/>
      <c r="O336" s="1"/>
      <c r="P336" s="1"/>
      <c r="Q336" s="40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</row>
    <row r="337" ht="12.75" customHeight="1">
      <c r="A337" s="1"/>
      <c r="B337" s="100">
        <v>315.0</v>
      </c>
      <c r="C337" s="101">
        <f t="shared" si="13"/>
        <v>55705</v>
      </c>
      <c r="D337" s="40">
        <f t="shared" si="5"/>
        <v>40070.4317</v>
      </c>
      <c r="E337" s="40"/>
      <c r="F337" s="40">
        <f t="shared" si="6"/>
        <v>804.0965288</v>
      </c>
      <c r="G337" s="40">
        <f t="shared" si="7"/>
        <v>178.826061</v>
      </c>
      <c r="H337" s="102">
        <f t="shared" si="8"/>
        <v>0</v>
      </c>
      <c r="I337" s="103">
        <f t="shared" si="9"/>
        <v>0</v>
      </c>
      <c r="J337" s="104">
        <f t="shared" si="10"/>
        <v>0.1901140848</v>
      </c>
      <c r="K337" s="68">
        <f t="shared" si="11"/>
        <v>204.17</v>
      </c>
      <c r="L337" s="105">
        <f t="shared" si="12"/>
        <v>1187.09259</v>
      </c>
      <c r="M337" s="1"/>
      <c r="N337" s="1"/>
      <c r="O337" s="1"/>
      <c r="P337" s="1"/>
      <c r="Q337" s="40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</row>
    <row r="338" ht="12.75" customHeight="1">
      <c r="A338" s="1"/>
      <c r="B338" s="100">
        <v>316.0</v>
      </c>
      <c r="C338" s="101">
        <f t="shared" si="13"/>
        <v>55736</v>
      </c>
      <c r="D338" s="40">
        <f t="shared" si="5"/>
        <v>39262.81725</v>
      </c>
      <c r="E338" s="40"/>
      <c r="F338" s="40">
        <f t="shared" si="6"/>
        <v>807.6144511</v>
      </c>
      <c r="G338" s="40">
        <f t="shared" si="7"/>
        <v>175.3081387</v>
      </c>
      <c r="H338" s="102">
        <f t="shared" si="8"/>
        <v>0</v>
      </c>
      <c r="I338" s="103">
        <f t="shared" si="9"/>
        <v>0</v>
      </c>
      <c r="J338" s="104">
        <f t="shared" si="10"/>
        <v>0.1863741009</v>
      </c>
      <c r="K338" s="68">
        <f t="shared" si="11"/>
        <v>204.17</v>
      </c>
      <c r="L338" s="105">
        <f t="shared" si="12"/>
        <v>1187.09259</v>
      </c>
      <c r="M338" s="1"/>
      <c r="N338" s="1"/>
      <c r="O338" s="1"/>
      <c r="P338" s="1"/>
      <c r="Q338" s="40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</row>
    <row r="339" ht="12.75" customHeight="1">
      <c r="A339" s="1"/>
      <c r="B339" s="100">
        <v>317.0</v>
      </c>
      <c r="C339" s="101">
        <f t="shared" si="13"/>
        <v>55767</v>
      </c>
      <c r="D339" s="40">
        <f t="shared" si="5"/>
        <v>38451.66948</v>
      </c>
      <c r="E339" s="40"/>
      <c r="F339" s="40">
        <f t="shared" si="6"/>
        <v>811.1477643</v>
      </c>
      <c r="G339" s="40">
        <f t="shared" si="7"/>
        <v>171.7748255</v>
      </c>
      <c r="H339" s="102">
        <f t="shared" si="8"/>
        <v>0</v>
      </c>
      <c r="I339" s="103">
        <f t="shared" si="9"/>
        <v>0</v>
      </c>
      <c r="J339" s="104">
        <f t="shared" si="10"/>
        <v>0.1826177546</v>
      </c>
      <c r="K339" s="68">
        <f t="shared" si="11"/>
        <v>204.17</v>
      </c>
      <c r="L339" s="105">
        <f t="shared" si="12"/>
        <v>1187.09259</v>
      </c>
      <c r="M339" s="1"/>
      <c r="N339" s="1"/>
      <c r="O339" s="1"/>
      <c r="P339" s="1"/>
      <c r="Q339" s="40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</row>
    <row r="340" ht="12.75" customHeight="1">
      <c r="A340" s="1"/>
      <c r="B340" s="100">
        <v>318.0</v>
      </c>
      <c r="C340" s="101">
        <f t="shared" si="13"/>
        <v>55797</v>
      </c>
      <c r="D340" s="40">
        <f t="shared" si="5"/>
        <v>37636.97295</v>
      </c>
      <c r="E340" s="40"/>
      <c r="F340" s="40">
        <f t="shared" si="6"/>
        <v>814.6965358</v>
      </c>
      <c r="G340" s="40">
        <f t="shared" si="7"/>
        <v>168.226054</v>
      </c>
      <c r="H340" s="102">
        <f t="shared" si="8"/>
        <v>0</v>
      </c>
      <c r="I340" s="103">
        <f t="shared" si="9"/>
        <v>0</v>
      </c>
      <c r="J340" s="104">
        <f t="shared" si="10"/>
        <v>0.1788449743</v>
      </c>
      <c r="K340" s="68">
        <f t="shared" si="11"/>
        <v>204.17</v>
      </c>
      <c r="L340" s="105">
        <f t="shared" si="12"/>
        <v>1187.09259</v>
      </c>
      <c r="M340" s="1"/>
      <c r="N340" s="1"/>
      <c r="O340" s="1"/>
      <c r="P340" s="1"/>
      <c r="Q340" s="40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</row>
    <row r="341" ht="12.75" customHeight="1">
      <c r="A341" s="1"/>
      <c r="B341" s="100">
        <v>319.0</v>
      </c>
      <c r="C341" s="101">
        <f t="shared" si="13"/>
        <v>55828</v>
      </c>
      <c r="D341" s="40">
        <f t="shared" si="5"/>
        <v>36818.71212</v>
      </c>
      <c r="E341" s="40"/>
      <c r="F341" s="40">
        <f t="shared" si="6"/>
        <v>818.2608332</v>
      </c>
      <c r="G341" s="40">
        <f t="shared" si="7"/>
        <v>164.6617567</v>
      </c>
      <c r="H341" s="102">
        <f t="shared" si="8"/>
        <v>0</v>
      </c>
      <c r="I341" s="103">
        <f t="shared" si="9"/>
        <v>0</v>
      </c>
      <c r="J341" s="104">
        <f t="shared" si="10"/>
        <v>0.1750556881</v>
      </c>
      <c r="K341" s="68">
        <f t="shared" si="11"/>
        <v>204.17</v>
      </c>
      <c r="L341" s="105">
        <f t="shared" si="12"/>
        <v>1187.09259</v>
      </c>
      <c r="M341" s="1"/>
      <c r="N341" s="1"/>
      <c r="O341" s="1"/>
      <c r="P341" s="1"/>
      <c r="Q341" s="40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</row>
    <row r="342" ht="12.75" customHeight="1">
      <c r="A342" s="1"/>
      <c r="B342" s="100">
        <v>320.0</v>
      </c>
      <c r="C342" s="101">
        <f t="shared" si="13"/>
        <v>55858</v>
      </c>
      <c r="D342" s="40">
        <f t="shared" si="5"/>
        <v>35996.87139</v>
      </c>
      <c r="E342" s="40"/>
      <c r="F342" s="40">
        <f t="shared" si="6"/>
        <v>821.8407243</v>
      </c>
      <c r="G342" s="40">
        <f t="shared" si="7"/>
        <v>161.0818655</v>
      </c>
      <c r="H342" s="102">
        <f t="shared" si="8"/>
        <v>0</v>
      </c>
      <c r="I342" s="103">
        <f t="shared" si="9"/>
        <v>0</v>
      </c>
      <c r="J342" s="104">
        <f t="shared" si="10"/>
        <v>0.1712498238</v>
      </c>
      <c r="K342" s="68">
        <f t="shared" si="11"/>
        <v>204.17</v>
      </c>
      <c r="L342" s="105">
        <f t="shared" si="12"/>
        <v>1187.09259</v>
      </c>
      <c r="M342" s="1"/>
      <c r="N342" s="1"/>
      <c r="O342" s="1"/>
      <c r="P342" s="1"/>
      <c r="Q342" s="40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</row>
    <row r="343" ht="12.75" customHeight="1">
      <c r="A343" s="1"/>
      <c r="B343" s="100">
        <v>321.0</v>
      </c>
      <c r="C343" s="101">
        <f t="shared" si="13"/>
        <v>55889</v>
      </c>
      <c r="D343" s="40">
        <f t="shared" si="5"/>
        <v>35171.43511</v>
      </c>
      <c r="E343" s="40"/>
      <c r="F343" s="40">
        <f t="shared" si="6"/>
        <v>825.4362775</v>
      </c>
      <c r="G343" s="40">
        <f t="shared" si="7"/>
        <v>157.4863123</v>
      </c>
      <c r="H343" s="102">
        <f t="shared" si="8"/>
        <v>0</v>
      </c>
      <c r="I343" s="103">
        <f t="shared" si="9"/>
        <v>0</v>
      </c>
      <c r="J343" s="104">
        <f t="shared" si="10"/>
        <v>0.1674273088</v>
      </c>
      <c r="K343" s="68">
        <f t="shared" si="11"/>
        <v>204.17</v>
      </c>
      <c r="L343" s="105">
        <f t="shared" si="12"/>
        <v>1187.09259</v>
      </c>
      <c r="M343" s="1"/>
      <c r="N343" s="1"/>
      <c r="O343" s="1"/>
      <c r="P343" s="1"/>
      <c r="Q343" s="40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</row>
    <row r="344" ht="12.75" customHeight="1">
      <c r="A344" s="1"/>
      <c r="B344" s="100">
        <v>322.0</v>
      </c>
      <c r="C344" s="101">
        <f t="shared" si="13"/>
        <v>55920</v>
      </c>
      <c r="D344" s="40">
        <f t="shared" si="5"/>
        <v>34342.38755</v>
      </c>
      <c r="E344" s="40"/>
      <c r="F344" s="40">
        <f t="shared" si="6"/>
        <v>829.0475612</v>
      </c>
      <c r="G344" s="40">
        <f t="shared" si="7"/>
        <v>153.8750286</v>
      </c>
      <c r="H344" s="102">
        <f t="shared" si="8"/>
        <v>0</v>
      </c>
      <c r="I344" s="103">
        <f t="shared" si="9"/>
        <v>0</v>
      </c>
      <c r="J344" s="104">
        <f t="shared" si="10"/>
        <v>0.1635880703</v>
      </c>
      <c r="K344" s="68">
        <f t="shared" si="11"/>
        <v>204.17</v>
      </c>
      <c r="L344" s="105">
        <f t="shared" si="12"/>
        <v>1187.09259</v>
      </c>
      <c r="M344" s="1"/>
      <c r="N344" s="1"/>
      <c r="O344" s="1"/>
      <c r="P344" s="1"/>
      <c r="Q344" s="40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</row>
    <row r="345" ht="12.75" customHeight="1">
      <c r="A345" s="1"/>
      <c r="B345" s="100">
        <v>323.0</v>
      </c>
      <c r="C345" s="101">
        <f t="shared" si="13"/>
        <v>55948</v>
      </c>
      <c r="D345" s="40">
        <f t="shared" si="5"/>
        <v>33509.71291</v>
      </c>
      <c r="E345" s="40"/>
      <c r="F345" s="40">
        <f t="shared" si="6"/>
        <v>832.6746443</v>
      </c>
      <c r="G345" s="40">
        <f t="shared" si="7"/>
        <v>150.2479455</v>
      </c>
      <c r="H345" s="102">
        <f t="shared" si="8"/>
        <v>0</v>
      </c>
      <c r="I345" s="103">
        <f t="shared" si="9"/>
        <v>0</v>
      </c>
      <c r="J345" s="104">
        <f t="shared" si="10"/>
        <v>0.1597320351</v>
      </c>
      <c r="K345" s="68">
        <f t="shared" si="11"/>
        <v>204.17</v>
      </c>
      <c r="L345" s="105">
        <f t="shared" si="12"/>
        <v>1187.09259</v>
      </c>
      <c r="M345" s="1"/>
      <c r="N345" s="1"/>
      <c r="O345" s="1"/>
      <c r="P345" s="1"/>
      <c r="Q345" s="40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</row>
    <row r="346" ht="12.75" customHeight="1">
      <c r="A346" s="1"/>
      <c r="B346" s="100">
        <v>324.0</v>
      </c>
      <c r="C346" s="101">
        <f t="shared" si="13"/>
        <v>55979</v>
      </c>
      <c r="D346" s="40">
        <f t="shared" si="5"/>
        <v>32673.39531</v>
      </c>
      <c r="E346" s="40"/>
      <c r="F346" s="40">
        <f t="shared" si="6"/>
        <v>836.3175958</v>
      </c>
      <c r="G346" s="40">
        <f t="shared" si="7"/>
        <v>146.604994</v>
      </c>
      <c r="H346" s="102">
        <f t="shared" si="8"/>
        <v>0</v>
      </c>
      <c r="I346" s="103">
        <f t="shared" si="9"/>
        <v>0</v>
      </c>
      <c r="J346" s="104">
        <f t="shared" si="10"/>
        <v>0.1558591298</v>
      </c>
      <c r="K346" s="68">
        <f t="shared" si="11"/>
        <v>204.17</v>
      </c>
      <c r="L346" s="105">
        <f t="shared" si="12"/>
        <v>1187.09259</v>
      </c>
      <c r="M346" s="1"/>
      <c r="N346" s="1"/>
      <c r="O346" s="1"/>
      <c r="P346" s="1"/>
      <c r="Q346" s="40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</row>
    <row r="347" ht="12.75" customHeight="1">
      <c r="A347" s="1"/>
      <c r="B347" s="100">
        <v>325.0</v>
      </c>
      <c r="C347" s="101">
        <f t="shared" si="13"/>
        <v>56009</v>
      </c>
      <c r="D347" s="40">
        <f t="shared" si="5"/>
        <v>31833.41883</v>
      </c>
      <c r="E347" s="40"/>
      <c r="F347" s="40">
        <f t="shared" si="6"/>
        <v>839.9764853</v>
      </c>
      <c r="G347" s="40">
        <f t="shared" si="7"/>
        <v>142.9461045</v>
      </c>
      <c r="H347" s="102">
        <f t="shared" si="8"/>
        <v>0</v>
      </c>
      <c r="I347" s="103">
        <f t="shared" si="9"/>
        <v>0</v>
      </c>
      <c r="J347" s="104">
        <f t="shared" si="10"/>
        <v>0.1519692805</v>
      </c>
      <c r="K347" s="68">
        <f t="shared" si="11"/>
        <v>204.17</v>
      </c>
      <c r="L347" s="105">
        <f t="shared" si="12"/>
        <v>1187.09259</v>
      </c>
      <c r="M347" s="1"/>
      <c r="N347" s="1"/>
      <c r="O347" s="1"/>
      <c r="P347" s="1"/>
      <c r="Q347" s="40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</row>
    <row r="348" ht="12.75" customHeight="1">
      <c r="A348" s="1"/>
      <c r="B348" s="100">
        <v>326.0</v>
      </c>
      <c r="C348" s="101">
        <f t="shared" si="13"/>
        <v>56040</v>
      </c>
      <c r="D348" s="40">
        <f t="shared" si="5"/>
        <v>30989.76744</v>
      </c>
      <c r="E348" s="40"/>
      <c r="F348" s="40">
        <f t="shared" si="6"/>
        <v>843.6513824</v>
      </c>
      <c r="G348" s="40">
        <f t="shared" si="7"/>
        <v>139.2712074</v>
      </c>
      <c r="H348" s="102">
        <f t="shared" si="8"/>
        <v>0</v>
      </c>
      <c r="I348" s="103">
        <f t="shared" si="9"/>
        <v>0</v>
      </c>
      <c r="J348" s="104">
        <f t="shared" si="10"/>
        <v>0.1480624131</v>
      </c>
      <c r="K348" s="68">
        <f t="shared" si="11"/>
        <v>204.17</v>
      </c>
      <c r="L348" s="105">
        <f t="shared" si="12"/>
        <v>1187.09259</v>
      </c>
      <c r="M348" s="1"/>
      <c r="N348" s="1"/>
      <c r="O348" s="1"/>
      <c r="P348" s="1"/>
      <c r="Q348" s="40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</row>
    <row r="349" ht="12.75" customHeight="1">
      <c r="A349" s="1"/>
      <c r="B349" s="100">
        <v>327.0</v>
      </c>
      <c r="C349" s="101">
        <f t="shared" si="13"/>
        <v>56070</v>
      </c>
      <c r="D349" s="40">
        <f t="shared" si="5"/>
        <v>30142.42509</v>
      </c>
      <c r="E349" s="40"/>
      <c r="F349" s="40">
        <f t="shared" si="6"/>
        <v>847.3423572</v>
      </c>
      <c r="G349" s="40">
        <f t="shared" si="7"/>
        <v>135.5802326</v>
      </c>
      <c r="H349" s="102">
        <f t="shared" si="8"/>
        <v>0</v>
      </c>
      <c r="I349" s="103">
        <f t="shared" si="9"/>
        <v>0</v>
      </c>
      <c r="J349" s="104">
        <f t="shared" si="10"/>
        <v>0.1441384532</v>
      </c>
      <c r="K349" s="68">
        <f t="shared" si="11"/>
        <v>204.17</v>
      </c>
      <c r="L349" s="105">
        <f t="shared" si="12"/>
        <v>1187.09259</v>
      </c>
      <c r="M349" s="1"/>
      <c r="N349" s="1"/>
      <c r="O349" s="1"/>
      <c r="P349" s="1"/>
      <c r="Q349" s="40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</row>
    <row r="350" ht="12.75" customHeight="1">
      <c r="A350" s="1"/>
      <c r="B350" s="100">
        <v>328.0</v>
      </c>
      <c r="C350" s="101">
        <f t="shared" si="13"/>
        <v>56101</v>
      </c>
      <c r="D350" s="40">
        <f t="shared" si="5"/>
        <v>29291.37561</v>
      </c>
      <c r="E350" s="40"/>
      <c r="F350" s="40">
        <f t="shared" si="6"/>
        <v>851.0494801</v>
      </c>
      <c r="G350" s="40">
        <f t="shared" si="7"/>
        <v>131.8731098</v>
      </c>
      <c r="H350" s="102">
        <f t="shared" si="8"/>
        <v>0</v>
      </c>
      <c r="I350" s="103">
        <f t="shared" si="9"/>
        <v>0</v>
      </c>
      <c r="J350" s="104">
        <f t="shared" si="10"/>
        <v>0.140197326</v>
      </c>
      <c r="K350" s="68">
        <f t="shared" si="11"/>
        <v>204.17</v>
      </c>
      <c r="L350" s="105">
        <f t="shared" si="12"/>
        <v>1187.09259</v>
      </c>
      <c r="M350" s="1"/>
      <c r="N350" s="1"/>
      <c r="O350" s="1"/>
      <c r="P350" s="1"/>
      <c r="Q350" s="40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</row>
    <row r="351" ht="12.75" customHeight="1">
      <c r="A351" s="1"/>
      <c r="B351" s="100">
        <v>329.0</v>
      </c>
      <c r="C351" s="101">
        <f t="shared" si="13"/>
        <v>56132</v>
      </c>
      <c r="D351" s="40">
        <f t="shared" si="5"/>
        <v>28436.60279</v>
      </c>
      <c r="E351" s="40"/>
      <c r="F351" s="40">
        <f t="shared" si="6"/>
        <v>854.7728215</v>
      </c>
      <c r="G351" s="40">
        <f t="shared" si="7"/>
        <v>128.1497683</v>
      </c>
      <c r="H351" s="102">
        <f t="shared" si="8"/>
        <v>0</v>
      </c>
      <c r="I351" s="103">
        <f t="shared" si="9"/>
        <v>0</v>
      </c>
      <c r="J351" s="104">
        <f t="shared" si="10"/>
        <v>0.1362389563</v>
      </c>
      <c r="K351" s="68">
        <f t="shared" si="11"/>
        <v>204.17</v>
      </c>
      <c r="L351" s="105">
        <f t="shared" si="12"/>
        <v>1187.09259</v>
      </c>
      <c r="M351" s="1"/>
      <c r="N351" s="1"/>
      <c r="O351" s="1"/>
      <c r="P351" s="1"/>
      <c r="Q351" s="40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</row>
    <row r="352" ht="12.75" customHeight="1">
      <c r="A352" s="1"/>
      <c r="B352" s="100">
        <v>330.0</v>
      </c>
      <c r="C352" s="101">
        <f t="shared" si="13"/>
        <v>56162</v>
      </c>
      <c r="D352" s="40">
        <f t="shared" si="5"/>
        <v>27578.09033</v>
      </c>
      <c r="E352" s="40"/>
      <c r="F352" s="40">
        <f t="shared" si="6"/>
        <v>858.5124526</v>
      </c>
      <c r="G352" s="40">
        <f t="shared" si="7"/>
        <v>124.4101372</v>
      </c>
      <c r="H352" s="102">
        <f t="shared" si="8"/>
        <v>0</v>
      </c>
      <c r="I352" s="103">
        <f t="shared" si="9"/>
        <v>0</v>
      </c>
      <c r="J352" s="104">
        <f t="shared" si="10"/>
        <v>0.1322632688</v>
      </c>
      <c r="K352" s="68">
        <f t="shared" si="11"/>
        <v>204.17</v>
      </c>
      <c r="L352" s="105">
        <f t="shared" si="12"/>
        <v>1187.09259</v>
      </c>
      <c r="M352" s="1"/>
      <c r="N352" s="1"/>
      <c r="O352" s="1"/>
      <c r="P352" s="1"/>
      <c r="Q352" s="40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</row>
    <row r="353" ht="12.75" customHeight="1">
      <c r="A353" s="1"/>
      <c r="B353" s="100">
        <v>331.0</v>
      </c>
      <c r="C353" s="101">
        <f t="shared" si="13"/>
        <v>56193</v>
      </c>
      <c r="D353" s="40">
        <f t="shared" si="5"/>
        <v>26715.82189</v>
      </c>
      <c r="E353" s="40"/>
      <c r="F353" s="40">
        <f t="shared" si="6"/>
        <v>862.2684446</v>
      </c>
      <c r="G353" s="40">
        <f t="shared" si="7"/>
        <v>120.6541452</v>
      </c>
      <c r="H353" s="102">
        <f t="shared" si="8"/>
        <v>0</v>
      </c>
      <c r="I353" s="103">
        <f t="shared" si="9"/>
        <v>0</v>
      </c>
      <c r="J353" s="104">
        <f t="shared" si="10"/>
        <v>0.1282701876</v>
      </c>
      <c r="K353" s="68">
        <f t="shared" si="11"/>
        <v>204.17</v>
      </c>
      <c r="L353" s="105">
        <f t="shared" si="12"/>
        <v>1187.09259</v>
      </c>
      <c r="M353" s="1"/>
      <c r="N353" s="1"/>
      <c r="O353" s="1"/>
      <c r="P353" s="1"/>
      <c r="Q353" s="40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</row>
    <row r="354" ht="12.75" customHeight="1">
      <c r="A354" s="1"/>
      <c r="B354" s="100">
        <v>332.0</v>
      </c>
      <c r="C354" s="101">
        <f t="shared" si="13"/>
        <v>56223</v>
      </c>
      <c r="D354" s="40">
        <f t="shared" si="5"/>
        <v>25849.78102</v>
      </c>
      <c r="E354" s="40"/>
      <c r="F354" s="40">
        <f t="shared" si="6"/>
        <v>866.0408691</v>
      </c>
      <c r="G354" s="40">
        <f t="shared" si="7"/>
        <v>116.8817208</v>
      </c>
      <c r="H354" s="102">
        <f t="shared" si="8"/>
        <v>0</v>
      </c>
      <c r="I354" s="103">
        <f t="shared" si="9"/>
        <v>0</v>
      </c>
      <c r="J354" s="104">
        <f t="shared" si="10"/>
        <v>0.1242596367</v>
      </c>
      <c r="K354" s="68">
        <f t="shared" si="11"/>
        <v>204.17</v>
      </c>
      <c r="L354" s="105">
        <f t="shared" si="12"/>
        <v>1187.09259</v>
      </c>
      <c r="M354" s="1"/>
      <c r="N354" s="1"/>
      <c r="O354" s="1"/>
      <c r="P354" s="1"/>
      <c r="Q354" s="40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</row>
    <row r="355" ht="12.75" customHeight="1">
      <c r="A355" s="1"/>
      <c r="B355" s="100">
        <v>333.0</v>
      </c>
      <c r="C355" s="101">
        <f t="shared" si="13"/>
        <v>56254</v>
      </c>
      <c r="D355" s="40">
        <f t="shared" si="5"/>
        <v>24979.95122</v>
      </c>
      <c r="E355" s="40"/>
      <c r="F355" s="40">
        <f t="shared" si="6"/>
        <v>869.8297979</v>
      </c>
      <c r="G355" s="40">
        <f t="shared" si="7"/>
        <v>113.092792</v>
      </c>
      <c r="H355" s="102">
        <f t="shared" si="8"/>
        <v>0</v>
      </c>
      <c r="I355" s="103">
        <f t="shared" si="9"/>
        <v>0</v>
      </c>
      <c r="J355" s="104">
        <f t="shared" si="10"/>
        <v>0.1202315396</v>
      </c>
      <c r="K355" s="68">
        <f t="shared" si="11"/>
        <v>204.17</v>
      </c>
      <c r="L355" s="105">
        <f t="shared" si="12"/>
        <v>1187.09259</v>
      </c>
      <c r="M355" s="1"/>
      <c r="N355" s="1"/>
      <c r="O355" s="1"/>
      <c r="P355" s="1"/>
      <c r="Q355" s="40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</row>
    <row r="356" ht="12.75" customHeight="1">
      <c r="A356" s="1"/>
      <c r="B356" s="100">
        <v>334.0</v>
      </c>
      <c r="C356" s="101">
        <f t="shared" si="13"/>
        <v>56285</v>
      </c>
      <c r="D356" s="40">
        <f t="shared" si="5"/>
        <v>24106.31592</v>
      </c>
      <c r="E356" s="40"/>
      <c r="F356" s="40">
        <f t="shared" si="6"/>
        <v>873.6353032</v>
      </c>
      <c r="G356" s="40">
        <f t="shared" si="7"/>
        <v>109.2872866</v>
      </c>
      <c r="H356" s="102">
        <f t="shared" si="8"/>
        <v>0</v>
      </c>
      <c r="I356" s="103">
        <f t="shared" si="9"/>
        <v>0</v>
      </c>
      <c r="J356" s="104">
        <f t="shared" si="10"/>
        <v>0.1161858196</v>
      </c>
      <c r="K356" s="68">
        <f t="shared" si="11"/>
        <v>204.17</v>
      </c>
      <c r="L356" s="105">
        <f t="shared" si="12"/>
        <v>1187.09259</v>
      </c>
      <c r="M356" s="1"/>
      <c r="N356" s="1"/>
      <c r="O356" s="1"/>
      <c r="P356" s="1"/>
      <c r="Q356" s="40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</row>
    <row r="357" ht="12.75" customHeight="1">
      <c r="A357" s="1"/>
      <c r="B357" s="100">
        <v>335.0</v>
      </c>
      <c r="C357" s="101">
        <f t="shared" si="13"/>
        <v>56313</v>
      </c>
      <c r="D357" s="40">
        <f t="shared" si="5"/>
        <v>23228.85846</v>
      </c>
      <c r="E357" s="40"/>
      <c r="F357" s="40">
        <f t="shared" si="6"/>
        <v>877.4574577</v>
      </c>
      <c r="G357" s="40">
        <f t="shared" si="7"/>
        <v>105.4651321</v>
      </c>
      <c r="H357" s="102">
        <f t="shared" si="8"/>
        <v>0</v>
      </c>
      <c r="I357" s="103">
        <f t="shared" si="9"/>
        <v>0</v>
      </c>
      <c r="J357" s="104">
        <f t="shared" si="10"/>
        <v>0.1121223996</v>
      </c>
      <c r="K357" s="68">
        <f t="shared" si="11"/>
        <v>204.17</v>
      </c>
      <c r="L357" s="105">
        <f t="shared" si="12"/>
        <v>1187.09259</v>
      </c>
      <c r="M357" s="1"/>
      <c r="N357" s="1"/>
      <c r="O357" s="1"/>
      <c r="P357" s="1"/>
      <c r="Q357" s="40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</row>
    <row r="358" ht="12.75" customHeight="1">
      <c r="A358" s="1"/>
      <c r="B358" s="100">
        <v>336.0</v>
      </c>
      <c r="C358" s="101">
        <f t="shared" si="13"/>
        <v>56344</v>
      </c>
      <c r="D358" s="40">
        <f t="shared" si="5"/>
        <v>22347.56213</v>
      </c>
      <c r="E358" s="40"/>
      <c r="F358" s="40">
        <f t="shared" si="6"/>
        <v>881.296334</v>
      </c>
      <c r="G358" s="40">
        <f t="shared" si="7"/>
        <v>101.6262558</v>
      </c>
      <c r="H358" s="102">
        <f t="shared" si="8"/>
        <v>0</v>
      </c>
      <c r="I358" s="103">
        <f t="shared" si="9"/>
        <v>0</v>
      </c>
      <c r="J358" s="104">
        <f t="shared" si="10"/>
        <v>0.1080412021</v>
      </c>
      <c r="K358" s="68">
        <f t="shared" si="11"/>
        <v>204.17</v>
      </c>
      <c r="L358" s="105">
        <f t="shared" si="12"/>
        <v>1187.09259</v>
      </c>
      <c r="M358" s="1"/>
      <c r="N358" s="1"/>
      <c r="O358" s="1"/>
      <c r="P358" s="1"/>
      <c r="Q358" s="40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</row>
    <row r="359" ht="12.75" customHeight="1">
      <c r="A359" s="1"/>
      <c r="B359" s="100">
        <v>337.0</v>
      </c>
      <c r="C359" s="101">
        <f t="shared" si="13"/>
        <v>56374</v>
      </c>
      <c r="D359" s="40">
        <f t="shared" si="5"/>
        <v>21462.41012</v>
      </c>
      <c r="E359" s="40"/>
      <c r="F359" s="40">
        <f t="shared" si="6"/>
        <v>885.1520055</v>
      </c>
      <c r="G359" s="40">
        <f t="shared" si="7"/>
        <v>97.7705843</v>
      </c>
      <c r="H359" s="102">
        <f t="shared" si="8"/>
        <v>0</v>
      </c>
      <c r="I359" s="103">
        <f t="shared" si="9"/>
        <v>0</v>
      </c>
      <c r="J359" s="104">
        <f t="shared" si="10"/>
        <v>0.1039421494</v>
      </c>
      <c r="K359" s="68">
        <f t="shared" si="11"/>
        <v>204.17</v>
      </c>
      <c r="L359" s="105">
        <f t="shared" si="12"/>
        <v>1187.09259</v>
      </c>
      <c r="M359" s="1"/>
      <c r="N359" s="1"/>
      <c r="O359" s="1"/>
      <c r="P359" s="1"/>
      <c r="Q359" s="40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</row>
    <row r="360" ht="12.75" customHeight="1">
      <c r="A360" s="1"/>
      <c r="B360" s="100">
        <v>338.0</v>
      </c>
      <c r="C360" s="101">
        <f t="shared" si="13"/>
        <v>56405</v>
      </c>
      <c r="D360" s="40">
        <f t="shared" si="5"/>
        <v>20573.38558</v>
      </c>
      <c r="E360" s="40"/>
      <c r="F360" s="40">
        <f t="shared" si="6"/>
        <v>889.0245455</v>
      </c>
      <c r="G360" s="40">
        <f t="shared" si="7"/>
        <v>93.89804428</v>
      </c>
      <c r="H360" s="102">
        <f t="shared" si="8"/>
        <v>0</v>
      </c>
      <c r="I360" s="103">
        <f t="shared" si="9"/>
        <v>0</v>
      </c>
      <c r="J360" s="104">
        <f t="shared" si="10"/>
        <v>0.09982516335</v>
      </c>
      <c r="K360" s="68">
        <f t="shared" si="11"/>
        <v>204.17</v>
      </c>
      <c r="L360" s="105">
        <f t="shared" si="12"/>
        <v>1187.09259</v>
      </c>
      <c r="M360" s="1"/>
      <c r="N360" s="1"/>
      <c r="O360" s="1"/>
      <c r="P360" s="1"/>
      <c r="Q360" s="40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</row>
    <row r="361" ht="12.75" customHeight="1">
      <c r="A361" s="1"/>
      <c r="B361" s="100">
        <v>339.0</v>
      </c>
      <c r="C361" s="101">
        <f t="shared" si="13"/>
        <v>56435</v>
      </c>
      <c r="D361" s="40">
        <f t="shared" si="5"/>
        <v>19680.47155</v>
      </c>
      <c r="E361" s="40"/>
      <c r="F361" s="40">
        <f t="shared" si="6"/>
        <v>892.9140279</v>
      </c>
      <c r="G361" s="40">
        <f t="shared" si="7"/>
        <v>90.00856189</v>
      </c>
      <c r="H361" s="102">
        <f t="shared" si="8"/>
        <v>0</v>
      </c>
      <c r="I361" s="103">
        <f t="shared" si="9"/>
        <v>0</v>
      </c>
      <c r="J361" s="104">
        <f t="shared" si="10"/>
        <v>0.09569016547</v>
      </c>
      <c r="K361" s="68">
        <f t="shared" si="11"/>
        <v>204.17</v>
      </c>
      <c r="L361" s="105">
        <f t="shared" si="12"/>
        <v>1187.09259</v>
      </c>
      <c r="M361" s="1"/>
      <c r="N361" s="1"/>
      <c r="O361" s="1"/>
      <c r="P361" s="1"/>
      <c r="Q361" s="40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</row>
    <row r="362" ht="12.75" customHeight="1">
      <c r="A362" s="1"/>
      <c r="B362" s="100">
        <v>340.0</v>
      </c>
      <c r="C362" s="101">
        <f t="shared" si="13"/>
        <v>56466</v>
      </c>
      <c r="D362" s="40">
        <f t="shared" si="5"/>
        <v>18783.65102</v>
      </c>
      <c r="E362" s="40"/>
      <c r="F362" s="40">
        <f t="shared" si="6"/>
        <v>896.8205268</v>
      </c>
      <c r="G362" s="40">
        <f t="shared" si="7"/>
        <v>86.10206302</v>
      </c>
      <c r="H362" s="102">
        <f t="shared" si="8"/>
        <v>0</v>
      </c>
      <c r="I362" s="103">
        <f t="shared" si="9"/>
        <v>0</v>
      </c>
      <c r="J362" s="104">
        <f t="shared" si="10"/>
        <v>0.09153707697</v>
      </c>
      <c r="K362" s="68">
        <f t="shared" si="11"/>
        <v>204.17</v>
      </c>
      <c r="L362" s="105">
        <f t="shared" si="12"/>
        <v>1187.09259</v>
      </c>
      <c r="M362" s="1"/>
      <c r="N362" s="1"/>
      <c r="O362" s="1"/>
      <c r="P362" s="1"/>
      <c r="Q362" s="40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</row>
    <row r="363" ht="12.75" customHeight="1">
      <c r="A363" s="1"/>
      <c r="B363" s="100">
        <v>341.0</v>
      </c>
      <c r="C363" s="101">
        <f t="shared" si="13"/>
        <v>56497</v>
      </c>
      <c r="D363" s="40">
        <f t="shared" si="5"/>
        <v>17882.9069</v>
      </c>
      <c r="E363" s="40"/>
      <c r="F363" s="40">
        <f t="shared" si="6"/>
        <v>900.7441166</v>
      </c>
      <c r="G363" s="40">
        <f t="shared" si="7"/>
        <v>82.17847322</v>
      </c>
      <c r="H363" s="102">
        <f t="shared" si="8"/>
        <v>0</v>
      </c>
      <c r="I363" s="103">
        <f t="shared" si="9"/>
        <v>0</v>
      </c>
      <c r="J363" s="104">
        <f t="shared" si="10"/>
        <v>0.0873658187</v>
      </c>
      <c r="K363" s="68">
        <f t="shared" si="11"/>
        <v>204.17</v>
      </c>
      <c r="L363" s="105">
        <f t="shared" si="12"/>
        <v>1187.09259</v>
      </c>
      <c r="M363" s="1"/>
      <c r="N363" s="1"/>
      <c r="O363" s="1"/>
      <c r="P363" s="1"/>
      <c r="Q363" s="40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</row>
    <row r="364" ht="12.75" customHeight="1">
      <c r="A364" s="1"/>
      <c r="B364" s="100">
        <v>342.0</v>
      </c>
      <c r="C364" s="101">
        <f t="shared" si="13"/>
        <v>56527</v>
      </c>
      <c r="D364" s="40">
        <f t="shared" si="5"/>
        <v>16978.22203</v>
      </c>
      <c r="E364" s="40"/>
      <c r="F364" s="40">
        <f t="shared" si="6"/>
        <v>904.6848721</v>
      </c>
      <c r="G364" s="40">
        <f t="shared" si="7"/>
        <v>78.23771771</v>
      </c>
      <c r="H364" s="102">
        <f t="shared" si="8"/>
        <v>0</v>
      </c>
      <c r="I364" s="103">
        <f t="shared" si="9"/>
        <v>0</v>
      </c>
      <c r="J364" s="104">
        <f t="shared" si="10"/>
        <v>0.08317631118</v>
      </c>
      <c r="K364" s="68">
        <f t="shared" si="11"/>
        <v>204.17</v>
      </c>
      <c r="L364" s="105">
        <f t="shared" si="12"/>
        <v>1187.09259</v>
      </c>
      <c r="M364" s="1"/>
      <c r="N364" s="1"/>
      <c r="O364" s="1"/>
      <c r="P364" s="1"/>
      <c r="Q364" s="40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</row>
    <row r="365" ht="12.75" customHeight="1">
      <c r="A365" s="1"/>
      <c r="B365" s="100">
        <v>343.0</v>
      </c>
      <c r="C365" s="101">
        <f t="shared" si="13"/>
        <v>56558</v>
      </c>
      <c r="D365" s="40">
        <f t="shared" si="5"/>
        <v>16069.57916</v>
      </c>
      <c r="E365" s="40"/>
      <c r="F365" s="40">
        <f t="shared" si="6"/>
        <v>908.6428684</v>
      </c>
      <c r="G365" s="40">
        <f t="shared" si="7"/>
        <v>74.27972139</v>
      </c>
      <c r="H365" s="102">
        <f t="shared" si="8"/>
        <v>0</v>
      </c>
      <c r="I365" s="103">
        <f t="shared" si="9"/>
        <v>0</v>
      </c>
      <c r="J365" s="104">
        <f t="shared" si="10"/>
        <v>0.07896847457</v>
      </c>
      <c r="K365" s="68">
        <f t="shared" si="11"/>
        <v>204.17</v>
      </c>
      <c r="L365" s="105">
        <f t="shared" si="12"/>
        <v>1187.09259</v>
      </c>
      <c r="M365" s="1"/>
      <c r="N365" s="1"/>
      <c r="O365" s="1"/>
      <c r="P365" s="1"/>
      <c r="Q365" s="40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</row>
    <row r="366" ht="12.75" customHeight="1">
      <c r="A366" s="1"/>
      <c r="B366" s="100">
        <v>344.0</v>
      </c>
      <c r="C366" s="101">
        <f t="shared" si="13"/>
        <v>56588</v>
      </c>
      <c r="D366" s="40">
        <f t="shared" si="5"/>
        <v>15156.96098</v>
      </c>
      <c r="E366" s="40"/>
      <c r="F366" s="40">
        <f t="shared" si="6"/>
        <v>912.618181</v>
      </c>
      <c r="G366" s="40">
        <f t="shared" si="7"/>
        <v>70.30440884</v>
      </c>
      <c r="H366" s="102">
        <f t="shared" si="8"/>
        <v>0</v>
      </c>
      <c r="I366" s="103">
        <f t="shared" si="9"/>
        <v>0</v>
      </c>
      <c r="J366" s="104">
        <f t="shared" si="10"/>
        <v>0.07474222867</v>
      </c>
      <c r="K366" s="68">
        <f t="shared" si="11"/>
        <v>204.17</v>
      </c>
      <c r="L366" s="105">
        <f t="shared" si="12"/>
        <v>1187.09259</v>
      </c>
      <c r="M366" s="1"/>
      <c r="N366" s="1"/>
      <c r="O366" s="1"/>
      <c r="P366" s="1"/>
      <c r="Q366" s="40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</row>
    <row r="367" ht="12.75" customHeight="1">
      <c r="A367" s="1"/>
      <c r="B367" s="100">
        <v>345.0</v>
      </c>
      <c r="C367" s="101">
        <f t="shared" si="13"/>
        <v>56619</v>
      </c>
      <c r="D367" s="40">
        <f t="shared" si="5"/>
        <v>14240.3501</v>
      </c>
      <c r="E367" s="40"/>
      <c r="F367" s="40">
        <f t="shared" si="6"/>
        <v>916.6108855</v>
      </c>
      <c r="G367" s="40">
        <f t="shared" si="7"/>
        <v>66.3117043</v>
      </c>
      <c r="H367" s="102">
        <f t="shared" si="8"/>
        <v>0</v>
      </c>
      <c r="I367" s="103">
        <f t="shared" si="9"/>
        <v>0</v>
      </c>
      <c r="J367" s="104">
        <f t="shared" si="10"/>
        <v>0.07049749294</v>
      </c>
      <c r="K367" s="68">
        <f t="shared" si="11"/>
        <v>204.17</v>
      </c>
      <c r="L367" s="105">
        <f t="shared" si="12"/>
        <v>1187.09259</v>
      </c>
      <c r="M367" s="1"/>
      <c r="N367" s="1"/>
      <c r="O367" s="1"/>
      <c r="P367" s="1"/>
      <c r="Q367" s="40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</row>
    <row r="368" ht="12.75" customHeight="1">
      <c r="A368" s="1"/>
      <c r="B368" s="100">
        <v>346.0</v>
      </c>
      <c r="C368" s="101">
        <f t="shared" si="13"/>
        <v>56650</v>
      </c>
      <c r="D368" s="40">
        <f t="shared" si="5"/>
        <v>13319.72904</v>
      </c>
      <c r="E368" s="40"/>
      <c r="F368" s="40">
        <f t="shared" si="6"/>
        <v>920.6210581</v>
      </c>
      <c r="G368" s="40">
        <f t="shared" si="7"/>
        <v>62.30153168</v>
      </c>
      <c r="H368" s="102">
        <f t="shared" si="8"/>
        <v>0</v>
      </c>
      <c r="I368" s="103">
        <f t="shared" si="9"/>
        <v>0</v>
      </c>
      <c r="J368" s="104">
        <f t="shared" si="10"/>
        <v>0.0662341865</v>
      </c>
      <c r="K368" s="68">
        <f t="shared" si="11"/>
        <v>204.17</v>
      </c>
      <c r="L368" s="105">
        <f t="shared" si="12"/>
        <v>1187.09259</v>
      </c>
      <c r="M368" s="1"/>
      <c r="N368" s="1"/>
      <c r="O368" s="1"/>
      <c r="P368" s="1"/>
      <c r="Q368" s="40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</row>
    <row r="369" ht="12.75" customHeight="1">
      <c r="A369" s="1"/>
      <c r="B369" s="100">
        <v>347.0</v>
      </c>
      <c r="C369" s="101">
        <f t="shared" si="13"/>
        <v>56678</v>
      </c>
      <c r="D369" s="40">
        <f t="shared" si="5"/>
        <v>12395.08026</v>
      </c>
      <c r="E369" s="40"/>
      <c r="F369" s="40">
        <f t="shared" si="6"/>
        <v>924.6487753</v>
      </c>
      <c r="G369" s="40">
        <f t="shared" si="7"/>
        <v>58.27381455</v>
      </c>
      <c r="H369" s="102">
        <f t="shared" si="8"/>
        <v>0</v>
      </c>
      <c r="I369" s="103">
        <f t="shared" si="9"/>
        <v>0</v>
      </c>
      <c r="J369" s="104">
        <f t="shared" si="10"/>
        <v>0.06195222809</v>
      </c>
      <c r="K369" s="68">
        <f t="shared" si="11"/>
        <v>204.17</v>
      </c>
      <c r="L369" s="105">
        <f t="shared" si="12"/>
        <v>1187.09259</v>
      </c>
      <c r="M369" s="1"/>
      <c r="N369" s="1"/>
      <c r="O369" s="1"/>
      <c r="P369" s="1"/>
      <c r="Q369" s="40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</row>
    <row r="370" ht="12.75" customHeight="1">
      <c r="A370" s="1"/>
      <c r="B370" s="100">
        <v>348.0</v>
      </c>
      <c r="C370" s="101">
        <f t="shared" si="13"/>
        <v>56709</v>
      </c>
      <c r="D370" s="40">
        <f t="shared" si="5"/>
        <v>11466.38615</v>
      </c>
      <c r="E370" s="40"/>
      <c r="F370" s="40">
        <f t="shared" si="6"/>
        <v>928.6941137</v>
      </c>
      <c r="G370" s="40">
        <f t="shared" si="7"/>
        <v>54.22847615</v>
      </c>
      <c r="H370" s="102">
        <f t="shared" si="8"/>
        <v>0</v>
      </c>
      <c r="I370" s="103">
        <f t="shared" si="9"/>
        <v>0</v>
      </c>
      <c r="J370" s="104">
        <f t="shared" si="10"/>
        <v>0.05765153611</v>
      </c>
      <c r="K370" s="68">
        <f t="shared" si="11"/>
        <v>204.17</v>
      </c>
      <c r="L370" s="105">
        <f t="shared" si="12"/>
        <v>1187.09259</v>
      </c>
      <c r="M370" s="1"/>
      <c r="N370" s="1"/>
      <c r="O370" s="1"/>
      <c r="P370" s="1"/>
      <c r="Q370" s="40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</row>
    <row r="371" ht="12.75" customHeight="1">
      <c r="A371" s="1"/>
      <c r="B371" s="100">
        <v>349.0</v>
      </c>
      <c r="C371" s="101">
        <f t="shared" si="13"/>
        <v>56739</v>
      </c>
      <c r="D371" s="40">
        <f t="shared" si="5"/>
        <v>10533.629</v>
      </c>
      <c r="E371" s="40"/>
      <c r="F371" s="40">
        <f t="shared" si="6"/>
        <v>932.7571504</v>
      </c>
      <c r="G371" s="40">
        <f t="shared" si="7"/>
        <v>50.16543941</v>
      </c>
      <c r="H371" s="102">
        <f t="shared" si="8"/>
        <v>0</v>
      </c>
      <c r="I371" s="103">
        <f t="shared" si="9"/>
        <v>0</v>
      </c>
      <c r="J371" s="104">
        <f t="shared" si="10"/>
        <v>0.05333202861</v>
      </c>
      <c r="K371" s="68">
        <f t="shared" si="11"/>
        <v>204.17</v>
      </c>
      <c r="L371" s="105">
        <f t="shared" si="12"/>
        <v>1187.09259</v>
      </c>
      <c r="M371" s="1"/>
      <c r="N371" s="1"/>
      <c r="O371" s="1"/>
      <c r="P371" s="1"/>
      <c r="Q371" s="40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</row>
    <row r="372" ht="12.75" customHeight="1">
      <c r="A372" s="1"/>
      <c r="B372" s="100">
        <v>350.0</v>
      </c>
      <c r="C372" s="101">
        <f t="shared" si="13"/>
        <v>56770</v>
      </c>
      <c r="D372" s="40">
        <f t="shared" si="5"/>
        <v>9596.791037</v>
      </c>
      <c r="E372" s="40"/>
      <c r="F372" s="40">
        <f t="shared" si="6"/>
        <v>936.8379629</v>
      </c>
      <c r="G372" s="40">
        <f t="shared" si="7"/>
        <v>46.08462687</v>
      </c>
      <c r="H372" s="102">
        <f t="shared" si="8"/>
        <v>0</v>
      </c>
      <c r="I372" s="103">
        <f t="shared" si="9"/>
        <v>0</v>
      </c>
      <c r="J372" s="104">
        <f t="shared" si="10"/>
        <v>0.04899362326</v>
      </c>
      <c r="K372" s="68">
        <f t="shared" si="11"/>
        <v>204.17</v>
      </c>
      <c r="L372" s="105">
        <f t="shared" si="12"/>
        <v>1187.09259</v>
      </c>
      <c r="M372" s="1"/>
      <c r="N372" s="1"/>
      <c r="O372" s="1"/>
      <c r="P372" s="1"/>
      <c r="Q372" s="40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</row>
    <row r="373" ht="12.75" customHeight="1">
      <c r="A373" s="1"/>
      <c r="B373" s="100">
        <v>351.0</v>
      </c>
      <c r="C373" s="101">
        <f t="shared" si="13"/>
        <v>56800</v>
      </c>
      <c r="D373" s="40">
        <f t="shared" si="5"/>
        <v>8655.854408</v>
      </c>
      <c r="E373" s="40"/>
      <c r="F373" s="40">
        <f t="shared" si="6"/>
        <v>940.936629</v>
      </c>
      <c r="G373" s="40">
        <f t="shared" si="7"/>
        <v>41.98596079</v>
      </c>
      <c r="H373" s="102">
        <f t="shared" si="8"/>
        <v>0</v>
      </c>
      <c r="I373" s="103">
        <f t="shared" si="9"/>
        <v>0</v>
      </c>
      <c r="J373" s="104">
        <f t="shared" si="10"/>
        <v>0.04463623738</v>
      </c>
      <c r="K373" s="68">
        <f t="shared" si="11"/>
        <v>204.17</v>
      </c>
      <c r="L373" s="105">
        <f t="shared" si="12"/>
        <v>1187.09259</v>
      </c>
      <c r="M373" s="1"/>
      <c r="N373" s="1"/>
      <c r="O373" s="1"/>
      <c r="P373" s="1"/>
      <c r="Q373" s="40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</row>
    <row r="374" ht="12.75" customHeight="1">
      <c r="A374" s="1"/>
      <c r="B374" s="100">
        <v>352.0</v>
      </c>
      <c r="C374" s="101">
        <f t="shared" si="13"/>
        <v>56831</v>
      </c>
      <c r="D374" s="40">
        <f t="shared" si="5"/>
        <v>7710.801181</v>
      </c>
      <c r="E374" s="40"/>
      <c r="F374" s="40">
        <f t="shared" si="6"/>
        <v>945.0532268</v>
      </c>
      <c r="G374" s="40">
        <f t="shared" si="7"/>
        <v>37.86936303</v>
      </c>
      <c r="H374" s="102">
        <f t="shared" si="8"/>
        <v>0</v>
      </c>
      <c r="I374" s="103">
        <f t="shared" si="9"/>
        <v>0</v>
      </c>
      <c r="J374" s="104">
        <f t="shared" si="10"/>
        <v>0.04025978794</v>
      </c>
      <c r="K374" s="68">
        <f t="shared" si="11"/>
        <v>204.17</v>
      </c>
      <c r="L374" s="105">
        <f t="shared" si="12"/>
        <v>1187.09259</v>
      </c>
      <c r="M374" s="1"/>
      <c r="N374" s="1"/>
      <c r="O374" s="1"/>
      <c r="P374" s="1"/>
      <c r="Q374" s="40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</row>
    <row r="375" ht="12.75" customHeight="1">
      <c r="A375" s="1"/>
      <c r="B375" s="100">
        <v>353.0</v>
      </c>
      <c r="C375" s="101">
        <f t="shared" si="13"/>
        <v>56862</v>
      </c>
      <c r="D375" s="40">
        <f t="shared" si="5"/>
        <v>6761.613346</v>
      </c>
      <c r="E375" s="40"/>
      <c r="F375" s="40">
        <f t="shared" si="6"/>
        <v>949.1878346</v>
      </c>
      <c r="G375" s="40">
        <f t="shared" si="7"/>
        <v>33.73475517</v>
      </c>
      <c r="H375" s="102">
        <f t="shared" si="8"/>
        <v>0</v>
      </c>
      <c r="I375" s="103">
        <f t="shared" si="9"/>
        <v>0</v>
      </c>
      <c r="J375" s="104">
        <f t="shared" si="10"/>
        <v>0.03586419154</v>
      </c>
      <c r="K375" s="68">
        <f t="shared" si="11"/>
        <v>204.17</v>
      </c>
      <c r="L375" s="105">
        <f t="shared" si="12"/>
        <v>1187.09259</v>
      </c>
      <c r="M375" s="1"/>
      <c r="N375" s="1"/>
      <c r="O375" s="1"/>
      <c r="P375" s="1"/>
      <c r="Q375" s="40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</row>
    <row r="376" ht="12.75" customHeight="1">
      <c r="A376" s="1"/>
      <c r="B376" s="100">
        <v>354.0</v>
      </c>
      <c r="C376" s="101">
        <f t="shared" si="13"/>
        <v>56892</v>
      </c>
      <c r="D376" s="40">
        <f t="shared" si="5"/>
        <v>5808.272815</v>
      </c>
      <c r="E376" s="40"/>
      <c r="F376" s="40">
        <f t="shared" si="6"/>
        <v>953.3405314</v>
      </c>
      <c r="G376" s="40">
        <f t="shared" si="7"/>
        <v>29.58205839</v>
      </c>
      <c r="H376" s="102">
        <f t="shared" si="8"/>
        <v>0</v>
      </c>
      <c r="I376" s="103">
        <f t="shared" si="9"/>
        <v>0</v>
      </c>
      <c r="J376" s="104">
        <f t="shared" si="10"/>
        <v>0.0314493644</v>
      </c>
      <c r="K376" s="68">
        <f t="shared" si="11"/>
        <v>204.17</v>
      </c>
      <c r="L376" s="105">
        <f t="shared" si="12"/>
        <v>1187.09259</v>
      </c>
      <c r="M376" s="1"/>
      <c r="N376" s="1"/>
      <c r="O376" s="1"/>
      <c r="P376" s="1"/>
      <c r="Q376" s="40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</row>
    <row r="377" ht="12.75" customHeight="1">
      <c r="A377" s="1"/>
      <c r="B377" s="100">
        <v>355.0</v>
      </c>
      <c r="C377" s="101">
        <f t="shared" si="13"/>
        <v>56923</v>
      </c>
      <c r="D377" s="40">
        <f t="shared" si="5"/>
        <v>4850.761419</v>
      </c>
      <c r="E377" s="40"/>
      <c r="F377" s="40">
        <f t="shared" si="6"/>
        <v>957.5113962</v>
      </c>
      <c r="G377" s="40">
        <f t="shared" si="7"/>
        <v>25.41119357</v>
      </c>
      <c r="H377" s="102">
        <f t="shared" si="8"/>
        <v>0</v>
      </c>
      <c r="I377" s="103">
        <f t="shared" si="9"/>
        <v>0</v>
      </c>
      <c r="J377" s="104">
        <f t="shared" si="10"/>
        <v>0.0270152224</v>
      </c>
      <c r="K377" s="68">
        <f t="shared" si="11"/>
        <v>204.17</v>
      </c>
      <c r="L377" s="105">
        <f t="shared" si="12"/>
        <v>1187.09259</v>
      </c>
      <c r="M377" s="1"/>
      <c r="N377" s="1"/>
      <c r="O377" s="1"/>
      <c r="P377" s="1"/>
      <c r="Q377" s="40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</row>
    <row r="378" ht="12.75" customHeight="1">
      <c r="A378" s="1"/>
      <c r="B378" s="100">
        <v>356.0</v>
      </c>
      <c r="C378" s="101">
        <f t="shared" si="13"/>
        <v>56953</v>
      </c>
      <c r="D378" s="40">
        <f t="shared" si="5"/>
        <v>3889.06091</v>
      </c>
      <c r="E378" s="40"/>
      <c r="F378" s="40">
        <f t="shared" si="6"/>
        <v>961.7005086</v>
      </c>
      <c r="G378" s="40">
        <f t="shared" si="7"/>
        <v>21.22208121</v>
      </c>
      <c r="H378" s="102">
        <f t="shared" si="8"/>
        <v>0</v>
      </c>
      <c r="I378" s="103">
        <f t="shared" si="9"/>
        <v>0</v>
      </c>
      <c r="J378" s="104">
        <f t="shared" si="10"/>
        <v>0.02256168102</v>
      </c>
      <c r="K378" s="68">
        <f t="shared" si="11"/>
        <v>204.17</v>
      </c>
      <c r="L378" s="105">
        <f t="shared" si="12"/>
        <v>1187.09259</v>
      </c>
      <c r="M378" s="1"/>
      <c r="N378" s="1"/>
      <c r="O378" s="1"/>
      <c r="P378" s="1"/>
      <c r="Q378" s="40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</row>
    <row r="379" ht="12.75" customHeight="1">
      <c r="A379" s="1"/>
      <c r="B379" s="100">
        <v>357.0</v>
      </c>
      <c r="C379" s="101">
        <f t="shared" si="13"/>
        <v>56984</v>
      </c>
      <c r="D379" s="40">
        <f t="shared" si="5"/>
        <v>2923.152962</v>
      </c>
      <c r="E379" s="40"/>
      <c r="F379" s="40">
        <f t="shared" si="6"/>
        <v>965.9079483</v>
      </c>
      <c r="G379" s="40">
        <f t="shared" si="7"/>
        <v>17.01464148</v>
      </c>
      <c r="H379" s="102">
        <f t="shared" si="8"/>
        <v>0</v>
      </c>
      <c r="I379" s="103">
        <f t="shared" si="9"/>
        <v>0</v>
      </c>
      <c r="J379" s="104">
        <f t="shared" si="10"/>
        <v>0.0180886554</v>
      </c>
      <c r="K379" s="68">
        <f t="shared" si="11"/>
        <v>204.17</v>
      </c>
      <c r="L379" s="105">
        <f t="shared" si="12"/>
        <v>1187.09259</v>
      </c>
      <c r="M379" s="1"/>
      <c r="N379" s="1"/>
      <c r="O379" s="1"/>
      <c r="P379" s="1"/>
      <c r="Q379" s="40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</row>
    <row r="380" ht="12.75" customHeight="1">
      <c r="A380" s="1"/>
      <c r="B380" s="100">
        <v>358.0</v>
      </c>
      <c r="C380" s="101">
        <f t="shared" si="13"/>
        <v>57015</v>
      </c>
      <c r="D380" s="40">
        <f t="shared" si="5"/>
        <v>1953.019166</v>
      </c>
      <c r="E380" s="40"/>
      <c r="F380" s="40">
        <f t="shared" si="6"/>
        <v>970.1337956</v>
      </c>
      <c r="G380" s="40">
        <f t="shared" si="7"/>
        <v>12.78879421</v>
      </c>
      <c r="H380" s="102">
        <f t="shared" si="8"/>
        <v>0</v>
      </c>
      <c r="I380" s="103">
        <f t="shared" si="9"/>
        <v>0</v>
      </c>
      <c r="J380" s="104">
        <f t="shared" si="10"/>
        <v>0.01359606029</v>
      </c>
      <c r="K380" s="68">
        <f t="shared" si="11"/>
        <v>204.17</v>
      </c>
      <c r="L380" s="105">
        <f t="shared" si="12"/>
        <v>1187.09259</v>
      </c>
      <c r="M380" s="1"/>
      <c r="N380" s="1"/>
      <c r="O380" s="1"/>
      <c r="P380" s="1"/>
      <c r="Q380" s="40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</row>
    <row r="381" ht="12.75" customHeight="1">
      <c r="A381" s="1"/>
      <c r="B381" s="100">
        <v>359.0</v>
      </c>
      <c r="C381" s="101">
        <f t="shared" si="13"/>
        <v>57044</v>
      </c>
      <c r="D381" s="40">
        <f t="shared" si="5"/>
        <v>978.6410353</v>
      </c>
      <c r="E381" s="40"/>
      <c r="F381" s="40">
        <f t="shared" si="6"/>
        <v>974.378131</v>
      </c>
      <c r="G381" s="40">
        <f t="shared" si="7"/>
        <v>8.544458852</v>
      </c>
      <c r="H381" s="102">
        <f t="shared" si="8"/>
        <v>0</v>
      </c>
      <c r="I381" s="103">
        <f t="shared" si="9"/>
        <v>0</v>
      </c>
      <c r="J381" s="104">
        <f t="shared" si="10"/>
        <v>0.009083810076</v>
      </c>
      <c r="K381" s="68">
        <f t="shared" si="11"/>
        <v>204.17</v>
      </c>
      <c r="L381" s="105">
        <f t="shared" si="12"/>
        <v>1187.09259</v>
      </c>
      <c r="M381" s="1"/>
      <c r="N381" s="1"/>
      <c r="O381" s="1"/>
      <c r="P381" s="1"/>
      <c r="Q381" s="40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</row>
    <row r="382" ht="12.75" customHeight="1">
      <c r="A382" s="1"/>
      <c r="B382" s="111">
        <v>360.0</v>
      </c>
      <c r="C382" s="112">
        <f t="shared" si="13"/>
        <v>57075</v>
      </c>
      <c r="D382" s="113">
        <f t="shared" si="5"/>
        <v>0.00000000165300662</v>
      </c>
      <c r="E382" s="113"/>
      <c r="F382" s="113">
        <f t="shared" si="6"/>
        <v>978.6410353</v>
      </c>
      <c r="G382" s="113">
        <f t="shared" si="7"/>
        <v>4.281554529</v>
      </c>
      <c r="H382" s="114">
        <f t="shared" si="8"/>
        <v>0</v>
      </c>
      <c r="I382" s="115">
        <f t="shared" si="9"/>
        <v>0</v>
      </c>
      <c r="J382" s="116">
        <f t="shared" si="10"/>
        <v>0.004551818769</v>
      </c>
      <c r="K382" s="117">
        <f t="shared" si="11"/>
        <v>204.17</v>
      </c>
      <c r="L382" s="118">
        <f t="shared" si="12"/>
        <v>1187.09259</v>
      </c>
      <c r="M382" s="1"/>
      <c r="N382" s="1"/>
      <c r="O382" s="1"/>
      <c r="P382" s="1"/>
      <c r="Q382" s="40"/>
      <c r="R382" s="119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</row>
    <row r="383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2"/>
      <c r="K383" s="2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</row>
    <row r="384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2"/>
      <c r="K384" s="2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</row>
    <row r="385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2"/>
      <c r="K385" s="2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</row>
    <row r="38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2"/>
      <c r="K386" s="2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</row>
    <row r="38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2"/>
      <c r="K387" s="2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</row>
    <row r="388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2"/>
      <c r="K388" s="2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</row>
    <row r="389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2"/>
      <c r="K389" s="2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</row>
    <row r="390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2"/>
      <c r="K390" s="2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</row>
    <row r="391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2"/>
      <c r="K391" s="2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</row>
    <row r="392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2"/>
      <c r="K392" s="2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</row>
    <row r="393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2"/>
      <c r="K393" s="2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</row>
    <row r="394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2"/>
      <c r="K394" s="2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</row>
    <row r="395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2"/>
      <c r="K395" s="2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</row>
    <row r="39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2"/>
      <c r="K396" s="2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</row>
    <row r="39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2"/>
      <c r="K397" s="2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</row>
    <row r="398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2"/>
      <c r="K398" s="2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</row>
    <row r="399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2"/>
      <c r="K399" s="2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</row>
    <row r="400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2"/>
      <c r="K400" s="2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</row>
    <row r="401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2"/>
      <c r="K401" s="2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</row>
    <row r="402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2"/>
      <c r="K402" s="2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</row>
    <row r="403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2"/>
      <c r="K403" s="2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</row>
    <row r="404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2"/>
      <c r="K404" s="2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</row>
    <row r="405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2"/>
      <c r="K405" s="2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</row>
    <row r="40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2"/>
      <c r="K406" s="2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</row>
    <row r="40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2"/>
      <c r="K407" s="2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</row>
    <row r="408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2"/>
      <c r="K408" s="2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</row>
    <row r="409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2"/>
      <c r="K409" s="2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</row>
    <row r="410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2"/>
      <c r="K410" s="2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</row>
    <row r="411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2"/>
      <c r="K411" s="2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</row>
    <row r="412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2"/>
      <c r="K412" s="2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</row>
    <row r="413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2"/>
      <c r="K413" s="2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</row>
    <row r="414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2"/>
      <c r="K414" s="2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</row>
    <row r="415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2"/>
      <c r="K415" s="2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</row>
    <row r="41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2"/>
      <c r="K416" s="2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</row>
    <row r="4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2"/>
      <c r="K417" s="2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</row>
    <row r="418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2"/>
      <c r="K418" s="2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</row>
    <row r="419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2"/>
      <c r="K419" s="2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</row>
    <row r="420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2"/>
      <c r="K420" s="2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</row>
    <row r="421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2"/>
      <c r="K421" s="2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</row>
    <row r="422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2"/>
      <c r="K422" s="2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</row>
    <row r="423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2"/>
      <c r="K423" s="2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</row>
    <row r="424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2"/>
      <c r="K424" s="2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</row>
    <row r="425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2"/>
      <c r="K425" s="2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</row>
    <row r="4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2"/>
      <c r="K426" s="2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</row>
    <row r="42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2"/>
      <c r="K427" s="2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</row>
    <row r="428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2"/>
      <c r="K428" s="2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</row>
    <row r="429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2"/>
      <c r="K429" s="2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</row>
    <row r="430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2"/>
      <c r="K430" s="2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</row>
    <row r="431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2"/>
      <c r="K431" s="2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</row>
    <row r="432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2"/>
      <c r="K432" s="2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</row>
    <row r="433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2"/>
      <c r="K433" s="2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</row>
    <row r="434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2"/>
      <c r="K434" s="2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</row>
    <row r="435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2"/>
      <c r="K435" s="2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</row>
    <row r="43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2"/>
      <c r="K436" s="2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</row>
    <row r="43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2"/>
      <c r="K437" s="2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</row>
    <row r="438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2"/>
      <c r="K438" s="2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</row>
    <row r="439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2"/>
      <c r="K439" s="2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</row>
    <row r="440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2"/>
      <c r="K440" s="2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</row>
    <row r="441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2"/>
      <c r="K441" s="2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</row>
    <row r="442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2"/>
      <c r="K442" s="2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</row>
    <row r="443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2"/>
      <c r="K443" s="2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</row>
    <row r="444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2"/>
      <c r="K444" s="2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</row>
    <row r="445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2"/>
      <c r="K445" s="2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</row>
    <row r="44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2"/>
      <c r="K446" s="2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</row>
    <row r="44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2"/>
      <c r="K447" s="2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</row>
    <row r="448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2"/>
      <c r="K448" s="2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</row>
    <row r="449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2"/>
      <c r="K449" s="2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</row>
    <row r="450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2"/>
      <c r="K450" s="2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</row>
    <row r="451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2"/>
      <c r="K451" s="2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</row>
    <row r="452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2"/>
      <c r="K452" s="2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</row>
    <row r="453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2"/>
      <c r="K453" s="2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</row>
    <row r="454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2"/>
      <c r="K454" s="2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</row>
    <row r="455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2"/>
      <c r="K455" s="2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</row>
    <row r="45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2"/>
      <c r="K456" s="2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</row>
    <row r="45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2"/>
      <c r="K457" s="2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</row>
    <row r="458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2"/>
      <c r="K458" s="2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</row>
    <row r="459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2"/>
      <c r="K459" s="2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</row>
    <row r="460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2"/>
      <c r="K460" s="2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</row>
    <row r="461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2"/>
      <c r="K461" s="2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</row>
    <row r="462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2"/>
      <c r="K462" s="2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</row>
    <row r="463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2"/>
      <c r="K463" s="2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</row>
    <row r="464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2"/>
      <c r="K464" s="2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</row>
    <row r="465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2"/>
      <c r="K465" s="2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</row>
    <row r="46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2"/>
      <c r="K466" s="2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</row>
    <row r="46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2"/>
      <c r="K467" s="2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</row>
    <row r="468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2"/>
      <c r="K468" s="2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</row>
    <row r="469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2"/>
      <c r="K469" s="2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</row>
    <row r="470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2"/>
      <c r="K470" s="2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</row>
    <row r="471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2"/>
      <c r="K471" s="2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</row>
    <row r="472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2"/>
      <c r="K472" s="2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</row>
    <row r="473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2"/>
      <c r="K473" s="2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</row>
    <row r="474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2"/>
      <c r="K474" s="2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</row>
    <row r="475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2"/>
      <c r="K475" s="2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</row>
    <row r="47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2"/>
      <c r="K476" s="2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</row>
    <row r="47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2"/>
      <c r="K477" s="2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</row>
    <row r="478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2"/>
      <c r="K478" s="2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</row>
    <row r="479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2"/>
      <c r="K479" s="2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</row>
    <row r="480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2"/>
      <c r="K480" s="2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</row>
    <row r="481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2"/>
      <c r="K481" s="2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</row>
    <row r="482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2"/>
      <c r="K482" s="2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</row>
    <row r="483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2"/>
      <c r="K483" s="2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</row>
    <row r="484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2"/>
      <c r="K484" s="2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</row>
    <row r="485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2"/>
      <c r="K485" s="2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</row>
    <row r="48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2"/>
      <c r="K486" s="2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</row>
    <row r="48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2"/>
      <c r="K487" s="2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</row>
    <row r="488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2"/>
      <c r="K488" s="2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</row>
    <row r="489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2"/>
      <c r="K489" s="2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</row>
    <row r="490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2"/>
      <c r="K490" s="2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</row>
    <row r="491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2"/>
      <c r="K491" s="2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</row>
    <row r="492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2"/>
      <c r="K492" s="2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</row>
    <row r="493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2"/>
      <c r="K493" s="2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</row>
    <row r="494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2"/>
      <c r="K494" s="2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</row>
    <row r="495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2"/>
      <c r="K495" s="2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</row>
    <row r="49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2"/>
      <c r="K496" s="2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</row>
    <row r="49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2"/>
      <c r="K497" s="2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</row>
    <row r="498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2"/>
      <c r="K498" s="2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</row>
    <row r="499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2"/>
      <c r="K499" s="2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</row>
    <row r="500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2"/>
      <c r="K500" s="2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</row>
    <row r="501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2"/>
      <c r="K501" s="2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</row>
    <row r="502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2"/>
      <c r="K502" s="2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</row>
    <row r="503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2"/>
      <c r="K503" s="2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</row>
    <row r="504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2"/>
      <c r="K504" s="2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</row>
    <row r="505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2"/>
      <c r="K505" s="2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</row>
    <row r="50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2"/>
      <c r="K506" s="2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</row>
    <row r="50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2"/>
      <c r="K507" s="2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</row>
    <row r="508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2"/>
      <c r="K508" s="2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</row>
    <row r="509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2"/>
      <c r="K509" s="2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</row>
    <row r="510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2"/>
      <c r="K510" s="2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</row>
    <row r="511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2"/>
      <c r="K511" s="2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</row>
    <row r="512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2"/>
      <c r="K512" s="2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</row>
    <row r="513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2"/>
      <c r="K513" s="2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</row>
    <row r="514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2"/>
      <c r="K514" s="2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</row>
    <row r="515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2"/>
      <c r="K515" s="2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</row>
    <row r="51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2"/>
      <c r="K516" s="2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</row>
    <row r="5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2"/>
      <c r="K517" s="2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</row>
    <row r="518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2"/>
      <c r="K518" s="2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</row>
    <row r="519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2"/>
      <c r="K519" s="2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</row>
    <row r="520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2"/>
      <c r="K520" s="2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</row>
    <row r="521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2"/>
      <c r="K521" s="2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</row>
    <row r="522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2"/>
      <c r="K522" s="2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</row>
    <row r="523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2"/>
      <c r="K523" s="2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</row>
    <row r="524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2"/>
      <c r="K524" s="2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</row>
    <row r="525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2"/>
      <c r="K525" s="2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</row>
    <row r="5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2"/>
      <c r="K526" s="2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</row>
    <row r="52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2"/>
      <c r="K527" s="2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</row>
    <row r="528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2"/>
      <c r="K528" s="2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</row>
    <row r="529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2"/>
      <c r="K529" s="2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</row>
    <row r="530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2"/>
      <c r="K530" s="2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</row>
    <row r="531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2"/>
      <c r="K531" s="2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</row>
    <row r="532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2"/>
      <c r="K532" s="2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</row>
    <row r="533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2"/>
      <c r="K533" s="2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</row>
    <row r="534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2"/>
      <c r="K534" s="2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</row>
    <row r="535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2"/>
      <c r="K535" s="2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</row>
    <row r="53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2"/>
      <c r="K536" s="2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</row>
    <row r="53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2"/>
      <c r="K537" s="2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</row>
    <row r="538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2"/>
      <c r="K538" s="2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</row>
    <row r="539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2"/>
      <c r="K539" s="2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</row>
    <row r="540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2"/>
      <c r="K540" s="2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</row>
    <row r="541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2"/>
      <c r="K541" s="2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</row>
    <row r="542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2"/>
      <c r="K542" s="2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</row>
    <row r="543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2"/>
      <c r="K543" s="2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</row>
    <row r="544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2"/>
      <c r="K544" s="2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</row>
    <row r="545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2"/>
      <c r="K545" s="2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</row>
    <row r="54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2"/>
      <c r="K546" s="2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</row>
    <row r="54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2"/>
      <c r="K547" s="2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</row>
    <row r="548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2"/>
      <c r="K548" s="2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</row>
    <row r="549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2"/>
      <c r="K549" s="2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</row>
    <row r="550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2"/>
      <c r="K550" s="2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</row>
    <row r="551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2"/>
      <c r="K551" s="2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</row>
    <row r="552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2"/>
      <c r="K552" s="2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</row>
    <row r="553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2"/>
      <c r="K553" s="2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</row>
    <row r="554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2"/>
      <c r="K554" s="2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</row>
    <row r="555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2"/>
      <c r="K555" s="2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</row>
    <row r="55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2"/>
      <c r="K556" s="2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</row>
    <row r="55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2"/>
      <c r="K557" s="2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</row>
    <row r="558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2"/>
      <c r="K558" s="2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</row>
    <row r="559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2"/>
      <c r="K559" s="2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</row>
    <row r="560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2"/>
      <c r="K560" s="2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</row>
    <row r="561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2"/>
      <c r="K561" s="2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</row>
    <row r="562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2"/>
      <c r="K562" s="2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</row>
    <row r="563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2"/>
      <c r="K563" s="2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</row>
    <row r="564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2"/>
      <c r="K564" s="2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</row>
    <row r="565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2"/>
      <c r="K565" s="2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</row>
    <row r="56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2"/>
      <c r="K566" s="2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</row>
    <row r="56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2"/>
      <c r="K567" s="2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</row>
    <row r="568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2"/>
      <c r="K568" s="2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</row>
    <row r="569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2"/>
      <c r="K569" s="2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</row>
    <row r="570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2"/>
      <c r="K570" s="2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</row>
    <row r="571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2"/>
      <c r="K571" s="2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</row>
    <row r="572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2"/>
      <c r="K572" s="2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</row>
    <row r="573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2"/>
      <c r="K573" s="2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</row>
    <row r="574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2"/>
      <c r="K574" s="2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</row>
    <row r="575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2"/>
      <c r="K575" s="2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</row>
    <row r="57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2"/>
      <c r="K576" s="2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</row>
    <row r="57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2"/>
      <c r="K577" s="2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</row>
    <row r="578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2"/>
      <c r="K578" s="2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</row>
    <row r="579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2"/>
      <c r="K579" s="2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</row>
    <row r="580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2"/>
      <c r="K580" s="2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</row>
    <row r="581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2"/>
      <c r="K581" s="2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</row>
    <row r="582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2"/>
      <c r="K582" s="2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</row>
    <row r="583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2"/>
      <c r="K583" s="2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</row>
    <row r="584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2"/>
      <c r="K584" s="2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</row>
    <row r="585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2"/>
      <c r="K585" s="2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</row>
    <row r="58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2"/>
      <c r="K586" s="2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</row>
    <row r="58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2"/>
      <c r="K587" s="2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</row>
    <row r="588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2"/>
      <c r="K588" s="2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</row>
    <row r="589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2"/>
      <c r="K589" s="2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</row>
    <row r="590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2"/>
      <c r="K590" s="2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</row>
    <row r="591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2"/>
      <c r="K591" s="2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</row>
    <row r="592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2"/>
      <c r="K592" s="2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</row>
    <row r="593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2"/>
      <c r="K593" s="2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</row>
    <row r="594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2"/>
      <c r="K594" s="2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</row>
    <row r="595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2"/>
      <c r="K595" s="2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</row>
    <row r="59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2"/>
      <c r="K596" s="2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</row>
    <row r="59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2"/>
      <c r="K597" s="2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</row>
    <row r="598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2"/>
      <c r="K598" s="2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</row>
    <row r="599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2"/>
      <c r="K599" s="2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</row>
    <row r="600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2"/>
      <c r="K600" s="2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</row>
    <row r="601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2"/>
      <c r="K601" s="2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</row>
    <row r="602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2"/>
      <c r="K602" s="2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</row>
    <row r="603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2"/>
      <c r="K603" s="2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</row>
    <row r="604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2"/>
      <c r="K604" s="2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</row>
    <row r="605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2"/>
      <c r="K605" s="2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</row>
    <row r="60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2"/>
      <c r="K606" s="2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</row>
    <row r="60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2"/>
      <c r="K607" s="2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</row>
    <row r="608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2"/>
      <c r="K608" s="2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</row>
    <row r="609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2"/>
      <c r="K609" s="2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</row>
    <row r="610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2"/>
      <c r="K610" s="2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</row>
    <row r="611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2"/>
      <c r="K611" s="2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</row>
    <row r="612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2"/>
      <c r="K612" s="2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</row>
    <row r="613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2"/>
      <c r="K613" s="2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</row>
    <row r="614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2"/>
      <c r="K614" s="2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</row>
    <row r="615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2"/>
      <c r="K615" s="2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</row>
    <row r="61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2"/>
      <c r="K616" s="2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</row>
    <row r="6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2"/>
      <c r="K617" s="2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</row>
    <row r="618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2"/>
      <c r="K618" s="2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</row>
    <row r="619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2"/>
      <c r="K619" s="2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</row>
    <row r="620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2"/>
      <c r="K620" s="2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</row>
    <row r="621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2"/>
      <c r="K621" s="2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</row>
    <row r="622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2"/>
      <c r="K622" s="2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</row>
    <row r="623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2"/>
      <c r="K623" s="2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</row>
    <row r="624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2"/>
      <c r="K624" s="2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</row>
    <row r="625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2"/>
      <c r="K625" s="2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</row>
    <row r="6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2"/>
      <c r="K626" s="2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</row>
    <row r="62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2"/>
      <c r="K627" s="2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</row>
    <row r="628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2"/>
      <c r="K628" s="2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</row>
    <row r="629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2"/>
      <c r="K629" s="2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</row>
    <row r="630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2"/>
      <c r="K630" s="2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</row>
    <row r="631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2"/>
      <c r="K631" s="2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</row>
    <row r="632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2"/>
      <c r="K632" s="2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</row>
    <row r="633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2"/>
      <c r="K633" s="2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</row>
    <row r="634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2"/>
      <c r="K634" s="2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</row>
    <row r="635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2"/>
      <c r="K635" s="2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</row>
    <row r="63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2"/>
      <c r="K636" s="2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</row>
    <row r="63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2"/>
      <c r="K637" s="2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</row>
    <row r="638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2"/>
      <c r="K638" s="2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</row>
    <row r="639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2"/>
      <c r="K639" s="2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</row>
    <row r="640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2"/>
      <c r="K640" s="2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</row>
    <row r="641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2"/>
      <c r="K641" s="2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</row>
    <row r="642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2"/>
      <c r="K642" s="2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</row>
    <row r="643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2"/>
      <c r="K643" s="2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</row>
    <row r="644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2"/>
      <c r="K644" s="2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</row>
    <row r="645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2"/>
      <c r="K645" s="2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</row>
    <row r="64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2"/>
      <c r="K646" s="2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</row>
    <row r="64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2"/>
      <c r="K647" s="2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</row>
    <row r="648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2"/>
      <c r="K648" s="2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</row>
    <row r="649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2"/>
      <c r="K649" s="2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</row>
    <row r="650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2"/>
      <c r="K650" s="2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</row>
    <row r="651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2"/>
      <c r="K651" s="2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</row>
    <row r="652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2"/>
      <c r="K652" s="2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</row>
    <row r="653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2"/>
      <c r="K653" s="2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</row>
    <row r="654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2"/>
      <c r="K654" s="2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</row>
    <row r="655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2"/>
      <c r="K655" s="2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</row>
    <row r="65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2"/>
      <c r="K656" s="2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</row>
    <row r="65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2"/>
      <c r="K657" s="2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</row>
    <row r="658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2"/>
      <c r="K658" s="2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</row>
    <row r="659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2"/>
      <c r="K659" s="2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</row>
    <row r="660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2"/>
      <c r="K660" s="2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</row>
    <row r="661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2"/>
      <c r="K661" s="2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</row>
    <row r="662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2"/>
      <c r="K662" s="2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</row>
    <row r="663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2"/>
      <c r="K663" s="2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</row>
    <row r="664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2"/>
      <c r="K664" s="2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</row>
    <row r="665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2"/>
      <c r="K665" s="2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</row>
    <row r="66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2"/>
      <c r="K666" s="2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</row>
    <row r="66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2"/>
      <c r="K667" s="2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</row>
    <row r="668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2"/>
      <c r="K668" s="2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</row>
    <row r="669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2"/>
      <c r="K669" s="2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</row>
    <row r="670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2"/>
      <c r="K670" s="2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</row>
    <row r="671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2"/>
      <c r="K671" s="2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</row>
    <row r="672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2"/>
      <c r="K672" s="2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</row>
    <row r="673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2"/>
      <c r="K673" s="2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</row>
    <row r="674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2"/>
      <c r="K674" s="2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</row>
    <row r="675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2"/>
      <c r="K675" s="2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</row>
    <row r="67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2"/>
      <c r="K676" s="2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</row>
    <row r="67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2"/>
      <c r="K677" s="2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</row>
    <row r="678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2"/>
      <c r="K678" s="2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</row>
    <row r="679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2"/>
      <c r="K679" s="2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</row>
    <row r="680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2"/>
      <c r="K680" s="2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</row>
    <row r="681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2"/>
      <c r="K681" s="2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</row>
    <row r="682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2"/>
      <c r="K682" s="2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</row>
    <row r="683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2"/>
      <c r="K683" s="2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</row>
    <row r="684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2"/>
      <c r="K684" s="2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</row>
    <row r="685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2"/>
      <c r="K685" s="2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</row>
    <row r="68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2"/>
      <c r="K686" s="2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</row>
    <row r="68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2"/>
      <c r="K687" s="2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</row>
    <row r="688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2"/>
      <c r="K688" s="2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</row>
    <row r="689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2"/>
      <c r="K689" s="2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</row>
    <row r="690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2"/>
      <c r="K690" s="2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</row>
    <row r="691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2"/>
      <c r="K691" s="2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</row>
    <row r="692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2"/>
      <c r="K692" s="2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</row>
    <row r="693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2"/>
      <c r="K693" s="2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</row>
    <row r="694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2"/>
      <c r="K694" s="2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</row>
    <row r="695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2"/>
      <c r="K695" s="2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</row>
    <row r="69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2"/>
      <c r="K696" s="2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</row>
    <row r="69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2"/>
      <c r="K697" s="2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</row>
    <row r="698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2"/>
      <c r="K698" s="2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</row>
    <row r="699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2"/>
      <c r="K699" s="2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</row>
    <row r="700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2"/>
      <c r="K700" s="2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</row>
    <row r="701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2"/>
      <c r="K701" s="2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</row>
    <row r="702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2"/>
      <c r="K702" s="2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</row>
    <row r="703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2"/>
      <c r="K703" s="2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</row>
    <row r="704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2"/>
      <c r="K704" s="2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</row>
    <row r="705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2"/>
      <c r="K705" s="2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</row>
    <row r="70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2"/>
      <c r="K706" s="2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</row>
    <row r="70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2"/>
      <c r="K707" s="2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</row>
    <row r="708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2"/>
      <c r="K708" s="2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</row>
    <row r="709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2"/>
      <c r="K709" s="2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</row>
    <row r="710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2"/>
      <c r="K710" s="2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</row>
    <row r="711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2"/>
      <c r="K711" s="2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</row>
    <row r="712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2"/>
      <c r="K712" s="2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</row>
    <row r="713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2"/>
      <c r="K713" s="2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</row>
    <row r="714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2"/>
      <c r="K714" s="2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</row>
    <row r="715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2"/>
      <c r="K715" s="2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</row>
    <row r="71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2"/>
      <c r="K716" s="2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</row>
    <row r="7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2"/>
      <c r="K717" s="2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</row>
    <row r="718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2"/>
      <c r="K718" s="2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</row>
    <row r="719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2"/>
      <c r="K719" s="2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</row>
    <row r="720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2"/>
      <c r="K720" s="2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</row>
    <row r="721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2"/>
      <c r="K721" s="2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</row>
    <row r="722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2"/>
      <c r="K722" s="2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</row>
    <row r="723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2"/>
      <c r="K723" s="2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</row>
    <row r="724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2"/>
      <c r="K724" s="2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</row>
    <row r="725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2"/>
      <c r="K725" s="2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</row>
    <row r="7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2"/>
      <c r="K726" s="2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</row>
    <row r="72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2"/>
      <c r="K727" s="2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</row>
    <row r="728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2"/>
      <c r="K728" s="2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</row>
    <row r="729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2"/>
      <c r="K729" s="2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</row>
    <row r="730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2"/>
      <c r="K730" s="2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</row>
    <row r="731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2"/>
      <c r="K731" s="2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</row>
    <row r="732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2"/>
      <c r="K732" s="2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</row>
    <row r="733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2"/>
      <c r="K733" s="2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</row>
    <row r="734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2"/>
      <c r="K734" s="2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</row>
    <row r="735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2"/>
      <c r="K735" s="2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</row>
    <row r="73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2"/>
      <c r="K736" s="2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</row>
    <row r="73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2"/>
      <c r="K737" s="2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</row>
    <row r="738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2"/>
      <c r="K738" s="2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</row>
    <row r="739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2"/>
      <c r="K739" s="2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</row>
    <row r="740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2"/>
      <c r="K740" s="2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</row>
    <row r="741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2"/>
      <c r="K741" s="2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</row>
    <row r="742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2"/>
      <c r="K742" s="2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</row>
    <row r="743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2"/>
      <c r="K743" s="2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</row>
    <row r="744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2"/>
      <c r="K744" s="2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</row>
    <row r="745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2"/>
      <c r="K745" s="2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</row>
    <row r="74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2"/>
      <c r="K746" s="2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</row>
    <row r="74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2"/>
      <c r="K747" s="2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</row>
    <row r="748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2"/>
      <c r="K748" s="2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</row>
    <row r="749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2"/>
      <c r="K749" s="2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</row>
    <row r="750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2"/>
      <c r="K750" s="2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</row>
    <row r="751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2"/>
      <c r="K751" s="2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</row>
    <row r="752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2"/>
      <c r="K752" s="2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</row>
    <row r="753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2"/>
      <c r="K753" s="2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</row>
    <row r="754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2"/>
      <c r="K754" s="2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</row>
    <row r="755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2"/>
      <c r="K755" s="2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</row>
    <row r="75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2"/>
      <c r="K756" s="2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</row>
    <row r="75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2"/>
      <c r="K757" s="2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</row>
    <row r="758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2"/>
      <c r="K758" s="2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</row>
    <row r="759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2"/>
      <c r="K759" s="2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</row>
    <row r="760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2"/>
      <c r="K760" s="2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</row>
    <row r="761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2"/>
      <c r="K761" s="2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</row>
    <row r="762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2"/>
      <c r="K762" s="2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</row>
    <row r="763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2"/>
      <c r="K763" s="2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</row>
    <row r="764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2"/>
      <c r="K764" s="2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</row>
    <row r="765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2"/>
      <c r="K765" s="2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</row>
    <row r="76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2"/>
      <c r="K766" s="2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</row>
    <row r="76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2"/>
      <c r="K767" s="2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</row>
    <row r="768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2"/>
      <c r="K768" s="2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</row>
    <row r="769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2"/>
      <c r="K769" s="2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</row>
    <row r="770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2"/>
      <c r="K770" s="2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</row>
    <row r="771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2"/>
      <c r="K771" s="2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</row>
    <row r="772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2"/>
      <c r="K772" s="2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</row>
    <row r="773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2"/>
      <c r="K773" s="2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</row>
    <row r="774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2"/>
      <c r="K774" s="2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</row>
    <row r="775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2"/>
      <c r="K775" s="2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</row>
    <row r="77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2"/>
      <c r="K776" s="2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</row>
    <row r="77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2"/>
      <c r="K777" s="2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</row>
    <row r="778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2"/>
      <c r="K778" s="2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</row>
    <row r="779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2"/>
      <c r="K779" s="2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</row>
    <row r="780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2"/>
      <c r="K780" s="2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</row>
    <row r="781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2"/>
      <c r="K781" s="2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</row>
    <row r="782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2"/>
      <c r="K782" s="2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</row>
    <row r="783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2"/>
      <c r="K783" s="2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</row>
    <row r="784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2"/>
      <c r="K784" s="2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</row>
    <row r="785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2"/>
      <c r="K785" s="2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</row>
    <row r="78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2"/>
      <c r="K786" s="2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</row>
    <row r="78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2"/>
      <c r="K787" s="2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</row>
    <row r="788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2"/>
      <c r="K788" s="2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</row>
    <row r="789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2"/>
      <c r="K789" s="2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</row>
    <row r="790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2"/>
      <c r="K790" s="2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</row>
    <row r="791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2"/>
      <c r="K791" s="2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</row>
    <row r="792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2"/>
      <c r="K792" s="2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</row>
    <row r="793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2"/>
      <c r="K793" s="2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</row>
    <row r="794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2"/>
      <c r="K794" s="2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</row>
    <row r="795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2"/>
      <c r="K795" s="2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</row>
    <row r="79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2"/>
      <c r="K796" s="2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</row>
    <row r="79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2"/>
      <c r="K797" s="2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</row>
    <row r="798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2"/>
      <c r="K798" s="2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</row>
    <row r="799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2"/>
      <c r="K799" s="2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</row>
    <row r="800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2"/>
      <c r="K800" s="2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</row>
    <row r="801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2"/>
      <c r="K801" s="2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</row>
    <row r="802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2"/>
      <c r="K802" s="2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</row>
    <row r="803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2"/>
      <c r="K803" s="2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</row>
    <row r="804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2"/>
      <c r="K804" s="2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</row>
    <row r="805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2"/>
      <c r="K805" s="2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</row>
    <row r="80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2"/>
      <c r="K806" s="2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</row>
    <row r="80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2"/>
      <c r="K807" s="2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</row>
    <row r="808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2"/>
      <c r="K808" s="2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</row>
    <row r="809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2"/>
      <c r="K809" s="2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</row>
    <row r="810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2"/>
      <c r="K810" s="2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</row>
    <row r="811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2"/>
      <c r="K811" s="2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</row>
    <row r="812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2"/>
      <c r="K812" s="2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</row>
    <row r="813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2"/>
      <c r="K813" s="2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</row>
    <row r="814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2"/>
      <c r="K814" s="2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</row>
    <row r="815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2"/>
      <c r="K815" s="2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</row>
    <row r="81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2"/>
      <c r="K816" s="2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</row>
    <row r="8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2"/>
      <c r="K817" s="2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</row>
    <row r="818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2"/>
      <c r="K818" s="2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</row>
    <row r="819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2"/>
      <c r="K819" s="2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</row>
    <row r="820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2"/>
      <c r="K820" s="2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</row>
    <row r="821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2"/>
      <c r="K821" s="2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</row>
    <row r="822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2"/>
      <c r="K822" s="2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</row>
    <row r="823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2"/>
      <c r="K823" s="2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</row>
    <row r="824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2"/>
      <c r="K824" s="2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</row>
    <row r="825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2"/>
      <c r="K825" s="2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</row>
    <row r="8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2"/>
      <c r="K826" s="2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</row>
    <row r="82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2"/>
      <c r="K827" s="2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</row>
    <row r="828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2"/>
      <c r="K828" s="2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</row>
    <row r="829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2"/>
      <c r="K829" s="2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</row>
    <row r="830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2"/>
      <c r="K830" s="2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</row>
    <row r="831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2"/>
      <c r="K831" s="2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</row>
    <row r="832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2"/>
      <c r="K832" s="2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</row>
    <row r="833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2"/>
      <c r="K833" s="2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</row>
    <row r="834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2"/>
      <c r="K834" s="2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</row>
    <row r="835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2"/>
      <c r="K835" s="2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</row>
    <row r="83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2"/>
      <c r="K836" s="2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</row>
    <row r="83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2"/>
      <c r="K837" s="2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</row>
    <row r="838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2"/>
      <c r="K838" s="2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</row>
    <row r="839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2"/>
      <c r="K839" s="2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</row>
    <row r="840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2"/>
      <c r="K840" s="2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</row>
    <row r="841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2"/>
      <c r="K841" s="2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</row>
    <row r="842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2"/>
      <c r="K842" s="2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</row>
    <row r="843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2"/>
      <c r="K843" s="2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</row>
    <row r="844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2"/>
      <c r="K844" s="2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</row>
    <row r="845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2"/>
      <c r="K845" s="2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</row>
    <row r="84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2"/>
      <c r="K846" s="2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</row>
    <row r="84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2"/>
      <c r="K847" s="2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</row>
    <row r="848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2"/>
      <c r="K848" s="2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</row>
    <row r="849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2"/>
      <c r="K849" s="2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</row>
    <row r="850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2"/>
      <c r="K850" s="2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</row>
    <row r="851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2"/>
      <c r="K851" s="2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</row>
    <row r="852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2"/>
      <c r="K852" s="2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</row>
    <row r="853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2"/>
      <c r="K853" s="2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</row>
    <row r="854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2"/>
      <c r="K854" s="2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</row>
    <row r="855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2"/>
      <c r="K855" s="2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</row>
    <row r="85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2"/>
      <c r="K856" s="2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</row>
    <row r="85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2"/>
      <c r="K857" s="2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</row>
    <row r="858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2"/>
      <c r="K858" s="2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</row>
    <row r="859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2"/>
      <c r="K859" s="2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</row>
    <row r="860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2"/>
      <c r="K860" s="2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</row>
    <row r="861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2"/>
      <c r="K861" s="2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</row>
    <row r="862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2"/>
      <c r="K862" s="2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</row>
    <row r="863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2"/>
      <c r="K863" s="2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</row>
    <row r="864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2"/>
      <c r="K864" s="2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</row>
    <row r="865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2"/>
      <c r="K865" s="2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</row>
    <row r="86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2"/>
      <c r="K866" s="2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</row>
    <row r="86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2"/>
      <c r="K867" s="2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</row>
    <row r="868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2"/>
      <c r="K868" s="2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</row>
    <row r="869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2"/>
      <c r="K869" s="2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</row>
    <row r="870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2"/>
      <c r="K870" s="2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</row>
    <row r="871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2"/>
      <c r="K871" s="2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</row>
    <row r="872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2"/>
      <c r="K872" s="2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</row>
    <row r="873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2"/>
      <c r="K873" s="2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</row>
    <row r="874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2"/>
      <c r="K874" s="2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</row>
    <row r="875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2"/>
      <c r="K875" s="2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</row>
    <row r="87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2"/>
      <c r="K876" s="2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</row>
    <row r="87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2"/>
      <c r="K877" s="2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</row>
    <row r="878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2"/>
      <c r="K878" s="2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</row>
    <row r="879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2"/>
      <c r="K879" s="2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</row>
    <row r="880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2"/>
      <c r="K880" s="2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</row>
    <row r="881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2"/>
      <c r="K881" s="2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</row>
    <row r="882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2"/>
      <c r="K882" s="2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</row>
    <row r="883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2"/>
      <c r="K883" s="2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</row>
    <row r="884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2"/>
      <c r="K884" s="2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</row>
    <row r="885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2"/>
      <c r="K885" s="2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</row>
    <row r="88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2"/>
      <c r="K886" s="2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</row>
    <row r="88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2"/>
      <c r="K887" s="2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</row>
    <row r="888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2"/>
      <c r="K888" s="2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</row>
    <row r="889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2"/>
      <c r="K889" s="2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</row>
    <row r="890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2"/>
      <c r="K890" s="2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</row>
    <row r="891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2"/>
      <c r="K891" s="2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</row>
    <row r="892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2"/>
      <c r="K892" s="2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</row>
    <row r="893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2"/>
      <c r="K893" s="2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</row>
    <row r="894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2"/>
      <c r="K894" s="2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</row>
    <row r="895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2"/>
      <c r="K895" s="2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</row>
    <row r="89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2"/>
      <c r="K896" s="2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</row>
    <row r="89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2"/>
      <c r="K897" s="2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</row>
    <row r="898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2"/>
      <c r="K898" s="2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</row>
    <row r="899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2"/>
      <c r="K899" s="2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</row>
    <row r="900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2"/>
      <c r="K900" s="2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</row>
    <row r="901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2"/>
      <c r="K901" s="2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</row>
    <row r="902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2"/>
      <c r="K902" s="2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</row>
    <row r="903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2"/>
      <c r="K903" s="2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</row>
    <row r="904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2"/>
      <c r="K904" s="2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</row>
    <row r="905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2"/>
      <c r="K905" s="2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</row>
    <row r="90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2"/>
      <c r="K906" s="2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</row>
    <row r="90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2"/>
      <c r="K907" s="2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</row>
    <row r="908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2"/>
      <c r="K908" s="2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</row>
    <row r="909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2"/>
      <c r="K909" s="2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</row>
    <row r="910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2"/>
      <c r="K910" s="2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</row>
    <row r="911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2"/>
      <c r="K911" s="2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</row>
    <row r="912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2"/>
      <c r="K912" s="2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</row>
    <row r="913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2"/>
      <c r="K913" s="2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</row>
    <row r="914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2"/>
      <c r="K914" s="2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</row>
    <row r="915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2"/>
      <c r="K915" s="2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</row>
    <row r="91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2"/>
      <c r="K916" s="2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</row>
    <row r="9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2"/>
      <c r="K917" s="2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</row>
    <row r="918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2"/>
      <c r="K918" s="2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</row>
    <row r="919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2"/>
      <c r="K919" s="2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</row>
    <row r="920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2"/>
      <c r="K920" s="2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</row>
    <row r="921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2"/>
      <c r="K921" s="2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</row>
    <row r="922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2"/>
      <c r="K922" s="2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</row>
    <row r="923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2"/>
      <c r="K923" s="2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</row>
    <row r="924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2"/>
      <c r="K924" s="2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</row>
    <row r="925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2"/>
      <c r="K925" s="2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</row>
    <row r="9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2"/>
      <c r="K926" s="2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</row>
    <row r="92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2"/>
      <c r="K927" s="2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</row>
    <row r="928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2"/>
      <c r="K928" s="2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</row>
    <row r="929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2"/>
      <c r="K929" s="2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</row>
    <row r="930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2"/>
      <c r="K930" s="2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</row>
    <row r="931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2"/>
      <c r="K931" s="2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</row>
    <row r="932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2"/>
      <c r="K932" s="2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</row>
    <row r="933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2"/>
      <c r="K933" s="2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</row>
    <row r="934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2"/>
      <c r="K934" s="2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</row>
    <row r="935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2"/>
      <c r="K935" s="2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</row>
    <row r="93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2"/>
      <c r="K936" s="2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</row>
    <row r="93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2"/>
      <c r="K937" s="2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</row>
    <row r="938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2"/>
      <c r="K938" s="2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</row>
    <row r="939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2"/>
      <c r="K939" s="2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</row>
    <row r="940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2"/>
      <c r="K940" s="2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</row>
    <row r="941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2"/>
      <c r="K941" s="2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</row>
    <row r="942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2"/>
      <c r="K942" s="2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</row>
    <row r="943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2"/>
      <c r="K943" s="2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</row>
    <row r="944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2"/>
      <c r="K944" s="2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</row>
    <row r="945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2"/>
      <c r="K945" s="2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</row>
    <row r="94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2"/>
      <c r="K946" s="2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</row>
    <row r="94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2"/>
      <c r="K947" s="2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</row>
    <row r="948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2"/>
      <c r="K948" s="2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</row>
    <row r="949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2"/>
      <c r="K949" s="2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</row>
    <row r="950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2"/>
      <c r="K950" s="2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</row>
    <row r="951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2"/>
      <c r="K951" s="2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</row>
    <row r="952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2"/>
      <c r="K952" s="2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</row>
    <row r="953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2"/>
      <c r="K953" s="2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</row>
    <row r="954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2"/>
      <c r="K954" s="2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</row>
    <row r="955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2"/>
      <c r="K955" s="2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</row>
    <row r="95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2"/>
      <c r="K956" s="2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</row>
    <row r="95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2"/>
      <c r="K957" s="2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</row>
    <row r="958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2"/>
      <c r="K958" s="2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</row>
    <row r="959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2"/>
      <c r="K959" s="2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</row>
    <row r="960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2"/>
      <c r="K960" s="2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</row>
    <row r="961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2"/>
      <c r="K961" s="2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</row>
    <row r="962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2"/>
      <c r="K962" s="2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</row>
    <row r="963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2"/>
      <c r="K963" s="2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</row>
    <row r="964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2"/>
      <c r="K964" s="2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</row>
    <row r="965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2"/>
      <c r="K965" s="2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</row>
    <row r="96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2"/>
      <c r="K966" s="2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</row>
    <row r="96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2"/>
      <c r="K967" s="2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</row>
    <row r="968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2"/>
      <c r="K968" s="2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</row>
    <row r="969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2"/>
      <c r="K969" s="2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</row>
    <row r="970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2"/>
      <c r="K970" s="2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</row>
    <row r="971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2"/>
      <c r="K971" s="2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</row>
    <row r="972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2"/>
      <c r="K972" s="2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</row>
    <row r="973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2"/>
      <c r="K973" s="2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</row>
    <row r="974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2"/>
      <c r="K974" s="2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</row>
    <row r="975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2"/>
      <c r="K975" s="2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</row>
    <row r="97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2"/>
      <c r="K976" s="2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</row>
    <row r="97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2"/>
      <c r="K977" s="2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</row>
    <row r="978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2"/>
      <c r="K978" s="2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</row>
    <row r="979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2"/>
      <c r="K979" s="2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</row>
    <row r="980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2"/>
      <c r="K980" s="2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</row>
    <row r="981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2"/>
      <c r="K981" s="2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</row>
    <row r="982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2"/>
      <c r="K982" s="2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</row>
    <row r="983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2"/>
      <c r="K983" s="2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</row>
    <row r="984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2"/>
      <c r="K984" s="2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</row>
    <row r="985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2"/>
      <c r="K985" s="2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</row>
    <row r="98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2"/>
      <c r="K986" s="2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</row>
    <row r="98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2"/>
      <c r="K987" s="2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</row>
    <row r="988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2"/>
      <c r="K988" s="2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</row>
    <row r="989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2"/>
      <c r="K989" s="2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</row>
    <row r="990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2"/>
      <c r="K990" s="2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</row>
    <row r="991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2"/>
      <c r="K991" s="2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</row>
    <row r="992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2"/>
      <c r="K992" s="2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</row>
    <row r="993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2"/>
      <c r="K993" s="2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</row>
    <row r="994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2"/>
      <c r="K994" s="2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</row>
    <row r="995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2"/>
      <c r="K995" s="2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</row>
    <row r="99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2"/>
      <c r="K996" s="2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</row>
    <row r="99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2"/>
      <c r="K997" s="2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</row>
    <row r="998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2"/>
      <c r="K998" s="2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</row>
    <row r="999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2"/>
      <c r="K999" s="2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</row>
    <row r="1000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2"/>
      <c r="K1000" s="2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</row>
  </sheetData>
  <mergeCells count="9">
    <mergeCell ref="A10:A12"/>
    <mergeCell ref="B19:E19"/>
    <mergeCell ref="B2:D2"/>
    <mergeCell ref="F2:I2"/>
    <mergeCell ref="N2:Q2"/>
    <mergeCell ref="N3:P3"/>
    <mergeCell ref="N8:Q8"/>
    <mergeCell ref="N9:Q9"/>
    <mergeCell ref="N11:Q11"/>
  </mergeCells>
  <conditionalFormatting sqref="B23:L382 F22">
    <cfRule type="expression" dxfId="0" priority="1">
      <formula>IF($C22&gt;=$I$3,TRUE,FALSE)</formula>
    </cfRule>
  </conditionalFormatting>
  <conditionalFormatting sqref="B23:L382 F22">
    <cfRule type="expression" dxfId="1" priority="2">
      <formula>IF($C22&lt;=$I$3,TRUE,FALSE)</formula>
    </cfRule>
  </conditionalFormatting>
  <conditionalFormatting sqref="B22:L22">
    <cfRule type="expression" dxfId="1" priority="3">
      <formula>IF($D$3&lt;$I$3,TRUE,FALSE)</formula>
    </cfRule>
  </conditionalFormatting>
  <conditionalFormatting sqref="B22:L22">
    <cfRule type="expression" dxfId="0" priority="4">
      <formula>IF($D$3&gt;=$I$3,TRUE,FALSE)</formula>
    </cfRule>
  </conditionalFormatting>
  <printOptions/>
  <pageMargins bottom="1.0" footer="0.0" header="0.0" left="0.75" right="0.75" top="1.0"/>
  <pageSetup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00B0F0"/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13.29"/>
    <col customWidth="1" min="3" max="3" width="12.43"/>
    <col customWidth="1" min="4" max="5" width="8.71"/>
    <col customWidth="1" min="6" max="6" width="17.71"/>
    <col customWidth="1" min="7" max="26" width="8.71"/>
  </cols>
  <sheetData>
    <row r="1" ht="12.75" customHeight="1"/>
    <row r="2" ht="12.75" customHeight="1">
      <c r="B2" s="120" t="s">
        <v>47</v>
      </c>
      <c r="C2" s="121"/>
      <c r="F2" s="122" t="s">
        <v>48</v>
      </c>
      <c r="G2" s="123"/>
    </row>
    <row r="3" ht="12.75" customHeight="1">
      <c r="B3" s="124" t="s">
        <v>49</v>
      </c>
      <c r="C3" s="125">
        <v>178000.0</v>
      </c>
      <c r="F3" s="126">
        <f>PV(Rate_Var2/12,Num_Pds2,-Pmt_Var2)</f>
        <v>178000.0018</v>
      </c>
    </row>
    <row r="4" ht="12.75" customHeight="1">
      <c r="B4" s="124" t="s">
        <v>50</v>
      </c>
      <c r="C4" s="127">
        <v>360.0</v>
      </c>
      <c r="F4" s="128">
        <f>NPER(Rate_Var2/12,-Pmt_Var2,Bal_Var2,0)</f>
        <v>359.9999909</v>
      </c>
    </row>
    <row r="5" ht="12.75" customHeight="1">
      <c r="B5" s="124" t="s">
        <v>51</v>
      </c>
      <c r="C5" s="129">
        <v>0.0525</v>
      </c>
      <c r="F5" s="130">
        <f>RATE(Num_Pds2,-Pmt_Var2,Bal_Var2)*12</f>
        <v>0.05250000092</v>
      </c>
    </row>
    <row r="6" ht="12.75" customHeight="1">
      <c r="B6" s="131" t="s">
        <v>36</v>
      </c>
      <c r="C6" s="132">
        <v>982.9226</v>
      </c>
      <c r="F6" s="133">
        <f>-PMT(Rate_Var2/12,Num_Pds2,Bal_Var2,0)</f>
        <v>982.9225898</v>
      </c>
    </row>
    <row r="7" ht="12.75" customHeight="1"/>
    <row r="8" ht="12.75" customHeight="1"/>
    <row r="9" ht="12.75" customHeight="1"/>
    <row r="10" ht="12.75" customHeight="1"/>
    <row r="11" ht="12.75" customHeight="1">
      <c r="F11" s="134"/>
    </row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2:C2"/>
  </mergeCells>
  <printOptions/>
  <pageMargins bottom="0.75" footer="0.0" header="0.0" left="0.7" right="0.7" top="0.75"/>
  <pageSetup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C2D69B"/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21.71"/>
    <col customWidth="1" min="3" max="3" width="16.0"/>
    <col customWidth="1" min="4" max="4" width="17.86"/>
    <col customWidth="1" min="5" max="5" width="11.29"/>
    <col customWidth="1" min="6" max="26" width="8.71"/>
  </cols>
  <sheetData>
    <row r="1" ht="12.75" customHeight="1"/>
    <row r="2" ht="12.75" customHeight="1">
      <c r="B2" s="135" t="s">
        <v>52</v>
      </c>
      <c r="C2" s="121"/>
    </row>
    <row r="3" ht="12.75" customHeight="1">
      <c r="B3" s="136" t="s">
        <v>7</v>
      </c>
      <c r="C3" s="137">
        <f>178000</f>
        <v>178000</v>
      </c>
    </row>
    <row r="4" ht="12.75" customHeight="1">
      <c r="B4" s="136" t="s">
        <v>11</v>
      </c>
      <c r="C4" s="138">
        <v>30.0</v>
      </c>
    </row>
    <row r="5" ht="12.75" customHeight="1">
      <c r="B5" s="139" t="s">
        <v>13</v>
      </c>
      <c r="C5" s="140">
        <v>12.0</v>
      </c>
    </row>
    <row r="6" ht="12.75" customHeight="1"/>
    <row r="7" ht="12.75" customHeight="1">
      <c r="B7" s="141" t="s">
        <v>53</v>
      </c>
      <c r="C7" s="142" t="s">
        <v>54</v>
      </c>
      <c r="D7" s="143" t="s">
        <v>55</v>
      </c>
    </row>
    <row r="8" ht="12.75" customHeight="1">
      <c r="B8" s="136" t="s">
        <v>10</v>
      </c>
      <c r="C8" s="144">
        <v>0.0575</v>
      </c>
      <c r="D8" s="129">
        <v>0.0525</v>
      </c>
    </row>
    <row r="9" ht="12.75" customHeight="1">
      <c r="B9" s="136" t="s">
        <v>56</v>
      </c>
      <c r="C9" s="145">
        <f>-PMT($C$8/$C$5,$C$4*$C$5,$C$3)</f>
        <v>1038.759684</v>
      </c>
      <c r="D9" s="146">
        <f>-PMT($D$8/$C$5,$C$4*$C$5,$C$3)</f>
        <v>982.9225898</v>
      </c>
    </row>
    <row r="10" ht="12.75" customHeight="1">
      <c r="B10" s="136" t="s">
        <v>57</v>
      </c>
      <c r="C10" s="144">
        <v>0.0</v>
      </c>
      <c r="D10" s="129">
        <v>0.02</v>
      </c>
    </row>
    <row r="11" ht="12.75" customHeight="1">
      <c r="B11" s="139" t="s">
        <v>58</v>
      </c>
      <c r="C11" s="147">
        <f>$C$3*$C$10</f>
        <v>0</v>
      </c>
      <c r="D11" s="148">
        <f>$C$3*$D$10</f>
        <v>3560</v>
      </c>
    </row>
    <row r="12" ht="12.0" customHeight="1"/>
    <row r="13" ht="27.75" customHeight="1">
      <c r="B13" s="149" t="s">
        <v>59</v>
      </c>
      <c r="C13" s="149" t="s">
        <v>60</v>
      </c>
      <c r="D13" s="149" t="s">
        <v>60</v>
      </c>
      <c r="E13" s="150" t="s">
        <v>61</v>
      </c>
    </row>
    <row r="14" ht="12.75" customHeight="1">
      <c r="B14" s="151">
        <v>1.0</v>
      </c>
      <c r="C14" s="152">
        <f t="shared" ref="C14:C43" si="1">IF($B14&lt;=$C$4,($C$9*($C$5*$B14)+$C$11),0)</f>
        <v>12465.11621</v>
      </c>
      <c r="D14" s="152">
        <f t="shared" ref="D14:D43" si="2">IF($B14&lt;=$C$4,($D$9*($C$5*$B14)+$D$11),0)</f>
        <v>15355.07108</v>
      </c>
      <c r="E14" s="153">
        <f t="shared" ref="E14:E43" si="3">D14-C14</f>
        <v>2889.954864</v>
      </c>
    </row>
    <row r="15" ht="12.75" customHeight="1">
      <c r="B15" s="151">
        <v>2.0</v>
      </c>
      <c r="C15" s="152">
        <f t="shared" si="1"/>
        <v>24930.23243</v>
      </c>
      <c r="D15" s="152">
        <f t="shared" si="2"/>
        <v>27150.14216</v>
      </c>
      <c r="E15" s="153">
        <f t="shared" si="3"/>
        <v>2219.909728</v>
      </c>
    </row>
    <row r="16" ht="12.75" customHeight="1">
      <c r="B16" s="151">
        <v>3.0</v>
      </c>
      <c r="C16" s="152">
        <f t="shared" si="1"/>
        <v>37395.34864</v>
      </c>
      <c r="D16" s="152">
        <f t="shared" si="2"/>
        <v>38945.21323</v>
      </c>
      <c r="E16" s="153">
        <f t="shared" si="3"/>
        <v>1549.864592</v>
      </c>
    </row>
    <row r="17" ht="12.75" customHeight="1">
      <c r="B17" s="151">
        <v>4.0</v>
      </c>
      <c r="C17" s="152">
        <f t="shared" si="1"/>
        <v>49860.46485</v>
      </c>
      <c r="D17" s="152">
        <f t="shared" si="2"/>
        <v>50740.28431</v>
      </c>
      <c r="E17" s="153">
        <f t="shared" si="3"/>
        <v>879.8194565</v>
      </c>
    </row>
    <row r="18" ht="12.75" customHeight="1">
      <c r="B18" s="151">
        <v>5.0</v>
      </c>
      <c r="C18" s="152">
        <f t="shared" si="1"/>
        <v>62325.58107</v>
      </c>
      <c r="D18" s="152">
        <f t="shared" si="2"/>
        <v>62535.35539</v>
      </c>
      <c r="E18" s="153">
        <f t="shared" si="3"/>
        <v>209.7743206</v>
      </c>
    </row>
    <row r="19" ht="12.75" customHeight="1">
      <c r="B19" s="151">
        <v>6.0</v>
      </c>
      <c r="C19" s="152">
        <f t="shared" si="1"/>
        <v>74790.69728</v>
      </c>
      <c r="D19" s="152">
        <f t="shared" si="2"/>
        <v>74330.42647</v>
      </c>
      <c r="E19" s="153">
        <f t="shared" si="3"/>
        <v>-460.2708153</v>
      </c>
    </row>
    <row r="20" ht="12.75" customHeight="1">
      <c r="B20" s="151">
        <v>7.0</v>
      </c>
      <c r="C20" s="152">
        <f t="shared" si="1"/>
        <v>87255.8135</v>
      </c>
      <c r="D20" s="152">
        <f t="shared" si="2"/>
        <v>86125.49754</v>
      </c>
      <c r="E20" s="153">
        <f t="shared" si="3"/>
        <v>-1130.315951</v>
      </c>
    </row>
    <row r="21" ht="12.75" customHeight="1">
      <c r="B21" s="151">
        <v>8.0</v>
      </c>
      <c r="C21" s="152">
        <f t="shared" si="1"/>
        <v>99720.92971</v>
      </c>
      <c r="D21" s="152">
        <f t="shared" si="2"/>
        <v>97920.56862</v>
      </c>
      <c r="E21" s="153">
        <f t="shared" si="3"/>
        <v>-1800.361087</v>
      </c>
    </row>
    <row r="22" ht="12.75" customHeight="1">
      <c r="B22" s="151">
        <v>9.0</v>
      </c>
      <c r="C22" s="152">
        <f t="shared" si="1"/>
        <v>112186.0459</v>
      </c>
      <c r="D22" s="152">
        <f t="shared" si="2"/>
        <v>109715.6397</v>
      </c>
      <c r="E22" s="153">
        <f t="shared" si="3"/>
        <v>-2470.406223</v>
      </c>
    </row>
    <row r="23" ht="12.75" customHeight="1">
      <c r="B23" s="151">
        <v>10.0</v>
      </c>
      <c r="C23" s="152">
        <f t="shared" si="1"/>
        <v>124651.1621</v>
      </c>
      <c r="D23" s="152">
        <f t="shared" si="2"/>
        <v>121510.7108</v>
      </c>
      <c r="E23" s="153">
        <f t="shared" si="3"/>
        <v>-3140.451359</v>
      </c>
    </row>
    <row r="24" ht="12.75" customHeight="1">
      <c r="B24" s="151">
        <v>11.0</v>
      </c>
      <c r="C24" s="152">
        <f t="shared" si="1"/>
        <v>137116.2783</v>
      </c>
      <c r="D24" s="152">
        <f t="shared" si="2"/>
        <v>133305.7819</v>
      </c>
      <c r="E24" s="153">
        <f t="shared" si="3"/>
        <v>-3810.496495</v>
      </c>
    </row>
    <row r="25" ht="12.75" customHeight="1">
      <c r="B25" s="151">
        <v>12.0</v>
      </c>
      <c r="C25" s="152">
        <f t="shared" si="1"/>
        <v>149581.3946</v>
      </c>
      <c r="D25" s="152">
        <f t="shared" si="2"/>
        <v>145100.8529</v>
      </c>
      <c r="E25" s="153">
        <f t="shared" si="3"/>
        <v>-4480.541631</v>
      </c>
    </row>
    <row r="26" ht="12.75" customHeight="1">
      <c r="B26" s="151">
        <v>13.0</v>
      </c>
      <c r="C26" s="152">
        <f t="shared" si="1"/>
        <v>162046.5108</v>
      </c>
      <c r="D26" s="152">
        <f t="shared" si="2"/>
        <v>156895.924</v>
      </c>
      <c r="E26" s="153">
        <f t="shared" si="3"/>
        <v>-5150.586766</v>
      </c>
    </row>
    <row r="27" ht="12.75" customHeight="1">
      <c r="B27" s="151">
        <v>14.0</v>
      </c>
      <c r="C27" s="152">
        <f t="shared" si="1"/>
        <v>174511.627</v>
      </c>
      <c r="D27" s="152">
        <f t="shared" si="2"/>
        <v>168690.9951</v>
      </c>
      <c r="E27" s="153">
        <f t="shared" si="3"/>
        <v>-5820.631902</v>
      </c>
    </row>
    <row r="28" ht="12.75" customHeight="1">
      <c r="B28" s="151">
        <v>15.0</v>
      </c>
      <c r="C28" s="152">
        <f t="shared" si="1"/>
        <v>186976.7432</v>
      </c>
      <c r="D28" s="152">
        <f t="shared" si="2"/>
        <v>180486.0662</v>
      </c>
      <c r="E28" s="153">
        <f t="shared" si="3"/>
        <v>-6490.677038</v>
      </c>
    </row>
    <row r="29" ht="12.75" customHeight="1">
      <c r="B29" s="151">
        <v>16.0</v>
      </c>
      <c r="C29" s="152">
        <f t="shared" si="1"/>
        <v>199441.8594</v>
      </c>
      <c r="D29" s="152">
        <f t="shared" si="2"/>
        <v>192281.1372</v>
      </c>
      <c r="E29" s="153">
        <f t="shared" si="3"/>
        <v>-7160.722174</v>
      </c>
    </row>
    <row r="30" ht="12.75" customHeight="1">
      <c r="B30" s="151">
        <v>17.0</v>
      </c>
      <c r="C30" s="152">
        <f t="shared" si="1"/>
        <v>211906.9756</v>
      </c>
      <c r="D30" s="152">
        <f t="shared" si="2"/>
        <v>204076.2083</v>
      </c>
      <c r="E30" s="153">
        <f t="shared" si="3"/>
        <v>-7830.76731</v>
      </c>
    </row>
    <row r="31" ht="12.75" customHeight="1">
      <c r="B31" s="151">
        <v>18.0</v>
      </c>
      <c r="C31" s="152">
        <f t="shared" si="1"/>
        <v>224372.0918</v>
      </c>
      <c r="D31" s="152">
        <f t="shared" si="2"/>
        <v>215871.2794</v>
      </c>
      <c r="E31" s="153">
        <f t="shared" si="3"/>
        <v>-8500.812446</v>
      </c>
    </row>
    <row r="32" ht="12.75" customHeight="1">
      <c r="B32" s="151">
        <v>19.0</v>
      </c>
      <c r="C32" s="152">
        <f t="shared" si="1"/>
        <v>236837.2081</v>
      </c>
      <c r="D32" s="152">
        <f t="shared" si="2"/>
        <v>227666.3505</v>
      </c>
      <c r="E32" s="153">
        <f t="shared" si="3"/>
        <v>-9170.857582</v>
      </c>
    </row>
    <row r="33" ht="12.75" customHeight="1">
      <c r="B33" s="151">
        <v>20.0</v>
      </c>
      <c r="C33" s="152">
        <f t="shared" si="1"/>
        <v>249302.3243</v>
      </c>
      <c r="D33" s="152">
        <f t="shared" si="2"/>
        <v>239461.4216</v>
      </c>
      <c r="E33" s="153">
        <f t="shared" si="3"/>
        <v>-9840.902718</v>
      </c>
    </row>
    <row r="34" ht="12.75" customHeight="1">
      <c r="B34" s="151">
        <v>21.0</v>
      </c>
      <c r="C34" s="152">
        <f t="shared" si="1"/>
        <v>261767.4405</v>
      </c>
      <c r="D34" s="152">
        <f t="shared" si="2"/>
        <v>251256.4926</v>
      </c>
      <c r="E34" s="153">
        <f t="shared" si="3"/>
        <v>-10510.94785</v>
      </c>
    </row>
    <row r="35" ht="12.75" customHeight="1">
      <c r="B35" s="151">
        <v>22.0</v>
      </c>
      <c r="C35" s="152">
        <f t="shared" si="1"/>
        <v>274232.5567</v>
      </c>
      <c r="D35" s="152">
        <f t="shared" si="2"/>
        <v>263051.5637</v>
      </c>
      <c r="E35" s="153">
        <f t="shared" si="3"/>
        <v>-11180.99299</v>
      </c>
    </row>
    <row r="36" ht="12.75" customHeight="1">
      <c r="B36" s="151">
        <v>23.0</v>
      </c>
      <c r="C36" s="152">
        <f t="shared" si="1"/>
        <v>286697.6729</v>
      </c>
      <c r="D36" s="152">
        <f t="shared" si="2"/>
        <v>274846.6348</v>
      </c>
      <c r="E36" s="153">
        <f t="shared" si="3"/>
        <v>-11851.03813</v>
      </c>
    </row>
    <row r="37" ht="12.75" customHeight="1">
      <c r="B37" s="151">
        <v>24.0</v>
      </c>
      <c r="C37" s="152">
        <f t="shared" si="1"/>
        <v>299162.7891</v>
      </c>
      <c r="D37" s="152">
        <f t="shared" si="2"/>
        <v>286641.7059</v>
      </c>
      <c r="E37" s="153">
        <f t="shared" si="3"/>
        <v>-12521.08326</v>
      </c>
    </row>
    <row r="38" ht="12.75" customHeight="1">
      <c r="B38" s="151">
        <v>25.0</v>
      </c>
      <c r="C38" s="152">
        <f t="shared" si="1"/>
        <v>311627.9053</v>
      </c>
      <c r="D38" s="152">
        <f t="shared" si="2"/>
        <v>298436.7769</v>
      </c>
      <c r="E38" s="153">
        <f t="shared" si="3"/>
        <v>-13191.1284</v>
      </c>
    </row>
    <row r="39" ht="12.75" customHeight="1">
      <c r="B39" s="151">
        <v>26.0</v>
      </c>
      <c r="C39" s="152">
        <f t="shared" si="1"/>
        <v>324093.0216</v>
      </c>
      <c r="D39" s="152">
        <f t="shared" si="2"/>
        <v>310231.848</v>
      </c>
      <c r="E39" s="153">
        <f t="shared" si="3"/>
        <v>-13861.17353</v>
      </c>
    </row>
    <row r="40" ht="12.75" customHeight="1">
      <c r="B40" s="151">
        <v>27.0</v>
      </c>
      <c r="C40" s="152">
        <f t="shared" si="1"/>
        <v>336558.1378</v>
      </c>
      <c r="D40" s="152">
        <f t="shared" si="2"/>
        <v>322026.9191</v>
      </c>
      <c r="E40" s="153">
        <f t="shared" si="3"/>
        <v>-14531.21867</v>
      </c>
    </row>
    <row r="41" ht="12.75" customHeight="1">
      <c r="B41" s="151">
        <v>28.0</v>
      </c>
      <c r="C41" s="152">
        <f t="shared" si="1"/>
        <v>349023.254</v>
      </c>
      <c r="D41" s="152">
        <f t="shared" si="2"/>
        <v>333821.9902</v>
      </c>
      <c r="E41" s="153">
        <f t="shared" si="3"/>
        <v>-15201.2638</v>
      </c>
    </row>
    <row r="42" ht="12.75" customHeight="1">
      <c r="B42" s="151">
        <v>29.0</v>
      </c>
      <c r="C42" s="152">
        <f t="shared" si="1"/>
        <v>361488.3702</v>
      </c>
      <c r="D42" s="152">
        <f t="shared" si="2"/>
        <v>345617.0613</v>
      </c>
      <c r="E42" s="153">
        <f t="shared" si="3"/>
        <v>-15871.30894</v>
      </c>
    </row>
    <row r="43" ht="12.75" customHeight="1">
      <c r="B43" s="154">
        <v>30.0</v>
      </c>
      <c r="C43" s="155">
        <f t="shared" si="1"/>
        <v>373953.4864</v>
      </c>
      <c r="D43" s="155">
        <f t="shared" si="2"/>
        <v>357412.1323</v>
      </c>
      <c r="E43" s="156">
        <f t="shared" si="3"/>
        <v>-16541.35408</v>
      </c>
    </row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">
    <mergeCell ref="B2:C2"/>
  </mergeCells>
  <conditionalFormatting sqref="C14:C43">
    <cfRule type="expression" dxfId="2" priority="1">
      <formula>IF($C14&gt;$D14,TRUE,FALSE)</formula>
    </cfRule>
  </conditionalFormatting>
  <conditionalFormatting sqref="C14:C43">
    <cfRule type="expression" dxfId="3" priority="2">
      <formula>IF($C14&lt;$D14,TRUE,FALSE)</formula>
    </cfRule>
  </conditionalFormatting>
  <conditionalFormatting sqref="D14:D43">
    <cfRule type="expression" dxfId="2" priority="3">
      <formula>IF($D14&gt;$C14,TRUE,FALSE)</formula>
    </cfRule>
  </conditionalFormatting>
  <conditionalFormatting sqref="D14:D43">
    <cfRule type="expression" dxfId="3" priority="4">
      <formula>IF($D14&lt;$C14,TRUE,FALSE)</formula>
    </cfRule>
  </conditionalFormatting>
  <printOptions/>
  <pageMargins bottom="0.75" footer="0.0" header="0.0" left="0.7" right="0.7" top="0.75"/>
  <pageSetup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tabColor rgb="FFE5B8B7"/>
    <pageSetUpPr/>
  </sheetPr>
  <sheetViews>
    <sheetView showGridLines="0" workbookViewId="0"/>
  </sheetViews>
  <sheetFormatPr customHeight="1" defaultColWidth="14.43" defaultRowHeight="15.0"/>
  <cols>
    <col customWidth="1" min="1" max="1" width="8.71"/>
    <col customWidth="1" min="2" max="2" width="35.29"/>
    <col customWidth="1" min="3" max="3" width="20.86"/>
    <col customWidth="1" min="4" max="4" width="8.71"/>
    <col customWidth="1" min="5" max="5" width="40.0"/>
    <col customWidth="1" min="6" max="6" width="24.86"/>
    <col customWidth="1" min="7" max="7" width="13.43"/>
    <col customWidth="1" min="8" max="8" width="33.29"/>
    <col customWidth="1" min="9" max="9" width="17.0"/>
    <col customWidth="1" min="10" max="26" width="8.71"/>
  </cols>
  <sheetData>
    <row r="1" ht="12.75" customHeight="1"/>
    <row r="2" ht="12.75" customHeight="1">
      <c r="B2" s="135" t="s">
        <v>62</v>
      </c>
      <c r="C2" s="121"/>
      <c r="E2" s="119"/>
    </row>
    <row r="3" ht="12.75" customHeight="1"/>
    <row r="4" ht="12.75" customHeight="1">
      <c r="B4" s="135" t="s">
        <v>63</v>
      </c>
      <c r="C4" s="121"/>
      <c r="E4" s="135" t="s">
        <v>64</v>
      </c>
      <c r="F4" s="157"/>
      <c r="G4" s="157"/>
      <c r="H4" s="157"/>
      <c r="I4" s="121"/>
    </row>
    <row r="5" ht="12.75" customHeight="1"/>
    <row r="6" ht="12.75" customHeight="1">
      <c r="B6" s="135" t="s">
        <v>65</v>
      </c>
      <c r="C6" s="121"/>
      <c r="E6" s="158" t="s">
        <v>66</v>
      </c>
      <c r="F6" s="159">
        <v>199523.49</v>
      </c>
      <c r="H6" s="135" t="s">
        <v>67</v>
      </c>
      <c r="I6" s="121"/>
    </row>
    <row r="7" ht="12.75" customHeight="1">
      <c r="B7" s="136" t="s">
        <v>68</v>
      </c>
      <c r="C7" s="159">
        <f>2%*'Rate Buydown'!$C$3</f>
        <v>3560</v>
      </c>
      <c r="E7" s="160" t="s">
        <v>69</v>
      </c>
      <c r="F7" s="161">
        <v>175852.13</v>
      </c>
      <c r="H7" s="136" t="s">
        <v>68</v>
      </c>
      <c r="I7" s="159">
        <f>2%*'Rate Buydown'!$C$3</f>
        <v>3560</v>
      </c>
    </row>
    <row r="8" ht="12.75" customHeight="1">
      <c r="B8" s="136" t="s">
        <v>70</v>
      </c>
      <c r="C8" s="161">
        <f>0.5%*'Rate Buydown'!$C$3</f>
        <v>890</v>
      </c>
      <c r="E8" s="162" t="s">
        <v>71</v>
      </c>
      <c r="F8" s="163">
        <f>$I$18</f>
        <v>11034.2902</v>
      </c>
      <c r="H8" s="136" t="s">
        <v>70</v>
      </c>
      <c r="I8" s="161">
        <f>0.5%*'Rate Buydown'!$C$3</f>
        <v>890</v>
      </c>
    </row>
    <row r="9" ht="12.75" customHeight="1">
      <c r="B9" s="136" t="s">
        <v>72</v>
      </c>
      <c r="C9" s="161">
        <v>600.0</v>
      </c>
      <c r="E9" s="162" t="s">
        <v>73</v>
      </c>
      <c r="F9" s="163">
        <f>$F$7+$F$8</f>
        <v>186886.4202</v>
      </c>
      <c r="H9" s="136" t="s">
        <v>72</v>
      </c>
      <c r="I9" s="161">
        <v>600.0</v>
      </c>
    </row>
    <row r="10" ht="12.75" customHeight="1">
      <c r="B10" s="136" t="s">
        <v>74</v>
      </c>
      <c r="C10" s="161">
        <v>50.0</v>
      </c>
      <c r="E10" s="164" t="s">
        <v>75</v>
      </c>
      <c r="F10" s="165">
        <f>$F$6-$F$9</f>
        <v>12637.0698</v>
      </c>
      <c r="H10" s="136" t="s">
        <v>74</v>
      </c>
      <c r="I10" s="161">
        <v>50.0</v>
      </c>
    </row>
    <row r="11" ht="12.75" customHeight="1">
      <c r="B11" s="136" t="s">
        <v>76</v>
      </c>
      <c r="C11" s="161">
        <v>0.0</v>
      </c>
      <c r="E11" s="166" t="s">
        <v>77</v>
      </c>
      <c r="F11" s="167"/>
      <c r="H11" s="136" t="s">
        <v>76</v>
      </c>
      <c r="I11" s="161">
        <v>0.0</v>
      </c>
    </row>
    <row r="12" ht="12.75" customHeight="1">
      <c r="B12" s="136" t="s">
        <v>78</v>
      </c>
      <c r="C12" s="161">
        <v>700.0</v>
      </c>
      <c r="E12" s="166" t="s">
        <v>79</v>
      </c>
      <c r="F12" s="167"/>
      <c r="H12" s="136" t="s">
        <v>78</v>
      </c>
      <c r="I12" s="161">
        <v>700.0</v>
      </c>
    </row>
    <row r="13" ht="12.75" customHeight="1">
      <c r="B13" s="136" t="s">
        <v>80</v>
      </c>
      <c r="C13" s="161">
        <v>325.0</v>
      </c>
      <c r="E13" s="166" t="s">
        <v>81</v>
      </c>
      <c r="F13" s="167"/>
      <c r="H13" s="136" t="s">
        <v>80</v>
      </c>
      <c r="I13" s="161">
        <v>325.0</v>
      </c>
    </row>
    <row r="14" ht="12.75" customHeight="1">
      <c r="B14" s="136" t="s">
        <v>82</v>
      </c>
      <c r="C14" s="161">
        <v>300.0</v>
      </c>
      <c r="E14" s="166" t="s">
        <v>83</v>
      </c>
      <c r="F14" s="167"/>
      <c r="H14" s="136" t="s">
        <v>82</v>
      </c>
      <c r="I14" s="161">
        <v>300.0</v>
      </c>
    </row>
    <row r="15" ht="12.75" customHeight="1">
      <c r="B15" s="136" t="s">
        <v>84</v>
      </c>
      <c r="C15" s="161">
        <v>750.0</v>
      </c>
      <c r="E15" s="166" t="s">
        <v>85</v>
      </c>
      <c r="F15" s="167"/>
      <c r="H15" s="136" t="s">
        <v>84</v>
      </c>
      <c r="I15" s="161">
        <v>750.0</v>
      </c>
    </row>
    <row r="16" ht="12.75" customHeight="1">
      <c r="B16" s="136" t="s">
        <v>86</v>
      </c>
      <c r="C16" s="161">
        <v>300.0</v>
      </c>
      <c r="E16" s="166" t="s">
        <v>87</v>
      </c>
      <c r="F16" s="167"/>
      <c r="H16" s="136" t="s">
        <v>86</v>
      </c>
      <c r="I16" s="161">
        <v>300.0</v>
      </c>
    </row>
    <row r="17" ht="13.5" customHeight="1">
      <c r="B17" s="136" t="s">
        <v>88</v>
      </c>
      <c r="C17" s="161">
        <f>2%*177964.51</f>
        <v>3559.2902</v>
      </c>
      <c r="E17" s="166"/>
      <c r="F17" s="168"/>
      <c r="H17" s="136" t="s">
        <v>88</v>
      </c>
      <c r="I17" s="161">
        <f>2%*177964.51</f>
        <v>3559.2902</v>
      </c>
    </row>
    <row r="18" ht="12.75" customHeight="1">
      <c r="B18" s="169" t="s">
        <v>71</v>
      </c>
      <c r="C18" s="170">
        <f>SUM(C7:C17)</f>
        <v>11034.2902</v>
      </c>
      <c r="E18" s="171"/>
      <c r="F18" s="172"/>
      <c r="H18" s="169" t="s">
        <v>71</v>
      </c>
      <c r="I18" s="170">
        <f>SUM(I7:I17)</f>
        <v>11034.2902</v>
      </c>
    </row>
    <row r="19" ht="12.75" customHeight="1">
      <c r="B19" s="136" t="s">
        <v>89</v>
      </c>
      <c r="C19" s="161">
        <v>1169.33</v>
      </c>
      <c r="E19" s="173" t="s">
        <v>90</v>
      </c>
      <c r="F19" s="174"/>
    </row>
    <row r="20" ht="12.75" customHeight="1">
      <c r="B20" s="136" t="s">
        <v>91</v>
      </c>
      <c r="C20" s="161">
        <f>Pmt_Var2</f>
        <v>982.9226</v>
      </c>
      <c r="E20" s="166" t="s">
        <v>92</v>
      </c>
      <c r="F20" s="168"/>
    </row>
    <row r="21" ht="12.75" customHeight="1">
      <c r="B21" s="169" t="s">
        <v>93</v>
      </c>
      <c r="C21" s="170">
        <f>C19-C20</f>
        <v>186.4074</v>
      </c>
      <c r="E21" s="166" t="s">
        <v>94</v>
      </c>
      <c r="F21" s="168"/>
    </row>
    <row r="22" ht="12.75" customHeight="1">
      <c r="B22" s="166" t="str">
        <f>"Is it worth paying "&amp;TEXT(C18,"$#,###.00")&amp;" today to save "&amp;TEXT(C21,"$#,###.00")&amp;" per month "</f>
        <v>Is it worth paying $11,034.29 today to save $186.41 per month </v>
      </c>
      <c r="C22" s="168"/>
      <c r="E22" s="171" t="s">
        <v>95</v>
      </c>
      <c r="F22" s="172"/>
    </row>
    <row r="23" ht="12.75" customHeight="1">
      <c r="B23" s="166" t="s">
        <v>96</v>
      </c>
      <c r="C23" s="168"/>
    </row>
    <row r="24" ht="12.75" customHeight="1">
      <c r="B24" s="173" t="s">
        <v>97</v>
      </c>
      <c r="C24" s="175">
        <f>C18/C21</f>
        <v>59.19448584</v>
      </c>
    </row>
    <row r="25" ht="12.75" customHeight="1">
      <c r="B25" s="176" t="s">
        <v>98</v>
      </c>
      <c r="C25" s="172"/>
      <c r="E25" s="177"/>
    </row>
    <row r="26" ht="12.75" customHeight="1">
      <c r="B26" s="178"/>
      <c r="E26" s="177"/>
    </row>
    <row r="27" ht="12.75" customHeight="1">
      <c r="E27" s="177"/>
    </row>
    <row r="28" ht="12.75" customHeight="1">
      <c r="E28" s="177"/>
    </row>
    <row r="29" ht="12.75" customHeight="1">
      <c r="E29" s="177"/>
    </row>
    <row r="30" ht="12.75" customHeight="1">
      <c r="E30" s="119"/>
    </row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5">
    <mergeCell ref="B2:C2"/>
    <mergeCell ref="B4:C4"/>
    <mergeCell ref="E4:I4"/>
    <mergeCell ref="B6:C6"/>
    <mergeCell ref="H6:I6"/>
  </mergeCells>
  <printOptions/>
  <pageMargins bottom="0.75" footer="0.0" header="0.0" left="0.7" right="0.7" top="0.75"/>
  <pageSetup orientation="portrait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2003-01-08T21:38:30Z</dcterms:created>
  <dc:creator>galbraithk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344eb53b-b373-4b3b-9b55-6f09fd62a1ba</vt:lpwstr>
  </property>
</Properties>
</file>