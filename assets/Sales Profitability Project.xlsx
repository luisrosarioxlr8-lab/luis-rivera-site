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slicers/slicer4.xml" ContentType="application/vnd.ms-excel.slicer+xml"/>
  <Override PartName="/xl/charts/chart25.xml" ContentType="application/vnd.openxmlformats-officedocument.drawingml.chart+xml"/>
  <Override PartName="/xl/charts/chart26.xml" ContentType="application/vnd.openxmlformats-officedocument.drawingml.chart+xml"/>
  <Override PartName="/xl/charts/style22.xml" ContentType="application/vnd.ms-office.chartstyle+xml"/>
  <Override PartName="/xl/charts/colors22.xml" ContentType="application/vnd.ms-office.chartcolorstyle+xml"/>
  <Override PartName="/xl/charts/chart27.xml" ContentType="application/vnd.openxmlformats-officedocument.drawingml.chart+xml"/>
  <Override PartName="/xl/charts/style23.xml" ContentType="application/vnd.ms-office.chartstyle+xml"/>
  <Override PartName="/xl/charts/colors23.xml" ContentType="application/vnd.ms-office.chartcolorstyle+xml"/>
  <Override PartName="/xl/charts/chart28.xml" ContentType="application/vnd.openxmlformats-officedocument.drawingml.chart+xml"/>
  <Override PartName="/xl/charts/chart29.xml" ContentType="application/vnd.openxmlformats-officedocument.drawingml.chart+xml"/>
  <Override PartName="/xl/charts/style24.xml" ContentType="application/vnd.ms-office.chartstyle+xml"/>
  <Override PartName="/xl/charts/colors24.xml" ContentType="application/vnd.ms-office.chartcolorstyle+xml"/>
  <Override PartName="/xl/charts/chart30.xml" ContentType="application/vnd.openxmlformats-officedocument.drawingml.chart+xml"/>
  <Override PartName="/xl/charts/style25.xml" ContentType="application/vnd.ms-office.chartstyle+xml"/>
  <Override PartName="/xl/charts/colors25.xml" ContentType="application/vnd.ms-office.chartcolorstyle+xml"/>
  <Override PartName="/xl/charts/chart31.xml" ContentType="application/vnd.openxmlformats-officedocument.drawingml.chart+xml"/>
  <Override PartName="/xl/charts/chart32.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xml" ContentType="application/vnd.openxmlformats-officedocument.drawing+xml"/>
  <Override PartName="/xl/slicers/slicer5.xml" ContentType="application/vnd.ms-excel.slicer+xml"/>
  <Override PartName="/xl/charts/chart33.xml" ContentType="application/vnd.openxmlformats-officedocument.drawingml.chart+xml"/>
  <Override PartName="/xl/charts/style27.xml" ContentType="application/vnd.ms-office.chartstyle+xml"/>
  <Override PartName="/xl/charts/colors27.xml" ContentType="application/vnd.ms-office.chartcolorstyle+xml"/>
  <Override PartName="/xl/charts/chart34.xml" ContentType="application/vnd.openxmlformats-officedocument.drawingml.chart+xml"/>
  <Override PartName="/xl/charts/style28.xml" ContentType="application/vnd.ms-office.chartstyle+xml"/>
  <Override PartName="/xl/charts/colors28.xml" ContentType="application/vnd.ms-office.chartcolorstyle+xml"/>
  <Override PartName="/xl/charts/chart35.xml" ContentType="application/vnd.openxmlformats-officedocument.drawingml.chart+xml"/>
  <Override PartName="/xl/charts/style29.xml" ContentType="application/vnd.ms-office.chartstyle+xml"/>
  <Override PartName="/xl/charts/colors29.xml" ContentType="application/vnd.ms-office.chartcolorstyle+xml"/>
  <Override PartName="/xl/charts/chart36.xml" ContentType="application/vnd.openxmlformats-officedocument.drawingml.chart+xml"/>
  <Override PartName="/xl/charts/style30.xml" ContentType="application/vnd.ms-office.chartstyle+xml"/>
  <Override PartName="/xl/charts/colors30.xml" ContentType="application/vnd.ms-office.chartcolorstyle+xml"/>
  <Override PartName="/xl/charts/chart37.xml" ContentType="application/vnd.openxmlformats-officedocument.drawingml.chart+xml"/>
  <Override PartName="/xl/charts/style31.xml" ContentType="application/vnd.ms-office.chartstyle+xml"/>
  <Override PartName="/xl/charts/colors31.xml" ContentType="application/vnd.ms-office.chartcolorstyle+xml"/>
  <Override PartName="/xl/charts/chart38.xml" ContentType="application/vnd.openxmlformats-officedocument.drawingml.chart+xml"/>
  <Override PartName="/xl/charts/style32.xml" ContentType="application/vnd.ms-office.chartstyle+xml"/>
  <Override PartName="/xl/charts/colors32.xml" ContentType="application/vnd.ms-office.chartcolorstyle+xml"/>
  <Override PartName="/xl/charts/chart39.xml" ContentType="application/vnd.openxmlformats-officedocument.drawingml.chart+xml"/>
  <Override PartName="/xl/charts/chart40.xml" ContentType="application/vnd.openxmlformats-officedocument.drawingml.chart+xml"/>
  <Override PartName="/xl/drawings/drawing6.xml" ContentType="application/vnd.openxmlformats-officedocument.drawing+xml"/>
  <Override PartName="/xl/slicers/slicer6.xml" ContentType="application/vnd.ms-excel.slicer+xml"/>
  <Override PartName="/xl/charts/chart41.xml" ContentType="application/vnd.openxmlformats-officedocument.drawingml.chart+xml"/>
  <Override PartName="/xl/charts/style33.xml" ContentType="application/vnd.ms-office.chartstyle+xml"/>
  <Override PartName="/xl/charts/colors33.xml" ContentType="application/vnd.ms-office.chartcolorstyle+xml"/>
  <Override PartName="/xl/charts/chart42.xml" ContentType="application/vnd.openxmlformats-officedocument.drawingml.chart+xml"/>
  <Override PartName="/xl/charts/style34.xml" ContentType="application/vnd.ms-office.chartstyle+xml"/>
  <Override PartName="/xl/charts/colors34.xml" ContentType="application/vnd.ms-office.chartcolorstyle+xml"/>
  <Override PartName="/xl/charts/chart43.xml" ContentType="application/vnd.openxmlformats-officedocument.drawingml.chart+xml"/>
  <Override PartName="/xl/charts/style35.xml" ContentType="application/vnd.ms-office.chartstyle+xml"/>
  <Override PartName="/xl/charts/colors35.xml" ContentType="application/vnd.ms-office.chartcolorstyle+xml"/>
  <Override PartName="/xl/charts/chart44.xml" ContentType="application/vnd.openxmlformats-officedocument.drawingml.chart+xml"/>
  <Override PartName="/xl/charts/style36.xml" ContentType="application/vnd.ms-office.chartstyle+xml"/>
  <Override PartName="/xl/charts/colors36.xml" ContentType="application/vnd.ms-office.chartcolorstyle+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7.xml" ContentType="application/vnd.openxmlformats-officedocument.drawing+xml"/>
  <Override PartName="/xl/slicers/slicer7.xml" ContentType="application/vnd.ms-excel.slicer+xml"/>
  <Override PartName="/xl/charts/chart49.xml" ContentType="application/vnd.openxmlformats-officedocument.drawingml.chart+xml"/>
  <Override PartName="/xl/charts/style37.xml" ContentType="application/vnd.ms-office.chartstyle+xml"/>
  <Override PartName="/xl/charts/colors37.xml" ContentType="application/vnd.ms-office.chartcolorstyle+xml"/>
  <Override PartName="/xl/charts/chart50.xml" ContentType="application/vnd.openxmlformats-officedocument.drawingml.chart+xml"/>
  <Override PartName="/xl/charts/style38.xml" ContentType="application/vnd.ms-office.chartstyle+xml"/>
  <Override PartName="/xl/charts/colors38.xml" ContentType="application/vnd.ms-office.chartcolorstyle+xml"/>
  <Override PartName="/xl/charts/chart51.xml" ContentType="application/vnd.openxmlformats-officedocument.drawingml.chart+xml"/>
  <Override PartName="/xl/charts/style39.xml" ContentType="application/vnd.ms-office.chartstyle+xml"/>
  <Override PartName="/xl/charts/colors39.xml" ContentType="application/vnd.ms-office.chartcolorstyle+xml"/>
  <Override PartName="/xl/charts/chart52.xml" ContentType="application/vnd.openxmlformats-officedocument.drawingml.chart+xml"/>
  <Override PartName="/xl/charts/style40.xml" ContentType="application/vnd.ms-office.chartstyle+xml"/>
  <Override PartName="/xl/charts/colors40.xml" ContentType="application/vnd.ms-office.chartcolorstyle+xml"/>
  <Override PartName="/xl/charts/chart53.xml" ContentType="application/vnd.openxmlformats-officedocument.drawingml.chart+xml"/>
  <Override PartName="/xl/charts/style41.xml" ContentType="application/vnd.ms-office.chartstyle+xml"/>
  <Override PartName="/xl/charts/colors41.xml" ContentType="application/vnd.ms-office.chartcolorstyle+xml"/>
  <Override PartName="/xl/charts/chart54.xml" ContentType="application/vnd.openxmlformats-officedocument.drawingml.chart+xml"/>
  <Override PartName="/xl/charts/style42.xml" ContentType="application/vnd.ms-office.chartstyle+xml"/>
  <Override PartName="/xl/charts/colors42.xml" ContentType="application/vnd.ms-office.chartcolorstyle+xml"/>
  <Override PartName="/xl/charts/chart55.xml" ContentType="application/vnd.openxmlformats-officedocument.drawingml.chart+xml"/>
  <Override PartName="/xl/charts/chart56.xml" ContentType="application/vnd.openxmlformats-officedocument.drawingml.chart+xml"/>
  <Override PartName="/xl/charts/style43.xml" ContentType="application/vnd.ms-office.chartstyle+xml"/>
  <Override PartName="/xl/charts/colors43.xml" ContentType="application/vnd.ms-office.chartcolorstyle+xml"/>
  <Override PartName="/xl/charts/chart57.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8.xml" ContentType="application/vnd.openxmlformats-officedocument.drawing+xml"/>
  <Override PartName="/xl/slicers/slicer8.xml" ContentType="application/vnd.ms-excel.slicer+xml"/>
  <Override PartName="/xl/charts/chart58.xml" ContentType="application/vnd.openxmlformats-officedocument.drawingml.chart+xml"/>
  <Override PartName="/xl/charts/style45.xml" ContentType="application/vnd.ms-office.chartstyle+xml"/>
  <Override PartName="/xl/charts/colors45.xml" ContentType="application/vnd.ms-office.chartcolorstyle+xml"/>
  <Override PartName="/xl/charts/chart59.xml" ContentType="application/vnd.openxmlformats-officedocument.drawingml.chart+xml"/>
  <Override PartName="/xl/charts/style46.xml" ContentType="application/vnd.ms-office.chartstyle+xml"/>
  <Override PartName="/xl/charts/colors46.xml" ContentType="application/vnd.ms-office.chartcolorstyle+xml"/>
  <Override PartName="/xl/charts/chart60.xml" ContentType="application/vnd.openxmlformats-officedocument.drawingml.chart+xml"/>
  <Override PartName="/xl/charts/style47.xml" ContentType="application/vnd.ms-office.chartstyle+xml"/>
  <Override PartName="/xl/charts/colors47.xml" ContentType="application/vnd.ms-office.chartcolorstyle+xml"/>
  <Override PartName="/xl/charts/chart61.xml" ContentType="application/vnd.openxmlformats-officedocument.drawingml.chart+xml"/>
  <Override PartName="/xl/charts/style48.xml" ContentType="application/vnd.ms-office.chartstyle+xml"/>
  <Override PartName="/xl/charts/colors48.xml" ContentType="application/vnd.ms-office.chartcolorstyle+xml"/>
  <Override PartName="/xl/charts/chart62.xml" ContentType="application/vnd.openxmlformats-officedocument.drawingml.chart+xml"/>
  <Override PartName="/xl/charts/chart63.xml" ContentType="application/vnd.openxmlformats-officedocument.drawingml.chart+xml"/>
  <Override PartName="/xl/charts/style49.xml" ContentType="application/vnd.ms-office.chartstyle+xml"/>
  <Override PartName="/xl/charts/colors49.xml" ContentType="application/vnd.ms-office.chartcolorstyle+xml"/>
  <Override PartName="/xl/charts/chart64.xml" ContentType="application/vnd.openxmlformats-officedocument.drawingml.chart+xml"/>
  <Override PartName="/xl/charts/style50.xml" ContentType="application/vnd.ms-office.chartstyle+xml"/>
  <Override PartName="/xl/charts/colors50.xml" ContentType="application/vnd.ms-office.chartcolorstyle+xml"/>
  <Override PartName="/xl/charts/chart65.xml" ContentType="application/vnd.openxmlformats-officedocument.drawingml.chart+xml"/>
  <Override PartName="/xl/charts/chart66.xml" ContentType="application/vnd.openxmlformats-officedocument.drawingml.chart+xml"/>
  <Override PartName="/xl/drawings/drawing9.xml" ContentType="application/vnd.openxmlformats-officedocument.drawing+xml"/>
  <Override PartName="/xl/slicers/slicer9.xml" ContentType="application/vnd.ms-excel.slicer+xml"/>
  <Override PartName="/xl/charts/chart67.xml" ContentType="application/vnd.openxmlformats-officedocument.drawingml.chart+xml"/>
  <Override PartName="/xl/charts/style51.xml" ContentType="application/vnd.ms-office.chartstyle+xml"/>
  <Override PartName="/xl/charts/colors51.xml" ContentType="application/vnd.ms-office.chartcolorstyle+xml"/>
  <Override PartName="/xl/charts/chart68.xml" ContentType="application/vnd.openxmlformats-officedocument.drawingml.chart+xml"/>
  <Override PartName="/xl/charts/style52.xml" ContentType="application/vnd.ms-office.chartstyle+xml"/>
  <Override PartName="/xl/charts/colors52.xml" ContentType="application/vnd.ms-office.chartcolorstyle+xml"/>
  <Override PartName="/xl/charts/chart69.xml" ContentType="application/vnd.openxmlformats-officedocument.drawingml.chart+xml"/>
  <Override PartName="/xl/charts/style53.xml" ContentType="application/vnd.ms-office.chartstyle+xml"/>
  <Override PartName="/xl/charts/colors53.xml" ContentType="application/vnd.ms-office.chartcolorstyle+xml"/>
  <Override PartName="/xl/charts/chart70.xml" ContentType="application/vnd.openxmlformats-officedocument.drawingml.chart+xml"/>
  <Override PartName="/xl/charts/style54.xml" ContentType="application/vnd.ms-office.chartstyle+xml"/>
  <Override PartName="/xl/charts/colors54.xml" ContentType="application/vnd.ms-office.chartcolorstyle+xml"/>
  <Override PartName="/xl/charts/chart71.xml" ContentType="application/vnd.openxmlformats-officedocument.drawingml.chart+xml"/>
  <Override PartName="/xl/charts/style55.xml" ContentType="application/vnd.ms-office.chartstyle+xml"/>
  <Override PartName="/xl/charts/colors55.xml" ContentType="application/vnd.ms-office.chartcolorstyle+xml"/>
  <Override PartName="/xl/charts/chart72.xml" ContentType="application/vnd.openxmlformats-officedocument.drawingml.chart+xml"/>
  <Override PartName="/xl/charts/style56.xml" ContentType="application/vnd.ms-office.chartstyle+xml"/>
  <Override PartName="/xl/charts/colors56.xml" ContentType="application/vnd.ms-office.chartcolorstyle+xml"/>
  <Override PartName="/xl/charts/chart73.xml" ContentType="application/vnd.openxmlformats-officedocument.drawingml.chart+xml"/>
  <Override PartName="/xl/charts/chart74.xml" ContentType="application/vnd.openxmlformats-officedocument.drawingml.chart+xml"/>
  <Override PartName="/xl/drawings/drawing10.xml" ContentType="application/vnd.openxmlformats-officedocument.drawing+xml"/>
  <Override PartName="/xl/slicers/slicer10.xml" ContentType="application/vnd.ms-excel.slicer+xml"/>
  <Override PartName="/xl/charts/chart75.xml" ContentType="application/vnd.openxmlformats-officedocument.drawingml.chart+xml"/>
  <Override PartName="/xl/charts/style57.xml" ContentType="application/vnd.ms-office.chartstyle+xml"/>
  <Override PartName="/xl/charts/colors57.xml" ContentType="application/vnd.ms-office.chartcolorstyle+xml"/>
  <Override PartName="/xl/charts/chart76.xml" ContentType="application/vnd.openxmlformats-officedocument.drawingml.chart+xml"/>
  <Override PartName="/xl/charts/style58.xml" ContentType="application/vnd.ms-office.chartstyle+xml"/>
  <Override PartName="/xl/charts/colors58.xml" ContentType="application/vnd.ms-office.chartcolorstyle+xml"/>
  <Override PartName="/xl/charts/chart77.xml" ContentType="application/vnd.openxmlformats-officedocument.drawingml.chart+xml"/>
  <Override PartName="/xl/charts/style59.xml" ContentType="application/vnd.ms-office.chartstyle+xml"/>
  <Override PartName="/xl/charts/colors59.xml" ContentType="application/vnd.ms-office.chartcolorstyle+xml"/>
  <Override PartName="/xl/charts/chart78.xml" ContentType="application/vnd.openxmlformats-officedocument.drawingml.chart+xml"/>
  <Override PartName="/xl/charts/style60.xml" ContentType="application/vnd.ms-office.chartstyle+xml"/>
  <Override PartName="/xl/charts/colors60.xml" ContentType="application/vnd.ms-office.chartcolorstyle+xml"/>
  <Override PartName="/xl/charts/chart79.xml" ContentType="application/vnd.openxmlformats-officedocument.drawingml.chart+xml"/>
  <Override PartName="/xl/charts/chart80.xml" ContentType="application/vnd.openxmlformats-officedocument.drawingml.chart+xml"/>
  <Override PartName="/xl/charts/style61.xml" ContentType="application/vnd.ms-office.chartstyle+xml"/>
  <Override PartName="/xl/charts/colors61.xml" ContentType="application/vnd.ms-office.chartcolorstyle+xml"/>
  <Override PartName="/xl/charts/chart81.xml" ContentType="application/vnd.openxmlformats-officedocument.drawingml.chart+xml"/>
  <Override PartName="/xl/charts/chart82.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l.rivera\Downloads\"/>
    </mc:Choice>
  </mc:AlternateContent>
  <xr:revisionPtr revIDLastSave="0" documentId="13_ncr:1_{B9BA9630-0166-41A7-94E1-72F391A39873}" xr6:coauthVersionLast="47" xr6:coauthVersionMax="47" xr10:uidLastSave="{00000000-0000-0000-0000-000000000000}"/>
  <bookViews>
    <workbookView xWindow="-120" yWindow="-120" windowWidth="29040" windowHeight="15720" tabRatio="877" xr2:uid="{5DE0F1B4-942B-4BA0-A48E-FF205EC5145F}"/>
  </bookViews>
  <sheets>
    <sheet name="DASHBOARD" sheetId="1" r:id="rId1"/>
    <sheet name="DASHBOARD Light" sheetId="8" r:id="rId2"/>
    <sheet name="Revenue vs Expenses" sheetId="5" r:id="rId3"/>
    <sheet name="Revenue vs Expenses Light" sheetId="9" r:id="rId4"/>
    <sheet name="Sales Closed" sheetId="6" r:id="rId5"/>
    <sheet name="Sales Closed Light" sheetId="10" r:id="rId6"/>
    <sheet name="Products" sheetId="7" r:id="rId7"/>
    <sheet name="Products Light" sheetId="11" r:id="rId8"/>
    <sheet name="ROI" sheetId="12" r:id="rId9"/>
    <sheet name="ROI Light" sheetId="13" r:id="rId10"/>
    <sheet name="Processing" sheetId="2" r:id="rId11"/>
    <sheet name="Control" sheetId="4" r:id="rId12"/>
    <sheet name="Data" sheetId="3" r:id="rId13"/>
    <sheet name="Resources" sheetId="14" r:id="rId14"/>
  </sheets>
  <definedNames>
    <definedName name="Slicer_Month">#N/A</definedName>
    <definedName name="Slicer_Week_Day">#N/A</definedName>
    <definedName name="Slicer_Year">#N/A</definedName>
  </definedNames>
  <calcPr calcId="191029"/>
  <pivotCaches>
    <pivotCache cacheId="96" r:id="rId15"/>
    <pivotCache cacheId="100"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2" l="1"/>
  <c r="P3" i="2"/>
  <c r="B32" i="2"/>
  <c r="C14" i="2"/>
  <c r="B14" i="2"/>
  <c r="B28" i="2"/>
  <c r="C20" i="2"/>
  <c r="C2" i="2"/>
  <c r="C11" i="2"/>
  <c r="C4" i="2"/>
  <c r="C13" i="2"/>
  <c r="B12" i="2"/>
  <c r="C5" i="2"/>
  <c r="C26" i="2"/>
  <c r="C6" i="2"/>
  <c r="B24" i="2"/>
  <c r="C30" i="2"/>
  <c r="B4" i="2"/>
  <c r="B30" i="2"/>
  <c r="C21" i="2"/>
  <c r="C23" i="2"/>
  <c r="B29" i="2"/>
  <c r="C8" i="2"/>
  <c r="C10" i="2"/>
  <c r="C22" i="2"/>
  <c r="B21" i="2"/>
  <c r="B5" i="2"/>
  <c r="B20" i="2"/>
  <c r="B3" i="2"/>
  <c r="B25" i="2"/>
  <c r="C12" i="2"/>
  <c r="C28" i="2"/>
  <c r="B2" i="2"/>
  <c r="C29" i="2"/>
  <c r="C3" i="2"/>
  <c r="B27" i="2"/>
  <c r="C25" i="2"/>
  <c r="B31" i="2"/>
  <c r="B22" i="2"/>
  <c r="B10" i="2"/>
  <c r="C9" i="2"/>
  <c r="C24" i="2"/>
  <c r="B26" i="2"/>
  <c r="B7" i="2"/>
  <c r="C7" i="2"/>
  <c r="B23" i="2"/>
  <c r="B11" i="2"/>
  <c r="C27" i="2"/>
  <c r="B8" i="2"/>
  <c r="C31" i="2"/>
  <c r="B9" i="2"/>
  <c r="B6" i="2"/>
  <c r="B13" i="2"/>
  <c r="E13" i="2"/>
  <c r="D4" i="2"/>
  <c r="N11" i="2"/>
  <c r="E5" i="2"/>
  <c r="J4" i="2"/>
  <c r="E29" i="2"/>
  <c r="D3" i="2"/>
  <c r="D27" i="2"/>
  <c r="E6" i="2"/>
  <c r="E11" i="2"/>
  <c r="E7" i="2"/>
  <c r="D22" i="2"/>
  <c r="J6" i="2"/>
  <c r="N14" i="2"/>
  <c r="D30" i="2"/>
  <c r="M11" i="2"/>
  <c r="D23" i="2"/>
  <c r="N15" i="2"/>
  <c r="D24" i="2"/>
  <c r="D9" i="2"/>
  <c r="E20" i="2"/>
  <c r="E3" i="2"/>
  <c r="E28" i="2"/>
  <c r="E30" i="2"/>
  <c r="D5" i="2"/>
  <c r="N12" i="2"/>
  <c r="D6" i="2"/>
  <c r="J3" i="2"/>
  <c r="D20" i="2"/>
  <c r="C32" i="2"/>
  <c r="E27" i="2"/>
  <c r="M13" i="2"/>
  <c r="E21" i="2"/>
  <c r="M14" i="2"/>
  <c r="E24" i="2"/>
  <c r="E4" i="2"/>
  <c r="E25" i="2"/>
  <c r="M12" i="2"/>
  <c r="D2" i="2"/>
  <c r="D25" i="2"/>
  <c r="D8" i="2"/>
  <c r="E26" i="2"/>
  <c r="J5" i="2"/>
  <c r="E9" i="2"/>
  <c r="D7" i="2"/>
  <c r="E12" i="2"/>
  <c r="E23" i="2"/>
  <c r="D21" i="2"/>
  <c r="N13" i="2"/>
  <c r="D31" i="2"/>
  <c r="D29" i="2"/>
  <c r="D28" i="2"/>
  <c r="E10" i="2"/>
  <c r="D12" i="2"/>
  <c r="D11" i="2"/>
  <c r="D10" i="2"/>
  <c r="E2" i="2"/>
  <c r="D26" i="2"/>
  <c r="D13" i="2"/>
  <c r="J2" i="2"/>
  <c r="M15" i="2"/>
  <c r="E8" i="2"/>
  <c r="E31" i="2"/>
  <c r="E22" i="2"/>
  <c r="K20" i="2" l="1"/>
  <c r="G20" i="2"/>
  <c r="H20" i="2" s="1"/>
  <c r="K2" i="2"/>
  <c r="N2" i="2" s="1"/>
  <c r="K6" i="2"/>
  <c r="N6" i="2" s="1"/>
  <c r="K5" i="2"/>
  <c r="N5" i="2" s="1"/>
  <c r="K3" i="2"/>
  <c r="N3" i="2" s="1"/>
  <c r="K4" i="2"/>
  <c r="N4" i="2" s="1"/>
  <c r="F14" i="2"/>
  <c r="N16" i="2" a="1"/>
  <c r="N16" i="2" s="1"/>
  <c r="G26" i="2"/>
  <c r="H26" i="2" s="1"/>
  <c r="G25" i="2"/>
  <c r="H25" i="2" s="1"/>
  <c r="G30" i="2"/>
  <c r="H30" i="2" s="1"/>
  <c r="G24" i="2"/>
  <c r="H24" i="2" s="1"/>
  <c r="G29" i="2"/>
  <c r="H29" i="2" s="1"/>
  <c r="L7" i="2"/>
  <c r="G22" i="2"/>
  <c r="H22" i="2" s="1"/>
  <c r="G23" i="2"/>
  <c r="H23" i="2" s="1"/>
  <c r="G28" i="2"/>
  <c r="H28" i="2" s="1"/>
  <c r="G21" i="2"/>
  <c r="H21" i="2" s="1"/>
  <c r="J25" i="2"/>
  <c r="J28" i="2"/>
  <c r="C15" i="2" s="1"/>
  <c r="C16" i="2" s="1"/>
  <c r="G27" i="2"/>
  <c r="H27" i="2" s="1"/>
  <c r="M16" i="2" a="1"/>
  <c r="M16" i="2" s="1"/>
  <c r="G31" i="2"/>
  <c r="H31" i="2" s="1"/>
  <c r="K7" i="2" l="1" a="1"/>
  <c r="K7" i="2" s="1"/>
  <c r="B15" i="2"/>
  <c r="B16" i="2" s="1"/>
  <c r="F8" i="2"/>
  <c r="F7" i="2"/>
  <c r="F11" i="2"/>
  <c r="F3" i="2"/>
  <c r="F2" i="2"/>
  <c r="F12" i="2"/>
  <c r="F6" i="2"/>
  <c r="F13" i="2"/>
  <c r="F9" i="2"/>
  <c r="F5" i="2"/>
  <c r="F10" i="2"/>
  <c r="F4" i="2"/>
  <c r="L5" i="2"/>
  <c r="M5" i="2" s="1"/>
  <c r="L2" i="2"/>
  <c r="M2" i="2" s="1"/>
  <c r="L4" i="2"/>
  <c r="M4" i="2" s="1"/>
  <c r="L6" i="2"/>
  <c r="M6" i="2" s="1"/>
  <c r="L3" i="2"/>
  <c r="M3" i="2" s="1"/>
  <c r="J21" i="2"/>
  <c r="J23" i="2"/>
  <c r="J22"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<sst xmlns="http://schemas.openxmlformats.org/spreadsheetml/2006/main" count="250" uniqueCount="139">
  <si>
    <t>Revenue vs Expenses</t>
  </si>
  <si>
    <t>Revenue</t>
  </si>
  <si>
    <t>Expenses</t>
  </si>
  <si>
    <t>JAN</t>
  </si>
  <si>
    <t>FEB</t>
  </si>
  <si>
    <t>MAR</t>
  </si>
  <si>
    <t>APR</t>
  </si>
  <si>
    <t>MAY</t>
  </si>
  <si>
    <t>JUN</t>
  </si>
  <si>
    <t>JUL</t>
  </si>
  <si>
    <t>AUG</t>
  </si>
  <si>
    <t>SEP</t>
  </si>
  <si>
    <t>OCT</t>
  </si>
  <si>
    <t>NOV</t>
  </si>
  <si>
    <t>DEC</t>
  </si>
  <si>
    <t>indent</t>
  </si>
  <si>
    <t>Monday</t>
  </si>
  <si>
    <t>Tuesday</t>
  </si>
  <si>
    <t>Wednesday</t>
  </si>
  <si>
    <t>Thursday</t>
  </si>
  <si>
    <t>Friday</t>
  </si>
  <si>
    <t>MON</t>
  </si>
  <si>
    <t>WED</t>
  </si>
  <si>
    <t>THU</t>
  </si>
  <si>
    <t>FRI</t>
  </si>
  <si>
    <t>TUE</t>
  </si>
  <si>
    <t>Investments vs Sales Volume</t>
  </si>
  <si>
    <t>Investments</t>
  </si>
  <si>
    <t>Sales Volume</t>
  </si>
  <si>
    <t>Sales Closed</t>
  </si>
  <si>
    <t>Sales</t>
  </si>
  <si>
    <t>Cursor I</t>
  </si>
  <si>
    <t>Cursor S</t>
  </si>
  <si>
    <t>Top-5 Products</t>
  </si>
  <si>
    <t>ROI</t>
  </si>
  <si>
    <t>Profit</t>
  </si>
  <si>
    <t>Year</t>
  </si>
  <si>
    <t>Month</t>
  </si>
  <si>
    <t>A</t>
  </si>
  <si>
    <t>B</t>
  </si>
  <si>
    <t>C</t>
  </si>
  <si>
    <t>D</t>
  </si>
  <si>
    <t>E</t>
  </si>
  <si>
    <t>Row Labels</t>
  </si>
  <si>
    <t>Grand Total</t>
  </si>
  <si>
    <t>Sum of Investments</t>
  </si>
  <si>
    <t>Sum of Sales Volume</t>
  </si>
  <si>
    <t>Sum of Revenue</t>
  </si>
  <si>
    <t>Sum of Expenses</t>
  </si>
  <si>
    <t>Cursor</t>
  </si>
  <si>
    <t>Sum of MON</t>
  </si>
  <si>
    <t>Sum of TUE</t>
  </si>
  <si>
    <t>Sum of WED</t>
  </si>
  <si>
    <t>Sum of THU</t>
  </si>
  <si>
    <t>Sum of FRI</t>
  </si>
  <si>
    <t>Sales A</t>
  </si>
  <si>
    <t>Sales B</t>
  </si>
  <si>
    <t>Sales C</t>
  </si>
  <si>
    <t>Sales D</t>
  </si>
  <si>
    <t>Sales E</t>
  </si>
  <si>
    <t>Revenue A</t>
  </si>
  <si>
    <t>Revenue B</t>
  </si>
  <si>
    <t>Revenue C</t>
  </si>
  <si>
    <t>Revenue D</t>
  </si>
  <si>
    <t>Revenue E</t>
  </si>
  <si>
    <t>Sum of Sales A</t>
  </si>
  <si>
    <t>Sum of Sales B</t>
  </si>
  <si>
    <t>Sum of Sales C</t>
  </si>
  <si>
    <t>Sum of Sales D</t>
  </si>
  <si>
    <t>Sum of Sales E</t>
  </si>
  <si>
    <t>Sum of Revenue A</t>
  </si>
  <si>
    <t>Sum of Revenue B</t>
  </si>
  <si>
    <t>Sum of Revenue C</t>
  </si>
  <si>
    <t>Sum of Revenue D</t>
  </si>
  <si>
    <t>Sum of Revenue E</t>
  </si>
  <si>
    <t>Product</t>
  </si>
  <si>
    <t>JANUARY</t>
  </si>
  <si>
    <t>FEBRUARY</t>
  </si>
  <si>
    <t>MARCH</t>
  </si>
  <si>
    <t>APRIL</t>
  </si>
  <si>
    <t>JUNE</t>
  </si>
  <si>
    <t>JULY</t>
  </si>
  <si>
    <t>AUGUST</t>
  </si>
  <si>
    <t>SEPTEMBER</t>
  </si>
  <si>
    <t>OCTOBER</t>
  </si>
  <si>
    <t>NOVEMBER</t>
  </si>
  <si>
    <t>DECEMBER</t>
  </si>
  <si>
    <t>Cash Flow Share</t>
  </si>
  <si>
    <t xml:space="preserve">Cash Flow </t>
  </si>
  <si>
    <t>Cursor R</t>
  </si>
  <si>
    <t>Cursor E</t>
  </si>
  <si>
    <t>Marker</t>
  </si>
  <si>
    <t>Labels</t>
  </si>
  <si>
    <t>Day</t>
  </si>
  <si>
    <t>Week Day</t>
  </si>
  <si>
    <t>Sales Distribution by Top Product Categories</t>
  </si>
  <si>
    <t>Return on Investment (ROI)</t>
  </si>
  <si>
    <t>Position</t>
  </si>
  <si>
    <t>Transparency</t>
  </si>
  <si>
    <t>Shadow</t>
  </si>
  <si>
    <t>#754CB9</t>
  </si>
  <si>
    <t>#519FFB</t>
  </si>
  <si>
    <t>#EE0078</t>
  </si>
  <si>
    <t>#562BFF</t>
  </si>
  <si>
    <t>#1E2255</t>
  </si>
  <si>
    <t>#2B215C</t>
  </si>
  <si>
    <t>Angle</t>
  </si>
  <si>
    <t>#4E7AE2</t>
  </si>
  <si>
    <t>#3A2058</t>
  </si>
  <si>
    <t>Line</t>
  </si>
  <si>
    <t>#B7D6FF</t>
  </si>
  <si>
    <t>#5584ED</t>
  </si>
  <si>
    <t>#B459A0</t>
  </si>
  <si>
    <t>#3C56B2</t>
  </si>
  <si>
    <t>#2F4495</t>
  </si>
  <si>
    <t>#253274</t>
  </si>
  <si>
    <t>#232C68</t>
  </si>
  <si>
    <t>#1C265C</t>
  </si>
  <si>
    <t>#5080DB</t>
  </si>
  <si>
    <t>#6476CE</t>
  </si>
  <si>
    <t>#222964</t>
  </si>
  <si>
    <t>#6459F9</t>
  </si>
  <si>
    <t>Font</t>
  </si>
  <si>
    <t>#A2ADBE</t>
  </si>
  <si>
    <t>#43416F</t>
  </si>
  <si>
    <t>#00C6D1</t>
  </si>
  <si>
    <t>#F2ECFF</t>
  </si>
  <si>
    <t>#341EEF</t>
  </si>
  <si>
    <t>#35386E</t>
  </si>
  <si>
    <t>#F17EEC</t>
  </si>
  <si>
    <t>#7A4FF0</t>
  </si>
  <si>
    <t>#60A8FF</t>
  </si>
  <si>
    <t>#4E7AFF</t>
  </si>
  <si>
    <t>#4552F1</t>
  </si>
  <si>
    <t>#006FF6</t>
  </si>
  <si>
    <t>#002858</t>
  </si>
  <si>
    <t>#2185FF</t>
  </si>
  <si>
    <t>#AEACF5</t>
  </si>
  <si>
    <t>Sales Profitability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</si>
</sst>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 ###\ ###"/>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1"/>
      <color theme="0"/>
      <name val="Aptos Narrow"/>
      <family val="2"/>
      <scheme val="minor"/>
    </font>
  </fonts>
  <fills count="11">
    <fill>
      <patternFill patternType="none"/>
    </fill>
    <fill>
      <patternFill patternType="gray125"/>
    </fill>
    <fill>
      <patternFill patternType="solid">
        <fgColor rgb="FF4E7AFF"/>
        <bgColor indexed="64"/>
      </patternFill>
    </fill>
    <fill>
      <patternFill patternType="solid">
        <fgColor rgb="FF4552F1"/>
        <bgColor indexed="64"/>
      </patternFill>
    </fill>
    <fill>
      <patternFill patternType="solid">
        <fgColor rgb="FF006FF6"/>
        <bgColor indexed="64"/>
      </patternFill>
    </fill>
    <fill>
      <patternFill patternType="solid">
        <fgColor rgb="FF002858"/>
        <bgColor indexed="64"/>
      </patternFill>
    </fill>
    <fill>
      <patternFill patternType="solid">
        <fgColor rgb="FF7A4FF0"/>
        <bgColor indexed="64"/>
      </patternFill>
    </fill>
    <fill>
      <patternFill patternType="solid">
        <fgColor rgb="FF60A8FF"/>
        <bgColor indexed="64"/>
      </patternFill>
    </fill>
    <fill>
      <patternFill patternType="solid">
        <fgColor rgb="FF2185FF"/>
        <bgColor indexed="64"/>
      </patternFill>
    </fill>
    <fill>
      <patternFill patternType="solid">
        <fgColor rgb="FF00C6D1"/>
        <bgColor indexed="64"/>
      </patternFill>
    </fill>
    <fill>
      <patternFill patternType="solid">
        <fgColor rgb="FFAEACF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9" fontId="0" fillId="0" borderId="0" xfId="2" applyFont="1"/>
    <xf numFmtId="0" fontId="2" fillId="0" borderId="0" xfId="0" applyFont="1"/>
    <xf numFmtId="9" fontId="0" fillId="0" borderId="0" xfId="0" applyNumberFormat="1"/>
    <xf numFmtId="0" fontId="0" fillId="0" borderId="0" xfId="0" applyAlignment="1">
      <alignment horizontal="center"/>
    </xf>
    <xf numFmtId="0" fontId="2" fillId="0" borderId="0" xfId="0" applyFont="1" applyAlignment="1">
      <alignment horizontal="center"/>
    </xf>
    <xf numFmtId="3" fontId="0" fillId="0" borderId="0" xfId="0" applyNumberFormat="1"/>
    <xf numFmtId="0" fontId="0" fillId="0" borderId="0" xfId="0" applyAlignment="1">
      <alignment horizontal="left"/>
    </xf>
    <xf numFmtId="0" fontId="0" fillId="0" borderId="0" xfId="0" pivotButton="1"/>
    <xf numFmtId="44" fontId="0" fillId="0" borderId="0" xfId="1" applyFont="1"/>
    <xf numFmtId="164" fontId="0" fillId="0" borderId="0" xfId="1" applyNumberFormat="1" applyFont="1"/>
    <xf numFmtId="164" fontId="0" fillId="0" borderId="0" xfId="0" applyNumberFormat="1"/>
    <xf numFmtId="165" fontId="0" fillId="0" borderId="0" xfId="0" applyNumberFormat="1"/>
    <xf numFmtId="9" fontId="0" fillId="0" borderId="0" xfId="2" applyFont="1" applyAlignment="1">
      <alignment horizontal="center"/>
    </xf>
    <xf numFmtId="0" fontId="0" fillId="0" borderId="1" xfId="0" applyBorder="1"/>
    <xf numFmtId="0" fontId="0" fillId="2" borderId="0" xfId="0" applyFill="1"/>
    <xf numFmtId="0" fontId="0" fillId="3" borderId="0" xfId="0" applyFill="1"/>
    <xf numFmtId="0" fontId="0" fillId="4" borderId="0" xfId="0" applyFill="1"/>
    <xf numFmtId="0" fontId="4" fillId="5" borderId="0" xfId="0" applyFont="1"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0" borderId="0" xfId="0" applyNumberFormat="1"/>
  </cellXfs>
  <cellStyles count="3">
    <cellStyle name="Currency" xfId="1" builtinId="4"/>
    <cellStyle name="Normal" xfId="0" builtinId="0"/>
    <cellStyle name="Percent" xfId="2" builtinId="5"/>
  </cellStyles>
  <dxfs count="71">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8" formatCode="_(&quot;$&quot;* #,##0.0_);_(&quot;$&quot;* \(#,##0.0\);_(&quot;$&quot;* &quot;-&quot;??_);_(@_)"/>
    </dxf>
    <dxf>
      <numFmt numFmtId="164" formatCode="_(&quot;$&quot;* #,##0_);_(&quot;$&quot;* \(#,##0\);_(&quot;$&quot;* &quot;-&quot;??_);_(@_)"/>
    </dxf>
    <dxf>
      <numFmt numFmtId="34" formatCode="_(&quot;$&quot;* #,##0.00_);_(&quot;$&quot;* \(#,##0.00\);_(&quot;$&quot;* &quot;-&quot;??_);_(@_)"/>
    </dxf>
    <dxf>
      <numFmt numFmtId="168" formatCode="_(&quot;$&quot;* #,##0.0_);_(&quot;$&quot;* \(#,##0.0\);_(&quot;$&quot;* &quot;-&quot;??_);_(@_)"/>
    </dxf>
    <dxf>
      <numFmt numFmtId="164" formatCode="_(&quot;$&quot;* #,##0_);_(&quot;$&quot;* \(#,##0\);_(&quot;$&quot;* &quot;-&quot;??_);_(@_)"/>
    </dxf>
    <dxf>
      <numFmt numFmtId="34" formatCode="_(&quot;$&quot;* #,##0.00_);_(&quot;$&quot;* \(#,##0.00\);_(&quot;$&quot;* &quot;-&quot;??_);_(@_)"/>
    </dxf>
    <dxf>
      <numFmt numFmtId="167" formatCode="_(* #,##0_);_(* \(#,##0\);_(* &quot;-&quot;??_);_(@_)"/>
    </dxf>
    <dxf>
      <numFmt numFmtId="166" formatCode="_(* #,##0.0_);_(* \(#,##0.0\);_(* &quot;-&quot;??_);_(@_)"/>
    </dxf>
    <dxf>
      <numFmt numFmtId="35" formatCode="_(* #,##0.00_);_(* \(#,##0.00\);_(*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rgb="FF242058"/>
        </patternFill>
      </fill>
      <border diagonalUp="0" diagonalDown="0">
        <left/>
        <right/>
        <top/>
        <bottom/>
        <vertical/>
        <horizontal/>
      </border>
    </dxf>
  </dxfs>
  <tableStyles count="2" defaultTableStyle="TableStyleMedium2" defaultPivotStyle="PivotStyleLight16">
    <tableStyle name="SlicerStyleLight1 2" pivot="0" table="0" count="10" xr9:uid="{85DBCC4C-B19D-4721-9D51-99B4A1053569}">
      <tableStyleElement type="wholeTable" dxfId="70"/>
      <tableStyleElement type="headerRow" dxfId="69"/>
    </tableStyle>
    <tableStyle name="SlicerStyleLight1 2 2" pivot="0" table="0" count="10" xr9:uid="{9C01B01B-726C-4EE9-A42E-C85CE3574C84}">
      <tableStyleElement type="wholeTable" dxfId="68"/>
      <tableStyleElement type="headerRow" dxfId="67"/>
    </tableStyle>
  </tableStyles>
  <colors>
    <mruColors>
      <color rgb="FFAEACF5"/>
      <color rgb="FF00C6D1"/>
      <color rgb="FF2185FF"/>
      <color rgb="FF60A8FF"/>
      <color rgb="FF7A4FF0"/>
      <color rgb="FFEE0077"/>
      <color rgb="FF002858"/>
      <color rgb="FF006FF6"/>
      <color rgb="FFF17EEC"/>
      <color rgb="FF35386E"/>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theme="0"/>
          </font>
          <fill>
            <gradientFill degree="270">
              <stop position="0">
                <color rgb="FF8137BF"/>
              </stop>
              <stop position="1">
                <color rgb="FF568DF9"/>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1"/>
          </font>
          <fill>
            <patternFill patternType="solid">
              <fgColor auto="1"/>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theme="0"/>
          </font>
          <fill>
            <gradientFill degree="270">
              <stop position="0">
                <color rgb="FF8137BF"/>
              </stop>
              <stop position="1">
                <color rgb="FF568DF9"/>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A2ADBE"/>
          </font>
          <fill>
            <patternFill patternType="solid">
              <fgColor auto="1"/>
              <bgColor rgb="FF232D6B"/>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9.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0.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4.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5.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6.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7.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8.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4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4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43.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9.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50.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51.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52.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53.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54.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56.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57.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58.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59.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60.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61.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63.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64.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67.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68.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69.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70.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71.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72.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75.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76.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77.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78.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80.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6"/>
          <c:order val="6"/>
          <c:tx>
            <c:v>fill</c:v>
          </c:tx>
          <c:spPr>
            <a:gradFill>
              <a:gsLst>
                <a:gs pos="0">
                  <a:srgbClr val="3151FE">
                    <a:alpha val="32000"/>
                  </a:srgbClr>
                </a:gs>
                <a:gs pos="64000">
                  <a:srgbClr val="3151FE">
                    <a:alpha val="0"/>
                  </a:srgbClr>
                </a:gs>
              </a:gsLst>
              <a:lin ang="5400000" scaled="1"/>
            </a:gradFill>
            <a:ln>
              <a:noFill/>
            </a:ln>
            <a:effectLst/>
          </c:spPr>
          <c:val>
            <c:numRef>
              <c:f>Processing!$B$2:$B$13</c:f>
              <c:numCache>
                <c:formatCode>General</c:formatCode>
                <c:ptCount val="12"/>
                <c:pt idx="0">
                  <c:v>28026</c:v>
                </c:pt>
                <c:pt idx="1">
                  <c:v>36152</c:v>
                </c:pt>
                <c:pt idx="2">
                  <c:v>38644</c:v>
                </c:pt>
                <c:pt idx="3">
                  <c:v>35469</c:v>
                </c:pt>
                <c:pt idx="4">
                  <c:v>29118</c:v>
                </c:pt>
                <c:pt idx="5">
                  <c:v>23300</c:v>
                </c:pt>
                <c:pt idx="6">
                  <c:v>23093</c:v>
                </c:pt>
                <c:pt idx="7">
                  <c:v>32452</c:v>
                </c:pt>
                <c:pt idx="8">
                  <c:v>37109</c:v>
                </c:pt>
                <c:pt idx="9">
                  <c:v>37602</c:v>
                </c:pt>
                <c:pt idx="10">
                  <c:v>33906</c:v>
                </c:pt>
                <c:pt idx="11">
                  <c:v>34372</c:v>
                </c:pt>
              </c:numCache>
            </c:numRef>
          </c:val>
          <c:extLst>
            <c:ext xmlns:c16="http://schemas.microsoft.com/office/drawing/2014/chart" uri="{C3380CC4-5D6E-409C-BE32-E72D297353CC}">
              <c16:uniqueId val="{00000000-7E01-4F46-B312-51A9E3830A71}"/>
            </c:ext>
          </c:extLst>
        </c:ser>
        <c:dLbls>
          <c:showLegendKey val="0"/>
          <c:showVal val="0"/>
          <c:showCatName val="0"/>
          <c:showSerName val="0"/>
          <c:showPercent val="0"/>
          <c:showBubbleSize val="0"/>
        </c:dLbls>
        <c:axId val="1684248192"/>
        <c:axId val="1684229952"/>
      </c:areaChart>
      <c:barChart>
        <c:barDir val="col"/>
        <c:grouping val="stacked"/>
        <c:varyColors val="0"/>
        <c:ser>
          <c:idx val="4"/>
          <c:order val="0"/>
          <c:tx>
            <c:strRef>
              <c:f>Processing!$F$1</c:f>
              <c:strCache>
                <c:ptCount val="1"/>
                <c:pt idx="0">
                  <c:v>indent</c:v>
                </c:pt>
              </c:strCache>
            </c:strRef>
          </c:tx>
          <c:spPr>
            <a:noFill/>
            <a:ln>
              <a:noFill/>
            </a:ln>
            <a:effectLst/>
          </c:spPr>
          <c:invertIfNegative val="0"/>
          <c:val>
            <c:numRef>
              <c:f>Processing!$F$2:$F$13</c:f>
              <c:numCache>
                <c:formatCode>General</c:formatCode>
                <c:ptCount val="12"/>
                <c:pt idx="0">
                  <c:v>1545.76</c:v>
                </c:pt>
                <c:pt idx="1">
                  <c:v>1545.76</c:v>
                </c:pt>
                <c:pt idx="2">
                  <c:v>1545.76</c:v>
                </c:pt>
                <c:pt idx="3">
                  <c:v>1545.76</c:v>
                </c:pt>
                <c:pt idx="4">
                  <c:v>1545.76</c:v>
                </c:pt>
                <c:pt idx="5">
                  <c:v>1545.76</c:v>
                </c:pt>
                <c:pt idx="6">
                  <c:v>1545.76</c:v>
                </c:pt>
                <c:pt idx="7">
                  <c:v>1545.76</c:v>
                </c:pt>
                <c:pt idx="8">
                  <c:v>1545.76</c:v>
                </c:pt>
                <c:pt idx="9">
                  <c:v>1545.76</c:v>
                </c:pt>
                <c:pt idx="10">
                  <c:v>1545.76</c:v>
                </c:pt>
                <c:pt idx="11">
                  <c:v>1545.76</c:v>
                </c:pt>
              </c:numCache>
            </c:numRef>
          </c:val>
          <c:extLst>
            <c:ext xmlns:c16="http://schemas.microsoft.com/office/drawing/2014/chart" uri="{C3380CC4-5D6E-409C-BE32-E72D297353CC}">
              <c16:uniqueId val="{00000001-7E01-4F46-B312-51A9E3830A71}"/>
            </c:ext>
          </c:extLst>
        </c:ser>
        <c:ser>
          <c:idx val="1"/>
          <c:order val="1"/>
          <c:tx>
            <c:strRef>
              <c:f>Processing!$C$1</c:f>
              <c:strCache>
                <c:ptCount val="1"/>
                <c:pt idx="0">
                  <c:v>Sales Volume</c:v>
                </c:pt>
              </c:strCache>
            </c:strRef>
          </c:tx>
          <c:spPr>
            <a:solidFill>
              <a:srgbClr val="514E87"/>
            </a:solidFill>
            <a:ln w="127000">
              <a:solidFill>
                <a:srgbClr val="43416F"/>
              </a:solidFill>
            </a:ln>
            <a:effectLst/>
          </c:spPr>
          <c:invertIfNegative val="0"/>
          <c:val>
            <c:numRef>
              <c:f>Processing!$C$2:$C$13</c:f>
              <c:numCache>
                <c:formatCode>General</c:formatCode>
                <c:ptCount val="12"/>
                <c:pt idx="0">
                  <c:v>33543</c:v>
                </c:pt>
                <c:pt idx="1">
                  <c:v>33555</c:v>
                </c:pt>
                <c:pt idx="2">
                  <c:v>38370</c:v>
                </c:pt>
                <c:pt idx="3">
                  <c:v>44242</c:v>
                </c:pt>
                <c:pt idx="4">
                  <c:v>42780</c:v>
                </c:pt>
                <c:pt idx="5">
                  <c:v>36777</c:v>
                </c:pt>
                <c:pt idx="6">
                  <c:v>33575</c:v>
                </c:pt>
                <c:pt idx="7">
                  <c:v>34422</c:v>
                </c:pt>
                <c:pt idx="8">
                  <c:v>38532</c:v>
                </c:pt>
                <c:pt idx="9">
                  <c:v>43205</c:v>
                </c:pt>
                <c:pt idx="10">
                  <c:v>43752</c:v>
                </c:pt>
                <c:pt idx="11">
                  <c:v>41665</c:v>
                </c:pt>
              </c:numCache>
            </c:numRef>
          </c:val>
          <c:extLst>
            <c:ext xmlns:c16="http://schemas.microsoft.com/office/drawing/2014/chart" uri="{C3380CC4-5D6E-409C-BE32-E72D297353CC}">
              <c16:uniqueId val="{00000002-7E01-4F46-B312-51A9E3830A71}"/>
            </c:ext>
          </c:extLst>
        </c:ser>
        <c:dLbls>
          <c:showLegendKey val="0"/>
          <c:showVal val="0"/>
          <c:showCatName val="0"/>
          <c:showSerName val="0"/>
          <c:showPercent val="0"/>
          <c:showBubbleSize val="0"/>
        </c:dLbls>
        <c:gapWidth val="300"/>
        <c:overlap val="100"/>
        <c:axId val="1684248192"/>
        <c:axId val="1684229952"/>
      </c:barChart>
      <c:barChart>
        <c:barDir val="col"/>
        <c:grouping val="stacked"/>
        <c:varyColors val="0"/>
        <c:ser>
          <c:idx val="5"/>
          <c:order val="2"/>
          <c:tx>
            <c:v>indent Cursor</c:v>
          </c:tx>
          <c:spPr>
            <a:noFill/>
            <a:ln>
              <a:noFill/>
            </a:ln>
            <a:effectLst/>
          </c:spPr>
          <c:invertIfNegative val="0"/>
          <c:val>
            <c:numRef>
              <c:f>Processing!$F$2:$F$13</c:f>
              <c:numCache>
                <c:formatCode>General</c:formatCode>
                <c:ptCount val="12"/>
                <c:pt idx="0">
                  <c:v>1545.76</c:v>
                </c:pt>
                <c:pt idx="1">
                  <c:v>1545.76</c:v>
                </c:pt>
                <c:pt idx="2">
                  <c:v>1545.76</c:v>
                </c:pt>
                <c:pt idx="3">
                  <c:v>1545.76</c:v>
                </c:pt>
                <c:pt idx="4">
                  <c:v>1545.76</c:v>
                </c:pt>
                <c:pt idx="5">
                  <c:v>1545.76</c:v>
                </c:pt>
                <c:pt idx="6">
                  <c:v>1545.76</c:v>
                </c:pt>
                <c:pt idx="7">
                  <c:v>1545.76</c:v>
                </c:pt>
                <c:pt idx="8">
                  <c:v>1545.76</c:v>
                </c:pt>
                <c:pt idx="9">
                  <c:v>1545.76</c:v>
                </c:pt>
                <c:pt idx="10">
                  <c:v>1545.76</c:v>
                </c:pt>
                <c:pt idx="11">
                  <c:v>1545.76</c:v>
                </c:pt>
              </c:numCache>
            </c:numRef>
          </c:val>
          <c:extLst>
            <c:ext xmlns:c16="http://schemas.microsoft.com/office/drawing/2014/chart" uri="{C3380CC4-5D6E-409C-BE32-E72D297353CC}">
              <c16:uniqueId val="{00000003-7E01-4F46-B312-51A9E3830A71}"/>
            </c:ext>
          </c:extLst>
        </c:ser>
        <c:ser>
          <c:idx val="3"/>
          <c:order val="3"/>
          <c:tx>
            <c:strRef>
              <c:f>Processing!$E$1</c:f>
              <c:strCache>
                <c:ptCount val="1"/>
                <c:pt idx="0">
                  <c:v>Cursor S</c:v>
                </c:pt>
              </c:strCache>
            </c:strRef>
          </c:tx>
          <c:spPr>
            <a:solidFill>
              <a:schemeClr val="accent4"/>
            </a:solidFill>
            <a:ln w="127000">
              <a:gradFill>
                <a:gsLst>
                  <a:gs pos="67000">
                    <a:srgbClr val="00C6D1"/>
                  </a:gs>
                  <a:gs pos="100000">
                    <a:srgbClr val="F2ECFF"/>
                  </a:gs>
                </a:gsLst>
                <a:lin ang="5400000" scaled="1"/>
              </a:gradFill>
            </a:ln>
            <a:effectLst>
              <a:outerShdw blurRad="50800" dist="38100" dir="2700000" algn="tl" rotWithShape="0">
                <a:prstClr val="black">
                  <a:alpha val="40000"/>
                </a:prstClr>
              </a:outerShdw>
            </a:effectLst>
          </c:spPr>
          <c:invertIfNegative val="0"/>
          <c:val>
            <c:numRef>
              <c:f>Processing!$E$2:$E$13</c:f>
              <c:numCache>
                <c:formatCode>General</c:formatCode>
                <c:ptCount val="12"/>
                <c:pt idx="0">
                  <c:v>33543</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4-7E01-4F46-B312-51A9E3830A71}"/>
            </c:ext>
          </c:extLst>
        </c:ser>
        <c:dLbls>
          <c:showLegendKey val="0"/>
          <c:showVal val="0"/>
          <c:showCatName val="0"/>
          <c:showSerName val="0"/>
          <c:showPercent val="0"/>
          <c:showBubbleSize val="0"/>
        </c:dLbls>
        <c:gapWidth val="300"/>
        <c:overlap val="100"/>
        <c:axId val="1684374432"/>
        <c:axId val="1684367712"/>
      </c:barChart>
      <c:lineChart>
        <c:grouping val="standard"/>
        <c:varyColors val="0"/>
        <c:ser>
          <c:idx val="0"/>
          <c:order val="4"/>
          <c:tx>
            <c:strRef>
              <c:f>Processing!$B$1</c:f>
              <c:strCache>
                <c:ptCount val="1"/>
                <c:pt idx="0">
                  <c:v>Investments</c:v>
                </c:pt>
              </c:strCache>
            </c:strRef>
          </c:tx>
          <c:spPr>
            <a:ln w="28575" cap="rnd">
              <a:gradFill>
                <a:gsLst>
                  <a:gs pos="0">
                    <a:srgbClr val="341EEF"/>
                  </a:gs>
                  <a:gs pos="100000">
                    <a:srgbClr val="EE0078"/>
                  </a:gs>
                </a:gsLst>
                <a:lin ang="0" scaled="0"/>
              </a:gradFill>
              <a:round/>
            </a:ln>
            <a:effectLst>
              <a:outerShdw blurRad="50800" dist="38100" dir="5400000" algn="t" rotWithShape="0">
                <a:prstClr val="black">
                  <a:alpha val="40000"/>
                </a:prstClr>
              </a:outerShdw>
            </a:effectLst>
          </c:spPr>
          <c:marker>
            <c:symbol val="none"/>
          </c:marker>
          <c:val>
            <c:numRef>
              <c:f>Processing!$B$2:$B$13</c:f>
              <c:numCache>
                <c:formatCode>General</c:formatCode>
                <c:ptCount val="12"/>
                <c:pt idx="0">
                  <c:v>28026</c:v>
                </c:pt>
                <c:pt idx="1">
                  <c:v>36152</c:v>
                </c:pt>
                <c:pt idx="2">
                  <c:v>38644</c:v>
                </c:pt>
                <c:pt idx="3">
                  <c:v>35469</c:v>
                </c:pt>
                <c:pt idx="4">
                  <c:v>29118</c:v>
                </c:pt>
                <c:pt idx="5">
                  <c:v>23300</c:v>
                </c:pt>
                <c:pt idx="6">
                  <c:v>23093</c:v>
                </c:pt>
                <c:pt idx="7">
                  <c:v>32452</c:v>
                </c:pt>
                <c:pt idx="8">
                  <c:v>37109</c:v>
                </c:pt>
                <c:pt idx="9">
                  <c:v>37602</c:v>
                </c:pt>
                <c:pt idx="10">
                  <c:v>33906</c:v>
                </c:pt>
                <c:pt idx="11">
                  <c:v>34372</c:v>
                </c:pt>
              </c:numCache>
            </c:numRef>
          </c:val>
          <c:smooth val="1"/>
          <c:extLst>
            <c:ext xmlns:c16="http://schemas.microsoft.com/office/drawing/2014/chart" uri="{C3380CC4-5D6E-409C-BE32-E72D297353CC}">
              <c16:uniqueId val="{00000005-7E01-4F46-B312-51A9E3830A71}"/>
            </c:ext>
          </c:extLst>
        </c:ser>
        <c:dLbls>
          <c:showLegendKey val="0"/>
          <c:showVal val="0"/>
          <c:showCatName val="0"/>
          <c:showSerName val="0"/>
          <c:showPercent val="0"/>
          <c:showBubbleSize val="0"/>
        </c:dLbls>
        <c:marker val="1"/>
        <c:smooth val="0"/>
        <c:axId val="1684248192"/>
        <c:axId val="1684229952"/>
      </c:lineChart>
      <c:scatterChart>
        <c:scatterStyle val="lineMarker"/>
        <c:varyColors val="0"/>
        <c:ser>
          <c:idx val="2"/>
          <c:order val="5"/>
          <c:tx>
            <c:strRef>
              <c:f>Processing!$D$1</c:f>
              <c:strCache>
                <c:ptCount val="1"/>
                <c:pt idx="0">
                  <c:v>Cursor I</c:v>
                </c:pt>
              </c:strCache>
            </c:strRef>
          </c:tx>
          <c:spPr>
            <a:ln w="25400" cap="rnd">
              <a:noFill/>
              <a:round/>
            </a:ln>
            <a:effectLst/>
          </c:spPr>
          <c:marker>
            <c:symbol val="circle"/>
            <c:size val="9"/>
            <c:spPr>
              <a:solidFill>
                <a:srgbClr val="F2ECFF"/>
              </a:solidFill>
              <a:ln w="12700">
                <a:solidFill>
                  <a:srgbClr val="EE0078"/>
                </a:solidFill>
              </a:ln>
              <a:effectLst/>
            </c:spPr>
          </c:marker>
          <c:dLbls>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Processing!$D$2:$D$13</c:f>
                <c:numCache>
                  <c:formatCode>General</c:formatCode>
                  <c:ptCount val="12"/>
                  <c:pt idx="0">
                    <c:v>28026</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gradFill>
                  <a:gsLst>
                    <a:gs pos="0">
                      <a:srgbClr val="00C6D1"/>
                    </a:gs>
                    <a:gs pos="100000">
                      <a:srgbClr val="00C6D1">
                        <a:alpha val="0"/>
                      </a:srgbClr>
                    </a:gs>
                  </a:gsLst>
                  <a:lin ang="5400000" scaled="1"/>
                </a:gradFill>
                <a:round/>
              </a:ln>
              <a:effectLst/>
            </c:spPr>
          </c:errBars>
          <c:yVal>
            <c:numRef>
              <c:f>Processing!$D$2:$D$13</c:f>
              <c:numCache>
                <c:formatCode>General</c:formatCode>
                <c:ptCount val="12"/>
                <c:pt idx="0">
                  <c:v>28026</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6-7E01-4F46-B312-51A9E3830A71}"/>
            </c:ext>
          </c:extLst>
        </c:ser>
        <c:dLbls>
          <c:showLegendKey val="0"/>
          <c:showVal val="0"/>
          <c:showCatName val="0"/>
          <c:showSerName val="0"/>
          <c:showPercent val="0"/>
          <c:showBubbleSize val="0"/>
        </c:dLbls>
        <c:axId val="1684248192"/>
        <c:axId val="1684229952"/>
      </c:scatterChart>
      <c:catAx>
        <c:axId val="1684248192"/>
        <c:scaling>
          <c:orientation val="minMax"/>
        </c:scaling>
        <c:delete val="1"/>
        <c:axPos val="b"/>
        <c:majorTickMark val="none"/>
        <c:minorTickMark val="none"/>
        <c:tickLblPos val="nextTo"/>
        <c:crossAx val="1684229952"/>
        <c:crosses val="autoZero"/>
        <c:auto val="1"/>
        <c:lblAlgn val="ctr"/>
        <c:lblOffset val="100"/>
        <c:noMultiLvlLbl val="0"/>
      </c:catAx>
      <c:valAx>
        <c:axId val="1684229952"/>
        <c:scaling>
          <c:orientation val="minMax"/>
        </c:scaling>
        <c:delete val="0"/>
        <c:axPos val="l"/>
        <c:majorGridlines>
          <c:spPr>
            <a:ln w="9525" cap="flat" cmpd="sng" algn="ctr">
              <a:solidFill>
                <a:srgbClr val="35386E"/>
              </a:solidFill>
              <a:round/>
            </a:ln>
            <a:effectLst/>
          </c:spPr>
        </c:majorGridlines>
        <c:numFmt formatCode="[&gt;=1000000]#,##0.0,,\ &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2ADBE"/>
                </a:solidFill>
                <a:latin typeface="+mn-lt"/>
                <a:ea typeface="+mn-ea"/>
                <a:cs typeface="+mn-cs"/>
              </a:defRPr>
            </a:pPr>
            <a:endParaRPr lang="ru-RU"/>
          </a:p>
        </c:txPr>
        <c:crossAx val="1684248192"/>
        <c:crosses val="autoZero"/>
        <c:crossBetween val="between"/>
      </c:valAx>
      <c:valAx>
        <c:axId val="1684367712"/>
        <c:scaling>
          <c:orientation val="minMax"/>
        </c:scaling>
        <c:delete val="1"/>
        <c:axPos val="r"/>
        <c:numFmt formatCode="General" sourceLinked="1"/>
        <c:majorTickMark val="out"/>
        <c:minorTickMark val="none"/>
        <c:tickLblPos val="nextTo"/>
        <c:crossAx val="1684374432"/>
        <c:crosses val="max"/>
        <c:crossBetween val="between"/>
      </c:valAx>
      <c:catAx>
        <c:axId val="1684374432"/>
        <c:scaling>
          <c:orientation val="minMax"/>
        </c:scaling>
        <c:delete val="1"/>
        <c:axPos val="b"/>
        <c:majorTickMark val="out"/>
        <c:minorTickMark val="none"/>
        <c:tickLblPos val="nextTo"/>
        <c:crossAx val="16843677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spPr>
            <a:noFill/>
            <a:ln>
              <a:noFill/>
            </a:ln>
            <a:effectLst/>
          </c:spPr>
          <c:invertIfNegative val="0"/>
          <c:cat>
            <c:strRef>
              <c:f>Processing!$I$2:$I$6</c:f>
              <c:strCache>
                <c:ptCount val="5"/>
                <c:pt idx="0">
                  <c:v>MON</c:v>
                </c:pt>
                <c:pt idx="1">
                  <c:v>TUE</c:v>
                </c:pt>
                <c:pt idx="2">
                  <c:v>WED</c:v>
                </c:pt>
                <c:pt idx="3">
                  <c:v>THU</c:v>
                </c:pt>
                <c:pt idx="4">
                  <c:v>FRI</c:v>
                </c:pt>
              </c:strCache>
            </c:strRef>
          </c:cat>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0-7E2F-42C7-B431-5EF1ED3DFD38}"/>
            </c:ext>
          </c:extLst>
        </c:ser>
        <c:ser>
          <c:idx val="0"/>
          <c:order val="1"/>
          <c:spPr>
            <a:solidFill>
              <a:schemeClr val="accent1"/>
            </a:solidFill>
            <a:ln w="88900">
              <a:gradFill>
                <a:gsLst>
                  <a:gs pos="0">
                    <a:srgbClr val="4E7AFF"/>
                  </a:gs>
                  <a:gs pos="100000">
                    <a:srgbClr val="4552F1"/>
                  </a:gs>
                </a:gsLst>
                <a:lin ang="5400000" scaled="1"/>
              </a:gradFill>
            </a:ln>
            <a:effectLst/>
          </c:spPr>
          <c:invertIfNegative val="0"/>
          <c:cat>
            <c:strRef>
              <c:f>Processing!$I$2:$I$6</c:f>
              <c:strCache>
                <c:ptCount val="5"/>
                <c:pt idx="0">
                  <c:v>MON</c:v>
                </c:pt>
                <c:pt idx="1">
                  <c:v>TUE</c:v>
                </c:pt>
                <c:pt idx="2">
                  <c:v>WED</c:v>
                </c:pt>
                <c:pt idx="3">
                  <c:v>THU</c:v>
                </c:pt>
                <c:pt idx="4">
                  <c:v>FRI</c:v>
                </c:pt>
              </c:strCache>
            </c:strRef>
          </c:cat>
          <c:val>
            <c:numRef>
              <c:f>Processing!$J$2:$J$6</c:f>
              <c:numCache>
                <c:formatCode>General</c:formatCode>
                <c:ptCount val="5"/>
                <c:pt idx="0">
                  <c:v>1511</c:v>
                </c:pt>
                <c:pt idx="1">
                  <c:v>5603</c:v>
                </c:pt>
                <c:pt idx="2">
                  <c:v>5741</c:v>
                </c:pt>
                <c:pt idx="3">
                  <c:v>2858</c:v>
                </c:pt>
                <c:pt idx="4">
                  <c:v>1164</c:v>
                </c:pt>
              </c:numCache>
            </c:numRef>
          </c:val>
          <c:extLst>
            <c:ext xmlns:c16="http://schemas.microsoft.com/office/drawing/2014/chart" uri="{C3380CC4-5D6E-409C-BE32-E72D297353CC}">
              <c16:uniqueId val="{00000001-7E2F-42C7-B431-5EF1ED3DFD38}"/>
            </c:ext>
          </c:extLst>
        </c:ser>
        <c:dLbls>
          <c:showLegendKey val="0"/>
          <c:showVal val="0"/>
          <c:showCatName val="0"/>
          <c:showSerName val="0"/>
          <c:showPercent val="0"/>
          <c:showBubbleSize val="0"/>
        </c:dLbls>
        <c:gapWidth val="250"/>
        <c:overlap val="100"/>
        <c:axId val="1684353792"/>
        <c:axId val="1684362432"/>
      </c:barChart>
      <c:barChart>
        <c:barDir val="col"/>
        <c:grouping val="stacked"/>
        <c:varyColors val="0"/>
        <c:ser>
          <c:idx val="3"/>
          <c:order val="2"/>
          <c:tx>
            <c:v>indent Cursor</c:v>
          </c:tx>
          <c:spPr>
            <a:noFill/>
            <a:ln>
              <a:noFill/>
            </a:ln>
            <a:effectLst/>
          </c:spPr>
          <c:invertIfNegative val="0"/>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2-7E2F-42C7-B431-5EF1ED3DFD38}"/>
            </c:ext>
          </c:extLst>
        </c:ser>
        <c:ser>
          <c:idx val="1"/>
          <c:order val="3"/>
          <c:spPr>
            <a:solidFill>
              <a:schemeClr val="accent2"/>
            </a:solidFill>
            <a:ln w="88900">
              <a:gradFill>
                <a:gsLst>
                  <a:gs pos="0">
                    <a:srgbClr val="F17EEC"/>
                  </a:gs>
                  <a:gs pos="100000">
                    <a:srgbClr val="EE0078"/>
                  </a:gs>
                </a:gsLst>
                <a:lin ang="5400000" scaled="1"/>
              </a:gradFill>
            </a:ln>
            <a:effectLst>
              <a:outerShdw blurRad="50800" dist="38100" dir="8100000" algn="tr" rotWithShape="0">
                <a:prstClr val="black">
                  <a:alpha val="40000"/>
                </a:prstClr>
              </a:outerShdw>
            </a:effectLst>
          </c:spPr>
          <c:invertIfNegative val="0"/>
          <c:cat>
            <c:strRef>
              <c:f>Processing!$I$2:$I$6</c:f>
              <c:strCache>
                <c:ptCount val="5"/>
                <c:pt idx="0">
                  <c:v>MON</c:v>
                </c:pt>
                <c:pt idx="1">
                  <c:v>TUE</c:v>
                </c:pt>
                <c:pt idx="2">
                  <c:v>WED</c:v>
                </c:pt>
                <c:pt idx="3">
                  <c:v>THU</c:v>
                </c:pt>
                <c:pt idx="4">
                  <c:v>FRI</c:v>
                </c:pt>
              </c:strCache>
            </c:strRef>
          </c:cat>
          <c:val>
            <c:numRef>
              <c:f>Processing!$K$2:$K$6</c:f>
              <c:numCache>
                <c:formatCode>General</c:formatCode>
                <c:ptCount val="5"/>
                <c:pt idx="0">
                  <c:v>#N/A</c:v>
                </c:pt>
                <c:pt idx="1">
                  <c:v>5603</c:v>
                </c:pt>
                <c:pt idx="2">
                  <c:v>5741</c:v>
                </c:pt>
                <c:pt idx="3">
                  <c:v>2858</c:v>
                </c:pt>
                <c:pt idx="4">
                  <c:v>1164</c:v>
                </c:pt>
              </c:numCache>
            </c:numRef>
          </c:val>
          <c:extLst>
            <c:ext xmlns:c16="http://schemas.microsoft.com/office/drawing/2014/chart" uri="{C3380CC4-5D6E-409C-BE32-E72D297353CC}">
              <c16:uniqueId val="{00000003-7E2F-42C7-B431-5EF1ED3DFD38}"/>
            </c:ext>
          </c:extLst>
        </c:ser>
        <c:dLbls>
          <c:showLegendKey val="0"/>
          <c:showVal val="0"/>
          <c:showCatName val="0"/>
          <c:showSerName val="0"/>
          <c:showPercent val="0"/>
          <c:showBubbleSize val="0"/>
        </c:dLbls>
        <c:gapWidth val="250"/>
        <c:overlap val="100"/>
        <c:axId val="1684234752"/>
        <c:axId val="1684248672"/>
      </c:barChart>
      <c:catAx>
        <c:axId val="1684353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A2ADBE"/>
                </a:solidFill>
                <a:latin typeface="+mn-lt"/>
                <a:ea typeface="+mn-ea"/>
                <a:cs typeface="+mn-cs"/>
              </a:defRPr>
            </a:pPr>
            <a:endParaRPr lang="ru-RU"/>
          </a:p>
        </c:txPr>
        <c:crossAx val="1684362432"/>
        <c:crosses val="autoZero"/>
        <c:auto val="1"/>
        <c:lblAlgn val="ctr"/>
        <c:lblOffset val="100"/>
        <c:noMultiLvlLbl val="0"/>
      </c:catAx>
      <c:valAx>
        <c:axId val="1684362432"/>
        <c:scaling>
          <c:orientation val="minMax"/>
          <c:min val="0"/>
        </c:scaling>
        <c:delete val="1"/>
        <c:axPos val="l"/>
        <c:numFmt formatCode="General" sourceLinked="1"/>
        <c:majorTickMark val="out"/>
        <c:minorTickMark val="none"/>
        <c:tickLblPos val="nextTo"/>
        <c:crossAx val="1684353792"/>
        <c:crosses val="autoZero"/>
        <c:crossBetween val="between"/>
      </c:valAx>
      <c:valAx>
        <c:axId val="1684248672"/>
        <c:scaling>
          <c:orientation val="minMax"/>
        </c:scaling>
        <c:delete val="1"/>
        <c:axPos val="r"/>
        <c:numFmt formatCode="General" sourceLinked="1"/>
        <c:majorTickMark val="out"/>
        <c:minorTickMark val="none"/>
        <c:tickLblPos val="nextTo"/>
        <c:crossAx val="1684234752"/>
        <c:crosses val="max"/>
        <c:crossBetween val="between"/>
      </c:valAx>
      <c:catAx>
        <c:axId val="1684234752"/>
        <c:scaling>
          <c:orientation val="minMax"/>
        </c:scaling>
        <c:delete val="1"/>
        <c:axPos val="b"/>
        <c:majorTickMark val="out"/>
        <c:minorTickMark val="none"/>
        <c:tickLblPos val="nextTo"/>
        <c:crossAx val="168424867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1-4803-497A-839B-CDE88BF5247F}"/>
              </c:ext>
            </c:extLst>
          </c:dPt>
          <c:dPt>
            <c:idx val="1"/>
            <c:bubble3D val="0"/>
            <c:spPr>
              <a:noFill/>
              <a:ln w="9525">
                <a:solidFill>
                  <a:srgbClr val="6476CE"/>
                </a:solidFill>
              </a:ln>
              <a:effectLst/>
            </c:spPr>
            <c:extLst>
              <c:ext xmlns:c16="http://schemas.microsoft.com/office/drawing/2014/chart" uri="{C3380CC4-5D6E-409C-BE32-E72D297353CC}">
                <c16:uniqueId val="{00000003-4803-497A-839B-CDE88BF5247F}"/>
              </c:ext>
            </c:extLst>
          </c:dPt>
          <c:dPt>
            <c:idx val="2"/>
            <c:bubble3D val="0"/>
            <c:spPr>
              <a:noFill/>
              <a:ln w="9525">
                <a:solidFill>
                  <a:srgbClr val="6476CE"/>
                </a:solidFill>
              </a:ln>
              <a:effectLst/>
            </c:spPr>
            <c:extLst>
              <c:ext xmlns:c16="http://schemas.microsoft.com/office/drawing/2014/chart" uri="{C3380CC4-5D6E-409C-BE32-E72D297353CC}">
                <c16:uniqueId val="{00000005-4803-497A-839B-CDE88BF5247F}"/>
              </c:ext>
            </c:extLst>
          </c:dPt>
          <c:dPt>
            <c:idx val="3"/>
            <c:bubble3D val="0"/>
            <c:spPr>
              <a:noFill/>
              <a:ln w="9525">
                <a:solidFill>
                  <a:srgbClr val="6476CE"/>
                </a:solidFill>
              </a:ln>
              <a:effectLst/>
            </c:spPr>
            <c:extLst>
              <c:ext xmlns:c16="http://schemas.microsoft.com/office/drawing/2014/chart" uri="{C3380CC4-5D6E-409C-BE32-E72D297353CC}">
                <c16:uniqueId val="{00000007-4803-497A-839B-CDE88BF5247F}"/>
              </c:ext>
            </c:extLst>
          </c:dPt>
          <c:dPt>
            <c:idx val="4"/>
            <c:bubble3D val="0"/>
            <c:spPr>
              <a:noFill/>
              <a:ln w="9525">
                <a:solidFill>
                  <a:srgbClr val="6476CE"/>
                </a:solidFill>
              </a:ln>
              <a:effectLst/>
            </c:spPr>
            <c:extLst>
              <c:ext xmlns:c16="http://schemas.microsoft.com/office/drawing/2014/chart" uri="{C3380CC4-5D6E-409C-BE32-E72D297353CC}">
                <c16:uniqueId val="{00000009-4803-497A-839B-CDE88BF5247F}"/>
              </c:ext>
            </c:extLst>
          </c:dPt>
          <c:val>
            <c:numRef>
              <c:f>Processing!$P$11:$T$11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4803-497A-839B-CDE88BF5247F}"/>
            </c:ext>
          </c:extLst>
        </c:ser>
        <c:ser>
          <c:idx val="1"/>
          <c:order val="1"/>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C-4803-497A-839B-CDE88BF5247F}"/>
              </c:ext>
            </c:extLst>
          </c:dPt>
          <c:dPt>
            <c:idx val="1"/>
            <c:bubble3D val="0"/>
            <c:spPr>
              <a:noFill/>
              <a:ln w="9525">
                <a:solidFill>
                  <a:srgbClr val="6476CE"/>
                </a:solidFill>
              </a:ln>
              <a:effectLst/>
            </c:spPr>
            <c:extLst>
              <c:ext xmlns:c16="http://schemas.microsoft.com/office/drawing/2014/chart" uri="{C3380CC4-5D6E-409C-BE32-E72D297353CC}">
                <c16:uniqueId val="{0000000E-4803-497A-839B-CDE88BF5247F}"/>
              </c:ext>
            </c:extLst>
          </c:dPt>
          <c:dPt>
            <c:idx val="2"/>
            <c:bubble3D val="0"/>
            <c:spPr>
              <a:noFill/>
              <a:ln w="9525">
                <a:solidFill>
                  <a:srgbClr val="6476CE"/>
                </a:solidFill>
              </a:ln>
              <a:effectLst/>
            </c:spPr>
            <c:extLst>
              <c:ext xmlns:c16="http://schemas.microsoft.com/office/drawing/2014/chart" uri="{C3380CC4-5D6E-409C-BE32-E72D297353CC}">
                <c16:uniqueId val="{00000010-4803-497A-839B-CDE88BF5247F}"/>
              </c:ext>
            </c:extLst>
          </c:dPt>
          <c:dPt>
            <c:idx val="3"/>
            <c:bubble3D val="0"/>
            <c:spPr>
              <a:noFill/>
              <a:ln w="9525">
                <a:solidFill>
                  <a:srgbClr val="6476CE"/>
                </a:solidFill>
              </a:ln>
              <a:effectLst/>
            </c:spPr>
            <c:extLst>
              <c:ext xmlns:c16="http://schemas.microsoft.com/office/drawing/2014/chart" uri="{C3380CC4-5D6E-409C-BE32-E72D297353CC}">
                <c16:uniqueId val="{00000012-4803-497A-839B-CDE88BF5247F}"/>
              </c:ext>
            </c:extLst>
          </c:dPt>
          <c:dPt>
            <c:idx val="4"/>
            <c:bubble3D val="0"/>
            <c:spPr>
              <a:noFill/>
              <a:ln w="9525">
                <a:solidFill>
                  <a:srgbClr val="6476CE"/>
                </a:solidFill>
              </a:ln>
              <a:effectLst/>
            </c:spPr>
            <c:extLst>
              <c:ext xmlns:c16="http://schemas.microsoft.com/office/drawing/2014/chart" uri="{C3380CC4-5D6E-409C-BE32-E72D297353CC}">
                <c16:uniqueId val="{00000014-4803-497A-839B-CDE88BF5247F}"/>
              </c:ext>
            </c:extLst>
          </c:dPt>
          <c:val>
            <c:numRef>
              <c:f>Processing!$P$12:$T$12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4803-497A-839B-CDE88BF5247F}"/>
            </c:ext>
          </c:extLst>
        </c:ser>
        <c:ser>
          <c:idx val="2"/>
          <c:order val="2"/>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17-4803-497A-839B-CDE88BF5247F}"/>
              </c:ext>
            </c:extLst>
          </c:dPt>
          <c:dPt>
            <c:idx val="1"/>
            <c:bubble3D val="0"/>
            <c:spPr>
              <a:noFill/>
              <a:ln w="9525">
                <a:solidFill>
                  <a:srgbClr val="6476CE"/>
                </a:solidFill>
              </a:ln>
              <a:effectLst/>
            </c:spPr>
            <c:extLst>
              <c:ext xmlns:c16="http://schemas.microsoft.com/office/drawing/2014/chart" uri="{C3380CC4-5D6E-409C-BE32-E72D297353CC}">
                <c16:uniqueId val="{00000019-4803-497A-839B-CDE88BF5247F}"/>
              </c:ext>
            </c:extLst>
          </c:dPt>
          <c:dPt>
            <c:idx val="2"/>
            <c:bubble3D val="0"/>
            <c:spPr>
              <a:noFill/>
              <a:ln w="9525">
                <a:solidFill>
                  <a:srgbClr val="6476CE"/>
                </a:solidFill>
              </a:ln>
              <a:effectLst/>
            </c:spPr>
            <c:extLst>
              <c:ext xmlns:c16="http://schemas.microsoft.com/office/drawing/2014/chart" uri="{C3380CC4-5D6E-409C-BE32-E72D297353CC}">
                <c16:uniqueId val="{0000001B-4803-497A-839B-CDE88BF5247F}"/>
              </c:ext>
            </c:extLst>
          </c:dPt>
          <c:dPt>
            <c:idx val="3"/>
            <c:bubble3D val="0"/>
            <c:spPr>
              <a:noFill/>
              <a:ln w="9525">
                <a:solidFill>
                  <a:srgbClr val="6476CE"/>
                </a:solidFill>
              </a:ln>
              <a:effectLst/>
            </c:spPr>
            <c:extLst>
              <c:ext xmlns:c16="http://schemas.microsoft.com/office/drawing/2014/chart" uri="{C3380CC4-5D6E-409C-BE32-E72D297353CC}">
                <c16:uniqueId val="{0000001D-4803-497A-839B-CDE88BF5247F}"/>
              </c:ext>
            </c:extLst>
          </c:dPt>
          <c:dPt>
            <c:idx val="4"/>
            <c:bubble3D val="0"/>
            <c:spPr>
              <a:noFill/>
              <a:ln w="9525">
                <a:solidFill>
                  <a:srgbClr val="6476CE"/>
                </a:solidFill>
              </a:ln>
              <a:effectLst/>
            </c:spPr>
            <c:extLst>
              <c:ext xmlns:c16="http://schemas.microsoft.com/office/drawing/2014/chart" uri="{C3380CC4-5D6E-409C-BE32-E72D297353CC}">
                <c16:uniqueId val="{0000001F-4803-497A-839B-CDE88BF5247F}"/>
              </c:ext>
            </c:extLst>
          </c:dPt>
          <c:val>
            <c:numRef>
              <c:f>Processing!$P$13:$T$13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4803-497A-839B-CDE88BF5247F}"/>
            </c:ext>
          </c:extLst>
        </c:ser>
        <c:ser>
          <c:idx val="3"/>
          <c:order val="3"/>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22-4803-497A-839B-CDE88BF5247F}"/>
              </c:ext>
            </c:extLst>
          </c:dPt>
          <c:dPt>
            <c:idx val="1"/>
            <c:bubble3D val="0"/>
            <c:spPr>
              <a:noFill/>
              <a:ln w="9525">
                <a:solidFill>
                  <a:srgbClr val="6476CE"/>
                </a:solidFill>
              </a:ln>
              <a:effectLst/>
            </c:spPr>
            <c:extLst>
              <c:ext xmlns:c16="http://schemas.microsoft.com/office/drawing/2014/chart" uri="{C3380CC4-5D6E-409C-BE32-E72D297353CC}">
                <c16:uniqueId val="{00000024-4803-497A-839B-CDE88BF5247F}"/>
              </c:ext>
            </c:extLst>
          </c:dPt>
          <c:dPt>
            <c:idx val="2"/>
            <c:bubble3D val="0"/>
            <c:spPr>
              <a:noFill/>
              <a:ln w="9525">
                <a:solidFill>
                  <a:srgbClr val="6476CE"/>
                </a:solidFill>
              </a:ln>
              <a:effectLst/>
            </c:spPr>
            <c:extLst>
              <c:ext xmlns:c16="http://schemas.microsoft.com/office/drawing/2014/chart" uri="{C3380CC4-5D6E-409C-BE32-E72D297353CC}">
                <c16:uniqueId val="{00000026-4803-497A-839B-CDE88BF5247F}"/>
              </c:ext>
            </c:extLst>
          </c:dPt>
          <c:dPt>
            <c:idx val="3"/>
            <c:bubble3D val="0"/>
            <c:spPr>
              <a:noFill/>
              <a:ln w="9525">
                <a:solidFill>
                  <a:srgbClr val="6476CE"/>
                </a:solidFill>
              </a:ln>
              <a:effectLst/>
            </c:spPr>
            <c:extLst>
              <c:ext xmlns:c16="http://schemas.microsoft.com/office/drawing/2014/chart" uri="{C3380CC4-5D6E-409C-BE32-E72D297353CC}">
                <c16:uniqueId val="{00000028-4803-497A-839B-CDE88BF5247F}"/>
              </c:ext>
            </c:extLst>
          </c:dPt>
          <c:dPt>
            <c:idx val="4"/>
            <c:bubble3D val="0"/>
            <c:spPr>
              <a:noFill/>
              <a:ln w="9525">
                <a:solidFill>
                  <a:srgbClr val="6476CE"/>
                </a:solidFill>
              </a:ln>
              <a:effectLst/>
            </c:spPr>
            <c:extLst>
              <c:ext xmlns:c16="http://schemas.microsoft.com/office/drawing/2014/chart" uri="{C3380CC4-5D6E-409C-BE32-E72D297353CC}">
                <c16:uniqueId val="{0000002A-4803-497A-839B-CDE88BF5247F}"/>
              </c:ext>
            </c:extLst>
          </c:dPt>
          <c:val>
            <c:numRef>
              <c:f>Processing!$P$14:$T$14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B-4803-497A-839B-CDE88BF5247F}"/>
            </c:ext>
          </c:extLst>
        </c:ser>
        <c:dLbls>
          <c:showLegendKey val="0"/>
          <c:showVal val="0"/>
          <c:showCatName val="0"/>
          <c:showSerName val="0"/>
          <c:showPercent val="0"/>
          <c:showBubbleSize val="0"/>
          <c:showLeaderLines val="1"/>
        </c:dLbls>
        <c:firstSliceAng val="0"/>
        <c:holeSize val="2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Processing!$M$10</c:f>
              <c:strCache>
                <c:ptCount val="1"/>
                <c:pt idx="0">
                  <c:v>Revenue</c:v>
                </c:pt>
              </c:strCache>
            </c:strRef>
          </c:tx>
          <c:spPr>
            <a:gradFill>
              <a:gsLst>
                <a:gs pos="0">
                  <a:srgbClr val="4E7AFF">
                    <a:alpha val="90000"/>
                  </a:srgbClr>
                </a:gs>
                <a:gs pos="100000">
                  <a:srgbClr val="4552F1">
                    <a:alpha val="90000"/>
                  </a:srgbClr>
                </a:gs>
              </a:gsLst>
              <a:lin ang="5400000" scaled="1"/>
            </a:gradFill>
            <a:ln>
              <a:noFill/>
            </a:ln>
            <a:effectLst>
              <a:outerShdw blurRad="50800" dist="38100" dir="8100000" algn="tr" rotWithShape="0">
                <a:prstClr val="black">
                  <a:alpha val="40000"/>
                </a:prstClr>
              </a:outerShdw>
            </a:effectLst>
          </c:spPr>
          <c:cat>
            <c:strRef>
              <c:f>Processing!$L$11:$L$15</c:f>
              <c:strCache>
                <c:ptCount val="5"/>
                <c:pt idx="0">
                  <c:v>A</c:v>
                </c:pt>
                <c:pt idx="1">
                  <c:v>B</c:v>
                </c:pt>
                <c:pt idx="2">
                  <c:v>C</c:v>
                </c:pt>
                <c:pt idx="3">
                  <c:v>D</c:v>
                </c:pt>
                <c:pt idx="4">
                  <c:v>E</c:v>
                </c:pt>
              </c:strCache>
            </c:strRef>
          </c:cat>
          <c:val>
            <c:numRef>
              <c:f>Processing!$M$11:$M$15</c:f>
              <c:numCache>
                <c:formatCode>_("$"* #,##0.00_);_("$"* \(#,##0.00\);_("$"* "-"??_);_(@_)</c:formatCode>
                <c:ptCount val="5"/>
                <c:pt idx="0">
                  <c:v>8185</c:v>
                </c:pt>
                <c:pt idx="1">
                  <c:v>7567</c:v>
                </c:pt>
                <c:pt idx="2">
                  <c:v>5405</c:v>
                </c:pt>
                <c:pt idx="3">
                  <c:v>9111</c:v>
                </c:pt>
                <c:pt idx="4">
                  <c:v>7567</c:v>
                </c:pt>
              </c:numCache>
            </c:numRef>
          </c:val>
          <c:extLst>
            <c:ext xmlns:c16="http://schemas.microsoft.com/office/drawing/2014/chart" uri="{C3380CC4-5D6E-409C-BE32-E72D297353CC}">
              <c16:uniqueId val="{00000000-23DA-44A2-A3E7-C168CB49FF1A}"/>
            </c:ext>
          </c:extLst>
        </c:ser>
        <c:ser>
          <c:idx val="1"/>
          <c:order val="1"/>
          <c:tx>
            <c:strRef>
              <c:f>Processing!$N$10</c:f>
              <c:strCache>
                <c:ptCount val="1"/>
                <c:pt idx="0">
                  <c:v>Sales</c:v>
                </c:pt>
              </c:strCache>
            </c:strRef>
          </c:tx>
          <c:spPr>
            <a:gradFill>
              <a:gsLst>
                <a:gs pos="0">
                  <a:srgbClr val="F17EEC">
                    <a:alpha val="80000"/>
                  </a:srgbClr>
                </a:gs>
                <a:gs pos="100000">
                  <a:srgbClr val="EE0078">
                    <a:alpha val="80000"/>
                  </a:srgbClr>
                </a:gs>
              </a:gsLst>
              <a:lin ang="5400000" scaled="1"/>
            </a:gradFill>
            <a:ln>
              <a:noFill/>
            </a:ln>
            <a:effectLst>
              <a:outerShdw blurRad="50800" dist="38100" dir="13500000" algn="br" rotWithShape="0">
                <a:prstClr val="black">
                  <a:alpha val="40000"/>
                </a:prstClr>
              </a:outerShdw>
            </a:effectLst>
          </c:spPr>
          <c:cat>
            <c:strRef>
              <c:f>Processing!$L$11:$L$15</c:f>
              <c:strCache>
                <c:ptCount val="5"/>
                <c:pt idx="0">
                  <c:v>A</c:v>
                </c:pt>
                <c:pt idx="1">
                  <c:v>B</c:v>
                </c:pt>
                <c:pt idx="2">
                  <c:v>C</c:v>
                </c:pt>
                <c:pt idx="3">
                  <c:v>D</c:v>
                </c:pt>
                <c:pt idx="4">
                  <c:v>E</c:v>
                </c:pt>
              </c:strCache>
            </c:strRef>
          </c:cat>
          <c:val>
            <c:numRef>
              <c:f>Processing!$N$11:$N$15</c:f>
              <c:numCache>
                <c:formatCode>_("$"* #,##0.00_);_("$"* \(#,##0.00\);_("$"* "-"??_);_(@_)</c:formatCode>
                <c:ptCount val="5"/>
                <c:pt idx="0">
                  <c:v>7381.8451474918056</c:v>
                </c:pt>
                <c:pt idx="1">
                  <c:v>8409.9741542136544</c:v>
                </c:pt>
                <c:pt idx="2">
                  <c:v>7244.885506360758</c:v>
                </c:pt>
                <c:pt idx="3">
                  <c:v>4026.7997889006169</c:v>
                </c:pt>
                <c:pt idx="4">
                  <c:v>6479.4954030331646</c:v>
                </c:pt>
              </c:numCache>
            </c:numRef>
          </c:val>
          <c:extLst>
            <c:ext xmlns:c16="http://schemas.microsoft.com/office/drawing/2014/chart" uri="{C3380CC4-5D6E-409C-BE32-E72D297353CC}">
              <c16:uniqueId val="{00000001-23DA-44A2-A3E7-C168CB49FF1A}"/>
            </c:ext>
          </c:extLst>
        </c:ser>
        <c:dLbls>
          <c:showLegendKey val="0"/>
          <c:showVal val="0"/>
          <c:showCatName val="0"/>
          <c:showSerName val="0"/>
          <c:showPercent val="0"/>
          <c:showBubbleSize val="0"/>
        </c:dLbls>
        <c:axId val="1824798800"/>
        <c:axId val="1824798320"/>
      </c:radarChart>
      <c:catAx>
        <c:axId val="1824798800"/>
        <c:scaling>
          <c:orientation val="minMax"/>
        </c:scaling>
        <c:delete val="1"/>
        <c:axPos val="b"/>
        <c:numFmt formatCode="General" sourceLinked="1"/>
        <c:majorTickMark val="none"/>
        <c:minorTickMark val="none"/>
        <c:tickLblPos val="nextTo"/>
        <c:crossAx val="1824798320"/>
        <c:crosses val="autoZero"/>
        <c:auto val="1"/>
        <c:lblAlgn val="ctr"/>
        <c:lblOffset val="100"/>
        <c:noMultiLvlLbl val="0"/>
      </c:catAx>
      <c:valAx>
        <c:axId val="1824798320"/>
        <c:scaling>
          <c:orientation val="minMax"/>
        </c:scaling>
        <c:delete val="1"/>
        <c:axPos val="l"/>
        <c:numFmt formatCode="_(&quot;$&quot;* #,##0.00_);_(&quot;$&quot;* \(#,##0.00\);_(&quot;$&quot;* &quot;-&quot;??_);_(@_)" sourceLinked="1"/>
        <c:majorTickMark val="none"/>
        <c:minorTickMark val="none"/>
        <c:tickLblPos val="nextTo"/>
        <c:crossAx val="18247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a:gsLst>
                <a:gs pos="0">
                  <a:srgbClr val="4552F1">
                    <a:alpha val="10000"/>
                  </a:srgbClr>
                </a:gs>
                <a:gs pos="100000">
                  <a:srgbClr val="4552F1">
                    <a:alpha val="0"/>
                  </a:srgbClr>
                </a:gs>
                <a:gs pos="82000">
                  <a:srgbClr val="4552F1">
                    <a:alpha val="22000"/>
                  </a:srgbClr>
                </a:gs>
              </a:gsLst>
              <a:lin ang="5400000" scaled="0"/>
            </a:gradFill>
            <a:ln>
              <a:noFill/>
            </a:ln>
            <a:effectLst/>
          </c:spP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extLst>
            <c:ext xmlns:c16="http://schemas.microsoft.com/office/drawing/2014/chart" uri="{C3380CC4-5D6E-409C-BE32-E72D297353CC}">
              <c16:uniqueId val="{00000002-0155-4C83-A44F-054387A6DC4F}"/>
            </c:ext>
          </c:extLst>
        </c:ser>
        <c:dLbls>
          <c:showLegendKey val="0"/>
          <c:showVal val="0"/>
          <c:showCatName val="0"/>
          <c:showSerName val="0"/>
          <c:showPercent val="0"/>
          <c:showBubbleSize val="0"/>
        </c:dLbls>
        <c:axId val="1953973136"/>
        <c:axId val="1953968816"/>
      </c:areaChart>
      <c:lineChart>
        <c:grouping val="standard"/>
        <c:varyColors val="0"/>
        <c:ser>
          <c:idx val="1"/>
          <c:order val="0"/>
          <c:tx>
            <c:strRef>
              <c:f>Processing!$C$19</c:f>
              <c:strCache>
                <c:ptCount val="1"/>
                <c:pt idx="0">
                  <c:v>Expenses</c:v>
                </c:pt>
              </c:strCache>
            </c:strRef>
          </c:tx>
          <c:spPr>
            <a:ln w="25400" cap="rnd">
              <a:gradFill>
                <a:gsLst>
                  <a:gs pos="0">
                    <a:srgbClr val="EE0078"/>
                  </a:gs>
                  <a:gs pos="100000">
                    <a:srgbClr val="F17EEC"/>
                  </a:gs>
                </a:gsLst>
                <a:lin ang="0" scaled="0"/>
              </a:gradFill>
              <a:round/>
            </a:ln>
            <a:effectLst/>
          </c:spPr>
          <c:marker>
            <c:symbol val="none"/>
          </c:marker>
          <c:val>
            <c:numRef>
              <c:f>Processing!$C$20:$C$31</c:f>
              <c:numCache>
                <c:formatCode>General</c:formatCode>
                <c:ptCount val="12"/>
                <c:pt idx="0">
                  <c:v>26660</c:v>
                </c:pt>
                <c:pt idx="1">
                  <c:v>32060</c:v>
                </c:pt>
                <c:pt idx="2">
                  <c:v>35760</c:v>
                </c:pt>
                <c:pt idx="3">
                  <c:v>36560</c:v>
                </c:pt>
                <c:pt idx="4">
                  <c:v>34220</c:v>
                </c:pt>
                <c:pt idx="5">
                  <c:v>29500</c:v>
                </c:pt>
                <c:pt idx="6">
                  <c:v>23820</c:v>
                </c:pt>
                <c:pt idx="7">
                  <c:v>19100</c:v>
                </c:pt>
                <c:pt idx="8">
                  <c:v>16760</c:v>
                </c:pt>
                <c:pt idx="9">
                  <c:v>17560</c:v>
                </c:pt>
                <c:pt idx="10">
                  <c:v>21260</c:v>
                </c:pt>
                <c:pt idx="11">
                  <c:v>26660</c:v>
                </c:pt>
              </c:numCache>
            </c:numRef>
          </c:val>
          <c:smooth val="1"/>
          <c:extLst>
            <c:ext xmlns:c16="http://schemas.microsoft.com/office/drawing/2014/chart" uri="{C3380CC4-5D6E-409C-BE32-E72D297353CC}">
              <c16:uniqueId val="{00000001-0155-4C83-A44F-054387A6DC4F}"/>
            </c:ext>
          </c:extLst>
        </c:ser>
        <c:ser>
          <c:idx val="0"/>
          <c:order val="1"/>
          <c:tx>
            <c:strRef>
              <c:f>Processing!$B$19</c:f>
              <c:strCache>
                <c:ptCount val="1"/>
                <c:pt idx="0">
                  <c:v>Revenue</c:v>
                </c:pt>
              </c:strCache>
            </c:strRef>
          </c:tx>
          <c:spPr>
            <a:ln w="25400" cap="rnd">
              <a:gradFill>
                <a:gsLst>
                  <a:gs pos="0">
                    <a:srgbClr val="00C6D1"/>
                  </a:gs>
                  <a:gs pos="100000">
                    <a:srgbClr val="97FAFF"/>
                  </a:gs>
                </a:gsLst>
                <a:lin ang="0" scaled="0"/>
              </a:gradFill>
              <a:round/>
            </a:ln>
            <a:effectLst>
              <a:outerShdw blurRad="50800" dist="38100" dir="5400000" algn="t" rotWithShape="0">
                <a:prstClr val="black">
                  <a:alpha val="40000"/>
                </a:prstClr>
              </a:outerShdw>
            </a:effectLst>
          </c:spPr>
          <c:marker>
            <c:symbol val="none"/>
          </c:marke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smooth val="1"/>
          <c:extLst>
            <c:ext xmlns:c16="http://schemas.microsoft.com/office/drawing/2014/chart" uri="{C3380CC4-5D6E-409C-BE32-E72D297353CC}">
              <c16:uniqueId val="{00000000-0155-4C83-A44F-054387A6DC4F}"/>
            </c:ext>
          </c:extLst>
        </c:ser>
        <c:dLbls>
          <c:showLegendKey val="0"/>
          <c:showVal val="0"/>
          <c:showCatName val="0"/>
          <c:showSerName val="0"/>
          <c:showPercent val="0"/>
          <c:showBubbleSize val="0"/>
        </c:dLbls>
        <c:marker val="1"/>
        <c:smooth val="0"/>
        <c:axId val="1953973136"/>
        <c:axId val="1953968816"/>
      </c:lineChart>
      <c:scatterChart>
        <c:scatterStyle val="lineMarker"/>
        <c:varyColors val="0"/>
        <c:ser>
          <c:idx val="3"/>
          <c:order val="3"/>
          <c:tx>
            <c:v>Cursor</c:v>
          </c:tx>
          <c:spPr>
            <a:ln w="25400" cap="rnd">
              <a:noFill/>
              <a:round/>
            </a:ln>
            <a:effectLst>
              <a:outerShdw blurRad="50800" dist="38100" dir="2700000" algn="tl" rotWithShape="0">
                <a:prstClr val="black">
                  <a:alpha val="40000"/>
                </a:prstClr>
              </a:outerShdw>
            </a:effectLst>
          </c:spPr>
          <c:marker>
            <c:symbol val="circle"/>
            <c:size val="7"/>
            <c:spPr>
              <a:solidFill>
                <a:srgbClr val="1E2255"/>
              </a:solidFill>
              <a:ln w="9525">
                <a:solidFill>
                  <a:srgbClr val="97FAFF"/>
                </a:solidFill>
              </a:ln>
              <a:effectLst>
                <a:outerShdw blurRad="50800" dist="38100" dir="2700000" algn="tl" rotWithShape="0">
                  <a:prstClr val="black">
                    <a:alpha val="40000"/>
                  </a:prstClr>
                </a:outerShdw>
              </a:effectLst>
            </c:spPr>
          </c:marker>
          <c:yVal>
            <c:numRef>
              <c:f>Processing!$D$20:$D$31</c:f>
              <c:numCache>
                <c:formatCode>General</c:formatCode>
                <c:ptCount val="12"/>
                <c:pt idx="0">
                  <c:v>37835</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0155-4C83-A44F-054387A6DC4F}"/>
            </c:ext>
          </c:extLst>
        </c:ser>
        <c:dLbls>
          <c:showLegendKey val="0"/>
          <c:showVal val="0"/>
          <c:showCatName val="0"/>
          <c:showSerName val="0"/>
          <c:showPercent val="0"/>
          <c:showBubbleSize val="0"/>
        </c:dLbls>
        <c:axId val="1953973136"/>
        <c:axId val="1953968816"/>
      </c:scatterChart>
      <c:catAx>
        <c:axId val="1953973136"/>
        <c:scaling>
          <c:orientation val="minMax"/>
        </c:scaling>
        <c:delete val="1"/>
        <c:axPos val="b"/>
        <c:majorTickMark val="none"/>
        <c:minorTickMark val="none"/>
        <c:tickLblPos val="nextTo"/>
        <c:crossAx val="1953968816"/>
        <c:crosses val="autoZero"/>
        <c:auto val="1"/>
        <c:lblAlgn val="ctr"/>
        <c:lblOffset val="100"/>
        <c:noMultiLvlLbl val="0"/>
      </c:catAx>
      <c:valAx>
        <c:axId val="1953968816"/>
        <c:scaling>
          <c:orientation val="minMax"/>
        </c:scaling>
        <c:delete val="1"/>
        <c:axPos val="l"/>
        <c:numFmt formatCode="General" sourceLinked="1"/>
        <c:majorTickMark val="none"/>
        <c:minorTickMark val="none"/>
        <c:tickLblPos val="nextTo"/>
        <c:crossAx val="195397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Processing!$J$20</c:f>
              <c:strCache>
                <c:ptCount val="1"/>
                <c:pt idx="0">
                  <c:v>ROI</c:v>
                </c:pt>
              </c:strCache>
            </c:strRef>
          </c:tx>
          <c:spPr>
            <a:ln>
              <a:noFill/>
            </a:ln>
            <a:effectLst>
              <a:outerShdw blurRad="50800" dist="38100" dir="8100000" algn="tr" rotWithShape="0">
                <a:prstClr val="black">
                  <a:alpha val="40000"/>
                </a:prstClr>
              </a:outerShdw>
            </a:effectLst>
          </c:spPr>
          <c:dPt>
            <c:idx val="0"/>
            <c:bubble3D val="0"/>
            <c:spPr>
              <a:gradFill>
                <a:gsLst>
                  <a:gs pos="0">
                    <a:srgbClr val="EE0078"/>
                  </a:gs>
                  <a:gs pos="100000">
                    <a:srgbClr val="D758C9"/>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7BE-4024-B082-8F12AE557775}"/>
              </c:ext>
            </c:extLst>
          </c:dPt>
          <c:dPt>
            <c:idx val="1"/>
            <c:bubble3D val="0"/>
            <c:spPr>
              <a:gradFill>
                <a:gsLst>
                  <a:gs pos="0">
                    <a:srgbClr val="7A4FF0"/>
                  </a:gs>
                  <a:gs pos="100000">
                    <a:srgbClr val="60A8FF"/>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7BE-4024-B082-8F12AE557775}"/>
              </c:ext>
            </c:extLst>
          </c:dPt>
          <c:dPt>
            <c:idx val="2"/>
            <c:bubble3D val="0"/>
            <c:spPr>
              <a:solidFill>
                <a:srgbClr val="EE0078">
                  <a:alpha val="50000"/>
                </a:srgb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C7BE-4024-B082-8F12AE557775}"/>
              </c:ext>
            </c:extLst>
          </c:dPt>
          <c:val>
            <c:numRef>
              <c:f>Processing!$J$21:$J$23</c:f>
              <c:numCache>
                <c:formatCode>0%</c:formatCode>
                <c:ptCount val="3"/>
                <c:pt idx="0">
                  <c:v>0.39873688717619354</c:v>
                </c:pt>
                <c:pt idx="1">
                  <c:v>0.6012631128238064</c:v>
                </c:pt>
                <c:pt idx="2">
                  <c:v>0</c:v>
                </c:pt>
              </c:numCache>
            </c:numRef>
          </c:val>
          <c:extLst>
            <c:ext xmlns:c16="http://schemas.microsoft.com/office/drawing/2014/chart" uri="{C3380CC4-5D6E-409C-BE32-E72D297353CC}">
              <c16:uniqueId val="{00000004-C7BE-4024-B082-8F12AE55777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0886-467A-8612-0EC8659E4C71}"/>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0886-467A-8612-0EC8659E4C71}"/>
              </c:ext>
            </c:extLst>
          </c:dPt>
          <c:val>
            <c:numRef>
              <c:f>Processing!$B$15:$B$16</c:f>
              <c:numCache>
                <c:formatCode>0%</c:formatCode>
                <c:ptCount val="2"/>
                <c:pt idx="0">
                  <c:v>0.43454531359020077</c:v>
                </c:pt>
                <c:pt idx="1">
                  <c:v>0.56545468640979923</c:v>
                </c:pt>
              </c:numCache>
            </c:numRef>
          </c:val>
          <c:extLst>
            <c:ext xmlns:c16="http://schemas.microsoft.com/office/drawing/2014/chart" uri="{C3380CC4-5D6E-409C-BE32-E72D297353CC}">
              <c16:uniqueId val="{00000004-0886-467A-8612-0EC8659E4C71}"/>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6-5BA9-4AB5-890A-AA559672B6F1}"/>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8-5BA9-4AB5-890A-AA559672B6F1}"/>
              </c:ext>
            </c:extLst>
          </c:dPt>
          <c:val>
            <c:numRef>
              <c:f>Processing!$C$15:$C$16</c:f>
              <c:numCache>
                <c:formatCode>0%</c:formatCode>
                <c:ptCount val="2"/>
                <c:pt idx="0">
                  <c:v>0.52008682843631293</c:v>
                </c:pt>
                <c:pt idx="1">
                  <c:v>0.47991317156368707</c:v>
                </c:pt>
              </c:numCache>
            </c:numRef>
          </c:val>
          <c:extLst>
            <c:ext xmlns:c16="http://schemas.microsoft.com/office/drawing/2014/chart" uri="{C3380CC4-5D6E-409C-BE32-E72D297353CC}">
              <c16:uniqueId val="{00000009-5BA9-4AB5-890A-AA559672B6F1}"/>
            </c:ext>
          </c:extLst>
        </c:ser>
        <c:dLbls>
          <c:showLegendKey val="0"/>
          <c:showVal val="0"/>
          <c:showCatName val="0"/>
          <c:showSerName val="0"/>
          <c:showPercent val="0"/>
          <c:showBubbleSize val="0"/>
          <c:showLeaderLines val="1"/>
        </c:dLbls>
        <c:firstSliceAng val="0"/>
        <c:holeSize val="9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6"/>
          <c:order val="6"/>
          <c:tx>
            <c:v>fill</c:v>
          </c:tx>
          <c:spPr>
            <a:gradFill>
              <a:gsLst>
                <a:gs pos="0">
                  <a:srgbClr val="00C6D1">
                    <a:alpha val="25000"/>
                  </a:srgbClr>
                </a:gs>
                <a:gs pos="100000">
                  <a:srgbClr val="00C6D1">
                    <a:alpha val="0"/>
                  </a:srgbClr>
                </a:gs>
              </a:gsLst>
              <a:lin ang="5400000" scaled="1"/>
            </a:gradFill>
            <a:ln>
              <a:noFill/>
            </a:ln>
            <a:effectLst/>
          </c:spPr>
          <c:val>
            <c:numRef>
              <c:f>Processing!$B$2:$B$13</c:f>
              <c:numCache>
                <c:formatCode>General</c:formatCode>
                <c:ptCount val="12"/>
                <c:pt idx="0">
                  <c:v>28026</c:v>
                </c:pt>
                <c:pt idx="1">
                  <c:v>36152</c:v>
                </c:pt>
                <c:pt idx="2">
                  <c:v>38644</c:v>
                </c:pt>
                <c:pt idx="3">
                  <c:v>35469</c:v>
                </c:pt>
                <c:pt idx="4">
                  <c:v>29118</c:v>
                </c:pt>
                <c:pt idx="5">
                  <c:v>23300</c:v>
                </c:pt>
                <c:pt idx="6">
                  <c:v>23093</c:v>
                </c:pt>
                <c:pt idx="7">
                  <c:v>32452</c:v>
                </c:pt>
                <c:pt idx="8">
                  <c:v>37109</c:v>
                </c:pt>
                <c:pt idx="9">
                  <c:v>37602</c:v>
                </c:pt>
                <c:pt idx="10">
                  <c:v>33906</c:v>
                </c:pt>
                <c:pt idx="11">
                  <c:v>34372</c:v>
                </c:pt>
              </c:numCache>
            </c:numRef>
          </c:val>
          <c:extLst>
            <c:ext xmlns:c16="http://schemas.microsoft.com/office/drawing/2014/chart" uri="{C3380CC4-5D6E-409C-BE32-E72D297353CC}">
              <c16:uniqueId val="{00000000-79A9-491C-91C3-F250BE438AE1}"/>
            </c:ext>
          </c:extLst>
        </c:ser>
        <c:dLbls>
          <c:showLegendKey val="0"/>
          <c:showVal val="0"/>
          <c:showCatName val="0"/>
          <c:showSerName val="0"/>
          <c:showPercent val="0"/>
          <c:showBubbleSize val="0"/>
        </c:dLbls>
        <c:axId val="1684248192"/>
        <c:axId val="1684229952"/>
      </c:areaChart>
      <c:barChart>
        <c:barDir val="col"/>
        <c:grouping val="stacked"/>
        <c:varyColors val="0"/>
        <c:ser>
          <c:idx val="4"/>
          <c:order val="0"/>
          <c:tx>
            <c:strRef>
              <c:f>Processing!$F$1</c:f>
              <c:strCache>
                <c:ptCount val="1"/>
                <c:pt idx="0">
                  <c:v>indent</c:v>
                </c:pt>
              </c:strCache>
            </c:strRef>
          </c:tx>
          <c:spPr>
            <a:noFill/>
            <a:ln>
              <a:noFill/>
            </a:ln>
            <a:effectLst/>
          </c:spPr>
          <c:invertIfNegative val="0"/>
          <c:val>
            <c:numRef>
              <c:f>Processing!$F$2:$F$13</c:f>
              <c:numCache>
                <c:formatCode>General</c:formatCode>
                <c:ptCount val="12"/>
                <c:pt idx="0">
                  <c:v>1545.76</c:v>
                </c:pt>
                <c:pt idx="1">
                  <c:v>1545.76</c:v>
                </c:pt>
                <c:pt idx="2">
                  <c:v>1545.76</c:v>
                </c:pt>
                <c:pt idx="3">
                  <c:v>1545.76</c:v>
                </c:pt>
                <c:pt idx="4">
                  <c:v>1545.76</c:v>
                </c:pt>
                <c:pt idx="5">
                  <c:v>1545.76</c:v>
                </c:pt>
                <c:pt idx="6">
                  <c:v>1545.76</c:v>
                </c:pt>
                <c:pt idx="7">
                  <c:v>1545.76</c:v>
                </c:pt>
                <c:pt idx="8">
                  <c:v>1545.76</c:v>
                </c:pt>
                <c:pt idx="9">
                  <c:v>1545.76</c:v>
                </c:pt>
                <c:pt idx="10">
                  <c:v>1545.76</c:v>
                </c:pt>
                <c:pt idx="11">
                  <c:v>1545.76</c:v>
                </c:pt>
              </c:numCache>
            </c:numRef>
          </c:val>
          <c:extLst>
            <c:ext xmlns:c16="http://schemas.microsoft.com/office/drawing/2014/chart" uri="{C3380CC4-5D6E-409C-BE32-E72D297353CC}">
              <c16:uniqueId val="{00000001-79A9-491C-91C3-F250BE438AE1}"/>
            </c:ext>
          </c:extLst>
        </c:ser>
        <c:ser>
          <c:idx val="1"/>
          <c:order val="1"/>
          <c:tx>
            <c:strRef>
              <c:f>Processing!$C$1</c:f>
              <c:strCache>
                <c:ptCount val="1"/>
                <c:pt idx="0">
                  <c:v>Sales Volume</c:v>
                </c:pt>
              </c:strCache>
            </c:strRef>
          </c:tx>
          <c:spPr>
            <a:solidFill>
              <a:srgbClr val="514E87"/>
            </a:solidFill>
            <a:ln w="127000">
              <a:solidFill>
                <a:srgbClr val="AEACF5"/>
              </a:solidFill>
            </a:ln>
            <a:effectLst/>
          </c:spPr>
          <c:invertIfNegative val="0"/>
          <c:val>
            <c:numRef>
              <c:f>Processing!$C$2:$C$13</c:f>
              <c:numCache>
                <c:formatCode>General</c:formatCode>
                <c:ptCount val="12"/>
                <c:pt idx="0">
                  <c:v>33543</c:v>
                </c:pt>
                <c:pt idx="1">
                  <c:v>33555</c:v>
                </c:pt>
                <c:pt idx="2">
                  <c:v>38370</c:v>
                </c:pt>
                <c:pt idx="3">
                  <c:v>44242</c:v>
                </c:pt>
                <c:pt idx="4">
                  <c:v>42780</c:v>
                </c:pt>
                <c:pt idx="5">
                  <c:v>36777</c:v>
                </c:pt>
                <c:pt idx="6">
                  <c:v>33575</c:v>
                </c:pt>
                <c:pt idx="7">
                  <c:v>34422</c:v>
                </c:pt>
                <c:pt idx="8">
                  <c:v>38532</c:v>
                </c:pt>
                <c:pt idx="9">
                  <c:v>43205</c:v>
                </c:pt>
                <c:pt idx="10">
                  <c:v>43752</c:v>
                </c:pt>
                <c:pt idx="11">
                  <c:v>41665</c:v>
                </c:pt>
              </c:numCache>
            </c:numRef>
          </c:val>
          <c:extLst>
            <c:ext xmlns:c16="http://schemas.microsoft.com/office/drawing/2014/chart" uri="{C3380CC4-5D6E-409C-BE32-E72D297353CC}">
              <c16:uniqueId val="{00000002-79A9-491C-91C3-F250BE438AE1}"/>
            </c:ext>
          </c:extLst>
        </c:ser>
        <c:dLbls>
          <c:showLegendKey val="0"/>
          <c:showVal val="0"/>
          <c:showCatName val="0"/>
          <c:showSerName val="0"/>
          <c:showPercent val="0"/>
          <c:showBubbleSize val="0"/>
        </c:dLbls>
        <c:gapWidth val="300"/>
        <c:overlap val="100"/>
        <c:axId val="1684248192"/>
        <c:axId val="1684229952"/>
      </c:barChart>
      <c:barChart>
        <c:barDir val="col"/>
        <c:grouping val="stacked"/>
        <c:varyColors val="0"/>
        <c:ser>
          <c:idx val="5"/>
          <c:order val="2"/>
          <c:tx>
            <c:v>indent Cursor</c:v>
          </c:tx>
          <c:spPr>
            <a:noFill/>
            <a:ln>
              <a:noFill/>
            </a:ln>
            <a:effectLst/>
          </c:spPr>
          <c:invertIfNegative val="0"/>
          <c:val>
            <c:numRef>
              <c:f>Processing!$F$2:$F$13</c:f>
              <c:numCache>
                <c:formatCode>General</c:formatCode>
                <c:ptCount val="12"/>
                <c:pt idx="0">
                  <c:v>1545.76</c:v>
                </c:pt>
                <c:pt idx="1">
                  <c:v>1545.76</c:v>
                </c:pt>
                <c:pt idx="2">
                  <c:v>1545.76</c:v>
                </c:pt>
                <c:pt idx="3">
                  <c:v>1545.76</c:v>
                </c:pt>
                <c:pt idx="4">
                  <c:v>1545.76</c:v>
                </c:pt>
                <c:pt idx="5">
                  <c:v>1545.76</c:v>
                </c:pt>
                <c:pt idx="6">
                  <c:v>1545.76</c:v>
                </c:pt>
                <c:pt idx="7">
                  <c:v>1545.76</c:v>
                </c:pt>
                <c:pt idx="8">
                  <c:v>1545.76</c:v>
                </c:pt>
                <c:pt idx="9">
                  <c:v>1545.76</c:v>
                </c:pt>
                <c:pt idx="10">
                  <c:v>1545.76</c:v>
                </c:pt>
                <c:pt idx="11">
                  <c:v>1545.76</c:v>
                </c:pt>
              </c:numCache>
            </c:numRef>
          </c:val>
          <c:extLst>
            <c:ext xmlns:c16="http://schemas.microsoft.com/office/drawing/2014/chart" uri="{C3380CC4-5D6E-409C-BE32-E72D297353CC}">
              <c16:uniqueId val="{00000003-79A9-491C-91C3-F250BE438AE1}"/>
            </c:ext>
          </c:extLst>
        </c:ser>
        <c:ser>
          <c:idx val="3"/>
          <c:order val="3"/>
          <c:tx>
            <c:strRef>
              <c:f>Processing!$E$1</c:f>
              <c:strCache>
                <c:ptCount val="1"/>
                <c:pt idx="0">
                  <c:v>Cursor S</c:v>
                </c:pt>
              </c:strCache>
            </c:strRef>
          </c:tx>
          <c:spPr>
            <a:solidFill>
              <a:schemeClr val="accent4"/>
            </a:solidFill>
            <a:ln w="127000">
              <a:gradFill>
                <a:gsLst>
                  <a:gs pos="67000">
                    <a:srgbClr val="00C6D1"/>
                  </a:gs>
                  <a:gs pos="100000">
                    <a:srgbClr val="F2ECFF"/>
                  </a:gs>
                </a:gsLst>
                <a:lin ang="5400000" scaled="1"/>
              </a:gradFill>
            </a:ln>
            <a:effectLst>
              <a:outerShdw blurRad="50800" dist="38100" dir="2700000" algn="tl" rotWithShape="0">
                <a:prstClr val="black">
                  <a:alpha val="40000"/>
                </a:prstClr>
              </a:outerShdw>
            </a:effectLst>
          </c:spPr>
          <c:invertIfNegative val="0"/>
          <c:val>
            <c:numRef>
              <c:f>Processing!$E$2:$E$13</c:f>
              <c:numCache>
                <c:formatCode>General</c:formatCode>
                <c:ptCount val="12"/>
                <c:pt idx="0">
                  <c:v>33543</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4-79A9-491C-91C3-F250BE438AE1}"/>
            </c:ext>
          </c:extLst>
        </c:ser>
        <c:dLbls>
          <c:showLegendKey val="0"/>
          <c:showVal val="0"/>
          <c:showCatName val="0"/>
          <c:showSerName val="0"/>
          <c:showPercent val="0"/>
          <c:showBubbleSize val="0"/>
        </c:dLbls>
        <c:gapWidth val="300"/>
        <c:overlap val="100"/>
        <c:axId val="1684374432"/>
        <c:axId val="1684367712"/>
      </c:barChart>
      <c:lineChart>
        <c:grouping val="standard"/>
        <c:varyColors val="0"/>
        <c:ser>
          <c:idx val="0"/>
          <c:order val="4"/>
          <c:tx>
            <c:strRef>
              <c:f>Processing!$B$1</c:f>
              <c:strCache>
                <c:ptCount val="1"/>
                <c:pt idx="0">
                  <c:v>Investments</c:v>
                </c:pt>
              </c:strCache>
            </c:strRef>
          </c:tx>
          <c:spPr>
            <a:ln w="28575" cap="rnd">
              <a:gradFill>
                <a:gsLst>
                  <a:gs pos="100000">
                    <a:srgbClr val="EE0077"/>
                  </a:gs>
                  <a:gs pos="0">
                    <a:srgbClr val="EE0078"/>
                  </a:gs>
                </a:gsLst>
                <a:lin ang="0" scaled="0"/>
              </a:gradFill>
              <a:round/>
            </a:ln>
            <a:effectLst>
              <a:outerShdw blurRad="50800" dist="38100" dir="5400000" algn="t" rotWithShape="0">
                <a:prstClr val="black">
                  <a:alpha val="40000"/>
                </a:prstClr>
              </a:outerShdw>
            </a:effectLst>
          </c:spPr>
          <c:marker>
            <c:symbol val="none"/>
          </c:marker>
          <c:val>
            <c:numRef>
              <c:f>Processing!$B$2:$B$13</c:f>
              <c:numCache>
                <c:formatCode>General</c:formatCode>
                <c:ptCount val="12"/>
                <c:pt idx="0">
                  <c:v>28026</c:v>
                </c:pt>
                <c:pt idx="1">
                  <c:v>36152</c:v>
                </c:pt>
                <c:pt idx="2">
                  <c:v>38644</c:v>
                </c:pt>
                <c:pt idx="3">
                  <c:v>35469</c:v>
                </c:pt>
                <c:pt idx="4">
                  <c:v>29118</c:v>
                </c:pt>
                <c:pt idx="5">
                  <c:v>23300</c:v>
                </c:pt>
                <c:pt idx="6">
                  <c:v>23093</c:v>
                </c:pt>
                <c:pt idx="7">
                  <c:v>32452</c:v>
                </c:pt>
                <c:pt idx="8">
                  <c:v>37109</c:v>
                </c:pt>
                <c:pt idx="9">
                  <c:v>37602</c:v>
                </c:pt>
                <c:pt idx="10">
                  <c:v>33906</c:v>
                </c:pt>
                <c:pt idx="11">
                  <c:v>34372</c:v>
                </c:pt>
              </c:numCache>
            </c:numRef>
          </c:val>
          <c:smooth val="1"/>
          <c:extLst>
            <c:ext xmlns:c16="http://schemas.microsoft.com/office/drawing/2014/chart" uri="{C3380CC4-5D6E-409C-BE32-E72D297353CC}">
              <c16:uniqueId val="{00000005-79A9-491C-91C3-F250BE438AE1}"/>
            </c:ext>
          </c:extLst>
        </c:ser>
        <c:dLbls>
          <c:showLegendKey val="0"/>
          <c:showVal val="0"/>
          <c:showCatName val="0"/>
          <c:showSerName val="0"/>
          <c:showPercent val="0"/>
          <c:showBubbleSize val="0"/>
        </c:dLbls>
        <c:marker val="1"/>
        <c:smooth val="0"/>
        <c:axId val="1684248192"/>
        <c:axId val="1684229952"/>
      </c:lineChart>
      <c:scatterChart>
        <c:scatterStyle val="lineMarker"/>
        <c:varyColors val="0"/>
        <c:ser>
          <c:idx val="2"/>
          <c:order val="5"/>
          <c:tx>
            <c:strRef>
              <c:f>Processing!$D$1</c:f>
              <c:strCache>
                <c:ptCount val="1"/>
                <c:pt idx="0">
                  <c:v>Cursor I</c:v>
                </c:pt>
              </c:strCache>
            </c:strRef>
          </c:tx>
          <c:spPr>
            <a:ln w="25400" cap="rnd">
              <a:noFill/>
              <a:round/>
            </a:ln>
            <a:effectLst>
              <a:outerShdw blurRad="50800" dist="38100" dir="5400000" algn="t" rotWithShape="0">
                <a:prstClr val="black">
                  <a:alpha val="40000"/>
                </a:prstClr>
              </a:outerShdw>
            </a:effectLst>
          </c:spPr>
          <c:marker>
            <c:symbol val="circle"/>
            <c:size val="9"/>
            <c:spPr>
              <a:solidFill>
                <a:srgbClr val="F2ECFF"/>
              </a:solidFill>
              <a:ln w="12700">
                <a:solidFill>
                  <a:srgbClr val="EE0078"/>
                </a:solidFill>
              </a:ln>
              <a:effectLst>
                <a:outerShdw blurRad="50800" dist="38100" dir="5400000" algn="t" rotWithShape="0">
                  <a:prstClr val="black">
                    <a:alpha val="40000"/>
                  </a:prstClr>
                </a:outerShdw>
              </a:effectLst>
            </c:spPr>
          </c:marker>
          <c:dLbls>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Processing!$D$2:$D$13</c:f>
                <c:numCache>
                  <c:formatCode>General</c:formatCode>
                  <c:ptCount val="12"/>
                  <c:pt idx="0">
                    <c:v>28026</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gradFill>
                  <a:gsLst>
                    <a:gs pos="0">
                      <a:srgbClr val="00C6D1"/>
                    </a:gs>
                    <a:gs pos="100000">
                      <a:srgbClr val="00C6D1">
                        <a:alpha val="0"/>
                      </a:srgbClr>
                    </a:gs>
                  </a:gsLst>
                  <a:lin ang="5400000" scaled="1"/>
                </a:gradFill>
                <a:round/>
              </a:ln>
              <a:effectLst/>
            </c:spPr>
          </c:errBars>
          <c:yVal>
            <c:numRef>
              <c:f>Processing!$D$2:$D$13</c:f>
              <c:numCache>
                <c:formatCode>General</c:formatCode>
                <c:ptCount val="12"/>
                <c:pt idx="0">
                  <c:v>28026</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6-79A9-491C-91C3-F250BE438AE1}"/>
            </c:ext>
          </c:extLst>
        </c:ser>
        <c:dLbls>
          <c:showLegendKey val="0"/>
          <c:showVal val="0"/>
          <c:showCatName val="0"/>
          <c:showSerName val="0"/>
          <c:showPercent val="0"/>
          <c:showBubbleSize val="0"/>
        </c:dLbls>
        <c:axId val="1684248192"/>
        <c:axId val="1684229952"/>
      </c:scatterChart>
      <c:catAx>
        <c:axId val="1684248192"/>
        <c:scaling>
          <c:orientation val="minMax"/>
        </c:scaling>
        <c:delete val="1"/>
        <c:axPos val="b"/>
        <c:majorTickMark val="none"/>
        <c:minorTickMark val="none"/>
        <c:tickLblPos val="nextTo"/>
        <c:crossAx val="1684229952"/>
        <c:crosses val="autoZero"/>
        <c:auto val="1"/>
        <c:lblAlgn val="ctr"/>
        <c:lblOffset val="100"/>
        <c:noMultiLvlLbl val="0"/>
      </c:catAx>
      <c:valAx>
        <c:axId val="1684229952"/>
        <c:scaling>
          <c:orientation val="minMax"/>
        </c:scaling>
        <c:delete val="0"/>
        <c:axPos val="l"/>
        <c:majorGridlines>
          <c:spPr>
            <a:ln w="9525" cap="flat" cmpd="sng" algn="ctr">
              <a:solidFill>
                <a:schemeClr val="tx1">
                  <a:alpha val="10000"/>
                </a:schemeClr>
              </a:solidFill>
              <a:round/>
            </a:ln>
            <a:effectLst/>
          </c:spPr>
        </c:majorGridlines>
        <c:numFmt formatCode="[&gt;=1000000]#,##0.0,,\ &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2ADBE"/>
                </a:solidFill>
                <a:latin typeface="+mn-lt"/>
                <a:ea typeface="+mn-ea"/>
                <a:cs typeface="+mn-cs"/>
              </a:defRPr>
            </a:pPr>
            <a:endParaRPr lang="ru-RU"/>
          </a:p>
        </c:txPr>
        <c:crossAx val="1684248192"/>
        <c:crosses val="autoZero"/>
        <c:crossBetween val="between"/>
      </c:valAx>
      <c:valAx>
        <c:axId val="1684367712"/>
        <c:scaling>
          <c:orientation val="minMax"/>
        </c:scaling>
        <c:delete val="1"/>
        <c:axPos val="r"/>
        <c:numFmt formatCode="General" sourceLinked="1"/>
        <c:majorTickMark val="out"/>
        <c:minorTickMark val="none"/>
        <c:tickLblPos val="nextTo"/>
        <c:crossAx val="1684374432"/>
        <c:crosses val="max"/>
        <c:crossBetween val="between"/>
      </c:valAx>
      <c:catAx>
        <c:axId val="1684374432"/>
        <c:scaling>
          <c:orientation val="minMax"/>
        </c:scaling>
        <c:delete val="1"/>
        <c:axPos val="b"/>
        <c:majorTickMark val="out"/>
        <c:minorTickMark val="none"/>
        <c:tickLblPos val="nextTo"/>
        <c:crossAx val="16843677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spPr>
            <a:noFill/>
            <a:ln>
              <a:noFill/>
            </a:ln>
            <a:effectLst/>
          </c:spPr>
          <c:invertIfNegative val="0"/>
          <c:cat>
            <c:strRef>
              <c:f>Processing!$I$2:$I$6</c:f>
              <c:strCache>
                <c:ptCount val="5"/>
                <c:pt idx="0">
                  <c:v>MON</c:v>
                </c:pt>
                <c:pt idx="1">
                  <c:v>TUE</c:v>
                </c:pt>
                <c:pt idx="2">
                  <c:v>WED</c:v>
                </c:pt>
                <c:pt idx="3">
                  <c:v>THU</c:v>
                </c:pt>
                <c:pt idx="4">
                  <c:v>FRI</c:v>
                </c:pt>
              </c:strCache>
            </c:strRef>
          </c:cat>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0-CC7A-4875-A82C-16B4FBBB3B26}"/>
            </c:ext>
          </c:extLst>
        </c:ser>
        <c:ser>
          <c:idx val="0"/>
          <c:order val="1"/>
          <c:spPr>
            <a:solidFill>
              <a:schemeClr val="accent1"/>
            </a:solidFill>
            <a:ln w="88900">
              <a:gradFill>
                <a:gsLst>
                  <a:gs pos="19000">
                    <a:srgbClr val="60A8FF"/>
                  </a:gs>
                  <a:gs pos="100000">
                    <a:srgbClr val="2185FF"/>
                  </a:gs>
                </a:gsLst>
                <a:lin ang="5400000" scaled="1"/>
              </a:gradFill>
            </a:ln>
            <a:effectLst/>
          </c:spPr>
          <c:invertIfNegative val="0"/>
          <c:cat>
            <c:strRef>
              <c:f>Processing!$I$2:$I$6</c:f>
              <c:strCache>
                <c:ptCount val="5"/>
                <c:pt idx="0">
                  <c:v>MON</c:v>
                </c:pt>
                <c:pt idx="1">
                  <c:v>TUE</c:v>
                </c:pt>
                <c:pt idx="2">
                  <c:v>WED</c:v>
                </c:pt>
                <c:pt idx="3">
                  <c:v>THU</c:v>
                </c:pt>
                <c:pt idx="4">
                  <c:v>FRI</c:v>
                </c:pt>
              </c:strCache>
            </c:strRef>
          </c:cat>
          <c:val>
            <c:numRef>
              <c:f>Processing!$J$2:$J$6</c:f>
              <c:numCache>
                <c:formatCode>General</c:formatCode>
                <c:ptCount val="5"/>
                <c:pt idx="0">
                  <c:v>1511</c:v>
                </c:pt>
                <c:pt idx="1">
                  <c:v>5603</c:v>
                </c:pt>
                <c:pt idx="2">
                  <c:v>5741</c:v>
                </c:pt>
                <c:pt idx="3">
                  <c:v>2858</c:v>
                </c:pt>
                <c:pt idx="4">
                  <c:v>1164</c:v>
                </c:pt>
              </c:numCache>
            </c:numRef>
          </c:val>
          <c:extLst>
            <c:ext xmlns:c16="http://schemas.microsoft.com/office/drawing/2014/chart" uri="{C3380CC4-5D6E-409C-BE32-E72D297353CC}">
              <c16:uniqueId val="{00000001-CC7A-4875-A82C-16B4FBBB3B26}"/>
            </c:ext>
          </c:extLst>
        </c:ser>
        <c:dLbls>
          <c:showLegendKey val="0"/>
          <c:showVal val="0"/>
          <c:showCatName val="0"/>
          <c:showSerName val="0"/>
          <c:showPercent val="0"/>
          <c:showBubbleSize val="0"/>
        </c:dLbls>
        <c:gapWidth val="250"/>
        <c:overlap val="100"/>
        <c:axId val="1684353792"/>
        <c:axId val="1684362432"/>
      </c:barChart>
      <c:barChart>
        <c:barDir val="col"/>
        <c:grouping val="stacked"/>
        <c:varyColors val="0"/>
        <c:ser>
          <c:idx val="3"/>
          <c:order val="2"/>
          <c:tx>
            <c:v>indent Cursor</c:v>
          </c:tx>
          <c:spPr>
            <a:noFill/>
            <a:ln>
              <a:noFill/>
            </a:ln>
            <a:effectLst/>
          </c:spPr>
          <c:invertIfNegative val="0"/>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2-CC7A-4875-A82C-16B4FBBB3B26}"/>
            </c:ext>
          </c:extLst>
        </c:ser>
        <c:ser>
          <c:idx val="1"/>
          <c:order val="3"/>
          <c:spPr>
            <a:solidFill>
              <a:schemeClr val="accent2"/>
            </a:solidFill>
            <a:ln w="88900">
              <a:gradFill>
                <a:gsLst>
                  <a:gs pos="0">
                    <a:srgbClr val="F17EEC"/>
                  </a:gs>
                  <a:gs pos="100000">
                    <a:srgbClr val="EE0078"/>
                  </a:gs>
                </a:gsLst>
                <a:lin ang="5400000" scaled="1"/>
              </a:gradFill>
            </a:ln>
            <a:effectLst/>
          </c:spPr>
          <c:invertIfNegative val="0"/>
          <c:cat>
            <c:strRef>
              <c:f>Processing!$I$2:$I$6</c:f>
              <c:strCache>
                <c:ptCount val="5"/>
                <c:pt idx="0">
                  <c:v>MON</c:v>
                </c:pt>
                <c:pt idx="1">
                  <c:v>TUE</c:v>
                </c:pt>
                <c:pt idx="2">
                  <c:v>WED</c:v>
                </c:pt>
                <c:pt idx="3">
                  <c:v>THU</c:v>
                </c:pt>
                <c:pt idx="4">
                  <c:v>FRI</c:v>
                </c:pt>
              </c:strCache>
            </c:strRef>
          </c:cat>
          <c:val>
            <c:numRef>
              <c:f>Processing!$K$2:$K$6</c:f>
              <c:numCache>
                <c:formatCode>General</c:formatCode>
                <c:ptCount val="5"/>
                <c:pt idx="0">
                  <c:v>#N/A</c:v>
                </c:pt>
                <c:pt idx="1">
                  <c:v>5603</c:v>
                </c:pt>
                <c:pt idx="2">
                  <c:v>5741</c:v>
                </c:pt>
                <c:pt idx="3">
                  <c:v>2858</c:v>
                </c:pt>
                <c:pt idx="4">
                  <c:v>1164</c:v>
                </c:pt>
              </c:numCache>
            </c:numRef>
          </c:val>
          <c:extLst>
            <c:ext xmlns:c16="http://schemas.microsoft.com/office/drawing/2014/chart" uri="{C3380CC4-5D6E-409C-BE32-E72D297353CC}">
              <c16:uniqueId val="{00000003-CC7A-4875-A82C-16B4FBBB3B26}"/>
            </c:ext>
          </c:extLst>
        </c:ser>
        <c:dLbls>
          <c:showLegendKey val="0"/>
          <c:showVal val="0"/>
          <c:showCatName val="0"/>
          <c:showSerName val="0"/>
          <c:showPercent val="0"/>
          <c:showBubbleSize val="0"/>
        </c:dLbls>
        <c:gapWidth val="250"/>
        <c:overlap val="100"/>
        <c:axId val="1684234752"/>
        <c:axId val="1684248672"/>
      </c:barChart>
      <c:catAx>
        <c:axId val="1684353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A2ADBE"/>
                </a:solidFill>
                <a:latin typeface="+mn-lt"/>
                <a:ea typeface="+mn-ea"/>
                <a:cs typeface="+mn-cs"/>
              </a:defRPr>
            </a:pPr>
            <a:endParaRPr lang="ru-RU"/>
          </a:p>
        </c:txPr>
        <c:crossAx val="1684362432"/>
        <c:crosses val="autoZero"/>
        <c:auto val="1"/>
        <c:lblAlgn val="ctr"/>
        <c:lblOffset val="100"/>
        <c:noMultiLvlLbl val="0"/>
      </c:catAx>
      <c:valAx>
        <c:axId val="1684362432"/>
        <c:scaling>
          <c:orientation val="minMax"/>
          <c:min val="0"/>
        </c:scaling>
        <c:delete val="1"/>
        <c:axPos val="l"/>
        <c:numFmt formatCode="General" sourceLinked="1"/>
        <c:majorTickMark val="out"/>
        <c:minorTickMark val="none"/>
        <c:tickLblPos val="nextTo"/>
        <c:crossAx val="1684353792"/>
        <c:crosses val="autoZero"/>
        <c:crossBetween val="between"/>
      </c:valAx>
      <c:valAx>
        <c:axId val="1684248672"/>
        <c:scaling>
          <c:orientation val="minMax"/>
        </c:scaling>
        <c:delete val="1"/>
        <c:axPos val="r"/>
        <c:numFmt formatCode="General" sourceLinked="1"/>
        <c:majorTickMark val="out"/>
        <c:minorTickMark val="none"/>
        <c:tickLblPos val="nextTo"/>
        <c:crossAx val="1684234752"/>
        <c:crosses val="max"/>
        <c:crossBetween val="between"/>
      </c:valAx>
      <c:catAx>
        <c:axId val="1684234752"/>
        <c:scaling>
          <c:orientation val="minMax"/>
        </c:scaling>
        <c:delete val="1"/>
        <c:axPos val="b"/>
        <c:majorTickMark val="out"/>
        <c:minorTickMark val="none"/>
        <c:tickLblPos val="nextTo"/>
        <c:crossAx val="168424867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chemeClr val="tx1">
                  <a:alpha val="10000"/>
                </a:schemeClr>
              </a:solidFill>
            </a:ln>
          </c:spPr>
          <c:dPt>
            <c:idx val="0"/>
            <c:bubble3D val="0"/>
            <c:spPr>
              <a:noFill/>
              <a:ln w="9525">
                <a:solidFill>
                  <a:schemeClr val="tx1">
                    <a:alpha val="10000"/>
                  </a:schemeClr>
                </a:solidFill>
              </a:ln>
              <a:effectLst/>
            </c:spPr>
            <c:extLst>
              <c:ext xmlns:c16="http://schemas.microsoft.com/office/drawing/2014/chart" uri="{C3380CC4-5D6E-409C-BE32-E72D297353CC}">
                <c16:uniqueId val="{00000001-6A1F-4EE9-97C9-EBE99BACDAA7}"/>
              </c:ext>
            </c:extLst>
          </c:dPt>
          <c:dPt>
            <c:idx val="1"/>
            <c:bubble3D val="0"/>
            <c:spPr>
              <a:noFill/>
              <a:ln w="9525">
                <a:solidFill>
                  <a:schemeClr val="tx1">
                    <a:alpha val="10000"/>
                  </a:schemeClr>
                </a:solidFill>
              </a:ln>
              <a:effectLst/>
            </c:spPr>
            <c:extLst>
              <c:ext xmlns:c16="http://schemas.microsoft.com/office/drawing/2014/chart" uri="{C3380CC4-5D6E-409C-BE32-E72D297353CC}">
                <c16:uniqueId val="{00000003-6A1F-4EE9-97C9-EBE99BACDAA7}"/>
              </c:ext>
            </c:extLst>
          </c:dPt>
          <c:dPt>
            <c:idx val="2"/>
            <c:bubble3D val="0"/>
            <c:spPr>
              <a:noFill/>
              <a:ln w="9525">
                <a:solidFill>
                  <a:schemeClr val="tx1">
                    <a:alpha val="10000"/>
                  </a:schemeClr>
                </a:solidFill>
              </a:ln>
              <a:effectLst/>
            </c:spPr>
            <c:extLst>
              <c:ext xmlns:c16="http://schemas.microsoft.com/office/drawing/2014/chart" uri="{C3380CC4-5D6E-409C-BE32-E72D297353CC}">
                <c16:uniqueId val="{00000005-6A1F-4EE9-97C9-EBE99BACDAA7}"/>
              </c:ext>
            </c:extLst>
          </c:dPt>
          <c:dPt>
            <c:idx val="3"/>
            <c:bubble3D val="0"/>
            <c:spPr>
              <a:noFill/>
              <a:ln w="9525">
                <a:solidFill>
                  <a:schemeClr val="tx1">
                    <a:alpha val="10000"/>
                  </a:schemeClr>
                </a:solidFill>
              </a:ln>
              <a:effectLst/>
            </c:spPr>
            <c:extLst>
              <c:ext xmlns:c16="http://schemas.microsoft.com/office/drawing/2014/chart" uri="{C3380CC4-5D6E-409C-BE32-E72D297353CC}">
                <c16:uniqueId val="{00000007-6A1F-4EE9-97C9-EBE99BACDAA7}"/>
              </c:ext>
            </c:extLst>
          </c:dPt>
          <c:dPt>
            <c:idx val="4"/>
            <c:bubble3D val="0"/>
            <c:spPr>
              <a:noFill/>
              <a:ln w="9525">
                <a:solidFill>
                  <a:schemeClr val="tx1">
                    <a:alpha val="10000"/>
                  </a:schemeClr>
                </a:solidFill>
              </a:ln>
              <a:effectLst/>
            </c:spPr>
            <c:extLst>
              <c:ext xmlns:c16="http://schemas.microsoft.com/office/drawing/2014/chart" uri="{C3380CC4-5D6E-409C-BE32-E72D297353CC}">
                <c16:uniqueId val="{00000009-6A1F-4EE9-97C9-EBE99BACDAA7}"/>
              </c:ext>
            </c:extLst>
          </c:dPt>
          <c:val>
            <c:numRef>
              <c:f>Processing!$P$11:$T$11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6A1F-4EE9-97C9-EBE99BACDAA7}"/>
            </c:ext>
          </c:extLst>
        </c:ser>
        <c:ser>
          <c:idx val="1"/>
          <c:order val="1"/>
          <c:spPr>
            <a:noFill/>
            <a:ln w="9525">
              <a:solidFill>
                <a:schemeClr val="tx1">
                  <a:alpha val="10000"/>
                </a:schemeClr>
              </a:solidFill>
            </a:ln>
          </c:spPr>
          <c:dPt>
            <c:idx val="0"/>
            <c:bubble3D val="0"/>
            <c:spPr>
              <a:noFill/>
              <a:ln w="9525">
                <a:solidFill>
                  <a:schemeClr val="tx1">
                    <a:alpha val="10000"/>
                  </a:schemeClr>
                </a:solidFill>
              </a:ln>
              <a:effectLst/>
            </c:spPr>
            <c:extLst>
              <c:ext xmlns:c16="http://schemas.microsoft.com/office/drawing/2014/chart" uri="{C3380CC4-5D6E-409C-BE32-E72D297353CC}">
                <c16:uniqueId val="{0000000C-6A1F-4EE9-97C9-EBE99BACDAA7}"/>
              </c:ext>
            </c:extLst>
          </c:dPt>
          <c:dPt>
            <c:idx val="1"/>
            <c:bubble3D val="0"/>
            <c:spPr>
              <a:noFill/>
              <a:ln w="9525">
                <a:solidFill>
                  <a:schemeClr val="tx1">
                    <a:alpha val="10000"/>
                  </a:schemeClr>
                </a:solidFill>
              </a:ln>
              <a:effectLst/>
            </c:spPr>
            <c:extLst>
              <c:ext xmlns:c16="http://schemas.microsoft.com/office/drawing/2014/chart" uri="{C3380CC4-5D6E-409C-BE32-E72D297353CC}">
                <c16:uniqueId val="{0000000E-6A1F-4EE9-97C9-EBE99BACDAA7}"/>
              </c:ext>
            </c:extLst>
          </c:dPt>
          <c:dPt>
            <c:idx val="2"/>
            <c:bubble3D val="0"/>
            <c:spPr>
              <a:noFill/>
              <a:ln w="9525">
                <a:solidFill>
                  <a:schemeClr val="tx1">
                    <a:alpha val="10000"/>
                  </a:schemeClr>
                </a:solidFill>
              </a:ln>
              <a:effectLst/>
            </c:spPr>
            <c:extLst>
              <c:ext xmlns:c16="http://schemas.microsoft.com/office/drawing/2014/chart" uri="{C3380CC4-5D6E-409C-BE32-E72D297353CC}">
                <c16:uniqueId val="{00000010-6A1F-4EE9-97C9-EBE99BACDAA7}"/>
              </c:ext>
            </c:extLst>
          </c:dPt>
          <c:dPt>
            <c:idx val="3"/>
            <c:bubble3D val="0"/>
            <c:spPr>
              <a:noFill/>
              <a:ln w="9525">
                <a:solidFill>
                  <a:schemeClr val="tx1">
                    <a:alpha val="10000"/>
                  </a:schemeClr>
                </a:solidFill>
              </a:ln>
              <a:effectLst/>
            </c:spPr>
            <c:extLst>
              <c:ext xmlns:c16="http://schemas.microsoft.com/office/drawing/2014/chart" uri="{C3380CC4-5D6E-409C-BE32-E72D297353CC}">
                <c16:uniqueId val="{00000012-6A1F-4EE9-97C9-EBE99BACDAA7}"/>
              </c:ext>
            </c:extLst>
          </c:dPt>
          <c:dPt>
            <c:idx val="4"/>
            <c:bubble3D val="0"/>
            <c:spPr>
              <a:noFill/>
              <a:ln w="9525">
                <a:solidFill>
                  <a:schemeClr val="tx1">
                    <a:alpha val="10000"/>
                  </a:schemeClr>
                </a:solidFill>
              </a:ln>
              <a:effectLst/>
            </c:spPr>
            <c:extLst>
              <c:ext xmlns:c16="http://schemas.microsoft.com/office/drawing/2014/chart" uri="{C3380CC4-5D6E-409C-BE32-E72D297353CC}">
                <c16:uniqueId val="{00000014-6A1F-4EE9-97C9-EBE99BACDAA7}"/>
              </c:ext>
            </c:extLst>
          </c:dPt>
          <c:val>
            <c:numRef>
              <c:f>Processing!$P$12:$T$12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6A1F-4EE9-97C9-EBE99BACDAA7}"/>
            </c:ext>
          </c:extLst>
        </c:ser>
        <c:ser>
          <c:idx val="2"/>
          <c:order val="2"/>
          <c:spPr>
            <a:noFill/>
            <a:ln w="9525">
              <a:solidFill>
                <a:schemeClr val="tx1">
                  <a:alpha val="10000"/>
                </a:schemeClr>
              </a:solidFill>
            </a:ln>
          </c:spPr>
          <c:dPt>
            <c:idx val="0"/>
            <c:bubble3D val="0"/>
            <c:spPr>
              <a:noFill/>
              <a:ln w="9525">
                <a:solidFill>
                  <a:schemeClr val="tx1">
                    <a:alpha val="10000"/>
                  </a:schemeClr>
                </a:solidFill>
              </a:ln>
              <a:effectLst/>
            </c:spPr>
            <c:extLst>
              <c:ext xmlns:c16="http://schemas.microsoft.com/office/drawing/2014/chart" uri="{C3380CC4-5D6E-409C-BE32-E72D297353CC}">
                <c16:uniqueId val="{00000017-6A1F-4EE9-97C9-EBE99BACDAA7}"/>
              </c:ext>
            </c:extLst>
          </c:dPt>
          <c:dPt>
            <c:idx val="1"/>
            <c:bubble3D val="0"/>
            <c:spPr>
              <a:noFill/>
              <a:ln w="9525">
                <a:solidFill>
                  <a:schemeClr val="tx1">
                    <a:alpha val="10000"/>
                  </a:schemeClr>
                </a:solidFill>
              </a:ln>
              <a:effectLst/>
            </c:spPr>
            <c:extLst>
              <c:ext xmlns:c16="http://schemas.microsoft.com/office/drawing/2014/chart" uri="{C3380CC4-5D6E-409C-BE32-E72D297353CC}">
                <c16:uniqueId val="{00000019-6A1F-4EE9-97C9-EBE99BACDAA7}"/>
              </c:ext>
            </c:extLst>
          </c:dPt>
          <c:dPt>
            <c:idx val="2"/>
            <c:bubble3D val="0"/>
            <c:spPr>
              <a:noFill/>
              <a:ln w="9525">
                <a:solidFill>
                  <a:schemeClr val="tx1">
                    <a:alpha val="10000"/>
                  </a:schemeClr>
                </a:solidFill>
              </a:ln>
              <a:effectLst/>
            </c:spPr>
            <c:extLst>
              <c:ext xmlns:c16="http://schemas.microsoft.com/office/drawing/2014/chart" uri="{C3380CC4-5D6E-409C-BE32-E72D297353CC}">
                <c16:uniqueId val="{0000001B-6A1F-4EE9-97C9-EBE99BACDAA7}"/>
              </c:ext>
            </c:extLst>
          </c:dPt>
          <c:dPt>
            <c:idx val="3"/>
            <c:bubble3D val="0"/>
            <c:spPr>
              <a:noFill/>
              <a:ln w="9525">
                <a:solidFill>
                  <a:schemeClr val="tx1">
                    <a:alpha val="10000"/>
                  </a:schemeClr>
                </a:solidFill>
              </a:ln>
              <a:effectLst/>
            </c:spPr>
            <c:extLst>
              <c:ext xmlns:c16="http://schemas.microsoft.com/office/drawing/2014/chart" uri="{C3380CC4-5D6E-409C-BE32-E72D297353CC}">
                <c16:uniqueId val="{0000001D-6A1F-4EE9-97C9-EBE99BACDAA7}"/>
              </c:ext>
            </c:extLst>
          </c:dPt>
          <c:dPt>
            <c:idx val="4"/>
            <c:bubble3D val="0"/>
            <c:spPr>
              <a:noFill/>
              <a:ln w="9525">
                <a:solidFill>
                  <a:schemeClr val="tx1">
                    <a:alpha val="10000"/>
                  </a:schemeClr>
                </a:solidFill>
              </a:ln>
              <a:effectLst/>
            </c:spPr>
            <c:extLst>
              <c:ext xmlns:c16="http://schemas.microsoft.com/office/drawing/2014/chart" uri="{C3380CC4-5D6E-409C-BE32-E72D297353CC}">
                <c16:uniqueId val="{0000001F-6A1F-4EE9-97C9-EBE99BACDAA7}"/>
              </c:ext>
            </c:extLst>
          </c:dPt>
          <c:val>
            <c:numRef>
              <c:f>Processing!$P$13:$T$13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6A1F-4EE9-97C9-EBE99BACDAA7}"/>
            </c:ext>
          </c:extLst>
        </c:ser>
        <c:ser>
          <c:idx val="3"/>
          <c:order val="3"/>
          <c:spPr>
            <a:noFill/>
            <a:ln w="9525">
              <a:solidFill>
                <a:schemeClr val="tx1">
                  <a:alpha val="10000"/>
                </a:schemeClr>
              </a:solidFill>
            </a:ln>
          </c:spPr>
          <c:dPt>
            <c:idx val="0"/>
            <c:bubble3D val="0"/>
            <c:spPr>
              <a:noFill/>
              <a:ln w="9525">
                <a:solidFill>
                  <a:schemeClr val="tx1">
                    <a:alpha val="10000"/>
                  </a:schemeClr>
                </a:solidFill>
              </a:ln>
              <a:effectLst/>
            </c:spPr>
            <c:extLst>
              <c:ext xmlns:c16="http://schemas.microsoft.com/office/drawing/2014/chart" uri="{C3380CC4-5D6E-409C-BE32-E72D297353CC}">
                <c16:uniqueId val="{00000022-6A1F-4EE9-97C9-EBE99BACDAA7}"/>
              </c:ext>
            </c:extLst>
          </c:dPt>
          <c:dPt>
            <c:idx val="1"/>
            <c:bubble3D val="0"/>
            <c:spPr>
              <a:noFill/>
              <a:ln w="9525">
                <a:solidFill>
                  <a:schemeClr val="tx1">
                    <a:alpha val="10000"/>
                  </a:schemeClr>
                </a:solidFill>
              </a:ln>
              <a:effectLst/>
            </c:spPr>
            <c:extLst>
              <c:ext xmlns:c16="http://schemas.microsoft.com/office/drawing/2014/chart" uri="{C3380CC4-5D6E-409C-BE32-E72D297353CC}">
                <c16:uniqueId val="{00000024-6A1F-4EE9-97C9-EBE99BACDAA7}"/>
              </c:ext>
            </c:extLst>
          </c:dPt>
          <c:dPt>
            <c:idx val="2"/>
            <c:bubble3D val="0"/>
            <c:spPr>
              <a:noFill/>
              <a:ln w="9525">
                <a:solidFill>
                  <a:schemeClr val="tx1">
                    <a:alpha val="10000"/>
                  </a:schemeClr>
                </a:solidFill>
              </a:ln>
              <a:effectLst/>
            </c:spPr>
            <c:extLst>
              <c:ext xmlns:c16="http://schemas.microsoft.com/office/drawing/2014/chart" uri="{C3380CC4-5D6E-409C-BE32-E72D297353CC}">
                <c16:uniqueId val="{00000026-6A1F-4EE9-97C9-EBE99BACDAA7}"/>
              </c:ext>
            </c:extLst>
          </c:dPt>
          <c:dPt>
            <c:idx val="3"/>
            <c:bubble3D val="0"/>
            <c:spPr>
              <a:noFill/>
              <a:ln w="9525">
                <a:solidFill>
                  <a:schemeClr val="tx1">
                    <a:alpha val="10000"/>
                  </a:schemeClr>
                </a:solidFill>
              </a:ln>
              <a:effectLst/>
            </c:spPr>
            <c:extLst>
              <c:ext xmlns:c16="http://schemas.microsoft.com/office/drawing/2014/chart" uri="{C3380CC4-5D6E-409C-BE32-E72D297353CC}">
                <c16:uniqueId val="{00000028-6A1F-4EE9-97C9-EBE99BACDAA7}"/>
              </c:ext>
            </c:extLst>
          </c:dPt>
          <c:dPt>
            <c:idx val="4"/>
            <c:bubble3D val="0"/>
            <c:spPr>
              <a:noFill/>
              <a:ln w="9525">
                <a:solidFill>
                  <a:schemeClr val="tx1">
                    <a:alpha val="10000"/>
                  </a:schemeClr>
                </a:solidFill>
              </a:ln>
              <a:effectLst/>
            </c:spPr>
            <c:extLst>
              <c:ext xmlns:c16="http://schemas.microsoft.com/office/drawing/2014/chart" uri="{C3380CC4-5D6E-409C-BE32-E72D297353CC}">
                <c16:uniqueId val="{0000002A-6A1F-4EE9-97C9-EBE99BACDAA7}"/>
              </c:ext>
            </c:extLst>
          </c:dPt>
          <c:val>
            <c:numRef>
              <c:f>Processing!$P$14:$T$14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B-6A1F-4EE9-97C9-EBE99BACDAA7}"/>
            </c:ext>
          </c:extLst>
        </c:ser>
        <c:dLbls>
          <c:showLegendKey val="0"/>
          <c:showVal val="0"/>
          <c:showCatName val="0"/>
          <c:showSerName val="0"/>
          <c:showPercent val="0"/>
          <c:showBubbleSize val="0"/>
          <c:showLeaderLines val="1"/>
        </c:dLbls>
        <c:firstSliceAng val="0"/>
        <c:holeSize val="2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Processing!$M$10</c:f>
              <c:strCache>
                <c:ptCount val="1"/>
                <c:pt idx="0">
                  <c:v>Revenue</c:v>
                </c:pt>
              </c:strCache>
            </c:strRef>
          </c:tx>
          <c:spPr>
            <a:gradFill>
              <a:gsLst>
                <a:gs pos="0">
                  <a:srgbClr val="4E7AFF">
                    <a:alpha val="90000"/>
                  </a:srgbClr>
                </a:gs>
                <a:gs pos="100000">
                  <a:srgbClr val="4552F1">
                    <a:alpha val="90000"/>
                  </a:srgbClr>
                </a:gs>
              </a:gsLst>
              <a:lin ang="5400000" scaled="1"/>
            </a:gradFill>
            <a:ln>
              <a:noFill/>
            </a:ln>
            <a:effectLst/>
          </c:spPr>
          <c:cat>
            <c:strRef>
              <c:f>Processing!$L$11:$L$15</c:f>
              <c:strCache>
                <c:ptCount val="5"/>
                <c:pt idx="0">
                  <c:v>A</c:v>
                </c:pt>
                <c:pt idx="1">
                  <c:v>B</c:v>
                </c:pt>
                <c:pt idx="2">
                  <c:v>C</c:v>
                </c:pt>
                <c:pt idx="3">
                  <c:v>D</c:v>
                </c:pt>
                <c:pt idx="4">
                  <c:v>E</c:v>
                </c:pt>
              </c:strCache>
            </c:strRef>
          </c:cat>
          <c:val>
            <c:numRef>
              <c:f>Processing!$M$11:$M$15</c:f>
              <c:numCache>
                <c:formatCode>_("$"* #,##0.00_);_("$"* \(#,##0.00\);_("$"* "-"??_);_(@_)</c:formatCode>
                <c:ptCount val="5"/>
                <c:pt idx="0">
                  <c:v>8185</c:v>
                </c:pt>
                <c:pt idx="1">
                  <c:v>7567</c:v>
                </c:pt>
                <c:pt idx="2">
                  <c:v>5405</c:v>
                </c:pt>
                <c:pt idx="3">
                  <c:v>9111</c:v>
                </c:pt>
                <c:pt idx="4">
                  <c:v>7567</c:v>
                </c:pt>
              </c:numCache>
            </c:numRef>
          </c:val>
          <c:extLst>
            <c:ext xmlns:c16="http://schemas.microsoft.com/office/drawing/2014/chart" uri="{C3380CC4-5D6E-409C-BE32-E72D297353CC}">
              <c16:uniqueId val="{00000000-E21A-4F79-93C3-90F18D04F544}"/>
            </c:ext>
          </c:extLst>
        </c:ser>
        <c:ser>
          <c:idx val="1"/>
          <c:order val="1"/>
          <c:tx>
            <c:strRef>
              <c:f>Processing!$N$10</c:f>
              <c:strCache>
                <c:ptCount val="1"/>
                <c:pt idx="0">
                  <c:v>Sales</c:v>
                </c:pt>
              </c:strCache>
            </c:strRef>
          </c:tx>
          <c:spPr>
            <a:gradFill>
              <a:gsLst>
                <a:gs pos="0">
                  <a:srgbClr val="F17EEC">
                    <a:alpha val="80000"/>
                  </a:srgbClr>
                </a:gs>
                <a:gs pos="100000">
                  <a:srgbClr val="EE0078">
                    <a:alpha val="80000"/>
                  </a:srgbClr>
                </a:gs>
              </a:gsLst>
              <a:lin ang="5400000" scaled="1"/>
            </a:gradFill>
            <a:ln>
              <a:noFill/>
            </a:ln>
            <a:effectLst/>
          </c:spPr>
          <c:cat>
            <c:strRef>
              <c:f>Processing!$L$11:$L$15</c:f>
              <c:strCache>
                <c:ptCount val="5"/>
                <c:pt idx="0">
                  <c:v>A</c:v>
                </c:pt>
                <c:pt idx="1">
                  <c:v>B</c:v>
                </c:pt>
                <c:pt idx="2">
                  <c:v>C</c:v>
                </c:pt>
                <c:pt idx="3">
                  <c:v>D</c:v>
                </c:pt>
                <c:pt idx="4">
                  <c:v>E</c:v>
                </c:pt>
              </c:strCache>
            </c:strRef>
          </c:cat>
          <c:val>
            <c:numRef>
              <c:f>Processing!$N$11:$N$15</c:f>
              <c:numCache>
                <c:formatCode>_("$"* #,##0.00_);_("$"* \(#,##0.00\);_("$"* "-"??_);_(@_)</c:formatCode>
                <c:ptCount val="5"/>
                <c:pt idx="0">
                  <c:v>7381.8451474918056</c:v>
                </c:pt>
                <c:pt idx="1">
                  <c:v>8409.9741542136544</c:v>
                </c:pt>
                <c:pt idx="2">
                  <c:v>7244.885506360758</c:v>
                </c:pt>
                <c:pt idx="3">
                  <c:v>4026.7997889006169</c:v>
                </c:pt>
                <c:pt idx="4">
                  <c:v>6479.4954030331646</c:v>
                </c:pt>
              </c:numCache>
            </c:numRef>
          </c:val>
          <c:extLst>
            <c:ext xmlns:c16="http://schemas.microsoft.com/office/drawing/2014/chart" uri="{C3380CC4-5D6E-409C-BE32-E72D297353CC}">
              <c16:uniqueId val="{00000001-E21A-4F79-93C3-90F18D04F544}"/>
            </c:ext>
          </c:extLst>
        </c:ser>
        <c:dLbls>
          <c:showLegendKey val="0"/>
          <c:showVal val="0"/>
          <c:showCatName val="0"/>
          <c:showSerName val="0"/>
          <c:showPercent val="0"/>
          <c:showBubbleSize val="0"/>
        </c:dLbls>
        <c:axId val="1824798800"/>
        <c:axId val="1824798320"/>
      </c:radarChart>
      <c:catAx>
        <c:axId val="1824798800"/>
        <c:scaling>
          <c:orientation val="minMax"/>
        </c:scaling>
        <c:delete val="1"/>
        <c:axPos val="b"/>
        <c:numFmt formatCode="General" sourceLinked="1"/>
        <c:majorTickMark val="none"/>
        <c:minorTickMark val="none"/>
        <c:tickLblPos val="nextTo"/>
        <c:crossAx val="1824798320"/>
        <c:crosses val="autoZero"/>
        <c:auto val="1"/>
        <c:lblAlgn val="ctr"/>
        <c:lblOffset val="100"/>
        <c:noMultiLvlLbl val="0"/>
      </c:catAx>
      <c:valAx>
        <c:axId val="1824798320"/>
        <c:scaling>
          <c:orientation val="minMax"/>
        </c:scaling>
        <c:delete val="1"/>
        <c:axPos val="l"/>
        <c:numFmt formatCode="_(&quot;$&quot;* #,##0.00_);_(&quot;$&quot;* \(#,##0.00\);_(&quot;$&quot;* &quot;-&quot;??_);_(@_)" sourceLinked="1"/>
        <c:majorTickMark val="none"/>
        <c:minorTickMark val="none"/>
        <c:tickLblPos val="nextTo"/>
        <c:crossAx val="18247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a:gsLst>
                <a:gs pos="0">
                  <a:srgbClr val="00C6D1">
                    <a:alpha val="30000"/>
                  </a:srgbClr>
                </a:gs>
                <a:gs pos="100000">
                  <a:srgbClr val="00C6D1">
                    <a:alpha val="0"/>
                  </a:srgbClr>
                </a:gs>
              </a:gsLst>
              <a:lin ang="5400000" scaled="1"/>
            </a:gradFill>
            <a:ln>
              <a:noFill/>
            </a:ln>
            <a:effectLst/>
          </c:spP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extLst>
            <c:ext xmlns:c16="http://schemas.microsoft.com/office/drawing/2014/chart" uri="{C3380CC4-5D6E-409C-BE32-E72D297353CC}">
              <c16:uniqueId val="{00000000-33B4-4C52-8F4E-FF26077BF843}"/>
            </c:ext>
          </c:extLst>
        </c:ser>
        <c:dLbls>
          <c:showLegendKey val="0"/>
          <c:showVal val="0"/>
          <c:showCatName val="0"/>
          <c:showSerName val="0"/>
          <c:showPercent val="0"/>
          <c:showBubbleSize val="0"/>
        </c:dLbls>
        <c:axId val="1953973136"/>
        <c:axId val="1953968816"/>
      </c:areaChart>
      <c:lineChart>
        <c:grouping val="standard"/>
        <c:varyColors val="0"/>
        <c:ser>
          <c:idx val="1"/>
          <c:order val="0"/>
          <c:tx>
            <c:strRef>
              <c:f>Processing!$C$19</c:f>
              <c:strCache>
                <c:ptCount val="1"/>
                <c:pt idx="0">
                  <c:v>Expenses</c:v>
                </c:pt>
              </c:strCache>
            </c:strRef>
          </c:tx>
          <c:spPr>
            <a:ln w="25400" cap="rnd">
              <a:gradFill>
                <a:gsLst>
                  <a:gs pos="0">
                    <a:srgbClr val="EE0078"/>
                  </a:gs>
                  <a:gs pos="100000">
                    <a:srgbClr val="F17EEC"/>
                  </a:gs>
                </a:gsLst>
                <a:lin ang="0" scaled="0"/>
              </a:gradFill>
              <a:round/>
            </a:ln>
            <a:effectLst/>
          </c:spPr>
          <c:marker>
            <c:symbol val="none"/>
          </c:marker>
          <c:val>
            <c:numRef>
              <c:f>Processing!$C$20:$C$31</c:f>
              <c:numCache>
                <c:formatCode>General</c:formatCode>
                <c:ptCount val="12"/>
                <c:pt idx="0">
                  <c:v>26660</c:v>
                </c:pt>
                <c:pt idx="1">
                  <c:v>32060</c:v>
                </c:pt>
                <c:pt idx="2">
                  <c:v>35760</c:v>
                </c:pt>
                <c:pt idx="3">
                  <c:v>36560</c:v>
                </c:pt>
                <c:pt idx="4">
                  <c:v>34220</c:v>
                </c:pt>
                <c:pt idx="5">
                  <c:v>29500</c:v>
                </c:pt>
                <c:pt idx="6">
                  <c:v>23820</c:v>
                </c:pt>
                <c:pt idx="7">
                  <c:v>19100</c:v>
                </c:pt>
                <c:pt idx="8">
                  <c:v>16760</c:v>
                </c:pt>
                <c:pt idx="9">
                  <c:v>17560</c:v>
                </c:pt>
                <c:pt idx="10">
                  <c:v>21260</c:v>
                </c:pt>
                <c:pt idx="11">
                  <c:v>26660</c:v>
                </c:pt>
              </c:numCache>
            </c:numRef>
          </c:val>
          <c:smooth val="1"/>
          <c:extLst>
            <c:ext xmlns:c16="http://schemas.microsoft.com/office/drawing/2014/chart" uri="{C3380CC4-5D6E-409C-BE32-E72D297353CC}">
              <c16:uniqueId val="{00000001-33B4-4C52-8F4E-FF26077BF843}"/>
            </c:ext>
          </c:extLst>
        </c:ser>
        <c:ser>
          <c:idx val="0"/>
          <c:order val="1"/>
          <c:tx>
            <c:strRef>
              <c:f>Processing!$B$19</c:f>
              <c:strCache>
                <c:ptCount val="1"/>
                <c:pt idx="0">
                  <c:v>Revenue</c:v>
                </c:pt>
              </c:strCache>
            </c:strRef>
          </c:tx>
          <c:spPr>
            <a:ln w="25400" cap="rnd">
              <a:solidFill>
                <a:srgbClr val="00C6D1"/>
              </a:solidFill>
              <a:round/>
            </a:ln>
            <a:effectLst/>
          </c:spPr>
          <c:marker>
            <c:symbol val="none"/>
          </c:marke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smooth val="1"/>
          <c:extLst>
            <c:ext xmlns:c16="http://schemas.microsoft.com/office/drawing/2014/chart" uri="{C3380CC4-5D6E-409C-BE32-E72D297353CC}">
              <c16:uniqueId val="{00000002-33B4-4C52-8F4E-FF26077BF843}"/>
            </c:ext>
          </c:extLst>
        </c:ser>
        <c:dLbls>
          <c:showLegendKey val="0"/>
          <c:showVal val="0"/>
          <c:showCatName val="0"/>
          <c:showSerName val="0"/>
          <c:showPercent val="0"/>
          <c:showBubbleSize val="0"/>
        </c:dLbls>
        <c:marker val="1"/>
        <c:smooth val="0"/>
        <c:axId val="1953973136"/>
        <c:axId val="1953968816"/>
      </c:lineChart>
      <c:scatterChart>
        <c:scatterStyle val="lineMarker"/>
        <c:varyColors val="0"/>
        <c:ser>
          <c:idx val="3"/>
          <c:order val="3"/>
          <c:tx>
            <c:v>Cursor</c:v>
          </c:tx>
          <c:spPr>
            <a:ln w="25400" cap="rnd">
              <a:noFill/>
              <a:round/>
            </a:ln>
            <a:effectLst>
              <a:outerShdw blurRad="50800" dist="38100" dir="2700000" algn="tl" rotWithShape="0">
                <a:prstClr val="black">
                  <a:alpha val="40000"/>
                </a:prstClr>
              </a:outerShdw>
            </a:effectLst>
          </c:spPr>
          <c:marker>
            <c:symbol val="circle"/>
            <c:size val="7"/>
            <c:spPr>
              <a:solidFill>
                <a:schemeClr val="bg1"/>
              </a:solidFill>
              <a:ln w="19050">
                <a:solidFill>
                  <a:srgbClr val="00C6D1"/>
                </a:solidFill>
              </a:ln>
              <a:effectLst>
                <a:outerShdw blurRad="50800" dist="38100" dir="2700000" algn="tl" rotWithShape="0">
                  <a:prstClr val="black">
                    <a:alpha val="40000"/>
                  </a:prstClr>
                </a:outerShdw>
              </a:effectLst>
            </c:spPr>
          </c:marker>
          <c:yVal>
            <c:numRef>
              <c:f>Processing!$D$20:$D$31</c:f>
              <c:numCache>
                <c:formatCode>General</c:formatCode>
                <c:ptCount val="12"/>
                <c:pt idx="0">
                  <c:v>37835</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33B4-4C52-8F4E-FF26077BF843}"/>
            </c:ext>
          </c:extLst>
        </c:ser>
        <c:dLbls>
          <c:showLegendKey val="0"/>
          <c:showVal val="0"/>
          <c:showCatName val="0"/>
          <c:showSerName val="0"/>
          <c:showPercent val="0"/>
          <c:showBubbleSize val="0"/>
        </c:dLbls>
        <c:axId val="1953973136"/>
        <c:axId val="1953968816"/>
      </c:scatterChart>
      <c:catAx>
        <c:axId val="1953973136"/>
        <c:scaling>
          <c:orientation val="minMax"/>
        </c:scaling>
        <c:delete val="1"/>
        <c:axPos val="b"/>
        <c:majorTickMark val="none"/>
        <c:minorTickMark val="none"/>
        <c:tickLblPos val="nextTo"/>
        <c:crossAx val="1953968816"/>
        <c:crosses val="autoZero"/>
        <c:auto val="1"/>
        <c:lblAlgn val="ctr"/>
        <c:lblOffset val="100"/>
        <c:noMultiLvlLbl val="0"/>
      </c:catAx>
      <c:valAx>
        <c:axId val="1953968816"/>
        <c:scaling>
          <c:orientation val="minMax"/>
        </c:scaling>
        <c:delete val="1"/>
        <c:axPos val="l"/>
        <c:numFmt formatCode="General" sourceLinked="1"/>
        <c:majorTickMark val="none"/>
        <c:minorTickMark val="none"/>
        <c:tickLblPos val="nextTo"/>
        <c:crossAx val="195397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Processing!$J$20</c:f>
              <c:strCache>
                <c:ptCount val="1"/>
                <c:pt idx="0">
                  <c:v>ROI</c:v>
                </c:pt>
              </c:strCache>
            </c:strRef>
          </c:tx>
          <c:spPr>
            <a:ln>
              <a:noFill/>
            </a:ln>
            <a:effectLst>
              <a:outerShdw blurRad="50800" dist="38100" dir="8100000" algn="tr" rotWithShape="0">
                <a:prstClr val="black">
                  <a:alpha val="40000"/>
                </a:prstClr>
              </a:outerShdw>
            </a:effectLst>
          </c:spPr>
          <c:dPt>
            <c:idx val="0"/>
            <c:bubble3D val="0"/>
            <c:spPr>
              <a:gradFill>
                <a:gsLst>
                  <a:gs pos="0">
                    <a:srgbClr val="EE0078"/>
                  </a:gs>
                  <a:gs pos="100000">
                    <a:srgbClr val="D758C9"/>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837C-4BE0-AB0F-E57ED39E98ED}"/>
              </c:ext>
            </c:extLst>
          </c:dPt>
          <c:dPt>
            <c:idx val="1"/>
            <c:bubble3D val="0"/>
            <c:spPr>
              <a:gradFill>
                <a:gsLst>
                  <a:gs pos="0">
                    <a:srgbClr val="7A4FF0"/>
                  </a:gs>
                  <a:gs pos="100000">
                    <a:srgbClr val="60A8FF"/>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837C-4BE0-AB0F-E57ED39E98ED}"/>
              </c:ext>
            </c:extLst>
          </c:dPt>
          <c:dPt>
            <c:idx val="2"/>
            <c:bubble3D val="0"/>
            <c:spPr>
              <a:solidFill>
                <a:srgbClr val="EE0078">
                  <a:alpha val="50000"/>
                </a:srgb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837C-4BE0-AB0F-E57ED39E98ED}"/>
              </c:ext>
            </c:extLst>
          </c:dPt>
          <c:val>
            <c:numRef>
              <c:f>Processing!$J$21:$J$23</c:f>
              <c:numCache>
                <c:formatCode>0%</c:formatCode>
                <c:ptCount val="3"/>
                <c:pt idx="0">
                  <c:v>0.39873688717619354</c:v>
                </c:pt>
                <c:pt idx="1">
                  <c:v>0.6012631128238064</c:v>
                </c:pt>
                <c:pt idx="2">
                  <c:v>0</c:v>
                </c:pt>
              </c:numCache>
            </c:numRef>
          </c:val>
          <c:extLst>
            <c:ext xmlns:c16="http://schemas.microsoft.com/office/drawing/2014/chart" uri="{C3380CC4-5D6E-409C-BE32-E72D297353CC}">
              <c16:uniqueId val="{00000006-837C-4BE0-AB0F-E57ED39E98E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CADB-4362-90EC-2B0CB29ABCAB}"/>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CADB-4362-90EC-2B0CB29ABCAB}"/>
              </c:ext>
            </c:extLst>
          </c:dPt>
          <c:val>
            <c:numRef>
              <c:f>Processing!$B$15:$B$16</c:f>
              <c:numCache>
                <c:formatCode>0%</c:formatCode>
                <c:ptCount val="2"/>
                <c:pt idx="0">
                  <c:v>0.43454531359020077</c:v>
                </c:pt>
                <c:pt idx="1">
                  <c:v>0.56545468640979923</c:v>
                </c:pt>
              </c:numCache>
            </c:numRef>
          </c:val>
          <c:extLst>
            <c:ext xmlns:c16="http://schemas.microsoft.com/office/drawing/2014/chart" uri="{C3380CC4-5D6E-409C-BE32-E72D297353CC}">
              <c16:uniqueId val="{00000004-CADB-4362-90EC-2B0CB29ABCAB}"/>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E556-47CE-BA9F-0D0B44184453}"/>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E556-47CE-BA9F-0D0B44184453}"/>
              </c:ext>
            </c:extLst>
          </c:dPt>
          <c:val>
            <c:numRef>
              <c:f>Processing!$C$15:$C$16</c:f>
              <c:numCache>
                <c:formatCode>0%</c:formatCode>
                <c:ptCount val="2"/>
                <c:pt idx="0">
                  <c:v>0.52008682843631293</c:v>
                </c:pt>
                <c:pt idx="1">
                  <c:v>0.47991317156368707</c:v>
                </c:pt>
              </c:numCache>
            </c:numRef>
          </c:val>
          <c:extLst>
            <c:ext xmlns:c16="http://schemas.microsoft.com/office/drawing/2014/chart" uri="{C3380CC4-5D6E-409C-BE32-E72D297353CC}">
              <c16:uniqueId val="{00000004-E556-47CE-BA9F-0D0B44184453}"/>
            </c:ext>
          </c:extLst>
        </c:ser>
        <c:dLbls>
          <c:showLegendKey val="0"/>
          <c:showVal val="0"/>
          <c:showCatName val="0"/>
          <c:showSerName val="0"/>
          <c:showPercent val="0"/>
          <c:showBubbleSize val="0"/>
          <c:showLeaderLines val="1"/>
        </c:dLbls>
        <c:firstSliceAng val="0"/>
        <c:holeSize val="9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spPr>
            <a:noFill/>
            <a:ln>
              <a:noFill/>
            </a:ln>
            <a:effectLst/>
          </c:spPr>
          <c:invertIfNegative val="0"/>
          <c:cat>
            <c:strRef>
              <c:f>Processing!$I$2:$I$6</c:f>
              <c:strCache>
                <c:ptCount val="5"/>
                <c:pt idx="0">
                  <c:v>MON</c:v>
                </c:pt>
                <c:pt idx="1">
                  <c:v>TUE</c:v>
                </c:pt>
                <c:pt idx="2">
                  <c:v>WED</c:v>
                </c:pt>
                <c:pt idx="3">
                  <c:v>THU</c:v>
                </c:pt>
                <c:pt idx="4">
                  <c:v>FRI</c:v>
                </c:pt>
              </c:strCache>
            </c:strRef>
          </c:cat>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0-466C-4A53-A159-523FEF3F0EB3}"/>
            </c:ext>
          </c:extLst>
        </c:ser>
        <c:ser>
          <c:idx val="0"/>
          <c:order val="1"/>
          <c:spPr>
            <a:solidFill>
              <a:schemeClr val="accent1"/>
            </a:solidFill>
            <a:ln w="88900">
              <a:gradFill>
                <a:gsLst>
                  <a:gs pos="0">
                    <a:srgbClr val="4E7AFF"/>
                  </a:gs>
                  <a:gs pos="100000">
                    <a:srgbClr val="4552F1"/>
                  </a:gs>
                </a:gsLst>
                <a:lin ang="5400000" scaled="1"/>
              </a:gradFill>
            </a:ln>
            <a:effectLst/>
          </c:spPr>
          <c:invertIfNegative val="0"/>
          <c:cat>
            <c:strRef>
              <c:f>Processing!$I$2:$I$6</c:f>
              <c:strCache>
                <c:ptCount val="5"/>
                <c:pt idx="0">
                  <c:v>MON</c:v>
                </c:pt>
                <c:pt idx="1">
                  <c:v>TUE</c:v>
                </c:pt>
                <c:pt idx="2">
                  <c:v>WED</c:v>
                </c:pt>
                <c:pt idx="3">
                  <c:v>THU</c:v>
                </c:pt>
                <c:pt idx="4">
                  <c:v>FRI</c:v>
                </c:pt>
              </c:strCache>
            </c:strRef>
          </c:cat>
          <c:val>
            <c:numRef>
              <c:f>Processing!$J$2:$J$6</c:f>
              <c:numCache>
                <c:formatCode>General</c:formatCode>
                <c:ptCount val="5"/>
                <c:pt idx="0">
                  <c:v>1511</c:v>
                </c:pt>
                <c:pt idx="1">
                  <c:v>5603</c:v>
                </c:pt>
                <c:pt idx="2">
                  <c:v>5741</c:v>
                </c:pt>
                <c:pt idx="3">
                  <c:v>2858</c:v>
                </c:pt>
                <c:pt idx="4">
                  <c:v>1164</c:v>
                </c:pt>
              </c:numCache>
            </c:numRef>
          </c:val>
          <c:extLst>
            <c:ext xmlns:c16="http://schemas.microsoft.com/office/drawing/2014/chart" uri="{C3380CC4-5D6E-409C-BE32-E72D297353CC}">
              <c16:uniqueId val="{00000001-466C-4A53-A159-523FEF3F0EB3}"/>
            </c:ext>
          </c:extLst>
        </c:ser>
        <c:dLbls>
          <c:showLegendKey val="0"/>
          <c:showVal val="0"/>
          <c:showCatName val="0"/>
          <c:showSerName val="0"/>
          <c:showPercent val="0"/>
          <c:showBubbleSize val="0"/>
        </c:dLbls>
        <c:gapWidth val="250"/>
        <c:overlap val="100"/>
        <c:axId val="1684353792"/>
        <c:axId val="1684362432"/>
      </c:barChart>
      <c:barChart>
        <c:barDir val="col"/>
        <c:grouping val="stacked"/>
        <c:varyColors val="0"/>
        <c:ser>
          <c:idx val="3"/>
          <c:order val="2"/>
          <c:tx>
            <c:v>indent Cursor</c:v>
          </c:tx>
          <c:spPr>
            <a:noFill/>
            <a:ln>
              <a:noFill/>
            </a:ln>
            <a:effectLst/>
          </c:spPr>
          <c:invertIfNegative val="0"/>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2-466C-4A53-A159-523FEF3F0EB3}"/>
            </c:ext>
          </c:extLst>
        </c:ser>
        <c:ser>
          <c:idx val="1"/>
          <c:order val="3"/>
          <c:spPr>
            <a:solidFill>
              <a:schemeClr val="accent2"/>
            </a:solidFill>
            <a:ln w="88900">
              <a:gradFill>
                <a:gsLst>
                  <a:gs pos="0">
                    <a:srgbClr val="F17EEC"/>
                  </a:gs>
                  <a:gs pos="100000">
                    <a:srgbClr val="EE0078"/>
                  </a:gs>
                </a:gsLst>
                <a:lin ang="5400000" scaled="1"/>
              </a:gradFill>
            </a:ln>
            <a:effectLst>
              <a:outerShdw blurRad="50800" dist="38100" dir="8100000" algn="tr" rotWithShape="0">
                <a:prstClr val="black">
                  <a:alpha val="40000"/>
                </a:prstClr>
              </a:outerShdw>
            </a:effectLst>
          </c:spPr>
          <c:invertIfNegative val="0"/>
          <c:cat>
            <c:strRef>
              <c:f>Processing!$I$2:$I$6</c:f>
              <c:strCache>
                <c:ptCount val="5"/>
                <c:pt idx="0">
                  <c:v>MON</c:v>
                </c:pt>
                <c:pt idx="1">
                  <c:v>TUE</c:v>
                </c:pt>
                <c:pt idx="2">
                  <c:v>WED</c:v>
                </c:pt>
                <c:pt idx="3">
                  <c:v>THU</c:v>
                </c:pt>
                <c:pt idx="4">
                  <c:v>FRI</c:v>
                </c:pt>
              </c:strCache>
            </c:strRef>
          </c:cat>
          <c:val>
            <c:numRef>
              <c:f>Processing!$K$2:$K$6</c:f>
              <c:numCache>
                <c:formatCode>General</c:formatCode>
                <c:ptCount val="5"/>
                <c:pt idx="0">
                  <c:v>#N/A</c:v>
                </c:pt>
                <c:pt idx="1">
                  <c:v>5603</c:v>
                </c:pt>
                <c:pt idx="2">
                  <c:v>5741</c:v>
                </c:pt>
                <c:pt idx="3">
                  <c:v>2858</c:v>
                </c:pt>
                <c:pt idx="4">
                  <c:v>1164</c:v>
                </c:pt>
              </c:numCache>
            </c:numRef>
          </c:val>
          <c:extLst>
            <c:ext xmlns:c16="http://schemas.microsoft.com/office/drawing/2014/chart" uri="{C3380CC4-5D6E-409C-BE32-E72D297353CC}">
              <c16:uniqueId val="{00000003-466C-4A53-A159-523FEF3F0EB3}"/>
            </c:ext>
          </c:extLst>
        </c:ser>
        <c:dLbls>
          <c:showLegendKey val="0"/>
          <c:showVal val="0"/>
          <c:showCatName val="0"/>
          <c:showSerName val="0"/>
          <c:showPercent val="0"/>
          <c:showBubbleSize val="0"/>
        </c:dLbls>
        <c:gapWidth val="250"/>
        <c:overlap val="100"/>
        <c:axId val="1684234752"/>
        <c:axId val="1684248672"/>
      </c:barChart>
      <c:catAx>
        <c:axId val="1684353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A2ADBE"/>
                </a:solidFill>
                <a:latin typeface="+mn-lt"/>
                <a:ea typeface="+mn-ea"/>
                <a:cs typeface="+mn-cs"/>
              </a:defRPr>
            </a:pPr>
            <a:endParaRPr lang="ru-RU"/>
          </a:p>
        </c:txPr>
        <c:crossAx val="1684362432"/>
        <c:crosses val="autoZero"/>
        <c:auto val="1"/>
        <c:lblAlgn val="ctr"/>
        <c:lblOffset val="100"/>
        <c:noMultiLvlLbl val="0"/>
      </c:catAx>
      <c:valAx>
        <c:axId val="1684362432"/>
        <c:scaling>
          <c:orientation val="minMax"/>
          <c:min val="0"/>
        </c:scaling>
        <c:delete val="1"/>
        <c:axPos val="l"/>
        <c:numFmt formatCode="General" sourceLinked="1"/>
        <c:majorTickMark val="out"/>
        <c:minorTickMark val="none"/>
        <c:tickLblPos val="nextTo"/>
        <c:crossAx val="1684353792"/>
        <c:crosses val="autoZero"/>
        <c:crossBetween val="between"/>
      </c:valAx>
      <c:valAx>
        <c:axId val="1684248672"/>
        <c:scaling>
          <c:orientation val="minMax"/>
        </c:scaling>
        <c:delete val="1"/>
        <c:axPos val="r"/>
        <c:numFmt formatCode="General" sourceLinked="1"/>
        <c:majorTickMark val="out"/>
        <c:minorTickMark val="none"/>
        <c:tickLblPos val="nextTo"/>
        <c:crossAx val="1684234752"/>
        <c:crosses val="max"/>
        <c:crossBetween val="between"/>
      </c:valAx>
      <c:catAx>
        <c:axId val="1684234752"/>
        <c:scaling>
          <c:orientation val="minMax"/>
        </c:scaling>
        <c:delete val="1"/>
        <c:axPos val="b"/>
        <c:majorTickMark val="out"/>
        <c:minorTickMark val="none"/>
        <c:tickLblPos val="nextTo"/>
        <c:crossAx val="168424867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1-11EF-4F68-A502-C49152E419D5}"/>
              </c:ext>
            </c:extLst>
          </c:dPt>
          <c:dPt>
            <c:idx val="1"/>
            <c:bubble3D val="0"/>
            <c:spPr>
              <a:noFill/>
              <a:ln w="9525">
                <a:solidFill>
                  <a:srgbClr val="6476CE"/>
                </a:solidFill>
              </a:ln>
              <a:effectLst/>
            </c:spPr>
            <c:extLst>
              <c:ext xmlns:c16="http://schemas.microsoft.com/office/drawing/2014/chart" uri="{C3380CC4-5D6E-409C-BE32-E72D297353CC}">
                <c16:uniqueId val="{00000003-11EF-4F68-A502-C49152E419D5}"/>
              </c:ext>
            </c:extLst>
          </c:dPt>
          <c:dPt>
            <c:idx val="2"/>
            <c:bubble3D val="0"/>
            <c:spPr>
              <a:noFill/>
              <a:ln w="9525">
                <a:solidFill>
                  <a:srgbClr val="6476CE"/>
                </a:solidFill>
              </a:ln>
              <a:effectLst/>
            </c:spPr>
            <c:extLst>
              <c:ext xmlns:c16="http://schemas.microsoft.com/office/drawing/2014/chart" uri="{C3380CC4-5D6E-409C-BE32-E72D297353CC}">
                <c16:uniqueId val="{00000005-11EF-4F68-A502-C49152E419D5}"/>
              </c:ext>
            </c:extLst>
          </c:dPt>
          <c:dPt>
            <c:idx val="3"/>
            <c:bubble3D val="0"/>
            <c:spPr>
              <a:noFill/>
              <a:ln w="9525">
                <a:solidFill>
                  <a:srgbClr val="6476CE"/>
                </a:solidFill>
              </a:ln>
              <a:effectLst/>
            </c:spPr>
            <c:extLst>
              <c:ext xmlns:c16="http://schemas.microsoft.com/office/drawing/2014/chart" uri="{C3380CC4-5D6E-409C-BE32-E72D297353CC}">
                <c16:uniqueId val="{00000007-11EF-4F68-A502-C49152E419D5}"/>
              </c:ext>
            </c:extLst>
          </c:dPt>
          <c:dPt>
            <c:idx val="4"/>
            <c:bubble3D val="0"/>
            <c:spPr>
              <a:noFill/>
              <a:ln w="9525">
                <a:solidFill>
                  <a:srgbClr val="6476CE"/>
                </a:solidFill>
              </a:ln>
              <a:effectLst/>
            </c:spPr>
            <c:extLst>
              <c:ext xmlns:c16="http://schemas.microsoft.com/office/drawing/2014/chart" uri="{C3380CC4-5D6E-409C-BE32-E72D297353CC}">
                <c16:uniqueId val="{00000009-11EF-4F68-A502-C49152E419D5}"/>
              </c:ext>
            </c:extLst>
          </c:dPt>
          <c:val>
            <c:numRef>
              <c:f>Processing!$P$11:$T$11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11EF-4F68-A502-C49152E419D5}"/>
            </c:ext>
          </c:extLst>
        </c:ser>
        <c:ser>
          <c:idx val="1"/>
          <c:order val="1"/>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C-11EF-4F68-A502-C49152E419D5}"/>
              </c:ext>
            </c:extLst>
          </c:dPt>
          <c:dPt>
            <c:idx val="1"/>
            <c:bubble3D val="0"/>
            <c:spPr>
              <a:noFill/>
              <a:ln w="9525">
                <a:solidFill>
                  <a:srgbClr val="6476CE"/>
                </a:solidFill>
              </a:ln>
              <a:effectLst/>
            </c:spPr>
            <c:extLst>
              <c:ext xmlns:c16="http://schemas.microsoft.com/office/drawing/2014/chart" uri="{C3380CC4-5D6E-409C-BE32-E72D297353CC}">
                <c16:uniqueId val="{0000000E-11EF-4F68-A502-C49152E419D5}"/>
              </c:ext>
            </c:extLst>
          </c:dPt>
          <c:dPt>
            <c:idx val="2"/>
            <c:bubble3D val="0"/>
            <c:spPr>
              <a:noFill/>
              <a:ln w="9525">
                <a:solidFill>
                  <a:srgbClr val="6476CE"/>
                </a:solidFill>
              </a:ln>
              <a:effectLst/>
            </c:spPr>
            <c:extLst>
              <c:ext xmlns:c16="http://schemas.microsoft.com/office/drawing/2014/chart" uri="{C3380CC4-5D6E-409C-BE32-E72D297353CC}">
                <c16:uniqueId val="{00000010-11EF-4F68-A502-C49152E419D5}"/>
              </c:ext>
            </c:extLst>
          </c:dPt>
          <c:dPt>
            <c:idx val="3"/>
            <c:bubble3D val="0"/>
            <c:spPr>
              <a:noFill/>
              <a:ln w="9525">
                <a:solidFill>
                  <a:srgbClr val="6476CE"/>
                </a:solidFill>
              </a:ln>
              <a:effectLst/>
            </c:spPr>
            <c:extLst>
              <c:ext xmlns:c16="http://schemas.microsoft.com/office/drawing/2014/chart" uri="{C3380CC4-5D6E-409C-BE32-E72D297353CC}">
                <c16:uniqueId val="{00000012-11EF-4F68-A502-C49152E419D5}"/>
              </c:ext>
            </c:extLst>
          </c:dPt>
          <c:dPt>
            <c:idx val="4"/>
            <c:bubble3D val="0"/>
            <c:spPr>
              <a:noFill/>
              <a:ln w="9525">
                <a:solidFill>
                  <a:srgbClr val="6476CE"/>
                </a:solidFill>
              </a:ln>
              <a:effectLst/>
            </c:spPr>
            <c:extLst>
              <c:ext xmlns:c16="http://schemas.microsoft.com/office/drawing/2014/chart" uri="{C3380CC4-5D6E-409C-BE32-E72D297353CC}">
                <c16:uniqueId val="{00000014-11EF-4F68-A502-C49152E419D5}"/>
              </c:ext>
            </c:extLst>
          </c:dPt>
          <c:val>
            <c:numRef>
              <c:f>Processing!$P$12:$T$12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11EF-4F68-A502-C49152E419D5}"/>
            </c:ext>
          </c:extLst>
        </c:ser>
        <c:ser>
          <c:idx val="2"/>
          <c:order val="2"/>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17-11EF-4F68-A502-C49152E419D5}"/>
              </c:ext>
            </c:extLst>
          </c:dPt>
          <c:dPt>
            <c:idx val="1"/>
            <c:bubble3D val="0"/>
            <c:spPr>
              <a:noFill/>
              <a:ln w="9525">
                <a:solidFill>
                  <a:srgbClr val="6476CE"/>
                </a:solidFill>
              </a:ln>
              <a:effectLst/>
            </c:spPr>
            <c:extLst>
              <c:ext xmlns:c16="http://schemas.microsoft.com/office/drawing/2014/chart" uri="{C3380CC4-5D6E-409C-BE32-E72D297353CC}">
                <c16:uniqueId val="{00000019-11EF-4F68-A502-C49152E419D5}"/>
              </c:ext>
            </c:extLst>
          </c:dPt>
          <c:dPt>
            <c:idx val="2"/>
            <c:bubble3D val="0"/>
            <c:spPr>
              <a:noFill/>
              <a:ln w="9525">
                <a:solidFill>
                  <a:srgbClr val="6476CE"/>
                </a:solidFill>
              </a:ln>
              <a:effectLst/>
            </c:spPr>
            <c:extLst>
              <c:ext xmlns:c16="http://schemas.microsoft.com/office/drawing/2014/chart" uri="{C3380CC4-5D6E-409C-BE32-E72D297353CC}">
                <c16:uniqueId val="{0000001B-11EF-4F68-A502-C49152E419D5}"/>
              </c:ext>
            </c:extLst>
          </c:dPt>
          <c:dPt>
            <c:idx val="3"/>
            <c:bubble3D val="0"/>
            <c:spPr>
              <a:noFill/>
              <a:ln w="9525">
                <a:solidFill>
                  <a:srgbClr val="6476CE"/>
                </a:solidFill>
              </a:ln>
              <a:effectLst/>
            </c:spPr>
            <c:extLst>
              <c:ext xmlns:c16="http://schemas.microsoft.com/office/drawing/2014/chart" uri="{C3380CC4-5D6E-409C-BE32-E72D297353CC}">
                <c16:uniqueId val="{0000001D-11EF-4F68-A502-C49152E419D5}"/>
              </c:ext>
            </c:extLst>
          </c:dPt>
          <c:dPt>
            <c:idx val="4"/>
            <c:bubble3D val="0"/>
            <c:spPr>
              <a:noFill/>
              <a:ln w="9525">
                <a:solidFill>
                  <a:srgbClr val="6476CE"/>
                </a:solidFill>
              </a:ln>
              <a:effectLst/>
            </c:spPr>
            <c:extLst>
              <c:ext xmlns:c16="http://schemas.microsoft.com/office/drawing/2014/chart" uri="{C3380CC4-5D6E-409C-BE32-E72D297353CC}">
                <c16:uniqueId val="{0000001F-11EF-4F68-A502-C49152E419D5}"/>
              </c:ext>
            </c:extLst>
          </c:dPt>
          <c:val>
            <c:numRef>
              <c:f>Processing!$P$13:$T$13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11EF-4F68-A502-C49152E419D5}"/>
            </c:ext>
          </c:extLst>
        </c:ser>
        <c:ser>
          <c:idx val="3"/>
          <c:order val="3"/>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22-11EF-4F68-A502-C49152E419D5}"/>
              </c:ext>
            </c:extLst>
          </c:dPt>
          <c:dPt>
            <c:idx val="1"/>
            <c:bubble3D val="0"/>
            <c:spPr>
              <a:noFill/>
              <a:ln w="9525">
                <a:solidFill>
                  <a:srgbClr val="6476CE"/>
                </a:solidFill>
              </a:ln>
              <a:effectLst/>
            </c:spPr>
            <c:extLst>
              <c:ext xmlns:c16="http://schemas.microsoft.com/office/drawing/2014/chart" uri="{C3380CC4-5D6E-409C-BE32-E72D297353CC}">
                <c16:uniqueId val="{00000024-11EF-4F68-A502-C49152E419D5}"/>
              </c:ext>
            </c:extLst>
          </c:dPt>
          <c:dPt>
            <c:idx val="2"/>
            <c:bubble3D val="0"/>
            <c:spPr>
              <a:noFill/>
              <a:ln w="9525">
                <a:solidFill>
                  <a:srgbClr val="6476CE"/>
                </a:solidFill>
              </a:ln>
              <a:effectLst/>
            </c:spPr>
            <c:extLst>
              <c:ext xmlns:c16="http://schemas.microsoft.com/office/drawing/2014/chart" uri="{C3380CC4-5D6E-409C-BE32-E72D297353CC}">
                <c16:uniqueId val="{00000026-11EF-4F68-A502-C49152E419D5}"/>
              </c:ext>
            </c:extLst>
          </c:dPt>
          <c:dPt>
            <c:idx val="3"/>
            <c:bubble3D val="0"/>
            <c:spPr>
              <a:noFill/>
              <a:ln w="9525">
                <a:solidFill>
                  <a:srgbClr val="6476CE"/>
                </a:solidFill>
              </a:ln>
              <a:effectLst/>
            </c:spPr>
            <c:extLst>
              <c:ext xmlns:c16="http://schemas.microsoft.com/office/drawing/2014/chart" uri="{C3380CC4-5D6E-409C-BE32-E72D297353CC}">
                <c16:uniqueId val="{00000028-11EF-4F68-A502-C49152E419D5}"/>
              </c:ext>
            </c:extLst>
          </c:dPt>
          <c:dPt>
            <c:idx val="4"/>
            <c:bubble3D val="0"/>
            <c:spPr>
              <a:noFill/>
              <a:ln w="9525">
                <a:solidFill>
                  <a:srgbClr val="6476CE"/>
                </a:solidFill>
              </a:ln>
              <a:effectLst/>
            </c:spPr>
            <c:extLst>
              <c:ext xmlns:c16="http://schemas.microsoft.com/office/drawing/2014/chart" uri="{C3380CC4-5D6E-409C-BE32-E72D297353CC}">
                <c16:uniqueId val="{0000002A-11EF-4F68-A502-C49152E419D5}"/>
              </c:ext>
            </c:extLst>
          </c:dPt>
          <c:val>
            <c:numRef>
              <c:f>Processing!$P$14:$T$14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B-11EF-4F68-A502-C49152E419D5}"/>
            </c:ext>
          </c:extLst>
        </c:ser>
        <c:dLbls>
          <c:showLegendKey val="0"/>
          <c:showVal val="0"/>
          <c:showCatName val="0"/>
          <c:showSerName val="0"/>
          <c:showPercent val="0"/>
          <c:showBubbleSize val="0"/>
          <c:showLeaderLines val="1"/>
        </c:dLbls>
        <c:firstSliceAng val="0"/>
        <c:holeSize val="2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Processing!$M$10</c:f>
              <c:strCache>
                <c:ptCount val="1"/>
                <c:pt idx="0">
                  <c:v>Revenue</c:v>
                </c:pt>
              </c:strCache>
            </c:strRef>
          </c:tx>
          <c:spPr>
            <a:gradFill>
              <a:gsLst>
                <a:gs pos="0">
                  <a:srgbClr val="4E7AFF">
                    <a:alpha val="90000"/>
                  </a:srgbClr>
                </a:gs>
                <a:gs pos="100000">
                  <a:srgbClr val="4552F1">
                    <a:alpha val="90000"/>
                  </a:srgbClr>
                </a:gs>
              </a:gsLst>
              <a:lin ang="5400000" scaled="1"/>
            </a:gradFill>
            <a:ln>
              <a:noFill/>
            </a:ln>
            <a:effectLst>
              <a:outerShdw blurRad="50800" dist="38100" dir="8100000" algn="tr" rotWithShape="0">
                <a:prstClr val="black">
                  <a:alpha val="40000"/>
                </a:prstClr>
              </a:outerShdw>
            </a:effectLst>
          </c:spPr>
          <c:cat>
            <c:strRef>
              <c:f>Processing!$L$11:$L$15</c:f>
              <c:strCache>
                <c:ptCount val="5"/>
                <c:pt idx="0">
                  <c:v>A</c:v>
                </c:pt>
                <c:pt idx="1">
                  <c:v>B</c:v>
                </c:pt>
                <c:pt idx="2">
                  <c:v>C</c:v>
                </c:pt>
                <c:pt idx="3">
                  <c:v>D</c:v>
                </c:pt>
                <c:pt idx="4">
                  <c:v>E</c:v>
                </c:pt>
              </c:strCache>
            </c:strRef>
          </c:cat>
          <c:val>
            <c:numRef>
              <c:f>Processing!$M$11:$M$15</c:f>
              <c:numCache>
                <c:formatCode>_("$"* #,##0.00_);_("$"* \(#,##0.00\);_("$"* "-"??_);_(@_)</c:formatCode>
                <c:ptCount val="5"/>
                <c:pt idx="0">
                  <c:v>8185</c:v>
                </c:pt>
                <c:pt idx="1">
                  <c:v>7567</c:v>
                </c:pt>
                <c:pt idx="2">
                  <c:v>5405</c:v>
                </c:pt>
                <c:pt idx="3">
                  <c:v>9111</c:v>
                </c:pt>
                <c:pt idx="4">
                  <c:v>7567</c:v>
                </c:pt>
              </c:numCache>
            </c:numRef>
          </c:val>
          <c:extLst>
            <c:ext xmlns:c16="http://schemas.microsoft.com/office/drawing/2014/chart" uri="{C3380CC4-5D6E-409C-BE32-E72D297353CC}">
              <c16:uniqueId val="{00000000-7B1A-4E70-A100-95700FC5B6F6}"/>
            </c:ext>
          </c:extLst>
        </c:ser>
        <c:ser>
          <c:idx val="1"/>
          <c:order val="1"/>
          <c:tx>
            <c:strRef>
              <c:f>Processing!$N$10</c:f>
              <c:strCache>
                <c:ptCount val="1"/>
                <c:pt idx="0">
                  <c:v>Sales</c:v>
                </c:pt>
              </c:strCache>
            </c:strRef>
          </c:tx>
          <c:spPr>
            <a:gradFill>
              <a:gsLst>
                <a:gs pos="0">
                  <a:srgbClr val="F17EEC">
                    <a:alpha val="80000"/>
                  </a:srgbClr>
                </a:gs>
                <a:gs pos="100000">
                  <a:srgbClr val="EE0078">
                    <a:alpha val="80000"/>
                  </a:srgbClr>
                </a:gs>
              </a:gsLst>
              <a:lin ang="5400000" scaled="1"/>
            </a:gradFill>
            <a:ln>
              <a:noFill/>
            </a:ln>
            <a:effectLst>
              <a:outerShdw blurRad="50800" dist="38100" dir="13500000" algn="br" rotWithShape="0">
                <a:prstClr val="black">
                  <a:alpha val="40000"/>
                </a:prstClr>
              </a:outerShdw>
            </a:effectLst>
          </c:spPr>
          <c:cat>
            <c:strRef>
              <c:f>Processing!$L$11:$L$15</c:f>
              <c:strCache>
                <c:ptCount val="5"/>
                <c:pt idx="0">
                  <c:v>A</c:v>
                </c:pt>
                <c:pt idx="1">
                  <c:v>B</c:v>
                </c:pt>
                <c:pt idx="2">
                  <c:v>C</c:v>
                </c:pt>
                <c:pt idx="3">
                  <c:v>D</c:v>
                </c:pt>
                <c:pt idx="4">
                  <c:v>E</c:v>
                </c:pt>
              </c:strCache>
            </c:strRef>
          </c:cat>
          <c:val>
            <c:numRef>
              <c:f>Processing!$N$11:$N$15</c:f>
              <c:numCache>
                <c:formatCode>_("$"* #,##0.00_);_("$"* \(#,##0.00\);_("$"* "-"??_);_(@_)</c:formatCode>
                <c:ptCount val="5"/>
                <c:pt idx="0">
                  <c:v>7381.8451474918056</c:v>
                </c:pt>
                <c:pt idx="1">
                  <c:v>8409.9741542136544</c:v>
                </c:pt>
                <c:pt idx="2">
                  <c:v>7244.885506360758</c:v>
                </c:pt>
                <c:pt idx="3">
                  <c:v>4026.7997889006169</c:v>
                </c:pt>
                <c:pt idx="4">
                  <c:v>6479.4954030331646</c:v>
                </c:pt>
              </c:numCache>
            </c:numRef>
          </c:val>
          <c:extLst>
            <c:ext xmlns:c16="http://schemas.microsoft.com/office/drawing/2014/chart" uri="{C3380CC4-5D6E-409C-BE32-E72D297353CC}">
              <c16:uniqueId val="{00000001-7B1A-4E70-A100-95700FC5B6F6}"/>
            </c:ext>
          </c:extLst>
        </c:ser>
        <c:dLbls>
          <c:showLegendKey val="0"/>
          <c:showVal val="0"/>
          <c:showCatName val="0"/>
          <c:showSerName val="0"/>
          <c:showPercent val="0"/>
          <c:showBubbleSize val="0"/>
        </c:dLbls>
        <c:axId val="1824798800"/>
        <c:axId val="1824798320"/>
      </c:radarChart>
      <c:catAx>
        <c:axId val="1824798800"/>
        <c:scaling>
          <c:orientation val="minMax"/>
        </c:scaling>
        <c:delete val="1"/>
        <c:axPos val="b"/>
        <c:numFmt formatCode="General" sourceLinked="1"/>
        <c:majorTickMark val="none"/>
        <c:minorTickMark val="none"/>
        <c:tickLblPos val="nextTo"/>
        <c:crossAx val="1824798320"/>
        <c:crosses val="autoZero"/>
        <c:auto val="1"/>
        <c:lblAlgn val="ctr"/>
        <c:lblOffset val="100"/>
        <c:noMultiLvlLbl val="0"/>
      </c:catAx>
      <c:valAx>
        <c:axId val="1824798320"/>
        <c:scaling>
          <c:orientation val="minMax"/>
        </c:scaling>
        <c:delete val="1"/>
        <c:axPos val="l"/>
        <c:numFmt formatCode="_(&quot;$&quot;* #,##0.00_);_(&quot;$&quot;* \(#,##0.00\);_(&quot;$&quot;* &quot;-&quot;??_);_(@_)" sourceLinked="1"/>
        <c:majorTickMark val="none"/>
        <c:minorTickMark val="none"/>
        <c:tickLblPos val="nextTo"/>
        <c:crossAx val="18247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a:gsLst>
                <a:gs pos="0">
                  <a:srgbClr val="4552F1">
                    <a:alpha val="10000"/>
                  </a:srgbClr>
                </a:gs>
                <a:gs pos="100000">
                  <a:srgbClr val="4552F1">
                    <a:alpha val="0"/>
                  </a:srgbClr>
                </a:gs>
                <a:gs pos="82000">
                  <a:srgbClr val="4552F1">
                    <a:alpha val="22000"/>
                  </a:srgbClr>
                </a:gs>
              </a:gsLst>
              <a:lin ang="5400000" scaled="0"/>
            </a:gradFill>
            <a:ln>
              <a:noFill/>
            </a:ln>
            <a:effectLst/>
          </c:spP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extLst>
            <c:ext xmlns:c16="http://schemas.microsoft.com/office/drawing/2014/chart" uri="{C3380CC4-5D6E-409C-BE32-E72D297353CC}">
              <c16:uniqueId val="{00000000-10E4-4A6C-A734-3E1C56FA7709}"/>
            </c:ext>
          </c:extLst>
        </c:ser>
        <c:dLbls>
          <c:showLegendKey val="0"/>
          <c:showVal val="0"/>
          <c:showCatName val="0"/>
          <c:showSerName val="0"/>
          <c:showPercent val="0"/>
          <c:showBubbleSize val="0"/>
        </c:dLbls>
        <c:axId val="1953973136"/>
        <c:axId val="1953968816"/>
      </c:areaChart>
      <c:lineChart>
        <c:grouping val="standard"/>
        <c:varyColors val="0"/>
        <c:ser>
          <c:idx val="1"/>
          <c:order val="0"/>
          <c:tx>
            <c:strRef>
              <c:f>Processing!$C$19</c:f>
              <c:strCache>
                <c:ptCount val="1"/>
                <c:pt idx="0">
                  <c:v>Expenses</c:v>
                </c:pt>
              </c:strCache>
            </c:strRef>
          </c:tx>
          <c:spPr>
            <a:ln w="25400" cap="rnd">
              <a:gradFill>
                <a:gsLst>
                  <a:gs pos="0">
                    <a:srgbClr val="EE0078"/>
                  </a:gs>
                  <a:gs pos="100000">
                    <a:srgbClr val="F17EEC"/>
                  </a:gs>
                </a:gsLst>
                <a:lin ang="0" scaled="0"/>
              </a:gradFill>
              <a:round/>
            </a:ln>
            <a:effectLst/>
          </c:spPr>
          <c:marker>
            <c:symbol val="none"/>
          </c:marker>
          <c:val>
            <c:numRef>
              <c:f>Processing!$C$20:$C$31</c:f>
              <c:numCache>
                <c:formatCode>General</c:formatCode>
                <c:ptCount val="12"/>
                <c:pt idx="0">
                  <c:v>26660</c:v>
                </c:pt>
                <c:pt idx="1">
                  <c:v>32060</c:v>
                </c:pt>
                <c:pt idx="2">
                  <c:v>35760</c:v>
                </c:pt>
                <c:pt idx="3">
                  <c:v>36560</c:v>
                </c:pt>
                <c:pt idx="4">
                  <c:v>34220</c:v>
                </c:pt>
                <c:pt idx="5">
                  <c:v>29500</c:v>
                </c:pt>
                <c:pt idx="6">
                  <c:v>23820</c:v>
                </c:pt>
                <c:pt idx="7">
                  <c:v>19100</c:v>
                </c:pt>
                <c:pt idx="8">
                  <c:v>16760</c:v>
                </c:pt>
                <c:pt idx="9">
                  <c:v>17560</c:v>
                </c:pt>
                <c:pt idx="10">
                  <c:v>21260</c:v>
                </c:pt>
                <c:pt idx="11">
                  <c:v>26660</c:v>
                </c:pt>
              </c:numCache>
            </c:numRef>
          </c:val>
          <c:smooth val="1"/>
          <c:extLst>
            <c:ext xmlns:c16="http://schemas.microsoft.com/office/drawing/2014/chart" uri="{C3380CC4-5D6E-409C-BE32-E72D297353CC}">
              <c16:uniqueId val="{00000001-10E4-4A6C-A734-3E1C56FA7709}"/>
            </c:ext>
          </c:extLst>
        </c:ser>
        <c:ser>
          <c:idx val="0"/>
          <c:order val="1"/>
          <c:tx>
            <c:strRef>
              <c:f>Processing!$B$19</c:f>
              <c:strCache>
                <c:ptCount val="1"/>
                <c:pt idx="0">
                  <c:v>Revenue</c:v>
                </c:pt>
              </c:strCache>
            </c:strRef>
          </c:tx>
          <c:spPr>
            <a:ln w="25400" cap="rnd">
              <a:gradFill>
                <a:gsLst>
                  <a:gs pos="0">
                    <a:srgbClr val="00C6D1"/>
                  </a:gs>
                  <a:gs pos="100000">
                    <a:srgbClr val="97FAFF"/>
                  </a:gs>
                </a:gsLst>
                <a:lin ang="0" scaled="0"/>
              </a:gradFill>
              <a:round/>
            </a:ln>
            <a:effectLst>
              <a:outerShdw blurRad="50800" dist="38100" dir="5400000" algn="t" rotWithShape="0">
                <a:prstClr val="black">
                  <a:alpha val="40000"/>
                </a:prstClr>
              </a:outerShdw>
            </a:effectLst>
          </c:spPr>
          <c:marker>
            <c:symbol val="none"/>
          </c:marke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smooth val="1"/>
          <c:extLst>
            <c:ext xmlns:c16="http://schemas.microsoft.com/office/drawing/2014/chart" uri="{C3380CC4-5D6E-409C-BE32-E72D297353CC}">
              <c16:uniqueId val="{00000002-10E4-4A6C-A734-3E1C56FA7709}"/>
            </c:ext>
          </c:extLst>
        </c:ser>
        <c:dLbls>
          <c:showLegendKey val="0"/>
          <c:showVal val="0"/>
          <c:showCatName val="0"/>
          <c:showSerName val="0"/>
          <c:showPercent val="0"/>
          <c:showBubbleSize val="0"/>
        </c:dLbls>
        <c:marker val="1"/>
        <c:smooth val="0"/>
        <c:axId val="1953973136"/>
        <c:axId val="1953968816"/>
      </c:lineChart>
      <c:scatterChart>
        <c:scatterStyle val="lineMarker"/>
        <c:varyColors val="0"/>
        <c:ser>
          <c:idx val="3"/>
          <c:order val="3"/>
          <c:tx>
            <c:v>Cursor</c:v>
          </c:tx>
          <c:spPr>
            <a:ln w="25400" cap="rnd">
              <a:noFill/>
              <a:round/>
            </a:ln>
            <a:effectLst>
              <a:outerShdw blurRad="50800" dist="38100" dir="2700000" algn="tl" rotWithShape="0">
                <a:prstClr val="black">
                  <a:alpha val="40000"/>
                </a:prstClr>
              </a:outerShdw>
            </a:effectLst>
          </c:spPr>
          <c:marker>
            <c:symbol val="circle"/>
            <c:size val="7"/>
            <c:spPr>
              <a:solidFill>
                <a:srgbClr val="1E2255"/>
              </a:solidFill>
              <a:ln w="9525">
                <a:solidFill>
                  <a:srgbClr val="97FAFF"/>
                </a:solidFill>
              </a:ln>
              <a:effectLst>
                <a:outerShdw blurRad="50800" dist="38100" dir="2700000" algn="tl" rotWithShape="0">
                  <a:prstClr val="black">
                    <a:alpha val="40000"/>
                  </a:prstClr>
                </a:outerShdw>
              </a:effectLst>
            </c:spPr>
          </c:marker>
          <c:yVal>
            <c:numRef>
              <c:f>Processing!$D$20:$D$31</c:f>
              <c:numCache>
                <c:formatCode>General</c:formatCode>
                <c:ptCount val="12"/>
                <c:pt idx="0">
                  <c:v>37835</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10E4-4A6C-A734-3E1C56FA7709}"/>
            </c:ext>
          </c:extLst>
        </c:ser>
        <c:dLbls>
          <c:showLegendKey val="0"/>
          <c:showVal val="0"/>
          <c:showCatName val="0"/>
          <c:showSerName val="0"/>
          <c:showPercent val="0"/>
          <c:showBubbleSize val="0"/>
        </c:dLbls>
        <c:axId val="1953973136"/>
        <c:axId val="1953968816"/>
      </c:scatterChart>
      <c:catAx>
        <c:axId val="1953973136"/>
        <c:scaling>
          <c:orientation val="minMax"/>
        </c:scaling>
        <c:delete val="1"/>
        <c:axPos val="b"/>
        <c:majorTickMark val="none"/>
        <c:minorTickMark val="none"/>
        <c:tickLblPos val="nextTo"/>
        <c:crossAx val="1953968816"/>
        <c:crosses val="autoZero"/>
        <c:auto val="1"/>
        <c:lblAlgn val="ctr"/>
        <c:lblOffset val="100"/>
        <c:noMultiLvlLbl val="0"/>
      </c:catAx>
      <c:valAx>
        <c:axId val="1953968816"/>
        <c:scaling>
          <c:orientation val="minMax"/>
        </c:scaling>
        <c:delete val="1"/>
        <c:axPos val="l"/>
        <c:numFmt formatCode="General" sourceLinked="1"/>
        <c:majorTickMark val="none"/>
        <c:minorTickMark val="none"/>
        <c:tickLblPos val="nextTo"/>
        <c:crossAx val="195397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Processing!$J$20</c:f>
              <c:strCache>
                <c:ptCount val="1"/>
                <c:pt idx="0">
                  <c:v>ROI</c:v>
                </c:pt>
              </c:strCache>
            </c:strRef>
          </c:tx>
          <c:spPr>
            <a:ln>
              <a:noFill/>
            </a:ln>
            <a:effectLst>
              <a:outerShdw blurRad="50800" dist="38100" dir="8100000" algn="tr" rotWithShape="0">
                <a:prstClr val="black">
                  <a:alpha val="40000"/>
                </a:prstClr>
              </a:outerShdw>
            </a:effectLst>
          </c:spPr>
          <c:dPt>
            <c:idx val="0"/>
            <c:bubble3D val="0"/>
            <c:spPr>
              <a:gradFill>
                <a:gsLst>
                  <a:gs pos="0">
                    <a:srgbClr val="EE0078"/>
                  </a:gs>
                  <a:gs pos="100000">
                    <a:srgbClr val="D758C9"/>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A43-4E51-A4F6-2081F07ADEAC}"/>
              </c:ext>
            </c:extLst>
          </c:dPt>
          <c:dPt>
            <c:idx val="1"/>
            <c:bubble3D val="0"/>
            <c:spPr>
              <a:gradFill>
                <a:gsLst>
                  <a:gs pos="0">
                    <a:srgbClr val="7A4FF0"/>
                  </a:gs>
                  <a:gs pos="100000">
                    <a:srgbClr val="60A8FF"/>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A43-4E51-A4F6-2081F07ADEAC}"/>
              </c:ext>
            </c:extLst>
          </c:dPt>
          <c:dPt>
            <c:idx val="2"/>
            <c:bubble3D val="0"/>
            <c:spPr>
              <a:solidFill>
                <a:srgbClr val="EE0078">
                  <a:alpha val="50000"/>
                </a:srgb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7A43-4E51-A4F6-2081F07ADEAC}"/>
              </c:ext>
            </c:extLst>
          </c:dPt>
          <c:val>
            <c:numRef>
              <c:f>Processing!$J$21:$J$23</c:f>
              <c:numCache>
                <c:formatCode>0%</c:formatCode>
                <c:ptCount val="3"/>
                <c:pt idx="0">
                  <c:v>0.39873688717619354</c:v>
                </c:pt>
                <c:pt idx="1">
                  <c:v>0.6012631128238064</c:v>
                </c:pt>
                <c:pt idx="2">
                  <c:v>0</c:v>
                </c:pt>
              </c:numCache>
            </c:numRef>
          </c:val>
          <c:extLst>
            <c:ext xmlns:c16="http://schemas.microsoft.com/office/drawing/2014/chart" uri="{C3380CC4-5D6E-409C-BE32-E72D297353CC}">
              <c16:uniqueId val="{00000006-7A43-4E51-A4F6-2081F07ADEA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166D-48DD-8B10-D594DB85F903}"/>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166D-48DD-8B10-D594DB85F903}"/>
              </c:ext>
            </c:extLst>
          </c:dPt>
          <c:val>
            <c:numRef>
              <c:f>Processing!$B$15:$B$16</c:f>
              <c:numCache>
                <c:formatCode>0%</c:formatCode>
                <c:ptCount val="2"/>
                <c:pt idx="0">
                  <c:v>0.43454531359020077</c:v>
                </c:pt>
                <c:pt idx="1">
                  <c:v>0.56545468640979923</c:v>
                </c:pt>
              </c:numCache>
            </c:numRef>
          </c:val>
          <c:extLst>
            <c:ext xmlns:c16="http://schemas.microsoft.com/office/drawing/2014/chart" uri="{C3380CC4-5D6E-409C-BE32-E72D297353CC}">
              <c16:uniqueId val="{00000004-166D-48DD-8B10-D594DB85F90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2CBF-4F09-A047-F314379AE76C}"/>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2CBF-4F09-A047-F314379AE76C}"/>
              </c:ext>
            </c:extLst>
          </c:dPt>
          <c:val>
            <c:numRef>
              <c:f>Processing!$C$15:$C$16</c:f>
              <c:numCache>
                <c:formatCode>0%</c:formatCode>
                <c:ptCount val="2"/>
                <c:pt idx="0">
                  <c:v>0.52008682843631293</c:v>
                </c:pt>
                <c:pt idx="1">
                  <c:v>0.47991317156368707</c:v>
                </c:pt>
              </c:numCache>
            </c:numRef>
          </c:val>
          <c:extLst>
            <c:ext xmlns:c16="http://schemas.microsoft.com/office/drawing/2014/chart" uri="{C3380CC4-5D6E-409C-BE32-E72D297353CC}">
              <c16:uniqueId val="{00000004-2CBF-4F09-A047-F314379AE76C}"/>
            </c:ext>
          </c:extLst>
        </c:ser>
        <c:dLbls>
          <c:showLegendKey val="0"/>
          <c:showVal val="0"/>
          <c:showCatName val="0"/>
          <c:showSerName val="0"/>
          <c:showPercent val="0"/>
          <c:showBubbleSize val="0"/>
          <c:showLeaderLines val="1"/>
        </c:dLbls>
        <c:firstSliceAng val="0"/>
        <c:holeSize val="9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a:gsLst>
                <a:gs pos="0">
                  <a:srgbClr val="4552F1">
                    <a:alpha val="10000"/>
                  </a:srgbClr>
                </a:gs>
                <a:gs pos="100000">
                  <a:srgbClr val="4552F1">
                    <a:alpha val="0"/>
                  </a:srgbClr>
                </a:gs>
                <a:gs pos="82000">
                  <a:srgbClr val="4552F1">
                    <a:alpha val="22000"/>
                  </a:srgbClr>
                </a:gs>
              </a:gsLst>
              <a:lin ang="5400000" scaled="0"/>
            </a:gradFill>
            <a:ln>
              <a:noFill/>
            </a:ln>
            <a:effectLst/>
          </c:spP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extLst>
            <c:ext xmlns:c16="http://schemas.microsoft.com/office/drawing/2014/chart" uri="{C3380CC4-5D6E-409C-BE32-E72D297353CC}">
              <c16:uniqueId val="{00000000-10E4-4A6C-A734-3E1C56FA7709}"/>
            </c:ext>
          </c:extLst>
        </c:ser>
        <c:dLbls>
          <c:showLegendKey val="0"/>
          <c:showVal val="0"/>
          <c:showCatName val="0"/>
          <c:showSerName val="0"/>
          <c:showPercent val="0"/>
          <c:showBubbleSize val="0"/>
        </c:dLbls>
        <c:axId val="1953973136"/>
        <c:axId val="1953968816"/>
      </c:areaChart>
      <c:lineChart>
        <c:grouping val="standard"/>
        <c:varyColors val="0"/>
        <c:ser>
          <c:idx val="1"/>
          <c:order val="0"/>
          <c:tx>
            <c:strRef>
              <c:f>Processing!$C$19</c:f>
              <c:strCache>
                <c:ptCount val="1"/>
                <c:pt idx="0">
                  <c:v>Expenses</c:v>
                </c:pt>
              </c:strCache>
            </c:strRef>
          </c:tx>
          <c:spPr>
            <a:ln w="25400" cap="rnd">
              <a:gradFill>
                <a:gsLst>
                  <a:gs pos="0">
                    <a:srgbClr val="EE0078"/>
                  </a:gs>
                  <a:gs pos="100000">
                    <a:srgbClr val="F17EEC"/>
                  </a:gs>
                </a:gsLst>
                <a:lin ang="0" scaled="0"/>
              </a:gradFill>
              <a:round/>
            </a:ln>
            <a:effectLst/>
          </c:spPr>
          <c:marker>
            <c:symbol val="none"/>
          </c:marker>
          <c:val>
            <c:numRef>
              <c:f>Processing!$C$20:$C$31</c:f>
              <c:numCache>
                <c:formatCode>General</c:formatCode>
                <c:ptCount val="12"/>
                <c:pt idx="0">
                  <c:v>26660</c:v>
                </c:pt>
                <c:pt idx="1">
                  <c:v>32060</c:v>
                </c:pt>
                <c:pt idx="2">
                  <c:v>35760</c:v>
                </c:pt>
                <c:pt idx="3">
                  <c:v>36560</c:v>
                </c:pt>
                <c:pt idx="4">
                  <c:v>34220</c:v>
                </c:pt>
                <c:pt idx="5">
                  <c:v>29500</c:v>
                </c:pt>
                <c:pt idx="6">
                  <c:v>23820</c:v>
                </c:pt>
                <c:pt idx="7">
                  <c:v>19100</c:v>
                </c:pt>
                <c:pt idx="8">
                  <c:v>16760</c:v>
                </c:pt>
                <c:pt idx="9">
                  <c:v>17560</c:v>
                </c:pt>
                <c:pt idx="10">
                  <c:v>21260</c:v>
                </c:pt>
                <c:pt idx="11">
                  <c:v>26660</c:v>
                </c:pt>
              </c:numCache>
            </c:numRef>
          </c:val>
          <c:smooth val="1"/>
          <c:extLst>
            <c:ext xmlns:c16="http://schemas.microsoft.com/office/drawing/2014/chart" uri="{C3380CC4-5D6E-409C-BE32-E72D297353CC}">
              <c16:uniqueId val="{00000001-10E4-4A6C-A734-3E1C56FA7709}"/>
            </c:ext>
          </c:extLst>
        </c:ser>
        <c:ser>
          <c:idx val="0"/>
          <c:order val="1"/>
          <c:tx>
            <c:strRef>
              <c:f>Processing!$B$19</c:f>
              <c:strCache>
                <c:ptCount val="1"/>
                <c:pt idx="0">
                  <c:v>Revenue</c:v>
                </c:pt>
              </c:strCache>
            </c:strRef>
          </c:tx>
          <c:spPr>
            <a:ln w="25400" cap="rnd">
              <a:gradFill>
                <a:gsLst>
                  <a:gs pos="0">
                    <a:srgbClr val="00C6D1"/>
                  </a:gs>
                  <a:gs pos="100000">
                    <a:srgbClr val="97FAFF"/>
                  </a:gs>
                </a:gsLst>
                <a:lin ang="0" scaled="0"/>
              </a:gradFill>
              <a:round/>
            </a:ln>
            <a:effectLst>
              <a:outerShdw blurRad="50800" dist="38100" dir="5400000" algn="t" rotWithShape="0">
                <a:prstClr val="black">
                  <a:alpha val="40000"/>
                </a:prstClr>
              </a:outerShdw>
            </a:effectLst>
          </c:spPr>
          <c:marker>
            <c:symbol val="none"/>
          </c:marke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smooth val="1"/>
          <c:extLst>
            <c:ext xmlns:c16="http://schemas.microsoft.com/office/drawing/2014/chart" uri="{C3380CC4-5D6E-409C-BE32-E72D297353CC}">
              <c16:uniqueId val="{00000002-10E4-4A6C-A734-3E1C56FA7709}"/>
            </c:ext>
          </c:extLst>
        </c:ser>
        <c:dLbls>
          <c:showLegendKey val="0"/>
          <c:showVal val="0"/>
          <c:showCatName val="0"/>
          <c:showSerName val="0"/>
          <c:showPercent val="0"/>
          <c:showBubbleSize val="0"/>
        </c:dLbls>
        <c:marker val="1"/>
        <c:smooth val="0"/>
        <c:axId val="1953973136"/>
        <c:axId val="1953968816"/>
      </c:lineChart>
      <c:scatterChart>
        <c:scatterStyle val="lineMarker"/>
        <c:varyColors val="0"/>
        <c:ser>
          <c:idx val="3"/>
          <c:order val="3"/>
          <c:tx>
            <c:v>Cursor</c:v>
          </c:tx>
          <c:spPr>
            <a:ln w="25400" cap="rnd">
              <a:noFill/>
              <a:round/>
            </a:ln>
            <a:effectLst>
              <a:outerShdw blurRad="50800" dist="38100" dir="2700000" algn="tl" rotWithShape="0">
                <a:prstClr val="black">
                  <a:alpha val="40000"/>
                </a:prstClr>
              </a:outerShdw>
            </a:effectLst>
          </c:spPr>
          <c:marker>
            <c:symbol val="circle"/>
            <c:size val="9"/>
            <c:spPr>
              <a:solidFill>
                <a:srgbClr val="1E2255"/>
              </a:solidFill>
              <a:ln w="9525">
                <a:solidFill>
                  <a:srgbClr val="97FAFF"/>
                </a:solidFill>
              </a:ln>
              <a:effectLst>
                <a:outerShdw blurRad="50800" dist="38100" dir="2700000" algn="tl" rotWithShape="0">
                  <a:prstClr val="black">
                    <a:alpha val="40000"/>
                  </a:prstClr>
                </a:outerShdw>
              </a:effectLst>
            </c:spPr>
          </c:marker>
          <c:dLbls>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CCFF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Processing!$D$20:$D$31</c:f>
                <c:numCache>
                  <c:formatCode>General</c:formatCode>
                  <c:ptCount val="12"/>
                  <c:pt idx="0">
                    <c:v>37835</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6476CE"/>
                </a:solidFill>
                <a:round/>
              </a:ln>
              <a:effectLst/>
            </c:spPr>
          </c:errBars>
          <c:yVal>
            <c:numRef>
              <c:f>Processing!$D$20:$D$31</c:f>
              <c:numCache>
                <c:formatCode>General</c:formatCode>
                <c:ptCount val="12"/>
                <c:pt idx="0">
                  <c:v>37835</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10E4-4A6C-A734-3E1C56FA7709}"/>
            </c:ext>
          </c:extLst>
        </c:ser>
        <c:ser>
          <c:idx val="4"/>
          <c:order val="4"/>
          <c:tx>
            <c:strRef>
              <c:f>Processing!$E$19</c:f>
              <c:strCache>
                <c:ptCount val="1"/>
                <c:pt idx="0">
                  <c:v>Cursor E</c:v>
                </c:pt>
              </c:strCache>
            </c:strRef>
          </c:tx>
          <c:spPr>
            <a:ln w="25400" cap="rnd">
              <a:noFill/>
              <a:round/>
            </a:ln>
            <a:effectLst>
              <a:outerShdw blurRad="50800" dist="38100" dir="5400000" algn="t" rotWithShape="0">
                <a:prstClr val="black">
                  <a:alpha val="40000"/>
                </a:prstClr>
              </a:outerShdw>
            </a:effectLst>
          </c:spPr>
          <c:marker>
            <c:symbol val="circle"/>
            <c:size val="9"/>
            <c:spPr>
              <a:solidFill>
                <a:srgbClr val="1F255A"/>
              </a:solidFill>
              <a:ln w="9525">
                <a:solidFill>
                  <a:srgbClr val="F17EEC"/>
                </a:solidFill>
              </a:ln>
              <a:effectLst>
                <a:outerShdw blurRad="50800" dist="38100" dir="5400000" algn="t" rotWithShape="0">
                  <a:prstClr val="black">
                    <a:alpha val="40000"/>
                  </a:prstClr>
                </a:outerShdw>
              </a:effectLst>
            </c:spPr>
          </c:marker>
          <c:dLbls>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17EEC"/>
                    </a:solidFill>
                    <a:latin typeface="+mn-lt"/>
                    <a:ea typeface="+mn-ea"/>
                    <a:cs typeface="+mn-cs"/>
                  </a:defRPr>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Processing!$E$20:$E$31</c:f>
              <c:numCache>
                <c:formatCode>General</c:formatCode>
                <c:ptCount val="12"/>
                <c:pt idx="0">
                  <c:v>26660</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0-2AFB-4E53-8555-A790A56615BF}"/>
            </c:ext>
          </c:extLst>
        </c:ser>
        <c:dLbls>
          <c:showLegendKey val="0"/>
          <c:showVal val="0"/>
          <c:showCatName val="0"/>
          <c:showSerName val="0"/>
          <c:showPercent val="0"/>
          <c:showBubbleSize val="0"/>
        </c:dLbls>
        <c:axId val="1953973136"/>
        <c:axId val="1953968816"/>
      </c:scatterChart>
      <c:catAx>
        <c:axId val="1953973136"/>
        <c:scaling>
          <c:orientation val="minMax"/>
        </c:scaling>
        <c:delete val="1"/>
        <c:axPos val="b"/>
        <c:majorTickMark val="none"/>
        <c:minorTickMark val="none"/>
        <c:tickLblPos val="nextTo"/>
        <c:crossAx val="1953968816"/>
        <c:crosses val="autoZero"/>
        <c:auto val="1"/>
        <c:lblAlgn val="ctr"/>
        <c:lblOffset val="100"/>
        <c:noMultiLvlLbl val="0"/>
      </c:catAx>
      <c:valAx>
        <c:axId val="1953968816"/>
        <c:scaling>
          <c:orientation val="minMax"/>
        </c:scaling>
        <c:delete val="0"/>
        <c:axPos val="l"/>
        <c:majorGridlines>
          <c:spPr>
            <a:ln w="9525" cap="flat" cmpd="sng" algn="ctr">
              <a:solidFill>
                <a:srgbClr val="35386E"/>
              </a:solidFill>
              <a:round/>
            </a:ln>
            <a:effectLst/>
          </c:spPr>
        </c:majorGridlines>
        <c:numFmt formatCode="[&gt;=1000000]#,##0.0,,\ &quot;M&quot;;[&gt;=1000]#,##0,\ &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2ADBE"/>
                </a:solidFill>
                <a:latin typeface="+mn-lt"/>
                <a:ea typeface="+mn-ea"/>
                <a:cs typeface="+mn-cs"/>
              </a:defRPr>
            </a:pPr>
            <a:endParaRPr lang="ru-RU"/>
          </a:p>
        </c:txPr>
        <c:crossAx val="195397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spPr>
            <a:noFill/>
            <a:ln>
              <a:noFill/>
            </a:ln>
            <a:effectLst/>
          </c:spPr>
          <c:invertIfNegative val="0"/>
          <c:cat>
            <c:strRef>
              <c:f>Processing!$I$2:$I$6</c:f>
              <c:strCache>
                <c:ptCount val="5"/>
                <c:pt idx="0">
                  <c:v>MON</c:v>
                </c:pt>
                <c:pt idx="1">
                  <c:v>TUE</c:v>
                </c:pt>
                <c:pt idx="2">
                  <c:v>WED</c:v>
                </c:pt>
                <c:pt idx="3">
                  <c:v>THU</c:v>
                </c:pt>
                <c:pt idx="4">
                  <c:v>FRI</c:v>
                </c:pt>
              </c:strCache>
            </c:strRef>
          </c:cat>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11-BEAC-4088-AD87-5643E92269C8}"/>
            </c:ext>
          </c:extLst>
        </c:ser>
        <c:ser>
          <c:idx val="0"/>
          <c:order val="1"/>
          <c:spPr>
            <a:solidFill>
              <a:schemeClr val="accent1"/>
            </a:solidFill>
            <a:ln w="88900">
              <a:gradFill>
                <a:gsLst>
                  <a:gs pos="19000">
                    <a:srgbClr val="60A8FF"/>
                  </a:gs>
                  <a:gs pos="100000">
                    <a:srgbClr val="2185FF"/>
                  </a:gs>
                </a:gsLst>
                <a:lin ang="5400000" scaled="1"/>
              </a:gradFill>
            </a:ln>
            <a:effectLst/>
          </c:spPr>
          <c:invertIfNegative val="0"/>
          <c:cat>
            <c:strRef>
              <c:f>Processing!$I$2:$I$6</c:f>
              <c:strCache>
                <c:ptCount val="5"/>
                <c:pt idx="0">
                  <c:v>MON</c:v>
                </c:pt>
                <c:pt idx="1">
                  <c:v>TUE</c:v>
                </c:pt>
                <c:pt idx="2">
                  <c:v>WED</c:v>
                </c:pt>
                <c:pt idx="3">
                  <c:v>THU</c:v>
                </c:pt>
                <c:pt idx="4">
                  <c:v>FRI</c:v>
                </c:pt>
              </c:strCache>
            </c:strRef>
          </c:cat>
          <c:val>
            <c:numRef>
              <c:f>Processing!$J$2:$J$6</c:f>
              <c:numCache>
                <c:formatCode>General</c:formatCode>
                <c:ptCount val="5"/>
                <c:pt idx="0">
                  <c:v>1511</c:v>
                </c:pt>
                <c:pt idx="1">
                  <c:v>5603</c:v>
                </c:pt>
                <c:pt idx="2">
                  <c:v>5741</c:v>
                </c:pt>
                <c:pt idx="3">
                  <c:v>2858</c:v>
                </c:pt>
                <c:pt idx="4">
                  <c:v>1164</c:v>
                </c:pt>
              </c:numCache>
            </c:numRef>
          </c:val>
          <c:extLst>
            <c:ext xmlns:c16="http://schemas.microsoft.com/office/drawing/2014/chart" uri="{C3380CC4-5D6E-409C-BE32-E72D297353CC}">
              <c16:uniqueId val="{00000013-BEAC-4088-AD87-5643E92269C8}"/>
            </c:ext>
          </c:extLst>
        </c:ser>
        <c:dLbls>
          <c:showLegendKey val="0"/>
          <c:showVal val="0"/>
          <c:showCatName val="0"/>
          <c:showSerName val="0"/>
          <c:showPercent val="0"/>
          <c:showBubbleSize val="0"/>
        </c:dLbls>
        <c:gapWidth val="250"/>
        <c:overlap val="100"/>
        <c:axId val="1684353792"/>
        <c:axId val="1684362432"/>
      </c:barChart>
      <c:barChart>
        <c:barDir val="col"/>
        <c:grouping val="stacked"/>
        <c:varyColors val="0"/>
        <c:ser>
          <c:idx val="3"/>
          <c:order val="2"/>
          <c:tx>
            <c:v>indent Cursor</c:v>
          </c:tx>
          <c:spPr>
            <a:noFill/>
            <a:ln>
              <a:noFill/>
            </a:ln>
            <a:effectLst/>
          </c:spPr>
          <c:invertIfNegative val="0"/>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15-BEAC-4088-AD87-5643E92269C8}"/>
            </c:ext>
          </c:extLst>
        </c:ser>
        <c:ser>
          <c:idx val="1"/>
          <c:order val="3"/>
          <c:spPr>
            <a:solidFill>
              <a:schemeClr val="accent2"/>
            </a:solidFill>
            <a:ln w="88900">
              <a:gradFill>
                <a:gsLst>
                  <a:gs pos="0">
                    <a:srgbClr val="F17EEC"/>
                  </a:gs>
                  <a:gs pos="100000">
                    <a:srgbClr val="EE0078"/>
                  </a:gs>
                </a:gsLst>
                <a:lin ang="5400000" scaled="1"/>
              </a:gradFill>
            </a:ln>
            <a:effectLst/>
          </c:spPr>
          <c:invertIfNegative val="0"/>
          <c:cat>
            <c:strRef>
              <c:f>Processing!$I$2:$I$6</c:f>
              <c:strCache>
                <c:ptCount val="5"/>
                <c:pt idx="0">
                  <c:v>MON</c:v>
                </c:pt>
                <c:pt idx="1">
                  <c:v>TUE</c:v>
                </c:pt>
                <c:pt idx="2">
                  <c:v>WED</c:v>
                </c:pt>
                <c:pt idx="3">
                  <c:v>THU</c:v>
                </c:pt>
                <c:pt idx="4">
                  <c:v>FRI</c:v>
                </c:pt>
              </c:strCache>
            </c:strRef>
          </c:cat>
          <c:val>
            <c:numRef>
              <c:f>Processing!$K$2:$K$6</c:f>
              <c:numCache>
                <c:formatCode>General</c:formatCode>
                <c:ptCount val="5"/>
                <c:pt idx="0">
                  <c:v>#N/A</c:v>
                </c:pt>
                <c:pt idx="1">
                  <c:v>5603</c:v>
                </c:pt>
                <c:pt idx="2">
                  <c:v>5741</c:v>
                </c:pt>
                <c:pt idx="3">
                  <c:v>2858</c:v>
                </c:pt>
                <c:pt idx="4">
                  <c:v>1164</c:v>
                </c:pt>
              </c:numCache>
            </c:numRef>
          </c:val>
          <c:extLst>
            <c:ext xmlns:c16="http://schemas.microsoft.com/office/drawing/2014/chart" uri="{C3380CC4-5D6E-409C-BE32-E72D297353CC}">
              <c16:uniqueId val="{00000017-BEAC-4088-AD87-5643E92269C8}"/>
            </c:ext>
          </c:extLst>
        </c:ser>
        <c:dLbls>
          <c:showLegendKey val="0"/>
          <c:showVal val="0"/>
          <c:showCatName val="0"/>
          <c:showSerName val="0"/>
          <c:showPercent val="0"/>
          <c:showBubbleSize val="0"/>
        </c:dLbls>
        <c:gapWidth val="250"/>
        <c:overlap val="100"/>
        <c:axId val="1684234752"/>
        <c:axId val="1684248672"/>
      </c:barChart>
      <c:catAx>
        <c:axId val="1684353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A2ADBE"/>
                </a:solidFill>
                <a:latin typeface="+mn-lt"/>
                <a:ea typeface="+mn-ea"/>
                <a:cs typeface="+mn-cs"/>
              </a:defRPr>
            </a:pPr>
            <a:endParaRPr lang="ru-RU"/>
          </a:p>
        </c:txPr>
        <c:crossAx val="1684362432"/>
        <c:crosses val="autoZero"/>
        <c:auto val="1"/>
        <c:lblAlgn val="ctr"/>
        <c:lblOffset val="100"/>
        <c:noMultiLvlLbl val="0"/>
      </c:catAx>
      <c:valAx>
        <c:axId val="1684362432"/>
        <c:scaling>
          <c:orientation val="minMax"/>
          <c:min val="0"/>
        </c:scaling>
        <c:delete val="1"/>
        <c:axPos val="l"/>
        <c:numFmt formatCode="General" sourceLinked="1"/>
        <c:majorTickMark val="out"/>
        <c:minorTickMark val="none"/>
        <c:tickLblPos val="nextTo"/>
        <c:crossAx val="1684353792"/>
        <c:crosses val="autoZero"/>
        <c:crossBetween val="between"/>
      </c:valAx>
      <c:valAx>
        <c:axId val="1684248672"/>
        <c:scaling>
          <c:orientation val="minMax"/>
        </c:scaling>
        <c:delete val="1"/>
        <c:axPos val="r"/>
        <c:numFmt formatCode="General" sourceLinked="1"/>
        <c:majorTickMark val="out"/>
        <c:minorTickMark val="none"/>
        <c:tickLblPos val="nextTo"/>
        <c:crossAx val="1684234752"/>
        <c:crosses val="max"/>
        <c:crossBetween val="between"/>
      </c:valAx>
      <c:catAx>
        <c:axId val="1684234752"/>
        <c:scaling>
          <c:orientation val="minMax"/>
        </c:scaling>
        <c:delete val="1"/>
        <c:axPos val="b"/>
        <c:majorTickMark val="out"/>
        <c:minorTickMark val="none"/>
        <c:tickLblPos val="nextTo"/>
        <c:crossAx val="1684248672"/>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1-213D-4F41-B626-5A3C5AF2EEF2}"/>
              </c:ext>
            </c:extLst>
          </c:dPt>
          <c:dPt>
            <c:idx val="1"/>
            <c:bubble3D val="0"/>
            <c:spPr>
              <a:noFill/>
              <a:ln w="9525">
                <a:solidFill>
                  <a:srgbClr val="6476CE"/>
                </a:solidFill>
              </a:ln>
              <a:effectLst/>
            </c:spPr>
            <c:extLst>
              <c:ext xmlns:c16="http://schemas.microsoft.com/office/drawing/2014/chart" uri="{C3380CC4-5D6E-409C-BE32-E72D297353CC}">
                <c16:uniqueId val="{00000003-213D-4F41-B626-5A3C5AF2EEF2}"/>
              </c:ext>
            </c:extLst>
          </c:dPt>
          <c:dPt>
            <c:idx val="2"/>
            <c:bubble3D val="0"/>
            <c:spPr>
              <a:noFill/>
              <a:ln w="9525">
                <a:solidFill>
                  <a:srgbClr val="6476CE"/>
                </a:solidFill>
              </a:ln>
              <a:effectLst/>
            </c:spPr>
            <c:extLst>
              <c:ext xmlns:c16="http://schemas.microsoft.com/office/drawing/2014/chart" uri="{C3380CC4-5D6E-409C-BE32-E72D297353CC}">
                <c16:uniqueId val="{00000005-213D-4F41-B626-5A3C5AF2EEF2}"/>
              </c:ext>
            </c:extLst>
          </c:dPt>
          <c:dPt>
            <c:idx val="3"/>
            <c:bubble3D val="0"/>
            <c:spPr>
              <a:noFill/>
              <a:ln w="9525">
                <a:solidFill>
                  <a:srgbClr val="6476CE"/>
                </a:solidFill>
              </a:ln>
              <a:effectLst/>
            </c:spPr>
            <c:extLst>
              <c:ext xmlns:c16="http://schemas.microsoft.com/office/drawing/2014/chart" uri="{C3380CC4-5D6E-409C-BE32-E72D297353CC}">
                <c16:uniqueId val="{00000007-213D-4F41-B626-5A3C5AF2EEF2}"/>
              </c:ext>
            </c:extLst>
          </c:dPt>
          <c:dPt>
            <c:idx val="4"/>
            <c:bubble3D val="0"/>
            <c:spPr>
              <a:noFill/>
              <a:ln w="9525">
                <a:solidFill>
                  <a:srgbClr val="6476CE"/>
                </a:solidFill>
              </a:ln>
              <a:effectLst/>
            </c:spPr>
            <c:extLst>
              <c:ext xmlns:c16="http://schemas.microsoft.com/office/drawing/2014/chart" uri="{C3380CC4-5D6E-409C-BE32-E72D297353CC}">
                <c16:uniqueId val="{00000009-213D-4F41-B626-5A3C5AF2EEF2}"/>
              </c:ext>
            </c:extLst>
          </c:dPt>
          <c:val>
            <c:numRef>
              <c:f>Processing!$P$11:$T$11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213D-4F41-B626-5A3C5AF2EEF2}"/>
            </c:ext>
          </c:extLst>
        </c:ser>
        <c:ser>
          <c:idx val="1"/>
          <c:order val="1"/>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C-213D-4F41-B626-5A3C5AF2EEF2}"/>
              </c:ext>
            </c:extLst>
          </c:dPt>
          <c:dPt>
            <c:idx val="1"/>
            <c:bubble3D val="0"/>
            <c:spPr>
              <a:noFill/>
              <a:ln w="9525">
                <a:solidFill>
                  <a:srgbClr val="6476CE"/>
                </a:solidFill>
              </a:ln>
              <a:effectLst/>
            </c:spPr>
            <c:extLst>
              <c:ext xmlns:c16="http://schemas.microsoft.com/office/drawing/2014/chart" uri="{C3380CC4-5D6E-409C-BE32-E72D297353CC}">
                <c16:uniqueId val="{0000000E-213D-4F41-B626-5A3C5AF2EEF2}"/>
              </c:ext>
            </c:extLst>
          </c:dPt>
          <c:dPt>
            <c:idx val="2"/>
            <c:bubble3D val="0"/>
            <c:spPr>
              <a:noFill/>
              <a:ln w="9525">
                <a:solidFill>
                  <a:srgbClr val="6476CE"/>
                </a:solidFill>
              </a:ln>
              <a:effectLst/>
            </c:spPr>
            <c:extLst>
              <c:ext xmlns:c16="http://schemas.microsoft.com/office/drawing/2014/chart" uri="{C3380CC4-5D6E-409C-BE32-E72D297353CC}">
                <c16:uniqueId val="{00000010-213D-4F41-B626-5A3C5AF2EEF2}"/>
              </c:ext>
            </c:extLst>
          </c:dPt>
          <c:dPt>
            <c:idx val="3"/>
            <c:bubble3D val="0"/>
            <c:spPr>
              <a:noFill/>
              <a:ln w="9525">
                <a:solidFill>
                  <a:srgbClr val="6476CE"/>
                </a:solidFill>
              </a:ln>
              <a:effectLst/>
            </c:spPr>
            <c:extLst>
              <c:ext xmlns:c16="http://schemas.microsoft.com/office/drawing/2014/chart" uri="{C3380CC4-5D6E-409C-BE32-E72D297353CC}">
                <c16:uniqueId val="{00000012-213D-4F41-B626-5A3C5AF2EEF2}"/>
              </c:ext>
            </c:extLst>
          </c:dPt>
          <c:dPt>
            <c:idx val="4"/>
            <c:bubble3D val="0"/>
            <c:spPr>
              <a:noFill/>
              <a:ln w="9525">
                <a:solidFill>
                  <a:srgbClr val="6476CE"/>
                </a:solidFill>
              </a:ln>
              <a:effectLst/>
            </c:spPr>
            <c:extLst>
              <c:ext xmlns:c16="http://schemas.microsoft.com/office/drawing/2014/chart" uri="{C3380CC4-5D6E-409C-BE32-E72D297353CC}">
                <c16:uniqueId val="{00000014-213D-4F41-B626-5A3C5AF2EEF2}"/>
              </c:ext>
            </c:extLst>
          </c:dPt>
          <c:val>
            <c:numRef>
              <c:f>Processing!$P$12:$T$12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213D-4F41-B626-5A3C5AF2EEF2}"/>
            </c:ext>
          </c:extLst>
        </c:ser>
        <c:ser>
          <c:idx val="2"/>
          <c:order val="2"/>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17-213D-4F41-B626-5A3C5AF2EEF2}"/>
              </c:ext>
            </c:extLst>
          </c:dPt>
          <c:dPt>
            <c:idx val="1"/>
            <c:bubble3D val="0"/>
            <c:spPr>
              <a:noFill/>
              <a:ln w="9525">
                <a:solidFill>
                  <a:srgbClr val="6476CE"/>
                </a:solidFill>
              </a:ln>
              <a:effectLst/>
            </c:spPr>
            <c:extLst>
              <c:ext xmlns:c16="http://schemas.microsoft.com/office/drawing/2014/chart" uri="{C3380CC4-5D6E-409C-BE32-E72D297353CC}">
                <c16:uniqueId val="{00000019-213D-4F41-B626-5A3C5AF2EEF2}"/>
              </c:ext>
            </c:extLst>
          </c:dPt>
          <c:dPt>
            <c:idx val="2"/>
            <c:bubble3D val="0"/>
            <c:spPr>
              <a:noFill/>
              <a:ln w="9525">
                <a:solidFill>
                  <a:srgbClr val="6476CE"/>
                </a:solidFill>
              </a:ln>
              <a:effectLst/>
            </c:spPr>
            <c:extLst>
              <c:ext xmlns:c16="http://schemas.microsoft.com/office/drawing/2014/chart" uri="{C3380CC4-5D6E-409C-BE32-E72D297353CC}">
                <c16:uniqueId val="{0000001B-213D-4F41-B626-5A3C5AF2EEF2}"/>
              </c:ext>
            </c:extLst>
          </c:dPt>
          <c:dPt>
            <c:idx val="3"/>
            <c:bubble3D val="0"/>
            <c:spPr>
              <a:noFill/>
              <a:ln w="9525">
                <a:solidFill>
                  <a:srgbClr val="6476CE"/>
                </a:solidFill>
              </a:ln>
              <a:effectLst/>
            </c:spPr>
            <c:extLst>
              <c:ext xmlns:c16="http://schemas.microsoft.com/office/drawing/2014/chart" uri="{C3380CC4-5D6E-409C-BE32-E72D297353CC}">
                <c16:uniqueId val="{0000001D-213D-4F41-B626-5A3C5AF2EEF2}"/>
              </c:ext>
            </c:extLst>
          </c:dPt>
          <c:dPt>
            <c:idx val="4"/>
            <c:bubble3D val="0"/>
            <c:spPr>
              <a:noFill/>
              <a:ln w="9525">
                <a:solidFill>
                  <a:srgbClr val="6476CE"/>
                </a:solidFill>
              </a:ln>
              <a:effectLst/>
            </c:spPr>
            <c:extLst>
              <c:ext xmlns:c16="http://schemas.microsoft.com/office/drawing/2014/chart" uri="{C3380CC4-5D6E-409C-BE32-E72D297353CC}">
                <c16:uniqueId val="{0000001F-213D-4F41-B626-5A3C5AF2EEF2}"/>
              </c:ext>
            </c:extLst>
          </c:dPt>
          <c:val>
            <c:numRef>
              <c:f>Processing!$P$13:$T$13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213D-4F41-B626-5A3C5AF2EEF2}"/>
            </c:ext>
          </c:extLst>
        </c:ser>
        <c:ser>
          <c:idx val="3"/>
          <c:order val="3"/>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22-213D-4F41-B626-5A3C5AF2EEF2}"/>
              </c:ext>
            </c:extLst>
          </c:dPt>
          <c:dPt>
            <c:idx val="1"/>
            <c:bubble3D val="0"/>
            <c:spPr>
              <a:noFill/>
              <a:ln w="9525">
                <a:solidFill>
                  <a:srgbClr val="6476CE"/>
                </a:solidFill>
              </a:ln>
              <a:effectLst/>
            </c:spPr>
            <c:extLst>
              <c:ext xmlns:c16="http://schemas.microsoft.com/office/drawing/2014/chart" uri="{C3380CC4-5D6E-409C-BE32-E72D297353CC}">
                <c16:uniqueId val="{00000024-213D-4F41-B626-5A3C5AF2EEF2}"/>
              </c:ext>
            </c:extLst>
          </c:dPt>
          <c:dPt>
            <c:idx val="2"/>
            <c:bubble3D val="0"/>
            <c:spPr>
              <a:noFill/>
              <a:ln w="9525">
                <a:solidFill>
                  <a:srgbClr val="6476CE"/>
                </a:solidFill>
              </a:ln>
              <a:effectLst/>
            </c:spPr>
            <c:extLst>
              <c:ext xmlns:c16="http://schemas.microsoft.com/office/drawing/2014/chart" uri="{C3380CC4-5D6E-409C-BE32-E72D297353CC}">
                <c16:uniqueId val="{00000026-213D-4F41-B626-5A3C5AF2EEF2}"/>
              </c:ext>
            </c:extLst>
          </c:dPt>
          <c:dPt>
            <c:idx val="3"/>
            <c:bubble3D val="0"/>
            <c:spPr>
              <a:noFill/>
              <a:ln w="9525">
                <a:solidFill>
                  <a:srgbClr val="6476CE"/>
                </a:solidFill>
              </a:ln>
              <a:effectLst/>
            </c:spPr>
            <c:extLst>
              <c:ext xmlns:c16="http://schemas.microsoft.com/office/drawing/2014/chart" uri="{C3380CC4-5D6E-409C-BE32-E72D297353CC}">
                <c16:uniqueId val="{00000028-213D-4F41-B626-5A3C5AF2EEF2}"/>
              </c:ext>
            </c:extLst>
          </c:dPt>
          <c:dPt>
            <c:idx val="4"/>
            <c:bubble3D val="0"/>
            <c:spPr>
              <a:noFill/>
              <a:ln w="9525">
                <a:solidFill>
                  <a:srgbClr val="6476CE"/>
                </a:solidFill>
              </a:ln>
              <a:effectLst/>
            </c:spPr>
            <c:extLst>
              <c:ext xmlns:c16="http://schemas.microsoft.com/office/drawing/2014/chart" uri="{C3380CC4-5D6E-409C-BE32-E72D297353CC}">
                <c16:uniqueId val="{0000002A-213D-4F41-B626-5A3C5AF2EEF2}"/>
              </c:ext>
            </c:extLst>
          </c:dPt>
          <c:val>
            <c:numRef>
              <c:f>Processing!$P$14:$T$14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B-213D-4F41-B626-5A3C5AF2EEF2}"/>
            </c:ext>
          </c:extLst>
        </c:ser>
        <c:dLbls>
          <c:showLegendKey val="0"/>
          <c:showVal val="0"/>
          <c:showCatName val="0"/>
          <c:showSerName val="0"/>
          <c:showPercent val="0"/>
          <c:showBubbleSize val="0"/>
          <c:showLeaderLines val="1"/>
        </c:dLbls>
        <c:firstSliceAng val="0"/>
        <c:holeSize val="2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Processing!$M$10</c:f>
              <c:strCache>
                <c:ptCount val="1"/>
                <c:pt idx="0">
                  <c:v>Revenue</c:v>
                </c:pt>
              </c:strCache>
            </c:strRef>
          </c:tx>
          <c:spPr>
            <a:gradFill>
              <a:gsLst>
                <a:gs pos="0">
                  <a:srgbClr val="4E7AFF">
                    <a:alpha val="90000"/>
                  </a:srgbClr>
                </a:gs>
                <a:gs pos="100000">
                  <a:srgbClr val="4552F1">
                    <a:alpha val="90000"/>
                  </a:srgbClr>
                </a:gs>
              </a:gsLst>
              <a:lin ang="5400000" scaled="1"/>
            </a:gradFill>
            <a:ln>
              <a:noFill/>
            </a:ln>
            <a:effectLst/>
          </c:spPr>
          <c:cat>
            <c:strRef>
              <c:f>Processing!$L$11:$L$15</c:f>
              <c:strCache>
                <c:ptCount val="5"/>
                <c:pt idx="0">
                  <c:v>A</c:v>
                </c:pt>
                <c:pt idx="1">
                  <c:v>B</c:v>
                </c:pt>
                <c:pt idx="2">
                  <c:v>C</c:v>
                </c:pt>
                <c:pt idx="3">
                  <c:v>D</c:v>
                </c:pt>
                <c:pt idx="4">
                  <c:v>E</c:v>
                </c:pt>
              </c:strCache>
            </c:strRef>
          </c:cat>
          <c:val>
            <c:numRef>
              <c:f>Processing!$M$11:$M$15</c:f>
              <c:numCache>
                <c:formatCode>_("$"* #,##0.00_);_("$"* \(#,##0.00\);_("$"* "-"??_);_(@_)</c:formatCode>
                <c:ptCount val="5"/>
                <c:pt idx="0">
                  <c:v>8185</c:v>
                </c:pt>
                <c:pt idx="1">
                  <c:v>7567</c:v>
                </c:pt>
                <c:pt idx="2">
                  <c:v>5405</c:v>
                </c:pt>
                <c:pt idx="3">
                  <c:v>9111</c:v>
                </c:pt>
                <c:pt idx="4">
                  <c:v>7567</c:v>
                </c:pt>
              </c:numCache>
            </c:numRef>
          </c:val>
          <c:extLst>
            <c:ext xmlns:c16="http://schemas.microsoft.com/office/drawing/2014/chart" uri="{C3380CC4-5D6E-409C-BE32-E72D297353CC}">
              <c16:uniqueId val="{00000000-B63B-470B-9C16-241D0E017B3C}"/>
            </c:ext>
          </c:extLst>
        </c:ser>
        <c:ser>
          <c:idx val="1"/>
          <c:order val="1"/>
          <c:tx>
            <c:strRef>
              <c:f>Processing!$N$10</c:f>
              <c:strCache>
                <c:ptCount val="1"/>
                <c:pt idx="0">
                  <c:v>Sales</c:v>
                </c:pt>
              </c:strCache>
            </c:strRef>
          </c:tx>
          <c:spPr>
            <a:gradFill>
              <a:gsLst>
                <a:gs pos="0">
                  <a:srgbClr val="F17EEC">
                    <a:alpha val="80000"/>
                  </a:srgbClr>
                </a:gs>
                <a:gs pos="100000">
                  <a:srgbClr val="EE0078">
                    <a:alpha val="80000"/>
                  </a:srgbClr>
                </a:gs>
              </a:gsLst>
              <a:lin ang="5400000" scaled="1"/>
            </a:gradFill>
            <a:ln>
              <a:noFill/>
            </a:ln>
            <a:effectLst/>
          </c:spPr>
          <c:cat>
            <c:strRef>
              <c:f>Processing!$L$11:$L$15</c:f>
              <c:strCache>
                <c:ptCount val="5"/>
                <c:pt idx="0">
                  <c:v>A</c:v>
                </c:pt>
                <c:pt idx="1">
                  <c:v>B</c:v>
                </c:pt>
                <c:pt idx="2">
                  <c:v>C</c:v>
                </c:pt>
                <c:pt idx="3">
                  <c:v>D</c:v>
                </c:pt>
                <c:pt idx="4">
                  <c:v>E</c:v>
                </c:pt>
              </c:strCache>
            </c:strRef>
          </c:cat>
          <c:val>
            <c:numRef>
              <c:f>Processing!$N$11:$N$15</c:f>
              <c:numCache>
                <c:formatCode>_("$"* #,##0.00_);_("$"* \(#,##0.00\);_("$"* "-"??_);_(@_)</c:formatCode>
                <c:ptCount val="5"/>
                <c:pt idx="0">
                  <c:v>7381.8451474918056</c:v>
                </c:pt>
                <c:pt idx="1">
                  <c:v>8409.9741542136544</c:v>
                </c:pt>
                <c:pt idx="2">
                  <c:v>7244.885506360758</c:v>
                </c:pt>
                <c:pt idx="3">
                  <c:v>4026.7997889006169</c:v>
                </c:pt>
                <c:pt idx="4">
                  <c:v>6479.4954030331646</c:v>
                </c:pt>
              </c:numCache>
            </c:numRef>
          </c:val>
          <c:extLst>
            <c:ext xmlns:c16="http://schemas.microsoft.com/office/drawing/2014/chart" uri="{C3380CC4-5D6E-409C-BE32-E72D297353CC}">
              <c16:uniqueId val="{00000001-B63B-470B-9C16-241D0E017B3C}"/>
            </c:ext>
          </c:extLst>
        </c:ser>
        <c:dLbls>
          <c:showLegendKey val="0"/>
          <c:showVal val="0"/>
          <c:showCatName val="0"/>
          <c:showSerName val="0"/>
          <c:showPercent val="0"/>
          <c:showBubbleSize val="0"/>
        </c:dLbls>
        <c:axId val="1824798800"/>
        <c:axId val="1824798320"/>
      </c:radarChart>
      <c:catAx>
        <c:axId val="1824798800"/>
        <c:scaling>
          <c:orientation val="minMax"/>
        </c:scaling>
        <c:delete val="1"/>
        <c:axPos val="b"/>
        <c:numFmt formatCode="General" sourceLinked="1"/>
        <c:majorTickMark val="none"/>
        <c:minorTickMark val="none"/>
        <c:tickLblPos val="nextTo"/>
        <c:crossAx val="1824798320"/>
        <c:crosses val="autoZero"/>
        <c:auto val="1"/>
        <c:lblAlgn val="ctr"/>
        <c:lblOffset val="100"/>
        <c:noMultiLvlLbl val="0"/>
      </c:catAx>
      <c:valAx>
        <c:axId val="1824798320"/>
        <c:scaling>
          <c:orientation val="minMax"/>
        </c:scaling>
        <c:delete val="1"/>
        <c:axPos val="l"/>
        <c:numFmt formatCode="_(&quot;$&quot;* #,##0.00_);_(&quot;$&quot;* \(#,##0.00\);_(&quot;$&quot;* &quot;-&quot;??_);_(@_)" sourceLinked="1"/>
        <c:majorTickMark val="none"/>
        <c:minorTickMark val="none"/>
        <c:tickLblPos val="nextTo"/>
        <c:crossAx val="18247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strRef>
              <c:f>Processing!$B$19</c:f>
              <c:strCache>
                <c:ptCount val="1"/>
                <c:pt idx="0">
                  <c:v>Revenue</c:v>
                </c:pt>
              </c:strCache>
            </c:strRef>
          </c:tx>
          <c:spPr>
            <a:gradFill>
              <a:gsLst>
                <a:gs pos="0">
                  <a:srgbClr val="00C6D1">
                    <a:alpha val="30000"/>
                  </a:srgbClr>
                </a:gs>
                <a:gs pos="100000">
                  <a:srgbClr val="00C6D1">
                    <a:alpha val="0"/>
                  </a:srgbClr>
                </a:gs>
              </a:gsLst>
              <a:lin ang="5400000" scaled="1"/>
            </a:gradFill>
            <a:ln>
              <a:noFill/>
            </a:ln>
            <a:effectLst/>
          </c:spP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extLst>
            <c:ext xmlns:c16="http://schemas.microsoft.com/office/drawing/2014/chart" uri="{C3380CC4-5D6E-409C-BE32-E72D297353CC}">
              <c16:uniqueId val="{00000005-C39D-4462-9A86-5829C076AFE2}"/>
            </c:ext>
          </c:extLst>
        </c:ser>
        <c:dLbls>
          <c:showLegendKey val="0"/>
          <c:showVal val="0"/>
          <c:showCatName val="0"/>
          <c:showSerName val="0"/>
          <c:showPercent val="0"/>
          <c:showBubbleSize val="0"/>
        </c:dLbls>
        <c:axId val="1953973136"/>
        <c:axId val="1953968816"/>
      </c:areaChart>
      <c:lineChart>
        <c:grouping val="standard"/>
        <c:varyColors val="0"/>
        <c:ser>
          <c:idx val="1"/>
          <c:order val="0"/>
          <c:tx>
            <c:v>fill</c:v>
          </c:tx>
          <c:spPr>
            <a:ln w="25400" cap="rnd">
              <a:solidFill>
                <a:srgbClr val="00C6D1"/>
              </a:solidFill>
              <a:round/>
            </a:ln>
            <a:effectLst/>
          </c:spPr>
          <c:marker>
            <c:symbol val="none"/>
          </c:marke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smooth val="1"/>
          <c:extLst>
            <c:ext xmlns:c16="http://schemas.microsoft.com/office/drawing/2014/chart" uri="{C3380CC4-5D6E-409C-BE32-E72D297353CC}">
              <c16:uniqueId val="{00000007-C39D-4462-9A86-5829C076AFE2}"/>
            </c:ext>
          </c:extLst>
        </c:ser>
        <c:ser>
          <c:idx val="0"/>
          <c:order val="1"/>
          <c:tx>
            <c:strRef>
              <c:f>Processing!$C$19</c:f>
              <c:strCache>
                <c:ptCount val="1"/>
                <c:pt idx="0">
                  <c:v>Expenses</c:v>
                </c:pt>
              </c:strCache>
            </c:strRef>
          </c:tx>
          <c:spPr>
            <a:ln w="25400" cap="rnd">
              <a:gradFill>
                <a:gsLst>
                  <a:gs pos="0">
                    <a:srgbClr val="F17EEC"/>
                  </a:gs>
                  <a:gs pos="100000">
                    <a:srgbClr val="EE0077"/>
                  </a:gs>
                </a:gsLst>
                <a:lin ang="5400000" scaled="1"/>
              </a:gradFill>
              <a:round/>
            </a:ln>
            <a:effectLst/>
          </c:spPr>
          <c:marker>
            <c:symbol val="none"/>
          </c:marker>
          <c:val>
            <c:numRef>
              <c:f>Processing!$C$20:$C$31</c:f>
              <c:numCache>
                <c:formatCode>General</c:formatCode>
                <c:ptCount val="12"/>
                <c:pt idx="0">
                  <c:v>26660</c:v>
                </c:pt>
                <c:pt idx="1">
                  <c:v>32060</c:v>
                </c:pt>
                <c:pt idx="2">
                  <c:v>35760</c:v>
                </c:pt>
                <c:pt idx="3">
                  <c:v>36560</c:v>
                </c:pt>
                <c:pt idx="4">
                  <c:v>34220</c:v>
                </c:pt>
                <c:pt idx="5">
                  <c:v>29500</c:v>
                </c:pt>
                <c:pt idx="6">
                  <c:v>23820</c:v>
                </c:pt>
                <c:pt idx="7">
                  <c:v>19100</c:v>
                </c:pt>
                <c:pt idx="8">
                  <c:v>16760</c:v>
                </c:pt>
                <c:pt idx="9">
                  <c:v>17560</c:v>
                </c:pt>
                <c:pt idx="10">
                  <c:v>21260</c:v>
                </c:pt>
                <c:pt idx="11">
                  <c:v>26660</c:v>
                </c:pt>
              </c:numCache>
            </c:numRef>
          </c:val>
          <c:smooth val="1"/>
          <c:extLst>
            <c:ext xmlns:c16="http://schemas.microsoft.com/office/drawing/2014/chart" uri="{C3380CC4-5D6E-409C-BE32-E72D297353CC}">
              <c16:uniqueId val="{00000009-C39D-4462-9A86-5829C076AFE2}"/>
            </c:ext>
          </c:extLst>
        </c:ser>
        <c:dLbls>
          <c:showLegendKey val="0"/>
          <c:showVal val="0"/>
          <c:showCatName val="0"/>
          <c:showSerName val="0"/>
          <c:showPercent val="0"/>
          <c:showBubbleSize val="0"/>
        </c:dLbls>
        <c:marker val="1"/>
        <c:smooth val="0"/>
        <c:axId val="1953973136"/>
        <c:axId val="1953968816"/>
      </c:lineChart>
      <c:scatterChart>
        <c:scatterStyle val="lineMarker"/>
        <c:varyColors val="0"/>
        <c:ser>
          <c:idx val="3"/>
          <c:order val="3"/>
          <c:tx>
            <c:v>Cursor</c:v>
          </c:tx>
          <c:spPr>
            <a:ln w="25400" cap="rnd">
              <a:noFill/>
              <a:round/>
            </a:ln>
            <a:effectLst/>
          </c:spPr>
          <c:marker>
            <c:symbol val="circle"/>
            <c:size val="7"/>
            <c:spPr>
              <a:solidFill>
                <a:schemeClr val="bg1"/>
              </a:solidFill>
              <a:ln w="19050">
                <a:solidFill>
                  <a:srgbClr val="00C6D1"/>
                </a:solidFill>
              </a:ln>
              <a:effectLst/>
            </c:spPr>
          </c:marker>
          <c:yVal>
            <c:numRef>
              <c:f>Processing!$D$20:$D$31</c:f>
              <c:numCache>
                <c:formatCode>General</c:formatCode>
                <c:ptCount val="12"/>
                <c:pt idx="0">
                  <c:v>37835</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B-C39D-4462-9A86-5829C076AFE2}"/>
            </c:ext>
          </c:extLst>
        </c:ser>
        <c:dLbls>
          <c:showLegendKey val="0"/>
          <c:showVal val="0"/>
          <c:showCatName val="0"/>
          <c:showSerName val="0"/>
          <c:showPercent val="0"/>
          <c:showBubbleSize val="0"/>
        </c:dLbls>
        <c:axId val="1953973136"/>
        <c:axId val="1953968816"/>
      </c:scatterChart>
      <c:catAx>
        <c:axId val="1953973136"/>
        <c:scaling>
          <c:orientation val="minMax"/>
        </c:scaling>
        <c:delete val="1"/>
        <c:axPos val="b"/>
        <c:majorTickMark val="none"/>
        <c:minorTickMark val="none"/>
        <c:tickLblPos val="nextTo"/>
        <c:crossAx val="1953968816"/>
        <c:crosses val="autoZero"/>
        <c:auto val="1"/>
        <c:lblAlgn val="ctr"/>
        <c:lblOffset val="100"/>
        <c:noMultiLvlLbl val="0"/>
      </c:catAx>
      <c:valAx>
        <c:axId val="1953968816"/>
        <c:scaling>
          <c:orientation val="minMax"/>
        </c:scaling>
        <c:delete val="1"/>
        <c:axPos val="l"/>
        <c:numFmt formatCode="General" sourceLinked="1"/>
        <c:majorTickMark val="none"/>
        <c:minorTickMark val="none"/>
        <c:tickLblPos val="nextTo"/>
        <c:crossAx val="1953973136"/>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Processing!$J$20</c:f>
              <c:strCache>
                <c:ptCount val="1"/>
                <c:pt idx="0">
                  <c:v>ROI</c:v>
                </c:pt>
              </c:strCache>
            </c:strRef>
          </c:tx>
          <c:spPr>
            <a:ln>
              <a:noFill/>
            </a:ln>
            <a:effectLst>
              <a:outerShdw blurRad="50800" dist="38100" dir="8100000" algn="tr" rotWithShape="0">
                <a:prstClr val="black">
                  <a:alpha val="40000"/>
                </a:prstClr>
              </a:outerShdw>
            </a:effectLst>
          </c:spPr>
          <c:dPt>
            <c:idx val="0"/>
            <c:bubble3D val="0"/>
            <c:spPr>
              <a:gradFill>
                <a:gsLst>
                  <a:gs pos="0">
                    <a:srgbClr val="EE0078"/>
                  </a:gs>
                  <a:gs pos="100000">
                    <a:srgbClr val="D758C9"/>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E335-4047-A778-AFB214EBDAA5}"/>
              </c:ext>
            </c:extLst>
          </c:dPt>
          <c:dPt>
            <c:idx val="1"/>
            <c:bubble3D val="0"/>
            <c:spPr>
              <a:gradFill>
                <a:gsLst>
                  <a:gs pos="0">
                    <a:srgbClr val="7A4FF0"/>
                  </a:gs>
                  <a:gs pos="100000">
                    <a:srgbClr val="60A8FF"/>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E335-4047-A778-AFB214EBDAA5}"/>
              </c:ext>
            </c:extLst>
          </c:dPt>
          <c:dPt>
            <c:idx val="2"/>
            <c:bubble3D val="0"/>
            <c:spPr>
              <a:solidFill>
                <a:srgbClr val="EE0078">
                  <a:alpha val="50000"/>
                </a:srgb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E335-4047-A778-AFB214EBDAA5}"/>
              </c:ext>
            </c:extLst>
          </c:dPt>
          <c:val>
            <c:numRef>
              <c:f>Processing!$J$21:$J$23</c:f>
              <c:numCache>
                <c:formatCode>0%</c:formatCode>
                <c:ptCount val="3"/>
                <c:pt idx="0">
                  <c:v>0.39873688717619354</c:v>
                </c:pt>
                <c:pt idx="1">
                  <c:v>0.6012631128238064</c:v>
                </c:pt>
                <c:pt idx="2">
                  <c:v>0</c:v>
                </c:pt>
              </c:numCache>
            </c:numRef>
          </c:val>
          <c:extLst>
            <c:ext xmlns:c16="http://schemas.microsoft.com/office/drawing/2014/chart" uri="{C3380CC4-5D6E-409C-BE32-E72D297353CC}">
              <c16:uniqueId val="{00000006-E335-4047-A778-AFB214EBDAA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EC65-443C-B2FE-0BE184BEF5CF}"/>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EC65-443C-B2FE-0BE184BEF5CF}"/>
              </c:ext>
            </c:extLst>
          </c:dPt>
          <c:val>
            <c:numRef>
              <c:f>Processing!$B$15:$B$16</c:f>
              <c:numCache>
                <c:formatCode>0%</c:formatCode>
                <c:ptCount val="2"/>
                <c:pt idx="0">
                  <c:v>0.43454531359020077</c:v>
                </c:pt>
                <c:pt idx="1">
                  <c:v>0.56545468640979923</c:v>
                </c:pt>
              </c:numCache>
            </c:numRef>
          </c:val>
          <c:extLst>
            <c:ext xmlns:c16="http://schemas.microsoft.com/office/drawing/2014/chart" uri="{C3380CC4-5D6E-409C-BE32-E72D297353CC}">
              <c16:uniqueId val="{00000004-EC65-443C-B2FE-0BE184BEF5CF}"/>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8B20-41FC-927E-0DA472734F62}"/>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8B20-41FC-927E-0DA472734F62}"/>
              </c:ext>
            </c:extLst>
          </c:dPt>
          <c:val>
            <c:numRef>
              <c:f>Processing!$C$15:$C$16</c:f>
              <c:numCache>
                <c:formatCode>0%</c:formatCode>
                <c:ptCount val="2"/>
                <c:pt idx="0">
                  <c:v>0.52008682843631293</c:v>
                </c:pt>
                <c:pt idx="1">
                  <c:v>0.47991317156368707</c:v>
                </c:pt>
              </c:numCache>
            </c:numRef>
          </c:val>
          <c:extLst>
            <c:ext xmlns:c16="http://schemas.microsoft.com/office/drawing/2014/chart" uri="{C3380CC4-5D6E-409C-BE32-E72D297353CC}">
              <c16:uniqueId val="{00000004-8B20-41FC-927E-0DA472734F62}"/>
            </c:ext>
          </c:extLst>
        </c:ser>
        <c:dLbls>
          <c:showLegendKey val="0"/>
          <c:showVal val="0"/>
          <c:showCatName val="0"/>
          <c:showSerName val="0"/>
          <c:showPercent val="0"/>
          <c:showBubbleSize val="0"/>
          <c:showLeaderLines val="1"/>
        </c:dLbls>
        <c:firstSliceAng val="0"/>
        <c:holeSize val="9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a:gsLst>
                <a:gs pos="0">
                  <a:srgbClr val="00C6D1">
                    <a:alpha val="20000"/>
                  </a:srgbClr>
                </a:gs>
                <a:gs pos="100000">
                  <a:srgbClr val="00C6D1">
                    <a:alpha val="0"/>
                  </a:srgbClr>
                </a:gs>
              </a:gsLst>
              <a:lin ang="5400000" scaled="1"/>
            </a:gradFill>
            <a:ln>
              <a:noFill/>
            </a:ln>
            <a:effectLst/>
          </c:spP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extLst>
            <c:ext xmlns:c16="http://schemas.microsoft.com/office/drawing/2014/chart" uri="{C3380CC4-5D6E-409C-BE32-E72D297353CC}">
              <c16:uniqueId val="{00000000-5347-456B-8FA7-227E5DFCDA96}"/>
            </c:ext>
          </c:extLst>
        </c:ser>
        <c:dLbls>
          <c:showLegendKey val="0"/>
          <c:showVal val="0"/>
          <c:showCatName val="0"/>
          <c:showSerName val="0"/>
          <c:showPercent val="0"/>
          <c:showBubbleSize val="0"/>
        </c:dLbls>
        <c:axId val="1953973136"/>
        <c:axId val="1953968816"/>
      </c:areaChart>
      <c:lineChart>
        <c:grouping val="standard"/>
        <c:varyColors val="0"/>
        <c:ser>
          <c:idx val="1"/>
          <c:order val="0"/>
          <c:tx>
            <c:strRef>
              <c:f>Processing!$C$19</c:f>
              <c:strCache>
                <c:ptCount val="1"/>
                <c:pt idx="0">
                  <c:v>Expenses</c:v>
                </c:pt>
              </c:strCache>
            </c:strRef>
          </c:tx>
          <c:spPr>
            <a:ln w="25400" cap="rnd">
              <a:gradFill>
                <a:gsLst>
                  <a:gs pos="0">
                    <a:srgbClr val="EE0078"/>
                  </a:gs>
                  <a:gs pos="100000">
                    <a:srgbClr val="F17EEC"/>
                  </a:gs>
                </a:gsLst>
                <a:lin ang="0" scaled="0"/>
              </a:gradFill>
              <a:round/>
            </a:ln>
            <a:effectLst/>
          </c:spPr>
          <c:marker>
            <c:symbol val="none"/>
          </c:marker>
          <c:val>
            <c:numRef>
              <c:f>Processing!$C$20:$C$31</c:f>
              <c:numCache>
                <c:formatCode>General</c:formatCode>
                <c:ptCount val="12"/>
                <c:pt idx="0">
                  <c:v>26660</c:v>
                </c:pt>
                <c:pt idx="1">
                  <c:v>32060</c:v>
                </c:pt>
                <c:pt idx="2">
                  <c:v>35760</c:v>
                </c:pt>
                <c:pt idx="3">
                  <c:v>36560</c:v>
                </c:pt>
                <c:pt idx="4">
                  <c:v>34220</c:v>
                </c:pt>
                <c:pt idx="5">
                  <c:v>29500</c:v>
                </c:pt>
                <c:pt idx="6">
                  <c:v>23820</c:v>
                </c:pt>
                <c:pt idx="7">
                  <c:v>19100</c:v>
                </c:pt>
                <c:pt idx="8">
                  <c:v>16760</c:v>
                </c:pt>
                <c:pt idx="9">
                  <c:v>17560</c:v>
                </c:pt>
                <c:pt idx="10">
                  <c:v>21260</c:v>
                </c:pt>
                <c:pt idx="11">
                  <c:v>26660</c:v>
                </c:pt>
              </c:numCache>
            </c:numRef>
          </c:val>
          <c:smooth val="1"/>
          <c:extLst>
            <c:ext xmlns:c16="http://schemas.microsoft.com/office/drawing/2014/chart" uri="{C3380CC4-5D6E-409C-BE32-E72D297353CC}">
              <c16:uniqueId val="{00000001-5347-456B-8FA7-227E5DFCDA96}"/>
            </c:ext>
          </c:extLst>
        </c:ser>
        <c:ser>
          <c:idx val="0"/>
          <c:order val="1"/>
          <c:tx>
            <c:strRef>
              <c:f>Processing!$B$19</c:f>
              <c:strCache>
                <c:ptCount val="1"/>
                <c:pt idx="0">
                  <c:v>Revenue</c:v>
                </c:pt>
              </c:strCache>
            </c:strRef>
          </c:tx>
          <c:spPr>
            <a:ln w="31750" cap="rnd">
              <a:solidFill>
                <a:srgbClr val="00C6D1"/>
              </a:solidFill>
              <a:round/>
            </a:ln>
            <a:effectLst>
              <a:outerShdw blurRad="50800" dist="38100" dir="5400000" algn="t" rotWithShape="0">
                <a:prstClr val="black">
                  <a:alpha val="40000"/>
                </a:prstClr>
              </a:outerShdw>
            </a:effectLst>
          </c:spPr>
          <c:marker>
            <c:symbol val="none"/>
          </c:marke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smooth val="1"/>
          <c:extLst>
            <c:ext xmlns:c16="http://schemas.microsoft.com/office/drawing/2014/chart" uri="{C3380CC4-5D6E-409C-BE32-E72D297353CC}">
              <c16:uniqueId val="{00000002-5347-456B-8FA7-227E5DFCDA96}"/>
            </c:ext>
          </c:extLst>
        </c:ser>
        <c:dLbls>
          <c:showLegendKey val="0"/>
          <c:showVal val="0"/>
          <c:showCatName val="0"/>
          <c:showSerName val="0"/>
          <c:showPercent val="0"/>
          <c:showBubbleSize val="0"/>
        </c:dLbls>
        <c:marker val="1"/>
        <c:smooth val="0"/>
        <c:axId val="1953973136"/>
        <c:axId val="1953968816"/>
      </c:lineChart>
      <c:scatterChart>
        <c:scatterStyle val="lineMarker"/>
        <c:varyColors val="0"/>
        <c:ser>
          <c:idx val="3"/>
          <c:order val="3"/>
          <c:tx>
            <c:v>Cursor</c:v>
          </c:tx>
          <c:spPr>
            <a:ln w="25400" cap="rnd">
              <a:noFill/>
              <a:round/>
            </a:ln>
            <a:effectLst>
              <a:outerShdw blurRad="50800" dist="38100" dir="2700000" algn="tl" rotWithShape="0">
                <a:prstClr val="black">
                  <a:alpha val="40000"/>
                </a:prstClr>
              </a:outerShdw>
            </a:effectLst>
          </c:spPr>
          <c:marker>
            <c:symbol val="circle"/>
            <c:size val="9"/>
            <c:spPr>
              <a:solidFill>
                <a:schemeClr val="bg1"/>
              </a:solidFill>
              <a:ln w="19050">
                <a:solidFill>
                  <a:srgbClr val="00C6D1"/>
                </a:solidFill>
              </a:ln>
              <a:effectLst>
                <a:outerShdw blurRad="50800" dist="38100" dir="2700000" algn="tl" rotWithShape="0">
                  <a:prstClr val="black">
                    <a:alpha val="40000"/>
                  </a:prstClr>
                </a:outerShdw>
              </a:effectLst>
            </c:spPr>
          </c:marker>
          <c:dLbls>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Processing!$D$20:$D$31</c:f>
                <c:numCache>
                  <c:formatCode>General</c:formatCode>
                  <c:ptCount val="12"/>
                  <c:pt idx="0">
                    <c:v>37835</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8492D8"/>
                </a:solidFill>
                <a:round/>
              </a:ln>
              <a:effectLst/>
            </c:spPr>
          </c:errBars>
          <c:yVal>
            <c:numRef>
              <c:f>Processing!$D$20:$D$31</c:f>
              <c:numCache>
                <c:formatCode>General</c:formatCode>
                <c:ptCount val="12"/>
                <c:pt idx="0">
                  <c:v>37835</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5347-456B-8FA7-227E5DFCDA96}"/>
            </c:ext>
          </c:extLst>
        </c:ser>
        <c:ser>
          <c:idx val="4"/>
          <c:order val="4"/>
          <c:tx>
            <c:strRef>
              <c:f>Processing!$E$19</c:f>
              <c:strCache>
                <c:ptCount val="1"/>
                <c:pt idx="0">
                  <c:v>Cursor E</c:v>
                </c:pt>
              </c:strCache>
            </c:strRef>
          </c:tx>
          <c:spPr>
            <a:ln w="25400" cap="rnd">
              <a:noFill/>
              <a:round/>
            </a:ln>
            <a:effectLst>
              <a:outerShdw blurRad="50800" dist="38100" dir="5400000" algn="t" rotWithShape="0">
                <a:prstClr val="black">
                  <a:alpha val="40000"/>
                </a:prstClr>
              </a:outerShdw>
            </a:effectLst>
          </c:spPr>
          <c:marker>
            <c:symbol val="circle"/>
            <c:size val="9"/>
            <c:spPr>
              <a:solidFill>
                <a:schemeClr val="bg1"/>
              </a:solidFill>
              <a:ln w="19050">
                <a:solidFill>
                  <a:srgbClr val="F17EEC"/>
                </a:solidFill>
              </a:ln>
              <a:effectLst>
                <a:outerShdw blurRad="50800" dist="38100" dir="5400000" algn="t" rotWithShape="0">
                  <a:prstClr val="black">
                    <a:alpha val="40000"/>
                  </a:prstClr>
                </a:outerShdw>
              </a:effectLst>
            </c:spPr>
          </c:marker>
          <c:dLbls>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Processing!$E$20:$E$31</c:f>
              <c:numCache>
                <c:formatCode>General</c:formatCode>
                <c:ptCount val="12"/>
                <c:pt idx="0">
                  <c:v>26660</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4-5347-456B-8FA7-227E5DFCDA96}"/>
            </c:ext>
          </c:extLst>
        </c:ser>
        <c:dLbls>
          <c:showLegendKey val="0"/>
          <c:showVal val="0"/>
          <c:showCatName val="0"/>
          <c:showSerName val="0"/>
          <c:showPercent val="0"/>
          <c:showBubbleSize val="0"/>
        </c:dLbls>
        <c:axId val="1953973136"/>
        <c:axId val="1953968816"/>
      </c:scatterChart>
      <c:catAx>
        <c:axId val="1953973136"/>
        <c:scaling>
          <c:orientation val="minMax"/>
        </c:scaling>
        <c:delete val="1"/>
        <c:axPos val="b"/>
        <c:majorTickMark val="none"/>
        <c:minorTickMark val="none"/>
        <c:tickLblPos val="nextTo"/>
        <c:crossAx val="1953968816"/>
        <c:crosses val="autoZero"/>
        <c:auto val="1"/>
        <c:lblAlgn val="ctr"/>
        <c:lblOffset val="100"/>
        <c:noMultiLvlLbl val="0"/>
      </c:catAx>
      <c:valAx>
        <c:axId val="1953968816"/>
        <c:scaling>
          <c:orientation val="minMax"/>
        </c:scaling>
        <c:delete val="0"/>
        <c:axPos val="l"/>
        <c:numFmt formatCode="[&gt;=1000000]#,##0.0,,\ &quot;M&quot;;[&gt;=1000]#,##0,\ &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2ADBE"/>
                </a:solidFill>
                <a:latin typeface="+mn-lt"/>
                <a:ea typeface="+mn-ea"/>
                <a:cs typeface="+mn-cs"/>
              </a:defRPr>
            </a:pPr>
            <a:endParaRPr lang="ru-RU"/>
          </a:p>
        </c:txPr>
        <c:crossAx val="195397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spPr>
            <a:noFill/>
            <a:ln>
              <a:noFill/>
            </a:ln>
            <a:effectLst/>
          </c:spPr>
          <c:invertIfNegative val="0"/>
          <c:cat>
            <c:strRef>
              <c:f>Processing!$I$2:$I$6</c:f>
              <c:strCache>
                <c:ptCount val="5"/>
                <c:pt idx="0">
                  <c:v>MON</c:v>
                </c:pt>
                <c:pt idx="1">
                  <c:v>TUE</c:v>
                </c:pt>
                <c:pt idx="2">
                  <c:v>WED</c:v>
                </c:pt>
                <c:pt idx="3">
                  <c:v>THU</c:v>
                </c:pt>
                <c:pt idx="4">
                  <c:v>FRI</c:v>
                </c:pt>
              </c:strCache>
            </c:strRef>
          </c:cat>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0-1BAF-4AF0-B2D9-424EB345806F}"/>
            </c:ext>
          </c:extLst>
        </c:ser>
        <c:ser>
          <c:idx val="0"/>
          <c:order val="1"/>
          <c:spPr>
            <a:solidFill>
              <a:schemeClr val="accent1"/>
            </a:solidFill>
            <a:ln w="88900">
              <a:gradFill>
                <a:gsLst>
                  <a:gs pos="0">
                    <a:srgbClr val="4E7AFF"/>
                  </a:gs>
                  <a:gs pos="100000">
                    <a:srgbClr val="4552F1"/>
                  </a:gs>
                </a:gsLst>
                <a:lin ang="5400000" scaled="1"/>
              </a:gradFill>
            </a:ln>
            <a:effectLst/>
          </c:spPr>
          <c:invertIfNegative val="0"/>
          <c:cat>
            <c:strRef>
              <c:f>Processing!$I$2:$I$6</c:f>
              <c:strCache>
                <c:ptCount val="5"/>
                <c:pt idx="0">
                  <c:v>MON</c:v>
                </c:pt>
                <c:pt idx="1">
                  <c:v>TUE</c:v>
                </c:pt>
                <c:pt idx="2">
                  <c:v>WED</c:v>
                </c:pt>
                <c:pt idx="3">
                  <c:v>THU</c:v>
                </c:pt>
                <c:pt idx="4">
                  <c:v>FRI</c:v>
                </c:pt>
              </c:strCache>
            </c:strRef>
          </c:cat>
          <c:val>
            <c:numRef>
              <c:f>Processing!$J$2:$J$6</c:f>
              <c:numCache>
                <c:formatCode>General</c:formatCode>
                <c:ptCount val="5"/>
                <c:pt idx="0">
                  <c:v>1511</c:v>
                </c:pt>
                <c:pt idx="1">
                  <c:v>5603</c:v>
                </c:pt>
                <c:pt idx="2">
                  <c:v>5741</c:v>
                </c:pt>
                <c:pt idx="3">
                  <c:v>2858</c:v>
                </c:pt>
                <c:pt idx="4">
                  <c:v>1164</c:v>
                </c:pt>
              </c:numCache>
            </c:numRef>
          </c:val>
          <c:extLst>
            <c:ext xmlns:c16="http://schemas.microsoft.com/office/drawing/2014/chart" uri="{C3380CC4-5D6E-409C-BE32-E72D297353CC}">
              <c16:uniqueId val="{00000001-1BAF-4AF0-B2D9-424EB345806F}"/>
            </c:ext>
          </c:extLst>
        </c:ser>
        <c:dLbls>
          <c:showLegendKey val="0"/>
          <c:showVal val="0"/>
          <c:showCatName val="0"/>
          <c:showSerName val="0"/>
          <c:showPercent val="0"/>
          <c:showBubbleSize val="0"/>
        </c:dLbls>
        <c:gapWidth val="250"/>
        <c:overlap val="100"/>
        <c:axId val="1684353792"/>
        <c:axId val="1684362432"/>
      </c:barChart>
      <c:barChart>
        <c:barDir val="col"/>
        <c:grouping val="stacked"/>
        <c:varyColors val="0"/>
        <c:ser>
          <c:idx val="3"/>
          <c:order val="2"/>
          <c:tx>
            <c:v>indent Cursor</c:v>
          </c:tx>
          <c:spPr>
            <a:noFill/>
            <a:ln>
              <a:noFill/>
            </a:ln>
            <a:effectLst/>
          </c:spPr>
          <c:invertIfNegative val="0"/>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2-1BAF-4AF0-B2D9-424EB345806F}"/>
            </c:ext>
          </c:extLst>
        </c:ser>
        <c:ser>
          <c:idx val="1"/>
          <c:order val="3"/>
          <c:spPr>
            <a:solidFill>
              <a:schemeClr val="accent2"/>
            </a:solidFill>
            <a:ln w="88900">
              <a:gradFill>
                <a:gsLst>
                  <a:gs pos="0">
                    <a:srgbClr val="F17EEC"/>
                  </a:gs>
                  <a:gs pos="100000">
                    <a:srgbClr val="EE0078"/>
                  </a:gs>
                </a:gsLst>
                <a:lin ang="5400000" scaled="1"/>
              </a:gradFill>
            </a:ln>
            <a:effectLst>
              <a:outerShdw blurRad="50800" dist="38100" dir="8100000" algn="tr" rotWithShape="0">
                <a:prstClr val="black">
                  <a:alpha val="40000"/>
                </a:prstClr>
              </a:outerShdw>
            </a:effectLst>
          </c:spPr>
          <c:invertIfNegative val="0"/>
          <c:cat>
            <c:strRef>
              <c:f>Processing!$I$2:$I$6</c:f>
              <c:strCache>
                <c:ptCount val="5"/>
                <c:pt idx="0">
                  <c:v>MON</c:v>
                </c:pt>
                <c:pt idx="1">
                  <c:v>TUE</c:v>
                </c:pt>
                <c:pt idx="2">
                  <c:v>WED</c:v>
                </c:pt>
                <c:pt idx="3">
                  <c:v>THU</c:v>
                </c:pt>
                <c:pt idx="4">
                  <c:v>FRI</c:v>
                </c:pt>
              </c:strCache>
            </c:strRef>
          </c:cat>
          <c:val>
            <c:numRef>
              <c:f>Processing!$K$2:$K$6</c:f>
              <c:numCache>
                <c:formatCode>General</c:formatCode>
                <c:ptCount val="5"/>
                <c:pt idx="0">
                  <c:v>#N/A</c:v>
                </c:pt>
                <c:pt idx="1">
                  <c:v>5603</c:v>
                </c:pt>
                <c:pt idx="2">
                  <c:v>5741</c:v>
                </c:pt>
                <c:pt idx="3">
                  <c:v>2858</c:v>
                </c:pt>
                <c:pt idx="4">
                  <c:v>1164</c:v>
                </c:pt>
              </c:numCache>
            </c:numRef>
          </c:val>
          <c:extLst>
            <c:ext xmlns:c16="http://schemas.microsoft.com/office/drawing/2014/chart" uri="{C3380CC4-5D6E-409C-BE32-E72D297353CC}">
              <c16:uniqueId val="{00000003-1BAF-4AF0-B2D9-424EB345806F}"/>
            </c:ext>
          </c:extLst>
        </c:ser>
        <c:dLbls>
          <c:showLegendKey val="0"/>
          <c:showVal val="0"/>
          <c:showCatName val="0"/>
          <c:showSerName val="0"/>
          <c:showPercent val="0"/>
          <c:showBubbleSize val="0"/>
        </c:dLbls>
        <c:gapWidth val="250"/>
        <c:overlap val="100"/>
        <c:axId val="1684234752"/>
        <c:axId val="1684248672"/>
      </c:barChart>
      <c:catAx>
        <c:axId val="1684353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A2ADBE"/>
                </a:solidFill>
                <a:latin typeface="+mn-lt"/>
                <a:ea typeface="+mn-ea"/>
                <a:cs typeface="+mn-cs"/>
              </a:defRPr>
            </a:pPr>
            <a:endParaRPr lang="ru-RU"/>
          </a:p>
        </c:txPr>
        <c:crossAx val="1684362432"/>
        <c:crosses val="autoZero"/>
        <c:auto val="1"/>
        <c:lblAlgn val="ctr"/>
        <c:lblOffset val="100"/>
        <c:noMultiLvlLbl val="0"/>
      </c:catAx>
      <c:valAx>
        <c:axId val="1684362432"/>
        <c:scaling>
          <c:orientation val="minMax"/>
          <c:min val="0"/>
        </c:scaling>
        <c:delete val="1"/>
        <c:axPos val="l"/>
        <c:numFmt formatCode="General" sourceLinked="1"/>
        <c:majorTickMark val="out"/>
        <c:minorTickMark val="none"/>
        <c:tickLblPos val="nextTo"/>
        <c:crossAx val="1684353792"/>
        <c:crosses val="autoZero"/>
        <c:crossBetween val="between"/>
      </c:valAx>
      <c:valAx>
        <c:axId val="1684248672"/>
        <c:scaling>
          <c:orientation val="minMax"/>
        </c:scaling>
        <c:delete val="1"/>
        <c:axPos val="r"/>
        <c:numFmt formatCode="General" sourceLinked="1"/>
        <c:majorTickMark val="out"/>
        <c:minorTickMark val="none"/>
        <c:tickLblPos val="nextTo"/>
        <c:crossAx val="1684234752"/>
        <c:crosses val="max"/>
        <c:crossBetween val="between"/>
      </c:valAx>
      <c:catAx>
        <c:axId val="1684234752"/>
        <c:scaling>
          <c:orientation val="minMax"/>
        </c:scaling>
        <c:delete val="1"/>
        <c:axPos val="b"/>
        <c:majorTickMark val="out"/>
        <c:minorTickMark val="none"/>
        <c:tickLblPos val="nextTo"/>
        <c:crossAx val="168424867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1-757F-4C75-B197-E914DAF67677}"/>
              </c:ext>
            </c:extLst>
          </c:dPt>
          <c:dPt>
            <c:idx val="1"/>
            <c:bubble3D val="0"/>
            <c:spPr>
              <a:noFill/>
              <a:ln w="9525">
                <a:solidFill>
                  <a:srgbClr val="6476CE"/>
                </a:solidFill>
              </a:ln>
              <a:effectLst/>
            </c:spPr>
            <c:extLst>
              <c:ext xmlns:c16="http://schemas.microsoft.com/office/drawing/2014/chart" uri="{C3380CC4-5D6E-409C-BE32-E72D297353CC}">
                <c16:uniqueId val="{00000003-757F-4C75-B197-E914DAF67677}"/>
              </c:ext>
            </c:extLst>
          </c:dPt>
          <c:dPt>
            <c:idx val="2"/>
            <c:bubble3D val="0"/>
            <c:spPr>
              <a:noFill/>
              <a:ln w="9525">
                <a:solidFill>
                  <a:srgbClr val="6476CE"/>
                </a:solidFill>
              </a:ln>
              <a:effectLst/>
            </c:spPr>
            <c:extLst>
              <c:ext xmlns:c16="http://schemas.microsoft.com/office/drawing/2014/chart" uri="{C3380CC4-5D6E-409C-BE32-E72D297353CC}">
                <c16:uniqueId val="{00000005-757F-4C75-B197-E914DAF67677}"/>
              </c:ext>
            </c:extLst>
          </c:dPt>
          <c:dPt>
            <c:idx val="3"/>
            <c:bubble3D val="0"/>
            <c:spPr>
              <a:noFill/>
              <a:ln w="9525">
                <a:solidFill>
                  <a:srgbClr val="6476CE"/>
                </a:solidFill>
              </a:ln>
              <a:effectLst/>
            </c:spPr>
            <c:extLst>
              <c:ext xmlns:c16="http://schemas.microsoft.com/office/drawing/2014/chart" uri="{C3380CC4-5D6E-409C-BE32-E72D297353CC}">
                <c16:uniqueId val="{00000007-757F-4C75-B197-E914DAF67677}"/>
              </c:ext>
            </c:extLst>
          </c:dPt>
          <c:dPt>
            <c:idx val="4"/>
            <c:bubble3D val="0"/>
            <c:spPr>
              <a:noFill/>
              <a:ln w="9525">
                <a:solidFill>
                  <a:srgbClr val="6476CE"/>
                </a:solidFill>
              </a:ln>
              <a:effectLst/>
            </c:spPr>
            <c:extLst>
              <c:ext xmlns:c16="http://schemas.microsoft.com/office/drawing/2014/chart" uri="{C3380CC4-5D6E-409C-BE32-E72D297353CC}">
                <c16:uniqueId val="{00000009-757F-4C75-B197-E914DAF67677}"/>
              </c:ext>
            </c:extLst>
          </c:dPt>
          <c:val>
            <c:numRef>
              <c:f>Processing!$P$11:$T$11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757F-4C75-B197-E914DAF67677}"/>
            </c:ext>
          </c:extLst>
        </c:ser>
        <c:ser>
          <c:idx val="1"/>
          <c:order val="1"/>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C-757F-4C75-B197-E914DAF67677}"/>
              </c:ext>
            </c:extLst>
          </c:dPt>
          <c:dPt>
            <c:idx val="1"/>
            <c:bubble3D val="0"/>
            <c:spPr>
              <a:noFill/>
              <a:ln w="9525">
                <a:solidFill>
                  <a:srgbClr val="6476CE"/>
                </a:solidFill>
              </a:ln>
              <a:effectLst/>
            </c:spPr>
            <c:extLst>
              <c:ext xmlns:c16="http://schemas.microsoft.com/office/drawing/2014/chart" uri="{C3380CC4-5D6E-409C-BE32-E72D297353CC}">
                <c16:uniqueId val="{0000000E-757F-4C75-B197-E914DAF67677}"/>
              </c:ext>
            </c:extLst>
          </c:dPt>
          <c:dPt>
            <c:idx val="2"/>
            <c:bubble3D val="0"/>
            <c:spPr>
              <a:noFill/>
              <a:ln w="9525">
                <a:solidFill>
                  <a:srgbClr val="6476CE"/>
                </a:solidFill>
              </a:ln>
              <a:effectLst/>
            </c:spPr>
            <c:extLst>
              <c:ext xmlns:c16="http://schemas.microsoft.com/office/drawing/2014/chart" uri="{C3380CC4-5D6E-409C-BE32-E72D297353CC}">
                <c16:uniqueId val="{00000010-757F-4C75-B197-E914DAF67677}"/>
              </c:ext>
            </c:extLst>
          </c:dPt>
          <c:dPt>
            <c:idx val="3"/>
            <c:bubble3D val="0"/>
            <c:spPr>
              <a:noFill/>
              <a:ln w="9525">
                <a:solidFill>
                  <a:srgbClr val="6476CE"/>
                </a:solidFill>
              </a:ln>
              <a:effectLst/>
            </c:spPr>
            <c:extLst>
              <c:ext xmlns:c16="http://schemas.microsoft.com/office/drawing/2014/chart" uri="{C3380CC4-5D6E-409C-BE32-E72D297353CC}">
                <c16:uniqueId val="{00000012-757F-4C75-B197-E914DAF67677}"/>
              </c:ext>
            </c:extLst>
          </c:dPt>
          <c:dPt>
            <c:idx val="4"/>
            <c:bubble3D val="0"/>
            <c:spPr>
              <a:noFill/>
              <a:ln w="9525">
                <a:solidFill>
                  <a:srgbClr val="6476CE"/>
                </a:solidFill>
              </a:ln>
              <a:effectLst/>
            </c:spPr>
            <c:extLst>
              <c:ext xmlns:c16="http://schemas.microsoft.com/office/drawing/2014/chart" uri="{C3380CC4-5D6E-409C-BE32-E72D297353CC}">
                <c16:uniqueId val="{00000014-757F-4C75-B197-E914DAF67677}"/>
              </c:ext>
            </c:extLst>
          </c:dPt>
          <c:val>
            <c:numRef>
              <c:f>Processing!$P$12:$T$12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757F-4C75-B197-E914DAF67677}"/>
            </c:ext>
          </c:extLst>
        </c:ser>
        <c:ser>
          <c:idx val="2"/>
          <c:order val="2"/>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17-757F-4C75-B197-E914DAF67677}"/>
              </c:ext>
            </c:extLst>
          </c:dPt>
          <c:dPt>
            <c:idx val="1"/>
            <c:bubble3D val="0"/>
            <c:spPr>
              <a:noFill/>
              <a:ln w="9525">
                <a:solidFill>
                  <a:srgbClr val="6476CE"/>
                </a:solidFill>
              </a:ln>
              <a:effectLst/>
            </c:spPr>
            <c:extLst>
              <c:ext xmlns:c16="http://schemas.microsoft.com/office/drawing/2014/chart" uri="{C3380CC4-5D6E-409C-BE32-E72D297353CC}">
                <c16:uniqueId val="{00000019-757F-4C75-B197-E914DAF67677}"/>
              </c:ext>
            </c:extLst>
          </c:dPt>
          <c:dPt>
            <c:idx val="2"/>
            <c:bubble3D val="0"/>
            <c:spPr>
              <a:noFill/>
              <a:ln w="9525">
                <a:solidFill>
                  <a:srgbClr val="6476CE"/>
                </a:solidFill>
              </a:ln>
              <a:effectLst/>
            </c:spPr>
            <c:extLst>
              <c:ext xmlns:c16="http://schemas.microsoft.com/office/drawing/2014/chart" uri="{C3380CC4-5D6E-409C-BE32-E72D297353CC}">
                <c16:uniqueId val="{0000001B-757F-4C75-B197-E914DAF67677}"/>
              </c:ext>
            </c:extLst>
          </c:dPt>
          <c:dPt>
            <c:idx val="3"/>
            <c:bubble3D val="0"/>
            <c:spPr>
              <a:noFill/>
              <a:ln w="9525">
                <a:solidFill>
                  <a:srgbClr val="6476CE"/>
                </a:solidFill>
              </a:ln>
              <a:effectLst/>
            </c:spPr>
            <c:extLst>
              <c:ext xmlns:c16="http://schemas.microsoft.com/office/drawing/2014/chart" uri="{C3380CC4-5D6E-409C-BE32-E72D297353CC}">
                <c16:uniqueId val="{0000001D-757F-4C75-B197-E914DAF67677}"/>
              </c:ext>
            </c:extLst>
          </c:dPt>
          <c:dPt>
            <c:idx val="4"/>
            <c:bubble3D val="0"/>
            <c:spPr>
              <a:noFill/>
              <a:ln w="9525">
                <a:solidFill>
                  <a:srgbClr val="6476CE"/>
                </a:solidFill>
              </a:ln>
              <a:effectLst/>
            </c:spPr>
            <c:extLst>
              <c:ext xmlns:c16="http://schemas.microsoft.com/office/drawing/2014/chart" uri="{C3380CC4-5D6E-409C-BE32-E72D297353CC}">
                <c16:uniqueId val="{0000001F-757F-4C75-B197-E914DAF67677}"/>
              </c:ext>
            </c:extLst>
          </c:dPt>
          <c:val>
            <c:numRef>
              <c:f>Processing!$P$13:$T$13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757F-4C75-B197-E914DAF67677}"/>
            </c:ext>
          </c:extLst>
        </c:ser>
        <c:ser>
          <c:idx val="3"/>
          <c:order val="3"/>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22-757F-4C75-B197-E914DAF67677}"/>
              </c:ext>
            </c:extLst>
          </c:dPt>
          <c:dPt>
            <c:idx val="1"/>
            <c:bubble3D val="0"/>
            <c:spPr>
              <a:noFill/>
              <a:ln w="9525">
                <a:solidFill>
                  <a:srgbClr val="6476CE"/>
                </a:solidFill>
              </a:ln>
              <a:effectLst/>
            </c:spPr>
            <c:extLst>
              <c:ext xmlns:c16="http://schemas.microsoft.com/office/drawing/2014/chart" uri="{C3380CC4-5D6E-409C-BE32-E72D297353CC}">
                <c16:uniqueId val="{00000024-757F-4C75-B197-E914DAF67677}"/>
              </c:ext>
            </c:extLst>
          </c:dPt>
          <c:dPt>
            <c:idx val="2"/>
            <c:bubble3D val="0"/>
            <c:spPr>
              <a:noFill/>
              <a:ln w="9525">
                <a:solidFill>
                  <a:srgbClr val="6476CE"/>
                </a:solidFill>
              </a:ln>
              <a:effectLst/>
            </c:spPr>
            <c:extLst>
              <c:ext xmlns:c16="http://schemas.microsoft.com/office/drawing/2014/chart" uri="{C3380CC4-5D6E-409C-BE32-E72D297353CC}">
                <c16:uniqueId val="{00000026-757F-4C75-B197-E914DAF67677}"/>
              </c:ext>
            </c:extLst>
          </c:dPt>
          <c:dPt>
            <c:idx val="3"/>
            <c:bubble3D val="0"/>
            <c:spPr>
              <a:noFill/>
              <a:ln w="9525">
                <a:solidFill>
                  <a:srgbClr val="6476CE"/>
                </a:solidFill>
              </a:ln>
              <a:effectLst/>
            </c:spPr>
            <c:extLst>
              <c:ext xmlns:c16="http://schemas.microsoft.com/office/drawing/2014/chart" uri="{C3380CC4-5D6E-409C-BE32-E72D297353CC}">
                <c16:uniqueId val="{00000028-757F-4C75-B197-E914DAF67677}"/>
              </c:ext>
            </c:extLst>
          </c:dPt>
          <c:dPt>
            <c:idx val="4"/>
            <c:bubble3D val="0"/>
            <c:spPr>
              <a:noFill/>
              <a:ln w="9525">
                <a:solidFill>
                  <a:srgbClr val="6476CE"/>
                </a:solidFill>
              </a:ln>
              <a:effectLst/>
            </c:spPr>
            <c:extLst>
              <c:ext xmlns:c16="http://schemas.microsoft.com/office/drawing/2014/chart" uri="{C3380CC4-5D6E-409C-BE32-E72D297353CC}">
                <c16:uniqueId val="{0000002A-757F-4C75-B197-E914DAF67677}"/>
              </c:ext>
            </c:extLst>
          </c:dPt>
          <c:val>
            <c:numRef>
              <c:f>Processing!$P$14:$T$14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B-757F-4C75-B197-E914DAF67677}"/>
            </c:ext>
          </c:extLst>
        </c:ser>
        <c:dLbls>
          <c:showLegendKey val="0"/>
          <c:showVal val="0"/>
          <c:showCatName val="0"/>
          <c:showSerName val="0"/>
          <c:showPercent val="0"/>
          <c:showBubbleSize val="0"/>
          <c:showLeaderLines val="1"/>
        </c:dLbls>
        <c:firstSliceAng val="0"/>
        <c:holeSize val="2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Processing!$M$10</c:f>
              <c:strCache>
                <c:ptCount val="1"/>
                <c:pt idx="0">
                  <c:v>Revenue</c:v>
                </c:pt>
              </c:strCache>
            </c:strRef>
          </c:tx>
          <c:spPr>
            <a:gradFill>
              <a:gsLst>
                <a:gs pos="0">
                  <a:srgbClr val="4E7AFF">
                    <a:alpha val="90000"/>
                  </a:srgbClr>
                </a:gs>
                <a:gs pos="100000">
                  <a:srgbClr val="4552F1">
                    <a:alpha val="90000"/>
                  </a:srgbClr>
                </a:gs>
              </a:gsLst>
              <a:lin ang="5400000" scaled="1"/>
            </a:gradFill>
            <a:ln>
              <a:noFill/>
            </a:ln>
            <a:effectLst>
              <a:outerShdw blurRad="50800" dist="38100" dir="8100000" algn="tr" rotWithShape="0">
                <a:prstClr val="black">
                  <a:alpha val="40000"/>
                </a:prstClr>
              </a:outerShdw>
            </a:effectLst>
          </c:spPr>
          <c:cat>
            <c:strRef>
              <c:f>Processing!$L$11:$L$15</c:f>
              <c:strCache>
                <c:ptCount val="5"/>
                <c:pt idx="0">
                  <c:v>A</c:v>
                </c:pt>
                <c:pt idx="1">
                  <c:v>B</c:v>
                </c:pt>
                <c:pt idx="2">
                  <c:v>C</c:v>
                </c:pt>
                <c:pt idx="3">
                  <c:v>D</c:v>
                </c:pt>
                <c:pt idx="4">
                  <c:v>E</c:v>
                </c:pt>
              </c:strCache>
            </c:strRef>
          </c:cat>
          <c:val>
            <c:numRef>
              <c:f>Processing!$M$11:$M$15</c:f>
              <c:numCache>
                <c:formatCode>_("$"* #,##0.00_);_("$"* \(#,##0.00\);_("$"* "-"??_);_(@_)</c:formatCode>
                <c:ptCount val="5"/>
                <c:pt idx="0">
                  <c:v>8185</c:v>
                </c:pt>
                <c:pt idx="1">
                  <c:v>7567</c:v>
                </c:pt>
                <c:pt idx="2">
                  <c:v>5405</c:v>
                </c:pt>
                <c:pt idx="3">
                  <c:v>9111</c:v>
                </c:pt>
                <c:pt idx="4">
                  <c:v>7567</c:v>
                </c:pt>
              </c:numCache>
            </c:numRef>
          </c:val>
          <c:extLst>
            <c:ext xmlns:c16="http://schemas.microsoft.com/office/drawing/2014/chart" uri="{C3380CC4-5D6E-409C-BE32-E72D297353CC}">
              <c16:uniqueId val="{00000000-F72F-4219-8769-F60A66322684}"/>
            </c:ext>
          </c:extLst>
        </c:ser>
        <c:ser>
          <c:idx val="1"/>
          <c:order val="1"/>
          <c:tx>
            <c:strRef>
              <c:f>Processing!$N$10</c:f>
              <c:strCache>
                <c:ptCount val="1"/>
                <c:pt idx="0">
                  <c:v>Sales</c:v>
                </c:pt>
              </c:strCache>
            </c:strRef>
          </c:tx>
          <c:spPr>
            <a:gradFill>
              <a:gsLst>
                <a:gs pos="0">
                  <a:srgbClr val="F17EEC">
                    <a:alpha val="80000"/>
                  </a:srgbClr>
                </a:gs>
                <a:gs pos="100000">
                  <a:srgbClr val="EE0078">
                    <a:alpha val="80000"/>
                  </a:srgbClr>
                </a:gs>
              </a:gsLst>
              <a:lin ang="5400000" scaled="1"/>
            </a:gradFill>
            <a:ln>
              <a:noFill/>
            </a:ln>
            <a:effectLst>
              <a:outerShdw blurRad="50800" dist="38100" dir="13500000" algn="br" rotWithShape="0">
                <a:prstClr val="black">
                  <a:alpha val="40000"/>
                </a:prstClr>
              </a:outerShdw>
            </a:effectLst>
          </c:spPr>
          <c:cat>
            <c:strRef>
              <c:f>Processing!$L$11:$L$15</c:f>
              <c:strCache>
                <c:ptCount val="5"/>
                <c:pt idx="0">
                  <c:v>A</c:v>
                </c:pt>
                <c:pt idx="1">
                  <c:v>B</c:v>
                </c:pt>
                <c:pt idx="2">
                  <c:v>C</c:v>
                </c:pt>
                <c:pt idx="3">
                  <c:v>D</c:v>
                </c:pt>
                <c:pt idx="4">
                  <c:v>E</c:v>
                </c:pt>
              </c:strCache>
            </c:strRef>
          </c:cat>
          <c:val>
            <c:numRef>
              <c:f>Processing!$N$11:$N$15</c:f>
              <c:numCache>
                <c:formatCode>_("$"* #,##0.00_);_("$"* \(#,##0.00\);_("$"* "-"??_);_(@_)</c:formatCode>
                <c:ptCount val="5"/>
                <c:pt idx="0">
                  <c:v>7381.8451474918056</c:v>
                </c:pt>
                <c:pt idx="1">
                  <c:v>8409.9741542136544</c:v>
                </c:pt>
                <c:pt idx="2">
                  <c:v>7244.885506360758</c:v>
                </c:pt>
                <c:pt idx="3">
                  <c:v>4026.7997889006169</c:v>
                </c:pt>
                <c:pt idx="4">
                  <c:v>6479.4954030331646</c:v>
                </c:pt>
              </c:numCache>
            </c:numRef>
          </c:val>
          <c:extLst>
            <c:ext xmlns:c16="http://schemas.microsoft.com/office/drawing/2014/chart" uri="{C3380CC4-5D6E-409C-BE32-E72D297353CC}">
              <c16:uniqueId val="{00000001-F72F-4219-8769-F60A66322684}"/>
            </c:ext>
          </c:extLst>
        </c:ser>
        <c:dLbls>
          <c:showLegendKey val="0"/>
          <c:showVal val="0"/>
          <c:showCatName val="0"/>
          <c:showSerName val="0"/>
          <c:showPercent val="0"/>
          <c:showBubbleSize val="0"/>
        </c:dLbls>
        <c:axId val="1824798800"/>
        <c:axId val="1824798320"/>
      </c:radarChart>
      <c:catAx>
        <c:axId val="1824798800"/>
        <c:scaling>
          <c:orientation val="minMax"/>
        </c:scaling>
        <c:delete val="1"/>
        <c:axPos val="b"/>
        <c:numFmt formatCode="General" sourceLinked="1"/>
        <c:majorTickMark val="none"/>
        <c:minorTickMark val="none"/>
        <c:tickLblPos val="nextTo"/>
        <c:crossAx val="1824798320"/>
        <c:crosses val="autoZero"/>
        <c:auto val="1"/>
        <c:lblAlgn val="ctr"/>
        <c:lblOffset val="100"/>
        <c:noMultiLvlLbl val="0"/>
      </c:catAx>
      <c:valAx>
        <c:axId val="1824798320"/>
        <c:scaling>
          <c:orientation val="minMax"/>
        </c:scaling>
        <c:delete val="1"/>
        <c:axPos val="l"/>
        <c:numFmt formatCode="_(&quot;$&quot;* #,##0.00_);_(&quot;$&quot;* \(#,##0.00\);_(&quot;$&quot;* &quot;-&quot;??_);_(@_)" sourceLinked="1"/>
        <c:majorTickMark val="none"/>
        <c:minorTickMark val="none"/>
        <c:tickLblPos val="nextTo"/>
        <c:crossAx val="18247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a:gsLst>
                <a:gs pos="0">
                  <a:srgbClr val="4552F1">
                    <a:alpha val="10000"/>
                  </a:srgbClr>
                </a:gs>
                <a:gs pos="100000">
                  <a:srgbClr val="4552F1">
                    <a:alpha val="0"/>
                  </a:srgbClr>
                </a:gs>
                <a:gs pos="82000">
                  <a:srgbClr val="4552F1">
                    <a:alpha val="22000"/>
                  </a:srgbClr>
                </a:gs>
              </a:gsLst>
              <a:lin ang="5400000" scaled="0"/>
            </a:gradFill>
            <a:ln>
              <a:noFill/>
            </a:ln>
            <a:effectLst/>
          </c:spP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extLst>
            <c:ext xmlns:c16="http://schemas.microsoft.com/office/drawing/2014/chart" uri="{C3380CC4-5D6E-409C-BE32-E72D297353CC}">
              <c16:uniqueId val="{00000000-82E1-4715-97AD-3BA616039016}"/>
            </c:ext>
          </c:extLst>
        </c:ser>
        <c:dLbls>
          <c:showLegendKey val="0"/>
          <c:showVal val="0"/>
          <c:showCatName val="0"/>
          <c:showSerName val="0"/>
          <c:showPercent val="0"/>
          <c:showBubbleSize val="0"/>
        </c:dLbls>
        <c:axId val="1953973136"/>
        <c:axId val="1953968816"/>
      </c:areaChart>
      <c:lineChart>
        <c:grouping val="standard"/>
        <c:varyColors val="0"/>
        <c:ser>
          <c:idx val="1"/>
          <c:order val="0"/>
          <c:tx>
            <c:strRef>
              <c:f>Processing!$C$19</c:f>
              <c:strCache>
                <c:ptCount val="1"/>
                <c:pt idx="0">
                  <c:v>Expenses</c:v>
                </c:pt>
              </c:strCache>
            </c:strRef>
          </c:tx>
          <c:spPr>
            <a:ln w="25400" cap="rnd">
              <a:gradFill>
                <a:gsLst>
                  <a:gs pos="0">
                    <a:srgbClr val="EE0078"/>
                  </a:gs>
                  <a:gs pos="100000">
                    <a:srgbClr val="F17EEC"/>
                  </a:gs>
                </a:gsLst>
                <a:lin ang="0" scaled="0"/>
              </a:gradFill>
              <a:round/>
            </a:ln>
            <a:effectLst/>
          </c:spPr>
          <c:marker>
            <c:symbol val="none"/>
          </c:marker>
          <c:val>
            <c:numRef>
              <c:f>Processing!$C$20:$C$31</c:f>
              <c:numCache>
                <c:formatCode>General</c:formatCode>
                <c:ptCount val="12"/>
                <c:pt idx="0">
                  <c:v>26660</c:v>
                </c:pt>
                <c:pt idx="1">
                  <c:v>32060</c:v>
                </c:pt>
                <c:pt idx="2">
                  <c:v>35760</c:v>
                </c:pt>
                <c:pt idx="3">
                  <c:v>36560</c:v>
                </c:pt>
                <c:pt idx="4">
                  <c:v>34220</c:v>
                </c:pt>
                <c:pt idx="5">
                  <c:v>29500</c:v>
                </c:pt>
                <c:pt idx="6">
                  <c:v>23820</c:v>
                </c:pt>
                <c:pt idx="7">
                  <c:v>19100</c:v>
                </c:pt>
                <c:pt idx="8">
                  <c:v>16760</c:v>
                </c:pt>
                <c:pt idx="9">
                  <c:v>17560</c:v>
                </c:pt>
                <c:pt idx="10">
                  <c:v>21260</c:v>
                </c:pt>
                <c:pt idx="11">
                  <c:v>26660</c:v>
                </c:pt>
              </c:numCache>
            </c:numRef>
          </c:val>
          <c:smooth val="1"/>
          <c:extLst>
            <c:ext xmlns:c16="http://schemas.microsoft.com/office/drawing/2014/chart" uri="{C3380CC4-5D6E-409C-BE32-E72D297353CC}">
              <c16:uniqueId val="{00000001-82E1-4715-97AD-3BA616039016}"/>
            </c:ext>
          </c:extLst>
        </c:ser>
        <c:ser>
          <c:idx val="0"/>
          <c:order val="1"/>
          <c:tx>
            <c:strRef>
              <c:f>Processing!$B$19</c:f>
              <c:strCache>
                <c:ptCount val="1"/>
                <c:pt idx="0">
                  <c:v>Revenue</c:v>
                </c:pt>
              </c:strCache>
            </c:strRef>
          </c:tx>
          <c:spPr>
            <a:ln w="25400" cap="rnd">
              <a:gradFill>
                <a:gsLst>
                  <a:gs pos="0">
                    <a:srgbClr val="00C6D1"/>
                  </a:gs>
                  <a:gs pos="100000">
                    <a:srgbClr val="97FAFF"/>
                  </a:gs>
                </a:gsLst>
                <a:lin ang="0" scaled="0"/>
              </a:gradFill>
              <a:round/>
            </a:ln>
            <a:effectLst>
              <a:outerShdw blurRad="50800" dist="38100" dir="5400000" algn="t" rotWithShape="0">
                <a:prstClr val="black">
                  <a:alpha val="40000"/>
                </a:prstClr>
              </a:outerShdw>
            </a:effectLst>
          </c:spPr>
          <c:marker>
            <c:symbol val="none"/>
          </c:marke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smooth val="1"/>
          <c:extLst>
            <c:ext xmlns:c16="http://schemas.microsoft.com/office/drawing/2014/chart" uri="{C3380CC4-5D6E-409C-BE32-E72D297353CC}">
              <c16:uniqueId val="{00000002-82E1-4715-97AD-3BA616039016}"/>
            </c:ext>
          </c:extLst>
        </c:ser>
        <c:dLbls>
          <c:showLegendKey val="0"/>
          <c:showVal val="0"/>
          <c:showCatName val="0"/>
          <c:showSerName val="0"/>
          <c:showPercent val="0"/>
          <c:showBubbleSize val="0"/>
        </c:dLbls>
        <c:marker val="1"/>
        <c:smooth val="0"/>
        <c:axId val="1953973136"/>
        <c:axId val="1953968816"/>
      </c:lineChart>
      <c:scatterChart>
        <c:scatterStyle val="lineMarker"/>
        <c:varyColors val="0"/>
        <c:ser>
          <c:idx val="3"/>
          <c:order val="3"/>
          <c:tx>
            <c:v>Cursor</c:v>
          </c:tx>
          <c:spPr>
            <a:ln w="25400" cap="rnd">
              <a:noFill/>
              <a:round/>
            </a:ln>
            <a:effectLst>
              <a:outerShdw blurRad="50800" dist="38100" dir="2700000" algn="tl" rotWithShape="0">
                <a:prstClr val="black">
                  <a:alpha val="40000"/>
                </a:prstClr>
              </a:outerShdw>
            </a:effectLst>
          </c:spPr>
          <c:marker>
            <c:symbol val="circle"/>
            <c:size val="7"/>
            <c:spPr>
              <a:solidFill>
                <a:srgbClr val="1E2255"/>
              </a:solidFill>
              <a:ln w="9525">
                <a:solidFill>
                  <a:srgbClr val="97FAFF"/>
                </a:solidFill>
              </a:ln>
              <a:effectLst>
                <a:outerShdw blurRad="50800" dist="38100" dir="2700000" algn="tl" rotWithShape="0">
                  <a:prstClr val="black">
                    <a:alpha val="40000"/>
                  </a:prstClr>
                </a:outerShdw>
              </a:effectLst>
            </c:spPr>
          </c:marker>
          <c:yVal>
            <c:numRef>
              <c:f>Processing!$D$20:$D$31</c:f>
              <c:numCache>
                <c:formatCode>General</c:formatCode>
                <c:ptCount val="12"/>
                <c:pt idx="0">
                  <c:v>37835</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82E1-4715-97AD-3BA616039016}"/>
            </c:ext>
          </c:extLst>
        </c:ser>
        <c:dLbls>
          <c:showLegendKey val="0"/>
          <c:showVal val="0"/>
          <c:showCatName val="0"/>
          <c:showSerName val="0"/>
          <c:showPercent val="0"/>
          <c:showBubbleSize val="0"/>
        </c:dLbls>
        <c:axId val="1953973136"/>
        <c:axId val="1953968816"/>
      </c:scatterChart>
      <c:catAx>
        <c:axId val="1953973136"/>
        <c:scaling>
          <c:orientation val="minMax"/>
        </c:scaling>
        <c:delete val="1"/>
        <c:axPos val="b"/>
        <c:majorTickMark val="none"/>
        <c:minorTickMark val="none"/>
        <c:tickLblPos val="nextTo"/>
        <c:crossAx val="1953968816"/>
        <c:crosses val="autoZero"/>
        <c:auto val="1"/>
        <c:lblAlgn val="ctr"/>
        <c:lblOffset val="100"/>
        <c:noMultiLvlLbl val="0"/>
      </c:catAx>
      <c:valAx>
        <c:axId val="1953968816"/>
        <c:scaling>
          <c:orientation val="minMax"/>
        </c:scaling>
        <c:delete val="1"/>
        <c:axPos val="l"/>
        <c:numFmt formatCode="General" sourceLinked="1"/>
        <c:majorTickMark val="none"/>
        <c:minorTickMark val="none"/>
        <c:tickLblPos val="nextTo"/>
        <c:crossAx val="195397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Processing!$J$20</c:f>
              <c:strCache>
                <c:ptCount val="1"/>
                <c:pt idx="0">
                  <c:v>ROI</c:v>
                </c:pt>
              </c:strCache>
            </c:strRef>
          </c:tx>
          <c:spPr>
            <a:ln>
              <a:noFill/>
            </a:ln>
            <a:effectLst>
              <a:outerShdw blurRad="50800" dist="38100" dir="8100000" algn="tr" rotWithShape="0">
                <a:prstClr val="black">
                  <a:alpha val="40000"/>
                </a:prstClr>
              </a:outerShdw>
            </a:effectLst>
          </c:spPr>
          <c:dPt>
            <c:idx val="0"/>
            <c:bubble3D val="0"/>
            <c:spPr>
              <a:gradFill>
                <a:gsLst>
                  <a:gs pos="0">
                    <a:srgbClr val="EE0078"/>
                  </a:gs>
                  <a:gs pos="100000">
                    <a:srgbClr val="D758C9"/>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1A5-4198-A838-A49C6CD244C2}"/>
              </c:ext>
            </c:extLst>
          </c:dPt>
          <c:dPt>
            <c:idx val="1"/>
            <c:bubble3D val="0"/>
            <c:spPr>
              <a:gradFill>
                <a:gsLst>
                  <a:gs pos="0">
                    <a:srgbClr val="7A4FF0"/>
                  </a:gs>
                  <a:gs pos="100000">
                    <a:srgbClr val="60A8FF"/>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1A5-4198-A838-A49C6CD244C2}"/>
              </c:ext>
            </c:extLst>
          </c:dPt>
          <c:dPt>
            <c:idx val="2"/>
            <c:bubble3D val="0"/>
            <c:spPr>
              <a:solidFill>
                <a:srgbClr val="EE0078">
                  <a:alpha val="50000"/>
                </a:srgb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71A5-4198-A838-A49C6CD244C2}"/>
              </c:ext>
            </c:extLst>
          </c:dPt>
          <c:val>
            <c:numRef>
              <c:f>Processing!$J$21:$J$23</c:f>
              <c:numCache>
                <c:formatCode>0%</c:formatCode>
                <c:ptCount val="3"/>
                <c:pt idx="0">
                  <c:v>0.39873688717619354</c:v>
                </c:pt>
                <c:pt idx="1">
                  <c:v>0.6012631128238064</c:v>
                </c:pt>
                <c:pt idx="2">
                  <c:v>0</c:v>
                </c:pt>
              </c:numCache>
            </c:numRef>
          </c:val>
          <c:extLst>
            <c:ext xmlns:c16="http://schemas.microsoft.com/office/drawing/2014/chart" uri="{C3380CC4-5D6E-409C-BE32-E72D297353CC}">
              <c16:uniqueId val="{00000006-71A5-4198-A838-A49C6CD244C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C664-43CF-9AEB-13075C8F4F18}"/>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C664-43CF-9AEB-13075C8F4F18}"/>
              </c:ext>
            </c:extLst>
          </c:dPt>
          <c:val>
            <c:numRef>
              <c:f>Processing!$B$15:$B$16</c:f>
              <c:numCache>
                <c:formatCode>0%</c:formatCode>
                <c:ptCount val="2"/>
                <c:pt idx="0">
                  <c:v>0.43454531359020077</c:v>
                </c:pt>
                <c:pt idx="1">
                  <c:v>0.56545468640979923</c:v>
                </c:pt>
              </c:numCache>
            </c:numRef>
          </c:val>
          <c:extLst>
            <c:ext xmlns:c16="http://schemas.microsoft.com/office/drawing/2014/chart" uri="{C3380CC4-5D6E-409C-BE32-E72D297353CC}">
              <c16:uniqueId val="{00000004-C664-43CF-9AEB-13075C8F4F18}"/>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9721-4A07-8308-E983F3FA0BEF}"/>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9721-4A07-8308-E983F3FA0BEF}"/>
              </c:ext>
            </c:extLst>
          </c:dPt>
          <c:val>
            <c:numRef>
              <c:f>Processing!$C$15:$C$16</c:f>
              <c:numCache>
                <c:formatCode>0%</c:formatCode>
                <c:ptCount val="2"/>
                <c:pt idx="0">
                  <c:v>0.52008682843631293</c:v>
                </c:pt>
                <c:pt idx="1">
                  <c:v>0.47991317156368707</c:v>
                </c:pt>
              </c:numCache>
            </c:numRef>
          </c:val>
          <c:extLst>
            <c:ext xmlns:c16="http://schemas.microsoft.com/office/drawing/2014/chart" uri="{C3380CC4-5D6E-409C-BE32-E72D297353CC}">
              <c16:uniqueId val="{00000004-9721-4A07-8308-E983F3FA0BEF}"/>
            </c:ext>
          </c:extLst>
        </c:ser>
        <c:dLbls>
          <c:showLegendKey val="0"/>
          <c:showVal val="0"/>
          <c:showCatName val="0"/>
          <c:showSerName val="0"/>
          <c:showPercent val="0"/>
          <c:showBubbleSize val="0"/>
          <c:showLeaderLines val="1"/>
        </c:dLbls>
        <c:firstSliceAng val="0"/>
        <c:holeSize val="9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spPr>
            <a:noFill/>
            <a:ln>
              <a:noFill/>
            </a:ln>
            <a:effectLst/>
          </c:spPr>
          <c:invertIfNegative val="0"/>
          <c:cat>
            <c:strRef>
              <c:f>Processing!$I$2:$I$6</c:f>
              <c:strCache>
                <c:ptCount val="5"/>
                <c:pt idx="0">
                  <c:v>MON</c:v>
                </c:pt>
                <c:pt idx="1">
                  <c:v>TUE</c:v>
                </c:pt>
                <c:pt idx="2">
                  <c:v>WED</c:v>
                </c:pt>
                <c:pt idx="3">
                  <c:v>THU</c:v>
                </c:pt>
                <c:pt idx="4">
                  <c:v>FRI</c:v>
                </c:pt>
              </c:strCache>
            </c:strRef>
          </c:cat>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5-F104-4B7D-A29B-D684FBF15CFB}"/>
            </c:ext>
          </c:extLst>
        </c:ser>
        <c:ser>
          <c:idx val="0"/>
          <c:order val="1"/>
          <c:spPr>
            <a:solidFill>
              <a:schemeClr val="accent1"/>
            </a:solidFill>
            <a:ln w="190500">
              <a:gradFill>
                <a:gsLst>
                  <a:gs pos="0">
                    <a:srgbClr val="4E7AFF"/>
                  </a:gs>
                  <a:gs pos="100000">
                    <a:srgbClr val="4552F1"/>
                  </a:gs>
                </a:gsLst>
                <a:lin ang="5400000" scaled="1"/>
              </a:gradFill>
            </a:ln>
            <a:effectLst/>
          </c:spPr>
          <c:invertIfNegative val="0"/>
          <c:cat>
            <c:strRef>
              <c:f>Processing!$I$2:$I$6</c:f>
              <c:strCache>
                <c:ptCount val="5"/>
                <c:pt idx="0">
                  <c:v>MON</c:v>
                </c:pt>
                <c:pt idx="1">
                  <c:v>TUE</c:v>
                </c:pt>
                <c:pt idx="2">
                  <c:v>WED</c:v>
                </c:pt>
                <c:pt idx="3">
                  <c:v>THU</c:v>
                </c:pt>
                <c:pt idx="4">
                  <c:v>FRI</c:v>
                </c:pt>
              </c:strCache>
            </c:strRef>
          </c:cat>
          <c:val>
            <c:numRef>
              <c:f>Processing!$J$2:$J$6</c:f>
              <c:numCache>
                <c:formatCode>General</c:formatCode>
                <c:ptCount val="5"/>
                <c:pt idx="0">
                  <c:v>1511</c:v>
                </c:pt>
                <c:pt idx="1">
                  <c:v>5603</c:v>
                </c:pt>
                <c:pt idx="2">
                  <c:v>5741</c:v>
                </c:pt>
                <c:pt idx="3">
                  <c:v>2858</c:v>
                </c:pt>
                <c:pt idx="4">
                  <c:v>1164</c:v>
                </c:pt>
              </c:numCache>
            </c:numRef>
          </c:val>
          <c:extLst>
            <c:ext xmlns:c16="http://schemas.microsoft.com/office/drawing/2014/chart" uri="{C3380CC4-5D6E-409C-BE32-E72D297353CC}">
              <c16:uniqueId val="{00000007-F104-4B7D-A29B-D684FBF15CFB}"/>
            </c:ext>
          </c:extLst>
        </c:ser>
        <c:dLbls>
          <c:showLegendKey val="0"/>
          <c:showVal val="0"/>
          <c:showCatName val="0"/>
          <c:showSerName val="0"/>
          <c:showPercent val="0"/>
          <c:showBubbleSize val="0"/>
        </c:dLbls>
        <c:gapWidth val="350"/>
        <c:overlap val="100"/>
        <c:axId val="1684353792"/>
        <c:axId val="1684362432"/>
      </c:barChart>
      <c:barChart>
        <c:barDir val="col"/>
        <c:grouping val="stacked"/>
        <c:varyColors val="0"/>
        <c:ser>
          <c:idx val="3"/>
          <c:order val="2"/>
          <c:tx>
            <c:v>indent Cursor</c:v>
          </c:tx>
          <c:spPr>
            <a:noFill/>
            <a:ln>
              <a:noFill/>
            </a:ln>
            <a:effectLst/>
          </c:spPr>
          <c:invertIfNegative val="0"/>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9-F104-4B7D-A29B-D684FBF15CFB}"/>
            </c:ext>
          </c:extLst>
        </c:ser>
        <c:ser>
          <c:idx val="1"/>
          <c:order val="3"/>
          <c:spPr>
            <a:solidFill>
              <a:schemeClr val="accent2"/>
            </a:solidFill>
            <a:ln w="190500">
              <a:gradFill>
                <a:gsLst>
                  <a:gs pos="0">
                    <a:srgbClr val="F17EEC"/>
                  </a:gs>
                  <a:gs pos="100000">
                    <a:srgbClr val="EE0078"/>
                  </a:gs>
                </a:gsLst>
                <a:lin ang="5400000" scaled="1"/>
              </a:gradFill>
            </a:ln>
            <a:effectLst>
              <a:outerShdw blurRad="50800" dist="38100" dir="8100000" algn="tr" rotWithShape="0">
                <a:prstClr val="black">
                  <a:alpha val="40000"/>
                </a:prstClr>
              </a:outerShdw>
            </a:effectLst>
          </c:spPr>
          <c:invertIfNegative val="0"/>
          <c:cat>
            <c:strRef>
              <c:f>Processing!$I$2:$I$6</c:f>
              <c:strCache>
                <c:ptCount val="5"/>
                <c:pt idx="0">
                  <c:v>MON</c:v>
                </c:pt>
                <c:pt idx="1">
                  <c:v>TUE</c:v>
                </c:pt>
                <c:pt idx="2">
                  <c:v>WED</c:v>
                </c:pt>
                <c:pt idx="3">
                  <c:v>THU</c:v>
                </c:pt>
                <c:pt idx="4">
                  <c:v>FRI</c:v>
                </c:pt>
              </c:strCache>
            </c:strRef>
          </c:cat>
          <c:val>
            <c:numRef>
              <c:f>Processing!$K$2:$K$6</c:f>
              <c:numCache>
                <c:formatCode>General</c:formatCode>
                <c:ptCount val="5"/>
                <c:pt idx="0">
                  <c:v>#N/A</c:v>
                </c:pt>
                <c:pt idx="1">
                  <c:v>5603</c:v>
                </c:pt>
                <c:pt idx="2">
                  <c:v>5741</c:v>
                </c:pt>
                <c:pt idx="3">
                  <c:v>2858</c:v>
                </c:pt>
                <c:pt idx="4">
                  <c:v>1164</c:v>
                </c:pt>
              </c:numCache>
            </c:numRef>
          </c:val>
          <c:extLst>
            <c:ext xmlns:c16="http://schemas.microsoft.com/office/drawing/2014/chart" uri="{C3380CC4-5D6E-409C-BE32-E72D297353CC}">
              <c16:uniqueId val="{0000000B-F104-4B7D-A29B-D684FBF15CFB}"/>
            </c:ext>
          </c:extLst>
        </c:ser>
        <c:dLbls>
          <c:showLegendKey val="0"/>
          <c:showVal val="0"/>
          <c:showCatName val="0"/>
          <c:showSerName val="0"/>
          <c:showPercent val="0"/>
          <c:showBubbleSize val="0"/>
        </c:dLbls>
        <c:gapWidth val="350"/>
        <c:overlap val="100"/>
        <c:axId val="1684234752"/>
        <c:axId val="1684248672"/>
      </c:barChart>
      <c:scatterChart>
        <c:scatterStyle val="lineMarker"/>
        <c:varyColors val="0"/>
        <c:ser>
          <c:idx val="4"/>
          <c:order val="4"/>
          <c:tx>
            <c:strRef>
              <c:f>Processing!$M$1</c:f>
              <c:strCache>
                <c:ptCount val="1"/>
                <c:pt idx="0">
                  <c:v>Marker</c:v>
                </c:pt>
              </c:strCache>
            </c:strRef>
          </c:tx>
          <c:spPr>
            <a:ln w="38100">
              <a:noFill/>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F104-4B7D-A29B-D684FBF15CFB}"/>
                </c:ext>
              </c:extLst>
            </c:dLbl>
            <c:dLbl>
              <c:idx val="1"/>
              <c:tx>
                <c:rich>
                  <a:bodyPr/>
                  <a:lstStyle/>
                  <a:p>
                    <a:fld id="{CF309CE7-9256-499F-9389-8FB4399ECE9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F104-4B7D-A29B-D684FBF15CFB}"/>
                </c:ext>
              </c:extLst>
            </c:dLbl>
            <c:dLbl>
              <c:idx val="2"/>
              <c:tx>
                <c:rich>
                  <a:bodyPr/>
                  <a:lstStyle/>
                  <a:p>
                    <a:fld id="{02184637-9EA8-4696-8DEB-1D87B8B9E7A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F104-4B7D-A29B-D684FBF15CFB}"/>
                </c:ext>
              </c:extLst>
            </c:dLbl>
            <c:dLbl>
              <c:idx val="3"/>
              <c:tx>
                <c:rich>
                  <a:bodyPr/>
                  <a:lstStyle/>
                  <a:p>
                    <a:fld id="{2D832B07-20A0-4212-BF6D-841DBF83DB7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F104-4B7D-A29B-D684FBF15CFB}"/>
                </c:ext>
              </c:extLst>
            </c:dLbl>
            <c:dLbl>
              <c:idx val="4"/>
              <c:tx>
                <c:rich>
                  <a:bodyPr/>
                  <a:lstStyle/>
                  <a:p>
                    <a:fld id="{9BA67805-94E5-4D3C-9A1A-1FB267492AC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F104-4B7D-A29B-D684FBF15CFB}"/>
                </c:ext>
              </c:extLst>
            </c:dLbl>
            <c:spPr>
              <a:noFill/>
              <a:ln>
                <a:noFill/>
              </a:ln>
              <a:effectLst/>
            </c:spPr>
            <c:txPr>
              <a:bodyPr wrap="square" lIns="38100" tIns="19050" rIns="38100" bIns="19050" anchor="ctr">
                <a:spAutoFit/>
              </a:bodyPr>
              <a:lstStyle/>
              <a:p>
                <a:pPr>
                  <a:defRPr sz="1400">
                    <a:solidFill>
                      <a:schemeClr val="bg1"/>
                    </a:solidFill>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yVal>
            <c:numRef>
              <c:f>Processing!$M$2:$M$6</c:f>
              <c:numCache>
                <c:formatCode>General</c:formatCode>
                <c:ptCount val="5"/>
                <c:pt idx="0">
                  <c:v>#N/A</c:v>
                </c:pt>
                <c:pt idx="1">
                  <c:v>5832.64</c:v>
                </c:pt>
                <c:pt idx="2">
                  <c:v>5970.64</c:v>
                </c:pt>
                <c:pt idx="3">
                  <c:v>3087.64</c:v>
                </c:pt>
                <c:pt idx="4">
                  <c:v>1393.64</c:v>
                </c:pt>
              </c:numCache>
            </c:numRef>
          </c:yVal>
          <c:smooth val="0"/>
          <c:extLst>
            <c:ext xmlns:c15="http://schemas.microsoft.com/office/drawing/2012/chart" uri="{02D57815-91ED-43cb-92C2-25804820EDAC}">
              <c15:datalabelsRange>
                <c15:f>Processing!$N$2:$N$6</c15:f>
                <c15:dlblRangeCache>
                  <c:ptCount val="5"/>
                  <c:pt idx="1">
                    <c:v>5.6K</c:v>
                  </c:pt>
                  <c:pt idx="2">
                    <c:v>5.7K</c:v>
                  </c:pt>
                  <c:pt idx="3">
                    <c:v>2.9K</c:v>
                  </c:pt>
                  <c:pt idx="4">
                    <c:v>1.2K</c:v>
                  </c:pt>
                </c15:dlblRangeCache>
              </c15:datalabelsRange>
            </c:ext>
            <c:ext xmlns:c16="http://schemas.microsoft.com/office/drawing/2014/chart" uri="{C3380CC4-5D6E-409C-BE32-E72D297353CC}">
              <c16:uniqueId val="{0000000C-F104-4B7D-A29B-D684FBF15CFB}"/>
            </c:ext>
          </c:extLst>
        </c:ser>
        <c:dLbls>
          <c:showLegendKey val="0"/>
          <c:showVal val="0"/>
          <c:showCatName val="0"/>
          <c:showSerName val="0"/>
          <c:showPercent val="0"/>
          <c:showBubbleSize val="0"/>
        </c:dLbls>
        <c:axId val="1684234752"/>
        <c:axId val="1684248672"/>
      </c:scatterChart>
      <c:catAx>
        <c:axId val="1684353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A2ADBE"/>
                </a:solidFill>
                <a:latin typeface="+mn-lt"/>
                <a:ea typeface="+mn-ea"/>
                <a:cs typeface="+mn-cs"/>
              </a:defRPr>
            </a:pPr>
            <a:endParaRPr lang="ru-RU"/>
          </a:p>
        </c:txPr>
        <c:crossAx val="1684362432"/>
        <c:crosses val="autoZero"/>
        <c:auto val="1"/>
        <c:lblAlgn val="ctr"/>
        <c:lblOffset val="100"/>
        <c:noMultiLvlLbl val="0"/>
      </c:catAx>
      <c:valAx>
        <c:axId val="1684362432"/>
        <c:scaling>
          <c:orientation val="minMax"/>
          <c:min val="0"/>
        </c:scaling>
        <c:delete val="1"/>
        <c:axPos val="l"/>
        <c:numFmt formatCode="General" sourceLinked="1"/>
        <c:majorTickMark val="out"/>
        <c:minorTickMark val="none"/>
        <c:tickLblPos val="nextTo"/>
        <c:crossAx val="1684353792"/>
        <c:crosses val="autoZero"/>
        <c:crossBetween val="between"/>
      </c:valAx>
      <c:valAx>
        <c:axId val="1684248672"/>
        <c:scaling>
          <c:orientation val="minMax"/>
        </c:scaling>
        <c:delete val="1"/>
        <c:axPos val="r"/>
        <c:numFmt formatCode="General" sourceLinked="1"/>
        <c:majorTickMark val="out"/>
        <c:minorTickMark val="none"/>
        <c:tickLblPos val="nextTo"/>
        <c:crossAx val="1684234752"/>
        <c:crosses val="max"/>
        <c:crossBetween val="between"/>
      </c:valAx>
      <c:catAx>
        <c:axId val="1684234752"/>
        <c:scaling>
          <c:orientation val="minMax"/>
        </c:scaling>
        <c:delete val="1"/>
        <c:axPos val="b"/>
        <c:majorTickMark val="out"/>
        <c:minorTickMark val="none"/>
        <c:tickLblPos val="nextTo"/>
        <c:crossAx val="1684248672"/>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1-A113-4AD6-94BD-BB1E0B9C1FE2}"/>
              </c:ext>
            </c:extLst>
          </c:dPt>
          <c:dPt>
            <c:idx val="1"/>
            <c:bubble3D val="0"/>
            <c:spPr>
              <a:noFill/>
              <a:ln w="9525">
                <a:solidFill>
                  <a:srgbClr val="6476CE"/>
                </a:solidFill>
              </a:ln>
              <a:effectLst/>
            </c:spPr>
            <c:extLst>
              <c:ext xmlns:c16="http://schemas.microsoft.com/office/drawing/2014/chart" uri="{C3380CC4-5D6E-409C-BE32-E72D297353CC}">
                <c16:uniqueId val="{00000003-A113-4AD6-94BD-BB1E0B9C1FE2}"/>
              </c:ext>
            </c:extLst>
          </c:dPt>
          <c:dPt>
            <c:idx val="2"/>
            <c:bubble3D val="0"/>
            <c:spPr>
              <a:noFill/>
              <a:ln w="9525">
                <a:solidFill>
                  <a:srgbClr val="6476CE"/>
                </a:solidFill>
              </a:ln>
              <a:effectLst/>
            </c:spPr>
            <c:extLst>
              <c:ext xmlns:c16="http://schemas.microsoft.com/office/drawing/2014/chart" uri="{C3380CC4-5D6E-409C-BE32-E72D297353CC}">
                <c16:uniqueId val="{00000005-A113-4AD6-94BD-BB1E0B9C1FE2}"/>
              </c:ext>
            </c:extLst>
          </c:dPt>
          <c:dPt>
            <c:idx val="3"/>
            <c:bubble3D val="0"/>
            <c:spPr>
              <a:noFill/>
              <a:ln w="9525">
                <a:solidFill>
                  <a:srgbClr val="6476CE"/>
                </a:solidFill>
              </a:ln>
              <a:effectLst/>
            </c:spPr>
            <c:extLst>
              <c:ext xmlns:c16="http://schemas.microsoft.com/office/drawing/2014/chart" uri="{C3380CC4-5D6E-409C-BE32-E72D297353CC}">
                <c16:uniqueId val="{00000007-A113-4AD6-94BD-BB1E0B9C1FE2}"/>
              </c:ext>
            </c:extLst>
          </c:dPt>
          <c:dPt>
            <c:idx val="4"/>
            <c:bubble3D val="0"/>
            <c:spPr>
              <a:noFill/>
              <a:ln w="9525">
                <a:solidFill>
                  <a:srgbClr val="6476CE"/>
                </a:solidFill>
              </a:ln>
              <a:effectLst/>
            </c:spPr>
            <c:extLst>
              <c:ext xmlns:c16="http://schemas.microsoft.com/office/drawing/2014/chart" uri="{C3380CC4-5D6E-409C-BE32-E72D297353CC}">
                <c16:uniqueId val="{00000009-A113-4AD6-94BD-BB1E0B9C1FE2}"/>
              </c:ext>
            </c:extLst>
          </c:dPt>
          <c:val>
            <c:numRef>
              <c:f>Processing!$P$11:$T$11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A113-4AD6-94BD-BB1E0B9C1FE2}"/>
            </c:ext>
          </c:extLst>
        </c:ser>
        <c:ser>
          <c:idx val="1"/>
          <c:order val="1"/>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C-A113-4AD6-94BD-BB1E0B9C1FE2}"/>
              </c:ext>
            </c:extLst>
          </c:dPt>
          <c:dPt>
            <c:idx val="1"/>
            <c:bubble3D val="0"/>
            <c:spPr>
              <a:noFill/>
              <a:ln w="9525">
                <a:solidFill>
                  <a:srgbClr val="6476CE"/>
                </a:solidFill>
              </a:ln>
              <a:effectLst/>
            </c:spPr>
            <c:extLst>
              <c:ext xmlns:c16="http://schemas.microsoft.com/office/drawing/2014/chart" uri="{C3380CC4-5D6E-409C-BE32-E72D297353CC}">
                <c16:uniqueId val="{0000000E-A113-4AD6-94BD-BB1E0B9C1FE2}"/>
              </c:ext>
            </c:extLst>
          </c:dPt>
          <c:dPt>
            <c:idx val="2"/>
            <c:bubble3D val="0"/>
            <c:spPr>
              <a:noFill/>
              <a:ln w="9525">
                <a:solidFill>
                  <a:srgbClr val="6476CE"/>
                </a:solidFill>
              </a:ln>
              <a:effectLst/>
            </c:spPr>
            <c:extLst>
              <c:ext xmlns:c16="http://schemas.microsoft.com/office/drawing/2014/chart" uri="{C3380CC4-5D6E-409C-BE32-E72D297353CC}">
                <c16:uniqueId val="{00000010-A113-4AD6-94BD-BB1E0B9C1FE2}"/>
              </c:ext>
            </c:extLst>
          </c:dPt>
          <c:dPt>
            <c:idx val="3"/>
            <c:bubble3D val="0"/>
            <c:spPr>
              <a:noFill/>
              <a:ln w="9525">
                <a:solidFill>
                  <a:srgbClr val="6476CE"/>
                </a:solidFill>
              </a:ln>
              <a:effectLst/>
            </c:spPr>
            <c:extLst>
              <c:ext xmlns:c16="http://schemas.microsoft.com/office/drawing/2014/chart" uri="{C3380CC4-5D6E-409C-BE32-E72D297353CC}">
                <c16:uniqueId val="{00000012-A113-4AD6-94BD-BB1E0B9C1FE2}"/>
              </c:ext>
            </c:extLst>
          </c:dPt>
          <c:dPt>
            <c:idx val="4"/>
            <c:bubble3D val="0"/>
            <c:spPr>
              <a:noFill/>
              <a:ln w="9525">
                <a:solidFill>
                  <a:srgbClr val="6476CE"/>
                </a:solidFill>
              </a:ln>
              <a:effectLst/>
            </c:spPr>
            <c:extLst>
              <c:ext xmlns:c16="http://schemas.microsoft.com/office/drawing/2014/chart" uri="{C3380CC4-5D6E-409C-BE32-E72D297353CC}">
                <c16:uniqueId val="{00000014-A113-4AD6-94BD-BB1E0B9C1FE2}"/>
              </c:ext>
            </c:extLst>
          </c:dPt>
          <c:val>
            <c:numRef>
              <c:f>Processing!$P$12:$T$12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A113-4AD6-94BD-BB1E0B9C1FE2}"/>
            </c:ext>
          </c:extLst>
        </c:ser>
        <c:ser>
          <c:idx val="2"/>
          <c:order val="2"/>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17-A113-4AD6-94BD-BB1E0B9C1FE2}"/>
              </c:ext>
            </c:extLst>
          </c:dPt>
          <c:dPt>
            <c:idx val="1"/>
            <c:bubble3D val="0"/>
            <c:spPr>
              <a:noFill/>
              <a:ln w="9525">
                <a:solidFill>
                  <a:srgbClr val="6476CE"/>
                </a:solidFill>
              </a:ln>
              <a:effectLst/>
            </c:spPr>
            <c:extLst>
              <c:ext xmlns:c16="http://schemas.microsoft.com/office/drawing/2014/chart" uri="{C3380CC4-5D6E-409C-BE32-E72D297353CC}">
                <c16:uniqueId val="{00000019-A113-4AD6-94BD-BB1E0B9C1FE2}"/>
              </c:ext>
            </c:extLst>
          </c:dPt>
          <c:dPt>
            <c:idx val="2"/>
            <c:bubble3D val="0"/>
            <c:spPr>
              <a:noFill/>
              <a:ln w="9525">
                <a:solidFill>
                  <a:srgbClr val="6476CE"/>
                </a:solidFill>
              </a:ln>
              <a:effectLst/>
            </c:spPr>
            <c:extLst>
              <c:ext xmlns:c16="http://schemas.microsoft.com/office/drawing/2014/chart" uri="{C3380CC4-5D6E-409C-BE32-E72D297353CC}">
                <c16:uniqueId val="{0000001B-A113-4AD6-94BD-BB1E0B9C1FE2}"/>
              </c:ext>
            </c:extLst>
          </c:dPt>
          <c:dPt>
            <c:idx val="3"/>
            <c:bubble3D val="0"/>
            <c:spPr>
              <a:noFill/>
              <a:ln w="9525">
                <a:solidFill>
                  <a:srgbClr val="6476CE"/>
                </a:solidFill>
              </a:ln>
              <a:effectLst/>
            </c:spPr>
            <c:extLst>
              <c:ext xmlns:c16="http://schemas.microsoft.com/office/drawing/2014/chart" uri="{C3380CC4-5D6E-409C-BE32-E72D297353CC}">
                <c16:uniqueId val="{0000001D-A113-4AD6-94BD-BB1E0B9C1FE2}"/>
              </c:ext>
            </c:extLst>
          </c:dPt>
          <c:dPt>
            <c:idx val="4"/>
            <c:bubble3D val="0"/>
            <c:spPr>
              <a:noFill/>
              <a:ln w="9525">
                <a:solidFill>
                  <a:srgbClr val="6476CE"/>
                </a:solidFill>
              </a:ln>
              <a:effectLst/>
            </c:spPr>
            <c:extLst>
              <c:ext xmlns:c16="http://schemas.microsoft.com/office/drawing/2014/chart" uri="{C3380CC4-5D6E-409C-BE32-E72D297353CC}">
                <c16:uniqueId val="{0000001F-A113-4AD6-94BD-BB1E0B9C1FE2}"/>
              </c:ext>
            </c:extLst>
          </c:dPt>
          <c:val>
            <c:numRef>
              <c:f>Processing!$P$13:$T$13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A113-4AD6-94BD-BB1E0B9C1FE2}"/>
            </c:ext>
          </c:extLst>
        </c:ser>
        <c:ser>
          <c:idx val="3"/>
          <c:order val="3"/>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22-A113-4AD6-94BD-BB1E0B9C1FE2}"/>
              </c:ext>
            </c:extLst>
          </c:dPt>
          <c:dPt>
            <c:idx val="1"/>
            <c:bubble3D val="0"/>
            <c:spPr>
              <a:noFill/>
              <a:ln w="9525">
                <a:solidFill>
                  <a:srgbClr val="6476CE"/>
                </a:solidFill>
              </a:ln>
              <a:effectLst/>
            </c:spPr>
            <c:extLst>
              <c:ext xmlns:c16="http://schemas.microsoft.com/office/drawing/2014/chart" uri="{C3380CC4-5D6E-409C-BE32-E72D297353CC}">
                <c16:uniqueId val="{00000024-A113-4AD6-94BD-BB1E0B9C1FE2}"/>
              </c:ext>
            </c:extLst>
          </c:dPt>
          <c:dPt>
            <c:idx val="2"/>
            <c:bubble3D val="0"/>
            <c:spPr>
              <a:noFill/>
              <a:ln w="9525">
                <a:solidFill>
                  <a:srgbClr val="6476CE"/>
                </a:solidFill>
              </a:ln>
              <a:effectLst/>
            </c:spPr>
            <c:extLst>
              <c:ext xmlns:c16="http://schemas.microsoft.com/office/drawing/2014/chart" uri="{C3380CC4-5D6E-409C-BE32-E72D297353CC}">
                <c16:uniqueId val="{00000026-A113-4AD6-94BD-BB1E0B9C1FE2}"/>
              </c:ext>
            </c:extLst>
          </c:dPt>
          <c:dPt>
            <c:idx val="3"/>
            <c:bubble3D val="0"/>
            <c:spPr>
              <a:noFill/>
              <a:ln w="9525">
                <a:solidFill>
                  <a:srgbClr val="6476CE"/>
                </a:solidFill>
              </a:ln>
              <a:effectLst/>
            </c:spPr>
            <c:extLst>
              <c:ext xmlns:c16="http://schemas.microsoft.com/office/drawing/2014/chart" uri="{C3380CC4-5D6E-409C-BE32-E72D297353CC}">
                <c16:uniqueId val="{00000028-A113-4AD6-94BD-BB1E0B9C1FE2}"/>
              </c:ext>
            </c:extLst>
          </c:dPt>
          <c:dPt>
            <c:idx val="4"/>
            <c:bubble3D val="0"/>
            <c:spPr>
              <a:noFill/>
              <a:ln w="9525">
                <a:solidFill>
                  <a:srgbClr val="6476CE"/>
                </a:solidFill>
              </a:ln>
              <a:effectLst/>
            </c:spPr>
            <c:extLst>
              <c:ext xmlns:c16="http://schemas.microsoft.com/office/drawing/2014/chart" uri="{C3380CC4-5D6E-409C-BE32-E72D297353CC}">
                <c16:uniqueId val="{0000002A-A113-4AD6-94BD-BB1E0B9C1FE2}"/>
              </c:ext>
            </c:extLst>
          </c:dPt>
          <c:val>
            <c:numRef>
              <c:f>Processing!$P$14:$T$14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B-A113-4AD6-94BD-BB1E0B9C1FE2}"/>
            </c:ext>
          </c:extLst>
        </c:ser>
        <c:dLbls>
          <c:showLegendKey val="0"/>
          <c:showVal val="0"/>
          <c:showCatName val="0"/>
          <c:showSerName val="0"/>
          <c:showPercent val="0"/>
          <c:showBubbleSize val="0"/>
          <c:showLeaderLines val="1"/>
        </c:dLbls>
        <c:firstSliceAng val="0"/>
        <c:holeSize val="2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Processing!$M$10</c:f>
              <c:strCache>
                <c:ptCount val="1"/>
                <c:pt idx="0">
                  <c:v>Revenue</c:v>
                </c:pt>
              </c:strCache>
            </c:strRef>
          </c:tx>
          <c:spPr>
            <a:gradFill>
              <a:gsLst>
                <a:gs pos="0">
                  <a:srgbClr val="4E7AFF">
                    <a:alpha val="90000"/>
                  </a:srgbClr>
                </a:gs>
                <a:gs pos="100000">
                  <a:srgbClr val="4552F1">
                    <a:alpha val="90000"/>
                  </a:srgbClr>
                </a:gs>
              </a:gsLst>
              <a:lin ang="5400000" scaled="1"/>
            </a:gradFill>
            <a:ln>
              <a:noFill/>
            </a:ln>
            <a:effectLst/>
          </c:spPr>
          <c:cat>
            <c:strRef>
              <c:f>Processing!$L$11:$L$15</c:f>
              <c:strCache>
                <c:ptCount val="5"/>
                <c:pt idx="0">
                  <c:v>A</c:v>
                </c:pt>
                <c:pt idx="1">
                  <c:v>B</c:v>
                </c:pt>
                <c:pt idx="2">
                  <c:v>C</c:v>
                </c:pt>
                <c:pt idx="3">
                  <c:v>D</c:v>
                </c:pt>
                <c:pt idx="4">
                  <c:v>E</c:v>
                </c:pt>
              </c:strCache>
            </c:strRef>
          </c:cat>
          <c:val>
            <c:numRef>
              <c:f>Processing!$M$11:$M$15</c:f>
              <c:numCache>
                <c:formatCode>_("$"* #,##0.00_);_("$"* \(#,##0.00\);_("$"* "-"??_);_(@_)</c:formatCode>
                <c:ptCount val="5"/>
                <c:pt idx="0">
                  <c:v>8185</c:v>
                </c:pt>
                <c:pt idx="1">
                  <c:v>7567</c:v>
                </c:pt>
                <c:pt idx="2">
                  <c:v>5405</c:v>
                </c:pt>
                <c:pt idx="3">
                  <c:v>9111</c:v>
                </c:pt>
                <c:pt idx="4">
                  <c:v>7567</c:v>
                </c:pt>
              </c:numCache>
            </c:numRef>
          </c:val>
          <c:extLst>
            <c:ext xmlns:c16="http://schemas.microsoft.com/office/drawing/2014/chart" uri="{C3380CC4-5D6E-409C-BE32-E72D297353CC}">
              <c16:uniqueId val="{00000000-21A6-4D78-8D4C-F533A6090056}"/>
            </c:ext>
          </c:extLst>
        </c:ser>
        <c:ser>
          <c:idx val="1"/>
          <c:order val="1"/>
          <c:tx>
            <c:strRef>
              <c:f>Processing!$N$10</c:f>
              <c:strCache>
                <c:ptCount val="1"/>
                <c:pt idx="0">
                  <c:v>Sales</c:v>
                </c:pt>
              </c:strCache>
            </c:strRef>
          </c:tx>
          <c:spPr>
            <a:gradFill>
              <a:gsLst>
                <a:gs pos="0">
                  <a:srgbClr val="F17EEC">
                    <a:alpha val="80000"/>
                  </a:srgbClr>
                </a:gs>
                <a:gs pos="100000">
                  <a:srgbClr val="EE0078">
                    <a:alpha val="80000"/>
                  </a:srgbClr>
                </a:gs>
              </a:gsLst>
              <a:lin ang="5400000" scaled="1"/>
            </a:gradFill>
            <a:ln>
              <a:noFill/>
            </a:ln>
            <a:effectLst/>
          </c:spPr>
          <c:cat>
            <c:strRef>
              <c:f>Processing!$L$11:$L$15</c:f>
              <c:strCache>
                <c:ptCount val="5"/>
                <c:pt idx="0">
                  <c:v>A</c:v>
                </c:pt>
                <c:pt idx="1">
                  <c:v>B</c:v>
                </c:pt>
                <c:pt idx="2">
                  <c:v>C</c:v>
                </c:pt>
                <c:pt idx="3">
                  <c:v>D</c:v>
                </c:pt>
                <c:pt idx="4">
                  <c:v>E</c:v>
                </c:pt>
              </c:strCache>
            </c:strRef>
          </c:cat>
          <c:val>
            <c:numRef>
              <c:f>Processing!$N$11:$N$15</c:f>
              <c:numCache>
                <c:formatCode>_("$"* #,##0.00_);_("$"* \(#,##0.00\);_("$"* "-"??_);_(@_)</c:formatCode>
                <c:ptCount val="5"/>
                <c:pt idx="0">
                  <c:v>7381.8451474918056</c:v>
                </c:pt>
                <c:pt idx="1">
                  <c:v>8409.9741542136544</c:v>
                </c:pt>
                <c:pt idx="2">
                  <c:v>7244.885506360758</c:v>
                </c:pt>
                <c:pt idx="3">
                  <c:v>4026.7997889006169</c:v>
                </c:pt>
                <c:pt idx="4">
                  <c:v>6479.4954030331646</c:v>
                </c:pt>
              </c:numCache>
            </c:numRef>
          </c:val>
          <c:extLst>
            <c:ext xmlns:c16="http://schemas.microsoft.com/office/drawing/2014/chart" uri="{C3380CC4-5D6E-409C-BE32-E72D297353CC}">
              <c16:uniqueId val="{00000001-21A6-4D78-8D4C-F533A6090056}"/>
            </c:ext>
          </c:extLst>
        </c:ser>
        <c:dLbls>
          <c:showLegendKey val="0"/>
          <c:showVal val="0"/>
          <c:showCatName val="0"/>
          <c:showSerName val="0"/>
          <c:showPercent val="0"/>
          <c:showBubbleSize val="0"/>
        </c:dLbls>
        <c:axId val="1824798800"/>
        <c:axId val="1824798320"/>
      </c:radarChart>
      <c:catAx>
        <c:axId val="1824798800"/>
        <c:scaling>
          <c:orientation val="minMax"/>
        </c:scaling>
        <c:delete val="1"/>
        <c:axPos val="b"/>
        <c:numFmt formatCode="General" sourceLinked="1"/>
        <c:majorTickMark val="none"/>
        <c:minorTickMark val="none"/>
        <c:tickLblPos val="nextTo"/>
        <c:crossAx val="1824798320"/>
        <c:crosses val="autoZero"/>
        <c:auto val="1"/>
        <c:lblAlgn val="ctr"/>
        <c:lblOffset val="100"/>
        <c:noMultiLvlLbl val="0"/>
      </c:catAx>
      <c:valAx>
        <c:axId val="1824798320"/>
        <c:scaling>
          <c:orientation val="minMax"/>
        </c:scaling>
        <c:delete val="1"/>
        <c:axPos val="l"/>
        <c:numFmt formatCode="_(&quot;$&quot;* #,##0.00_);_(&quot;$&quot;* \(#,##0.00\);_(&quot;$&quot;* &quot;-&quot;??_);_(@_)" sourceLinked="1"/>
        <c:majorTickMark val="none"/>
        <c:minorTickMark val="none"/>
        <c:tickLblPos val="nextTo"/>
        <c:crossAx val="18247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Processing!$J$20</c:f>
              <c:strCache>
                <c:ptCount val="1"/>
                <c:pt idx="0">
                  <c:v>ROI</c:v>
                </c:pt>
              </c:strCache>
            </c:strRef>
          </c:tx>
          <c:spPr>
            <a:ln>
              <a:noFill/>
            </a:ln>
            <a:effectLst>
              <a:outerShdw blurRad="50800" dist="38100" dir="8100000" algn="tr" rotWithShape="0">
                <a:prstClr val="black">
                  <a:alpha val="40000"/>
                </a:prstClr>
              </a:outerShdw>
            </a:effectLst>
          </c:spPr>
          <c:dPt>
            <c:idx val="0"/>
            <c:bubble3D val="0"/>
            <c:spPr>
              <a:gradFill>
                <a:gsLst>
                  <a:gs pos="0">
                    <a:srgbClr val="EE0078"/>
                  </a:gs>
                  <a:gs pos="100000">
                    <a:srgbClr val="D758C9"/>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3BE2-41FE-BB72-79BBB85DA328}"/>
              </c:ext>
            </c:extLst>
          </c:dPt>
          <c:dPt>
            <c:idx val="1"/>
            <c:bubble3D val="0"/>
            <c:spPr>
              <a:gradFill>
                <a:gsLst>
                  <a:gs pos="0">
                    <a:srgbClr val="7A4FF0"/>
                  </a:gs>
                  <a:gs pos="100000">
                    <a:srgbClr val="60A8FF"/>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3BE2-41FE-BB72-79BBB85DA328}"/>
              </c:ext>
            </c:extLst>
          </c:dPt>
          <c:dPt>
            <c:idx val="2"/>
            <c:bubble3D val="0"/>
            <c:spPr>
              <a:solidFill>
                <a:srgbClr val="EE0078">
                  <a:alpha val="50000"/>
                </a:srgb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3BE2-41FE-BB72-79BBB85DA328}"/>
              </c:ext>
            </c:extLst>
          </c:dPt>
          <c:val>
            <c:numRef>
              <c:f>Processing!$J$21:$J$23</c:f>
              <c:numCache>
                <c:formatCode>0%</c:formatCode>
                <c:ptCount val="3"/>
                <c:pt idx="0">
                  <c:v>0.39873688717619354</c:v>
                </c:pt>
                <c:pt idx="1">
                  <c:v>0.6012631128238064</c:v>
                </c:pt>
                <c:pt idx="2">
                  <c:v>0</c:v>
                </c:pt>
              </c:numCache>
            </c:numRef>
          </c:val>
          <c:extLst>
            <c:ext xmlns:c16="http://schemas.microsoft.com/office/drawing/2014/chart" uri="{C3380CC4-5D6E-409C-BE32-E72D297353CC}">
              <c16:uniqueId val="{00000006-3BE2-41FE-BB72-79BBB85DA32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89F6-40D9-99CB-4D123F276052}"/>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89F6-40D9-99CB-4D123F276052}"/>
              </c:ext>
            </c:extLst>
          </c:dPt>
          <c:val>
            <c:numRef>
              <c:f>Processing!$B$15:$B$16</c:f>
              <c:numCache>
                <c:formatCode>0%</c:formatCode>
                <c:ptCount val="2"/>
                <c:pt idx="0">
                  <c:v>0.43454531359020077</c:v>
                </c:pt>
                <c:pt idx="1">
                  <c:v>0.56545468640979923</c:v>
                </c:pt>
              </c:numCache>
            </c:numRef>
          </c:val>
          <c:extLst>
            <c:ext xmlns:c16="http://schemas.microsoft.com/office/drawing/2014/chart" uri="{C3380CC4-5D6E-409C-BE32-E72D297353CC}">
              <c16:uniqueId val="{00000004-89F6-40D9-99CB-4D123F27605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3D26-483F-9060-4D052206BCB8}"/>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3D26-483F-9060-4D052206BCB8}"/>
              </c:ext>
            </c:extLst>
          </c:dPt>
          <c:val>
            <c:numRef>
              <c:f>Processing!$C$15:$C$16</c:f>
              <c:numCache>
                <c:formatCode>0%</c:formatCode>
                <c:ptCount val="2"/>
                <c:pt idx="0">
                  <c:v>0.52008682843631293</c:v>
                </c:pt>
                <c:pt idx="1">
                  <c:v>0.47991317156368707</c:v>
                </c:pt>
              </c:numCache>
            </c:numRef>
          </c:val>
          <c:extLst>
            <c:ext xmlns:c16="http://schemas.microsoft.com/office/drawing/2014/chart" uri="{C3380CC4-5D6E-409C-BE32-E72D297353CC}">
              <c16:uniqueId val="{00000004-3D26-483F-9060-4D052206BCB8}"/>
            </c:ext>
          </c:extLst>
        </c:ser>
        <c:dLbls>
          <c:showLegendKey val="0"/>
          <c:showVal val="0"/>
          <c:showCatName val="0"/>
          <c:showSerName val="0"/>
          <c:showPercent val="0"/>
          <c:showBubbleSize val="0"/>
          <c:showLeaderLines val="1"/>
        </c:dLbls>
        <c:firstSliceAng val="0"/>
        <c:holeSize val="9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spPr>
            <a:noFill/>
            <a:ln>
              <a:noFill/>
            </a:ln>
            <a:effectLst/>
          </c:spPr>
          <c:invertIfNegative val="0"/>
          <c:cat>
            <c:strRef>
              <c:f>Processing!$I$2:$I$6</c:f>
              <c:strCache>
                <c:ptCount val="5"/>
                <c:pt idx="0">
                  <c:v>MON</c:v>
                </c:pt>
                <c:pt idx="1">
                  <c:v>TUE</c:v>
                </c:pt>
                <c:pt idx="2">
                  <c:v>WED</c:v>
                </c:pt>
                <c:pt idx="3">
                  <c:v>THU</c:v>
                </c:pt>
                <c:pt idx="4">
                  <c:v>FRI</c:v>
                </c:pt>
              </c:strCache>
            </c:strRef>
          </c:cat>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0-BE85-4A5F-94D9-340B3502A004}"/>
            </c:ext>
          </c:extLst>
        </c:ser>
        <c:ser>
          <c:idx val="0"/>
          <c:order val="1"/>
          <c:spPr>
            <a:solidFill>
              <a:schemeClr val="accent1"/>
            </a:solidFill>
            <a:ln w="190500">
              <a:gradFill>
                <a:gsLst>
                  <a:gs pos="0">
                    <a:srgbClr val="4E7AFF"/>
                  </a:gs>
                  <a:gs pos="100000">
                    <a:srgbClr val="4552F1"/>
                  </a:gs>
                </a:gsLst>
                <a:lin ang="5400000" scaled="1"/>
              </a:gradFill>
            </a:ln>
            <a:effectLst/>
          </c:spPr>
          <c:invertIfNegative val="0"/>
          <c:cat>
            <c:strRef>
              <c:f>Processing!$I$2:$I$6</c:f>
              <c:strCache>
                <c:ptCount val="5"/>
                <c:pt idx="0">
                  <c:v>MON</c:v>
                </c:pt>
                <c:pt idx="1">
                  <c:v>TUE</c:v>
                </c:pt>
                <c:pt idx="2">
                  <c:v>WED</c:v>
                </c:pt>
                <c:pt idx="3">
                  <c:v>THU</c:v>
                </c:pt>
                <c:pt idx="4">
                  <c:v>FRI</c:v>
                </c:pt>
              </c:strCache>
            </c:strRef>
          </c:cat>
          <c:val>
            <c:numRef>
              <c:f>Processing!$J$2:$J$6</c:f>
              <c:numCache>
                <c:formatCode>General</c:formatCode>
                <c:ptCount val="5"/>
                <c:pt idx="0">
                  <c:v>1511</c:v>
                </c:pt>
                <c:pt idx="1">
                  <c:v>5603</c:v>
                </c:pt>
                <c:pt idx="2">
                  <c:v>5741</c:v>
                </c:pt>
                <c:pt idx="3">
                  <c:v>2858</c:v>
                </c:pt>
                <c:pt idx="4">
                  <c:v>1164</c:v>
                </c:pt>
              </c:numCache>
            </c:numRef>
          </c:val>
          <c:extLst>
            <c:ext xmlns:c16="http://schemas.microsoft.com/office/drawing/2014/chart" uri="{C3380CC4-5D6E-409C-BE32-E72D297353CC}">
              <c16:uniqueId val="{00000001-BE85-4A5F-94D9-340B3502A004}"/>
            </c:ext>
          </c:extLst>
        </c:ser>
        <c:dLbls>
          <c:showLegendKey val="0"/>
          <c:showVal val="0"/>
          <c:showCatName val="0"/>
          <c:showSerName val="0"/>
          <c:showPercent val="0"/>
          <c:showBubbleSize val="0"/>
        </c:dLbls>
        <c:gapWidth val="350"/>
        <c:overlap val="100"/>
        <c:axId val="1684353792"/>
        <c:axId val="1684362432"/>
      </c:barChart>
      <c:barChart>
        <c:barDir val="col"/>
        <c:grouping val="stacked"/>
        <c:varyColors val="0"/>
        <c:ser>
          <c:idx val="3"/>
          <c:order val="2"/>
          <c:tx>
            <c:v>indent Cursor</c:v>
          </c:tx>
          <c:spPr>
            <a:noFill/>
            <a:ln>
              <a:noFill/>
            </a:ln>
            <a:effectLst/>
          </c:spPr>
          <c:invertIfNegative val="0"/>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2-BE85-4A5F-94D9-340B3502A004}"/>
            </c:ext>
          </c:extLst>
        </c:ser>
        <c:ser>
          <c:idx val="1"/>
          <c:order val="3"/>
          <c:spPr>
            <a:solidFill>
              <a:schemeClr val="accent2"/>
            </a:solidFill>
            <a:ln w="190500">
              <a:gradFill>
                <a:gsLst>
                  <a:gs pos="0">
                    <a:srgbClr val="F17EEC"/>
                  </a:gs>
                  <a:gs pos="100000">
                    <a:srgbClr val="EE0078"/>
                  </a:gs>
                </a:gsLst>
                <a:lin ang="5400000" scaled="1"/>
              </a:gradFill>
            </a:ln>
            <a:effectLst>
              <a:outerShdw blurRad="50800" dist="38100" dir="8100000" algn="tr" rotWithShape="0">
                <a:prstClr val="black">
                  <a:alpha val="40000"/>
                </a:prstClr>
              </a:outerShdw>
            </a:effectLst>
          </c:spPr>
          <c:invertIfNegative val="0"/>
          <c:cat>
            <c:strRef>
              <c:f>Processing!$I$2:$I$6</c:f>
              <c:strCache>
                <c:ptCount val="5"/>
                <c:pt idx="0">
                  <c:v>MON</c:v>
                </c:pt>
                <c:pt idx="1">
                  <c:v>TUE</c:v>
                </c:pt>
                <c:pt idx="2">
                  <c:v>WED</c:v>
                </c:pt>
                <c:pt idx="3">
                  <c:v>THU</c:v>
                </c:pt>
                <c:pt idx="4">
                  <c:v>FRI</c:v>
                </c:pt>
              </c:strCache>
            </c:strRef>
          </c:cat>
          <c:val>
            <c:numRef>
              <c:f>Processing!$K$2:$K$6</c:f>
              <c:numCache>
                <c:formatCode>General</c:formatCode>
                <c:ptCount val="5"/>
                <c:pt idx="0">
                  <c:v>#N/A</c:v>
                </c:pt>
                <c:pt idx="1">
                  <c:v>5603</c:v>
                </c:pt>
                <c:pt idx="2">
                  <c:v>5741</c:v>
                </c:pt>
                <c:pt idx="3">
                  <c:v>2858</c:v>
                </c:pt>
                <c:pt idx="4">
                  <c:v>1164</c:v>
                </c:pt>
              </c:numCache>
            </c:numRef>
          </c:val>
          <c:extLst>
            <c:ext xmlns:c16="http://schemas.microsoft.com/office/drawing/2014/chart" uri="{C3380CC4-5D6E-409C-BE32-E72D297353CC}">
              <c16:uniqueId val="{00000003-BE85-4A5F-94D9-340B3502A004}"/>
            </c:ext>
          </c:extLst>
        </c:ser>
        <c:dLbls>
          <c:showLegendKey val="0"/>
          <c:showVal val="0"/>
          <c:showCatName val="0"/>
          <c:showSerName val="0"/>
          <c:showPercent val="0"/>
          <c:showBubbleSize val="0"/>
        </c:dLbls>
        <c:gapWidth val="350"/>
        <c:overlap val="100"/>
        <c:axId val="1684234752"/>
        <c:axId val="1684248672"/>
      </c:barChart>
      <c:scatterChart>
        <c:scatterStyle val="lineMarker"/>
        <c:varyColors val="0"/>
        <c:ser>
          <c:idx val="4"/>
          <c:order val="4"/>
          <c:tx>
            <c:strRef>
              <c:f>Processing!$M$1</c:f>
              <c:strCache>
                <c:ptCount val="1"/>
                <c:pt idx="0">
                  <c:v>Marker</c:v>
                </c:pt>
              </c:strCache>
            </c:strRef>
          </c:tx>
          <c:spPr>
            <a:ln w="38100">
              <a:noFill/>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BE85-4A5F-94D9-340B3502A004}"/>
                </c:ext>
              </c:extLst>
            </c:dLbl>
            <c:dLbl>
              <c:idx val="1"/>
              <c:tx>
                <c:rich>
                  <a:bodyPr/>
                  <a:lstStyle/>
                  <a:p>
                    <a:fld id="{6D178DDB-5D9C-40D0-BAD4-31FDB9A8D7F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85-4A5F-94D9-340B3502A004}"/>
                </c:ext>
              </c:extLst>
            </c:dLbl>
            <c:dLbl>
              <c:idx val="2"/>
              <c:tx>
                <c:rich>
                  <a:bodyPr/>
                  <a:lstStyle/>
                  <a:p>
                    <a:fld id="{C4DBA7E6-A1F6-43E0-9374-48B3949FA5E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85-4A5F-94D9-340B3502A004}"/>
                </c:ext>
              </c:extLst>
            </c:dLbl>
            <c:dLbl>
              <c:idx val="3"/>
              <c:tx>
                <c:rich>
                  <a:bodyPr/>
                  <a:lstStyle/>
                  <a:p>
                    <a:fld id="{CD914C15-2566-473C-BB4C-0EEC8E7D374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85-4A5F-94D9-340B3502A004}"/>
                </c:ext>
              </c:extLst>
            </c:dLbl>
            <c:dLbl>
              <c:idx val="4"/>
              <c:tx>
                <c:rich>
                  <a:bodyPr/>
                  <a:lstStyle/>
                  <a:p>
                    <a:fld id="{8A9D0D90-CB45-4F8D-849D-905903FE2B1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85-4A5F-94D9-340B3502A004}"/>
                </c:ext>
              </c:extLst>
            </c:dLbl>
            <c:spPr>
              <a:noFill/>
              <a:ln>
                <a:noFill/>
              </a:ln>
              <a:effectLst/>
            </c:spPr>
            <c:txPr>
              <a:bodyPr wrap="square" lIns="38100" tIns="19050" rIns="38100" bIns="19050" anchor="ctr">
                <a:spAutoFit/>
              </a:bodyPr>
              <a:lstStyle/>
              <a:p>
                <a:pPr>
                  <a:defRPr sz="1400">
                    <a:solidFill>
                      <a:schemeClr val="tx1"/>
                    </a:solidFill>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yVal>
            <c:numRef>
              <c:f>Processing!$M$2:$M$6</c:f>
              <c:numCache>
                <c:formatCode>General</c:formatCode>
                <c:ptCount val="5"/>
                <c:pt idx="0">
                  <c:v>#N/A</c:v>
                </c:pt>
                <c:pt idx="1">
                  <c:v>5832.64</c:v>
                </c:pt>
                <c:pt idx="2">
                  <c:v>5970.64</c:v>
                </c:pt>
                <c:pt idx="3">
                  <c:v>3087.64</c:v>
                </c:pt>
                <c:pt idx="4">
                  <c:v>1393.64</c:v>
                </c:pt>
              </c:numCache>
            </c:numRef>
          </c:yVal>
          <c:smooth val="0"/>
          <c:extLst>
            <c:ext xmlns:c15="http://schemas.microsoft.com/office/drawing/2012/chart" uri="{02D57815-91ED-43cb-92C2-25804820EDAC}">
              <c15:datalabelsRange>
                <c15:f>Processing!$N$2:$N$6</c15:f>
                <c15:dlblRangeCache>
                  <c:ptCount val="5"/>
                  <c:pt idx="1">
                    <c:v>5.6K</c:v>
                  </c:pt>
                  <c:pt idx="2">
                    <c:v>5.7K</c:v>
                  </c:pt>
                  <c:pt idx="3">
                    <c:v>2.9K</c:v>
                  </c:pt>
                  <c:pt idx="4">
                    <c:v>1.2K</c:v>
                  </c:pt>
                </c15:dlblRangeCache>
              </c15:datalabelsRange>
            </c:ext>
            <c:ext xmlns:c16="http://schemas.microsoft.com/office/drawing/2014/chart" uri="{C3380CC4-5D6E-409C-BE32-E72D297353CC}">
              <c16:uniqueId val="{00000009-BE85-4A5F-94D9-340B3502A004}"/>
            </c:ext>
          </c:extLst>
        </c:ser>
        <c:dLbls>
          <c:showLegendKey val="0"/>
          <c:showVal val="0"/>
          <c:showCatName val="0"/>
          <c:showSerName val="0"/>
          <c:showPercent val="0"/>
          <c:showBubbleSize val="0"/>
        </c:dLbls>
        <c:axId val="1684234752"/>
        <c:axId val="1684248672"/>
      </c:scatterChart>
      <c:catAx>
        <c:axId val="1684353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A2ADBE"/>
                </a:solidFill>
                <a:latin typeface="+mn-lt"/>
                <a:ea typeface="+mn-ea"/>
                <a:cs typeface="+mn-cs"/>
              </a:defRPr>
            </a:pPr>
            <a:endParaRPr lang="ru-RU"/>
          </a:p>
        </c:txPr>
        <c:crossAx val="1684362432"/>
        <c:crosses val="autoZero"/>
        <c:auto val="1"/>
        <c:lblAlgn val="ctr"/>
        <c:lblOffset val="100"/>
        <c:noMultiLvlLbl val="0"/>
      </c:catAx>
      <c:valAx>
        <c:axId val="1684362432"/>
        <c:scaling>
          <c:orientation val="minMax"/>
          <c:min val="0"/>
        </c:scaling>
        <c:delete val="1"/>
        <c:axPos val="l"/>
        <c:numFmt formatCode="General" sourceLinked="1"/>
        <c:majorTickMark val="out"/>
        <c:minorTickMark val="none"/>
        <c:tickLblPos val="nextTo"/>
        <c:crossAx val="1684353792"/>
        <c:crosses val="autoZero"/>
        <c:crossBetween val="between"/>
      </c:valAx>
      <c:valAx>
        <c:axId val="1684248672"/>
        <c:scaling>
          <c:orientation val="minMax"/>
        </c:scaling>
        <c:delete val="1"/>
        <c:axPos val="r"/>
        <c:numFmt formatCode="General" sourceLinked="1"/>
        <c:majorTickMark val="out"/>
        <c:minorTickMark val="none"/>
        <c:tickLblPos val="nextTo"/>
        <c:crossAx val="1684234752"/>
        <c:crosses val="max"/>
        <c:crossBetween val="between"/>
      </c:valAx>
      <c:catAx>
        <c:axId val="1684234752"/>
        <c:scaling>
          <c:orientation val="minMax"/>
        </c:scaling>
        <c:delete val="1"/>
        <c:axPos val="b"/>
        <c:majorTickMark val="out"/>
        <c:minorTickMark val="none"/>
        <c:tickLblPos val="nextTo"/>
        <c:crossAx val="1684248672"/>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strRef>
              <c:f>Processing!$B$19</c:f>
              <c:strCache>
                <c:ptCount val="1"/>
                <c:pt idx="0">
                  <c:v>Revenue</c:v>
                </c:pt>
              </c:strCache>
            </c:strRef>
          </c:tx>
          <c:spPr>
            <a:gradFill>
              <a:gsLst>
                <a:gs pos="0">
                  <a:srgbClr val="00C6D1">
                    <a:alpha val="30000"/>
                  </a:srgbClr>
                </a:gs>
                <a:gs pos="100000">
                  <a:srgbClr val="00C6D1">
                    <a:alpha val="0"/>
                  </a:srgbClr>
                </a:gs>
              </a:gsLst>
              <a:lin ang="5400000" scaled="1"/>
            </a:gradFill>
            <a:ln>
              <a:noFill/>
            </a:ln>
            <a:effectLst/>
          </c:spP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extLst>
            <c:ext xmlns:c16="http://schemas.microsoft.com/office/drawing/2014/chart" uri="{C3380CC4-5D6E-409C-BE32-E72D297353CC}">
              <c16:uniqueId val="{00000000-BECB-4DE6-BFFC-53B9824C2FA7}"/>
            </c:ext>
          </c:extLst>
        </c:ser>
        <c:dLbls>
          <c:showLegendKey val="0"/>
          <c:showVal val="0"/>
          <c:showCatName val="0"/>
          <c:showSerName val="0"/>
          <c:showPercent val="0"/>
          <c:showBubbleSize val="0"/>
        </c:dLbls>
        <c:axId val="1953973136"/>
        <c:axId val="1953968816"/>
      </c:areaChart>
      <c:lineChart>
        <c:grouping val="standard"/>
        <c:varyColors val="0"/>
        <c:ser>
          <c:idx val="1"/>
          <c:order val="0"/>
          <c:tx>
            <c:v>fill</c:v>
          </c:tx>
          <c:spPr>
            <a:ln w="25400" cap="rnd">
              <a:solidFill>
                <a:srgbClr val="00C6D1"/>
              </a:solidFill>
              <a:round/>
            </a:ln>
            <a:effectLst/>
          </c:spPr>
          <c:marker>
            <c:symbol val="none"/>
          </c:marke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smooth val="1"/>
          <c:extLst>
            <c:ext xmlns:c16="http://schemas.microsoft.com/office/drawing/2014/chart" uri="{C3380CC4-5D6E-409C-BE32-E72D297353CC}">
              <c16:uniqueId val="{00000001-BECB-4DE6-BFFC-53B9824C2FA7}"/>
            </c:ext>
          </c:extLst>
        </c:ser>
        <c:ser>
          <c:idx val="0"/>
          <c:order val="1"/>
          <c:tx>
            <c:strRef>
              <c:f>Processing!$C$19</c:f>
              <c:strCache>
                <c:ptCount val="1"/>
                <c:pt idx="0">
                  <c:v>Expenses</c:v>
                </c:pt>
              </c:strCache>
            </c:strRef>
          </c:tx>
          <c:spPr>
            <a:ln w="25400" cap="rnd">
              <a:gradFill>
                <a:gsLst>
                  <a:gs pos="0">
                    <a:srgbClr val="F17EEC"/>
                  </a:gs>
                  <a:gs pos="100000">
                    <a:srgbClr val="EE0077"/>
                  </a:gs>
                </a:gsLst>
                <a:lin ang="5400000" scaled="1"/>
              </a:gradFill>
              <a:round/>
            </a:ln>
            <a:effectLst/>
          </c:spPr>
          <c:marker>
            <c:symbol val="none"/>
          </c:marker>
          <c:val>
            <c:numRef>
              <c:f>Processing!$C$20:$C$31</c:f>
              <c:numCache>
                <c:formatCode>General</c:formatCode>
                <c:ptCount val="12"/>
                <c:pt idx="0">
                  <c:v>26660</c:v>
                </c:pt>
                <c:pt idx="1">
                  <c:v>32060</c:v>
                </c:pt>
                <c:pt idx="2">
                  <c:v>35760</c:v>
                </c:pt>
                <c:pt idx="3">
                  <c:v>36560</c:v>
                </c:pt>
                <c:pt idx="4">
                  <c:v>34220</c:v>
                </c:pt>
                <c:pt idx="5">
                  <c:v>29500</c:v>
                </c:pt>
                <c:pt idx="6">
                  <c:v>23820</c:v>
                </c:pt>
                <c:pt idx="7">
                  <c:v>19100</c:v>
                </c:pt>
                <c:pt idx="8">
                  <c:v>16760</c:v>
                </c:pt>
                <c:pt idx="9">
                  <c:v>17560</c:v>
                </c:pt>
                <c:pt idx="10">
                  <c:v>21260</c:v>
                </c:pt>
                <c:pt idx="11">
                  <c:v>26660</c:v>
                </c:pt>
              </c:numCache>
            </c:numRef>
          </c:val>
          <c:smooth val="1"/>
          <c:extLst>
            <c:ext xmlns:c16="http://schemas.microsoft.com/office/drawing/2014/chart" uri="{C3380CC4-5D6E-409C-BE32-E72D297353CC}">
              <c16:uniqueId val="{00000002-BECB-4DE6-BFFC-53B9824C2FA7}"/>
            </c:ext>
          </c:extLst>
        </c:ser>
        <c:dLbls>
          <c:showLegendKey val="0"/>
          <c:showVal val="0"/>
          <c:showCatName val="0"/>
          <c:showSerName val="0"/>
          <c:showPercent val="0"/>
          <c:showBubbleSize val="0"/>
        </c:dLbls>
        <c:marker val="1"/>
        <c:smooth val="0"/>
        <c:axId val="1953973136"/>
        <c:axId val="1953968816"/>
      </c:lineChart>
      <c:scatterChart>
        <c:scatterStyle val="lineMarker"/>
        <c:varyColors val="0"/>
        <c:ser>
          <c:idx val="3"/>
          <c:order val="3"/>
          <c:tx>
            <c:v>Cursor</c:v>
          </c:tx>
          <c:spPr>
            <a:ln w="25400" cap="rnd">
              <a:noFill/>
              <a:round/>
            </a:ln>
            <a:effectLst/>
          </c:spPr>
          <c:marker>
            <c:symbol val="circle"/>
            <c:size val="7"/>
            <c:spPr>
              <a:solidFill>
                <a:schemeClr val="bg1"/>
              </a:solidFill>
              <a:ln w="19050">
                <a:solidFill>
                  <a:srgbClr val="00C6D1"/>
                </a:solidFill>
              </a:ln>
              <a:effectLst/>
            </c:spPr>
          </c:marker>
          <c:yVal>
            <c:numRef>
              <c:f>Processing!$D$20:$D$31</c:f>
              <c:numCache>
                <c:formatCode>General</c:formatCode>
                <c:ptCount val="12"/>
                <c:pt idx="0">
                  <c:v>37835</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BECB-4DE6-BFFC-53B9824C2FA7}"/>
            </c:ext>
          </c:extLst>
        </c:ser>
        <c:dLbls>
          <c:showLegendKey val="0"/>
          <c:showVal val="0"/>
          <c:showCatName val="0"/>
          <c:showSerName val="0"/>
          <c:showPercent val="0"/>
          <c:showBubbleSize val="0"/>
        </c:dLbls>
        <c:axId val="1953973136"/>
        <c:axId val="1953968816"/>
      </c:scatterChart>
      <c:catAx>
        <c:axId val="1953973136"/>
        <c:scaling>
          <c:orientation val="minMax"/>
        </c:scaling>
        <c:delete val="1"/>
        <c:axPos val="b"/>
        <c:majorTickMark val="none"/>
        <c:minorTickMark val="none"/>
        <c:tickLblPos val="nextTo"/>
        <c:crossAx val="1953968816"/>
        <c:crosses val="autoZero"/>
        <c:auto val="1"/>
        <c:lblAlgn val="ctr"/>
        <c:lblOffset val="100"/>
        <c:noMultiLvlLbl val="0"/>
      </c:catAx>
      <c:valAx>
        <c:axId val="1953968816"/>
        <c:scaling>
          <c:orientation val="minMax"/>
        </c:scaling>
        <c:delete val="1"/>
        <c:axPos val="l"/>
        <c:numFmt formatCode="General" sourceLinked="1"/>
        <c:majorTickMark val="none"/>
        <c:minorTickMark val="none"/>
        <c:tickLblPos val="nextTo"/>
        <c:crossAx val="1953973136"/>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spPr>
            <a:noFill/>
            <a:ln>
              <a:noFill/>
            </a:ln>
            <a:effectLst/>
          </c:spPr>
          <c:invertIfNegative val="0"/>
          <c:cat>
            <c:strRef>
              <c:f>Processing!$I$2:$I$6</c:f>
              <c:strCache>
                <c:ptCount val="5"/>
                <c:pt idx="0">
                  <c:v>MON</c:v>
                </c:pt>
                <c:pt idx="1">
                  <c:v>TUE</c:v>
                </c:pt>
                <c:pt idx="2">
                  <c:v>WED</c:v>
                </c:pt>
                <c:pt idx="3">
                  <c:v>THU</c:v>
                </c:pt>
                <c:pt idx="4">
                  <c:v>FRI</c:v>
                </c:pt>
              </c:strCache>
            </c:strRef>
          </c:cat>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0-ADBA-4A18-936B-F9EF9DC3155A}"/>
            </c:ext>
          </c:extLst>
        </c:ser>
        <c:ser>
          <c:idx val="0"/>
          <c:order val="1"/>
          <c:spPr>
            <a:solidFill>
              <a:schemeClr val="accent1"/>
            </a:solidFill>
            <a:ln w="88900">
              <a:gradFill>
                <a:gsLst>
                  <a:gs pos="19000">
                    <a:srgbClr val="60A8FF"/>
                  </a:gs>
                  <a:gs pos="100000">
                    <a:srgbClr val="2185FF"/>
                  </a:gs>
                </a:gsLst>
                <a:lin ang="5400000" scaled="1"/>
              </a:gradFill>
            </a:ln>
            <a:effectLst/>
          </c:spPr>
          <c:invertIfNegative val="0"/>
          <c:cat>
            <c:strRef>
              <c:f>Processing!$I$2:$I$6</c:f>
              <c:strCache>
                <c:ptCount val="5"/>
                <c:pt idx="0">
                  <c:v>MON</c:v>
                </c:pt>
                <c:pt idx="1">
                  <c:v>TUE</c:v>
                </c:pt>
                <c:pt idx="2">
                  <c:v>WED</c:v>
                </c:pt>
                <c:pt idx="3">
                  <c:v>THU</c:v>
                </c:pt>
                <c:pt idx="4">
                  <c:v>FRI</c:v>
                </c:pt>
              </c:strCache>
            </c:strRef>
          </c:cat>
          <c:val>
            <c:numRef>
              <c:f>Processing!$J$2:$J$6</c:f>
              <c:numCache>
                <c:formatCode>General</c:formatCode>
                <c:ptCount val="5"/>
                <c:pt idx="0">
                  <c:v>1511</c:v>
                </c:pt>
                <c:pt idx="1">
                  <c:v>5603</c:v>
                </c:pt>
                <c:pt idx="2">
                  <c:v>5741</c:v>
                </c:pt>
                <c:pt idx="3">
                  <c:v>2858</c:v>
                </c:pt>
                <c:pt idx="4">
                  <c:v>1164</c:v>
                </c:pt>
              </c:numCache>
            </c:numRef>
          </c:val>
          <c:extLst>
            <c:ext xmlns:c16="http://schemas.microsoft.com/office/drawing/2014/chart" uri="{C3380CC4-5D6E-409C-BE32-E72D297353CC}">
              <c16:uniqueId val="{00000001-ADBA-4A18-936B-F9EF9DC3155A}"/>
            </c:ext>
          </c:extLst>
        </c:ser>
        <c:dLbls>
          <c:showLegendKey val="0"/>
          <c:showVal val="0"/>
          <c:showCatName val="0"/>
          <c:showSerName val="0"/>
          <c:showPercent val="0"/>
          <c:showBubbleSize val="0"/>
        </c:dLbls>
        <c:gapWidth val="250"/>
        <c:overlap val="100"/>
        <c:axId val="1684353792"/>
        <c:axId val="1684362432"/>
      </c:barChart>
      <c:barChart>
        <c:barDir val="col"/>
        <c:grouping val="stacked"/>
        <c:varyColors val="0"/>
        <c:ser>
          <c:idx val="3"/>
          <c:order val="2"/>
          <c:tx>
            <c:v>indent Cursor</c:v>
          </c:tx>
          <c:spPr>
            <a:noFill/>
            <a:ln>
              <a:noFill/>
            </a:ln>
            <a:effectLst/>
          </c:spPr>
          <c:invertIfNegative val="0"/>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2-ADBA-4A18-936B-F9EF9DC3155A}"/>
            </c:ext>
          </c:extLst>
        </c:ser>
        <c:ser>
          <c:idx val="1"/>
          <c:order val="3"/>
          <c:spPr>
            <a:solidFill>
              <a:schemeClr val="accent2"/>
            </a:solidFill>
            <a:ln w="88900">
              <a:gradFill>
                <a:gsLst>
                  <a:gs pos="0">
                    <a:srgbClr val="F17EEC"/>
                  </a:gs>
                  <a:gs pos="100000">
                    <a:srgbClr val="EE0078"/>
                  </a:gs>
                </a:gsLst>
                <a:lin ang="5400000" scaled="1"/>
              </a:gradFill>
            </a:ln>
            <a:effectLst/>
          </c:spPr>
          <c:invertIfNegative val="0"/>
          <c:cat>
            <c:strRef>
              <c:f>Processing!$I$2:$I$6</c:f>
              <c:strCache>
                <c:ptCount val="5"/>
                <c:pt idx="0">
                  <c:v>MON</c:v>
                </c:pt>
                <c:pt idx="1">
                  <c:v>TUE</c:v>
                </c:pt>
                <c:pt idx="2">
                  <c:v>WED</c:v>
                </c:pt>
                <c:pt idx="3">
                  <c:v>THU</c:v>
                </c:pt>
                <c:pt idx="4">
                  <c:v>FRI</c:v>
                </c:pt>
              </c:strCache>
            </c:strRef>
          </c:cat>
          <c:val>
            <c:numRef>
              <c:f>Processing!$K$2:$K$6</c:f>
              <c:numCache>
                <c:formatCode>General</c:formatCode>
                <c:ptCount val="5"/>
                <c:pt idx="0">
                  <c:v>#N/A</c:v>
                </c:pt>
                <c:pt idx="1">
                  <c:v>5603</c:v>
                </c:pt>
                <c:pt idx="2">
                  <c:v>5741</c:v>
                </c:pt>
                <c:pt idx="3">
                  <c:v>2858</c:v>
                </c:pt>
                <c:pt idx="4">
                  <c:v>1164</c:v>
                </c:pt>
              </c:numCache>
            </c:numRef>
          </c:val>
          <c:extLst>
            <c:ext xmlns:c16="http://schemas.microsoft.com/office/drawing/2014/chart" uri="{C3380CC4-5D6E-409C-BE32-E72D297353CC}">
              <c16:uniqueId val="{00000003-ADBA-4A18-936B-F9EF9DC3155A}"/>
            </c:ext>
          </c:extLst>
        </c:ser>
        <c:dLbls>
          <c:showLegendKey val="0"/>
          <c:showVal val="0"/>
          <c:showCatName val="0"/>
          <c:showSerName val="0"/>
          <c:showPercent val="0"/>
          <c:showBubbleSize val="0"/>
        </c:dLbls>
        <c:gapWidth val="250"/>
        <c:overlap val="100"/>
        <c:axId val="1684234752"/>
        <c:axId val="1684248672"/>
      </c:barChart>
      <c:catAx>
        <c:axId val="1684353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A2ADBE"/>
                </a:solidFill>
                <a:latin typeface="+mn-lt"/>
                <a:ea typeface="+mn-ea"/>
                <a:cs typeface="+mn-cs"/>
              </a:defRPr>
            </a:pPr>
            <a:endParaRPr lang="ru-RU"/>
          </a:p>
        </c:txPr>
        <c:crossAx val="1684362432"/>
        <c:crosses val="autoZero"/>
        <c:auto val="1"/>
        <c:lblAlgn val="ctr"/>
        <c:lblOffset val="100"/>
        <c:noMultiLvlLbl val="0"/>
      </c:catAx>
      <c:valAx>
        <c:axId val="1684362432"/>
        <c:scaling>
          <c:orientation val="minMax"/>
          <c:min val="0"/>
        </c:scaling>
        <c:delete val="1"/>
        <c:axPos val="l"/>
        <c:numFmt formatCode="General" sourceLinked="1"/>
        <c:majorTickMark val="out"/>
        <c:minorTickMark val="none"/>
        <c:tickLblPos val="nextTo"/>
        <c:crossAx val="1684353792"/>
        <c:crosses val="autoZero"/>
        <c:crossBetween val="between"/>
      </c:valAx>
      <c:valAx>
        <c:axId val="1684248672"/>
        <c:scaling>
          <c:orientation val="minMax"/>
        </c:scaling>
        <c:delete val="1"/>
        <c:axPos val="r"/>
        <c:numFmt formatCode="General" sourceLinked="1"/>
        <c:majorTickMark val="out"/>
        <c:minorTickMark val="none"/>
        <c:tickLblPos val="nextTo"/>
        <c:crossAx val="1684234752"/>
        <c:crosses val="max"/>
        <c:crossBetween val="between"/>
      </c:valAx>
      <c:catAx>
        <c:axId val="1684234752"/>
        <c:scaling>
          <c:orientation val="minMax"/>
        </c:scaling>
        <c:delete val="1"/>
        <c:axPos val="b"/>
        <c:majorTickMark val="out"/>
        <c:minorTickMark val="none"/>
        <c:tickLblPos val="nextTo"/>
        <c:crossAx val="1684248672"/>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spPr>
            <a:noFill/>
            <a:ln>
              <a:noFill/>
            </a:ln>
            <a:effectLst/>
          </c:spPr>
          <c:invertIfNegative val="0"/>
          <c:cat>
            <c:strRef>
              <c:f>Processing!$I$2:$I$6</c:f>
              <c:strCache>
                <c:ptCount val="5"/>
                <c:pt idx="0">
                  <c:v>MON</c:v>
                </c:pt>
                <c:pt idx="1">
                  <c:v>TUE</c:v>
                </c:pt>
                <c:pt idx="2">
                  <c:v>WED</c:v>
                </c:pt>
                <c:pt idx="3">
                  <c:v>THU</c:v>
                </c:pt>
                <c:pt idx="4">
                  <c:v>FRI</c:v>
                </c:pt>
              </c:strCache>
            </c:strRef>
          </c:cat>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0-4E92-4557-BDD0-253CDE4DF6B4}"/>
            </c:ext>
          </c:extLst>
        </c:ser>
        <c:ser>
          <c:idx val="0"/>
          <c:order val="1"/>
          <c:spPr>
            <a:solidFill>
              <a:schemeClr val="accent1"/>
            </a:solidFill>
            <a:ln w="88900">
              <a:gradFill>
                <a:gsLst>
                  <a:gs pos="0">
                    <a:srgbClr val="4E7AFF"/>
                  </a:gs>
                  <a:gs pos="100000">
                    <a:srgbClr val="4552F1"/>
                  </a:gs>
                </a:gsLst>
                <a:lin ang="5400000" scaled="1"/>
              </a:gradFill>
            </a:ln>
            <a:effectLst/>
          </c:spPr>
          <c:invertIfNegative val="0"/>
          <c:cat>
            <c:strRef>
              <c:f>Processing!$I$2:$I$6</c:f>
              <c:strCache>
                <c:ptCount val="5"/>
                <c:pt idx="0">
                  <c:v>MON</c:v>
                </c:pt>
                <c:pt idx="1">
                  <c:v>TUE</c:v>
                </c:pt>
                <c:pt idx="2">
                  <c:v>WED</c:v>
                </c:pt>
                <c:pt idx="3">
                  <c:v>THU</c:v>
                </c:pt>
                <c:pt idx="4">
                  <c:v>FRI</c:v>
                </c:pt>
              </c:strCache>
            </c:strRef>
          </c:cat>
          <c:val>
            <c:numRef>
              <c:f>Processing!$J$2:$J$6</c:f>
              <c:numCache>
                <c:formatCode>General</c:formatCode>
                <c:ptCount val="5"/>
                <c:pt idx="0">
                  <c:v>1511</c:v>
                </c:pt>
                <c:pt idx="1">
                  <c:v>5603</c:v>
                </c:pt>
                <c:pt idx="2">
                  <c:v>5741</c:v>
                </c:pt>
                <c:pt idx="3">
                  <c:v>2858</c:v>
                </c:pt>
                <c:pt idx="4">
                  <c:v>1164</c:v>
                </c:pt>
              </c:numCache>
            </c:numRef>
          </c:val>
          <c:extLst>
            <c:ext xmlns:c16="http://schemas.microsoft.com/office/drawing/2014/chart" uri="{C3380CC4-5D6E-409C-BE32-E72D297353CC}">
              <c16:uniqueId val="{00000001-4E92-4557-BDD0-253CDE4DF6B4}"/>
            </c:ext>
          </c:extLst>
        </c:ser>
        <c:dLbls>
          <c:showLegendKey val="0"/>
          <c:showVal val="0"/>
          <c:showCatName val="0"/>
          <c:showSerName val="0"/>
          <c:showPercent val="0"/>
          <c:showBubbleSize val="0"/>
        </c:dLbls>
        <c:gapWidth val="250"/>
        <c:overlap val="100"/>
        <c:axId val="1684353792"/>
        <c:axId val="1684362432"/>
      </c:barChart>
      <c:barChart>
        <c:barDir val="col"/>
        <c:grouping val="stacked"/>
        <c:varyColors val="0"/>
        <c:ser>
          <c:idx val="3"/>
          <c:order val="2"/>
          <c:tx>
            <c:v>indent Cursor</c:v>
          </c:tx>
          <c:spPr>
            <a:noFill/>
            <a:ln>
              <a:noFill/>
            </a:ln>
            <a:effectLst/>
          </c:spPr>
          <c:invertIfNegative val="0"/>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2-4E92-4557-BDD0-253CDE4DF6B4}"/>
            </c:ext>
          </c:extLst>
        </c:ser>
        <c:ser>
          <c:idx val="1"/>
          <c:order val="3"/>
          <c:spPr>
            <a:solidFill>
              <a:schemeClr val="accent2"/>
            </a:solidFill>
            <a:ln w="88900">
              <a:gradFill>
                <a:gsLst>
                  <a:gs pos="0">
                    <a:srgbClr val="F17EEC"/>
                  </a:gs>
                  <a:gs pos="100000">
                    <a:srgbClr val="EE0078"/>
                  </a:gs>
                </a:gsLst>
                <a:lin ang="5400000" scaled="1"/>
              </a:gradFill>
            </a:ln>
            <a:effectLst>
              <a:outerShdw blurRad="50800" dist="38100" dir="8100000" algn="tr" rotWithShape="0">
                <a:prstClr val="black">
                  <a:alpha val="40000"/>
                </a:prstClr>
              </a:outerShdw>
            </a:effectLst>
          </c:spPr>
          <c:invertIfNegative val="0"/>
          <c:cat>
            <c:strRef>
              <c:f>Processing!$I$2:$I$6</c:f>
              <c:strCache>
                <c:ptCount val="5"/>
                <c:pt idx="0">
                  <c:v>MON</c:v>
                </c:pt>
                <c:pt idx="1">
                  <c:v>TUE</c:v>
                </c:pt>
                <c:pt idx="2">
                  <c:v>WED</c:v>
                </c:pt>
                <c:pt idx="3">
                  <c:v>THU</c:v>
                </c:pt>
                <c:pt idx="4">
                  <c:v>FRI</c:v>
                </c:pt>
              </c:strCache>
            </c:strRef>
          </c:cat>
          <c:val>
            <c:numRef>
              <c:f>Processing!$K$2:$K$6</c:f>
              <c:numCache>
                <c:formatCode>General</c:formatCode>
                <c:ptCount val="5"/>
                <c:pt idx="0">
                  <c:v>#N/A</c:v>
                </c:pt>
                <c:pt idx="1">
                  <c:v>5603</c:v>
                </c:pt>
                <c:pt idx="2">
                  <c:v>5741</c:v>
                </c:pt>
                <c:pt idx="3">
                  <c:v>2858</c:v>
                </c:pt>
                <c:pt idx="4">
                  <c:v>1164</c:v>
                </c:pt>
              </c:numCache>
            </c:numRef>
          </c:val>
          <c:extLst>
            <c:ext xmlns:c16="http://schemas.microsoft.com/office/drawing/2014/chart" uri="{C3380CC4-5D6E-409C-BE32-E72D297353CC}">
              <c16:uniqueId val="{00000003-4E92-4557-BDD0-253CDE4DF6B4}"/>
            </c:ext>
          </c:extLst>
        </c:ser>
        <c:dLbls>
          <c:showLegendKey val="0"/>
          <c:showVal val="0"/>
          <c:showCatName val="0"/>
          <c:showSerName val="0"/>
          <c:showPercent val="0"/>
          <c:showBubbleSize val="0"/>
        </c:dLbls>
        <c:gapWidth val="250"/>
        <c:overlap val="100"/>
        <c:axId val="1684234752"/>
        <c:axId val="1684248672"/>
      </c:barChart>
      <c:catAx>
        <c:axId val="1684353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A2ADBE"/>
                </a:solidFill>
                <a:latin typeface="+mn-lt"/>
                <a:ea typeface="+mn-ea"/>
                <a:cs typeface="+mn-cs"/>
              </a:defRPr>
            </a:pPr>
            <a:endParaRPr lang="ru-RU"/>
          </a:p>
        </c:txPr>
        <c:crossAx val="1684362432"/>
        <c:crosses val="autoZero"/>
        <c:auto val="1"/>
        <c:lblAlgn val="ctr"/>
        <c:lblOffset val="100"/>
        <c:noMultiLvlLbl val="0"/>
      </c:catAx>
      <c:valAx>
        <c:axId val="1684362432"/>
        <c:scaling>
          <c:orientation val="minMax"/>
          <c:min val="0"/>
        </c:scaling>
        <c:delete val="1"/>
        <c:axPos val="l"/>
        <c:numFmt formatCode="General" sourceLinked="1"/>
        <c:majorTickMark val="out"/>
        <c:minorTickMark val="none"/>
        <c:tickLblPos val="nextTo"/>
        <c:crossAx val="1684353792"/>
        <c:crosses val="autoZero"/>
        <c:crossBetween val="between"/>
      </c:valAx>
      <c:valAx>
        <c:axId val="1684248672"/>
        <c:scaling>
          <c:orientation val="minMax"/>
        </c:scaling>
        <c:delete val="1"/>
        <c:axPos val="r"/>
        <c:numFmt formatCode="General" sourceLinked="1"/>
        <c:majorTickMark val="out"/>
        <c:minorTickMark val="none"/>
        <c:tickLblPos val="nextTo"/>
        <c:crossAx val="1684234752"/>
        <c:crosses val="max"/>
        <c:crossBetween val="between"/>
      </c:valAx>
      <c:catAx>
        <c:axId val="1684234752"/>
        <c:scaling>
          <c:orientation val="minMax"/>
        </c:scaling>
        <c:delete val="1"/>
        <c:axPos val="b"/>
        <c:majorTickMark val="out"/>
        <c:minorTickMark val="none"/>
        <c:tickLblPos val="nextTo"/>
        <c:crossAx val="168424867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1-3D32-4347-AA56-F1E462B7BF6D}"/>
              </c:ext>
            </c:extLst>
          </c:dPt>
          <c:dPt>
            <c:idx val="1"/>
            <c:bubble3D val="0"/>
            <c:spPr>
              <a:noFill/>
              <a:ln w="9525">
                <a:solidFill>
                  <a:srgbClr val="6476CE"/>
                </a:solidFill>
              </a:ln>
              <a:effectLst/>
            </c:spPr>
            <c:extLst>
              <c:ext xmlns:c16="http://schemas.microsoft.com/office/drawing/2014/chart" uri="{C3380CC4-5D6E-409C-BE32-E72D297353CC}">
                <c16:uniqueId val="{00000003-3D32-4347-AA56-F1E462B7BF6D}"/>
              </c:ext>
            </c:extLst>
          </c:dPt>
          <c:dPt>
            <c:idx val="2"/>
            <c:bubble3D val="0"/>
            <c:spPr>
              <a:noFill/>
              <a:ln w="9525">
                <a:solidFill>
                  <a:srgbClr val="6476CE"/>
                </a:solidFill>
              </a:ln>
              <a:effectLst/>
            </c:spPr>
            <c:extLst>
              <c:ext xmlns:c16="http://schemas.microsoft.com/office/drawing/2014/chart" uri="{C3380CC4-5D6E-409C-BE32-E72D297353CC}">
                <c16:uniqueId val="{00000005-3D32-4347-AA56-F1E462B7BF6D}"/>
              </c:ext>
            </c:extLst>
          </c:dPt>
          <c:dPt>
            <c:idx val="3"/>
            <c:bubble3D val="0"/>
            <c:spPr>
              <a:noFill/>
              <a:ln w="9525">
                <a:solidFill>
                  <a:srgbClr val="6476CE"/>
                </a:solidFill>
              </a:ln>
              <a:effectLst/>
            </c:spPr>
            <c:extLst>
              <c:ext xmlns:c16="http://schemas.microsoft.com/office/drawing/2014/chart" uri="{C3380CC4-5D6E-409C-BE32-E72D297353CC}">
                <c16:uniqueId val="{00000007-3D32-4347-AA56-F1E462B7BF6D}"/>
              </c:ext>
            </c:extLst>
          </c:dPt>
          <c:dPt>
            <c:idx val="4"/>
            <c:bubble3D val="0"/>
            <c:spPr>
              <a:noFill/>
              <a:ln w="9525">
                <a:solidFill>
                  <a:srgbClr val="6476CE"/>
                </a:solidFill>
              </a:ln>
              <a:effectLst/>
            </c:spPr>
            <c:extLst>
              <c:ext xmlns:c16="http://schemas.microsoft.com/office/drawing/2014/chart" uri="{C3380CC4-5D6E-409C-BE32-E72D297353CC}">
                <c16:uniqueId val="{00000009-3D32-4347-AA56-F1E462B7BF6D}"/>
              </c:ext>
            </c:extLst>
          </c:dPt>
          <c:val>
            <c:numRef>
              <c:f>Processing!$P$11:$T$11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3D32-4347-AA56-F1E462B7BF6D}"/>
            </c:ext>
          </c:extLst>
        </c:ser>
        <c:ser>
          <c:idx val="1"/>
          <c:order val="1"/>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C-3D32-4347-AA56-F1E462B7BF6D}"/>
              </c:ext>
            </c:extLst>
          </c:dPt>
          <c:dPt>
            <c:idx val="1"/>
            <c:bubble3D val="0"/>
            <c:spPr>
              <a:noFill/>
              <a:ln w="9525">
                <a:solidFill>
                  <a:srgbClr val="6476CE"/>
                </a:solidFill>
              </a:ln>
              <a:effectLst/>
            </c:spPr>
            <c:extLst>
              <c:ext xmlns:c16="http://schemas.microsoft.com/office/drawing/2014/chart" uri="{C3380CC4-5D6E-409C-BE32-E72D297353CC}">
                <c16:uniqueId val="{0000000E-3D32-4347-AA56-F1E462B7BF6D}"/>
              </c:ext>
            </c:extLst>
          </c:dPt>
          <c:dPt>
            <c:idx val="2"/>
            <c:bubble3D val="0"/>
            <c:spPr>
              <a:noFill/>
              <a:ln w="9525">
                <a:solidFill>
                  <a:srgbClr val="6476CE"/>
                </a:solidFill>
              </a:ln>
              <a:effectLst/>
            </c:spPr>
            <c:extLst>
              <c:ext xmlns:c16="http://schemas.microsoft.com/office/drawing/2014/chart" uri="{C3380CC4-5D6E-409C-BE32-E72D297353CC}">
                <c16:uniqueId val="{00000010-3D32-4347-AA56-F1E462B7BF6D}"/>
              </c:ext>
            </c:extLst>
          </c:dPt>
          <c:dPt>
            <c:idx val="3"/>
            <c:bubble3D val="0"/>
            <c:spPr>
              <a:noFill/>
              <a:ln w="9525">
                <a:solidFill>
                  <a:srgbClr val="6476CE"/>
                </a:solidFill>
              </a:ln>
              <a:effectLst/>
            </c:spPr>
            <c:extLst>
              <c:ext xmlns:c16="http://schemas.microsoft.com/office/drawing/2014/chart" uri="{C3380CC4-5D6E-409C-BE32-E72D297353CC}">
                <c16:uniqueId val="{00000012-3D32-4347-AA56-F1E462B7BF6D}"/>
              </c:ext>
            </c:extLst>
          </c:dPt>
          <c:dPt>
            <c:idx val="4"/>
            <c:bubble3D val="0"/>
            <c:spPr>
              <a:noFill/>
              <a:ln w="9525">
                <a:solidFill>
                  <a:srgbClr val="6476CE"/>
                </a:solidFill>
              </a:ln>
              <a:effectLst/>
            </c:spPr>
            <c:extLst>
              <c:ext xmlns:c16="http://schemas.microsoft.com/office/drawing/2014/chart" uri="{C3380CC4-5D6E-409C-BE32-E72D297353CC}">
                <c16:uniqueId val="{00000014-3D32-4347-AA56-F1E462B7BF6D}"/>
              </c:ext>
            </c:extLst>
          </c:dPt>
          <c:val>
            <c:numRef>
              <c:f>Processing!$P$12:$T$12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3D32-4347-AA56-F1E462B7BF6D}"/>
            </c:ext>
          </c:extLst>
        </c:ser>
        <c:ser>
          <c:idx val="2"/>
          <c:order val="2"/>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17-3D32-4347-AA56-F1E462B7BF6D}"/>
              </c:ext>
            </c:extLst>
          </c:dPt>
          <c:dPt>
            <c:idx val="1"/>
            <c:bubble3D val="0"/>
            <c:spPr>
              <a:noFill/>
              <a:ln w="9525">
                <a:solidFill>
                  <a:srgbClr val="6476CE"/>
                </a:solidFill>
              </a:ln>
              <a:effectLst/>
            </c:spPr>
            <c:extLst>
              <c:ext xmlns:c16="http://schemas.microsoft.com/office/drawing/2014/chart" uri="{C3380CC4-5D6E-409C-BE32-E72D297353CC}">
                <c16:uniqueId val="{00000019-3D32-4347-AA56-F1E462B7BF6D}"/>
              </c:ext>
            </c:extLst>
          </c:dPt>
          <c:dPt>
            <c:idx val="2"/>
            <c:bubble3D val="0"/>
            <c:spPr>
              <a:noFill/>
              <a:ln w="9525">
                <a:solidFill>
                  <a:srgbClr val="6476CE"/>
                </a:solidFill>
              </a:ln>
              <a:effectLst/>
            </c:spPr>
            <c:extLst>
              <c:ext xmlns:c16="http://schemas.microsoft.com/office/drawing/2014/chart" uri="{C3380CC4-5D6E-409C-BE32-E72D297353CC}">
                <c16:uniqueId val="{0000001B-3D32-4347-AA56-F1E462B7BF6D}"/>
              </c:ext>
            </c:extLst>
          </c:dPt>
          <c:dPt>
            <c:idx val="3"/>
            <c:bubble3D val="0"/>
            <c:spPr>
              <a:noFill/>
              <a:ln w="9525">
                <a:solidFill>
                  <a:srgbClr val="6476CE"/>
                </a:solidFill>
              </a:ln>
              <a:effectLst/>
            </c:spPr>
            <c:extLst>
              <c:ext xmlns:c16="http://schemas.microsoft.com/office/drawing/2014/chart" uri="{C3380CC4-5D6E-409C-BE32-E72D297353CC}">
                <c16:uniqueId val="{0000001D-3D32-4347-AA56-F1E462B7BF6D}"/>
              </c:ext>
            </c:extLst>
          </c:dPt>
          <c:dPt>
            <c:idx val="4"/>
            <c:bubble3D val="0"/>
            <c:spPr>
              <a:noFill/>
              <a:ln w="9525">
                <a:solidFill>
                  <a:srgbClr val="6476CE"/>
                </a:solidFill>
              </a:ln>
              <a:effectLst/>
            </c:spPr>
            <c:extLst>
              <c:ext xmlns:c16="http://schemas.microsoft.com/office/drawing/2014/chart" uri="{C3380CC4-5D6E-409C-BE32-E72D297353CC}">
                <c16:uniqueId val="{0000001F-3D32-4347-AA56-F1E462B7BF6D}"/>
              </c:ext>
            </c:extLst>
          </c:dPt>
          <c:val>
            <c:numRef>
              <c:f>Processing!$P$13:$T$13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3D32-4347-AA56-F1E462B7BF6D}"/>
            </c:ext>
          </c:extLst>
        </c:ser>
        <c:ser>
          <c:idx val="3"/>
          <c:order val="3"/>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22-3D32-4347-AA56-F1E462B7BF6D}"/>
              </c:ext>
            </c:extLst>
          </c:dPt>
          <c:dPt>
            <c:idx val="1"/>
            <c:bubble3D val="0"/>
            <c:spPr>
              <a:noFill/>
              <a:ln w="9525">
                <a:solidFill>
                  <a:srgbClr val="6476CE"/>
                </a:solidFill>
              </a:ln>
              <a:effectLst/>
            </c:spPr>
            <c:extLst>
              <c:ext xmlns:c16="http://schemas.microsoft.com/office/drawing/2014/chart" uri="{C3380CC4-5D6E-409C-BE32-E72D297353CC}">
                <c16:uniqueId val="{00000024-3D32-4347-AA56-F1E462B7BF6D}"/>
              </c:ext>
            </c:extLst>
          </c:dPt>
          <c:dPt>
            <c:idx val="2"/>
            <c:bubble3D val="0"/>
            <c:spPr>
              <a:noFill/>
              <a:ln w="9525">
                <a:solidFill>
                  <a:srgbClr val="6476CE"/>
                </a:solidFill>
              </a:ln>
              <a:effectLst/>
            </c:spPr>
            <c:extLst>
              <c:ext xmlns:c16="http://schemas.microsoft.com/office/drawing/2014/chart" uri="{C3380CC4-5D6E-409C-BE32-E72D297353CC}">
                <c16:uniqueId val="{00000026-3D32-4347-AA56-F1E462B7BF6D}"/>
              </c:ext>
            </c:extLst>
          </c:dPt>
          <c:dPt>
            <c:idx val="3"/>
            <c:bubble3D val="0"/>
            <c:spPr>
              <a:noFill/>
              <a:ln w="9525">
                <a:solidFill>
                  <a:srgbClr val="6476CE"/>
                </a:solidFill>
              </a:ln>
              <a:effectLst/>
            </c:spPr>
            <c:extLst>
              <c:ext xmlns:c16="http://schemas.microsoft.com/office/drawing/2014/chart" uri="{C3380CC4-5D6E-409C-BE32-E72D297353CC}">
                <c16:uniqueId val="{00000028-3D32-4347-AA56-F1E462B7BF6D}"/>
              </c:ext>
            </c:extLst>
          </c:dPt>
          <c:dPt>
            <c:idx val="4"/>
            <c:bubble3D val="0"/>
            <c:spPr>
              <a:noFill/>
              <a:ln w="9525">
                <a:solidFill>
                  <a:srgbClr val="6476CE"/>
                </a:solidFill>
              </a:ln>
              <a:effectLst/>
            </c:spPr>
            <c:extLst>
              <c:ext xmlns:c16="http://schemas.microsoft.com/office/drawing/2014/chart" uri="{C3380CC4-5D6E-409C-BE32-E72D297353CC}">
                <c16:uniqueId val="{0000002A-3D32-4347-AA56-F1E462B7BF6D}"/>
              </c:ext>
            </c:extLst>
          </c:dPt>
          <c:val>
            <c:numRef>
              <c:f>Processing!$P$14:$T$14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B-3D32-4347-AA56-F1E462B7BF6D}"/>
            </c:ext>
          </c:extLst>
        </c:ser>
        <c:dLbls>
          <c:showLegendKey val="0"/>
          <c:showVal val="0"/>
          <c:showCatName val="0"/>
          <c:showSerName val="0"/>
          <c:showPercent val="0"/>
          <c:showBubbleSize val="0"/>
          <c:showLeaderLines val="1"/>
        </c:dLbls>
        <c:firstSliceAng val="0"/>
        <c:holeSize val="2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Processing!$M$10</c:f>
              <c:strCache>
                <c:ptCount val="1"/>
                <c:pt idx="0">
                  <c:v>Revenue</c:v>
                </c:pt>
              </c:strCache>
            </c:strRef>
          </c:tx>
          <c:spPr>
            <a:gradFill>
              <a:gsLst>
                <a:gs pos="0">
                  <a:srgbClr val="4E7AFF">
                    <a:alpha val="90000"/>
                  </a:srgbClr>
                </a:gs>
                <a:gs pos="100000">
                  <a:srgbClr val="4552F1">
                    <a:alpha val="90000"/>
                  </a:srgbClr>
                </a:gs>
              </a:gsLst>
              <a:lin ang="5400000" scaled="1"/>
            </a:gradFill>
            <a:ln>
              <a:noFill/>
            </a:ln>
            <a:effectLst>
              <a:outerShdw blurRad="50800" dist="38100" dir="8100000" algn="tr" rotWithShape="0">
                <a:prstClr val="black">
                  <a:alpha val="40000"/>
                </a:prstClr>
              </a:outerShdw>
            </a:effectLst>
          </c:spPr>
          <c:cat>
            <c:strRef>
              <c:f>Processing!$L$11:$L$15</c:f>
              <c:strCache>
                <c:ptCount val="5"/>
                <c:pt idx="0">
                  <c:v>A</c:v>
                </c:pt>
                <c:pt idx="1">
                  <c:v>B</c:v>
                </c:pt>
                <c:pt idx="2">
                  <c:v>C</c:v>
                </c:pt>
                <c:pt idx="3">
                  <c:v>D</c:v>
                </c:pt>
                <c:pt idx="4">
                  <c:v>E</c:v>
                </c:pt>
              </c:strCache>
            </c:strRef>
          </c:cat>
          <c:val>
            <c:numRef>
              <c:f>Processing!$M$11:$M$15</c:f>
              <c:numCache>
                <c:formatCode>_("$"* #,##0.00_);_("$"* \(#,##0.00\);_("$"* "-"??_);_(@_)</c:formatCode>
                <c:ptCount val="5"/>
                <c:pt idx="0">
                  <c:v>8185</c:v>
                </c:pt>
                <c:pt idx="1">
                  <c:v>7567</c:v>
                </c:pt>
                <c:pt idx="2">
                  <c:v>5405</c:v>
                </c:pt>
                <c:pt idx="3">
                  <c:v>9111</c:v>
                </c:pt>
                <c:pt idx="4">
                  <c:v>7567</c:v>
                </c:pt>
              </c:numCache>
            </c:numRef>
          </c:val>
          <c:extLst>
            <c:ext xmlns:c16="http://schemas.microsoft.com/office/drawing/2014/chart" uri="{C3380CC4-5D6E-409C-BE32-E72D297353CC}">
              <c16:uniqueId val="{00000000-C1F0-4B49-AFA9-CEA99CB241D7}"/>
            </c:ext>
          </c:extLst>
        </c:ser>
        <c:ser>
          <c:idx val="1"/>
          <c:order val="1"/>
          <c:tx>
            <c:strRef>
              <c:f>Processing!$N$10</c:f>
              <c:strCache>
                <c:ptCount val="1"/>
                <c:pt idx="0">
                  <c:v>Sales</c:v>
                </c:pt>
              </c:strCache>
            </c:strRef>
          </c:tx>
          <c:spPr>
            <a:gradFill>
              <a:gsLst>
                <a:gs pos="0">
                  <a:srgbClr val="F17EEC">
                    <a:alpha val="80000"/>
                  </a:srgbClr>
                </a:gs>
                <a:gs pos="100000">
                  <a:srgbClr val="EE0078">
                    <a:alpha val="80000"/>
                  </a:srgbClr>
                </a:gs>
              </a:gsLst>
              <a:lin ang="5400000" scaled="1"/>
            </a:gradFill>
            <a:ln>
              <a:noFill/>
            </a:ln>
            <a:effectLst>
              <a:outerShdw blurRad="50800" dist="38100" dir="13500000" algn="br" rotWithShape="0">
                <a:prstClr val="black">
                  <a:alpha val="40000"/>
                </a:prstClr>
              </a:outerShdw>
            </a:effectLst>
          </c:spPr>
          <c:cat>
            <c:strRef>
              <c:f>Processing!$L$11:$L$15</c:f>
              <c:strCache>
                <c:ptCount val="5"/>
                <c:pt idx="0">
                  <c:v>A</c:v>
                </c:pt>
                <c:pt idx="1">
                  <c:v>B</c:v>
                </c:pt>
                <c:pt idx="2">
                  <c:v>C</c:v>
                </c:pt>
                <c:pt idx="3">
                  <c:v>D</c:v>
                </c:pt>
                <c:pt idx="4">
                  <c:v>E</c:v>
                </c:pt>
              </c:strCache>
            </c:strRef>
          </c:cat>
          <c:val>
            <c:numRef>
              <c:f>Processing!$N$11:$N$15</c:f>
              <c:numCache>
                <c:formatCode>_("$"* #,##0.00_);_("$"* \(#,##0.00\);_("$"* "-"??_);_(@_)</c:formatCode>
                <c:ptCount val="5"/>
                <c:pt idx="0">
                  <c:v>7381.8451474918056</c:v>
                </c:pt>
                <c:pt idx="1">
                  <c:v>8409.9741542136544</c:v>
                </c:pt>
                <c:pt idx="2">
                  <c:v>7244.885506360758</c:v>
                </c:pt>
                <c:pt idx="3">
                  <c:v>4026.7997889006169</c:v>
                </c:pt>
                <c:pt idx="4">
                  <c:v>6479.4954030331646</c:v>
                </c:pt>
              </c:numCache>
            </c:numRef>
          </c:val>
          <c:extLst>
            <c:ext xmlns:c16="http://schemas.microsoft.com/office/drawing/2014/chart" uri="{C3380CC4-5D6E-409C-BE32-E72D297353CC}">
              <c16:uniqueId val="{00000001-C1F0-4B49-AFA9-CEA99CB241D7}"/>
            </c:ext>
          </c:extLst>
        </c:ser>
        <c:dLbls>
          <c:showLegendKey val="0"/>
          <c:showVal val="0"/>
          <c:showCatName val="0"/>
          <c:showSerName val="0"/>
          <c:showPercent val="0"/>
          <c:showBubbleSize val="0"/>
        </c:dLbls>
        <c:axId val="1824798800"/>
        <c:axId val="1824798320"/>
      </c:radarChart>
      <c:catAx>
        <c:axId val="1824798800"/>
        <c:scaling>
          <c:orientation val="minMax"/>
        </c:scaling>
        <c:delete val="1"/>
        <c:axPos val="b"/>
        <c:numFmt formatCode="General" sourceLinked="1"/>
        <c:majorTickMark val="none"/>
        <c:minorTickMark val="none"/>
        <c:tickLblPos val="nextTo"/>
        <c:crossAx val="1824798320"/>
        <c:crosses val="autoZero"/>
        <c:auto val="1"/>
        <c:lblAlgn val="ctr"/>
        <c:lblOffset val="100"/>
        <c:noMultiLvlLbl val="0"/>
      </c:catAx>
      <c:valAx>
        <c:axId val="1824798320"/>
        <c:scaling>
          <c:orientation val="minMax"/>
        </c:scaling>
        <c:delete val="1"/>
        <c:axPos val="l"/>
        <c:numFmt formatCode="_(&quot;$&quot;* #,##0.00_);_(&quot;$&quot;* \(#,##0.00\);_(&quot;$&quot;* &quot;-&quot;??_);_(@_)" sourceLinked="1"/>
        <c:majorTickMark val="none"/>
        <c:minorTickMark val="none"/>
        <c:tickLblPos val="nextTo"/>
        <c:crossAx val="18247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a:gsLst>
                <a:gs pos="0">
                  <a:srgbClr val="4552F1">
                    <a:alpha val="10000"/>
                  </a:srgbClr>
                </a:gs>
                <a:gs pos="100000">
                  <a:srgbClr val="4552F1">
                    <a:alpha val="0"/>
                  </a:srgbClr>
                </a:gs>
                <a:gs pos="82000">
                  <a:srgbClr val="4552F1">
                    <a:alpha val="22000"/>
                  </a:srgbClr>
                </a:gs>
              </a:gsLst>
              <a:lin ang="5400000" scaled="0"/>
            </a:gradFill>
            <a:ln>
              <a:noFill/>
            </a:ln>
            <a:effectLst/>
          </c:spP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extLst>
            <c:ext xmlns:c16="http://schemas.microsoft.com/office/drawing/2014/chart" uri="{C3380CC4-5D6E-409C-BE32-E72D297353CC}">
              <c16:uniqueId val="{00000000-BAB9-4B6A-ABAF-4274619B5556}"/>
            </c:ext>
          </c:extLst>
        </c:ser>
        <c:dLbls>
          <c:showLegendKey val="0"/>
          <c:showVal val="0"/>
          <c:showCatName val="0"/>
          <c:showSerName val="0"/>
          <c:showPercent val="0"/>
          <c:showBubbleSize val="0"/>
        </c:dLbls>
        <c:axId val="1953973136"/>
        <c:axId val="1953968816"/>
      </c:areaChart>
      <c:lineChart>
        <c:grouping val="standard"/>
        <c:varyColors val="0"/>
        <c:ser>
          <c:idx val="1"/>
          <c:order val="0"/>
          <c:tx>
            <c:strRef>
              <c:f>Processing!$C$19</c:f>
              <c:strCache>
                <c:ptCount val="1"/>
                <c:pt idx="0">
                  <c:v>Expenses</c:v>
                </c:pt>
              </c:strCache>
            </c:strRef>
          </c:tx>
          <c:spPr>
            <a:ln w="25400" cap="rnd">
              <a:gradFill>
                <a:gsLst>
                  <a:gs pos="0">
                    <a:srgbClr val="EE0078"/>
                  </a:gs>
                  <a:gs pos="100000">
                    <a:srgbClr val="F17EEC"/>
                  </a:gs>
                </a:gsLst>
                <a:lin ang="0" scaled="0"/>
              </a:gradFill>
              <a:round/>
            </a:ln>
            <a:effectLst/>
          </c:spPr>
          <c:marker>
            <c:symbol val="none"/>
          </c:marker>
          <c:val>
            <c:numRef>
              <c:f>Processing!$C$20:$C$31</c:f>
              <c:numCache>
                <c:formatCode>General</c:formatCode>
                <c:ptCount val="12"/>
                <c:pt idx="0">
                  <c:v>26660</c:v>
                </c:pt>
                <c:pt idx="1">
                  <c:v>32060</c:v>
                </c:pt>
                <c:pt idx="2">
                  <c:v>35760</c:v>
                </c:pt>
                <c:pt idx="3">
                  <c:v>36560</c:v>
                </c:pt>
                <c:pt idx="4">
                  <c:v>34220</c:v>
                </c:pt>
                <c:pt idx="5">
                  <c:v>29500</c:v>
                </c:pt>
                <c:pt idx="6">
                  <c:v>23820</c:v>
                </c:pt>
                <c:pt idx="7">
                  <c:v>19100</c:v>
                </c:pt>
                <c:pt idx="8">
                  <c:v>16760</c:v>
                </c:pt>
                <c:pt idx="9">
                  <c:v>17560</c:v>
                </c:pt>
                <c:pt idx="10">
                  <c:v>21260</c:v>
                </c:pt>
                <c:pt idx="11">
                  <c:v>26660</c:v>
                </c:pt>
              </c:numCache>
            </c:numRef>
          </c:val>
          <c:smooth val="1"/>
          <c:extLst>
            <c:ext xmlns:c16="http://schemas.microsoft.com/office/drawing/2014/chart" uri="{C3380CC4-5D6E-409C-BE32-E72D297353CC}">
              <c16:uniqueId val="{00000001-BAB9-4B6A-ABAF-4274619B5556}"/>
            </c:ext>
          </c:extLst>
        </c:ser>
        <c:ser>
          <c:idx val="0"/>
          <c:order val="1"/>
          <c:tx>
            <c:strRef>
              <c:f>Processing!$B$19</c:f>
              <c:strCache>
                <c:ptCount val="1"/>
                <c:pt idx="0">
                  <c:v>Revenue</c:v>
                </c:pt>
              </c:strCache>
            </c:strRef>
          </c:tx>
          <c:spPr>
            <a:ln w="25400" cap="rnd">
              <a:gradFill>
                <a:gsLst>
                  <a:gs pos="0">
                    <a:srgbClr val="00C6D1"/>
                  </a:gs>
                  <a:gs pos="100000">
                    <a:srgbClr val="97FAFF"/>
                  </a:gs>
                </a:gsLst>
                <a:lin ang="0" scaled="0"/>
              </a:gradFill>
              <a:round/>
            </a:ln>
            <a:effectLst>
              <a:outerShdw blurRad="50800" dist="38100" dir="5400000" algn="t" rotWithShape="0">
                <a:prstClr val="black">
                  <a:alpha val="40000"/>
                </a:prstClr>
              </a:outerShdw>
            </a:effectLst>
          </c:spPr>
          <c:marker>
            <c:symbol val="none"/>
          </c:marke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smooth val="1"/>
          <c:extLst>
            <c:ext xmlns:c16="http://schemas.microsoft.com/office/drawing/2014/chart" uri="{C3380CC4-5D6E-409C-BE32-E72D297353CC}">
              <c16:uniqueId val="{00000002-BAB9-4B6A-ABAF-4274619B5556}"/>
            </c:ext>
          </c:extLst>
        </c:ser>
        <c:dLbls>
          <c:showLegendKey val="0"/>
          <c:showVal val="0"/>
          <c:showCatName val="0"/>
          <c:showSerName val="0"/>
          <c:showPercent val="0"/>
          <c:showBubbleSize val="0"/>
        </c:dLbls>
        <c:marker val="1"/>
        <c:smooth val="0"/>
        <c:axId val="1953973136"/>
        <c:axId val="1953968816"/>
      </c:lineChart>
      <c:scatterChart>
        <c:scatterStyle val="lineMarker"/>
        <c:varyColors val="0"/>
        <c:ser>
          <c:idx val="3"/>
          <c:order val="3"/>
          <c:tx>
            <c:v>Cursor</c:v>
          </c:tx>
          <c:spPr>
            <a:ln w="25400" cap="rnd">
              <a:noFill/>
              <a:round/>
            </a:ln>
            <a:effectLst>
              <a:outerShdw blurRad="50800" dist="38100" dir="2700000" algn="tl" rotWithShape="0">
                <a:prstClr val="black">
                  <a:alpha val="40000"/>
                </a:prstClr>
              </a:outerShdw>
            </a:effectLst>
          </c:spPr>
          <c:marker>
            <c:symbol val="circle"/>
            <c:size val="7"/>
            <c:spPr>
              <a:solidFill>
                <a:srgbClr val="1E2255"/>
              </a:solidFill>
              <a:ln w="9525">
                <a:solidFill>
                  <a:srgbClr val="97FAFF"/>
                </a:solidFill>
              </a:ln>
              <a:effectLst>
                <a:outerShdw blurRad="50800" dist="38100" dir="2700000" algn="tl" rotWithShape="0">
                  <a:prstClr val="black">
                    <a:alpha val="40000"/>
                  </a:prstClr>
                </a:outerShdw>
              </a:effectLst>
            </c:spPr>
          </c:marker>
          <c:yVal>
            <c:numRef>
              <c:f>Processing!$D$20:$D$31</c:f>
              <c:numCache>
                <c:formatCode>General</c:formatCode>
                <c:ptCount val="12"/>
                <c:pt idx="0">
                  <c:v>37835</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BAB9-4B6A-ABAF-4274619B5556}"/>
            </c:ext>
          </c:extLst>
        </c:ser>
        <c:dLbls>
          <c:showLegendKey val="0"/>
          <c:showVal val="0"/>
          <c:showCatName val="0"/>
          <c:showSerName val="0"/>
          <c:showPercent val="0"/>
          <c:showBubbleSize val="0"/>
        </c:dLbls>
        <c:axId val="1953973136"/>
        <c:axId val="1953968816"/>
      </c:scatterChart>
      <c:catAx>
        <c:axId val="1953973136"/>
        <c:scaling>
          <c:orientation val="minMax"/>
        </c:scaling>
        <c:delete val="1"/>
        <c:axPos val="b"/>
        <c:majorTickMark val="none"/>
        <c:minorTickMark val="none"/>
        <c:tickLblPos val="nextTo"/>
        <c:crossAx val="1953968816"/>
        <c:crosses val="autoZero"/>
        <c:auto val="1"/>
        <c:lblAlgn val="ctr"/>
        <c:lblOffset val="100"/>
        <c:noMultiLvlLbl val="0"/>
      </c:catAx>
      <c:valAx>
        <c:axId val="1953968816"/>
        <c:scaling>
          <c:orientation val="minMax"/>
        </c:scaling>
        <c:delete val="1"/>
        <c:axPos val="l"/>
        <c:numFmt formatCode="General" sourceLinked="1"/>
        <c:majorTickMark val="none"/>
        <c:minorTickMark val="none"/>
        <c:tickLblPos val="nextTo"/>
        <c:crossAx val="195397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Processing!$J$20</c:f>
              <c:strCache>
                <c:ptCount val="1"/>
                <c:pt idx="0">
                  <c:v>ROI</c:v>
                </c:pt>
              </c:strCache>
            </c:strRef>
          </c:tx>
          <c:spPr>
            <a:ln>
              <a:noFill/>
            </a:ln>
            <a:effectLst>
              <a:outerShdw blurRad="50800" dist="38100" dir="8100000" algn="tr" rotWithShape="0">
                <a:prstClr val="black">
                  <a:alpha val="40000"/>
                </a:prstClr>
              </a:outerShdw>
            </a:effectLst>
          </c:spPr>
          <c:dPt>
            <c:idx val="0"/>
            <c:bubble3D val="0"/>
            <c:spPr>
              <a:gradFill>
                <a:gsLst>
                  <a:gs pos="0">
                    <a:srgbClr val="EE0078"/>
                  </a:gs>
                  <a:gs pos="100000">
                    <a:srgbClr val="D758C9"/>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4A81-4A72-A294-A1CFB7EE50A8}"/>
              </c:ext>
            </c:extLst>
          </c:dPt>
          <c:dPt>
            <c:idx val="1"/>
            <c:bubble3D val="0"/>
            <c:spPr>
              <a:gradFill>
                <a:gsLst>
                  <a:gs pos="0">
                    <a:srgbClr val="7A4FF0"/>
                  </a:gs>
                  <a:gs pos="100000">
                    <a:srgbClr val="60A8FF"/>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4A81-4A72-A294-A1CFB7EE50A8}"/>
              </c:ext>
            </c:extLst>
          </c:dPt>
          <c:dPt>
            <c:idx val="2"/>
            <c:bubble3D val="0"/>
            <c:spPr>
              <a:solidFill>
                <a:srgbClr val="EE0078">
                  <a:alpha val="50000"/>
                </a:srgb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4A81-4A72-A294-A1CFB7EE50A8}"/>
              </c:ext>
            </c:extLst>
          </c:dPt>
          <c:val>
            <c:numRef>
              <c:f>Processing!$J$21:$J$23</c:f>
              <c:numCache>
                <c:formatCode>0%</c:formatCode>
                <c:ptCount val="3"/>
                <c:pt idx="0">
                  <c:v>0.39873688717619354</c:v>
                </c:pt>
                <c:pt idx="1">
                  <c:v>0.6012631128238064</c:v>
                </c:pt>
                <c:pt idx="2">
                  <c:v>0</c:v>
                </c:pt>
              </c:numCache>
            </c:numRef>
          </c:val>
          <c:extLst>
            <c:ext xmlns:c16="http://schemas.microsoft.com/office/drawing/2014/chart" uri="{C3380CC4-5D6E-409C-BE32-E72D297353CC}">
              <c16:uniqueId val="{00000006-4A81-4A72-A294-A1CFB7EE50A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6F8A-42DA-8551-9C5F43EA4B65}"/>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6F8A-42DA-8551-9C5F43EA4B65}"/>
              </c:ext>
            </c:extLst>
          </c:dPt>
          <c:val>
            <c:numRef>
              <c:f>Processing!$B$15:$B$16</c:f>
              <c:numCache>
                <c:formatCode>0%</c:formatCode>
                <c:ptCount val="2"/>
                <c:pt idx="0">
                  <c:v>0.43454531359020077</c:v>
                </c:pt>
                <c:pt idx="1">
                  <c:v>0.56545468640979923</c:v>
                </c:pt>
              </c:numCache>
            </c:numRef>
          </c:val>
          <c:extLst>
            <c:ext xmlns:c16="http://schemas.microsoft.com/office/drawing/2014/chart" uri="{C3380CC4-5D6E-409C-BE32-E72D297353CC}">
              <c16:uniqueId val="{00000004-6F8A-42DA-8551-9C5F43EA4B65}"/>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DA9C-4131-BC93-19C48133486A}"/>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DA9C-4131-BC93-19C48133486A}"/>
              </c:ext>
            </c:extLst>
          </c:dPt>
          <c:val>
            <c:numRef>
              <c:f>Processing!$C$15:$C$16</c:f>
              <c:numCache>
                <c:formatCode>0%</c:formatCode>
                <c:ptCount val="2"/>
                <c:pt idx="0">
                  <c:v>0.52008682843631293</c:v>
                </c:pt>
                <c:pt idx="1">
                  <c:v>0.47991317156368707</c:v>
                </c:pt>
              </c:numCache>
            </c:numRef>
          </c:val>
          <c:extLst>
            <c:ext xmlns:c16="http://schemas.microsoft.com/office/drawing/2014/chart" uri="{C3380CC4-5D6E-409C-BE32-E72D297353CC}">
              <c16:uniqueId val="{00000004-DA9C-4131-BC93-19C48133486A}"/>
            </c:ext>
          </c:extLst>
        </c:ser>
        <c:dLbls>
          <c:showLegendKey val="0"/>
          <c:showVal val="0"/>
          <c:showCatName val="0"/>
          <c:showSerName val="0"/>
          <c:showPercent val="0"/>
          <c:showBubbleSize val="0"/>
          <c:showLeaderLines val="1"/>
        </c:dLbls>
        <c:firstSliceAng val="0"/>
        <c:holeSize val="9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1-F810-481B-AD94-43865E17F63A}"/>
              </c:ext>
            </c:extLst>
          </c:dPt>
          <c:dPt>
            <c:idx val="1"/>
            <c:bubble3D val="0"/>
            <c:spPr>
              <a:noFill/>
              <a:ln w="9525">
                <a:solidFill>
                  <a:srgbClr val="6476CE"/>
                </a:solidFill>
              </a:ln>
              <a:effectLst/>
            </c:spPr>
            <c:extLst>
              <c:ext xmlns:c16="http://schemas.microsoft.com/office/drawing/2014/chart" uri="{C3380CC4-5D6E-409C-BE32-E72D297353CC}">
                <c16:uniqueId val="{00000003-F810-481B-AD94-43865E17F63A}"/>
              </c:ext>
            </c:extLst>
          </c:dPt>
          <c:dPt>
            <c:idx val="2"/>
            <c:bubble3D val="0"/>
            <c:spPr>
              <a:noFill/>
              <a:ln w="9525">
                <a:solidFill>
                  <a:srgbClr val="6476CE"/>
                </a:solidFill>
              </a:ln>
              <a:effectLst/>
            </c:spPr>
            <c:extLst>
              <c:ext xmlns:c16="http://schemas.microsoft.com/office/drawing/2014/chart" uri="{C3380CC4-5D6E-409C-BE32-E72D297353CC}">
                <c16:uniqueId val="{00000005-F810-481B-AD94-43865E17F63A}"/>
              </c:ext>
            </c:extLst>
          </c:dPt>
          <c:dPt>
            <c:idx val="3"/>
            <c:bubble3D val="0"/>
            <c:spPr>
              <a:noFill/>
              <a:ln w="9525">
                <a:solidFill>
                  <a:srgbClr val="6476CE"/>
                </a:solidFill>
              </a:ln>
              <a:effectLst/>
            </c:spPr>
            <c:extLst>
              <c:ext xmlns:c16="http://schemas.microsoft.com/office/drawing/2014/chart" uri="{C3380CC4-5D6E-409C-BE32-E72D297353CC}">
                <c16:uniqueId val="{00000007-F810-481B-AD94-43865E17F63A}"/>
              </c:ext>
            </c:extLst>
          </c:dPt>
          <c:dPt>
            <c:idx val="4"/>
            <c:bubble3D val="0"/>
            <c:spPr>
              <a:noFill/>
              <a:ln w="9525">
                <a:solidFill>
                  <a:srgbClr val="6476CE"/>
                </a:solidFill>
              </a:ln>
              <a:effectLst/>
            </c:spPr>
            <c:extLst>
              <c:ext xmlns:c16="http://schemas.microsoft.com/office/drawing/2014/chart" uri="{C3380CC4-5D6E-409C-BE32-E72D297353CC}">
                <c16:uniqueId val="{00000009-F810-481B-AD94-43865E17F63A}"/>
              </c:ext>
            </c:extLst>
          </c:dPt>
          <c:val>
            <c:numRef>
              <c:f>Processing!$P$11:$T$11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F810-481B-AD94-43865E17F63A}"/>
            </c:ext>
          </c:extLst>
        </c:ser>
        <c:ser>
          <c:idx val="1"/>
          <c:order val="1"/>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C-F810-481B-AD94-43865E17F63A}"/>
              </c:ext>
            </c:extLst>
          </c:dPt>
          <c:dPt>
            <c:idx val="1"/>
            <c:bubble3D val="0"/>
            <c:spPr>
              <a:noFill/>
              <a:ln w="9525">
                <a:solidFill>
                  <a:srgbClr val="6476CE"/>
                </a:solidFill>
              </a:ln>
              <a:effectLst/>
            </c:spPr>
            <c:extLst>
              <c:ext xmlns:c16="http://schemas.microsoft.com/office/drawing/2014/chart" uri="{C3380CC4-5D6E-409C-BE32-E72D297353CC}">
                <c16:uniqueId val="{0000000E-F810-481B-AD94-43865E17F63A}"/>
              </c:ext>
            </c:extLst>
          </c:dPt>
          <c:dPt>
            <c:idx val="2"/>
            <c:bubble3D val="0"/>
            <c:spPr>
              <a:noFill/>
              <a:ln w="9525">
                <a:solidFill>
                  <a:srgbClr val="6476CE"/>
                </a:solidFill>
              </a:ln>
              <a:effectLst/>
            </c:spPr>
            <c:extLst>
              <c:ext xmlns:c16="http://schemas.microsoft.com/office/drawing/2014/chart" uri="{C3380CC4-5D6E-409C-BE32-E72D297353CC}">
                <c16:uniqueId val="{00000010-F810-481B-AD94-43865E17F63A}"/>
              </c:ext>
            </c:extLst>
          </c:dPt>
          <c:dPt>
            <c:idx val="3"/>
            <c:bubble3D val="0"/>
            <c:spPr>
              <a:noFill/>
              <a:ln w="9525">
                <a:solidFill>
                  <a:srgbClr val="6476CE"/>
                </a:solidFill>
              </a:ln>
              <a:effectLst/>
            </c:spPr>
            <c:extLst>
              <c:ext xmlns:c16="http://schemas.microsoft.com/office/drawing/2014/chart" uri="{C3380CC4-5D6E-409C-BE32-E72D297353CC}">
                <c16:uniqueId val="{00000012-F810-481B-AD94-43865E17F63A}"/>
              </c:ext>
            </c:extLst>
          </c:dPt>
          <c:dPt>
            <c:idx val="4"/>
            <c:bubble3D val="0"/>
            <c:spPr>
              <a:noFill/>
              <a:ln w="9525">
                <a:solidFill>
                  <a:srgbClr val="6476CE"/>
                </a:solidFill>
              </a:ln>
              <a:effectLst/>
            </c:spPr>
            <c:extLst>
              <c:ext xmlns:c16="http://schemas.microsoft.com/office/drawing/2014/chart" uri="{C3380CC4-5D6E-409C-BE32-E72D297353CC}">
                <c16:uniqueId val="{00000014-F810-481B-AD94-43865E17F63A}"/>
              </c:ext>
            </c:extLst>
          </c:dPt>
          <c:val>
            <c:numRef>
              <c:f>Processing!$P$12:$T$12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F810-481B-AD94-43865E17F63A}"/>
            </c:ext>
          </c:extLst>
        </c:ser>
        <c:ser>
          <c:idx val="2"/>
          <c:order val="2"/>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17-F810-481B-AD94-43865E17F63A}"/>
              </c:ext>
            </c:extLst>
          </c:dPt>
          <c:dPt>
            <c:idx val="1"/>
            <c:bubble3D val="0"/>
            <c:spPr>
              <a:noFill/>
              <a:ln w="9525">
                <a:solidFill>
                  <a:srgbClr val="6476CE"/>
                </a:solidFill>
              </a:ln>
              <a:effectLst/>
            </c:spPr>
            <c:extLst>
              <c:ext xmlns:c16="http://schemas.microsoft.com/office/drawing/2014/chart" uri="{C3380CC4-5D6E-409C-BE32-E72D297353CC}">
                <c16:uniqueId val="{00000019-F810-481B-AD94-43865E17F63A}"/>
              </c:ext>
            </c:extLst>
          </c:dPt>
          <c:dPt>
            <c:idx val="2"/>
            <c:bubble3D val="0"/>
            <c:spPr>
              <a:noFill/>
              <a:ln w="9525">
                <a:solidFill>
                  <a:srgbClr val="6476CE"/>
                </a:solidFill>
              </a:ln>
              <a:effectLst/>
            </c:spPr>
            <c:extLst>
              <c:ext xmlns:c16="http://schemas.microsoft.com/office/drawing/2014/chart" uri="{C3380CC4-5D6E-409C-BE32-E72D297353CC}">
                <c16:uniqueId val="{0000001B-F810-481B-AD94-43865E17F63A}"/>
              </c:ext>
            </c:extLst>
          </c:dPt>
          <c:dPt>
            <c:idx val="3"/>
            <c:bubble3D val="0"/>
            <c:spPr>
              <a:noFill/>
              <a:ln w="9525">
                <a:solidFill>
                  <a:srgbClr val="6476CE"/>
                </a:solidFill>
              </a:ln>
              <a:effectLst/>
            </c:spPr>
            <c:extLst>
              <c:ext xmlns:c16="http://schemas.microsoft.com/office/drawing/2014/chart" uri="{C3380CC4-5D6E-409C-BE32-E72D297353CC}">
                <c16:uniqueId val="{0000001D-F810-481B-AD94-43865E17F63A}"/>
              </c:ext>
            </c:extLst>
          </c:dPt>
          <c:dPt>
            <c:idx val="4"/>
            <c:bubble3D val="0"/>
            <c:spPr>
              <a:noFill/>
              <a:ln w="9525">
                <a:solidFill>
                  <a:srgbClr val="6476CE"/>
                </a:solidFill>
              </a:ln>
              <a:effectLst/>
            </c:spPr>
            <c:extLst>
              <c:ext xmlns:c16="http://schemas.microsoft.com/office/drawing/2014/chart" uri="{C3380CC4-5D6E-409C-BE32-E72D297353CC}">
                <c16:uniqueId val="{0000001F-F810-481B-AD94-43865E17F63A}"/>
              </c:ext>
            </c:extLst>
          </c:dPt>
          <c:val>
            <c:numRef>
              <c:f>Processing!$P$13:$T$13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F810-481B-AD94-43865E17F63A}"/>
            </c:ext>
          </c:extLst>
        </c:ser>
        <c:ser>
          <c:idx val="3"/>
          <c:order val="3"/>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22-F810-481B-AD94-43865E17F63A}"/>
              </c:ext>
            </c:extLst>
          </c:dPt>
          <c:dPt>
            <c:idx val="1"/>
            <c:bubble3D val="0"/>
            <c:spPr>
              <a:noFill/>
              <a:ln w="9525">
                <a:solidFill>
                  <a:srgbClr val="6476CE"/>
                </a:solidFill>
              </a:ln>
              <a:effectLst/>
            </c:spPr>
            <c:extLst>
              <c:ext xmlns:c16="http://schemas.microsoft.com/office/drawing/2014/chart" uri="{C3380CC4-5D6E-409C-BE32-E72D297353CC}">
                <c16:uniqueId val="{00000024-F810-481B-AD94-43865E17F63A}"/>
              </c:ext>
            </c:extLst>
          </c:dPt>
          <c:dPt>
            <c:idx val="2"/>
            <c:bubble3D val="0"/>
            <c:spPr>
              <a:noFill/>
              <a:ln w="9525">
                <a:solidFill>
                  <a:srgbClr val="6476CE"/>
                </a:solidFill>
              </a:ln>
              <a:effectLst/>
            </c:spPr>
            <c:extLst>
              <c:ext xmlns:c16="http://schemas.microsoft.com/office/drawing/2014/chart" uri="{C3380CC4-5D6E-409C-BE32-E72D297353CC}">
                <c16:uniqueId val="{00000026-F810-481B-AD94-43865E17F63A}"/>
              </c:ext>
            </c:extLst>
          </c:dPt>
          <c:dPt>
            <c:idx val="3"/>
            <c:bubble3D val="0"/>
            <c:spPr>
              <a:noFill/>
              <a:ln w="9525">
                <a:solidFill>
                  <a:srgbClr val="6476CE"/>
                </a:solidFill>
              </a:ln>
              <a:effectLst/>
            </c:spPr>
            <c:extLst>
              <c:ext xmlns:c16="http://schemas.microsoft.com/office/drawing/2014/chart" uri="{C3380CC4-5D6E-409C-BE32-E72D297353CC}">
                <c16:uniqueId val="{00000028-F810-481B-AD94-43865E17F63A}"/>
              </c:ext>
            </c:extLst>
          </c:dPt>
          <c:dPt>
            <c:idx val="4"/>
            <c:bubble3D val="0"/>
            <c:spPr>
              <a:noFill/>
              <a:ln w="9525">
                <a:solidFill>
                  <a:srgbClr val="6476CE"/>
                </a:solidFill>
              </a:ln>
              <a:effectLst/>
            </c:spPr>
            <c:extLst>
              <c:ext xmlns:c16="http://schemas.microsoft.com/office/drawing/2014/chart" uri="{C3380CC4-5D6E-409C-BE32-E72D297353CC}">
                <c16:uniqueId val="{0000002A-F810-481B-AD94-43865E17F63A}"/>
              </c:ext>
            </c:extLst>
          </c:dPt>
          <c:val>
            <c:numRef>
              <c:f>Processing!$P$14:$T$14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B-F810-481B-AD94-43865E17F63A}"/>
            </c:ext>
          </c:extLst>
        </c:ser>
        <c:dLbls>
          <c:showLegendKey val="0"/>
          <c:showVal val="0"/>
          <c:showCatName val="0"/>
          <c:showSerName val="0"/>
          <c:showPercent val="0"/>
          <c:showBubbleSize val="0"/>
          <c:showLeaderLines val="1"/>
        </c:dLbls>
        <c:firstSliceAng val="0"/>
        <c:holeSize val="2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Processing!$M$10</c:f>
              <c:strCache>
                <c:ptCount val="1"/>
                <c:pt idx="0">
                  <c:v>Revenue</c:v>
                </c:pt>
              </c:strCache>
            </c:strRef>
          </c:tx>
          <c:spPr>
            <a:solidFill>
              <a:srgbClr val="4E7AFF">
                <a:alpha val="70000"/>
              </a:srgbClr>
            </a:solidFill>
            <a:ln>
              <a:noFill/>
            </a:ln>
            <a:effectLst>
              <a:outerShdw blurRad="50800" dist="38100" dir="8100000" algn="tr" rotWithShape="0">
                <a:prstClr val="black">
                  <a:alpha val="40000"/>
                </a:prstClr>
              </a:outerShdw>
            </a:effectLst>
          </c:spPr>
          <c:cat>
            <c:strRef>
              <c:f>Processing!$L$11:$L$15</c:f>
              <c:strCache>
                <c:ptCount val="5"/>
                <c:pt idx="0">
                  <c:v>A</c:v>
                </c:pt>
                <c:pt idx="1">
                  <c:v>B</c:v>
                </c:pt>
                <c:pt idx="2">
                  <c:v>C</c:v>
                </c:pt>
                <c:pt idx="3">
                  <c:v>D</c:v>
                </c:pt>
                <c:pt idx="4">
                  <c:v>E</c:v>
                </c:pt>
              </c:strCache>
            </c:strRef>
          </c:cat>
          <c:val>
            <c:numRef>
              <c:f>Processing!$M$11:$M$15</c:f>
              <c:numCache>
                <c:formatCode>_("$"* #,##0.00_);_("$"* \(#,##0.00\);_("$"* "-"??_);_(@_)</c:formatCode>
                <c:ptCount val="5"/>
                <c:pt idx="0">
                  <c:v>8185</c:v>
                </c:pt>
                <c:pt idx="1">
                  <c:v>7567</c:v>
                </c:pt>
                <c:pt idx="2">
                  <c:v>5405</c:v>
                </c:pt>
                <c:pt idx="3">
                  <c:v>9111</c:v>
                </c:pt>
                <c:pt idx="4">
                  <c:v>7567</c:v>
                </c:pt>
              </c:numCache>
            </c:numRef>
          </c:val>
          <c:extLst>
            <c:ext xmlns:c16="http://schemas.microsoft.com/office/drawing/2014/chart" uri="{C3380CC4-5D6E-409C-BE32-E72D297353CC}">
              <c16:uniqueId val="{00000000-2F48-411F-B6BB-128EEF1FE43F}"/>
            </c:ext>
          </c:extLst>
        </c:ser>
        <c:ser>
          <c:idx val="1"/>
          <c:order val="1"/>
          <c:tx>
            <c:strRef>
              <c:f>Processing!$N$10</c:f>
              <c:strCache>
                <c:ptCount val="1"/>
                <c:pt idx="0">
                  <c:v>Sales</c:v>
                </c:pt>
              </c:strCache>
            </c:strRef>
          </c:tx>
          <c:spPr>
            <a:solidFill>
              <a:srgbClr val="EE0078">
                <a:alpha val="70000"/>
              </a:srgbClr>
            </a:solidFill>
            <a:ln>
              <a:noFill/>
            </a:ln>
            <a:effectLst>
              <a:outerShdw blurRad="50800" dist="38100" dir="8100000" algn="tr" rotWithShape="0">
                <a:prstClr val="black">
                  <a:alpha val="40000"/>
                </a:prstClr>
              </a:outerShdw>
            </a:effectLst>
          </c:spPr>
          <c:cat>
            <c:strRef>
              <c:f>Processing!$L$11:$L$15</c:f>
              <c:strCache>
                <c:ptCount val="5"/>
                <c:pt idx="0">
                  <c:v>A</c:v>
                </c:pt>
                <c:pt idx="1">
                  <c:v>B</c:v>
                </c:pt>
                <c:pt idx="2">
                  <c:v>C</c:v>
                </c:pt>
                <c:pt idx="3">
                  <c:v>D</c:v>
                </c:pt>
                <c:pt idx="4">
                  <c:v>E</c:v>
                </c:pt>
              </c:strCache>
            </c:strRef>
          </c:cat>
          <c:val>
            <c:numRef>
              <c:f>Processing!$N$11:$N$15</c:f>
              <c:numCache>
                <c:formatCode>_("$"* #,##0.00_);_("$"* \(#,##0.00\);_("$"* "-"??_);_(@_)</c:formatCode>
                <c:ptCount val="5"/>
                <c:pt idx="0">
                  <c:v>7381.8451474918056</c:v>
                </c:pt>
                <c:pt idx="1">
                  <c:v>8409.9741542136544</c:v>
                </c:pt>
                <c:pt idx="2">
                  <c:v>7244.885506360758</c:v>
                </c:pt>
                <c:pt idx="3">
                  <c:v>4026.7997889006169</c:v>
                </c:pt>
                <c:pt idx="4">
                  <c:v>6479.4954030331646</c:v>
                </c:pt>
              </c:numCache>
            </c:numRef>
          </c:val>
          <c:extLst>
            <c:ext xmlns:c16="http://schemas.microsoft.com/office/drawing/2014/chart" uri="{C3380CC4-5D6E-409C-BE32-E72D297353CC}">
              <c16:uniqueId val="{00000001-2F48-411F-B6BB-128EEF1FE43F}"/>
            </c:ext>
          </c:extLst>
        </c:ser>
        <c:dLbls>
          <c:showLegendKey val="0"/>
          <c:showVal val="0"/>
          <c:showCatName val="0"/>
          <c:showSerName val="0"/>
          <c:showPercent val="0"/>
          <c:showBubbleSize val="0"/>
        </c:dLbls>
        <c:axId val="1824798800"/>
        <c:axId val="1824798320"/>
      </c:radarChart>
      <c:catAx>
        <c:axId val="182479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A2ADBE"/>
                </a:solidFill>
                <a:latin typeface="+mn-lt"/>
                <a:ea typeface="+mn-ea"/>
                <a:cs typeface="+mn-cs"/>
              </a:defRPr>
            </a:pPr>
            <a:endParaRPr lang="ru-RU"/>
          </a:p>
        </c:txPr>
        <c:crossAx val="1824798320"/>
        <c:crosses val="autoZero"/>
        <c:auto val="1"/>
        <c:lblAlgn val="ctr"/>
        <c:lblOffset val="100"/>
        <c:noMultiLvlLbl val="0"/>
      </c:catAx>
      <c:valAx>
        <c:axId val="1824798320"/>
        <c:scaling>
          <c:orientation val="minMax"/>
        </c:scaling>
        <c:delete val="1"/>
        <c:axPos val="l"/>
        <c:numFmt formatCode="_(&quot;$&quot;* #,##0.00_);_(&quot;$&quot;* \(#,##0.00\);_(&quot;$&quot;* &quot;-&quot;??_);_(@_)" sourceLinked="1"/>
        <c:majorTickMark val="none"/>
        <c:minorTickMark val="none"/>
        <c:tickLblPos val="nextTo"/>
        <c:crossAx val="18247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1-08CC-4E55-9CDF-D7CFFCB58249}"/>
              </c:ext>
            </c:extLst>
          </c:dPt>
          <c:dPt>
            <c:idx val="1"/>
            <c:bubble3D val="0"/>
            <c:spPr>
              <a:noFill/>
              <a:ln w="9525">
                <a:solidFill>
                  <a:srgbClr val="6476CE"/>
                </a:solidFill>
              </a:ln>
              <a:effectLst/>
            </c:spPr>
            <c:extLst>
              <c:ext xmlns:c16="http://schemas.microsoft.com/office/drawing/2014/chart" uri="{C3380CC4-5D6E-409C-BE32-E72D297353CC}">
                <c16:uniqueId val="{00000003-08CC-4E55-9CDF-D7CFFCB58249}"/>
              </c:ext>
            </c:extLst>
          </c:dPt>
          <c:dPt>
            <c:idx val="2"/>
            <c:bubble3D val="0"/>
            <c:spPr>
              <a:noFill/>
              <a:ln w="9525">
                <a:solidFill>
                  <a:srgbClr val="6476CE"/>
                </a:solidFill>
              </a:ln>
              <a:effectLst/>
            </c:spPr>
            <c:extLst>
              <c:ext xmlns:c16="http://schemas.microsoft.com/office/drawing/2014/chart" uri="{C3380CC4-5D6E-409C-BE32-E72D297353CC}">
                <c16:uniqueId val="{00000005-08CC-4E55-9CDF-D7CFFCB58249}"/>
              </c:ext>
            </c:extLst>
          </c:dPt>
          <c:dPt>
            <c:idx val="3"/>
            <c:bubble3D val="0"/>
            <c:spPr>
              <a:noFill/>
              <a:ln w="9525">
                <a:solidFill>
                  <a:srgbClr val="6476CE"/>
                </a:solidFill>
              </a:ln>
              <a:effectLst/>
            </c:spPr>
            <c:extLst>
              <c:ext xmlns:c16="http://schemas.microsoft.com/office/drawing/2014/chart" uri="{C3380CC4-5D6E-409C-BE32-E72D297353CC}">
                <c16:uniqueId val="{00000007-08CC-4E55-9CDF-D7CFFCB58249}"/>
              </c:ext>
            </c:extLst>
          </c:dPt>
          <c:dPt>
            <c:idx val="4"/>
            <c:bubble3D val="0"/>
            <c:spPr>
              <a:noFill/>
              <a:ln w="9525">
                <a:solidFill>
                  <a:srgbClr val="6476CE"/>
                </a:solidFill>
              </a:ln>
              <a:effectLst/>
            </c:spPr>
            <c:extLst>
              <c:ext xmlns:c16="http://schemas.microsoft.com/office/drawing/2014/chart" uri="{C3380CC4-5D6E-409C-BE32-E72D297353CC}">
                <c16:uniqueId val="{00000009-08CC-4E55-9CDF-D7CFFCB58249}"/>
              </c:ext>
            </c:extLst>
          </c:dPt>
          <c:val>
            <c:numRef>
              <c:f>Processing!$P$11:$T$11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08CC-4E55-9CDF-D7CFFCB58249}"/>
            </c:ext>
          </c:extLst>
        </c:ser>
        <c:ser>
          <c:idx val="1"/>
          <c:order val="1"/>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C-08CC-4E55-9CDF-D7CFFCB58249}"/>
              </c:ext>
            </c:extLst>
          </c:dPt>
          <c:dPt>
            <c:idx val="1"/>
            <c:bubble3D val="0"/>
            <c:spPr>
              <a:noFill/>
              <a:ln w="9525">
                <a:solidFill>
                  <a:srgbClr val="6476CE"/>
                </a:solidFill>
              </a:ln>
              <a:effectLst/>
            </c:spPr>
            <c:extLst>
              <c:ext xmlns:c16="http://schemas.microsoft.com/office/drawing/2014/chart" uri="{C3380CC4-5D6E-409C-BE32-E72D297353CC}">
                <c16:uniqueId val="{0000000E-08CC-4E55-9CDF-D7CFFCB58249}"/>
              </c:ext>
            </c:extLst>
          </c:dPt>
          <c:dPt>
            <c:idx val="2"/>
            <c:bubble3D val="0"/>
            <c:spPr>
              <a:noFill/>
              <a:ln w="9525">
                <a:solidFill>
                  <a:srgbClr val="6476CE"/>
                </a:solidFill>
              </a:ln>
              <a:effectLst/>
            </c:spPr>
            <c:extLst>
              <c:ext xmlns:c16="http://schemas.microsoft.com/office/drawing/2014/chart" uri="{C3380CC4-5D6E-409C-BE32-E72D297353CC}">
                <c16:uniqueId val="{00000010-08CC-4E55-9CDF-D7CFFCB58249}"/>
              </c:ext>
            </c:extLst>
          </c:dPt>
          <c:dPt>
            <c:idx val="3"/>
            <c:bubble3D val="0"/>
            <c:spPr>
              <a:noFill/>
              <a:ln w="9525">
                <a:solidFill>
                  <a:srgbClr val="6476CE"/>
                </a:solidFill>
              </a:ln>
              <a:effectLst/>
            </c:spPr>
            <c:extLst>
              <c:ext xmlns:c16="http://schemas.microsoft.com/office/drawing/2014/chart" uri="{C3380CC4-5D6E-409C-BE32-E72D297353CC}">
                <c16:uniqueId val="{00000012-08CC-4E55-9CDF-D7CFFCB58249}"/>
              </c:ext>
            </c:extLst>
          </c:dPt>
          <c:dPt>
            <c:idx val="4"/>
            <c:bubble3D val="0"/>
            <c:spPr>
              <a:noFill/>
              <a:ln w="9525">
                <a:solidFill>
                  <a:srgbClr val="6476CE"/>
                </a:solidFill>
              </a:ln>
              <a:effectLst/>
            </c:spPr>
            <c:extLst>
              <c:ext xmlns:c16="http://schemas.microsoft.com/office/drawing/2014/chart" uri="{C3380CC4-5D6E-409C-BE32-E72D297353CC}">
                <c16:uniqueId val="{00000014-08CC-4E55-9CDF-D7CFFCB58249}"/>
              </c:ext>
            </c:extLst>
          </c:dPt>
          <c:val>
            <c:numRef>
              <c:f>Processing!$P$12:$T$12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08CC-4E55-9CDF-D7CFFCB58249}"/>
            </c:ext>
          </c:extLst>
        </c:ser>
        <c:ser>
          <c:idx val="2"/>
          <c:order val="2"/>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17-08CC-4E55-9CDF-D7CFFCB58249}"/>
              </c:ext>
            </c:extLst>
          </c:dPt>
          <c:dPt>
            <c:idx val="1"/>
            <c:bubble3D val="0"/>
            <c:spPr>
              <a:noFill/>
              <a:ln w="9525">
                <a:solidFill>
                  <a:srgbClr val="6476CE"/>
                </a:solidFill>
              </a:ln>
              <a:effectLst/>
            </c:spPr>
            <c:extLst>
              <c:ext xmlns:c16="http://schemas.microsoft.com/office/drawing/2014/chart" uri="{C3380CC4-5D6E-409C-BE32-E72D297353CC}">
                <c16:uniqueId val="{00000019-08CC-4E55-9CDF-D7CFFCB58249}"/>
              </c:ext>
            </c:extLst>
          </c:dPt>
          <c:dPt>
            <c:idx val="2"/>
            <c:bubble3D val="0"/>
            <c:spPr>
              <a:noFill/>
              <a:ln w="9525">
                <a:solidFill>
                  <a:srgbClr val="6476CE"/>
                </a:solidFill>
              </a:ln>
              <a:effectLst/>
            </c:spPr>
            <c:extLst>
              <c:ext xmlns:c16="http://schemas.microsoft.com/office/drawing/2014/chart" uri="{C3380CC4-5D6E-409C-BE32-E72D297353CC}">
                <c16:uniqueId val="{0000001B-08CC-4E55-9CDF-D7CFFCB58249}"/>
              </c:ext>
            </c:extLst>
          </c:dPt>
          <c:dPt>
            <c:idx val="3"/>
            <c:bubble3D val="0"/>
            <c:spPr>
              <a:noFill/>
              <a:ln w="9525">
                <a:solidFill>
                  <a:srgbClr val="6476CE"/>
                </a:solidFill>
              </a:ln>
              <a:effectLst/>
            </c:spPr>
            <c:extLst>
              <c:ext xmlns:c16="http://schemas.microsoft.com/office/drawing/2014/chart" uri="{C3380CC4-5D6E-409C-BE32-E72D297353CC}">
                <c16:uniqueId val="{0000001D-08CC-4E55-9CDF-D7CFFCB58249}"/>
              </c:ext>
            </c:extLst>
          </c:dPt>
          <c:dPt>
            <c:idx val="4"/>
            <c:bubble3D val="0"/>
            <c:spPr>
              <a:noFill/>
              <a:ln w="9525">
                <a:solidFill>
                  <a:srgbClr val="6476CE"/>
                </a:solidFill>
              </a:ln>
              <a:effectLst/>
            </c:spPr>
            <c:extLst>
              <c:ext xmlns:c16="http://schemas.microsoft.com/office/drawing/2014/chart" uri="{C3380CC4-5D6E-409C-BE32-E72D297353CC}">
                <c16:uniqueId val="{0000001F-08CC-4E55-9CDF-D7CFFCB58249}"/>
              </c:ext>
            </c:extLst>
          </c:dPt>
          <c:val>
            <c:numRef>
              <c:f>Processing!$P$13:$T$13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08CC-4E55-9CDF-D7CFFCB58249}"/>
            </c:ext>
          </c:extLst>
        </c:ser>
        <c:ser>
          <c:idx val="3"/>
          <c:order val="3"/>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22-08CC-4E55-9CDF-D7CFFCB58249}"/>
              </c:ext>
            </c:extLst>
          </c:dPt>
          <c:dPt>
            <c:idx val="1"/>
            <c:bubble3D val="0"/>
            <c:spPr>
              <a:noFill/>
              <a:ln w="9525">
                <a:solidFill>
                  <a:srgbClr val="6476CE"/>
                </a:solidFill>
              </a:ln>
              <a:effectLst/>
            </c:spPr>
            <c:extLst>
              <c:ext xmlns:c16="http://schemas.microsoft.com/office/drawing/2014/chart" uri="{C3380CC4-5D6E-409C-BE32-E72D297353CC}">
                <c16:uniqueId val="{00000024-08CC-4E55-9CDF-D7CFFCB58249}"/>
              </c:ext>
            </c:extLst>
          </c:dPt>
          <c:dPt>
            <c:idx val="2"/>
            <c:bubble3D val="0"/>
            <c:spPr>
              <a:noFill/>
              <a:ln w="9525">
                <a:solidFill>
                  <a:srgbClr val="6476CE"/>
                </a:solidFill>
              </a:ln>
              <a:effectLst/>
            </c:spPr>
            <c:extLst>
              <c:ext xmlns:c16="http://schemas.microsoft.com/office/drawing/2014/chart" uri="{C3380CC4-5D6E-409C-BE32-E72D297353CC}">
                <c16:uniqueId val="{00000026-08CC-4E55-9CDF-D7CFFCB58249}"/>
              </c:ext>
            </c:extLst>
          </c:dPt>
          <c:dPt>
            <c:idx val="3"/>
            <c:bubble3D val="0"/>
            <c:spPr>
              <a:noFill/>
              <a:ln w="9525">
                <a:solidFill>
                  <a:srgbClr val="6476CE"/>
                </a:solidFill>
              </a:ln>
              <a:effectLst/>
            </c:spPr>
            <c:extLst>
              <c:ext xmlns:c16="http://schemas.microsoft.com/office/drawing/2014/chart" uri="{C3380CC4-5D6E-409C-BE32-E72D297353CC}">
                <c16:uniqueId val="{00000028-08CC-4E55-9CDF-D7CFFCB58249}"/>
              </c:ext>
            </c:extLst>
          </c:dPt>
          <c:dPt>
            <c:idx val="4"/>
            <c:bubble3D val="0"/>
            <c:spPr>
              <a:noFill/>
              <a:ln w="9525">
                <a:solidFill>
                  <a:srgbClr val="6476CE"/>
                </a:solidFill>
              </a:ln>
              <a:effectLst/>
            </c:spPr>
            <c:extLst>
              <c:ext xmlns:c16="http://schemas.microsoft.com/office/drawing/2014/chart" uri="{C3380CC4-5D6E-409C-BE32-E72D297353CC}">
                <c16:uniqueId val="{0000002A-08CC-4E55-9CDF-D7CFFCB58249}"/>
              </c:ext>
            </c:extLst>
          </c:dPt>
          <c:val>
            <c:numRef>
              <c:f>Processing!$P$14:$T$14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B-08CC-4E55-9CDF-D7CFFCB58249}"/>
            </c:ext>
          </c:extLst>
        </c:ser>
        <c:dLbls>
          <c:showLegendKey val="0"/>
          <c:showVal val="0"/>
          <c:showCatName val="0"/>
          <c:showSerName val="0"/>
          <c:showPercent val="0"/>
          <c:showBubbleSize val="0"/>
          <c:showLeaderLines val="1"/>
        </c:dLbls>
        <c:firstSliceAng val="0"/>
        <c:holeSize val="2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Processing!$M$10</c:f>
              <c:strCache>
                <c:ptCount val="1"/>
                <c:pt idx="0">
                  <c:v>Revenue</c:v>
                </c:pt>
              </c:strCache>
            </c:strRef>
          </c:tx>
          <c:spPr>
            <a:gradFill>
              <a:gsLst>
                <a:gs pos="0">
                  <a:srgbClr val="4E7AFF">
                    <a:alpha val="90000"/>
                  </a:srgbClr>
                </a:gs>
                <a:gs pos="100000">
                  <a:srgbClr val="4552F1">
                    <a:alpha val="90000"/>
                  </a:srgbClr>
                </a:gs>
              </a:gsLst>
              <a:lin ang="5400000" scaled="1"/>
            </a:gradFill>
            <a:ln>
              <a:noFill/>
            </a:ln>
            <a:effectLst/>
          </c:spPr>
          <c:cat>
            <c:strRef>
              <c:f>Processing!$L$11:$L$15</c:f>
              <c:strCache>
                <c:ptCount val="5"/>
                <c:pt idx="0">
                  <c:v>A</c:v>
                </c:pt>
                <c:pt idx="1">
                  <c:v>B</c:v>
                </c:pt>
                <c:pt idx="2">
                  <c:v>C</c:v>
                </c:pt>
                <c:pt idx="3">
                  <c:v>D</c:v>
                </c:pt>
                <c:pt idx="4">
                  <c:v>E</c:v>
                </c:pt>
              </c:strCache>
            </c:strRef>
          </c:cat>
          <c:val>
            <c:numRef>
              <c:f>Processing!$M$11:$M$15</c:f>
              <c:numCache>
                <c:formatCode>_("$"* #,##0.00_);_("$"* \(#,##0.00\);_("$"* "-"??_);_(@_)</c:formatCode>
                <c:ptCount val="5"/>
                <c:pt idx="0">
                  <c:v>8185</c:v>
                </c:pt>
                <c:pt idx="1">
                  <c:v>7567</c:v>
                </c:pt>
                <c:pt idx="2">
                  <c:v>5405</c:v>
                </c:pt>
                <c:pt idx="3">
                  <c:v>9111</c:v>
                </c:pt>
                <c:pt idx="4">
                  <c:v>7567</c:v>
                </c:pt>
              </c:numCache>
            </c:numRef>
          </c:val>
          <c:extLst>
            <c:ext xmlns:c16="http://schemas.microsoft.com/office/drawing/2014/chart" uri="{C3380CC4-5D6E-409C-BE32-E72D297353CC}">
              <c16:uniqueId val="{00000000-AA0D-4FE4-B4EB-4FA5B8F1BAC8}"/>
            </c:ext>
          </c:extLst>
        </c:ser>
        <c:ser>
          <c:idx val="1"/>
          <c:order val="1"/>
          <c:tx>
            <c:strRef>
              <c:f>Processing!$N$10</c:f>
              <c:strCache>
                <c:ptCount val="1"/>
                <c:pt idx="0">
                  <c:v>Sales</c:v>
                </c:pt>
              </c:strCache>
            </c:strRef>
          </c:tx>
          <c:spPr>
            <a:gradFill>
              <a:gsLst>
                <a:gs pos="0">
                  <a:srgbClr val="F17EEC">
                    <a:alpha val="80000"/>
                  </a:srgbClr>
                </a:gs>
                <a:gs pos="100000">
                  <a:srgbClr val="EE0078">
                    <a:alpha val="80000"/>
                  </a:srgbClr>
                </a:gs>
              </a:gsLst>
              <a:lin ang="5400000" scaled="1"/>
            </a:gradFill>
            <a:ln>
              <a:noFill/>
            </a:ln>
            <a:effectLst/>
          </c:spPr>
          <c:cat>
            <c:strRef>
              <c:f>Processing!$L$11:$L$15</c:f>
              <c:strCache>
                <c:ptCount val="5"/>
                <c:pt idx="0">
                  <c:v>A</c:v>
                </c:pt>
                <c:pt idx="1">
                  <c:v>B</c:v>
                </c:pt>
                <c:pt idx="2">
                  <c:v>C</c:v>
                </c:pt>
                <c:pt idx="3">
                  <c:v>D</c:v>
                </c:pt>
                <c:pt idx="4">
                  <c:v>E</c:v>
                </c:pt>
              </c:strCache>
            </c:strRef>
          </c:cat>
          <c:val>
            <c:numRef>
              <c:f>Processing!$N$11:$N$15</c:f>
              <c:numCache>
                <c:formatCode>_("$"* #,##0.00_);_("$"* \(#,##0.00\);_("$"* "-"??_);_(@_)</c:formatCode>
                <c:ptCount val="5"/>
                <c:pt idx="0">
                  <c:v>7381.8451474918056</c:v>
                </c:pt>
                <c:pt idx="1">
                  <c:v>8409.9741542136544</c:v>
                </c:pt>
                <c:pt idx="2">
                  <c:v>7244.885506360758</c:v>
                </c:pt>
                <c:pt idx="3">
                  <c:v>4026.7997889006169</c:v>
                </c:pt>
                <c:pt idx="4">
                  <c:v>6479.4954030331646</c:v>
                </c:pt>
              </c:numCache>
            </c:numRef>
          </c:val>
          <c:extLst>
            <c:ext xmlns:c16="http://schemas.microsoft.com/office/drawing/2014/chart" uri="{C3380CC4-5D6E-409C-BE32-E72D297353CC}">
              <c16:uniqueId val="{00000001-AA0D-4FE4-B4EB-4FA5B8F1BAC8}"/>
            </c:ext>
          </c:extLst>
        </c:ser>
        <c:dLbls>
          <c:showLegendKey val="0"/>
          <c:showVal val="0"/>
          <c:showCatName val="0"/>
          <c:showSerName val="0"/>
          <c:showPercent val="0"/>
          <c:showBubbleSize val="0"/>
        </c:dLbls>
        <c:axId val="1824798800"/>
        <c:axId val="1824798320"/>
      </c:radarChart>
      <c:catAx>
        <c:axId val="1824798800"/>
        <c:scaling>
          <c:orientation val="minMax"/>
        </c:scaling>
        <c:delete val="1"/>
        <c:axPos val="b"/>
        <c:numFmt formatCode="General" sourceLinked="1"/>
        <c:majorTickMark val="none"/>
        <c:minorTickMark val="none"/>
        <c:tickLblPos val="nextTo"/>
        <c:crossAx val="1824798320"/>
        <c:crosses val="autoZero"/>
        <c:auto val="1"/>
        <c:lblAlgn val="ctr"/>
        <c:lblOffset val="100"/>
        <c:noMultiLvlLbl val="0"/>
      </c:catAx>
      <c:valAx>
        <c:axId val="1824798320"/>
        <c:scaling>
          <c:orientation val="minMax"/>
        </c:scaling>
        <c:delete val="1"/>
        <c:axPos val="l"/>
        <c:numFmt formatCode="_(&quot;$&quot;* #,##0.00_);_(&quot;$&quot;* \(#,##0.00\);_(&quot;$&quot;* &quot;-&quot;??_);_(@_)" sourceLinked="1"/>
        <c:majorTickMark val="none"/>
        <c:minorTickMark val="none"/>
        <c:tickLblPos val="nextTo"/>
        <c:crossAx val="18247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Processing!$J$20</c:f>
              <c:strCache>
                <c:ptCount val="1"/>
                <c:pt idx="0">
                  <c:v>ROI</c:v>
                </c:pt>
              </c:strCache>
            </c:strRef>
          </c:tx>
          <c:spPr>
            <a:ln>
              <a:noFill/>
            </a:ln>
            <a:effectLst>
              <a:outerShdw blurRad="50800" dist="38100" dir="8100000" algn="tr" rotWithShape="0">
                <a:prstClr val="black">
                  <a:alpha val="40000"/>
                </a:prstClr>
              </a:outerShdw>
            </a:effectLst>
          </c:spPr>
          <c:dPt>
            <c:idx val="0"/>
            <c:bubble3D val="0"/>
            <c:spPr>
              <a:gradFill>
                <a:gsLst>
                  <a:gs pos="0">
                    <a:srgbClr val="EE0078"/>
                  </a:gs>
                  <a:gs pos="100000">
                    <a:srgbClr val="D758C9"/>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BCCF-45B0-B7CA-411A5A9394D9}"/>
              </c:ext>
            </c:extLst>
          </c:dPt>
          <c:dPt>
            <c:idx val="1"/>
            <c:bubble3D val="0"/>
            <c:spPr>
              <a:gradFill>
                <a:gsLst>
                  <a:gs pos="0">
                    <a:srgbClr val="7A4FF0"/>
                  </a:gs>
                  <a:gs pos="100000">
                    <a:srgbClr val="60A8FF"/>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BCCF-45B0-B7CA-411A5A9394D9}"/>
              </c:ext>
            </c:extLst>
          </c:dPt>
          <c:dPt>
            <c:idx val="2"/>
            <c:bubble3D val="0"/>
            <c:spPr>
              <a:solidFill>
                <a:srgbClr val="EE0078">
                  <a:alpha val="50000"/>
                </a:srgb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BCCF-45B0-B7CA-411A5A9394D9}"/>
              </c:ext>
            </c:extLst>
          </c:dPt>
          <c:val>
            <c:numRef>
              <c:f>Processing!$J$21:$J$23</c:f>
              <c:numCache>
                <c:formatCode>0%</c:formatCode>
                <c:ptCount val="3"/>
                <c:pt idx="0">
                  <c:v>0.39873688717619354</c:v>
                </c:pt>
                <c:pt idx="1">
                  <c:v>0.6012631128238064</c:v>
                </c:pt>
                <c:pt idx="2">
                  <c:v>0</c:v>
                </c:pt>
              </c:numCache>
            </c:numRef>
          </c:val>
          <c:extLst>
            <c:ext xmlns:c16="http://schemas.microsoft.com/office/drawing/2014/chart" uri="{C3380CC4-5D6E-409C-BE32-E72D297353CC}">
              <c16:uniqueId val="{00000006-BCCF-45B0-B7CA-411A5A9394D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BBA5-4E11-BF6A-D0A8E08BDFB6}"/>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BBA5-4E11-BF6A-D0A8E08BDFB6}"/>
              </c:ext>
            </c:extLst>
          </c:dPt>
          <c:val>
            <c:numRef>
              <c:f>Processing!$B$15:$B$16</c:f>
              <c:numCache>
                <c:formatCode>0%</c:formatCode>
                <c:ptCount val="2"/>
                <c:pt idx="0">
                  <c:v>0.43454531359020077</c:v>
                </c:pt>
                <c:pt idx="1">
                  <c:v>0.56545468640979923</c:v>
                </c:pt>
              </c:numCache>
            </c:numRef>
          </c:val>
          <c:extLst>
            <c:ext xmlns:c16="http://schemas.microsoft.com/office/drawing/2014/chart" uri="{C3380CC4-5D6E-409C-BE32-E72D297353CC}">
              <c16:uniqueId val="{00000004-BBA5-4E11-BF6A-D0A8E08BDFB6}"/>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8B0E-447F-9C99-80E409DD9B12}"/>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8B0E-447F-9C99-80E409DD9B12}"/>
              </c:ext>
            </c:extLst>
          </c:dPt>
          <c:val>
            <c:numRef>
              <c:f>Processing!$C$15:$C$16</c:f>
              <c:numCache>
                <c:formatCode>0%</c:formatCode>
                <c:ptCount val="2"/>
                <c:pt idx="0">
                  <c:v>0.52008682843631293</c:v>
                </c:pt>
                <c:pt idx="1">
                  <c:v>0.47991317156368707</c:v>
                </c:pt>
              </c:numCache>
            </c:numRef>
          </c:val>
          <c:extLst>
            <c:ext xmlns:c16="http://schemas.microsoft.com/office/drawing/2014/chart" uri="{C3380CC4-5D6E-409C-BE32-E72D297353CC}">
              <c16:uniqueId val="{00000004-8B0E-447F-9C99-80E409DD9B12}"/>
            </c:ext>
          </c:extLst>
        </c:ser>
        <c:dLbls>
          <c:showLegendKey val="0"/>
          <c:showVal val="0"/>
          <c:showCatName val="0"/>
          <c:showSerName val="0"/>
          <c:showPercent val="0"/>
          <c:showBubbleSize val="0"/>
          <c:showLeaderLines val="1"/>
        </c:dLbls>
        <c:firstSliceAng val="0"/>
        <c:holeSize val="9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chemeClr val="tx1">
                  <a:alpha val="10000"/>
                </a:schemeClr>
              </a:solidFill>
            </a:ln>
          </c:spPr>
          <c:dPt>
            <c:idx val="0"/>
            <c:bubble3D val="0"/>
            <c:spPr>
              <a:noFill/>
              <a:ln w="9525">
                <a:solidFill>
                  <a:schemeClr val="tx1">
                    <a:alpha val="10000"/>
                  </a:schemeClr>
                </a:solidFill>
              </a:ln>
              <a:effectLst/>
            </c:spPr>
            <c:extLst>
              <c:ext xmlns:c16="http://schemas.microsoft.com/office/drawing/2014/chart" uri="{C3380CC4-5D6E-409C-BE32-E72D297353CC}">
                <c16:uniqueId val="{00000001-19F7-44A6-991B-B20B5D197842}"/>
              </c:ext>
            </c:extLst>
          </c:dPt>
          <c:dPt>
            <c:idx val="1"/>
            <c:bubble3D val="0"/>
            <c:spPr>
              <a:noFill/>
              <a:ln w="9525">
                <a:solidFill>
                  <a:schemeClr val="tx1">
                    <a:alpha val="10000"/>
                  </a:schemeClr>
                </a:solidFill>
              </a:ln>
              <a:effectLst/>
            </c:spPr>
            <c:extLst>
              <c:ext xmlns:c16="http://schemas.microsoft.com/office/drawing/2014/chart" uri="{C3380CC4-5D6E-409C-BE32-E72D297353CC}">
                <c16:uniqueId val="{00000003-19F7-44A6-991B-B20B5D197842}"/>
              </c:ext>
            </c:extLst>
          </c:dPt>
          <c:dPt>
            <c:idx val="2"/>
            <c:bubble3D val="0"/>
            <c:spPr>
              <a:noFill/>
              <a:ln w="9525">
                <a:solidFill>
                  <a:schemeClr val="tx1">
                    <a:alpha val="10000"/>
                  </a:schemeClr>
                </a:solidFill>
              </a:ln>
              <a:effectLst/>
            </c:spPr>
            <c:extLst>
              <c:ext xmlns:c16="http://schemas.microsoft.com/office/drawing/2014/chart" uri="{C3380CC4-5D6E-409C-BE32-E72D297353CC}">
                <c16:uniqueId val="{00000005-19F7-44A6-991B-B20B5D197842}"/>
              </c:ext>
            </c:extLst>
          </c:dPt>
          <c:dPt>
            <c:idx val="3"/>
            <c:bubble3D val="0"/>
            <c:spPr>
              <a:noFill/>
              <a:ln w="9525">
                <a:solidFill>
                  <a:schemeClr val="tx1">
                    <a:alpha val="10000"/>
                  </a:schemeClr>
                </a:solidFill>
              </a:ln>
              <a:effectLst/>
            </c:spPr>
            <c:extLst>
              <c:ext xmlns:c16="http://schemas.microsoft.com/office/drawing/2014/chart" uri="{C3380CC4-5D6E-409C-BE32-E72D297353CC}">
                <c16:uniqueId val="{00000007-19F7-44A6-991B-B20B5D197842}"/>
              </c:ext>
            </c:extLst>
          </c:dPt>
          <c:dPt>
            <c:idx val="4"/>
            <c:bubble3D val="0"/>
            <c:spPr>
              <a:noFill/>
              <a:ln w="9525">
                <a:solidFill>
                  <a:schemeClr val="tx1">
                    <a:alpha val="10000"/>
                  </a:schemeClr>
                </a:solidFill>
              </a:ln>
              <a:effectLst/>
            </c:spPr>
            <c:extLst>
              <c:ext xmlns:c16="http://schemas.microsoft.com/office/drawing/2014/chart" uri="{C3380CC4-5D6E-409C-BE32-E72D297353CC}">
                <c16:uniqueId val="{00000009-19F7-44A6-991B-B20B5D197842}"/>
              </c:ext>
            </c:extLst>
          </c:dPt>
          <c:val>
            <c:numRef>
              <c:f>Processing!$P$11:$T$11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19F7-44A6-991B-B20B5D197842}"/>
            </c:ext>
          </c:extLst>
        </c:ser>
        <c:ser>
          <c:idx val="1"/>
          <c:order val="1"/>
          <c:spPr>
            <a:noFill/>
            <a:ln w="9525">
              <a:solidFill>
                <a:schemeClr val="tx1">
                  <a:alpha val="10000"/>
                </a:schemeClr>
              </a:solidFill>
            </a:ln>
          </c:spPr>
          <c:dPt>
            <c:idx val="0"/>
            <c:bubble3D val="0"/>
            <c:spPr>
              <a:noFill/>
              <a:ln w="9525">
                <a:solidFill>
                  <a:schemeClr val="tx1">
                    <a:alpha val="10000"/>
                  </a:schemeClr>
                </a:solidFill>
              </a:ln>
              <a:effectLst/>
            </c:spPr>
            <c:extLst>
              <c:ext xmlns:c16="http://schemas.microsoft.com/office/drawing/2014/chart" uri="{C3380CC4-5D6E-409C-BE32-E72D297353CC}">
                <c16:uniqueId val="{0000000C-19F7-44A6-991B-B20B5D197842}"/>
              </c:ext>
            </c:extLst>
          </c:dPt>
          <c:dPt>
            <c:idx val="1"/>
            <c:bubble3D val="0"/>
            <c:spPr>
              <a:noFill/>
              <a:ln w="9525">
                <a:solidFill>
                  <a:schemeClr val="tx1">
                    <a:alpha val="10000"/>
                  </a:schemeClr>
                </a:solidFill>
              </a:ln>
              <a:effectLst/>
            </c:spPr>
            <c:extLst>
              <c:ext xmlns:c16="http://schemas.microsoft.com/office/drawing/2014/chart" uri="{C3380CC4-5D6E-409C-BE32-E72D297353CC}">
                <c16:uniqueId val="{0000000E-19F7-44A6-991B-B20B5D197842}"/>
              </c:ext>
            </c:extLst>
          </c:dPt>
          <c:dPt>
            <c:idx val="2"/>
            <c:bubble3D val="0"/>
            <c:spPr>
              <a:noFill/>
              <a:ln w="9525">
                <a:solidFill>
                  <a:schemeClr val="tx1">
                    <a:alpha val="10000"/>
                  </a:schemeClr>
                </a:solidFill>
              </a:ln>
              <a:effectLst/>
            </c:spPr>
            <c:extLst>
              <c:ext xmlns:c16="http://schemas.microsoft.com/office/drawing/2014/chart" uri="{C3380CC4-5D6E-409C-BE32-E72D297353CC}">
                <c16:uniqueId val="{00000010-19F7-44A6-991B-B20B5D197842}"/>
              </c:ext>
            </c:extLst>
          </c:dPt>
          <c:dPt>
            <c:idx val="3"/>
            <c:bubble3D val="0"/>
            <c:spPr>
              <a:noFill/>
              <a:ln w="9525">
                <a:solidFill>
                  <a:schemeClr val="tx1">
                    <a:alpha val="10000"/>
                  </a:schemeClr>
                </a:solidFill>
              </a:ln>
              <a:effectLst/>
            </c:spPr>
            <c:extLst>
              <c:ext xmlns:c16="http://schemas.microsoft.com/office/drawing/2014/chart" uri="{C3380CC4-5D6E-409C-BE32-E72D297353CC}">
                <c16:uniqueId val="{00000012-19F7-44A6-991B-B20B5D197842}"/>
              </c:ext>
            </c:extLst>
          </c:dPt>
          <c:dPt>
            <c:idx val="4"/>
            <c:bubble3D val="0"/>
            <c:spPr>
              <a:noFill/>
              <a:ln w="9525">
                <a:solidFill>
                  <a:schemeClr val="tx1">
                    <a:alpha val="10000"/>
                  </a:schemeClr>
                </a:solidFill>
              </a:ln>
              <a:effectLst/>
            </c:spPr>
            <c:extLst>
              <c:ext xmlns:c16="http://schemas.microsoft.com/office/drawing/2014/chart" uri="{C3380CC4-5D6E-409C-BE32-E72D297353CC}">
                <c16:uniqueId val="{00000014-19F7-44A6-991B-B20B5D197842}"/>
              </c:ext>
            </c:extLst>
          </c:dPt>
          <c:val>
            <c:numRef>
              <c:f>Processing!$P$12:$T$12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19F7-44A6-991B-B20B5D197842}"/>
            </c:ext>
          </c:extLst>
        </c:ser>
        <c:ser>
          <c:idx val="2"/>
          <c:order val="2"/>
          <c:spPr>
            <a:noFill/>
            <a:ln w="9525">
              <a:solidFill>
                <a:schemeClr val="tx1">
                  <a:alpha val="10000"/>
                </a:schemeClr>
              </a:solidFill>
            </a:ln>
          </c:spPr>
          <c:dPt>
            <c:idx val="0"/>
            <c:bubble3D val="0"/>
            <c:spPr>
              <a:noFill/>
              <a:ln w="9525">
                <a:solidFill>
                  <a:schemeClr val="tx1">
                    <a:alpha val="10000"/>
                  </a:schemeClr>
                </a:solidFill>
              </a:ln>
              <a:effectLst/>
            </c:spPr>
            <c:extLst>
              <c:ext xmlns:c16="http://schemas.microsoft.com/office/drawing/2014/chart" uri="{C3380CC4-5D6E-409C-BE32-E72D297353CC}">
                <c16:uniqueId val="{00000017-19F7-44A6-991B-B20B5D197842}"/>
              </c:ext>
            </c:extLst>
          </c:dPt>
          <c:dPt>
            <c:idx val="1"/>
            <c:bubble3D val="0"/>
            <c:spPr>
              <a:noFill/>
              <a:ln w="9525">
                <a:solidFill>
                  <a:schemeClr val="tx1">
                    <a:alpha val="10000"/>
                  </a:schemeClr>
                </a:solidFill>
              </a:ln>
              <a:effectLst/>
            </c:spPr>
            <c:extLst>
              <c:ext xmlns:c16="http://schemas.microsoft.com/office/drawing/2014/chart" uri="{C3380CC4-5D6E-409C-BE32-E72D297353CC}">
                <c16:uniqueId val="{00000019-19F7-44A6-991B-B20B5D197842}"/>
              </c:ext>
            </c:extLst>
          </c:dPt>
          <c:dPt>
            <c:idx val="2"/>
            <c:bubble3D val="0"/>
            <c:spPr>
              <a:noFill/>
              <a:ln w="9525">
                <a:solidFill>
                  <a:schemeClr val="tx1">
                    <a:alpha val="10000"/>
                  </a:schemeClr>
                </a:solidFill>
              </a:ln>
              <a:effectLst/>
            </c:spPr>
            <c:extLst>
              <c:ext xmlns:c16="http://schemas.microsoft.com/office/drawing/2014/chart" uri="{C3380CC4-5D6E-409C-BE32-E72D297353CC}">
                <c16:uniqueId val="{0000001B-19F7-44A6-991B-B20B5D197842}"/>
              </c:ext>
            </c:extLst>
          </c:dPt>
          <c:dPt>
            <c:idx val="3"/>
            <c:bubble3D val="0"/>
            <c:spPr>
              <a:noFill/>
              <a:ln w="9525">
                <a:solidFill>
                  <a:schemeClr val="tx1">
                    <a:alpha val="10000"/>
                  </a:schemeClr>
                </a:solidFill>
              </a:ln>
              <a:effectLst/>
            </c:spPr>
            <c:extLst>
              <c:ext xmlns:c16="http://schemas.microsoft.com/office/drawing/2014/chart" uri="{C3380CC4-5D6E-409C-BE32-E72D297353CC}">
                <c16:uniqueId val="{0000001D-19F7-44A6-991B-B20B5D197842}"/>
              </c:ext>
            </c:extLst>
          </c:dPt>
          <c:dPt>
            <c:idx val="4"/>
            <c:bubble3D val="0"/>
            <c:spPr>
              <a:noFill/>
              <a:ln w="9525">
                <a:solidFill>
                  <a:schemeClr val="tx1">
                    <a:alpha val="10000"/>
                  </a:schemeClr>
                </a:solidFill>
              </a:ln>
              <a:effectLst/>
            </c:spPr>
            <c:extLst>
              <c:ext xmlns:c16="http://schemas.microsoft.com/office/drawing/2014/chart" uri="{C3380CC4-5D6E-409C-BE32-E72D297353CC}">
                <c16:uniqueId val="{0000001F-19F7-44A6-991B-B20B5D197842}"/>
              </c:ext>
            </c:extLst>
          </c:dPt>
          <c:val>
            <c:numRef>
              <c:f>Processing!$P$13:$T$13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19F7-44A6-991B-B20B5D197842}"/>
            </c:ext>
          </c:extLst>
        </c:ser>
        <c:ser>
          <c:idx val="3"/>
          <c:order val="3"/>
          <c:spPr>
            <a:noFill/>
            <a:ln w="9525">
              <a:solidFill>
                <a:schemeClr val="tx1">
                  <a:alpha val="10000"/>
                </a:schemeClr>
              </a:solidFill>
            </a:ln>
          </c:spPr>
          <c:dPt>
            <c:idx val="0"/>
            <c:bubble3D val="0"/>
            <c:spPr>
              <a:noFill/>
              <a:ln w="9525">
                <a:solidFill>
                  <a:schemeClr val="tx1">
                    <a:alpha val="10000"/>
                  </a:schemeClr>
                </a:solidFill>
              </a:ln>
              <a:effectLst/>
            </c:spPr>
            <c:extLst>
              <c:ext xmlns:c16="http://schemas.microsoft.com/office/drawing/2014/chart" uri="{C3380CC4-5D6E-409C-BE32-E72D297353CC}">
                <c16:uniqueId val="{00000022-19F7-44A6-991B-B20B5D197842}"/>
              </c:ext>
            </c:extLst>
          </c:dPt>
          <c:dPt>
            <c:idx val="1"/>
            <c:bubble3D val="0"/>
            <c:spPr>
              <a:noFill/>
              <a:ln w="9525">
                <a:solidFill>
                  <a:schemeClr val="tx1">
                    <a:alpha val="10000"/>
                  </a:schemeClr>
                </a:solidFill>
              </a:ln>
              <a:effectLst/>
            </c:spPr>
            <c:extLst>
              <c:ext xmlns:c16="http://schemas.microsoft.com/office/drawing/2014/chart" uri="{C3380CC4-5D6E-409C-BE32-E72D297353CC}">
                <c16:uniqueId val="{00000024-19F7-44A6-991B-B20B5D197842}"/>
              </c:ext>
            </c:extLst>
          </c:dPt>
          <c:dPt>
            <c:idx val="2"/>
            <c:bubble3D val="0"/>
            <c:spPr>
              <a:noFill/>
              <a:ln w="9525">
                <a:solidFill>
                  <a:schemeClr val="tx1">
                    <a:alpha val="10000"/>
                  </a:schemeClr>
                </a:solidFill>
              </a:ln>
              <a:effectLst/>
            </c:spPr>
            <c:extLst>
              <c:ext xmlns:c16="http://schemas.microsoft.com/office/drawing/2014/chart" uri="{C3380CC4-5D6E-409C-BE32-E72D297353CC}">
                <c16:uniqueId val="{00000026-19F7-44A6-991B-B20B5D197842}"/>
              </c:ext>
            </c:extLst>
          </c:dPt>
          <c:dPt>
            <c:idx val="3"/>
            <c:bubble3D val="0"/>
            <c:spPr>
              <a:noFill/>
              <a:ln w="9525">
                <a:solidFill>
                  <a:schemeClr val="tx1">
                    <a:alpha val="10000"/>
                  </a:schemeClr>
                </a:solidFill>
              </a:ln>
              <a:effectLst/>
            </c:spPr>
            <c:extLst>
              <c:ext xmlns:c16="http://schemas.microsoft.com/office/drawing/2014/chart" uri="{C3380CC4-5D6E-409C-BE32-E72D297353CC}">
                <c16:uniqueId val="{00000028-19F7-44A6-991B-B20B5D197842}"/>
              </c:ext>
            </c:extLst>
          </c:dPt>
          <c:dPt>
            <c:idx val="4"/>
            <c:bubble3D val="0"/>
            <c:spPr>
              <a:noFill/>
              <a:ln w="9525">
                <a:solidFill>
                  <a:schemeClr val="tx1">
                    <a:alpha val="10000"/>
                  </a:schemeClr>
                </a:solidFill>
              </a:ln>
              <a:effectLst/>
            </c:spPr>
            <c:extLst>
              <c:ext xmlns:c16="http://schemas.microsoft.com/office/drawing/2014/chart" uri="{C3380CC4-5D6E-409C-BE32-E72D297353CC}">
                <c16:uniqueId val="{0000002A-19F7-44A6-991B-B20B5D197842}"/>
              </c:ext>
            </c:extLst>
          </c:dPt>
          <c:val>
            <c:numRef>
              <c:f>Processing!$P$14:$T$14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B-19F7-44A6-991B-B20B5D197842}"/>
            </c:ext>
          </c:extLst>
        </c:ser>
        <c:dLbls>
          <c:showLegendKey val="0"/>
          <c:showVal val="0"/>
          <c:showCatName val="0"/>
          <c:showSerName val="0"/>
          <c:showPercent val="0"/>
          <c:showBubbleSize val="0"/>
          <c:showLeaderLines val="1"/>
        </c:dLbls>
        <c:firstSliceAng val="0"/>
        <c:holeSize val="2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Processing!$M$10</c:f>
              <c:strCache>
                <c:ptCount val="1"/>
                <c:pt idx="0">
                  <c:v>Revenue</c:v>
                </c:pt>
              </c:strCache>
            </c:strRef>
          </c:tx>
          <c:spPr>
            <a:solidFill>
              <a:srgbClr val="4E7AFF">
                <a:alpha val="70000"/>
              </a:srgbClr>
            </a:solidFill>
            <a:ln>
              <a:noFill/>
            </a:ln>
            <a:effectLst>
              <a:outerShdw blurRad="50800" dist="38100" dir="8100000" algn="tr" rotWithShape="0">
                <a:prstClr val="black">
                  <a:alpha val="40000"/>
                </a:prstClr>
              </a:outerShdw>
            </a:effectLst>
          </c:spPr>
          <c:cat>
            <c:strRef>
              <c:f>Processing!$L$11:$L$15</c:f>
              <c:strCache>
                <c:ptCount val="5"/>
                <c:pt idx="0">
                  <c:v>A</c:v>
                </c:pt>
                <c:pt idx="1">
                  <c:v>B</c:v>
                </c:pt>
                <c:pt idx="2">
                  <c:v>C</c:v>
                </c:pt>
                <c:pt idx="3">
                  <c:v>D</c:v>
                </c:pt>
                <c:pt idx="4">
                  <c:v>E</c:v>
                </c:pt>
              </c:strCache>
            </c:strRef>
          </c:cat>
          <c:val>
            <c:numRef>
              <c:f>Processing!$M$11:$M$15</c:f>
              <c:numCache>
                <c:formatCode>_("$"* #,##0.00_);_("$"* \(#,##0.00\);_("$"* "-"??_);_(@_)</c:formatCode>
                <c:ptCount val="5"/>
                <c:pt idx="0">
                  <c:v>8185</c:v>
                </c:pt>
                <c:pt idx="1">
                  <c:v>7567</c:v>
                </c:pt>
                <c:pt idx="2">
                  <c:v>5405</c:v>
                </c:pt>
                <c:pt idx="3">
                  <c:v>9111</c:v>
                </c:pt>
                <c:pt idx="4">
                  <c:v>7567</c:v>
                </c:pt>
              </c:numCache>
            </c:numRef>
          </c:val>
          <c:extLst>
            <c:ext xmlns:c16="http://schemas.microsoft.com/office/drawing/2014/chart" uri="{C3380CC4-5D6E-409C-BE32-E72D297353CC}">
              <c16:uniqueId val="{00000000-5EF9-4C66-94F0-F12A95427394}"/>
            </c:ext>
          </c:extLst>
        </c:ser>
        <c:ser>
          <c:idx val="1"/>
          <c:order val="1"/>
          <c:tx>
            <c:strRef>
              <c:f>Processing!$N$10</c:f>
              <c:strCache>
                <c:ptCount val="1"/>
                <c:pt idx="0">
                  <c:v>Sales</c:v>
                </c:pt>
              </c:strCache>
            </c:strRef>
          </c:tx>
          <c:spPr>
            <a:solidFill>
              <a:srgbClr val="EE0078">
                <a:alpha val="70000"/>
              </a:srgbClr>
            </a:solidFill>
            <a:ln>
              <a:noFill/>
            </a:ln>
            <a:effectLst>
              <a:outerShdw blurRad="50800" dist="38100" dir="8100000" algn="tr" rotWithShape="0">
                <a:prstClr val="black">
                  <a:alpha val="40000"/>
                </a:prstClr>
              </a:outerShdw>
            </a:effectLst>
          </c:spPr>
          <c:cat>
            <c:strRef>
              <c:f>Processing!$L$11:$L$15</c:f>
              <c:strCache>
                <c:ptCount val="5"/>
                <c:pt idx="0">
                  <c:v>A</c:v>
                </c:pt>
                <c:pt idx="1">
                  <c:v>B</c:v>
                </c:pt>
                <c:pt idx="2">
                  <c:v>C</c:v>
                </c:pt>
                <c:pt idx="3">
                  <c:v>D</c:v>
                </c:pt>
                <c:pt idx="4">
                  <c:v>E</c:v>
                </c:pt>
              </c:strCache>
            </c:strRef>
          </c:cat>
          <c:val>
            <c:numRef>
              <c:f>Processing!$N$11:$N$15</c:f>
              <c:numCache>
                <c:formatCode>_("$"* #,##0.00_);_("$"* \(#,##0.00\);_("$"* "-"??_);_(@_)</c:formatCode>
                <c:ptCount val="5"/>
                <c:pt idx="0">
                  <c:v>7381.8451474918056</c:v>
                </c:pt>
                <c:pt idx="1">
                  <c:v>8409.9741542136544</c:v>
                </c:pt>
                <c:pt idx="2">
                  <c:v>7244.885506360758</c:v>
                </c:pt>
                <c:pt idx="3">
                  <c:v>4026.7997889006169</c:v>
                </c:pt>
                <c:pt idx="4">
                  <c:v>6479.4954030331646</c:v>
                </c:pt>
              </c:numCache>
            </c:numRef>
          </c:val>
          <c:extLst>
            <c:ext xmlns:c16="http://schemas.microsoft.com/office/drawing/2014/chart" uri="{C3380CC4-5D6E-409C-BE32-E72D297353CC}">
              <c16:uniqueId val="{00000001-5EF9-4C66-94F0-F12A95427394}"/>
            </c:ext>
          </c:extLst>
        </c:ser>
        <c:dLbls>
          <c:showLegendKey val="0"/>
          <c:showVal val="0"/>
          <c:showCatName val="0"/>
          <c:showSerName val="0"/>
          <c:showPercent val="0"/>
          <c:showBubbleSize val="0"/>
        </c:dLbls>
        <c:axId val="1824798800"/>
        <c:axId val="1824798320"/>
      </c:radarChart>
      <c:catAx>
        <c:axId val="182479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A2ADBE"/>
                </a:solidFill>
                <a:latin typeface="+mn-lt"/>
                <a:ea typeface="+mn-ea"/>
                <a:cs typeface="+mn-cs"/>
              </a:defRPr>
            </a:pPr>
            <a:endParaRPr lang="ru-RU"/>
          </a:p>
        </c:txPr>
        <c:crossAx val="1824798320"/>
        <c:crosses val="autoZero"/>
        <c:auto val="1"/>
        <c:lblAlgn val="ctr"/>
        <c:lblOffset val="100"/>
        <c:noMultiLvlLbl val="0"/>
      </c:catAx>
      <c:valAx>
        <c:axId val="1824798320"/>
        <c:scaling>
          <c:orientation val="minMax"/>
        </c:scaling>
        <c:delete val="1"/>
        <c:axPos val="l"/>
        <c:numFmt formatCode="_(&quot;$&quot;* #,##0.00_);_(&quot;$&quot;* \(#,##0.00\);_(&quot;$&quot;* &quot;-&quot;??_);_(@_)" sourceLinked="1"/>
        <c:majorTickMark val="none"/>
        <c:minorTickMark val="none"/>
        <c:tickLblPos val="nextTo"/>
        <c:crossAx val="18247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strRef>
              <c:f>Processing!$B$19</c:f>
              <c:strCache>
                <c:ptCount val="1"/>
                <c:pt idx="0">
                  <c:v>Revenue</c:v>
                </c:pt>
              </c:strCache>
            </c:strRef>
          </c:tx>
          <c:spPr>
            <a:gradFill>
              <a:gsLst>
                <a:gs pos="0">
                  <a:srgbClr val="00C6D1">
                    <a:alpha val="30000"/>
                  </a:srgbClr>
                </a:gs>
                <a:gs pos="100000">
                  <a:srgbClr val="00C6D1">
                    <a:alpha val="0"/>
                  </a:srgbClr>
                </a:gs>
              </a:gsLst>
              <a:lin ang="5400000" scaled="1"/>
            </a:gradFill>
            <a:ln>
              <a:noFill/>
            </a:ln>
            <a:effectLst/>
          </c:spP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extLst>
            <c:ext xmlns:c16="http://schemas.microsoft.com/office/drawing/2014/chart" uri="{C3380CC4-5D6E-409C-BE32-E72D297353CC}">
              <c16:uniqueId val="{00000000-2978-4BC5-9C4B-7193D29E7CB8}"/>
            </c:ext>
          </c:extLst>
        </c:ser>
        <c:dLbls>
          <c:showLegendKey val="0"/>
          <c:showVal val="0"/>
          <c:showCatName val="0"/>
          <c:showSerName val="0"/>
          <c:showPercent val="0"/>
          <c:showBubbleSize val="0"/>
        </c:dLbls>
        <c:axId val="1953973136"/>
        <c:axId val="1953968816"/>
      </c:areaChart>
      <c:lineChart>
        <c:grouping val="standard"/>
        <c:varyColors val="0"/>
        <c:ser>
          <c:idx val="1"/>
          <c:order val="0"/>
          <c:tx>
            <c:v>fill</c:v>
          </c:tx>
          <c:spPr>
            <a:ln w="25400" cap="rnd">
              <a:solidFill>
                <a:srgbClr val="00C6D1"/>
              </a:solidFill>
              <a:round/>
            </a:ln>
            <a:effectLst/>
          </c:spPr>
          <c:marker>
            <c:symbol val="none"/>
          </c:marke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smooth val="1"/>
          <c:extLst>
            <c:ext xmlns:c16="http://schemas.microsoft.com/office/drawing/2014/chart" uri="{C3380CC4-5D6E-409C-BE32-E72D297353CC}">
              <c16:uniqueId val="{00000001-2978-4BC5-9C4B-7193D29E7CB8}"/>
            </c:ext>
          </c:extLst>
        </c:ser>
        <c:ser>
          <c:idx val="0"/>
          <c:order val="1"/>
          <c:tx>
            <c:strRef>
              <c:f>Processing!$C$19</c:f>
              <c:strCache>
                <c:ptCount val="1"/>
                <c:pt idx="0">
                  <c:v>Expenses</c:v>
                </c:pt>
              </c:strCache>
            </c:strRef>
          </c:tx>
          <c:spPr>
            <a:ln w="25400" cap="rnd">
              <a:gradFill>
                <a:gsLst>
                  <a:gs pos="0">
                    <a:srgbClr val="F17EEC"/>
                  </a:gs>
                  <a:gs pos="100000">
                    <a:srgbClr val="EE0077"/>
                  </a:gs>
                </a:gsLst>
                <a:lin ang="5400000" scaled="1"/>
              </a:gradFill>
              <a:round/>
            </a:ln>
            <a:effectLst/>
          </c:spPr>
          <c:marker>
            <c:symbol val="none"/>
          </c:marker>
          <c:val>
            <c:numRef>
              <c:f>Processing!$C$20:$C$31</c:f>
              <c:numCache>
                <c:formatCode>General</c:formatCode>
                <c:ptCount val="12"/>
                <c:pt idx="0">
                  <c:v>26660</c:v>
                </c:pt>
                <c:pt idx="1">
                  <c:v>32060</c:v>
                </c:pt>
                <c:pt idx="2">
                  <c:v>35760</c:v>
                </c:pt>
                <c:pt idx="3">
                  <c:v>36560</c:v>
                </c:pt>
                <c:pt idx="4">
                  <c:v>34220</c:v>
                </c:pt>
                <c:pt idx="5">
                  <c:v>29500</c:v>
                </c:pt>
                <c:pt idx="6">
                  <c:v>23820</c:v>
                </c:pt>
                <c:pt idx="7">
                  <c:v>19100</c:v>
                </c:pt>
                <c:pt idx="8">
                  <c:v>16760</c:v>
                </c:pt>
                <c:pt idx="9">
                  <c:v>17560</c:v>
                </c:pt>
                <c:pt idx="10">
                  <c:v>21260</c:v>
                </c:pt>
                <c:pt idx="11">
                  <c:v>26660</c:v>
                </c:pt>
              </c:numCache>
            </c:numRef>
          </c:val>
          <c:smooth val="1"/>
          <c:extLst>
            <c:ext xmlns:c16="http://schemas.microsoft.com/office/drawing/2014/chart" uri="{C3380CC4-5D6E-409C-BE32-E72D297353CC}">
              <c16:uniqueId val="{00000002-2978-4BC5-9C4B-7193D29E7CB8}"/>
            </c:ext>
          </c:extLst>
        </c:ser>
        <c:dLbls>
          <c:showLegendKey val="0"/>
          <c:showVal val="0"/>
          <c:showCatName val="0"/>
          <c:showSerName val="0"/>
          <c:showPercent val="0"/>
          <c:showBubbleSize val="0"/>
        </c:dLbls>
        <c:marker val="1"/>
        <c:smooth val="0"/>
        <c:axId val="1953973136"/>
        <c:axId val="1953968816"/>
      </c:lineChart>
      <c:scatterChart>
        <c:scatterStyle val="lineMarker"/>
        <c:varyColors val="0"/>
        <c:ser>
          <c:idx val="3"/>
          <c:order val="3"/>
          <c:tx>
            <c:v>Cursor</c:v>
          </c:tx>
          <c:spPr>
            <a:ln w="25400" cap="rnd">
              <a:noFill/>
              <a:round/>
            </a:ln>
            <a:effectLst/>
          </c:spPr>
          <c:marker>
            <c:symbol val="circle"/>
            <c:size val="7"/>
            <c:spPr>
              <a:solidFill>
                <a:schemeClr val="bg1"/>
              </a:solidFill>
              <a:ln w="19050">
                <a:solidFill>
                  <a:srgbClr val="00C6D1"/>
                </a:solidFill>
              </a:ln>
              <a:effectLst/>
            </c:spPr>
          </c:marker>
          <c:yVal>
            <c:numRef>
              <c:f>Processing!$D$20:$D$31</c:f>
              <c:numCache>
                <c:formatCode>General</c:formatCode>
                <c:ptCount val="12"/>
                <c:pt idx="0">
                  <c:v>37835</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2978-4BC5-9C4B-7193D29E7CB8}"/>
            </c:ext>
          </c:extLst>
        </c:ser>
        <c:dLbls>
          <c:showLegendKey val="0"/>
          <c:showVal val="0"/>
          <c:showCatName val="0"/>
          <c:showSerName val="0"/>
          <c:showPercent val="0"/>
          <c:showBubbleSize val="0"/>
        </c:dLbls>
        <c:axId val="1953973136"/>
        <c:axId val="1953968816"/>
      </c:scatterChart>
      <c:catAx>
        <c:axId val="1953973136"/>
        <c:scaling>
          <c:orientation val="minMax"/>
        </c:scaling>
        <c:delete val="1"/>
        <c:axPos val="b"/>
        <c:majorTickMark val="none"/>
        <c:minorTickMark val="none"/>
        <c:tickLblPos val="nextTo"/>
        <c:crossAx val="1953968816"/>
        <c:crosses val="autoZero"/>
        <c:auto val="1"/>
        <c:lblAlgn val="ctr"/>
        <c:lblOffset val="100"/>
        <c:noMultiLvlLbl val="0"/>
      </c:catAx>
      <c:valAx>
        <c:axId val="1953968816"/>
        <c:scaling>
          <c:orientation val="minMax"/>
        </c:scaling>
        <c:delete val="1"/>
        <c:axPos val="l"/>
        <c:numFmt formatCode="General" sourceLinked="1"/>
        <c:majorTickMark val="none"/>
        <c:minorTickMark val="none"/>
        <c:tickLblPos val="nextTo"/>
        <c:crossAx val="1953973136"/>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spPr>
            <a:noFill/>
            <a:ln>
              <a:noFill/>
            </a:ln>
            <a:effectLst/>
          </c:spPr>
          <c:invertIfNegative val="0"/>
          <c:cat>
            <c:strRef>
              <c:f>Processing!$I$2:$I$6</c:f>
              <c:strCache>
                <c:ptCount val="5"/>
                <c:pt idx="0">
                  <c:v>MON</c:v>
                </c:pt>
                <c:pt idx="1">
                  <c:v>TUE</c:v>
                </c:pt>
                <c:pt idx="2">
                  <c:v>WED</c:v>
                </c:pt>
                <c:pt idx="3">
                  <c:v>THU</c:v>
                </c:pt>
                <c:pt idx="4">
                  <c:v>FRI</c:v>
                </c:pt>
              </c:strCache>
            </c:strRef>
          </c:cat>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0-74C6-4008-BE13-04CDB2BD332F}"/>
            </c:ext>
          </c:extLst>
        </c:ser>
        <c:ser>
          <c:idx val="0"/>
          <c:order val="1"/>
          <c:spPr>
            <a:solidFill>
              <a:schemeClr val="accent1"/>
            </a:solidFill>
            <a:ln w="88900">
              <a:gradFill>
                <a:gsLst>
                  <a:gs pos="19000">
                    <a:srgbClr val="60A8FF"/>
                  </a:gs>
                  <a:gs pos="100000">
                    <a:srgbClr val="2185FF"/>
                  </a:gs>
                </a:gsLst>
                <a:lin ang="5400000" scaled="1"/>
              </a:gradFill>
            </a:ln>
            <a:effectLst/>
          </c:spPr>
          <c:invertIfNegative val="0"/>
          <c:cat>
            <c:strRef>
              <c:f>Processing!$I$2:$I$6</c:f>
              <c:strCache>
                <c:ptCount val="5"/>
                <c:pt idx="0">
                  <c:v>MON</c:v>
                </c:pt>
                <c:pt idx="1">
                  <c:v>TUE</c:v>
                </c:pt>
                <c:pt idx="2">
                  <c:v>WED</c:v>
                </c:pt>
                <c:pt idx="3">
                  <c:v>THU</c:v>
                </c:pt>
                <c:pt idx="4">
                  <c:v>FRI</c:v>
                </c:pt>
              </c:strCache>
            </c:strRef>
          </c:cat>
          <c:val>
            <c:numRef>
              <c:f>Processing!$J$2:$J$6</c:f>
              <c:numCache>
                <c:formatCode>General</c:formatCode>
                <c:ptCount val="5"/>
                <c:pt idx="0">
                  <c:v>1511</c:v>
                </c:pt>
                <c:pt idx="1">
                  <c:v>5603</c:v>
                </c:pt>
                <c:pt idx="2">
                  <c:v>5741</c:v>
                </c:pt>
                <c:pt idx="3">
                  <c:v>2858</c:v>
                </c:pt>
                <c:pt idx="4">
                  <c:v>1164</c:v>
                </c:pt>
              </c:numCache>
            </c:numRef>
          </c:val>
          <c:extLst>
            <c:ext xmlns:c16="http://schemas.microsoft.com/office/drawing/2014/chart" uri="{C3380CC4-5D6E-409C-BE32-E72D297353CC}">
              <c16:uniqueId val="{00000001-74C6-4008-BE13-04CDB2BD332F}"/>
            </c:ext>
          </c:extLst>
        </c:ser>
        <c:dLbls>
          <c:showLegendKey val="0"/>
          <c:showVal val="0"/>
          <c:showCatName val="0"/>
          <c:showSerName val="0"/>
          <c:showPercent val="0"/>
          <c:showBubbleSize val="0"/>
        </c:dLbls>
        <c:gapWidth val="250"/>
        <c:overlap val="100"/>
        <c:axId val="1684353792"/>
        <c:axId val="1684362432"/>
      </c:barChart>
      <c:barChart>
        <c:barDir val="col"/>
        <c:grouping val="stacked"/>
        <c:varyColors val="0"/>
        <c:ser>
          <c:idx val="3"/>
          <c:order val="2"/>
          <c:tx>
            <c:v>indent Cursor</c:v>
          </c:tx>
          <c:spPr>
            <a:noFill/>
            <a:ln>
              <a:noFill/>
            </a:ln>
            <a:effectLst/>
          </c:spPr>
          <c:invertIfNegative val="0"/>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2-74C6-4008-BE13-04CDB2BD332F}"/>
            </c:ext>
          </c:extLst>
        </c:ser>
        <c:ser>
          <c:idx val="1"/>
          <c:order val="3"/>
          <c:spPr>
            <a:solidFill>
              <a:schemeClr val="accent2"/>
            </a:solidFill>
            <a:ln w="88900">
              <a:gradFill>
                <a:gsLst>
                  <a:gs pos="0">
                    <a:srgbClr val="F17EEC"/>
                  </a:gs>
                  <a:gs pos="100000">
                    <a:srgbClr val="EE0078"/>
                  </a:gs>
                </a:gsLst>
                <a:lin ang="5400000" scaled="1"/>
              </a:gradFill>
            </a:ln>
            <a:effectLst/>
          </c:spPr>
          <c:invertIfNegative val="0"/>
          <c:cat>
            <c:strRef>
              <c:f>Processing!$I$2:$I$6</c:f>
              <c:strCache>
                <c:ptCount val="5"/>
                <c:pt idx="0">
                  <c:v>MON</c:v>
                </c:pt>
                <c:pt idx="1">
                  <c:v>TUE</c:v>
                </c:pt>
                <c:pt idx="2">
                  <c:v>WED</c:v>
                </c:pt>
                <c:pt idx="3">
                  <c:v>THU</c:v>
                </c:pt>
                <c:pt idx="4">
                  <c:v>FRI</c:v>
                </c:pt>
              </c:strCache>
            </c:strRef>
          </c:cat>
          <c:val>
            <c:numRef>
              <c:f>Processing!$K$2:$K$6</c:f>
              <c:numCache>
                <c:formatCode>General</c:formatCode>
                <c:ptCount val="5"/>
                <c:pt idx="0">
                  <c:v>#N/A</c:v>
                </c:pt>
                <c:pt idx="1">
                  <c:v>5603</c:v>
                </c:pt>
                <c:pt idx="2">
                  <c:v>5741</c:v>
                </c:pt>
                <c:pt idx="3">
                  <c:v>2858</c:v>
                </c:pt>
                <c:pt idx="4">
                  <c:v>1164</c:v>
                </c:pt>
              </c:numCache>
            </c:numRef>
          </c:val>
          <c:extLst>
            <c:ext xmlns:c16="http://schemas.microsoft.com/office/drawing/2014/chart" uri="{C3380CC4-5D6E-409C-BE32-E72D297353CC}">
              <c16:uniqueId val="{00000003-74C6-4008-BE13-04CDB2BD332F}"/>
            </c:ext>
          </c:extLst>
        </c:ser>
        <c:dLbls>
          <c:showLegendKey val="0"/>
          <c:showVal val="0"/>
          <c:showCatName val="0"/>
          <c:showSerName val="0"/>
          <c:showPercent val="0"/>
          <c:showBubbleSize val="0"/>
        </c:dLbls>
        <c:gapWidth val="250"/>
        <c:overlap val="100"/>
        <c:axId val="1684234752"/>
        <c:axId val="1684248672"/>
      </c:barChart>
      <c:catAx>
        <c:axId val="1684353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A2ADBE"/>
                </a:solidFill>
                <a:latin typeface="+mn-lt"/>
                <a:ea typeface="+mn-ea"/>
                <a:cs typeface="+mn-cs"/>
              </a:defRPr>
            </a:pPr>
            <a:endParaRPr lang="ru-RU"/>
          </a:p>
        </c:txPr>
        <c:crossAx val="1684362432"/>
        <c:crosses val="autoZero"/>
        <c:auto val="1"/>
        <c:lblAlgn val="ctr"/>
        <c:lblOffset val="100"/>
        <c:noMultiLvlLbl val="0"/>
      </c:catAx>
      <c:valAx>
        <c:axId val="1684362432"/>
        <c:scaling>
          <c:orientation val="minMax"/>
          <c:min val="0"/>
        </c:scaling>
        <c:delete val="1"/>
        <c:axPos val="l"/>
        <c:numFmt formatCode="General" sourceLinked="1"/>
        <c:majorTickMark val="out"/>
        <c:minorTickMark val="none"/>
        <c:tickLblPos val="nextTo"/>
        <c:crossAx val="1684353792"/>
        <c:crosses val="autoZero"/>
        <c:crossBetween val="between"/>
      </c:valAx>
      <c:valAx>
        <c:axId val="1684248672"/>
        <c:scaling>
          <c:orientation val="minMax"/>
        </c:scaling>
        <c:delete val="1"/>
        <c:axPos val="r"/>
        <c:numFmt formatCode="General" sourceLinked="1"/>
        <c:majorTickMark val="out"/>
        <c:minorTickMark val="none"/>
        <c:tickLblPos val="nextTo"/>
        <c:crossAx val="1684234752"/>
        <c:crosses val="max"/>
        <c:crossBetween val="between"/>
      </c:valAx>
      <c:catAx>
        <c:axId val="1684234752"/>
        <c:scaling>
          <c:orientation val="minMax"/>
        </c:scaling>
        <c:delete val="1"/>
        <c:axPos val="b"/>
        <c:majorTickMark val="out"/>
        <c:minorTickMark val="none"/>
        <c:tickLblPos val="nextTo"/>
        <c:crossAx val="1684248672"/>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spPr>
            <a:noFill/>
            <a:ln>
              <a:noFill/>
            </a:ln>
            <a:effectLst/>
          </c:spPr>
          <c:invertIfNegative val="0"/>
          <c:cat>
            <c:strRef>
              <c:f>Processing!$I$2:$I$6</c:f>
              <c:strCache>
                <c:ptCount val="5"/>
                <c:pt idx="0">
                  <c:v>MON</c:v>
                </c:pt>
                <c:pt idx="1">
                  <c:v>TUE</c:v>
                </c:pt>
                <c:pt idx="2">
                  <c:v>WED</c:v>
                </c:pt>
                <c:pt idx="3">
                  <c:v>THU</c:v>
                </c:pt>
                <c:pt idx="4">
                  <c:v>FRI</c:v>
                </c:pt>
              </c:strCache>
            </c:strRef>
          </c:cat>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0-839F-4426-A29A-62462FD4DA82}"/>
            </c:ext>
          </c:extLst>
        </c:ser>
        <c:ser>
          <c:idx val="0"/>
          <c:order val="1"/>
          <c:spPr>
            <a:solidFill>
              <a:schemeClr val="accent1"/>
            </a:solidFill>
            <a:ln w="88900">
              <a:gradFill>
                <a:gsLst>
                  <a:gs pos="0">
                    <a:srgbClr val="4E7AFF"/>
                  </a:gs>
                  <a:gs pos="100000">
                    <a:srgbClr val="4552F1"/>
                  </a:gs>
                </a:gsLst>
                <a:lin ang="5400000" scaled="1"/>
              </a:gradFill>
            </a:ln>
            <a:effectLst/>
          </c:spPr>
          <c:invertIfNegative val="0"/>
          <c:cat>
            <c:strRef>
              <c:f>Processing!$I$2:$I$6</c:f>
              <c:strCache>
                <c:ptCount val="5"/>
                <c:pt idx="0">
                  <c:v>MON</c:v>
                </c:pt>
                <c:pt idx="1">
                  <c:v>TUE</c:v>
                </c:pt>
                <c:pt idx="2">
                  <c:v>WED</c:v>
                </c:pt>
                <c:pt idx="3">
                  <c:v>THU</c:v>
                </c:pt>
                <c:pt idx="4">
                  <c:v>FRI</c:v>
                </c:pt>
              </c:strCache>
            </c:strRef>
          </c:cat>
          <c:val>
            <c:numRef>
              <c:f>Processing!$J$2:$J$6</c:f>
              <c:numCache>
                <c:formatCode>General</c:formatCode>
                <c:ptCount val="5"/>
                <c:pt idx="0">
                  <c:v>1511</c:v>
                </c:pt>
                <c:pt idx="1">
                  <c:v>5603</c:v>
                </c:pt>
                <c:pt idx="2">
                  <c:v>5741</c:v>
                </c:pt>
                <c:pt idx="3">
                  <c:v>2858</c:v>
                </c:pt>
                <c:pt idx="4">
                  <c:v>1164</c:v>
                </c:pt>
              </c:numCache>
            </c:numRef>
          </c:val>
          <c:extLst>
            <c:ext xmlns:c16="http://schemas.microsoft.com/office/drawing/2014/chart" uri="{C3380CC4-5D6E-409C-BE32-E72D297353CC}">
              <c16:uniqueId val="{00000001-839F-4426-A29A-62462FD4DA82}"/>
            </c:ext>
          </c:extLst>
        </c:ser>
        <c:dLbls>
          <c:showLegendKey val="0"/>
          <c:showVal val="0"/>
          <c:showCatName val="0"/>
          <c:showSerName val="0"/>
          <c:showPercent val="0"/>
          <c:showBubbleSize val="0"/>
        </c:dLbls>
        <c:gapWidth val="250"/>
        <c:overlap val="100"/>
        <c:axId val="1684353792"/>
        <c:axId val="1684362432"/>
      </c:barChart>
      <c:barChart>
        <c:barDir val="col"/>
        <c:grouping val="stacked"/>
        <c:varyColors val="0"/>
        <c:ser>
          <c:idx val="3"/>
          <c:order val="2"/>
          <c:tx>
            <c:v>indent Cursor</c:v>
          </c:tx>
          <c:spPr>
            <a:noFill/>
            <a:ln>
              <a:noFill/>
            </a:ln>
            <a:effectLst/>
          </c:spPr>
          <c:invertIfNegative val="0"/>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2-839F-4426-A29A-62462FD4DA82}"/>
            </c:ext>
          </c:extLst>
        </c:ser>
        <c:ser>
          <c:idx val="1"/>
          <c:order val="3"/>
          <c:spPr>
            <a:solidFill>
              <a:schemeClr val="accent2"/>
            </a:solidFill>
            <a:ln w="88900">
              <a:gradFill>
                <a:gsLst>
                  <a:gs pos="0">
                    <a:srgbClr val="F17EEC"/>
                  </a:gs>
                  <a:gs pos="100000">
                    <a:srgbClr val="EE0078"/>
                  </a:gs>
                </a:gsLst>
                <a:lin ang="5400000" scaled="1"/>
              </a:gradFill>
            </a:ln>
            <a:effectLst>
              <a:outerShdw blurRad="50800" dist="38100" dir="8100000" algn="tr" rotWithShape="0">
                <a:prstClr val="black">
                  <a:alpha val="40000"/>
                </a:prstClr>
              </a:outerShdw>
            </a:effectLst>
          </c:spPr>
          <c:invertIfNegative val="0"/>
          <c:cat>
            <c:strRef>
              <c:f>Processing!$I$2:$I$6</c:f>
              <c:strCache>
                <c:ptCount val="5"/>
                <c:pt idx="0">
                  <c:v>MON</c:v>
                </c:pt>
                <c:pt idx="1">
                  <c:v>TUE</c:v>
                </c:pt>
                <c:pt idx="2">
                  <c:v>WED</c:v>
                </c:pt>
                <c:pt idx="3">
                  <c:v>THU</c:v>
                </c:pt>
                <c:pt idx="4">
                  <c:v>FRI</c:v>
                </c:pt>
              </c:strCache>
            </c:strRef>
          </c:cat>
          <c:val>
            <c:numRef>
              <c:f>Processing!$K$2:$K$6</c:f>
              <c:numCache>
                <c:formatCode>General</c:formatCode>
                <c:ptCount val="5"/>
                <c:pt idx="0">
                  <c:v>#N/A</c:v>
                </c:pt>
                <c:pt idx="1">
                  <c:v>5603</c:v>
                </c:pt>
                <c:pt idx="2">
                  <c:v>5741</c:v>
                </c:pt>
                <c:pt idx="3">
                  <c:v>2858</c:v>
                </c:pt>
                <c:pt idx="4">
                  <c:v>1164</c:v>
                </c:pt>
              </c:numCache>
            </c:numRef>
          </c:val>
          <c:extLst>
            <c:ext xmlns:c16="http://schemas.microsoft.com/office/drawing/2014/chart" uri="{C3380CC4-5D6E-409C-BE32-E72D297353CC}">
              <c16:uniqueId val="{00000003-839F-4426-A29A-62462FD4DA82}"/>
            </c:ext>
          </c:extLst>
        </c:ser>
        <c:dLbls>
          <c:showLegendKey val="0"/>
          <c:showVal val="0"/>
          <c:showCatName val="0"/>
          <c:showSerName val="0"/>
          <c:showPercent val="0"/>
          <c:showBubbleSize val="0"/>
        </c:dLbls>
        <c:gapWidth val="250"/>
        <c:overlap val="100"/>
        <c:axId val="1684234752"/>
        <c:axId val="1684248672"/>
      </c:barChart>
      <c:catAx>
        <c:axId val="1684353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A2ADBE"/>
                </a:solidFill>
                <a:latin typeface="+mn-lt"/>
                <a:ea typeface="+mn-ea"/>
                <a:cs typeface="+mn-cs"/>
              </a:defRPr>
            </a:pPr>
            <a:endParaRPr lang="ru-RU"/>
          </a:p>
        </c:txPr>
        <c:crossAx val="1684362432"/>
        <c:crosses val="autoZero"/>
        <c:auto val="1"/>
        <c:lblAlgn val="ctr"/>
        <c:lblOffset val="100"/>
        <c:noMultiLvlLbl val="0"/>
      </c:catAx>
      <c:valAx>
        <c:axId val="1684362432"/>
        <c:scaling>
          <c:orientation val="minMax"/>
          <c:min val="0"/>
        </c:scaling>
        <c:delete val="1"/>
        <c:axPos val="l"/>
        <c:numFmt formatCode="General" sourceLinked="1"/>
        <c:majorTickMark val="out"/>
        <c:minorTickMark val="none"/>
        <c:tickLblPos val="nextTo"/>
        <c:crossAx val="1684353792"/>
        <c:crosses val="autoZero"/>
        <c:crossBetween val="between"/>
      </c:valAx>
      <c:valAx>
        <c:axId val="1684248672"/>
        <c:scaling>
          <c:orientation val="minMax"/>
        </c:scaling>
        <c:delete val="1"/>
        <c:axPos val="r"/>
        <c:numFmt formatCode="General" sourceLinked="1"/>
        <c:majorTickMark val="out"/>
        <c:minorTickMark val="none"/>
        <c:tickLblPos val="nextTo"/>
        <c:crossAx val="1684234752"/>
        <c:crosses val="max"/>
        <c:crossBetween val="between"/>
      </c:valAx>
      <c:catAx>
        <c:axId val="1684234752"/>
        <c:scaling>
          <c:orientation val="minMax"/>
        </c:scaling>
        <c:delete val="1"/>
        <c:axPos val="b"/>
        <c:majorTickMark val="out"/>
        <c:minorTickMark val="none"/>
        <c:tickLblPos val="nextTo"/>
        <c:crossAx val="168424867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1-75D2-4716-95BA-01D374D75977}"/>
              </c:ext>
            </c:extLst>
          </c:dPt>
          <c:dPt>
            <c:idx val="1"/>
            <c:bubble3D val="0"/>
            <c:spPr>
              <a:noFill/>
              <a:ln w="9525">
                <a:solidFill>
                  <a:srgbClr val="6476CE"/>
                </a:solidFill>
              </a:ln>
              <a:effectLst/>
            </c:spPr>
            <c:extLst>
              <c:ext xmlns:c16="http://schemas.microsoft.com/office/drawing/2014/chart" uri="{C3380CC4-5D6E-409C-BE32-E72D297353CC}">
                <c16:uniqueId val="{00000003-75D2-4716-95BA-01D374D75977}"/>
              </c:ext>
            </c:extLst>
          </c:dPt>
          <c:dPt>
            <c:idx val="2"/>
            <c:bubble3D val="0"/>
            <c:spPr>
              <a:noFill/>
              <a:ln w="9525">
                <a:solidFill>
                  <a:srgbClr val="6476CE"/>
                </a:solidFill>
              </a:ln>
              <a:effectLst/>
            </c:spPr>
            <c:extLst>
              <c:ext xmlns:c16="http://schemas.microsoft.com/office/drawing/2014/chart" uri="{C3380CC4-5D6E-409C-BE32-E72D297353CC}">
                <c16:uniqueId val="{00000005-75D2-4716-95BA-01D374D75977}"/>
              </c:ext>
            </c:extLst>
          </c:dPt>
          <c:dPt>
            <c:idx val="3"/>
            <c:bubble3D val="0"/>
            <c:spPr>
              <a:noFill/>
              <a:ln w="9525">
                <a:solidFill>
                  <a:srgbClr val="6476CE"/>
                </a:solidFill>
              </a:ln>
              <a:effectLst/>
            </c:spPr>
            <c:extLst>
              <c:ext xmlns:c16="http://schemas.microsoft.com/office/drawing/2014/chart" uri="{C3380CC4-5D6E-409C-BE32-E72D297353CC}">
                <c16:uniqueId val="{00000007-75D2-4716-95BA-01D374D75977}"/>
              </c:ext>
            </c:extLst>
          </c:dPt>
          <c:dPt>
            <c:idx val="4"/>
            <c:bubble3D val="0"/>
            <c:spPr>
              <a:noFill/>
              <a:ln w="9525">
                <a:solidFill>
                  <a:srgbClr val="6476CE"/>
                </a:solidFill>
              </a:ln>
              <a:effectLst/>
            </c:spPr>
            <c:extLst>
              <c:ext xmlns:c16="http://schemas.microsoft.com/office/drawing/2014/chart" uri="{C3380CC4-5D6E-409C-BE32-E72D297353CC}">
                <c16:uniqueId val="{00000009-75D2-4716-95BA-01D374D75977}"/>
              </c:ext>
            </c:extLst>
          </c:dPt>
          <c:val>
            <c:numRef>
              <c:f>Processing!$P$11:$T$11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75D2-4716-95BA-01D374D75977}"/>
            </c:ext>
          </c:extLst>
        </c:ser>
        <c:ser>
          <c:idx val="1"/>
          <c:order val="1"/>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C-75D2-4716-95BA-01D374D75977}"/>
              </c:ext>
            </c:extLst>
          </c:dPt>
          <c:dPt>
            <c:idx val="1"/>
            <c:bubble3D val="0"/>
            <c:spPr>
              <a:noFill/>
              <a:ln w="9525">
                <a:solidFill>
                  <a:srgbClr val="6476CE"/>
                </a:solidFill>
              </a:ln>
              <a:effectLst/>
            </c:spPr>
            <c:extLst>
              <c:ext xmlns:c16="http://schemas.microsoft.com/office/drawing/2014/chart" uri="{C3380CC4-5D6E-409C-BE32-E72D297353CC}">
                <c16:uniqueId val="{0000000E-75D2-4716-95BA-01D374D75977}"/>
              </c:ext>
            </c:extLst>
          </c:dPt>
          <c:dPt>
            <c:idx val="2"/>
            <c:bubble3D val="0"/>
            <c:spPr>
              <a:noFill/>
              <a:ln w="9525">
                <a:solidFill>
                  <a:srgbClr val="6476CE"/>
                </a:solidFill>
              </a:ln>
              <a:effectLst/>
            </c:spPr>
            <c:extLst>
              <c:ext xmlns:c16="http://schemas.microsoft.com/office/drawing/2014/chart" uri="{C3380CC4-5D6E-409C-BE32-E72D297353CC}">
                <c16:uniqueId val="{00000010-75D2-4716-95BA-01D374D75977}"/>
              </c:ext>
            </c:extLst>
          </c:dPt>
          <c:dPt>
            <c:idx val="3"/>
            <c:bubble3D val="0"/>
            <c:spPr>
              <a:noFill/>
              <a:ln w="9525">
                <a:solidFill>
                  <a:srgbClr val="6476CE"/>
                </a:solidFill>
              </a:ln>
              <a:effectLst/>
            </c:spPr>
            <c:extLst>
              <c:ext xmlns:c16="http://schemas.microsoft.com/office/drawing/2014/chart" uri="{C3380CC4-5D6E-409C-BE32-E72D297353CC}">
                <c16:uniqueId val="{00000012-75D2-4716-95BA-01D374D75977}"/>
              </c:ext>
            </c:extLst>
          </c:dPt>
          <c:dPt>
            <c:idx val="4"/>
            <c:bubble3D val="0"/>
            <c:spPr>
              <a:noFill/>
              <a:ln w="9525">
                <a:solidFill>
                  <a:srgbClr val="6476CE"/>
                </a:solidFill>
              </a:ln>
              <a:effectLst/>
            </c:spPr>
            <c:extLst>
              <c:ext xmlns:c16="http://schemas.microsoft.com/office/drawing/2014/chart" uri="{C3380CC4-5D6E-409C-BE32-E72D297353CC}">
                <c16:uniqueId val="{00000014-75D2-4716-95BA-01D374D75977}"/>
              </c:ext>
            </c:extLst>
          </c:dPt>
          <c:val>
            <c:numRef>
              <c:f>Processing!$P$12:$T$12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75D2-4716-95BA-01D374D75977}"/>
            </c:ext>
          </c:extLst>
        </c:ser>
        <c:ser>
          <c:idx val="2"/>
          <c:order val="2"/>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17-75D2-4716-95BA-01D374D75977}"/>
              </c:ext>
            </c:extLst>
          </c:dPt>
          <c:dPt>
            <c:idx val="1"/>
            <c:bubble3D val="0"/>
            <c:spPr>
              <a:noFill/>
              <a:ln w="9525">
                <a:solidFill>
                  <a:srgbClr val="6476CE"/>
                </a:solidFill>
              </a:ln>
              <a:effectLst/>
            </c:spPr>
            <c:extLst>
              <c:ext xmlns:c16="http://schemas.microsoft.com/office/drawing/2014/chart" uri="{C3380CC4-5D6E-409C-BE32-E72D297353CC}">
                <c16:uniqueId val="{00000019-75D2-4716-95BA-01D374D75977}"/>
              </c:ext>
            </c:extLst>
          </c:dPt>
          <c:dPt>
            <c:idx val="2"/>
            <c:bubble3D val="0"/>
            <c:spPr>
              <a:noFill/>
              <a:ln w="9525">
                <a:solidFill>
                  <a:srgbClr val="6476CE"/>
                </a:solidFill>
              </a:ln>
              <a:effectLst/>
            </c:spPr>
            <c:extLst>
              <c:ext xmlns:c16="http://schemas.microsoft.com/office/drawing/2014/chart" uri="{C3380CC4-5D6E-409C-BE32-E72D297353CC}">
                <c16:uniqueId val="{0000001B-75D2-4716-95BA-01D374D75977}"/>
              </c:ext>
            </c:extLst>
          </c:dPt>
          <c:dPt>
            <c:idx val="3"/>
            <c:bubble3D val="0"/>
            <c:spPr>
              <a:noFill/>
              <a:ln w="9525">
                <a:solidFill>
                  <a:srgbClr val="6476CE"/>
                </a:solidFill>
              </a:ln>
              <a:effectLst/>
            </c:spPr>
            <c:extLst>
              <c:ext xmlns:c16="http://schemas.microsoft.com/office/drawing/2014/chart" uri="{C3380CC4-5D6E-409C-BE32-E72D297353CC}">
                <c16:uniqueId val="{0000001D-75D2-4716-95BA-01D374D75977}"/>
              </c:ext>
            </c:extLst>
          </c:dPt>
          <c:dPt>
            <c:idx val="4"/>
            <c:bubble3D val="0"/>
            <c:spPr>
              <a:noFill/>
              <a:ln w="9525">
                <a:solidFill>
                  <a:srgbClr val="6476CE"/>
                </a:solidFill>
              </a:ln>
              <a:effectLst/>
            </c:spPr>
            <c:extLst>
              <c:ext xmlns:c16="http://schemas.microsoft.com/office/drawing/2014/chart" uri="{C3380CC4-5D6E-409C-BE32-E72D297353CC}">
                <c16:uniqueId val="{0000001F-75D2-4716-95BA-01D374D75977}"/>
              </c:ext>
            </c:extLst>
          </c:dPt>
          <c:val>
            <c:numRef>
              <c:f>Processing!$P$13:$T$13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75D2-4716-95BA-01D374D75977}"/>
            </c:ext>
          </c:extLst>
        </c:ser>
        <c:ser>
          <c:idx val="3"/>
          <c:order val="3"/>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22-75D2-4716-95BA-01D374D75977}"/>
              </c:ext>
            </c:extLst>
          </c:dPt>
          <c:dPt>
            <c:idx val="1"/>
            <c:bubble3D val="0"/>
            <c:spPr>
              <a:noFill/>
              <a:ln w="9525">
                <a:solidFill>
                  <a:srgbClr val="6476CE"/>
                </a:solidFill>
              </a:ln>
              <a:effectLst/>
            </c:spPr>
            <c:extLst>
              <c:ext xmlns:c16="http://schemas.microsoft.com/office/drawing/2014/chart" uri="{C3380CC4-5D6E-409C-BE32-E72D297353CC}">
                <c16:uniqueId val="{00000024-75D2-4716-95BA-01D374D75977}"/>
              </c:ext>
            </c:extLst>
          </c:dPt>
          <c:dPt>
            <c:idx val="2"/>
            <c:bubble3D val="0"/>
            <c:spPr>
              <a:noFill/>
              <a:ln w="9525">
                <a:solidFill>
                  <a:srgbClr val="6476CE"/>
                </a:solidFill>
              </a:ln>
              <a:effectLst/>
            </c:spPr>
            <c:extLst>
              <c:ext xmlns:c16="http://schemas.microsoft.com/office/drawing/2014/chart" uri="{C3380CC4-5D6E-409C-BE32-E72D297353CC}">
                <c16:uniqueId val="{00000026-75D2-4716-95BA-01D374D75977}"/>
              </c:ext>
            </c:extLst>
          </c:dPt>
          <c:dPt>
            <c:idx val="3"/>
            <c:bubble3D val="0"/>
            <c:spPr>
              <a:noFill/>
              <a:ln w="9525">
                <a:solidFill>
                  <a:srgbClr val="6476CE"/>
                </a:solidFill>
              </a:ln>
              <a:effectLst/>
            </c:spPr>
            <c:extLst>
              <c:ext xmlns:c16="http://schemas.microsoft.com/office/drawing/2014/chart" uri="{C3380CC4-5D6E-409C-BE32-E72D297353CC}">
                <c16:uniqueId val="{00000028-75D2-4716-95BA-01D374D75977}"/>
              </c:ext>
            </c:extLst>
          </c:dPt>
          <c:dPt>
            <c:idx val="4"/>
            <c:bubble3D val="0"/>
            <c:spPr>
              <a:noFill/>
              <a:ln w="9525">
                <a:solidFill>
                  <a:srgbClr val="6476CE"/>
                </a:solidFill>
              </a:ln>
              <a:effectLst/>
            </c:spPr>
            <c:extLst>
              <c:ext xmlns:c16="http://schemas.microsoft.com/office/drawing/2014/chart" uri="{C3380CC4-5D6E-409C-BE32-E72D297353CC}">
                <c16:uniqueId val="{0000002A-75D2-4716-95BA-01D374D75977}"/>
              </c:ext>
            </c:extLst>
          </c:dPt>
          <c:val>
            <c:numRef>
              <c:f>Processing!$P$14:$T$14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B-75D2-4716-95BA-01D374D75977}"/>
            </c:ext>
          </c:extLst>
        </c:ser>
        <c:dLbls>
          <c:showLegendKey val="0"/>
          <c:showVal val="0"/>
          <c:showCatName val="0"/>
          <c:showSerName val="0"/>
          <c:showPercent val="0"/>
          <c:showBubbleSize val="0"/>
          <c:showLeaderLines val="1"/>
        </c:dLbls>
        <c:firstSliceAng val="0"/>
        <c:holeSize val="2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Processing!$M$10</c:f>
              <c:strCache>
                <c:ptCount val="1"/>
                <c:pt idx="0">
                  <c:v>Revenue</c:v>
                </c:pt>
              </c:strCache>
            </c:strRef>
          </c:tx>
          <c:spPr>
            <a:gradFill>
              <a:gsLst>
                <a:gs pos="0">
                  <a:srgbClr val="4E7AFF">
                    <a:alpha val="90000"/>
                  </a:srgbClr>
                </a:gs>
                <a:gs pos="100000">
                  <a:srgbClr val="4552F1">
                    <a:alpha val="90000"/>
                  </a:srgbClr>
                </a:gs>
              </a:gsLst>
              <a:lin ang="5400000" scaled="1"/>
            </a:gradFill>
            <a:ln>
              <a:noFill/>
            </a:ln>
            <a:effectLst>
              <a:outerShdw blurRad="50800" dist="38100" dir="8100000" algn="tr" rotWithShape="0">
                <a:prstClr val="black">
                  <a:alpha val="40000"/>
                </a:prstClr>
              </a:outerShdw>
            </a:effectLst>
          </c:spPr>
          <c:cat>
            <c:strRef>
              <c:f>Processing!$L$11:$L$15</c:f>
              <c:strCache>
                <c:ptCount val="5"/>
                <c:pt idx="0">
                  <c:v>A</c:v>
                </c:pt>
                <c:pt idx="1">
                  <c:v>B</c:v>
                </c:pt>
                <c:pt idx="2">
                  <c:v>C</c:v>
                </c:pt>
                <c:pt idx="3">
                  <c:v>D</c:v>
                </c:pt>
                <c:pt idx="4">
                  <c:v>E</c:v>
                </c:pt>
              </c:strCache>
            </c:strRef>
          </c:cat>
          <c:val>
            <c:numRef>
              <c:f>Processing!$M$11:$M$15</c:f>
              <c:numCache>
                <c:formatCode>_("$"* #,##0.00_);_("$"* \(#,##0.00\);_("$"* "-"??_);_(@_)</c:formatCode>
                <c:ptCount val="5"/>
                <c:pt idx="0">
                  <c:v>8185</c:v>
                </c:pt>
                <c:pt idx="1">
                  <c:v>7567</c:v>
                </c:pt>
                <c:pt idx="2">
                  <c:v>5405</c:v>
                </c:pt>
                <c:pt idx="3">
                  <c:v>9111</c:v>
                </c:pt>
                <c:pt idx="4">
                  <c:v>7567</c:v>
                </c:pt>
              </c:numCache>
            </c:numRef>
          </c:val>
          <c:extLst>
            <c:ext xmlns:c16="http://schemas.microsoft.com/office/drawing/2014/chart" uri="{C3380CC4-5D6E-409C-BE32-E72D297353CC}">
              <c16:uniqueId val="{00000000-7C30-4E44-B019-41DCDB7034C3}"/>
            </c:ext>
          </c:extLst>
        </c:ser>
        <c:ser>
          <c:idx val="1"/>
          <c:order val="1"/>
          <c:tx>
            <c:strRef>
              <c:f>Processing!$N$10</c:f>
              <c:strCache>
                <c:ptCount val="1"/>
                <c:pt idx="0">
                  <c:v>Sales</c:v>
                </c:pt>
              </c:strCache>
            </c:strRef>
          </c:tx>
          <c:spPr>
            <a:gradFill>
              <a:gsLst>
                <a:gs pos="0">
                  <a:srgbClr val="F17EEC">
                    <a:alpha val="80000"/>
                  </a:srgbClr>
                </a:gs>
                <a:gs pos="100000">
                  <a:srgbClr val="EE0078">
                    <a:alpha val="80000"/>
                  </a:srgbClr>
                </a:gs>
              </a:gsLst>
              <a:lin ang="5400000" scaled="1"/>
            </a:gradFill>
            <a:ln>
              <a:noFill/>
            </a:ln>
            <a:effectLst>
              <a:outerShdw blurRad="50800" dist="38100" dir="13500000" algn="br" rotWithShape="0">
                <a:prstClr val="black">
                  <a:alpha val="40000"/>
                </a:prstClr>
              </a:outerShdw>
            </a:effectLst>
          </c:spPr>
          <c:cat>
            <c:strRef>
              <c:f>Processing!$L$11:$L$15</c:f>
              <c:strCache>
                <c:ptCount val="5"/>
                <c:pt idx="0">
                  <c:v>A</c:v>
                </c:pt>
                <c:pt idx="1">
                  <c:v>B</c:v>
                </c:pt>
                <c:pt idx="2">
                  <c:v>C</c:v>
                </c:pt>
                <c:pt idx="3">
                  <c:v>D</c:v>
                </c:pt>
                <c:pt idx="4">
                  <c:v>E</c:v>
                </c:pt>
              </c:strCache>
            </c:strRef>
          </c:cat>
          <c:val>
            <c:numRef>
              <c:f>Processing!$N$11:$N$15</c:f>
              <c:numCache>
                <c:formatCode>_("$"* #,##0.00_);_("$"* \(#,##0.00\);_("$"* "-"??_);_(@_)</c:formatCode>
                <c:ptCount val="5"/>
                <c:pt idx="0">
                  <c:v>7381.8451474918056</c:v>
                </c:pt>
                <c:pt idx="1">
                  <c:v>8409.9741542136544</c:v>
                </c:pt>
                <c:pt idx="2">
                  <c:v>7244.885506360758</c:v>
                </c:pt>
                <c:pt idx="3">
                  <c:v>4026.7997889006169</c:v>
                </c:pt>
                <c:pt idx="4">
                  <c:v>6479.4954030331646</c:v>
                </c:pt>
              </c:numCache>
            </c:numRef>
          </c:val>
          <c:extLst>
            <c:ext xmlns:c16="http://schemas.microsoft.com/office/drawing/2014/chart" uri="{C3380CC4-5D6E-409C-BE32-E72D297353CC}">
              <c16:uniqueId val="{00000001-7C30-4E44-B019-41DCDB7034C3}"/>
            </c:ext>
          </c:extLst>
        </c:ser>
        <c:dLbls>
          <c:showLegendKey val="0"/>
          <c:showVal val="0"/>
          <c:showCatName val="0"/>
          <c:showSerName val="0"/>
          <c:showPercent val="0"/>
          <c:showBubbleSize val="0"/>
        </c:dLbls>
        <c:axId val="1824798800"/>
        <c:axId val="1824798320"/>
      </c:radarChart>
      <c:catAx>
        <c:axId val="1824798800"/>
        <c:scaling>
          <c:orientation val="minMax"/>
        </c:scaling>
        <c:delete val="1"/>
        <c:axPos val="b"/>
        <c:numFmt formatCode="General" sourceLinked="1"/>
        <c:majorTickMark val="none"/>
        <c:minorTickMark val="none"/>
        <c:tickLblPos val="nextTo"/>
        <c:crossAx val="1824798320"/>
        <c:crosses val="autoZero"/>
        <c:auto val="1"/>
        <c:lblAlgn val="ctr"/>
        <c:lblOffset val="100"/>
        <c:noMultiLvlLbl val="0"/>
      </c:catAx>
      <c:valAx>
        <c:axId val="1824798320"/>
        <c:scaling>
          <c:orientation val="minMax"/>
        </c:scaling>
        <c:delete val="1"/>
        <c:axPos val="l"/>
        <c:numFmt formatCode="_(&quot;$&quot;* #,##0.00_);_(&quot;$&quot;* \(#,##0.00\);_(&quot;$&quot;* &quot;-&quot;??_);_(@_)" sourceLinked="1"/>
        <c:majorTickMark val="none"/>
        <c:minorTickMark val="none"/>
        <c:tickLblPos val="nextTo"/>
        <c:crossAx val="18247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a:gsLst>
                <a:gs pos="0">
                  <a:srgbClr val="4552F1">
                    <a:alpha val="10000"/>
                  </a:srgbClr>
                </a:gs>
                <a:gs pos="100000">
                  <a:srgbClr val="4552F1">
                    <a:alpha val="0"/>
                  </a:srgbClr>
                </a:gs>
                <a:gs pos="82000">
                  <a:srgbClr val="4552F1">
                    <a:alpha val="22000"/>
                  </a:srgbClr>
                </a:gs>
              </a:gsLst>
              <a:lin ang="5400000" scaled="0"/>
            </a:gradFill>
            <a:ln>
              <a:noFill/>
            </a:ln>
            <a:effectLst/>
          </c:spP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extLst>
            <c:ext xmlns:c16="http://schemas.microsoft.com/office/drawing/2014/chart" uri="{C3380CC4-5D6E-409C-BE32-E72D297353CC}">
              <c16:uniqueId val="{00000000-8CA9-457E-A215-5B3534DEC574}"/>
            </c:ext>
          </c:extLst>
        </c:ser>
        <c:dLbls>
          <c:showLegendKey val="0"/>
          <c:showVal val="0"/>
          <c:showCatName val="0"/>
          <c:showSerName val="0"/>
          <c:showPercent val="0"/>
          <c:showBubbleSize val="0"/>
        </c:dLbls>
        <c:axId val="1953973136"/>
        <c:axId val="1953968816"/>
      </c:areaChart>
      <c:lineChart>
        <c:grouping val="standard"/>
        <c:varyColors val="0"/>
        <c:ser>
          <c:idx val="1"/>
          <c:order val="0"/>
          <c:tx>
            <c:strRef>
              <c:f>Processing!$C$19</c:f>
              <c:strCache>
                <c:ptCount val="1"/>
                <c:pt idx="0">
                  <c:v>Expenses</c:v>
                </c:pt>
              </c:strCache>
            </c:strRef>
          </c:tx>
          <c:spPr>
            <a:ln w="25400" cap="rnd">
              <a:gradFill>
                <a:gsLst>
                  <a:gs pos="0">
                    <a:srgbClr val="EE0078"/>
                  </a:gs>
                  <a:gs pos="100000">
                    <a:srgbClr val="F17EEC"/>
                  </a:gs>
                </a:gsLst>
                <a:lin ang="0" scaled="0"/>
              </a:gradFill>
              <a:round/>
            </a:ln>
            <a:effectLst/>
          </c:spPr>
          <c:marker>
            <c:symbol val="none"/>
          </c:marker>
          <c:val>
            <c:numRef>
              <c:f>Processing!$C$20:$C$31</c:f>
              <c:numCache>
                <c:formatCode>General</c:formatCode>
                <c:ptCount val="12"/>
                <c:pt idx="0">
                  <c:v>26660</c:v>
                </c:pt>
                <c:pt idx="1">
                  <c:v>32060</c:v>
                </c:pt>
                <c:pt idx="2">
                  <c:v>35760</c:v>
                </c:pt>
                <c:pt idx="3">
                  <c:v>36560</c:v>
                </c:pt>
                <c:pt idx="4">
                  <c:v>34220</c:v>
                </c:pt>
                <c:pt idx="5">
                  <c:v>29500</c:v>
                </c:pt>
                <c:pt idx="6">
                  <c:v>23820</c:v>
                </c:pt>
                <c:pt idx="7">
                  <c:v>19100</c:v>
                </c:pt>
                <c:pt idx="8">
                  <c:v>16760</c:v>
                </c:pt>
                <c:pt idx="9">
                  <c:v>17560</c:v>
                </c:pt>
                <c:pt idx="10">
                  <c:v>21260</c:v>
                </c:pt>
                <c:pt idx="11">
                  <c:v>26660</c:v>
                </c:pt>
              </c:numCache>
            </c:numRef>
          </c:val>
          <c:smooth val="1"/>
          <c:extLst>
            <c:ext xmlns:c16="http://schemas.microsoft.com/office/drawing/2014/chart" uri="{C3380CC4-5D6E-409C-BE32-E72D297353CC}">
              <c16:uniqueId val="{00000001-8CA9-457E-A215-5B3534DEC574}"/>
            </c:ext>
          </c:extLst>
        </c:ser>
        <c:ser>
          <c:idx val="0"/>
          <c:order val="1"/>
          <c:tx>
            <c:strRef>
              <c:f>Processing!$B$19</c:f>
              <c:strCache>
                <c:ptCount val="1"/>
                <c:pt idx="0">
                  <c:v>Revenue</c:v>
                </c:pt>
              </c:strCache>
            </c:strRef>
          </c:tx>
          <c:spPr>
            <a:ln w="25400" cap="rnd">
              <a:gradFill>
                <a:gsLst>
                  <a:gs pos="0">
                    <a:srgbClr val="00C6D1"/>
                  </a:gs>
                  <a:gs pos="100000">
                    <a:srgbClr val="97FAFF"/>
                  </a:gs>
                </a:gsLst>
                <a:lin ang="0" scaled="0"/>
              </a:gradFill>
              <a:round/>
            </a:ln>
            <a:effectLst>
              <a:outerShdw blurRad="50800" dist="38100" dir="5400000" algn="t" rotWithShape="0">
                <a:prstClr val="black">
                  <a:alpha val="40000"/>
                </a:prstClr>
              </a:outerShdw>
            </a:effectLst>
          </c:spPr>
          <c:marker>
            <c:symbol val="none"/>
          </c:marke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smooth val="1"/>
          <c:extLst>
            <c:ext xmlns:c16="http://schemas.microsoft.com/office/drawing/2014/chart" uri="{C3380CC4-5D6E-409C-BE32-E72D297353CC}">
              <c16:uniqueId val="{00000002-8CA9-457E-A215-5B3534DEC574}"/>
            </c:ext>
          </c:extLst>
        </c:ser>
        <c:dLbls>
          <c:showLegendKey val="0"/>
          <c:showVal val="0"/>
          <c:showCatName val="0"/>
          <c:showSerName val="0"/>
          <c:showPercent val="0"/>
          <c:showBubbleSize val="0"/>
        </c:dLbls>
        <c:marker val="1"/>
        <c:smooth val="0"/>
        <c:axId val="1953973136"/>
        <c:axId val="1953968816"/>
      </c:lineChart>
      <c:scatterChart>
        <c:scatterStyle val="lineMarker"/>
        <c:varyColors val="0"/>
        <c:ser>
          <c:idx val="3"/>
          <c:order val="3"/>
          <c:tx>
            <c:v>Cursor</c:v>
          </c:tx>
          <c:spPr>
            <a:ln w="25400" cap="rnd">
              <a:noFill/>
              <a:round/>
            </a:ln>
            <a:effectLst>
              <a:outerShdw blurRad="50800" dist="38100" dir="2700000" algn="tl" rotWithShape="0">
                <a:prstClr val="black">
                  <a:alpha val="40000"/>
                </a:prstClr>
              </a:outerShdw>
            </a:effectLst>
          </c:spPr>
          <c:marker>
            <c:symbol val="circle"/>
            <c:size val="7"/>
            <c:spPr>
              <a:solidFill>
                <a:srgbClr val="1E2255"/>
              </a:solidFill>
              <a:ln w="9525">
                <a:solidFill>
                  <a:srgbClr val="97FAFF"/>
                </a:solidFill>
              </a:ln>
              <a:effectLst>
                <a:outerShdw blurRad="50800" dist="38100" dir="2700000" algn="tl" rotWithShape="0">
                  <a:prstClr val="black">
                    <a:alpha val="40000"/>
                  </a:prstClr>
                </a:outerShdw>
              </a:effectLst>
            </c:spPr>
          </c:marker>
          <c:yVal>
            <c:numRef>
              <c:f>Processing!$D$20:$D$31</c:f>
              <c:numCache>
                <c:formatCode>General</c:formatCode>
                <c:ptCount val="12"/>
                <c:pt idx="0">
                  <c:v>37835</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8CA9-457E-A215-5B3534DEC574}"/>
            </c:ext>
          </c:extLst>
        </c:ser>
        <c:dLbls>
          <c:showLegendKey val="0"/>
          <c:showVal val="0"/>
          <c:showCatName val="0"/>
          <c:showSerName val="0"/>
          <c:showPercent val="0"/>
          <c:showBubbleSize val="0"/>
        </c:dLbls>
        <c:axId val="1953973136"/>
        <c:axId val="1953968816"/>
      </c:scatterChart>
      <c:catAx>
        <c:axId val="1953973136"/>
        <c:scaling>
          <c:orientation val="minMax"/>
        </c:scaling>
        <c:delete val="1"/>
        <c:axPos val="b"/>
        <c:majorTickMark val="none"/>
        <c:minorTickMark val="none"/>
        <c:tickLblPos val="nextTo"/>
        <c:crossAx val="1953968816"/>
        <c:crosses val="autoZero"/>
        <c:auto val="1"/>
        <c:lblAlgn val="ctr"/>
        <c:lblOffset val="100"/>
        <c:noMultiLvlLbl val="0"/>
      </c:catAx>
      <c:valAx>
        <c:axId val="1953968816"/>
        <c:scaling>
          <c:orientation val="minMax"/>
        </c:scaling>
        <c:delete val="1"/>
        <c:axPos val="l"/>
        <c:numFmt formatCode="General" sourceLinked="1"/>
        <c:majorTickMark val="none"/>
        <c:minorTickMark val="none"/>
        <c:tickLblPos val="nextTo"/>
        <c:crossAx val="195397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Processing!$J$20</c:f>
              <c:strCache>
                <c:ptCount val="1"/>
                <c:pt idx="0">
                  <c:v>ROI</c:v>
                </c:pt>
              </c:strCache>
            </c:strRef>
          </c:tx>
          <c:spPr>
            <a:ln>
              <a:noFill/>
            </a:ln>
            <a:effectLst>
              <a:outerShdw blurRad="50800" dist="38100" dir="8100000" algn="tr" rotWithShape="0">
                <a:prstClr val="black">
                  <a:alpha val="40000"/>
                </a:prstClr>
              </a:outerShdw>
            </a:effectLst>
          </c:spPr>
          <c:dPt>
            <c:idx val="0"/>
            <c:bubble3D val="0"/>
            <c:spPr>
              <a:gradFill>
                <a:gsLst>
                  <a:gs pos="0">
                    <a:srgbClr val="EE0078"/>
                  </a:gs>
                  <a:gs pos="100000">
                    <a:srgbClr val="D758C9"/>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6246-4E9C-93F0-16B51AF43DEC}"/>
              </c:ext>
            </c:extLst>
          </c:dPt>
          <c:dPt>
            <c:idx val="1"/>
            <c:bubble3D val="0"/>
            <c:spPr>
              <a:gradFill>
                <a:gsLst>
                  <a:gs pos="0">
                    <a:srgbClr val="7A4FF0"/>
                  </a:gs>
                  <a:gs pos="100000">
                    <a:srgbClr val="60A8FF"/>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6246-4E9C-93F0-16B51AF43DEC}"/>
              </c:ext>
            </c:extLst>
          </c:dPt>
          <c:dPt>
            <c:idx val="2"/>
            <c:bubble3D val="0"/>
            <c:spPr>
              <a:solidFill>
                <a:srgbClr val="EE0078">
                  <a:alpha val="50000"/>
                </a:srgb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6246-4E9C-93F0-16B51AF43DEC}"/>
              </c:ext>
            </c:extLst>
          </c:dPt>
          <c:val>
            <c:numRef>
              <c:f>Processing!$J$21:$J$23</c:f>
              <c:numCache>
                <c:formatCode>0%</c:formatCode>
                <c:ptCount val="3"/>
                <c:pt idx="0">
                  <c:v>0.39873688717619354</c:v>
                </c:pt>
                <c:pt idx="1">
                  <c:v>0.6012631128238064</c:v>
                </c:pt>
                <c:pt idx="2">
                  <c:v>0</c:v>
                </c:pt>
              </c:numCache>
            </c:numRef>
          </c:val>
          <c:extLst>
            <c:ext xmlns:c16="http://schemas.microsoft.com/office/drawing/2014/chart" uri="{C3380CC4-5D6E-409C-BE32-E72D297353CC}">
              <c16:uniqueId val="{00000006-6246-4E9C-93F0-16B51AF43DE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4FC0-4EAE-814A-02DF068E8773}"/>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4FC0-4EAE-814A-02DF068E8773}"/>
              </c:ext>
            </c:extLst>
          </c:dPt>
          <c:val>
            <c:numRef>
              <c:f>Processing!$B$15:$B$16</c:f>
              <c:numCache>
                <c:formatCode>0%</c:formatCode>
                <c:ptCount val="2"/>
                <c:pt idx="0">
                  <c:v>0.43454531359020077</c:v>
                </c:pt>
                <c:pt idx="1">
                  <c:v>0.56545468640979923</c:v>
                </c:pt>
              </c:numCache>
            </c:numRef>
          </c:val>
          <c:extLst>
            <c:ext xmlns:c16="http://schemas.microsoft.com/office/drawing/2014/chart" uri="{C3380CC4-5D6E-409C-BE32-E72D297353CC}">
              <c16:uniqueId val="{00000004-4FC0-4EAE-814A-02DF068E877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EA3E-4748-B5B6-42FB82C80141}"/>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EA3E-4748-B5B6-42FB82C80141}"/>
              </c:ext>
            </c:extLst>
          </c:dPt>
          <c:val>
            <c:numRef>
              <c:f>Processing!$C$15:$C$16</c:f>
              <c:numCache>
                <c:formatCode>0%</c:formatCode>
                <c:ptCount val="2"/>
                <c:pt idx="0">
                  <c:v>0.52008682843631293</c:v>
                </c:pt>
                <c:pt idx="1">
                  <c:v>0.47991317156368707</c:v>
                </c:pt>
              </c:numCache>
            </c:numRef>
          </c:val>
          <c:extLst>
            <c:ext xmlns:c16="http://schemas.microsoft.com/office/drawing/2014/chart" uri="{C3380CC4-5D6E-409C-BE32-E72D297353CC}">
              <c16:uniqueId val="{00000004-EA3E-4748-B5B6-42FB82C80141}"/>
            </c:ext>
          </c:extLst>
        </c:ser>
        <c:dLbls>
          <c:showLegendKey val="0"/>
          <c:showVal val="0"/>
          <c:showCatName val="0"/>
          <c:showSerName val="0"/>
          <c:showPercent val="0"/>
          <c:showBubbleSize val="0"/>
          <c:showLeaderLines val="1"/>
        </c:dLbls>
        <c:firstSliceAng val="0"/>
        <c:holeSize val="9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0">
                  <a:srgbClr val="6459F9">
                    <a:alpha val="25000"/>
                  </a:srgbClr>
                </a:gs>
                <a:gs pos="100000">
                  <a:srgbClr val="562BFF">
                    <a:alpha val="0"/>
                  </a:srgbClr>
                </a:gs>
              </a:gsLst>
              <a:lin ang="5400000" scaled="0"/>
              <a:tileRect/>
            </a:gradFill>
          </c:spPr>
          <c:val>
            <c:numRef>
              <c:f>Processing!$G$20:$G$31</c:f>
              <c:numCache>
                <c:formatCode>0%</c:formatCode>
                <c:ptCount val="12"/>
                <c:pt idx="0">
                  <c:v>0.39873688717619354</c:v>
                </c:pt>
                <c:pt idx="1">
                  <c:v>0.46318322637751713</c:v>
                </c:pt>
                <c:pt idx="2">
                  <c:v>0.42461960459579756</c:v>
                </c:pt>
                <c:pt idx="3">
                  <c:v>0.3192365163945981</c:v>
                </c:pt>
                <c:pt idx="4">
                  <c:v>0.17477161892987156</c:v>
                </c:pt>
                <c:pt idx="5">
                  <c:v>8.390557939914163E-2</c:v>
                </c:pt>
                <c:pt idx="6">
                  <c:v>0.3184947819685619</c:v>
                </c:pt>
                <c:pt idx="7">
                  <c:v>0.76143226919758411</c:v>
                </c:pt>
                <c:pt idx="8">
                  <c:v>0.89835349915114937</c:v>
                </c:pt>
                <c:pt idx="9">
                  <c:v>0.88298494760916968</c:v>
                </c:pt>
                <c:pt idx="10">
                  <c:v>0.72296938594938953</c:v>
                </c:pt>
                <c:pt idx="11">
                  <c:v>0.57436285348539506</c:v>
                </c:pt>
              </c:numCache>
            </c:numRef>
          </c:val>
          <c:extLst>
            <c:ext xmlns:c16="http://schemas.microsoft.com/office/drawing/2014/chart" uri="{C3380CC4-5D6E-409C-BE32-E72D297353CC}">
              <c16:uniqueId val="{00000000-C0DA-4CF6-B9EB-EC8F154296CD}"/>
            </c:ext>
          </c:extLst>
        </c:ser>
        <c:dLbls>
          <c:showLegendKey val="0"/>
          <c:showVal val="0"/>
          <c:showCatName val="0"/>
          <c:showSerName val="0"/>
          <c:showPercent val="0"/>
          <c:showBubbleSize val="0"/>
        </c:dLbls>
        <c:axId val="254315279"/>
        <c:axId val="254321519"/>
      </c:areaChart>
      <c:lineChart>
        <c:grouping val="standard"/>
        <c:varyColors val="0"/>
        <c:ser>
          <c:idx val="0"/>
          <c:order val="0"/>
          <c:tx>
            <c:strRef>
              <c:f>Processing!$G$19</c:f>
              <c:strCache>
                <c:ptCount val="1"/>
                <c:pt idx="0">
                  <c:v>Return on Investment (ROI)</c:v>
                </c:pt>
              </c:strCache>
            </c:strRef>
          </c:tx>
          <c:spPr>
            <a:ln w="31750">
              <a:gradFill>
                <a:gsLst>
                  <a:gs pos="0">
                    <a:srgbClr val="EE0078"/>
                  </a:gs>
                  <a:gs pos="100000">
                    <a:srgbClr val="F17EEC"/>
                  </a:gs>
                </a:gsLst>
                <a:lin ang="0" scaled="0"/>
              </a:gradFill>
            </a:ln>
            <a:effectLst>
              <a:outerShdw blurRad="50800" dist="38100" dir="5400000" algn="t" rotWithShape="0">
                <a:prstClr val="black">
                  <a:alpha val="40000"/>
                </a:prstClr>
              </a:outerShdw>
            </a:effectLst>
          </c:spPr>
          <c:marker>
            <c:symbol val="none"/>
          </c:marker>
          <c:val>
            <c:numRef>
              <c:f>Processing!$G$20:$G$31</c:f>
              <c:numCache>
                <c:formatCode>0%</c:formatCode>
                <c:ptCount val="12"/>
                <c:pt idx="0">
                  <c:v>0.39873688717619354</c:v>
                </c:pt>
                <c:pt idx="1">
                  <c:v>0.46318322637751713</c:v>
                </c:pt>
                <c:pt idx="2">
                  <c:v>0.42461960459579756</c:v>
                </c:pt>
                <c:pt idx="3">
                  <c:v>0.3192365163945981</c:v>
                </c:pt>
                <c:pt idx="4">
                  <c:v>0.17477161892987156</c:v>
                </c:pt>
                <c:pt idx="5">
                  <c:v>8.390557939914163E-2</c:v>
                </c:pt>
                <c:pt idx="6">
                  <c:v>0.3184947819685619</c:v>
                </c:pt>
                <c:pt idx="7">
                  <c:v>0.76143226919758411</c:v>
                </c:pt>
                <c:pt idx="8">
                  <c:v>0.89835349915114937</c:v>
                </c:pt>
                <c:pt idx="9">
                  <c:v>0.88298494760916968</c:v>
                </c:pt>
                <c:pt idx="10">
                  <c:v>0.72296938594938953</c:v>
                </c:pt>
                <c:pt idx="11">
                  <c:v>0.57436285348539506</c:v>
                </c:pt>
              </c:numCache>
            </c:numRef>
          </c:val>
          <c:smooth val="1"/>
          <c:extLst>
            <c:ext xmlns:c16="http://schemas.microsoft.com/office/drawing/2014/chart" uri="{C3380CC4-5D6E-409C-BE32-E72D297353CC}">
              <c16:uniqueId val="{00000001-C0DA-4CF6-B9EB-EC8F154296CD}"/>
            </c:ext>
          </c:extLst>
        </c:ser>
        <c:dLbls>
          <c:showLegendKey val="0"/>
          <c:showVal val="0"/>
          <c:showCatName val="0"/>
          <c:showSerName val="0"/>
          <c:showPercent val="0"/>
          <c:showBubbleSize val="0"/>
        </c:dLbls>
        <c:marker val="1"/>
        <c:smooth val="0"/>
        <c:axId val="254315279"/>
        <c:axId val="254321519"/>
      </c:lineChart>
      <c:scatterChart>
        <c:scatterStyle val="lineMarker"/>
        <c:varyColors val="0"/>
        <c:ser>
          <c:idx val="1"/>
          <c:order val="1"/>
          <c:tx>
            <c:strRef>
              <c:f>Processing!$H$19</c:f>
              <c:strCache>
                <c:ptCount val="1"/>
                <c:pt idx="0">
                  <c:v>Cursor</c:v>
                </c:pt>
              </c:strCache>
            </c:strRef>
          </c:tx>
          <c:spPr>
            <a:ln w="25400">
              <a:noFill/>
            </a:ln>
            <a:effectLst>
              <a:outerShdw blurRad="50800" dist="38100" dir="5400000" algn="t" rotWithShape="0">
                <a:prstClr val="black">
                  <a:alpha val="40000"/>
                </a:prstClr>
              </a:outerShdw>
            </a:effectLst>
          </c:spPr>
          <c:marker>
            <c:symbol val="circle"/>
            <c:size val="9"/>
            <c:spPr>
              <a:solidFill>
                <a:schemeClr val="bg1"/>
              </a:solidFill>
              <a:ln w="19050">
                <a:solidFill>
                  <a:srgbClr val="EE0077"/>
                </a:solidFill>
              </a:ln>
              <a:effectLst>
                <a:outerShdw blurRad="50800" dist="38100" dir="5400000" algn="t" rotWithShape="0">
                  <a:prstClr val="black">
                    <a:alpha val="40000"/>
                  </a:prstClr>
                </a:outerShdw>
              </a:effectLst>
            </c:spPr>
          </c:marker>
          <c:dLbls>
            <c:spPr>
              <a:noFill/>
              <a:ln>
                <a:noFill/>
              </a:ln>
              <a:effectLst/>
            </c:spPr>
            <c:txPr>
              <a:bodyPr lIns="38100" tIns="19050" rIns="38100" bIns="19050">
                <a:spAutoFit/>
              </a:bodyPr>
              <a:lstStyle/>
              <a:p>
                <a:pPr>
                  <a:defRPr sz="1200">
                    <a:solidFill>
                      <a:schemeClr val="bg1"/>
                    </a:solidFill>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errBars>
            <c:errDir val="y"/>
            <c:errBarType val="minus"/>
            <c:errValType val="cust"/>
            <c:noEndCap val="1"/>
            <c:plus>
              <c:numLit>
                <c:formatCode>General</c:formatCode>
                <c:ptCount val="1"/>
                <c:pt idx="0">
                  <c:v>1</c:v>
                </c:pt>
              </c:numLit>
            </c:plus>
            <c:minus>
              <c:numRef>
                <c:f>Processing!$H$20:$H$31</c:f>
                <c:numCache>
                  <c:formatCode>General</c:formatCode>
                  <c:ptCount val="12"/>
                  <c:pt idx="0">
                    <c:v>0.39873688717619354</c:v>
                  </c:pt>
                  <c:pt idx="1">
                    <c:v>#N/A</c:v>
                  </c:pt>
                  <c:pt idx="2">
                    <c:v>#N/A</c:v>
                  </c:pt>
                  <c:pt idx="3">
                    <c:v>#N/A</c:v>
                  </c:pt>
                  <c:pt idx="4">
                    <c:v>#N/A</c:v>
                  </c:pt>
                  <c:pt idx="5">
                    <c:v>#N/A</c:v>
                  </c:pt>
                  <c:pt idx="6">
                    <c:v>#N/A</c:v>
                  </c:pt>
                  <c:pt idx="7">
                    <c:v>#N/A</c:v>
                  </c:pt>
                  <c:pt idx="8">
                    <c:v>#N/A</c:v>
                  </c:pt>
                  <c:pt idx="9">
                    <c:v>#N/A</c:v>
                  </c:pt>
                  <c:pt idx="10">
                    <c:v>#N/A</c:v>
                  </c:pt>
                  <c:pt idx="11">
                    <c:v>#N/A</c:v>
                  </c:pt>
                </c:numCache>
              </c:numRef>
            </c:minus>
            <c:spPr>
              <a:ln w="9525">
                <a:solidFill>
                  <a:srgbClr val="6476CE"/>
                </a:solidFill>
              </a:ln>
            </c:spPr>
          </c:errBars>
          <c:yVal>
            <c:numRef>
              <c:f>Processing!$H$20:$H$31</c:f>
              <c:numCache>
                <c:formatCode>0%</c:formatCode>
                <c:ptCount val="12"/>
                <c:pt idx="0">
                  <c:v>0.39873688717619354</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2-C0DA-4CF6-B9EB-EC8F154296CD}"/>
            </c:ext>
          </c:extLst>
        </c:ser>
        <c:dLbls>
          <c:showLegendKey val="0"/>
          <c:showVal val="0"/>
          <c:showCatName val="0"/>
          <c:showSerName val="0"/>
          <c:showPercent val="0"/>
          <c:showBubbleSize val="0"/>
        </c:dLbls>
        <c:axId val="254315279"/>
        <c:axId val="254321519"/>
      </c:scatterChart>
      <c:catAx>
        <c:axId val="254315279"/>
        <c:scaling>
          <c:orientation val="minMax"/>
        </c:scaling>
        <c:delete val="1"/>
        <c:axPos val="b"/>
        <c:majorTickMark val="none"/>
        <c:minorTickMark val="none"/>
        <c:tickLblPos val="nextTo"/>
        <c:crossAx val="254321519"/>
        <c:crosses val="autoZero"/>
        <c:auto val="1"/>
        <c:lblAlgn val="ctr"/>
        <c:lblOffset val="100"/>
        <c:noMultiLvlLbl val="0"/>
      </c:catAx>
      <c:valAx>
        <c:axId val="254321519"/>
        <c:scaling>
          <c:orientation val="minMax"/>
        </c:scaling>
        <c:delete val="0"/>
        <c:axPos val="l"/>
        <c:majorGridlines>
          <c:spPr>
            <a:ln w="9525">
              <a:solidFill>
                <a:srgbClr val="35386E"/>
              </a:solidFill>
            </a:ln>
          </c:spPr>
        </c:majorGridlines>
        <c:numFmt formatCode="0%" sourceLinked="1"/>
        <c:majorTickMark val="none"/>
        <c:minorTickMark val="none"/>
        <c:tickLblPos val="nextTo"/>
        <c:spPr>
          <a:ln>
            <a:noFill/>
          </a:ln>
        </c:spPr>
        <c:txPr>
          <a:bodyPr/>
          <a:lstStyle/>
          <a:p>
            <a:pPr>
              <a:defRPr>
                <a:solidFill>
                  <a:srgbClr val="A2ADBE"/>
                </a:solidFill>
              </a:defRPr>
            </a:pPr>
            <a:endParaRPr lang="ru-RU"/>
          </a:p>
        </c:txPr>
        <c:crossAx val="254315279"/>
        <c:crosses val="autoZero"/>
        <c:crossBetween val="between"/>
      </c:valAx>
      <c:spPr>
        <a:no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c:spPr>
  <c:txPr>
    <a:bodyPr/>
    <a:lstStyle/>
    <a:p>
      <a:pPr>
        <a:defRPr/>
      </a:pPr>
      <a:endParaRPr lang="ru-RU"/>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1-F7BE-49AF-B444-EFF7FC53AE87}"/>
              </c:ext>
            </c:extLst>
          </c:dPt>
          <c:dPt>
            <c:idx val="1"/>
            <c:bubble3D val="0"/>
            <c:spPr>
              <a:noFill/>
              <a:ln w="9525">
                <a:solidFill>
                  <a:srgbClr val="6476CE"/>
                </a:solidFill>
              </a:ln>
              <a:effectLst/>
            </c:spPr>
            <c:extLst>
              <c:ext xmlns:c16="http://schemas.microsoft.com/office/drawing/2014/chart" uri="{C3380CC4-5D6E-409C-BE32-E72D297353CC}">
                <c16:uniqueId val="{00000003-F7BE-49AF-B444-EFF7FC53AE87}"/>
              </c:ext>
            </c:extLst>
          </c:dPt>
          <c:dPt>
            <c:idx val="2"/>
            <c:bubble3D val="0"/>
            <c:spPr>
              <a:noFill/>
              <a:ln w="9525">
                <a:solidFill>
                  <a:srgbClr val="6476CE"/>
                </a:solidFill>
              </a:ln>
              <a:effectLst/>
            </c:spPr>
            <c:extLst>
              <c:ext xmlns:c16="http://schemas.microsoft.com/office/drawing/2014/chart" uri="{C3380CC4-5D6E-409C-BE32-E72D297353CC}">
                <c16:uniqueId val="{00000005-F7BE-49AF-B444-EFF7FC53AE87}"/>
              </c:ext>
            </c:extLst>
          </c:dPt>
          <c:dPt>
            <c:idx val="3"/>
            <c:bubble3D val="0"/>
            <c:spPr>
              <a:noFill/>
              <a:ln w="9525">
                <a:solidFill>
                  <a:srgbClr val="6476CE"/>
                </a:solidFill>
              </a:ln>
              <a:effectLst/>
            </c:spPr>
            <c:extLst>
              <c:ext xmlns:c16="http://schemas.microsoft.com/office/drawing/2014/chart" uri="{C3380CC4-5D6E-409C-BE32-E72D297353CC}">
                <c16:uniqueId val="{00000007-F7BE-49AF-B444-EFF7FC53AE87}"/>
              </c:ext>
            </c:extLst>
          </c:dPt>
          <c:dPt>
            <c:idx val="4"/>
            <c:bubble3D val="0"/>
            <c:spPr>
              <a:noFill/>
              <a:ln w="9525">
                <a:solidFill>
                  <a:srgbClr val="6476CE"/>
                </a:solidFill>
              </a:ln>
              <a:effectLst/>
            </c:spPr>
            <c:extLst>
              <c:ext xmlns:c16="http://schemas.microsoft.com/office/drawing/2014/chart" uri="{C3380CC4-5D6E-409C-BE32-E72D297353CC}">
                <c16:uniqueId val="{00000009-F7BE-49AF-B444-EFF7FC53AE87}"/>
              </c:ext>
            </c:extLst>
          </c:dPt>
          <c:val>
            <c:numRef>
              <c:f>Processing!$P$11:$T$11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F7BE-49AF-B444-EFF7FC53AE87}"/>
            </c:ext>
          </c:extLst>
        </c:ser>
        <c:ser>
          <c:idx val="1"/>
          <c:order val="1"/>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0C-F7BE-49AF-B444-EFF7FC53AE87}"/>
              </c:ext>
            </c:extLst>
          </c:dPt>
          <c:dPt>
            <c:idx val="1"/>
            <c:bubble3D val="0"/>
            <c:spPr>
              <a:noFill/>
              <a:ln w="9525">
                <a:solidFill>
                  <a:srgbClr val="6476CE"/>
                </a:solidFill>
              </a:ln>
              <a:effectLst/>
            </c:spPr>
            <c:extLst>
              <c:ext xmlns:c16="http://schemas.microsoft.com/office/drawing/2014/chart" uri="{C3380CC4-5D6E-409C-BE32-E72D297353CC}">
                <c16:uniqueId val="{0000000E-F7BE-49AF-B444-EFF7FC53AE87}"/>
              </c:ext>
            </c:extLst>
          </c:dPt>
          <c:dPt>
            <c:idx val="2"/>
            <c:bubble3D val="0"/>
            <c:spPr>
              <a:noFill/>
              <a:ln w="9525">
                <a:solidFill>
                  <a:srgbClr val="6476CE"/>
                </a:solidFill>
              </a:ln>
              <a:effectLst/>
            </c:spPr>
            <c:extLst>
              <c:ext xmlns:c16="http://schemas.microsoft.com/office/drawing/2014/chart" uri="{C3380CC4-5D6E-409C-BE32-E72D297353CC}">
                <c16:uniqueId val="{00000010-F7BE-49AF-B444-EFF7FC53AE87}"/>
              </c:ext>
            </c:extLst>
          </c:dPt>
          <c:dPt>
            <c:idx val="3"/>
            <c:bubble3D val="0"/>
            <c:spPr>
              <a:noFill/>
              <a:ln w="9525">
                <a:solidFill>
                  <a:srgbClr val="6476CE"/>
                </a:solidFill>
              </a:ln>
              <a:effectLst/>
            </c:spPr>
            <c:extLst>
              <c:ext xmlns:c16="http://schemas.microsoft.com/office/drawing/2014/chart" uri="{C3380CC4-5D6E-409C-BE32-E72D297353CC}">
                <c16:uniqueId val="{00000012-F7BE-49AF-B444-EFF7FC53AE87}"/>
              </c:ext>
            </c:extLst>
          </c:dPt>
          <c:dPt>
            <c:idx val="4"/>
            <c:bubble3D val="0"/>
            <c:spPr>
              <a:noFill/>
              <a:ln w="9525">
                <a:solidFill>
                  <a:srgbClr val="6476CE"/>
                </a:solidFill>
              </a:ln>
              <a:effectLst/>
            </c:spPr>
            <c:extLst>
              <c:ext xmlns:c16="http://schemas.microsoft.com/office/drawing/2014/chart" uri="{C3380CC4-5D6E-409C-BE32-E72D297353CC}">
                <c16:uniqueId val="{00000014-F7BE-49AF-B444-EFF7FC53AE87}"/>
              </c:ext>
            </c:extLst>
          </c:dPt>
          <c:val>
            <c:numRef>
              <c:f>Processing!$P$12:$T$12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F7BE-49AF-B444-EFF7FC53AE87}"/>
            </c:ext>
          </c:extLst>
        </c:ser>
        <c:ser>
          <c:idx val="2"/>
          <c:order val="2"/>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17-F7BE-49AF-B444-EFF7FC53AE87}"/>
              </c:ext>
            </c:extLst>
          </c:dPt>
          <c:dPt>
            <c:idx val="1"/>
            <c:bubble3D val="0"/>
            <c:spPr>
              <a:noFill/>
              <a:ln w="9525">
                <a:solidFill>
                  <a:srgbClr val="6476CE"/>
                </a:solidFill>
              </a:ln>
              <a:effectLst/>
            </c:spPr>
            <c:extLst>
              <c:ext xmlns:c16="http://schemas.microsoft.com/office/drawing/2014/chart" uri="{C3380CC4-5D6E-409C-BE32-E72D297353CC}">
                <c16:uniqueId val="{00000019-F7BE-49AF-B444-EFF7FC53AE87}"/>
              </c:ext>
            </c:extLst>
          </c:dPt>
          <c:dPt>
            <c:idx val="2"/>
            <c:bubble3D val="0"/>
            <c:spPr>
              <a:noFill/>
              <a:ln w="9525">
                <a:solidFill>
                  <a:srgbClr val="6476CE"/>
                </a:solidFill>
              </a:ln>
              <a:effectLst/>
            </c:spPr>
            <c:extLst>
              <c:ext xmlns:c16="http://schemas.microsoft.com/office/drawing/2014/chart" uri="{C3380CC4-5D6E-409C-BE32-E72D297353CC}">
                <c16:uniqueId val="{0000001B-F7BE-49AF-B444-EFF7FC53AE87}"/>
              </c:ext>
            </c:extLst>
          </c:dPt>
          <c:dPt>
            <c:idx val="3"/>
            <c:bubble3D val="0"/>
            <c:spPr>
              <a:noFill/>
              <a:ln w="9525">
                <a:solidFill>
                  <a:srgbClr val="6476CE"/>
                </a:solidFill>
              </a:ln>
              <a:effectLst/>
            </c:spPr>
            <c:extLst>
              <c:ext xmlns:c16="http://schemas.microsoft.com/office/drawing/2014/chart" uri="{C3380CC4-5D6E-409C-BE32-E72D297353CC}">
                <c16:uniqueId val="{0000001D-F7BE-49AF-B444-EFF7FC53AE87}"/>
              </c:ext>
            </c:extLst>
          </c:dPt>
          <c:dPt>
            <c:idx val="4"/>
            <c:bubble3D val="0"/>
            <c:spPr>
              <a:noFill/>
              <a:ln w="9525">
                <a:solidFill>
                  <a:srgbClr val="6476CE"/>
                </a:solidFill>
              </a:ln>
              <a:effectLst/>
            </c:spPr>
            <c:extLst>
              <c:ext xmlns:c16="http://schemas.microsoft.com/office/drawing/2014/chart" uri="{C3380CC4-5D6E-409C-BE32-E72D297353CC}">
                <c16:uniqueId val="{0000001F-F7BE-49AF-B444-EFF7FC53AE87}"/>
              </c:ext>
            </c:extLst>
          </c:dPt>
          <c:val>
            <c:numRef>
              <c:f>Processing!$P$13:$T$13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F7BE-49AF-B444-EFF7FC53AE87}"/>
            </c:ext>
          </c:extLst>
        </c:ser>
        <c:ser>
          <c:idx val="3"/>
          <c:order val="3"/>
          <c:spPr>
            <a:noFill/>
            <a:ln w="9525">
              <a:solidFill>
                <a:srgbClr val="6476CE"/>
              </a:solidFill>
            </a:ln>
          </c:spPr>
          <c:dPt>
            <c:idx val="0"/>
            <c:bubble3D val="0"/>
            <c:spPr>
              <a:noFill/>
              <a:ln w="9525">
                <a:solidFill>
                  <a:srgbClr val="6476CE"/>
                </a:solidFill>
              </a:ln>
              <a:effectLst/>
            </c:spPr>
            <c:extLst>
              <c:ext xmlns:c16="http://schemas.microsoft.com/office/drawing/2014/chart" uri="{C3380CC4-5D6E-409C-BE32-E72D297353CC}">
                <c16:uniqueId val="{00000022-F7BE-49AF-B444-EFF7FC53AE87}"/>
              </c:ext>
            </c:extLst>
          </c:dPt>
          <c:dPt>
            <c:idx val="1"/>
            <c:bubble3D val="0"/>
            <c:spPr>
              <a:noFill/>
              <a:ln w="9525">
                <a:solidFill>
                  <a:srgbClr val="6476CE"/>
                </a:solidFill>
              </a:ln>
              <a:effectLst/>
            </c:spPr>
            <c:extLst>
              <c:ext xmlns:c16="http://schemas.microsoft.com/office/drawing/2014/chart" uri="{C3380CC4-5D6E-409C-BE32-E72D297353CC}">
                <c16:uniqueId val="{00000024-F7BE-49AF-B444-EFF7FC53AE87}"/>
              </c:ext>
            </c:extLst>
          </c:dPt>
          <c:dPt>
            <c:idx val="2"/>
            <c:bubble3D val="0"/>
            <c:spPr>
              <a:noFill/>
              <a:ln w="9525">
                <a:solidFill>
                  <a:srgbClr val="6476CE"/>
                </a:solidFill>
              </a:ln>
              <a:effectLst/>
            </c:spPr>
            <c:extLst>
              <c:ext xmlns:c16="http://schemas.microsoft.com/office/drawing/2014/chart" uri="{C3380CC4-5D6E-409C-BE32-E72D297353CC}">
                <c16:uniqueId val="{00000026-F7BE-49AF-B444-EFF7FC53AE87}"/>
              </c:ext>
            </c:extLst>
          </c:dPt>
          <c:dPt>
            <c:idx val="3"/>
            <c:bubble3D val="0"/>
            <c:spPr>
              <a:noFill/>
              <a:ln w="9525">
                <a:solidFill>
                  <a:srgbClr val="6476CE"/>
                </a:solidFill>
              </a:ln>
              <a:effectLst/>
            </c:spPr>
            <c:extLst>
              <c:ext xmlns:c16="http://schemas.microsoft.com/office/drawing/2014/chart" uri="{C3380CC4-5D6E-409C-BE32-E72D297353CC}">
                <c16:uniqueId val="{00000028-F7BE-49AF-B444-EFF7FC53AE87}"/>
              </c:ext>
            </c:extLst>
          </c:dPt>
          <c:dPt>
            <c:idx val="4"/>
            <c:bubble3D val="0"/>
            <c:spPr>
              <a:noFill/>
              <a:ln w="9525">
                <a:solidFill>
                  <a:srgbClr val="6476CE"/>
                </a:solidFill>
              </a:ln>
              <a:effectLst/>
            </c:spPr>
            <c:extLst>
              <c:ext xmlns:c16="http://schemas.microsoft.com/office/drawing/2014/chart" uri="{C3380CC4-5D6E-409C-BE32-E72D297353CC}">
                <c16:uniqueId val="{0000002A-F7BE-49AF-B444-EFF7FC53AE87}"/>
              </c:ext>
            </c:extLst>
          </c:dPt>
          <c:val>
            <c:numRef>
              <c:f>Processing!$P$14:$T$14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B-F7BE-49AF-B444-EFF7FC53AE87}"/>
            </c:ext>
          </c:extLst>
        </c:ser>
        <c:dLbls>
          <c:showLegendKey val="0"/>
          <c:showVal val="0"/>
          <c:showCatName val="0"/>
          <c:showSerName val="0"/>
          <c:showPercent val="0"/>
          <c:showBubbleSize val="0"/>
          <c:showLeaderLines val="1"/>
        </c:dLbls>
        <c:firstSliceAng val="0"/>
        <c:holeSize val="2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Processing!$M$10</c:f>
              <c:strCache>
                <c:ptCount val="1"/>
                <c:pt idx="0">
                  <c:v>Revenue</c:v>
                </c:pt>
              </c:strCache>
            </c:strRef>
          </c:tx>
          <c:spPr>
            <a:gradFill>
              <a:gsLst>
                <a:gs pos="0">
                  <a:srgbClr val="4E7AFF">
                    <a:alpha val="90000"/>
                  </a:srgbClr>
                </a:gs>
                <a:gs pos="100000">
                  <a:srgbClr val="4552F1">
                    <a:alpha val="90000"/>
                  </a:srgbClr>
                </a:gs>
              </a:gsLst>
              <a:lin ang="5400000" scaled="1"/>
            </a:gradFill>
            <a:ln>
              <a:noFill/>
            </a:ln>
            <a:effectLst/>
          </c:spPr>
          <c:cat>
            <c:strRef>
              <c:f>Processing!$L$11:$L$15</c:f>
              <c:strCache>
                <c:ptCount val="5"/>
                <c:pt idx="0">
                  <c:v>A</c:v>
                </c:pt>
                <c:pt idx="1">
                  <c:v>B</c:v>
                </c:pt>
                <c:pt idx="2">
                  <c:v>C</c:v>
                </c:pt>
                <c:pt idx="3">
                  <c:v>D</c:v>
                </c:pt>
                <c:pt idx="4">
                  <c:v>E</c:v>
                </c:pt>
              </c:strCache>
            </c:strRef>
          </c:cat>
          <c:val>
            <c:numRef>
              <c:f>Processing!$M$11:$M$15</c:f>
              <c:numCache>
                <c:formatCode>_("$"* #,##0.00_);_("$"* \(#,##0.00\);_("$"* "-"??_);_(@_)</c:formatCode>
                <c:ptCount val="5"/>
                <c:pt idx="0">
                  <c:v>8185</c:v>
                </c:pt>
                <c:pt idx="1">
                  <c:v>7567</c:v>
                </c:pt>
                <c:pt idx="2">
                  <c:v>5405</c:v>
                </c:pt>
                <c:pt idx="3">
                  <c:v>9111</c:v>
                </c:pt>
                <c:pt idx="4">
                  <c:v>7567</c:v>
                </c:pt>
              </c:numCache>
            </c:numRef>
          </c:val>
          <c:extLst>
            <c:ext xmlns:c16="http://schemas.microsoft.com/office/drawing/2014/chart" uri="{C3380CC4-5D6E-409C-BE32-E72D297353CC}">
              <c16:uniqueId val="{00000000-E1E5-489F-9F13-43EB06FE59C9}"/>
            </c:ext>
          </c:extLst>
        </c:ser>
        <c:ser>
          <c:idx val="1"/>
          <c:order val="1"/>
          <c:tx>
            <c:strRef>
              <c:f>Processing!$N$10</c:f>
              <c:strCache>
                <c:ptCount val="1"/>
                <c:pt idx="0">
                  <c:v>Sales</c:v>
                </c:pt>
              </c:strCache>
            </c:strRef>
          </c:tx>
          <c:spPr>
            <a:gradFill>
              <a:gsLst>
                <a:gs pos="0">
                  <a:srgbClr val="F17EEC">
                    <a:alpha val="80000"/>
                  </a:srgbClr>
                </a:gs>
                <a:gs pos="100000">
                  <a:srgbClr val="EE0078">
                    <a:alpha val="80000"/>
                  </a:srgbClr>
                </a:gs>
              </a:gsLst>
              <a:lin ang="5400000" scaled="1"/>
            </a:gradFill>
            <a:ln>
              <a:noFill/>
            </a:ln>
            <a:effectLst/>
          </c:spPr>
          <c:cat>
            <c:strRef>
              <c:f>Processing!$L$11:$L$15</c:f>
              <c:strCache>
                <c:ptCount val="5"/>
                <c:pt idx="0">
                  <c:v>A</c:v>
                </c:pt>
                <c:pt idx="1">
                  <c:v>B</c:v>
                </c:pt>
                <c:pt idx="2">
                  <c:v>C</c:v>
                </c:pt>
                <c:pt idx="3">
                  <c:v>D</c:v>
                </c:pt>
                <c:pt idx="4">
                  <c:v>E</c:v>
                </c:pt>
              </c:strCache>
            </c:strRef>
          </c:cat>
          <c:val>
            <c:numRef>
              <c:f>Processing!$N$11:$N$15</c:f>
              <c:numCache>
                <c:formatCode>_("$"* #,##0.00_);_("$"* \(#,##0.00\);_("$"* "-"??_);_(@_)</c:formatCode>
                <c:ptCount val="5"/>
                <c:pt idx="0">
                  <c:v>7381.8451474918056</c:v>
                </c:pt>
                <c:pt idx="1">
                  <c:v>8409.9741542136544</c:v>
                </c:pt>
                <c:pt idx="2">
                  <c:v>7244.885506360758</c:v>
                </c:pt>
                <c:pt idx="3">
                  <c:v>4026.7997889006169</c:v>
                </c:pt>
                <c:pt idx="4">
                  <c:v>6479.4954030331646</c:v>
                </c:pt>
              </c:numCache>
            </c:numRef>
          </c:val>
          <c:extLst>
            <c:ext xmlns:c16="http://schemas.microsoft.com/office/drawing/2014/chart" uri="{C3380CC4-5D6E-409C-BE32-E72D297353CC}">
              <c16:uniqueId val="{00000001-E1E5-489F-9F13-43EB06FE59C9}"/>
            </c:ext>
          </c:extLst>
        </c:ser>
        <c:dLbls>
          <c:showLegendKey val="0"/>
          <c:showVal val="0"/>
          <c:showCatName val="0"/>
          <c:showSerName val="0"/>
          <c:showPercent val="0"/>
          <c:showBubbleSize val="0"/>
        </c:dLbls>
        <c:axId val="1824798800"/>
        <c:axId val="1824798320"/>
      </c:radarChart>
      <c:catAx>
        <c:axId val="1824798800"/>
        <c:scaling>
          <c:orientation val="minMax"/>
        </c:scaling>
        <c:delete val="1"/>
        <c:axPos val="b"/>
        <c:numFmt formatCode="General" sourceLinked="1"/>
        <c:majorTickMark val="none"/>
        <c:minorTickMark val="none"/>
        <c:tickLblPos val="nextTo"/>
        <c:crossAx val="1824798320"/>
        <c:crosses val="autoZero"/>
        <c:auto val="1"/>
        <c:lblAlgn val="ctr"/>
        <c:lblOffset val="100"/>
        <c:noMultiLvlLbl val="0"/>
      </c:catAx>
      <c:valAx>
        <c:axId val="1824798320"/>
        <c:scaling>
          <c:orientation val="minMax"/>
        </c:scaling>
        <c:delete val="1"/>
        <c:axPos val="l"/>
        <c:numFmt formatCode="_(&quot;$&quot;* #,##0.00_);_(&quot;$&quot;* \(#,##0.00\);_(&quot;$&quot;* &quot;-&quot;??_);_(@_)" sourceLinked="1"/>
        <c:majorTickMark val="none"/>
        <c:minorTickMark val="none"/>
        <c:tickLblPos val="nextTo"/>
        <c:crossAx val="18247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Processing!$J$20</c:f>
              <c:strCache>
                <c:ptCount val="1"/>
                <c:pt idx="0">
                  <c:v>ROI</c:v>
                </c:pt>
              </c:strCache>
            </c:strRef>
          </c:tx>
          <c:spPr>
            <a:ln>
              <a:noFill/>
            </a:ln>
            <a:effectLst>
              <a:outerShdw blurRad="50800" dist="38100" dir="8100000" algn="tr" rotWithShape="0">
                <a:prstClr val="black">
                  <a:alpha val="40000"/>
                </a:prstClr>
              </a:outerShdw>
            </a:effectLst>
          </c:spPr>
          <c:dPt>
            <c:idx val="0"/>
            <c:bubble3D val="0"/>
            <c:spPr>
              <a:gradFill>
                <a:gsLst>
                  <a:gs pos="0">
                    <a:srgbClr val="EE0078"/>
                  </a:gs>
                  <a:gs pos="100000">
                    <a:srgbClr val="D758C9"/>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4A18-4B72-8A2F-4853FC8897E2}"/>
              </c:ext>
            </c:extLst>
          </c:dPt>
          <c:dPt>
            <c:idx val="1"/>
            <c:bubble3D val="0"/>
            <c:spPr>
              <a:gradFill>
                <a:gsLst>
                  <a:gs pos="0">
                    <a:srgbClr val="7A4FF0"/>
                  </a:gs>
                  <a:gs pos="100000">
                    <a:srgbClr val="60A8FF"/>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4A18-4B72-8A2F-4853FC8897E2}"/>
              </c:ext>
            </c:extLst>
          </c:dPt>
          <c:dPt>
            <c:idx val="2"/>
            <c:bubble3D val="0"/>
            <c:spPr>
              <a:solidFill>
                <a:srgbClr val="EE0078">
                  <a:alpha val="50000"/>
                </a:srgb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4A18-4B72-8A2F-4853FC8897E2}"/>
              </c:ext>
            </c:extLst>
          </c:dPt>
          <c:val>
            <c:numRef>
              <c:f>Processing!$J$21:$J$23</c:f>
              <c:numCache>
                <c:formatCode>0%</c:formatCode>
                <c:ptCount val="3"/>
                <c:pt idx="0">
                  <c:v>0.39873688717619354</c:v>
                </c:pt>
                <c:pt idx="1">
                  <c:v>0.6012631128238064</c:v>
                </c:pt>
                <c:pt idx="2">
                  <c:v>0</c:v>
                </c:pt>
              </c:numCache>
            </c:numRef>
          </c:val>
          <c:extLst>
            <c:ext xmlns:c16="http://schemas.microsoft.com/office/drawing/2014/chart" uri="{C3380CC4-5D6E-409C-BE32-E72D297353CC}">
              <c16:uniqueId val="{00000006-4A18-4B72-8A2F-4853FC8897E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38D9-461A-8AA1-4D178B0DFECC}"/>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38D9-461A-8AA1-4D178B0DFECC}"/>
              </c:ext>
            </c:extLst>
          </c:dPt>
          <c:val>
            <c:numRef>
              <c:f>Processing!$B$15:$B$16</c:f>
              <c:numCache>
                <c:formatCode>0%</c:formatCode>
                <c:ptCount val="2"/>
                <c:pt idx="0">
                  <c:v>0.43454531359020077</c:v>
                </c:pt>
                <c:pt idx="1">
                  <c:v>0.56545468640979923</c:v>
                </c:pt>
              </c:numCache>
            </c:numRef>
          </c:val>
          <c:extLst>
            <c:ext xmlns:c16="http://schemas.microsoft.com/office/drawing/2014/chart" uri="{C3380CC4-5D6E-409C-BE32-E72D297353CC}">
              <c16:uniqueId val="{00000004-38D9-461A-8AA1-4D178B0DFECC}"/>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B21C-46D8-B8C3-596EB206BDBF}"/>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B21C-46D8-B8C3-596EB206BDBF}"/>
              </c:ext>
            </c:extLst>
          </c:dPt>
          <c:val>
            <c:numRef>
              <c:f>Processing!$C$15:$C$16</c:f>
              <c:numCache>
                <c:formatCode>0%</c:formatCode>
                <c:ptCount val="2"/>
                <c:pt idx="0">
                  <c:v>0.52008682843631293</c:v>
                </c:pt>
                <c:pt idx="1">
                  <c:v>0.47991317156368707</c:v>
                </c:pt>
              </c:numCache>
            </c:numRef>
          </c:val>
          <c:extLst>
            <c:ext xmlns:c16="http://schemas.microsoft.com/office/drawing/2014/chart" uri="{C3380CC4-5D6E-409C-BE32-E72D297353CC}">
              <c16:uniqueId val="{00000004-B21C-46D8-B8C3-596EB206BDBF}"/>
            </c:ext>
          </c:extLst>
        </c:ser>
        <c:dLbls>
          <c:showLegendKey val="0"/>
          <c:showVal val="0"/>
          <c:showCatName val="0"/>
          <c:showSerName val="0"/>
          <c:showPercent val="0"/>
          <c:showBubbleSize val="0"/>
          <c:showLeaderLines val="1"/>
        </c:dLbls>
        <c:firstSliceAng val="0"/>
        <c:holeSize val="9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0">
                  <a:srgbClr val="6459F9">
                    <a:alpha val="25000"/>
                  </a:srgbClr>
                </a:gs>
                <a:gs pos="100000">
                  <a:srgbClr val="562BFF">
                    <a:alpha val="0"/>
                  </a:srgbClr>
                </a:gs>
              </a:gsLst>
              <a:lin ang="5400000" scaled="0"/>
              <a:tileRect/>
            </a:gradFill>
            <a:ln>
              <a:noFill/>
            </a:ln>
            <a:effectLst/>
          </c:spPr>
          <c:val>
            <c:numRef>
              <c:f>Processing!$G$20:$G$31</c:f>
              <c:numCache>
                <c:formatCode>0%</c:formatCode>
                <c:ptCount val="12"/>
                <c:pt idx="0">
                  <c:v>0.39873688717619354</c:v>
                </c:pt>
                <c:pt idx="1">
                  <c:v>0.46318322637751713</c:v>
                </c:pt>
                <c:pt idx="2">
                  <c:v>0.42461960459579756</c:v>
                </c:pt>
                <c:pt idx="3">
                  <c:v>0.3192365163945981</c:v>
                </c:pt>
                <c:pt idx="4">
                  <c:v>0.17477161892987156</c:v>
                </c:pt>
                <c:pt idx="5">
                  <c:v>8.390557939914163E-2</c:v>
                </c:pt>
                <c:pt idx="6">
                  <c:v>0.3184947819685619</c:v>
                </c:pt>
                <c:pt idx="7">
                  <c:v>0.76143226919758411</c:v>
                </c:pt>
                <c:pt idx="8">
                  <c:v>0.89835349915114937</c:v>
                </c:pt>
                <c:pt idx="9">
                  <c:v>0.88298494760916968</c:v>
                </c:pt>
                <c:pt idx="10">
                  <c:v>0.72296938594938953</c:v>
                </c:pt>
                <c:pt idx="11">
                  <c:v>0.57436285348539506</c:v>
                </c:pt>
              </c:numCache>
            </c:numRef>
          </c:val>
          <c:extLst>
            <c:ext xmlns:c16="http://schemas.microsoft.com/office/drawing/2014/chart" uri="{C3380CC4-5D6E-409C-BE32-E72D297353CC}">
              <c16:uniqueId val="{00000000-C417-409A-92FA-E3139FC7D2BA}"/>
            </c:ext>
          </c:extLst>
        </c:ser>
        <c:dLbls>
          <c:showLegendKey val="0"/>
          <c:showVal val="0"/>
          <c:showCatName val="0"/>
          <c:showSerName val="0"/>
          <c:showPercent val="0"/>
          <c:showBubbleSize val="0"/>
        </c:dLbls>
        <c:axId val="254315279"/>
        <c:axId val="254321519"/>
      </c:areaChart>
      <c:lineChart>
        <c:grouping val="standard"/>
        <c:varyColors val="0"/>
        <c:ser>
          <c:idx val="0"/>
          <c:order val="0"/>
          <c:tx>
            <c:strRef>
              <c:f>Processing!$G$19</c:f>
              <c:strCache>
                <c:ptCount val="1"/>
                <c:pt idx="0">
                  <c:v>Return on Investment (ROI)</c:v>
                </c:pt>
              </c:strCache>
            </c:strRef>
          </c:tx>
          <c:spPr>
            <a:ln w="31750" cap="rnd">
              <a:gradFill>
                <a:gsLst>
                  <a:gs pos="0">
                    <a:srgbClr val="EE0078"/>
                  </a:gs>
                  <a:gs pos="100000">
                    <a:srgbClr val="F17EEC"/>
                  </a:gs>
                </a:gsLst>
                <a:lin ang="0" scaled="0"/>
              </a:gradFill>
              <a:round/>
            </a:ln>
            <a:effectLst>
              <a:outerShdw blurRad="50800" dist="38100" dir="5400000" algn="t" rotWithShape="0">
                <a:prstClr val="black">
                  <a:alpha val="40000"/>
                </a:prstClr>
              </a:outerShdw>
            </a:effectLst>
          </c:spPr>
          <c:marker>
            <c:symbol val="none"/>
          </c:marker>
          <c:val>
            <c:numRef>
              <c:f>Processing!$G$20:$G$31</c:f>
              <c:numCache>
                <c:formatCode>0%</c:formatCode>
                <c:ptCount val="12"/>
                <c:pt idx="0">
                  <c:v>0.39873688717619354</c:v>
                </c:pt>
                <c:pt idx="1">
                  <c:v>0.46318322637751713</c:v>
                </c:pt>
                <c:pt idx="2">
                  <c:v>0.42461960459579756</c:v>
                </c:pt>
                <c:pt idx="3">
                  <c:v>0.3192365163945981</c:v>
                </c:pt>
                <c:pt idx="4">
                  <c:v>0.17477161892987156</c:v>
                </c:pt>
                <c:pt idx="5">
                  <c:v>8.390557939914163E-2</c:v>
                </c:pt>
                <c:pt idx="6">
                  <c:v>0.3184947819685619</c:v>
                </c:pt>
                <c:pt idx="7">
                  <c:v>0.76143226919758411</c:v>
                </c:pt>
                <c:pt idx="8">
                  <c:v>0.89835349915114937</c:v>
                </c:pt>
                <c:pt idx="9">
                  <c:v>0.88298494760916968</c:v>
                </c:pt>
                <c:pt idx="10">
                  <c:v>0.72296938594938953</c:v>
                </c:pt>
                <c:pt idx="11">
                  <c:v>0.57436285348539506</c:v>
                </c:pt>
              </c:numCache>
            </c:numRef>
          </c:val>
          <c:smooth val="1"/>
          <c:extLst>
            <c:ext xmlns:c16="http://schemas.microsoft.com/office/drawing/2014/chart" uri="{C3380CC4-5D6E-409C-BE32-E72D297353CC}">
              <c16:uniqueId val="{00000001-C417-409A-92FA-E3139FC7D2BA}"/>
            </c:ext>
          </c:extLst>
        </c:ser>
        <c:dLbls>
          <c:showLegendKey val="0"/>
          <c:showVal val="0"/>
          <c:showCatName val="0"/>
          <c:showSerName val="0"/>
          <c:showPercent val="0"/>
          <c:showBubbleSize val="0"/>
        </c:dLbls>
        <c:marker val="1"/>
        <c:smooth val="0"/>
        <c:axId val="254315279"/>
        <c:axId val="254321519"/>
      </c:lineChart>
      <c:scatterChart>
        <c:scatterStyle val="lineMarker"/>
        <c:varyColors val="0"/>
        <c:ser>
          <c:idx val="1"/>
          <c:order val="1"/>
          <c:tx>
            <c:strRef>
              <c:f>Processing!$H$19</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9"/>
            <c:spPr>
              <a:solidFill>
                <a:schemeClr val="bg1"/>
              </a:solidFill>
              <a:ln w="19050">
                <a:solidFill>
                  <a:srgbClr val="EE0077"/>
                </a:solidFill>
              </a:ln>
              <a:effectLst>
                <a:outerShdw blurRad="50800" dist="38100" dir="5400000" algn="t"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Processing!$H$20:$H$31</c:f>
              <c:numCache>
                <c:formatCode>0%</c:formatCode>
                <c:ptCount val="12"/>
                <c:pt idx="0">
                  <c:v>0.39873688717619354</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2-C417-409A-92FA-E3139FC7D2BA}"/>
            </c:ext>
          </c:extLst>
        </c:ser>
        <c:dLbls>
          <c:showLegendKey val="0"/>
          <c:showVal val="0"/>
          <c:showCatName val="0"/>
          <c:showSerName val="0"/>
          <c:showPercent val="0"/>
          <c:showBubbleSize val="0"/>
        </c:dLbls>
        <c:axId val="254315279"/>
        <c:axId val="254321519"/>
      </c:scatterChart>
      <c:catAx>
        <c:axId val="254315279"/>
        <c:scaling>
          <c:orientation val="minMax"/>
        </c:scaling>
        <c:delete val="1"/>
        <c:axPos val="b"/>
        <c:majorTickMark val="none"/>
        <c:minorTickMark val="none"/>
        <c:tickLblPos val="nextTo"/>
        <c:crossAx val="254321519"/>
        <c:crosses val="autoZero"/>
        <c:auto val="1"/>
        <c:lblAlgn val="ctr"/>
        <c:lblOffset val="100"/>
        <c:noMultiLvlLbl val="0"/>
      </c:catAx>
      <c:valAx>
        <c:axId val="254321519"/>
        <c:scaling>
          <c:orientation val="minMax"/>
        </c:scaling>
        <c:delete val="0"/>
        <c:axPos val="l"/>
        <c:majorGridlines>
          <c:spPr>
            <a:ln w="9525" cap="flat" cmpd="sng" algn="ctr">
              <a:solidFill>
                <a:srgbClr val="35386E">
                  <a:alpha val="17000"/>
                </a:srgb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2ADBE"/>
                </a:solidFill>
                <a:latin typeface="+mn-lt"/>
                <a:ea typeface="+mn-ea"/>
                <a:cs typeface="+mn-cs"/>
              </a:defRPr>
            </a:pPr>
            <a:endParaRPr lang="ru-RU"/>
          </a:p>
        </c:txPr>
        <c:crossAx val="25431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strRef>
              <c:f>Processing!$B$19</c:f>
              <c:strCache>
                <c:ptCount val="1"/>
                <c:pt idx="0">
                  <c:v>Revenue</c:v>
                </c:pt>
              </c:strCache>
            </c:strRef>
          </c:tx>
          <c:spPr>
            <a:gradFill>
              <a:gsLst>
                <a:gs pos="0">
                  <a:srgbClr val="00C6D1">
                    <a:alpha val="30000"/>
                  </a:srgbClr>
                </a:gs>
                <a:gs pos="100000">
                  <a:srgbClr val="00C6D1">
                    <a:alpha val="0"/>
                  </a:srgbClr>
                </a:gs>
              </a:gsLst>
              <a:lin ang="5400000" scaled="1"/>
            </a:gradFill>
            <a:ln>
              <a:noFill/>
            </a:ln>
            <a:effectLst/>
          </c:spP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extLst>
            <c:ext xmlns:c16="http://schemas.microsoft.com/office/drawing/2014/chart" uri="{C3380CC4-5D6E-409C-BE32-E72D297353CC}">
              <c16:uniqueId val="{00000000-E071-40B5-BFDA-CE0BAB8589E7}"/>
            </c:ext>
          </c:extLst>
        </c:ser>
        <c:dLbls>
          <c:showLegendKey val="0"/>
          <c:showVal val="0"/>
          <c:showCatName val="0"/>
          <c:showSerName val="0"/>
          <c:showPercent val="0"/>
          <c:showBubbleSize val="0"/>
        </c:dLbls>
        <c:axId val="1953973136"/>
        <c:axId val="1953968816"/>
      </c:areaChart>
      <c:lineChart>
        <c:grouping val="standard"/>
        <c:varyColors val="0"/>
        <c:ser>
          <c:idx val="1"/>
          <c:order val="0"/>
          <c:tx>
            <c:v>fill</c:v>
          </c:tx>
          <c:spPr>
            <a:ln w="25400" cap="rnd">
              <a:solidFill>
                <a:srgbClr val="00C6D1"/>
              </a:solidFill>
              <a:round/>
            </a:ln>
            <a:effectLst/>
          </c:spPr>
          <c:marker>
            <c:symbol val="none"/>
          </c:marker>
          <c:val>
            <c:numRef>
              <c:f>Processing!$B$20:$B$31</c:f>
              <c:numCache>
                <c:formatCode>General</c:formatCode>
                <c:ptCount val="12"/>
                <c:pt idx="0">
                  <c:v>37835</c:v>
                </c:pt>
                <c:pt idx="1">
                  <c:v>48805</c:v>
                </c:pt>
                <c:pt idx="2">
                  <c:v>52169</c:v>
                </c:pt>
                <c:pt idx="3">
                  <c:v>47883</c:v>
                </c:pt>
                <c:pt idx="4">
                  <c:v>39309</c:v>
                </c:pt>
                <c:pt idx="5">
                  <c:v>31455</c:v>
                </c:pt>
                <c:pt idx="6">
                  <c:v>31175</c:v>
                </c:pt>
                <c:pt idx="7">
                  <c:v>43810</c:v>
                </c:pt>
                <c:pt idx="8">
                  <c:v>50097</c:v>
                </c:pt>
                <c:pt idx="9">
                  <c:v>50762</c:v>
                </c:pt>
                <c:pt idx="10">
                  <c:v>45773</c:v>
                </c:pt>
                <c:pt idx="11">
                  <c:v>46402</c:v>
                </c:pt>
              </c:numCache>
            </c:numRef>
          </c:val>
          <c:smooth val="1"/>
          <c:extLst>
            <c:ext xmlns:c16="http://schemas.microsoft.com/office/drawing/2014/chart" uri="{C3380CC4-5D6E-409C-BE32-E72D297353CC}">
              <c16:uniqueId val="{00000001-E071-40B5-BFDA-CE0BAB8589E7}"/>
            </c:ext>
          </c:extLst>
        </c:ser>
        <c:ser>
          <c:idx val="0"/>
          <c:order val="1"/>
          <c:tx>
            <c:strRef>
              <c:f>Processing!$C$19</c:f>
              <c:strCache>
                <c:ptCount val="1"/>
                <c:pt idx="0">
                  <c:v>Expenses</c:v>
                </c:pt>
              </c:strCache>
            </c:strRef>
          </c:tx>
          <c:spPr>
            <a:ln w="25400" cap="rnd">
              <a:gradFill>
                <a:gsLst>
                  <a:gs pos="0">
                    <a:srgbClr val="F17EEC"/>
                  </a:gs>
                  <a:gs pos="100000">
                    <a:srgbClr val="EE0077"/>
                  </a:gs>
                </a:gsLst>
                <a:lin ang="5400000" scaled="1"/>
              </a:gradFill>
              <a:round/>
            </a:ln>
            <a:effectLst/>
          </c:spPr>
          <c:marker>
            <c:symbol val="none"/>
          </c:marker>
          <c:val>
            <c:numRef>
              <c:f>Processing!$C$20:$C$31</c:f>
              <c:numCache>
                <c:formatCode>General</c:formatCode>
                <c:ptCount val="12"/>
                <c:pt idx="0">
                  <c:v>26660</c:v>
                </c:pt>
                <c:pt idx="1">
                  <c:v>32060</c:v>
                </c:pt>
                <c:pt idx="2">
                  <c:v>35760</c:v>
                </c:pt>
                <c:pt idx="3">
                  <c:v>36560</c:v>
                </c:pt>
                <c:pt idx="4">
                  <c:v>34220</c:v>
                </c:pt>
                <c:pt idx="5">
                  <c:v>29500</c:v>
                </c:pt>
                <c:pt idx="6">
                  <c:v>23820</c:v>
                </c:pt>
                <c:pt idx="7">
                  <c:v>19100</c:v>
                </c:pt>
                <c:pt idx="8">
                  <c:v>16760</c:v>
                </c:pt>
                <c:pt idx="9">
                  <c:v>17560</c:v>
                </c:pt>
                <c:pt idx="10">
                  <c:v>21260</c:v>
                </c:pt>
                <c:pt idx="11">
                  <c:v>26660</c:v>
                </c:pt>
              </c:numCache>
            </c:numRef>
          </c:val>
          <c:smooth val="1"/>
          <c:extLst>
            <c:ext xmlns:c16="http://schemas.microsoft.com/office/drawing/2014/chart" uri="{C3380CC4-5D6E-409C-BE32-E72D297353CC}">
              <c16:uniqueId val="{00000002-E071-40B5-BFDA-CE0BAB8589E7}"/>
            </c:ext>
          </c:extLst>
        </c:ser>
        <c:dLbls>
          <c:showLegendKey val="0"/>
          <c:showVal val="0"/>
          <c:showCatName val="0"/>
          <c:showSerName val="0"/>
          <c:showPercent val="0"/>
          <c:showBubbleSize val="0"/>
        </c:dLbls>
        <c:marker val="1"/>
        <c:smooth val="0"/>
        <c:axId val="1953973136"/>
        <c:axId val="1953968816"/>
      </c:lineChart>
      <c:scatterChart>
        <c:scatterStyle val="lineMarker"/>
        <c:varyColors val="0"/>
        <c:ser>
          <c:idx val="3"/>
          <c:order val="3"/>
          <c:tx>
            <c:v>Cursor</c:v>
          </c:tx>
          <c:spPr>
            <a:ln w="25400" cap="rnd">
              <a:noFill/>
              <a:round/>
            </a:ln>
            <a:effectLst/>
          </c:spPr>
          <c:marker>
            <c:symbol val="circle"/>
            <c:size val="7"/>
            <c:spPr>
              <a:solidFill>
                <a:schemeClr val="bg1"/>
              </a:solidFill>
              <a:ln w="19050">
                <a:solidFill>
                  <a:srgbClr val="00C6D1"/>
                </a:solidFill>
              </a:ln>
              <a:effectLst/>
            </c:spPr>
          </c:marker>
          <c:yVal>
            <c:numRef>
              <c:f>Processing!$D$20:$D$31</c:f>
              <c:numCache>
                <c:formatCode>General</c:formatCode>
                <c:ptCount val="12"/>
                <c:pt idx="0">
                  <c:v>37835</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E071-40B5-BFDA-CE0BAB8589E7}"/>
            </c:ext>
          </c:extLst>
        </c:ser>
        <c:dLbls>
          <c:showLegendKey val="0"/>
          <c:showVal val="0"/>
          <c:showCatName val="0"/>
          <c:showSerName val="0"/>
          <c:showPercent val="0"/>
          <c:showBubbleSize val="0"/>
        </c:dLbls>
        <c:axId val="1953973136"/>
        <c:axId val="1953968816"/>
      </c:scatterChart>
      <c:catAx>
        <c:axId val="1953973136"/>
        <c:scaling>
          <c:orientation val="minMax"/>
        </c:scaling>
        <c:delete val="1"/>
        <c:axPos val="b"/>
        <c:majorTickMark val="none"/>
        <c:minorTickMark val="none"/>
        <c:tickLblPos val="nextTo"/>
        <c:crossAx val="1953968816"/>
        <c:crosses val="autoZero"/>
        <c:auto val="1"/>
        <c:lblAlgn val="ctr"/>
        <c:lblOffset val="100"/>
        <c:noMultiLvlLbl val="0"/>
      </c:catAx>
      <c:valAx>
        <c:axId val="1953968816"/>
        <c:scaling>
          <c:orientation val="minMax"/>
        </c:scaling>
        <c:delete val="1"/>
        <c:axPos val="l"/>
        <c:numFmt formatCode="General" sourceLinked="1"/>
        <c:majorTickMark val="none"/>
        <c:minorTickMark val="none"/>
        <c:tickLblPos val="nextTo"/>
        <c:crossAx val="1953973136"/>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spPr>
            <a:noFill/>
            <a:ln>
              <a:noFill/>
            </a:ln>
            <a:effectLst/>
          </c:spPr>
          <c:invertIfNegative val="0"/>
          <c:cat>
            <c:strRef>
              <c:f>Processing!$I$2:$I$6</c:f>
              <c:strCache>
                <c:ptCount val="5"/>
                <c:pt idx="0">
                  <c:v>MON</c:v>
                </c:pt>
                <c:pt idx="1">
                  <c:v>TUE</c:v>
                </c:pt>
                <c:pt idx="2">
                  <c:v>WED</c:v>
                </c:pt>
                <c:pt idx="3">
                  <c:v>THU</c:v>
                </c:pt>
                <c:pt idx="4">
                  <c:v>FRI</c:v>
                </c:pt>
              </c:strCache>
            </c:strRef>
          </c:cat>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0-36F8-47E3-915E-F22B05E6362F}"/>
            </c:ext>
          </c:extLst>
        </c:ser>
        <c:ser>
          <c:idx val="0"/>
          <c:order val="1"/>
          <c:spPr>
            <a:solidFill>
              <a:schemeClr val="accent1"/>
            </a:solidFill>
            <a:ln w="88900">
              <a:gradFill>
                <a:gsLst>
                  <a:gs pos="19000">
                    <a:srgbClr val="60A8FF"/>
                  </a:gs>
                  <a:gs pos="100000">
                    <a:srgbClr val="2185FF"/>
                  </a:gs>
                </a:gsLst>
                <a:lin ang="5400000" scaled="1"/>
              </a:gradFill>
            </a:ln>
            <a:effectLst/>
          </c:spPr>
          <c:invertIfNegative val="0"/>
          <c:cat>
            <c:strRef>
              <c:f>Processing!$I$2:$I$6</c:f>
              <c:strCache>
                <c:ptCount val="5"/>
                <c:pt idx="0">
                  <c:v>MON</c:v>
                </c:pt>
                <c:pt idx="1">
                  <c:v>TUE</c:v>
                </c:pt>
                <c:pt idx="2">
                  <c:v>WED</c:v>
                </c:pt>
                <c:pt idx="3">
                  <c:v>THU</c:v>
                </c:pt>
                <c:pt idx="4">
                  <c:v>FRI</c:v>
                </c:pt>
              </c:strCache>
            </c:strRef>
          </c:cat>
          <c:val>
            <c:numRef>
              <c:f>Processing!$J$2:$J$6</c:f>
              <c:numCache>
                <c:formatCode>General</c:formatCode>
                <c:ptCount val="5"/>
                <c:pt idx="0">
                  <c:v>1511</c:v>
                </c:pt>
                <c:pt idx="1">
                  <c:v>5603</c:v>
                </c:pt>
                <c:pt idx="2">
                  <c:v>5741</c:v>
                </c:pt>
                <c:pt idx="3">
                  <c:v>2858</c:v>
                </c:pt>
                <c:pt idx="4">
                  <c:v>1164</c:v>
                </c:pt>
              </c:numCache>
            </c:numRef>
          </c:val>
          <c:extLst>
            <c:ext xmlns:c16="http://schemas.microsoft.com/office/drawing/2014/chart" uri="{C3380CC4-5D6E-409C-BE32-E72D297353CC}">
              <c16:uniqueId val="{00000001-36F8-47E3-915E-F22B05E6362F}"/>
            </c:ext>
          </c:extLst>
        </c:ser>
        <c:dLbls>
          <c:showLegendKey val="0"/>
          <c:showVal val="0"/>
          <c:showCatName val="0"/>
          <c:showSerName val="0"/>
          <c:showPercent val="0"/>
          <c:showBubbleSize val="0"/>
        </c:dLbls>
        <c:gapWidth val="250"/>
        <c:overlap val="100"/>
        <c:axId val="1684353792"/>
        <c:axId val="1684362432"/>
      </c:barChart>
      <c:barChart>
        <c:barDir val="col"/>
        <c:grouping val="stacked"/>
        <c:varyColors val="0"/>
        <c:ser>
          <c:idx val="3"/>
          <c:order val="2"/>
          <c:tx>
            <c:v>indent Cursor</c:v>
          </c:tx>
          <c:spPr>
            <a:noFill/>
            <a:ln>
              <a:noFill/>
            </a:ln>
            <a:effectLst/>
          </c:spPr>
          <c:invertIfNegative val="0"/>
          <c:val>
            <c:numRef>
              <c:f>Processing!$L$2:$L$6</c:f>
              <c:numCache>
                <c:formatCode>General</c:formatCode>
                <c:ptCount val="5"/>
                <c:pt idx="0">
                  <c:v>229.64000000000001</c:v>
                </c:pt>
                <c:pt idx="1">
                  <c:v>229.64000000000001</c:v>
                </c:pt>
                <c:pt idx="2">
                  <c:v>229.64000000000001</c:v>
                </c:pt>
                <c:pt idx="3">
                  <c:v>229.64000000000001</c:v>
                </c:pt>
                <c:pt idx="4">
                  <c:v>229.64000000000001</c:v>
                </c:pt>
              </c:numCache>
            </c:numRef>
          </c:val>
          <c:extLst>
            <c:ext xmlns:c16="http://schemas.microsoft.com/office/drawing/2014/chart" uri="{C3380CC4-5D6E-409C-BE32-E72D297353CC}">
              <c16:uniqueId val="{00000002-36F8-47E3-915E-F22B05E6362F}"/>
            </c:ext>
          </c:extLst>
        </c:ser>
        <c:ser>
          <c:idx val="1"/>
          <c:order val="3"/>
          <c:spPr>
            <a:solidFill>
              <a:schemeClr val="accent2"/>
            </a:solidFill>
            <a:ln w="88900">
              <a:gradFill>
                <a:gsLst>
                  <a:gs pos="0">
                    <a:srgbClr val="F17EEC"/>
                  </a:gs>
                  <a:gs pos="100000">
                    <a:srgbClr val="EE0078"/>
                  </a:gs>
                </a:gsLst>
                <a:lin ang="5400000" scaled="1"/>
              </a:gradFill>
            </a:ln>
            <a:effectLst/>
          </c:spPr>
          <c:invertIfNegative val="0"/>
          <c:cat>
            <c:strRef>
              <c:f>Processing!$I$2:$I$6</c:f>
              <c:strCache>
                <c:ptCount val="5"/>
                <c:pt idx="0">
                  <c:v>MON</c:v>
                </c:pt>
                <c:pt idx="1">
                  <c:v>TUE</c:v>
                </c:pt>
                <c:pt idx="2">
                  <c:v>WED</c:v>
                </c:pt>
                <c:pt idx="3">
                  <c:v>THU</c:v>
                </c:pt>
                <c:pt idx="4">
                  <c:v>FRI</c:v>
                </c:pt>
              </c:strCache>
            </c:strRef>
          </c:cat>
          <c:val>
            <c:numRef>
              <c:f>Processing!$K$2:$K$6</c:f>
              <c:numCache>
                <c:formatCode>General</c:formatCode>
                <c:ptCount val="5"/>
                <c:pt idx="0">
                  <c:v>#N/A</c:v>
                </c:pt>
                <c:pt idx="1">
                  <c:v>5603</c:v>
                </c:pt>
                <c:pt idx="2">
                  <c:v>5741</c:v>
                </c:pt>
                <c:pt idx="3">
                  <c:v>2858</c:v>
                </c:pt>
                <c:pt idx="4">
                  <c:v>1164</c:v>
                </c:pt>
              </c:numCache>
            </c:numRef>
          </c:val>
          <c:extLst>
            <c:ext xmlns:c16="http://schemas.microsoft.com/office/drawing/2014/chart" uri="{C3380CC4-5D6E-409C-BE32-E72D297353CC}">
              <c16:uniqueId val="{00000003-36F8-47E3-915E-F22B05E6362F}"/>
            </c:ext>
          </c:extLst>
        </c:ser>
        <c:dLbls>
          <c:showLegendKey val="0"/>
          <c:showVal val="0"/>
          <c:showCatName val="0"/>
          <c:showSerName val="0"/>
          <c:showPercent val="0"/>
          <c:showBubbleSize val="0"/>
        </c:dLbls>
        <c:gapWidth val="250"/>
        <c:overlap val="100"/>
        <c:axId val="1684234752"/>
        <c:axId val="1684248672"/>
      </c:barChart>
      <c:catAx>
        <c:axId val="1684353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A2ADBE"/>
                </a:solidFill>
                <a:latin typeface="+mn-lt"/>
                <a:ea typeface="+mn-ea"/>
                <a:cs typeface="+mn-cs"/>
              </a:defRPr>
            </a:pPr>
            <a:endParaRPr lang="ru-RU"/>
          </a:p>
        </c:txPr>
        <c:crossAx val="1684362432"/>
        <c:crosses val="autoZero"/>
        <c:auto val="1"/>
        <c:lblAlgn val="ctr"/>
        <c:lblOffset val="100"/>
        <c:noMultiLvlLbl val="0"/>
      </c:catAx>
      <c:valAx>
        <c:axId val="1684362432"/>
        <c:scaling>
          <c:orientation val="minMax"/>
          <c:min val="0"/>
        </c:scaling>
        <c:delete val="1"/>
        <c:axPos val="l"/>
        <c:numFmt formatCode="General" sourceLinked="1"/>
        <c:majorTickMark val="out"/>
        <c:minorTickMark val="none"/>
        <c:tickLblPos val="nextTo"/>
        <c:crossAx val="1684353792"/>
        <c:crosses val="autoZero"/>
        <c:crossBetween val="between"/>
      </c:valAx>
      <c:valAx>
        <c:axId val="1684248672"/>
        <c:scaling>
          <c:orientation val="minMax"/>
        </c:scaling>
        <c:delete val="1"/>
        <c:axPos val="r"/>
        <c:numFmt formatCode="General" sourceLinked="1"/>
        <c:majorTickMark val="out"/>
        <c:minorTickMark val="none"/>
        <c:tickLblPos val="nextTo"/>
        <c:crossAx val="1684234752"/>
        <c:crosses val="max"/>
        <c:crossBetween val="between"/>
      </c:valAx>
      <c:catAx>
        <c:axId val="1684234752"/>
        <c:scaling>
          <c:orientation val="minMax"/>
        </c:scaling>
        <c:delete val="1"/>
        <c:axPos val="b"/>
        <c:majorTickMark val="out"/>
        <c:minorTickMark val="none"/>
        <c:tickLblPos val="nextTo"/>
        <c:crossAx val="1684248672"/>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hyperlink" Target="#Products!A1"/><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hyperlink" Target="#'Sales Closed'!A1"/><Relationship Id="rId2" Type="http://schemas.openxmlformats.org/officeDocument/2006/relationships/chart" Target="../charts/chart2.xml"/><Relationship Id="rId16" Type="http://schemas.openxmlformats.org/officeDocument/2006/relationships/image" Target="../media/image2.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ROI!A1"/><Relationship Id="rId5" Type="http://schemas.openxmlformats.org/officeDocument/2006/relationships/chart" Target="../charts/chart5.xml"/><Relationship Id="rId15" Type="http://schemas.openxmlformats.org/officeDocument/2006/relationships/image" Target="../media/image1.png"/><Relationship Id="rId10" Type="http://schemas.openxmlformats.org/officeDocument/2006/relationships/hyperlink" Target="#'Revenue vs Expenses'!A1"/><Relationship Id="rId4" Type="http://schemas.openxmlformats.org/officeDocument/2006/relationships/chart" Target="../charts/chart4.xml"/><Relationship Id="rId9" Type="http://schemas.openxmlformats.org/officeDocument/2006/relationships/hyperlink" Target="#DASHBOARD!A1"/><Relationship Id="rId14" Type="http://schemas.openxmlformats.org/officeDocument/2006/relationships/hyperlink" Target="#'DASHBOARD Light'!A1"/></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hyperlink" Target="#'ROI Light'!A1"/><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hyperlink" Target="#'Products Light'!A1"/><Relationship Id="rId2" Type="http://schemas.openxmlformats.org/officeDocument/2006/relationships/chart" Target="../charts/chart10.xml"/><Relationship Id="rId16" Type="http://schemas.openxmlformats.org/officeDocument/2006/relationships/image" Target="../media/image4.sv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hyperlink" Target="#'Sales Closed Light'!A1"/><Relationship Id="rId5" Type="http://schemas.openxmlformats.org/officeDocument/2006/relationships/chart" Target="../charts/chart13.xml"/><Relationship Id="rId15" Type="http://schemas.openxmlformats.org/officeDocument/2006/relationships/image" Target="../media/image3.png"/><Relationship Id="rId10" Type="http://schemas.openxmlformats.org/officeDocument/2006/relationships/hyperlink" Target="#'Revenue vs Expenses Light'!A1"/><Relationship Id="rId4" Type="http://schemas.openxmlformats.org/officeDocument/2006/relationships/chart" Target="../charts/chart12.xml"/><Relationship Id="rId9" Type="http://schemas.openxmlformats.org/officeDocument/2006/relationships/hyperlink" Target="#'DASHBOARD Light'!A1"/><Relationship Id="rId14"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24.xml"/><Relationship Id="rId13" Type="http://schemas.openxmlformats.org/officeDocument/2006/relationships/hyperlink" Target="#Products!A1"/><Relationship Id="rId3" Type="http://schemas.openxmlformats.org/officeDocument/2006/relationships/chart" Target="../charts/chart19.xml"/><Relationship Id="rId7" Type="http://schemas.openxmlformats.org/officeDocument/2006/relationships/chart" Target="../charts/chart23.xml"/><Relationship Id="rId12" Type="http://schemas.openxmlformats.org/officeDocument/2006/relationships/hyperlink" Target="#'Sales Closed'!A1"/><Relationship Id="rId2" Type="http://schemas.openxmlformats.org/officeDocument/2006/relationships/chart" Target="../charts/chart18.xml"/><Relationship Id="rId16" Type="http://schemas.openxmlformats.org/officeDocument/2006/relationships/image" Target="../media/image2.svg"/><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hyperlink" Target="#ROI!A1"/><Relationship Id="rId5" Type="http://schemas.openxmlformats.org/officeDocument/2006/relationships/chart" Target="../charts/chart21.xml"/><Relationship Id="rId15" Type="http://schemas.openxmlformats.org/officeDocument/2006/relationships/image" Target="../media/image1.png"/><Relationship Id="rId10" Type="http://schemas.openxmlformats.org/officeDocument/2006/relationships/hyperlink" Target="#'Revenue vs Expenses'!A1"/><Relationship Id="rId4" Type="http://schemas.openxmlformats.org/officeDocument/2006/relationships/chart" Target="../charts/chart20.xml"/><Relationship Id="rId9" Type="http://schemas.openxmlformats.org/officeDocument/2006/relationships/hyperlink" Target="#DASHBOARD!A1"/><Relationship Id="rId14" Type="http://schemas.openxmlformats.org/officeDocument/2006/relationships/hyperlink" Target="#'Revenue vs Expenses Light'!A1"/></Relationships>
</file>

<file path=xl/drawings/_rels/drawing4.xml.rels><?xml version="1.0" encoding="UTF-8" standalone="yes"?>
<Relationships xmlns="http://schemas.openxmlformats.org/package/2006/relationships"><Relationship Id="rId8" Type="http://schemas.openxmlformats.org/officeDocument/2006/relationships/chart" Target="../charts/chart32.xml"/><Relationship Id="rId13" Type="http://schemas.openxmlformats.org/officeDocument/2006/relationships/hyperlink" Target="#'Revenue vs Expenses Light'!A1"/><Relationship Id="rId3" Type="http://schemas.openxmlformats.org/officeDocument/2006/relationships/chart" Target="../charts/chart27.xml"/><Relationship Id="rId7" Type="http://schemas.openxmlformats.org/officeDocument/2006/relationships/chart" Target="../charts/chart31.xml"/><Relationship Id="rId12" Type="http://schemas.openxmlformats.org/officeDocument/2006/relationships/hyperlink" Target="#'DASHBOARD Light'!A1"/><Relationship Id="rId2" Type="http://schemas.openxmlformats.org/officeDocument/2006/relationships/chart" Target="../charts/chart26.xml"/><Relationship Id="rId16" Type="http://schemas.openxmlformats.org/officeDocument/2006/relationships/hyperlink" Target="#'ROI Light'!A1"/><Relationship Id="rId1" Type="http://schemas.openxmlformats.org/officeDocument/2006/relationships/chart" Target="../charts/chart25.xml"/><Relationship Id="rId6" Type="http://schemas.openxmlformats.org/officeDocument/2006/relationships/chart" Target="../charts/chart30.xml"/><Relationship Id="rId11" Type="http://schemas.openxmlformats.org/officeDocument/2006/relationships/image" Target="../media/image4.svg"/><Relationship Id="rId5" Type="http://schemas.openxmlformats.org/officeDocument/2006/relationships/chart" Target="../charts/chart29.xml"/><Relationship Id="rId15" Type="http://schemas.openxmlformats.org/officeDocument/2006/relationships/hyperlink" Target="#'Products Light'!A1"/><Relationship Id="rId10" Type="http://schemas.openxmlformats.org/officeDocument/2006/relationships/image" Target="../media/image3.png"/><Relationship Id="rId4" Type="http://schemas.openxmlformats.org/officeDocument/2006/relationships/chart" Target="../charts/chart28.xml"/><Relationship Id="rId9" Type="http://schemas.openxmlformats.org/officeDocument/2006/relationships/hyperlink" Target="#'Revenue vs Expenses'!A1"/><Relationship Id="rId14" Type="http://schemas.openxmlformats.org/officeDocument/2006/relationships/hyperlink" Target="#'Sales Closed Light'!A1"/></Relationships>
</file>

<file path=xl/drawings/_rels/drawing5.xml.rels><?xml version="1.0" encoding="UTF-8" standalone="yes"?>
<Relationships xmlns="http://schemas.openxmlformats.org/package/2006/relationships"><Relationship Id="rId8" Type="http://schemas.openxmlformats.org/officeDocument/2006/relationships/chart" Target="../charts/chart40.xml"/><Relationship Id="rId13" Type="http://schemas.openxmlformats.org/officeDocument/2006/relationships/hyperlink" Target="#Products!A1"/><Relationship Id="rId3" Type="http://schemas.openxmlformats.org/officeDocument/2006/relationships/chart" Target="../charts/chart35.xml"/><Relationship Id="rId7" Type="http://schemas.openxmlformats.org/officeDocument/2006/relationships/chart" Target="../charts/chart39.xml"/><Relationship Id="rId12" Type="http://schemas.openxmlformats.org/officeDocument/2006/relationships/hyperlink" Target="#'Sales Closed'!A1"/><Relationship Id="rId2" Type="http://schemas.openxmlformats.org/officeDocument/2006/relationships/chart" Target="../charts/chart34.xml"/><Relationship Id="rId16" Type="http://schemas.openxmlformats.org/officeDocument/2006/relationships/image" Target="../media/image2.svg"/><Relationship Id="rId1" Type="http://schemas.openxmlformats.org/officeDocument/2006/relationships/chart" Target="../charts/chart33.xml"/><Relationship Id="rId6" Type="http://schemas.openxmlformats.org/officeDocument/2006/relationships/chart" Target="../charts/chart38.xml"/><Relationship Id="rId11" Type="http://schemas.openxmlformats.org/officeDocument/2006/relationships/hyperlink" Target="#ROI!A1"/><Relationship Id="rId5" Type="http://schemas.openxmlformats.org/officeDocument/2006/relationships/chart" Target="../charts/chart37.xml"/><Relationship Id="rId15" Type="http://schemas.openxmlformats.org/officeDocument/2006/relationships/image" Target="../media/image1.png"/><Relationship Id="rId10" Type="http://schemas.openxmlformats.org/officeDocument/2006/relationships/hyperlink" Target="#'Revenue vs Expenses'!A1"/><Relationship Id="rId4" Type="http://schemas.openxmlformats.org/officeDocument/2006/relationships/chart" Target="../charts/chart36.xml"/><Relationship Id="rId9" Type="http://schemas.openxmlformats.org/officeDocument/2006/relationships/hyperlink" Target="#DASHBOARD!A1"/><Relationship Id="rId14" Type="http://schemas.openxmlformats.org/officeDocument/2006/relationships/hyperlink" Target="#'Sales Closed Light'!A1"/></Relationships>
</file>

<file path=xl/drawings/_rels/drawing6.xml.rels><?xml version="1.0" encoding="UTF-8" standalone="yes"?>
<Relationships xmlns="http://schemas.openxmlformats.org/package/2006/relationships"><Relationship Id="rId8" Type="http://schemas.openxmlformats.org/officeDocument/2006/relationships/chart" Target="../charts/chart48.xml"/><Relationship Id="rId13" Type="http://schemas.openxmlformats.org/officeDocument/2006/relationships/hyperlink" Target="#'Revenue vs Expenses Light'!A1"/><Relationship Id="rId3" Type="http://schemas.openxmlformats.org/officeDocument/2006/relationships/chart" Target="../charts/chart43.xml"/><Relationship Id="rId7" Type="http://schemas.openxmlformats.org/officeDocument/2006/relationships/chart" Target="../charts/chart47.xml"/><Relationship Id="rId12" Type="http://schemas.openxmlformats.org/officeDocument/2006/relationships/hyperlink" Target="#'DASHBOARD Light'!A1"/><Relationship Id="rId2" Type="http://schemas.openxmlformats.org/officeDocument/2006/relationships/chart" Target="../charts/chart42.xml"/><Relationship Id="rId16" Type="http://schemas.openxmlformats.org/officeDocument/2006/relationships/hyperlink" Target="#'ROI Light'!A1"/><Relationship Id="rId1" Type="http://schemas.openxmlformats.org/officeDocument/2006/relationships/chart" Target="../charts/chart41.xml"/><Relationship Id="rId6" Type="http://schemas.openxmlformats.org/officeDocument/2006/relationships/chart" Target="../charts/chart46.xml"/><Relationship Id="rId11" Type="http://schemas.openxmlformats.org/officeDocument/2006/relationships/image" Target="../media/image4.svg"/><Relationship Id="rId5" Type="http://schemas.openxmlformats.org/officeDocument/2006/relationships/chart" Target="../charts/chart45.xml"/><Relationship Id="rId15" Type="http://schemas.openxmlformats.org/officeDocument/2006/relationships/hyperlink" Target="#'Products Light'!A1"/><Relationship Id="rId10" Type="http://schemas.openxmlformats.org/officeDocument/2006/relationships/image" Target="../media/image3.png"/><Relationship Id="rId4" Type="http://schemas.openxmlformats.org/officeDocument/2006/relationships/chart" Target="../charts/chart44.xml"/><Relationship Id="rId9" Type="http://schemas.openxmlformats.org/officeDocument/2006/relationships/hyperlink" Target="#'Sales Closed'!A1"/><Relationship Id="rId14" Type="http://schemas.openxmlformats.org/officeDocument/2006/relationships/hyperlink" Target="#'Sales Closed Light'!A1"/></Relationships>
</file>

<file path=xl/drawings/_rels/drawing7.xml.rels><?xml version="1.0" encoding="UTF-8" standalone="yes"?>
<Relationships xmlns="http://schemas.openxmlformats.org/package/2006/relationships"><Relationship Id="rId8" Type="http://schemas.openxmlformats.org/officeDocument/2006/relationships/chart" Target="../charts/chart56.xml"/><Relationship Id="rId13" Type="http://schemas.openxmlformats.org/officeDocument/2006/relationships/hyperlink" Target="#'Sales Closed'!A1"/><Relationship Id="rId3" Type="http://schemas.openxmlformats.org/officeDocument/2006/relationships/chart" Target="../charts/chart51.xml"/><Relationship Id="rId7" Type="http://schemas.openxmlformats.org/officeDocument/2006/relationships/chart" Target="../charts/chart55.xml"/><Relationship Id="rId12" Type="http://schemas.openxmlformats.org/officeDocument/2006/relationships/hyperlink" Target="#ROI!A1"/><Relationship Id="rId17" Type="http://schemas.openxmlformats.org/officeDocument/2006/relationships/image" Target="../media/image2.svg"/><Relationship Id="rId2" Type="http://schemas.openxmlformats.org/officeDocument/2006/relationships/chart" Target="../charts/chart50.xml"/><Relationship Id="rId16" Type="http://schemas.openxmlformats.org/officeDocument/2006/relationships/image" Target="../media/image1.png"/><Relationship Id="rId1" Type="http://schemas.openxmlformats.org/officeDocument/2006/relationships/chart" Target="../charts/chart49.xml"/><Relationship Id="rId6" Type="http://schemas.openxmlformats.org/officeDocument/2006/relationships/chart" Target="../charts/chart54.xml"/><Relationship Id="rId11" Type="http://schemas.openxmlformats.org/officeDocument/2006/relationships/hyperlink" Target="#'Revenue vs Expenses'!A1"/><Relationship Id="rId5" Type="http://schemas.openxmlformats.org/officeDocument/2006/relationships/chart" Target="../charts/chart53.xml"/><Relationship Id="rId15" Type="http://schemas.openxmlformats.org/officeDocument/2006/relationships/hyperlink" Target="#'Products Light'!A1"/><Relationship Id="rId10" Type="http://schemas.openxmlformats.org/officeDocument/2006/relationships/hyperlink" Target="#DASHBOARD!A1"/><Relationship Id="rId4" Type="http://schemas.openxmlformats.org/officeDocument/2006/relationships/chart" Target="../charts/chart52.xml"/><Relationship Id="rId9" Type="http://schemas.openxmlformats.org/officeDocument/2006/relationships/chart" Target="../charts/chart57.xml"/><Relationship Id="rId14" Type="http://schemas.openxmlformats.org/officeDocument/2006/relationships/hyperlink" Target="#Products!A1"/></Relationships>
</file>

<file path=xl/drawings/_rels/drawing8.xml.rels><?xml version="1.0" encoding="UTF-8" standalone="yes"?>
<Relationships xmlns="http://schemas.openxmlformats.org/package/2006/relationships"><Relationship Id="rId8" Type="http://schemas.openxmlformats.org/officeDocument/2006/relationships/chart" Target="../charts/chart65.xml"/><Relationship Id="rId13" Type="http://schemas.openxmlformats.org/officeDocument/2006/relationships/hyperlink" Target="#'DASHBOARD Light'!A1"/><Relationship Id="rId3" Type="http://schemas.openxmlformats.org/officeDocument/2006/relationships/chart" Target="../charts/chart60.xml"/><Relationship Id="rId7" Type="http://schemas.openxmlformats.org/officeDocument/2006/relationships/chart" Target="../charts/chart64.xml"/><Relationship Id="rId12" Type="http://schemas.openxmlformats.org/officeDocument/2006/relationships/image" Target="../media/image4.svg"/><Relationship Id="rId17" Type="http://schemas.openxmlformats.org/officeDocument/2006/relationships/hyperlink" Target="#'ROI Light'!A1"/><Relationship Id="rId2" Type="http://schemas.openxmlformats.org/officeDocument/2006/relationships/chart" Target="../charts/chart59.xml"/><Relationship Id="rId16" Type="http://schemas.openxmlformats.org/officeDocument/2006/relationships/hyperlink" Target="#'Products (2)'!A1"/><Relationship Id="rId1" Type="http://schemas.openxmlformats.org/officeDocument/2006/relationships/chart" Target="../charts/chart58.xml"/><Relationship Id="rId6" Type="http://schemas.openxmlformats.org/officeDocument/2006/relationships/chart" Target="../charts/chart63.xml"/><Relationship Id="rId11" Type="http://schemas.openxmlformats.org/officeDocument/2006/relationships/image" Target="../media/image3.png"/><Relationship Id="rId5" Type="http://schemas.openxmlformats.org/officeDocument/2006/relationships/chart" Target="../charts/chart62.xml"/><Relationship Id="rId15" Type="http://schemas.openxmlformats.org/officeDocument/2006/relationships/hyperlink" Target="#'Sales Closed Light'!A1"/><Relationship Id="rId10" Type="http://schemas.openxmlformats.org/officeDocument/2006/relationships/hyperlink" Target="#Products!A1"/><Relationship Id="rId4" Type="http://schemas.openxmlformats.org/officeDocument/2006/relationships/chart" Target="../charts/chart61.xml"/><Relationship Id="rId9" Type="http://schemas.openxmlformats.org/officeDocument/2006/relationships/chart" Target="../charts/chart66.xml"/><Relationship Id="rId14" Type="http://schemas.openxmlformats.org/officeDocument/2006/relationships/hyperlink" Target="#'Revenue vs Expenses Light'!A1"/></Relationships>
</file>

<file path=xl/drawings/_rels/drawing9.xml.rels><?xml version="1.0" encoding="UTF-8" standalone="yes"?>
<Relationships xmlns="http://schemas.openxmlformats.org/package/2006/relationships"><Relationship Id="rId8" Type="http://schemas.openxmlformats.org/officeDocument/2006/relationships/chart" Target="../charts/chart74.xml"/><Relationship Id="rId13" Type="http://schemas.openxmlformats.org/officeDocument/2006/relationships/hyperlink" Target="#Products!A1"/><Relationship Id="rId3" Type="http://schemas.openxmlformats.org/officeDocument/2006/relationships/chart" Target="../charts/chart69.xml"/><Relationship Id="rId7" Type="http://schemas.openxmlformats.org/officeDocument/2006/relationships/chart" Target="../charts/chart73.xml"/><Relationship Id="rId12" Type="http://schemas.openxmlformats.org/officeDocument/2006/relationships/hyperlink" Target="#'Sales Closed'!A1"/><Relationship Id="rId2" Type="http://schemas.openxmlformats.org/officeDocument/2006/relationships/chart" Target="../charts/chart68.xml"/><Relationship Id="rId16" Type="http://schemas.openxmlformats.org/officeDocument/2006/relationships/image" Target="../media/image2.svg"/><Relationship Id="rId1" Type="http://schemas.openxmlformats.org/officeDocument/2006/relationships/chart" Target="../charts/chart67.xml"/><Relationship Id="rId6" Type="http://schemas.openxmlformats.org/officeDocument/2006/relationships/chart" Target="../charts/chart72.xml"/><Relationship Id="rId11" Type="http://schemas.openxmlformats.org/officeDocument/2006/relationships/hyperlink" Target="#ROI!A1"/><Relationship Id="rId5" Type="http://schemas.openxmlformats.org/officeDocument/2006/relationships/chart" Target="../charts/chart71.xml"/><Relationship Id="rId15" Type="http://schemas.openxmlformats.org/officeDocument/2006/relationships/image" Target="../media/image1.png"/><Relationship Id="rId10" Type="http://schemas.openxmlformats.org/officeDocument/2006/relationships/hyperlink" Target="#'Revenue vs Expenses'!A1"/><Relationship Id="rId4" Type="http://schemas.openxmlformats.org/officeDocument/2006/relationships/chart" Target="../charts/chart70.xml"/><Relationship Id="rId9" Type="http://schemas.openxmlformats.org/officeDocument/2006/relationships/hyperlink" Target="#DASHBOARD!A1"/><Relationship Id="rId14" Type="http://schemas.openxmlformats.org/officeDocument/2006/relationships/hyperlink" Target="#'ROI Light'!A1"/></Relationships>
</file>

<file path=xl/drawings/_rels/drawing10.xml.rels><?xml version="1.0" encoding="UTF-8" standalone="yes"?>
<Relationships xmlns="http://schemas.openxmlformats.org/package/2006/relationships"><Relationship Id="rId8" Type="http://schemas.openxmlformats.org/officeDocument/2006/relationships/chart" Target="../charts/chart82.xml"/><Relationship Id="rId13" Type="http://schemas.openxmlformats.org/officeDocument/2006/relationships/hyperlink" Target="#'Revenue vs Expenses Light'!A1"/><Relationship Id="rId3" Type="http://schemas.openxmlformats.org/officeDocument/2006/relationships/chart" Target="../charts/chart77.xml"/><Relationship Id="rId7" Type="http://schemas.openxmlformats.org/officeDocument/2006/relationships/chart" Target="../charts/chart81.xml"/><Relationship Id="rId12" Type="http://schemas.openxmlformats.org/officeDocument/2006/relationships/hyperlink" Target="#'DASHBOARD Light'!A1"/><Relationship Id="rId2" Type="http://schemas.openxmlformats.org/officeDocument/2006/relationships/chart" Target="../charts/chart76.xml"/><Relationship Id="rId16" Type="http://schemas.openxmlformats.org/officeDocument/2006/relationships/hyperlink" Target="#'ROI Light'!A1"/><Relationship Id="rId1" Type="http://schemas.openxmlformats.org/officeDocument/2006/relationships/chart" Target="../charts/chart75.xml"/><Relationship Id="rId6" Type="http://schemas.openxmlformats.org/officeDocument/2006/relationships/chart" Target="../charts/chart80.xml"/><Relationship Id="rId11" Type="http://schemas.openxmlformats.org/officeDocument/2006/relationships/image" Target="../media/image4.svg"/><Relationship Id="rId5" Type="http://schemas.openxmlformats.org/officeDocument/2006/relationships/chart" Target="../charts/chart79.xml"/><Relationship Id="rId15" Type="http://schemas.openxmlformats.org/officeDocument/2006/relationships/hyperlink" Target="#'Products Light'!A1"/><Relationship Id="rId10" Type="http://schemas.openxmlformats.org/officeDocument/2006/relationships/image" Target="../media/image3.png"/><Relationship Id="rId4" Type="http://schemas.openxmlformats.org/officeDocument/2006/relationships/chart" Target="../charts/chart78.xml"/><Relationship Id="rId9" Type="http://schemas.openxmlformats.org/officeDocument/2006/relationships/hyperlink" Target="#ROI!A1"/><Relationship Id="rId14" Type="http://schemas.openxmlformats.org/officeDocument/2006/relationships/hyperlink" Target="#'Sales Closed Light'!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167640</xdr:colOff>
      <xdr:row>43</xdr:row>
      <xdr:rowOff>121920</xdr:rowOff>
    </xdr:to>
    <xdr:sp macro="" textlink="">
      <xdr:nvSpPr>
        <xdr:cNvPr id="3" name="Rectangle 2">
          <a:extLst>
            <a:ext uri="{FF2B5EF4-FFF2-40B4-BE49-F238E27FC236}">
              <a16:creationId xmlns:a16="http://schemas.microsoft.com/office/drawing/2014/main" id="{02A653C1-2EB3-96A8-208F-AF9CDE31D35F}"/>
            </a:ext>
          </a:extLst>
        </xdr:cNvPr>
        <xdr:cNvSpPr/>
      </xdr:nvSpPr>
      <xdr:spPr>
        <a:xfrm>
          <a:off x="0" y="0"/>
          <a:ext cx="14798040" cy="7985760"/>
        </a:xfrm>
        <a:prstGeom prst="rect">
          <a:avLst/>
        </a:prstGeom>
        <a:gradFill flip="none" rotWithShape="1">
          <a:gsLst>
            <a:gs pos="35000">
              <a:srgbClr val="754CB9"/>
            </a:gs>
            <a:gs pos="65000">
              <a:srgbClr val="519FFB"/>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0</xdr:colOff>
      <xdr:row>0</xdr:row>
      <xdr:rowOff>0</xdr:rowOff>
    </xdr:from>
    <xdr:to>
      <xdr:col>24</xdr:col>
      <xdr:colOff>167640</xdr:colOff>
      <xdr:row>43</xdr:row>
      <xdr:rowOff>144780</xdr:rowOff>
    </xdr:to>
    <xdr:sp macro="" textlink="">
      <xdr:nvSpPr>
        <xdr:cNvPr id="4" name="Rectangle 3">
          <a:extLst>
            <a:ext uri="{FF2B5EF4-FFF2-40B4-BE49-F238E27FC236}">
              <a16:creationId xmlns:a16="http://schemas.microsoft.com/office/drawing/2014/main" id="{FE214DFE-722A-2191-84A1-83EB63F4E729}"/>
            </a:ext>
          </a:extLst>
        </xdr:cNvPr>
        <xdr:cNvSpPr/>
      </xdr:nvSpPr>
      <xdr:spPr>
        <a:xfrm>
          <a:off x="0" y="0"/>
          <a:ext cx="14798040" cy="8008620"/>
        </a:xfrm>
        <a:prstGeom prst="rect">
          <a:avLst/>
        </a:prstGeom>
        <a:gradFill flip="none" rotWithShape="1">
          <a:gsLst>
            <a:gs pos="6000">
              <a:srgbClr val="EE0078"/>
            </a:gs>
            <a:gs pos="100000">
              <a:srgbClr val="562BFF">
                <a:alpha val="0"/>
              </a:srgb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205740</xdr:colOff>
      <xdr:row>3</xdr:row>
      <xdr:rowOff>91440</xdr:rowOff>
    </xdr:from>
    <xdr:to>
      <xdr:col>22</xdr:col>
      <xdr:colOff>419100</xdr:colOff>
      <xdr:row>35</xdr:row>
      <xdr:rowOff>7034</xdr:rowOff>
    </xdr:to>
    <xdr:sp macro="" textlink="">
      <xdr:nvSpPr>
        <xdr:cNvPr id="5" name="Rectangle: Rounded Corners 4">
          <a:extLst>
            <a:ext uri="{FF2B5EF4-FFF2-40B4-BE49-F238E27FC236}">
              <a16:creationId xmlns:a16="http://schemas.microsoft.com/office/drawing/2014/main" id="{3D3A7CA0-939B-885C-7E24-749CF189F3A6}"/>
            </a:ext>
          </a:extLst>
        </xdr:cNvPr>
        <xdr:cNvSpPr/>
      </xdr:nvSpPr>
      <xdr:spPr>
        <a:xfrm>
          <a:off x="815340" y="640080"/>
          <a:ext cx="13014960" cy="5767754"/>
        </a:xfrm>
        <a:prstGeom prst="roundRect">
          <a:avLst>
            <a:gd name="adj" fmla="val 10643"/>
          </a:avLst>
        </a:prstGeom>
        <a:gradFill>
          <a:gsLst>
            <a:gs pos="62000">
              <a:srgbClr val="1E2255"/>
            </a:gs>
            <a:gs pos="100000">
              <a:srgbClr val="2B215C"/>
            </a:gs>
          </a:gsLst>
          <a:lin ang="8100000" scaled="1"/>
        </a:gradFill>
        <a:ln>
          <a:noFill/>
        </a:ln>
        <a:effectLst>
          <a:outerShdw blurRad="571500" dist="381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205740</xdr:colOff>
      <xdr:row>3</xdr:row>
      <xdr:rowOff>91440</xdr:rowOff>
    </xdr:from>
    <xdr:to>
      <xdr:col>22</xdr:col>
      <xdr:colOff>419100</xdr:colOff>
      <xdr:row>35</xdr:row>
      <xdr:rowOff>7034</xdr:rowOff>
    </xdr:to>
    <xdr:sp macro="" textlink="">
      <xdr:nvSpPr>
        <xdr:cNvPr id="6" name="Rectangle: Rounded Corners 5">
          <a:extLst>
            <a:ext uri="{FF2B5EF4-FFF2-40B4-BE49-F238E27FC236}">
              <a16:creationId xmlns:a16="http://schemas.microsoft.com/office/drawing/2014/main" id="{176F8D9A-6C83-FB43-74E2-4141F2E05939}"/>
            </a:ext>
          </a:extLst>
        </xdr:cNvPr>
        <xdr:cNvSpPr/>
      </xdr:nvSpPr>
      <xdr:spPr>
        <a:xfrm>
          <a:off x="815340" y="640080"/>
          <a:ext cx="13014960" cy="5767754"/>
        </a:xfrm>
        <a:prstGeom prst="roundRect">
          <a:avLst>
            <a:gd name="adj" fmla="val 10643"/>
          </a:avLst>
        </a:prstGeom>
        <a:gradFill>
          <a:gsLst>
            <a:gs pos="0">
              <a:srgbClr val="4E7AE2"/>
            </a:gs>
            <a:gs pos="77000">
              <a:srgbClr val="3A2058">
                <a:alpha val="0"/>
              </a:srgbClr>
            </a:gs>
          </a:gsLst>
          <a:path path="circle">
            <a:fillToRect l="100000" b="100000"/>
          </a:path>
        </a:gradFill>
        <a:ln>
          <a:gradFill flip="none" rotWithShape="1">
            <a:gsLst>
              <a:gs pos="51000">
                <a:srgbClr val="5584ED"/>
              </a:gs>
              <a:gs pos="0">
                <a:srgbClr val="B7D6FF"/>
              </a:gs>
              <a:gs pos="100000">
                <a:srgbClr val="B459A0"/>
              </a:gs>
            </a:gsLst>
            <a:lin ang="8100000" scaled="1"/>
            <a:tileRect/>
          </a:gradFill>
        </a:ln>
        <a:effectLst>
          <a:outerShdw blurRad="508000" dist="1270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16</xdr:col>
      <xdr:colOff>510540</xdr:colOff>
      <xdr:row>8</xdr:row>
      <xdr:rowOff>102287</xdr:rowOff>
    </xdr:from>
    <xdr:to>
      <xdr:col>22</xdr:col>
      <xdr:colOff>48508</xdr:colOff>
      <xdr:row>21</xdr:row>
      <xdr:rowOff>10847</xdr:rowOff>
    </xdr:to>
    <xdr:sp macro="" textlink="">
      <xdr:nvSpPr>
        <xdr:cNvPr id="8" name="Rectangle: Rounded Corners 7">
          <a:extLst>
            <a:ext uri="{FF2B5EF4-FFF2-40B4-BE49-F238E27FC236}">
              <a16:creationId xmlns:a16="http://schemas.microsoft.com/office/drawing/2014/main" id="{08C09047-5194-8268-EC1E-1D3E21752F5D}"/>
            </a:ext>
          </a:extLst>
        </xdr:cNvPr>
        <xdr:cNvSpPr/>
      </xdr:nvSpPr>
      <xdr:spPr>
        <a:xfrm>
          <a:off x="10264140" y="1565327"/>
          <a:ext cx="3195568" cy="2286000"/>
        </a:xfrm>
        <a:prstGeom prst="roundRect">
          <a:avLst>
            <a:gd name="adj" fmla="val 12222"/>
          </a:avLst>
        </a:prstGeom>
        <a:gradFill flip="none" rotWithShape="1">
          <a:gsLst>
            <a:gs pos="50000">
              <a:srgbClr val="253274"/>
            </a:gs>
            <a:gs pos="20000">
              <a:srgbClr val="2F4495"/>
            </a:gs>
            <a:gs pos="0">
              <a:srgbClr val="3C56B2"/>
            </a:gs>
            <a:gs pos="100000">
              <a:srgbClr val="1E2255"/>
            </a:gs>
          </a:gsLst>
          <a:lin ang="8100000" scaled="1"/>
          <a:tileRect/>
        </a:gradFill>
        <a:ln w="9525">
          <a:gradFill flip="none" rotWithShape="1">
            <a:gsLst>
              <a:gs pos="0">
                <a:srgbClr val="5080DB"/>
              </a:gs>
              <a:gs pos="20000">
                <a:srgbClr val="6476CE"/>
              </a:gs>
              <a:gs pos="100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20</xdr:col>
      <xdr:colOff>78988</xdr:colOff>
      <xdr:row>22</xdr:row>
      <xdr:rowOff>24777</xdr:rowOff>
    </xdr:from>
    <xdr:to>
      <xdr:col>22</xdr:col>
      <xdr:colOff>48508</xdr:colOff>
      <xdr:row>32</xdr:row>
      <xdr:rowOff>70497</xdr:rowOff>
    </xdr:to>
    <xdr:sp macro="" textlink="Processing!L10">
      <xdr:nvSpPr>
        <xdr:cNvPr id="9" name="Rectangle: Rounded Corners 8">
          <a:extLst>
            <a:ext uri="{FF2B5EF4-FFF2-40B4-BE49-F238E27FC236}">
              <a16:creationId xmlns:a16="http://schemas.microsoft.com/office/drawing/2014/main" id="{F7E8DD5F-36E3-09B4-2053-60DC325029D8}"/>
            </a:ext>
          </a:extLst>
        </xdr:cNvPr>
        <xdr:cNvSpPr/>
      </xdr:nvSpPr>
      <xdr:spPr>
        <a:xfrm>
          <a:off x="12270988" y="4048137"/>
          <a:ext cx="1188720" cy="1874520"/>
        </a:xfrm>
        <a:prstGeom prst="roundRect">
          <a:avLst>
            <a:gd name="adj" fmla="val 16940"/>
          </a:avLst>
        </a:prstGeom>
        <a:gradFill flip="none" rotWithShape="1">
          <a:gsLst>
            <a:gs pos="0">
              <a:srgbClr val="232C68"/>
            </a:gs>
            <a:gs pos="100000">
              <a:srgbClr val="1E2255"/>
            </a:gs>
          </a:gsLst>
          <a:lin ang="8100000" scaled="1"/>
          <a:tileRect/>
        </a:gradFill>
        <a:ln w="9525">
          <a:gradFill flip="none" rotWithShape="1">
            <a:gsLst>
              <a:gs pos="0">
                <a:srgbClr val="6476CE"/>
              </a:gs>
              <a:gs pos="76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B141ACD5-C6B6-41AA-B709-DAF022D00E18}" type="TxLink">
            <a:rPr lang="en-US" sz="1200" b="0" i="0" u="none" strike="noStrike">
              <a:solidFill>
                <a:srgbClr val="A2ADBE"/>
              </a:solidFill>
              <a:latin typeface="Aptos Narrow"/>
            </a:rPr>
            <a:pPr algn="ctr"/>
            <a:t>Top-5 Products</a:t>
          </a:fld>
          <a:endParaRPr lang="ru-RU" sz="2000">
            <a:solidFill>
              <a:srgbClr val="A2ADBE"/>
            </a:solidFill>
          </a:endParaRPr>
        </a:p>
      </xdr:txBody>
    </xdr:sp>
    <xdr:clientData/>
  </xdr:twoCellAnchor>
  <xdr:twoCellAnchor>
    <xdr:from>
      <xdr:col>16</xdr:col>
      <xdr:colOff>510540</xdr:colOff>
      <xdr:row>22</xdr:row>
      <xdr:rowOff>24777</xdr:rowOff>
    </xdr:from>
    <xdr:to>
      <xdr:col>19</xdr:col>
      <xdr:colOff>510540</xdr:colOff>
      <xdr:row>32</xdr:row>
      <xdr:rowOff>70497</xdr:rowOff>
    </xdr:to>
    <xdr:sp macro="" textlink="Processing!J1">
      <xdr:nvSpPr>
        <xdr:cNvPr id="10" name="Rectangle: Rounded Corners 9">
          <a:extLst>
            <a:ext uri="{FF2B5EF4-FFF2-40B4-BE49-F238E27FC236}">
              <a16:creationId xmlns:a16="http://schemas.microsoft.com/office/drawing/2014/main" id="{FB221769-86AA-82C8-AB0C-DF4B0617032F}"/>
            </a:ext>
          </a:extLst>
        </xdr:cNvPr>
        <xdr:cNvSpPr/>
      </xdr:nvSpPr>
      <xdr:spPr>
        <a:xfrm>
          <a:off x="10264140" y="4048137"/>
          <a:ext cx="1828800" cy="1874520"/>
        </a:xfrm>
        <a:prstGeom prst="roundRect">
          <a:avLst>
            <a:gd name="adj" fmla="val 15658"/>
          </a:avLst>
        </a:prstGeom>
        <a:gradFill flip="none" rotWithShape="1">
          <a:gsLst>
            <a:gs pos="10000">
              <a:srgbClr val="1C265C"/>
            </a:gs>
            <a:gs pos="0">
              <a:srgbClr val="232C68"/>
            </a:gs>
            <a:gs pos="100000">
              <a:srgbClr val="1E2255"/>
            </a:gs>
          </a:gsLst>
          <a:lin ang="8100000" scaled="1"/>
          <a:tileRect/>
        </a:gradFill>
        <a:ln w="9525">
          <a:gradFill flip="none" rotWithShape="1">
            <a:gsLst>
              <a:gs pos="0">
                <a:srgbClr val="6476CE"/>
              </a:gs>
              <a:gs pos="70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F891643E-D31A-43FE-B4F0-A61FA518E279}" type="TxLink">
            <a:rPr lang="en-US" sz="1200" b="0" i="0" u="none" strike="noStrike">
              <a:solidFill>
                <a:srgbClr val="A2ADBE"/>
              </a:solidFill>
              <a:latin typeface="Aptos Narrow"/>
            </a:rPr>
            <a:pPr algn="l"/>
            <a:t>Sales Closed</a:t>
          </a:fld>
          <a:endParaRPr lang="ru-RU" sz="2000">
            <a:solidFill>
              <a:srgbClr val="A2ADBE"/>
            </a:solidFill>
          </a:endParaRPr>
        </a:p>
      </xdr:txBody>
    </xdr:sp>
    <xdr:clientData/>
  </xdr:twoCellAnchor>
  <xdr:twoCellAnchor>
    <xdr:from>
      <xdr:col>12</xdr:col>
      <xdr:colOff>289560</xdr:colOff>
      <xdr:row>19</xdr:row>
      <xdr:rowOff>143699</xdr:rowOff>
    </xdr:from>
    <xdr:to>
      <xdr:col>16</xdr:col>
      <xdr:colOff>320040</xdr:colOff>
      <xdr:row>32</xdr:row>
      <xdr:rowOff>70497</xdr:rowOff>
    </xdr:to>
    <xdr:sp macro="" textlink="Processing!A19">
      <xdr:nvSpPr>
        <xdr:cNvPr id="11" name="Rectangle: Rounded Corners 10">
          <a:extLst>
            <a:ext uri="{FF2B5EF4-FFF2-40B4-BE49-F238E27FC236}">
              <a16:creationId xmlns:a16="http://schemas.microsoft.com/office/drawing/2014/main" id="{E7946879-7E63-1058-0140-6AC98F98306D}"/>
            </a:ext>
          </a:extLst>
        </xdr:cNvPr>
        <xdr:cNvSpPr/>
      </xdr:nvSpPr>
      <xdr:spPr>
        <a:xfrm>
          <a:off x="7604760" y="3618419"/>
          <a:ext cx="2468880" cy="2304238"/>
        </a:xfrm>
        <a:prstGeom prst="roundRect">
          <a:avLst>
            <a:gd name="adj" fmla="val 10585"/>
          </a:avLst>
        </a:prstGeom>
        <a:gradFill flip="none" rotWithShape="1">
          <a:gsLst>
            <a:gs pos="7000">
              <a:srgbClr val="1C265C"/>
            </a:gs>
            <a:gs pos="0">
              <a:srgbClr val="232C68"/>
            </a:gs>
            <a:gs pos="100000">
              <a:srgbClr val="1E2255"/>
            </a:gs>
          </a:gsLst>
          <a:lin ang="8100000" scaled="1"/>
          <a:tileRect/>
        </a:gradFill>
        <a:ln w="9525">
          <a:gradFill flip="none" rotWithShape="1">
            <a:gsLst>
              <a:gs pos="0">
                <a:srgbClr val="6476CE"/>
              </a:gs>
              <a:gs pos="72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1C44FD38-D300-4C1F-906B-FAB458F04708}" type="TxLink">
            <a:rPr lang="en-US" sz="1200" b="0" i="0" u="none" strike="noStrike">
              <a:solidFill>
                <a:srgbClr val="A2ADBE"/>
              </a:solidFill>
              <a:latin typeface="Aptos Narrow"/>
            </a:rPr>
            <a:pPr algn="ctr"/>
            <a:t>Revenue vs Expenses</a:t>
          </a:fld>
          <a:endParaRPr lang="ru-RU" sz="2000">
            <a:solidFill>
              <a:srgbClr val="A2ADBE"/>
            </a:solidFill>
          </a:endParaRPr>
        </a:p>
      </xdr:txBody>
    </xdr:sp>
    <xdr:clientData/>
  </xdr:twoCellAnchor>
  <xdr:twoCellAnchor>
    <xdr:from>
      <xdr:col>12</xdr:col>
      <xdr:colOff>289560</xdr:colOff>
      <xdr:row>8</xdr:row>
      <xdr:rowOff>99060</xdr:rowOff>
    </xdr:from>
    <xdr:to>
      <xdr:col>16</xdr:col>
      <xdr:colOff>320040</xdr:colOff>
      <xdr:row>18</xdr:row>
      <xdr:rowOff>144780</xdr:rowOff>
    </xdr:to>
    <xdr:sp macro="" textlink="Processing!A1">
      <xdr:nvSpPr>
        <xdr:cNvPr id="12" name="Rectangle: Rounded Corners 11">
          <a:extLst>
            <a:ext uri="{FF2B5EF4-FFF2-40B4-BE49-F238E27FC236}">
              <a16:creationId xmlns:a16="http://schemas.microsoft.com/office/drawing/2014/main" id="{4222A6BA-3777-7591-416B-5A8721404328}"/>
            </a:ext>
          </a:extLst>
        </xdr:cNvPr>
        <xdr:cNvSpPr/>
      </xdr:nvSpPr>
      <xdr:spPr>
        <a:xfrm>
          <a:off x="7604760" y="1562100"/>
          <a:ext cx="2468880" cy="1874520"/>
        </a:xfrm>
        <a:prstGeom prst="roundRect">
          <a:avLst>
            <a:gd name="adj" fmla="val 12132"/>
          </a:avLst>
        </a:prstGeom>
        <a:gradFill flip="none" rotWithShape="1">
          <a:gsLst>
            <a:gs pos="0">
              <a:srgbClr val="EE0078"/>
            </a:gs>
            <a:gs pos="73000">
              <a:srgbClr val="6459F9"/>
            </a:gs>
          </a:gsLst>
          <a:lin ang="2700000" scaled="1"/>
          <a:tileRect/>
        </a:gradFill>
        <a:ln w="12700">
          <a:solidFill>
            <a:schemeClr val="bg1"/>
          </a:soli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03020289-B635-419F-B330-AF3CCE861824}" type="TxLink">
            <a:rPr lang="en-US" sz="1200" b="0" i="0" u="none" strike="noStrike">
              <a:solidFill>
                <a:schemeClr val="bg1"/>
              </a:solidFill>
              <a:latin typeface="Aptos Narrow"/>
            </a:rPr>
            <a:pPr algn="ctr"/>
            <a:t>Investments vs Sales Volume</a:t>
          </a:fld>
          <a:endParaRPr lang="ru-RU" sz="2000">
            <a:solidFill>
              <a:schemeClr val="bg1"/>
            </a:solidFill>
          </a:endParaRPr>
        </a:p>
      </xdr:txBody>
    </xdr:sp>
    <xdr:clientData/>
  </xdr:twoCellAnchor>
  <xdr:twoCellAnchor>
    <xdr:from>
      <xdr:col>1</xdr:col>
      <xdr:colOff>586740</xdr:colOff>
      <xdr:row>16</xdr:row>
      <xdr:rowOff>0</xdr:rowOff>
    </xdr:from>
    <xdr:to>
      <xdr:col>11</xdr:col>
      <xdr:colOff>434340</xdr:colOff>
      <xdr:row>31</xdr:row>
      <xdr:rowOff>0</xdr:rowOff>
    </xdr:to>
    <xdr:graphicFrame macro="">
      <xdr:nvGraphicFramePr>
        <xdr:cNvPr id="14" name="Chart 13">
          <a:extLst>
            <a:ext uri="{FF2B5EF4-FFF2-40B4-BE49-F238E27FC236}">
              <a16:creationId xmlns:a16="http://schemas.microsoft.com/office/drawing/2014/main" id="{A2A739FA-9B3A-43BA-8571-FAD3E6E69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566998</xdr:colOff>
      <xdr:row>23</xdr:row>
      <xdr:rowOff>99060</xdr:rowOff>
    </xdr:from>
    <xdr:to>
      <xdr:col>19</xdr:col>
      <xdr:colOff>476943</xdr:colOff>
      <xdr:row>31</xdr:row>
      <xdr:rowOff>175260</xdr:rowOff>
    </xdr:to>
    <xdr:graphicFrame macro="">
      <xdr:nvGraphicFramePr>
        <xdr:cNvPr id="15" name="Chart 14">
          <a:extLst>
            <a:ext uri="{FF2B5EF4-FFF2-40B4-BE49-F238E27FC236}">
              <a16:creationId xmlns:a16="http://schemas.microsoft.com/office/drawing/2014/main" id="{17B21D78-37C3-402C-AAC5-DF775107D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76205</xdr:colOff>
      <xdr:row>24</xdr:row>
      <xdr:rowOff>137379</xdr:rowOff>
    </xdr:from>
    <xdr:to>
      <xdr:col>22</xdr:col>
      <xdr:colOff>60956</xdr:colOff>
      <xdr:row>31</xdr:row>
      <xdr:rowOff>136942</xdr:rowOff>
    </xdr:to>
    <xdr:graphicFrame macro="">
      <xdr:nvGraphicFramePr>
        <xdr:cNvPr id="18" name="Chart 17">
          <a:extLst>
            <a:ext uri="{FF2B5EF4-FFF2-40B4-BE49-F238E27FC236}">
              <a16:creationId xmlns:a16="http://schemas.microsoft.com/office/drawing/2014/main" id="{40A66884-C4BB-4CF8-B9E2-C96C88E07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30677</xdr:colOff>
      <xdr:row>24</xdr:row>
      <xdr:rowOff>154137</xdr:rowOff>
    </xdr:from>
    <xdr:to>
      <xdr:col>22</xdr:col>
      <xdr:colOff>109023</xdr:colOff>
      <xdr:row>31</xdr:row>
      <xdr:rowOff>127803</xdr:rowOff>
    </xdr:to>
    <xdr:graphicFrame macro="">
      <xdr:nvGraphicFramePr>
        <xdr:cNvPr id="17" name="Chart 16">
          <a:extLst>
            <a:ext uri="{FF2B5EF4-FFF2-40B4-BE49-F238E27FC236}">
              <a16:creationId xmlns:a16="http://schemas.microsoft.com/office/drawing/2014/main" id="{54A04E9F-1D5F-4B1B-BA8C-0AD9CEEE3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61691</xdr:colOff>
      <xdr:row>23</xdr:row>
      <xdr:rowOff>70365</xdr:rowOff>
    </xdr:from>
    <xdr:to>
      <xdr:col>16</xdr:col>
      <xdr:colOff>567659</xdr:colOff>
      <xdr:row>33</xdr:row>
      <xdr:rowOff>38100</xdr:rowOff>
    </xdr:to>
    <xdr:graphicFrame macro="">
      <xdr:nvGraphicFramePr>
        <xdr:cNvPr id="19" name="Chart 18">
          <a:extLst>
            <a:ext uri="{FF2B5EF4-FFF2-40B4-BE49-F238E27FC236}">
              <a16:creationId xmlns:a16="http://schemas.microsoft.com/office/drawing/2014/main" id="{52F88B56-3481-4E42-8218-A7CDA3B70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91440</xdr:colOff>
      <xdr:row>9</xdr:row>
      <xdr:rowOff>114300</xdr:rowOff>
    </xdr:from>
    <xdr:to>
      <xdr:col>21</xdr:col>
      <xdr:colOff>395512</xdr:colOff>
      <xdr:row>19</xdr:row>
      <xdr:rowOff>159142</xdr:rowOff>
    </xdr:to>
    <xdr:graphicFrame macro="">
      <xdr:nvGraphicFramePr>
        <xdr:cNvPr id="20" name="Chart 19">
          <a:extLst>
            <a:ext uri="{FF2B5EF4-FFF2-40B4-BE49-F238E27FC236}">
              <a16:creationId xmlns:a16="http://schemas.microsoft.com/office/drawing/2014/main" id="{C5786719-F1F3-40DA-B968-FE8AB2235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34290</xdr:colOff>
      <xdr:row>4</xdr:row>
      <xdr:rowOff>99060</xdr:rowOff>
    </xdr:from>
    <xdr:to>
      <xdr:col>16</xdr:col>
      <xdr:colOff>26670</xdr:colOff>
      <xdr:row>8</xdr:row>
      <xdr:rowOff>38100</xdr:rowOff>
    </xdr:to>
    <xdr:sp macro="" textlink="Processing!P1">
      <xdr:nvSpPr>
        <xdr:cNvPr id="21" name="TextBox 20">
          <a:extLst>
            <a:ext uri="{FF2B5EF4-FFF2-40B4-BE49-F238E27FC236}">
              <a16:creationId xmlns:a16="http://schemas.microsoft.com/office/drawing/2014/main" id="{AE8AEC92-7ABC-8F40-4BDB-D9AA264E0FCD}"/>
            </a:ext>
          </a:extLst>
        </xdr:cNvPr>
        <xdr:cNvSpPr txBox="1"/>
      </xdr:nvSpPr>
      <xdr:spPr>
        <a:xfrm>
          <a:off x="4911090" y="830580"/>
          <a:ext cx="4869180" cy="67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AFA7E3-D982-4DCE-8311-24F164F1C349}" type="TxLink">
            <a:rPr lang="en-US" sz="2800" b="0" i="0" u="none" strike="noStrike">
              <a:solidFill>
                <a:schemeClr val="bg1"/>
              </a:solidFill>
              <a:latin typeface="Aptos Narrow"/>
            </a:rPr>
            <a:pPr algn="ctr"/>
            <a:t>Sales Profitability Dashboard</a:t>
          </a:fld>
          <a:endParaRPr lang="ru-RU" sz="2800">
            <a:solidFill>
              <a:schemeClr val="bg1"/>
            </a:solidFill>
          </a:endParaRPr>
        </a:p>
      </xdr:txBody>
    </xdr:sp>
    <xdr:clientData/>
  </xdr:twoCellAnchor>
  <xdr:twoCellAnchor>
    <xdr:from>
      <xdr:col>12</xdr:col>
      <xdr:colOff>411480</xdr:colOff>
      <xdr:row>10</xdr:row>
      <xdr:rowOff>45720</xdr:rowOff>
    </xdr:from>
    <xdr:to>
      <xdr:col>15</xdr:col>
      <xdr:colOff>0</xdr:colOff>
      <xdr:row>12</xdr:row>
      <xdr:rowOff>7620</xdr:rowOff>
    </xdr:to>
    <xdr:sp macro="" textlink="Processing!B1">
      <xdr:nvSpPr>
        <xdr:cNvPr id="22" name="TextBox 21">
          <a:extLst>
            <a:ext uri="{FF2B5EF4-FFF2-40B4-BE49-F238E27FC236}">
              <a16:creationId xmlns:a16="http://schemas.microsoft.com/office/drawing/2014/main" id="{CDAE3876-2B1B-3083-70EB-ED30056E2643}"/>
            </a:ext>
          </a:extLst>
        </xdr:cNvPr>
        <xdr:cNvSpPr txBox="1"/>
      </xdr:nvSpPr>
      <xdr:spPr>
        <a:xfrm>
          <a:off x="7726680" y="187452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EBDB900-EE2F-4AA6-B860-CDEF06AE6B57}" type="TxLink">
            <a:rPr lang="en-US" sz="1400" b="0" i="0" u="none" strike="noStrike">
              <a:solidFill>
                <a:schemeClr val="bg1"/>
              </a:solidFill>
              <a:latin typeface="Aptos Narrow"/>
            </a:rPr>
            <a:pPr algn="l"/>
            <a:t>Investments</a:t>
          </a:fld>
          <a:endParaRPr lang="ru-RU" sz="3600">
            <a:solidFill>
              <a:schemeClr val="bg1"/>
            </a:solidFill>
          </a:endParaRPr>
        </a:p>
      </xdr:txBody>
    </xdr:sp>
    <xdr:clientData/>
  </xdr:twoCellAnchor>
  <xdr:twoCellAnchor>
    <xdr:from>
      <xdr:col>12</xdr:col>
      <xdr:colOff>411480</xdr:colOff>
      <xdr:row>14</xdr:row>
      <xdr:rowOff>30480</xdr:rowOff>
    </xdr:from>
    <xdr:to>
      <xdr:col>15</xdr:col>
      <xdr:colOff>114300</xdr:colOff>
      <xdr:row>15</xdr:row>
      <xdr:rowOff>175260</xdr:rowOff>
    </xdr:to>
    <xdr:sp macro="" textlink="Processing!C1">
      <xdr:nvSpPr>
        <xdr:cNvPr id="23" name="TextBox 22">
          <a:extLst>
            <a:ext uri="{FF2B5EF4-FFF2-40B4-BE49-F238E27FC236}">
              <a16:creationId xmlns:a16="http://schemas.microsoft.com/office/drawing/2014/main" id="{687C700A-FAB9-4672-D1E6-095242D8147F}"/>
            </a:ext>
          </a:extLst>
        </xdr:cNvPr>
        <xdr:cNvSpPr txBox="1"/>
      </xdr:nvSpPr>
      <xdr:spPr>
        <a:xfrm>
          <a:off x="7726680" y="259080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F79593B-4C91-4E5C-A7F9-01D05C8FA786}" type="TxLink">
            <a:rPr lang="en-US" sz="1400" b="0" i="0" u="none" strike="noStrike">
              <a:solidFill>
                <a:schemeClr val="bg1"/>
              </a:solidFill>
              <a:latin typeface="Aptos Narrow"/>
              <a:ea typeface="+mn-ea"/>
              <a:cs typeface="+mn-cs"/>
            </a:rPr>
            <a:pPr marL="0" indent="0" algn="l"/>
            <a:t>Sales Volume</a:t>
          </a:fld>
          <a:endParaRPr lang="ru-RU" sz="1400" b="0" i="0" u="none" strike="noStrike">
            <a:solidFill>
              <a:schemeClr val="bg1"/>
            </a:solidFill>
            <a:latin typeface="Aptos Narrow"/>
            <a:ea typeface="+mn-ea"/>
            <a:cs typeface="+mn-cs"/>
          </a:endParaRPr>
        </a:p>
      </xdr:txBody>
    </xdr:sp>
    <xdr:clientData/>
  </xdr:twoCellAnchor>
  <xdr:twoCellAnchor>
    <xdr:from>
      <xdr:col>17</xdr:col>
      <xdr:colOff>68580</xdr:colOff>
      <xdr:row>9</xdr:row>
      <xdr:rowOff>53340</xdr:rowOff>
    </xdr:from>
    <xdr:to>
      <xdr:col>18</xdr:col>
      <xdr:colOff>160020</xdr:colOff>
      <xdr:row>11</xdr:row>
      <xdr:rowOff>15240</xdr:rowOff>
    </xdr:to>
    <xdr:sp macro="" textlink="Processing!J20">
      <xdr:nvSpPr>
        <xdr:cNvPr id="24" name="TextBox 23">
          <a:extLst>
            <a:ext uri="{FF2B5EF4-FFF2-40B4-BE49-F238E27FC236}">
              <a16:creationId xmlns:a16="http://schemas.microsoft.com/office/drawing/2014/main" id="{B11765AE-4286-7B72-F625-991CE2F6DC6E}"/>
            </a:ext>
          </a:extLst>
        </xdr:cNvPr>
        <xdr:cNvSpPr txBox="1"/>
      </xdr:nvSpPr>
      <xdr:spPr>
        <a:xfrm>
          <a:off x="10431780" y="169926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5EC9B3-2A4A-4AC1-9873-86C91B8549DF}" type="TxLink">
            <a:rPr lang="en-US" sz="1800" b="0" i="0" u="none" strike="noStrike">
              <a:solidFill>
                <a:srgbClr val="A2ADBE"/>
              </a:solidFill>
              <a:latin typeface="Aptos Narrow"/>
              <a:ea typeface="+mn-ea"/>
              <a:cs typeface="+mn-cs"/>
            </a:rPr>
            <a:pPr marL="0" indent="0"/>
            <a:t>ROI</a:t>
          </a:fld>
          <a:endParaRPr lang="ru-RU" sz="1800" b="0" i="0" u="none" strike="noStrike">
            <a:solidFill>
              <a:srgbClr val="A2ADBE"/>
            </a:solidFill>
            <a:latin typeface="Aptos Narrow"/>
            <a:ea typeface="+mn-ea"/>
            <a:cs typeface="+mn-cs"/>
          </a:endParaRPr>
        </a:p>
      </xdr:txBody>
    </xdr:sp>
    <xdr:clientData/>
  </xdr:twoCellAnchor>
  <xdr:twoCellAnchor>
    <xdr:from>
      <xdr:col>17</xdr:col>
      <xdr:colOff>45720</xdr:colOff>
      <xdr:row>16</xdr:row>
      <xdr:rowOff>83820</xdr:rowOff>
    </xdr:from>
    <xdr:to>
      <xdr:col>18</xdr:col>
      <xdr:colOff>137160</xdr:colOff>
      <xdr:row>18</xdr:row>
      <xdr:rowOff>45720</xdr:rowOff>
    </xdr:to>
    <xdr:sp macro="" textlink="Processing!J24">
      <xdr:nvSpPr>
        <xdr:cNvPr id="25" name="TextBox 24">
          <a:extLst>
            <a:ext uri="{FF2B5EF4-FFF2-40B4-BE49-F238E27FC236}">
              <a16:creationId xmlns:a16="http://schemas.microsoft.com/office/drawing/2014/main" id="{5ACFE627-D970-BBCC-1934-4E58DBD87151}"/>
            </a:ext>
          </a:extLst>
        </xdr:cNvPr>
        <xdr:cNvSpPr txBox="1"/>
      </xdr:nvSpPr>
      <xdr:spPr>
        <a:xfrm>
          <a:off x="10408920" y="300990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75CC82-02FE-4122-8891-3041361035D0}" type="TxLink">
            <a:rPr lang="en-US" sz="1800" b="0" i="0" u="none" strike="noStrike">
              <a:solidFill>
                <a:srgbClr val="A2ADBE"/>
              </a:solidFill>
              <a:latin typeface="Aptos Narrow"/>
              <a:ea typeface="+mn-ea"/>
              <a:cs typeface="+mn-cs"/>
            </a:rPr>
            <a:pPr marL="0" indent="0"/>
            <a:t>Profit</a:t>
          </a:fld>
          <a:endParaRPr lang="ru-RU" sz="1800" b="0" i="0" u="none" strike="noStrike">
            <a:solidFill>
              <a:srgbClr val="A2ADBE"/>
            </a:solidFill>
            <a:latin typeface="Aptos Narrow"/>
            <a:ea typeface="+mn-ea"/>
            <a:cs typeface="+mn-cs"/>
          </a:endParaRPr>
        </a:p>
      </xdr:txBody>
    </xdr:sp>
    <xdr:clientData/>
  </xdr:twoCellAnchor>
  <xdr:twoCellAnchor>
    <xdr:from>
      <xdr:col>19</xdr:col>
      <xdr:colOff>82098</xdr:colOff>
      <xdr:row>13</xdr:row>
      <xdr:rowOff>125616</xdr:rowOff>
    </xdr:from>
    <xdr:to>
      <xdr:col>20</xdr:col>
      <xdr:colOff>405582</xdr:colOff>
      <xdr:row>15</xdr:row>
      <xdr:rowOff>156325</xdr:rowOff>
    </xdr:to>
    <xdr:sp macro="" textlink="Processing!K20">
      <xdr:nvSpPr>
        <xdr:cNvPr id="27" name="TextBox 26">
          <a:extLst>
            <a:ext uri="{FF2B5EF4-FFF2-40B4-BE49-F238E27FC236}">
              <a16:creationId xmlns:a16="http://schemas.microsoft.com/office/drawing/2014/main" id="{D29E4F4D-9838-CD47-2B03-8A82AFD48B73}"/>
            </a:ext>
          </a:extLst>
        </xdr:cNvPr>
        <xdr:cNvSpPr txBox="1"/>
      </xdr:nvSpPr>
      <xdr:spPr>
        <a:xfrm>
          <a:off x="11664498" y="2503056"/>
          <a:ext cx="93308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DB45C4-5730-4E15-A21C-6CDCEBC2E35C}" type="TxLink">
            <a:rPr lang="en-US" sz="2400" b="0" i="0" u="none" strike="noStrike">
              <a:solidFill>
                <a:schemeClr val="bg1"/>
              </a:solidFill>
              <a:latin typeface="Aptos Narrow"/>
              <a:ea typeface="+mn-ea"/>
              <a:cs typeface="+mn-cs"/>
            </a:rPr>
            <a:pPr marL="0" indent="0" algn="ctr"/>
            <a:t>40%</a:t>
          </a:fld>
          <a:endParaRPr lang="ru-RU" sz="6600" b="0" i="0" u="none" strike="noStrike">
            <a:solidFill>
              <a:schemeClr val="bg1"/>
            </a:solidFill>
            <a:latin typeface="Aptos Narrow"/>
            <a:ea typeface="+mn-ea"/>
            <a:cs typeface="+mn-cs"/>
          </a:endParaRPr>
        </a:p>
      </xdr:txBody>
    </xdr:sp>
    <xdr:clientData/>
  </xdr:twoCellAnchor>
  <xdr:twoCellAnchor>
    <xdr:from>
      <xdr:col>2</xdr:col>
      <xdr:colOff>339090</xdr:colOff>
      <xdr:row>8</xdr:row>
      <xdr:rowOff>15240</xdr:rowOff>
    </xdr:from>
    <xdr:to>
      <xdr:col>10</xdr:col>
      <xdr:colOff>331470</xdr:colOff>
      <xdr:row>10</xdr:row>
      <xdr:rowOff>60960</xdr:rowOff>
    </xdr:to>
    <xdr:sp macro="" textlink="Processing!A1">
      <xdr:nvSpPr>
        <xdr:cNvPr id="28" name="TextBox 27">
          <a:extLst>
            <a:ext uri="{FF2B5EF4-FFF2-40B4-BE49-F238E27FC236}">
              <a16:creationId xmlns:a16="http://schemas.microsoft.com/office/drawing/2014/main" id="{4084AEF8-278F-8338-070E-F898F3FE6373}"/>
            </a:ext>
          </a:extLst>
        </xdr:cNvPr>
        <xdr:cNvSpPr txBox="1"/>
      </xdr:nvSpPr>
      <xdr:spPr>
        <a:xfrm>
          <a:off x="1558290" y="1478280"/>
          <a:ext cx="48691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4459621-2277-4489-9B6A-52BACD32B2C4}" type="TxLink">
            <a:rPr lang="en-US" sz="2000" b="0" i="0" u="none" strike="noStrike">
              <a:solidFill>
                <a:srgbClr val="A2ADBE"/>
              </a:solidFill>
              <a:latin typeface="Aptos Narrow"/>
              <a:ea typeface="+mn-ea"/>
              <a:cs typeface="+mn-cs"/>
            </a:rPr>
            <a:pPr marL="0" indent="0" algn="l"/>
            <a:t>Investments vs Sales Volume</a:t>
          </a:fld>
          <a:endParaRPr lang="ru-RU" sz="2000" b="0" i="0" u="none" strike="noStrike">
            <a:solidFill>
              <a:srgbClr val="A2ADBE"/>
            </a:solidFill>
            <a:latin typeface="Aptos Narrow"/>
            <a:ea typeface="+mn-ea"/>
            <a:cs typeface="+mn-cs"/>
          </a:endParaRPr>
        </a:p>
      </xdr:txBody>
    </xdr:sp>
    <xdr:clientData/>
  </xdr:twoCellAnchor>
  <xdr:twoCellAnchor>
    <xdr:from>
      <xdr:col>3</xdr:col>
      <xdr:colOff>30480</xdr:colOff>
      <xdr:row>11</xdr:row>
      <xdr:rowOff>53340</xdr:rowOff>
    </xdr:from>
    <xdr:to>
      <xdr:col>5</xdr:col>
      <xdr:colOff>228600</xdr:colOff>
      <xdr:row>13</xdr:row>
      <xdr:rowOff>15240</xdr:rowOff>
    </xdr:to>
    <xdr:sp macro="" textlink="Processing!B1">
      <xdr:nvSpPr>
        <xdr:cNvPr id="29" name="TextBox 28">
          <a:extLst>
            <a:ext uri="{FF2B5EF4-FFF2-40B4-BE49-F238E27FC236}">
              <a16:creationId xmlns:a16="http://schemas.microsoft.com/office/drawing/2014/main" id="{21B7698A-7BBB-82D5-ADA9-F10F667420E7}"/>
            </a:ext>
          </a:extLst>
        </xdr:cNvPr>
        <xdr:cNvSpPr txBox="1"/>
      </xdr:nvSpPr>
      <xdr:spPr>
        <a:xfrm>
          <a:off x="1859280" y="206502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BDB900-EE2F-4AA6-B860-CDEF06AE6B57}" type="TxLink">
            <a:rPr lang="en-US" sz="1400" b="0" i="0" u="none" strike="noStrike">
              <a:gradFill>
                <a:gsLst>
                  <a:gs pos="0">
                    <a:srgbClr val="F17EEC"/>
                  </a:gs>
                  <a:gs pos="100000">
                    <a:srgbClr val="EE0078"/>
                  </a:gs>
                </a:gsLst>
                <a:lin ang="5400000" scaled="0"/>
              </a:gradFill>
              <a:latin typeface="Aptos Narrow"/>
            </a:rPr>
            <a:pPr/>
            <a:t>Investments</a:t>
          </a:fld>
          <a:endParaRPr lang="ru-RU" sz="3600">
            <a:gradFill>
              <a:gsLst>
                <a:gs pos="0">
                  <a:srgbClr val="F17EEC"/>
                </a:gs>
                <a:gs pos="100000">
                  <a:srgbClr val="EE0078"/>
                </a:gs>
              </a:gsLst>
              <a:lin ang="5400000" scaled="0"/>
            </a:gradFill>
          </a:endParaRPr>
        </a:p>
      </xdr:txBody>
    </xdr:sp>
    <xdr:clientData/>
  </xdr:twoCellAnchor>
  <xdr:twoCellAnchor>
    <xdr:from>
      <xdr:col>7</xdr:col>
      <xdr:colOff>281940</xdr:colOff>
      <xdr:row>11</xdr:row>
      <xdr:rowOff>53340</xdr:rowOff>
    </xdr:from>
    <xdr:to>
      <xdr:col>9</xdr:col>
      <xdr:colOff>594360</xdr:colOff>
      <xdr:row>13</xdr:row>
      <xdr:rowOff>15240</xdr:rowOff>
    </xdr:to>
    <xdr:sp macro="" textlink="Processing!C1">
      <xdr:nvSpPr>
        <xdr:cNvPr id="30" name="TextBox 29">
          <a:extLst>
            <a:ext uri="{FF2B5EF4-FFF2-40B4-BE49-F238E27FC236}">
              <a16:creationId xmlns:a16="http://schemas.microsoft.com/office/drawing/2014/main" id="{128AD9BE-3CC6-318E-2A15-4AB0D23FC36F}"/>
            </a:ext>
          </a:extLst>
        </xdr:cNvPr>
        <xdr:cNvSpPr txBox="1"/>
      </xdr:nvSpPr>
      <xdr:spPr>
        <a:xfrm>
          <a:off x="4549140" y="206502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F79593B-4C91-4E5C-A7F9-01D05C8FA786}" type="TxLink">
            <a:rPr lang="en-US" sz="1400" b="0" i="0" u="none" strike="noStrike">
              <a:gradFill>
                <a:gsLst>
                  <a:gs pos="33000">
                    <a:srgbClr val="00C6D1"/>
                  </a:gs>
                  <a:gs pos="100000">
                    <a:srgbClr val="F2ECFF"/>
                  </a:gs>
                </a:gsLst>
                <a:lin ang="5400000" scaled="1"/>
              </a:gradFill>
              <a:latin typeface="Aptos Narrow"/>
              <a:ea typeface="+mn-ea"/>
              <a:cs typeface="+mn-cs"/>
            </a:rPr>
            <a:pPr marL="0" indent="0"/>
            <a:t>Sales Volume</a:t>
          </a:fld>
          <a:endParaRPr lang="ru-RU" sz="1400" b="0" i="0" u="none" strike="noStrike">
            <a:gradFill>
              <a:gsLst>
                <a:gs pos="33000">
                  <a:srgbClr val="00C6D1"/>
                </a:gs>
                <a:gs pos="100000">
                  <a:srgbClr val="F2ECFF"/>
                </a:gs>
              </a:gsLst>
              <a:lin ang="5400000" scaled="1"/>
            </a:gradFill>
            <a:latin typeface="Aptos Narrow"/>
            <a:ea typeface="+mn-ea"/>
            <a:cs typeface="+mn-cs"/>
          </a:endParaRPr>
        </a:p>
      </xdr:txBody>
    </xdr:sp>
    <xdr:clientData/>
  </xdr:twoCellAnchor>
  <xdr:twoCellAnchor>
    <xdr:from>
      <xdr:col>2</xdr:col>
      <xdr:colOff>533400</xdr:colOff>
      <xdr:row>11</xdr:row>
      <xdr:rowOff>144780</xdr:rowOff>
    </xdr:from>
    <xdr:to>
      <xdr:col>3</xdr:col>
      <xdr:colOff>42672</xdr:colOff>
      <xdr:row>12</xdr:row>
      <xdr:rowOff>80772</xdr:rowOff>
    </xdr:to>
    <xdr:sp macro="" textlink="">
      <xdr:nvSpPr>
        <xdr:cNvPr id="31" name="Oval 30">
          <a:extLst>
            <a:ext uri="{FF2B5EF4-FFF2-40B4-BE49-F238E27FC236}">
              <a16:creationId xmlns:a16="http://schemas.microsoft.com/office/drawing/2014/main" id="{C9F6B6B9-BB23-0AE4-D0D6-FB9F6B18BABC}"/>
            </a:ext>
          </a:extLst>
        </xdr:cNvPr>
        <xdr:cNvSpPr/>
      </xdr:nvSpPr>
      <xdr:spPr>
        <a:xfrm>
          <a:off x="1752600" y="2156460"/>
          <a:ext cx="118872" cy="118872"/>
        </a:xfrm>
        <a:prstGeom prst="ellipse">
          <a:avLst/>
        </a:prstGeom>
        <a:gradFill flip="none" rotWithShape="1">
          <a:gsLst>
            <a:gs pos="6000">
              <a:srgbClr val="F17EEC"/>
            </a:gs>
            <a:gs pos="100000">
              <a:srgbClr val="EE0078"/>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160020</xdr:colOff>
      <xdr:row>11</xdr:row>
      <xdr:rowOff>144780</xdr:rowOff>
    </xdr:from>
    <xdr:to>
      <xdr:col>7</xdr:col>
      <xdr:colOff>278892</xdr:colOff>
      <xdr:row>12</xdr:row>
      <xdr:rowOff>80772</xdr:rowOff>
    </xdr:to>
    <xdr:sp macro="" textlink="">
      <xdr:nvSpPr>
        <xdr:cNvPr id="32" name="Oval 31">
          <a:extLst>
            <a:ext uri="{FF2B5EF4-FFF2-40B4-BE49-F238E27FC236}">
              <a16:creationId xmlns:a16="http://schemas.microsoft.com/office/drawing/2014/main" id="{EF4111B6-D41F-6E43-344C-74FD07D6F407}"/>
            </a:ext>
          </a:extLst>
        </xdr:cNvPr>
        <xdr:cNvSpPr/>
      </xdr:nvSpPr>
      <xdr:spPr>
        <a:xfrm>
          <a:off x="4427220" y="2156460"/>
          <a:ext cx="118872" cy="118872"/>
        </a:xfrm>
        <a:prstGeom prst="ellipse">
          <a:avLst/>
        </a:prstGeom>
        <a:gradFill>
          <a:gsLst>
            <a:gs pos="33000">
              <a:srgbClr val="00C6D1"/>
            </a:gs>
            <a:gs pos="100000">
              <a:srgbClr val="F2ECFF"/>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2</xdr:col>
      <xdr:colOff>361950</xdr:colOff>
      <xdr:row>4</xdr:row>
      <xdr:rowOff>175261</xdr:rowOff>
    </xdr:from>
    <xdr:to>
      <xdr:col>5</xdr:col>
      <xdr:colOff>361950</xdr:colOff>
      <xdr:row>6</xdr:row>
      <xdr:rowOff>180975</xdr:rowOff>
    </xdr:to>
    <mc:AlternateContent xmlns:mc="http://schemas.openxmlformats.org/markup-compatibility/2006" xmlns:a14="http://schemas.microsoft.com/office/drawing/2010/main">
      <mc:Choice Requires="a14">
        <xdr:graphicFrame macro="">
          <xdr:nvGraphicFramePr>
            <xdr:cNvPr id="33" name="Year">
              <a:extLst>
                <a:ext uri="{FF2B5EF4-FFF2-40B4-BE49-F238E27FC236}">
                  <a16:creationId xmlns:a16="http://schemas.microsoft.com/office/drawing/2014/main" id="{81E97C2B-7BBB-40CF-82DF-708601F6E56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81150" y="906781"/>
              <a:ext cx="1828800" cy="4648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304800</xdr:colOff>
      <xdr:row>30</xdr:row>
      <xdr:rowOff>91440</xdr:rowOff>
    </xdr:from>
    <xdr:to>
      <xdr:col>11</xdr:col>
      <xdr:colOff>396240</xdr:colOff>
      <xdr:row>32</xdr:row>
      <xdr:rowOff>155448</xdr:rowOff>
    </xdr:to>
    <mc:AlternateContent xmlns:mc="http://schemas.openxmlformats.org/markup-compatibility/2006" xmlns:a14="http://schemas.microsoft.com/office/drawing/2010/main">
      <mc:Choice Requires="a14">
        <xdr:graphicFrame macro="">
          <xdr:nvGraphicFramePr>
            <xdr:cNvPr id="34" name="Month">
              <a:extLst>
                <a:ext uri="{FF2B5EF4-FFF2-40B4-BE49-F238E27FC236}">
                  <a16:creationId xmlns:a16="http://schemas.microsoft.com/office/drawing/2014/main" id="{56E88221-65A7-4EA5-97FE-B36327FC4F0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24000" y="5577840"/>
              <a:ext cx="55778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327660</xdr:colOff>
      <xdr:row>5</xdr:row>
      <xdr:rowOff>0</xdr:rowOff>
    </xdr:from>
    <xdr:to>
      <xdr:col>19</xdr:col>
      <xdr:colOff>525780</xdr:colOff>
      <xdr:row>6</xdr:row>
      <xdr:rowOff>144780</xdr:rowOff>
    </xdr:to>
    <xdr:sp macro="" textlink="Processing!P3">
      <xdr:nvSpPr>
        <xdr:cNvPr id="35" name="TextBox 34">
          <a:extLst>
            <a:ext uri="{FF2B5EF4-FFF2-40B4-BE49-F238E27FC236}">
              <a16:creationId xmlns:a16="http://schemas.microsoft.com/office/drawing/2014/main" id="{230D986B-969A-C592-BE8F-145A979E0486}"/>
            </a:ext>
          </a:extLst>
        </xdr:cNvPr>
        <xdr:cNvSpPr txBox="1"/>
      </xdr:nvSpPr>
      <xdr:spPr>
        <a:xfrm>
          <a:off x="10690860" y="91440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4BF34E8-F5F7-4FD4-B740-151B677084AF}" type="TxLink">
            <a:rPr lang="en-US" sz="1800" b="0" i="0" u="none" strike="noStrike">
              <a:solidFill>
                <a:schemeClr val="bg1"/>
              </a:solidFill>
              <a:latin typeface="Aptos Narrow"/>
              <a:ea typeface="+mn-ea"/>
              <a:cs typeface="+mn-cs"/>
            </a:rPr>
            <a:pPr marL="0" indent="0" algn="ctr"/>
            <a:t>JANUARY</a:t>
          </a:fld>
          <a:endParaRPr lang="ru-RU" sz="1800" b="0" i="0" u="none" strike="noStrike">
            <a:solidFill>
              <a:schemeClr val="bg1"/>
            </a:solidFill>
            <a:latin typeface="Aptos Narrow"/>
            <a:ea typeface="+mn-ea"/>
            <a:cs typeface="+mn-cs"/>
          </a:endParaRPr>
        </a:p>
      </xdr:txBody>
    </xdr:sp>
    <xdr:clientData/>
  </xdr:twoCellAnchor>
  <xdr:twoCellAnchor>
    <xdr:from>
      <xdr:col>20</xdr:col>
      <xdr:colOff>30480</xdr:colOff>
      <xdr:row>5</xdr:row>
      <xdr:rowOff>0</xdr:rowOff>
    </xdr:from>
    <xdr:to>
      <xdr:col>21</xdr:col>
      <xdr:colOff>152400</xdr:colOff>
      <xdr:row>6</xdr:row>
      <xdr:rowOff>144780</xdr:rowOff>
    </xdr:to>
    <xdr:sp macro="" textlink="Processing!Q3">
      <xdr:nvSpPr>
        <xdr:cNvPr id="36" name="TextBox 35">
          <a:extLst>
            <a:ext uri="{FF2B5EF4-FFF2-40B4-BE49-F238E27FC236}">
              <a16:creationId xmlns:a16="http://schemas.microsoft.com/office/drawing/2014/main" id="{DB381B98-BD67-1121-29F5-18CC8D4B9162}"/>
            </a:ext>
          </a:extLst>
        </xdr:cNvPr>
        <xdr:cNvSpPr txBox="1"/>
      </xdr:nvSpPr>
      <xdr:spPr>
        <a:xfrm>
          <a:off x="12222480" y="914400"/>
          <a:ext cx="7315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1DB63C7-1528-4BD2-A1EF-C64AF007758D}" type="TxLink">
            <a:rPr lang="en-US" sz="1800" b="0" i="0" u="none" strike="noStrike">
              <a:solidFill>
                <a:schemeClr val="bg1"/>
              </a:solidFill>
              <a:latin typeface="Aptos Narrow"/>
              <a:ea typeface="+mn-ea"/>
              <a:cs typeface="+mn-cs"/>
            </a:rPr>
            <a:pPr marL="0" indent="0" algn="l"/>
            <a:t>2024</a:t>
          </a:fld>
          <a:endParaRPr lang="ru-RU" sz="1800" b="0" i="0" u="none" strike="noStrike">
            <a:solidFill>
              <a:schemeClr val="bg1"/>
            </a:solidFill>
            <a:latin typeface="Aptos Narrow"/>
            <a:ea typeface="+mn-ea"/>
            <a:cs typeface="+mn-cs"/>
          </a:endParaRPr>
        </a:p>
      </xdr:txBody>
    </xdr:sp>
    <xdr:clientData/>
  </xdr:twoCellAnchor>
  <xdr:twoCellAnchor>
    <xdr:from>
      <xdr:col>4</xdr:col>
      <xdr:colOff>480060</xdr:colOff>
      <xdr:row>11</xdr:row>
      <xdr:rowOff>53340</xdr:rowOff>
    </xdr:from>
    <xdr:to>
      <xdr:col>7</xdr:col>
      <xdr:colOff>68580</xdr:colOff>
      <xdr:row>13</xdr:row>
      <xdr:rowOff>15240</xdr:rowOff>
    </xdr:to>
    <xdr:sp macro="" textlink="Processing!B14">
      <xdr:nvSpPr>
        <xdr:cNvPr id="37" name="TextBox 36">
          <a:extLst>
            <a:ext uri="{FF2B5EF4-FFF2-40B4-BE49-F238E27FC236}">
              <a16:creationId xmlns:a16="http://schemas.microsoft.com/office/drawing/2014/main" id="{C6FB6315-E9E5-9C46-22AE-848591991797}"/>
            </a:ext>
          </a:extLst>
        </xdr:cNvPr>
        <xdr:cNvSpPr txBox="1"/>
      </xdr:nvSpPr>
      <xdr:spPr>
        <a:xfrm>
          <a:off x="2918460" y="206502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6439A9-B9CB-4FFD-8272-542CD56BA126}" type="TxLink">
            <a:rPr lang="en-US" sz="1800" b="0" i="0" u="none" strike="noStrike">
              <a:solidFill>
                <a:schemeClr val="bg1"/>
              </a:solidFill>
              <a:latin typeface="Aptos Narrow"/>
            </a:rPr>
            <a:pPr/>
            <a:t> $28,026 </a:t>
          </a:fld>
          <a:endParaRPr lang="ru-RU" sz="5400">
            <a:solidFill>
              <a:schemeClr val="bg1"/>
            </a:solidFill>
          </a:endParaRPr>
        </a:p>
      </xdr:txBody>
    </xdr:sp>
    <xdr:clientData/>
  </xdr:twoCellAnchor>
  <xdr:twoCellAnchor>
    <xdr:from>
      <xdr:col>9</xdr:col>
      <xdr:colOff>182880</xdr:colOff>
      <xdr:row>11</xdr:row>
      <xdr:rowOff>53340</xdr:rowOff>
    </xdr:from>
    <xdr:to>
      <xdr:col>11</xdr:col>
      <xdr:colOff>495300</xdr:colOff>
      <xdr:row>13</xdr:row>
      <xdr:rowOff>15240</xdr:rowOff>
    </xdr:to>
    <xdr:sp macro="" textlink="Processing!C14">
      <xdr:nvSpPr>
        <xdr:cNvPr id="38" name="TextBox 37">
          <a:extLst>
            <a:ext uri="{FF2B5EF4-FFF2-40B4-BE49-F238E27FC236}">
              <a16:creationId xmlns:a16="http://schemas.microsoft.com/office/drawing/2014/main" id="{3314E56A-71D9-070A-BFD0-B9EF2EFED49F}"/>
            </a:ext>
          </a:extLst>
        </xdr:cNvPr>
        <xdr:cNvSpPr txBox="1"/>
      </xdr:nvSpPr>
      <xdr:spPr>
        <a:xfrm>
          <a:off x="5669280" y="206502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14B0A2D-F709-4464-8B49-818C8EA63014}" type="TxLink">
            <a:rPr lang="en-US" sz="1800" b="0" i="0" u="none" strike="noStrike">
              <a:solidFill>
                <a:schemeClr val="bg1"/>
              </a:solidFill>
              <a:latin typeface="Aptos Narrow"/>
              <a:ea typeface="+mn-ea"/>
              <a:cs typeface="+mn-cs"/>
            </a:rPr>
            <a:pPr marL="0" indent="0"/>
            <a:t> $33,543 </a:t>
          </a:fld>
          <a:endParaRPr lang="ru-RU" sz="2400" b="0" i="0" u="none" strike="noStrike">
            <a:solidFill>
              <a:schemeClr val="bg1"/>
            </a:solidFill>
            <a:latin typeface="Aptos Narrow"/>
            <a:ea typeface="+mn-ea"/>
            <a:cs typeface="+mn-cs"/>
          </a:endParaRPr>
        </a:p>
      </xdr:txBody>
    </xdr:sp>
    <xdr:clientData/>
  </xdr:twoCellAnchor>
  <xdr:twoCellAnchor>
    <xdr:from>
      <xdr:col>12</xdr:col>
      <xdr:colOff>304800</xdr:colOff>
      <xdr:row>15</xdr:row>
      <xdr:rowOff>160020</xdr:rowOff>
    </xdr:from>
    <xdr:to>
      <xdr:col>15</xdr:col>
      <xdr:colOff>121920</xdr:colOff>
      <xdr:row>17</xdr:row>
      <xdr:rowOff>121920</xdr:rowOff>
    </xdr:to>
    <xdr:sp macro="" textlink="Processing!C14">
      <xdr:nvSpPr>
        <xdr:cNvPr id="39" name="TextBox 38">
          <a:extLst>
            <a:ext uri="{FF2B5EF4-FFF2-40B4-BE49-F238E27FC236}">
              <a16:creationId xmlns:a16="http://schemas.microsoft.com/office/drawing/2014/main" id="{5FC75FF8-574E-497A-0EE5-3EA5DCBA6740}"/>
            </a:ext>
          </a:extLst>
        </xdr:cNvPr>
        <xdr:cNvSpPr txBox="1"/>
      </xdr:nvSpPr>
      <xdr:spPr>
        <a:xfrm>
          <a:off x="7620000" y="290322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77A68F2-9086-49F9-A77A-937410EA236B}" type="TxLink">
            <a:rPr lang="en-US" sz="2400" b="0" i="0" u="none" strike="noStrike">
              <a:solidFill>
                <a:schemeClr val="bg1"/>
              </a:solidFill>
              <a:latin typeface="Aptos Narrow"/>
              <a:ea typeface="+mn-ea"/>
              <a:cs typeface="+mn-cs"/>
            </a:rPr>
            <a:pPr marL="0" indent="0" algn="l"/>
            <a:t> $33,543 </a:t>
          </a:fld>
          <a:endParaRPr lang="ru-RU" sz="2400" b="0" i="0" u="none" strike="noStrike">
            <a:solidFill>
              <a:schemeClr val="bg1"/>
            </a:solidFill>
            <a:latin typeface="Aptos Narrow"/>
            <a:ea typeface="+mn-ea"/>
            <a:cs typeface="+mn-cs"/>
          </a:endParaRPr>
        </a:p>
      </xdr:txBody>
    </xdr:sp>
    <xdr:clientData/>
  </xdr:twoCellAnchor>
  <xdr:twoCellAnchor>
    <xdr:from>
      <xdr:col>12</xdr:col>
      <xdr:colOff>327660</xdr:colOff>
      <xdr:row>12</xdr:row>
      <xdr:rowOff>0</xdr:rowOff>
    </xdr:from>
    <xdr:to>
      <xdr:col>15</xdr:col>
      <xdr:colOff>144780</xdr:colOff>
      <xdr:row>13</xdr:row>
      <xdr:rowOff>144780</xdr:rowOff>
    </xdr:to>
    <xdr:sp macro="" textlink="Processing!B14">
      <xdr:nvSpPr>
        <xdr:cNvPr id="40" name="TextBox 39">
          <a:extLst>
            <a:ext uri="{FF2B5EF4-FFF2-40B4-BE49-F238E27FC236}">
              <a16:creationId xmlns:a16="http://schemas.microsoft.com/office/drawing/2014/main" id="{5FD4C297-F5EF-1F25-4B4A-B8AA28329D00}"/>
            </a:ext>
          </a:extLst>
        </xdr:cNvPr>
        <xdr:cNvSpPr txBox="1"/>
      </xdr:nvSpPr>
      <xdr:spPr>
        <a:xfrm>
          <a:off x="7642860" y="219456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176861D-A161-4D96-8756-6AC7C156A8BD}" type="TxLink">
            <a:rPr lang="en-US" sz="2400" b="0" i="0" u="none" strike="noStrike">
              <a:solidFill>
                <a:schemeClr val="bg1"/>
              </a:solidFill>
              <a:latin typeface="Aptos Narrow"/>
              <a:ea typeface="+mn-ea"/>
              <a:cs typeface="+mn-cs"/>
            </a:rPr>
            <a:pPr marL="0" indent="0" algn="l"/>
            <a:t> $28,026 </a:t>
          </a:fld>
          <a:endParaRPr lang="ru-RU" sz="2400" b="0" i="0" u="none" strike="noStrike">
            <a:solidFill>
              <a:schemeClr val="bg1"/>
            </a:solidFill>
            <a:latin typeface="Aptos Narrow"/>
            <a:ea typeface="+mn-ea"/>
            <a:cs typeface="+mn-cs"/>
          </a:endParaRPr>
        </a:p>
      </xdr:txBody>
    </xdr:sp>
    <xdr:clientData/>
  </xdr:twoCellAnchor>
  <xdr:twoCellAnchor>
    <xdr:from>
      <xdr:col>17</xdr:col>
      <xdr:colOff>14478</xdr:colOff>
      <xdr:row>18</xdr:row>
      <xdr:rowOff>26556</xdr:rowOff>
    </xdr:from>
    <xdr:to>
      <xdr:col>19</xdr:col>
      <xdr:colOff>320802</xdr:colOff>
      <xdr:row>20</xdr:row>
      <xdr:rowOff>57265</xdr:rowOff>
    </xdr:to>
    <xdr:sp macro="" textlink="Processing!J25">
      <xdr:nvSpPr>
        <xdr:cNvPr id="41" name="TextBox 40">
          <a:extLst>
            <a:ext uri="{FF2B5EF4-FFF2-40B4-BE49-F238E27FC236}">
              <a16:creationId xmlns:a16="http://schemas.microsoft.com/office/drawing/2014/main" id="{5D96645A-3B0B-3118-DC4E-64D17D7D0BFC}"/>
            </a:ext>
          </a:extLst>
        </xdr:cNvPr>
        <xdr:cNvSpPr txBox="1"/>
      </xdr:nvSpPr>
      <xdr:spPr>
        <a:xfrm>
          <a:off x="10377678" y="3318396"/>
          <a:ext cx="152552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E6A133C-5381-4990-B5CC-3867629A9899}" type="TxLink">
            <a:rPr lang="en-US" sz="2000" b="0" i="0" u="none" strike="noStrike">
              <a:solidFill>
                <a:schemeClr val="bg1"/>
              </a:solidFill>
              <a:latin typeface="Aptos Narrow"/>
              <a:ea typeface="+mn-ea"/>
              <a:cs typeface="+mn-cs"/>
            </a:rPr>
            <a:pPr marL="0" indent="0" algn="l"/>
            <a:t> $11,175 </a:t>
          </a:fld>
          <a:endParaRPr lang="ru-RU" sz="2000" b="0" i="0" u="none" strike="noStrike">
            <a:solidFill>
              <a:schemeClr val="bg1"/>
            </a:solidFill>
            <a:latin typeface="Aptos Narrow"/>
            <a:ea typeface="+mn-ea"/>
            <a:cs typeface="+mn-cs"/>
          </a:endParaRPr>
        </a:p>
      </xdr:txBody>
    </xdr:sp>
    <xdr:clientData/>
  </xdr:twoCellAnchor>
  <xdr:twoCellAnchor>
    <xdr:from>
      <xdr:col>14</xdr:col>
      <xdr:colOff>251460</xdr:colOff>
      <xdr:row>10</xdr:row>
      <xdr:rowOff>68580</xdr:rowOff>
    </xdr:from>
    <xdr:to>
      <xdr:col>16</xdr:col>
      <xdr:colOff>449580</xdr:colOff>
      <xdr:row>12</xdr:row>
      <xdr:rowOff>30480</xdr:rowOff>
    </xdr:to>
    <xdr:sp macro="" textlink="Processing!A15">
      <xdr:nvSpPr>
        <xdr:cNvPr id="44" name="TextBox 43">
          <a:extLst>
            <a:ext uri="{FF2B5EF4-FFF2-40B4-BE49-F238E27FC236}">
              <a16:creationId xmlns:a16="http://schemas.microsoft.com/office/drawing/2014/main" id="{47ADDA1F-5D05-D8B3-B4E3-E9F9CBB3EEBC}"/>
            </a:ext>
          </a:extLst>
        </xdr:cNvPr>
        <xdr:cNvSpPr txBox="1"/>
      </xdr:nvSpPr>
      <xdr:spPr>
        <a:xfrm>
          <a:off x="8785860" y="189738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251460</xdr:colOff>
      <xdr:row>14</xdr:row>
      <xdr:rowOff>45720</xdr:rowOff>
    </xdr:from>
    <xdr:to>
      <xdr:col>16</xdr:col>
      <xdr:colOff>449580</xdr:colOff>
      <xdr:row>16</xdr:row>
      <xdr:rowOff>7620</xdr:rowOff>
    </xdr:to>
    <xdr:sp macro="" textlink="Processing!A15">
      <xdr:nvSpPr>
        <xdr:cNvPr id="45" name="TextBox 44">
          <a:extLst>
            <a:ext uri="{FF2B5EF4-FFF2-40B4-BE49-F238E27FC236}">
              <a16:creationId xmlns:a16="http://schemas.microsoft.com/office/drawing/2014/main" id="{C6334C8E-6F91-187D-3608-EEAF69A3F1C4}"/>
            </a:ext>
          </a:extLst>
        </xdr:cNvPr>
        <xdr:cNvSpPr txBox="1"/>
      </xdr:nvSpPr>
      <xdr:spPr>
        <a:xfrm>
          <a:off x="8785860" y="260604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586718</xdr:colOff>
      <xdr:row>11</xdr:row>
      <xdr:rowOff>23695</xdr:rowOff>
    </xdr:from>
    <xdr:to>
      <xdr:col>16</xdr:col>
      <xdr:colOff>53318</xdr:colOff>
      <xdr:row>14</xdr:row>
      <xdr:rowOff>160855</xdr:rowOff>
    </xdr:to>
    <xdr:graphicFrame macro="">
      <xdr:nvGraphicFramePr>
        <xdr:cNvPr id="46" name="Chart 45">
          <a:extLst>
            <a:ext uri="{FF2B5EF4-FFF2-40B4-BE49-F238E27FC236}">
              <a16:creationId xmlns:a16="http://schemas.microsoft.com/office/drawing/2014/main" id="{5F907A00-D840-45DA-BE67-BA66BF277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586718</xdr:colOff>
      <xdr:row>12</xdr:row>
      <xdr:rowOff>12265</xdr:rowOff>
    </xdr:from>
    <xdr:to>
      <xdr:col>16</xdr:col>
      <xdr:colOff>68558</xdr:colOff>
      <xdr:row>13</xdr:row>
      <xdr:rowOff>157045</xdr:rowOff>
    </xdr:to>
    <xdr:sp macro="" textlink="Processing!B15">
      <xdr:nvSpPr>
        <xdr:cNvPr id="47" name="TextBox 46">
          <a:extLst>
            <a:ext uri="{FF2B5EF4-FFF2-40B4-BE49-F238E27FC236}">
              <a16:creationId xmlns:a16="http://schemas.microsoft.com/office/drawing/2014/main" id="{5CFC9FC1-9E58-4F64-33CA-6DBC2B0A6755}"/>
            </a:ext>
          </a:extLst>
        </xdr:cNvPr>
        <xdr:cNvSpPr txBox="1"/>
      </xdr:nvSpPr>
      <xdr:spPr>
        <a:xfrm>
          <a:off x="9121118" y="220682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7864E5-CAD8-4B22-A5F5-C06AFB7D5E57}" type="TxLink">
            <a:rPr lang="en-US" sz="1100" b="0" i="0" u="none" strike="noStrike">
              <a:solidFill>
                <a:schemeClr val="bg1"/>
              </a:solidFill>
              <a:latin typeface="Aptos Narrow"/>
              <a:ea typeface="+mn-ea"/>
              <a:cs typeface="+mn-cs"/>
            </a:rPr>
            <a:pPr marL="0" indent="0" algn="ctr"/>
            <a:t>43%</a:t>
          </a:fld>
          <a:endParaRPr lang="ru-RU" sz="1800" b="0" i="0" u="none" strike="noStrike">
            <a:solidFill>
              <a:schemeClr val="bg1"/>
            </a:solidFill>
            <a:latin typeface="Aptos Narrow"/>
            <a:ea typeface="+mn-ea"/>
            <a:cs typeface="+mn-cs"/>
          </a:endParaRPr>
        </a:p>
      </xdr:txBody>
    </xdr:sp>
    <xdr:clientData/>
  </xdr:twoCellAnchor>
  <xdr:twoCellAnchor>
    <xdr:from>
      <xdr:col>14</xdr:col>
      <xdr:colOff>586718</xdr:colOff>
      <xdr:row>14</xdr:row>
      <xdr:rowOff>168475</xdr:rowOff>
    </xdr:from>
    <xdr:to>
      <xdr:col>16</xdr:col>
      <xdr:colOff>53318</xdr:colOff>
      <xdr:row>18</xdr:row>
      <xdr:rowOff>122755</xdr:rowOff>
    </xdr:to>
    <xdr:graphicFrame macro="">
      <xdr:nvGraphicFramePr>
        <xdr:cNvPr id="48" name="Chart 47">
          <a:extLst>
            <a:ext uri="{FF2B5EF4-FFF2-40B4-BE49-F238E27FC236}">
              <a16:creationId xmlns:a16="http://schemas.microsoft.com/office/drawing/2014/main" id="{CF06431A-9D78-1BD2-29BE-DD8317C94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586718</xdr:colOff>
      <xdr:row>15</xdr:row>
      <xdr:rowOff>157045</xdr:rowOff>
    </xdr:from>
    <xdr:to>
      <xdr:col>16</xdr:col>
      <xdr:colOff>68558</xdr:colOff>
      <xdr:row>17</xdr:row>
      <xdr:rowOff>118945</xdr:rowOff>
    </xdr:to>
    <xdr:sp macro="" textlink="Processing!C15">
      <xdr:nvSpPr>
        <xdr:cNvPr id="49" name="TextBox 48">
          <a:extLst>
            <a:ext uri="{FF2B5EF4-FFF2-40B4-BE49-F238E27FC236}">
              <a16:creationId xmlns:a16="http://schemas.microsoft.com/office/drawing/2014/main" id="{F67310A6-6253-77C6-3CCB-6D4CBBF38513}"/>
            </a:ext>
          </a:extLst>
        </xdr:cNvPr>
        <xdr:cNvSpPr txBox="1"/>
      </xdr:nvSpPr>
      <xdr:spPr>
        <a:xfrm>
          <a:off x="9121118" y="290024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A5132A-5551-4D94-B54D-1E5261C5DB06}" type="TxLink">
            <a:rPr lang="en-US" sz="1100" b="0" i="0" u="none" strike="noStrike">
              <a:solidFill>
                <a:schemeClr val="bg1"/>
              </a:solidFill>
              <a:latin typeface="Aptos Narrow"/>
              <a:ea typeface="+mn-ea"/>
              <a:cs typeface="+mn-cs"/>
            </a:rPr>
            <a:pPr marL="0" indent="0" algn="ctr"/>
            <a:t>52%</a:t>
          </a:fld>
          <a:endParaRPr lang="ru-RU" sz="1800" b="0" i="0" u="none" strike="noStrike">
            <a:solidFill>
              <a:schemeClr val="bg1"/>
            </a:solidFill>
            <a:latin typeface="Aptos Narrow"/>
            <a:ea typeface="+mn-ea"/>
            <a:cs typeface="+mn-cs"/>
          </a:endParaRPr>
        </a:p>
      </xdr:txBody>
    </xdr:sp>
    <xdr:clientData/>
  </xdr:twoCellAnchor>
  <xdr:twoCellAnchor>
    <xdr:from>
      <xdr:col>12</xdr:col>
      <xdr:colOff>388620</xdr:colOff>
      <xdr:row>21</xdr:row>
      <xdr:rowOff>96085</xdr:rowOff>
    </xdr:from>
    <xdr:to>
      <xdr:col>14</xdr:col>
      <xdr:colOff>304778</xdr:colOff>
      <xdr:row>23</xdr:row>
      <xdr:rowOff>57985</xdr:rowOff>
    </xdr:to>
    <xdr:sp macro="" textlink="Processing!B32">
      <xdr:nvSpPr>
        <xdr:cNvPr id="50" name="TextBox 49">
          <a:extLst>
            <a:ext uri="{FF2B5EF4-FFF2-40B4-BE49-F238E27FC236}">
              <a16:creationId xmlns:a16="http://schemas.microsoft.com/office/drawing/2014/main" id="{139549E3-71D6-6F9B-7057-3212A4EC574C}"/>
            </a:ext>
          </a:extLst>
        </xdr:cNvPr>
        <xdr:cNvSpPr txBox="1"/>
      </xdr:nvSpPr>
      <xdr:spPr>
        <a:xfrm>
          <a:off x="770382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E21EC3CC-CA95-428B-98B7-4DE0DF5CF094}" type="TxLink">
            <a:rPr lang="en-US" sz="1400" b="0" i="0" u="none" strike="noStrike">
              <a:gradFill>
                <a:gsLst>
                  <a:gs pos="33000">
                    <a:srgbClr val="00C6D1"/>
                  </a:gs>
                  <a:gs pos="100000">
                    <a:srgbClr val="F2ECFF"/>
                  </a:gs>
                </a:gsLst>
                <a:lin ang="5400000" scaled="1"/>
              </a:gradFill>
              <a:latin typeface="Aptos Narrow"/>
              <a:ea typeface="+mn-ea"/>
              <a:cs typeface="+mn-cs"/>
            </a:rPr>
            <a:pPr marL="0" indent="0" algn="r"/>
            <a:t> $37,835 </a:t>
          </a:fld>
          <a:endParaRPr lang="ru-RU" sz="1400" b="0" i="0" u="none" strike="noStrike">
            <a:gradFill>
              <a:gsLst>
                <a:gs pos="33000">
                  <a:srgbClr val="00C6D1"/>
                </a:gs>
                <a:gs pos="100000">
                  <a:srgbClr val="F2ECFF"/>
                </a:gs>
              </a:gsLst>
              <a:lin ang="5400000" scaled="1"/>
            </a:gradFill>
            <a:latin typeface="Aptos Narrow"/>
            <a:ea typeface="+mn-ea"/>
            <a:cs typeface="+mn-cs"/>
          </a:endParaRPr>
        </a:p>
      </xdr:txBody>
    </xdr:sp>
    <xdr:clientData/>
  </xdr:twoCellAnchor>
  <xdr:twoCellAnchor>
    <xdr:from>
      <xdr:col>14</xdr:col>
      <xdr:colOff>304800</xdr:colOff>
      <xdr:row>21</xdr:row>
      <xdr:rowOff>96085</xdr:rowOff>
    </xdr:from>
    <xdr:to>
      <xdr:col>16</xdr:col>
      <xdr:colOff>220958</xdr:colOff>
      <xdr:row>23</xdr:row>
      <xdr:rowOff>57985</xdr:rowOff>
    </xdr:to>
    <xdr:sp macro="" textlink="Processing!C32">
      <xdr:nvSpPr>
        <xdr:cNvPr id="51" name="TextBox 50">
          <a:extLst>
            <a:ext uri="{FF2B5EF4-FFF2-40B4-BE49-F238E27FC236}">
              <a16:creationId xmlns:a16="http://schemas.microsoft.com/office/drawing/2014/main" id="{D31A43F6-2CD6-60C4-B6F7-C546AC4D5759}"/>
            </a:ext>
          </a:extLst>
        </xdr:cNvPr>
        <xdr:cNvSpPr txBox="1"/>
      </xdr:nvSpPr>
      <xdr:spPr>
        <a:xfrm>
          <a:off x="883920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B887651-16A7-4B6B-95E2-0C9BA58C3F07}" type="TxLink">
            <a:rPr lang="en-US" sz="1400" b="0" i="0" u="none" strike="noStrike">
              <a:gradFill>
                <a:gsLst>
                  <a:gs pos="0">
                    <a:srgbClr val="F17EEC"/>
                  </a:gs>
                  <a:gs pos="100000">
                    <a:srgbClr val="EE0078"/>
                  </a:gs>
                </a:gsLst>
                <a:lin ang="5400000" scaled="0"/>
              </a:gradFill>
              <a:latin typeface="Aptos Narrow"/>
              <a:ea typeface="+mn-ea"/>
              <a:cs typeface="+mn-cs"/>
            </a:rPr>
            <a:pPr marL="0" indent="0" algn="l"/>
            <a:t> $26,660 </a:t>
          </a:fld>
          <a:endParaRPr lang="ru-RU" sz="1400" b="0" i="0" u="none" strike="noStrike">
            <a:gradFill>
              <a:gsLst>
                <a:gs pos="0">
                  <a:srgbClr val="F17EEC"/>
                </a:gs>
                <a:gs pos="100000">
                  <a:srgbClr val="EE0078"/>
                </a:gs>
              </a:gsLst>
              <a:lin ang="5400000" scaled="0"/>
            </a:gradFill>
            <a:latin typeface="Aptos Narrow"/>
            <a:ea typeface="+mn-ea"/>
            <a:cs typeface="+mn-cs"/>
          </a:endParaRPr>
        </a:p>
      </xdr:txBody>
    </xdr:sp>
    <xdr:clientData/>
  </xdr:twoCellAnchor>
  <xdr:twoCellAnchor>
    <xdr:from>
      <xdr:col>18</xdr:col>
      <xdr:colOff>236220</xdr:colOff>
      <xdr:row>22</xdr:row>
      <xdr:rowOff>83820</xdr:rowOff>
    </xdr:from>
    <xdr:to>
      <xdr:col>19</xdr:col>
      <xdr:colOff>403860</xdr:colOff>
      <xdr:row>24</xdr:row>
      <xdr:rowOff>45720</xdr:rowOff>
    </xdr:to>
    <xdr:sp macro="" textlink="Processing!K7">
      <xdr:nvSpPr>
        <xdr:cNvPr id="52" name="TextBox 51">
          <a:extLst>
            <a:ext uri="{FF2B5EF4-FFF2-40B4-BE49-F238E27FC236}">
              <a16:creationId xmlns:a16="http://schemas.microsoft.com/office/drawing/2014/main" id="{FEB846D5-7A9D-F592-D393-5AE1A70609E7}"/>
            </a:ext>
          </a:extLst>
        </xdr:cNvPr>
        <xdr:cNvSpPr txBox="1"/>
      </xdr:nvSpPr>
      <xdr:spPr>
        <a:xfrm>
          <a:off x="11209020" y="4107180"/>
          <a:ext cx="7772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95F57CC-C864-4243-8643-2B753CFD8A66}" type="TxLink">
            <a:rPr lang="en-US" sz="1400" b="0" i="0" u="none" strike="noStrike">
              <a:solidFill>
                <a:schemeClr val="bg1"/>
              </a:solidFill>
              <a:latin typeface="Aptos Narrow"/>
              <a:ea typeface="+mn-ea"/>
              <a:cs typeface="+mn-cs"/>
            </a:rPr>
            <a:pPr marL="0" indent="0" algn="r"/>
            <a:t> 15 366</a:t>
          </a:fld>
          <a:endParaRPr lang="ru-RU" sz="3200" b="0" i="0" u="none" strike="noStrike">
            <a:solidFill>
              <a:schemeClr val="bg1"/>
            </a:solidFill>
            <a:latin typeface="Aptos Narrow"/>
            <a:ea typeface="+mn-ea"/>
            <a:cs typeface="+mn-cs"/>
          </a:endParaRPr>
        </a:p>
      </xdr:txBody>
    </xdr:sp>
    <xdr:clientData/>
  </xdr:twoCellAnchor>
  <xdr:twoCellAnchor>
    <xdr:from>
      <xdr:col>12</xdr:col>
      <xdr:colOff>289560</xdr:colOff>
      <xdr:row>8</xdr:row>
      <xdr:rowOff>60960</xdr:rowOff>
    </xdr:from>
    <xdr:to>
      <xdr:col>16</xdr:col>
      <xdr:colOff>320040</xdr:colOff>
      <xdr:row>18</xdr:row>
      <xdr:rowOff>60960</xdr:rowOff>
    </xdr:to>
    <xdr:sp macro="" textlink="">
      <xdr:nvSpPr>
        <xdr:cNvPr id="2" name="Rectangle: Rounded Corners 1">
          <a:hlinkClick xmlns:r="http://schemas.openxmlformats.org/officeDocument/2006/relationships" r:id="rId9"/>
          <a:extLst>
            <a:ext uri="{FF2B5EF4-FFF2-40B4-BE49-F238E27FC236}">
              <a16:creationId xmlns:a16="http://schemas.microsoft.com/office/drawing/2014/main" id="{4A0BA484-2063-BF3A-0930-112F2256B973}"/>
            </a:ext>
          </a:extLst>
        </xdr:cNvPr>
        <xdr:cNvSpPr/>
      </xdr:nvSpPr>
      <xdr:spPr>
        <a:xfrm>
          <a:off x="7604760" y="1524000"/>
          <a:ext cx="246888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289560</xdr:colOff>
      <xdr:row>19</xdr:row>
      <xdr:rowOff>144780</xdr:rowOff>
    </xdr:from>
    <xdr:to>
      <xdr:col>16</xdr:col>
      <xdr:colOff>327660</xdr:colOff>
      <xdr:row>32</xdr:row>
      <xdr:rowOff>99060</xdr:rowOff>
    </xdr:to>
    <xdr:sp macro="" textlink="">
      <xdr:nvSpPr>
        <xdr:cNvPr id="13" name="Rectangle: Rounded Corners 12">
          <a:hlinkClick xmlns:r="http://schemas.openxmlformats.org/officeDocument/2006/relationships" r:id="rId10"/>
          <a:extLst>
            <a:ext uri="{FF2B5EF4-FFF2-40B4-BE49-F238E27FC236}">
              <a16:creationId xmlns:a16="http://schemas.microsoft.com/office/drawing/2014/main" id="{8F126013-7FE9-470A-A613-0A8D7BD6BF5E}"/>
            </a:ext>
          </a:extLst>
        </xdr:cNvPr>
        <xdr:cNvSpPr/>
      </xdr:nvSpPr>
      <xdr:spPr>
        <a:xfrm>
          <a:off x="7604760" y="3619500"/>
          <a:ext cx="2476500" cy="2331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525780</xdr:colOff>
      <xdr:row>8</xdr:row>
      <xdr:rowOff>60960</xdr:rowOff>
    </xdr:from>
    <xdr:to>
      <xdr:col>22</xdr:col>
      <xdr:colOff>38100</xdr:colOff>
      <xdr:row>21</xdr:row>
      <xdr:rowOff>30480</xdr:rowOff>
    </xdr:to>
    <xdr:sp macro="" textlink="">
      <xdr:nvSpPr>
        <xdr:cNvPr id="16" name="Rectangle: Rounded Corners 15">
          <a:hlinkClick xmlns:r="http://schemas.openxmlformats.org/officeDocument/2006/relationships" r:id="rId11"/>
          <a:extLst>
            <a:ext uri="{FF2B5EF4-FFF2-40B4-BE49-F238E27FC236}">
              <a16:creationId xmlns:a16="http://schemas.microsoft.com/office/drawing/2014/main" id="{FBC3FD4E-24BE-BAEC-6ABE-E27B1FAEEE0F}"/>
            </a:ext>
          </a:extLst>
        </xdr:cNvPr>
        <xdr:cNvSpPr/>
      </xdr:nvSpPr>
      <xdr:spPr>
        <a:xfrm>
          <a:off x="10279380" y="1524000"/>
          <a:ext cx="3169920" cy="23469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502920</xdr:colOff>
      <xdr:row>21</xdr:row>
      <xdr:rowOff>160020</xdr:rowOff>
    </xdr:from>
    <xdr:to>
      <xdr:col>19</xdr:col>
      <xdr:colOff>525780</xdr:colOff>
      <xdr:row>32</xdr:row>
      <xdr:rowOff>99060</xdr:rowOff>
    </xdr:to>
    <xdr:sp macro="" textlink="">
      <xdr:nvSpPr>
        <xdr:cNvPr id="26" name="Rectangle: Rounded Corners 25">
          <a:hlinkClick xmlns:r="http://schemas.openxmlformats.org/officeDocument/2006/relationships" r:id="rId12"/>
          <a:extLst>
            <a:ext uri="{FF2B5EF4-FFF2-40B4-BE49-F238E27FC236}">
              <a16:creationId xmlns:a16="http://schemas.microsoft.com/office/drawing/2014/main" id="{C85E64EB-3ABC-3EA1-FF62-51CE8F122327}"/>
            </a:ext>
          </a:extLst>
        </xdr:cNvPr>
        <xdr:cNvSpPr/>
      </xdr:nvSpPr>
      <xdr:spPr>
        <a:xfrm>
          <a:off x="10256520" y="4000500"/>
          <a:ext cx="1851660" cy="1950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38100</xdr:colOff>
      <xdr:row>21</xdr:row>
      <xdr:rowOff>160020</xdr:rowOff>
    </xdr:from>
    <xdr:to>
      <xdr:col>22</xdr:col>
      <xdr:colOff>83820</xdr:colOff>
      <xdr:row>32</xdr:row>
      <xdr:rowOff>99060</xdr:rowOff>
    </xdr:to>
    <xdr:sp macro="" textlink="">
      <xdr:nvSpPr>
        <xdr:cNvPr id="42" name="Rectangle: Rounded Corners 41">
          <a:hlinkClick xmlns:r="http://schemas.openxmlformats.org/officeDocument/2006/relationships" r:id="rId13"/>
          <a:extLst>
            <a:ext uri="{FF2B5EF4-FFF2-40B4-BE49-F238E27FC236}">
              <a16:creationId xmlns:a16="http://schemas.microsoft.com/office/drawing/2014/main" id="{68CCCA56-374A-DA41-40F9-130B8D61424F}"/>
            </a:ext>
          </a:extLst>
        </xdr:cNvPr>
        <xdr:cNvSpPr/>
      </xdr:nvSpPr>
      <xdr:spPr>
        <a:xfrm>
          <a:off x="12230100" y="4000500"/>
          <a:ext cx="1264920" cy="1950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0</xdr:col>
      <xdr:colOff>0</xdr:colOff>
      <xdr:row>0</xdr:row>
      <xdr:rowOff>0</xdr:rowOff>
    </xdr:from>
    <xdr:to>
      <xdr:col>0</xdr:col>
      <xdr:colOff>274320</xdr:colOff>
      <xdr:row>1</xdr:row>
      <xdr:rowOff>91440</xdr:rowOff>
    </xdr:to>
    <xdr:pic>
      <xdr:nvPicPr>
        <xdr:cNvPr id="53" name="Graphic 52" descr="Sun with solid fill">
          <a:hlinkClick xmlns:r="http://schemas.openxmlformats.org/officeDocument/2006/relationships" r:id="rId14"/>
          <a:extLst>
            <a:ext uri="{FF2B5EF4-FFF2-40B4-BE49-F238E27FC236}">
              <a16:creationId xmlns:a16="http://schemas.microsoft.com/office/drawing/2014/main" id="{FD818060-ADD1-1B66-B0AC-9BEA5658EFC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0" y="0"/>
          <a:ext cx="274320" cy="274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99060</xdr:colOff>
      <xdr:row>1</xdr:row>
      <xdr:rowOff>99060</xdr:rowOff>
    </xdr:to>
    <xdr:sp macro="" textlink="">
      <xdr:nvSpPr>
        <xdr:cNvPr id="51" name="Rectangle 50">
          <a:extLst>
            <a:ext uri="{FF2B5EF4-FFF2-40B4-BE49-F238E27FC236}">
              <a16:creationId xmlns:a16="http://schemas.microsoft.com/office/drawing/2014/main" id="{4CFB8D29-FA12-4C46-9B01-6077A3CA8861}"/>
            </a:ext>
          </a:extLst>
        </xdr:cNvPr>
        <xdr:cNvSpPr/>
      </xdr:nvSpPr>
      <xdr:spPr>
        <a:xfrm>
          <a:off x="0" y="0"/>
          <a:ext cx="708660" cy="2819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205740</xdr:colOff>
      <xdr:row>3</xdr:row>
      <xdr:rowOff>91440</xdr:rowOff>
    </xdr:from>
    <xdr:to>
      <xdr:col>22</xdr:col>
      <xdr:colOff>419100</xdr:colOff>
      <xdr:row>35</xdr:row>
      <xdr:rowOff>7034</xdr:rowOff>
    </xdr:to>
    <xdr:sp macro="" textlink="">
      <xdr:nvSpPr>
        <xdr:cNvPr id="47" name="Rectangle: Rounded Corners 46">
          <a:extLst>
            <a:ext uri="{FF2B5EF4-FFF2-40B4-BE49-F238E27FC236}">
              <a16:creationId xmlns:a16="http://schemas.microsoft.com/office/drawing/2014/main" id="{3D0EACAB-71F5-D63B-FC28-6D45C4246536}"/>
            </a:ext>
          </a:extLst>
        </xdr:cNvPr>
        <xdr:cNvSpPr/>
      </xdr:nvSpPr>
      <xdr:spPr>
        <a:xfrm>
          <a:off x="815340" y="640080"/>
          <a:ext cx="13014960" cy="5767754"/>
        </a:xfrm>
        <a:prstGeom prst="roundRect">
          <a:avLst>
            <a:gd name="adj" fmla="val 10643"/>
          </a:avLst>
        </a:prstGeom>
        <a:solidFill>
          <a:schemeClr val="bg1"/>
        </a:solidFill>
        <a:ln>
          <a:noFill/>
        </a:ln>
        <a:effectLst>
          <a:outerShdw blurRad="381000" dist="127000" dir="4200000" algn="tl" rotWithShape="0">
            <a:srgbClr val="006FF6">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205740</xdr:colOff>
      <xdr:row>3</xdr:row>
      <xdr:rowOff>91440</xdr:rowOff>
    </xdr:from>
    <xdr:to>
      <xdr:col>22</xdr:col>
      <xdr:colOff>419100</xdr:colOff>
      <xdr:row>35</xdr:row>
      <xdr:rowOff>7034</xdr:rowOff>
    </xdr:to>
    <xdr:sp macro="" textlink="">
      <xdr:nvSpPr>
        <xdr:cNvPr id="5" name="Rectangle: Rounded Corners 4">
          <a:extLst>
            <a:ext uri="{FF2B5EF4-FFF2-40B4-BE49-F238E27FC236}">
              <a16:creationId xmlns:a16="http://schemas.microsoft.com/office/drawing/2014/main" id="{3A3F058F-8781-DF94-0F36-FC2A3813E290}"/>
            </a:ext>
          </a:extLst>
        </xdr:cNvPr>
        <xdr:cNvSpPr/>
      </xdr:nvSpPr>
      <xdr:spPr>
        <a:xfrm>
          <a:off x="815340" y="640080"/>
          <a:ext cx="13014960" cy="5767754"/>
        </a:xfrm>
        <a:prstGeom prst="roundRect">
          <a:avLst>
            <a:gd name="adj" fmla="val 10643"/>
          </a:avLst>
        </a:prstGeom>
        <a:solidFill>
          <a:schemeClr val="bg1"/>
        </a:solidFill>
        <a:ln>
          <a:noFill/>
        </a:ln>
        <a:effectLst>
          <a:outerShdw blurRad="571500" dist="254000" dir="8100000" algn="tr" rotWithShape="0">
            <a:srgbClr val="B814B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16</xdr:col>
      <xdr:colOff>510540</xdr:colOff>
      <xdr:row>8</xdr:row>
      <xdr:rowOff>102287</xdr:rowOff>
    </xdr:from>
    <xdr:to>
      <xdr:col>22</xdr:col>
      <xdr:colOff>48508</xdr:colOff>
      <xdr:row>21</xdr:row>
      <xdr:rowOff>10847</xdr:rowOff>
    </xdr:to>
    <xdr:sp macro="" textlink="">
      <xdr:nvSpPr>
        <xdr:cNvPr id="7" name="Rectangle: Rounded Corners 6">
          <a:extLst>
            <a:ext uri="{FF2B5EF4-FFF2-40B4-BE49-F238E27FC236}">
              <a16:creationId xmlns:a16="http://schemas.microsoft.com/office/drawing/2014/main" id="{DD975D24-41B5-4450-A6CA-75E90479D8D8}"/>
            </a:ext>
          </a:extLst>
        </xdr:cNvPr>
        <xdr:cNvSpPr/>
      </xdr:nvSpPr>
      <xdr:spPr>
        <a:xfrm>
          <a:off x="10264140" y="1565327"/>
          <a:ext cx="3195568" cy="2286000"/>
        </a:xfrm>
        <a:prstGeom prst="roundRect">
          <a:avLst>
            <a:gd name="adj" fmla="val 12222"/>
          </a:avLst>
        </a:prstGeom>
        <a:solidFill>
          <a:schemeClr val="bg1"/>
        </a:solidFill>
        <a:ln w="9525">
          <a:no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20</xdr:col>
      <xdr:colOff>78988</xdr:colOff>
      <xdr:row>22</xdr:row>
      <xdr:rowOff>24777</xdr:rowOff>
    </xdr:from>
    <xdr:to>
      <xdr:col>22</xdr:col>
      <xdr:colOff>48508</xdr:colOff>
      <xdr:row>32</xdr:row>
      <xdr:rowOff>70497</xdr:rowOff>
    </xdr:to>
    <xdr:sp macro="" textlink="Processing!L10">
      <xdr:nvSpPr>
        <xdr:cNvPr id="8" name="Rectangle: Rounded Corners 7">
          <a:extLst>
            <a:ext uri="{FF2B5EF4-FFF2-40B4-BE49-F238E27FC236}">
              <a16:creationId xmlns:a16="http://schemas.microsoft.com/office/drawing/2014/main" id="{6CA08CDE-EE76-43FB-8D86-55E10C62A80D}"/>
            </a:ext>
          </a:extLst>
        </xdr:cNvPr>
        <xdr:cNvSpPr/>
      </xdr:nvSpPr>
      <xdr:spPr>
        <a:xfrm>
          <a:off x="12270988" y="4048137"/>
          <a:ext cx="1188720" cy="1874520"/>
        </a:xfrm>
        <a:prstGeom prst="roundRect">
          <a:avLst>
            <a:gd name="adj" fmla="val 16940"/>
          </a:avLst>
        </a:prstGeom>
        <a:solidFill>
          <a:schemeClr val="bg1"/>
        </a:solidFill>
        <a:ln w="9525">
          <a:no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B141ACD5-C6B6-41AA-B709-DAF022D00E18}" type="TxLink">
            <a:rPr lang="en-US" sz="1200" b="0" i="0" u="none" strike="noStrike">
              <a:solidFill>
                <a:srgbClr val="A2ADBE"/>
              </a:solidFill>
              <a:latin typeface="Aptos Narrow"/>
            </a:rPr>
            <a:pPr algn="ctr"/>
            <a:t>Top-5 Products</a:t>
          </a:fld>
          <a:endParaRPr lang="ru-RU" sz="2000">
            <a:solidFill>
              <a:srgbClr val="A2ADBE"/>
            </a:solidFill>
          </a:endParaRPr>
        </a:p>
      </xdr:txBody>
    </xdr:sp>
    <xdr:clientData/>
  </xdr:twoCellAnchor>
  <xdr:twoCellAnchor>
    <xdr:from>
      <xdr:col>16</xdr:col>
      <xdr:colOff>510540</xdr:colOff>
      <xdr:row>22</xdr:row>
      <xdr:rowOff>24777</xdr:rowOff>
    </xdr:from>
    <xdr:to>
      <xdr:col>19</xdr:col>
      <xdr:colOff>510540</xdr:colOff>
      <xdr:row>32</xdr:row>
      <xdr:rowOff>70497</xdr:rowOff>
    </xdr:to>
    <xdr:sp macro="" textlink="Processing!J1">
      <xdr:nvSpPr>
        <xdr:cNvPr id="9" name="Rectangle: Rounded Corners 8">
          <a:extLst>
            <a:ext uri="{FF2B5EF4-FFF2-40B4-BE49-F238E27FC236}">
              <a16:creationId xmlns:a16="http://schemas.microsoft.com/office/drawing/2014/main" id="{E03822D9-6100-4185-B5BC-BE3024BC075D}"/>
            </a:ext>
          </a:extLst>
        </xdr:cNvPr>
        <xdr:cNvSpPr/>
      </xdr:nvSpPr>
      <xdr:spPr>
        <a:xfrm>
          <a:off x="10264140" y="4048137"/>
          <a:ext cx="1828800" cy="1874520"/>
        </a:xfrm>
        <a:prstGeom prst="roundRect">
          <a:avLst>
            <a:gd name="adj" fmla="val 15658"/>
          </a:avLst>
        </a:prstGeom>
        <a:solidFill>
          <a:schemeClr val="bg1"/>
        </a:solidFill>
        <a:ln w="9525">
          <a:no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F891643E-D31A-43FE-B4F0-A61FA518E279}" type="TxLink">
            <a:rPr lang="en-US" sz="1200" b="0" i="0" u="none" strike="noStrike">
              <a:solidFill>
                <a:srgbClr val="A2ADBE"/>
              </a:solidFill>
              <a:latin typeface="Aptos Narrow"/>
            </a:rPr>
            <a:pPr algn="l"/>
            <a:t>Sales Closed</a:t>
          </a:fld>
          <a:endParaRPr lang="ru-RU" sz="2000">
            <a:solidFill>
              <a:srgbClr val="A2ADBE"/>
            </a:solidFill>
          </a:endParaRPr>
        </a:p>
      </xdr:txBody>
    </xdr:sp>
    <xdr:clientData/>
  </xdr:twoCellAnchor>
  <xdr:twoCellAnchor>
    <xdr:from>
      <xdr:col>12</xdr:col>
      <xdr:colOff>289560</xdr:colOff>
      <xdr:row>19</xdr:row>
      <xdr:rowOff>143699</xdr:rowOff>
    </xdr:from>
    <xdr:to>
      <xdr:col>16</xdr:col>
      <xdr:colOff>320040</xdr:colOff>
      <xdr:row>32</xdr:row>
      <xdr:rowOff>70497</xdr:rowOff>
    </xdr:to>
    <xdr:sp macro="" textlink="Processing!A19">
      <xdr:nvSpPr>
        <xdr:cNvPr id="10" name="Rectangle: Rounded Corners 9">
          <a:extLst>
            <a:ext uri="{FF2B5EF4-FFF2-40B4-BE49-F238E27FC236}">
              <a16:creationId xmlns:a16="http://schemas.microsoft.com/office/drawing/2014/main" id="{4E47B35B-FE1F-41EC-8420-48B74A46EA68}"/>
            </a:ext>
          </a:extLst>
        </xdr:cNvPr>
        <xdr:cNvSpPr/>
      </xdr:nvSpPr>
      <xdr:spPr>
        <a:xfrm>
          <a:off x="7604760" y="3618419"/>
          <a:ext cx="2468880" cy="2304238"/>
        </a:xfrm>
        <a:prstGeom prst="roundRect">
          <a:avLst>
            <a:gd name="adj" fmla="val 10585"/>
          </a:avLst>
        </a:prstGeom>
        <a:solidFill>
          <a:schemeClr val="bg1"/>
        </a:solidFill>
        <a:ln w="9525">
          <a:no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1C44FD38-D300-4C1F-906B-FAB458F04708}" type="TxLink">
            <a:rPr lang="en-US" sz="1200" b="0" i="0" u="none" strike="noStrike">
              <a:solidFill>
                <a:srgbClr val="A2ADBE"/>
              </a:solidFill>
              <a:latin typeface="Aptos Narrow"/>
            </a:rPr>
            <a:pPr algn="ctr"/>
            <a:t>Revenue vs Expenses</a:t>
          </a:fld>
          <a:endParaRPr lang="ru-RU" sz="2000">
            <a:solidFill>
              <a:srgbClr val="A2ADBE"/>
            </a:solidFill>
          </a:endParaRPr>
        </a:p>
      </xdr:txBody>
    </xdr:sp>
    <xdr:clientData/>
  </xdr:twoCellAnchor>
  <xdr:twoCellAnchor>
    <xdr:from>
      <xdr:col>12</xdr:col>
      <xdr:colOff>289560</xdr:colOff>
      <xdr:row>8</xdr:row>
      <xdr:rowOff>99060</xdr:rowOff>
    </xdr:from>
    <xdr:to>
      <xdr:col>16</xdr:col>
      <xdr:colOff>320040</xdr:colOff>
      <xdr:row>18</xdr:row>
      <xdr:rowOff>144780</xdr:rowOff>
    </xdr:to>
    <xdr:sp macro="" textlink="Processing!A1">
      <xdr:nvSpPr>
        <xdr:cNvPr id="11" name="Rectangle: Rounded Corners 10">
          <a:extLst>
            <a:ext uri="{FF2B5EF4-FFF2-40B4-BE49-F238E27FC236}">
              <a16:creationId xmlns:a16="http://schemas.microsoft.com/office/drawing/2014/main" id="{487CE3AB-6844-4E25-AA75-2DC2748373F4}"/>
            </a:ext>
          </a:extLst>
        </xdr:cNvPr>
        <xdr:cNvSpPr/>
      </xdr:nvSpPr>
      <xdr:spPr>
        <a:xfrm>
          <a:off x="7604760" y="1562100"/>
          <a:ext cx="2468880" cy="1874520"/>
        </a:xfrm>
        <a:prstGeom prst="roundRect">
          <a:avLst>
            <a:gd name="adj" fmla="val 12132"/>
          </a:avLst>
        </a:prstGeom>
        <a:gradFill flip="none" rotWithShape="1">
          <a:gsLst>
            <a:gs pos="0">
              <a:srgbClr val="EE0078"/>
            </a:gs>
            <a:gs pos="73000">
              <a:srgbClr val="6459F9"/>
            </a:gs>
          </a:gsLst>
          <a:lin ang="2700000" scaled="1"/>
          <a:tileRect/>
        </a:gradFill>
        <a:ln w="12700">
          <a:solidFill>
            <a:schemeClr val="bg1"/>
          </a:solid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03020289-B635-419F-B330-AF3CCE861824}" type="TxLink">
            <a:rPr lang="en-US" sz="1200" b="0" i="0" u="none" strike="noStrike">
              <a:solidFill>
                <a:schemeClr val="bg1"/>
              </a:solidFill>
              <a:latin typeface="Aptos Narrow"/>
            </a:rPr>
            <a:pPr algn="ctr"/>
            <a:t>Investments vs Sales Volume</a:t>
          </a:fld>
          <a:endParaRPr lang="ru-RU" sz="2000">
            <a:solidFill>
              <a:schemeClr val="bg1"/>
            </a:solidFill>
          </a:endParaRPr>
        </a:p>
      </xdr:txBody>
    </xdr:sp>
    <xdr:clientData/>
  </xdr:twoCellAnchor>
  <xdr:twoCellAnchor>
    <xdr:from>
      <xdr:col>1</xdr:col>
      <xdr:colOff>586740</xdr:colOff>
      <xdr:row>16</xdr:row>
      <xdr:rowOff>0</xdr:rowOff>
    </xdr:from>
    <xdr:to>
      <xdr:col>11</xdr:col>
      <xdr:colOff>434340</xdr:colOff>
      <xdr:row>31</xdr:row>
      <xdr:rowOff>0</xdr:rowOff>
    </xdr:to>
    <xdr:graphicFrame macro="">
      <xdr:nvGraphicFramePr>
        <xdr:cNvPr id="12" name="Chart 11">
          <a:extLst>
            <a:ext uri="{FF2B5EF4-FFF2-40B4-BE49-F238E27FC236}">
              <a16:creationId xmlns:a16="http://schemas.microsoft.com/office/drawing/2014/main" id="{A0D0F909-0DD5-4C45-A3C7-56400D5EC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566998</xdr:colOff>
      <xdr:row>23</xdr:row>
      <xdr:rowOff>99060</xdr:rowOff>
    </xdr:from>
    <xdr:to>
      <xdr:col>19</xdr:col>
      <xdr:colOff>476943</xdr:colOff>
      <xdr:row>31</xdr:row>
      <xdr:rowOff>175260</xdr:rowOff>
    </xdr:to>
    <xdr:graphicFrame macro="">
      <xdr:nvGraphicFramePr>
        <xdr:cNvPr id="13" name="Chart 12">
          <a:extLst>
            <a:ext uri="{FF2B5EF4-FFF2-40B4-BE49-F238E27FC236}">
              <a16:creationId xmlns:a16="http://schemas.microsoft.com/office/drawing/2014/main" id="{9BB35647-87CE-4FC0-9689-5C9A86456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76205</xdr:colOff>
      <xdr:row>24</xdr:row>
      <xdr:rowOff>137379</xdr:rowOff>
    </xdr:from>
    <xdr:to>
      <xdr:col>22</xdr:col>
      <xdr:colOff>60956</xdr:colOff>
      <xdr:row>31</xdr:row>
      <xdr:rowOff>136942</xdr:rowOff>
    </xdr:to>
    <xdr:graphicFrame macro="">
      <xdr:nvGraphicFramePr>
        <xdr:cNvPr id="14" name="Chart 13">
          <a:extLst>
            <a:ext uri="{FF2B5EF4-FFF2-40B4-BE49-F238E27FC236}">
              <a16:creationId xmlns:a16="http://schemas.microsoft.com/office/drawing/2014/main" id="{FC1FA82A-1680-4EBA-99CB-CA052F342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30677</xdr:colOff>
      <xdr:row>24</xdr:row>
      <xdr:rowOff>154137</xdr:rowOff>
    </xdr:from>
    <xdr:to>
      <xdr:col>22</xdr:col>
      <xdr:colOff>109023</xdr:colOff>
      <xdr:row>31</xdr:row>
      <xdr:rowOff>127803</xdr:rowOff>
    </xdr:to>
    <xdr:graphicFrame macro="">
      <xdr:nvGraphicFramePr>
        <xdr:cNvPr id="15" name="Chart 14">
          <a:extLst>
            <a:ext uri="{FF2B5EF4-FFF2-40B4-BE49-F238E27FC236}">
              <a16:creationId xmlns:a16="http://schemas.microsoft.com/office/drawing/2014/main" id="{BC84BFED-D3DC-4B27-B417-DF24C5E85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38831</xdr:colOff>
      <xdr:row>23</xdr:row>
      <xdr:rowOff>70365</xdr:rowOff>
    </xdr:from>
    <xdr:to>
      <xdr:col>16</xdr:col>
      <xdr:colOff>572231</xdr:colOff>
      <xdr:row>33</xdr:row>
      <xdr:rowOff>38100</xdr:rowOff>
    </xdr:to>
    <xdr:graphicFrame macro="">
      <xdr:nvGraphicFramePr>
        <xdr:cNvPr id="16" name="Chart 15">
          <a:extLst>
            <a:ext uri="{FF2B5EF4-FFF2-40B4-BE49-F238E27FC236}">
              <a16:creationId xmlns:a16="http://schemas.microsoft.com/office/drawing/2014/main" id="{C98C91B7-13C0-465B-BBE9-5B6FF33E3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91440</xdr:colOff>
      <xdr:row>9</xdr:row>
      <xdr:rowOff>114300</xdr:rowOff>
    </xdr:from>
    <xdr:to>
      <xdr:col>21</xdr:col>
      <xdr:colOff>395512</xdr:colOff>
      <xdr:row>19</xdr:row>
      <xdr:rowOff>159142</xdr:rowOff>
    </xdr:to>
    <xdr:graphicFrame macro="">
      <xdr:nvGraphicFramePr>
        <xdr:cNvPr id="17" name="Chart 16">
          <a:extLst>
            <a:ext uri="{FF2B5EF4-FFF2-40B4-BE49-F238E27FC236}">
              <a16:creationId xmlns:a16="http://schemas.microsoft.com/office/drawing/2014/main" id="{6D491CC6-9F33-4EAE-98F9-B43F900BA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34290</xdr:colOff>
      <xdr:row>4</xdr:row>
      <xdr:rowOff>99060</xdr:rowOff>
    </xdr:from>
    <xdr:to>
      <xdr:col>16</xdr:col>
      <xdr:colOff>26670</xdr:colOff>
      <xdr:row>8</xdr:row>
      <xdr:rowOff>38100</xdr:rowOff>
    </xdr:to>
    <xdr:sp macro="" textlink="Processing!P1">
      <xdr:nvSpPr>
        <xdr:cNvPr id="18" name="TextBox 17">
          <a:extLst>
            <a:ext uri="{FF2B5EF4-FFF2-40B4-BE49-F238E27FC236}">
              <a16:creationId xmlns:a16="http://schemas.microsoft.com/office/drawing/2014/main" id="{D61AA928-1A92-42DA-989B-42CFA5AE83DF}"/>
            </a:ext>
          </a:extLst>
        </xdr:cNvPr>
        <xdr:cNvSpPr txBox="1"/>
      </xdr:nvSpPr>
      <xdr:spPr>
        <a:xfrm>
          <a:off x="4911090" y="830580"/>
          <a:ext cx="4869180" cy="67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AFA7E3-D982-4DCE-8311-24F164F1C349}" type="TxLink">
            <a:rPr lang="en-US" sz="2800" b="0" i="0" u="none" strike="noStrike">
              <a:solidFill>
                <a:schemeClr val="tx1"/>
              </a:solidFill>
              <a:latin typeface="Aptos Narrow"/>
            </a:rPr>
            <a:pPr algn="ctr"/>
            <a:t>Sales Profitability Dashboard</a:t>
          </a:fld>
          <a:endParaRPr lang="ru-RU" sz="2800">
            <a:solidFill>
              <a:schemeClr val="tx1"/>
            </a:solidFill>
          </a:endParaRPr>
        </a:p>
      </xdr:txBody>
    </xdr:sp>
    <xdr:clientData/>
  </xdr:twoCellAnchor>
  <xdr:twoCellAnchor>
    <xdr:from>
      <xdr:col>12</xdr:col>
      <xdr:colOff>411480</xdr:colOff>
      <xdr:row>10</xdr:row>
      <xdr:rowOff>45720</xdr:rowOff>
    </xdr:from>
    <xdr:to>
      <xdr:col>15</xdr:col>
      <xdr:colOff>0</xdr:colOff>
      <xdr:row>12</xdr:row>
      <xdr:rowOff>7620</xdr:rowOff>
    </xdr:to>
    <xdr:sp macro="" textlink="Processing!B1">
      <xdr:nvSpPr>
        <xdr:cNvPr id="19" name="TextBox 18">
          <a:extLst>
            <a:ext uri="{FF2B5EF4-FFF2-40B4-BE49-F238E27FC236}">
              <a16:creationId xmlns:a16="http://schemas.microsoft.com/office/drawing/2014/main" id="{6C16B3B0-9222-4527-9F42-421D74826A90}"/>
            </a:ext>
          </a:extLst>
        </xdr:cNvPr>
        <xdr:cNvSpPr txBox="1"/>
      </xdr:nvSpPr>
      <xdr:spPr>
        <a:xfrm>
          <a:off x="7726680" y="187452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EBDB900-EE2F-4AA6-B860-CDEF06AE6B57}" type="TxLink">
            <a:rPr lang="en-US" sz="1400" b="0" i="0" u="none" strike="noStrike">
              <a:solidFill>
                <a:schemeClr val="bg1"/>
              </a:solidFill>
              <a:latin typeface="Aptos Narrow"/>
            </a:rPr>
            <a:pPr algn="l"/>
            <a:t>Investments</a:t>
          </a:fld>
          <a:endParaRPr lang="ru-RU" sz="3600">
            <a:solidFill>
              <a:schemeClr val="bg1"/>
            </a:solidFill>
          </a:endParaRPr>
        </a:p>
      </xdr:txBody>
    </xdr:sp>
    <xdr:clientData/>
  </xdr:twoCellAnchor>
  <xdr:twoCellAnchor>
    <xdr:from>
      <xdr:col>12</xdr:col>
      <xdr:colOff>411480</xdr:colOff>
      <xdr:row>14</xdr:row>
      <xdr:rowOff>30480</xdr:rowOff>
    </xdr:from>
    <xdr:to>
      <xdr:col>15</xdr:col>
      <xdr:colOff>114300</xdr:colOff>
      <xdr:row>15</xdr:row>
      <xdr:rowOff>175260</xdr:rowOff>
    </xdr:to>
    <xdr:sp macro="" textlink="Processing!C1">
      <xdr:nvSpPr>
        <xdr:cNvPr id="20" name="TextBox 19">
          <a:extLst>
            <a:ext uri="{FF2B5EF4-FFF2-40B4-BE49-F238E27FC236}">
              <a16:creationId xmlns:a16="http://schemas.microsoft.com/office/drawing/2014/main" id="{4BE3A57E-6E20-4A2E-A04A-8AA95055A013}"/>
            </a:ext>
          </a:extLst>
        </xdr:cNvPr>
        <xdr:cNvSpPr txBox="1"/>
      </xdr:nvSpPr>
      <xdr:spPr>
        <a:xfrm>
          <a:off x="7726680" y="259080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F79593B-4C91-4E5C-A7F9-01D05C8FA786}" type="TxLink">
            <a:rPr lang="en-US" sz="1400" b="0" i="0" u="none" strike="noStrike">
              <a:solidFill>
                <a:schemeClr val="bg1"/>
              </a:solidFill>
              <a:latin typeface="Aptos Narrow"/>
              <a:ea typeface="+mn-ea"/>
              <a:cs typeface="+mn-cs"/>
            </a:rPr>
            <a:pPr marL="0" indent="0" algn="l"/>
            <a:t>Sales Volume</a:t>
          </a:fld>
          <a:endParaRPr lang="ru-RU" sz="1400" b="0" i="0" u="none" strike="noStrike">
            <a:solidFill>
              <a:schemeClr val="bg1"/>
            </a:solidFill>
            <a:latin typeface="Aptos Narrow"/>
            <a:ea typeface="+mn-ea"/>
            <a:cs typeface="+mn-cs"/>
          </a:endParaRPr>
        </a:p>
      </xdr:txBody>
    </xdr:sp>
    <xdr:clientData/>
  </xdr:twoCellAnchor>
  <xdr:twoCellAnchor>
    <xdr:from>
      <xdr:col>17</xdr:col>
      <xdr:colOff>68580</xdr:colOff>
      <xdr:row>9</xdr:row>
      <xdr:rowOff>53340</xdr:rowOff>
    </xdr:from>
    <xdr:to>
      <xdr:col>18</xdr:col>
      <xdr:colOff>160020</xdr:colOff>
      <xdr:row>11</xdr:row>
      <xdr:rowOff>15240</xdr:rowOff>
    </xdr:to>
    <xdr:sp macro="" textlink="Processing!J20">
      <xdr:nvSpPr>
        <xdr:cNvPr id="21" name="TextBox 20">
          <a:extLst>
            <a:ext uri="{FF2B5EF4-FFF2-40B4-BE49-F238E27FC236}">
              <a16:creationId xmlns:a16="http://schemas.microsoft.com/office/drawing/2014/main" id="{D8EC65AC-96B8-43B8-9214-B2E23BFA257C}"/>
            </a:ext>
          </a:extLst>
        </xdr:cNvPr>
        <xdr:cNvSpPr txBox="1"/>
      </xdr:nvSpPr>
      <xdr:spPr>
        <a:xfrm>
          <a:off x="10431780" y="169926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5EC9B3-2A4A-4AC1-9873-86C91B8549DF}" type="TxLink">
            <a:rPr lang="en-US" sz="1800" b="0" i="0" u="none" strike="noStrike">
              <a:solidFill>
                <a:schemeClr val="tx1"/>
              </a:solidFill>
              <a:latin typeface="Aptos Narrow"/>
              <a:ea typeface="+mn-ea"/>
              <a:cs typeface="+mn-cs"/>
            </a:rPr>
            <a:pPr marL="0" indent="0"/>
            <a:t>ROI</a:t>
          </a:fld>
          <a:endParaRPr lang="ru-RU" sz="1800" b="0" i="0" u="none" strike="noStrike">
            <a:solidFill>
              <a:schemeClr val="tx1"/>
            </a:solidFill>
            <a:latin typeface="Aptos Narrow"/>
            <a:ea typeface="+mn-ea"/>
            <a:cs typeface="+mn-cs"/>
          </a:endParaRPr>
        </a:p>
      </xdr:txBody>
    </xdr:sp>
    <xdr:clientData/>
  </xdr:twoCellAnchor>
  <xdr:twoCellAnchor>
    <xdr:from>
      <xdr:col>17</xdr:col>
      <xdr:colOff>45720</xdr:colOff>
      <xdr:row>16</xdr:row>
      <xdr:rowOff>83820</xdr:rowOff>
    </xdr:from>
    <xdr:to>
      <xdr:col>18</xdr:col>
      <xdr:colOff>137160</xdr:colOff>
      <xdr:row>18</xdr:row>
      <xdr:rowOff>45720</xdr:rowOff>
    </xdr:to>
    <xdr:sp macro="" textlink="Processing!J24">
      <xdr:nvSpPr>
        <xdr:cNvPr id="22" name="TextBox 21">
          <a:extLst>
            <a:ext uri="{FF2B5EF4-FFF2-40B4-BE49-F238E27FC236}">
              <a16:creationId xmlns:a16="http://schemas.microsoft.com/office/drawing/2014/main" id="{27FDD8E9-2771-4581-8C45-37F404FCD761}"/>
            </a:ext>
          </a:extLst>
        </xdr:cNvPr>
        <xdr:cNvSpPr txBox="1"/>
      </xdr:nvSpPr>
      <xdr:spPr>
        <a:xfrm>
          <a:off x="10408920" y="300990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75CC82-02FE-4122-8891-3041361035D0}" type="TxLink">
            <a:rPr lang="en-US" sz="1800" b="0" i="0" u="none" strike="noStrike">
              <a:solidFill>
                <a:schemeClr val="tx1"/>
              </a:solidFill>
              <a:latin typeface="Aptos Narrow"/>
              <a:ea typeface="+mn-ea"/>
              <a:cs typeface="+mn-cs"/>
            </a:rPr>
            <a:pPr marL="0" indent="0"/>
            <a:t>Profit</a:t>
          </a:fld>
          <a:endParaRPr lang="ru-RU" sz="1800" b="0" i="0" u="none" strike="noStrike">
            <a:solidFill>
              <a:schemeClr val="tx1"/>
            </a:solidFill>
            <a:latin typeface="Aptos Narrow"/>
            <a:ea typeface="+mn-ea"/>
            <a:cs typeface="+mn-cs"/>
          </a:endParaRPr>
        </a:p>
      </xdr:txBody>
    </xdr:sp>
    <xdr:clientData/>
  </xdr:twoCellAnchor>
  <xdr:twoCellAnchor>
    <xdr:from>
      <xdr:col>19</xdr:col>
      <xdr:colOff>82098</xdr:colOff>
      <xdr:row>13</xdr:row>
      <xdr:rowOff>125616</xdr:rowOff>
    </xdr:from>
    <xdr:to>
      <xdr:col>20</xdr:col>
      <xdr:colOff>405582</xdr:colOff>
      <xdr:row>15</xdr:row>
      <xdr:rowOff>156325</xdr:rowOff>
    </xdr:to>
    <xdr:sp macro="" textlink="Processing!K20">
      <xdr:nvSpPr>
        <xdr:cNvPr id="23" name="TextBox 22">
          <a:extLst>
            <a:ext uri="{FF2B5EF4-FFF2-40B4-BE49-F238E27FC236}">
              <a16:creationId xmlns:a16="http://schemas.microsoft.com/office/drawing/2014/main" id="{757CE3A3-B21B-449D-8530-5FDA96D0AE4D}"/>
            </a:ext>
          </a:extLst>
        </xdr:cNvPr>
        <xdr:cNvSpPr txBox="1"/>
      </xdr:nvSpPr>
      <xdr:spPr>
        <a:xfrm>
          <a:off x="11664498" y="2503056"/>
          <a:ext cx="93308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DB45C4-5730-4E15-A21C-6CDCEBC2E35C}" type="TxLink">
            <a:rPr lang="en-US" sz="2400" b="0" i="0" u="none" strike="noStrike">
              <a:solidFill>
                <a:schemeClr val="tx1"/>
              </a:solidFill>
              <a:latin typeface="Aptos Narrow"/>
              <a:ea typeface="+mn-ea"/>
              <a:cs typeface="+mn-cs"/>
            </a:rPr>
            <a:pPr marL="0" indent="0" algn="ctr"/>
            <a:t>40%</a:t>
          </a:fld>
          <a:endParaRPr lang="ru-RU" sz="6600" b="0" i="0" u="none" strike="noStrike">
            <a:solidFill>
              <a:schemeClr val="tx1"/>
            </a:solidFill>
            <a:latin typeface="Aptos Narrow"/>
            <a:ea typeface="+mn-ea"/>
            <a:cs typeface="+mn-cs"/>
          </a:endParaRPr>
        </a:p>
      </xdr:txBody>
    </xdr:sp>
    <xdr:clientData/>
  </xdr:twoCellAnchor>
  <xdr:twoCellAnchor>
    <xdr:from>
      <xdr:col>2</xdr:col>
      <xdr:colOff>339090</xdr:colOff>
      <xdr:row>8</xdr:row>
      <xdr:rowOff>15240</xdr:rowOff>
    </xdr:from>
    <xdr:to>
      <xdr:col>10</xdr:col>
      <xdr:colOff>331470</xdr:colOff>
      <xdr:row>10</xdr:row>
      <xdr:rowOff>60960</xdr:rowOff>
    </xdr:to>
    <xdr:sp macro="" textlink="Processing!A1">
      <xdr:nvSpPr>
        <xdr:cNvPr id="24" name="TextBox 23">
          <a:extLst>
            <a:ext uri="{FF2B5EF4-FFF2-40B4-BE49-F238E27FC236}">
              <a16:creationId xmlns:a16="http://schemas.microsoft.com/office/drawing/2014/main" id="{4D3EFE8E-359C-45DB-944E-15652D7C19E6}"/>
            </a:ext>
          </a:extLst>
        </xdr:cNvPr>
        <xdr:cNvSpPr txBox="1"/>
      </xdr:nvSpPr>
      <xdr:spPr>
        <a:xfrm>
          <a:off x="1558290" y="1478280"/>
          <a:ext cx="48691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4459621-2277-4489-9B6A-52BACD32B2C4}" type="TxLink">
            <a:rPr lang="en-US" sz="2000" b="0" i="0" u="none" strike="noStrike">
              <a:solidFill>
                <a:srgbClr val="A2ADBE"/>
              </a:solidFill>
              <a:latin typeface="Aptos Narrow"/>
              <a:ea typeface="+mn-ea"/>
              <a:cs typeface="+mn-cs"/>
            </a:rPr>
            <a:pPr marL="0" indent="0" algn="l"/>
            <a:t>Investments vs Sales Volume</a:t>
          </a:fld>
          <a:endParaRPr lang="ru-RU" sz="2000" b="0" i="0" u="none" strike="noStrike">
            <a:solidFill>
              <a:srgbClr val="A2ADBE"/>
            </a:solidFill>
            <a:latin typeface="Aptos Narrow"/>
            <a:ea typeface="+mn-ea"/>
            <a:cs typeface="+mn-cs"/>
          </a:endParaRPr>
        </a:p>
      </xdr:txBody>
    </xdr:sp>
    <xdr:clientData/>
  </xdr:twoCellAnchor>
  <xdr:twoCellAnchor>
    <xdr:from>
      <xdr:col>3</xdr:col>
      <xdr:colOff>30480</xdr:colOff>
      <xdr:row>11</xdr:row>
      <xdr:rowOff>53340</xdr:rowOff>
    </xdr:from>
    <xdr:to>
      <xdr:col>5</xdr:col>
      <xdr:colOff>228600</xdr:colOff>
      <xdr:row>13</xdr:row>
      <xdr:rowOff>15240</xdr:rowOff>
    </xdr:to>
    <xdr:sp macro="" textlink="Processing!B1">
      <xdr:nvSpPr>
        <xdr:cNvPr id="25" name="TextBox 24">
          <a:extLst>
            <a:ext uri="{FF2B5EF4-FFF2-40B4-BE49-F238E27FC236}">
              <a16:creationId xmlns:a16="http://schemas.microsoft.com/office/drawing/2014/main" id="{76E91B6F-30FD-4EFD-B0C9-A0EE542569FD}"/>
            </a:ext>
          </a:extLst>
        </xdr:cNvPr>
        <xdr:cNvSpPr txBox="1"/>
      </xdr:nvSpPr>
      <xdr:spPr>
        <a:xfrm>
          <a:off x="1859280" y="206502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BDB900-EE2F-4AA6-B860-CDEF06AE6B57}" type="TxLink">
            <a:rPr lang="en-US" sz="1400" b="0" i="0" u="none" strike="noStrike">
              <a:solidFill>
                <a:schemeClr val="tx1"/>
              </a:solidFill>
              <a:latin typeface="Aptos Narrow"/>
            </a:rPr>
            <a:pPr/>
            <a:t>Investments</a:t>
          </a:fld>
          <a:endParaRPr lang="ru-RU" sz="3600">
            <a:solidFill>
              <a:schemeClr val="tx1"/>
            </a:solidFill>
          </a:endParaRPr>
        </a:p>
      </xdr:txBody>
    </xdr:sp>
    <xdr:clientData/>
  </xdr:twoCellAnchor>
  <xdr:twoCellAnchor>
    <xdr:from>
      <xdr:col>7</xdr:col>
      <xdr:colOff>281940</xdr:colOff>
      <xdr:row>11</xdr:row>
      <xdr:rowOff>53340</xdr:rowOff>
    </xdr:from>
    <xdr:to>
      <xdr:col>9</xdr:col>
      <xdr:colOff>594360</xdr:colOff>
      <xdr:row>13</xdr:row>
      <xdr:rowOff>15240</xdr:rowOff>
    </xdr:to>
    <xdr:sp macro="" textlink="Processing!C1">
      <xdr:nvSpPr>
        <xdr:cNvPr id="26" name="TextBox 25">
          <a:extLst>
            <a:ext uri="{FF2B5EF4-FFF2-40B4-BE49-F238E27FC236}">
              <a16:creationId xmlns:a16="http://schemas.microsoft.com/office/drawing/2014/main" id="{AB6F85D2-B05E-47B9-8183-E329E9EB667D}"/>
            </a:ext>
          </a:extLst>
        </xdr:cNvPr>
        <xdr:cNvSpPr txBox="1"/>
      </xdr:nvSpPr>
      <xdr:spPr>
        <a:xfrm>
          <a:off x="4549140" y="206502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F79593B-4C91-4E5C-A7F9-01D05C8FA786}" type="TxLink">
            <a:rPr lang="en-US" sz="1400" b="0" i="0" u="none" strike="noStrike">
              <a:solidFill>
                <a:schemeClr val="tx1"/>
              </a:solidFill>
              <a:latin typeface="Aptos Narrow"/>
              <a:ea typeface="+mn-ea"/>
              <a:cs typeface="+mn-cs"/>
            </a:rPr>
            <a:pPr marL="0" indent="0"/>
            <a:t>Sales Volume</a:t>
          </a:fld>
          <a:endParaRPr lang="ru-RU" sz="1400" b="0" i="0" u="none" strike="noStrike">
            <a:solidFill>
              <a:schemeClr val="tx1"/>
            </a:solidFill>
            <a:latin typeface="Aptos Narrow"/>
            <a:ea typeface="+mn-ea"/>
            <a:cs typeface="+mn-cs"/>
          </a:endParaRPr>
        </a:p>
      </xdr:txBody>
    </xdr:sp>
    <xdr:clientData/>
  </xdr:twoCellAnchor>
  <xdr:twoCellAnchor>
    <xdr:from>
      <xdr:col>2</xdr:col>
      <xdr:colOff>533400</xdr:colOff>
      <xdr:row>11</xdr:row>
      <xdr:rowOff>144780</xdr:rowOff>
    </xdr:from>
    <xdr:to>
      <xdr:col>3</xdr:col>
      <xdr:colOff>42672</xdr:colOff>
      <xdr:row>12</xdr:row>
      <xdr:rowOff>80772</xdr:rowOff>
    </xdr:to>
    <xdr:sp macro="" textlink="">
      <xdr:nvSpPr>
        <xdr:cNvPr id="27" name="Oval 26">
          <a:extLst>
            <a:ext uri="{FF2B5EF4-FFF2-40B4-BE49-F238E27FC236}">
              <a16:creationId xmlns:a16="http://schemas.microsoft.com/office/drawing/2014/main" id="{653613EB-0CCE-4CF6-B982-A1130DFA5F88}"/>
            </a:ext>
          </a:extLst>
        </xdr:cNvPr>
        <xdr:cNvSpPr/>
      </xdr:nvSpPr>
      <xdr:spPr>
        <a:xfrm>
          <a:off x="1752600" y="2156460"/>
          <a:ext cx="118872" cy="118872"/>
        </a:xfrm>
        <a:prstGeom prst="ellipse">
          <a:avLst/>
        </a:prstGeom>
        <a:gradFill flip="none" rotWithShape="1">
          <a:gsLst>
            <a:gs pos="6000">
              <a:srgbClr val="F17EEC"/>
            </a:gs>
            <a:gs pos="100000">
              <a:srgbClr val="EE0078"/>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160020</xdr:colOff>
      <xdr:row>11</xdr:row>
      <xdr:rowOff>144780</xdr:rowOff>
    </xdr:from>
    <xdr:to>
      <xdr:col>7</xdr:col>
      <xdr:colOff>278892</xdr:colOff>
      <xdr:row>12</xdr:row>
      <xdr:rowOff>80772</xdr:rowOff>
    </xdr:to>
    <xdr:sp macro="" textlink="">
      <xdr:nvSpPr>
        <xdr:cNvPr id="28" name="Oval 27">
          <a:extLst>
            <a:ext uri="{FF2B5EF4-FFF2-40B4-BE49-F238E27FC236}">
              <a16:creationId xmlns:a16="http://schemas.microsoft.com/office/drawing/2014/main" id="{99753B29-34E5-4285-84D8-F11C821D1B4B}"/>
            </a:ext>
          </a:extLst>
        </xdr:cNvPr>
        <xdr:cNvSpPr/>
      </xdr:nvSpPr>
      <xdr:spPr>
        <a:xfrm>
          <a:off x="4427220" y="2156460"/>
          <a:ext cx="118872" cy="118872"/>
        </a:xfrm>
        <a:prstGeom prst="ellipse">
          <a:avLst/>
        </a:prstGeom>
        <a:gradFill>
          <a:gsLst>
            <a:gs pos="33000">
              <a:srgbClr val="00C6D1"/>
            </a:gs>
            <a:gs pos="100000">
              <a:srgbClr val="F2ECFF"/>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2</xdr:col>
      <xdr:colOff>361950</xdr:colOff>
      <xdr:row>4</xdr:row>
      <xdr:rowOff>175261</xdr:rowOff>
    </xdr:from>
    <xdr:to>
      <xdr:col>5</xdr:col>
      <xdr:colOff>361950</xdr:colOff>
      <xdr:row>6</xdr:row>
      <xdr:rowOff>161925</xdr:rowOff>
    </xdr:to>
    <mc:AlternateContent xmlns:mc="http://schemas.openxmlformats.org/markup-compatibility/2006" xmlns:a14="http://schemas.microsoft.com/office/drawing/2010/main">
      <mc:Choice Requires="a14">
        <xdr:graphicFrame macro="">
          <xdr:nvGraphicFramePr>
            <xdr:cNvPr id="29" name="Year 4">
              <a:extLst>
                <a:ext uri="{FF2B5EF4-FFF2-40B4-BE49-F238E27FC236}">
                  <a16:creationId xmlns:a16="http://schemas.microsoft.com/office/drawing/2014/main" id="{6D03B926-BBFB-4023-8F76-B3017FB38265}"/>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581150" y="906781"/>
              <a:ext cx="1828800" cy="4648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304800</xdr:colOff>
      <xdr:row>30</xdr:row>
      <xdr:rowOff>91440</xdr:rowOff>
    </xdr:from>
    <xdr:to>
      <xdr:col>11</xdr:col>
      <xdr:colOff>396240</xdr:colOff>
      <xdr:row>32</xdr:row>
      <xdr:rowOff>155448</xdr:rowOff>
    </xdr:to>
    <mc:AlternateContent xmlns:mc="http://schemas.openxmlformats.org/markup-compatibility/2006" xmlns:a14="http://schemas.microsoft.com/office/drawing/2010/main">
      <mc:Choice Requires="a14">
        <xdr:graphicFrame macro="">
          <xdr:nvGraphicFramePr>
            <xdr:cNvPr id="30" name="Month 4">
              <a:extLst>
                <a:ext uri="{FF2B5EF4-FFF2-40B4-BE49-F238E27FC236}">
                  <a16:creationId xmlns:a16="http://schemas.microsoft.com/office/drawing/2014/main" id="{057BA043-92A3-40EF-B1D3-06D0E7EA1908}"/>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524000" y="5577840"/>
              <a:ext cx="55778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327660</xdr:colOff>
      <xdr:row>5</xdr:row>
      <xdr:rowOff>0</xdr:rowOff>
    </xdr:from>
    <xdr:to>
      <xdr:col>19</xdr:col>
      <xdr:colOff>525780</xdr:colOff>
      <xdr:row>6</xdr:row>
      <xdr:rowOff>144780</xdr:rowOff>
    </xdr:to>
    <xdr:sp macro="" textlink="Processing!P3">
      <xdr:nvSpPr>
        <xdr:cNvPr id="31" name="TextBox 30">
          <a:extLst>
            <a:ext uri="{FF2B5EF4-FFF2-40B4-BE49-F238E27FC236}">
              <a16:creationId xmlns:a16="http://schemas.microsoft.com/office/drawing/2014/main" id="{6496C03F-60EB-40D1-8FD2-1B6E8C699FB3}"/>
            </a:ext>
          </a:extLst>
        </xdr:cNvPr>
        <xdr:cNvSpPr txBox="1"/>
      </xdr:nvSpPr>
      <xdr:spPr>
        <a:xfrm>
          <a:off x="10690860" y="91440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4BF34E8-F5F7-4FD4-B740-151B677084AF}" type="TxLink">
            <a:rPr lang="en-US" sz="2000" b="0" i="0" u="none" strike="noStrike">
              <a:solidFill>
                <a:srgbClr val="A2ADBE"/>
              </a:solidFill>
              <a:latin typeface="Aptos Narrow"/>
              <a:ea typeface="+mn-ea"/>
              <a:cs typeface="+mn-cs"/>
            </a:rPr>
            <a:pPr marL="0" indent="0" algn="ctr"/>
            <a:t>JANUARY</a:t>
          </a:fld>
          <a:endParaRPr lang="ru-RU" sz="2000" b="0" i="0" u="none" strike="noStrike">
            <a:solidFill>
              <a:srgbClr val="A2ADBE"/>
            </a:solidFill>
            <a:latin typeface="Aptos Narrow"/>
            <a:ea typeface="+mn-ea"/>
            <a:cs typeface="+mn-cs"/>
          </a:endParaRPr>
        </a:p>
      </xdr:txBody>
    </xdr:sp>
    <xdr:clientData/>
  </xdr:twoCellAnchor>
  <xdr:twoCellAnchor>
    <xdr:from>
      <xdr:col>20</xdr:col>
      <xdr:colOff>30480</xdr:colOff>
      <xdr:row>5</xdr:row>
      <xdr:rowOff>0</xdr:rowOff>
    </xdr:from>
    <xdr:to>
      <xdr:col>21</xdr:col>
      <xdr:colOff>152400</xdr:colOff>
      <xdr:row>6</xdr:row>
      <xdr:rowOff>144780</xdr:rowOff>
    </xdr:to>
    <xdr:sp macro="" textlink="Processing!Q3">
      <xdr:nvSpPr>
        <xdr:cNvPr id="32" name="TextBox 31">
          <a:extLst>
            <a:ext uri="{FF2B5EF4-FFF2-40B4-BE49-F238E27FC236}">
              <a16:creationId xmlns:a16="http://schemas.microsoft.com/office/drawing/2014/main" id="{3ACB12DC-327B-4EAA-8BA0-E3158A8B7A30}"/>
            </a:ext>
          </a:extLst>
        </xdr:cNvPr>
        <xdr:cNvSpPr txBox="1"/>
      </xdr:nvSpPr>
      <xdr:spPr>
        <a:xfrm>
          <a:off x="12222480" y="914400"/>
          <a:ext cx="7315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1DB63C7-1528-4BD2-A1EF-C64AF007758D}" type="TxLink">
            <a:rPr lang="en-US" sz="2000" b="0" i="0" u="none" strike="noStrike">
              <a:solidFill>
                <a:srgbClr val="A2ADBE"/>
              </a:solidFill>
              <a:latin typeface="Aptos Narrow"/>
              <a:ea typeface="+mn-ea"/>
              <a:cs typeface="+mn-cs"/>
            </a:rPr>
            <a:pPr marL="0" indent="0" algn="l"/>
            <a:t>2024</a:t>
          </a:fld>
          <a:endParaRPr lang="ru-RU" sz="2000" b="0" i="0" u="none" strike="noStrike">
            <a:solidFill>
              <a:srgbClr val="A2ADBE"/>
            </a:solidFill>
            <a:latin typeface="Aptos Narrow"/>
            <a:ea typeface="+mn-ea"/>
            <a:cs typeface="+mn-cs"/>
          </a:endParaRPr>
        </a:p>
      </xdr:txBody>
    </xdr:sp>
    <xdr:clientData/>
  </xdr:twoCellAnchor>
  <xdr:twoCellAnchor>
    <xdr:from>
      <xdr:col>4</xdr:col>
      <xdr:colOff>480060</xdr:colOff>
      <xdr:row>11</xdr:row>
      <xdr:rowOff>53340</xdr:rowOff>
    </xdr:from>
    <xdr:to>
      <xdr:col>7</xdr:col>
      <xdr:colOff>68580</xdr:colOff>
      <xdr:row>13</xdr:row>
      <xdr:rowOff>15240</xdr:rowOff>
    </xdr:to>
    <xdr:sp macro="" textlink="Processing!B14">
      <xdr:nvSpPr>
        <xdr:cNvPr id="33" name="TextBox 32">
          <a:extLst>
            <a:ext uri="{FF2B5EF4-FFF2-40B4-BE49-F238E27FC236}">
              <a16:creationId xmlns:a16="http://schemas.microsoft.com/office/drawing/2014/main" id="{F79F612E-DB09-4E8E-8DC7-18E6F14EDC67}"/>
            </a:ext>
          </a:extLst>
        </xdr:cNvPr>
        <xdr:cNvSpPr txBox="1"/>
      </xdr:nvSpPr>
      <xdr:spPr>
        <a:xfrm>
          <a:off x="2918460" y="206502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6439A9-B9CB-4FFD-8272-542CD56BA126}" type="TxLink">
            <a:rPr lang="en-US" sz="1800" b="0" i="0" u="none" strike="noStrike">
              <a:solidFill>
                <a:schemeClr val="tx1"/>
              </a:solidFill>
              <a:latin typeface="Aptos Narrow"/>
            </a:rPr>
            <a:pPr/>
            <a:t> $28,026 </a:t>
          </a:fld>
          <a:endParaRPr lang="ru-RU" sz="5400">
            <a:solidFill>
              <a:schemeClr val="tx1"/>
            </a:solidFill>
          </a:endParaRPr>
        </a:p>
      </xdr:txBody>
    </xdr:sp>
    <xdr:clientData/>
  </xdr:twoCellAnchor>
  <xdr:twoCellAnchor>
    <xdr:from>
      <xdr:col>9</xdr:col>
      <xdr:colOff>182880</xdr:colOff>
      <xdr:row>11</xdr:row>
      <xdr:rowOff>53340</xdr:rowOff>
    </xdr:from>
    <xdr:to>
      <xdr:col>11</xdr:col>
      <xdr:colOff>495300</xdr:colOff>
      <xdr:row>13</xdr:row>
      <xdr:rowOff>15240</xdr:rowOff>
    </xdr:to>
    <xdr:sp macro="" textlink="Processing!C14">
      <xdr:nvSpPr>
        <xdr:cNvPr id="34" name="TextBox 33">
          <a:extLst>
            <a:ext uri="{FF2B5EF4-FFF2-40B4-BE49-F238E27FC236}">
              <a16:creationId xmlns:a16="http://schemas.microsoft.com/office/drawing/2014/main" id="{4DEBF9E5-527E-41E1-AB47-622816BACC74}"/>
            </a:ext>
          </a:extLst>
        </xdr:cNvPr>
        <xdr:cNvSpPr txBox="1"/>
      </xdr:nvSpPr>
      <xdr:spPr>
        <a:xfrm>
          <a:off x="5669280" y="206502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14B0A2D-F709-4464-8B49-818C8EA63014}" type="TxLink">
            <a:rPr lang="en-US" sz="1800" b="0" i="0" u="none" strike="noStrike">
              <a:solidFill>
                <a:schemeClr val="tx1"/>
              </a:solidFill>
              <a:latin typeface="Aptos Narrow"/>
              <a:ea typeface="+mn-ea"/>
              <a:cs typeface="+mn-cs"/>
            </a:rPr>
            <a:pPr marL="0" indent="0"/>
            <a:t> $33,543 </a:t>
          </a:fld>
          <a:endParaRPr lang="ru-RU" sz="2400" b="0" i="0" u="none" strike="noStrike">
            <a:solidFill>
              <a:schemeClr val="tx1"/>
            </a:solidFill>
            <a:latin typeface="Aptos Narrow"/>
            <a:ea typeface="+mn-ea"/>
            <a:cs typeface="+mn-cs"/>
          </a:endParaRPr>
        </a:p>
      </xdr:txBody>
    </xdr:sp>
    <xdr:clientData/>
  </xdr:twoCellAnchor>
  <xdr:twoCellAnchor>
    <xdr:from>
      <xdr:col>12</xdr:col>
      <xdr:colOff>304800</xdr:colOff>
      <xdr:row>15</xdr:row>
      <xdr:rowOff>160020</xdr:rowOff>
    </xdr:from>
    <xdr:to>
      <xdr:col>15</xdr:col>
      <xdr:colOff>121920</xdr:colOff>
      <xdr:row>17</xdr:row>
      <xdr:rowOff>121920</xdr:rowOff>
    </xdr:to>
    <xdr:sp macro="" textlink="Processing!C14">
      <xdr:nvSpPr>
        <xdr:cNvPr id="35" name="TextBox 34">
          <a:extLst>
            <a:ext uri="{FF2B5EF4-FFF2-40B4-BE49-F238E27FC236}">
              <a16:creationId xmlns:a16="http://schemas.microsoft.com/office/drawing/2014/main" id="{F4AAC22A-C19B-4932-B8C5-589A7BE99FEA}"/>
            </a:ext>
          </a:extLst>
        </xdr:cNvPr>
        <xdr:cNvSpPr txBox="1"/>
      </xdr:nvSpPr>
      <xdr:spPr>
        <a:xfrm>
          <a:off x="7620000" y="290322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77A68F2-9086-49F9-A77A-937410EA236B}" type="TxLink">
            <a:rPr lang="en-US" sz="2400" b="0" i="0" u="none" strike="noStrike">
              <a:solidFill>
                <a:schemeClr val="bg1"/>
              </a:solidFill>
              <a:latin typeface="Aptos Narrow"/>
              <a:ea typeface="+mn-ea"/>
              <a:cs typeface="+mn-cs"/>
            </a:rPr>
            <a:pPr marL="0" indent="0" algn="l"/>
            <a:t> $33,543 </a:t>
          </a:fld>
          <a:endParaRPr lang="ru-RU" sz="2400" b="0" i="0" u="none" strike="noStrike">
            <a:solidFill>
              <a:schemeClr val="bg1"/>
            </a:solidFill>
            <a:latin typeface="Aptos Narrow"/>
            <a:ea typeface="+mn-ea"/>
            <a:cs typeface="+mn-cs"/>
          </a:endParaRPr>
        </a:p>
      </xdr:txBody>
    </xdr:sp>
    <xdr:clientData/>
  </xdr:twoCellAnchor>
  <xdr:twoCellAnchor>
    <xdr:from>
      <xdr:col>12</xdr:col>
      <xdr:colOff>327660</xdr:colOff>
      <xdr:row>12</xdr:row>
      <xdr:rowOff>0</xdr:rowOff>
    </xdr:from>
    <xdr:to>
      <xdr:col>15</xdr:col>
      <xdr:colOff>144780</xdr:colOff>
      <xdr:row>13</xdr:row>
      <xdr:rowOff>144780</xdr:rowOff>
    </xdr:to>
    <xdr:sp macro="" textlink="Processing!B14">
      <xdr:nvSpPr>
        <xdr:cNvPr id="36" name="TextBox 35">
          <a:extLst>
            <a:ext uri="{FF2B5EF4-FFF2-40B4-BE49-F238E27FC236}">
              <a16:creationId xmlns:a16="http://schemas.microsoft.com/office/drawing/2014/main" id="{92032B07-F89C-4241-B583-18995B7BA618}"/>
            </a:ext>
          </a:extLst>
        </xdr:cNvPr>
        <xdr:cNvSpPr txBox="1"/>
      </xdr:nvSpPr>
      <xdr:spPr>
        <a:xfrm>
          <a:off x="7642860" y="219456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176861D-A161-4D96-8756-6AC7C156A8BD}" type="TxLink">
            <a:rPr lang="en-US" sz="2400" b="0" i="0" u="none" strike="noStrike">
              <a:solidFill>
                <a:schemeClr val="bg1"/>
              </a:solidFill>
              <a:latin typeface="Aptos Narrow"/>
              <a:ea typeface="+mn-ea"/>
              <a:cs typeface="+mn-cs"/>
            </a:rPr>
            <a:pPr marL="0" indent="0" algn="l"/>
            <a:t> $28,026 </a:t>
          </a:fld>
          <a:endParaRPr lang="ru-RU" sz="2400" b="0" i="0" u="none" strike="noStrike">
            <a:solidFill>
              <a:schemeClr val="bg1"/>
            </a:solidFill>
            <a:latin typeface="Aptos Narrow"/>
            <a:ea typeface="+mn-ea"/>
            <a:cs typeface="+mn-cs"/>
          </a:endParaRPr>
        </a:p>
      </xdr:txBody>
    </xdr:sp>
    <xdr:clientData/>
  </xdr:twoCellAnchor>
  <xdr:twoCellAnchor>
    <xdr:from>
      <xdr:col>17</xdr:col>
      <xdr:colOff>14478</xdr:colOff>
      <xdr:row>18</xdr:row>
      <xdr:rowOff>26556</xdr:rowOff>
    </xdr:from>
    <xdr:to>
      <xdr:col>19</xdr:col>
      <xdr:colOff>320802</xdr:colOff>
      <xdr:row>20</xdr:row>
      <xdr:rowOff>57265</xdr:rowOff>
    </xdr:to>
    <xdr:sp macro="" textlink="Processing!J25">
      <xdr:nvSpPr>
        <xdr:cNvPr id="37" name="TextBox 36">
          <a:extLst>
            <a:ext uri="{FF2B5EF4-FFF2-40B4-BE49-F238E27FC236}">
              <a16:creationId xmlns:a16="http://schemas.microsoft.com/office/drawing/2014/main" id="{F713ED0C-534B-42E3-9113-F32B44DA69A5}"/>
            </a:ext>
          </a:extLst>
        </xdr:cNvPr>
        <xdr:cNvSpPr txBox="1"/>
      </xdr:nvSpPr>
      <xdr:spPr>
        <a:xfrm>
          <a:off x="10377678" y="3318396"/>
          <a:ext cx="152552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E6A133C-5381-4990-B5CC-3867629A9899}" type="TxLink">
            <a:rPr lang="en-US" sz="2000" b="0" i="0" u="none" strike="noStrike">
              <a:solidFill>
                <a:schemeClr val="tx1"/>
              </a:solidFill>
              <a:latin typeface="Aptos Narrow"/>
              <a:ea typeface="+mn-ea"/>
              <a:cs typeface="+mn-cs"/>
            </a:rPr>
            <a:pPr marL="0" indent="0" algn="l"/>
            <a:t> $11,175 </a:t>
          </a:fld>
          <a:endParaRPr lang="ru-RU" sz="2000" b="0" i="0" u="none" strike="noStrike">
            <a:solidFill>
              <a:schemeClr val="tx1"/>
            </a:solidFill>
            <a:latin typeface="Aptos Narrow"/>
            <a:ea typeface="+mn-ea"/>
            <a:cs typeface="+mn-cs"/>
          </a:endParaRPr>
        </a:p>
      </xdr:txBody>
    </xdr:sp>
    <xdr:clientData/>
  </xdr:twoCellAnchor>
  <xdr:twoCellAnchor>
    <xdr:from>
      <xdr:col>14</xdr:col>
      <xdr:colOff>251460</xdr:colOff>
      <xdr:row>10</xdr:row>
      <xdr:rowOff>68580</xdr:rowOff>
    </xdr:from>
    <xdr:to>
      <xdr:col>16</xdr:col>
      <xdr:colOff>449580</xdr:colOff>
      <xdr:row>12</xdr:row>
      <xdr:rowOff>30480</xdr:rowOff>
    </xdr:to>
    <xdr:sp macro="" textlink="Processing!A15">
      <xdr:nvSpPr>
        <xdr:cNvPr id="38" name="TextBox 37">
          <a:extLst>
            <a:ext uri="{FF2B5EF4-FFF2-40B4-BE49-F238E27FC236}">
              <a16:creationId xmlns:a16="http://schemas.microsoft.com/office/drawing/2014/main" id="{BB776F5E-CBA4-4557-AD16-2095BE950D36}"/>
            </a:ext>
          </a:extLst>
        </xdr:cNvPr>
        <xdr:cNvSpPr txBox="1"/>
      </xdr:nvSpPr>
      <xdr:spPr>
        <a:xfrm>
          <a:off x="8785860" y="189738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251460</xdr:colOff>
      <xdr:row>14</xdr:row>
      <xdr:rowOff>45720</xdr:rowOff>
    </xdr:from>
    <xdr:to>
      <xdr:col>16</xdr:col>
      <xdr:colOff>449580</xdr:colOff>
      <xdr:row>16</xdr:row>
      <xdr:rowOff>7620</xdr:rowOff>
    </xdr:to>
    <xdr:sp macro="" textlink="Processing!A15">
      <xdr:nvSpPr>
        <xdr:cNvPr id="39" name="TextBox 38">
          <a:extLst>
            <a:ext uri="{FF2B5EF4-FFF2-40B4-BE49-F238E27FC236}">
              <a16:creationId xmlns:a16="http://schemas.microsoft.com/office/drawing/2014/main" id="{EFEBE238-F919-41C0-9A18-53A489BCF96C}"/>
            </a:ext>
          </a:extLst>
        </xdr:cNvPr>
        <xdr:cNvSpPr txBox="1"/>
      </xdr:nvSpPr>
      <xdr:spPr>
        <a:xfrm>
          <a:off x="8785860" y="260604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586718</xdr:colOff>
      <xdr:row>11</xdr:row>
      <xdr:rowOff>23695</xdr:rowOff>
    </xdr:from>
    <xdr:to>
      <xdr:col>16</xdr:col>
      <xdr:colOff>53318</xdr:colOff>
      <xdr:row>14</xdr:row>
      <xdr:rowOff>160855</xdr:rowOff>
    </xdr:to>
    <xdr:graphicFrame macro="">
      <xdr:nvGraphicFramePr>
        <xdr:cNvPr id="40" name="Chart 39">
          <a:extLst>
            <a:ext uri="{FF2B5EF4-FFF2-40B4-BE49-F238E27FC236}">
              <a16:creationId xmlns:a16="http://schemas.microsoft.com/office/drawing/2014/main" id="{CF164245-ADCC-4B07-A20D-2508E9F79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586718</xdr:colOff>
      <xdr:row>12</xdr:row>
      <xdr:rowOff>12265</xdr:rowOff>
    </xdr:from>
    <xdr:to>
      <xdr:col>16</xdr:col>
      <xdr:colOff>68558</xdr:colOff>
      <xdr:row>13</xdr:row>
      <xdr:rowOff>157045</xdr:rowOff>
    </xdr:to>
    <xdr:sp macro="" textlink="Processing!B15">
      <xdr:nvSpPr>
        <xdr:cNvPr id="41" name="TextBox 40">
          <a:extLst>
            <a:ext uri="{FF2B5EF4-FFF2-40B4-BE49-F238E27FC236}">
              <a16:creationId xmlns:a16="http://schemas.microsoft.com/office/drawing/2014/main" id="{B11B54DB-AD80-4AD7-9EF8-D4FF41BD69D5}"/>
            </a:ext>
          </a:extLst>
        </xdr:cNvPr>
        <xdr:cNvSpPr txBox="1"/>
      </xdr:nvSpPr>
      <xdr:spPr>
        <a:xfrm>
          <a:off x="9121118" y="220682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7864E5-CAD8-4B22-A5F5-C06AFB7D5E57}" type="TxLink">
            <a:rPr lang="en-US" sz="1100" b="0" i="0" u="none" strike="noStrike">
              <a:solidFill>
                <a:schemeClr val="bg1"/>
              </a:solidFill>
              <a:latin typeface="Aptos Narrow"/>
              <a:ea typeface="+mn-ea"/>
              <a:cs typeface="+mn-cs"/>
            </a:rPr>
            <a:pPr marL="0" indent="0" algn="ctr"/>
            <a:t>43%</a:t>
          </a:fld>
          <a:endParaRPr lang="ru-RU" sz="1800" b="0" i="0" u="none" strike="noStrike">
            <a:solidFill>
              <a:schemeClr val="bg1"/>
            </a:solidFill>
            <a:latin typeface="Aptos Narrow"/>
            <a:ea typeface="+mn-ea"/>
            <a:cs typeface="+mn-cs"/>
          </a:endParaRPr>
        </a:p>
      </xdr:txBody>
    </xdr:sp>
    <xdr:clientData/>
  </xdr:twoCellAnchor>
  <xdr:twoCellAnchor>
    <xdr:from>
      <xdr:col>14</xdr:col>
      <xdr:colOff>586718</xdr:colOff>
      <xdr:row>14</xdr:row>
      <xdr:rowOff>168475</xdr:rowOff>
    </xdr:from>
    <xdr:to>
      <xdr:col>16</xdr:col>
      <xdr:colOff>53318</xdr:colOff>
      <xdr:row>18</xdr:row>
      <xdr:rowOff>122755</xdr:rowOff>
    </xdr:to>
    <xdr:graphicFrame macro="">
      <xdr:nvGraphicFramePr>
        <xdr:cNvPr id="42" name="Chart 41">
          <a:extLst>
            <a:ext uri="{FF2B5EF4-FFF2-40B4-BE49-F238E27FC236}">
              <a16:creationId xmlns:a16="http://schemas.microsoft.com/office/drawing/2014/main" id="{6220F85F-6DB4-425D-BDE6-1A5381B1E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586718</xdr:colOff>
      <xdr:row>15</xdr:row>
      <xdr:rowOff>157045</xdr:rowOff>
    </xdr:from>
    <xdr:to>
      <xdr:col>16</xdr:col>
      <xdr:colOff>68558</xdr:colOff>
      <xdr:row>17</xdr:row>
      <xdr:rowOff>118945</xdr:rowOff>
    </xdr:to>
    <xdr:sp macro="" textlink="Processing!C15">
      <xdr:nvSpPr>
        <xdr:cNvPr id="43" name="TextBox 42">
          <a:extLst>
            <a:ext uri="{FF2B5EF4-FFF2-40B4-BE49-F238E27FC236}">
              <a16:creationId xmlns:a16="http://schemas.microsoft.com/office/drawing/2014/main" id="{F21E52F4-764E-4A20-A34D-EEECF56DDFE1}"/>
            </a:ext>
          </a:extLst>
        </xdr:cNvPr>
        <xdr:cNvSpPr txBox="1"/>
      </xdr:nvSpPr>
      <xdr:spPr>
        <a:xfrm>
          <a:off x="9121118" y="290024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A5132A-5551-4D94-B54D-1E5261C5DB06}" type="TxLink">
            <a:rPr lang="en-US" sz="1100" b="0" i="0" u="none" strike="noStrike">
              <a:solidFill>
                <a:schemeClr val="bg1"/>
              </a:solidFill>
              <a:latin typeface="Aptos Narrow"/>
              <a:ea typeface="+mn-ea"/>
              <a:cs typeface="+mn-cs"/>
            </a:rPr>
            <a:pPr marL="0" indent="0" algn="ctr"/>
            <a:t>52%</a:t>
          </a:fld>
          <a:endParaRPr lang="ru-RU" sz="1800" b="0" i="0" u="none" strike="noStrike">
            <a:solidFill>
              <a:schemeClr val="bg1"/>
            </a:solidFill>
            <a:latin typeface="Aptos Narrow"/>
            <a:ea typeface="+mn-ea"/>
            <a:cs typeface="+mn-cs"/>
          </a:endParaRPr>
        </a:p>
      </xdr:txBody>
    </xdr:sp>
    <xdr:clientData/>
  </xdr:twoCellAnchor>
  <xdr:twoCellAnchor>
    <xdr:from>
      <xdr:col>12</xdr:col>
      <xdr:colOff>388620</xdr:colOff>
      <xdr:row>21</xdr:row>
      <xdr:rowOff>96085</xdr:rowOff>
    </xdr:from>
    <xdr:to>
      <xdr:col>14</xdr:col>
      <xdr:colOff>304778</xdr:colOff>
      <xdr:row>23</xdr:row>
      <xdr:rowOff>57985</xdr:rowOff>
    </xdr:to>
    <xdr:sp macro="" textlink="Processing!B32">
      <xdr:nvSpPr>
        <xdr:cNvPr id="44" name="TextBox 43">
          <a:extLst>
            <a:ext uri="{FF2B5EF4-FFF2-40B4-BE49-F238E27FC236}">
              <a16:creationId xmlns:a16="http://schemas.microsoft.com/office/drawing/2014/main" id="{266496CE-7CFF-40CF-85CF-09DF1F0985EA}"/>
            </a:ext>
          </a:extLst>
        </xdr:cNvPr>
        <xdr:cNvSpPr txBox="1"/>
      </xdr:nvSpPr>
      <xdr:spPr>
        <a:xfrm>
          <a:off x="770382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E21EC3CC-CA95-428B-98B7-4DE0DF5CF094}" type="TxLink">
            <a:rPr lang="en-US" sz="1400" b="0" i="0" u="none" strike="noStrike">
              <a:solidFill>
                <a:schemeClr val="tx1"/>
              </a:solidFill>
              <a:latin typeface="Aptos Narrow"/>
              <a:ea typeface="+mn-ea"/>
              <a:cs typeface="+mn-cs"/>
            </a:rPr>
            <a:pPr marL="0" indent="0" algn="r"/>
            <a:t> $37,835 </a:t>
          </a:fld>
          <a:endParaRPr lang="ru-RU" sz="1400" b="0" i="0" u="none" strike="noStrike">
            <a:solidFill>
              <a:schemeClr val="tx1"/>
            </a:solidFill>
            <a:latin typeface="Aptos Narrow"/>
            <a:ea typeface="+mn-ea"/>
            <a:cs typeface="+mn-cs"/>
          </a:endParaRPr>
        </a:p>
      </xdr:txBody>
    </xdr:sp>
    <xdr:clientData/>
  </xdr:twoCellAnchor>
  <xdr:twoCellAnchor>
    <xdr:from>
      <xdr:col>14</xdr:col>
      <xdr:colOff>304800</xdr:colOff>
      <xdr:row>21</xdr:row>
      <xdr:rowOff>96085</xdr:rowOff>
    </xdr:from>
    <xdr:to>
      <xdr:col>16</xdr:col>
      <xdr:colOff>220958</xdr:colOff>
      <xdr:row>23</xdr:row>
      <xdr:rowOff>57985</xdr:rowOff>
    </xdr:to>
    <xdr:sp macro="" textlink="Processing!C32">
      <xdr:nvSpPr>
        <xdr:cNvPr id="45" name="TextBox 44">
          <a:extLst>
            <a:ext uri="{FF2B5EF4-FFF2-40B4-BE49-F238E27FC236}">
              <a16:creationId xmlns:a16="http://schemas.microsoft.com/office/drawing/2014/main" id="{3FBE56BE-02F9-4F82-9CF4-8C2C370AB840}"/>
            </a:ext>
          </a:extLst>
        </xdr:cNvPr>
        <xdr:cNvSpPr txBox="1"/>
      </xdr:nvSpPr>
      <xdr:spPr>
        <a:xfrm>
          <a:off x="883920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B887651-16A7-4B6B-95E2-0C9BA58C3F07}" type="TxLink">
            <a:rPr lang="en-US" sz="1400" b="0" i="0" u="none" strike="noStrike">
              <a:solidFill>
                <a:schemeClr val="tx1"/>
              </a:solidFill>
              <a:latin typeface="Aptos Narrow"/>
              <a:ea typeface="+mn-ea"/>
              <a:cs typeface="+mn-cs"/>
            </a:rPr>
            <a:pPr marL="0" indent="0" algn="l"/>
            <a:t> $26,660 </a:t>
          </a:fld>
          <a:endParaRPr lang="ru-RU" sz="1400" b="0" i="0" u="none" strike="noStrike">
            <a:solidFill>
              <a:schemeClr val="tx1"/>
            </a:solidFill>
            <a:latin typeface="Aptos Narrow"/>
            <a:ea typeface="+mn-ea"/>
            <a:cs typeface="+mn-cs"/>
          </a:endParaRPr>
        </a:p>
      </xdr:txBody>
    </xdr:sp>
    <xdr:clientData/>
  </xdr:twoCellAnchor>
  <xdr:twoCellAnchor>
    <xdr:from>
      <xdr:col>18</xdr:col>
      <xdr:colOff>236220</xdr:colOff>
      <xdr:row>22</xdr:row>
      <xdr:rowOff>83820</xdr:rowOff>
    </xdr:from>
    <xdr:to>
      <xdr:col>19</xdr:col>
      <xdr:colOff>403860</xdr:colOff>
      <xdr:row>24</xdr:row>
      <xdr:rowOff>45720</xdr:rowOff>
    </xdr:to>
    <xdr:sp macro="" textlink="Processing!K7">
      <xdr:nvSpPr>
        <xdr:cNvPr id="46" name="TextBox 45">
          <a:extLst>
            <a:ext uri="{FF2B5EF4-FFF2-40B4-BE49-F238E27FC236}">
              <a16:creationId xmlns:a16="http://schemas.microsoft.com/office/drawing/2014/main" id="{F56DC77E-8628-438B-A0C5-2D3495189AFC}"/>
            </a:ext>
          </a:extLst>
        </xdr:cNvPr>
        <xdr:cNvSpPr txBox="1"/>
      </xdr:nvSpPr>
      <xdr:spPr>
        <a:xfrm>
          <a:off x="11209020" y="4107180"/>
          <a:ext cx="7772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95F57CC-C864-4243-8643-2B753CFD8A66}" type="TxLink">
            <a:rPr lang="en-US" sz="1400" b="0" i="0" u="none" strike="noStrike">
              <a:solidFill>
                <a:schemeClr val="tx1"/>
              </a:solidFill>
              <a:latin typeface="Aptos Narrow"/>
              <a:ea typeface="+mn-ea"/>
              <a:cs typeface="+mn-cs"/>
            </a:rPr>
            <a:pPr marL="0" indent="0" algn="r"/>
            <a:t> 15 366</a:t>
          </a:fld>
          <a:endParaRPr lang="ru-RU" sz="3200" b="0" i="0" u="none" strike="noStrike">
            <a:solidFill>
              <a:schemeClr val="tx1"/>
            </a:solidFill>
            <a:latin typeface="Aptos Narrow"/>
            <a:ea typeface="+mn-ea"/>
            <a:cs typeface="+mn-cs"/>
          </a:endParaRPr>
        </a:p>
      </xdr:txBody>
    </xdr:sp>
    <xdr:clientData/>
  </xdr:twoCellAnchor>
  <xdr:twoCellAnchor>
    <xdr:from>
      <xdr:col>12</xdr:col>
      <xdr:colOff>342900</xdr:colOff>
      <xdr:row>8</xdr:row>
      <xdr:rowOff>114300</xdr:rowOff>
    </xdr:from>
    <xdr:to>
      <xdr:col>16</xdr:col>
      <xdr:colOff>259080</xdr:colOff>
      <xdr:row>18</xdr:row>
      <xdr:rowOff>114300</xdr:rowOff>
    </xdr:to>
    <xdr:sp macro="" textlink="">
      <xdr:nvSpPr>
        <xdr:cNvPr id="2" name="Rectangle: Rounded Corners 1">
          <a:hlinkClick xmlns:r="http://schemas.openxmlformats.org/officeDocument/2006/relationships" r:id="rId9"/>
          <a:extLst>
            <a:ext uri="{FF2B5EF4-FFF2-40B4-BE49-F238E27FC236}">
              <a16:creationId xmlns:a16="http://schemas.microsoft.com/office/drawing/2014/main" id="{880BC774-B920-ED79-CB1A-2EB01E02DC5F}"/>
            </a:ext>
          </a:extLst>
        </xdr:cNvPr>
        <xdr:cNvSpPr/>
      </xdr:nvSpPr>
      <xdr:spPr>
        <a:xfrm>
          <a:off x="7658100" y="1577340"/>
          <a:ext cx="235458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342900</xdr:colOff>
      <xdr:row>19</xdr:row>
      <xdr:rowOff>152400</xdr:rowOff>
    </xdr:from>
    <xdr:to>
      <xdr:col>16</xdr:col>
      <xdr:colOff>259080</xdr:colOff>
      <xdr:row>32</xdr:row>
      <xdr:rowOff>53340</xdr:rowOff>
    </xdr:to>
    <xdr:sp macro="" textlink="">
      <xdr:nvSpPr>
        <xdr:cNvPr id="3" name="Rectangle: Rounded Corners 2">
          <a:hlinkClick xmlns:r="http://schemas.openxmlformats.org/officeDocument/2006/relationships" r:id="rId10"/>
          <a:extLst>
            <a:ext uri="{FF2B5EF4-FFF2-40B4-BE49-F238E27FC236}">
              <a16:creationId xmlns:a16="http://schemas.microsoft.com/office/drawing/2014/main" id="{A1305612-1489-4D22-F6B2-8643B58F1D13}"/>
            </a:ext>
          </a:extLst>
        </xdr:cNvPr>
        <xdr:cNvSpPr/>
      </xdr:nvSpPr>
      <xdr:spPr>
        <a:xfrm>
          <a:off x="7658100" y="3627120"/>
          <a:ext cx="2354580" cy="2278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510540</xdr:colOff>
      <xdr:row>22</xdr:row>
      <xdr:rowOff>30480</xdr:rowOff>
    </xdr:from>
    <xdr:to>
      <xdr:col>19</xdr:col>
      <xdr:colOff>502920</xdr:colOff>
      <xdr:row>32</xdr:row>
      <xdr:rowOff>30480</xdr:rowOff>
    </xdr:to>
    <xdr:sp macro="" textlink="">
      <xdr:nvSpPr>
        <xdr:cNvPr id="4" name="Rectangle: Rounded Corners 3">
          <a:hlinkClick xmlns:r="http://schemas.openxmlformats.org/officeDocument/2006/relationships" r:id="rId11"/>
          <a:extLst>
            <a:ext uri="{FF2B5EF4-FFF2-40B4-BE49-F238E27FC236}">
              <a16:creationId xmlns:a16="http://schemas.microsoft.com/office/drawing/2014/main" id="{5CD9A16B-0B79-E4A4-69B5-ECA1A51ECF86}"/>
            </a:ext>
          </a:extLst>
        </xdr:cNvPr>
        <xdr:cNvSpPr/>
      </xdr:nvSpPr>
      <xdr:spPr>
        <a:xfrm>
          <a:off x="10264140" y="4053840"/>
          <a:ext cx="182118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83820</xdr:colOff>
      <xdr:row>22</xdr:row>
      <xdr:rowOff>30480</xdr:rowOff>
    </xdr:from>
    <xdr:to>
      <xdr:col>22</xdr:col>
      <xdr:colOff>38100</xdr:colOff>
      <xdr:row>32</xdr:row>
      <xdr:rowOff>30480</xdr:rowOff>
    </xdr:to>
    <xdr:sp macro="" textlink="">
      <xdr:nvSpPr>
        <xdr:cNvPr id="6" name="Rectangle: Rounded Corners 5">
          <a:hlinkClick xmlns:r="http://schemas.openxmlformats.org/officeDocument/2006/relationships" r:id="rId12"/>
          <a:extLst>
            <a:ext uri="{FF2B5EF4-FFF2-40B4-BE49-F238E27FC236}">
              <a16:creationId xmlns:a16="http://schemas.microsoft.com/office/drawing/2014/main" id="{C6084D89-F237-0F4E-A10C-2B0CC3789019}"/>
            </a:ext>
          </a:extLst>
        </xdr:cNvPr>
        <xdr:cNvSpPr/>
      </xdr:nvSpPr>
      <xdr:spPr>
        <a:xfrm>
          <a:off x="12275820" y="4053840"/>
          <a:ext cx="117348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541020</xdr:colOff>
      <xdr:row>8</xdr:row>
      <xdr:rowOff>114300</xdr:rowOff>
    </xdr:from>
    <xdr:to>
      <xdr:col>22</xdr:col>
      <xdr:colOff>7620</xdr:colOff>
      <xdr:row>20</xdr:row>
      <xdr:rowOff>175260</xdr:rowOff>
    </xdr:to>
    <xdr:sp macro="" textlink="">
      <xdr:nvSpPr>
        <xdr:cNvPr id="48" name="Rectangle: Rounded Corners 47">
          <a:hlinkClick xmlns:r="http://schemas.openxmlformats.org/officeDocument/2006/relationships" r:id="rId13"/>
          <a:extLst>
            <a:ext uri="{FF2B5EF4-FFF2-40B4-BE49-F238E27FC236}">
              <a16:creationId xmlns:a16="http://schemas.microsoft.com/office/drawing/2014/main" id="{827DD3B0-5F29-87DF-E46D-463574B48ECD}"/>
            </a:ext>
          </a:extLst>
        </xdr:cNvPr>
        <xdr:cNvSpPr/>
      </xdr:nvSpPr>
      <xdr:spPr>
        <a:xfrm>
          <a:off x="10294620" y="1577340"/>
          <a:ext cx="3124200" cy="2255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0</xdr:col>
      <xdr:colOff>0</xdr:colOff>
      <xdr:row>0</xdr:row>
      <xdr:rowOff>0</xdr:rowOff>
    </xdr:from>
    <xdr:to>
      <xdr:col>0</xdr:col>
      <xdr:colOff>274320</xdr:colOff>
      <xdr:row>1</xdr:row>
      <xdr:rowOff>91440</xdr:rowOff>
    </xdr:to>
    <xdr:pic>
      <xdr:nvPicPr>
        <xdr:cNvPr id="50" name="Graphic 49" descr="Moon and stars with solid fill">
          <a:hlinkClick xmlns:r="http://schemas.openxmlformats.org/officeDocument/2006/relationships" r:id="rId14"/>
          <a:extLst>
            <a:ext uri="{FF2B5EF4-FFF2-40B4-BE49-F238E27FC236}">
              <a16:creationId xmlns:a16="http://schemas.microsoft.com/office/drawing/2014/main" id="{872FAF66-5152-8514-E5B4-370854A5956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0" y="0"/>
          <a:ext cx="274320" cy="2743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164592</xdr:colOff>
      <xdr:row>43</xdr:row>
      <xdr:rowOff>146304</xdr:rowOff>
    </xdr:to>
    <xdr:sp macro="" textlink="">
      <xdr:nvSpPr>
        <xdr:cNvPr id="2" name="Rectangle 1">
          <a:extLst>
            <a:ext uri="{FF2B5EF4-FFF2-40B4-BE49-F238E27FC236}">
              <a16:creationId xmlns:a16="http://schemas.microsoft.com/office/drawing/2014/main" id="{C4C703A6-C937-491B-8500-F52E28DF3994}"/>
            </a:ext>
          </a:extLst>
        </xdr:cNvPr>
        <xdr:cNvSpPr/>
      </xdr:nvSpPr>
      <xdr:spPr>
        <a:xfrm>
          <a:off x="0" y="0"/>
          <a:ext cx="14794992" cy="8010144"/>
        </a:xfrm>
        <a:prstGeom prst="rect">
          <a:avLst/>
        </a:prstGeom>
        <a:gradFill flip="none" rotWithShape="1">
          <a:gsLst>
            <a:gs pos="35000">
              <a:srgbClr val="754CB9"/>
            </a:gs>
            <a:gs pos="65000">
              <a:srgbClr val="519FFB"/>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0</xdr:colOff>
      <xdr:row>0</xdr:row>
      <xdr:rowOff>0</xdr:rowOff>
    </xdr:from>
    <xdr:to>
      <xdr:col>24</xdr:col>
      <xdr:colOff>167640</xdr:colOff>
      <xdr:row>43</xdr:row>
      <xdr:rowOff>146304</xdr:rowOff>
    </xdr:to>
    <xdr:sp macro="" textlink="">
      <xdr:nvSpPr>
        <xdr:cNvPr id="3" name="Rectangle 2">
          <a:extLst>
            <a:ext uri="{FF2B5EF4-FFF2-40B4-BE49-F238E27FC236}">
              <a16:creationId xmlns:a16="http://schemas.microsoft.com/office/drawing/2014/main" id="{DD32D539-FB99-4A33-B81A-E84D7A337A57}"/>
            </a:ext>
          </a:extLst>
        </xdr:cNvPr>
        <xdr:cNvSpPr/>
      </xdr:nvSpPr>
      <xdr:spPr>
        <a:xfrm>
          <a:off x="0" y="0"/>
          <a:ext cx="14798040" cy="8010144"/>
        </a:xfrm>
        <a:prstGeom prst="rect">
          <a:avLst/>
        </a:prstGeom>
        <a:gradFill flip="none" rotWithShape="1">
          <a:gsLst>
            <a:gs pos="6000">
              <a:srgbClr val="EE0078"/>
            </a:gs>
            <a:gs pos="100000">
              <a:srgbClr val="562BFF">
                <a:alpha val="0"/>
              </a:srgb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205740</xdr:colOff>
      <xdr:row>3</xdr:row>
      <xdr:rowOff>91440</xdr:rowOff>
    </xdr:from>
    <xdr:to>
      <xdr:col>22</xdr:col>
      <xdr:colOff>419100</xdr:colOff>
      <xdr:row>35</xdr:row>
      <xdr:rowOff>7034</xdr:rowOff>
    </xdr:to>
    <xdr:grpSp>
      <xdr:nvGrpSpPr>
        <xdr:cNvPr id="4" name="Group 3">
          <a:extLst>
            <a:ext uri="{FF2B5EF4-FFF2-40B4-BE49-F238E27FC236}">
              <a16:creationId xmlns:a16="http://schemas.microsoft.com/office/drawing/2014/main" id="{3587FB17-AB85-4FE2-9325-2BD8A105D6DD}"/>
            </a:ext>
          </a:extLst>
        </xdr:cNvPr>
        <xdr:cNvGrpSpPr/>
      </xdr:nvGrpSpPr>
      <xdr:grpSpPr>
        <a:xfrm>
          <a:off x="815340" y="662940"/>
          <a:ext cx="13014960" cy="6011594"/>
          <a:chOff x="3116580" y="662940"/>
          <a:chExt cx="5449472" cy="5767754"/>
        </a:xfrm>
      </xdr:grpSpPr>
      <xdr:sp macro="" textlink="">
        <xdr:nvSpPr>
          <xdr:cNvPr id="5" name="Rectangle: Rounded Corners 4">
            <a:extLst>
              <a:ext uri="{FF2B5EF4-FFF2-40B4-BE49-F238E27FC236}">
                <a16:creationId xmlns:a16="http://schemas.microsoft.com/office/drawing/2014/main" id="{2EEA8190-7AC3-4FC9-F74A-2F54BB8A6957}"/>
              </a:ext>
            </a:extLst>
          </xdr:cNvPr>
          <xdr:cNvSpPr/>
        </xdr:nvSpPr>
        <xdr:spPr>
          <a:xfrm>
            <a:off x="3116580" y="662940"/>
            <a:ext cx="5449472" cy="5767754"/>
          </a:xfrm>
          <a:prstGeom prst="roundRect">
            <a:avLst>
              <a:gd name="adj" fmla="val 10643"/>
            </a:avLst>
          </a:prstGeom>
          <a:gradFill>
            <a:gsLst>
              <a:gs pos="62000">
                <a:srgbClr val="1E2255"/>
              </a:gs>
              <a:gs pos="100000">
                <a:srgbClr val="2B215C"/>
              </a:gs>
            </a:gsLst>
            <a:lin ang="8100000" scaled="1"/>
          </a:gradFill>
          <a:ln>
            <a:noFill/>
          </a:ln>
          <a:effectLst>
            <a:outerShdw blurRad="584200" dist="3937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 name="Rectangle: Rounded Corners 5">
            <a:extLst>
              <a:ext uri="{FF2B5EF4-FFF2-40B4-BE49-F238E27FC236}">
                <a16:creationId xmlns:a16="http://schemas.microsoft.com/office/drawing/2014/main" id="{DE5F7CF4-3939-2B8B-7E8C-75237AA40232}"/>
              </a:ext>
            </a:extLst>
          </xdr:cNvPr>
          <xdr:cNvSpPr/>
        </xdr:nvSpPr>
        <xdr:spPr>
          <a:xfrm>
            <a:off x="3116580" y="662940"/>
            <a:ext cx="5449472" cy="5767754"/>
          </a:xfrm>
          <a:prstGeom prst="roundRect">
            <a:avLst>
              <a:gd name="adj" fmla="val 10643"/>
            </a:avLst>
          </a:prstGeom>
          <a:gradFill>
            <a:gsLst>
              <a:gs pos="0">
                <a:srgbClr val="4E7AE2"/>
              </a:gs>
              <a:gs pos="77000">
                <a:srgbClr val="3A2058">
                  <a:alpha val="0"/>
                </a:srgbClr>
              </a:gs>
            </a:gsLst>
            <a:path path="circle">
              <a:fillToRect l="100000" b="100000"/>
            </a:path>
          </a:gradFill>
          <a:ln>
            <a:gradFill flip="none" rotWithShape="1">
              <a:gsLst>
                <a:gs pos="51000">
                  <a:srgbClr val="5584ED"/>
                </a:gs>
                <a:gs pos="0">
                  <a:srgbClr val="B7D6FF"/>
                </a:gs>
                <a:gs pos="100000">
                  <a:srgbClr val="B459A0"/>
                </a:gs>
              </a:gsLst>
              <a:lin ang="8100000" scaled="1"/>
              <a:tileRect/>
            </a:gradFill>
          </a:ln>
          <a:effectLst>
            <a:outerShdw blurRad="508000" dist="1270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510540</xdr:colOff>
      <xdr:row>8</xdr:row>
      <xdr:rowOff>102287</xdr:rowOff>
    </xdr:from>
    <xdr:to>
      <xdr:col>22</xdr:col>
      <xdr:colOff>48508</xdr:colOff>
      <xdr:row>21</xdr:row>
      <xdr:rowOff>10847</xdr:rowOff>
    </xdr:to>
    <xdr:sp macro="" textlink="">
      <xdr:nvSpPr>
        <xdr:cNvPr id="7" name="Rectangle: Rounded Corners 6">
          <a:extLst>
            <a:ext uri="{FF2B5EF4-FFF2-40B4-BE49-F238E27FC236}">
              <a16:creationId xmlns:a16="http://schemas.microsoft.com/office/drawing/2014/main" id="{8411781E-E2B8-4A51-9709-FFAE66C90EA0}"/>
            </a:ext>
          </a:extLst>
        </xdr:cNvPr>
        <xdr:cNvSpPr/>
      </xdr:nvSpPr>
      <xdr:spPr>
        <a:xfrm>
          <a:off x="10264140" y="1565327"/>
          <a:ext cx="3195568" cy="2286000"/>
        </a:xfrm>
        <a:prstGeom prst="roundRect">
          <a:avLst>
            <a:gd name="adj" fmla="val 12222"/>
          </a:avLst>
        </a:prstGeom>
        <a:gradFill flip="none" rotWithShape="1">
          <a:gsLst>
            <a:gs pos="49000">
              <a:srgbClr val="253274"/>
            </a:gs>
            <a:gs pos="18000">
              <a:srgbClr val="2F4495"/>
            </a:gs>
            <a:gs pos="0">
              <a:srgbClr val="3C56B2"/>
            </a:gs>
            <a:gs pos="100000">
              <a:srgbClr val="1E2255"/>
            </a:gs>
          </a:gsLst>
          <a:lin ang="8100000" scaled="1"/>
          <a:tileRect/>
        </a:gradFill>
        <a:ln w="9525">
          <a:gradFill flip="none" rotWithShape="1">
            <a:gsLst>
              <a:gs pos="0">
                <a:srgbClr val="5080DB"/>
              </a:gs>
              <a:gs pos="21000">
                <a:srgbClr val="6476CE"/>
              </a:gs>
              <a:gs pos="100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20</xdr:col>
      <xdr:colOff>78988</xdr:colOff>
      <xdr:row>22</xdr:row>
      <xdr:rowOff>24777</xdr:rowOff>
    </xdr:from>
    <xdr:to>
      <xdr:col>22</xdr:col>
      <xdr:colOff>48508</xdr:colOff>
      <xdr:row>32</xdr:row>
      <xdr:rowOff>70497</xdr:rowOff>
    </xdr:to>
    <xdr:sp macro="" textlink="Processing!L10">
      <xdr:nvSpPr>
        <xdr:cNvPr id="8" name="Rectangle: Rounded Corners 7">
          <a:extLst>
            <a:ext uri="{FF2B5EF4-FFF2-40B4-BE49-F238E27FC236}">
              <a16:creationId xmlns:a16="http://schemas.microsoft.com/office/drawing/2014/main" id="{6D1963AB-D08B-430C-B135-EFE7298E75DC}"/>
            </a:ext>
          </a:extLst>
        </xdr:cNvPr>
        <xdr:cNvSpPr/>
      </xdr:nvSpPr>
      <xdr:spPr>
        <a:xfrm>
          <a:off x="12270988" y="4048137"/>
          <a:ext cx="1188720" cy="1874520"/>
        </a:xfrm>
        <a:prstGeom prst="roundRect">
          <a:avLst>
            <a:gd name="adj" fmla="val 16940"/>
          </a:avLst>
        </a:prstGeom>
        <a:gradFill flip="none" rotWithShape="1">
          <a:gsLst>
            <a:gs pos="0">
              <a:srgbClr val="232C68"/>
            </a:gs>
            <a:gs pos="100000">
              <a:srgbClr val="1E2255"/>
            </a:gs>
          </a:gsLst>
          <a:lin ang="8100000" scaled="1"/>
          <a:tileRect/>
        </a:gradFill>
        <a:ln w="9525">
          <a:gradFill flip="none" rotWithShape="1">
            <a:gsLst>
              <a:gs pos="0">
                <a:srgbClr val="6476CE"/>
              </a:gs>
              <a:gs pos="76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B141ACD5-C6B6-41AA-B709-DAF022D00E18}" type="TxLink">
            <a:rPr lang="en-US" sz="1200" b="0" i="0" u="none" strike="noStrike">
              <a:solidFill>
                <a:srgbClr val="A2ADBE"/>
              </a:solidFill>
              <a:latin typeface="Aptos Narrow"/>
            </a:rPr>
            <a:pPr algn="ctr"/>
            <a:t>Top-5 Products</a:t>
          </a:fld>
          <a:endParaRPr lang="ru-RU" sz="2000">
            <a:solidFill>
              <a:srgbClr val="A2ADBE"/>
            </a:solidFill>
          </a:endParaRPr>
        </a:p>
      </xdr:txBody>
    </xdr:sp>
    <xdr:clientData/>
  </xdr:twoCellAnchor>
  <xdr:twoCellAnchor>
    <xdr:from>
      <xdr:col>16</xdr:col>
      <xdr:colOff>510540</xdr:colOff>
      <xdr:row>22</xdr:row>
      <xdr:rowOff>24777</xdr:rowOff>
    </xdr:from>
    <xdr:to>
      <xdr:col>19</xdr:col>
      <xdr:colOff>510540</xdr:colOff>
      <xdr:row>32</xdr:row>
      <xdr:rowOff>70497</xdr:rowOff>
    </xdr:to>
    <xdr:sp macro="" textlink="Processing!J1">
      <xdr:nvSpPr>
        <xdr:cNvPr id="9" name="Rectangle: Rounded Corners 8">
          <a:extLst>
            <a:ext uri="{FF2B5EF4-FFF2-40B4-BE49-F238E27FC236}">
              <a16:creationId xmlns:a16="http://schemas.microsoft.com/office/drawing/2014/main" id="{83E0C55B-E1AE-4F37-9F5D-A00C29662131}"/>
            </a:ext>
          </a:extLst>
        </xdr:cNvPr>
        <xdr:cNvSpPr/>
      </xdr:nvSpPr>
      <xdr:spPr>
        <a:xfrm>
          <a:off x="10264140" y="4048137"/>
          <a:ext cx="1828800" cy="1874520"/>
        </a:xfrm>
        <a:prstGeom prst="roundRect">
          <a:avLst>
            <a:gd name="adj" fmla="val 15658"/>
          </a:avLst>
        </a:prstGeom>
        <a:gradFill flip="none" rotWithShape="1">
          <a:gsLst>
            <a:gs pos="10000">
              <a:srgbClr val="1C265C"/>
            </a:gs>
            <a:gs pos="0">
              <a:srgbClr val="232C68"/>
            </a:gs>
            <a:gs pos="100000">
              <a:srgbClr val="1E2255"/>
            </a:gs>
          </a:gsLst>
          <a:lin ang="8100000" scaled="1"/>
          <a:tileRect/>
        </a:gradFill>
        <a:ln w="9525">
          <a:gradFill flip="none" rotWithShape="1">
            <a:gsLst>
              <a:gs pos="0">
                <a:srgbClr val="6476CE"/>
              </a:gs>
              <a:gs pos="73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F891643E-D31A-43FE-B4F0-A61FA518E279}" type="TxLink">
            <a:rPr lang="en-US" sz="1200" b="0" i="0" u="none" strike="noStrike">
              <a:solidFill>
                <a:srgbClr val="A2ADBE"/>
              </a:solidFill>
              <a:latin typeface="Aptos Narrow"/>
            </a:rPr>
            <a:pPr algn="l"/>
            <a:t>Sales Closed</a:t>
          </a:fld>
          <a:endParaRPr lang="ru-RU" sz="2000">
            <a:solidFill>
              <a:srgbClr val="A2ADBE"/>
            </a:solidFill>
          </a:endParaRPr>
        </a:p>
      </xdr:txBody>
    </xdr:sp>
    <xdr:clientData/>
  </xdr:twoCellAnchor>
  <xdr:twoCellAnchor>
    <xdr:from>
      <xdr:col>12</xdr:col>
      <xdr:colOff>289560</xdr:colOff>
      <xdr:row>19</xdr:row>
      <xdr:rowOff>143699</xdr:rowOff>
    </xdr:from>
    <xdr:to>
      <xdr:col>16</xdr:col>
      <xdr:colOff>320040</xdr:colOff>
      <xdr:row>32</xdr:row>
      <xdr:rowOff>70497</xdr:rowOff>
    </xdr:to>
    <xdr:sp macro="" textlink="Processing!A19">
      <xdr:nvSpPr>
        <xdr:cNvPr id="10" name="Rectangle: Rounded Corners 9">
          <a:extLst>
            <a:ext uri="{FF2B5EF4-FFF2-40B4-BE49-F238E27FC236}">
              <a16:creationId xmlns:a16="http://schemas.microsoft.com/office/drawing/2014/main" id="{9C4256EE-9D08-4415-AE57-DA8AED4E3E24}"/>
            </a:ext>
          </a:extLst>
        </xdr:cNvPr>
        <xdr:cNvSpPr/>
      </xdr:nvSpPr>
      <xdr:spPr>
        <a:xfrm>
          <a:off x="7604760" y="3618419"/>
          <a:ext cx="2468880" cy="2304238"/>
        </a:xfrm>
        <a:prstGeom prst="roundRect">
          <a:avLst>
            <a:gd name="adj" fmla="val 10585"/>
          </a:avLst>
        </a:prstGeom>
        <a:gradFill flip="none" rotWithShape="1">
          <a:gsLst>
            <a:gs pos="7000">
              <a:srgbClr val="1C265C"/>
            </a:gs>
            <a:gs pos="0">
              <a:srgbClr val="232C68"/>
            </a:gs>
            <a:gs pos="100000">
              <a:srgbClr val="1E2255"/>
            </a:gs>
          </a:gsLst>
          <a:lin ang="8100000" scaled="1"/>
          <a:tileRect/>
        </a:gradFill>
        <a:ln w="12700">
          <a:solidFill>
            <a:schemeClr val="bg1"/>
          </a:soli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1C44FD38-D300-4C1F-906B-FAB458F04708}" type="TxLink">
            <a:rPr lang="en-US" sz="1200" b="0" i="0" u="none" strike="noStrike">
              <a:solidFill>
                <a:schemeClr val="bg1"/>
              </a:solidFill>
              <a:latin typeface="Aptos Narrow"/>
            </a:rPr>
            <a:pPr algn="ctr"/>
            <a:t>Revenue vs Expenses</a:t>
          </a:fld>
          <a:endParaRPr lang="ru-RU" sz="2000">
            <a:solidFill>
              <a:schemeClr val="bg1"/>
            </a:solidFill>
          </a:endParaRPr>
        </a:p>
      </xdr:txBody>
    </xdr:sp>
    <xdr:clientData/>
  </xdr:twoCellAnchor>
  <xdr:twoCellAnchor>
    <xdr:from>
      <xdr:col>12</xdr:col>
      <xdr:colOff>289560</xdr:colOff>
      <xdr:row>8</xdr:row>
      <xdr:rowOff>99060</xdr:rowOff>
    </xdr:from>
    <xdr:to>
      <xdr:col>16</xdr:col>
      <xdr:colOff>320040</xdr:colOff>
      <xdr:row>18</xdr:row>
      <xdr:rowOff>144780</xdr:rowOff>
    </xdr:to>
    <xdr:sp macro="" textlink="Processing!A1">
      <xdr:nvSpPr>
        <xdr:cNvPr id="11" name="Rectangle: Rounded Corners 10">
          <a:extLst>
            <a:ext uri="{FF2B5EF4-FFF2-40B4-BE49-F238E27FC236}">
              <a16:creationId xmlns:a16="http://schemas.microsoft.com/office/drawing/2014/main" id="{1DEC6937-315C-4D5F-A5E9-23F34123A980}"/>
            </a:ext>
          </a:extLst>
        </xdr:cNvPr>
        <xdr:cNvSpPr/>
      </xdr:nvSpPr>
      <xdr:spPr>
        <a:xfrm>
          <a:off x="7604760" y="1562100"/>
          <a:ext cx="2468880" cy="1874520"/>
        </a:xfrm>
        <a:prstGeom prst="roundRect">
          <a:avLst>
            <a:gd name="adj" fmla="val 12132"/>
          </a:avLst>
        </a:prstGeom>
        <a:gradFill flip="none" rotWithShape="1">
          <a:gsLst>
            <a:gs pos="0">
              <a:srgbClr val="EE0078"/>
            </a:gs>
            <a:gs pos="73000">
              <a:srgbClr val="6459F9"/>
            </a:gs>
          </a:gsLst>
          <a:lin ang="2700000" scaled="1"/>
          <a:tileRect/>
        </a:gradFill>
        <a:ln w="12700">
          <a:no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03020289-B635-419F-B330-AF3CCE861824}" type="TxLink">
            <a:rPr lang="en-US" sz="1200" b="0" i="0" u="none" strike="noStrike">
              <a:solidFill>
                <a:schemeClr val="bg1"/>
              </a:solidFill>
              <a:latin typeface="Aptos Narrow"/>
            </a:rPr>
            <a:pPr algn="ctr"/>
            <a:t>Investments vs Sales Volume</a:t>
          </a:fld>
          <a:endParaRPr lang="ru-RU" sz="2000">
            <a:solidFill>
              <a:schemeClr val="bg1"/>
            </a:solidFill>
          </a:endParaRPr>
        </a:p>
      </xdr:txBody>
    </xdr:sp>
    <xdr:clientData/>
  </xdr:twoCellAnchor>
  <xdr:twoCellAnchor>
    <xdr:from>
      <xdr:col>16</xdr:col>
      <xdr:colOff>566998</xdr:colOff>
      <xdr:row>23</xdr:row>
      <xdr:rowOff>99060</xdr:rowOff>
    </xdr:from>
    <xdr:to>
      <xdr:col>19</xdr:col>
      <xdr:colOff>476943</xdr:colOff>
      <xdr:row>31</xdr:row>
      <xdr:rowOff>175260</xdr:rowOff>
    </xdr:to>
    <xdr:graphicFrame macro="">
      <xdr:nvGraphicFramePr>
        <xdr:cNvPr id="13" name="Chart 12">
          <a:extLst>
            <a:ext uri="{FF2B5EF4-FFF2-40B4-BE49-F238E27FC236}">
              <a16:creationId xmlns:a16="http://schemas.microsoft.com/office/drawing/2014/main" id="{ADC5EF56-2EA3-45EE-BC6C-F16978CA4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76205</xdr:colOff>
      <xdr:row>24</xdr:row>
      <xdr:rowOff>137379</xdr:rowOff>
    </xdr:from>
    <xdr:to>
      <xdr:col>22</xdr:col>
      <xdr:colOff>60956</xdr:colOff>
      <xdr:row>31</xdr:row>
      <xdr:rowOff>136942</xdr:rowOff>
    </xdr:to>
    <xdr:graphicFrame macro="">
      <xdr:nvGraphicFramePr>
        <xdr:cNvPr id="14" name="Chart 13">
          <a:extLst>
            <a:ext uri="{FF2B5EF4-FFF2-40B4-BE49-F238E27FC236}">
              <a16:creationId xmlns:a16="http://schemas.microsoft.com/office/drawing/2014/main" id="{54835B43-8595-473A-87D9-7C1F28AD1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30677</xdr:colOff>
      <xdr:row>24</xdr:row>
      <xdr:rowOff>154137</xdr:rowOff>
    </xdr:from>
    <xdr:to>
      <xdr:col>22</xdr:col>
      <xdr:colOff>109023</xdr:colOff>
      <xdr:row>31</xdr:row>
      <xdr:rowOff>127803</xdr:rowOff>
    </xdr:to>
    <xdr:graphicFrame macro="">
      <xdr:nvGraphicFramePr>
        <xdr:cNvPr id="15" name="Chart 14">
          <a:extLst>
            <a:ext uri="{FF2B5EF4-FFF2-40B4-BE49-F238E27FC236}">
              <a16:creationId xmlns:a16="http://schemas.microsoft.com/office/drawing/2014/main" id="{4EC8ECA5-C5A8-418E-9B66-EBC922B6C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61691</xdr:colOff>
      <xdr:row>23</xdr:row>
      <xdr:rowOff>70365</xdr:rowOff>
    </xdr:from>
    <xdr:to>
      <xdr:col>16</xdr:col>
      <xdr:colOff>567659</xdr:colOff>
      <xdr:row>33</xdr:row>
      <xdr:rowOff>38100</xdr:rowOff>
    </xdr:to>
    <xdr:graphicFrame macro="">
      <xdr:nvGraphicFramePr>
        <xdr:cNvPr id="16" name="Chart 15">
          <a:extLst>
            <a:ext uri="{FF2B5EF4-FFF2-40B4-BE49-F238E27FC236}">
              <a16:creationId xmlns:a16="http://schemas.microsoft.com/office/drawing/2014/main" id="{CC035220-02E6-41D7-BE26-19C79E068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91440</xdr:colOff>
      <xdr:row>9</xdr:row>
      <xdr:rowOff>114300</xdr:rowOff>
    </xdr:from>
    <xdr:to>
      <xdr:col>21</xdr:col>
      <xdr:colOff>395512</xdr:colOff>
      <xdr:row>19</xdr:row>
      <xdr:rowOff>159142</xdr:rowOff>
    </xdr:to>
    <xdr:graphicFrame macro="">
      <xdr:nvGraphicFramePr>
        <xdr:cNvPr id="17" name="Chart 16">
          <a:extLst>
            <a:ext uri="{FF2B5EF4-FFF2-40B4-BE49-F238E27FC236}">
              <a16:creationId xmlns:a16="http://schemas.microsoft.com/office/drawing/2014/main" id="{AE0732E8-93D4-455F-99C7-A06E117B5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34290</xdr:colOff>
      <xdr:row>4</xdr:row>
      <xdr:rowOff>99060</xdr:rowOff>
    </xdr:from>
    <xdr:to>
      <xdr:col>16</xdr:col>
      <xdr:colOff>26670</xdr:colOff>
      <xdr:row>8</xdr:row>
      <xdr:rowOff>38100</xdr:rowOff>
    </xdr:to>
    <xdr:sp macro="" textlink="Processing!P1">
      <xdr:nvSpPr>
        <xdr:cNvPr id="18" name="TextBox 17">
          <a:extLst>
            <a:ext uri="{FF2B5EF4-FFF2-40B4-BE49-F238E27FC236}">
              <a16:creationId xmlns:a16="http://schemas.microsoft.com/office/drawing/2014/main" id="{6DE22631-B3D3-4F87-BCB3-645665D101B8}"/>
            </a:ext>
          </a:extLst>
        </xdr:cNvPr>
        <xdr:cNvSpPr txBox="1"/>
      </xdr:nvSpPr>
      <xdr:spPr>
        <a:xfrm>
          <a:off x="4911090" y="830580"/>
          <a:ext cx="4869180" cy="67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AFA7E3-D982-4DCE-8311-24F164F1C349}" type="TxLink">
            <a:rPr lang="en-US" sz="2800" b="0" i="0" u="none" strike="noStrike">
              <a:solidFill>
                <a:schemeClr val="bg1"/>
              </a:solidFill>
              <a:latin typeface="Aptos Narrow"/>
            </a:rPr>
            <a:pPr algn="ctr"/>
            <a:t>Sales Profitability Dashboard</a:t>
          </a:fld>
          <a:endParaRPr lang="ru-RU" sz="2800">
            <a:solidFill>
              <a:schemeClr val="bg1"/>
            </a:solidFill>
          </a:endParaRPr>
        </a:p>
      </xdr:txBody>
    </xdr:sp>
    <xdr:clientData/>
  </xdr:twoCellAnchor>
  <xdr:twoCellAnchor>
    <xdr:from>
      <xdr:col>12</xdr:col>
      <xdr:colOff>411480</xdr:colOff>
      <xdr:row>10</xdr:row>
      <xdr:rowOff>45720</xdr:rowOff>
    </xdr:from>
    <xdr:to>
      <xdr:col>15</xdr:col>
      <xdr:colOff>0</xdr:colOff>
      <xdr:row>12</xdr:row>
      <xdr:rowOff>7620</xdr:rowOff>
    </xdr:to>
    <xdr:sp macro="" textlink="Processing!B1">
      <xdr:nvSpPr>
        <xdr:cNvPr id="19" name="TextBox 18">
          <a:extLst>
            <a:ext uri="{FF2B5EF4-FFF2-40B4-BE49-F238E27FC236}">
              <a16:creationId xmlns:a16="http://schemas.microsoft.com/office/drawing/2014/main" id="{347BD29F-B31A-49CD-9A5C-4BE92FBEA6D6}"/>
            </a:ext>
          </a:extLst>
        </xdr:cNvPr>
        <xdr:cNvSpPr txBox="1"/>
      </xdr:nvSpPr>
      <xdr:spPr>
        <a:xfrm>
          <a:off x="7726680" y="187452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EBDB900-EE2F-4AA6-B860-CDEF06AE6B57}" type="TxLink">
            <a:rPr lang="en-US" sz="1400" b="0" i="0" u="none" strike="noStrike">
              <a:solidFill>
                <a:schemeClr val="bg1"/>
              </a:solidFill>
              <a:latin typeface="Aptos Narrow"/>
            </a:rPr>
            <a:pPr algn="l"/>
            <a:t>Investments</a:t>
          </a:fld>
          <a:endParaRPr lang="ru-RU" sz="3600">
            <a:solidFill>
              <a:schemeClr val="bg1"/>
            </a:solidFill>
          </a:endParaRPr>
        </a:p>
      </xdr:txBody>
    </xdr:sp>
    <xdr:clientData/>
  </xdr:twoCellAnchor>
  <xdr:twoCellAnchor>
    <xdr:from>
      <xdr:col>12</xdr:col>
      <xdr:colOff>411480</xdr:colOff>
      <xdr:row>14</xdr:row>
      <xdr:rowOff>30480</xdr:rowOff>
    </xdr:from>
    <xdr:to>
      <xdr:col>15</xdr:col>
      <xdr:colOff>114300</xdr:colOff>
      <xdr:row>15</xdr:row>
      <xdr:rowOff>175260</xdr:rowOff>
    </xdr:to>
    <xdr:sp macro="" textlink="Processing!C1">
      <xdr:nvSpPr>
        <xdr:cNvPr id="20" name="TextBox 19">
          <a:extLst>
            <a:ext uri="{FF2B5EF4-FFF2-40B4-BE49-F238E27FC236}">
              <a16:creationId xmlns:a16="http://schemas.microsoft.com/office/drawing/2014/main" id="{1B0BD867-4136-404C-844B-A13F9B96733D}"/>
            </a:ext>
          </a:extLst>
        </xdr:cNvPr>
        <xdr:cNvSpPr txBox="1"/>
      </xdr:nvSpPr>
      <xdr:spPr>
        <a:xfrm>
          <a:off x="7726680" y="259080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F79593B-4C91-4E5C-A7F9-01D05C8FA786}" type="TxLink">
            <a:rPr lang="en-US" sz="1400" b="0" i="0" u="none" strike="noStrike">
              <a:solidFill>
                <a:schemeClr val="bg1"/>
              </a:solidFill>
              <a:latin typeface="Aptos Narrow"/>
              <a:ea typeface="+mn-ea"/>
              <a:cs typeface="+mn-cs"/>
            </a:rPr>
            <a:pPr marL="0" indent="0" algn="l"/>
            <a:t>Sales Volume</a:t>
          </a:fld>
          <a:endParaRPr lang="ru-RU" sz="1400" b="0" i="0" u="none" strike="noStrike">
            <a:solidFill>
              <a:schemeClr val="bg1"/>
            </a:solidFill>
            <a:latin typeface="Aptos Narrow"/>
            <a:ea typeface="+mn-ea"/>
            <a:cs typeface="+mn-cs"/>
          </a:endParaRPr>
        </a:p>
      </xdr:txBody>
    </xdr:sp>
    <xdr:clientData/>
  </xdr:twoCellAnchor>
  <xdr:twoCellAnchor>
    <xdr:from>
      <xdr:col>17</xdr:col>
      <xdr:colOff>68580</xdr:colOff>
      <xdr:row>9</xdr:row>
      <xdr:rowOff>53340</xdr:rowOff>
    </xdr:from>
    <xdr:to>
      <xdr:col>18</xdr:col>
      <xdr:colOff>160020</xdr:colOff>
      <xdr:row>11</xdr:row>
      <xdr:rowOff>15240</xdr:rowOff>
    </xdr:to>
    <xdr:sp macro="" textlink="Processing!J20">
      <xdr:nvSpPr>
        <xdr:cNvPr id="21" name="TextBox 20">
          <a:extLst>
            <a:ext uri="{FF2B5EF4-FFF2-40B4-BE49-F238E27FC236}">
              <a16:creationId xmlns:a16="http://schemas.microsoft.com/office/drawing/2014/main" id="{F3A43043-F1E7-474B-85ED-835408DFE9DF}"/>
            </a:ext>
          </a:extLst>
        </xdr:cNvPr>
        <xdr:cNvSpPr txBox="1"/>
      </xdr:nvSpPr>
      <xdr:spPr>
        <a:xfrm>
          <a:off x="10431780" y="169926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5EC9B3-2A4A-4AC1-9873-86C91B8549DF}" type="TxLink">
            <a:rPr lang="en-US" sz="1800" b="0" i="0" u="none" strike="noStrike">
              <a:solidFill>
                <a:srgbClr val="A2ADBE"/>
              </a:solidFill>
              <a:latin typeface="Aptos Narrow"/>
              <a:ea typeface="+mn-ea"/>
              <a:cs typeface="+mn-cs"/>
            </a:rPr>
            <a:pPr marL="0" indent="0"/>
            <a:t>ROI</a:t>
          </a:fld>
          <a:endParaRPr lang="ru-RU" sz="1800" b="0" i="0" u="none" strike="noStrike">
            <a:solidFill>
              <a:srgbClr val="A2ADBE"/>
            </a:solidFill>
            <a:latin typeface="Aptos Narrow"/>
            <a:ea typeface="+mn-ea"/>
            <a:cs typeface="+mn-cs"/>
          </a:endParaRPr>
        </a:p>
      </xdr:txBody>
    </xdr:sp>
    <xdr:clientData/>
  </xdr:twoCellAnchor>
  <xdr:twoCellAnchor>
    <xdr:from>
      <xdr:col>17</xdr:col>
      <xdr:colOff>45720</xdr:colOff>
      <xdr:row>16</xdr:row>
      <xdr:rowOff>83820</xdr:rowOff>
    </xdr:from>
    <xdr:to>
      <xdr:col>18</xdr:col>
      <xdr:colOff>137160</xdr:colOff>
      <xdr:row>18</xdr:row>
      <xdr:rowOff>45720</xdr:rowOff>
    </xdr:to>
    <xdr:sp macro="" textlink="Processing!J24">
      <xdr:nvSpPr>
        <xdr:cNvPr id="22" name="TextBox 21">
          <a:extLst>
            <a:ext uri="{FF2B5EF4-FFF2-40B4-BE49-F238E27FC236}">
              <a16:creationId xmlns:a16="http://schemas.microsoft.com/office/drawing/2014/main" id="{23B85C1A-1D62-4B93-BCB3-51279FCF8A24}"/>
            </a:ext>
          </a:extLst>
        </xdr:cNvPr>
        <xdr:cNvSpPr txBox="1"/>
      </xdr:nvSpPr>
      <xdr:spPr>
        <a:xfrm>
          <a:off x="10408920" y="300990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75CC82-02FE-4122-8891-3041361035D0}" type="TxLink">
            <a:rPr lang="en-US" sz="1800" b="0" i="0" u="none" strike="noStrike">
              <a:solidFill>
                <a:srgbClr val="A2ADBE"/>
              </a:solidFill>
              <a:latin typeface="Aptos Narrow"/>
              <a:ea typeface="+mn-ea"/>
              <a:cs typeface="+mn-cs"/>
            </a:rPr>
            <a:pPr marL="0" indent="0"/>
            <a:t>Profit</a:t>
          </a:fld>
          <a:endParaRPr lang="ru-RU" sz="1800" b="0" i="0" u="none" strike="noStrike">
            <a:solidFill>
              <a:srgbClr val="A2ADBE"/>
            </a:solidFill>
            <a:latin typeface="Aptos Narrow"/>
            <a:ea typeface="+mn-ea"/>
            <a:cs typeface="+mn-cs"/>
          </a:endParaRPr>
        </a:p>
      </xdr:txBody>
    </xdr:sp>
    <xdr:clientData/>
  </xdr:twoCellAnchor>
  <xdr:twoCellAnchor>
    <xdr:from>
      <xdr:col>19</xdr:col>
      <xdr:colOff>82098</xdr:colOff>
      <xdr:row>13</xdr:row>
      <xdr:rowOff>125616</xdr:rowOff>
    </xdr:from>
    <xdr:to>
      <xdr:col>20</xdr:col>
      <xdr:colOff>405582</xdr:colOff>
      <xdr:row>15</xdr:row>
      <xdr:rowOff>156325</xdr:rowOff>
    </xdr:to>
    <xdr:sp macro="" textlink="Processing!K20">
      <xdr:nvSpPr>
        <xdr:cNvPr id="23" name="TextBox 22">
          <a:extLst>
            <a:ext uri="{FF2B5EF4-FFF2-40B4-BE49-F238E27FC236}">
              <a16:creationId xmlns:a16="http://schemas.microsoft.com/office/drawing/2014/main" id="{8184E1D9-FD8D-42DA-9AC1-458E0AF72222}"/>
            </a:ext>
          </a:extLst>
        </xdr:cNvPr>
        <xdr:cNvSpPr txBox="1"/>
      </xdr:nvSpPr>
      <xdr:spPr>
        <a:xfrm>
          <a:off x="11664498" y="2503056"/>
          <a:ext cx="93308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DB45C4-5730-4E15-A21C-6CDCEBC2E35C}" type="TxLink">
            <a:rPr lang="en-US" sz="2400" b="0" i="0" u="none" strike="noStrike">
              <a:solidFill>
                <a:schemeClr val="bg1"/>
              </a:solidFill>
              <a:latin typeface="Aptos Narrow"/>
              <a:ea typeface="+mn-ea"/>
              <a:cs typeface="+mn-cs"/>
            </a:rPr>
            <a:pPr marL="0" indent="0" algn="ctr"/>
            <a:t>40%</a:t>
          </a:fld>
          <a:endParaRPr lang="ru-RU" sz="6600" b="0" i="0" u="none" strike="noStrike">
            <a:solidFill>
              <a:schemeClr val="bg1"/>
            </a:solidFill>
            <a:latin typeface="Aptos Narrow"/>
            <a:ea typeface="+mn-ea"/>
            <a:cs typeface="+mn-cs"/>
          </a:endParaRPr>
        </a:p>
      </xdr:txBody>
    </xdr:sp>
    <xdr:clientData/>
  </xdr:twoCellAnchor>
  <xdr:twoCellAnchor>
    <xdr:from>
      <xdr:col>2</xdr:col>
      <xdr:colOff>339090</xdr:colOff>
      <xdr:row>8</xdr:row>
      <xdr:rowOff>15240</xdr:rowOff>
    </xdr:from>
    <xdr:to>
      <xdr:col>10</xdr:col>
      <xdr:colOff>331470</xdr:colOff>
      <xdr:row>10</xdr:row>
      <xdr:rowOff>60960</xdr:rowOff>
    </xdr:to>
    <xdr:sp macro="" textlink="Processing!A19">
      <xdr:nvSpPr>
        <xdr:cNvPr id="24" name="TextBox 23">
          <a:extLst>
            <a:ext uri="{FF2B5EF4-FFF2-40B4-BE49-F238E27FC236}">
              <a16:creationId xmlns:a16="http://schemas.microsoft.com/office/drawing/2014/main" id="{125C9FB2-9EEF-4422-BAD1-CDE6F2C8660A}"/>
            </a:ext>
          </a:extLst>
        </xdr:cNvPr>
        <xdr:cNvSpPr txBox="1"/>
      </xdr:nvSpPr>
      <xdr:spPr>
        <a:xfrm>
          <a:off x="1558290" y="1478280"/>
          <a:ext cx="48691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6B11EE3-08E2-4FD0-ACBF-BAF4B5CB40CD}" type="TxLink">
            <a:rPr lang="en-US" sz="2000" b="0" i="0" u="none" strike="noStrike">
              <a:solidFill>
                <a:srgbClr val="A2ADBE"/>
              </a:solidFill>
              <a:latin typeface="Aptos Narrow"/>
              <a:ea typeface="+mn-ea"/>
              <a:cs typeface="+mn-cs"/>
            </a:rPr>
            <a:pPr marL="0" indent="0" algn="l"/>
            <a:t>Revenue vs Expenses</a:t>
          </a:fld>
          <a:endParaRPr lang="ru-RU" sz="2000" b="0" i="0" u="none" strike="noStrike">
            <a:solidFill>
              <a:srgbClr val="A2ADBE"/>
            </a:solidFill>
            <a:latin typeface="Aptos Narrow"/>
            <a:ea typeface="+mn-ea"/>
            <a:cs typeface="+mn-cs"/>
          </a:endParaRPr>
        </a:p>
      </xdr:txBody>
    </xdr:sp>
    <xdr:clientData/>
  </xdr:twoCellAnchor>
  <xdr:twoCellAnchor>
    <xdr:from>
      <xdr:col>3</xdr:col>
      <xdr:colOff>30480</xdr:colOff>
      <xdr:row>11</xdr:row>
      <xdr:rowOff>53340</xdr:rowOff>
    </xdr:from>
    <xdr:to>
      <xdr:col>5</xdr:col>
      <xdr:colOff>228600</xdr:colOff>
      <xdr:row>13</xdr:row>
      <xdr:rowOff>15240</xdr:rowOff>
    </xdr:to>
    <xdr:sp macro="" textlink="Processing!B19">
      <xdr:nvSpPr>
        <xdr:cNvPr id="25" name="TextBox 24">
          <a:extLst>
            <a:ext uri="{FF2B5EF4-FFF2-40B4-BE49-F238E27FC236}">
              <a16:creationId xmlns:a16="http://schemas.microsoft.com/office/drawing/2014/main" id="{CFB9DE7E-64CF-4425-A981-15383DDA7585}"/>
            </a:ext>
          </a:extLst>
        </xdr:cNvPr>
        <xdr:cNvSpPr txBox="1"/>
      </xdr:nvSpPr>
      <xdr:spPr>
        <a:xfrm>
          <a:off x="1859280" y="206502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574D5E3-8646-4B4D-B34E-56CBC0F0F6E8}" type="TxLink">
            <a:rPr lang="en-US" sz="1400" b="0" i="0" u="none" strike="noStrike">
              <a:gradFill>
                <a:gsLst>
                  <a:gs pos="33000">
                    <a:srgbClr val="00C6D1"/>
                  </a:gs>
                  <a:gs pos="100000">
                    <a:srgbClr val="F2ECFF"/>
                  </a:gs>
                </a:gsLst>
                <a:lin ang="5400000" scaled="1"/>
              </a:gradFill>
              <a:latin typeface="Aptos Narrow"/>
              <a:ea typeface="+mn-ea"/>
              <a:cs typeface="+mn-cs"/>
            </a:rPr>
            <a:pPr marL="0" indent="0"/>
            <a:t>Revenue</a:t>
          </a:fld>
          <a:endParaRPr lang="ru-RU" sz="1400" b="0" i="0" u="none" strike="noStrike">
            <a:gradFill>
              <a:gsLst>
                <a:gs pos="33000">
                  <a:srgbClr val="00C6D1"/>
                </a:gs>
                <a:gs pos="100000">
                  <a:srgbClr val="F2ECFF"/>
                </a:gs>
              </a:gsLst>
              <a:lin ang="5400000" scaled="1"/>
            </a:gradFill>
            <a:latin typeface="Aptos Narrow"/>
            <a:ea typeface="+mn-ea"/>
            <a:cs typeface="+mn-cs"/>
          </a:endParaRPr>
        </a:p>
      </xdr:txBody>
    </xdr:sp>
    <xdr:clientData/>
  </xdr:twoCellAnchor>
  <xdr:twoCellAnchor>
    <xdr:from>
      <xdr:col>7</xdr:col>
      <xdr:colOff>281940</xdr:colOff>
      <xdr:row>11</xdr:row>
      <xdr:rowOff>53340</xdr:rowOff>
    </xdr:from>
    <xdr:to>
      <xdr:col>9</xdr:col>
      <xdr:colOff>594360</xdr:colOff>
      <xdr:row>13</xdr:row>
      <xdr:rowOff>15240</xdr:rowOff>
    </xdr:to>
    <xdr:sp macro="" textlink="Processing!C19">
      <xdr:nvSpPr>
        <xdr:cNvPr id="26" name="TextBox 25">
          <a:extLst>
            <a:ext uri="{FF2B5EF4-FFF2-40B4-BE49-F238E27FC236}">
              <a16:creationId xmlns:a16="http://schemas.microsoft.com/office/drawing/2014/main" id="{0A0DEDB3-25E3-4344-9960-D2D1A82B3041}"/>
            </a:ext>
          </a:extLst>
        </xdr:cNvPr>
        <xdr:cNvSpPr txBox="1"/>
      </xdr:nvSpPr>
      <xdr:spPr>
        <a:xfrm>
          <a:off x="4549140" y="206502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4801427-A16D-4D61-A9A5-96BBBB1720E2}" type="TxLink">
            <a:rPr lang="en-US" sz="1400" b="0" i="0" u="none" strike="noStrike">
              <a:gradFill>
                <a:gsLst>
                  <a:gs pos="0">
                    <a:srgbClr val="F17EEC"/>
                  </a:gs>
                  <a:gs pos="100000">
                    <a:srgbClr val="EE0078"/>
                  </a:gs>
                </a:gsLst>
                <a:lin ang="5400000" scaled="0"/>
              </a:gradFill>
              <a:latin typeface="Aptos Narrow"/>
              <a:ea typeface="+mn-ea"/>
              <a:cs typeface="+mn-cs"/>
            </a:rPr>
            <a:pPr marL="0" indent="0"/>
            <a:t>Expenses</a:t>
          </a:fld>
          <a:endParaRPr lang="ru-RU" sz="1400" b="0" i="0" u="none" strike="noStrike">
            <a:gradFill>
              <a:gsLst>
                <a:gs pos="0">
                  <a:srgbClr val="F17EEC"/>
                </a:gs>
                <a:gs pos="100000">
                  <a:srgbClr val="EE0078"/>
                </a:gs>
              </a:gsLst>
              <a:lin ang="5400000" scaled="0"/>
            </a:gradFill>
            <a:latin typeface="Aptos Narrow"/>
            <a:ea typeface="+mn-ea"/>
            <a:cs typeface="+mn-cs"/>
          </a:endParaRPr>
        </a:p>
      </xdr:txBody>
    </xdr:sp>
    <xdr:clientData/>
  </xdr:twoCellAnchor>
  <xdr:twoCellAnchor>
    <xdr:from>
      <xdr:col>2</xdr:col>
      <xdr:colOff>533400</xdr:colOff>
      <xdr:row>11</xdr:row>
      <xdr:rowOff>144780</xdr:rowOff>
    </xdr:from>
    <xdr:to>
      <xdr:col>3</xdr:col>
      <xdr:colOff>42672</xdr:colOff>
      <xdr:row>12</xdr:row>
      <xdr:rowOff>80772</xdr:rowOff>
    </xdr:to>
    <xdr:sp macro="" textlink="">
      <xdr:nvSpPr>
        <xdr:cNvPr id="27" name="Oval 26">
          <a:extLst>
            <a:ext uri="{FF2B5EF4-FFF2-40B4-BE49-F238E27FC236}">
              <a16:creationId xmlns:a16="http://schemas.microsoft.com/office/drawing/2014/main" id="{9E37AB39-62BC-4CFD-8E17-9568D03DD2A8}"/>
            </a:ext>
          </a:extLst>
        </xdr:cNvPr>
        <xdr:cNvSpPr/>
      </xdr:nvSpPr>
      <xdr:spPr>
        <a:xfrm>
          <a:off x="1752600" y="2156460"/>
          <a:ext cx="118872" cy="118872"/>
        </a:xfrm>
        <a:prstGeom prst="ellipse">
          <a:avLst/>
        </a:prstGeom>
        <a:gradFill>
          <a:gsLst>
            <a:gs pos="33000">
              <a:srgbClr val="00C6D1"/>
            </a:gs>
            <a:gs pos="100000">
              <a:srgbClr val="F2ECFF"/>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7</xdr:col>
      <xdr:colOff>160020</xdr:colOff>
      <xdr:row>11</xdr:row>
      <xdr:rowOff>144780</xdr:rowOff>
    </xdr:from>
    <xdr:to>
      <xdr:col>7</xdr:col>
      <xdr:colOff>278892</xdr:colOff>
      <xdr:row>12</xdr:row>
      <xdr:rowOff>80772</xdr:rowOff>
    </xdr:to>
    <xdr:sp macro="" textlink="">
      <xdr:nvSpPr>
        <xdr:cNvPr id="28" name="Oval 27">
          <a:extLst>
            <a:ext uri="{FF2B5EF4-FFF2-40B4-BE49-F238E27FC236}">
              <a16:creationId xmlns:a16="http://schemas.microsoft.com/office/drawing/2014/main" id="{473AB25A-7AFB-4A00-8FF8-89FE2DAA5C38}"/>
            </a:ext>
          </a:extLst>
        </xdr:cNvPr>
        <xdr:cNvSpPr/>
      </xdr:nvSpPr>
      <xdr:spPr>
        <a:xfrm>
          <a:off x="4427220" y="2156460"/>
          <a:ext cx="118872" cy="118872"/>
        </a:xfrm>
        <a:prstGeom prst="ellipse">
          <a:avLst/>
        </a:prstGeom>
        <a:gradFill flip="none" rotWithShape="1">
          <a:gsLst>
            <a:gs pos="6000">
              <a:srgbClr val="F17EEC"/>
            </a:gs>
            <a:gs pos="100000">
              <a:srgbClr val="EE0078"/>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editAs="oneCell">
    <xdr:from>
      <xdr:col>2</xdr:col>
      <xdr:colOff>361950</xdr:colOff>
      <xdr:row>4</xdr:row>
      <xdr:rowOff>175261</xdr:rowOff>
    </xdr:from>
    <xdr:to>
      <xdr:col>5</xdr:col>
      <xdr:colOff>361950</xdr:colOff>
      <xdr:row>6</xdr:row>
      <xdr:rowOff>171450</xdr:rowOff>
    </xdr:to>
    <mc:AlternateContent xmlns:mc="http://schemas.openxmlformats.org/markup-compatibility/2006" xmlns:a14="http://schemas.microsoft.com/office/drawing/2010/main">
      <mc:Choice Requires="a14">
        <xdr:graphicFrame macro="">
          <xdr:nvGraphicFramePr>
            <xdr:cNvPr id="29" name="Year 1">
              <a:extLst>
                <a:ext uri="{FF2B5EF4-FFF2-40B4-BE49-F238E27FC236}">
                  <a16:creationId xmlns:a16="http://schemas.microsoft.com/office/drawing/2014/main" id="{61CC5D00-676D-4E3E-9202-A43A1DCD2B5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81150" y="906781"/>
              <a:ext cx="1828800" cy="4648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327660</xdr:colOff>
      <xdr:row>5</xdr:row>
      <xdr:rowOff>0</xdr:rowOff>
    </xdr:from>
    <xdr:to>
      <xdr:col>19</xdr:col>
      <xdr:colOff>525780</xdr:colOff>
      <xdr:row>6</xdr:row>
      <xdr:rowOff>144780</xdr:rowOff>
    </xdr:to>
    <xdr:sp macro="" textlink="Processing!P3">
      <xdr:nvSpPr>
        <xdr:cNvPr id="31" name="TextBox 30">
          <a:extLst>
            <a:ext uri="{FF2B5EF4-FFF2-40B4-BE49-F238E27FC236}">
              <a16:creationId xmlns:a16="http://schemas.microsoft.com/office/drawing/2014/main" id="{690B1BB0-D002-4F33-BCA0-92907FB48113}"/>
            </a:ext>
          </a:extLst>
        </xdr:cNvPr>
        <xdr:cNvSpPr txBox="1"/>
      </xdr:nvSpPr>
      <xdr:spPr>
        <a:xfrm>
          <a:off x="10690860" y="91440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4BF34E8-F5F7-4FD4-B740-151B677084AF}" type="TxLink">
            <a:rPr lang="en-US" sz="1800" b="0" i="0" u="none" strike="noStrike">
              <a:solidFill>
                <a:schemeClr val="bg1"/>
              </a:solidFill>
              <a:latin typeface="Aptos Narrow"/>
              <a:ea typeface="+mn-ea"/>
              <a:cs typeface="+mn-cs"/>
            </a:rPr>
            <a:pPr marL="0" indent="0" algn="ctr"/>
            <a:t>JANUARY</a:t>
          </a:fld>
          <a:endParaRPr lang="ru-RU" sz="1800" b="0" i="0" u="none" strike="noStrike">
            <a:solidFill>
              <a:schemeClr val="bg1"/>
            </a:solidFill>
            <a:latin typeface="Aptos Narrow"/>
            <a:ea typeface="+mn-ea"/>
            <a:cs typeface="+mn-cs"/>
          </a:endParaRPr>
        </a:p>
      </xdr:txBody>
    </xdr:sp>
    <xdr:clientData/>
  </xdr:twoCellAnchor>
  <xdr:twoCellAnchor>
    <xdr:from>
      <xdr:col>20</xdr:col>
      <xdr:colOff>30480</xdr:colOff>
      <xdr:row>5</xdr:row>
      <xdr:rowOff>0</xdr:rowOff>
    </xdr:from>
    <xdr:to>
      <xdr:col>21</xdr:col>
      <xdr:colOff>152400</xdr:colOff>
      <xdr:row>6</xdr:row>
      <xdr:rowOff>144780</xdr:rowOff>
    </xdr:to>
    <xdr:sp macro="" textlink="Processing!Q3">
      <xdr:nvSpPr>
        <xdr:cNvPr id="32" name="TextBox 31">
          <a:extLst>
            <a:ext uri="{FF2B5EF4-FFF2-40B4-BE49-F238E27FC236}">
              <a16:creationId xmlns:a16="http://schemas.microsoft.com/office/drawing/2014/main" id="{B1320F0A-43B0-4F36-B893-2D24FFB81A25}"/>
            </a:ext>
          </a:extLst>
        </xdr:cNvPr>
        <xdr:cNvSpPr txBox="1"/>
      </xdr:nvSpPr>
      <xdr:spPr>
        <a:xfrm>
          <a:off x="12222480" y="914400"/>
          <a:ext cx="7315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1DB63C7-1528-4BD2-A1EF-C64AF007758D}" type="TxLink">
            <a:rPr lang="en-US" sz="1800" b="0" i="0" u="none" strike="noStrike">
              <a:solidFill>
                <a:schemeClr val="bg1"/>
              </a:solidFill>
              <a:latin typeface="Aptos Narrow"/>
              <a:ea typeface="+mn-ea"/>
              <a:cs typeface="+mn-cs"/>
            </a:rPr>
            <a:pPr marL="0" indent="0" algn="l"/>
            <a:t>2024</a:t>
          </a:fld>
          <a:endParaRPr lang="ru-RU" sz="1800" b="0" i="0" u="none" strike="noStrike">
            <a:solidFill>
              <a:schemeClr val="bg1"/>
            </a:solidFill>
            <a:latin typeface="Aptos Narrow"/>
            <a:ea typeface="+mn-ea"/>
            <a:cs typeface="+mn-cs"/>
          </a:endParaRPr>
        </a:p>
      </xdr:txBody>
    </xdr:sp>
    <xdr:clientData/>
  </xdr:twoCellAnchor>
  <xdr:twoCellAnchor>
    <xdr:from>
      <xdr:col>4</xdr:col>
      <xdr:colOff>480060</xdr:colOff>
      <xdr:row>11</xdr:row>
      <xdr:rowOff>53340</xdr:rowOff>
    </xdr:from>
    <xdr:to>
      <xdr:col>7</xdr:col>
      <xdr:colOff>68580</xdr:colOff>
      <xdr:row>13</xdr:row>
      <xdr:rowOff>15240</xdr:rowOff>
    </xdr:to>
    <xdr:sp macro="" textlink="Processing!B32">
      <xdr:nvSpPr>
        <xdr:cNvPr id="33" name="TextBox 32">
          <a:extLst>
            <a:ext uri="{FF2B5EF4-FFF2-40B4-BE49-F238E27FC236}">
              <a16:creationId xmlns:a16="http://schemas.microsoft.com/office/drawing/2014/main" id="{BE701BC0-E5A2-47D8-A929-CFE3675E1C0C}"/>
            </a:ext>
          </a:extLst>
        </xdr:cNvPr>
        <xdr:cNvSpPr txBox="1"/>
      </xdr:nvSpPr>
      <xdr:spPr>
        <a:xfrm>
          <a:off x="2918460" y="206502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00D491-0CAB-4235-8391-BAB749556DFE}" type="TxLink">
            <a:rPr lang="en-US" sz="1800" b="0" i="0" u="none" strike="noStrike">
              <a:solidFill>
                <a:schemeClr val="bg1"/>
              </a:solidFill>
              <a:latin typeface="Aptos Narrow"/>
            </a:rPr>
            <a:pPr/>
            <a:t> $37,835 </a:t>
          </a:fld>
          <a:endParaRPr lang="ru-RU" sz="1800">
            <a:solidFill>
              <a:schemeClr val="bg1"/>
            </a:solidFill>
          </a:endParaRPr>
        </a:p>
      </xdr:txBody>
    </xdr:sp>
    <xdr:clientData/>
  </xdr:twoCellAnchor>
  <xdr:twoCellAnchor>
    <xdr:from>
      <xdr:col>9</xdr:col>
      <xdr:colOff>182880</xdr:colOff>
      <xdr:row>11</xdr:row>
      <xdr:rowOff>53340</xdr:rowOff>
    </xdr:from>
    <xdr:to>
      <xdr:col>11</xdr:col>
      <xdr:colOff>495300</xdr:colOff>
      <xdr:row>13</xdr:row>
      <xdr:rowOff>15240</xdr:rowOff>
    </xdr:to>
    <xdr:sp macro="" textlink="Processing!C32">
      <xdr:nvSpPr>
        <xdr:cNvPr id="34" name="TextBox 33">
          <a:extLst>
            <a:ext uri="{FF2B5EF4-FFF2-40B4-BE49-F238E27FC236}">
              <a16:creationId xmlns:a16="http://schemas.microsoft.com/office/drawing/2014/main" id="{20F318E6-A6DC-44A3-8C49-1AAA90C43D25}"/>
            </a:ext>
          </a:extLst>
        </xdr:cNvPr>
        <xdr:cNvSpPr txBox="1"/>
      </xdr:nvSpPr>
      <xdr:spPr>
        <a:xfrm>
          <a:off x="5669280" y="206502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179A30B-4AD3-4AF0-BD85-D57A78678D79}" type="TxLink">
            <a:rPr lang="en-US" sz="1800" b="0" i="0" u="none" strike="noStrike">
              <a:solidFill>
                <a:schemeClr val="bg1"/>
              </a:solidFill>
              <a:latin typeface="Aptos Narrow"/>
              <a:ea typeface="+mn-ea"/>
              <a:cs typeface="+mn-cs"/>
            </a:rPr>
            <a:pPr marL="0" indent="0"/>
            <a:t> $26,660 </a:t>
          </a:fld>
          <a:endParaRPr lang="ru-RU" sz="1800" b="0" i="0" u="none" strike="noStrike">
            <a:solidFill>
              <a:schemeClr val="bg1"/>
            </a:solidFill>
            <a:latin typeface="Aptos Narrow"/>
            <a:ea typeface="+mn-ea"/>
            <a:cs typeface="+mn-cs"/>
          </a:endParaRPr>
        </a:p>
      </xdr:txBody>
    </xdr:sp>
    <xdr:clientData/>
  </xdr:twoCellAnchor>
  <xdr:twoCellAnchor>
    <xdr:from>
      <xdr:col>12</xdr:col>
      <xdr:colOff>304800</xdr:colOff>
      <xdr:row>15</xdr:row>
      <xdr:rowOff>160020</xdr:rowOff>
    </xdr:from>
    <xdr:to>
      <xdr:col>15</xdr:col>
      <xdr:colOff>121920</xdr:colOff>
      <xdr:row>17</xdr:row>
      <xdr:rowOff>121920</xdr:rowOff>
    </xdr:to>
    <xdr:sp macro="" textlink="Processing!C14">
      <xdr:nvSpPr>
        <xdr:cNvPr id="35" name="TextBox 34">
          <a:extLst>
            <a:ext uri="{FF2B5EF4-FFF2-40B4-BE49-F238E27FC236}">
              <a16:creationId xmlns:a16="http://schemas.microsoft.com/office/drawing/2014/main" id="{FF73766C-A015-4F4F-A777-BD2E6BC4AB9C}"/>
            </a:ext>
          </a:extLst>
        </xdr:cNvPr>
        <xdr:cNvSpPr txBox="1"/>
      </xdr:nvSpPr>
      <xdr:spPr>
        <a:xfrm>
          <a:off x="7620000" y="290322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77A68F2-9086-49F9-A77A-937410EA236B}" type="TxLink">
            <a:rPr lang="en-US" sz="2400" b="0" i="0" u="none" strike="noStrike">
              <a:solidFill>
                <a:schemeClr val="bg1"/>
              </a:solidFill>
              <a:latin typeface="Aptos Narrow"/>
              <a:ea typeface="+mn-ea"/>
              <a:cs typeface="+mn-cs"/>
            </a:rPr>
            <a:pPr marL="0" indent="0" algn="l"/>
            <a:t> $33,543 </a:t>
          </a:fld>
          <a:endParaRPr lang="ru-RU" sz="2400" b="0" i="0" u="none" strike="noStrike">
            <a:solidFill>
              <a:schemeClr val="bg1"/>
            </a:solidFill>
            <a:latin typeface="Aptos Narrow"/>
            <a:ea typeface="+mn-ea"/>
            <a:cs typeface="+mn-cs"/>
          </a:endParaRPr>
        </a:p>
      </xdr:txBody>
    </xdr:sp>
    <xdr:clientData/>
  </xdr:twoCellAnchor>
  <xdr:twoCellAnchor>
    <xdr:from>
      <xdr:col>12</xdr:col>
      <xdr:colOff>327660</xdr:colOff>
      <xdr:row>12</xdr:row>
      <xdr:rowOff>0</xdr:rowOff>
    </xdr:from>
    <xdr:to>
      <xdr:col>15</xdr:col>
      <xdr:colOff>144780</xdr:colOff>
      <xdr:row>13</xdr:row>
      <xdr:rowOff>144780</xdr:rowOff>
    </xdr:to>
    <xdr:sp macro="" textlink="Processing!B14">
      <xdr:nvSpPr>
        <xdr:cNvPr id="36" name="TextBox 35">
          <a:extLst>
            <a:ext uri="{FF2B5EF4-FFF2-40B4-BE49-F238E27FC236}">
              <a16:creationId xmlns:a16="http://schemas.microsoft.com/office/drawing/2014/main" id="{04EC0FA9-ED55-424C-8895-1D2E419468FB}"/>
            </a:ext>
          </a:extLst>
        </xdr:cNvPr>
        <xdr:cNvSpPr txBox="1"/>
      </xdr:nvSpPr>
      <xdr:spPr>
        <a:xfrm>
          <a:off x="7642860" y="219456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176861D-A161-4D96-8756-6AC7C156A8BD}" type="TxLink">
            <a:rPr lang="en-US" sz="2400" b="0" i="0" u="none" strike="noStrike">
              <a:solidFill>
                <a:schemeClr val="bg1"/>
              </a:solidFill>
              <a:latin typeface="Aptos Narrow"/>
              <a:ea typeface="+mn-ea"/>
              <a:cs typeface="+mn-cs"/>
            </a:rPr>
            <a:pPr marL="0" indent="0" algn="l"/>
            <a:t> $28,026 </a:t>
          </a:fld>
          <a:endParaRPr lang="ru-RU" sz="2400" b="0" i="0" u="none" strike="noStrike">
            <a:solidFill>
              <a:schemeClr val="bg1"/>
            </a:solidFill>
            <a:latin typeface="Aptos Narrow"/>
            <a:ea typeface="+mn-ea"/>
            <a:cs typeface="+mn-cs"/>
          </a:endParaRPr>
        </a:p>
      </xdr:txBody>
    </xdr:sp>
    <xdr:clientData/>
  </xdr:twoCellAnchor>
  <xdr:twoCellAnchor>
    <xdr:from>
      <xdr:col>17</xdr:col>
      <xdr:colOff>14478</xdr:colOff>
      <xdr:row>18</xdr:row>
      <xdr:rowOff>26556</xdr:rowOff>
    </xdr:from>
    <xdr:to>
      <xdr:col>19</xdr:col>
      <xdr:colOff>320802</xdr:colOff>
      <xdr:row>20</xdr:row>
      <xdr:rowOff>57265</xdr:rowOff>
    </xdr:to>
    <xdr:sp macro="" textlink="Processing!J25">
      <xdr:nvSpPr>
        <xdr:cNvPr id="37" name="TextBox 36">
          <a:extLst>
            <a:ext uri="{FF2B5EF4-FFF2-40B4-BE49-F238E27FC236}">
              <a16:creationId xmlns:a16="http://schemas.microsoft.com/office/drawing/2014/main" id="{DF367971-4E4E-410F-946B-BFC602B5EC96}"/>
            </a:ext>
          </a:extLst>
        </xdr:cNvPr>
        <xdr:cNvSpPr txBox="1"/>
      </xdr:nvSpPr>
      <xdr:spPr>
        <a:xfrm>
          <a:off x="10377678" y="3318396"/>
          <a:ext cx="152552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E6A133C-5381-4990-B5CC-3867629A9899}" type="TxLink">
            <a:rPr lang="en-US" sz="2000" b="0" i="0" u="none" strike="noStrike">
              <a:solidFill>
                <a:schemeClr val="bg1"/>
              </a:solidFill>
              <a:latin typeface="Aptos Narrow"/>
              <a:ea typeface="+mn-ea"/>
              <a:cs typeface="+mn-cs"/>
            </a:rPr>
            <a:pPr marL="0" indent="0" algn="l"/>
            <a:t> $11,175 </a:t>
          </a:fld>
          <a:endParaRPr lang="ru-RU" sz="2000" b="0" i="0" u="none" strike="noStrike">
            <a:solidFill>
              <a:schemeClr val="bg1"/>
            </a:solidFill>
            <a:latin typeface="Aptos Narrow"/>
            <a:ea typeface="+mn-ea"/>
            <a:cs typeface="+mn-cs"/>
          </a:endParaRPr>
        </a:p>
      </xdr:txBody>
    </xdr:sp>
    <xdr:clientData/>
  </xdr:twoCellAnchor>
  <xdr:twoCellAnchor>
    <xdr:from>
      <xdr:col>14</xdr:col>
      <xdr:colOff>251460</xdr:colOff>
      <xdr:row>10</xdr:row>
      <xdr:rowOff>68580</xdr:rowOff>
    </xdr:from>
    <xdr:to>
      <xdr:col>16</xdr:col>
      <xdr:colOff>449580</xdr:colOff>
      <xdr:row>12</xdr:row>
      <xdr:rowOff>30480</xdr:rowOff>
    </xdr:to>
    <xdr:sp macro="" textlink="Processing!A15">
      <xdr:nvSpPr>
        <xdr:cNvPr id="38" name="TextBox 37">
          <a:extLst>
            <a:ext uri="{FF2B5EF4-FFF2-40B4-BE49-F238E27FC236}">
              <a16:creationId xmlns:a16="http://schemas.microsoft.com/office/drawing/2014/main" id="{C592AB96-6BAF-4A76-A446-DF6B9047A9D5}"/>
            </a:ext>
          </a:extLst>
        </xdr:cNvPr>
        <xdr:cNvSpPr txBox="1"/>
      </xdr:nvSpPr>
      <xdr:spPr>
        <a:xfrm>
          <a:off x="8785860" y="189738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251460</xdr:colOff>
      <xdr:row>14</xdr:row>
      <xdr:rowOff>45720</xdr:rowOff>
    </xdr:from>
    <xdr:to>
      <xdr:col>16</xdr:col>
      <xdr:colOff>449580</xdr:colOff>
      <xdr:row>16</xdr:row>
      <xdr:rowOff>7620</xdr:rowOff>
    </xdr:to>
    <xdr:sp macro="" textlink="Processing!A15">
      <xdr:nvSpPr>
        <xdr:cNvPr id="39" name="TextBox 38">
          <a:extLst>
            <a:ext uri="{FF2B5EF4-FFF2-40B4-BE49-F238E27FC236}">
              <a16:creationId xmlns:a16="http://schemas.microsoft.com/office/drawing/2014/main" id="{72A03B46-7BD0-4DDA-9268-D4417A934CE3}"/>
            </a:ext>
          </a:extLst>
        </xdr:cNvPr>
        <xdr:cNvSpPr txBox="1"/>
      </xdr:nvSpPr>
      <xdr:spPr>
        <a:xfrm>
          <a:off x="8785860" y="260604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586718</xdr:colOff>
      <xdr:row>11</xdr:row>
      <xdr:rowOff>23695</xdr:rowOff>
    </xdr:from>
    <xdr:to>
      <xdr:col>16</xdr:col>
      <xdr:colOff>53318</xdr:colOff>
      <xdr:row>14</xdr:row>
      <xdr:rowOff>160855</xdr:rowOff>
    </xdr:to>
    <xdr:graphicFrame macro="">
      <xdr:nvGraphicFramePr>
        <xdr:cNvPr id="40" name="Chart 39">
          <a:extLst>
            <a:ext uri="{FF2B5EF4-FFF2-40B4-BE49-F238E27FC236}">
              <a16:creationId xmlns:a16="http://schemas.microsoft.com/office/drawing/2014/main" id="{E1ED2BA0-5BFC-4459-942C-0F70E62B0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586718</xdr:colOff>
      <xdr:row>12</xdr:row>
      <xdr:rowOff>12265</xdr:rowOff>
    </xdr:from>
    <xdr:to>
      <xdr:col>16</xdr:col>
      <xdr:colOff>68558</xdr:colOff>
      <xdr:row>13</xdr:row>
      <xdr:rowOff>157045</xdr:rowOff>
    </xdr:to>
    <xdr:sp macro="" textlink="Processing!B15">
      <xdr:nvSpPr>
        <xdr:cNvPr id="41" name="TextBox 40">
          <a:extLst>
            <a:ext uri="{FF2B5EF4-FFF2-40B4-BE49-F238E27FC236}">
              <a16:creationId xmlns:a16="http://schemas.microsoft.com/office/drawing/2014/main" id="{003E18DD-FC8D-48B3-A690-9BDBC27EFE04}"/>
            </a:ext>
          </a:extLst>
        </xdr:cNvPr>
        <xdr:cNvSpPr txBox="1"/>
      </xdr:nvSpPr>
      <xdr:spPr>
        <a:xfrm>
          <a:off x="9121118" y="220682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7864E5-CAD8-4B22-A5F5-C06AFB7D5E57}" type="TxLink">
            <a:rPr lang="en-US" sz="1100" b="0" i="0" u="none" strike="noStrike">
              <a:solidFill>
                <a:schemeClr val="bg1"/>
              </a:solidFill>
              <a:latin typeface="Aptos Narrow"/>
              <a:ea typeface="+mn-ea"/>
              <a:cs typeface="+mn-cs"/>
            </a:rPr>
            <a:pPr marL="0" indent="0" algn="ctr"/>
            <a:t>43%</a:t>
          </a:fld>
          <a:endParaRPr lang="ru-RU" sz="1800" b="0" i="0" u="none" strike="noStrike">
            <a:solidFill>
              <a:schemeClr val="bg1"/>
            </a:solidFill>
            <a:latin typeface="Aptos Narrow"/>
            <a:ea typeface="+mn-ea"/>
            <a:cs typeface="+mn-cs"/>
          </a:endParaRPr>
        </a:p>
      </xdr:txBody>
    </xdr:sp>
    <xdr:clientData/>
  </xdr:twoCellAnchor>
  <xdr:twoCellAnchor>
    <xdr:from>
      <xdr:col>14</xdr:col>
      <xdr:colOff>586718</xdr:colOff>
      <xdr:row>14</xdr:row>
      <xdr:rowOff>168475</xdr:rowOff>
    </xdr:from>
    <xdr:to>
      <xdr:col>16</xdr:col>
      <xdr:colOff>53318</xdr:colOff>
      <xdr:row>18</xdr:row>
      <xdr:rowOff>122755</xdr:rowOff>
    </xdr:to>
    <xdr:graphicFrame macro="">
      <xdr:nvGraphicFramePr>
        <xdr:cNvPr id="42" name="Chart 41">
          <a:extLst>
            <a:ext uri="{FF2B5EF4-FFF2-40B4-BE49-F238E27FC236}">
              <a16:creationId xmlns:a16="http://schemas.microsoft.com/office/drawing/2014/main" id="{CA3EA0F9-CE72-4BDA-9A1B-2DB65A0A3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586718</xdr:colOff>
      <xdr:row>15</xdr:row>
      <xdr:rowOff>157045</xdr:rowOff>
    </xdr:from>
    <xdr:to>
      <xdr:col>16</xdr:col>
      <xdr:colOff>68558</xdr:colOff>
      <xdr:row>17</xdr:row>
      <xdr:rowOff>118945</xdr:rowOff>
    </xdr:to>
    <xdr:sp macro="" textlink="Processing!C15">
      <xdr:nvSpPr>
        <xdr:cNvPr id="43" name="TextBox 42">
          <a:extLst>
            <a:ext uri="{FF2B5EF4-FFF2-40B4-BE49-F238E27FC236}">
              <a16:creationId xmlns:a16="http://schemas.microsoft.com/office/drawing/2014/main" id="{C944834E-E363-42C9-B414-EE89905F2C8C}"/>
            </a:ext>
          </a:extLst>
        </xdr:cNvPr>
        <xdr:cNvSpPr txBox="1"/>
      </xdr:nvSpPr>
      <xdr:spPr>
        <a:xfrm>
          <a:off x="9121118" y="290024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A5132A-5551-4D94-B54D-1E5261C5DB06}" type="TxLink">
            <a:rPr lang="en-US" sz="1100" b="0" i="0" u="none" strike="noStrike">
              <a:solidFill>
                <a:schemeClr val="bg1"/>
              </a:solidFill>
              <a:latin typeface="Aptos Narrow"/>
              <a:ea typeface="+mn-ea"/>
              <a:cs typeface="+mn-cs"/>
            </a:rPr>
            <a:pPr marL="0" indent="0" algn="ctr"/>
            <a:t>52%</a:t>
          </a:fld>
          <a:endParaRPr lang="ru-RU" sz="1800" b="0" i="0" u="none" strike="noStrike">
            <a:solidFill>
              <a:schemeClr val="bg1"/>
            </a:solidFill>
            <a:latin typeface="Aptos Narrow"/>
            <a:ea typeface="+mn-ea"/>
            <a:cs typeface="+mn-cs"/>
          </a:endParaRPr>
        </a:p>
      </xdr:txBody>
    </xdr:sp>
    <xdr:clientData/>
  </xdr:twoCellAnchor>
  <xdr:twoCellAnchor>
    <xdr:from>
      <xdr:col>12</xdr:col>
      <xdr:colOff>388620</xdr:colOff>
      <xdr:row>21</xdr:row>
      <xdr:rowOff>96085</xdr:rowOff>
    </xdr:from>
    <xdr:to>
      <xdr:col>14</xdr:col>
      <xdr:colOff>304778</xdr:colOff>
      <xdr:row>23</xdr:row>
      <xdr:rowOff>57985</xdr:rowOff>
    </xdr:to>
    <xdr:sp macro="" textlink="Processing!B32">
      <xdr:nvSpPr>
        <xdr:cNvPr id="44" name="TextBox 43">
          <a:extLst>
            <a:ext uri="{FF2B5EF4-FFF2-40B4-BE49-F238E27FC236}">
              <a16:creationId xmlns:a16="http://schemas.microsoft.com/office/drawing/2014/main" id="{F9F53AF5-B855-4BD4-A6B6-24F4F2F35A2B}"/>
            </a:ext>
          </a:extLst>
        </xdr:cNvPr>
        <xdr:cNvSpPr txBox="1"/>
      </xdr:nvSpPr>
      <xdr:spPr>
        <a:xfrm>
          <a:off x="770382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E21EC3CC-CA95-428B-98B7-4DE0DF5CF094}" type="TxLink">
            <a:rPr lang="en-US" sz="1400" b="0" i="0" u="none" strike="noStrike">
              <a:gradFill>
                <a:gsLst>
                  <a:gs pos="33000">
                    <a:srgbClr val="00C6D1"/>
                  </a:gs>
                  <a:gs pos="100000">
                    <a:srgbClr val="F2ECFF"/>
                  </a:gs>
                </a:gsLst>
                <a:lin ang="5400000" scaled="1"/>
              </a:gradFill>
              <a:latin typeface="Aptos Narrow"/>
              <a:ea typeface="+mn-ea"/>
              <a:cs typeface="+mn-cs"/>
            </a:rPr>
            <a:pPr marL="0" indent="0" algn="r"/>
            <a:t> $37,835 </a:t>
          </a:fld>
          <a:endParaRPr lang="ru-RU" sz="1400" b="0" i="0" u="none" strike="noStrike">
            <a:gradFill>
              <a:gsLst>
                <a:gs pos="33000">
                  <a:srgbClr val="00C6D1"/>
                </a:gs>
                <a:gs pos="100000">
                  <a:srgbClr val="F2ECFF"/>
                </a:gs>
              </a:gsLst>
              <a:lin ang="5400000" scaled="1"/>
            </a:gradFill>
            <a:latin typeface="Aptos Narrow"/>
            <a:ea typeface="+mn-ea"/>
            <a:cs typeface="+mn-cs"/>
          </a:endParaRPr>
        </a:p>
      </xdr:txBody>
    </xdr:sp>
    <xdr:clientData/>
  </xdr:twoCellAnchor>
  <xdr:twoCellAnchor>
    <xdr:from>
      <xdr:col>14</xdr:col>
      <xdr:colOff>304800</xdr:colOff>
      <xdr:row>21</xdr:row>
      <xdr:rowOff>96085</xdr:rowOff>
    </xdr:from>
    <xdr:to>
      <xdr:col>16</xdr:col>
      <xdr:colOff>220958</xdr:colOff>
      <xdr:row>23</xdr:row>
      <xdr:rowOff>57985</xdr:rowOff>
    </xdr:to>
    <xdr:sp macro="" textlink="Processing!C32">
      <xdr:nvSpPr>
        <xdr:cNvPr id="45" name="TextBox 44">
          <a:extLst>
            <a:ext uri="{FF2B5EF4-FFF2-40B4-BE49-F238E27FC236}">
              <a16:creationId xmlns:a16="http://schemas.microsoft.com/office/drawing/2014/main" id="{52BEF358-6290-451E-BFCE-D00AE5931C97}"/>
            </a:ext>
          </a:extLst>
        </xdr:cNvPr>
        <xdr:cNvSpPr txBox="1"/>
      </xdr:nvSpPr>
      <xdr:spPr>
        <a:xfrm>
          <a:off x="883920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B887651-16A7-4B6B-95E2-0C9BA58C3F07}" type="TxLink">
            <a:rPr lang="en-US" sz="1400" b="0" i="0" u="none" strike="noStrike">
              <a:gradFill>
                <a:gsLst>
                  <a:gs pos="0">
                    <a:srgbClr val="F17EEC"/>
                  </a:gs>
                  <a:gs pos="100000">
                    <a:srgbClr val="EE0078"/>
                  </a:gs>
                </a:gsLst>
                <a:lin ang="5400000" scaled="0"/>
              </a:gradFill>
              <a:latin typeface="Aptos Narrow"/>
              <a:ea typeface="+mn-ea"/>
              <a:cs typeface="+mn-cs"/>
            </a:rPr>
            <a:pPr marL="0" indent="0" algn="l"/>
            <a:t> $26,660 </a:t>
          </a:fld>
          <a:endParaRPr lang="ru-RU" sz="1400" b="0" i="0" u="none" strike="noStrike">
            <a:gradFill>
              <a:gsLst>
                <a:gs pos="0">
                  <a:srgbClr val="F17EEC"/>
                </a:gs>
                <a:gs pos="100000">
                  <a:srgbClr val="EE0078"/>
                </a:gs>
              </a:gsLst>
              <a:lin ang="5400000" scaled="0"/>
            </a:gradFill>
            <a:latin typeface="Aptos Narrow"/>
            <a:ea typeface="+mn-ea"/>
            <a:cs typeface="+mn-cs"/>
          </a:endParaRPr>
        </a:p>
      </xdr:txBody>
    </xdr:sp>
    <xdr:clientData/>
  </xdr:twoCellAnchor>
  <xdr:twoCellAnchor>
    <xdr:from>
      <xdr:col>18</xdr:col>
      <xdr:colOff>236220</xdr:colOff>
      <xdr:row>22</xdr:row>
      <xdr:rowOff>83820</xdr:rowOff>
    </xdr:from>
    <xdr:to>
      <xdr:col>19</xdr:col>
      <xdr:colOff>403860</xdr:colOff>
      <xdr:row>24</xdr:row>
      <xdr:rowOff>45720</xdr:rowOff>
    </xdr:to>
    <xdr:sp macro="" textlink="Processing!K7">
      <xdr:nvSpPr>
        <xdr:cNvPr id="46" name="TextBox 45">
          <a:extLst>
            <a:ext uri="{FF2B5EF4-FFF2-40B4-BE49-F238E27FC236}">
              <a16:creationId xmlns:a16="http://schemas.microsoft.com/office/drawing/2014/main" id="{77F79BF8-4674-4931-8258-89F1A5DED299}"/>
            </a:ext>
          </a:extLst>
        </xdr:cNvPr>
        <xdr:cNvSpPr txBox="1"/>
      </xdr:nvSpPr>
      <xdr:spPr>
        <a:xfrm>
          <a:off x="11209020" y="4107180"/>
          <a:ext cx="7772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95F57CC-C864-4243-8643-2B753CFD8A66}" type="TxLink">
            <a:rPr lang="en-US" sz="1400" b="0" i="0" u="none" strike="noStrike">
              <a:solidFill>
                <a:schemeClr val="bg1"/>
              </a:solidFill>
              <a:latin typeface="Aptos Narrow"/>
              <a:ea typeface="+mn-ea"/>
              <a:cs typeface="+mn-cs"/>
            </a:rPr>
            <a:pPr marL="0" indent="0" algn="r"/>
            <a:t> 15 366</a:t>
          </a:fld>
          <a:endParaRPr lang="ru-RU" sz="3200" b="0" i="0" u="none" strike="noStrike">
            <a:solidFill>
              <a:schemeClr val="bg1"/>
            </a:solidFill>
            <a:latin typeface="Aptos Narrow"/>
            <a:ea typeface="+mn-ea"/>
            <a:cs typeface="+mn-cs"/>
          </a:endParaRPr>
        </a:p>
      </xdr:txBody>
    </xdr:sp>
    <xdr:clientData/>
  </xdr:twoCellAnchor>
  <xdr:twoCellAnchor>
    <xdr:from>
      <xdr:col>1</xdr:col>
      <xdr:colOff>548640</xdr:colOff>
      <xdr:row>15</xdr:row>
      <xdr:rowOff>175261</xdr:rowOff>
    </xdr:from>
    <xdr:to>
      <xdr:col>11</xdr:col>
      <xdr:colOff>441960</xdr:colOff>
      <xdr:row>31</xdr:row>
      <xdr:rowOff>68581</xdr:rowOff>
    </xdr:to>
    <xdr:graphicFrame macro="">
      <xdr:nvGraphicFramePr>
        <xdr:cNvPr id="47" name="Chart 46">
          <a:extLst>
            <a:ext uri="{FF2B5EF4-FFF2-40B4-BE49-F238E27FC236}">
              <a16:creationId xmlns:a16="http://schemas.microsoft.com/office/drawing/2014/main" id="{FFB8A194-303A-7439-FCEF-B639E5566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304800</xdr:colOff>
      <xdr:row>30</xdr:row>
      <xdr:rowOff>91440</xdr:rowOff>
    </xdr:from>
    <xdr:to>
      <xdr:col>11</xdr:col>
      <xdr:colOff>396240</xdr:colOff>
      <xdr:row>32</xdr:row>
      <xdr:rowOff>155448</xdr:rowOff>
    </xdr:to>
    <mc:AlternateContent xmlns:mc="http://schemas.openxmlformats.org/markup-compatibility/2006" xmlns:a14="http://schemas.microsoft.com/office/drawing/2010/main">
      <mc:Choice Requires="a14">
        <xdr:graphicFrame macro="">
          <xdr:nvGraphicFramePr>
            <xdr:cNvPr id="30" name="Month 1">
              <a:extLst>
                <a:ext uri="{FF2B5EF4-FFF2-40B4-BE49-F238E27FC236}">
                  <a16:creationId xmlns:a16="http://schemas.microsoft.com/office/drawing/2014/main" id="{BA0A34AD-BDD6-49DF-A2D1-3B9998F56A9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24000" y="5577840"/>
              <a:ext cx="55778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304800</xdr:colOff>
      <xdr:row>8</xdr:row>
      <xdr:rowOff>83820</xdr:rowOff>
    </xdr:from>
    <xdr:to>
      <xdr:col>16</xdr:col>
      <xdr:colOff>342900</xdr:colOff>
      <xdr:row>18</xdr:row>
      <xdr:rowOff>83820</xdr:rowOff>
    </xdr:to>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7140340F-6A76-484C-9386-0DA89EF2C0F1}"/>
            </a:ext>
          </a:extLst>
        </xdr:cNvPr>
        <xdr:cNvSpPr/>
      </xdr:nvSpPr>
      <xdr:spPr>
        <a:xfrm>
          <a:off x="7620000" y="1546860"/>
          <a:ext cx="247650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304800</xdr:colOff>
      <xdr:row>19</xdr:row>
      <xdr:rowOff>167640</xdr:rowOff>
    </xdr:from>
    <xdr:to>
      <xdr:col>16</xdr:col>
      <xdr:colOff>342900</xdr:colOff>
      <xdr:row>32</xdr:row>
      <xdr:rowOff>121920</xdr:rowOff>
    </xdr:to>
    <xdr:sp macro="" textlink="">
      <xdr:nvSpPr>
        <xdr:cNvPr id="48" name="Rectangle: Rounded Corners 47">
          <a:hlinkClick xmlns:r="http://schemas.openxmlformats.org/officeDocument/2006/relationships" r:id="rId10"/>
          <a:extLst>
            <a:ext uri="{FF2B5EF4-FFF2-40B4-BE49-F238E27FC236}">
              <a16:creationId xmlns:a16="http://schemas.microsoft.com/office/drawing/2014/main" id="{4141E579-5B33-411F-B4A9-2A4939FE767B}"/>
            </a:ext>
          </a:extLst>
        </xdr:cNvPr>
        <xdr:cNvSpPr/>
      </xdr:nvSpPr>
      <xdr:spPr>
        <a:xfrm>
          <a:off x="7620000" y="3642360"/>
          <a:ext cx="2476500" cy="2331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541020</xdr:colOff>
      <xdr:row>8</xdr:row>
      <xdr:rowOff>83820</xdr:rowOff>
    </xdr:from>
    <xdr:to>
      <xdr:col>22</xdr:col>
      <xdr:colOff>53340</xdr:colOff>
      <xdr:row>21</xdr:row>
      <xdr:rowOff>53340</xdr:rowOff>
    </xdr:to>
    <xdr:sp macro="" textlink="">
      <xdr:nvSpPr>
        <xdr:cNvPr id="49" name="Rectangle: Rounded Corners 48">
          <a:hlinkClick xmlns:r="http://schemas.openxmlformats.org/officeDocument/2006/relationships" r:id="rId11"/>
          <a:extLst>
            <a:ext uri="{FF2B5EF4-FFF2-40B4-BE49-F238E27FC236}">
              <a16:creationId xmlns:a16="http://schemas.microsoft.com/office/drawing/2014/main" id="{0D291F10-B41C-4B2D-ADF5-088E98819D23}"/>
            </a:ext>
          </a:extLst>
        </xdr:cNvPr>
        <xdr:cNvSpPr/>
      </xdr:nvSpPr>
      <xdr:spPr>
        <a:xfrm>
          <a:off x="10294620" y="1546860"/>
          <a:ext cx="3169920" cy="23469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518160</xdr:colOff>
      <xdr:row>22</xdr:row>
      <xdr:rowOff>0</xdr:rowOff>
    </xdr:from>
    <xdr:to>
      <xdr:col>19</xdr:col>
      <xdr:colOff>541020</xdr:colOff>
      <xdr:row>32</xdr:row>
      <xdr:rowOff>121920</xdr:rowOff>
    </xdr:to>
    <xdr:sp macro="" textlink="">
      <xdr:nvSpPr>
        <xdr:cNvPr id="50" name="Rectangle: Rounded Corners 49">
          <a:hlinkClick xmlns:r="http://schemas.openxmlformats.org/officeDocument/2006/relationships" r:id="rId12"/>
          <a:extLst>
            <a:ext uri="{FF2B5EF4-FFF2-40B4-BE49-F238E27FC236}">
              <a16:creationId xmlns:a16="http://schemas.microsoft.com/office/drawing/2014/main" id="{20705D44-6FFD-4347-9754-FFBA36B4DF77}"/>
            </a:ext>
          </a:extLst>
        </xdr:cNvPr>
        <xdr:cNvSpPr/>
      </xdr:nvSpPr>
      <xdr:spPr>
        <a:xfrm>
          <a:off x="10271760" y="4023360"/>
          <a:ext cx="1851660" cy="1950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53340</xdr:colOff>
      <xdr:row>22</xdr:row>
      <xdr:rowOff>0</xdr:rowOff>
    </xdr:from>
    <xdr:to>
      <xdr:col>22</xdr:col>
      <xdr:colOff>99060</xdr:colOff>
      <xdr:row>32</xdr:row>
      <xdr:rowOff>121920</xdr:rowOff>
    </xdr:to>
    <xdr:sp macro="" textlink="">
      <xdr:nvSpPr>
        <xdr:cNvPr id="51" name="Rectangle: Rounded Corners 50">
          <a:hlinkClick xmlns:r="http://schemas.openxmlformats.org/officeDocument/2006/relationships" r:id="rId13"/>
          <a:extLst>
            <a:ext uri="{FF2B5EF4-FFF2-40B4-BE49-F238E27FC236}">
              <a16:creationId xmlns:a16="http://schemas.microsoft.com/office/drawing/2014/main" id="{27861210-8D84-4E8F-A2C9-D52407C7C6ED}"/>
            </a:ext>
          </a:extLst>
        </xdr:cNvPr>
        <xdr:cNvSpPr/>
      </xdr:nvSpPr>
      <xdr:spPr>
        <a:xfrm>
          <a:off x="12245340" y="4023360"/>
          <a:ext cx="1264920" cy="1950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0</xdr:col>
      <xdr:colOff>0</xdr:colOff>
      <xdr:row>0</xdr:row>
      <xdr:rowOff>0</xdr:rowOff>
    </xdr:from>
    <xdr:to>
      <xdr:col>0</xdr:col>
      <xdr:colOff>274320</xdr:colOff>
      <xdr:row>1</xdr:row>
      <xdr:rowOff>91440</xdr:rowOff>
    </xdr:to>
    <xdr:pic>
      <xdr:nvPicPr>
        <xdr:cNvPr id="52" name="Graphic 51" descr="Sun with solid fill">
          <a:hlinkClick xmlns:r="http://schemas.openxmlformats.org/officeDocument/2006/relationships" r:id="rId14"/>
          <a:extLst>
            <a:ext uri="{FF2B5EF4-FFF2-40B4-BE49-F238E27FC236}">
              <a16:creationId xmlns:a16="http://schemas.microsoft.com/office/drawing/2014/main" id="{46D7E6CF-1282-4954-ABED-55EC0E2717D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0" y="0"/>
          <a:ext cx="274320" cy="2743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99060</xdr:colOff>
      <xdr:row>1</xdr:row>
      <xdr:rowOff>99060</xdr:rowOff>
    </xdr:to>
    <xdr:sp macro="" textlink="">
      <xdr:nvSpPr>
        <xdr:cNvPr id="51" name="Rectangle 50">
          <a:extLst>
            <a:ext uri="{FF2B5EF4-FFF2-40B4-BE49-F238E27FC236}">
              <a16:creationId xmlns:a16="http://schemas.microsoft.com/office/drawing/2014/main" id="{27A2BC84-4A10-49EE-BF18-5BB40F3EE242}"/>
            </a:ext>
          </a:extLst>
        </xdr:cNvPr>
        <xdr:cNvSpPr/>
      </xdr:nvSpPr>
      <xdr:spPr>
        <a:xfrm>
          <a:off x="0" y="0"/>
          <a:ext cx="708660" cy="2819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205740</xdr:colOff>
      <xdr:row>3</xdr:row>
      <xdr:rowOff>91440</xdr:rowOff>
    </xdr:from>
    <xdr:to>
      <xdr:col>22</xdr:col>
      <xdr:colOff>419100</xdr:colOff>
      <xdr:row>35</xdr:row>
      <xdr:rowOff>7034</xdr:rowOff>
    </xdr:to>
    <xdr:grpSp>
      <xdr:nvGrpSpPr>
        <xdr:cNvPr id="49" name="Group 48">
          <a:extLst>
            <a:ext uri="{FF2B5EF4-FFF2-40B4-BE49-F238E27FC236}">
              <a16:creationId xmlns:a16="http://schemas.microsoft.com/office/drawing/2014/main" id="{FE01FC0C-65E8-AE47-A083-F7A1E2211639}"/>
            </a:ext>
          </a:extLst>
        </xdr:cNvPr>
        <xdr:cNvGrpSpPr/>
      </xdr:nvGrpSpPr>
      <xdr:grpSpPr>
        <a:xfrm>
          <a:off x="815340" y="662940"/>
          <a:ext cx="13014960" cy="6011594"/>
          <a:chOff x="2438400" y="7132320"/>
          <a:chExt cx="13014960" cy="5767754"/>
        </a:xfrm>
      </xdr:grpSpPr>
      <xdr:sp macro="" textlink="">
        <xdr:nvSpPr>
          <xdr:cNvPr id="47" name="Rectangle: Rounded Corners 46">
            <a:extLst>
              <a:ext uri="{FF2B5EF4-FFF2-40B4-BE49-F238E27FC236}">
                <a16:creationId xmlns:a16="http://schemas.microsoft.com/office/drawing/2014/main" id="{3A88BD0C-5694-4FF1-AA87-820A70A5738E}"/>
              </a:ext>
            </a:extLst>
          </xdr:cNvPr>
          <xdr:cNvSpPr/>
        </xdr:nvSpPr>
        <xdr:spPr>
          <a:xfrm>
            <a:off x="2438400" y="7132320"/>
            <a:ext cx="13014960" cy="5767754"/>
          </a:xfrm>
          <a:prstGeom prst="roundRect">
            <a:avLst>
              <a:gd name="adj" fmla="val 10643"/>
            </a:avLst>
          </a:prstGeom>
          <a:solidFill>
            <a:schemeClr val="bg1"/>
          </a:solidFill>
          <a:ln>
            <a:noFill/>
          </a:ln>
          <a:effectLst>
            <a:outerShdw blurRad="381000" dist="127000" dir="4200000" algn="tl" rotWithShape="0">
              <a:srgbClr val="006FF6">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8" name="Rectangle: Rounded Corners 47">
            <a:extLst>
              <a:ext uri="{FF2B5EF4-FFF2-40B4-BE49-F238E27FC236}">
                <a16:creationId xmlns:a16="http://schemas.microsoft.com/office/drawing/2014/main" id="{C0506A90-B33A-42C5-833E-3E4FA4A8CBF6}"/>
              </a:ext>
            </a:extLst>
          </xdr:cNvPr>
          <xdr:cNvSpPr/>
        </xdr:nvSpPr>
        <xdr:spPr>
          <a:xfrm>
            <a:off x="2438400" y="7132320"/>
            <a:ext cx="13014960" cy="5767754"/>
          </a:xfrm>
          <a:prstGeom prst="roundRect">
            <a:avLst>
              <a:gd name="adj" fmla="val 10643"/>
            </a:avLst>
          </a:prstGeom>
          <a:solidFill>
            <a:schemeClr val="bg1"/>
          </a:solidFill>
          <a:ln>
            <a:noFill/>
          </a:ln>
          <a:effectLst>
            <a:outerShdw blurRad="584200" dist="254000" dir="8100000" algn="tr" rotWithShape="0">
              <a:srgbClr val="B814B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510540</xdr:colOff>
      <xdr:row>8</xdr:row>
      <xdr:rowOff>102287</xdr:rowOff>
    </xdr:from>
    <xdr:to>
      <xdr:col>22</xdr:col>
      <xdr:colOff>48508</xdr:colOff>
      <xdr:row>21</xdr:row>
      <xdr:rowOff>10847</xdr:rowOff>
    </xdr:to>
    <xdr:sp macro="" textlink="">
      <xdr:nvSpPr>
        <xdr:cNvPr id="7" name="Rectangle: Rounded Corners 6">
          <a:extLst>
            <a:ext uri="{FF2B5EF4-FFF2-40B4-BE49-F238E27FC236}">
              <a16:creationId xmlns:a16="http://schemas.microsoft.com/office/drawing/2014/main" id="{2518FA6C-38EC-415C-843F-585F4DE17CD3}"/>
            </a:ext>
          </a:extLst>
        </xdr:cNvPr>
        <xdr:cNvSpPr/>
      </xdr:nvSpPr>
      <xdr:spPr>
        <a:xfrm>
          <a:off x="10264140" y="1565327"/>
          <a:ext cx="3195568" cy="2286000"/>
        </a:xfrm>
        <a:prstGeom prst="roundRect">
          <a:avLst>
            <a:gd name="adj" fmla="val 12222"/>
          </a:avLst>
        </a:prstGeom>
        <a:solidFill>
          <a:schemeClr val="bg1"/>
        </a:solidFill>
        <a:ln w="9525">
          <a:no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200" b="0" i="0" u="none" strike="noStrike" kern="1200">
            <a:solidFill>
              <a:srgbClr val="A2ADBE"/>
            </a:solidFill>
            <a:latin typeface="Aptos Narrow"/>
            <a:ea typeface="+mn-ea"/>
            <a:cs typeface="+mn-cs"/>
          </a:endParaRPr>
        </a:p>
      </xdr:txBody>
    </xdr:sp>
    <xdr:clientData/>
  </xdr:twoCellAnchor>
  <xdr:twoCellAnchor>
    <xdr:from>
      <xdr:col>20</xdr:col>
      <xdr:colOff>78988</xdr:colOff>
      <xdr:row>22</xdr:row>
      <xdr:rowOff>24777</xdr:rowOff>
    </xdr:from>
    <xdr:to>
      <xdr:col>22</xdr:col>
      <xdr:colOff>48508</xdr:colOff>
      <xdr:row>32</xdr:row>
      <xdr:rowOff>70497</xdr:rowOff>
    </xdr:to>
    <xdr:sp macro="" textlink="Processing!L10">
      <xdr:nvSpPr>
        <xdr:cNvPr id="8" name="Rectangle: Rounded Corners 7">
          <a:extLst>
            <a:ext uri="{FF2B5EF4-FFF2-40B4-BE49-F238E27FC236}">
              <a16:creationId xmlns:a16="http://schemas.microsoft.com/office/drawing/2014/main" id="{7B8EF520-3E8B-4796-B45F-57C07C975A69}"/>
            </a:ext>
          </a:extLst>
        </xdr:cNvPr>
        <xdr:cNvSpPr/>
      </xdr:nvSpPr>
      <xdr:spPr>
        <a:xfrm>
          <a:off x="12270988" y="4048137"/>
          <a:ext cx="1188720" cy="1874520"/>
        </a:xfrm>
        <a:prstGeom prst="roundRect">
          <a:avLst>
            <a:gd name="adj" fmla="val 16940"/>
          </a:avLst>
        </a:prstGeom>
        <a:solidFill>
          <a:schemeClr val="bg1"/>
        </a:solidFill>
        <a:ln w="9525">
          <a:no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B141ACD5-C6B6-41AA-B709-DAF022D00E18}" type="TxLink">
            <a:rPr lang="en-US" sz="1200" b="0" i="0" u="none" strike="noStrike" kern="1200">
              <a:solidFill>
                <a:srgbClr val="A2ADBE"/>
              </a:solidFill>
              <a:latin typeface="Aptos Narrow"/>
              <a:ea typeface="+mn-ea"/>
              <a:cs typeface="+mn-cs"/>
            </a:rPr>
            <a:pPr marL="0" indent="0" algn="ctr" defTabSz="914400" rtl="0" eaLnBrk="1" latinLnBrk="0" hangingPunct="1"/>
            <a:t>Top-5 Products</a:t>
          </a:fld>
          <a:endParaRPr lang="ru-RU" sz="1200" b="0" i="0" u="none" strike="noStrike" kern="1200">
            <a:solidFill>
              <a:srgbClr val="A2ADBE"/>
            </a:solidFill>
            <a:latin typeface="Aptos Narrow"/>
            <a:ea typeface="+mn-ea"/>
            <a:cs typeface="+mn-cs"/>
          </a:endParaRPr>
        </a:p>
      </xdr:txBody>
    </xdr:sp>
    <xdr:clientData/>
  </xdr:twoCellAnchor>
  <xdr:twoCellAnchor>
    <xdr:from>
      <xdr:col>16</xdr:col>
      <xdr:colOff>510540</xdr:colOff>
      <xdr:row>22</xdr:row>
      <xdr:rowOff>24777</xdr:rowOff>
    </xdr:from>
    <xdr:to>
      <xdr:col>19</xdr:col>
      <xdr:colOff>510540</xdr:colOff>
      <xdr:row>32</xdr:row>
      <xdr:rowOff>70497</xdr:rowOff>
    </xdr:to>
    <xdr:sp macro="" textlink="Processing!J1">
      <xdr:nvSpPr>
        <xdr:cNvPr id="9" name="Rectangle: Rounded Corners 8">
          <a:extLst>
            <a:ext uri="{FF2B5EF4-FFF2-40B4-BE49-F238E27FC236}">
              <a16:creationId xmlns:a16="http://schemas.microsoft.com/office/drawing/2014/main" id="{D561ABD3-B90E-4F6A-AEC4-336B6B902488}"/>
            </a:ext>
          </a:extLst>
        </xdr:cNvPr>
        <xdr:cNvSpPr/>
      </xdr:nvSpPr>
      <xdr:spPr>
        <a:xfrm>
          <a:off x="10264140" y="4048137"/>
          <a:ext cx="1828800" cy="1874520"/>
        </a:xfrm>
        <a:prstGeom prst="roundRect">
          <a:avLst>
            <a:gd name="adj" fmla="val 15658"/>
          </a:avLst>
        </a:prstGeom>
        <a:solidFill>
          <a:schemeClr val="bg1"/>
        </a:solidFill>
        <a:ln w="9525">
          <a:no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891643E-D31A-43FE-B4F0-A61FA518E279}" type="TxLink">
            <a:rPr lang="en-US" sz="1200" b="0" i="0" u="none" strike="noStrike" kern="1200">
              <a:solidFill>
                <a:srgbClr val="A2ADBE"/>
              </a:solidFill>
              <a:latin typeface="Aptos Narrow"/>
              <a:ea typeface="+mn-ea"/>
              <a:cs typeface="+mn-cs"/>
            </a:rPr>
            <a:pPr marL="0" indent="0" algn="l" defTabSz="914400" rtl="0" eaLnBrk="1" latinLnBrk="0" hangingPunct="1"/>
            <a:t>Sales Closed</a:t>
          </a:fld>
          <a:endParaRPr lang="ru-RU" sz="1200" b="0" i="0" u="none" strike="noStrike" kern="1200">
            <a:solidFill>
              <a:srgbClr val="A2ADBE"/>
            </a:solidFill>
            <a:latin typeface="Aptos Narrow"/>
            <a:ea typeface="+mn-ea"/>
            <a:cs typeface="+mn-cs"/>
          </a:endParaRPr>
        </a:p>
      </xdr:txBody>
    </xdr:sp>
    <xdr:clientData/>
  </xdr:twoCellAnchor>
  <xdr:twoCellAnchor>
    <xdr:from>
      <xdr:col>12</xdr:col>
      <xdr:colOff>289560</xdr:colOff>
      <xdr:row>19</xdr:row>
      <xdr:rowOff>143699</xdr:rowOff>
    </xdr:from>
    <xdr:to>
      <xdr:col>16</xdr:col>
      <xdr:colOff>320040</xdr:colOff>
      <xdr:row>32</xdr:row>
      <xdr:rowOff>70497</xdr:rowOff>
    </xdr:to>
    <xdr:sp macro="" textlink="Processing!A19">
      <xdr:nvSpPr>
        <xdr:cNvPr id="10" name="Rectangle: Rounded Corners 9">
          <a:extLst>
            <a:ext uri="{FF2B5EF4-FFF2-40B4-BE49-F238E27FC236}">
              <a16:creationId xmlns:a16="http://schemas.microsoft.com/office/drawing/2014/main" id="{F01B2097-4319-4DE2-9134-666CF8904562}"/>
            </a:ext>
          </a:extLst>
        </xdr:cNvPr>
        <xdr:cNvSpPr/>
      </xdr:nvSpPr>
      <xdr:spPr>
        <a:xfrm>
          <a:off x="7604760" y="3618419"/>
          <a:ext cx="2468880" cy="2304238"/>
        </a:xfrm>
        <a:prstGeom prst="roundRect">
          <a:avLst>
            <a:gd name="adj" fmla="val 10585"/>
          </a:avLst>
        </a:prstGeom>
        <a:solidFill>
          <a:schemeClr val="bg1"/>
        </a:solidFill>
        <a:ln w="9525">
          <a:solidFill>
            <a:srgbClr val="00C6D1"/>
          </a:solid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1C44FD38-D300-4C1F-906B-FAB458F04708}" type="TxLink">
            <a:rPr lang="en-US" sz="1200" b="0" i="0" u="none" strike="noStrike" kern="1200">
              <a:solidFill>
                <a:schemeClr val="tx1"/>
              </a:solidFill>
              <a:latin typeface="Aptos Narrow"/>
              <a:ea typeface="+mn-ea"/>
              <a:cs typeface="+mn-cs"/>
            </a:rPr>
            <a:pPr marL="0" indent="0" algn="ctr" defTabSz="914400" rtl="0" eaLnBrk="1" latinLnBrk="0" hangingPunct="1"/>
            <a:t>Revenue vs Expenses</a:t>
          </a:fld>
          <a:endParaRPr lang="ru-RU" sz="1200" b="0" i="0" u="none" strike="noStrike" kern="1200">
            <a:solidFill>
              <a:schemeClr val="tx1"/>
            </a:solidFill>
            <a:latin typeface="Aptos Narrow"/>
            <a:ea typeface="+mn-ea"/>
            <a:cs typeface="+mn-cs"/>
          </a:endParaRPr>
        </a:p>
      </xdr:txBody>
    </xdr:sp>
    <xdr:clientData/>
  </xdr:twoCellAnchor>
  <xdr:twoCellAnchor>
    <xdr:from>
      <xdr:col>12</xdr:col>
      <xdr:colOff>289560</xdr:colOff>
      <xdr:row>8</xdr:row>
      <xdr:rowOff>99060</xdr:rowOff>
    </xdr:from>
    <xdr:to>
      <xdr:col>16</xdr:col>
      <xdr:colOff>320040</xdr:colOff>
      <xdr:row>18</xdr:row>
      <xdr:rowOff>144780</xdr:rowOff>
    </xdr:to>
    <xdr:sp macro="" textlink="Processing!A1">
      <xdr:nvSpPr>
        <xdr:cNvPr id="11" name="Rectangle: Rounded Corners 10">
          <a:extLst>
            <a:ext uri="{FF2B5EF4-FFF2-40B4-BE49-F238E27FC236}">
              <a16:creationId xmlns:a16="http://schemas.microsoft.com/office/drawing/2014/main" id="{49C87C46-469E-44E6-BCB6-0617CA49D04B}"/>
            </a:ext>
          </a:extLst>
        </xdr:cNvPr>
        <xdr:cNvSpPr/>
      </xdr:nvSpPr>
      <xdr:spPr>
        <a:xfrm>
          <a:off x="7604760" y="1562100"/>
          <a:ext cx="2468880" cy="1874520"/>
        </a:xfrm>
        <a:prstGeom prst="roundRect">
          <a:avLst>
            <a:gd name="adj" fmla="val 12132"/>
          </a:avLst>
        </a:prstGeom>
        <a:gradFill flip="none" rotWithShape="1">
          <a:gsLst>
            <a:gs pos="0">
              <a:srgbClr val="EE0078"/>
            </a:gs>
            <a:gs pos="73000">
              <a:srgbClr val="6459F9"/>
            </a:gs>
          </a:gsLst>
          <a:lin ang="2700000" scaled="1"/>
          <a:tileRect/>
        </a:gradFill>
        <a:ln w="12700">
          <a:solidFill>
            <a:schemeClr val="bg1"/>
          </a:solid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03020289-B635-419F-B330-AF3CCE861824}" type="TxLink">
            <a:rPr lang="en-US" sz="1200" b="0" i="0" u="none" strike="noStrike" kern="1200">
              <a:solidFill>
                <a:schemeClr val="bg1"/>
              </a:solidFill>
              <a:latin typeface="Aptos Narrow"/>
              <a:ea typeface="+mn-ea"/>
              <a:cs typeface="+mn-cs"/>
            </a:rPr>
            <a:pPr marL="0" indent="0" algn="ctr" defTabSz="914400" rtl="0" eaLnBrk="1" latinLnBrk="0" hangingPunct="1"/>
            <a:t>Investments vs Sales Volume</a:t>
          </a:fld>
          <a:endParaRPr lang="ru-RU" sz="1200" b="0" i="0" u="none" strike="noStrike" kern="1200">
            <a:solidFill>
              <a:schemeClr val="bg1"/>
            </a:solidFill>
            <a:latin typeface="Aptos Narrow"/>
            <a:ea typeface="+mn-ea"/>
            <a:cs typeface="+mn-cs"/>
          </a:endParaRPr>
        </a:p>
      </xdr:txBody>
    </xdr:sp>
    <xdr:clientData/>
  </xdr:twoCellAnchor>
  <xdr:twoCellAnchor>
    <xdr:from>
      <xdr:col>16</xdr:col>
      <xdr:colOff>566998</xdr:colOff>
      <xdr:row>23</xdr:row>
      <xdr:rowOff>99060</xdr:rowOff>
    </xdr:from>
    <xdr:to>
      <xdr:col>19</xdr:col>
      <xdr:colOff>476943</xdr:colOff>
      <xdr:row>31</xdr:row>
      <xdr:rowOff>175260</xdr:rowOff>
    </xdr:to>
    <xdr:graphicFrame macro="">
      <xdr:nvGraphicFramePr>
        <xdr:cNvPr id="12" name="Chart 11">
          <a:extLst>
            <a:ext uri="{FF2B5EF4-FFF2-40B4-BE49-F238E27FC236}">
              <a16:creationId xmlns:a16="http://schemas.microsoft.com/office/drawing/2014/main" id="{56470D40-297F-42D8-BF3F-81649EE05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76205</xdr:colOff>
      <xdr:row>24</xdr:row>
      <xdr:rowOff>137379</xdr:rowOff>
    </xdr:from>
    <xdr:to>
      <xdr:col>22</xdr:col>
      <xdr:colOff>60956</xdr:colOff>
      <xdr:row>31</xdr:row>
      <xdr:rowOff>136942</xdr:rowOff>
    </xdr:to>
    <xdr:graphicFrame macro="">
      <xdr:nvGraphicFramePr>
        <xdr:cNvPr id="13" name="Chart 12">
          <a:extLst>
            <a:ext uri="{FF2B5EF4-FFF2-40B4-BE49-F238E27FC236}">
              <a16:creationId xmlns:a16="http://schemas.microsoft.com/office/drawing/2014/main" id="{B2EB8C31-6018-4CDE-A2CA-FE480F300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30677</xdr:colOff>
      <xdr:row>24</xdr:row>
      <xdr:rowOff>154137</xdr:rowOff>
    </xdr:from>
    <xdr:to>
      <xdr:col>22</xdr:col>
      <xdr:colOff>109023</xdr:colOff>
      <xdr:row>31</xdr:row>
      <xdr:rowOff>127803</xdr:rowOff>
    </xdr:to>
    <xdr:graphicFrame macro="">
      <xdr:nvGraphicFramePr>
        <xdr:cNvPr id="14" name="Chart 13">
          <a:extLst>
            <a:ext uri="{FF2B5EF4-FFF2-40B4-BE49-F238E27FC236}">
              <a16:creationId xmlns:a16="http://schemas.microsoft.com/office/drawing/2014/main" id="{EF9C5633-75CD-4C25-866E-0CF7C8580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38831</xdr:colOff>
      <xdr:row>23</xdr:row>
      <xdr:rowOff>70365</xdr:rowOff>
    </xdr:from>
    <xdr:to>
      <xdr:col>16</xdr:col>
      <xdr:colOff>572231</xdr:colOff>
      <xdr:row>33</xdr:row>
      <xdr:rowOff>38100</xdr:rowOff>
    </xdr:to>
    <xdr:graphicFrame macro="">
      <xdr:nvGraphicFramePr>
        <xdr:cNvPr id="15" name="Chart 14">
          <a:extLst>
            <a:ext uri="{FF2B5EF4-FFF2-40B4-BE49-F238E27FC236}">
              <a16:creationId xmlns:a16="http://schemas.microsoft.com/office/drawing/2014/main" id="{73F56C63-D717-4322-85CA-987AE3EB5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91440</xdr:colOff>
      <xdr:row>9</xdr:row>
      <xdr:rowOff>114300</xdr:rowOff>
    </xdr:from>
    <xdr:to>
      <xdr:col>21</xdr:col>
      <xdr:colOff>395512</xdr:colOff>
      <xdr:row>19</xdr:row>
      <xdr:rowOff>159142</xdr:rowOff>
    </xdr:to>
    <xdr:graphicFrame macro="">
      <xdr:nvGraphicFramePr>
        <xdr:cNvPr id="16" name="Chart 15">
          <a:extLst>
            <a:ext uri="{FF2B5EF4-FFF2-40B4-BE49-F238E27FC236}">
              <a16:creationId xmlns:a16="http://schemas.microsoft.com/office/drawing/2014/main" id="{1B839254-66B5-4813-819C-A2BCB5860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34290</xdr:colOff>
      <xdr:row>4</xdr:row>
      <xdr:rowOff>99060</xdr:rowOff>
    </xdr:from>
    <xdr:to>
      <xdr:col>16</xdr:col>
      <xdr:colOff>26670</xdr:colOff>
      <xdr:row>8</xdr:row>
      <xdr:rowOff>38100</xdr:rowOff>
    </xdr:to>
    <xdr:sp macro="" textlink="Processing!P1">
      <xdr:nvSpPr>
        <xdr:cNvPr id="17" name="TextBox 16">
          <a:extLst>
            <a:ext uri="{FF2B5EF4-FFF2-40B4-BE49-F238E27FC236}">
              <a16:creationId xmlns:a16="http://schemas.microsoft.com/office/drawing/2014/main" id="{FC97638B-1036-4214-9F28-162A35CECAC6}"/>
            </a:ext>
          </a:extLst>
        </xdr:cNvPr>
        <xdr:cNvSpPr txBox="1"/>
      </xdr:nvSpPr>
      <xdr:spPr>
        <a:xfrm>
          <a:off x="4911090" y="830580"/>
          <a:ext cx="4869180" cy="67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AFA7E3-D982-4DCE-8311-24F164F1C349}" type="TxLink">
            <a:rPr lang="en-US" sz="2800" b="0" i="0" u="none" strike="noStrike">
              <a:solidFill>
                <a:schemeClr val="tx1"/>
              </a:solidFill>
              <a:latin typeface="Aptos Narrow"/>
            </a:rPr>
            <a:pPr algn="ctr"/>
            <a:t>Sales Profitability Dashboard</a:t>
          </a:fld>
          <a:endParaRPr lang="ru-RU" sz="2800">
            <a:solidFill>
              <a:schemeClr val="tx1"/>
            </a:solidFill>
          </a:endParaRPr>
        </a:p>
      </xdr:txBody>
    </xdr:sp>
    <xdr:clientData/>
  </xdr:twoCellAnchor>
  <xdr:twoCellAnchor>
    <xdr:from>
      <xdr:col>12</xdr:col>
      <xdr:colOff>411480</xdr:colOff>
      <xdr:row>10</xdr:row>
      <xdr:rowOff>45720</xdr:rowOff>
    </xdr:from>
    <xdr:to>
      <xdr:col>15</xdr:col>
      <xdr:colOff>0</xdr:colOff>
      <xdr:row>12</xdr:row>
      <xdr:rowOff>7620</xdr:rowOff>
    </xdr:to>
    <xdr:sp macro="" textlink="Processing!B1">
      <xdr:nvSpPr>
        <xdr:cNvPr id="18" name="TextBox 17">
          <a:extLst>
            <a:ext uri="{FF2B5EF4-FFF2-40B4-BE49-F238E27FC236}">
              <a16:creationId xmlns:a16="http://schemas.microsoft.com/office/drawing/2014/main" id="{2ED9CC27-F1A2-47F5-88AA-0A83790AE492}"/>
            </a:ext>
          </a:extLst>
        </xdr:cNvPr>
        <xdr:cNvSpPr txBox="1"/>
      </xdr:nvSpPr>
      <xdr:spPr>
        <a:xfrm>
          <a:off x="7726680" y="187452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EBDB900-EE2F-4AA6-B860-CDEF06AE6B57}" type="TxLink">
            <a:rPr lang="en-US" sz="1400" b="0" i="0" u="none" strike="noStrike">
              <a:solidFill>
                <a:schemeClr val="bg1"/>
              </a:solidFill>
              <a:latin typeface="Aptos Narrow"/>
            </a:rPr>
            <a:pPr algn="l"/>
            <a:t>Investments</a:t>
          </a:fld>
          <a:endParaRPr lang="ru-RU" sz="3600">
            <a:solidFill>
              <a:schemeClr val="bg1"/>
            </a:solidFill>
          </a:endParaRPr>
        </a:p>
      </xdr:txBody>
    </xdr:sp>
    <xdr:clientData/>
  </xdr:twoCellAnchor>
  <xdr:twoCellAnchor>
    <xdr:from>
      <xdr:col>12</xdr:col>
      <xdr:colOff>411480</xdr:colOff>
      <xdr:row>14</xdr:row>
      <xdr:rowOff>30480</xdr:rowOff>
    </xdr:from>
    <xdr:to>
      <xdr:col>15</xdr:col>
      <xdr:colOff>114300</xdr:colOff>
      <xdr:row>15</xdr:row>
      <xdr:rowOff>175260</xdr:rowOff>
    </xdr:to>
    <xdr:sp macro="" textlink="Processing!C1">
      <xdr:nvSpPr>
        <xdr:cNvPr id="19" name="TextBox 18">
          <a:extLst>
            <a:ext uri="{FF2B5EF4-FFF2-40B4-BE49-F238E27FC236}">
              <a16:creationId xmlns:a16="http://schemas.microsoft.com/office/drawing/2014/main" id="{42CA494E-0B38-43A2-BC7F-A2C3D0B87B0C}"/>
            </a:ext>
          </a:extLst>
        </xdr:cNvPr>
        <xdr:cNvSpPr txBox="1"/>
      </xdr:nvSpPr>
      <xdr:spPr>
        <a:xfrm>
          <a:off x="7726680" y="259080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F79593B-4C91-4E5C-A7F9-01D05C8FA786}" type="TxLink">
            <a:rPr lang="en-US" sz="1400" b="0" i="0" u="none" strike="noStrike">
              <a:solidFill>
                <a:schemeClr val="bg1"/>
              </a:solidFill>
              <a:latin typeface="Aptos Narrow"/>
              <a:ea typeface="+mn-ea"/>
              <a:cs typeface="+mn-cs"/>
            </a:rPr>
            <a:pPr marL="0" indent="0" algn="l"/>
            <a:t>Sales Volume</a:t>
          </a:fld>
          <a:endParaRPr lang="ru-RU" sz="1400" b="0" i="0" u="none" strike="noStrike">
            <a:solidFill>
              <a:schemeClr val="bg1"/>
            </a:solidFill>
            <a:latin typeface="Aptos Narrow"/>
            <a:ea typeface="+mn-ea"/>
            <a:cs typeface="+mn-cs"/>
          </a:endParaRPr>
        </a:p>
      </xdr:txBody>
    </xdr:sp>
    <xdr:clientData/>
  </xdr:twoCellAnchor>
  <xdr:twoCellAnchor>
    <xdr:from>
      <xdr:col>17</xdr:col>
      <xdr:colOff>68580</xdr:colOff>
      <xdr:row>9</xdr:row>
      <xdr:rowOff>53340</xdr:rowOff>
    </xdr:from>
    <xdr:to>
      <xdr:col>18</xdr:col>
      <xdr:colOff>160020</xdr:colOff>
      <xdr:row>11</xdr:row>
      <xdr:rowOff>15240</xdr:rowOff>
    </xdr:to>
    <xdr:sp macro="" textlink="Processing!J20">
      <xdr:nvSpPr>
        <xdr:cNvPr id="20" name="TextBox 19">
          <a:extLst>
            <a:ext uri="{FF2B5EF4-FFF2-40B4-BE49-F238E27FC236}">
              <a16:creationId xmlns:a16="http://schemas.microsoft.com/office/drawing/2014/main" id="{6FABC119-6B27-4201-9284-B3F8A46E27A9}"/>
            </a:ext>
          </a:extLst>
        </xdr:cNvPr>
        <xdr:cNvSpPr txBox="1"/>
      </xdr:nvSpPr>
      <xdr:spPr>
        <a:xfrm>
          <a:off x="10431780" y="169926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5EC9B3-2A4A-4AC1-9873-86C91B8549DF}" type="TxLink">
            <a:rPr lang="en-US" sz="1800" b="0" i="0" u="none" strike="noStrike">
              <a:solidFill>
                <a:srgbClr val="A2ADBE"/>
              </a:solidFill>
              <a:latin typeface="Aptos Narrow"/>
              <a:ea typeface="+mn-ea"/>
              <a:cs typeface="+mn-cs"/>
            </a:rPr>
            <a:pPr marL="0" indent="0"/>
            <a:t>ROI</a:t>
          </a:fld>
          <a:endParaRPr lang="ru-RU" sz="1800" b="0" i="0" u="none" strike="noStrike">
            <a:solidFill>
              <a:srgbClr val="A2ADBE"/>
            </a:solidFill>
            <a:latin typeface="Aptos Narrow"/>
            <a:ea typeface="+mn-ea"/>
            <a:cs typeface="+mn-cs"/>
          </a:endParaRPr>
        </a:p>
      </xdr:txBody>
    </xdr:sp>
    <xdr:clientData/>
  </xdr:twoCellAnchor>
  <xdr:twoCellAnchor>
    <xdr:from>
      <xdr:col>17</xdr:col>
      <xdr:colOff>45720</xdr:colOff>
      <xdr:row>16</xdr:row>
      <xdr:rowOff>83820</xdr:rowOff>
    </xdr:from>
    <xdr:to>
      <xdr:col>18</xdr:col>
      <xdr:colOff>137160</xdr:colOff>
      <xdr:row>18</xdr:row>
      <xdr:rowOff>45720</xdr:rowOff>
    </xdr:to>
    <xdr:sp macro="" textlink="Processing!J24">
      <xdr:nvSpPr>
        <xdr:cNvPr id="21" name="TextBox 20">
          <a:extLst>
            <a:ext uri="{FF2B5EF4-FFF2-40B4-BE49-F238E27FC236}">
              <a16:creationId xmlns:a16="http://schemas.microsoft.com/office/drawing/2014/main" id="{37A425F9-9E58-41ED-8EE8-A7685A7A39A6}"/>
            </a:ext>
          </a:extLst>
        </xdr:cNvPr>
        <xdr:cNvSpPr txBox="1"/>
      </xdr:nvSpPr>
      <xdr:spPr>
        <a:xfrm>
          <a:off x="10408920" y="300990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75CC82-02FE-4122-8891-3041361035D0}" type="TxLink">
            <a:rPr lang="en-US" sz="1800" b="0" i="0" u="none" strike="noStrike">
              <a:solidFill>
                <a:srgbClr val="A2ADBE"/>
              </a:solidFill>
              <a:latin typeface="Aptos Narrow"/>
              <a:ea typeface="+mn-ea"/>
              <a:cs typeface="+mn-cs"/>
            </a:rPr>
            <a:pPr marL="0" indent="0"/>
            <a:t>Profit</a:t>
          </a:fld>
          <a:endParaRPr lang="ru-RU" sz="1800" b="0" i="0" u="none" strike="noStrike">
            <a:solidFill>
              <a:srgbClr val="A2ADBE"/>
            </a:solidFill>
            <a:latin typeface="Aptos Narrow"/>
            <a:ea typeface="+mn-ea"/>
            <a:cs typeface="+mn-cs"/>
          </a:endParaRPr>
        </a:p>
      </xdr:txBody>
    </xdr:sp>
    <xdr:clientData/>
  </xdr:twoCellAnchor>
  <xdr:twoCellAnchor>
    <xdr:from>
      <xdr:col>19</xdr:col>
      <xdr:colOff>82098</xdr:colOff>
      <xdr:row>13</xdr:row>
      <xdr:rowOff>125616</xdr:rowOff>
    </xdr:from>
    <xdr:to>
      <xdr:col>20</xdr:col>
      <xdr:colOff>405582</xdr:colOff>
      <xdr:row>15</xdr:row>
      <xdr:rowOff>156325</xdr:rowOff>
    </xdr:to>
    <xdr:sp macro="" textlink="Processing!K20">
      <xdr:nvSpPr>
        <xdr:cNvPr id="22" name="TextBox 21">
          <a:extLst>
            <a:ext uri="{FF2B5EF4-FFF2-40B4-BE49-F238E27FC236}">
              <a16:creationId xmlns:a16="http://schemas.microsoft.com/office/drawing/2014/main" id="{7466E0BE-3D6B-482C-B36A-169D1FCA9B65}"/>
            </a:ext>
          </a:extLst>
        </xdr:cNvPr>
        <xdr:cNvSpPr txBox="1"/>
      </xdr:nvSpPr>
      <xdr:spPr>
        <a:xfrm>
          <a:off x="11664498" y="2503056"/>
          <a:ext cx="93308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DB45C4-5730-4E15-A21C-6CDCEBC2E35C}" type="TxLink">
            <a:rPr lang="en-US" sz="2400" b="0" i="0" u="none" strike="noStrike">
              <a:solidFill>
                <a:schemeClr val="tx1"/>
              </a:solidFill>
              <a:latin typeface="Aptos Narrow"/>
              <a:ea typeface="+mn-ea"/>
              <a:cs typeface="+mn-cs"/>
            </a:rPr>
            <a:pPr marL="0" indent="0" algn="ctr"/>
            <a:t>40%</a:t>
          </a:fld>
          <a:endParaRPr lang="ru-RU" sz="6600" b="0" i="0" u="none" strike="noStrike">
            <a:solidFill>
              <a:schemeClr val="tx1"/>
            </a:solidFill>
            <a:latin typeface="Aptos Narrow"/>
            <a:ea typeface="+mn-ea"/>
            <a:cs typeface="+mn-cs"/>
          </a:endParaRPr>
        </a:p>
      </xdr:txBody>
    </xdr:sp>
    <xdr:clientData/>
  </xdr:twoCellAnchor>
  <xdr:twoCellAnchor>
    <xdr:from>
      <xdr:col>2</xdr:col>
      <xdr:colOff>339090</xdr:colOff>
      <xdr:row>8</xdr:row>
      <xdr:rowOff>15240</xdr:rowOff>
    </xdr:from>
    <xdr:to>
      <xdr:col>10</xdr:col>
      <xdr:colOff>331470</xdr:colOff>
      <xdr:row>10</xdr:row>
      <xdr:rowOff>60960</xdr:rowOff>
    </xdr:to>
    <xdr:sp macro="" textlink="Processing!A19">
      <xdr:nvSpPr>
        <xdr:cNvPr id="23" name="TextBox 22">
          <a:extLst>
            <a:ext uri="{FF2B5EF4-FFF2-40B4-BE49-F238E27FC236}">
              <a16:creationId xmlns:a16="http://schemas.microsoft.com/office/drawing/2014/main" id="{3472828D-1767-4ECE-8CB2-C666947EDC62}"/>
            </a:ext>
          </a:extLst>
        </xdr:cNvPr>
        <xdr:cNvSpPr txBox="1"/>
      </xdr:nvSpPr>
      <xdr:spPr>
        <a:xfrm>
          <a:off x="1558290" y="1478280"/>
          <a:ext cx="48691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6B11EE3-08E2-4FD0-ACBF-BAF4B5CB40CD}" type="TxLink">
            <a:rPr lang="en-US" sz="2000" b="0" i="0" u="none" strike="noStrike">
              <a:solidFill>
                <a:srgbClr val="A2ADBE"/>
              </a:solidFill>
              <a:latin typeface="Aptos Narrow"/>
              <a:ea typeface="+mn-ea"/>
              <a:cs typeface="+mn-cs"/>
            </a:rPr>
            <a:pPr marL="0" indent="0" algn="l"/>
            <a:t>Revenue vs Expenses</a:t>
          </a:fld>
          <a:endParaRPr lang="ru-RU" sz="2000" b="0" i="0" u="none" strike="noStrike">
            <a:solidFill>
              <a:srgbClr val="A2ADBE"/>
            </a:solidFill>
            <a:latin typeface="Aptos Narrow"/>
            <a:ea typeface="+mn-ea"/>
            <a:cs typeface="+mn-cs"/>
          </a:endParaRPr>
        </a:p>
      </xdr:txBody>
    </xdr:sp>
    <xdr:clientData/>
  </xdr:twoCellAnchor>
  <xdr:twoCellAnchor>
    <xdr:from>
      <xdr:col>3</xdr:col>
      <xdr:colOff>30480</xdr:colOff>
      <xdr:row>11</xdr:row>
      <xdr:rowOff>53340</xdr:rowOff>
    </xdr:from>
    <xdr:to>
      <xdr:col>5</xdr:col>
      <xdr:colOff>228600</xdr:colOff>
      <xdr:row>13</xdr:row>
      <xdr:rowOff>15240</xdr:rowOff>
    </xdr:to>
    <xdr:sp macro="" textlink="Processing!B19">
      <xdr:nvSpPr>
        <xdr:cNvPr id="24" name="TextBox 23">
          <a:extLst>
            <a:ext uri="{FF2B5EF4-FFF2-40B4-BE49-F238E27FC236}">
              <a16:creationId xmlns:a16="http://schemas.microsoft.com/office/drawing/2014/main" id="{5FC0089E-232C-444B-98B6-2BC8C9F53FC4}"/>
            </a:ext>
          </a:extLst>
        </xdr:cNvPr>
        <xdr:cNvSpPr txBox="1"/>
      </xdr:nvSpPr>
      <xdr:spPr>
        <a:xfrm>
          <a:off x="1859280" y="206502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574D5E3-8646-4B4D-B34E-56CBC0F0F6E8}" type="TxLink">
            <a:rPr lang="en-US" sz="1400" b="0" i="0" u="none" strike="noStrike">
              <a:solidFill>
                <a:schemeClr val="tx1"/>
              </a:solidFill>
              <a:latin typeface="Aptos Narrow"/>
              <a:ea typeface="+mn-ea"/>
              <a:cs typeface="+mn-cs"/>
            </a:rPr>
            <a:pPr marL="0" indent="0"/>
            <a:t>Revenue</a:t>
          </a:fld>
          <a:endParaRPr lang="ru-RU" sz="1400" b="0" i="0" u="none" strike="noStrike">
            <a:solidFill>
              <a:schemeClr val="tx1"/>
            </a:solidFill>
            <a:latin typeface="Aptos Narrow"/>
            <a:ea typeface="+mn-ea"/>
            <a:cs typeface="+mn-cs"/>
          </a:endParaRPr>
        </a:p>
      </xdr:txBody>
    </xdr:sp>
    <xdr:clientData/>
  </xdr:twoCellAnchor>
  <xdr:twoCellAnchor>
    <xdr:from>
      <xdr:col>7</xdr:col>
      <xdr:colOff>281940</xdr:colOff>
      <xdr:row>11</xdr:row>
      <xdr:rowOff>53340</xdr:rowOff>
    </xdr:from>
    <xdr:to>
      <xdr:col>9</xdr:col>
      <xdr:colOff>594360</xdr:colOff>
      <xdr:row>13</xdr:row>
      <xdr:rowOff>15240</xdr:rowOff>
    </xdr:to>
    <xdr:sp macro="" textlink="Processing!C19">
      <xdr:nvSpPr>
        <xdr:cNvPr id="25" name="TextBox 24">
          <a:extLst>
            <a:ext uri="{FF2B5EF4-FFF2-40B4-BE49-F238E27FC236}">
              <a16:creationId xmlns:a16="http://schemas.microsoft.com/office/drawing/2014/main" id="{089D8BF9-6FB1-4C4C-8EBD-0E3E38AE0648}"/>
            </a:ext>
          </a:extLst>
        </xdr:cNvPr>
        <xdr:cNvSpPr txBox="1"/>
      </xdr:nvSpPr>
      <xdr:spPr>
        <a:xfrm>
          <a:off x="4549140" y="206502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4801427-A16D-4D61-A9A5-96BBBB1720E2}" type="TxLink">
            <a:rPr lang="en-US" sz="1400" b="0" i="0" u="none" strike="noStrike">
              <a:solidFill>
                <a:schemeClr val="tx1"/>
              </a:solidFill>
              <a:latin typeface="Aptos Narrow"/>
              <a:ea typeface="+mn-ea"/>
              <a:cs typeface="+mn-cs"/>
            </a:rPr>
            <a:pPr marL="0" indent="0"/>
            <a:t>Expenses</a:t>
          </a:fld>
          <a:endParaRPr lang="ru-RU" sz="1400" b="0" i="0" u="none" strike="noStrike">
            <a:solidFill>
              <a:schemeClr val="tx1"/>
            </a:solidFill>
            <a:latin typeface="Aptos Narrow"/>
            <a:ea typeface="+mn-ea"/>
            <a:cs typeface="+mn-cs"/>
          </a:endParaRPr>
        </a:p>
      </xdr:txBody>
    </xdr:sp>
    <xdr:clientData/>
  </xdr:twoCellAnchor>
  <xdr:twoCellAnchor>
    <xdr:from>
      <xdr:col>2</xdr:col>
      <xdr:colOff>533400</xdr:colOff>
      <xdr:row>11</xdr:row>
      <xdr:rowOff>144780</xdr:rowOff>
    </xdr:from>
    <xdr:to>
      <xdr:col>3</xdr:col>
      <xdr:colOff>42672</xdr:colOff>
      <xdr:row>12</xdr:row>
      <xdr:rowOff>80772</xdr:rowOff>
    </xdr:to>
    <xdr:sp macro="" textlink="">
      <xdr:nvSpPr>
        <xdr:cNvPr id="26" name="Oval 25">
          <a:extLst>
            <a:ext uri="{FF2B5EF4-FFF2-40B4-BE49-F238E27FC236}">
              <a16:creationId xmlns:a16="http://schemas.microsoft.com/office/drawing/2014/main" id="{F9D983AD-CBA4-4372-9ACE-4261D42BAE67}"/>
            </a:ext>
          </a:extLst>
        </xdr:cNvPr>
        <xdr:cNvSpPr/>
      </xdr:nvSpPr>
      <xdr:spPr>
        <a:xfrm>
          <a:off x="1752600" y="2156460"/>
          <a:ext cx="118872" cy="118872"/>
        </a:xfrm>
        <a:prstGeom prst="ellipse">
          <a:avLst/>
        </a:prstGeom>
        <a:gradFill>
          <a:gsLst>
            <a:gs pos="33000">
              <a:srgbClr val="00C6D1"/>
            </a:gs>
            <a:gs pos="100000">
              <a:srgbClr val="F2ECFF"/>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7</xdr:col>
      <xdr:colOff>160020</xdr:colOff>
      <xdr:row>11</xdr:row>
      <xdr:rowOff>144780</xdr:rowOff>
    </xdr:from>
    <xdr:to>
      <xdr:col>7</xdr:col>
      <xdr:colOff>278892</xdr:colOff>
      <xdr:row>12</xdr:row>
      <xdr:rowOff>80772</xdr:rowOff>
    </xdr:to>
    <xdr:sp macro="" textlink="">
      <xdr:nvSpPr>
        <xdr:cNvPr id="27" name="Oval 26">
          <a:extLst>
            <a:ext uri="{FF2B5EF4-FFF2-40B4-BE49-F238E27FC236}">
              <a16:creationId xmlns:a16="http://schemas.microsoft.com/office/drawing/2014/main" id="{1FA89C5A-8E77-44A9-9857-14C27E1BFA00}"/>
            </a:ext>
          </a:extLst>
        </xdr:cNvPr>
        <xdr:cNvSpPr/>
      </xdr:nvSpPr>
      <xdr:spPr>
        <a:xfrm>
          <a:off x="4427220" y="2156460"/>
          <a:ext cx="118872" cy="118872"/>
        </a:xfrm>
        <a:prstGeom prst="ellipse">
          <a:avLst/>
        </a:prstGeom>
        <a:gradFill flip="none" rotWithShape="1">
          <a:gsLst>
            <a:gs pos="6000">
              <a:srgbClr val="F17EEC"/>
            </a:gs>
            <a:gs pos="100000">
              <a:srgbClr val="EE0078"/>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editAs="oneCell">
    <xdr:from>
      <xdr:col>2</xdr:col>
      <xdr:colOff>361950</xdr:colOff>
      <xdr:row>4</xdr:row>
      <xdr:rowOff>175261</xdr:rowOff>
    </xdr:from>
    <xdr:to>
      <xdr:col>5</xdr:col>
      <xdr:colOff>361950</xdr:colOff>
      <xdr:row>7</xdr:row>
      <xdr:rowOff>0</xdr:rowOff>
    </xdr:to>
    <mc:AlternateContent xmlns:mc="http://schemas.openxmlformats.org/markup-compatibility/2006" xmlns:a14="http://schemas.microsoft.com/office/drawing/2010/main">
      <mc:Choice Requires="a14">
        <xdr:graphicFrame macro="">
          <xdr:nvGraphicFramePr>
            <xdr:cNvPr id="28" name="Year 5">
              <a:extLst>
                <a:ext uri="{FF2B5EF4-FFF2-40B4-BE49-F238E27FC236}">
                  <a16:creationId xmlns:a16="http://schemas.microsoft.com/office/drawing/2014/main" id="{E6CFF907-8CCA-49A8-9827-B67A021D39A2}"/>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581150" y="906781"/>
              <a:ext cx="1828800" cy="4648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327660</xdr:colOff>
      <xdr:row>5</xdr:row>
      <xdr:rowOff>0</xdr:rowOff>
    </xdr:from>
    <xdr:to>
      <xdr:col>19</xdr:col>
      <xdr:colOff>525780</xdr:colOff>
      <xdr:row>6</xdr:row>
      <xdr:rowOff>144780</xdr:rowOff>
    </xdr:to>
    <xdr:sp macro="" textlink="Processing!P3">
      <xdr:nvSpPr>
        <xdr:cNvPr id="29" name="TextBox 28">
          <a:extLst>
            <a:ext uri="{FF2B5EF4-FFF2-40B4-BE49-F238E27FC236}">
              <a16:creationId xmlns:a16="http://schemas.microsoft.com/office/drawing/2014/main" id="{9264AB19-92B2-4C74-B2A8-5F11AB580A0C}"/>
            </a:ext>
          </a:extLst>
        </xdr:cNvPr>
        <xdr:cNvSpPr txBox="1"/>
      </xdr:nvSpPr>
      <xdr:spPr>
        <a:xfrm>
          <a:off x="10690860" y="91440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4BF34E8-F5F7-4FD4-B740-151B677084AF}" type="TxLink">
            <a:rPr lang="en-US" sz="2000" b="0" i="0" u="none" strike="noStrike">
              <a:solidFill>
                <a:srgbClr val="A2ADBE"/>
              </a:solidFill>
              <a:latin typeface="Aptos Narrow"/>
              <a:ea typeface="+mn-ea"/>
              <a:cs typeface="+mn-cs"/>
            </a:rPr>
            <a:pPr marL="0" indent="0" algn="ctr"/>
            <a:t>JANUARY</a:t>
          </a:fld>
          <a:endParaRPr lang="ru-RU" sz="2000" b="0" i="0" u="none" strike="noStrike">
            <a:solidFill>
              <a:srgbClr val="A2ADBE"/>
            </a:solidFill>
            <a:latin typeface="Aptos Narrow"/>
            <a:ea typeface="+mn-ea"/>
            <a:cs typeface="+mn-cs"/>
          </a:endParaRPr>
        </a:p>
      </xdr:txBody>
    </xdr:sp>
    <xdr:clientData/>
  </xdr:twoCellAnchor>
  <xdr:twoCellAnchor>
    <xdr:from>
      <xdr:col>20</xdr:col>
      <xdr:colOff>30480</xdr:colOff>
      <xdr:row>5</xdr:row>
      <xdr:rowOff>0</xdr:rowOff>
    </xdr:from>
    <xdr:to>
      <xdr:col>21</xdr:col>
      <xdr:colOff>152400</xdr:colOff>
      <xdr:row>6</xdr:row>
      <xdr:rowOff>144780</xdr:rowOff>
    </xdr:to>
    <xdr:sp macro="" textlink="Processing!Q3">
      <xdr:nvSpPr>
        <xdr:cNvPr id="30" name="TextBox 29">
          <a:extLst>
            <a:ext uri="{FF2B5EF4-FFF2-40B4-BE49-F238E27FC236}">
              <a16:creationId xmlns:a16="http://schemas.microsoft.com/office/drawing/2014/main" id="{096D1453-01AD-4FFB-A986-3C989F882CE3}"/>
            </a:ext>
          </a:extLst>
        </xdr:cNvPr>
        <xdr:cNvSpPr txBox="1"/>
      </xdr:nvSpPr>
      <xdr:spPr>
        <a:xfrm>
          <a:off x="12222480" y="914400"/>
          <a:ext cx="7315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1DB63C7-1528-4BD2-A1EF-C64AF007758D}" type="TxLink">
            <a:rPr lang="en-US" sz="2000" b="0" i="0" u="none" strike="noStrike">
              <a:solidFill>
                <a:srgbClr val="A2ADBE"/>
              </a:solidFill>
              <a:latin typeface="Aptos Narrow"/>
              <a:ea typeface="+mn-ea"/>
              <a:cs typeface="+mn-cs"/>
            </a:rPr>
            <a:pPr marL="0" indent="0" algn="l"/>
            <a:t>2024</a:t>
          </a:fld>
          <a:endParaRPr lang="ru-RU" sz="2000" b="0" i="0" u="none" strike="noStrike">
            <a:solidFill>
              <a:srgbClr val="A2ADBE"/>
            </a:solidFill>
            <a:latin typeface="Aptos Narrow"/>
            <a:ea typeface="+mn-ea"/>
            <a:cs typeface="+mn-cs"/>
          </a:endParaRPr>
        </a:p>
      </xdr:txBody>
    </xdr:sp>
    <xdr:clientData/>
  </xdr:twoCellAnchor>
  <xdr:twoCellAnchor>
    <xdr:from>
      <xdr:col>4</xdr:col>
      <xdr:colOff>480060</xdr:colOff>
      <xdr:row>11</xdr:row>
      <xdr:rowOff>53340</xdr:rowOff>
    </xdr:from>
    <xdr:to>
      <xdr:col>7</xdr:col>
      <xdr:colOff>68580</xdr:colOff>
      <xdr:row>13</xdr:row>
      <xdr:rowOff>15240</xdr:rowOff>
    </xdr:to>
    <xdr:sp macro="" textlink="Processing!B32">
      <xdr:nvSpPr>
        <xdr:cNvPr id="31" name="TextBox 30">
          <a:extLst>
            <a:ext uri="{FF2B5EF4-FFF2-40B4-BE49-F238E27FC236}">
              <a16:creationId xmlns:a16="http://schemas.microsoft.com/office/drawing/2014/main" id="{1C2D4A95-D03A-4CD8-A306-353604AADFE1}"/>
            </a:ext>
          </a:extLst>
        </xdr:cNvPr>
        <xdr:cNvSpPr txBox="1"/>
      </xdr:nvSpPr>
      <xdr:spPr>
        <a:xfrm>
          <a:off x="2918460" y="206502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00D491-0CAB-4235-8391-BAB749556DFE}" type="TxLink">
            <a:rPr lang="en-US" sz="1800" b="0" i="0" u="none" strike="noStrike">
              <a:solidFill>
                <a:schemeClr val="tx1"/>
              </a:solidFill>
              <a:latin typeface="Aptos Narrow"/>
            </a:rPr>
            <a:pPr/>
            <a:t> $37,835 </a:t>
          </a:fld>
          <a:endParaRPr lang="ru-RU" sz="1800">
            <a:solidFill>
              <a:schemeClr val="tx1"/>
            </a:solidFill>
          </a:endParaRPr>
        </a:p>
      </xdr:txBody>
    </xdr:sp>
    <xdr:clientData/>
  </xdr:twoCellAnchor>
  <xdr:twoCellAnchor>
    <xdr:from>
      <xdr:col>9</xdr:col>
      <xdr:colOff>182880</xdr:colOff>
      <xdr:row>11</xdr:row>
      <xdr:rowOff>53340</xdr:rowOff>
    </xdr:from>
    <xdr:to>
      <xdr:col>11</xdr:col>
      <xdr:colOff>495300</xdr:colOff>
      <xdr:row>13</xdr:row>
      <xdr:rowOff>15240</xdr:rowOff>
    </xdr:to>
    <xdr:sp macro="" textlink="Processing!C32">
      <xdr:nvSpPr>
        <xdr:cNvPr id="32" name="TextBox 31">
          <a:extLst>
            <a:ext uri="{FF2B5EF4-FFF2-40B4-BE49-F238E27FC236}">
              <a16:creationId xmlns:a16="http://schemas.microsoft.com/office/drawing/2014/main" id="{BC80FB9A-B40D-4BD1-8282-89955296B610}"/>
            </a:ext>
          </a:extLst>
        </xdr:cNvPr>
        <xdr:cNvSpPr txBox="1"/>
      </xdr:nvSpPr>
      <xdr:spPr>
        <a:xfrm>
          <a:off x="5669280" y="206502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179A30B-4AD3-4AF0-BD85-D57A78678D79}" type="TxLink">
            <a:rPr lang="en-US" sz="1800" b="0" i="0" u="none" strike="noStrike">
              <a:solidFill>
                <a:schemeClr val="tx1"/>
              </a:solidFill>
              <a:latin typeface="Aptos Narrow"/>
              <a:ea typeface="+mn-ea"/>
              <a:cs typeface="+mn-cs"/>
            </a:rPr>
            <a:pPr marL="0" indent="0"/>
            <a:t> $26,660 </a:t>
          </a:fld>
          <a:endParaRPr lang="ru-RU" sz="1800" b="0" i="0" u="none" strike="noStrike">
            <a:solidFill>
              <a:schemeClr val="tx1"/>
            </a:solidFill>
            <a:latin typeface="Aptos Narrow"/>
            <a:ea typeface="+mn-ea"/>
            <a:cs typeface="+mn-cs"/>
          </a:endParaRPr>
        </a:p>
      </xdr:txBody>
    </xdr:sp>
    <xdr:clientData/>
  </xdr:twoCellAnchor>
  <xdr:twoCellAnchor>
    <xdr:from>
      <xdr:col>12</xdr:col>
      <xdr:colOff>304800</xdr:colOff>
      <xdr:row>15</xdr:row>
      <xdr:rowOff>160020</xdr:rowOff>
    </xdr:from>
    <xdr:to>
      <xdr:col>15</xdr:col>
      <xdr:colOff>121920</xdr:colOff>
      <xdr:row>17</xdr:row>
      <xdr:rowOff>121920</xdr:rowOff>
    </xdr:to>
    <xdr:sp macro="" textlink="Processing!C14">
      <xdr:nvSpPr>
        <xdr:cNvPr id="33" name="TextBox 32">
          <a:extLst>
            <a:ext uri="{FF2B5EF4-FFF2-40B4-BE49-F238E27FC236}">
              <a16:creationId xmlns:a16="http://schemas.microsoft.com/office/drawing/2014/main" id="{7AA7A40E-10CB-4CD8-832F-A869F242D930}"/>
            </a:ext>
          </a:extLst>
        </xdr:cNvPr>
        <xdr:cNvSpPr txBox="1"/>
      </xdr:nvSpPr>
      <xdr:spPr>
        <a:xfrm>
          <a:off x="7620000" y="290322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77A68F2-9086-49F9-A77A-937410EA236B}" type="TxLink">
            <a:rPr lang="en-US" sz="2400" b="0" i="0" u="none" strike="noStrike">
              <a:solidFill>
                <a:schemeClr val="bg1"/>
              </a:solidFill>
              <a:latin typeface="Aptos Narrow"/>
              <a:ea typeface="+mn-ea"/>
              <a:cs typeface="+mn-cs"/>
            </a:rPr>
            <a:pPr marL="0" indent="0" algn="l"/>
            <a:t> $33,543 </a:t>
          </a:fld>
          <a:endParaRPr lang="ru-RU" sz="2400" b="0" i="0" u="none" strike="noStrike">
            <a:solidFill>
              <a:schemeClr val="bg1"/>
            </a:solidFill>
            <a:latin typeface="Aptos Narrow"/>
            <a:ea typeface="+mn-ea"/>
            <a:cs typeface="+mn-cs"/>
          </a:endParaRPr>
        </a:p>
      </xdr:txBody>
    </xdr:sp>
    <xdr:clientData/>
  </xdr:twoCellAnchor>
  <xdr:twoCellAnchor>
    <xdr:from>
      <xdr:col>12</xdr:col>
      <xdr:colOff>327660</xdr:colOff>
      <xdr:row>12</xdr:row>
      <xdr:rowOff>0</xdr:rowOff>
    </xdr:from>
    <xdr:to>
      <xdr:col>15</xdr:col>
      <xdr:colOff>144780</xdr:colOff>
      <xdr:row>13</xdr:row>
      <xdr:rowOff>144780</xdr:rowOff>
    </xdr:to>
    <xdr:sp macro="" textlink="Processing!B14">
      <xdr:nvSpPr>
        <xdr:cNvPr id="34" name="TextBox 33">
          <a:extLst>
            <a:ext uri="{FF2B5EF4-FFF2-40B4-BE49-F238E27FC236}">
              <a16:creationId xmlns:a16="http://schemas.microsoft.com/office/drawing/2014/main" id="{73CE8297-7F7A-4859-8EBC-41B84D46D520}"/>
            </a:ext>
          </a:extLst>
        </xdr:cNvPr>
        <xdr:cNvSpPr txBox="1"/>
      </xdr:nvSpPr>
      <xdr:spPr>
        <a:xfrm>
          <a:off x="7642860" y="219456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176861D-A161-4D96-8756-6AC7C156A8BD}" type="TxLink">
            <a:rPr lang="en-US" sz="2400" b="0" i="0" u="none" strike="noStrike">
              <a:solidFill>
                <a:schemeClr val="bg1"/>
              </a:solidFill>
              <a:latin typeface="Aptos Narrow"/>
              <a:ea typeface="+mn-ea"/>
              <a:cs typeface="+mn-cs"/>
            </a:rPr>
            <a:pPr marL="0" indent="0" algn="l"/>
            <a:t> $28,026 </a:t>
          </a:fld>
          <a:endParaRPr lang="ru-RU" sz="2400" b="0" i="0" u="none" strike="noStrike">
            <a:solidFill>
              <a:schemeClr val="bg1"/>
            </a:solidFill>
            <a:latin typeface="Aptos Narrow"/>
            <a:ea typeface="+mn-ea"/>
            <a:cs typeface="+mn-cs"/>
          </a:endParaRPr>
        </a:p>
      </xdr:txBody>
    </xdr:sp>
    <xdr:clientData/>
  </xdr:twoCellAnchor>
  <xdr:twoCellAnchor>
    <xdr:from>
      <xdr:col>17</xdr:col>
      <xdr:colOff>14478</xdr:colOff>
      <xdr:row>18</xdr:row>
      <xdr:rowOff>26556</xdr:rowOff>
    </xdr:from>
    <xdr:to>
      <xdr:col>19</xdr:col>
      <xdr:colOff>320802</xdr:colOff>
      <xdr:row>20</xdr:row>
      <xdr:rowOff>57265</xdr:rowOff>
    </xdr:to>
    <xdr:sp macro="" textlink="Processing!J25">
      <xdr:nvSpPr>
        <xdr:cNvPr id="35" name="TextBox 34">
          <a:extLst>
            <a:ext uri="{FF2B5EF4-FFF2-40B4-BE49-F238E27FC236}">
              <a16:creationId xmlns:a16="http://schemas.microsoft.com/office/drawing/2014/main" id="{2E7E25C8-DB29-4D5B-8717-20EE81C7196E}"/>
            </a:ext>
          </a:extLst>
        </xdr:cNvPr>
        <xdr:cNvSpPr txBox="1"/>
      </xdr:nvSpPr>
      <xdr:spPr>
        <a:xfrm>
          <a:off x="10377678" y="3318396"/>
          <a:ext cx="152552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E6A133C-5381-4990-B5CC-3867629A9899}" type="TxLink">
            <a:rPr lang="en-US" sz="2000" b="0" i="0" u="none" strike="noStrike">
              <a:solidFill>
                <a:schemeClr val="tx1"/>
              </a:solidFill>
              <a:latin typeface="Aptos Narrow"/>
              <a:ea typeface="+mn-ea"/>
              <a:cs typeface="+mn-cs"/>
            </a:rPr>
            <a:pPr marL="0" indent="0" algn="l"/>
            <a:t> $11,175 </a:t>
          </a:fld>
          <a:endParaRPr lang="ru-RU" sz="2000" b="0" i="0" u="none" strike="noStrike">
            <a:solidFill>
              <a:schemeClr val="tx1"/>
            </a:solidFill>
            <a:latin typeface="Aptos Narrow"/>
            <a:ea typeface="+mn-ea"/>
            <a:cs typeface="+mn-cs"/>
          </a:endParaRPr>
        </a:p>
      </xdr:txBody>
    </xdr:sp>
    <xdr:clientData/>
  </xdr:twoCellAnchor>
  <xdr:twoCellAnchor>
    <xdr:from>
      <xdr:col>14</xdr:col>
      <xdr:colOff>251460</xdr:colOff>
      <xdr:row>10</xdr:row>
      <xdr:rowOff>68580</xdr:rowOff>
    </xdr:from>
    <xdr:to>
      <xdr:col>16</xdr:col>
      <xdr:colOff>449580</xdr:colOff>
      <xdr:row>12</xdr:row>
      <xdr:rowOff>30480</xdr:rowOff>
    </xdr:to>
    <xdr:sp macro="" textlink="Processing!A15">
      <xdr:nvSpPr>
        <xdr:cNvPr id="36" name="TextBox 35">
          <a:extLst>
            <a:ext uri="{FF2B5EF4-FFF2-40B4-BE49-F238E27FC236}">
              <a16:creationId xmlns:a16="http://schemas.microsoft.com/office/drawing/2014/main" id="{D49E509C-E55C-40B7-ABD2-C825F4968F28}"/>
            </a:ext>
          </a:extLst>
        </xdr:cNvPr>
        <xdr:cNvSpPr txBox="1"/>
      </xdr:nvSpPr>
      <xdr:spPr>
        <a:xfrm>
          <a:off x="8785860" y="189738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251460</xdr:colOff>
      <xdr:row>14</xdr:row>
      <xdr:rowOff>45720</xdr:rowOff>
    </xdr:from>
    <xdr:to>
      <xdr:col>16</xdr:col>
      <xdr:colOff>449580</xdr:colOff>
      <xdr:row>16</xdr:row>
      <xdr:rowOff>7620</xdr:rowOff>
    </xdr:to>
    <xdr:sp macro="" textlink="Processing!A15">
      <xdr:nvSpPr>
        <xdr:cNvPr id="37" name="TextBox 36">
          <a:extLst>
            <a:ext uri="{FF2B5EF4-FFF2-40B4-BE49-F238E27FC236}">
              <a16:creationId xmlns:a16="http://schemas.microsoft.com/office/drawing/2014/main" id="{64AF71E8-986B-49C3-8875-4616C23A87F3}"/>
            </a:ext>
          </a:extLst>
        </xdr:cNvPr>
        <xdr:cNvSpPr txBox="1"/>
      </xdr:nvSpPr>
      <xdr:spPr>
        <a:xfrm>
          <a:off x="8785860" y="260604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586718</xdr:colOff>
      <xdr:row>11</xdr:row>
      <xdr:rowOff>23695</xdr:rowOff>
    </xdr:from>
    <xdr:to>
      <xdr:col>16</xdr:col>
      <xdr:colOff>53318</xdr:colOff>
      <xdr:row>14</xdr:row>
      <xdr:rowOff>160855</xdr:rowOff>
    </xdr:to>
    <xdr:graphicFrame macro="">
      <xdr:nvGraphicFramePr>
        <xdr:cNvPr id="38" name="Chart 37">
          <a:extLst>
            <a:ext uri="{FF2B5EF4-FFF2-40B4-BE49-F238E27FC236}">
              <a16:creationId xmlns:a16="http://schemas.microsoft.com/office/drawing/2014/main" id="{AFF4962E-E8BB-4278-B881-BA61007E4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586718</xdr:colOff>
      <xdr:row>12</xdr:row>
      <xdr:rowOff>12265</xdr:rowOff>
    </xdr:from>
    <xdr:to>
      <xdr:col>16</xdr:col>
      <xdr:colOff>68558</xdr:colOff>
      <xdr:row>13</xdr:row>
      <xdr:rowOff>157045</xdr:rowOff>
    </xdr:to>
    <xdr:sp macro="" textlink="Processing!B15">
      <xdr:nvSpPr>
        <xdr:cNvPr id="39" name="TextBox 38">
          <a:extLst>
            <a:ext uri="{FF2B5EF4-FFF2-40B4-BE49-F238E27FC236}">
              <a16:creationId xmlns:a16="http://schemas.microsoft.com/office/drawing/2014/main" id="{DDC67811-CC23-4B2A-B376-61E449998D07}"/>
            </a:ext>
          </a:extLst>
        </xdr:cNvPr>
        <xdr:cNvSpPr txBox="1"/>
      </xdr:nvSpPr>
      <xdr:spPr>
        <a:xfrm>
          <a:off x="9121118" y="220682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7864E5-CAD8-4B22-A5F5-C06AFB7D5E57}" type="TxLink">
            <a:rPr lang="en-US" sz="1100" b="0" i="0" u="none" strike="noStrike">
              <a:solidFill>
                <a:schemeClr val="bg1"/>
              </a:solidFill>
              <a:latin typeface="Aptos Narrow"/>
              <a:ea typeface="+mn-ea"/>
              <a:cs typeface="+mn-cs"/>
            </a:rPr>
            <a:pPr marL="0" indent="0" algn="ctr"/>
            <a:t>43%</a:t>
          </a:fld>
          <a:endParaRPr lang="ru-RU" sz="1800" b="0" i="0" u="none" strike="noStrike">
            <a:solidFill>
              <a:schemeClr val="bg1"/>
            </a:solidFill>
            <a:latin typeface="Aptos Narrow"/>
            <a:ea typeface="+mn-ea"/>
            <a:cs typeface="+mn-cs"/>
          </a:endParaRPr>
        </a:p>
      </xdr:txBody>
    </xdr:sp>
    <xdr:clientData/>
  </xdr:twoCellAnchor>
  <xdr:twoCellAnchor>
    <xdr:from>
      <xdr:col>14</xdr:col>
      <xdr:colOff>586718</xdr:colOff>
      <xdr:row>14</xdr:row>
      <xdr:rowOff>168475</xdr:rowOff>
    </xdr:from>
    <xdr:to>
      <xdr:col>16</xdr:col>
      <xdr:colOff>53318</xdr:colOff>
      <xdr:row>18</xdr:row>
      <xdr:rowOff>122755</xdr:rowOff>
    </xdr:to>
    <xdr:graphicFrame macro="">
      <xdr:nvGraphicFramePr>
        <xdr:cNvPr id="40" name="Chart 39">
          <a:extLst>
            <a:ext uri="{FF2B5EF4-FFF2-40B4-BE49-F238E27FC236}">
              <a16:creationId xmlns:a16="http://schemas.microsoft.com/office/drawing/2014/main" id="{3EFB73D5-EFFB-4F95-AED6-4FA2298B6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586718</xdr:colOff>
      <xdr:row>15</xdr:row>
      <xdr:rowOff>157045</xdr:rowOff>
    </xdr:from>
    <xdr:to>
      <xdr:col>16</xdr:col>
      <xdr:colOff>68558</xdr:colOff>
      <xdr:row>17</xdr:row>
      <xdr:rowOff>118945</xdr:rowOff>
    </xdr:to>
    <xdr:sp macro="" textlink="Processing!C15">
      <xdr:nvSpPr>
        <xdr:cNvPr id="41" name="TextBox 40">
          <a:extLst>
            <a:ext uri="{FF2B5EF4-FFF2-40B4-BE49-F238E27FC236}">
              <a16:creationId xmlns:a16="http://schemas.microsoft.com/office/drawing/2014/main" id="{351481D3-B6D5-4EFB-9840-A6A0FAE422E6}"/>
            </a:ext>
          </a:extLst>
        </xdr:cNvPr>
        <xdr:cNvSpPr txBox="1"/>
      </xdr:nvSpPr>
      <xdr:spPr>
        <a:xfrm>
          <a:off x="9121118" y="290024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A5132A-5551-4D94-B54D-1E5261C5DB06}" type="TxLink">
            <a:rPr lang="en-US" sz="1100" b="0" i="0" u="none" strike="noStrike">
              <a:solidFill>
                <a:schemeClr val="bg1"/>
              </a:solidFill>
              <a:latin typeface="Aptos Narrow"/>
              <a:ea typeface="+mn-ea"/>
              <a:cs typeface="+mn-cs"/>
            </a:rPr>
            <a:pPr marL="0" indent="0" algn="ctr"/>
            <a:t>52%</a:t>
          </a:fld>
          <a:endParaRPr lang="ru-RU" sz="1800" b="0" i="0" u="none" strike="noStrike">
            <a:solidFill>
              <a:schemeClr val="bg1"/>
            </a:solidFill>
            <a:latin typeface="Aptos Narrow"/>
            <a:ea typeface="+mn-ea"/>
            <a:cs typeface="+mn-cs"/>
          </a:endParaRPr>
        </a:p>
      </xdr:txBody>
    </xdr:sp>
    <xdr:clientData/>
  </xdr:twoCellAnchor>
  <xdr:twoCellAnchor>
    <xdr:from>
      <xdr:col>12</xdr:col>
      <xdr:colOff>388620</xdr:colOff>
      <xdr:row>21</xdr:row>
      <xdr:rowOff>96085</xdr:rowOff>
    </xdr:from>
    <xdr:to>
      <xdr:col>14</xdr:col>
      <xdr:colOff>304778</xdr:colOff>
      <xdr:row>23</xdr:row>
      <xdr:rowOff>57985</xdr:rowOff>
    </xdr:to>
    <xdr:sp macro="" textlink="Processing!B32">
      <xdr:nvSpPr>
        <xdr:cNvPr id="42" name="TextBox 41">
          <a:extLst>
            <a:ext uri="{FF2B5EF4-FFF2-40B4-BE49-F238E27FC236}">
              <a16:creationId xmlns:a16="http://schemas.microsoft.com/office/drawing/2014/main" id="{CD06ACF1-1661-4707-96CB-9E51BF814369}"/>
            </a:ext>
          </a:extLst>
        </xdr:cNvPr>
        <xdr:cNvSpPr txBox="1"/>
      </xdr:nvSpPr>
      <xdr:spPr>
        <a:xfrm>
          <a:off x="770382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E21EC3CC-CA95-428B-98B7-4DE0DF5CF094}" type="TxLink">
            <a:rPr lang="en-US" sz="1400" b="0" i="0" u="none" strike="noStrike">
              <a:solidFill>
                <a:schemeClr val="tx1"/>
              </a:solidFill>
              <a:latin typeface="Aptos Narrow"/>
              <a:ea typeface="+mn-ea"/>
              <a:cs typeface="+mn-cs"/>
            </a:rPr>
            <a:pPr marL="0" indent="0" algn="r"/>
            <a:t> $37,835 </a:t>
          </a:fld>
          <a:endParaRPr lang="ru-RU" sz="1400" b="0" i="0" u="none" strike="noStrike">
            <a:solidFill>
              <a:schemeClr val="tx1"/>
            </a:solidFill>
            <a:latin typeface="Aptos Narrow"/>
            <a:ea typeface="+mn-ea"/>
            <a:cs typeface="+mn-cs"/>
          </a:endParaRPr>
        </a:p>
      </xdr:txBody>
    </xdr:sp>
    <xdr:clientData/>
  </xdr:twoCellAnchor>
  <xdr:twoCellAnchor>
    <xdr:from>
      <xdr:col>14</xdr:col>
      <xdr:colOff>304800</xdr:colOff>
      <xdr:row>21</xdr:row>
      <xdr:rowOff>96085</xdr:rowOff>
    </xdr:from>
    <xdr:to>
      <xdr:col>16</xdr:col>
      <xdr:colOff>220958</xdr:colOff>
      <xdr:row>23</xdr:row>
      <xdr:rowOff>57985</xdr:rowOff>
    </xdr:to>
    <xdr:sp macro="" textlink="Processing!C32">
      <xdr:nvSpPr>
        <xdr:cNvPr id="43" name="TextBox 42">
          <a:extLst>
            <a:ext uri="{FF2B5EF4-FFF2-40B4-BE49-F238E27FC236}">
              <a16:creationId xmlns:a16="http://schemas.microsoft.com/office/drawing/2014/main" id="{B675102A-B5B4-42D8-85FD-3BA00D91CB0C}"/>
            </a:ext>
          </a:extLst>
        </xdr:cNvPr>
        <xdr:cNvSpPr txBox="1"/>
      </xdr:nvSpPr>
      <xdr:spPr>
        <a:xfrm>
          <a:off x="883920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B887651-16A7-4B6B-95E2-0C9BA58C3F07}" type="TxLink">
            <a:rPr lang="en-US" sz="1400" b="0" i="0" u="none" strike="noStrike">
              <a:solidFill>
                <a:schemeClr val="tx1"/>
              </a:solidFill>
              <a:latin typeface="Aptos Narrow"/>
              <a:ea typeface="+mn-ea"/>
              <a:cs typeface="+mn-cs"/>
            </a:rPr>
            <a:pPr marL="0" indent="0" algn="l"/>
            <a:t> $26,660 </a:t>
          </a:fld>
          <a:endParaRPr lang="ru-RU" sz="1400" b="0" i="0" u="none" strike="noStrike">
            <a:solidFill>
              <a:schemeClr val="tx1"/>
            </a:solidFill>
            <a:latin typeface="Aptos Narrow"/>
            <a:ea typeface="+mn-ea"/>
            <a:cs typeface="+mn-cs"/>
          </a:endParaRPr>
        </a:p>
      </xdr:txBody>
    </xdr:sp>
    <xdr:clientData/>
  </xdr:twoCellAnchor>
  <xdr:twoCellAnchor>
    <xdr:from>
      <xdr:col>18</xdr:col>
      <xdr:colOff>236220</xdr:colOff>
      <xdr:row>22</xdr:row>
      <xdr:rowOff>83820</xdr:rowOff>
    </xdr:from>
    <xdr:to>
      <xdr:col>19</xdr:col>
      <xdr:colOff>403860</xdr:colOff>
      <xdr:row>24</xdr:row>
      <xdr:rowOff>45720</xdr:rowOff>
    </xdr:to>
    <xdr:sp macro="" textlink="Processing!K7">
      <xdr:nvSpPr>
        <xdr:cNvPr id="44" name="TextBox 43">
          <a:extLst>
            <a:ext uri="{FF2B5EF4-FFF2-40B4-BE49-F238E27FC236}">
              <a16:creationId xmlns:a16="http://schemas.microsoft.com/office/drawing/2014/main" id="{86A53D43-760D-4CE4-BE25-C1AC33DC4FFA}"/>
            </a:ext>
          </a:extLst>
        </xdr:cNvPr>
        <xdr:cNvSpPr txBox="1"/>
      </xdr:nvSpPr>
      <xdr:spPr>
        <a:xfrm>
          <a:off x="11209020" y="4107180"/>
          <a:ext cx="7772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95F57CC-C864-4243-8643-2B753CFD8A66}" type="TxLink">
            <a:rPr lang="en-US" sz="1400" b="0" i="0" u="none" strike="noStrike">
              <a:solidFill>
                <a:schemeClr val="tx1"/>
              </a:solidFill>
              <a:latin typeface="Aptos Narrow"/>
              <a:ea typeface="+mn-ea"/>
              <a:cs typeface="+mn-cs"/>
            </a:rPr>
            <a:pPr marL="0" indent="0" algn="r"/>
            <a:t> 15 366</a:t>
          </a:fld>
          <a:endParaRPr lang="ru-RU" sz="3200" b="0" i="0" u="none" strike="noStrike">
            <a:solidFill>
              <a:schemeClr val="tx1"/>
            </a:solidFill>
            <a:latin typeface="Aptos Narrow"/>
            <a:ea typeface="+mn-ea"/>
            <a:cs typeface="+mn-cs"/>
          </a:endParaRPr>
        </a:p>
      </xdr:txBody>
    </xdr:sp>
    <xdr:clientData/>
  </xdr:twoCellAnchor>
  <xdr:twoCellAnchor>
    <xdr:from>
      <xdr:col>1</xdr:col>
      <xdr:colOff>548640</xdr:colOff>
      <xdr:row>15</xdr:row>
      <xdr:rowOff>175261</xdr:rowOff>
    </xdr:from>
    <xdr:to>
      <xdr:col>11</xdr:col>
      <xdr:colOff>441960</xdr:colOff>
      <xdr:row>31</xdr:row>
      <xdr:rowOff>68581</xdr:rowOff>
    </xdr:to>
    <xdr:graphicFrame macro="">
      <xdr:nvGraphicFramePr>
        <xdr:cNvPr id="45" name="Chart 44">
          <a:extLst>
            <a:ext uri="{FF2B5EF4-FFF2-40B4-BE49-F238E27FC236}">
              <a16:creationId xmlns:a16="http://schemas.microsoft.com/office/drawing/2014/main" id="{993EC80A-2011-4589-A0FA-201F1CAC6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304800</xdr:colOff>
      <xdr:row>30</xdr:row>
      <xdr:rowOff>91440</xdr:rowOff>
    </xdr:from>
    <xdr:to>
      <xdr:col>11</xdr:col>
      <xdr:colOff>396240</xdr:colOff>
      <xdr:row>32</xdr:row>
      <xdr:rowOff>155448</xdr:rowOff>
    </xdr:to>
    <mc:AlternateContent xmlns:mc="http://schemas.openxmlformats.org/markup-compatibility/2006" xmlns:a14="http://schemas.microsoft.com/office/drawing/2010/main">
      <mc:Choice Requires="a14">
        <xdr:graphicFrame macro="">
          <xdr:nvGraphicFramePr>
            <xdr:cNvPr id="46" name="Month 5">
              <a:extLst>
                <a:ext uri="{FF2B5EF4-FFF2-40B4-BE49-F238E27FC236}">
                  <a16:creationId xmlns:a16="http://schemas.microsoft.com/office/drawing/2014/main" id="{67323106-D16B-401D-8CE1-395DAE3CC1CC}"/>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1524000" y="5577840"/>
              <a:ext cx="55778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0</xdr:col>
      <xdr:colOff>274320</xdr:colOff>
      <xdr:row>1</xdr:row>
      <xdr:rowOff>91440</xdr:rowOff>
    </xdr:to>
    <xdr:pic>
      <xdr:nvPicPr>
        <xdr:cNvPr id="2" name="Graphic 1" descr="Moon and stars with solid fill">
          <a:hlinkClick xmlns:r="http://schemas.openxmlformats.org/officeDocument/2006/relationships" r:id="rId9"/>
          <a:extLst>
            <a:ext uri="{FF2B5EF4-FFF2-40B4-BE49-F238E27FC236}">
              <a16:creationId xmlns:a16="http://schemas.microsoft.com/office/drawing/2014/main" id="{DF89FBB9-32C9-4DE9-BD9B-7E60B909FD0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0" y="0"/>
          <a:ext cx="274320" cy="274320"/>
        </a:xfrm>
        <a:prstGeom prst="rect">
          <a:avLst/>
        </a:prstGeom>
      </xdr:spPr>
    </xdr:pic>
    <xdr:clientData/>
  </xdr:twoCellAnchor>
  <xdr:twoCellAnchor>
    <xdr:from>
      <xdr:col>12</xdr:col>
      <xdr:colOff>350520</xdr:colOff>
      <xdr:row>8</xdr:row>
      <xdr:rowOff>91440</xdr:rowOff>
    </xdr:from>
    <xdr:to>
      <xdr:col>16</xdr:col>
      <xdr:colOff>266700</xdr:colOff>
      <xdr:row>18</xdr:row>
      <xdr:rowOff>91440</xdr:rowOff>
    </xdr:to>
    <xdr:sp macro="" textlink="">
      <xdr:nvSpPr>
        <xdr:cNvPr id="3" name="Rectangle: Rounded Corners 2">
          <a:hlinkClick xmlns:r="http://schemas.openxmlformats.org/officeDocument/2006/relationships" r:id="rId12"/>
          <a:extLst>
            <a:ext uri="{FF2B5EF4-FFF2-40B4-BE49-F238E27FC236}">
              <a16:creationId xmlns:a16="http://schemas.microsoft.com/office/drawing/2014/main" id="{DDFD929C-5FF5-49FB-8D18-7426C07FB48C}"/>
            </a:ext>
          </a:extLst>
        </xdr:cNvPr>
        <xdr:cNvSpPr/>
      </xdr:nvSpPr>
      <xdr:spPr>
        <a:xfrm>
          <a:off x="7665720" y="1554480"/>
          <a:ext cx="235458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350520</xdr:colOff>
      <xdr:row>19</xdr:row>
      <xdr:rowOff>129540</xdr:rowOff>
    </xdr:from>
    <xdr:to>
      <xdr:col>16</xdr:col>
      <xdr:colOff>266700</xdr:colOff>
      <xdr:row>32</xdr:row>
      <xdr:rowOff>30480</xdr:rowOff>
    </xdr:to>
    <xdr:sp macro="" textlink="">
      <xdr:nvSpPr>
        <xdr:cNvPr id="4" name="Rectangle: Rounded Corners 3">
          <a:hlinkClick xmlns:r="http://schemas.openxmlformats.org/officeDocument/2006/relationships" r:id="rId13"/>
          <a:extLst>
            <a:ext uri="{FF2B5EF4-FFF2-40B4-BE49-F238E27FC236}">
              <a16:creationId xmlns:a16="http://schemas.microsoft.com/office/drawing/2014/main" id="{C5CA9E9B-F922-4604-A202-7624D66C65E0}"/>
            </a:ext>
          </a:extLst>
        </xdr:cNvPr>
        <xdr:cNvSpPr/>
      </xdr:nvSpPr>
      <xdr:spPr>
        <a:xfrm>
          <a:off x="7665720" y="3604260"/>
          <a:ext cx="2354580" cy="2278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518160</xdr:colOff>
      <xdr:row>22</xdr:row>
      <xdr:rowOff>7620</xdr:rowOff>
    </xdr:from>
    <xdr:to>
      <xdr:col>19</xdr:col>
      <xdr:colOff>510540</xdr:colOff>
      <xdr:row>32</xdr:row>
      <xdr:rowOff>7620</xdr:rowOff>
    </xdr:to>
    <xdr:sp macro="" textlink="">
      <xdr:nvSpPr>
        <xdr:cNvPr id="5" name="Rectangle: Rounded Corners 4">
          <a:hlinkClick xmlns:r="http://schemas.openxmlformats.org/officeDocument/2006/relationships" r:id="rId14"/>
          <a:extLst>
            <a:ext uri="{FF2B5EF4-FFF2-40B4-BE49-F238E27FC236}">
              <a16:creationId xmlns:a16="http://schemas.microsoft.com/office/drawing/2014/main" id="{4664D981-0680-4F17-9BC0-F8CC32AE39EC}"/>
            </a:ext>
          </a:extLst>
        </xdr:cNvPr>
        <xdr:cNvSpPr/>
      </xdr:nvSpPr>
      <xdr:spPr>
        <a:xfrm>
          <a:off x="10271760" y="4030980"/>
          <a:ext cx="182118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91440</xdr:colOff>
      <xdr:row>22</xdr:row>
      <xdr:rowOff>7620</xdr:rowOff>
    </xdr:from>
    <xdr:to>
      <xdr:col>22</xdr:col>
      <xdr:colOff>45720</xdr:colOff>
      <xdr:row>32</xdr:row>
      <xdr:rowOff>7620</xdr:rowOff>
    </xdr:to>
    <xdr:sp macro="" textlink="">
      <xdr:nvSpPr>
        <xdr:cNvPr id="6" name="Rectangle: Rounded Corners 5">
          <a:hlinkClick xmlns:r="http://schemas.openxmlformats.org/officeDocument/2006/relationships" r:id="rId15"/>
          <a:extLst>
            <a:ext uri="{FF2B5EF4-FFF2-40B4-BE49-F238E27FC236}">
              <a16:creationId xmlns:a16="http://schemas.microsoft.com/office/drawing/2014/main" id="{C413F06C-3765-498B-9C04-E467647CEB92}"/>
            </a:ext>
          </a:extLst>
        </xdr:cNvPr>
        <xdr:cNvSpPr/>
      </xdr:nvSpPr>
      <xdr:spPr>
        <a:xfrm>
          <a:off x="12283440" y="4030980"/>
          <a:ext cx="117348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548640</xdr:colOff>
      <xdr:row>8</xdr:row>
      <xdr:rowOff>91440</xdr:rowOff>
    </xdr:from>
    <xdr:to>
      <xdr:col>22</xdr:col>
      <xdr:colOff>15240</xdr:colOff>
      <xdr:row>20</xdr:row>
      <xdr:rowOff>152400</xdr:rowOff>
    </xdr:to>
    <xdr:sp macro="" textlink="">
      <xdr:nvSpPr>
        <xdr:cNvPr id="50" name="Rectangle: Rounded Corners 49">
          <a:hlinkClick xmlns:r="http://schemas.openxmlformats.org/officeDocument/2006/relationships" r:id="rId16"/>
          <a:extLst>
            <a:ext uri="{FF2B5EF4-FFF2-40B4-BE49-F238E27FC236}">
              <a16:creationId xmlns:a16="http://schemas.microsoft.com/office/drawing/2014/main" id="{890F79F1-A19A-4135-8039-40FA91C75C2B}"/>
            </a:ext>
          </a:extLst>
        </xdr:cNvPr>
        <xdr:cNvSpPr/>
      </xdr:nvSpPr>
      <xdr:spPr>
        <a:xfrm>
          <a:off x="10302240" y="1554480"/>
          <a:ext cx="3124200" cy="2255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167640</xdr:colOff>
      <xdr:row>43</xdr:row>
      <xdr:rowOff>146304</xdr:rowOff>
    </xdr:to>
    <xdr:sp macro="" textlink="">
      <xdr:nvSpPr>
        <xdr:cNvPr id="2" name="Rectangle 1">
          <a:extLst>
            <a:ext uri="{FF2B5EF4-FFF2-40B4-BE49-F238E27FC236}">
              <a16:creationId xmlns:a16="http://schemas.microsoft.com/office/drawing/2014/main" id="{4441235D-810F-427F-85FF-A5FDA8E16784}"/>
            </a:ext>
          </a:extLst>
        </xdr:cNvPr>
        <xdr:cNvSpPr/>
      </xdr:nvSpPr>
      <xdr:spPr>
        <a:xfrm>
          <a:off x="0" y="0"/>
          <a:ext cx="14798040" cy="8010144"/>
        </a:xfrm>
        <a:prstGeom prst="rect">
          <a:avLst/>
        </a:prstGeom>
        <a:gradFill flip="none" rotWithShape="1">
          <a:gsLst>
            <a:gs pos="35000">
              <a:srgbClr val="754CB9"/>
            </a:gs>
            <a:gs pos="65000">
              <a:srgbClr val="519FFB"/>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0</xdr:colOff>
      <xdr:row>0</xdr:row>
      <xdr:rowOff>0</xdr:rowOff>
    </xdr:from>
    <xdr:to>
      <xdr:col>24</xdr:col>
      <xdr:colOff>167640</xdr:colOff>
      <xdr:row>43</xdr:row>
      <xdr:rowOff>146304</xdr:rowOff>
    </xdr:to>
    <xdr:sp macro="" textlink="">
      <xdr:nvSpPr>
        <xdr:cNvPr id="3" name="Rectangle 2">
          <a:extLst>
            <a:ext uri="{FF2B5EF4-FFF2-40B4-BE49-F238E27FC236}">
              <a16:creationId xmlns:a16="http://schemas.microsoft.com/office/drawing/2014/main" id="{F5FCC29F-25F2-43AC-B469-6BE0453290CF}"/>
            </a:ext>
          </a:extLst>
        </xdr:cNvPr>
        <xdr:cNvSpPr/>
      </xdr:nvSpPr>
      <xdr:spPr>
        <a:xfrm>
          <a:off x="0" y="0"/>
          <a:ext cx="14798040" cy="8010144"/>
        </a:xfrm>
        <a:prstGeom prst="rect">
          <a:avLst/>
        </a:prstGeom>
        <a:gradFill flip="none" rotWithShape="1">
          <a:gsLst>
            <a:gs pos="6000">
              <a:srgbClr val="EE0078"/>
            </a:gs>
            <a:gs pos="100000">
              <a:srgbClr val="562BFF">
                <a:alpha val="0"/>
              </a:srgb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205740</xdr:colOff>
      <xdr:row>3</xdr:row>
      <xdr:rowOff>91440</xdr:rowOff>
    </xdr:from>
    <xdr:to>
      <xdr:col>22</xdr:col>
      <xdr:colOff>419100</xdr:colOff>
      <xdr:row>35</xdr:row>
      <xdr:rowOff>7034</xdr:rowOff>
    </xdr:to>
    <xdr:grpSp>
      <xdr:nvGrpSpPr>
        <xdr:cNvPr id="4" name="Group 3">
          <a:extLst>
            <a:ext uri="{FF2B5EF4-FFF2-40B4-BE49-F238E27FC236}">
              <a16:creationId xmlns:a16="http://schemas.microsoft.com/office/drawing/2014/main" id="{D070E9A2-7243-4EBD-9BB6-F10D98720B3A}"/>
            </a:ext>
          </a:extLst>
        </xdr:cNvPr>
        <xdr:cNvGrpSpPr/>
      </xdr:nvGrpSpPr>
      <xdr:grpSpPr>
        <a:xfrm>
          <a:off x="815340" y="662940"/>
          <a:ext cx="13014960" cy="6011594"/>
          <a:chOff x="3116580" y="662940"/>
          <a:chExt cx="5449472" cy="5767754"/>
        </a:xfrm>
      </xdr:grpSpPr>
      <xdr:sp macro="" textlink="">
        <xdr:nvSpPr>
          <xdr:cNvPr id="5" name="Rectangle: Rounded Corners 4">
            <a:extLst>
              <a:ext uri="{FF2B5EF4-FFF2-40B4-BE49-F238E27FC236}">
                <a16:creationId xmlns:a16="http://schemas.microsoft.com/office/drawing/2014/main" id="{D32585ED-4EEA-0D9E-8ABA-27CB8C2DBE70}"/>
              </a:ext>
            </a:extLst>
          </xdr:cNvPr>
          <xdr:cNvSpPr/>
        </xdr:nvSpPr>
        <xdr:spPr>
          <a:xfrm>
            <a:off x="3116580" y="662940"/>
            <a:ext cx="5449472" cy="5767754"/>
          </a:xfrm>
          <a:prstGeom prst="roundRect">
            <a:avLst>
              <a:gd name="adj" fmla="val 10643"/>
            </a:avLst>
          </a:prstGeom>
          <a:gradFill>
            <a:gsLst>
              <a:gs pos="62000">
                <a:srgbClr val="1E2255"/>
              </a:gs>
              <a:gs pos="100000">
                <a:srgbClr val="2B215C"/>
              </a:gs>
            </a:gsLst>
            <a:lin ang="8100000" scaled="1"/>
          </a:gradFill>
          <a:ln>
            <a:noFill/>
          </a:ln>
          <a:effectLst>
            <a:outerShdw blurRad="584200" dist="3937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 name="Rectangle: Rounded Corners 5">
            <a:extLst>
              <a:ext uri="{FF2B5EF4-FFF2-40B4-BE49-F238E27FC236}">
                <a16:creationId xmlns:a16="http://schemas.microsoft.com/office/drawing/2014/main" id="{5C4626DA-5B20-878E-97C3-1B8B34A4A825}"/>
              </a:ext>
            </a:extLst>
          </xdr:cNvPr>
          <xdr:cNvSpPr/>
        </xdr:nvSpPr>
        <xdr:spPr>
          <a:xfrm>
            <a:off x="3116580" y="662940"/>
            <a:ext cx="5449472" cy="5767754"/>
          </a:xfrm>
          <a:prstGeom prst="roundRect">
            <a:avLst>
              <a:gd name="adj" fmla="val 10643"/>
            </a:avLst>
          </a:prstGeom>
          <a:gradFill>
            <a:gsLst>
              <a:gs pos="0">
                <a:srgbClr val="4E7AE2"/>
              </a:gs>
              <a:gs pos="77000">
                <a:srgbClr val="3A2058">
                  <a:alpha val="0"/>
                </a:srgbClr>
              </a:gs>
            </a:gsLst>
            <a:path path="circle">
              <a:fillToRect l="100000" b="100000"/>
            </a:path>
          </a:gradFill>
          <a:ln>
            <a:gradFill flip="none" rotWithShape="1">
              <a:gsLst>
                <a:gs pos="51000">
                  <a:srgbClr val="5584ED"/>
                </a:gs>
                <a:gs pos="0">
                  <a:srgbClr val="B7D6FF"/>
                </a:gs>
                <a:gs pos="100000">
                  <a:srgbClr val="B459A0"/>
                </a:gs>
              </a:gsLst>
              <a:lin ang="8100000" scaled="1"/>
              <a:tileRect/>
            </a:gradFill>
          </a:ln>
          <a:effectLst>
            <a:outerShdw blurRad="508000" dist="1270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510540</xdr:colOff>
      <xdr:row>8</xdr:row>
      <xdr:rowOff>102287</xdr:rowOff>
    </xdr:from>
    <xdr:to>
      <xdr:col>22</xdr:col>
      <xdr:colOff>48508</xdr:colOff>
      <xdr:row>21</xdr:row>
      <xdr:rowOff>10847</xdr:rowOff>
    </xdr:to>
    <xdr:sp macro="" textlink="">
      <xdr:nvSpPr>
        <xdr:cNvPr id="7" name="Rectangle: Rounded Corners 6">
          <a:extLst>
            <a:ext uri="{FF2B5EF4-FFF2-40B4-BE49-F238E27FC236}">
              <a16:creationId xmlns:a16="http://schemas.microsoft.com/office/drawing/2014/main" id="{9716D34F-1EBC-419F-936F-621697881359}"/>
            </a:ext>
          </a:extLst>
        </xdr:cNvPr>
        <xdr:cNvSpPr/>
      </xdr:nvSpPr>
      <xdr:spPr>
        <a:xfrm>
          <a:off x="10264140" y="1565327"/>
          <a:ext cx="3195568" cy="2286000"/>
        </a:xfrm>
        <a:prstGeom prst="roundRect">
          <a:avLst>
            <a:gd name="adj" fmla="val 12222"/>
          </a:avLst>
        </a:prstGeom>
        <a:gradFill flip="none" rotWithShape="1">
          <a:gsLst>
            <a:gs pos="49000">
              <a:srgbClr val="253274"/>
            </a:gs>
            <a:gs pos="18000">
              <a:srgbClr val="2F4495"/>
            </a:gs>
            <a:gs pos="0">
              <a:srgbClr val="3C56B2"/>
            </a:gs>
            <a:gs pos="100000">
              <a:srgbClr val="1E2255"/>
            </a:gs>
          </a:gsLst>
          <a:lin ang="8100000" scaled="1"/>
          <a:tileRect/>
        </a:gradFill>
        <a:ln w="9525">
          <a:gradFill flip="none" rotWithShape="1">
            <a:gsLst>
              <a:gs pos="0">
                <a:srgbClr val="5080DB"/>
              </a:gs>
              <a:gs pos="21000">
                <a:srgbClr val="6476CE"/>
              </a:gs>
              <a:gs pos="100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20</xdr:col>
      <xdr:colOff>78988</xdr:colOff>
      <xdr:row>22</xdr:row>
      <xdr:rowOff>24777</xdr:rowOff>
    </xdr:from>
    <xdr:to>
      <xdr:col>22</xdr:col>
      <xdr:colOff>48508</xdr:colOff>
      <xdr:row>32</xdr:row>
      <xdr:rowOff>70497</xdr:rowOff>
    </xdr:to>
    <xdr:sp macro="" textlink="Processing!L10">
      <xdr:nvSpPr>
        <xdr:cNvPr id="8" name="Rectangle: Rounded Corners 7">
          <a:extLst>
            <a:ext uri="{FF2B5EF4-FFF2-40B4-BE49-F238E27FC236}">
              <a16:creationId xmlns:a16="http://schemas.microsoft.com/office/drawing/2014/main" id="{FC0A059C-9F88-41C0-A9A3-C854596B89A4}"/>
            </a:ext>
          </a:extLst>
        </xdr:cNvPr>
        <xdr:cNvSpPr/>
      </xdr:nvSpPr>
      <xdr:spPr>
        <a:xfrm>
          <a:off x="12270988" y="4048137"/>
          <a:ext cx="1188720" cy="1874520"/>
        </a:xfrm>
        <a:prstGeom prst="roundRect">
          <a:avLst>
            <a:gd name="adj" fmla="val 16940"/>
          </a:avLst>
        </a:prstGeom>
        <a:gradFill flip="none" rotWithShape="1">
          <a:gsLst>
            <a:gs pos="0">
              <a:srgbClr val="232C68"/>
            </a:gs>
            <a:gs pos="100000">
              <a:srgbClr val="1E2255"/>
            </a:gs>
          </a:gsLst>
          <a:lin ang="8100000" scaled="1"/>
          <a:tileRect/>
        </a:gradFill>
        <a:ln w="9525">
          <a:gradFill flip="none" rotWithShape="1">
            <a:gsLst>
              <a:gs pos="0">
                <a:srgbClr val="6476CE"/>
              </a:gs>
              <a:gs pos="76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B141ACD5-C6B6-41AA-B709-DAF022D00E18}" type="TxLink">
            <a:rPr lang="en-US" sz="1200" b="0" i="0" u="none" strike="noStrike">
              <a:solidFill>
                <a:srgbClr val="A2ADBE"/>
              </a:solidFill>
              <a:latin typeface="Aptos Narrow"/>
            </a:rPr>
            <a:pPr algn="ctr"/>
            <a:t>Top-5 Products</a:t>
          </a:fld>
          <a:endParaRPr lang="ru-RU" sz="2000">
            <a:solidFill>
              <a:srgbClr val="A2ADBE"/>
            </a:solidFill>
          </a:endParaRPr>
        </a:p>
      </xdr:txBody>
    </xdr:sp>
    <xdr:clientData/>
  </xdr:twoCellAnchor>
  <xdr:twoCellAnchor>
    <xdr:from>
      <xdr:col>16</xdr:col>
      <xdr:colOff>510540</xdr:colOff>
      <xdr:row>22</xdr:row>
      <xdr:rowOff>24777</xdr:rowOff>
    </xdr:from>
    <xdr:to>
      <xdr:col>19</xdr:col>
      <xdr:colOff>510540</xdr:colOff>
      <xdr:row>32</xdr:row>
      <xdr:rowOff>70497</xdr:rowOff>
    </xdr:to>
    <xdr:sp macro="" textlink="Processing!J1">
      <xdr:nvSpPr>
        <xdr:cNvPr id="9" name="Rectangle: Rounded Corners 8">
          <a:extLst>
            <a:ext uri="{FF2B5EF4-FFF2-40B4-BE49-F238E27FC236}">
              <a16:creationId xmlns:a16="http://schemas.microsoft.com/office/drawing/2014/main" id="{103C9E15-5FE2-4095-89F8-E2A9A1C3B75F}"/>
            </a:ext>
          </a:extLst>
        </xdr:cNvPr>
        <xdr:cNvSpPr/>
      </xdr:nvSpPr>
      <xdr:spPr>
        <a:xfrm>
          <a:off x="10264140" y="4048137"/>
          <a:ext cx="1828800" cy="1874520"/>
        </a:xfrm>
        <a:prstGeom prst="roundRect">
          <a:avLst>
            <a:gd name="adj" fmla="val 15658"/>
          </a:avLst>
        </a:prstGeom>
        <a:gradFill flip="none" rotWithShape="1">
          <a:gsLst>
            <a:gs pos="10000">
              <a:srgbClr val="1C265C"/>
            </a:gs>
            <a:gs pos="0">
              <a:srgbClr val="232C68"/>
            </a:gs>
            <a:gs pos="100000">
              <a:srgbClr val="1E2255"/>
            </a:gs>
          </a:gsLst>
          <a:lin ang="8100000" scaled="1"/>
          <a:tileRect/>
        </a:gradFill>
        <a:ln w="12700">
          <a:solidFill>
            <a:schemeClr val="bg1"/>
          </a:soli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F891643E-D31A-43FE-B4F0-A61FA518E279}" type="TxLink">
            <a:rPr lang="en-US" sz="1200" b="0" i="0" u="none" strike="noStrike">
              <a:solidFill>
                <a:schemeClr val="bg1"/>
              </a:solidFill>
              <a:latin typeface="Aptos Narrow"/>
            </a:rPr>
            <a:pPr algn="l"/>
            <a:t>Sales Closed</a:t>
          </a:fld>
          <a:endParaRPr lang="ru-RU" sz="2000">
            <a:solidFill>
              <a:schemeClr val="bg1"/>
            </a:solidFill>
          </a:endParaRPr>
        </a:p>
      </xdr:txBody>
    </xdr:sp>
    <xdr:clientData/>
  </xdr:twoCellAnchor>
  <xdr:twoCellAnchor>
    <xdr:from>
      <xdr:col>12</xdr:col>
      <xdr:colOff>289560</xdr:colOff>
      <xdr:row>19</xdr:row>
      <xdr:rowOff>143699</xdr:rowOff>
    </xdr:from>
    <xdr:to>
      <xdr:col>16</xdr:col>
      <xdr:colOff>320040</xdr:colOff>
      <xdr:row>32</xdr:row>
      <xdr:rowOff>70497</xdr:rowOff>
    </xdr:to>
    <xdr:sp macro="" textlink="Processing!A19">
      <xdr:nvSpPr>
        <xdr:cNvPr id="10" name="Rectangle: Rounded Corners 9">
          <a:extLst>
            <a:ext uri="{FF2B5EF4-FFF2-40B4-BE49-F238E27FC236}">
              <a16:creationId xmlns:a16="http://schemas.microsoft.com/office/drawing/2014/main" id="{A527E550-80CF-4A6A-8465-09293369C6B5}"/>
            </a:ext>
          </a:extLst>
        </xdr:cNvPr>
        <xdr:cNvSpPr/>
      </xdr:nvSpPr>
      <xdr:spPr>
        <a:xfrm>
          <a:off x="7604760" y="3618419"/>
          <a:ext cx="2468880" cy="2304238"/>
        </a:xfrm>
        <a:prstGeom prst="roundRect">
          <a:avLst>
            <a:gd name="adj" fmla="val 10585"/>
          </a:avLst>
        </a:prstGeom>
        <a:gradFill flip="none" rotWithShape="1">
          <a:gsLst>
            <a:gs pos="7000">
              <a:srgbClr val="1C265C"/>
            </a:gs>
            <a:gs pos="0">
              <a:srgbClr val="232C68"/>
            </a:gs>
            <a:gs pos="100000">
              <a:srgbClr val="1E2255"/>
            </a:gs>
          </a:gsLst>
          <a:lin ang="8100000" scaled="1"/>
          <a:tileRect/>
        </a:gradFill>
        <a:ln w="9525">
          <a:gradFill flip="none" rotWithShape="1">
            <a:gsLst>
              <a:gs pos="0">
                <a:srgbClr val="6476CE"/>
              </a:gs>
              <a:gs pos="72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1C44FD38-D300-4C1F-906B-FAB458F04708}" type="TxLink">
            <a:rPr lang="en-US" sz="1200" b="0" i="0" u="none" strike="noStrike" kern="1200">
              <a:solidFill>
                <a:srgbClr val="A2ADBE"/>
              </a:solidFill>
              <a:latin typeface="Aptos Narrow"/>
              <a:ea typeface="+mn-ea"/>
              <a:cs typeface="+mn-cs"/>
            </a:rPr>
            <a:pPr marL="0" indent="0" algn="ctr" defTabSz="914400" rtl="0" eaLnBrk="1" latinLnBrk="0" hangingPunct="1"/>
            <a:t>Revenue vs Expenses</a:t>
          </a:fld>
          <a:endParaRPr lang="ru-RU" sz="1200" b="0" i="0" u="none" strike="noStrike" kern="1200">
            <a:solidFill>
              <a:srgbClr val="A2ADBE"/>
            </a:solidFill>
            <a:latin typeface="Aptos Narrow"/>
            <a:ea typeface="+mn-ea"/>
            <a:cs typeface="+mn-cs"/>
          </a:endParaRPr>
        </a:p>
      </xdr:txBody>
    </xdr:sp>
    <xdr:clientData/>
  </xdr:twoCellAnchor>
  <xdr:twoCellAnchor>
    <xdr:from>
      <xdr:col>12</xdr:col>
      <xdr:colOff>289560</xdr:colOff>
      <xdr:row>8</xdr:row>
      <xdr:rowOff>99060</xdr:rowOff>
    </xdr:from>
    <xdr:to>
      <xdr:col>16</xdr:col>
      <xdr:colOff>320040</xdr:colOff>
      <xdr:row>18</xdr:row>
      <xdr:rowOff>144780</xdr:rowOff>
    </xdr:to>
    <xdr:sp macro="" textlink="Processing!A1">
      <xdr:nvSpPr>
        <xdr:cNvPr id="11" name="Rectangle: Rounded Corners 10">
          <a:extLst>
            <a:ext uri="{FF2B5EF4-FFF2-40B4-BE49-F238E27FC236}">
              <a16:creationId xmlns:a16="http://schemas.microsoft.com/office/drawing/2014/main" id="{31FF2277-B1B0-4975-96E1-0810AC6E7BAE}"/>
            </a:ext>
          </a:extLst>
        </xdr:cNvPr>
        <xdr:cNvSpPr/>
      </xdr:nvSpPr>
      <xdr:spPr>
        <a:xfrm>
          <a:off x="7604760" y="1562100"/>
          <a:ext cx="2468880" cy="1874520"/>
        </a:xfrm>
        <a:prstGeom prst="roundRect">
          <a:avLst>
            <a:gd name="adj" fmla="val 12132"/>
          </a:avLst>
        </a:prstGeom>
        <a:gradFill flip="none" rotWithShape="1">
          <a:gsLst>
            <a:gs pos="0">
              <a:srgbClr val="EE0078"/>
            </a:gs>
            <a:gs pos="73000">
              <a:srgbClr val="6459F9"/>
            </a:gs>
          </a:gsLst>
          <a:lin ang="2700000" scaled="1"/>
          <a:tileRect/>
        </a:gradFill>
        <a:ln w="12700">
          <a:no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03020289-B635-419F-B330-AF3CCE861824}" type="TxLink">
            <a:rPr lang="en-US" sz="1200" b="0" i="0" u="none" strike="noStrike">
              <a:solidFill>
                <a:schemeClr val="bg1"/>
              </a:solidFill>
              <a:latin typeface="Aptos Narrow"/>
            </a:rPr>
            <a:pPr algn="ctr"/>
            <a:t>Investments vs Sales Volume</a:t>
          </a:fld>
          <a:endParaRPr lang="ru-RU" sz="2000">
            <a:solidFill>
              <a:schemeClr val="bg1"/>
            </a:solidFill>
          </a:endParaRPr>
        </a:p>
      </xdr:txBody>
    </xdr:sp>
    <xdr:clientData/>
  </xdr:twoCellAnchor>
  <xdr:twoCellAnchor>
    <xdr:from>
      <xdr:col>16</xdr:col>
      <xdr:colOff>566998</xdr:colOff>
      <xdr:row>23</xdr:row>
      <xdr:rowOff>99060</xdr:rowOff>
    </xdr:from>
    <xdr:to>
      <xdr:col>19</xdr:col>
      <xdr:colOff>476943</xdr:colOff>
      <xdr:row>31</xdr:row>
      <xdr:rowOff>175260</xdr:rowOff>
    </xdr:to>
    <xdr:graphicFrame macro="">
      <xdr:nvGraphicFramePr>
        <xdr:cNvPr id="12" name="Chart 11">
          <a:extLst>
            <a:ext uri="{FF2B5EF4-FFF2-40B4-BE49-F238E27FC236}">
              <a16:creationId xmlns:a16="http://schemas.microsoft.com/office/drawing/2014/main" id="{5B4F06BD-3FF6-4FC8-A270-21C20842B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76205</xdr:colOff>
      <xdr:row>24</xdr:row>
      <xdr:rowOff>137379</xdr:rowOff>
    </xdr:from>
    <xdr:to>
      <xdr:col>22</xdr:col>
      <xdr:colOff>60956</xdr:colOff>
      <xdr:row>31</xdr:row>
      <xdr:rowOff>136942</xdr:rowOff>
    </xdr:to>
    <xdr:graphicFrame macro="">
      <xdr:nvGraphicFramePr>
        <xdr:cNvPr id="13" name="Chart 12">
          <a:extLst>
            <a:ext uri="{FF2B5EF4-FFF2-40B4-BE49-F238E27FC236}">
              <a16:creationId xmlns:a16="http://schemas.microsoft.com/office/drawing/2014/main" id="{ED20EEB1-BC10-441F-97C7-6312E9AAF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30677</xdr:colOff>
      <xdr:row>24</xdr:row>
      <xdr:rowOff>154137</xdr:rowOff>
    </xdr:from>
    <xdr:to>
      <xdr:col>22</xdr:col>
      <xdr:colOff>109023</xdr:colOff>
      <xdr:row>31</xdr:row>
      <xdr:rowOff>127803</xdr:rowOff>
    </xdr:to>
    <xdr:graphicFrame macro="">
      <xdr:nvGraphicFramePr>
        <xdr:cNvPr id="14" name="Chart 13">
          <a:extLst>
            <a:ext uri="{FF2B5EF4-FFF2-40B4-BE49-F238E27FC236}">
              <a16:creationId xmlns:a16="http://schemas.microsoft.com/office/drawing/2014/main" id="{2D2C2824-FFE3-423B-BC65-3F3DBB845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61691</xdr:colOff>
      <xdr:row>23</xdr:row>
      <xdr:rowOff>70365</xdr:rowOff>
    </xdr:from>
    <xdr:to>
      <xdr:col>16</xdr:col>
      <xdr:colOff>567659</xdr:colOff>
      <xdr:row>33</xdr:row>
      <xdr:rowOff>38100</xdr:rowOff>
    </xdr:to>
    <xdr:graphicFrame macro="">
      <xdr:nvGraphicFramePr>
        <xdr:cNvPr id="15" name="Chart 14">
          <a:extLst>
            <a:ext uri="{FF2B5EF4-FFF2-40B4-BE49-F238E27FC236}">
              <a16:creationId xmlns:a16="http://schemas.microsoft.com/office/drawing/2014/main" id="{D505C90E-D5F8-4614-9693-27211DC35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91440</xdr:colOff>
      <xdr:row>9</xdr:row>
      <xdr:rowOff>114300</xdr:rowOff>
    </xdr:from>
    <xdr:to>
      <xdr:col>21</xdr:col>
      <xdr:colOff>395512</xdr:colOff>
      <xdr:row>19</xdr:row>
      <xdr:rowOff>159142</xdr:rowOff>
    </xdr:to>
    <xdr:graphicFrame macro="">
      <xdr:nvGraphicFramePr>
        <xdr:cNvPr id="16" name="Chart 15">
          <a:extLst>
            <a:ext uri="{FF2B5EF4-FFF2-40B4-BE49-F238E27FC236}">
              <a16:creationId xmlns:a16="http://schemas.microsoft.com/office/drawing/2014/main" id="{5883B6B0-EA74-4F83-9DDE-D94DC7267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34290</xdr:colOff>
      <xdr:row>4</xdr:row>
      <xdr:rowOff>99060</xdr:rowOff>
    </xdr:from>
    <xdr:to>
      <xdr:col>16</xdr:col>
      <xdr:colOff>26670</xdr:colOff>
      <xdr:row>8</xdr:row>
      <xdr:rowOff>38100</xdr:rowOff>
    </xdr:to>
    <xdr:sp macro="" textlink="Processing!P1">
      <xdr:nvSpPr>
        <xdr:cNvPr id="17" name="TextBox 16">
          <a:extLst>
            <a:ext uri="{FF2B5EF4-FFF2-40B4-BE49-F238E27FC236}">
              <a16:creationId xmlns:a16="http://schemas.microsoft.com/office/drawing/2014/main" id="{4E5E7EFC-D46F-4888-AC2B-2AEA2C6E1B35}"/>
            </a:ext>
          </a:extLst>
        </xdr:cNvPr>
        <xdr:cNvSpPr txBox="1"/>
      </xdr:nvSpPr>
      <xdr:spPr>
        <a:xfrm>
          <a:off x="4911090" y="830580"/>
          <a:ext cx="4869180" cy="67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AFA7E3-D982-4DCE-8311-24F164F1C349}" type="TxLink">
            <a:rPr lang="en-US" sz="2800" b="0" i="0" u="none" strike="noStrike">
              <a:solidFill>
                <a:schemeClr val="bg1"/>
              </a:solidFill>
              <a:latin typeface="Aptos Narrow"/>
            </a:rPr>
            <a:pPr algn="ctr"/>
            <a:t>Sales Profitability Dashboard</a:t>
          </a:fld>
          <a:endParaRPr lang="ru-RU" sz="2800">
            <a:solidFill>
              <a:schemeClr val="bg1"/>
            </a:solidFill>
          </a:endParaRPr>
        </a:p>
      </xdr:txBody>
    </xdr:sp>
    <xdr:clientData/>
  </xdr:twoCellAnchor>
  <xdr:twoCellAnchor>
    <xdr:from>
      <xdr:col>12</xdr:col>
      <xdr:colOff>411480</xdr:colOff>
      <xdr:row>10</xdr:row>
      <xdr:rowOff>45720</xdr:rowOff>
    </xdr:from>
    <xdr:to>
      <xdr:col>15</xdr:col>
      <xdr:colOff>0</xdr:colOff>
      <xdr:row>12</xdr:row>
      <xdr:rowOff>7620</xdr:rowOff>
    </xdr:to>
    <xdr:sp macro="" textlink="Processing!B1">
      <xdr:nvSpPr>
        <xdr:cNvPr id="18" name="TextBox 17">
          <a:extLst>
            <a:ext uri="{FF2B5EF4-FFF2-40B4-BE49-F238E27FC236}">
              <a16:creationId xmlns:a16="http://schemas.microsoft.com/office/drawing/2014/main" id="{B736E61F-6406-4302-B5FD-4FA9C8D4D442}"/>
            </a:ext>
          </a:extLst>
        </xdr:cNvPr>
        <xdr:cNvSpPr txBox="1"/>
      </xdr:nvSpPr>
      <xdr:spPr>
        <a:xfrm>
          <a:off x="7726680" y="187452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EBDB900-EE2F-4AA6-B860-CDEF06AE6B57}" type="TxLink">
            <a:rPr lang="en-US" sz="1400" b="0" i="0" u="none" strike="noStrike">
              <a:solidFill>
                <a:schemeClr val="bg1"/>
              </a:solidFill>
              <a:latin typeface="Aptos Narrow"/>
            </a:rPr>
            <a:pPr algn="l"/>
            <a:t>Investments</a:t>
          </a:fld>
          <a:endParaRPr lang="ru-RU" sz="3600">
            <a:solidFill>
              <a:schemeClr val="bg1"/>
            </a:solidFill>
          </a:endParaRPr>
        </a:p>
      </xdr:txBody>
    </xdr:sp>
    <xdr:clientData/>
  </xdr:twoCellAnchor>
  <xdr:twoCellAnchor>
    <xdr:from>
      <xdr:col>12</xdr:col>
      <xdr:colOff>411480</xdr:colOff>
      <xdr:row>14</xdr:row>
      <xdr:rowOff>30480</xdr:rowOff>
    </xdr:from>
    <xdr:to>
      <xdr:col>15</xdr:col>
      <xdr:colOff>114300</xdr:colOff>
      <xdr:row>15</xdr:row>
      <xdr:rowOff>175260</xdr:rowOff>
    </xdr:to>
    <xdr:sp macro="" textlink="Processing!C1">
      <xdr:nvSpPr>
        <xdr:cNvPr id="19" name="TextBox 18">
          <a:extLst>
            <a:ext uri="{FF2B5EF4-FFF2-40B4-BE49-F238E27FC236}">
              <a16:creationId xmlns:a16="http://schemas.microsoft.com/office/drawing/2014/main" id="{8E291E1C-92D6-49AD-9D4A-C9B9B1882FE9}"/>
            </a:ext>
          </a:extLst>
        </xdr:cNvPr>
        <xdr:cNvSpPr txBox="1"/>
      </xdr:nvSpPr>
      <xdr:spPr>
        <a:xfrm>
          <a:off x="7726680" y="259080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F79593B-4C91-4E5C-A7F9-01D05C8FA786}" type="TxLink">
            <a:rPr lang="en-US" sz="1400" b="0" i="0" u="none" strike="noStrike">
              <a:solidFill>
                <a:schemeClr val="bg1"/>
              </a:solidFill>
              <a:latin typeface="Aptos Narrow"/>
              <a:ea typeface="+mn-ea"/>
              <a:cs typeface="+mn-cs"/>
            </a:rPr>
            <a:pPr marL="0" indent="0" algn="l"/>
            <a:t>Sales Volume</a:t>
          </a:fld>
          <a:endParaRPr lang="ru-RU" sz="1400" b="0" i="0" u="none" strike="noStrike">
            <a:solidFill>
              <a:schemeClr val="bg1"/>
            </a:solidFill>
            <a:latin typeface="Aptos Narrow"/>
            <a:ea typeface="+mn-ea"/>
            <a:cs typeface="+mn-cs"/>
          </a:endParaRPr>
        </a:p>
      </xdr:txBody>
    </xdr:sp>
    <xdr:clientData/>
  </xdr:twoCellAnchor>
  <xdr:twoCellAnchor>
    <xdr:from>
      <xdr:col>17</xdr:col>
      <xdr:colOff>68580</xdr:colOff>
      <xdr:row>9</xdr:row>
      <xdr:rowOff>53340</xdr:rowOff>
    </xdr:from>
    <xdr:to>
      <xdr:col>18</xdr:col>
      <xdr:colOff>160020</xdr:colOff>
      <xdr:row>11</xdr:row>
      <xdr:rowOff>15240</xdr:rowOff>
    </xdr:to>
    <xdr:sp macro="" textlink="Processing!J20">
      <xdr:nvSpPr>
        <xdr:cNvPr id="20" name="TextBox 19">
          <a:extLst>
            <a:ext uri="{FF2B5EF4-FFF2-40B4-BE49-F238E27FC236}">
              <a16:creationId xmlns:a16="http://schemas.microsoft.com/office/drawing/2014/main" id="{ACF4A220-78CD-4CE4-AB32-BE5ADF4B78BC}"/>
            </a:ext>
          </a:extLst>
        </xdr:cNvPr>
        <xdr:cNvSpPr txBox="1"/>
      </xdr:nvSpPr>
      <xdr:spPr>
        <a:xfrm>
          <a:off x="10431780" y="169926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5EC9B3-2A4A-4AC1-9873-86C91B8549DF}" type="TxLink">
            <a:rPr lang="en-US" sz="1800" b="0" i="0" u="none" strike="noStrike">
              <a:solidFill>
                <a:srgbClr val="A2ADBE"/>
              </a:solidFill>
              <a:latin typeface="Aptos Narrow"/>
              <a:ea typeface="+mn-ea"/>
              <a:cs typeface="+mn-cs"/>
            </a:rPr>
            <a:pPr marL="0" indent="0"/>
            <a:t>ROI</a:t>
          </a:fld>
          <a:endParaRPr lang="ru-RU" sz="1800" b="0" i="0" u="none" strike="noStrike">
            <a:solidFill>
              <a:srgbClr val="A2ADBE"/>
            </a:solidFill>
            <a:latin typeface="Aptos Narrow"/>
            <a:ea typeface="+mn-ea"/>
            <a:cs typeface="+mn-cs"/>
          </a:endParaRPr>
        </a:p>
      </xdr:txBody>
    </xdr:sp>
    <xdr:clientData/>
  </xdr:twoCellAnchor>
  <xdr:twoCellAnchor>
    <xdr:from>
      <xdr:col>17</xdr:col>
      <xdr:colOff>45720</xdr:colOff>
      <xdr:row>16</xdr:row>
      <xdr:rowOff>83820</xdr:rowOff>
    </xdr:from>
    <xdr:to>
      <xdr:col>18</xdr:col>
      <xdr:colOff>137160</xdr:colOff>
      <xdr:row>18</xdr:row>
      <xdr:rowOff>45720</xdr:rowOff>
    </xdr:to>
    <xdr:sp macro="" textlink="Processing!J24">
      <xdr:nvSpPr>
        <xdr:cNvPr id="21" name="TextBox 20">
          <a:extLst>
            <a:ext uri="{FF2B5EF4-FFF2-40B4-BE49-F238E27FC236}">
              <a16:creationId xmlns:a16="http://schemas.microsoft.com/office/drawing/2014/main" id="{44F0B9FA-F3C9-48CA-A965-66774D04BA93}"/>
            </a:ext>
          </a:extLst>
        </xdr:cNvPr>
        <xdr:cNvSpPr txBox="1"/>
      </xdr:nvSpPr>
      <xdr:spPr>
        <a:xfrm>
          <a:off x="10408920" y="300990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75CC82-02FE-4122-8891-3041361035D0}" type="TxLink">
            <a:rPr lang="en-US" sz="1800" b="0" i="0" u="none" strike="noStrike">
              <a:solidFill>
                <a:srgbClr val="A2ADBE"/>
              </a:solidFill>
              <a:latin typeface="Aptos Narrow"/>
              <a:ea typeface="+mn-ea"/>
              <a:cs typeface="+mn-cs"/>
            </a:rPr>
            <a:pPr marL="0" indent="0"/>
            <a:t>Profit</a:t>
          </a:fld>
          <a:endParaRPr lang="ru-RU" sz="1800" b="0" i="0" u="none" strike="noStrike">
            <a:solidFill>
              <a:srgbClr val="A2ADBE"/>
            </a:solidFill>
            <a:latin typeface="Aptos Narrow"/>
            <a:ea typeface="+mn-ea"/>
            <a:cs typeface="+mn-cs"/>
          </a:endParaRPr>
        </a:p>
      </xdr:txBody>
    </xdr:sp>
    <xdr:clientData/>
  </xdr:twoCellAnchor>
  <xdr:twoCellAnchor>
    <xdr:from>
      <xdr:col>19</xdr:col>
      <xdr:colOff>82098</xdr:colOff>
      <xdr:row>13</xdr:row>
      <xdr:rowOff>125616</xdr:rowOff>
    </xdr:from>
    <xdr:to>
      <xdr:col>20</xdr:col>
      <xdr:colOff>405582</xdr:colOff>
      <xdr:row>15</xdr:row>
      <xdr:rowOff>156325</xdr:rowOff>
    </xdr:to>
    <xdr:sp macro="" textlink="Processing!K20">
      <xdr:nvSpPr>
        <xdr:cNvPr id="22" name="TextBox 21">
          <a:extLst>
            <a:ext uri="{FF2B5EF4-FFF2-40B4-BE49-F238E27FC236}">
              <a16:creationId xmlns:a16="http://schemas.microsoft.com/office/drawing/2014/main" id="{DDE9F13E-BF2D-4CEE-82EE-B9788FD6841B}"/>
            </a:ext>
          </a:extLst>
        </xdr:cNvPr>
        <xdr:cNvSpPr txBox="1"/>
      </xdr:nvSpPr>
      <xdr:spPr>
        <a:xfrm>
          <a:off x="11664498" y="2503056"/>
          <a:ext cx="93308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DB45C4-5730-4E15-A21C-6CDCEBC2E35C}" type="TxLink">
            <a:rPr lang="en-US" sz="2400" b="0" i="0" u="none" strike="noStrike">
              <a:solidFill>
                <a:schemeClr val="bg1"/>
              </a:solidFill>
              <a:latin typeface="Aptos Narrow"/>
              <a:ea typeface="+mn-ea"/>
              <a:cs typeface="+mn-cs"/>
            </a:rPr>
            <a:pPr marL="0" indent="0" algn="ctr"/>
            <a:t>40%</a:t>
          </a:fld>
          <a:endParaRPr lang="ru-RU" sz="6600" b="0" i="0" u="none" strike="noStrike">
            <a:solidFill>
              <a:schemeClr val="bg1"/>
            </a:solidFill>
            <a:latin typeface="Aptos Narrow"/>
            <a:ea typeface="+mn-ea"/>
            <a:cs typeface="+mn-cs"/>
          </a:endParaRPr>
        </a:p>
      </xdr:txBody>
    </xdr:sp>
    <xdr:clientData/>
  </xdr:twoCellAnchor>
  <xdr:twoCellAnchor>
    <xdr:from>
      <xdr:col>2</xdr:col>
      <xdr:colOff>339090</xdr:colOff>
      <xdr:row>8</xdr:row>
      <xdr:rowOff>15240</xdr:rowOff>
    </xdr:from>
    <xdr:to>
      <xdr:col>5</xdr:col>
      <xdr:colOff>304800</xdr:colOff>
      <xdr:row>10</xdr:row>
      <xdr:rowOff>60960</xdr:rowOff>
    </xdr:to>
    <xdr:sp macro="" textlink="Processing!J1">
      <xdr:nvSpPr>
        <xdr:cNvPr id="23" name="TextBox 22">
          <a:extLst>
            <a:ext uri="{FF2B5EF4-FFF2-40B4-BE49-F238E27FC236}">
              <a16:creationId xmlns:a16="http://schemas.microsoft.com/office/drawing/2014/main" id="{C8FD70F4-3BE6-4740-B614-135608AD8EFC}"/>
            </a:ext>
          </a:extLst>
        </xdr:cNvPr>
        <xdr:cNvSpPr txBox="1"/>
      </xdr:nvSpPr>
      <xdr:spPr>
        <a:xfrm>
          <a:off x="1558290" y="1478280"/>
          <a:ext cx="179451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C46CB7E-4C7E-47AD-9501-2528C941DC30}" type="TxLink">
            <a:rPr lang="en-US" sz="2000" b="0" i="0" u="none" strike="noStrike">
              <a:solidFill>
                <a:srgbClr val="A2ADBE"/>
              </a:solidFill>
              <a:latin typeface="Aptos Narrow"/>
              <a:ea typeface="+mn-ea"/>
              <a:cs typeface="+mn-cs"/>
            </a:rPr>
            <a:pPr marL="0" indent="0" algn="l"/>
            <a:t>Sales Closed</a:t>
          </a:fld>
          <a:endParaRPr lang="ru-RU" sz="2000" b="0" i="0" u="none" strike="noStrike">
            <a:solidFill>
              <a:srgbClr val="A2ADBE"/>
            </a:solidFill>
            <a:latin typeface="Aptos Narrow"/>
            <a:ea typeface="+mn-ea"/>
            <a:cs typeface="+mn-cs"/>
          </a:endParaRPr>
        </a:p>
      </xdr:txBody>
    </xdr:sp>
    <xdr:clientData/>
  </xdr:twoCellAnchor>
  <xdr:twoCellAnchor editAs="oneCell">
    <xdr:from>
      <xdr:col>2</xdr:col>
      <xdr:colOff>361950</xdr:colOff>
      <xdr:row>4</xdr:row>
      <xdr:rowOff>175261</xdr:rowOff>
    </xdr:from>
    <xdr:to>
      <xdr:col>5</xdr:col>
      <xdr:colOff>361950</xdr:colOff>
      <xdr:row>6</xdr:row>
      <xdr:rowOff>171450</xdr:rowOff>
    </xdr:to>
    <mc:AlternateContent xmlns:mc="http://schemas.openxmlformats.org/markup-compatibility/2006" xmlns:a14="http://schemas.microsoft.com/office/drawing/2010/main">
      <mc:Choice Requires="a14">
        <xdr:graphicFrame macro="">
          <xdr:nvGraphicFramePr>
            <xdr:cNvPr id="28" name="Year 2">
              <a:extLst>
                <a:ext uri="{FF2B5EF4-FFF2-40B4-BE49-F238E27FC236}">
                  <a16:creationId xmlns:a16="http://schemas.microsoft.com/office/drawing/2014/main" id="{30764861-527F-4245-8420-6157095D0294}"/>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581150" y="906781"/>
              <a:ext cx="1828800" cy="4648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327660</xdr:colOff>
      <xdr:row>5</xdr:row>
      <xdr:rowOff>0</xdr:rowOff>
    </xdr:from>
    <xdr:to>
      <xdr:col>19</xdr:col>
      <xdr:colOff>525780</xdr:colOff>
      <xdr:row>6</xdr:row>
      <xdr:rowOff>144780</xdr:rowOff>
    </xdr:to>
    <xdr:sp macro="" textlink="Processing!P3">
      <xdr:nvSpPr>
        <xdr:cNvPr id="29" name="TextBox 28">
          <a:extLst>
            <a:ext uri="{FF2B5EF4-FFF2-40B4-BE49-F238E27FC236}">
              <a16:creationId xmlns:a16="http://schemas.microsoft.com/office/drawing/2014/main" id="{242E039E-5F24-4E05-A540-3549369A7CA9}"/>
            </a:ext>
          </a:extLst>
        </xdr:cNvPr>
        <xdr:cNvSpPr txBox="1"/>
      </xdr:nvSpPr>
      <xdr:spPr>
        <a:xfrm>
          <a:off x="10690860" y="91440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4BF34E8-F5F7-4FD4-B740-151B677084AF}" type="TxLink">
            <a:rPr lang="en-US" sz="1800" b="0" i="0" u="none" strike="noStrike">
              <a:solidFill>
                <a:schemeClr val="bg1"/>
              </a:solidFill>
              <a:latin typeface="Aptos Narrow"/>
              <a:ea typeface="+mn-ea"/>
              <a:cs typeface="+mn-cs"/>
            </a:rPr>
            <a:pPr marL="0" indent="0" algn="ctr"/>
            <a:t>JANUARY</a:t>
          </a:fld>
          <a:endParaRPr lang="ru-RU" sz="1800" b="0" i="0" u="none" strike="noStrike">
            <a:solidFill>
              <a:schemeClr val="bg1"/>
            </a:solidFill>
            <a:latin typeface="Aptos Narrow"/>
            <a:ea typeface="+mn-ea"/>
            <a:cs typeface="+mn-cs"/>
          </a:endParaRPr>
        </a:p>
      </xdr:txBody>
    </xdr:sp>
    <xdr:clientData/>
  </xdr:twoCellAnchor>
  <xdr:twoCellAnchor>
    <xdr:from>
      <xdr:col>20</xdr:col>
      <xdr:colOff>30480</xdr:colOff>
      <xdr:row>5</xdr:row>
      <xdr:rowOff>0</xdr:rowOff>
    </xdr:from>
    <xdr:to>
      <xdr:col>21</xdr:col>
      <xdr:colOff>152400</xdr:colOff>
      <xdr:row>6</xdr:row>
      <xdr:rowOff>144780</xdr:rowOff>
    </xdr:to>
    <xdr:sp macro="" textlink="Processing!Q3">
      <xdr:nvSpPr>
        <xdr:cNvPr id="30" name="TextBox 29">
          <a:extLst>
            <a:ext uri="{FF2B5EF4-FFF2-40B4-BE49-F238E27FC236}">
              <a16:creationId xmlns:a16="http://schemas.microsoft.com/office/drawing/2014/main" id="{E57B7D21-86D8-42E6-A2FC-CA1D16F90EE3}"/>
            </a:ext>
          </a:extLst>
        </xdr:cNvPr>
        <xdr:cNvSpPr txBox="1"/>
      </xdr:nvSpPr>
      <xdr:spPr>
        <a:xfrm>
          <a:off x="12222480" y="914400"/>
          <a:ext cx="7315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1DB63C7-1528-4BD2-A1EF-C64AF007758D}" type="TxLink">
            <a:rPr lang="en-US" sz="1800" b="0" i="0" u="none" strike="noStrike">
              <a:solidFill>
                <a:schemeClr val="bg1"/>
              </a:solidFill>
              <a:latin typeface="Aptos Narrow"/>
              <a:ea typeface="+mn-ea"/>
              <a:cs typeface="+mn-cs"/>
            </a:rPr>
            <a:pPr marL="0" indent="0" algn="l"/>
            <a:t>2024</a:t>
          </a:fld>
          <a:endParaRPr lang="ru-RU" sz="1800" b="0" i="0" u="none" strike="noStrike">
            <a:solidFill>
              <a:schemeClr val="bg1"/>
            </a:solidFill>
            <a:latin typeface="Aptos Narrow"/>
            <a:ea typeface="+mn-ea"/>
            <a:cs typeface="+mn-cs"/>
          </a:endParaRPr>
        </a:p>
      </xdr:txBody>
    </xdr:sp>
    <xdr:clientData/>
  </xdr:twoCellAnchor>
  <xdr:twoCellAnchor>
    <xdr:from>
      <xdr:col>5</xdr:col>
      <xdr:colOff>152400</xdr:colOff>
      <xdr:row>8</xdr:row>
      <xdr:rowOff>57150</xdr:rowOff>
    </xdr:from>
    <xdr:to>
      <xdr:col>7</xdr:col>
      <xdr:colOff>464820</xdr:colOff>
      <xdr:row>10</xdr:row>
      <xdr:rowOff>19050</xdr:rowOff>
    </xdr:to>
    <xdr:sp macro="" textlink="Processing!K7">
      <xdr:nvSpPr>
        <xdr:cNvPr id="32" name="TextBox 31">
          <a:extLst>
            <a:ext uri="{FF2B5EF4-FFF2-40B4-BE49-F238E27FC236}">
              <a16:creationId xmlns:a16="http://schemas.microsoft.com/office/drawing/2014/main" id="{9011A527-1460-4BE2-A453-A415F1A4C7FA}"/>
            </a:ext>
          </a:extLst>
        </xdr:cNvPr>
        <xdr:cNvSpPr txBox="1"/>
      </xdr:nvSpPr>
      <xdr:spPr>
        <a:xfrm>
          <a:off x="3200400" y="152019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67868-4B1A-4164-9436-17904F07535E}" type="TxLink">
            <a:rPr lang="en-US" sz="2000" b="0" i="0" u="none" strike="noStrike">
              <a:solidFill>
                <a:schemeClr val="bg1"/>
              </a:solidFill>
              <a:latin typeface="Aptos Narrow"/>
              <a:ea typeface="+mn-ea"/>
              <a:cs typeface="+mn-cs"/>
            </a:rPr>
            <a:pPr marL="0" indent="0"/>
            <a:t> 15 366</a:t>
          </a:fld>
          <a:endParaRPr lang="ru-RU" sz="3600" b="0" i="0" u="none" strike="noStrike">
            <a:solidFill>
              <a:schemeClr val="bg1"/>
            </a:solidFill>
            <a:latin typeface="Aptos Narrow"/>
            <a:ea typeface="+mn-ea"/>
            <a:cs typeface="+mn-cs"/>
          </a:endParaRPr>
        </a:p>
      </xdr:txBody>
    </xdr:sp>
    <xdr:clientData/>
  </xdr:twoCellAnchor>
  <xdr:twoCellAnchor>
    <xdr:from>
      <xdr:col>12</xdr:col>
      <xdr:colOff>304800</xdr:colOff>
      <xdr:row>15</xdr:row>
      <xdr:rowOff>160020</xdr:rowOff>
    </xdr:from>
    <xdr:to>
      <xdr:col>15</xdr:col>
      <xdr:colOff>121920</xdr:colOff>
      <xdr:row>17</xdr:row>
      <xdr:rowOff>121920</xdr:rowOff>
    </xdr:to>
    <xdr:sp macro="" textlink="Processing!C14">
      <xdr:nvSpPr>
        <xdr:cNvPr id="33" name="TextBox 32">
          <a:extLst>
            <a:ext uri="{FF2B5EF4-FFF2-40B4-BE49-F238E27FC236}">
              <a16:creationId xmlns:a16="http://schemas.microsoft.com/office/drawing/2014/main" id="{94BC2D6B-6299-454A-AE5E-F0CAFD530C59}"/>
            </a:ext>
          </a:extLst>
        </xdr:cNvPr>
        <xdr:cNvSpPr txBox="1"/>
      </xdr:nvSpPr>
      <xdr:spPr>
        <a:xfrm>
          <a:off x="7620000" y="290322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77A68F2-9086-49F9-A77A-937410EA236B}" type="TxLink">
            <a:rPr lang="en-US" sz="2400" b="0" i="0" u="none" strike="noStrike">
              <a:solidFill>
                <a:schemeClr val="bg1"/>
              </a:solidFill>
              <a:latin typeface="Aptos Narrow"/>
              <a:ea typeface="+mn-ea"/>
              <a:cs typeface="+mn-cs"/>
            </a:rPr>
            <a:pPr marL="0" indent="0" algn="l"/>
            <a:t> $33,543 </a:t>
          </a:fld>
          <a:endParaRPr lang="ru-RU" sz="2400" b="0" i="0" u="none" strike="noStrike">
            <a:solidFill>
              <a:schemeClr val="bg1"/>
            </a:solidFill>
            <a:latin typeface="Aptos Narrow"/>
            <a:ea typeface="+mn-ea"/>
            <a:cs typeface="+mn-cs"/>
          </a:endParaRPr>
        </a:p>
      </xdr:txBody>
    </xdr:sp>
    <xdr:clientData/>
  </xdr:twoCellAnchor>
  <xdr:twoCellAnchor>
    <xdr:from>
      <xdr:col>12</xdr:col>
      <xdr:colOff>327660</xdr:colOff>
      <xdr:row>12</xdr:row>
      <xdr:rowOff>0</xdr:rowOff>
    </xdr:from>
    <xdr:to>
      <xdr:col>15</xdr:col>
      <xdr:colOff>144780</xdr:colOff>
      <xdr:row>13</xdr:row>
      <xdr:rowOff>144780</xdr:rowOff>
    </xdr:to>
    <xdr:sp macro="" textlink="Processing!B14">
      <xdr:nvSpPr>
        <xdr:cNvPr id="34" name="TextBox 33">
          <a:extLst>
            <a:ext uri="{FF2B5EF4-FFF2-40B4-BE49-F238E27FC236}">
              <a16:creationId xmlns:a16="http://schemas.microsoft.com/office/drawing/2014/main" id="{906B1E66-D6CE-4CA7-9A62-2E4CD21A29D7}"/>
            </a:ext>
          </a:extLst>
        </xdr:cNvPr>
        <xdr:cNvSpPr txBox="1"/>
      </xdr:nvSpPr>
      <xdr:spPr>
        <a:xfrm>
          <a:off x="7642860" y="219456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176861D-A161-4D96-8756-6AC7C156A8BD}" type="TxLink">
            <a:rPr lang="en-US" sz="2400" b="0" i="0" u="none" strike="noStrike">
              <a:solidFill>
                <a:schemeClr val="bg1"/>
              </a:solidFill>
              <a:latin typeface="Aptos Narrow"/>
              <a:ea typeface="+mn-ea"/>
              <a:cs typeface="+mn-cs"/>
            </a:rPr>
            <a:pPr marL="0" indent="0" algn="l"/>
            <a:t> $28,026 </a:t>
          </a:fld>
          <a:endParaRPr lang="ru-RU" sz="2400" b="0" i="0" u="none" strike="noStrike">
            <a:solidFill>
              <a:schemeClr val="bg1"/>
            </a:solidFill>
            <a:latin typeface="Aptos Narrow"/>
            <a:ea typeface="+mn-ea"/>
            <a:cs typeface="+mn-cs"/>
          </a:endParaRPr>
        </a:p>
      </xdr:txBody>
    </xdr:sp>
    <xdr:clientData/>
  </xdr:twoCellAnchor>
  <xdr:twoCellAnchor>
    <xdr:from>
      <xdr:col>17</xdr:col>
      <xdr:colOff>14478</xdr:colOff>
      <xdr:row>18</xdr:row>
      <xdr:rowOff>26556</xdr:rowOff>
    </xdr:from>
    <xdr:to>
      <xdr:col>19</xdr:col>
      <xdr:colOff>320802</xdr:colOff>
      <xdr:row>20</xdr:row>
      <xdr:rowOff>57265</xdr:rowOff>
    </xdr:to>
    <xdr:sp macro="" textlink="Processing!J25">
      <xdr:nvSpPr>
        <xdr:cNvPr id="35" name="TextBox 34">
          <a:extLst>
            <a:ext uri="{FF2B5EF4-FFF2-40B4-BE49-F238E27FC236}">
              <a16:creationId xmlns:a16="http://schemas.microsoft.com/office/drawing/2014/main" id="{24482A9A-2FEE-43DE-A757-D0BE5FED7DDD}"/>
            </a:ext>
          </a:extLst>
        </xdr:cNvPr>
        <xdr:cNvSpPr txBox="1"/>
      </xdr:nvSpPr>
      <xdr:spPr>
        <a:xfrm>
          <a:off x="10377678" y="3318396"/>
          <a:ext cx="152552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E6A133C-5381-4990-B5CC-3867629A9899}" type="TxLink">
            <a:rPr lang="en-US" sz="2000" b="0" i="0" u="none" strike="noStrike">
              <a:solidFill>
                <a:schemeClr val="bg1"/>
              </a:solidFill>
              <a:latin typeface="Aptos Narrow"/>
              <a:ea typeface="+mn-ea"/>
              <a:cs typeface="+mn-cs"/>
            </a:rPr>
            <a:pPr marL="0" indent="0" algn="l"/>
            <a:t> $11,175 </a:t>
          </a:fld>
          <a:endParaRPr lang="ru-RU" sz="2000" b="0" i="0" u="none" strike="noStrike">
            <a:solidFill>
              <a:schemeClr val="bg1"/>
            </a:solidFill>
            <a:latin typeface="Aptos Narrow"/>
            <a:ea typeface="+mn-ea"/>
            <a:cs typeface="+mn-cs"/>
          </a:endParaRPr>
        </a:p>
      </xdr:txBody>
    </xdr:sp>
    <xdr:clientData/>
  </xdr:twoCellAnchor>
  <xdr:twoCellAnchor>
    <xdr:from>
      <xdr:col>14</xdr:col>
      <xdr:colOff>251460</xdr:colOff>
      <xdr:row>10</xdr:row>
      <xdr:rowOff>68580</xdr:rowOff>
    </xdr:from>
    <xdr:to>
      <xdr:col>16</xdr:col>
      <xdr:colOff>449580</xdr:colOff>
      <xdr:row>12</xdr:row>
      <xdr:rowOff>30480</xdr:rowOff>
    </xdr:to>
    <xdr:sp macro="" textlink="Processing!A15">
      <xdr:nvSpPr>
        <xdr:cNvPr id="36" name="TextBox 35">
          <a:extLst>
            <a:ext uri="{FF2B5EF4-FFF2-40B4-BE49-F238E27FC236}">
              <a16:creationId xmlns:a16="http://schemas.microsoft.com/office/drawing/2014/main" id="{23521FA3-D941-4D42-800E-11BE83A6E06E}"/>
            </a:ext>
          </a:extLst>
        </xdr:cNvPr>
        <xdr:cNvSpPr txBox="1"/>
      </xdr:nvSpPr>
      <xdr:spPr>
        <a:xfrm>
          <a:off x="8785860" y="189738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251460</xdr:colOff>
      <xdr:row>14</xdr:row>
      <xdr:rowOff>45720</xdr:rowOff>
    </xdr:from>
    <xdr:to>
      <xdr:col>16</xdr:col>
      <xdr:colOff>449580</xdr:colOff>
      <xdr:row>16</xdr:row>
      <xdr:rowOff>7620</xdr:rowOff>
    </xdr:to>
    <xdr:sp macro="" textlink="Processing!A15">
      <xdr:nvSpPr>
        <xdr:cNvPr id="37" name="TextBox 36">
          <a:extLst>
            <a:ext uri="{FF2B5EF4-FFF2-40B4-BE49-F238E27FC236}">
              <a16:creationId xmlns:a16="http://schemas.microsoft.com/office/drawing/2014/main" id="{6D8F4C66-5EFC-4570-8229-E6B391C51F2A}"/>
            </a:ext>
          </a:extLst>
        </xdr:cNvPr>
        <xdr:cNvSpPr txBox="1"/>
      </xdr:nvSpPr>
      <xdr:spPr>
        <a:xfrm>
          <a:off x="8785860" y="260604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586718</xdr:colOff>
      <xdr:row>11</xdr:row>
      <xdr:rowOff>23695</xdr:rowOff>
    </xdr:from>
    <xdr:to>
      <xdr:col>16</xdr:col>
      <xdr:colOff>53318</xdr:colOff>
      <xdr:row>14</xdr:row>
      <xdr:rowOff>160855</xdr:rowOff>
    </xdr:to>
    <xdr:graphicFrame macro="">
      <xdr:nvGraphicFramePr>
        <xdr:cNvPr id="38" name="Chart 37">
          <a:extLst>
            <a:ext uri="{FF2B5EF4-FFF2-40B4-BE49-F238E27FC236}">
              <a16:creationId xmlns:a16="http://schemas.microsoft.com/office/drawing/2014/main" id="{5BD8E772-D179-4DC6-88DF-48628FD73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586718</xdr:colOff>
      <xdr:row>12</xdr:row>
      <xdr:rowOff>12265</xdr:rowOff>
    </xdr:from>
    <xdr:to>
      <xdr:col>16</xdr:col>
      <xdr:colOff>68558</xdr:colOff>
      <xdr:row>13</xdr:row>
      <xdr:rowOff>157045</xdr:rowOff>
    </xdr:to>
    <xdr:sp macro="" textlink="Processing!B15">
      <xdr:nvSpPr>
        <xdr:cNvPr id="39" name="TextBox 38">
          <a:extLst>
            <a:ext uri="{FF2B5EF4-FFF2-40B4-BE49-F238E27FC236}">
              <a16:creationId xmlns:a16="http://schemas.microsoft.com/office/drawing/2014/main" id="{FBD64DCC-0A28-463C-81C7-83C889D262F8}"/>
            </a:ext>
          </a:extLst>
        </xdr:cNvPr>
        <xdr:cNvSpPr txBox="1"/>
      </xdr:nvSpPr>
      <xdr:spPr>
        <a:xfrm>
          <a:off x="9121118" y="220682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7864E5-CAD8-4B22-A5F5-C06AFB7D5E57}" type="TxLink">
            <a:rPr lang="en-US" sz="1100" b="0" i="0" u="none" strike="noStrike">
              <a:solidFill>
                <a:schemeClr val="bg1"/>
              </a:solidFill>
              <a:latin typeface="Aptos Narrow"/>
              <a:ea typeface="+mn-ea"/>
              <a:cs typeface="+mn-cs"/>
            </a:rPr>
            <a:pPr marL="0" indent="0" algn="ctr"/>
            <a:t>43%</a:t>
          </a:fld>
          <a:endParaRPr lang="ru-RU" sz="1800" b="0" i="0" u="none" strike="noStrike">
            <a:solidFill>
              <a:schemeClr val="bg1"/>
            </a:solidFill>
            <a:latin typeface="Aptos Narrow"/>
            <a:ea typeface="+mn-ea"/>
            <a:cs typeface="+mn-cs"/>
          </a:endParaRPr>
        </a:p>
      </xdr:txBody>
    </xdr:sp>
    <xdr:clientData/>
  </xdr:twoCellAnchor>
  <xdr:twoCellAnchor>
    <xdr:from>
      <xdr:col>14</xdr:col>
      <xdr:colOff>586718</xdr:colOff>
      <xdr:row>14</xdr:row>
      <xdr:rowOff>168475</xdr:rowOff>
    </xdr:from>
    <xdr:to>
      <xdr:col>16</xdr:col>
      <xdr:colOff>53318</xdr:colOff>
      <xdr:row>18</xdr:row>
      <xdr:rowOff>122755</xdr:rowOff>
    </xdr:to>
    <xdr:graphicFrame macro="">
      <xdr:nvGraphicFramePr>
        <xdr:cNvPr id="40" name="Chart 39">
          <a:extLst>
            <a:ext uri="{FF2B5EF4-FFF2-40B4-BE49-F238E27FC236}">
              <a16:creationId xmlns:a16="http://schemas.microsoft.com/office/drawing/2014/main" id="{5EA5D874-7444-4043-A8ED-691B70D00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586718</xdr:colOff>
      <xdr:row>15</xdr:row>
      <xdr:rowOff>157045</xdr:rowOff>
    </xdr:from>
    <xdr:to>
      <xdr:col>16</xdr:col>
      <xdr:colOff>68558</xdr:colOff>
      <xdr:row>17</xdr:row>
      <xdr:rowOff>118945</xdr:rowOff>
    </xdr:to>
    <xdr:sp macro="" textlink="Processing!C15">
      <xdr:nvSpPr>
        <xdr:cNvPr id="41" name="TextBox 40">
          <a:extLst>
            <a:ext uri="{FF2B5EF4-FFF2-40B4-BE49-F238E27FC236}">
              <a16:creationId xmlns:a16="http://schemas.microsoft.com/office/drawing/2014/main" id="{03C60A83-F4A8-4E97-BA52-9C32F96CC927}"/>
            </a:ext>
          </a:extLst>
        </xdr:cNvPr>
        <xdr:cNvSpPr txBox="1"/>
      </xdr:nvSpPr>
      <xdr:spPr>
        <a:xfrm>
          <a:off x="9121118" y="290024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A5132A-5551-4D94-B54D-1E5261C5DB06}" type="TxLink">
            <a:rPr lang="en-US" sz="1100" b="0" i="0" u="none" strike="noStrike">
              <a:solidFill>
                <a:schemeClr val="bg1"/>
              </a:solidFill>
              <a:latin typeface="Aptos Narrow"/>
              <a:ea typeface="+mn-ea"/>
              <a:cs typeface="+mn-cs"/>
            </a:rPr>
            <a:pPr marL="0" indent="0" algn="ctr"/>
            <a:t>52%</a:t>
          </a:fld>
          <a:endParaRPr lang="ru-RU" sz="1800" b="0" i="0" u="none" strike="noStrike">
            <a:solidFill>
              <a:schemeClr val="bg1"/>
            </a:solidFill>
            <a:latin typeface="Aptos Narrow"/>
            <a:ea typeface="+mn-ea"/>
            <a:cs typeface="+mn-cs"/>
          </a:endParaRPr>
        </a:p>
      </xdr:txBody>
    </xdr:sp>
    <xdr:clientData/>
  </xdr:twoCellAnchor>
  <xdr:twoCellAnchor>
    <xdr:from>
      <xdr:col>12</xdr:col>
      <xdr:colOff>388620</xdr:colOff>
      <xdr:row>21</xdr:row>
      <xdr:rowOff>96085</xdr:rowOff>
    </xdr:from>
    <xdr:to>
      <xdr:col>14</xdr:col>
      <xdr:colOff>304778</xdr:colOff>
      <xdr:row>23</xdr:row>
      <xdr:rowOff>57985</xdr:rowOff>
    </xdr:to>
    <xdr:sp macro="" textlink="Processing!B32">
      <xdr:nvSpPr>
        <xdr:cNvPr id="42" name="TextBox 41">
          <a:extLst>
            <a:ext uri="{FF2B5EF4-FFF2-40B4-BE49-F238E27FC236}">
              <a16:creationId xmlns:a16="http://schemas.microsoft.com/office/drawing/2014/main" id="{65E3D9F5-AAA1-444B-AF94-2AF37A024841}"/>
            </a:ext>
          </a:extLst>
        </xdr:cNvPr>
        <xdr:cNvSpPr txBox="1"/>
      </xdr:nvSpPr>
      <xdr:spPr>
        <a:xfrm>
          <a:off x="770382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E21EC3CC-CA95-428B-98B7-4DE0DF5CF094}" type="TxLink">
            <a:rPr lang="en-US" sz="1400" b="0" i="0" u="none" strike="noStrike">
              <a:gradFill>
                <a:gsLst>
                  <a:gs pos="33000">
                    <a:srgbClr val="00C6D1"/>
                  </a:gs>
                  <a:gs pos="100000">
                    <a:srgbClr val="F2ECFF"/>
                  </a:gs>
                </a:gsLst>
                <a:lin ang="5400000" scaled="1"/>
              </a:gradFill>
              <a:latin typeface="Aptos Narrow"/>
              <a:ea typeface="+mn-ea"/>
              <a:cs typeface="+mn-cs"/>
            </a:rPr>
            <a:pPr marL="0" indent="0" algn="r"/>
            <a:t> $37,835 </a:t>
          </a:fld>
          <a:endParaRPr lang="ru-RU" sz="1400" b="0" i="0" u="none" strike="noStrike">
            <a:gradFill>
              <a:gsLst>
                <a:gs pos="33000">
                  <a:srgbClr val="00C6D1"/>
                </a:gs>
                <a:gs pos="100000">
                  <a:srgbClr val="F2ECFF"/>
                </a:gs>
              </a:gsLst>
              <a:lin ang="5400000" scaled="1"/>
            </a:gradFill>
            <a:latin typeface="Aptos Narrow"/>
            <a:ea typeface="+mn-ea"/>
            <a:cs typeface="+mn-cs"/>
          </a:endParaRPr>
        </a:p>
      </xdr:txBody>
    </xdr:sp>
    <xdr:clientData/>
  </xdr:twoCellAnchor>
  <xdr:twoCellAnchor>
    <xdr:from>
      <xdr:col>14</xdr:col>
      <xdr:colOff>304800</xdr:colOff>
      <xdr:row>21</xdr:row>
      <xdr:rowOff>96085</xdr:rowOff>
    </xdr:from>
    <xdr:to>
      <xdr:col>16</xdr:col>
      <xdr:colOff>220958</xdr:colOff>
      <xdr:row>23</xdr:row>
      <xdr:rowOff>57985</xdr:rowOff>
    </xdr:to>
    <xdr:sp macro="" textlink="Processing!C32">
      <xdr:nvSpPr>
        <xdr:cNvPr id="43" name="TextBox 42">
          <a:extLst>
            <a:ext uri="{FF2B5EF4-FFF2-40B4-BE49-F238E27FC236}">
              <a16:creationId xmlns:a16="http://schemas.microsoft.com/office/drawing/2014/main" id="{312986D8-E4B0-48C0-94D4-EEDF389CD0BB}"/>
            </a:ext>
          </a:extLst>
        </xdr:cNvPr>
        <xdr:cNvSpPr txBox="1"/>
      </xdr:nvSpPr>
      <xdr:spPr>
        <a:xfrm>
          <a:off x="883920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B887651-16A7-4B6B-95E2-0C9BA58C3F07}" type="TxLink">
            <a:rPr lang="en-US" sz="1400" b="0" i="0" u="none" strike="noStrike">
              <a:gradFill>
                <a:gsLst>
                  <a:gs pos="0">
                    <a:srgbClr val="F17EEC"/>
                  </a:gs>
                  <a:gs pos="100000">
                    <a:srgbClr val="EE0078"/>
                  </a:gs>
                </a:gsLst>
                <a:lin ang="5400000" scaled="0"/>
              </a:gradFill>
              <a:latin typeface="Aptos Narrow"/>
              <a:ea typeface="+mn-ea"/>
              <a:cs typeface="+mn-cs"/>
            </a:rPr>
            <a:pPr marL="0" indent="0" algn="l"/>
            <a:t> $26,660 </a:t>
          </a:fld>
          <a:endParaRPr lang="ru-RU" sz="1400" b="0" i="0" u="none" strike="noStrike">
            <a:gradFill>
              <a:gsLst>
                <a:gs pos="0">
                  <a:srgbClr val="F17EEC"/>
                </a:gs>
                <a:gs pos="100000">
                  <a:srgbClr val="EE0078"/>
                </a:gs>
              </a:gsLst>
              <a:lin ang="5400000" scaled="0"/>
            </a:gradFill>
            <a:latin typeface="Aptos Narrow"/>
            <a:ea typeface="+mn-ea"/>
            <a:cs typeface="+mn-cs"/>
          </a:endParaRPr>
        </a:p>
      </xdr:txBody>
    </xdr:sp>
    <xdr:clientData/>
  </xdr:twoCellAnchor>
  <xdr:twoCellAnchor>
    <xdr:from>
      <xdr:col>18</xdr:col>
      <xdr:colOff>236220</xdr:colOff>
      <xdr:row>22</xdr:row>
      <xdr:rowOff>83820</xdr:rowOff>
    </xdr:from>
    <xdr:to>
      <xdr:col>19</xdr:col>
      <xdr:colOff>403860</xdr:colOff>
      <xdr:row>24</xdr:row>
      <xdr:rowOff>45720</xdr:rowOff>
    </xdr:to>
    <xdr:sp macro="" textlink="Processing!K7">
      <xdr:nvSpPr>
        <xdr:cNvPr id="44" name="TextBox 43">
          <a:extLst>
            <a:ext uri="{FF2B5EF4-FFF2-40B4-BE49-F238E27FC236}">
              <a16:creationId xmlns:a16="http://schemas.microsoft.com/office/drawing/2014/main" id="{FBC357CB-320D-4E54-A878-D3483227C6FD}"/>
            </a:ext>
          </a:extLst>
        </xdr:cNvPr>
        <xdr:cNvSpPr txBox="1"/>
      </xdr:nvSpPr>
      <xdr:spPr>
        <a:xfrm>
          <a:off x="11209020" y="4107180"/>
          <a:ext cx="7772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95F57CC-C864-4243-8643-2B753CFD8A66}" type="TxLink">
            <a:rPr lang="en-US" sz="1400" b="0" i="0" u="none" strike="noStrike">
              <a:solidFill>
                <a:schemeClr val="bg1"/>
              </a:solidFill>
              <a:latin typeface="Aptos Narrow"/>
              <a:ea typeface="+mn-ea"/>
              <a:cs typeface="+mn-cs"/>
            </a:rPr>
            <a:pPr marL="0" indent="0" algn="r"/>
            <a:t> 15 366</a:t>
          </a:fld>
          <a:endParaRPr lang="ru-RU" sz="3200" b="0" i="0" u="none" strike="noStrike">
            <a:solidFill>
              <a:schemeClr val="bg1"/>
            </a:solidFill>
            <a:latin typeface="Aptos Narrow"/>
            <a:ea typeface="+mn-ea"/>
            <a:cs typeface="+mn-cs"/>
          </a:endParaRPr>
        </a:p>
      </xdr:txBody>
    </xdr:sp>
    <xdr:clientData/>
  </xdr:twoCellAnchor>
  <xdr:twoCellAnchor editAs="oneCell">
    <xdr:from>
      <xdr:col>2</xdr:col>
      <xdr:colOff>304800</xdr:colOff>
      <xdr:row>30</xdr:row>
      <xdr:rowOff>91440</xdr:rowOff>
    </xdr:from>
    <xdr:to>
      <xdr:col>11</xdr:col>
      <xdr:colOff>396240</xdr:colOff>
      <xdr:row>32</xdr:row>
      <xdr:rowOff>155448</xdr:rowOff>
    </xdr:to>
    <mc:AlternateContent xmlns:mc="http://schemas.openxmlformats.org/markup-compatibility/2006" xmlns:a14="http://schemas.microsoft.com/office/drawing/2010/main">
      <mc:Choice Requires="a14">
        <xdr:graphicFrame macro="">
          <xdr:nvGraphicFramePr>
            <xdr:cNvPr id="46" name="Month 2">
              <a:extLst>
                <a:ext uri="{FF2B5EF4-FFF2-40B4-BE49-F238E27FC236}">
                  <a16:creationId xmlns:a16="http://schemas.microsoft.com/office/drawing/2014/main" id="{91C7FFA1-9A05-450C-A274-D883B9C491DF}"/>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524000" y="5577840"/>
              <a:ext cx="55778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198120</xdr:colOff>
      <xdr:row>13</xdr:row>
      <xdr:rowOff>38100</xdr:rowOff>
    </xdr:from>
    <xdr:to>
      <xdr:col>10</xdr:col>
      <xdr:colOff>502920</xdr:colOff>
      <xdr:row>28</xdr:row>
      <xdr:rowOff>38100</xdr:rowOff>
    </xdr:to>
    <xdr:graphicFrame macro="">
      <xdr:nvGraphicFramePr>
        <xdr:cNvPr id="47" name="Chart 46">
          <a:extLst>
            <a:ext uri="{FF2B5EF4-FFF2-40B4-BE49-F238E27FC236}">
              <a16:creationId xmlns:a16="http://schemas.microsoft.com/office/drawing/2014/main" id="{AB104A2E-2322-4185-8B86-59726F7FF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266700</xdr:colOff>
      <xdr:row>27</xdr:row>
      <xdr:rowOff>7620</xdr:rowOff>
    </xdr:from>
    <xdr:to>
      <xdr:col>10</xdr:col>
      <xdr:colOff>472440</xdr:colOff>
      <xdr:row>29</xdr:row>
      <xdr:rowOff>91439</xdr:rowOff>
    </xdr:to>
    <mc:AlternateContent xmlns:mc="http://schemas.openxmlformats.org/markup-compatibility/2006" xmlns:a14="http://schemas.microsoft.com/office/drawing/2010/main">
      <mc:Choice Requires="a14">
        <xdr:graphicFrame macro="">
          <xdr:nvGraphicFramePr>
            <xdr:cNvPr id="48" name="Week Day">
              <a:extLst>
                <a:ext uri="{FF2B5EF4-FFF2-40B4-BE49-F238E27FC236}">
                  <a16:creationId xmlns:a16="http://schemas.microsoft.com/office/drawing/2014/main" id="{793C028E-1DA4-437F-8380-1D2304DF8750}"/>
                </a:ext>
              </a:extLst>
            </xdr:cNvPr>
            <xdr:cNvGraphicFramePr/>
          </xdr:nvGraphicFramePr>
          <xdr:xfrm>
            <a:off x="0" y="0"/>
            <a:ext cx="0" cy="0"/>
          </xdr:xfrm>
          <a:graphic>
            <a:graphicData uri="http://schemas.microsoft.com/office/drawing/2010/slicer">
              <sle:slicer xmlns:sle="http://schemas.microsoft.com/office/drawing/2010/slicer" name="Week Day"/>
            </a:graphicData>
          </a:graphic>
        </xdr:graphicFrame>
      </mc:Choice>
      <mc:Fallback xmlns="">
        <xdr:sp macro="" textlink="">
          <xdr:nvSpPr>
            <xdr:cNvPr id="0" name=""/>
            <xdr:cNvSpPr>
              <a:spLocks noTextEdit="1"/>
            </xdr:cNvSpPr>
          </xdr:nvSpPr>
          <xdr:spPr>
            <a:xfrm>
              <a:off x="2095500" y="4945380"/>
              <a:ext cx="4472940" cy="44957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297180</xdr:colOff>
      <xdr:row>8</xdr:row>
      <xdr:rowOff>106680</xdr:rowOff>
    </xdr:from>
    <xdr:to>
      <xdr:col>16</xdr:col>
      <xdr:colOff>335280</xdr:colOff>
      <xdr:row>18</xdr:row>
      <xdr:rowOff>106680</xdr:rowOff>
    </xdr:to>
    <xdr:sp macro="" textlink="">
      <xdr:nvSpPr>
        <xdr:cNvPr id="24" name="Rectangle: Rounded Corners 23">
          <a:hlinkClick xmlns:r="http://schemas.openxmlformats.org/officeDocument/2006/relationships" r:id="rId9"/>
          <a:extLst>
            <a:ext uri="{FF2B5EF4-FFF2-40B4-BE49-F238E27FC236}">
              <a16:creationId xmlns:a16="http://schemas.microsoft.com/office/drawing/2014/main" id="{616D810E-E0A1-4D06-BD53-A31CC977F8F7}"/>
            </a:ext>
          </a:extLst>
        </xdr:cNvPr>
        <xdr:cNvSpPr/>
      </xdr:nvSpPr>
      <xdr:spPr>
        <a:xfrm>
          <a:off x="7612380" y="1569720"/>
          <a:ext cx="247650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297180</xdr:colOff>
      <xdr:row>20</xdr:row>
      <xdr:rowOff>7620</xdr:rowOff>
    </xdr:from>
    <xdr:to>
      <xdr:col>16</xdr:col>
      <xdr:colOff>335280</xdr:colOff>
      <xdr:row>32</xdr:row>
      <xdr:rowOff>144780</xdr:rowOff>
    </xdr:to>
    <xdr:sp macro="" textlink="">
      <xdr:nvSpPr>
        <xdr:cNvPr id="25" name="Rectangle: Rounded Corners 24">
          <a:hlinkClick xmlns:r="http://schemas.openxmlformats.org/officeDocument/2006/relationships" r:id="rId10"/>
          <a:extLst>
            <a:ext uri="{FF2B5EF4-FFF2-40B4-BE49-F238E27FC236}">
              <a16:creationId xmlns:a16="http://schemas.microsoft.com/office/drawing/2014/main" id="{DD022083-5676-449B-83C7-5D8DC87FEC50}"/>
            </a:ext>
          </a:extLst>
        </xdr:cNvPr>
        <xdr:cNvSpPr/>
      </xdr:nvSpPr>
      <xdr:spPr>
        <a:xfrm>
          <a:off x="7612380" y="3665220"/>
          <a:ext cx="2476500" cy="2331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533400</xdr:colOff>
      <xdr:row>8</xdr:row>
      <xdr:rowOff>106680</xdr:rowOff>
    </xdr:from>
    <xdr:to>
      <xdr:col>22</xdr:col>
      <xdr:colOff>45720</xdr:colOff>
      <xdr:row>21</xdr:row>
      <xdr:rowOff>76200</xdr:rowOff>
    </xdr:to>
    <xdr:sp macro="" textlink="">
      <xdr:nvSpPr>
        <xdr:cNvPr id="26" name="Rectangle: Rounded Corners 25">
          <a:hlinkClick xmlns:r="http://schemas.openxmlformats.org/officeDocument/2006/relationships" r:id="rId11"/>
          <a:extLst>
            <a:ext uri="{FF2B5EF4-FFF2-40B4-BE49-F238E27FC236}">
              <a16:creationId xmlns:a16="http://schemas.microsoft.com/office/drawing/2014/main" id="{A95C70DC-EFD7-4256-BF3E-43254AF826C7}"/>
            </a:ext>
          </a:extLst>
        </xdr:cNvPr>
        <xdr:cNvSpPr/>
      </xdr:nvSpPr>
      <xdr:spPr>
        <a:xfrm>
          <a:off x="10287000" y="1569720"/>
          <a:ext cx="3169920" cy="23469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510540</xdr:colOff>
      <xdr:row>22</xdr:row>
      <xdr:rowOff>22860</xdr:rowOff>
    </xdr:from>
    <xdr:to>
      <xdr:col>19</xdr:col>
      <xdr:colOff>533400</xdr:colOff>
      <xdr:row>32</xdr:row>
      <xdr:rowOff>144780</xdr:rowOff>
    </xdr:to>
    <xdr:sp macro="" textlink="">
      <xdr:nvSpPr>
        <xdr:cNvPr id="27" name="Rectangle: Rounded Corners 26">
          <a:hlinkClick xmlns:r="http://schemas.openxmlformats.org/officeDocument/2006/relationships" r:id="rId12"/>
          <a:extLst>
            <a:ext uri="{FF2B5EF4-FFF2-40B4-BE49-F238E27FC236}">
              <a16:creationId xmlns:a16="http://schemas.microsoft.com/office/drawing/2014/main" id="{9A5A2F4B-198C-459A-B830-2D9ECEF9CCD9}"/>
            </a:ext>
          </a:extLst>
        </xdr:cNvPr>
        <xdr:cNvSpPr/>
      </xdr:nvSpPr>
      <xdr:spPr>
        <a:xfrm>
          <a:off x="10264140" y="4046220"/>
          <a:ext cx="1851660" cy="1950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45720</xdr:colOff>
      <xdr:row>22</xdr:row>
      <xdr:rowOff>22860</xdr:rowOff>
    </xdr:from>
    <xdr:to>
      <xdr:col>22</xdr:col>
      <xdr:colOff>91440</xdr:colOff>
      <xdr:row>32</xdr:row>
      <xdr:rowOff>144780</xdr:rowOff>
    </xdr:to>
    <xdr:sp macro="" textlink="">
      <xdr:nvSpPr>
        <xdr:cNvPr id="31" name="Rectangle: Rounded Corners 30">
          <a:hlinkClick xmlns:r="http://schemas.openxmlformats.org/officeDocument/2006/relationships" r:id="rId13"/>
          <a:extLst>
            <a:ext uri="{FF2B5EF4-FFF2-40B4-BE49-F238E27FC236}">
              <a16:creationId xmlns:a16="http://schemas.microsoft.com/office/drawing/2014/main" id="{3974E151-085A-41D6-A51F-42F69E390D29}"/>
            </a:ext>
          </a:extLst>
        </xdr:cNvPr>
        <xdr:cNvSpPr/>
      </xdr:nvSpPr>
      <xdr:spPr>
        <a:xfrm>
          <a:off x="12237720" y="4046220"/>
          <a:ext cx="1264920" cy="1950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0</xdr:col>
      <xdr:colOff>0</xdr:colOff>
      <xdr:row>0</xdr:row>
      <xdr:rowOff>0</xdr:rowOff>
    </xdr:from>
    <xdr:to>
      <xdr:col>0</xdr:col>
      <xdr:colOff>274320</xdr:colOff>
      <xdr:row>1</xdr:row>
      <xdr:rowOff>91440</xdr:rowOff>
    </xdr:to>
    <xdr:pic>
      <xdr:nvPicPr>
        <xdr:cNvPr id="45" name="Graphic 44" descr="Sun with solid fill">
          <a:hlinkClick xmlns:r="http://schemas.openxmlformats.org/officeDocument/2006/relationships" r:id="rId14"/>
          <a:extLst>
            <a:ext uri="{FF2B5EF4-FFF2-40B4-BE49-F238E27FC236}">
              <a16:creationId xmlns:a16="http://schemas.microsoft.com/office/drawing/2014/main" id="{E9E36319-CB90-4A00-A9AA-A1E6DA55B19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0" y="0"/>
          <a:ext cx="274320" cy="2743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99060</xdr:colOff>
      <xdr:row>1</xdr:row>
      <xdr:rowOff>99060</xdr:rowOff>
    </xdr:to>
    <xdr:sp macro="" textlink="">
      <xdr:nvSpPr>
        <xdr:cNvPr id="15" name="Rectangle 14">
          <a:extLst>
            <a:ext uri="{FF2B5EF4-FFF2-40B4-BE49-F238E27FC236}">
              <a16:creationId xmlns:a16="http://schemas.microsoft.com/office/drawing/2014/main" id="{0FE8C26B-8DF9-460E-B048-4C453C746AD0}"/>
            </a:ext>
          </a:extLst>
        </xdr:cNvPr>
        <xdr:cNvSpPr/>
      </xdr:nvSpPr>
      <xdr:spPr>
        <a:xfrm>
          <a:off x="0" y="0"/>
          <a:ext cx="708660" cy="2819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205740</xdr:colOff>
      <xdr:row>3</xdr:row>
      <xdr:rowOff>91440</xdr:rowOff>
    </xdr:from>
    <xdr:to>
      <xdr:col>22</xdr:col>
      <xdr:colOff>419100</xdr:colOff>
      <xdr:row>35</xdr:row>
      <xdr:rowOff>7034</xdr:rowOff>
    </xdr:to>
    <xdr:grpSp>
      <xdr:nvGrpSpPr>
        <xdr:cNvPr id="43" name="Group 42">
          <a:extLst>
            <a:ext uri="{FF2B5EF4-FFF2-40B4-BE49-F238E27FC236}">
              <a16:creationId xmlns:a16="http://schemas.microsoft.com/office/drawing/2014/main" id="{9645BCA3-306D-4BAD-B3FD-176AFE370D7E}"/>
            </a:ext>
          </a:extLst>
        </xdr:cNvPr>
        <xdr:cNvGrpSpPr/>
      </xdr:nvGrpSpPr>
      <xdr:grpSpPr>
        <a:xfrm>
          <a:off x="815340" y="662940"/>
          <a:ext cx="13014960" cy="6011594"/>
          <a:chOff x="2438400" y="7132320"/>
          <a:chExt cx="13014960" cy="5767754"/>
        </a:xfrm>
      </xdr:grpSpPr>
      <xdr:sp macro="" textlink="">
        <xdr:nvSpPr>
          <xdr:cNvPr id="44" name="Rectangle: Rounded Corners 43">
            <a:extLst>
              <a:ext uri="{FF2B5EF4-FFF2-40B4-BE49-F238E27FC236}">
                <a16:creationId xmlns:a16="http://schemas.microsoft.com/office/drawing/2014/main" id="{D9A56C3E-8D5D-9206-060E-47A500A21338}"/>
              </a:ext>
            </a:extLst>
          </xdr:cNvPr>
          <xdr:cNvSpPr/>
        </xdr:nvSpPr>
        <xdr:spPr>
          <a:xfrm>
            <a:off x="2438400" y="7132320"/>
            <a:ext cx="13014960" cy="5767754"/>
          </a:xfrm>
          <a:prstGeom prst="roundRect">
            <a:avLst>
              <a:gd name="adj" fmla="val 10643"/>
            </a:avLst>
          </a:prstGeom>
          <a:solidFill>
            <a:schemeClr val="bg1"/>
          </a:solidFill>
          <a:ln>
            <a:noFill/>
          </a:ln>
          <a:effectLst>
            <a:outerShdw blurRad="381000" dist="127000" dir="4200000" algn="tl" rotWithShape="0">
              <a:srgbClr val="006FF6">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5" name="Rectangle: Rounded Corners 44">
            <a:extLst>
              <a:ext uri="{FF2B5EF4-FFF2-40B4-BE49-F238E27FC236}">
                <a16:creationId xmlns:a16="http://schemas.microsoft.com/office/drawing/2014/main" id="{5A4C4787-2205-39F9-0240-46E164F3D53F}"/>
              </a:ext>
            </a:extLst>
          </xdr:cNvPr>
          <xdr:cNvSpPr/>
        </xdr:nvSpPr>
        <xdr:spPr>
          <a:xfrm>
            <a:off x="2438400" y="7132320"/>
            <a:ext cx="13014960" cy="5767754"/>
          </a:xfrm>
          <a:prstGeom prst="roundRect">
            <a:avLst>
              <a:gd name="adj" fmla="val 10643"/>
            </a:avLst>
          </a:prstGeom>
          <a:solidFill>
            <a:schemeClr val="bg1"/>
          </a:solidFill>
          <a:ln>
            <a:noFill/>
          </a:ln>
          <a:effectLst>
            <a:outerShdw blurRad="584200" dist="254000" dir="8100000" algn="tr" rotWithShape="0">
              <a:srgbClr val="B814B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510540</xdr:colOff>
      <xdr:row>8</xdr:row>
      <xdr:rowOff>102287</xdr:rowOff>
    </xdr:from>
    <xdr:to>
      <xdr:col>22</xdr:col>
      <xdr:colOff>48508</xdr:colOff>
      <xdr:row>21</xdr:row>
      <xdr:rowOff>10847</xdr:rowOff>
    </xdr:to>
    <xdr:sp macro="" textlink="">
      <xdr:nvSpPr>
        <xdr:cNvPr id="7" name="Rectangle: Rounded Corners 6">
          <a:extLst>
            <a:ext uri="{FF2B5EF4-FFF2-40B4-BE49-F238E27FC236}">
              <a16:creationId xmlns:a16="http://schemas.microsoft.com/office/drawing/2014/main" id="{33A28777-4A5D-43AF-8458-25581216306C}"/>
            </a:ext>
          </a:extLst>
        </xdr:cNvPr>
        <xdr:cNvSpPr/>
      </xdr:nvSpPr>
      <xdr:spPr>
        <a:xfrm>
          <a:off x="10264140" y="1565327"/>
          <a:ext cx="3195568" cy="2286000"/>
        </a:xfrm>
        <a:prstGeom prst="roundRect">
          <a:avLst>
            <a:gd name="adj" fmla="val 12222"/>
          </a:avLst>
        </a:prstGeom>
        <a:solidFill>
          <a:schemeClr val="bg1"/>
        </a:solidFill>
        <a:ln w="9525">
          <a:no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200" b="0" i="0" u="none" strike="noStrike" kern="1200">
            <a:solidFill>
              <a:srgbClr val="A2ADBE"/>
            </a:solidFill>
            <a:latin typeface="Aptos Narrow"/>
            <a:ea typeface="+mn-ea"/>
            <a:cs typeface="+mn-cs"/>
          </a:endParaRPr>
        </a:p>
      </xdr:txBody>
    </xdr:sp>
    <xdr:clientData/>
  </xdr:twoCellAnchor>
  <xdr:twoCellAnchor>
    <xdr:from>
      <xdr:col>20</xdr:col>
      <xdr:colOff>78988</xdr:colOff>
      <xdr:row>22</xdr:row>
      <xdr:rowOff>24777</xdr:rowOff>
    </xdr:from>
    <xdr:to>
      <xdr:col>22</xdr:col>
      <xdr:colOff>48508</xdr:colOff>
      <xdr:row>32</xdr:row>
      <xdr:rowOff>70497</xdr:rowOff>
    </xdr:to>
    <xdr:sp macro="" textlink="Processing!L10">
      <xdr:nvSpPr>
        <xdr:cNvPr id="8" name="Rectangle: Rounded Corners 7">
          <a:extLst>
            <a:ext uri="{FF2B5EF4-FFF2-40B4-BE49-F238E27FC236}">
              <a16:creationId xmlns:a16="http://schemas.microsoft.com/office/drawing/2014/main" id="{7C672F09-6C3B-466A-89F2-1E018055FA98}"/>
            </a:ext>
          </a:extLst>
        </xdr:cNvPr>
        <xdr:cNvSpPr/>
      </xdr:nvSpPr>
      <xdr:spPr>
        <a:xfrm>
          <a:off x="12270988" y="4048137"/>
          <a:ext cx="1188720" cy="1874520"/>
        </a:xfrm>
        <a:prstGeom prst="roundRect">
          <a:avLst>
            <a:gd name="adj" fmla="val 16940"/>
          </a:avLst>
        </a:prstGeom>
        <a:solidFill>
          <a:schemeClr val="bg1"/>
        </a:solidFill>
        <a:ln w="9525">
          <a:no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B141ACD5-C6B6-41AA-B709-DAF022D00E18}" type="TxLink">
            <a:rPr lang="en-US" sz="1200" b="0" i="0" u="none" strike="noStrike" kern="1200">
              <a:solidFill>
                <a:srgbClr val="A2ADBE"/>
              </a:solidFill>
              <a:latin typeface="Aptos Narrow"/>
              <a:ea typeface="+mn-ea"/>
              <a:cs typeface="+mn-cs"/>
            </a:rPr>
            <a:pPr marL="0" indent="0" algn="ctr" defTabSz="914400" rtl="0" eaLnBrk="1" latinLnBrk="0" hangingPunct="1"/>
            <a:t>Top-5 Products</a:t>
          </a:fld>
          <a:endParaRPr lang="ru-RU" sz="1200" b="0" i="0" u="none" strike="noStrike" kern="1200">
            <a:solidFill>
              <a:srgbClr val="A2ADBE"/>
            </a:solidFill>
            <a:latin typeface="Aptos Narrow"/>
            <a:ea typeface="+mn-ea"/>
            <a:cs typeface="+mn-cs"/>
          </a:endParaRPr>
        </a:p>
      </xdr:txBody>
    </xdr:sp>
    <xdr:clientData/>
  </xdr:twoCellAnchor>
  <xdr:twoCellAnchor>
    <xdr:from>
      <xdr:col>16</xdr:col>
      <xdr:colOff>510540</xdr:colOff>
      <xdr:row>22</xdr:row>
      <xdr:rowOff>24777</xdr:rowOff>
    </xdr:from>
    <xdr:to>
      <xdr:col>19</xdr:col>
      <xdr:colOff>510540</xdr:colOff>
      <xdr:row>32</xdr:row>
      <xdr:rowOff>70497</xdr:rowOff>
    </xdr:to>
    <xdr:sp macro="" textlink="Processing!J1">
      <xdr:nvSpPr>
        <xdr:cNvPr id="9" name="Rectangle: Rounded Corners 8">
          <a:extLst>
            <a:ext uri="{FF2B5EF4-FFF2-40B4-BE49-F238E27FC236}">
              <a16:creationId xmlns:a16="http://schemas.microsoft.com/office/drawing/2014/main" id="{C40242CD-0687-46DB-BE56-213B98DB9DC7}"/>
            </a:ext>
          </a:extLst>
        </xdr:cNvPr>
        <xdr:cNvSpPr/>
      </xdr:nvSpPr>
      <xdr:spPr>
        <a:xfrm>
          <a:off x="10264140" y="4048137"/>
          <a:ext cx="1828800" cy="1874520"/>
        </a:xfrm>
        <a:prstGeom prst="roundRect">
          <a:avLst>
            <a:gd name="adj" fmla="val 15658"/>
          </a:avLst>
        </a:prstGeom>
        <a:solidFill>
          <a:schemeClr val="bg1"/>
        </a:solidFill>
        <a:ln w="9525">
          <a:solidFill>
            <a:srgbClr val="00C6D1"/>
          </a:solid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891643E-D31A-43FE-B4F0-A61FA518E279}" type="TxLink">
            <a:rPr lang="en-US" sz="1200" b="0" i="0" u="none" strike="noStrike" kern="1200">
              <a:solidFill>
                <a:schemeClr val="tx1"/>
              </a:solidFill>
              <a:latin typeface="Aptos Narrow"/>
              <a:ea typeface="+mn-ea"/>
              <a:cs typeface="+mn-cs"/>
            </a:rPr>
            <a:pPr marL="0" indent="0" algn="l" defTabSz="914400" rtl="0" eaLnBrk="1" latinLnBrk="0" hangingPunct="1"/>
            <a:t>Sales Closed</a:t>
          </a:fld>
          <a:endParaRPr lang="ru-RU" sz="1200" b="0" i="0" u="none" strike="noStrike" kern="1200">
            <a:solidFill>
              <a:schemeClr val="tx1"/>
            </a:solidFill>
            <a:latin typeface="Aptos Narrow"/>
            <a:ea typeface="+mn-ea"/>
            <a:cs typeface="+mn-cs"/>
          </a:endParaRPr>
        </a:p>
      </xdr:txBody>
    </xdr:sp>
    <xdr:clientData/>
  </xdr:twoCellAnchor>
  <xdr:twoCellAnchor>
    <xdr:from>
      <xdr:col>12</xdr:col>
      <xdr:colOff>289560</xdr:colOff>
      <xdr:row>19</xdr:row>
      <xdr:rowOff>143699</xdr:rowOff>
    </xdr:from>
    <xdr:to>
      <xdr:col>16</xdr:col>
      <xdr:colOff>320040</xdr:colOff>
      <xdr:row>32</xdr:row>
      <xdr:rowOff>70497</xdr:rowOff>
    </xdr:to>
    <xdr:sp macro="" textlink="Processing!A19">
      <xdr:nvSpPr>
        <xdr:cNvPr id="10" name="Rectangle: Rounded Corners 9">
          <a:extLst>
            <a:ext uri="{FF2B5EF4-FFF2-40B4-BE49-F238E27FC236}">
              <a16:creationId xmlns:a16="http://schemas.microsoft.com/office/drawing/2014/main" id="{0D3961E6-0CE5-4682-8113-2F1DC806F3DF}"/>
            </a:ext>
          </a:extLst>
        </xdr:cNvPr>
        <xdr:cNvSpPr/>
      </xdr:nvSpPr>
      <xdr:spPr>
        <a:xfrm>
          <a:off x="7604760" y="3618419"/>
          <a:ext cx="2468880" cy="2304238"/>
        </a:xfrm>
        <a:prstGeom prst="roundRect">
          <a:avLst>
            <a:gd name="adj" fmla="val 10585"/>
          </a:avLst>
        </a:prstGeom>
        <a:solidFill>
          <a:schemeClr val="bg1"/>
        </a:solidFill>
        <a:ln w="9525">
          <a:no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1C44FD38-D300-4C1F-906B-FAB458F04708}" type="TxLink">
            <a:rPr lang="en-US" sz="1200" b="0" i="0" u="none" strike="noStrike" kern="1200">
              <a:solidFill>
                <a:srgbClr val="A2ADBE"/>
              </a:solidFill>
              <a:latin typeface="Aptos Narrow"/>
              <a:ea typeface="+mn-ea"/>
              <a:cs typeface="+mn-cs"/>
            </a:rPr>
            <a:pPr marL="0" indent="0" algn="ctr" defTabSz="914400" rtl="0" eaLnBrk="1" latinLnBrk="0" hangingPunct="1"/>
            <a:t>Revenue vs Expenses</a:t>
          </a:fld>
          <a:endParaRPr lang="ru-RU" sz="1200" b="0" i="0" u="none" strike="noStrike" kern="1200">
            <a:solidFill>
              <a:srgbClr val="A2ADBE"/>
            </a:solidFill>
            <a:latin typeface="Aptos Narrow"/>
            <a:ea typeface="+mn-ea"/>
            <a:cs typeface="+mn-cs"/>
          </a:endParaRPr>
        </a:p>
      </xdr:txBody>
    </xdr:sp>
    <xdr:clientData/>
  </xdr:twoCellAnchor>
  <xdr:twoCellAnchor>
    <xdr:from>
      <xdr:col>12</xdr:col>
      <xdr:colOff>289560</xdr:colOff>
      <xdr:row>8</xdr:row>
      <xdr:rowOff>99060</xdr:rowOff>
    </xdr:from>
    <xdr:to>
      <xdr:col>16</xdr:col>
      <xdr:colOff>320040</xdr:colOff>
      <xdr:row>18</xdr:row>
      <xdr:rowOff>144780</xdr:rowOff>
    </xdr:to>
    <xdr:sp macro="" textlink="Processing!A1">
      <xdr:nvSpPr>
        <xdr:cNvPr id="11" name="Rectangle: Rounded Corners 10">
          <a:extLst>
            <a:ext uri="{FF2B5EF4-FFF2-40B4-BE49-F238E27FC236}">
              <a16:creationId xmlns:a16="http://schemas.microsoft.com/office/drawing/2014/main" id="{37ACBF2D-0B2A-4554-9547-2557FCBBA9B4}"/>
            </a:ext>
          </a:extLst>
        </xdr:cNvPr>
        <xdr:cNvSpPr/>
      </xdr:nvSpPr>
      <xdr:spPr>
        <a:xfrm>
          <a:off x="7604760" y="1562100"/>
          <a:ext cx="2468880" cy="1874520"/>
        </a:xfrm>
        <a:prstGeom prst="roundRect">
          <a:avLst>
            <a:gd name="adj" fmla="val 12132"/>
          </a:avLst>
        </a:prstGeom>
        <a:gradFill flip="none" rotWithShape="1">
          <a:gsLst>
            <a:gs pos="0">
              <a:srgbClr val="EE0078"/>
            </a:gs>
            <a:gs pos="73000">
              <a:srgbClr val="6459F9"/>
            </a:gs>
          </a:gsLst>
          <a:lin ang="2700000" scaled="1"/>
          <a:tileRect/>
        </a:gradFill>
        <a:ln w="12700">
          <a:solidFill>
            <a:schemeClr val="bg1"/>
          </a:solid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03020289-B635-419F-B330-AF3CCE861824}" type="TxLink">
            <a:rPr lang="en-US" sz="1200" b="0" i="0" u="none" strike="noStrike" kern="1200">
              <a:solidFill>
                <a:schemeClr val="bg1"/>
              </a:solidFill>
              <a:latin typeface="Aptos Narrow"/>
              <a:ea typeface="+mn-ea"/>
              <a:cs typeface="+mn-cs"/>
            </a:rPr>
            <a:pPr marL="0" indent="0" algn="ctr" defTabSz="914400" rtl="0" eaLnBrk="1" latinLnBrk="0" hangingPunct="1"/>
            <a:t>Investments vs Sales Volume</a:t>
          </a:fld>
          <a:endParaRPr lang="ru-RU" sz="1200" b="0" i="0" u="none" strike="noStrike" kern="1200">
            <a:solidFill>
              <a:schemeClr val="bg1"/>
            </a:solidFill>
            <a:latin typeface="Aptos Narrow"/>
            <a:ea typeface="+mn-ea"/>
            <a:cs typeface="+mn-cs"/>
          </a:endParaRPr>
        </a:p>
      </xdr:txBody>
    </xdr:sp>
    <xdr:clientData/>
  </xdr:twoCellAnchor>
  <xdr:twoCellAnchor>
    <xdr:from>
      <xdr:col>20</xdr:col>
      <xdr:colOff>76205</xdr:colOff>
      <xdr:row>24</xdr:row>
      <xdr:rowOff>137379</xdr:rowOff>
    </xdr:from>
    <xdr:to>
      <xdr:col>22</xdr:col>
      <xdr:colOff>60956</xdr:colOff>
      <xdr:row>31</xdr:row>
      <xdr:rowOff>136942</xdr:rowOff>
    </xdr:to>
    <xdr:graphicFrame macro="">
      <xdr:nvGraphicFramePr>
        <xdr:cNvPr id="13" name="Chart 12">
          <a:extLst>
            <a:ext uri="{FF2B5EF4-FFF2-40B4-BE49-F238E27FC236}">
              <a16:creationId xmlns:a16="http://schemas.microsoft.com/office/drawing/2014/main" id="{7917FC91-DD47-4A1D-AFB3-C7F19B846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30677</xdr:colOff>
      <xdr:row>24</xdr:row>
      <xdr:rowOff>154137</xdr:rowOff>
    </xdr:from>
    <xdr:to>
      <xdr:col>22</xdr:col>
      <xdr:colOff>109023</xdr:colOff>
      <xdr:row>31</xdr:row>
      <xdr:rowOff>127803</xdr:rowOff>
    </xdr:to>
    <xdr:graphicFrame macro="">
      <xdr:nvGraphicFramePr>
        <xdr:cNvPr id="14" name="Chart 13">
          <a:extLst>
            <a:ext uri="{FF2B5EF4-FFF2-40B4-BE49-F238E27FC236}">
              <a16:creationId xmlns:a16="http://schemas.microsoft.com/office/drawing/2014/main" id="{DB0B6BD0-D5E7-4C31-94C0-10D25D6D2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91440</xdr:colOff>
      <xdr:row>9</xdr:row>
      <xdr:rowOff>114300</xdr:rowOff>
    </xdr:from>
    <xdr:to>
      <xdr:col>21</xdr:col>
      <xdr:colOff>395512</xdr:colOff>
      <xdr:row>19</xdr:row>
      <xdr:rowOff>159142</xdr:rowOff>
    </xdr:to>
    <xdr:graphicFrame macro="">
      <xdr:nvGraphicFramePr>
        <xdr:cNvPr id="16" name="Chart 15">
          <a:extLst>
            <a:ext uri="{FF2B5EF4-FFF2-40B4-BE49-F238E27FC236}">
              <a16:creationId xmlns:a16="http://schemas.microsoft.com/office/drawing/2014/main" id="{4D6BF7E5-7281-460D-9F98-8F87D789A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34290</xdr:colOff>
      <xdr:row>4</xdr:row>
      <xdr:rowOff>99060</xdr:rowOff>
    </xdr:from>
    <xdr:to>
      <xdr:col>16</xdr:col>
      <xdr:colOff>26670</xdr:colOff>
      <xdr:row>8</xdr:row>
      <xdr:rowOff>38100</xdr:rowOff>
    </xdr:to>
    <xdr:sp macro="" textlink="Processing!P1">
      <xdr:nvSpPr>
        <xdr:cNvPr id="17" name="TextBox 16">
          <a:extLst>
            <a:ext uri="{FF2B5EF4-FFF2-40B4-BE49-F238E27FC236}">
              <a16:creationId xmlns:a16="http://schemas.microsoft.com/office/drawing/2014/main" id="{4156381C-E617-44CD-A041-AEEB1ABB628E}"/>
            </a:ext>
          </a:extLst>
        </xdr:cNvPr>
        <xdr:cNvSpPr txBox="1"/>
      </xdr:nvSpPr>
      <xdr:spPr>
        <a:xfrm>
          <a:off x="4911090" y="830580"/>
          <a:ext cx="4869180" cy="67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AFA7E3-D982-4DCE-8311-24F164F1C349}" type="TxLink">
            <a:rPr lang="en-US" sz="2800" b="0" i="0" u="none" strike="noStrike">
              <a:solidFill>
                <a:schemeClr val="tx1"/>
              </a:solidFill>
              <a:latin typeface="Aptos Narrow"/>
            </a:rPr>
            <a:pPr algn="ctr"/>
            <a:t>Sales Profitability Dashboard</a:t>
          </a:fld>
          <a:endParaRPr lang="ru-RU" sz="2800">
            <a:solidFill>
              <a:schemeClr val="tx1"/>
            </a:solidFill>
          </a:endParaRPr>
        </a:p>
      </xdr:txBody>
    </xdr:sp>
    <xdr:clientData/>
  </xdr:twoCellAnchor>
  <xdr:twoCellAnchor>
    <xdr:from>
      <xdr:col>12</xdr:col>
      <xdr:colOff>411480</xdr:colOff>
      <xdr:row>10</xdr:row>
      <xdr:rowOff>45720</xdr:rowOff>
    </xdr:from>
    <xdr:to>
      <xdr:col>15</xdr:col>
      <xdr:colOff>0</xdr:colOff>
      <xdr:row>12</xdr:row>
      <xdr:rowOff>7620</xdr:rowOff>
    </xdr:to>
    <xdr:sp macro="" textlink="Processing!B1">
      <xdr:nvSpPr>
        <xdr:cNvPr id="18" name="TextBox 17">
          <a:extLst>
            <a:ext uri="{FF2B5EF4-FFF2-40B4-BE49-F238E27FC236}">
              <a16:creationId xmlns:a16="http://schemas.microsoft.com/office/drawing/2014/main" id="{E9E6F5A0-4B3A-4650-8CF8-C6542313040C}"/>
            </a:ext>
          </a:extLst>
        </xdr:cNvPr>
        <xdr:cNvSpPr txBox="1"/>
      </xdr:nvSpPr>
      <xdr:spPr>
        <a:xfrm>
          <a:off x="7726680" y="187452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EBDB900-EE2F-4AA6-B860-CDEF06AE6B57}" type="TxLink">
            <a:rPr lang="en-US" sz="1400" b="0" i="0" u="none" strike="noStrike">
              <a:solidFill>
                <a:schemeClr val="bg1"/>
              </a:solidFill>
              <a:latin typeface="Aptos Narrow"/>
            </a:rPr>
            <a:pPr algn="l"/>
            <a:t>Investments</a:t>
          </a:fld>
          <a:endParaRPr lang="ru-RU" sz="3600">
            <a:solidFill>
              <a:schemeClr val="bg1"/>
            </a:solidFill>
          </a:endParaRPr>
        </a:p>
      </xdr:txBody>
    </xdr:sp>
    <xdr:clientData/>
  </xdr:twoCellAnchor>
  <xdr:twoCellAnchor>
    <xdr:from>
      <xdr:col>12</xdr:col>
      <xdr:colOff>411480</xdr:colOff>
      <xdr:row>14</xdr:row>
      <xdr:rowOff>30480</xdr:rowOff>
    </xdr:from>
    <xdr:to>
      <xdr:col>15</xdr:col>
      <xdr:colOff>114300</xdr:colOff>
      <xdr:row>15</xdr:row>
      <xdr:rowOff>175260</xdr:rowOff>
    </xdr:to>
    <xdr:sp macro="" textlink="Processing!C1">
      <xdr:nvSpPr>
        <xdr:cNvPr id="19" name="TextBox 18">
          <a:extLst>
            <a:ext uri="{FF2B5EF4-FFF2-40B4-BE49-F238E27FC236}">
              <a16:creationId xmlns:a16="http://schemas.microsoft.com/office/drawing/2014/main" id="{8195BD93-A763-46E9-BB7D-A6A7D4E29680}"/>
            </a:ext>
          </a:extLst>
        </xdr:cNvPr>
        <xdr:cNvSpPr txBox="1"/>
      </xdr:nvSpPr>
      <xdr:spPr>
        <a:xfrm>
          <a:off x="7726680" y="259080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F79593B-4C91-4E5C-A7F9-01D05C8FA786}" type="TxLink">
            <a:rPr lang="en-US" sz="1400" b="0" i="0" u="none" strike="noStrike">
              <a:solidFill>
                <a:schemeClr val="bg1"/>
              </a:solidFill>
              <a:latin typeface="Aptos Narrow"/>
              <a:ea typeface="+mn-ea"/>
              <a:cs typeface="+mn-cs"/>
            </a:rPr>
            <a:pPr marL="0" indent="0" algn="l"/>
            <a:t>Sales Volume</a:t>
          </a:fld>
          <a:endParaRPr lang="ru-RU" sz="1400" b="0" i="0" u="none" strike="noStrike">
            <a:solidFill>
              <a:schemeClr val="bg1"/>
            </a:solidFill>
            <a:latin typeface="Aptos Narrow"/>
            <a:ea typeface="+mn-ea"/>
            <a:cs typeface="+mn-cs"/>
          </a:endParaRPr>
        </a:p>
      </xdr:txBody>
    </xdr:sp>
    <xdr:clientData/>
  </xdr:twoCellAnchor>
  <xdr:twoCellAnchor>
    <xdr:from>
      <xdr:col>17</xdr:col>
      <xdr:colOff>68580</xdr:colOff>
      <xdr:row>9</xdr:row>
      <xdr:rowOff>53340</xdr:rowOff>
    </xdr:from>
    <xdr:to>
      <xdr:col>18</xdr:col>
      <xdr:colOff>160020</xdr:colOff>
      <xdr:row>11</xdr:row>
      <xdr:rowOff>15240</xdr:rowOff>
    </xdr:to>
    <xdr:sp macro="" textlink="Processing!J20">
      <xdr:nvSpPr>
        <xdr:cNvPr id="20" name="TextBox 19">
          <a:extLst>
            <a:ext uri="{FF2B5EF4-FFF2-40B4-BE49-F238E27FC236}">
              <a16:creationId xmlns:a16="http://schemas.microsoft.com/office/drawing/2014/main" id="{77D36497-087D-492A-8ADD-60FB47099880}"/>
            </a:ext>
          </a:extLst>
        </xdr:cNvPr>
        <xdr:cNvSpPr txBox="1"/>
      </xdr:nvSpPr>
      <xdr:spPr>
        <a:xfrm>
          <a:off x="10431780" y="169926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5EC9B3-2A4A-4AC1-9873-86C91B8549DF}" type="TxLink">
            <a:rPr lang="en-US" sz="1800" b="0" i="0" u="none" strike="noStrike">
              <a:solidFill>
                <a:srgbClr val="A2ADBE"/>
              </a:solidFill>
              <a:latin typeface="Aptos Narrow"/>
              <a:ea typeface="+mn-ea"/>
              <a:cs typeface="+mn-cs"/>
            </a:rPr>
            <a:pPr marL="0" indent="0"/>
            <a:t>ROI</a:t>
          </a:fld>
          <a:endParaRPr lang="ru-RU" sz="1800" b="0" i="0" u="none" strike="noStrike">
            <a:solidFill>
              <a:srgbClr val="A2ADBE"/>
            </a:solidFill>
            <a:latin typeface="Aptos Narrow"/>
            <a:ea typeface="+mn-ea"/>
            <a:cs typeface="+mn-cs"/>
          </a:endParaRPr>
        </a:p>
      </xdr:txBody>
    </xdr:sp>
    <xdr:clientData/>
  </xdr:twoCellAnchor>
  <xdr:twoCellAnchor>
    <xdr:from>
      <xdr:col>17</xdr:col>
      <xdr:colOff>45720</xdr:colOff>
      <xdr:row>16</xdr:row>
      <xdr:rowOff>83820</xdr:rowOff>
    </xdr:from>
    <xdr:to>
      <xdr:col>18</xdr:col>
      <xdr:colOff>137160</xdr:colOff>
      <xdr:row>18</xdr:row>
      <xdr:rowOff>45720</xdr:rowOff>
    </xdr:to>
    <xdr:sp macro="" textlink="Processing!J24">
      <xdr:nvSpPr>
        <xdr:cNvPr id="21" name="TextBox 20">
          <a:extLst>
            <a:ext uri="{FF2B5EF4-FFF2-40B4-BE49-F238E27FC236}">
              <a16:creationId xmlns:a16="http://schemas.microsoft.com/office/drawing/2014/main" id="{C309BEB5-E045-47C5-9BAE-A9BC91DF9FB2}"/>
            </a:ext>
          </a:extLst>
        </xdr:cNvPr>
        <xdr:cNvSpPr txBox="1"/>
      </xdr:nvSpPr>
      <xdr:spPr>
        <a:xfrm>
          <a:off x="10408920" y="300990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75CC82-02FE-4122-8891-3041361035D0}" type="TxLink">
            <a:rPr lang="en-US" sz="1800" b="0" i="0" u="none" strike="noStrike">
              <a:solidFill>
                <a:srgbClr val="A2ADBE"/>
              </a:solidFill>
              <a:latin typeface="Aptos Narrow"/>
              <a:ea typeface="+mn-ea"/>
              <a:cs typeface="+mn-cs"/>
            </a:rPr>
            <a:pPr marL="0" indent="0"/>
            <a:t>Profit</a:t>
          </a:fld>
          <a:endParaRPr lang="ru-RU" sz="1800" b="0" i="0" u="none" strike="noStrike">
            <a:solidFill>
              <a:srgbClr val="A2ADBE"/>
            </a:solidFill>
            <a:latin typeface="Aptos Narrow"/>
            <a:ea typeface="+mn-ea"/>
            <a:cs typeface="+mn-cs"/>
          </a:endParaRPr>
        </a:p>
      </xdr:txBody>
    </xdr:sp>
    <xdr:clientData/>
  </xdr:twoCellAnchor>
  <xdr:twoCellAnchor>
    <xdr:from>
      <xdr:col>19</xdr:col>
      <xdr:colOff>82098</xdr:colOff>
      <xdr:row>13</xdr:row>
      <xdr:rowOff>125616</xdr:rowOff>
    </xdr:from>
    <xdr:to>
      <xdr:col>20</xdr:col>
      <xdr:colOff>405582</xdr:colOff>
      <xdr:row>15</xdr:row>
      <xdr:rowOff>156325</xdr:rowOff>
    </xdr:to>
    <xdr:sp macro="" textlink="Processing!K20">
      <xdr:nvSpPr>
        <xdr:cNvPr id="22" name="TextBox 21">
          <a:extLst>
            <a:ext uri="{FF2B5EF4-FFF2-40B4-BE49-F238E27FC236}">
              <a16:creationId xmlns:a16="http://schemas.microsoft.com/office/drawing/2014/main" id="{82AAFAF4-488B-41B9-83D4-5E6CEEEAB7A0}"/>
            </a:ext>
          </a:extLst>
        </xdr:cNvPr>
        <xdr:cNvSpPr txBox="1"/>
      </xdr:nvSpPr>
      <xdr:spPr>
        <a:xfrm>
          <a:off x="11664498" y="2503056"/>
          <a:ext cx="93308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DB45C4-5730-4E15-A21C-6CDCEBC2E35C}" type="TxLink">
            <a:rPr lang="en-US" sz="2400" b="0" i="0" u="none" strike="noStrike">
              <a:solidFill>
                <a:schemeClr val="tx1"/>
              </a:solidFill>
              <a:latin typeface="Aptos Narrow"/>
              <a:ea typeface="+mn-ea"/>
              <a:cs typeface="+mn-cs"/>
            </a:rPr>
            <a:pPr marL="0" indent="0" algn="ctr"/>
            <a:t>40%</a:t>
          </a:fld>
          <a:endParaRPr lang="ru-RU" sz="6600" b="0" i="0" u="none" strike="noStrike">
            <a:solidFill>
              <a:schemeClr val="tx1"/>
            </a:solidFill>
            <a:latin typeface="Aptos Narrow"/>
            <a:ea typeface="+mn-ea"/>
            <a:cs typeface="+mn-cs"/>
          </a:endParaRPr>
        </a:p>
      </xdr:txBody>
    </xdr:sp>
    <xdr:clientData/>
  </xdr:twoCellAnchor>
  <xdr:twoCellAnchor>
    <xdr:from>
      <xdr:col>2</xdr:col>
      <xdr:colOff>339090</xdr:colOff>
      <xdr:row>8</xdr:row>
      <xdr:rowOff>15240</xdr:rowOff>
    </xdr:from>
    <xdr:to>
      <xdr:col>5</xdr:col>
      <xdr:colOff>304800</xdr:colOff>
      <xdr:row>10</xdr:row>
      <xdr:rowOff>60960</xdr:rowOff>
    </xdr:to>
    <xdr:sp macro="" textlink="Processing!J1">
      <xdr:nvSpPr>
        <xdr:cNvPr id="23" name="TextBox 22">
          <a:extLst>
            <a:ext uri="{FF2B5EF4-FFF2-40B4-BE49-F238E27FC236}">
              <a16:creationId xmlns:a16="http://schemas.microsoft.com/office/drawing/2014/main" id="{F9135EAC-B82E-4A35-BD5E-210D07BE65C6}"/>
            </a:ext>
          </a:extLst>
        </xdr:cNvPr>
        <xdr:cNvSpPr txBox="1"/>
      </xdr:nvSpPr>
      <xdr:spPr>
        <a:xfrm>
          <a:off x="1558290" y="1478280"/>
          <a:ext cx="179451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C46CB7E-4C7E-47AD-9501-2528C941DC30}" type="TxLink">
            <a:rPr lang="en-US" sz="2000" b="0" i="0" u="none" strike="noStrike">
              <a:solidFill>
                <a:srgbClr val="A2ADBE"/>
              </a:solidFill>
              <a:latin typeface="Aptos Narrow"/>
              <a:ea typeface="+mn-ea"/>
              <a:cs typeface="+mn-cs"/>
            </a:rPr>
            <a:pPr marL="0" indent="0" algn="l"/>
            <a:t>Sales Closed</a:t>
          </a:fld>
          <a:endParaRPr lang="ru-RU" sz="2000" b="0" i="0" u="none" strike="noStrike">
            <a:solidFill>
              <a:srgbClr val="A2ADBE"/>
            </a:solidFill>
            <a:latin typeface="Aptos Narrow"/>
            <a:ea typeface="+mn-ea"/>
            <a:cs typeface="+mn-cs"/>
          </a:endParaRPr>
        </a:p>
      </xdr:txBody>
    </xdr:sp>
    <xdr:clientData/>
  </xdr:twoCellAnchor>
  <xdr:twoCellAnchor editAs="oneCell">
    <xdr:from>
      <xdr:col>2</xdr:col>
      <xdr:colOff>361950</xdr:colOff>
      <xdr:row>4</xdr:row>
      <xdr:rowOff>175261</xdr:rowOff>
    </xdr:from>
    <xdr:to>
      <xdr:col>5</xdr:col>
      <xdr:colOff>361950</xdr:colOff>
      <xdr:row>7</xdr:row>
      <xdr:rowOff>38100</xdr:rowOff>
    </xdr:to>
    <mc:AlternateContent xmlns:mc="http://schemas.openxmlformats.org/markup-compatibility/2006" xmlns:a14="http://schemas.microsoft.com/office/drawing/2010/main">
      <mc:Choice Requires="a14">
        <xdr:graphicFrame macro="">
          <xdr:nvGraphicFramePr>
            <xdr:cNvPr id="24" name="Year 6">
              <a:extLst>
                <a:ext uri="{FF2B5EF4-FFF2-40B4-BE49-F238E27FC236}">
                  <a16:creationId xmlns:a16="http://schemas.microsoft.com/office/drawing/2014/main" id="{FB44293B-0102-4B4C-A50F-BF591E74ED9C}"/>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1581150" y="906781"/>
              <a:ext cx="1828800" cy="4648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327660</xdr:colOff>
      <xdr:row>5</xdr:row>
      <xdr:rowOff>0</xdr:rowOff>
    </xdr:from>
    <xdr:to>
      <xdr:col>19</xdr:col>
      <xdr:colOff>525780</xdr:colOff>
      <xdr:row>6</xdr:row>
      <xdr:rowOff>144780</xdr:rowOff>
    </xdr:to>
    <xdr:sp macro="" textlink="Processing!P3">
      <xdr:nvSpPr>
        <xdr:cNvPr id="25" name="TextBox 24">
          <a:extLst>
            <a:ext uri="{FF2B5EF4-FFF2-40B4-BE49-F238E27FC236}">
              <a16:creationId xmlns:a16="http://schemas.microsoft.com/office/drawing/2014/main" id="{F69E03B3-D742-41A5-AD3A-151C0559DD88}"/>
            </a:ext>
          </a:extLst>
        </xdr:cNvPr>
        <xdr:cNvSpPr txBox="1"/>
      </xdr:nvSpPr>
      <xdr:spPr>
        <a:xfrm>
          <a:off x="10690860" y="91440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4BF34E8-F5F7-4FD4-B740-151B677084AF}" type="TxLink">
            <a:rPr lang="en-US" sz="2000" b="0" i="0" u="none" strike="noStrike">
              <a:solidFill>
                <a:srgbClr val="A2ADBE"/>
              </a:solidFill>
              <a:latin typeface="Aptos Narrow"/>
              <a:ea typeface="+mn-ea"/>
              <a:cs typeface="+mn-cs"/>
            </a:rPr>
            <a:pPr marL="0" indent="0" algn="ctr"/>
            <a:t>JANUARY</a:t>
          </a:fld>
          <a:endParaRPr lang="ru-RU" sz="2000" b="0" i="0" u="none" strike="noStrike">
            <a:solidFill>
              <a:srgbClr val="A2ADBE"/>
            </a:solidFill>
            <a:latin typeface="Aptos Narrow"/>
            <a:ea typeface="+mn-ea"/>
            <a:cs typeface="+mn-cs"/>
          </a:endParaRPr>
        </a:p>
      </xdr:txBody>
    </xdr:sp>
    <xdr:clientData/>
  </xdr:twoCellAnchor>
  <xdr:twoCellAnchor>
    <xdr:from>
      <xdr:col>20</xdr:col>
      <xdr:colOff>30480</xdr:colOff>
      <xdr:row>5</xdr:row>
      <xdr:rowOff>0</xdr:rowOff>
    </xdr:from>
    <xdr:to>
      <xdr:col>21</xdr:col>
      <xdr:colOff>152400</xdr:colOff>
      <xdr:row>6</xdr:row>
      <xdr:rowOff>144780</xdr:rowOff>
    </xdr:to>
    <xdr:sp macro="" textlink="Processing!Q3">
      <xdr:nvSpPr>
        <xdr:cNvPr id="26" name="TextBox 25">
          <a:extLst>
            <a:ext uri="{FF2B5EF4-FFF2-40B4-BE49-F238E27FC236}">
              <a16:creationId xmlns:a16="http://schemas.microsoft.com/office/drawing/2014/main" id="{C85CFEF4-D14C-4ACF-83D4-2AF39581E5A8}"/>
            </a:ext>
          </a:extLst>
        </xdr:cNvPr>
        <xdr:cNvSpPr txBox="1"/>
      </xdr:nvSpPr>
      <xdr:spPr>
        <a:xfrm>
          <a:off x="12222480" y="914400"/>
          <a:ext cx="7315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1DB63C7-1528-4BD2-A1EF-C64AF007758D}" type="TxLink">
            <a:rPr lang="en-US" sz="2000" b="0" i="0" u="none" strike="noStrike">
              <a:solidFill>
                <a:srgbClr val="A2ADBE"/>
              </a:solidFill>
              <a:latin typeface="Aptos Narrow"/>
              <a:ea typeface="+mn-ea"/>
              <a:cs typeface="+mn-cs"/>
            </a:rPr>
            <a:pPr marL="0" indent="0" algn="l"/>
            <a:t>2024</a:t>
          </a:fld>
          <a:endParaRPr lang="ru-RU" sz="2000" b="0" i="0" u="none" strike="noStrike">
            <a:solidFill>
              <a:srgbClr val="A2ADBE"/>
            </a:solidFill>
            <a:latin typeface="Aptos Narrow"/>
            <a:ea typeface="+mn-ea"/>
            <a:cs typeface="+mn-cs"/>
          </a:endParaRPr>
        </a:p>
      </xdr:txBody>
    </xdr:sp>
    <xdr:clientData/>
  </xdr:twoCellAnchor>
  <xdr:twoCellAnchor>
    <xdr:from>
      <xdr:col>5</xdr:col>
      <xdr:colOff>152400</xdr:colOff>
      <xdr:row>8</xdr:row>
      <xdr:rowOff>57150</xdr:rowOff>
    </xdr:from>
    <xdr:to>
      <xdr:col>7</xdr:col>
      <xdr:colOff>464820</xdr:colOff>
      <xdr:row>10</xdr:row>
      <xdr:rowOff>19050</xdr:rowOff>
    </xdr:to>
    <xdr:sp macro="" textlink="Processing!K7">
      <xdr:nvSpPr>
        <xdr:cNvPr id="27" name="TextBox 26">
          <a:extLst>
            <a:ext uri="{FF2B5EF4-FFF2-40B4-BE49-F238E27FC236}">
              <a16:creationId xmlns:a16="http://schemas.microsoft.com/office/drawing/2014/main" id="{D144CA59-9880-4874-AF45-984313C80FD5}"/>
            </a:ext>
          </a:extLst>
        </xdr:cNvPr>
        <xdr:cNvSpPr txBox="1"/>
      </xdr:nvSpPr>
      <xdr:spPr>
        <a:xfrm>
          <a:off x="3200400" y="152019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67868-4B1A-4164-9436-17904F07535E}" type="TxLink">
            <a:rPr lang="en-US" sz="2000" b="0" i="0" u="none" strike="noStrike">
              <a:solidFill>
                <a:schemeClr val="tx1"/>
              </a:solidFill>
              <a:latin typeface="Aptos Narrow"/>
              <a:ea typeface="+mn-ea"/>
              <a:cs typeface="+mn-cs"/>
            </a:rPr>
            <a:pPr marL="0" indent="0"/>
            <a:t> 15 366</a:t>
          </a:fld>
          <a:endParaRPr lang="ru-RU" sz="3600" b="0" i="0" u="none" strike="noStrike">
            <a:solidFill>
              <a:schemeClr val="tx1"/>
            </a:solidFill>
            <a:latin typeface="Aptos Narrow"/>
            <a:ea typeface="+mn-ea"/>
            <a:cs typeface="+mn-cs"/>
          </a:endParaRPr>
        </a:p>
      </xdr:txBody>
    </xdr:sp>
    <xdr:clientData/>
  </xdr:twoCellAnchor>
  <xdr:twoCellAnchor>
    <xdr:from>
      <xdr:col>12</xdr:col>
      <xdr:colOff>304800</xdr:colOff>
      <xdr:row>15</xdr:row>
      <xdr:rowOff>160020</xdr:rowOff>
    </xdr:from>
    <xdr:to>
      <xdr:col>15</xdr:col>
      <xdr:colOff>121920</xdr:colOff>
      <xdr:row>17</xdr:row>
      <xdr:rowOff>121920</xdr:rowOff>
    </xdr:to>
    <xdr:sp macro="" textlink="Processing!C14">
      <xdr:nvSpPr>
        <xdr:cNvPr id="28" name="TextBox 27">
          <a:extLst>
            <a:ext uri="{FF2B5EF4-FFF2-40B4-BE49-F238E27FC236}">
              <a16:creationId xmlns:a16="http://schemas.microsoft.com/office/drawing/2014/main" id="{C5D8A8B5-A695-44DC-993A-4D85234504ED}"/>
            </a:ext>
          </a:extLst>
        </xdr:cNvPr>
        <xdr:cNvSpPr txBox="1"/>
      </xdr:nvSpPr>
      <xdr:spPr>
        <a:xfrm>
          <a:off x="7620000" y="290322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77A68F2-9086-49F9-A77A-937410EA236B}" type="TxLink">
            <a:rPr lang="en-US" sz="2400" b="0" i="0" u="none" strike="noStrike">
              <a:solidFill>
                <a:schemeClr val="bg1"/>
              </a:solidFill>
              <a:latin typeface="Aptos Narrow"/>
              <a:ea typeface="+mn-ea"/>
              <a:cs typeface="+mn-cs"/>
            </a:rPr>
            <a:pPr marL="0" indent="0" algn="l"/>
            <a:t> $33,543 </a:t>
          </a:fld>
          <a:endParaRPr lang="ru-RU" sz="2400" b="0" i="0" u="none" strike="noStrike">
            <a:solidFill>
              <a:schemeClr val="bg1"/>
            </a:solidFill>
            <a:latin typeface="Aptos Narrow"/>
            <a:ea typeface="+mn-ea"/>
            <a:cs typeface="+mn-cs"/>
          </a:endParaRPr>
        </a:p>
      </xdr:txBody>
    </xdr:sp>
    <xdr:clientData/>
  </xdr:twoCellAnchor>
  <xdr:twoCellAnchor>
    <xdr:from>
      <xdr:col>12</xdr:col>
      <xdr:colOff>327660</xdr:colOff>
      <xdr:row>12</xdr:row>
      <xdr:rowOff>0</xdr:rowOff>
    </xdr:from>
    <xdr:to>
      <xdr:col>15</xdr:col>
      <xdr:colOff>144780</xdr:colOff>
      <xdr:row>13</xdr:row>
      <xdr:rowOff>144780</xdr:rowOff>
    </xdr:to>
    <xdr:sp macro="" textlink="Processing!B14">
      <xdr:nvSpPr>
        <xdr:cNvPr id="29" name="TextBox 28">
          <a:extLst>
            <a:ext uri="{FF2B5EF4-FFF2-40B4-BE49-F238E27FC236}">
              <a16:creationId xmlns:a16="http://schemas.microsoft.com/office/drawing/2014/main" id="{9339FDBC-9646-4F17-AEE0-50083FB78F57}"/>
            </a:ext>
          </a:extLst>
        </xdr:cNvPr>
        <xdr:cNvSpPr txBox="1"/>
      </xdr:nvSpPr>
      <xdr:spPr>
        <a:xfrm>
          <a:off x="7642860" y="219456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176861D-A161-4D96-8756-6AC7C156A8BD}" type="TxLink">
            <a:rPr lang="en-US" sz="2400" b="0" i="0" u="none" strike="noStrike">
              <a:solidFill>
                <a:schemeClr val="bg1"/>
              </a:solidFill>
              <a:latin typeface="Aptos Narrow"/>
              <a:ea typeface="+mn-ea"/>
              <a:cs typeface="+mn-cs"/>
            </a:rPr>
            <a:pPr marL="0" indent="0" algn="l"/>
            <a:t> $28,026 </a:t>
          </a:fld>
          <a:endParaRPr lang="ru-RU" sz="2400" b="0" i="0" u="none" strike="noStrike">
            <a:solidFill>
              <a:schemeClr val="bg1"/>
            </a:solidFill>
            <a:latin typeface="Aptos Narrow"/>
            <a:ea typeface="+mn-ea"/>
            <a:cs typeface="+mn-cs"/>
          </a:endParaRPr>
        </a:p>
      </xdr:txBody>
    </xdr:sp>
    <xdr:clientData/>
  </xdr:twoCellAnchor>
  <xdr:twoCellAnchor>
    <xdr:from>
      <xdr:col>17</xdr:col>
      <xdr:colOff>14478</xdr:colOff>
      <xdr:row>18</xdr:row>
      <xdr:rowOff>26556</xdr:rowOff>
    </xdr:from>
    <xdr:to>
      <xdr:col>19</xdr:col>
      <xdr:colOff>320802</xdr:colOff>
      <xdr:row>20</xdr:row>
      <xdr:rowOff>57265</xdr:rowOff>
    </xdr:to>
    <xdr:sp macro="" textlink="Processing!J25">
      <xdr:nvSpPr>
        <xdr:cNvPr id="30" name="TextBox 29">
          <a:extLst>
            <a:ext uri="{FF2B5EF4-FFF2-40B4-BE49-F238E27FC236}">
              <a16:creationId xmlns:a16="http://schemas.microsoft.com/office/drawing/2014/main" id="{EE078C63-B0D8-4D5D-93B9-44D9247FB9A7}"/>
            </a:ext>
          </a:extLst>
        </xdr:cNvPr>
        <xdr:cNvSpPr txBox="1"/>
      </xdr:nvSpPr>
      <xdr:spPr>
        <a:xfrm>
          <a:off x="10377678" y="3318396"/>
          <a:ext cx="152552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E6A133C-5381-4990-B5CC-3867629A9899}" type="TxLink">
            <a:rPr lang="en-US" sz="2000" b="0" i="0" u="none" strike="noStrike">
              <a:solidFill>
                <a:schemeClr val="tx1"/>
              </a:solidFill>
              <a:latin typeface="Aptos Narrow"/>
              <a:ea typeface="+mn-ea"/>
              <a:cs typeface="+mn-cs"/>
            </a:rPr>
            <a:pPr marL="0" indent="0" algn="l"/>
            <a:t> $11,175 </a:t>
          </a:fld>
          <a:endParaRPr lang="ru-RU" sz="2000" b="0" i="0" u="none" strike="noStrike">
            <a:solidFill>
              <a:schemeClr val="tx1"/>
            </a:solidFill>
            <a:latin typeface="Aptos Narrow"/>
            <a:ea typeface="+mn-ea"/>
            <a:cs typeface="+mn-cs"/>
          </a:endParaRPr>
        </a:p>
      </xdr:txBody>
    </xdr:sp>
    <xdr:clientData/>
  </xdr:twoCellAnchor>
  <xdr:twoCellAnchor>
    <xdr:from>
      <xdr:col>14</xdr:col>
      <xdr:colOff>251460</xdr:colOff>
      <xdr:row>10</xdr:row>
      <xdr:rowOff>68580</xdr:rowOff>
    </xdr:from>
    <xdr:to>
      <xdr:col>16</xdr:col>
      <xdr:colOff>449580</xdr:colOff>
      <xdr:row>12</xdr:row>
      <xdr:rowOff>30480</xdr:rowOff>
    </xdr:to>
    <xdr:sp macro="" textlink="Processing!A15">
      <xdr:nvSpPr>
        <xdr:cNvPr id="31" name="TextBox 30">
          <a:extLst>
            <a:ext uri="{FF2B5EF4-FFF2-40B4-BE49-F238E27FC236}">
              <a16:creationId xmlns:a16="http://schemas.microsoft.com/office/drawing/2014/main" id="{909345A6-5DC2-45E4-894E-8CB6EFBA6532}"/>
            </a:ext>
          </a:extLst>
        </xdr:cNvPr>
        <xdr:cNvSpPr txBox="1"/>
      </xdr:nvSpPr>
      <xdr:spPr>
        <a:xfrm>
          <a:off x="8785860" y="189738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251460</xdr:colOff>
      <xdr:row>14</xdr:row>
      <xdr:rowOff>45720</xdr:rowOff>
    </xdr:from>
    <xdr:to>
      <xdr:col>16</xdr:col>
      <xdr:colOff>449580</xdr:colOff>
      <xdr:row>16</xdr:row>
      <xdr:rowOff>7620</xdr:rowOff>
    </xdr:to>
    <xdr:sp macro="" textlink="Processing!A15">
      <xdr:nvSpPr>
        <xdr:cNvPr id="32" name="TextBox 31">
          <a:extLst>
            <a:ext uri="{FF2B5EF4-FFF2-40B4-BE49-F238E27FC236}">
              <a16:creationId xmlns:a16="http://schemas.microsoft.com/office/drawing/2014/main" id="{9A8825AA-0695-445A-8D31-EC1E0F33FA71}"/>
            </a:ext>
          </a:extLst>
        </xdr:cNvPr>
        <xdr:cNvSpPr txBox="1"/>
      </xdr:nvSpPr>
      <xdr:spPr>
        <a:xfrm>
          <a:off x="8785860" y="260604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586718</xdr:colOff>
      <xdr:row>11</xdr:row>
      <xdr:rowOff>23695</xdr:rowOff>
    </xdr:from>
    <xdr:to>
      <xdr:col>16</xdr:col>
      <xdr:colOff>53318</xdr:colOff>
      <xdr:row>14</xdr:row>
      <xdr:rowOff>160855</xdr:rowOff>
    </xdr:to>
    <xdr:graphicFrame macro="">
      <xdr:nvGraphicFramePr>
        <xdr:cNvPr id="33" name="Chart 32">
          <a:extLst>
            <a:ext uri="{FF2B5EF4-FFF2-40B4-BE49-F238E27FC236}">
              <a16:creationId xmlns:a16="http://schemas.microsoft.com/office/drawing/2014/main" id="{4581E996-E096-4B4A-861A-828379F8F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586718</xdr:colOff>
      <xdr:row>12</xdr:row>
      <xdr:rowOff>12265</xdr:rowOff>
    </xdr:from>
    <xdr:to>
      <xdr:col>16</xdr:col>
      <xdr:colOff>68558</xdr:colOff>
      <xdr:row>13</xdr:row>
      <xdr:rowOff>157045</xdr:rowOff>
    </xdr:to>
    <xdr:sp macro="" textlink="Processing!B15">
      <xdr:nvSpPr>
        <xdr:cNvPr id="34" name="TextBox 33">
          <a:extLst>
            <a:ext uri="{FF2B5EF4-FFF2-40B4-BE49-F238E27FC236}">
              <a16:creationId xmlns:a16="http://schemas.microsoft.com/office/drawing/2014/main" id="{DC1417AE-7047-4022-AE0D-74670A803C9E}"/>
            </a:ext>
          </a:extLst>
        </xdr:cNvPr>
        <xdr:cNvSpPr txBox="1"/>
      </xdr:nvSpPr>
      <xdr:spPr>
        <a:xfrm>
          <a:off x="9121118" y="220682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7864E5-CAD8-4B22-A5F5-C06AFB7D5E57}" type="TxLink">
            <a:rPr lang="en-US" sz="1100" b="0" i="0" u="none" strike="noStrike">
              <a:solidFill>
                <a:schemeClr val="bg1"/>
              </a:solidFill>
              <a:latin typeface="Aptos Narrow"/>
              <a:ea typeface="+mn-ea"/>
              <a:cs typeface="+mn-cs"/>
            </a:rPr>
            <a:pPr marL="0" indent="0" algn="ctr"/>
            <a:t>43%</a:t>
          </a:fld>
          <a:endParaRPr lang="ru-RU" sz="1800" b="0" i="0" u="none" strike="noStrike">
            <a:solidFill>
              <a:schemeClr val="bg1"/>
            </a:solidFill>
            <a:latin typeface="Aptos Narrow"/>
            <a:ea typeface="+mn-ea"/>
            <a:cs typeface="+mn-cs"/>
          </a:endParaRPr>
        </a:p>
      </xdr:txBody>
    </xdr:sp>
    <xdr:clientData/>
  </xdr:twoCellAnchor>
  <xdr:twoCellAnchor>
    <xdr:from>
      <xdr:col>14</xdr:col>
      <xdr:colOff>586718</xdr:colOff>
      <xdr:row>14</xdr:row>
      <xdr:rowOff>168475</xdr:rowOff>
    </xdr:from>
    <xdr:to>
      <xdr:col>16</xdr:col>
      <xdr:colOff>53318</xdr:colOff>
      <xdr:row>18</xdr:row>
      <xdr:rowOff>122755</xdr:rowOff>
    </xdr:to>
    <xdr:graphicFrame macro="">
      <xdr:nvGraphicFramePr>
        <xdr:cNvPr id="35" name="Chart 34">
          <a:extLst>
            <a:ext uri="{FF2B5EF4-FFF2-40B4-BE49-F238E27FC236}">
              <a16:creationId xmlns:a16="http://schemas.microsoft.com/office/drawing/2014/main" id="{70D3D3E3-F56A-4487-B8B5-BC2F4BF2F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586718</xdr:colOff>
      <xdr:row>15</xdr:row>
      <xdr:rowOff>157045</xdr:rowOff>
    </xdr:from>
    <xdr:to>
      <xdr:col>16</xdr:col>
      <xdr:colOff>68558</xdr:colOff>
      <xdr:row>17</xdr:row>
      <xdr:rowOff>118945</xdr:rowOff>
    </xdr:to>
    <xdr:sp macro="" textlink="Processing!C15">
      <xdr:nvSpPr>
        <xdr:cNvPr id="36" name="TextBox 35">
          <a:extLst>
            <a:ext uri="{FF2B5EF4-FFF2-40B4-BE49-F238E27FC236}">
              <a16:creationId xmlns:a16="http://schemas.microsoft.com/office/drawing/2014/main" id="{DA80EF1A-DF48-4BF7-9BFC-4EC56F961481}"/>
            </a:ext>
          </a:extLst>
        </xdr:cNvPr>
        <xdr:cNvSpPr txBox="1"/>
      </xdr:nvSpPr>
      <xdr:spPr>
        <a:xfrm>
          <a:off x="9121118" y="290024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A5132A-5551-4D94-B54D-1E5261C5DB06}" type="TxLink">
            <a:rPr lang="en-US" sz="1100" b="0" i="0" u="none" strike="noStrike">
              <a:solidFill>
                <a:schemeClr val="bg1"/>
              </a:solidFill>
              <a:latin typeface="Aptos Narrow"/>
              <a:ea typeface="+mn-ea"/>
              <a:cs typeface="+mn-cs"/>
            </a:rPr>
            <a:pPr marL="0" indent="0" algn="ctr"/>
            <a:t>52%</a:t>
          </a:fld>
          <a:endParaRPr lang="ru-RU" sz="1800" b="0" i="0" u="none" strike="noStrike">
            <a:solidFill>
              <a:schemeClr val="bg1"/>
            </a:solidFill>
            <a:latin typeface="Aptos Narrow"/>
            <a:ea typeface="+mn-ea"/>
            <a:cs typeface="+mn-cs"/>
          </a:endParaRPr>
        </a:p>
      </xdr:txBody>
    </xdr:sp>
    <xdr:clientData/>
  </xdr:twoCellAnchor>
  <xdr:twoCellAnchor>
    <xdr:from>
      <xdr:col>12</xdr:col>
      <xdr:colOff>388620</xdr:colOff>
      <xdr:row>21</xdr:row>
      <xdr:rowOff>96085</xdr:rowOff>
    </xdr:from>
    <xdr:to>
      <xdr:col>14</xdr:col>
      <xdr:colOff>304778</xdr:colOff>
      <xdr:row>23</xdr:row>
      <xdr:rowOff>57985</xdr:rowOff>
    </xdr:to>
    <xdr:sp macro="" textlink="Processing!B32">
      <xdr:nvSpPr>
        <xdr:cNvPr id="37" name="TextBox 36">
          <a:extLst>
            <a:ext uri="{FF2B5EF4-FFF2-40B4-BE49-F238E27FC236}">
              <a16:creationId xmlns:a16="http://schemas.microsoft.com/office/drawing/2014/main" id="{2521117B-8E06-4E42-9764-F88DAAEC68CC}"/>
            </a:ext>
          </a:extLst>
        </xdr:cNvPr>
        <xdr:cNvSpPr txBox="1"/>
      </xdr:nvSpPr>
      <xdr:spPr>
        <a:xfrm>
          <a:off x="770382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E21EC3CC-CA95-428B-98B7-4DE0DF5CF094}" type="TxLink">
            <a:rPr lang="en-US" sz="1400" b="0" i="0" u="none" strike="noStrike">
              <a:solidFill>
                <a:schemeClr val="tx1"/>
              </a:solidFill>
              <a:latin typeface="Aptos Narrow"/>
              <a:ea typeface="+mn-ea"/>
              <a:cs typeface="+mn-cs"/>
            </a:rPr>
            <a:pPr marL="0" indent="0" algn="r"/>
            <a:t> $37,835 </a:t>
          </a:fld>
          <a:endParaRPr lang="ru-RU" sz="1400" b="0" i="0" u="none" strike="noStrike">
            <a:solidFill>
              <a:schemeClr val="tx1"/>
            </a:solidFill>
            <a:latin typeface="Aptos Narrow"/>
            <a:ea typeface="+mn-ea"/>
            <a:cs typeface="+mn-cs"/>
          </a:endParaRPr>
        </a:p>
      </xdr:txBody>
    </xdr:sp>
    <xdr:clientData/>
  </xdr:twoCellAnchor>
  <xdr:twoCellAnchor>
    <xdr:from>
      <xdr:col>14</xdr:col>
      <xdr:colOff>304800</xdr:colOff>
      <xdr:row>21</xdr:row>
      <xdr:rowOff>96085</xdr:rowOff>
    </xdr:from>
    <xdr:to>
      <xdr:col>16</xdr:col>
      <xdr:colOff>220958</xdr:colOff>
      <xdr:row>23</xdr:row>
      <xdr:rowOff>57985</xdr:rowOff>
    </xdr:to>
    <xdr:sp macro="" textlink="Processing!C32">
      <xdr:nvSpPr>
        <xdr:cNvPr id="38" name="TextBox 37">
          <a:extLst>
            <a:ext uri="{FF2B5EF4-FFF2-40B4-BE49-F238E27FC236}">
              <a16:creationId xmlns:a16="http://schemas.microsoft.com/office/drawing/2014/main" id="{D2746DA9-73C8-406A-B7BD-11673222932E}"/>
            </a:ext>
          </a:extLst>
        </xdr:cNvPr>
        <xdr:cNvSpPr txBox="1"/>
      </xdr:nvSpPr>
      <xdr:spPr>
        <a:xfrm>
          <a:off x="883920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B887651-16A7-4B6B-95E2-0C9BA58C3F07}" type="TxLink">
            <a:rPr lang="en-US" sz="1400" b="0" i="0" u="none" strike="noStrike">
              <a:solidFill>
                <a:schemeClr val="tx1"/>
              </a:solidFill>
              <a:latin typeface="Aptos Narrow"/>
              <a:ea typeface="+mn-ea"/>
              <a:cs typeface="+mn-cs"/>
            </a:rPr>
            <a:pPr marL="0" indent="0" algn="l"/>
            <a:t> $26,660 </a:t>
          </a:fld>
          <a:endParaRPr lang="ru-RU" sz="1400" b="0" i="0" u="none" strike="noStrike">
            <a:solidFill>
              <a:schemeClr val="tx1"/>
            </a:solidFill>
            <a:latin typeface="Aptos Narrow"/>
            <a:ea typeface="+mn-ea"/>
            <a:cs typeface="+mn-cs"/>
          </a:endParaRPr>
        </a:p>
      </xdr:txBody>
    </xdr:sp>
    <xdr:clientData/>
  </xdr:twoCellAnchor>
  <xdr:twoCellAnchor>
    <xdr:from>
      <xdr:col>18</xdr:col>
      <xdr:colOff>236220</xdr:colOff>
      <xdr:row>22</xdr:row>
      <xdr:rowOff>83820</xdr:rowOff>
    </xdr:from>
    <xdr:to>
      <xdr:col>19</xdr:col>
      <xdr:colOff>403860</xdr:colOff>
      <xdr:row>24</xdr:row>
      <xdr:rowOff>45720</xdr:rowOff>
    </xdr:to>
    <xdr:sp macro="" textlink="Processing!K7">
      <xdr:nvSpPr>
        <xdr:cNvPr id="39" name="TextBox 38">
          <a:extLst>
            <a:ext uri="{FF2B5EF4-FFF2-40B4-BE49-F238E27FC236}">
              <a16:creationId xmlns:a16="http://schemas.microsoft.com/office/drawing/2014/main" id="{3DA35A38-DD4A-415B-BA27-2645E1AF8FDC}"/>
            </a:ext>
          </a:extLst>
        </xdr:cNvPr>
        <xdr:cNvSpPr txBox="1"/>
      </xdr:nvSpPr>
      <xdr:spPr>
        <a:xfrm>
          <a:off x="11209020" y="4107180"/>
          <a:ext cx="7772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95F57CC-C864-4243-8643-2B753CFD8A66}" type="TxLink">
            <a:rPr lang="en-US" sz="1400" b="0" i="0" u="none" strike="noStrike">
              <a:solidFill>
                <a:schemeClr val="tx1"/>
              </a:solidFill>
              <a:latin typeface="Aptos Narrow"/>
              <a:ea typeface="+mn-ea"/>
              <a:cs typeface="+mn-cs"/>
            </a:rPr>
            <a:pPr marL="0" indent="0" algn="r"/>
            <a:t> 15 366</a:t>
          </a:fld>
          <a:endParaRPr lang="ru-RU" sz="3200" b="0" i="0" u="none" strike="noStrike">
            <a:solidFill>
              <a:schemeClr val="tx1"/>
            </a:solidFill>
            <a:latin typeface="Aptos Narrow"/>
            <a:ea typeface="+mn-ea"/>
            <a:cs typeface="+mn-cs"/>
          </a:endParaRPr>
        </a:p>
      </xdr:txBody>
    </xdr:sp>
    <xdr:clientData/>
  </xdr:twoCellAnchor>
  <xdr:twoCellAnchor editAs="oneCell">
    <xdr:from>
      <xdr:col>2</xdr:col>
      <xdr:colOff>304800</xdr:colOff>
      <xdr:row>30</xdr:row>
      <xdr:rowOff>91440</xdr:rowOff>
    </xdr:from>
    <xdr:to>
      <xdr:col>11</xdr:col>
      <xdr:colOff>396240</xdr:colOff>
      <xdr:row>32</xdr:row>
      <xdr:rowOff>155448</xdr:rowOff>
    </xdr:to>
    <mc:AlternateContent xmlns:mc="http://schemas.openxmlformats.org/markup-compatibility/2006" xmlns:a14="http://schemas.microsoft.com/office/drawing/2010/main">
      <mc:Choice Requires="a14">
        <xdr:graphicFrame macro="">
          <xdr:nvGraphicFramePr>
            <xdr:cNvPr id="40" name="Month 6">
              <a:extLst>
                <a:ext uri="{FF2B5EF4-FFF2-40B4-BE49-F238E27FC236}">
                  <a16:creationId xmlns:a16="http://schemas.microsoft.com/office/drawing/2014/main" id="{5D6F11A4-768E-428B-8949-3D652F5D6FF7}"/>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1524000" y="5577840"/>
              <a:ext cx="55778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198120</xdr:colOff>
      <xdr:row>13</xdr:row>
      <xdr:rowOff>38100</xdr:rowOff>
    </xdr:from>
    <xdr:to>
      <xdr:col>10</xdr:col>
      <xdr:colOff>502920</xdr:colOff>
      <xdr:row>28</xdr:row>
      <xdr:rowOff>38100</xdr:rowOff>
    </xdr:to>
    <xdr:graphicFrame macro="">
      <xdr:nvGraphicFramePr>
        <xdr:cNvPr id="41" name="Chart 40">
          <a:extLst>
            <a:ext uri="{FF2B5EF4-FFF2-40B4-BE49-F238E27FC236}">
              <a16:creationId xmlns:a16="http://schemas.microsoft.com/office/drawing/2014/main" id="{7687F59D-47D1-442C-B471-8BA5BC5E4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266700</xdr:colOff>
      <xdr:row>27</xdr:row>
      <xdr:rowOff>7620</xdr:rowOff>
    </xdr:from>
    <xdr:to>
      <xdr:col>10</xdr:col>
      <xdr:colOff>472440</xdr:colOff>
      <xdr:row>29</xdr:row>
      <xdr:rowOff>91439</xdr:rowOff>
    </xdr:to>
    <mc:AlternateContent xmlns:mc="http://schemas.openxmlformats.org/markup-compatibility/2006" xmlns:a14="http://schemas.microsoft.com/office/drawing/2010/main">
      <mc:Choice Requires="a14">
        <xdr:graphicFrame macro="">
          <xdr:nvGraphicFramePr>
            <xdr:cNvPr id="42" name="Week Day 1">
              <a:extLst>
                <a:ext uri="{FF2B5EF4-FFF2-40B4-BE49-F238E27FC236}">
                  <a16:creationId xmlns:a16="http://schemas.microsoft.com/office/drawing/2014/main" id="{DC90D851-B39D-445F-A784-3B0EC7D0B87E}"/>
                </a:ext>
              </a:extLst>
            </xdr:cNvPr>
            <xdr:cNvGraphicFramePr/>
          </xdr:nvGraphicFramePr>
          <xdr:xfrm>
            <a:off x="0" y="0"/>
            <a:ext cx="0" cy="0"/>
          </xdr:xfrm>
          <a:graphic>
            <a:graphicData uri="http://schemas.microsoft.com/office/drawing/2010/slicer">
              <sle:slicer xmlns:sle="http://schemas.microsoft.com/office/drawing/2010/slicer" name="Week Day 1"/>
            </a:graphicData>
          </a:graphic>
        </xdr:graphicFrame>
      </mc:Choice>
      <mc:Fallback xmlns="">
        <xdr:sp macro="" textlink="">
          <xdr:nvSpPr>
            <xdr:cNvPr id="0" name=""/>
            <xdr:cNvSpPr>
              <a:spLocks noTextEdit="1"/>
            </xdr:cNvSpPr>
          </xdr:nvSpPr>
          <xdr:spPr>
            <a:xfrm>
              <a:off x="2095500" y="4945380"/>
              <a:ext cx="4472940" cy="44957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38831</xdr:colOff>
      <xdr:row>23</xdr:row>
      <xdr:rowOff>70365</xdr:rowOff>
    </xdr:from>
    <xdr:to>
      <xdr:col>16</xdr:col>
      <xdr:colOff>572231</xdr:colOff>
      <xdr:row>33</xdr:row>
      <xdr:rowOff>38100</xdr:rowOff>
    </xdr:to>
    <xdr:graphicFrame macro="">
      <xdr:nvGraphicFramePr>
        <xdr:cNvPr id="46" name="Chart 45">
          <a:extLst>
            <a:ext uri="{FF2B5EF4-FFF2-40B4-BE49-F238E27FC236}">
              <a16:creationId xmlns:a16="http://schemas.microsoft.com/office/drawing/2014/main" id="{FD418759-DC68-496D-8AE8-FE74D38B8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566998</xdr:colOff>
      <xdr:row>23</xdr:row>
      <xdr:rowOff>99060</xdr:rowOff>
    </xdr:from>
    <xdr:to>
      <xdr:col>19</xdr:col>
      <xdr:colOff>476943</xdr:colOff>
      <xdr:row>31</xdr:row>
      <xdr:rowOff>175260</xdr:rowOff>
    </xdr:to>
    <xdr:graphicFrame macro="">
      <xdr:nvGraphicFramePr>
        <xdr:cNvPr id="47" name="Chart 46">
          <a:extLst>
            <a:ext uri="{FF2B5EF4-FFF2-40B4-BE49-F238E27FC236}">
              <a16:creationId xmlns:a16="http://schemas.microsoft.com/office/drawing/2014/main" id="{68DEE218-2562-4765-9374-5387AF892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0</xdr:row>
      <xdr:rowOff>0</xdr:rowOff>
    </xdr:from>
    <xdr:to>
      <xdr:col>0</xdr:col>
      <xdr:colOff>274320</xdr:colOff>
      <xdr:row>1</xdr:row>
      <xdr:rowOff>91440</xdr:rowOff>
    </xdr:to>
    <xdr:pic>
      <xdr:nvPicPr>
        <xdr:cNvPr id="2" name="Graphic 1" descr="Moon and stars with solid fill">
          <a:hlinkClick xmlns:r="http://schemas.openxmlformats.org/officeDocument/2006/relationships" r:id="rId9"/>
          <a:extLst>
            <a:ext uri="{FF2B5EF4-FFF2-40B4-BE49-F238E27FC236}">
              <a16:creationId xmlns:a16="http://schemas.microsoft.com/office/drawing/2014/main" id="{41E91911-8C07-4E04-A0BD-937B193FA08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0" y="0"/>
          <a:ext cx="274320" cy="274320"/>
        </a:xfrm>
        <a:prstGeom prst="rect">
          <a:avLst/>
        </a:prstGeom>
      </xdr:spPr>
    </xdr:pic>
    <xdr:clientData/>
  </xdr:twoCellAnchor>
  <xdr:twoCellAnchor>
    <xdr:from>
      <xdr:col>12</xdr:col>
      <xdr:colOff>335280</xdr:colOff>
      <xdr:row>8</xdr:row>
      <xdr:rowOff>99060</xdr:rowOff>
    </xdr:from>
    <xdr:to>
      <xdr:col>16</xdr:col>
      <xdr:colOff>251460</xdr:colOff>
      <xdr:row>18</xdr:row>
      <xdr:rowOff>99060</xdr:rowOff>
    </xdr:to>
    <xdr:sp macro="" textlink="">
      <xdr:nvSpPr>
        <xdr:cNvPr id="3" name="Rectangle: Rounded Corners 2">
          <a:hlinkClick xmlns:r="http://schemas.openxmlformats.org/officeDocument/2006/relationships" r:id="rId12"/>
          <a:extLst>
            <a:ext uri="{FF2B5EF4-FFF2-40B4-BE49-F238E27FC236}">
              <a16:creationId xmlns:a16="http://schemas.microsoft.com/office/drawing/2014/main" id="{5B59A4C0-E4FE-4132-B73B-053F619BD6C9}"/>
            </a:ext>
          </a:extLst>
        </xdr:cNvPr>
        <xdr:cNvSpPr/>
      </xdr:nvSpPr>
      <xdr:spPr>
        <a:xfrm>
          <a:off x="7650480" y="1562100"/>
          <a:ext cx="235458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335280</xdr:colOff>
      <xdr:row>19</xdr:row>
      <xdr:rowOff>137160</xdr:rowOff>
    </xdr:from>
    <xdr:to>
      <xdr:col>16</xdr:col>
      <xdr:colOff>251460</xdr:colOff>
      <xdr:row>32</xdr:row>
      <xdr:rowOff>38100</xdr:rowOff>
    </xdr:to>
    <xdr:sp macro="" textlink="">
      <xdr:nvSpPr>
        <xdr:cNvPr id="4" name="Rectangle: Rounded Corners 3">
          <a:hlinkClick xmlns:r="http://schemas.openxmlformats.org/officeDocument/2006/relationships" r:id="rId13"/>
          <a:extLst>
            <a:ext uri="{FF2B5EF4-FFF2-40B4-BE49-F238E27FC236}">
              <a16:creationId xmlns:a16="http://schemas.microsoft.com/office/drawing/2014/main" id="{A7150ED4-8A78-494B-8F9D-94DDDEFCA5F7}"/>
            </a:ext>
          </a:extLst>
        </xdr:cNvPr>
        <xdr:cNvSpPr/>
      </xdr:nvSpPr>
      <xdr:spPr>
        <a:xfrm>
          <a:off x="7650480" y="3611880"/>
          <a:ext cx="2354580" cy="2278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502920</xdr:colOff>
      <xdr:row>22</xdr:row>
      <xdr:rowOff>15240</xdr:rowOff>
    </xdr:from>
    <xdr:to>
      <xdr:col>19</xdr:col>
      <xdr:colOff>495300</xdr:colOff>
      <xdr:row>32</xdr:row>
      <xdr:rowOff>15240</xdr:rowOff>
    </xdr:to>
    <xdr:sp macro="" textlink="">
      <xdr:nvSpPr>
        <xdr:cNvPr id="5" name="Rectangle: Rounded Corners 4">
          <a:hlinkClick xmlns:r="http://schemas.openxmlformats.org/officeDocument/2006/relationships" r:id="rId14"/>
          <a:extLst>
            <a:ext uri="{FF2B5EF4-FFF2-40B4-BE49-F238E27FC236}">
              <a16:creationId xmlns:a16="http://schemas.microsoft.com/office/drawing/2014/main" id="{BCD28B7A-573C-489D-9BF7-4A0FCEC88691}"/>
            </a:ext>
          </a:extLst>
        </xdr:cNvPr>
        <xdr:cNvSpPr/>
      </xdr:nvSpPr>
      <xdr:spPr>
        <a:xfrm>
          <a:off x="10256520" y="4038600"/>
          <a:ext cx="182118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76200</xdr:colOff>
      <xdr:row>22</xdr:row>
      <xdr:rowOff>15240</xdr:rowOff>
    </xdr:from>
    <xdr:to>
      <xdr:col>22</xdr:col>
      <xdr:colOff>30480</xdr:colOff>
      <xdr:row>32</xdr:row>
      <xdr:rowOff>15240</xdr:rowOff>
    </xdr:to>
    <xdr:sp macro="" textlink="">
      <xdr:nvSpPr>
        <xdr:cNvPr id="6" name="Rectangle: Rounded Corners 5">
          <a:hlinkClick xmlns:r="http://schemas.openxmlformats.org/officeDocument/2006/relationships" r:id="rId15"/>
          <a:extLst>
            <a:ext uri="{FF2B5EF4-FFF2-40B4-BE49-F238E27FC236}">
              <a16:creationId xmlns:a16="http://schemas.microsoft.com/office/drawing/2014/main" id="{194CCC2B-80EE-47C2-8952-01355A6C1387}"/>
            </a:ext>
          </a:extLst>
        </xdr:cNvPr>
        <xdr:cNvSpPr/>
      </xdr:nvSpPr>
      <xdr:spPr>
        <a:xfrm>
          <a:off x="12268200" y="4038600"/>
          <a:ext cx="117348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533400</xdr:colOff>
      <xdr:row>8</xdr:row>
      <xdr:rowOff>99060</xdr:rowOff>
    </xdr:from>
    <xdr:to>
      <xdr:col>22</xdr:col>
      <xdr:colOff>0</xdr:colOff>
      <xdr:row>20</xdr:row>
      <xdr:rowOff>160020</xdr:rowOff>
    </xdr:to>
    <xdr:sp macro="" textlink="">
      <xdr:nvSpPr>
        <xdr:cNvPr id="12" name="Rectangle: Rounded Corners 11">
          <a:hlinkClick xmlns:r="http://schemas.openxmlformats.org/officeDocument/2006/relationships" r:id="rId16"/>
          <a:extLst>
            <a:ext uri="{FF2B5EF4-FFF2-40B4-BE49-F238E27FC236}">
              <a16:creationId xmlns:a16="http://schemas.microsoft.com/office/drawing/2014/main" id="{9B3D9D70-9BC7-486C-AC8B-5E1E62A9BFF6}"/>
            </a:ext>
          </a:extLst>
        </xdr:cNvPr>
        <xdr:cNvSpPr/>
      </xdr:nvSpPr>
      <xdr:spPr>
        <a:xfrm>
          <a:off x="10287000" y="1562100"/>
          <a:ext cx="3124200" cy="2255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167640</xdr:colOff>
      <xdr:row>43</xdr:row>
      <xdr:rowOff>146304</xdr:rowOff>
    </xdr:to>
    <xdr:sp macro="" textlink="">
      <xdr:nvSpPr>
        <xdr:cNvPr id="2" name="Rectangle 1">
          <a:extLst>
            <a:ext uri="{FF2B5EF4-FFF2-40B4-BE49-F238E27FC236}">
              <a16:creationId xmlns:a16="http://schemas.microsoft.com/office/drawing/2014/main" id="{E5781CEE-0B57-4061-ACB6-1679009D0632}"/>
            </a:ext>
          </a:extLst>
        </xdr:cNvPr>
        <xdr:cNvSpPr/>
      </xdr:nvSpPr>
      <xdr:spPr>
        <a:xfrm>
          <a:off x="0" y="0"/>
          <a:ext cx="14798040" cy="8010144"/>
        </a:xfrm>
        <a:prstGeom prst="rect">
          <a:avLst/>
        </a:prstGeom>
        <a:gradFill flip="none" rotWithShape="1">
          <a:gsLst>
            <a:gs pos="35000">
              <a:srgbClr val="754CB9"/>
            </a:gs>
            <a:gs pos="65000">
              <a:srgbClr val="519FFB"/>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0</xdr:colOff>
      <xdr:row>0</xdr:row>
      <xdr:rowOff>0</xdr:rowOff>
    </xdr:from>
    <xdr:to>
      <xdr:col>24</xdr:col>
      <xdr:colOff>167640</xdr:colOff>
      <xdr:row>43</xdr:row>
      <xdr:rowOff>146304</xdr:rowOff>
    </xdr:to>
    <xdr:sp macro="" textlink="">
      <xdr:nvSpPr>
        <xdr:cNvPr id="3" name="Rectangle 2">
          <a:extLst>
            <a:ext uri="{FF2B5EF4-FFF2-40B4-BE49-F238E27FC236}">
              <a16:creationId xmlns:a16="http://schemas.microsoft.com/office/drawing/2014/main" id="{90615774-2F9A-42F3-BA0D-FD5DBE364DA7}"/>
            </a:ext>
          </a:extLst>
        </xdr:cNvPr>
        <xdr:cNvSpPr/>
      </xdr:nvSpPr>
      <xdr:spPr>
        <a:xfrm>
          <a:off x="0" y="0"/>
          <a:ext cx="14798040" cy="8010144"/>
        </a:xfrm>
        <a:prstGeom prst="rect">
          <a:avLst/>
        </a:prstGeom>
        <a:gradFill flip="none" rotWithShape="1">
          <a:gsLst>
            <a:gs pos="6000">
              <a:srgbClr val="EE0078"/>
            </a:gs>
            <a:gs pos="100000">
              <a:srgbClr val="562BFF">
                <a:alpha val="0"/>
              </a:srgb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205740</xdr:colOff>
      <xdr:row>3</xdr:row>
      <xdr:rowOff>91440</xdr:rowOff>
    </xdr:from>
    <xdr:to>
      <xdr:col>22</xdr:col>
      <xdr:colOff>419100</xdr:colOff>
      <xdr:row>35</xdr:row>
      <xdr:rowOff>7034</xdr:rowOff>
    </xdr:to>
    <xdr:grpSp>
      <xdr:nvGrpSpPr>
        <xdr:cNvPr id="4" name="Group 3">
          <a:extLst>
            <a:ext uri="{FF2B5EF4-FFF2-40B4-BE49-F238E27FC236}">
              <a16:creationId xmlns:a16="http://schemas.microsoft.com/office/drawing/2014/main" id="{3123EBCD-3F02-47DB-982C-466A4CF61E49}"/>
            </a:ext>
          </a:extLst>
        </xdr:cNvPr>
        <xdr:cNvGrpSpPr/>
      </xdr:nvGrpSpPr>
      <xdr:grpSpPr>
        <a:xfrm>
          <a:off x="815340" y="662940"/>
          <a:ext cx="13014960" cy="6011594"/>
          <a:chOff x="3116580" y="662940"/>
          <a:chExt cx="5449472" cy="5767754"/>
        </a:xfrm>
      </xdr:grpSpPr>
      <xdr:sp macro="" textlink="">
        <xdr:nvSpPr>
          <xdr:cNvPr id="5" name="Rectangle: Rounded Corners 4">
            <a:extLst>
              <a:ext uri="{FF2B5EF4-FFF2-40B4-BE49-F238E27FC236}">
                <a16:creationId xmlns:a16="http://schemas.microsoft.com/office/drawing/2014/main" id="{FBC4316A-1BB2-A7C8-DB5F-AE28AEAF2324}"/>
              </a:ext>
            </a:extLst>
          </xdr:cNvPr>
          <xdr:cNvSpPr/>
        </xdr:nvSpPr>
        <xdr:spPr>
          <a:xfrm>
            <a:off x="3116580" y="662940"/>
            <a:ext cx="5449472" cy="5767754"/>
          </a:xfrm>
          <a:prstGeom prst="roundRect">
            <a:avLst>
              <a:gd name="adj" fmla="val 10643"/>
            </a:avLst>
          </a:prstGeom>
          <a:gradFill>
            <a:gsLst>
              <a:gs pos="62000">
                <a:srgbClr val="1E2255"/>
              </a:gs>
              <a:gs pos="100000">
                <a:srgbClr val="2B215C"/>
              </a:gs>
            </a:gsLst>
            <a:lin ang="8100000" scaled="1"/>
          </a:gradFill>
          <a:ln>
            <a:noFill/>
          </a:ln>
          <a:effectLst>
            <a:outerShdw blurRad="584200" dist="3937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 name="Rectangle: Rounded Corners 5">
            <a:extLst>
              <a:ext uri="{FF2B5EF4-FFF2-40B4-BE49-F238E27FC236}">
                <a16:creationId xmlns:a16="http://schemas.microsoft.com/office/drawing/2014/main" id="{4760FA05-F583-F96F-3FE7-285F1D8424AE}"/>
              </a:ext>
            </a:extLst>
          </xdr:cNvPr>
          <xdr:cNvSpPr/>
        </xdr:nvSpPr>
        <xdr:spPr>
          <a:xfrm>
            <a:off x="3116580" y="662940"/>
            <a:ext cx="5449472" cy="5767754"/>
          </a:xfrm>
          <a:prstGeom prst="roundRect">
            <a:avLst>
              <a:gd name="adj" fmla="val 10643"/>
            </a:avLst>
          </a:prstGeom>
          <a:gradFill>
            <a:gsLst>
              <a:gs pos="0">
                <a:srgbClr val="4E7AE2"/>
              </a:gs>
              <a:gs pos="77000">
                <a:srgbClr val="3A2058">
                  <a:alpha val="0"/>
                </a:srgbClr>
              </a:gs>
            </a:gsLst>
            <a:path path="circle">
              <a:fillToRect l="100000" b="100000"/>
            </a:path>
          </a:gradFill>
          <a:ln>
            <a:gradFill flip="none" rotWithShape="1">
              <a:gsLst>
                <a:gs pos="51000">
                  <a:srgbClr val="5584ED"/>
                </a:gs>
                <a:gs pos="0">
                  <a:srgbClr val="B7D6FF"/>
                </a:gs>
                <a:gs pos="100000">
                  <a:srgbClr val="B459A0"/>
                </a:gs>
              </a:gsLst>
              <a:lin ang="8100000" scaled="1"/>
              <a:tileRect/>
            </a:gradFill>
          </a:ln>
          <a:effectLst>
            <a:outerShdw blurRad="508000" dist="1270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510540</xdr:colOff>
      <xdr:row>8</xdr:row>
      <xdr:rowOff>102287</xdr:rowOff>
    </xdr:from>
    <xdr:to>
      <xdr:col>22</xdr:col>
      <xdr:colOff>48508</xdr:colOff>
      <xdr:row>21</xdr:row>
      <xdr:rowOff>10847</xdr:rowOff>
    </xdr:to>
    <xdr:sp macro="" textlink="">
      <xdr:nvSpPr>
        <xdr:cNvPr id="7" name="Rectangle: Rounded Corners 6">
          <a:extLst>
            <a:ext uri="{FF2B5EF4-FFF2-40B4-BE49-F238E27FC236}">
              <a16:creationId xmlns:a16="http://schemas.microsoft.com/office/drawing/2014/main" id="{A59A92A7-0571-463F-815E-55486CE86444}"/>
            </a:ext>
          </a:extLst>
        </xdr:cNvPr>
        <xdr:cNvSpPr/>
      </xdr:nvSpPr>
      <xdr:spPr>
        <a:xfrm>
          <a:off x="10264140" y="1565327"/>
          <a:ext cx="3195568" cy="2286000"/>
        </a:xfrm>
        <a:prstGeom prst="roundRect">
          <a:avLst>
            <a:gd name="adj" fmla="val 12222"/>
          </a:avLst>
        </a:prstGeom>
        <a:gradFill flip="none" rotWithShape="1">
          <a:gsLst>
            <a:gs pos="49000">
              <a:srgbClr val="253274"/>
            </a:gs>
            <a:gs pos="18000">
              <a:srgbClr val="2F4495"/>
            </a:gs>
            <a:gs pos="0">
              <a:srgbClr val="3C56B2"/>
            </a:gs>
            <a:gs pos="100000">
              <a:srgbClr val="1E2255"/>
            </a:gs>
          </a:gsLst>
          <a:lin ang="8100000" scaled="1"/>
          <a:tileRect/>
        </a:gradFill>
        <a:ln w="9525">
          <a:gradFill flip="none" rotWithShape="1">
            <a:gsLst>
              <a:gs pos="0">
                <a:srgbClr val="5080DB"/>
              </a:gs>
              <a:gs pos="21000">
                <a:srgbClr val="6476CE"/>
              </a:gs>
              <a:gs pos="100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20</xdr:col>
      <xdr:colOff>78988</xdr:colOff>
      <xdr:row>22</xdr:row>
      <xdr:rowOff>24777</xdr:rowOff>
    </xdr:from>
    <xdr:to>
      <xdr:col>22</xdr:col>
      <xdr:colOff>48508</xdr:colOff>
      <xdr:row>32</xdr:row>
      <xdr:rowOff>70497</xdr:rowOff>
    </xdr:to>
    <xdr:sp macro="" textlink="Processing!L10">
      <xdr:nvSpPr>
        <xdr:cNvPr id="8" name="Rectangle: Rounded Corners 7">
          <a:extLst>
            <a:ext uri="{FF2B5EF4-FFF2-40B4-BE49-F238E27FC236}">
              <a16:creationId xmlns:a16="http://schemas.microsoft.com/office/drawing/2014/main" id="{A17A9C57-8C65-47CF-A670-4C11D5FEA742}"/>
            </a:ext>
          </a:extLst>
        </xdr:cNvPr>
        <xdr:cNvSpPr/>
      </xdr:nvSpPr>
      <xdr:spPr>
        <a:xfrm>
          <a:off x="12270988" y="4048137"/>
          <a:ext cx="1188720" cy="1874520"/>
        </a:xfrm>
        <a:prstGeom prst="roundRect">
          <a:avLst>
            <a:gd name="adj" fmla="val 16940"/>
          </a:avLst>
        </a:prstGeom>
        <a:gradFill flip="none" rotWithShape="1">
          <a:gsLst>
            <a:gs pos="0">
              <a:srgbClr val="232C68"/>
            </a:gs>
            <a:gs pos="100000">
              <a:srgbClr val="1E2255"/>
            </a:gs>
          </a:gsLst>
          <a:lin ang="8100000" scaled="1"/>
          <a:tileRect/>
        </a:gradFill>
        <a:ln w="9525">
          <a:solidFill>
            <a:schemeClr val="bg1"/>
          </a:soli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B141ACD5-C6B6-41AA-B709-DAF022D00E18}" type="TxLink">
            <a:rPr lang="en-US" sz="1200" b="0" i="0" u="none" strike="noStrike">
              <a:solidFill>
                <a:schemeClr val="bg1"/>
              </a:solidFill>
              <a:latin typeface="Aptos Narrow"/>
            </a:rPr>
            <a:pPr algn="ctr"/>
            <a:t>Top-5 Products</a:t>
          </a:fld>
          <a:endParaRPr lang="ru-RU" sz="2000">
            <a:solidFill>
              <a:schemeClr val="bg1"/>
            </a:solidFill>
          </a:endParaRPr>
        </a:p>
      </xdr:txBody>
    </xdr:sp>
    <xdr:clientData/>
  </xdr:twoCellAnchor>
  <xdr:twoCellAnchor>
    <xdr:from>
      <xdr:col>16</xdr:col>
      <xdr:colOff>510540</xdr:colOff>
      <xdr:row>22</xdr:row>
      <xdr:rowOff>24777</xdr:rowOff>
    </xdr:from>
    <xdr:to>
      <xdr:col>19</xdr:col>
      <xdr:colOff>510540</xdr:colOff>
      <xdr:row>32</xdr:row>
      <xdr:rowOff>70497</xdr:rowOff>
    </xdr:to>
    <xdr:sp macro="" textlink="Processing!J1">
      <xdr:nvSpPr>
        <xdr:cNvPr id="9" name="Rectangle: Rounded Corners 8">
          <a:extLst>
            <a:ext uri="{FF2B5EF4-FFF2-40B4-BE49-F238E27FC236}">
              <a16:creationId xmlns:a16="http://schemas.microsoft.com/office/drawing/2014/main" id="{AB8495A0-EBDA-4FC1-BF4A-8109B7241E55}"/>
            </a:ext>
          </a:extLst>
        </xdr:cNvPr>
        <xdr:cNvSpPr/>
      </xdr:nvSpPr>
      <xdr:spPr>
        <a:xfrm>
          <a:off x="10264140" y="4048137"/>
          <a:ext cx="1828800" cy="1874520"/>
        </a:xfrm>
        <a:prstGeom prst="roundRect">
          <a:avLst>
            <a:gd name="adj" fmla="val 15658"/>
          </a:avLst>
        </a:prstGeom>
        <a:gradFill flip="none" rotWithShape="1">
          <a:gsLst>
            <a:gs pos="10000">
              <a:srgbClr val="1C265C"/>
            </a:gs>
            <a:gs pos="0">
              <a:srgbClr val="232C68"/>
            </a:gs>
            <a:gs pos="100000">
              <a:srgbClr val="1E2255"/>
            </a:gs>
          </a:gsLst>
          <a:lin ang="8100000" scaled="1"/>
          <a:tileRect/>
        </a:gradFill>
        <a:ln w="9525">
          <a:gradFill flip="none" rotWithShape="1">
            <a:gsLst>
              <a:gs pos="0">
                <a:srgbClr val="6476CE"/>
              </a:gs>
              <a:gs pos="73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891643E-D31A-43FE-B4F0-A61FA518E279}" type="TxLink">
            <a:rPr lang="en-US" sz="1200" b="0" i="0" u="none" strike="noStrike" kern="1200">
              <a:solidFill>
                <a:srgbClr val="A2ADBE"/>
              </a:solidFill>
              <a:latin typeface="Aptos Narrow"/>
              <a:ea typeface="+mn-ea"/>
              <a:cs typeface="+mn-cs"/>
            </a:rPr>
            <a:pPr marL="0" indent="0" algn="l" defTabSz="914400" rtl="0" eaLnBrk="1" latinLnBrk="0" hangingPunct="1"/>
            <a:t>Sales Closed</a:t>
          </a:fld>
          <a:endParaRPr lang="ru-RU" sz="1200" b="0" i="0" u="none" strike="noStrike" kern="1200">
            <a:solidFill>
              <a:srgbClr val="A2ADBE"/>
            </a:solidFill>
            <a:latin typeface="Aptos Narrow"/>
            <a:ea typeface="+mn-ea"/>
            <a:cs typeface="+mn-cs"/>
          </a:endParaRPr>
        </a:p>
      </xdr:txBody>
    </xdr:sp>
    <xdr:clientData/>
  </xdr:twoCellAnchor>
  <xdr:twoCellAnchor>
    <xdr:from>
      <xdr:col>12</xdr:col>
      <xdr:colOff>289560</xdr:colOff>
      <xdr:row>19</xdr:row>
      <xdr:rowOff>143699</xdr:rowOff>
    </xdr:from>
    <xdr:to>
      <xdr:col>16</xdr:col>
      <xdr:colOff>320040</xdr:colOff>
      <xdr:row>32</xdr:row>
      <xdr:rowOff>70497</xdr:rowOff>
    </xdr:to>
    <xdr:sp macro="" textlink="Processing!A19">
      <xdr:nvSpPr>
        <xdr:cNvPr id="10" name="Rectangle: Rounded Corners 9">
          <a:extLst>
            <a:ext uri="{FF2B5EF4-FFF2-40B4-BE49-F238E27FC236}">
              <a16:creationId xmlns:a16="http://schemas.microsoft.com/office/drawing/2014/main" id="{9EE30C35-C014-4885-A220-046BDAA81CAB}"/>
            </a:ext>
          </a:extLst>
        </xdr:cNvPr>
        <xdr:cNvSpPr/>
      </xdr:nvSpPr>
      <xdr:spPr>
        <a:xfrm>
          <a:off x="7604760" y="3618419"/>
          <a:ext cx="2468880" cy="2304238"/>
        </a:xfrm>
        <a:prstGeom prst="roundRect">
          <a:avLst>
            <a:gd name="adj" fmla="val 10585"/>
          </a:avLst>
        </a:prstGeom>
        <a:gradFill flip="none" rotWithShape="1">
          <a:gsLst>
            <a:gs pos="7000">
              <a:srgbClr val="1C265C"/>
            </a:gs>
            <a:gs pos="0">
              <a:srgbClr val="232C68"/>
            </a:gs>
            <a:gs pos="100000">
              <a:srgbClr val="1E2255"/>
            </a:gs>
          </a:gsLst>
          <a:lin ang="8100000" scaled="1"/>
          <a:tileRect/>
        </a:gradFill>
        <a:ln w="9525">
          <a:gradFill flip="none" rotWithShape="1">
            <a:gsLst>
              <a:gs pos="0">
                <a:srgbClr val="6476CE"/>
              </a:gs>
              <a:gs pos="72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1C44FD38-D300-4C1F-906B-FAB458F04708}" type="TxLink">
            <a:rPr lang="en-US" sz="1200" b="0" i="0" u="none" strike="noStrike" kern="1200">
              <a:solidFill>
                <a:srgbClr val="A2ADBE"/>
              </a:solidFill>
              <a:latin typeface="Aptos Narrow"/>
              <a:ea typeface="+mn-ea"/>
              <a:cs typeface="+mn-cs"/>
            </a:rPr>
            <a:pPr marL="0" indent="0" algn="ctr" defTabSz="914400" rtl="0" eaLnBrk="1" latinLnBrk="0" hangingPunct="1"/>
            <a:t>Revenue vs Expenses</a:t>
          </a:fld>
          <a:endParaRPr lang="ru-RU" sz="1200" b="0" i="0" u="none" strike="noStrike" kern="1200">
            <a:solidFill>
              <a:srgbClr val="A2ADBE"/>
            </a:solidFill>
            <a:latin typeface="Aptos Narrow"/>
            <a:ea typeface="+mn-ea"/>
            <a:cs typeface="+mn-cs"/>
          </a:endParaRPr>
        </a:p>
      </xdr:txBody>
    </xdr:sp>
    <xdr:clientData/>
  </xdr:twoCellAnchor>
  <xdr:twoCellAnchor>
    <xdr:from>
      <xdr:col>12</xdr:col>
      <xdr:colOff>289560</xdr:colOff>
      <xdr:row>8</xdr:row>
      <xdr:rowOff>99060</xdr:rowOff>
    </xdr:from>
    <xdr:to>
      <xdr:col>16</xdr:col>
      <xdr:colOff>320040</xdr:colOff>
      <xdr:row>18</xdr:row>
      <xdr:rowOff>144780</xdr:rowOff>
    </xdr:to>
    <xdr:sp macro="" textlink="Processing!A1">
      <xdr:nvSpPr>
        <xdr:cNvPr id="11" name="Rectangle: Rounded Corners 10">
          <a:extLst>
            <a:ext uri="{FF2B5EF4-FFF2-40B4-BE49-F238E27FC236}">
              <a16:creationId xmlns:a16="http://schemas.microsoft.com/office/drawing/2014/main" id="{54213737-7F34-48F8-B204-01CD10E7AD73}"/>
            </a:ext>
          </a:extLst>
        </xdr:cNvPr>
        <xdr:cNvSpPr/>
      </xdr:nvSpPr>
      <xdr:spPr>
        <a:xfrm>
          <a:off x="7604760" y="1562100"/>
          <a:ext cx="2468880" cy="1874520"/>
        </a:xfrm>
        <a:prstGeom prst="roundRect">
          <a:avLst>
            <a:gd name="adj" fmla="val 12132"/>
          </a:avLst>
        </a:prstGeom>
        <a:gradFill flip="none" rotWithShape="1">
          <a:gsLst>
            <a:gs pos="0">
              <a:srgbClr val="EE0078"/>
            </a:gs>
            <a:gs pos="73000">
              <a:srgbClr val="6459F9"/>
            </a:gs>
          </a:gsLst>
          <a:lin ang="2700000" scaled="1"/>
          <a:tileRect/>
        </a:gradFill>
        <a:ln w="12700">
          <a:no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03020289-B635-419F-B330-AF3CCE861824}" type="TxLink">
            <a:rPr lang="en-US" sz="1200" b="0" i="0" u="none" strike="noStrike">
              <a:solidFill>
                <a:schemeClr val="bg1"/>
              </a:solidFill>
              <a:latin typeface="Aptos Narrow"/>
            </a:rPr>
            <a:pPr algn="ctr"/>
            <a:t>Investments vs Sales Volume</a:t>
          </a:fld>
          <a:endParaRPr lang="ru-RU" sz="2000">
            <a:solidFill>
              <a:schemeClr val="bg1"/>
            </a:solidFill>
          </a:endParaRPr>
        </a:p>
      </xdr:txBody>
    </xdr:sp>
    <xdr:clientData/>
  </xdr:twoCellAnchor>
  <xdr:twoCellAnchor>
    <xdr:from>
      <xdr:col>16</xdr:col>
      <xdr:colOff>566998</xdr:colOff>
      <xdr:row>23</xdr:row>
      <xdr:rowOff>99060</xdr:rowOff>
    </xdr:from>
    <xdr:to>
      <xdr:col>19</xdr:col>
      <xdr:colOff>476943</xdr:colOff>
      <xdr:row>31</xdr:row>
      <xdr:rowOff>175260</xdr:rowOff>
    </xdr:to>
    <xdr:graphicFrame macro="">
      <xdr:nvGraphicFramePr>
        <xdr:cNvPr id="12" name="Chart 11">
          <a:extLst>
            <a:ext uri="{FF2B5EF4-FFF2-40B4-BE49-F238E27FC236}">
              <a16:creationId xmlns:a16="http://schemas.microsoft.com/office/drawing/2014/main" id="{8B03AD89-D9DF-4838-BAF2-0E5F8A379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76205</xdr:colOff>
      <xdr:row>24</xdr:row>
      <xdr:rowOff>137379</xdr:rowOff>
    </xdr:from>
    <xdr:to>
      <xdr:col>22</xdr:col>
      <xdr:colOff>60956</xdr:colOff>
      <xdr:row>31</xdr:row>
      <xdr:rowOff>136942</xdr:rowOff>
    </xdr:to>
    <xdr:graphicFrame macro="">
      <xdr:nvGraphicFramePr>
        <xdr:cNvPr id="13" name="Chart 12">
          <a:extLst>
            <a:ext uri="{FF2B5EF4-FFF2-40B4-BE49-F238E27FC236}">
              <a16:creationId xmlns:a16="http://schemas.microsoft.com/office/drawing/2014/main" id="{CC0724D3-3499-4C6F-888B-7B910615B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30677</xdr:colOff>
      <xdr:row>24</xdr:row>
      <xdr:rowOff>154137</xdr:rowOff>
    </xdr:from>
    <xdr:to>
      <xdr:col>22</xdr:col>
      <xdr:colOff>109023</xdr:colOff>
      <xdr:row>31</xdr:row>
      <xdr:rowOff>127803</xdr:rowOff>
    </xdr:to>
    <xdr:graphicFrame macro="">
      <xdr:nvGraphicFramePr>
        <xdr:cNvPr id="14" name="Chart 13">
          <a:extLst>
            <a:ext uri="{FF2B5EF4-FFF2-40B4-BE49-F238E27FC236}">
              <a16:creationId xmlns:a16="http://schemas.microsoft.com/office/drawing/2014/main" id="{8E2776D7-1A61-4970-BF6A-D6529E952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61691</xdr:colOff>
      <xdr:row>23</xdr:row>
      <xdr:rowOff>70365</xdr:rowOff>
    </xdr:from>
    <xdr:to>
      <xdr:col>16</xdr:col>
      <xdr:colOff>567659</xdr:colOff>
      <xdr:row>33</xdr:row>
      <xdr:rowOff>38100</xdr:rowOff>
    </xdr:to>
    <xdr:graphicFrame macro="">
      <xdr:nvGraphicFramePr>
        <xdr:cNvPr id="15" name="Chart 14">
          <a:extLst>
            <a:ext uri="{FF2B5EF4-FFF2-40B4-BE49-F238E27FC236}">
              <a16:creationId xmlns:a16="http://schemas.microsoft.com/office/drawing/2014/main" id="{F7BF572D-BC9D-4181-830D-3C4873609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91440</xdr:colOff>
      <xdr:row>9</xdr:row>
      <xdr:rowOff>114300</xdr:rowOff>
    </xdr:from>
    <xdr:to>
      <xdr:col>21</xdr:col>
      <xdr:colOff>395512</xdr:colOff>
      <xdr:row>19</xdr:row>
      <xdr:rowOff>159142</xdr:rowOff>
    </xdr:to>
    <xdr:graphicFrame macro="">
      <xdr:nvGraphicFramePr>
        <xdr:cNvPr id="16" name="Chart 15">
          <a:extLst>
            <a:ext uri="{FF2B5EF4-FFF2-40B4-BE49-F238E27FC236}">
              <a16:creationId xmlns:a16="http://schemas.microsoft.com/office/drawing/2014/main" id="{9AC6767F-1FEA-4375-927A-0BAF609C1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34290</xdr:colOff>
      <xdr:row>4</xdr:row>
      <xdr:rowOff>99060</xdr:rowOff>
    </xdr:from>
    <xdr:to>
      <xdr:col>16</xdr:col>
      <xdr:colOff>26670</xdr:colOff>
      <xdr:row>8</xdr:row>
      <xdr:rowOff>38100</xdr:rowOff>
    </xdr:to>
    <xdr:sp macro="" textlink="Processing!P1">
      <xdr:nvSpPr>
        <xdr:cNvPr id="17" name="TextBox 16">
          <a:extLst>
            <a:ext uri="{FF2B5EF4-FFF2-40B4-BE49-F238E27FC236}">
              <a16:creationId xmlns:a16="http://schemas.microsoft.com/office/drawing/2014/main" id="{0BAC4C37-68BD-431E-A9F6-BF2E842630EF}"/>
            </a:ext>
          </a:extLst>
        </xdr:cNvPr>
        <xdr:cNvSpPr txBox="1"/>
      </xdr:nvSpPr>
      <xdr:spPr>
        <a:xfrm>
          <a:off x="4911090" y="830580"/>
          <a:ext cx="4869180" cy="67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AFA7E3-D982-4DCE-8311-24F164F1C349}" type="TxLink">
            <a:rPr lang="en-US" sz="2800" b="0" i="0" u="none" strike="noStrike">
              <a:solidFill>
                <a:schemeClr val="bg1"/>
              </a:solidFill>
              <a:latin typeface="Aptos Narrow"/>
            </a:rPr>
            <a:pPr algn="ctr"/>
            <a:t>Sales Profitability Dashboard</a:t>
          </a:fld>
          <a:endParaRPr lang="ru-RU" sz="2800">
            <a:solidFill>
              <a:schemeClr val="bg1"/>
            </a:solidFill>
          </a:endParaRPr>
        </a:p>
      </xdr:txBody>
    </xdr:sp>
    <xdr:clientData/>
  </xdr:twoCellAnchor>
  <xdr:twoCellAnchor>
    <xdr:from>
      <xdr:col>12</xdr:col>
      <xdr:colOff>411480</xdr:colOff>
      <xdr:row>10</xdr:row>
      <xdr:rowOff>45720</xdr:rowOff>
    </xdr:from>
    <xdr:to>
      <xdr:col>15</xdr:col>
      <xdr:colOff>0</xdr:colOff>
      <xdr:row>12</xdr:row>
      <xdr:rowOff>7620</xdr:rowOff>
    </xdr:to>
    <xdr:sp macro="" textlink="Processing!B1">
      <xdr:nvSpPr>
        <xdr:cNvPr id="18" name="TextBox 17">
          <a:extLst>
            <a:ext uri="{FF2B5EF4-FFF2-40B4-BE49-F238E27FC236}">
              <a16:creationId xmlns:a16="http://schemas.microsoft.com/office/drawing/2014/main" id="{002BDC38-772D-4F8D-9A0F-316D3E1EAF91}"/>
            </a:ext>
          </a:extLst>
        </xdr:cNvPr>
        <xdr:cNvSpPr txBox="1"/>
      </xdr:nvSpPr>
      <xdr:spPr>
        <a:xfrm>
          <a:off x="7726680" y="187452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EBDB900-EE2F-4AA6-B860-CDEF06AE6B57}" type="TxLink">
            <a:rPr lang="en-US" sz="1400" b="0" i="0" u="none" strike="noStrike">
              <a:solidFill>
                <a:schemeClr val="bg1"/>
              </a:solidFill>
              <a:latin typeface="Aptos Narrow"/>
            </a:rPr>
            <a:pPr algn="l"/>
            <a:t>Investments</a:t>
          </a:fld>
          <a:endParaRPr lang="ru-RU" sz="3600">
            <a:solidFill>
              <a:schemeClr val="bg1"/>
            </a:solidFill>
          </a:endParaRPr>
        </a:p>
      </xdr:txBody>
    </xdr:sp>
    <xdr:clientData/>
  </xdr:twoCellAnchor>
  <xdr:twoCellAnchor>
    <xdr:from>
      <xdr:col>12</xdr:col>
      <xdr:colOff>411480</xdr:colOff>
      <xdr:row>14</xdr:row>
      <xdr:rowOff>30480</xdr:rowOff>
    </xdr:from>
    <xdr:to>
      <xdr:col>15</xdr:col>
      <xdr:colOff>114300</xdr:colOff>
      <xdr:row>15</xdr:row>
      <xdr:rowOff>175260</xdr:rowOff>
    </xdr:to>
    <xdr:sp macro="" textlink="Processing!C1">
      <xdr:nvSpPr>
        <xdr:cNvPr id="19" name="TextBox 18">
          <a:extLst>
            <a:ext uri="{FF2B5EF4-FFF2-40B4-BE49-F238E27FC236}">
              <a16:creationId xmlns:a16="http://schemas.microsoft.com/office/drawing/2014/main" id="{DC8214FD-D966-4935-ABC2-ABBDB16EF591}"/>
            </a:ext>
          </a:extLst>
        </xdr:cNvPr>
        <xdr:cNvSpPr txBox="1"/>
      </xdr:nvSpPr>
      <xdr:spPr>
        <a:xfrm>
          <a:off x="7726680" y="259080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F79593B-4C91-4E5C-A7F9-01D05C8FA786}" type="TxLink">
            <a:rPr lang="en-US" sz="1400" b="0" i="0" u="none" strike="noStrike">
              <a:solidFill>
                <a:schemeClr val="bg1"/>
              </a:solidFill>
              <a:latin typeface="Aptos Narrow"/>
              <a:ea typeface="+mn-ea"/>
              <a:cs typeface="+mn-cs"/>
            </a:rPr>
            <a:pPr marL="0" indent="0" algn="l"/>
            <a:t>Sales Volume</a:t>
          </a:fld>
          <a:endParaRPr lang="ru-RU" sz="1400" b="0" i="0" u="none" strike="noStrike">
            <a:solidFill>
              <a:schemeClr val="bg1"/>
            </a:solidFill>
            <a:latin typeface="Aptos Narrow"/>
            <a:ea typeface="+mn-ea"/>
            <a:cs typeface="+mn-cs"/>
          </a:endParaRPr>
        </a:p>
      </xdr:txBody>
    </xdr:sp>
    <xdr:clientData/>
  </xdr:twoCellAnchor>
  <xdr:twoCellAnchor>
    <xdr:from>
      <xdr:col>17</xdr:col>
      <xdr:colOff>68580</xdr:colOff>
      <xdr:row>9</xdr:row>
      <xdr:rowOff>53340</xdr:rowOff>
    </xdr:from>
    <xdr:to>
      <xdr:col>18</xdr:col>
      <xdr:colOff>160020</xdr:colOff>
      <xdr:row>11</xdr:row>
      <xdr:rowOff>15240</xdr:rowOff>
    </xdr:to>
    <xdr:sp macro="" textlink="Processing!J20">
      <xdr:nvSpPr>
        <xdr:cNvPr id="20" name="TextBox 19">
          <a:extLst>
            <a:ext uri="{FF2B5EF4-FFF2-40B4-BE49-F238E27FC236}">
              <a16:creationId xmlns:a16="http://schemas.microsoft.com/office/drawing/2014/main" id="{C2F3F113-CCDD-4723-92BF-DDD51BDE934F}"/>
            </a:ext>
          </a:extLst>
        </xdr:cNvPr>
        <xdr:cNvSpPr txBox="1"/>
      </xdr:nvSpPr>
      <xdr:spPr>
        <a:xfrm>
          <a:off x="10431780" y="169926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5EC9B3-2A4A-4AC1-9873-86C91B8549DF}" type="TxLink">
            <a:rPr lang="en-US" sz="1800" b="0" i="0" u="none" strike="noStrike">
              <a:solidFill>
                <a:srgbClr val="A2ADBE"/>
              </a:solidFill>
              <a:latin typeface="Aptos Narrow"/>
              <a:ea typeface="+mn-ea"/>
              <a:cs typeface="+mn-cs"/>
            </a:rPr>
            <a:pPr marL="0" indent="0"/>
            <a:t>ROI</a:t>
          </a:fld>
          <a:endParaRPr lang="ru-RU" sz="1800" b="0" i="0" u="none" strike="noStrike">
            <a:solidFill>
              <a:srgbClr val="A2ADBE"/>
            </a:solidFill>
            <a:latin typeface="Aptos Narrow"/>
            <a:ea typeface="+mn-ea"/>
            <a:cs typeface="+mn-cs"/>
          </a:endParaRPr>
        </a:p>
      </xdr:txBody>
    </xdr:sp>
    <xdr:clientData/>
  </xdr:twoCellAnchor>
  <xdr:twoCellAnchor>
    <xdr:from>
      <xdr:col>17</xdr:col>
      <xdr:colOff>45720</xdr:colOff>
      <xdr:row>16</xdr:row>
      <xdr:rowOff>83820</xdr:rowOff>
    </xdr:from>
    <xdr:to>
      <xdr:col>18</xdr:col>
      <xdr:colOff>137160</xdr:colOff>
      <xdr:row>18</xdr:row>
      <xdr:rowOff>45720</xdr:rowOff>
    </xdr:to>
    <xdr:sp macro="" textlink="Processing!J24">
      <xdr:nvSpPr>
        <xdr:cNvPr id="21" name="TextBox 20">
          <a:extLst>
            <a:ext uri="{FF2B5EF4-FFF2-40B4-BE49-F238E27FC236}">
              <a16:creationId xmlns:a16="http://schemas.microsoft.com/office/drawing/2014/main" id="{F824A8DB-6CFB-4A0D-9388-D13F33B99B0B}"/>
            </a:ext>
          </a:extLst>
        </xdr:cNvPr>
        <xdr:cNvSpPr txBox="1"/>
      </xdr:nvSpPr>
      <xdr:spPr>
        <a:xfrm>
          <a:off x="10408920" y="300990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75CC82-02FE-4122-8891-3041361035D0}" type="TxLink">
            <a:rPr lang="en-US" sz="1800" b="0" i="0" u="none" strike="noStrike">
              <a:solidFill>
                <a:srgbClr val="A2ADBE"/>
              </a:solidFill>
              <a:latin typeface="Aptos Narrow"/>
              <a:ea typeface="+mn-ea"/>
              <a:cs typeface="+mn-cs"/>
            </a:rPr>
            <a:pPr marL="0" indent="0"/>
            <a:t>Profit</a:t>
          </a:fld>
          <a:endParaRPr lang="ru-RU" sz="1800" b="0" i="0" u="none" strike="noStrike">
            <a:solidFill>
              <a:srgbClr val="A2ADBE"/>
            </a:solidFill>
            <a:latin typeface="Aptos Narrow"/>
            <a:ea typeface="+mn-ea"/>
            <a:cs typeface="+mn-cs"/>
          </a:endParaRPr>
        </a:p>
      </xdr:txBody>
    </xdr:sp>
    <xdr:clientData/>
  </xdr:twoCellAnchor>
  <xdr:twoCellAnchor>
    <xdr:from>
      <xdr:col>19</xdr:col>
      <xdr:colOff>82098</xdr:colOff>
      <xdr:row>13</xdr:row>
      <xdr:rowOff>125616</xdr:rowOff>
    </xdr:from>
    <xdr:to>
      <xdr:col>20</xdr:col>
      <xdr:colOff>405582</xdr:colOff>
      <xdr:row>15</xdr:row>
      <xdr:rowOff>156325</xdr:rowOff>
    </xdr:to>
    <xdr:sp macro="" textlink="Processing!K20">
      <xdr:nvSpPr>
        <xdr:cNvPr id="22" name="TextBox 21">
          <a:extLst>
            <a:ext uri="{FF2B5EF4-FFF2-40B4-BE49-F238E27FC236}">
              <a16:creationId xmlns:a16="http://schemas.microsoft.com/office/drawing/2014/main" id="{147446D1-C26E-4C0C-B6AD-D773174A4C8E}"/>
            </a:ext>
          </a:extLst>
        </xdr:cNvPr>
        <xdr:cNvSpPr txBox="1"/>
      </xdr:nvSpPr>
      <xdr:spPr>
        <a:xfrm>
          <a:off x="11664498" y="2503056"/>
          <a:ext cx="93308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DB45C4-5730-4E15-A21C-6CDCEBC2E35C}" type="TxLink">
            <a:rPr lang="en-US" sz="2400" b="0" i="0" u="none" strike="noStrike">
              <a:solidFill>
                <a:schemeClr val="bg1"/>
              </a:solidFill>
              <a:latin typeface="Aptos Narrow"/>
              <a:ea typeface="+mn-ea"/>
              <a:cs typeface="+mn-cs"/>
            </a:rPr>
            <a:pPr marL="0" indent="0" algn="ctr"/>
            <a:t>40%</a:t>
          </a:fld>
          <a:endParaRPr lang="ru-RU" sz="6600" b="0" i="0" u="none" strike="noStrike">
            <a:solidFill>
              <a:schemeClr val="bg1"/>
            </a:solidFill>
            <a:latin typeface="Aptos Narrow"/>
            <a:ea typeface="+mn-ea"/>
            <a:cs typeface="+mn-cs"/>
          </a:endParaRPr>
        </a:p>
      </xdr:txBody>
    </xdr:sp>
    <xdr:clientData/>
  </xdr:twoCellAnchor>
  <xdr:twoCellAnchor>
    <xdr:from>
      <xdr:col>2</xdr:col>
      <xdr:colOff>228600</xdr:colOff>
      <xdr:row>7</xdr:row>
      <xdr:rowOff>68580</xdr:rowOff>
    </xdr:from>
    <xdr:to>
      <xdr:col>11</xdr:col>
      <xdr:colOff>140970</xdr:colOff>
      <xdr:row>9</xdr:row>
      <xdr:rowOff>114300</xdr:rowOff>
    </xdr:to>
    <xdr:sp macro="" textlink="Processing!K10">
      <xdr:nvSpPr>
        <xdr:cNvPr id="23" name="TextBox 22">
          <a:extLst>
            <a:ext uri="{FF2B5EF4-FFF2-40B4-BE49-F238E27FC236}">
              <a16:creationId xmlns:a16="http://schemas.microsoft.com/office/drawing/2014/main" id="{2B986BFA-922F-48FF-BE50-247077EF4044}"/>
            </a:ext>
          </a:extLst>
        </xdr:cNvPr>
        <xdr:cNvSpPr txBox="1"/>
      </xdr:nvSpPr>
      <xdr:spPr>
        <a:xfrm>
          <a:off x="1447800" y="1348740"/>
          <a:ext cx="539877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17D3D1C-F745-403D-9065-7136F37A4D56}" type="TxLink">
            <a:rPr lang="en-US" sz="2000" b="0" i="0" u="none" strike="noStrike">
              <a:solidFill>
                <a:srgbClr val="A2ADBE"/>
              </a:solidFill>
              <a:latin typeface="Aptos Narrow"/>
              <a:ea typeface="+mn-ea"/>
              <a:cs typeface="+mn-cs"/>
            </a:rPr>
            <a:pPr marL="0" indent="0" algn="l"/>
            <a:t>Sales Distribution by Top Product Categories</a:t>
          </a:fld>
          <a:endParaRPr lang="ru-RU" sz="2000" b="0" i="0" u="none" strike="noStrike">
            <a:solidFill>
              <a:srgbClr val="A2ADBE"/>
            </a:solidFill>
            <a:latin typeface="Aptos Narrow"/>
            <a:ea typeface="+mn-ea"/>
            <a:cs typeface="+mn-cs"/>
          </a:endParaRPr>
        </a:p>
      </xdr:txBody>
    </xdr:sp>
    <xdr:clientData/>
  </xdr:twoCellAnchor>
  <xdr:twoCellAnchor editAs="oneCell">
    <xdr:from>
      <xdr:col>2</xdr:col>
      <xdr:colOff>83820</xdr:colOff>
      <xdr:row>5</xdr:row>
      <xdr:rowOff>0</xdr:rowOff>
    </xdr:from>
    <xdr:to>
      <xdr:col>5</xdr:col>
      <xdr:colOff>83820</xdr:colOff>
      <xdr:row>7</xdr:row>
      <xdr:rowOff>0</xdr:rowOff>
    </xdr:to>
    <mc:AlternateContent xmlns:mc="http://schemas.openxmlformats.org/markup-compatibility/2006" xmlns:a14="http://schemas.microsoft.com/office/drawing/2010/main">
      <mc:Choice Requires="a14">
        <xdr:graphicFrame macro="">
          <xdr:nvGraphicFramePr>
            <xdr:cNvPr id="24" name="Year 3">
              <a:extLst>
                <a:ext uri="{FF2B5EF4-FFF2-40B4-BE49-F238E27FC236}">
                  <a16:creationId xmlns:a16="http://schemas.microsoft.com/office/drawing/2014/main" id="{27FC0EDE-7090-4E61-9A6A-3704F77DAF49}"/>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303020" y="914400"/>
              <a:ext cx="1828800" cy="4648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327660</xdr:colOff>
      <xdr:row>5</xdr:row>
      <xdr:rowOff>0</xdr:rowOff>
    </xdr:from>
    <xdr:to>
      <xdr:col>19</xdr:col>
      <xdr:colOff>525780</xdr:colOff>
      <xdr:row>6</xdr:row>
      <xdr:rowOff>144780</xdr:rowOff>
    </xdr:to>
    <xdr:sp macro="" textlink="Processing!P3">
      <xdr:nvSpPr>
        <xdr:cNvPr id="25" name="TextBox 24">
          <a:extLst>
            <a:ext uri="{FF2B5EF4-FFF2-40B4-BE49-F238E27FC236}">
              <a16:creationId xmlns:a16="http://schemas.microsoft.com/office/drawing/2014/main" id="{8A30B2E6-373E-4A61-A527-85514A184022}"/>
            </a:ext>
          </a:extLst>
        </xdr:cNvPr>
        <xdr:cNvSpPr txBox="1"/>
      </xdr:nvSpPr>
      <xdr:spPr>
        <a:xfrm>
          <a:off x="10690860" y="91440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4BF34E8-F5F7-4FD4-B740-151B677084AF}" type="TxLink">
            <a:rPr lang="en-US" sz="1800" b="0" i="0" u="none" strike="noStrike">
              <a:solidFill>
                <a:schemeClr val="bg1"/>
              </a:solidFill>
              <a:latin typeface="Aptos Narrow"/>
              <a:ea typeface="+mn-ea"/>
              <a:cs typeface="+mn-cs"/>
            </a:rPr>
            <a:pPr marL="0" indent="0" algn="ctr"/>
            <a:t>JANUARY</a:t>
          </a:fld>
          <a:endParaRPr lang="ru-RU" sz="1800" b="0" i="0" u="none" strike="noStrike">
            <a:solidFill>
              <a:schemeClr val="bg1"/>
            </a:solidFill>
            <a:latin typeface="Aptos Narrow"/>
            <a:ea typeface="+mn-ea"/>
            <a:cs typeface="+mn-cs"/>
          </a:endParaRPr>
        </a:p>
      </xdr:txBody>
    </xdr:sp>
    <xdr:clientData/>
  </xdr:twoCellAnchor>
  <xdr:twoCellAnchor>
    <xdr:from>
      <xdr:col>20</xdr:col>
      <xdr:colOff>30480</xdr:colOff>
      <xdr:row>5</xdr:row>
      <xdr:rowOff>0</xdr:rowOff>
    </xdr:from>
    <xdr:to>
      <xdr:col>21</xdr:col>
      <xdr:colOff>152400</xdr:colOff>
      <xdr:row>6</xdr:row>
      <xdr:rowOff>144780</xdr:rowOff>
    </xdr:to>
    <xdr:sp macro="" textlink="Processing!Q3">
      <xdr:nvSpPr>
        <xdr:cNvPr id="26" name="TextBox 25">
          <a:extLst>
            <a:ext uri="{FF2B5EF4-FFF2-40B4-BE49-F238E27FC236}">
              <a16:creationId xmlns:a16="http://schemas.microsoft.com/office/drawing/2014/main" id="{AA1FBBF8-5A77-4B2F-A413-400C4CA31389}"/>
            </a:ext>
          </a:extLst>
        </xdr:cNvPr>
        <xdr:cNvSpPr txBox="1"/>
      </xdr:nvSpPr>
      <xdr:spPr>
        <a:xfrm>
          <a:off x="12222480" y="914400"/>
          <a:ext cx="7315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1DB63C7-1528-4BD2-A1EF-C64AF007758D}" type="TxLink">
            <a:rPr lang="en-US" sz="1800" b="0" i="0" u="none" strike="noStrike">
              <a:solidFill>
                <a:schemeClr val="bg1"/>
              </a:solidFill>
              <a:latin typeface="Aptos Narrow"/>
              <a:ea typeface="+mn-ea"/>
              <a:cs typeface="+mn-cs"/>
            </a:rPr>
            <a:pPr marL="0" indent="0" algn="l"/>
            <a:t>2024</a:t>
          </a:fld>
          <a:endParaRPr lang="ru-RU" sz="1800" b="0" i="0" u="none" strike="noStrike">
            <a:solidFill>
              <a:schemeClr val="bg1"/>
            </a:solidFill>
            <a:latin typeface="Aptos Narrow"/>
            <a:ea typeface="+mn-ea"/>
            <a:cs typeface="+mn-cs"/>
          </a:endParaRPr>
        </a:p>
      </xdr:txBody>
    </xdr:sp>
    <xdr:clientData/>
  </xdr:twoCellAnchor>
  <xdr:twoCellAnchor>
    <xdr:from>
      <xdr:col>12</xdr:col>
      <xdr:colOff>304800</xdr:colOff>
      <xdr:row>15</xdr:row>
      <xdr:rowOff>160020</xdr:rowOff>
    </xdr:from>
    <xdr:to>
      <xdr:col>15</xdr:col>
      <xdr:colOff>121920</xdr:colOff>
      <xdr:row>17</xdr:row>
      <xdr:rowOff>121920</xdr:rowOff>
    </xdr:to>
    <xdr:sp macro="" textlink="Processing!C14">
      <xdr:nvSpPr>
        <xdr:cNvPr id="28" name="TextBox 27">
          <a:extLst>
            <a:ext uri="{FF2B5EF4-FFF2-40B4-BE49-F238E27FC236}">
              <a16:creationId xmlns:a16="http://schemas.microsoft.com/office/drawing/2014/main" id="{99AA8FEE-8221-4250-8E11-C9E7B12D5EE8}"/>
            </a:ext>
          </a:extLst>
        </xdr:cNvPr>
        <xdr:cNvSpPr txBox="1"/>
      </xdr:nvSpPr>
      <xdr:spPr>
        <a:xfrm>
          <a:off x="7620000" y="290322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77A68F2-9086-49F9-A77A-937410EA236B}" type="TxLink">
            <a:rPr lang="en-US" sz="2400" b="0" i="0" u="none" strike="noStrike">
              <a:solidFill>
                <a:schemeClr val="bg1"/>
              </a:solidFill>
              <a:latin typeface="Aptos Narrow"/>
              <a:ea typeface="+mn-ea"/>
              <a:cs typeface="+mn-cs"/>
            </a:rPr>
            <a:pPr marL="0" indent="0" algn="l"/>
            <a:t> $33,543 </a:t>
          </a:fld>
          <a:endParaRPr lang="ru-RU" sz="2400" b="0" i="0" u="none" strike="noStrike">
            <a:solidFill>
              <a:schemeClr val="bg1"/>
            </a:solidFill>
            <a:latin typeface="Aptos Narrow"/>
            <a:ea typeface="+mn-ea"/>
            <a:cs typeface="+mn-cs"/>
          </a:endParaRPr>
        </a:p>
      </xdr:txBody>
    </xdr:sp>
    <xdr:clientData/>
  </xdr:twoCellAnchor>
  <xdr:twoCellAnchor>
    <xdr:from>
      <xdr:col>12</xdr:col>
      <xdr:colOff>327660</xdr:colOff>
      <xdr:row>12</xdr:row>
      <xdr:rowOff>0</xdr:rowOff>
    </xdr:from>
    <xdr:to>
      <xdr:col>15</xdr:col>
      <xdr:colOff>144780</xdr:colOff>
      <xdr:row>13</xdr:row>
      <xdr:rowOff>144780</xdr:rowOff>
    </xdr:to>
    <xdr:sp macro="" textlink="Processing!B14">
      <xdr:nvSpPr>
        <xdr:cNvPr id="29" name="TextBox 28">
          <a:extLst>
            <a:ext uri="{FF2B5EF4-FFF2-40B4-BE49-F238E27FC236}">
              <a16:creationId xmlns:a16="http://schemas.microsoft.com/office/drawing/2014/main" id="{8060D4CD-0449-4F3B-899C-CEF80228B36F}"/>
            </a:ext>
          </a:extLst>
        </xdr:cNvPr>
        <xdr:cNvSpPr txBox="1"/>
      </xdr:nvSpPr>
      <xdr:spPr>
        <a:xfrm>
          <a:off x="7642860" y="219456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176861D-A161-4D96-8756-6AC7C156A8BD}" type="TxLink">
            <a:rPr lang="en-US" sz="2400" b="0" i="0" u="none" strike="noStrike">
              <a:solidFill>
                <a:schemeClr val="bg1"/>
              </a:solidFill>
              <a:latin typeface="Aptos Narrow"/>
              <a:ea typeface="+mn-ea"/>
              <a:cs typeface="+mn-cs"/>
            </a:rPr>
            <a:pPr marL="0" indent="0" algn="l"/>
            <a:t> $28,026 </a:t>
          </a:fld>
          <a:endParaRPr lang="ru-RU" sz="2400" b="0" i="0" u="none" strike="noStrike">
            <a:solidFill>
              <a:schemeClr val="bg1"/>
            </a:solidFill>
            <a:latin typeface="Aptos Narrow"/>
            <a:ea typeface="+mn-ea"/>
            <a:cs typeface="+mn-cs"/>
          </a:endParaRPr>
        </a:p>
      </xdr:txBody>
    </xdr:sp>
    <xdr:clientData/>
  </xdr:twoCellAnchor>
  <xdr:twoCellAnchor>
    <xdr:from>
      <xdr:col>17</xdr:col>
      <xdr:colOff>14478</xdr:colOff>
      <xdr:row>18</xdr:row>
      <xdr:rowOff>26556</xdr:rowOff>
    </xdr:from>
    <xdr:to>
      <xdr:col>19</xdr:col>
      <xdr:colOff>320802</xdr:colOff>
      <xdr:row>20</xdr:row>
      <xdr:rowOff>57265</xdr:rowOff>
    </xdr:to>
    <xdr:sp macro="" textlink="Processing!J25">
      <xdr:nvSpPr>
        <xdr:cNvPr id="30" name="TextBox 29">
          <a:extLst>
            <a:ext uri="{FF2B5EF4-FFF2-40B4-BE49-F238E27FC236}">
              <a16:creationId xmlns:a16="http://schemas.microsoft.com/office/drawing/2014/main" id="{A65B9FF3-9B34-4989-9DC0-C861BCA28419}"/>
            </a:ext>
          </a:extLst>
        </xdr:cNvPr>
        <xdr:cNvSpPr txBox="1"/>
      </xdr:nvSpPr>
      <xdr:spPr>
        <a:xfrm>
          <a:off x="10377678" y="3318396"/>
          <a:ext cx="152552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E6A133C-5381-4990-B5CC-3867629A9899}" type="TxLink">
            <a:rPr lang="en-US" sz="2000" b="0" i="0" u="none" strike="noStrike">
              <a:solidFill>
                <a:schemeClr val="bg1"/>
              </a:solidFill>
              <a:latin typeface="Aptos Narrow"/>
              <a:ea typeface="+mn-ea"/>
              <a:cs typeface="+mn-cs"/>
            </a:rPr>
            <a:pPr marL="0" indent="0" algn="l"/>
            <a:t> $11,175 </a:t>
          </a:fld>
          <a:endParaRPr lang="ru-RU" sz="2000" b="0" i="0" u="none" strike="noStrike">
            <a:solidFill>
              <a:schemeClr val="bg1"/>
            </a:solidFill>
            <a:latin typeface="Aptos Narrow"/>
            <a:ea typeface="+mn-ea"/>
            <a:cs typeface="+mn-cs"/>
          </a:endParaRPr>
        </a:p>
      </xdr:txBody>
    </xdr:sp>
    <xdr:clientData/>
  </xdr:twoCellAnchor>
  <xdr:twoCellAnchor>
    <xdr:from>
      <xdr:col>14</xdr:col>
      <xdr:colOff>251460</xdr:colOff>
      <xdr:row>10</xdr:row>
      <xdr:rowOff>68580</xdr:rowOff>
    </xdr:from>
    <xdr:to>
      <xdr:col>16</xdr:col>
      <xdr:colOff>449580</xdr:colOff>
      <xdr:row>12</xdr:row>
      <xdr:rowOff>30480</xdr:rowOff>
    </xdr:to>
    <xdr:sp macro="" textlink="Processing!A15">
      <xdr:nvSpPr>
        <xdr:cNvPr id="31" name="TextBox 30">
          <a:extLst>
            <a:ext uri="{FF2B5EF4-FFF2-40B4-BE49-F238E27FC236}">
              <a16:creationId xmlns:a16="http://schemas.microsoft.com/office/drawing/2014/main" id="{67EB505E-CEDD-4635-904E-FC0D421FD8ED}"/>
            </a:ext>
          </a:extLst>
        </xdr:cNvPr>
        <xdr:cNvSpPr txBox="1"/>
      </xdr:nvSpPr>
      <xdr:spPr>
        <a:xfrm>
          <a:off x="8785860" y="189738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251460</xdr:colOff>
      <xdr:row>14</xdr:row>
      <xdr:rowOff>45720</xdr:rowOff>
    </xdr:from>
    <xdr:to>
      <xdr:col>16</xdr:col>
      <xdr:colOff>449580</xdr:colOff>
      <xdr:row>16</xdr:row>
      <xdr:rowOff>7620</xdr:rowOff>
    </xdr:to>
    <xdr:sp macro="" textlink="Processing!A15">
      <xdr:nvSpPr>
        <xdr:cNvPr id="32" name="TextBox 31">
          <a:extLst>
            <a:ext uri="{FF2B5EF4-FFF2-40B4-BE49-F238E27FC236}">
              <a16:creationId xmlns:a16="http://schemas.microsoft.com/office/drawing/2014/main" id="{B3F3C1E1-33BD-4A51-89D6-49D7821446B1}"/>
            </a:ext>
          </a:extLst>
        </xdr:cNvPr>
        <xdr:cNvSpPr txBox="1"/>
      </xdr:nvSpPr>
      <xdr:spPr>
        <a:xfrm>
          <a:off x="8785860" y="260604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586718</xdr:colOff>
      <xdr:row>11</xdr:row>
      <xdr:rowOff>23695</xdr:rowOff>
    </xdr:from>
    <xdr:to>
      <xdr:col>16</xdr:col>
      <xdr:colOff>53318</xdr:colOff>
      <xdr:row>14</xdr:row>
      <xdr:rowOff>160855</xdr:rowOff>
    </xdr:to>
    <xdr:graphicFrame macro="">
      <xdr:nvGraphicFramePr>
        <xdr:cNvPr id="33" name="Chart 32">
          <a:extLst>
            <a:ext uri="{FF2B5EF4-FFF2-40B4-BE49-F238E27FC236}">
              <a16:creationId xmlns:a16="http://schemas.microsoft.com/office/drawing/2014/main" id="{CD7516BA-0226-47D7-9787-1B8B52071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586718</xdr:colOff>
      <xdr:row>12</xdr:row>
      <xdr:rowOff>12265</xdr:rowOff>
    </xdr:from>
    <xdr:to>
      <xdr:col>16</xdr:col>
      <xdr:colOff>68558</xdr:colOff>
      <xdr:row>13</xdr:row>
      <xdr:rowOff>157045</xdr:rowOff>
    </xdr:to>
    <xdr:sp macro="" textlink="Processing!B15">
      <xdr:nvSpPr>
        <xdr:cNvPr id="34" name="TextBox 33">
          <a:extLst>
            <a:ext uri="{FF2B5EF4-FFF2-40B4-BE49-F238E27FC236}">
              <a16:creationId xmlns:a16="http://schemas.microsoft.com/office/drawing/2014/main" id="{562C5567-6824-4374-B6AA-5D0CF12FBED2}"/>
            </a:ext>
          </a:extLst>
        </xdr:cNvPr>
        <xdr:cNvSpPr txBox="1"/>
      </xdr:nvSpPr>
      <xdr:spPr>
        <a:xfrm>
          <a:off x="9121118" y="220682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7864E5-CAD8-4B22-A5F5-C06AFB7D5E57}" type="TxLink">
            <a:rPr lang="en-US" sz="1100" b="0" i="0" u="none" strike="noStrike">
              <a:solidFill>
                <a:schemeClr val="bg1"/>
              </a:solidFill>
              <a:latin typeface="Aptos Narrow"/>
              <a:ea typeface="+mn-ea"/>
              <a:cs typeface="+mn-cs"/>
            </a:rPr>
            <a:pPr marL="0" indent="0" algn="ctr"/>
            <a:t>43%</a:t>
          </a:fld>
          <a:endParaRPr lang="ru-RU" sz="1800" b="0" i="0" u="none" strike="noStrike">
            <a:solidFill>
              <a:schemeClr val="bg1"/>
            </a:solidFill>
            <a:latin typeface="Aptos Narrow"/>
            <a:ea typeface="+mn-ea"/>
            <a:cs typeface="+mn-cs"/>
          </a:endParaRPr>
        </a:p>
      </xdr:txBody>
    </xdr:sp>
    <xdr:clientData/>
  </xdr:twoCellAnchor>
  <xdr:twoCellAnchor>
    <xdr:from>
      <xdr:col>14</xdr:col>
      <xdr:colOff>586718</xdr:colOff>
      <xdr:row>14</xdr:row>
      <xdr:rowOff>168475</xdr:rowOff>
    </xdr:from>
    <xdr:to>
      <xdr:col>16</xdr:col>
      <xdr:colOff>53318</xdr:colOff>
      <xdr:row>18</xdr:row>
      <xdr:rowOff>122755</xdr:rowOff>
    </xdr:to>
    <xdr:graphicFrame macro="">
      <xdr:nvGraphicFramePr>
        <xdr:cNvPr id="35" name="Chart 34">
          <a:extLst>
            <a:ext uri="{FF2B5EF4-FFF2-40B4-BE49-F238E27FC236}">
              <a16:creationId xmlns:a16="http://schemas.microsoft.com/office/drawing/2014/main" id="{4C24E35E-22B9-44A1-8C66-5B9A93D41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586718</xdr:colOff>
      <xdr:row>15</xdr:row>
      <xdr:rowOff>157045</xdr:rowOff>
    </xdr:from>
    <xdr:to>
      <xdr:col>16</xdr:col>
      <xdr:colOff>68558</xdr:colOff>
      <xdr:row>17</xdr:row>
      <xdr:rowOff>118945</xdr:rowOff>
    </xdr:to>
    <xdr:sp macro="" textlink="Processing!C15">
      <xdr:nvSpPr>
        <xdr:cNvPr id="36" name="TextBox 35">
          <a:extLst>
            <a:ext uri="{FF2B5EF4-FFF2-40B4-BE49-F238E27FC236}">
              <a16:creationId xmlns:a16="http://schemas.microsoft.com/office/drawing/2014/main" id="{E409DD4C-EE58-4E2B-8BF7-8695DB5CD9D7}"/>
            </a:ext>
          </a:extLst>
        </xdr:cNvPr>
        <xdr:cNvSpPr txBox="1"/>
      </xdr:nvSpPr>
      <xdr:spPr>
        <a:xfrm>
          <a:off x="9121118" y="290024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A5132A-5551-4D94-B54D-1E5261C5DB06}" type="TxLink">
            <a:rPr lang="en-US" sz="1100" b="0" i="0" u="none" strike="noStrike">
              <a:solidFill>
                <a:schemeClr val="bg1"/>
              </a:solidFill>
              <a:latin typeface="Aptos Narrow"/>
              <a:ea typeface="+mn-ea"/>
              <a:cs typeface="+mn-cs"/>
            </a:rPr>
            <a:pPr marL="0" indent="0" algn="ctr"/>
            <a:t>52%</a:t>
          </a:fld>
          <a:endParaRPr lang="ru-RU" sz="1800" b="0" i="0" u="none" strike="noStrike">
            <a:solidFill>
              <a:schemeClr val="bg1"/>
            </a:solidFill>
            <a:latin typeface="Aptos Narrow"/>
            <a:ea typeface="+mn-ea"/>
            <a:cs typeface="+mn-cs"/>
          </a:endParaRPr>
        </a:p>
      </xdr:txBody>
    </xdr:sp>
    <xdr:clientData/>
  </xdr:twoCellAnchor>
  <xdr:twoCellAnchor>
    <xdr:from>
      <xdr:col>12</xdr:col>
      <xdr:colOff>388620</xdr:colOff>
      <xdr:row>21</xdr:row>
      <xdr:rowOff>96085</xdr:rowOff>
    </xdr:from>
    <xdr:to>
      <xdr:col>14</xdr:col>
      <xdr:colOff>304778</xdr:colOff>
      <xdr:row>23</xdr:row>
      <xdr:rowOff>57985</xdr:rowOff>
    </xdr:to>
    <xdr:sp macro="" textlink="Processing!B32">
      <xdr:nvSpPr>
        <xdr:cNvPr id="37" name="TextBox 36">
          <a:extLst>
            <a:ext uri="{FF2B5EF4-FFF2-40B4-BE49-F238E27FC236}">
              <a16:creationId xmlns:a16="http://schemas.microsoft.com/office/drawing/2014/main" id="{1B57CA8A-2512-4443-920F-DB6AE9BCEEF6}"/>
            </a:ext>
          </a:extLst>
        </xdr:cNvPr>
        <xdr:cNvSpPr txBox="1"/>
      </xdr:nvSpPr>
      <xdr:spPr>
        <a:xfrm>
          <a:off x="770382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E21EC3CC-CA95-428B-98B7-4DE0DF5CF094}" type="TxLink">
            <a:rPr lang="en-US" sz="1400" b="0" i="0" u="none" strike="noStrike">
              <a:gradFill>
                <a:gsLst>
                  <a:gs pos="33000">
                    <a:srgbClr val="00C6D1"/>
                  </a:gs>
                  <a:gs pos="100000">
                    <a:srgbClr val="F2ECFF"/>
                  </a:gs>
                </a:gsLst>
                <a:lin ang="5400000" scaled="1"/>
              </a:gradFill>
              <a:latin typeface="Aptos Narrow"/>
              <a:ea typeface="+mn-ea"/>
              <a:cs typeface="+mn-cs"/>
            </a:rPr>
            <a:pPr marL="0" indent="0" algn="r"/>
            <a:t> $37,835 </a:t>
          </a:fld>
          <a:endParaRPr lang="ru-RU" sz="1400" b="0" i="0" u="none" strike="noStrike">
            <a:gradFill>
              <a:gsLst>
                <a:gs pos="33000">
                  <a:srgbClr val="00C6D1"/>
                </a:gs>
                <a:gs pos="100000">
                  <a:srgbClr val="F2ECFF"/>
                </a:gs>
              </a:gsLst>
              <a:lin ang="5400000" scaled="1"/>
            </a:gradFill>
            <a:latin typeface="Aptos Narrow"/>
            <a:ea typeface="+mn-ea"/>
            <a:cs typeface="+mn-cs"/>
          </a:endParaRPr>
        </a:p>
      </xdr:txBody>
    </xdr:sp>
    <xdr:clientData/>
  </xdr:twoCellAnchor>
  <xdr:twoCellAnchor>
    <xdr:from>
      <xdr:col>14</xdr:col>
      <xdr:colOff>304800</xdr:colOff>
      <xdr:row>21</xdr:row>
      <xdr:rowOff>96085</xdr:rowOff>
    </xdr:from>
    <xdr:to>
      <xdr:col>16</xdr:col>
      <xdr:colOff>220958</xdr:colOff>
      <xdr:row>23</xdr:row>
      <xdr:rowOff>57985</xdr:rowOff>
    </xdr:to>
    <xdr:sp macro="" textlink="Processing!C32">
      <xdr:nvSpPr>
        <xdr:cNvPr id="38" name="TextBox 37">
          <a:extLst>
            <a:ext uri="{FF2B5EF4-FFF2-40B4-BE49-F238E27FC236}">
              <a16:creationId xmlns:a16="http://schemas.microsoft.com/office/drawing/2014/main" id="{163C03AE-5861-43FB-A10B-9D51E593CD9E}"/>
            </a:ext>
          </a:extLst>
        </xdr:cNvPr>
        <xdr:cNvSpPr txBox="1"/>
      </xdr:nvSpPr>
      <xdr:spPr>
        <a:xfrm>
          <a:off x="883920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B887651-16A7-4B6B-95E2-0C9BA58C3F07}" type="TxLink">
            <a:rPr lang="en-US" sz="1400" b="0" i="0" u="none" strike="noStrike">
              <a:gradFill>
                <a:gsLst>
                  <a:gs pos="0">
                    <a:srgbClr val="F17EEC"/>
                  </a:gs>
                  <a:gs pos="100000">
                    <a:srgbClr val="EE0078"/>
                  </a:gs>
                </a:gsLst>
                <a:lin ang="5400000" scaled="0"/>
              </a:gradFill>
              <a:latin typeface="Aptos Narrow"/>
              <a:ea typeface="+mn-ea"/>
              <a:cs typeface="+mn-cs"/>
            </a:rPr>
            <a:pPr marL="0" indent="0" algn="l"/>
            <a:t> $26,660 </a:t>
          </a:fld>
          <a:endParaRPr lang="ru-RU" sz="1400" b="0" i="0" u="none" strike="noStrike">
            <a:gradFill>
              <a:gsLst>
                <a:gs pos="0">
                  <a:srgbClr val="F17EEC"/>
                </a:gs>
                <a:gs pos="100000">
                  <a:srgbClr val="EE0078"/>
                </a:gs>
              </a:gsLst>
              <a:lin ang="5400000" scaled="0"/>
            </a:gradFill>
            <a:latin typeface="Aptos Narrow"/>
            <a:ea typeface="+mn-ea"/>
            <a:cs typeface="+mn-cs"/>
          </a:endParaRPr>
        </a:p>
      </xdr:txBody>
    </xdr:sp>
    <xdr:clientData/>
  </xdr:twoCellAnchor>
  <xdr:twoCellAnchor>
    <xdr:from>
      <xdr:col>4</xdr:col>
      <xdr:colOff>166344</xdr:colOff>
      <xdr:row>12</xdr:row>
      <xdr:rowOff>175260</xdr:rowOff>
    </xdr:from>
    <xdr:to>
      <xdr:col>9</xdr:col>
      <xdr:colOff>410184</xdr:colOff>
      <xdr:row>29</xdr:row>
      <xdr:rowOff>83820</xdr:rowOff>
    </xdr:to>
    <xdr:graphicFrame macro="">
      <xdr:nvGraphicFramePr>
        <xdr:cNvPr id="44" name="Chart 43">
          <a:extLst>
            <a:ext uri="{FF2B5EF4-FFF2-40B4-BE49-F238E27FC236}">
              <a16:creationId xmlns:a16="http://schemas.microsoft.com/office/drawing/2014/main" id="{CD4FFDCE-179D-497A-8AD7-38EAF3FD2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236220</xdr:colOff>
      <xdr:row>22</xdr:row>
      <xdr:rowOff>83820</xdr:rowOff>
    </xdr:from>
    <xdr:to>
      <xdr:col>19</xdr:col>
      <xdr:colOff>403860</xdr:colOff>
      <xdr:row>24</xdr:row>
      <xdr:rowOff>45720</xdr:rowOff>
    </xdr:to>
    <xdr:sp macro="" textlink="Processing!K7">
      <xdr:nvSpPr>
        <xdr:cNvPr id="39" name="TextBox 38">
          <a:extLst>
            <a:ext uri="{FF2B5EF4-FFF2-40B4-BE49-F238E27FC236}">
              <a16:creationId xmlns:a16="http://schemas.microsoft.com/office/drawing/2014/main" id="{26E17154-1E0D-4F93-A638-CB3113D58038}"/>
            </a:ext>
          </a:extLst>
        </xdr:cNvPr>
        <xdr:cNvSpPr txBox="1"/>
      </xdr:nvSpPr>
      <xdr:spPr>
        <a:xfrm>
          <a:off x="11209020" y="4107180"/>
          <a:ext cx="7772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95F57CC-C864-4243-8643-2B753CFD8A66}" type="TxLink">
            <a:rPr lang="en-US" sz="1400" b="0" i="0" u="none" strike="noStrike">
              <a:solidFill>
                <a:schemeClr val="bg1"/>
              </a:solidFill>
              <a:latin typeface="Aptos Narrow"/>
              <a:ea typeface="+mn-ea"/>
              <a:cs typeface="+mn-cs"/>
            </a:rPr>
            <a:pPr marL="0" indent="0" algn="r"/>
            <a:t> 15 366</a:t>
          </a:fld>
          <a:endParaRPr lang="ru-RU" sz="3200" b="0" i="0" u="none" strike="noStrike">
            <a:solidFill>
              <a:schemeClr val="bg1"/>
            </a:solidFill>
            <a:latin typeface="Aptos Narrow"/>
            <a:ea typeface="+mn-ea"/>
            <a:cs typeface="+mn-cs"/>
          </a:endParaRPr>
        </a:p>
      </xdr:txBody>
    </xdr:sp>
    <xdr:clientData/>
  </xdr:twoCellAnchor>
  <xdr:twoCellAnchor>
    <xdr:from>
      <xdr:col>3</xdr:col>
      <xdr:colOff>137160</xdr:colOff>
      <xdr:row>11</xdr:row>
      <xdr:rowOff>48768</xdr:rowOff>
    </xdr:from>
    <xdr:to>
      <xdr:col>10</xdr:col>
      <xdr:colOff>441960</xdr:colOff>
      <xdr:row>31</xdr:row>
      <xdr:rowOff>48768</xdr:rowOff>
    </xdr:to>
    <xdr:graphicFrame macro="">
      <xdr:nvGraphicFramePr>
        <xdr:cNvPr id="43" name="Chart 42">
          <a:extLst>
            <a:ext uri="{FF2B5EF4-FFF2-40B4-BE49-F238E27FC236}">
              <a16:creationId xmlns:a16="http://schemas.microsoft.com/office/drawing/2014/main" id="{D437BE1F-4132-488C-B101-6B8F11D40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304800</xdr:colOff>
      <xdr:row>30</xdr:row>
      <xdr:rowOff>91440</xdr:rowOff>
    </xdr:from>
    <xdr:to>
      <xdr:col>11</xdr:col>
      <xdr:colOff>396240</xdr:colOff>
      <xdr:row>32</xdr:row>
      <xdr:rowOff>155448</xdr:rowOff>
    </xdr:to>
    <mc:AlternateContent xmlns:mc="http://schemas.openxmlformats.org/markup-compatibility/2006" xmlns:a14="http://schemas.microsoft.com/office/drawing/2010/main">
      <mc:Choice Requires="a14">
        <xdr:graphicFrame macro="">
          <xdr:nvGraphicFramePr>
            <xdr:cNvPr id="40" name="Month 3">
              <a:extLst>
                <a:ext uri="{FF2B5EF4-FFF2-40B4-BE49-F238E27FC236}">
                  <a16:creationId xmlns:a16="http://schemas.microsoft.com/office/drawing/2014/main" id="{AC9F8144-E0F9-4235-A4F0-F185D6B5BE42}"/>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524000" y="5577840"/>
              <a:ext cx="55778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152400</xdr:colOff>
      <xdr:row>11</xdr:row>
      <xdr:rowOff>45720</xdr:rowOff>
    </xdr:from>
    <xdr:to>
      <xdr:col>9</xdr:col>
      <xdr:colOff>464820</xdr:colOff>
      <xdr:row>13</xdr:row>
      <xdr:rowOff>7620</xdr:rowOff>
    </xdr:to>
    <xdr:sp macro="" textlink="Processing!M11">
      <xdr:nvSpPr>
        <xdr:cNvPr id="45" name="TextBox 44">
          <a:extLst>
            <a:ext uri="{FF2B5EF4-FFF2-40B4-BE49-F238E27FC236}">
              <a16:creationId xmlns:a16="http://schemas.microsoft.com/office/drawing/2014/main" id="{B5A6EBB3-7D7E-5FB9-FABC-A816F4B8B27B}"/>
            </a:ext>
          </a:extLst>
        </xdr:cNvPr>
        <xdr:cNvSpPr txBox="1"/>
      </xdr:nvSpPr>
      <xdr:spPr>
        <a:xfrm>
          <a:off x="4419600" y="205740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12B9B69-B051-470E-B5C6-CAF1E7B93CD4}" type="TxLink">
            <a:rPr lang="en-US" sz="1100" b="0" i="0" u="none" strike="noStrike">
              <a:solidFill>
                <a:srgbClr val="F17EEC"/>
              </a:solidFill>
              <a:latin typeface="Aptos Narrow"/>
              <a:ea typeface="+mn-ea"/>
              <a:cs typeface="+mn-cs"/>
            </a:rPr>
            <a:pPr marL="0" indent="0" algn="l"/>
            <a:t> $8,185.00 </a:t>
          </a:fld>
          <a:endParaRPr lang="ru-RU" sz="1400" b="0" i="0" u="none" strike="noStrike">
            <a:solidFill>
              <a:srgbClr val="F17EEC"/>
            </a:solidFill>
            <a:latin typeface="Aptos Narrow"/>
            <a:ea typeface="+mn-ea"/>
            <a:cs typeface="+mn-cs"/>
          </a:endParaRPr>
        </a:p>
      </xdr:txBody>
    </xdr:sp>
    <xdr:clientData/>
  </xdr:twoCellAnchor>
  <xdr:twoCellAnchor>
    <xdr:from>
      <xdr:col>9</xdr:col>
      <xdr:colOff>441960</xdr:colOff>
      <xdr:row>17</xdr:row>
      <xdr:rowOff>99060</xdr:rowOff>
    </xdr:from>
    <xdr:to>
      <xdr:col>12</xdr:col>
      <xdr:colOff>144780</xdr:colOff>
      <xdr:row>19</xdr:row>
      <xdr:rowOff>60960</xdr:rowOff>
    </xdr:to>
    <xdr:sp macro="" textlink="Processing!M12">
      <xdr:nvSpPr>
        <xdr:cNvPr id="46" name="TextBox 45">
          <a:extLst>
            <a:ext uri="{FF2B5EF4-FFF2-40B4-BE49-F238E27FC236}">
              <a16:creationId xmlns:a16="http://schemas.microsoft.com/office/drawing/2014/main" id="{EACFD160-4F56-AF60-EBAC-2244FA27DC35}"/>
            </a:ext>
          </a:extLst>
        </xdr:cNvPr>
        <xdr:cNvSpPr txBox="1"/>
      </xdr:nvSpPr>
      <xdr:spPr>
        <a:xfrm>
          <a:off x="5928360" y="320802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5F17A98-602F-4B55-B044-DE750FDFC2E5}" type="TxLink">
            <a:rPr lang="en-US" sz="1100" b="0" i="0" u="none" strike="noStrike">
              <a:solidFill>
                <a:srgbClr val="F17EEC"/>
              </a:solidFill>
              <a:latin typeface="Aptos Narrow"/>
              <a:ea typeface="+mn-ea"/>
              <a:cs typeface="+mn-cs"/>
            </a:rPr>
            <a:pPr marL="0" indent="0" algn="l"/>
            <a:t> $7,567.00 </a:t>
          </a:fld>
          <a:endParaRPr lang="ru-RU" sz="1400" b="0" i="0" u="none" strike="noStrike">
            <a:solidFill>
              <a:srgbClr val="F17EEC"/>
            </a:solidFill>
            <a:latin typeface="Aptos Narrow"/>
            <a:ea typeface="+mn-ea"/>
            <a:cs typeface="+mn-cs"/>
          </a:endParaRPr>
        </a:p>
      </xdr:txBody>
    </xdr:sp>
    <xdr:clientData/>
  </xdr:twoCellAnchor>
  <xdr:twoCellAnchor>
    <xdr:from>
      <xdr:col>1</xdr:col>
      <xdr:colOff>495300</xdr:colOff>
      <xdr:row>17</xdr:row>
      <xdr:rowOff>99060</xdr:rowOff>
    </xdr:from>
    <xdr:to>
      <xdr:col>4</xdr:col>
      <xdr:colOff>198120</xdr:colOff>
      <xdr:row>19</xdr:row>
      <xdr:rowOff>60960</xdr:rowOff>
    </xdr:to>
    <xdr:sp macro="" textlink="Processing!M15">
      <xdr:nvSpPr>
        <xdr:cNvPr id="47" name="TextBox 46">
          <a:extLst>
            <a:ext uri="{FF2B5EF4-FFF2-40B4-BE49-F238E27FC236}">
              <a16:creationId xmlns:a16="http://schemas.microsoft.com/office/drawing/2014/main" id="{B5C3BB87-0765-0951-C75A-6428596A0976}"/>
            </a:ext>
          </a:extLst>
        </xdr:cNvPr>
        <xdr:cNvSpPr txBox="1"/>
      </xdr:nvSpPr>
      <xdr:spPr>
        <a:xfrm>
          <a:off x="1104900" y="320802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FB8ED162-C73D-4C85-A493-118A723E7868}" type="TxLink">
            <a:rPr lang="en-US" sz="1100" b="0" i="0" u="none" strike="noStrike">
              <a:solidFill>
                <a:srgbClr val="F17EEC"/>
              </a:solidFill>
              <a:latin typeface="Aptos Narrow"/>
              <a:ea typeface="+mn-ea"/>
              <a:cs typeface="+mn-cs"/>
            </a:rPr>
            <a:pPr marL="0" indent="0" algn="r"/>
            <a:t> $7,567.00 </a:t>
          </a:fld>
          <a:endParaRPr lang="ru-RU" sz="1400" b="0" i="0" u="none" strike="noStrike">
            <a:solidFill>
              <a:srgbClr val="F17EEC"/>
            </a:solidFill>
            <a:latin typeface="Aptos Narrow"/>
            <a:ea typeface="+mn-ea"/>
            <a:cs typeface="+mn-cs"/>
          </a:endParaRPr>
        </a:p>
      </xdr:txBody>
    </xdr:sp>
    <xdr:clientData/>
  </xdr:twoCellAnchor>
  <xdr:twoCellAnchor>
    <xdr:from>
      <xdr:col>2</xdr:col>
      <xdr:colOff>396240</xdr:colOff>
      <xdr:row>27</xdr:row>
      <xdr:rowOff>38100</xdr:rowOff>
    </xdr:from>
    <xdr:to>
      <xdr:col>5</xdr:col>
      <xdr:colOff>99060</xdr:colOff>
      <xdr:row>29</xdr:row>
      <xdr:rowOff>0</xdr:rowOff>
    </xdr:to>
    <xdr:sp macro="" textlink="Processing!M14">
      <xdr:nvSpPr>
        <xdr:cNvPr id="48" name="TextBox 47">
          <a:extLst>
            <a:ext uri="{FF2B5EF4-FFF2-40B4-BE49-F238E27FC236}">
              <a16:creationId xmlns:a16="http://schemas.microsoft.com/office/drawing/2014/main" id="{86308FC0-AED6-4B21-435C-A7E03A3B3C9E}"/>
            </a:ext>
          </a:extLst>
        </xdr:cNvPr>
        <xdr:cNvSpPr txBox="1"/>
      </xdr:nvSpPr>
      <xdr:spPr>
        <a:xfrm>
          <a:off x="1615440" y="497586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5C055BA5-A36D-4B75-A4F0-E3C7AB6817E1}" type="TxLink">
            <a:rPr lang="en-US" sz="1100" b="0" i="0" u="none" strike="noStrike">
              <a:solidFill>
                <a:srgbClr val="F17EEC"/>
              </a:solidFill>
              <a:latin typeface="Aptos Narrow"/>
              <a:ea typeface="+mn-ea"/>
              <a:cs typeface="+mn-cs"/>
            </a:rPr>
            <a:pPr marL="0" indent="0" algn="r"/>
            <a:t> $9,111.00 </a:t>
          </a:fld>
          <a:endParaRPr lang="ru-RU" sz="1400" b="0" i="0" u="none" strike="noStrike">
            <a:solidFill>
              <a:srgbClr val="F17EEC"/>
            </a:solidFill>
            <a:latin typeface="Aptos Narrow"/>
            <a:ea typeface="+mn-ea"/>
            <a:cs typeface="+mn-cs"/>
          </a:endParaRPr>
        </a:p>
      </xdr:txBody>
    </xdr:sp>
    <xdr:clientData/>
  </xdr:twoCellAnchor>
  <xdr:twoCellAnchor>
    <xdr:from>
      <xdr:col>8</xdr:col>
      <xdr:colOff>541020</xdr:colOff>
      <xdr:row>27</xdr:row>
      <xdr:rowOff>38100</xdr:rowOff>
    </xdr:from>
    <xdr:to>
      <xdr:col>11</xdr:col>
      <xdr:colOff>243840</xdr:colOff>
      <xdr:row>29</xdr:row>
      <xdr:rowOff>0</xdr:rowOff>
    </xdr:to>
    <xdr:sp macro="" textlink="Processing!M13">
      <xdr:nvSpPr>
        <xdr:cNvPr id="49" name="TextBox 48">
          <a:extLst>
            <a:ext uri="{FF2B5EF4-FFF2-40B4-BE49-F238E27FC236}">
              <a16:creationId xmlns:a16="http://schemas.microsoft.com/office/drawing/2014/main" id="{E1F6AA3D-FBDE-4FCA-F73D-971057F158F2}"/>
            </a:ext>
          </a:extLst>
        </xdr:cNvPr>
        <xdr:cNvSpPr txBox="1"/>
      </xdr:nvSpPr>
      <xdr:spPr>
        <a:xfrm>
          <a:off x="5417820" y="497586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D7EB4AC-8611-41C2-9138-E55E8BB1C980}" type="TxLink">
            <a:rPr lang="en-US" sz="1100" b="0" i="0" u="none" strike="noStrike">
              <a:solidFill>
                <a:srgbClr val="F17EEC"/>
              </a:solidFill>
              <a:latin typeface="Aptos Narrow"/>
              <a:ea typeface="+mn-ea"/>
              <a:cs typeface="+mn-cs"/>
            </a:rPr>
            <a:pPr marL="0" indent="0" algn="l"/>
            <a:t> $5,405.00 </a:t>
          </a:fld>
          <a:endParaRPr lang="ru-RU" sz="1400" b="0" i="0" u="none" strike="noStrike">
            <a:solidFill>
              <a:srgbClr val="F17EEC"/>
            </a:solidFill>
            <a:latin typeface="Aptos Narrow"/>
            <a:ea typeface="+mn-ea"/>
            <a:cs typeface="+mn-cs"/>
          </a:endParaRPr>
        </a:p>
      </xdr:txBody>
    </xdr:sp>
    <xdr:clientData/>
  </xdr:twoCellAnchor>
  <xdr:twoCellAnchor>
    <xdr:from>
      <xdr:col>7</xdr:col>
      <xdr:colOff>152400</xdr:colOff>
      <xdr:row>12</xdr:row>
      <xdr:rowOff>91440</xdr:rowOff>
    </xdr:from>
    <xdr:to>
      <xdr:col>9</xdr:col>
      <xdr:colOff>464820</xdr:colOff>
      <xdr:row>14</xdr:row>
      <xdr:rowOff>53340</xdr:rowOff>
    </xdr:to>
    <xdr:sp macro="" textlink="Processing!N11">
      <xdr:nvSpPr>
        <xdr:cNvPr id="50" name="TextBox 49">
          <a:extLst>
            <a:ext uri="{FF2B5EF4-FFF2-40B4-BE49-F238E27FC236}">
              <a16:creationId xmlns:a16="http://schemas.microsoft.com/office/drawing/2014/main" id="{E56E36E6-BA34-F399-AEF7-5597632E07D0}"/>
            </a:ext>
          </a:extLst>
        </xdr:cNvPr>
        <xdr:cNvSpPr txBox="1"/>
      </xdr:nvSpPr>
      <xdr:spPr>
        <a:xfrm>
          <a:off x="4419600" y="228600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CEBC020-7031-4343-9012-6D2D1F3EFC95}" type="TxLink">
            <a:rPr lang="en-US" sz="1100" b="0" i="0" u="none" strike="noStrike">
              <a:solidFill>
                <a:srgbClr val="568DF9"/>
              </a:solidFill>
              <a:latin typeface="Aptos Narrow"/>
              <a:ea typeface="+mn-ea"/>
              <a:cs typeface="+mn-cs"/>
            </a:rPr>
            <a:pPr marL="0" indent="0" algn="l"/>
            <a:t> $7,381.85 </a:t>
          </a:fld>
          <a:endParaRPr lang="ru-RU" sz="1400" b="0" i="0" u="none" strike="noStrike">
            <a:solidFill>
              <a:srgbClr val="568DF9"/>
            </a:solidFill>
            <a:latin typeface="Aptos Narrow"/>
            <a:ea typeface="+mn-ea"/>
            <a:cs typeface="+mn-cs"/>
          </a:endParaRPr>
        </a:p>
      </xdr:txBody>
    </xdr:sp>
    <xdr:clientData/>
  </xdr:twoCellAnchor>
  <xdr:twoCellAnchor>
    <xdr:from>
      <xdr:col>9</xdr:col>
      <xdr:colOff>441960</xdr:colOff>
      <xdr:row>18</xdr:row>
      <xdr:rowOff>144780</xdr:rowOff>
    </xdr:from>
    <xdr:to>
      <xdr:col>12</xdr:col>
      <xdr:colOff>144780</xdr:colOff>
      <xdr:row>20</xdr:row>
      <xdr:rowOff>106680</xdr:rowOff>
    </xdr:to>
    <xdr:sp macro="" textlink="Processing!N11">
      <xdr:nvSpPr>
        <xdr:cNvPr id="51" name="TextBox 50">
          <a:extLst>
            <a:ext uri="{FF2B5EF4-FFF2-40B4-BE49-F238E27FC236}">
              <a16:creationId xmlns:a16="http://schemas.microsoft.com/office/drawing/2014/main" id="{EA92FA47-F2EA-CCB9-01F1-B4544F92801F}"/>
            </a:ext>
          </a:extLst>
        </xdr:cNvPr>
        <xdr:cNvSpPr txBox="1"/>
      </xdr:nvSpPr>
      <xdr:spPr>
        <a:xfrm>
          <a:off x="5928360" y="343662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629868F-A942-434B-80FF-4DC78BDD3D5D}" type="TxLink">
            <a:rPr lang="en-US" sz="1100" b="0" i="0" u="none" strike="noStrike">
              <a:solidFill>
                <a:srgbClr val="568DF9"/>
              </a:solidFill>
              <a:latin typeface="Aptos Narrow"/>
              <a:ea typeface="+mn-ea"/>
              <a:cs typeface="+mn-cs"/>
            </a:rPr>
            <a:pPr marL="0" indent="0" algn="l"/>
            <a:t> $7,381.85 </a:t>
          </a:fld>
          <a:endParaRPr lang="ru-RU" sz="1400" b="0" i="0" u="none" strike="noStrike">
            <a:solidFill>
              <a:srgbClr val="568DF9"/>
            </a:solidFill>
            <a:latin typeface="Aptos Narrow"/>
            <a:ea typeface="+mn-ea"/>
            <a:cs typeface="+mn-cs"/>
          </a:endParaRPr>
        </a:p>
      </xdr:txBody>
    </xdr:sp>
    <xdr:clientData/>
  </xdr:twoCellAnchor>
  <xdr:twoCellAnchor>
    <xdr:from>
      <xdr:col>1</xdr:col>
      <xdr:colOff>495300</xdr:colOff>
      <xdr:row>18</xdr:row>
      <xdr:rowOff>144780</xdr:rowOff>
    </xdr:from>
    <xdr:to>
      <xdr:col>4</xdr:col>
      <xdr:colOff>198120</xdr:colOff>
      <xdr:row>20</xdr:row>
      <xdr:rowOff>106680</xdr:rowOff>
    </xdr:to>
    <xdr:sp macro="" textlink="Processing!N15">
      <xdr:nvSpPr>
        <xdr:cNvPr id="52" name="TextBox 51">
          <a:extLst>
            <a:ext uri="{FF2B5EF4-FFF2-40B4-BE49-F238E27FC236}">
              <a16:creationId xmlns:a16="http://schemas.microsoft.com/office/drawing/2014/main" id="{A1056CD0-213A-D707-7471-D81F842C3FF6}"/>
            </a:ext>
          </a:extLst>
        </xdr:cNvPr>
        <xdr:cNvSpPr txBox="1"/>
      </xdr:nvSpPr>
      <xdr:spPr>
        <a:xfrm>
          <a:off x="1104900" y="343662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60258357-235D-4B7C-B897-29F68DBC7E5C}" type="TxLink">
            <a:rPr lang="en-US" sz="1100" b="0" i="0" u="none" strike="noStrike">
              <a:solidFill>
                <a:srgbClr val="568DF9"/>
              </a:solidFill>
              <a:latin typeface="Aptos Narrow"/>
              <a:ea typeface="+mn-ea"/>
              <a:cs typeface="+mn-cs"/>
            </a:rPr>
            <a:pPr marL="0" indent="0" algn="r"/>
            <a:t> $6,479.50 </a:t>
          </a:fld>
          <a:endParaRPr lang="ru-RU" sz="1400" b="0" i="0" u="none" strike="noStrike">
            <a:solidFill>
              <a:srgbClr val="568DF9"/>
            </a:solidFill>
            <a:latin typeface="Aptos Narrow"/>
            <a:ea typeface="+mn-ea"/>
            <a:cs typeface="+mn-cs"/>
          </a:endParaRPr>
        </a:p>
      </xdr:txBody>
    </xdr:sp>
    <xdr:clientData/>
  </xdr:twoCellAnchor>
  <xdr:twoCellAnchor>
    <xdr:from>
      <xdr:col>2</xdr:col>
      <xdr:colOff>396240</xdr:colOff>
      <xdr:row>28</xdr:row>
      <xdr:rowOff>83820</xdr:rowOff>
    </xdr:from>
    <xdr:to>
      <xdr:col>5</xdr:col>
      <xdr:colOff>99060</xdr:colOff>
      <xdr:row>30</xdr:row>
      <xdr:rowOff>45720</xdr:rowOff>
    </xdr:to>
    <xdr:sp macro="" textlink="Processing!N14">
      <xdr:nvSpPr>
        <xdr:cNvPr id="53" name="TextBox 52">
          <a:extLst>
            <a:ext uri="{FF2B5EF4-FFF2-40B4-BE49-F238E27FC236}">
              <a16:creationId xmlns:a16="http://schemas.microsoft.com/office/drawing/2014/main" id="{894956B3-F434-3F9F-DF9D-976FE63CDC95}"/>
            </a:ext>
          </a:extLst>
        </xdr:cNvPr>
        <xdr:cNvSpPr txBox="1"/>
      </xdr:nvSpPr>
      <xdr:spPr>
        <a:xfrm>
          <a:off x="1615440" y="520446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BD878D61-99E8-4703-B40B-127E5238015C}" type="TxLink">
            <a:rPr lang="en-US" sz="1100" b="0" i="0" u="none" strike="noStrike">
              <a:solidFill>
                <a:srgbClr val="568DF9"/>
              </a:solidFill>
              <a:latin typeface="Aptos Narrow"/>
              <a:ea typeface="+mn-ea"/>
              <a:cs typeface="+mn-cs"/>
            </a:rPr>
            <a:pPr marL="0" indent="0" algn="r"/>
            <a:t> $4,026.80 </a:t>
          </a:fld>
          <a:endParaRPr lang="ru-RU" sz="1400" b="0" i="0" u="none" strike="noStrike">
            <a:solidFill>
              <a:srgbClr val="568DF9"/>
            </a:solidFill>
            <a:latin typeface="Aptos Narrow"/>
            <a:ea typeface="+mn-ea"/>
            <a:cs typeface="+mn-cs"/>
          </a:endParaRPr>
        </a:p>
      </xdr:txBody>
    </xdr:sp>
    <xdr:clientData/>
  </xdr:twoCellAnchor>
  <xdr:twoCellAnchor>
    <xdr:from>
      <xdr:col>8</xdr:col>
      <xdr:colOff>541020</xdr:colOff>
      <xdr:row>28</xdr:row>
      <xdr:rowOff>83820</xdr:rowOff>
    </xdr:from>
    <xdr:to>
      <xdr:col>11</xdr:col>
      <xdr:colOff>243840</xdr:colOff>
      <xdr:row>30</xdr:row>
      <xdr:rowOff>45720</xdr:rowOff>
    </xdr:to>
    <xdr:sp macro="" textlink="Processing!N13">
      <xdr:nvSpPr>
        <xdr:cNvPr id="54" name="TextBox 53">
          <a:extLst>
            <a:ext uri="{FF2B5EF4-FFF2-40B4-BE49-F238E27FC236}">
              <a16:creationId xmlns:a16="http://schemas.microsoft.com/office/drawing/2014/main" id="{6C50B19E-63B3-215F-7B56-D8274126989D}"/>
            </a:ext>
          </a:extLst>
        </xdr:cNvPr>
        <xdr:cNvSpPr txBox="1"/>
      </xdr:nvSpPr>
      <xdr:spPr>
        <a:xfrm>
          <a:off x="5417820" y="520446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D8D9440-EAE1-4D69-AD2B-5BE2271AC9D4}" type="TxLink">
            <a:rPr lang="en-US" sz="1100" b="0" i="0" u="none" strike="noStrike">
              <a:solidFill>
                <a:srgbClr val="568DF9"/>
              </a:solidFill>
              <a:latin typeface="Aptos Narrow"/>
              <a:ea typeface="+mn-ea"/>
              <a:cs typeface="+mn-cs"/>
            </a:rPr>
            <a:pPr marL="0" indent="0" algn="l"/>
            <a:t> $7,244.89 </a:t>
          </a:fld>
          <a:endParaRPr lang="ru-RU" sz="1400" b="0" i="0" u="none" strike="noStrike">
            <a:solidFill>
              <a:srgbClr val="568DF9"/>
            </a:solidFill>
            <a:latin typeface="Aptos Narrow"/>
            <a:ea typeface="+mn-ea"/>
            <a:cs typeface="+mn-cs"/>
          </a:endParaRPr>
        </a:p>
      </xdr:txBody>
    </xdr:sp>
    <xdr:clientData/>
  </xdr:twoCellAnchor>
  <xdr:twoCellAnchor>
    <xdr:from>
      <xdr:col>2</xdr:col>
      <xdr:colOff>354360</xdr:colOff>
      <xdr:row>10</xdr:row>
      <xdr:rowOff>45720</xdr:rowOff>
    </xdr:from>
    <xdr:to>
      <xdr:col>3</xdr:col>
      <xdr:colOff>544801</xdr:colOff>
      <xdr:row>12</xdr:row>
      <xdr:rowOff>7620</xdr:rowOff>
    </xdr:to>
    <xdr:sp macro="" textlink="Processing!M10">
      <xdr:nvSpPr>
        <xdr:cNvPr id="55" name="TextBox 54">
          <a:extLst>
            <a:ext uri="{FF2B5EF4-FFF2-40B4-BE49-F238E27FC236}">
              <a16:creationId xmlns:a16="http://schemas.microsoft.com/office/drawing/2014/main" id="{6F16AB22-FA43-98BA-C127-1833ED9ED319}"/>
            </a:ext>
          </a:extLst>
        </xdr:cNvPr>
        <xdr:cNvSpPr txBox="1"/>
      </xdr:nvSpPr>
      <xdr:spPr>
        <a:xfrm>
          <a:off x="1573560" y="1874520"/>
          <a:ext cx="800041"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28355AE-912C-4E15-B891-05AB1DA085AC}" type="TxLink">
            <a:rPr lang="en-US" sz="1400" b="0" i="0" u="none" strike="noStrike">
              <a:solidFill>
                <a:schemeClr val="bg1"/>
              </a:solidFill>
              <a:latin typeface="Aptos Narrow"/>
            </a:rPr>
            <a:pPr algn="l"/>
            <a:t>Revenue</a:t>
          </a:fld>
          <a:endParaRPr lang="ru-RU" sz="4400" b="0">
            <a:solidFill>
              <a:schemeClr val="bg1"/>
            </a:solidFill>
          </a:endParaRPr>
        </a:p>
      </xdr:txBody>
    </xdr:sp>
    <xdr:clientData/>
  </xdr:twoCellAnchor>
  <xdr:twoCellAnchor>
    <xdr:from>
      <xdr:col>2</xdr:col>
      <xdr:colOff>354360</xdr:colOff>
      <xdr:row>11</xdr:row>
      <xdr:rowOff>99060</xdr:rowOff>
    </xdr:from>
    <xdr:to>
      <xdr:col>3</xdr:col>
      <xdr:colOff>544801</xdr:colOff>
      <xdr:row>13</xdr:row>
      <xdr:rowOff>60960</xdr:rowOff>
    </xdr:to>
    <xdr:sp macro="" textlink="Processing!N10">
      <xdr:nvSpPr>
        <xdr:cNvPr id="56" name="TextBox 55">
          <a:extLst>
            <a:ext uri="{FF2B5EF4-FFF2-40B4-BE49-F238E27FC236}">
              <a16:creationId xmlns:a16="http://schemas.microsoft.com/office/drawing/2014/main" id="{C82F5E48-70A9-0DFD-EACE-24678DCF87C0}"/>
            </a:ext>
          </a:extLst>
        </xdr:cNvPr>
        <xdr:cNvSpPr txBox="1"/>
      </xdr:nvSpPr>
      <xdr:spPr>
        <a:xfrm>
          <a:off x="1573560" y="2110740"/>
          <a:ext cx="800041"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1F54E5D-31EF-4B0A-924F-85E64AF077EB}" type="TxLink">
            <a:rPr lang="en-US" sz="1400" b="0" i="0" u="none" strike="noStrike">
              <a:solidFill>
                <a:schemeClr val="bg1"/>
              </a:solidFill>
              <a:latin typeface="Aptos Narrow"/>
            </a:rPr>
            <a:pPr algn="l"/>
            <a:t>Sales</a:t>
          </a:fld>
          <a:endParaRPr lang="ru-RU" sz="4400" b="0">
            <a:solidFill>
              <a:schemeClr val="bg1"/>
            </a:solidFill>
          </a:endParaRPr>
        </a:p>
      </xdr:txBody>
    </xdr:sp>
    <xdr:clientData/>
  </xdr:twoCellAnchor>
  <xdr:twoCellAnchor>
    <xdr:from>
      <xdr:col>3</xdr:col>
      <xdr:colOff>537239</xdr:colOff>
      <xdr:row>10</xdr:row>
      <xdr:rowOff>45720</xdr:rowOff>
    </xdr:from>
    <xdr:to>
      <xdr:col>6</xdr:col>
      <xdr:colOff>80039</xdr:colOff>
      <xdr:row>12</xdr:row>
      <xdr:rowOff>7620</xdr:rowOff>
    </xdr:to>
    <xdr:sp macro="" textlink="Processing!M16">
      <xdr:nvSpPr>
        <xdr:cNvPr id="57" name="TextBox 56">
          <a:extLst>
            <a:ext uri="{FF2B5EF4-FFF2-40B4-BE49-F238E27FC236}">
              <a16:creationId xmlns:a16="http://schemas.microsoft.com/office/drawing/2014/main" id="{ED74D056-D60E-79FF-9064-FCFEE502393D}"/>
            </a:ext>
          </a:extLst>
        </xdr:cNvPr>
        <xdr:cNvSpPr txBox="1"/>
      </xdr:nvSpPr>
      <xdr:spPr>
        <a:xfrm>
          <a:off x="2366039" y="1874520"/>
          <a:ext cx="13716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0BDB2E0-C0C4-49F3-B3F0-52886EE118C0}" type="TxLink">
            <a:rPr lang="en-US" sz="1400" b="0" i="0" u="none" strike="noStrike">
              <a:solidFill>
                <a:schemeClr val="bg1"/>
              </a:solidFill>
              <a:latin typeface="Aptos Narrow"/>
            </a:rPr>
            <a:pPr algn="l"/>
            <a:t> $37,835 </a:t>
          </a:fld>
          <a:endParaRPr lang="ru-RU" sz="5400" b="0">
            <a:solidFill>
              <a:schemeClr val="bg1"/>
            </a:solidFill>
          </a:endParaRPr>
        </a:p>
      </xdr:txBody>
    </xdr:sp>
    <xdr:clientData/>
  </xdr:twoCellAnchor>
  <xdr:twoCellAnchor>
    <xdr:from>
      <xdr:col>3</xdr:col>
      <xdr:colOff>537239</xdr:colOff>
      <xdr:row>11</xdr:row>
      <xdr:rowOff>99060</xdr:rowOff>
    </xdr:from>
    <xdr:to>
      <xdr:col>6</xdr:col>
      <xdr:colOff>80039</xdr:colOff>
      <xdr:row>13</xdr:row>
      <xdr:rowOff>60960</xdr:rowOff>
    </xdr:to>
    <xdr:sp macro="" textlink="Processing!N16">
      <xdr:nvSpPr>
        <xdr:cNvPr id="58" name="TextBox 57">
          <a:extLst>
            <a:ext uri="{FF2B5EF4-FFF2-40B4-BE49-F238E27FC236}">
              <a16:creationId xmlns:a16="http://schemas.microsoft.com/office/drawing/2014/main" id="{C422B1D4-CDE7-33F6-F199-DB14B4AA3506}"/>
            </a:ext>
          </a:extLst>
        </xdr:cNvPr>
        <xdr:cNvSpPr txBox="1"/>
      </xdr:nvSpPr>
      <xdr:spPr>
        <a:xfrm>
          <a:off x="2366039" y="2110740"/>
          <a:ext cx="13716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289848F-4778-4F83-A9D5-A471075ECE42}" type="TxLink">
            <a:rPr lang="en-US" sz="1400" b="0" i="0" u="none" strike="noStrike">
              <a:solidFill>
                <a:schemeClr val="bg1"/>
              </a:solidFill>
              <a:latin typeface="Aptos Narrow"/>
            </a:rPr>
            <a:pPr algn="l"/>
            <a:t> $33,543 </a:t>
          </a:fld>
          <a:endParaRPr lang="ru-RU" sz="5400" b="0">
            <a:solidFill>
              <a:schemeClr val="bg1"/>
            </a:solidFill>
          </a:endParaRPr>
        </a:p>
      </xdr:txBody>
    </xdr:sp>
    <xdr:clientData/>
  </xdr:twoCellAnchor>
  <xdr:twoCellAnchor>
    <xdr:from>
      <xdr:col>2</xdr:col>
      <xdr:colOff>213360</xdr:colOff>
      <xdr:row>10</xdr:row>
      <xdr:rowOff>137160</xdr:rowOff>
    </xdr:from>
    <xdr:to>
      <xdr:col>2</xdr:col>
      <xdr:colOff>332232</xdr:colOff>
      <xdr:row>11</xdr:row>
      <xdr:rowOff>73152</xdr:rowOff>
    </xdr:to>
    <xdr:sp macro="" textlink="">
      <xdr:nvSpPr>
        <xdr:cNvPr id="59" name="Oval 58">
          <a:extLst>
            <a:ext uri="{FF2B5EF4-FFF2-40B4-BE49-F238E27FC236}">
              <a16:creationId xmlns:a16="http://schemas.microsoft.com/office/drawing/2014/main" id="{67F9D4E4-7870-A7B3-9390-67A64B1803E8}"/>
            </a:ext>
          </a:extLst>
        </xdr:cNvPr>
        <xdr:cNvSpPr/>
      </xdr:nvSpPr>
      <xdr:spPr>
        <a:xfrm>
          <a:off x="1432560" y="1965960"/>
          <a:ext cx="118872" cy="118872"/>
        </a:xfrm>
        <a:prstGeom prst="ellipse">
          <a:avLst/>
        </a:prstGeom>
        <a:solidFill>
          <a:srgbClr val="EE0078">
            <a:alpha val="30000"/>
          </a:srgbClr>
        </a:solidFill>
        <a:ln w="12700">
          <a:solidFill>
            <a:srgbClr val="EE00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213360</xdr:colOff>
      <xdr:row>12</xdr:row>
      <xdr:rowOff>22860</xdr:rowOff>
    </xdr:from>
    <xdr:to>
      <xdr:col>2</xdr:col>
      <xdr:colOff>332232</xdr:colOff>
      <xdr:row>12</xdr:row>
      <xdr:rowOff>141732</xdr:rowOff>
    </xdr:to>
    <xdr:sp macro="" textlink="">
      <xdr:nvSpPr>
        <xdr:cNvPr id="60" name="Oval 59">
          <a:extLst>
            <a:ext uri="{FF2B5EF4-FFF2-40B4-BE49-F238E27FC236}">
              <a16:creationId xmlns:a16="http://schemas.microsoft.com/office/drawing/2014/main" id="{9332938B-79CD-CEA6-FE3D-7F72CA7E9414}"/>
            </a:ext>
          </a:extLst>
        </xdr:cNvPr>
        <xdr:cNvSpPr/>
      </xdr:nvSpPr>
      <xdr:spPr>
        <a:xfrm>
          <a:off x="1432560" y="2217420"/>
          <a:ext cx="118872" cy="118872"/>
        </a:xfrm>
        <a:prstGeom prst="ellipse">
          <a:avLst/>
        </a:prstGeom>
        <a:solidFill>
          <a:srgbClr val="4E7AFF">
            <a:alpha val="30000"/>
          </a:srgbClr>
        </a:solidFill>
        <a:ln w="12700">
          <a:solidFill>
            <a:srgbClr val="4E7A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289560</xdr:colOff>
      <xdr:row>8</xdr:row>
      <xdr:rowOff>83820</xdr:rowOff>
    </xdr:from>
    <xdr:to>
      <xdr:col>16</xdr:col>
      <xdr:colOff>327660</xdr:colOff>
      <xdr:row>18</xdr:row>
      <xdr:rowOff>83820</xdr:rowOff>
    </xdr:to>
    <xdr:sp macro="" textlink="">
      <xdr:nvSpPr>
        <xdr:cNvPr id="27" name="Rectangle: Rounded Corners 26">
          <a:hlinkClick xmlns:r="http://schemas.openxmlformats.org/officeDocument/2006/relationships" r:id="rId10"/>
          <a:extLst>
            <a:ext uri="{FF2B5EF4-FFF2-40B4-BE49-F238E27FC236}">
              <a16:creationId xmlns:a16="http://schemas.microsoft.com/office/drawing/2014/main" id="{943F962C-36E7-4A2C-8A00-BB896D1F3C19}"/>
            </a:ext>
          </a:extLst>
        </xdr:cNvPr>
        <xdr:cNvSpPr/>
      </xdr:nvSpPr>
      <xdr:spPr>
        <a:xfrm>
          <a:off x="7604760" y="1546860"/>
          <a:ext cx="247650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289560</xdr:colOff>
      <xdr:row>19</xdr:row>
      <xdr:rowOff>167640</xdr:rowOff>
    </xdr:from>
    <xdr:to>
      <xdr:col>16</xdr:col>
      <xdr:colOff>327660</xdr:colOff>
      <xdr:row>32</xdr:row>
      <xdr:rowOff>121920</xdr:rowOff>
    </xdr:to>
    <xdr:sp macro="" textlink="">
      <xdr:nvSpPr>
        <xdr:cNvPr id="41" name="Rectangle: Rounded Corners 40">
          <a:hlinkClick xmlns:r="http://schemas.openxmlformats.org/officeDocument/2006/relationships" r:id="rId11"/>
          <a:extLst>
            <a:ext uri="{FF2B5EF4-FFF2-40B4-BE49-F238E27FC236}">
              <a16:creationId xmlns:a16="http://schemas.microsoft.com/office/drawing/2014/main" id="{71605273-6D34-44F7-9C38-DD1251374884}"/>
            </a:ext>
          </a:extLst>
        </xdr:cNvPr>
        <xdr:cNvSpPr/>
      </xdr:nvSpPr>
      <xdr:spPr>
        <a:xfrm>
          <a:off x="7604760" y="3642360"/>
          <a:ext cx="2476500" cy="2331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525780</xdr:colOff>
      <xdr:row>8</xdr:row>
      <xdr:rowOff>83820</xdr:rowOff>
    </xdr:from>
    <xdr:to>
      <xdr:col>22</xdr:col>
      <xdr:colOff>38100</xdr:colOff>
      <xdr:row>21</xdr:row>
      <xdr:rowOff>53340</xdr:rowOff>
    </xdr:to>
    <xdr:sp macro="" textlink="">
      <xdr:nvSpPr>
        <xdr:cNvPr id="42" name="Rectangle: Rounded Corners 41">
          <a:hlinkClick xmlns:r="http://schemas.openxmlformats.org/officeDocument/2006/relationships" r:id="rId12"/>
          <a:extLst>
            <a:ext uri="{FF2B5EF4-FFF2-40B4-BE49-F238E27FC236}">
              <a16:creationId xmlns:a16="http://schemas.microsoft.com/office/drawing/2014/main" id="{5083D071-00BA-48D0-A968-B3B1489E5177}"/>
            </a:ext>
          </a:extLst>
        </xdr:cNvPr>
        <xdr:cNvSpPr/>
      </xdr:nvSpPr>
      <xdr:spPr>
        <a:xfrm>
          <a:off x="10279380" y="1546860"/>
          <a:ext cx="3169920" cy="23469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502920</xdr:colOff>
      <xdr:row>22</xdr:row>
      <xdr:rowOff>0</xdr:rowOff>
    </xdr:from>
    <xdr:to>
      <xdr:col>19</xdr:col>
      <xdr:colOff>525780</xdr:colOff>
      <xdr:row>32</xdr:row>
      <xdr:rowOff>121920</xdr:rowOff>
    </xdr:to>
    <xdr:sp macro="" textlink="">
      <xdr:nvSpPr>
        <xdr:cNvPr id="61" name="Rectangle: Rounded Corners 60">
          <a:hlinkClick xmlns:r="http://schemas.openxmlformats.org/officeDocument/2006/relationships" r:id="rId13"/>
          <a:extLst>
            <a:ext uri="{FF2B5EF4-FFF2-40B4-BE49-F238E27FC236}">
              <a16:creationId xmlns:a16="http://schemas.microsoft.com/office/drawing/2014/main" id="{BE4C7A9B-02BE-41EE-82D1-C643D842370F}"/>
            </a:ext>
          </a:extLst>
        </xdr:cNvPr>
        <xdr:cNvSpPr/>
      </xdr:nvSpPr>
      <xdr:spPr>
        <a:xfrm>
          <a:off x="10256520" y="4023360"/>
          <a:ext cx="1851660" cy="1950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38100</xdr:colOff>
      <xdr:row>22</xdr:row>
      <xdr:rowOff>0</xdr:rowOff>
    </xdr:from>
    <xdr:to>
      <xdr:col>22</xdr:col>
      <xdr:colOff>83820</xdr:colOff>
      <xdr:row>32</xdr:row>
      <xdr:rowOff>121920</xdr:rowOff>
    </xdr:to>
    <xdr:sp macro="" textlink="">
      <xdr:nvSpPr>
        <xdr:cNvPr id="62" name="Rectangle: Rounded Corners 61">
          <a:hlinkClick xmlns:r="http://schemas.openxmlformats.org/officeDocument/2006/relationships" r:id="rId14"/>
          <a:extLst>
            <a:ext uri="{FF2B5EF4-FFF2-40B4-BE49-F238E27FC236}">
              <a16:creationId xmlns:a16="http://schemas.microsoft.com/office/drawing/2014/main" id="{9DC90303-8A2D-412A-9928-4622DC3985AD}"/>
            </a:ext>
          </a:extLst>
        </xdr:cNvPr>
        <xdr:cNvSpPr/>
      </xdr:nvSpPr>
      <xdr:spPr>
        <a:xfrm>
          <a:off x="12230100" y="4023360"/>
          <a:ext cx="1264920" cy="1950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0</xdr:col>
      <xdr:colOff>0</xdr:colOff>
      <xdr:row>0</xdr:row>
      <xdr:rowOff>0</xdr:rowOff>
    </xdr:from>
    <xdr:to>
      <xdr:col>0</xdr:col>
      <xdr:colOff>274320</xdr:colOff>
      <xdr:row>1</xdr:row>
      <xdr:rowOff>91440</xdr:rowOff>
    </xdr:to>
    <xdr:pic>
      <xdr:nvPicPr>
        <xdr:cNvPr id="63" name="Graphic 62" descr="Sun with solid fill">
          <a:hlinkClick xmlns:r="http://schemas.openxmlformats.org/officeDocument/2006/relationships" r:id="rId15"/>
          <a:extLst>
            <a:ext uri="{FF2B5EF4-FFF2-40B4-BE49-F238E27FC236}">
              <a16:creationId xmlns:a16="http://schemas.microsoft.com/office/drawing/2014/main" id="{4A360EC1-07B4-4689-A3FA-6ABA1D5AF1F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0" y="0"/>
          <a:ext cx="274320" cy="2743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99060</xdr:colOff>
      <xdr:row>1</xdr:row>
      <xdr:rowOff>99060</xdr:rowOff>
    </xdr:to>
    <xdr:sp macro="" textlink="">
      <xdr:nvSpPr>
        <xdr:cNvPr id="15" name="Rectangle 14">
          <a:extLst>
            <a:ext uri="{FF2B5EF4-FFF2-40B4-BE49-F238E27FC236}">
              <a16:creationId xmlns:a16="http://schemas.microsoft.com/office/drawing/2014/main" id="{B23540B8-04B7-4651-B2C0-87E52851C3EA}"/>
            </a:ext>
          </a:extLst>
        </xdr:cNvPr>
        <xdr:cNvSpPr/>
      </xdr:nvSpPr>
      <xdr:spPr>
        <a:xfrm>
          <a:off x="0" y="0"/>
          <a:ext cx="708660" cy="2819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205740</xdr:colOff>
      <xdr:row>3</xdr:row>
      <xdr:rowOff>91440</xdr:rowOff>
    </xdr:from>
    <xdr:to>
      <xdr:col>22</xdr:col>
      <xdr:colOff>419100</xdr:colOff>
      <xdr:row>35</xdr:row>
      <xdr:rowOff>7034</xdr:rowOff>
    </xdr:to>
    <xdr:grpSp>
      <xdr:nvGrpSpPr>
        <xdr:cNvPr id="58" name="Group 57">
          <a:extLst>
            <a:ext uri="{FF2B5EF4-FFF2-40B4-BE49-F238E27FC236}">
              <a16:creationId xmlns:a16="http://schemas.microsoft.com/office/drawing/2014/main" id="{CC7F9048-6F81-4285-9ED6-CF212DDD096D}"/>
            </a:ext>
          </a:extLst>
        </xdr:cNvPr>
        <xdr:cNvGrpSpPr/>
      </xdr:nvGrpSpPr>
      <xdr:grpSpPr>
        <a:xfrm>
          <a:off x="815340" y="662940"/>
          <a:ext cx="13014960" cy="6011594"/>
          <a:chOff x="2438400" y="7132320"/>
          <a:chExt cx="13014960" cy="5767754"/>
        </a:xfrm>
      </xdr:grpSpPr>
      <xdr:sp macro="" textlink="">
        <xdr:nvSpPr>
          <xdr:cNvPr id="59" name="Rectangle: Rounded Corners 58">
            <a:extLst>
              <a:ext uri="{FF2B5EF4-FFF2-40B4-BE49-F238E27FC236}">
                <a16:creationId xmlns:a16="http://schemas.microsoft.com/office/drawing/2014/main" id="{2AAB0862-B339-49DE-4370-913E95155943}"/>
              </a:ext>
            </a:extLst>
          </xdr:cNvPr>
          <xdr:cNvSpPr/>
        </xdr:nvSpPr>
        <xdr:spPr>
          <a:xfrm>
            <a:off x="2438400" y="7132320"/>
            <a:ext cx="13014960" cy="5767754"/>
          </a:xfrm>
          <a:prstGeom prst="roundRect">
            <a:avLst>
              <a:gd name="adj" fmla="val 10643"/>
            </a:avLst>
          </a:prstGeom>
          <a:solidFill>
            <a:schemeClr val="bg1"/>
          </a:solidFill>
          <a:ln>
            <a:noFill/>
          </a:ln>
          <a:effectLst>
            <a:outerShdw blurRad="381000" dist="127000" dir="4200000" algn="tl" rotWithShape="0">
              <a:srgbClr val="006FF6">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0" name="Rectangle: Rounded Corners 59">
            <a:extLst>
              <a:ext uri="{FF2B5EF4-FFF2-40B4-BE49-F238E27FC236}">
                <a16:creationId xmlns:a16="http://schemas.microsoft.com/office/drawing/2014/main" id="{DA19251B-6129-5C1F-57D3-59350B54EBA9}"/>
              </a:ext>
            </a:extLst>
          </xdr:cNvPr>
          <xdr:cNvSpPr/>
        </xdr:nvSpPr>
        <xdr:spPr>
          <a:xfrm>
            <a:off x="2438400" y="7132320"/>
            <a:ext cx="13014960" cy="5767754"/>
          </a:xfrm>
          <a:prstGeom prst="roundRect">
            <a:avLst>
              <a:gd name="adj" fmla="val 10643"/>
            </a:avLst>
          </a:prstGeom>
          <a:solidFill>
            <a:schemeClr val="bg1"/>
          </a:solidFill>
          <a:ln>
            <a:noFill/>
          </a:ln>
          <a:effectLst>
            <a:outerShdw blurRad="584200" dist="254000" dir="8100000" algn="tr" rotWithShape="0">
              <a:srgbClr val="B814B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510540</xdr:colOff>
      <xdr:row>8</xdr:row>
      <xdr:rowOff>102287</xdr:rowOff>
    </xdr:from>
    <xdr:to>
      <xdr:col>22</xdr:col>
      <xdr:colOff>48508</xdr:colOff>
      <xdr:row>21</xdr:row>
      <xdr:rowOff>10847</xdr:rowOff>
    </xdr:to>
    <xdr:sp macro="" textlink="">
      <xdr:nvSpPr>
        <xdr:cNvPr id="7" name="Rectangle: Rounded Corners 6">
          <a:extLst>
            <a:ext uri="{FF2B5EF4-FFF2-40B4-BE49-F238E27FC236}">
              <a16:creationId xmlns:a16="http://schemas.microsoft.com/office/drawing/2014/main" id="{48634EFD-107D-487F-B5A8-B5228CFFB346}"/>
            </a:ext>
          </a:extLst>
        </xdr:cNvPr>
        <xdr:cNvSpPr/>
      </xdr:nvSpPr>
      <xdr:spPr>
        <a:xfrm>
          <a:off x="10264140" y="1565327"/>
          <a:ext cx="3195568" cy="2286000"/>
        </a:xfrm>
        <a:prstGeom prst="roundRect">
          <a:avLst>
            <a:gd name="adj" fmla="val 12222"/>
          </a:avLst>
        </a:prstGeom>
        <a:solidFill>
          <a:schemeClr val="bg1"/>
        </a:solidFill>
        <a:ln w="9525">
          <a:no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200" b="0" i="0" u="none" strike="noStrike" kern="1200">
            <a:solidFill>
              <a:srgbClr val="A2ADBE"/>
            </a:solidFill>
            <a:latin typeface="Aptos Narrow"/>
            <a:ea typeface="+mn-ea"/>
            <a:cs typeface="+mn-cs"/>
          </a:endParaRPr>
        </a:p>
      </xdr:txBody>
    </xdr:sp>
    <xdr:clientData/>
  </xdr:twoCellAnchor>
  <xdr:twoCellAnchor>
    <xdr:from>
      <xdr:col>20</xdr:col>
      <xdr:colOff>78988</xdr:colOff>
      <xdr:row>22</xdr:row>
      <xdr:rowOff>24777</xdr:rowOff>
    </xdr:from>
    <xdr:to>
      <xdr:col>22</xdr:col>
      <xdr:colOff>48508</xdr:colOff>
      <xdr:row>32</xdr:row>
      <xdr:rowOff>70497</xdr:rowOff>
    </xdr:to>
    <xdr:sp macro="" textlink="Processing!L10">
      <xdr:nvSpPr>
        <xdr:cNvPr id="8" name="Rectangle: Rounded Corners 7">
          <a:extLst>
            <a:ext uri="{FF2B5EF4-FFF2-40B4-BE49-F238E27FC236}">
              <a16:creationId xmlns:a16="http://schemas.microsoft.com/office/drawing/2014/main" id="{7562F2C0-D80D-4CFA-9415-655F7CD4E966}"/>
            </a:ext>
          </a:extLst>
        </xdr:cNvPr>
        <xdr:cNvSpPr/>
      </xdr:nvSpPr>
      <xdr:spPr>
        <a:xfrm>
          <a:off x="12270988" y="4048137"/>
          <a:ext cx="1188720" cy="1874520"/>
        </a:xfrm>
        <a:prstGeom prst="roundRect">
          <a:avLst>
            <a:gd name="adj" fmla="val 16940"/>
          </a:avLst>
        </a:prstGeom>
        <a:solidFill>
          <a:schemeClr val="bg1"/>
        </a:solidFill>
        <a:ln w="9525">
          <a:solidFill>
            <a:srgbClr val="00C6D1"/>
          </a:solid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B141ACD5-C6B6-41AA-B709-DAF022D00E18}" type="TxLink">
            <a:rPr lang="en-US" sz="1200" b="0" i="0" u="none" strike="noStrike" kern="1200">
              <a:solidFill>
                <a:schemeClr val="tx1"/>
              </a:solidFill>
              <a:latin typeface="Aptos Narrow"/>
              <a:ea typeface="+mn-ea"/>
              <a:cs typeface="+mn-cs"/>
            </a:rPr>
            <a:pPr marL="0" indent="0" algn="ctr" defTabSz="914400" rtl="0" eaLnBrk="1" latinLnBrk="0" hangingPunct="1"/>
            <a:t>Top-5 Products</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510540</xdr:colOff>
      <xdr:row>22</xdr:row>
      <xdr:rowOff>24777</xdr:rowOff>
    </xdr:from>
    <xdr:to>
      <xdr:col>19</xdr:col>
      <xdr:colOff>510540</xdr:colOff>
      <xdr:row>32</xdr:row>
      <xdr:rowOff>70497</xdr:rowOff>
    </xdr:to>
    <xdr:sp macro="" textlink="Processing!J1">
      <xdr:nvSpPr>
        <xdr:cNvPr id="9" name="Rectangle: Rounded Corners 8">
          <a:extLst>
            <a:ext uri="{FF2B5EF4-FFF2-40B4-BE49-F238E27FC236}">
              <a16:creationId xmlns:a16="http://schemas.microsoft.com/office/drawing/2014/main" id="{8D2F5E18-6AB4-4209-A5C3-C68045F9E0EB}"/>
            </a:ext>
          </a:extLst>
        </xdr:cNvPr>
        <xdr:cNvSpPr/>
      </xdr:nvSpPr>
      <xdr:spPr>
        <a:xfrm>
          <a:off x="10264140" y="4048137"/>
          <a:ext cx="1828800" cy="1874520"/>
        </a:xfrm>
        <a:prstGeom prst="roundRect">
          <a:avLst>
            <a:gd name="adj" fmla="val 15658"/>
          </a:avLst>
        </a:prstGeom>
        <a:solidFill>
          <a:schemeClr val="bg1"/>
        </a:solidFill>
        <a:ln w="9525">
          <a:no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891643E-D31A-43FE-B4F0-A61FA518E279}" type="TxLink">
            <a:rPr lang="en-US" sz="1200" b="0" i="0" u="none" strike="noStrike" kern="1200">
              <a:solidFill>
                <a:srgbClr val="A2ADBE"/>
              </a:solidFill>
              <a:latin typeface="Aptos Narrow"/>
              <a:ea typeface="+mn-ea"/>
              <a:cs typeface="+mn-cs"/>
            </a:rPr>
            <a:pPr marL="0" indent="0" algn="l" defTabSz="914400" rtl="0" eaLnBrk="1" latinLnBrk="0" hangingPunct="1"/>
            <a:t>Sales Closed</a:t>
          </a:fld>
          <a:endParaRPr lang="ru-RU" sz="1200" b="0" i="0" u="none" strike="noStrike" kern="1200">
            <a:solidFill>
              <a:srgbClr val="A2ADBE"/>
            </a:solidFill>
            <a:latin typeface="Aptos Narrow"/>
            <a:ea typeface="+mn-ea"/>
            <a:cs typeface="+mn-cs"/>
          </a:endParaRPr>
        </a:p>
      </xdr:txBody>
    </xdr:sp>
    <xdr:clientData/>
  </xdr:twoCellAnchor>
  <xdr:twoCellAnchor>
    <xdr:from>
      <xdr:col>12</xdr:col>
      <xdr:colOff>289560</xdr:colOff>
      <xdr:row>19</xdr:row>
      <xdr:rowOff>143699</xdr:rowOff>
    </xdr:from>
    <xdr:to>
      <xdr:col>16</xdr:col>
      <xdr:colOff>320040</xdr:colOff>
      <xdr:row>32</xdr:row>
      <xdr:rowOff>70497</xdr:rowOff>
    </xdr:to>
    <xdr:sp macro="" textlink="Processing!A19">
      <xdr:nvSpPr>
        <xdr:cNvPr id="10" name="Rectangle: Rounded Corners 9">
          <a:extLst>
            <a:ext uri="{FF2B5EF4-FFF2-40B4-BE49-F238E27FC236}">
              <a16:creationId xmlns:a16="http://schemas.microsoft.com/office/drawing/2014/main" id="{22B2499C-BE82-47E4-ABE2-F2C217815B08}"/>
            </a:ext>
          </a:extLst>
        </xdr:cNvPr>
        <xdr:cNvSpPr/>
      </xdr:nvSpPr>
      <xdr:spPr>
        <a:xfrm>
          <a:off x="7604760" y="3618419"/>
          <a:ext cx="2468880" cy="2304238"/>
        </a:xfrm>
        <a:prstGeom prst="roundRect">
          <a:avLst>
            <a:gd name="adj" fmla="val 10585"/>
          </a:avLst>
        </a:prstGeom>
        <a:solidFill>
          <a:schemeClr val="bg1"/>
        </a:solidFill>
        <a:ln w="9525">
          <a:no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1C44FD38-D300-4C1F-906B-FAB458F04708}" type="TxLink">
            <a:rPr lang="en-US" sz="1200" b="0" i="0" u="none" strike="noStrike" kern="1200">
              <a:solidFill>
                <a:srgbClr val="A2ADBE"/>
              </a:solidFill>
              <a:latin typeface="Aptos Narrow"/>
              <a:ea typeface="+mn-ea"/>
              <a:cs typeface="+mn-cs"/>
            </a:rPr>
            <a:pPr marL="0" indent="0" algn="ctr" defTabSz="914400" rtl="0" eaLnBrk="1" latinLnBrk="0" hangingPunct="1"/>
            <a:t>Revenue vs Expenses</a:t>
          </a:fld>
          <a:endParaRPr lang="ru-RU" sz="1200" b="0" i="0" u="none" strike="noStrike" kern="1200">
            <a:solidFill>
              <a:srgbClr val="A2ADBE"/>
            </a:solidFill>
            <a:latin typeface="Aptos Narrow"/>
            <a:ea typeface="+mn-ea"/>
            <a:cs typeface="+mn-cs"/>
          </a:endParaRPr>
        </a:p>
      </xdr:txBody>
    </xdr:sp>
    <xdr:clientData/>
  </xdr:twoCellAnchor>
  <xdr:twoCellAnchor>
    <xdr:from>
      <xdr:col>12</xdr:col>
      <xdr:colOff>289560</xdr:colOff>
      <xdr:row>8</xdr:row>
      <xdr:rowOff>99060</xdr:rowOff>
    </xdr:from>
    <xdr:to>
      <xdr:col>16</xdr:col>
      <xdr:colOff>320040</xdr:colOff>
      <xdr:row>18</xdr:row>
      <xdr:rowOff>144780</xdr:rowOff>
    </xdr:to>
    <xdr:sp macro="" textlink="Processing!A1">
      <xdr:nvSpPr>
        <xdr:cNvPr id="11" name="Rectangle: Rounded Corners 10">
          <a:extLst>
            <a:ext uri="{FF2B5EF4-FFF2-40B4-BE49-F238E27FC236}">
              <a16:creationId xmlns:a16="http://schemas.microsoft.com/office/drawing/2014/main" id="{F30795B6-2B47-440B-B387-4096FF11DF26}"/>
            </a:ext>
          </a:extLst>
        </xdr:cNvPr>
        <xdr:cNvSpPr/>
      </xdr:nvSpPr>
      <xdr:spPr>
        <a:xfrm>
          <a:off x="7604760" y="1562100"/>
          <a:ext cx="2468880" cy="1874520"/>
        </a:xfrm>
        <a:prstGeom prst="roundRect">
          <a:avLst>
            <a:gd name="adj" fmla="val 12132"/>
          </a:avLst>
        </a:prstGeom>
        <a:gradFill flip="none" rotWithShape="1">
          <a:gsLst>
            <a:gs pos="0">
              <a:srgbClr val="EE0078"/>
            </a:gs>
            <a:gs pos="73000">
              <a:srgbClr val="6459F9"/>
            </a:gs>
          </a:gsLst>
          <a:lin ang="2700000" scaled="1"/>
          <a:tileRect/>
        </a:gradFill>
        <a:ln w="12700">
          <a:solidFill>
            <a:schemeClr val="bg1"/>
          </a:solid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03020289-B635-419F-B330-AF3CCE861824}" type="TxLink">
            <a:rPr lang="en-US" sz="1200" b="0" i="0" u="none" strike="noStrike" kern="1200">
              <a:solidFill>
                <a:schemeClr val="bg1"/>
              </a:solidFill>
              <a:latin typeface="Aptos Narrow"/>
              <a:ea typeface="+mn-ea"/>
              <a:cs typeface="+mn-cs"/>
            </a:rPr>
            <a:pPr marL="0" indent="0" algn="ctr" defTabSz="914400" rtl="0" eaLnBrk="1" latinLnBrk="0" hangingPunct="1"/>
            <a:t>Investments vs Sales Volume</a:t>
          </a:fld>
          <a:endParaRPr lang="ru-RU" sz="1200" b="0" i="0" u="none" strike="noStrike" kern="1200">
            <a:solidFill>
              <a:schemeClr val="bg1"/>
            </a:solidFill>
            <a:latin typeface="Aptos Narrow"/>
            <a:ea typeface="+mn-ea"/>
            <a:cs typeface="+mn-cs"/>
          </a:endParaRPr>
        </a:p>
      </xdr:txBody>
    </xdr:sp>
    <xdr:clientData/>
  </xdr:twoCellAnchor>
  <xdr:twoCellAnchor>
    <xdr:from>
      <xdr:col>20</xdr:col>
      <xdr:colOff>76205</xdr:colOff>
      <xdr:row>24</xdr:row>
      <xdr:rowOff>137379</xdr:rowOff>
    </xdr:from>
    <xdr:to>
      <xdr:col>22</xdr:col>
      <xdr:colOff>60956</xdr:colOff>
      <xdr:row>31</xdr:row>
      <xdr:rowOff>136942</xdr:rowOff>
    </xdr:to>
    <xdr:graphicFrame macro="">
      <xdr:nvGraphicFramePr>
        <xdr:cNvPr id="13" name="Chart 12">
          <a:extLst>
            <a:ext uri="{FF2B5EF4-FFF2-40B4-BE49-F238E27FC236}">
              <a16:creationId xmlns:a16="http://schemas.microsoft.com/office/drawing/2014/main" id="{FF55F19B-88D3-4D10-996B-2FD1F4CF5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30677</xdr:colOff>
      <xdr:row>24</xdr:row>
      <xdr:rowOff>154137</xdr:rowOff>
    </xdr:from>
    <xdr:to>
      <xdr:col>22</xdr:col>
      <xdr:colOff>109023</xdr:colOff>
      <xdr:row>31</xdr:row>
      <xdr:rowOff>127803</xdr:rowOff>
    </xdr:to>
    <xdr:graphicFrame macro="">
      <xdr:nvGraphicFramePr>
        <xdr:cNvPr id="14" name="Chart 13">
          <a:extLst>
            <a:ext uri="{FF2B5EF4-FFF2-40B4-BE49-F238E27FC236}">
              <a16:creationId xmlns:a16="http://schemas.microsoft.com/office/drawing/2014/main" id="{10B18866-4426-4E4E-9F67-91BC62399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91440</xdr:colOff>
      <xdr:row>9</xdr:row>
      <xdr:rowOff>114300</xdr:rowOff>
    </xdr:from>
    <xdr:to>
      <xdr:col>21</xdr:col>
      <xdr:colOff>395512</xdr:colOff>
      <xdr:row>19</xdr:row>
      <xdr:rowOff>159142</xdr:rowOff>
    </xdr:to>
    <xdr:graphicFrame macro="">
      <xdr:nvGraphicFramePr>
        <xdr:cNvPr id="16" name="Chart 15">
          <a:extLst>
            <a:ext uri="{FF2B5EF4-FFF2-40B4-BE49-F238E27FC236}">
              <a16:creationId xmlns:a16="http://schemas.microsoft.com/office/drawing/2014/main" id="{DDDE88AF-E4D6-463D-9632-EEC8C4D69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34290</xdr:colOff>
      <xdr:row>4</xdr:row>
      <xdr:rowOff>99060</xdr:rowOff>
    </xdr:from>
    <xdr:to>
      <xdr:col>16</xdr:col>
      <xdr:colOff>26670</xdr:colOff>
      <xdr:row>8</xdr:row>
      <xdr:rowOff>38100</xdr:rowOff>
    </xdr:to>
    <xdr:sp macro="" textlink="Processing!P1">
      <xdr:nvSpPr>
        <xdr:cNvPr id="17" name="TextBox 16">
          <a:extLst>
            <a:ext uri="{FF2B5EF4-FFF2-40B4-BE49-F238E27FC236}">
              <a16:creationId xmlns:a16="http://schemas.microsoft.com/office/drawing/2014/main" id="{000AB430-36B3-4FAE-AC40-AE08582B786A}"/>
            </a:ext>
          </a:extLst>
        </xdr:cNvPr>
        <xdr:cNvSpPr txBox="1"/>
      </xdr:nvSpPr>
      <xdr:spPr>
        <a:xfrm>
          <a:off x="4911090" y="830580"/>
          <a:ext cx="4869180" cy="67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AFA7E3-D982-4DCE-8311-24F164F1C349}" type="TxLink">
            <a:rPr lang="en-US" sz="2800" b="0" i="0" u="none" strike="noStrike">
              <a:solidFill>
                <a:schemeClr val="tx1"/>
              </a:solidFill>
              <a:latin typeface="Aptos Narrow"/>
            </a:rPr>
            <a:pPr algn="ctr"/>
            <a:t>Sales Profitability Dashboard</a:t>
          </a:fld>
          <a:endParaRPr lang="ru-RU" sz="2800">
            <a:solidFill>
              <a:schemeClr val="tx1"/>
            </a:solidFill>
          </a:endParaRPr>
        </a:p>
      </xdr:txBody>
    </xdr:sp>
    <xdr:clientData/>
  </xdr:twoCellAnchor>
  <xdr:twoCellAnchor>
    <xdr:from>
      <xdr:col>12</xdr:col>
      <xdr:colOff>411480</xdr:colOff>
      <xdr:row>10</xdr:row>
      <xdr:rowOff>45720</xdr:rowOff>
    </xdr:from>
    <xdr:to>
      <xdr:col>15</xdr:col>
      <xdr:colOff>0</xdr:colOff>
      <xdr:row>12</xdr:row>
      <xdr:rowOff>7620</xdr:rowOff>
    </xdr:to>
    <xdr:sp macro="" textlink="Processing!B1">
      <xdr:nvSpPr>
        <xdr:cNvPr id="18" name="TextBox 17">
          <a:extLst>
            <a:ext uri="{FF2B5EF4-FFF2-40B4-BE49-F238E27FC236}">
              <a16:creationId xmlns:a16="http://schemas.microsoft.com/office/drawing/2014/main" id="{78454350-4378-4AED-BE8F-D70C03FB241F}"/>
            </a:ext>
          </a:extLst>
        </xdr:cNvPr>
        <xdr:cNvSpPr txBox="1"/>
      </xdr:nvSpPr>
      <xdr:spPr>
        <a:xfrm>
          <a:off x="7726680" y="187452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EBDB900-EE2F-4AA6-B860-CDEF06AE6B57}" type="TxLink">
            <a:rPr lang="en-US" sz="1400" b="0" i="0" u="none" strike="noStrike">
              <a:solidFill>
                <a:schemeClr val="bg1"/>
              </a:solidFill>
              <a:latin typeface="Aptos Narrow"/>
            </a:rPr>
            <a:pPr algn="l"/>
            <a:t>Investments</a:t>
          </a:fld>
          <a:endParaRPr lang="ru-RU" sz="3600">
            <a:solidFill>
              <a:schemeClr val="bg1"/>
            </a:solidFill>
          </a:endParaRPr>
        </a:p>
      </xdr:txBody>
    </xdr:sp>
    <xdr:clientData/>
  </xdr:twoCellAnchor>
  <xdr:twoCellAnchor>
    <xdr:from>
      <xdr:col>12</xdr:col>
      <xdr:colOff>411480</xdr:colOff>
      <xdr:row>14</xdr:row>
      <xdr:rowOff>30480</xdr:rowOff>
    </xdr:from>
    <xdr:to>
      <xdr:col>15</xdr:col>
      <xdr:colOff>114300</xdr:colOff>
      <xdr:row>15</xdr:row>
      <xdr:rowOff>175260</xdr:rowOff>
    </xdr:to>
    <xdr:sp macro="" textlink="Processing!C1">
      <xdr:nvSpPr>
        <xdr:cNvPr id="19" name="TextBox 18">
          <a:extLst>
            <a:ext uri="{FF2B5EF4-FFF2-40B4-BE49-F238E27FC236}">
              <a16:creationId xmlns:a16="http://schemas.microsoft.com/office/drawing/2014/main" id="{131197AB-E6A7-4451-BCEA-389233565E87}"/>
            </a:ext>
          </a:extLst>
        </xdr:cNvPr>
        <xdr:cNvSpPr txBox="1"/>
      </xdr:nvSpPr>
      <xdr:spPr>
        <a:xfrm>
          <a:off x="7726680" y="259080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F79593B-4C91-4E5C-A7F9-01D05C8FA786}" type="TxLink">
            <a:rPr lang="en-US" sz="1400" b="0" i="0" u="none" strike="noStrike">
              <a:solidFill>
                <a:schemeClr val="bg1"/>
              </a:solidFill>
              <a:latin typeface="Aptos Narrow"/>
              <a:ea typeface="+mn-ea"/>
              <a:cs typeface="+mn-cs"/>
            </a:rPr>
            <a:pPr marL="0" indent="0" algn="l"/>
            <a:t>Sales Volume</a:t>
          </a:fld>
          <a:endParaRPr lang="ru-RU" sz="1400" b="0" i="0" u="none" strike="noStrike">
            <a:solidFill>
              <a:schemeClr val="bg1"/>
            </a:solidFill>
            <a:latin typeface="Aptos Narrow"/>
            <a:ea typeface="+mn-ea"/>
            <a:cs typeface="+mn-cs"/>
          </a:endParaRPr>
        </a:p>
      </xdr:txBody>
    </xdr:sp>
    <xdr:clientData/>
  </xdr:twoCellAnchor>
  <xdr:twoCellAnchor>
    <xdr:from>
      <xdr:col>17</xdr:col>
      <xdr:colOff>68580</xdr:colOff>
      <xdr:row>9</xdr:row>
      <xdr:rowOff>53340</xdr:rowOff>
    </xdr:from>
    <xdr:to>
      <xdr:col>18</xdr:col>
      <xdr:colOff>160020</xdr:colOff>
      <xdr:row>11</xdr:row>
      <xdr:rowOff>15240</xdr:rowOff>
    </xdr:to>
    <xdr:sp macro="" textlink="Processing!J20">
      <xdr:nvSpPr>
        <xdr:cNvPr id="20" name="TextBox 19">
          <a:extLst>
            <a:ext uri="{FF2B5EF4-FFF2-40B4-BE49-F238E27FC236}">
              <a16:creationId xmlns:a16="http://schemas.microsoft.com/office/drawing/2014/main" id="{5511F5F1-8649-4832-86C2-F741D05A043B}"/>
            </a:ext>
          </a:extLst>
        </xdr:cNvPr>
        <xdr:cNvSpPr txBox="1"/>
      </xdr:nvSpPr>
      <xdr:spPr>
        <a:xfrm>
          <a:off x="10431780" y="169926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5EC9B3-2A4A-4AC1-9873-86C91B8549DF}" type="TxLink">
            <a:rPr lang="en-US" sz="1800" b="0" i="0" u="none" strike="noStrike">
              <a:solidFill>
                <a:srgbClr val="A2ADBE"/>
              </a:solidFill>
              <a:latin typeface="Aptos Narrow"/>
              <a:ea typeface="+mn-ea"/>
              <a:cs typeface="+mn-cs"/>
            </a:rPr>
            <a:pPr marL="0" indent="0"/>
            <a:t>ROI</a:t>
          </a:fld>
          <a:endParaRPr lang="ru-RU" sz="1800" b="0" i="0" u="none" strike="noStrike">
            <a:solidFill>
              <a:srgbClr val="A2ADBE"/>
            </a:solidFill>
            <a:latin typeface="Aptos Narrow"/>
            <a:ea typeface="+mn-ea"/>
            <a:cs typeface="+mn-cs"/>
          </a:endParaRPr>
        </a:p>
      </xdr:txBody>
    </xdr:sp>
    <xdr:clientData/>
  </xdr:twoCellAnchor>
  <xdr:twoCellAnchor>
    <xdr:from>
      <xdr:col>17</xdr:col>
      <xdr:colOff>45720</xdr:colOff>
      <xdr:row>16</xdr:row>
      <xdr:rowOff>83820</xdr:rowOff>
    </xdr:from>
    <xdr:to>
      <xdr:col>18</xdr:col>
      <xdr:colOff>137160</xdr:colOff>
      <xdr:row>18</xdr:row>
      <xdr:rowOff>45720</xdr:rowOff>
    </xdr:to>
    <xdr:sp macro="" textlink="Processing!J24">
      <xdr:nvSpPr>
        <xdr:cNvPr id="21" name="TextBox 20">
          <a:extLst>
            <a:ext uri="{FF2B5EF4-FFF2-40B4-BE49-F238E27FC236}">
              <a16:creationId xmlns:a16="http://schemas.microsoft.com/office/drawing/2014/main" id="{F2B29E4F-0ABE-491B-A6B5-89E645AE2797}"/>
            </a:ext>
          </a:extLst>
        </xdr:cNvPr>
        <xdr:cNvSpPr txBox="1"/>
      </xdr:nvSpPr>
      <xdr:spPr>
        <a:xfrm>
          <a:off x="10408920" y="300990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75CC82-02FE-4122-8891-3041361035D0}" type="TxLink">
            <a:rPr lang="en-US" sz="1800" b="0" i="0" u="none" strike="noStrike">
              <a:solidFill>
                <a:srgbClr val="A2ADBE"/>
              </a:solidFill>
              <a:latin typeface="Aptos Narrow"/>
              <a:ea typeface="+mn-ea"/>
              <a:cs typeface="+mn-cs"/>
            </a:rPr>
            <a:pPr marL="0" indent="0"/>
            <a:t>Profit</a:t>
          </a:fld>
          <a:endParaRPr lang="ru-RU" sz="1800" b="0" i="0" u="none" strike="noStrike">
            <a:solidFill>
              <a:srgbClr val="A2ADBE"/>
            </a:solidFill>
            <a:latin typeface="Aptos Narrow"/>
            <a:ea typeface="+mn-ea"/>
            <a:cs typeface="+mn-cs"/>
          </a:endParaRPr>
        </a:p>
      </xdr:txBody>
    </xdr:sp>
    <xdr:clientData/>
  </xdr:twoCellAnchor>
  <xdr:twoCellAnchor>
    <xdr:from>
      <xdr:col>19</xdr:col>
      <xdr:colOff>82098</xdr:colOff>
      <xdr:row>13</xdr:row>
      <xdr:rowOff>125616</xdr:rowOff>
    </xdr:from>
    <xdr:to>
      <xdr:col>20</xdr:col>
      <xdr:colOff>405582</xdr:colOff>
      <xdr:row>15</xdr:row>
      <xdr:rowOff>156325</xdr:rowOff>
    </xdr:to>
    <xdr:sp macro="" textlink="Processing!K20">
      <xdr:nvSpPr>
        <xdr:cNvPr id="22" name="TextBox 21">
          <a:extLst>
            <a:ext uri="{FF2B5EF4-FFF2-40B4-BE49-F238E27FC236}">
              <a16:creationId xmlns:a16="http://schemas.microsoft.com/office/drawing/2014/main" id="{6B67B715-B596-4D4F-AF0F-AEBC4B52D2C0}"/>
            </a:ext>
          </a:extLst>
        </xdr:cNvPr>
        <xdr:cNvSpPr txBox="1"/>
      </xdr:nvSpPr>
      <xdr:spPr>
        <a:xfrm>
          <a:off x="11664498" y="2503056"/>
          <a:ext cx="93308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DB45C4-5730-4E15-A21C-6CDCEBC2E35C}" type="TxLink">
            <a:rPr lang="en-US" sz="2400" b="0" i="0" u="none" strike="noStrike">
              <a:solidFill>
                <a:schemeClr val="tx1"/>
              </a:solidFill>
              <a:latin typeface="Aptos Narrow"/>
              <a:ea typeface="+mn-ea"/>
              <a:cs typeface="+mn-cs"/>
            </a:rPr>
            <a:pPr marL="0" indent="0" algn="ctr"/>
            <a:t>40%</a:t>
          </a:fld>
          <a:endParaRPr lang="ru-RU" sz="6600" b="0" i="0" u="none" strike="noStrike">
            <a:solidFill>
              <a:schemeClr val="tx1"/>
            </a:solidFill>
            <a:latin typeface="Aptos Narrow"/>
            <a:ea typeface="+mn-ea"/>
            <a:cs typeface="+mn-cs"/>
          </a:endParaRPr>
        </a:p>
      </xdr:txBody>
    </xdr:sp>
    <xdr:clientData/>
  </xdr:twoCellAnchor>
  <xdr:twoCellAnchor>
    <xdr:from>
      <xdr:col>2</xdr:col>
      <xdr:colOff>339090</xdr:colOff>
      <xdr:row>8</xdr:row>
      <xdr:rowOff>15240</xdr:rowOff>
    </xdr:from>
    <xdr:to>
      <xdr:col>11</xdr:col>
      <xdr:colOff>251460</xdr:colOff>
      <xdr:row>10</xdr:row>
      <xdr:rowOff>60960</xdr:rowOff>
    </xdr:to>
    <xdr:sp macro="" textlink="Processing!K10">
      <xdr:nvSpPr>
        <xdr:cNvPr id="23" name="TextBox 22">
          <a:extLst>
            <a:ext uri="{FF2B5EF4-FFF2-40B4-BE49-F238E27FC236}">
              <a16:creationId xmlns:a16="http://schemas.microsoft.com/office/drawing/2014/main" id="{30937DCD-B660-44A1-AC8E-81E2CE13C7AD}"/>
            </a:ext>
          </a:extLst>
        </xdr:cNvPr>
        <xdr:cNvSpPr txBox="1"/>
      </xdr:nvSpPr>
      <xdr:spPr>
        <a:xfrm>
          <a:off x="1558290" y="1478280"/>
          <a:ext cx="539877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17D3D1C-F745-403D-9065-7136F37A4D56}" type="TxLink">
            <a:rPr lang="en-US" sz="2000" b="0" i="0" u="none" strike="noStrike">
              <a:solidFill>
                <a:srgbClr val="A2ADBE"/>
              </a:solidFill>
              <a:latin typeface="Aptos Narrow"/>
              <a:ea typeface="+mn-ea"/>
              <a:cs typeface="+mn-cs"/>
            </a:rPr>
            <a:pPr marL="0" indent="0" algn="l"/>
            <a:t>Sales Distribution by Top Product Categories</a:t>
          </a:fld>
          <a:endParaRPr lang="ru-RU" sz="2000" b="0" i="0" u="none" strike="noStrike">
            <a:solidFill>
              <a:srgbClr val="A2ADBE"/>
            </a:solidFill>
            <a:latin typeface="Aptos Narrow"/>
            <a:ea typeface="+mn-ea"/>
            <a:cs typeface="+mn-cs"/>
          </a:endParaRPr>
        </a:p>
      </xdr:txBody>
    </xdr:sp>
    <xdr:clientData/>
  </xdr:twoCellAnchor>
  <xdr:twoCellAnchor editAs="oneCell">
    <xdr:from>
      <xdr:col>2</xdr:col>
      <xdr:colOff>361950</xdr:colOff>
      <xdr:row>4</xdr:row>
      <xdr:rowOff>175261</xdr:rowOff>
    </xdr:from>
    <xdr:to>
      <xdr:col>5</xdr:col>
      <xdr:colOff>361950</xdr:colOff>
      <xdr:row>6</xdr:row>
      <xdr:rowOff>180975</xdr:rowOff>
    </xdr:to>
    <mc:AlternateContent xmlns:mc="http://schemas.openxmlformats.org/markup-compatibility/2006" xmlns:a14="http://schemas.microsoft.com/office/drawing/2010/main">
      <mc:Choice Requires="a14">
        <xdr:graphicFrame macro="">
          <xdr:nvGraphicFramePr>
            <xdr:cNvPr id="24" name="Year 7">
              <a:extLst>
                <a:ext uri="{FF2B5EF4-FFF2-40B4-BE49-F238E27FC236}">
                  <a16:creationId xmlns:a16="http://schemas.microsoft.com/office/drawing/2014/main" id="{6B87D505-A5AA-444D-B2FF-EA391C479D90}"/>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1581150" y="906781"/>
              <a:ext cx="1828800" cy="4648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327660</xdr:colOff>
      <xdr:row>5</xdr:row>
      <xdr:rowOff>0</xdr:rowOff>
    </xdr:from>
    <xdr:to>
      <xdr:col>19</xdr:col>
      <xdr:colOff>525780</xdr:colOff>
      <xdr:row>6</xdr:row>
      <xdr:rowOff>144780</xdr:rowOff>
    </xdr:to>
    <xdr:sp macro="" textlink="Processing!P3">
      <xdr:nvSpPr>
        <xdr:cNvPr id="25" name="TextBox 24">
          <a:extLst>
            <a:ext uri="{FF2B5EF4-FFF2-40B4-BE49-F238E27FC236}">
              <a16:creationId xmlns:a16="http://schemas.microsoft.com/office/drawing/2014/main" id="{DB5E342F-2E86-4257-B775-C03E924196F0}"/>
            </a:ext>
          </a:extLst>
        </xdr:cNvPr>
        <xdr:cNvSpPr txBox="1"/>
      </xdr:nvSpPr>
      <xdr:spPr>
        <a:xfrm>
          <a:off x="10690860" y="91440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4BF34E8-F5F7-4FD4-B740-151B677084AF}" type="TxLink">
            <a:rPr lang="en-US" sz="2000" b="0" i="0" u="none" strike="noStrike">
              <a:solidFill>
                <a:srgbClr val="A2ADBE"/>
              </a:solidFill>
              <a:latin typeface="Aptos Narrow"/>
              <a:ea typeface="+mn-ea"/>
              <a:cs typeface="+mn-cs"/>
            </a:rPr>
            <a:pPr marL="0" indent="0" algn="ctr"/>
            <a:t>JANUARY</a:t>
          </a:fld>
          <a:endParaRPr lang="ru-RU" sz="2000" b="0" i="0" u="none" strike="noStrike">
            <a:solidFill>
              <a:srgbClr val="A2ADBE"/>
            </a:solidFill>
            <a:latin typeface="Aptos Narrow"/>
            <a:ea typeface="+mn-ea"/>
            <a:cs typeface="+mn-cs"/>
          </a:endParaRPr>
        </a:p>
      </xdr:txBody>
    </xdr:sp>
    <xdr:clientData/>
  </xdr:twoCellAnchor>
  <xdr:twoCellAnchor>
    <xdr:from>
      <xdr:col>20</xdr:col>
      <xdr:colOff>30480</xdr:colOff>
      <xdr:row>5</xdr:row>
      <xdr:rowOff>0</xdr:rowOff>
    </xdr:from>
    <xdr:to>
      <xdr:col>21</xdr:col>
      <xdr:colOff>152400</xdr:colOff>
      <xdr:row>6</xdr:row>
      <xdr:rowOff>144780</xdr:rowOff>
    </xdr:to>
    <xdr:sp macro="" textlink="Processing!Q3">
      <xdr:nvSpPr>
        <xdr:cNvPr id="26" name="TextBox 25">
          <a:extLst>
            <a:ext uri="{FF2B5EF4-FFF2-40B4-BE49-F238E27FC236}">
              <a16:creationId xmlns:a16="http://schemas.microsoft.com/office/drawing/2014/main" id="{19D54D55-4D08-42F9-B95B-3CCE61E3D6E2}"/>
            </a:ext>
          </a:extLst>
        </xdr:cNvPr>
        <xdr:cNvSpPr txBox="1"/>
      </xdr:nvSpPr>
      <xdr:spPr>
        <a:xfrm>
          <a:off x="12222480" y="914400"/>
          <a:ext cx="7315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1DB63C7-1528-4BD2-A1EF-C64AF007758D}" type="TxLink">
            <a:rPr lang="en-US" sz="2000" b="0" i="0" u="none" strike="noStrike">
              <a:solidFill>
                <a:srgbClr val="A2ADBE"/>
              </a:solidFill>
              <a:latin typeface="Aptos Narrow"/>
              <a:ea typeface="+mn-ea"/>
              <a:cs typeface="+mn-cs"/>
            </a:rPr>
            <a:pPr marL="0" indent="0" algn="l"/>
            <a:t>2024</a:t>
          </a:fld>
          <a:endParaRPr lang="ru-RU" sz="2000" b="0" i="0" u="none" strike="noStrike">
            <a:solidFill>
              <a:srgbClr val="A2ADBE"/>
            </a:solidFill>
            <a:latin typeface="Aptos Narrow"/>
            <a:ea typeface="+mn-ea"/>
            <a:cs typeface="+mn-cs"/>
          </a:endParaRPr>
        </a:p>
      </xdr:txBody>
    </xdr:sp>
    <xdr:clientData/>
  </xdr:twoCellAnchor>
  <xdr:twoCellAnchor>
    <xdr:from>
      <xdr:col>12</xdr:col>
      <xdr:colOff>304800</xdr:colOff>
      <xdr:row>15</xdr:row>
      <xdr:rowOff>160020</xdr:rowOff>
    </xdr:from>
    <xdr:to>
      <xdr:col>15</xdr:col>
      <xdr:colOff>121920</xdr:colOff>
      <xdr:row>17</xdr:row>
      <xdr:rowOff>121920</xdr:rowOff>
    </xdr:to>
    <xdr:sp macro="" textlink="Processing!C14">
      <xdr:nvSpPr>
        <xdr:cNvPr id="27" name="TextBox 26">
          <a:extLst>
            <a:ext uri="{FF2B5EF4-FFF2-40B4-BE49-F238E27FC236}">
              <a16:creationId xmlns:a16="http://schemas.microsoft.com/office/drawing/2014/main" id="{1A27AAC7-28FA-4D16-B7D3-BB40823319F9}"/>
            </a:ext>
          </a:extLst>
        </xdr:cNvPr>
        <xdr:cNvSpPr txBox="1"/>
      </xdr:nvSpPr>
      <xdr:spPr>
        <a:xfrm>
          <a:off x="7620000" y="290322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77A68F2-9086-49F9-A77A-937410EA236B}" type="TxLink">
            <a:rPr lang="en-US" sz="2400" b="0" i="0" u="none" strike="noStrike">
              <a:solidFill>
                <a:schemeClr val="bg1"/>
              </a:solidFill>
              <a:latin typeface="Aptos Narrow"/>
              <a:ea typeface="+mn-ea"/>
              <a:cs typeface="+mn-cs"/>
            </a:rPr>
            <a:pPr marL="0" indent="0" algn="l"/>
            <a:t> $33,543 </a:t>
          </a:fld>
          <a:endParaRPr lang="ru-RU" sz="2400" b="0" i="0" u="none" strike="noStrike">
            <a:solidFill>
              <a:schemeClr val="bg1"/>
            </a:solidFill>
            <a:latin typeface="Aptos Narrow"/>
            <a:ea typeface="+mn-ea"/>
            <a:cs typeface="+mn-cs"/>
          </a:endParaRPr>
        </a:p>
      </xdr:txBody>
    </xdr:sp>
    <xdr:clientData/>
  </xdr:twoCellAnchor>
  <xdr:twoCellAnchor>
    <xdr:from>
      <xdr:col>12</xdr:col>
      <xdr:colOff>327660</xdr:colOff>
      <xdr:row>12</xdr:row>
      <xdr:rowOff>0</xdr:rowOff>
    </xdr:from>
    <xdr:to>
      <xdr:col>15</xdr:col>
      <xdr:colOff>144780</xdr:colOff>
      <xdr:row>13</xdr:row>
      <xdr:rowOff>144780</xdr:rowOff>
    </xdr:to>
    <xdr:sp macro="" textlink="Processing!B14">
      <xdr:nvSpPr>
        <xdr:cNvPr id="28" name="TextBox 27">
          <a:extLst>
            <a:ext uri="{FF2B5EF4-FFF2-40B4-BE49-F238E27FC236}">
              <a16:creationId xmlns:a16="http://schemas.microsoft.com/office/drawing/2014/main" id="{8F98DF59-80C2-4E1C-98F1-3BE6A769CA41}"/>
            </a:ext>
          </a:extLst>
        </xdr:cNvPr>
        <xdr:cNvSpPr txBox="1"/>
      </xdr:nvSpPr>
      <xdr:spPr>
        <a:xfrm>
          <a:off x="7642860" y="219456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176861D-A161-4D96-8756-6AC7C156A8BD}" type="TxLink">
            <a:rPr lang="en-US" sz="2400" b="0" i="0" u="none" strike="noStrike">
              <a:solidFill>
                <a:schemeClr val="bg1"/>
              </a:solidFill>
              <a:latin typeface="Aptos Narrow"/>
              <a:ea typeface="+mn-ea"/>
              <a:cs typeface="+mn-cs"/>
            </a:rPr>
            <a:pPr marL="0" indent="0" algn="l"/>
            <a:t> $28,026 </a:t>
          </a:fld>
          <a:endParaRPr lang="ru-RU" sz="2400" b="0" i="0" u="none" strike="noStrike">
            <a:solidFill>
              <a:schemeClr val="bg1"/>
            </a:solidFill>
            <a:latin typeface="Aptos Narrow"/>
            <a:ea typeface="+mn-ea"/>
            <a:cs typeface="+mn-cs"/>
          </a:endParaRPr>
        </a:p>
      </xdr:txBody>
    </xdr:sp>
    <xdr:clientData/>
  </xdr:twoCellAnchor>
  <xdr:twoCellAnchor>
    <xdr:from>
      <xdr:col>17</xdr:col>
      <xdr:colOff>14478</xdr:colOff>
      <xdr:row>18</xdr:row>
      <xdr:rowOff>26556</xdr:rowOff>
    </xdr:from>
    <xdr:to>
      <xdr:col>19</xdr:col>
      <xdr:colOff>320802</xdr:colOff>
      <xdr:row>20</xdr:row>
      <xdr:rowOff>57265</xdr:rowOff>
    </xdr:to>
    <xdr:sp macro="" textlink="Processing!J25">
      <xdr:nvSpPr>
        <xdr:cNvPr id="29" name="TextBox 28">
          <a:extLst>
            <a:ext uri="{FF2B5EF4-FFF2-40B4-BE49-F238E27FC236}">
              <a16:creationId xmlns:a16="http://schemas.microsoft.com/office/drawing/2014/main" id="{590A7A51-40D0-4564-AECF-E445D6BB4A8F}"/>
            </a:ext>
          </a:extLst>
        </xdr:cNvPr>
        <xdr:cNvSpPr txBox="1"/>
      </xdr:nvSpPr>
      <xdr:spPr>
        <a:xfrm>
          <a:off x="10377678" y="3318396"/>
          <a:ext cx="152552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E6A133C-5381-4990-B5CC-3867629A9899}" type="TxLink">
            <a:rPr lang="en-US" sz="2000" b="0" i="0" u="none" strike="noStrike">
              <a:solidFill>
                <a:schemeClr val="tx1"/>
              </a:solidFill>
              <a:latin typeface="Aptos Narrow"/>
              <a:ea typeface="+mn-ea"/>
              <a:cs typeface="+mn-cs"/>
            </a:rPr>
            <a:pPr marL="0" indent="0" algn="l"/>
            <a:t> $11,175 </a:t>
          </a:fld>
          <a:endParaRPr lang="ru-RU" sz="2000" b="0" i="0" u="none" strike="noStrike">
            <a:solidFill>
              <a:schemeClr val="tx1"/>
            </a:solidFill>
            <a:latin typeface="Aptos Narrow"/>
            <a:ea typeface="+mn-ea"/>
            <a:cs typeface="+mn-cs"/>
          </a:endParaRPr>
        </a:p>
      </xdr:txBody>
    </xdr:sp>
    <xdr:clientData/>
  </xdr:twoCellAnchor>
  <xdr:twoCellAnchor>
    <xdr:from>
      <xdr:col>14</xdr:col>
      <xdr:colOff>251460</xdr:colOff>
      <xdr:row>10</xdr:row>
      <xdr:rowOff>68580</xdr:rowOff>
    </xdr:from>
    <xdr:to>
      <xdr:col>16</xdr:col>
      <xdr:colOff>449580</xdr:colOff>
      <xdr:row>12</xdr:row>
      <xdr:rowOff>30480</xdr:rowOff>
    </xdr:to>
    <xdr:sp macro="" textlink="Processing!A15">
      <xdr:nvSpPr>
        <xdr:cNvPr id="30" name="TextBox 29">
          <a:extLst>
            <a:ext uri="{FF2B5EF4-FFF2-40B4-BE49-F238E27FC236}">
              <a16:creationId xmlns:a16="http://schemas.microsoft.com/office/drawing/2014/main" id="{A80C7CD3-8C3E-42BF-B80B-E25440E05474}"/>
            </a:ext>
          </a:extLst>
        </xdr:cNvPr>
        <xdr:cNvSpPr txBox="1"/>
      </xdr:nvSpPr>
      <xdr:spPr>
        <a:xfrm>
          <a:off x="8785860" y="189738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251460</xdr:colOff>
      <xdr:row>14</xdr:row>
      <xdr:rowOff>45720</xdr:rowOff>
    </xdr:from>
    <xdr:to>
      <xdr:col>16</xdr:col>
      <xdr:colOff>449580</xdr:colOff>
      <xdr:row>16</xdr:row>
      <xdr:rowOff>7620</xdr:rowOff>
    </xdr:to>
    <xdr:sp macro="" textlink="Processing!A15">
      <xdr:nvSpPr>
        <xdr:cNvPr id="31" name="TextBox 30">
          <a:extLst>
            <a:ext uri="{FF2B5EF4-FFF2-40B4-BE49-F238E27FC236}">
              <a16:creationId xmlns:a16="http://schemas.microsoft.com/office/drawing/2014/main" id="{EBBDAF41-917D-4FF9-AD81-3585AC453046}"/>
            </a:ext>
          </a:extLst>
        </xdr:cNvPr>
        <xdr:cNvSpPr txBox="1"/>
      </xdr:nvSpPr>
      <xdr:spPr>
        <a:xfrm>
          <a:off x="8785860" y="260604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586718</xdr:colOff>
      <xdr:row>11</xdr:row>
      <xdr:rowOff>23695</xdr:rowOff>
    </xdr:from>
    <xdr:to>
      <xdr:col>16</xdr:col>
      <xdr:colOff>53318</xdr:colOff>
      <xdr:row>14</xdr:row>
      <xdr:rowOff>160855</xdr:rowOff>
    </xdr:to>
    <xdr:graphicFrame macro="">
      <xdr:nvGraphicFramePr>
        <xdr:cNvPr id="32" name="Chart 31">
          <a:extLst>
            <a:ext uri="{FF2B5EF4-FFF2-40B4-BE49-F238E27FC236}">
              <a16:creationId xmlns:a16="http://schemas.microsoft.com/office/drawing/2014/main" id="{788B0745-26EA-46F8-8CD0-354FEC4AE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586718</xdr:colOff>
      <xdr:row>12</xdr:row>
      <xdr:rowOff>12265</xdr:rowOff>
    </xdr:from>
    <xdr:to>
      <xdr:col>16</xdr:col>
      <xdr:colOff>68558</xdr:colOff>
      <xdr:row>13</xdr:row>
      <xdr:rowOff>157045</xdr:rowOff>
    </xdr:to>
    <xdr:sp macro="" textlink="Processing!B15">
      <xdr:nvSpPr>
        <xdr:cNvPr id="33" name="TextBox 32">
          <a:extLst>
            <a:ext uri="{FF2B5EF4-FFF2-40B4-BE49-F238E27FC236}">
              <a16:creationId xmlns:a16="http://schemas.microsoft.com/office/drawing/2014/main" id="{4BAA21E5-02B0-47D1-AADC-E3FA68DC662E}"/>
            </a:ext>
          </a:extLst>
        </xdr:cNvPr>
        <xdr:cNvSpPr txBox="1"/>
      </xdr:nvSpPr>
      <xdr:spPr>
        <a:xfrm>
          <a:off x="9121118" y="220682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7864E5-CAD8-4B22-A5F5-C06AFB7D5E57}" type="TxLink">
            <a:rPr lang="en-US" sz="1100" b="0" i="0" u="none" strike="noStrike">
              <a:solidFill>
                <a:schemeClr val="bg1"/>
              </a:solidFill>
              <a:latin typeface="Aptos Narrow"/>
              <a:ea typeface="+mn-ea"/>
              <a:cs typeface="+mn-cs"/>
            </a:rPr>
            <a:pPr marL="0" indent="0" algn="ctr"/>
            <a:t>43%</a:t>
          </a:fld>
          <a:endParaRPr lang="ru-RU" sz="1800" b="0" i="0" u="none" strike="noStrike">
            <a:solidFill>
              <a:schemeClr val="bg1"/>
            </a:solidFill>
            <a:latin typeface="Aptos Narrow"/>
            <a:ea typeface="+mn-ea"/>
            <a:cs typeface="+mn-cs"/>
          </a:endParaRPr>
        </a:p>
      </xdr:txBody>
    </xdr:sp>
    <xdr:clientData/>
  </xdr:twoCellAnchor>
  <xdr:twoCellAnchor>
    <xdr:from>
      <xdr:col>14</xdr:col>
      <xdr:colOff>586718</xdr:colOff>
      <xdr:row>14</xdr:row>
      <xdr:rowOff>168475</xdr:rowOff>
    </xdr:from>
    <xdr:to>
      <xdr:col>16</xdr:col>
      <xdr:colOff>53318</xdr:colOff>
      <xdr:row>18</xdr:row>
      <xdr:rowOff>122755</xdr:rowOff>
    </xdr:to>
    <xdr:graphicFrame macro="">
      <xdr:nvGraphicFramePr>
        <xdr:cNvPr id="34" name="Chart 33">
          <a:extLst>
            <a:ext uri="{FF2B5EF4-FFF2-40B4-BE49-F238E27FC236}">
              <a16:creationId xmlns:a16="http://schemas.microsoft.com/office/drawing/2014/main" id="{F5BB86B3-0B93-425C-8E24-C37451ACC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586718</xdr:colOff>
      <xdr:row>15</xdr:row>
      <xdr:rowOff>157045</xdr:rowOff>
    </xdr:from>
    <xdr:to>
      <xdr:col>16</xdr:col>
      <xdr:colOff>68558</xdr:colOff>
      <xdr:row>17</xdr:row>
      <xdr:rowOff>118945</xdr:rowOff>
    </xdr:to>
    <xdr:sp macro="" textlink="Processing!C15">
      <xdr:nvSpPr>
        <xdr:cNvPr id="35" name="TextBox 34">
          <a:extLst>
            <a:ext uri="{FF2B5EF4-FFF2-40B4-BE49-F238E27FC236}">
              <a16:creationId xmlns:a16="http://schemas.microsoft.com/office/drawing/2014/main" id="{C30BEFFD-3C7B-46DF-BC90-972B823A8FA8}"/>
            </a:ext>
          </a:extLst>
        </xdr:cNvPr>
        <xdr:cNvSpPr txBox="1"/>
      </xdr:nvSpPr>
      <xdr:spPr>
        <a:xfrm>
          <a:off x="9121118" y="290024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A5132A-5551-4D94-B54D-1E5261C5DB06}" type="TxLink">
            <a:rPr lang="en-US" sz="1100" b="0" i="0" u="none" strike="noStrike">
              <a:solidFill>
                <a:schemeClr val="bg1"/>
              </a:solidFill>
              <a:latin typeface="Aptos Narrow"/>
              <a:ea typeface="+mn-ea"/>
              <a:cs typeface="+mn-cs"/>
            </a:rPr>
            <a:pPr marL="0" indent="0" algn="ctr"/>
            <a:t>52%</a:t>
          </a:fld>
          <a:endParaRPr lang="ru-RU" sz="1800" b="0" i="0" u="none" strike="noStrike">
            <a:solidFill>
              <a:schemeClr val="bg1"/>
            </a:solidFill>
            <a:latin typeface="Aptos Narrow"/>
            <a:ea typeface="+mn-ea"/>
            <a:cs typeface="+mn-cs"/>
          </a:endParaRPr>
        </a:p>
      </xdr:txBody>
    </xdr:sp>
    <xdr:clientData/>
  </xdr:twoCellAnchor>
  <xdr:twoCellAnchor>
    <xdr:from>
      <xdr:col>12</xdr:col>
      <xdr:colOff>388620</xdr:colOff>
      <xdr:row>21</xdr:row>
      <xdr:rowOff>96085</xdr:rowOff>
    </xdr:from>
    <xdr:to>
      <xdr:col>14</xdr:col>
      <xdr:colOff>304778</xdr:colOff>
      <xdr:row>23</xdr:row>
      <xdr:rowOff>57985</xdr:rowOff>
    </xdr:to>
    <xdr:sp macro="" textlink="Processing!B32">
      <xdr:nvSpPr>
        <xdr:cNvPr id="36" name="TextBox 35">
          <a:extLst>
            <a:ext uri="{FF2B5EF4-FFF2-40B4-BE49-F238E27FC236}">
              <a16:creationId xmlns:a16="http://schemas.microsoft.com/office/drawing/2014/main" id="{89B2E886-57A8-4DF6-B0EB-CBF79A5B6BFE}"/>
            </a:ext>
          </a:extLst>
        </xdr:cNvPr>
        <xdr:cNvSpPr txBox="1"/>
      </xdr:nvSpPr>
      <xdr:spPr>
        <a:xfrm>
          <a:off x="770382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E21EC3CC-CA95-428B-98B7-4DE0DF5CF094}" type="TxLink">
            <a:rPr lang="en-US" sz="1400" b="0" i="0" u="none" strike="noStrike">
              <a:solidFill>
                <a:schemeClr val="tx1"/>
              </a:solidFill>
              <a:latin typeface="Aptos Narrow"/>
              <a:ea typeface="+mn-ea"/>
              <a:cs typeface="+mn-cs"/>
            </a:rPr>
            <a:pPr marL="0" indent="0" algn="r"/>
            <a:t> $37,835 </a:t>
          </a:fld>
          <a:endParaRPr lang="ru-RU" sz="1400" b="0" i="0" u="none" strike="noStrike">
            <a:solidFill>
              <a:schemeClr val="tx1"/>
            </a:solidFill>
            <a:latin typeface="Aptos Narrow"/>
            <a:ea typeface="+mn-ea"/>
            <a:cs typeface="+mn-cs"/>
          </a:endParaRPr>
        </a:p>
      </xdr:txBody>
    </xdr:sp>
    <xdr:clientData/>
  </xdr:twoCellAnchor>
  <xdr:twoCellAnchor>
    <xdr:from>
      <xdr:col>14</xdr:col>
      <xdr:colOff>304800</xdr:colOff>
      <xdr:row>21</xdr:row>
      <xdr:rowOff>96085</xdr:rowOff>
    </xdr:from>
    <xdr:to>
      <xdr:col>16</xdr:col>
      <xdr:colOff>220958</xdr:colOff>
      <xdr:row>23</xdr:row>
      <xdr:rowOff>57985</xdr:rowOff>
    </xdr:to>
    <xdr:sp macro="" textlink="Processing!C32">
      <xdr:nvSpPr>
        <xdr:cNvPr id="37" name="TextBox 36">
          <a:extLst>
            <a:ext uri="{FF2B5EF4-FFF2-40B4-BE49-F238E27FC236}">
              <a16:creationId xmlns:a16="http://schemas.microsoft.com/office/drawing/2014/main" id="{3D2C528F-A3A2-4247-8203-382A4A787AA5}"/>
            </a:ext>
          </a:extLst>
        </xdr:cNvPr>
        <xdr:cNvSpPr txBox="1"/>
      </xdr:nvSpPr>
      <xdr:spPr>
        <a:xfrm>
          <a:off x="883920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B887651-16A7-4B6B-95E2-0C9BA58C3F07}" type="TxLink">
            <a:rPr lang="en-US" sz="1400" b="0" i="0" u="none" strike="noStrike">
              <a:solidFill>
                <a:schemeClr val="tx1"/>
              </a:solidFill>
              <a:latin typeface="Aptos Narrow"/>
              <a:ea typeface="+mn-ea"/>
              <a:cs typeface="+mn-cs"/>
            </a:rPr>
            <a:pPr marL="0" indent="0" algn="l"/>
            <a:t> $26,660 </a:t>
          </a:fld>
          <a:endParaRPr lang="ru-RU" sz="1400" b="0" i="0" u="none" strike="noStrike">
            <a:solidFill>
              <a:schemeClr val="tx1"/>
            </a:solidFill>
            <a:latin typeface="Aptos Narrow"/>
            <a:ea typeface="+mn-ea"/>
            <a:cs typeface="+mn-cs"/>
          </a:endParaRPr>
        </a:p>
      </xdr:txBody>
    </xdr:sp>
    <xdr:clientData/>
  </xdr:twoCellAnchor>
  <xdr:twoCellAnchor>
    <xdr:from>
      <xdr:col>4</xdr:col>
      <xdr:colOff>196825</xdr:colOff>
      <xdr:row>12</xdr:row>
      <xdr:rowOff>175260</xdr:rowOff>
    </xdr:from>
    <xdr:to>
      <xdr:col>9</xdr:col>
      <xdr:colOff>412776</xdr:colOff>
      <xdr:row>29</xdr:row>
      <xdr:rowOff>83820</xdr:rowOff>
    </xdr:to>
    <xdr:graphicFrame macro="">
      <xdr:nvGraphicFramePr>
        <xdr:cNvPr id="38" name="Chart 37">
          <a:extLst>
            <a:ext uri="{FF2B5EF4-FFF2-40B4-BE49-F238E27FC236}">
              <a16:creationId xmlns:a16="http://schemas.microsoft.com/office/drawing/2014/main" id="{36D2EFCD-E0C9-4658-944E-0C9CBAD26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236220</xdr:colOff>
      <xdr:row>22</xdr:row>
      <xdr:rowOff>83820</xdr:rowOff>
    </xdr:from>
    <xdr:to>
      <xdr:col>19</xdr:col>
      <xdr:colOff>403860</xdr:colOff>
      <xdr:row>24</xdr:row>
      <xdr:rowOff>45720</xdr:rowOff>
    </xdr:to>
    <xdr:sp macro="" textlink="Processing!K7">
      <xdr:nvSpPr>
        <xdr:cNvPr id="39" name="TextBox 38">
          <a:extLst>
            <a:ext uri="{FF2B5EF4-FFF2-40B4-BE49-F238E27FC236}">
              <a16:creationId xmlns:a16="http://schemas.microsoft.com/office/drawing/2014/main" id="{F5A48F4E-CF94-4691-8115-F91F96022D72}"/>
            </a:ext>
          </a:extLst>
        </xdr:cNvPr>
        <xdr:cNvSpPr txBox="1"/>
      </xdr:nvSpPr>
      <xdr:spPr>
        <a:xfrm>
          <a:off x="11209020" y="4107180"/>
          <a:ext cx="7772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95F57CC-C864-4243-8643-2B753CFD8A66}" type="TxLink">
            <a:rPr lang="en-US" sz="1400" b="0" i="0" u="none" strike="noStrike">
              <a:solidFill>
                <a:schemeClr val="tx1"/>
              </a:solidFill>
              <a:latin typeface="Aptos Narrow"/>
              <a:ea typeface="+mn-ea"/>
              <a:cs typeface="+mn-cs"/>
            </a:rPr>
            <a:pPr marL="0" indent="0" algn="r"/>
            <a:t> 15 366</a:t>
          </a:fld>
          <a:endParaRPr lang="ru-RU" sz="3200" b="0" i="0" u="none" strike="noStrike">
            <a:solidFill>
              <a:schemeClr val="tx1"/>
            </a:solidFill>
            <a:latin typeface="Aptos Narrow"/>
            <a:ea typeface="+mn-ea"/>
            <a:cs typeface="+mn-cs"/>
          </a:endParaRPr>
        </a:p>
      </xdr:txBody>
    </xdr:sp>
    <xdr:clientData/>
  </xdr:twoCellAnchor>
  <xdr:twoCellAnchor>
    <xdr:from>
      <xdr:col>3</xdr:col>
      <xdr:colOff>152400</xdr:colOff>
      <xdr:row>11</xdr:row>
      <xdr:rowOff>48768</xdr:rowOff>
    </xdr:from>
    <xdr:to>
      <xdr:col>10</xdr:col>
      <xdr:colOff>457200</xdr:colOff>
      <xdr:row>31</xdr:row>
      <xdr:rowOff>12192</xdr:rowOff>
    </xdr:to>
    <xdr:graphicFrame macro="">
      <xdr:nvGraphicFramePr>
        <xdr:cNvPr id="40" name="Chart 39">
          <a:extLst>
            <a:ext uri="{FF2B5EF4-FFF2-40B4-BE49-F238E27FC236}">
              <a16:creationId xmlns:a16="http://schemas.microsoft.com/office/drawing/2014/main" id="{11E6AAD6-48D4-43A5-A031-F985AED13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304800</xdr:colOff>
      <xdr:row>30</xdr:row>
      <xdr:rowOff>91440</xdr:rowOff>
    </xdr:from>
    <xdr:to>
      <xdr:col>11</xdr:col>
      <xdr:colOff>396240</xdr:colOff>
      <xdr:row>32</xdr:row>
      <xdr:rowOff>155448</xdr:rowOff>
    </xdr:to>
    <mc:AlternateContent xmlns:mc="http://schemas.openxmlformats.org/markup-compatibility/2006" xmlns:a14="http://schemas.microsoft.com/office/drawing/2010/main">
      <mc:Choice Requires="a14">
        <xdr:graphicFrame macro="">
          <xdr:nvGraphicFramePr>
            <xdr:cNvPr id="41" name="Month 7">
              <a:extLst>
                <a:ext uri="{FF2B5EF4-FFF2-40B4-BE49-F238E27FC236}">
                  <a16:creationId xmlns:a16="http://schemas.microsoft.com/office/drawing/2014/main" id="{DAF7BD7A-C9C2-4F33-8D45-7820A0811B3A}"/>
                </a:ext>
              </a:extLst>
            </xdr:cNvPr>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1524000" y="5577840"/>
              <a:ext cx="55778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152400</xdr:colOff>
      <xdr:row>11</xdr:row>
      <xdr:rowOff>45720</xdr:rowOff>
    </xdr:from>
    <xdr:to>
      <xdr:col>9</xdr:col>
      <xdr:colOff>464820</xdr:colOff>
      <xdr:row>13</xdr:row>
      <xdr:rowOff>7620</xdr:rowOff>
    </xdr:to>
    <xdr:sp macro="" textlink="Processing!M11">
      <xdr:nvSpPr>
        <xdr:cNvPr id="42" name="TextBox 41">
          <a:extLst>
            <a:ext uri="{FF2B5EF4-FFF2-40B4-BE49-F238E27FC236}">
              <a16:creationId xmlns:a16="http://schemas.microsoft.com/office/drawing/2014/main" id="{D3497BD0-251E-4802-8074-9D9AC4321F9A}"/>
            </a:ext>
          </a:extLst>
        </xdr:cNvPr>
        <xdr:cNvSpPr txBox="1"/>
      </xdr:nvSpPr>
      <xdr:spPr>
        <a:xfrm>
          <a:off x="4419600" y="205740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12B9B69-B051-470E-B5C6-CAF1E7B93CD4}" type="TxLink">
            <a:rPr lang="en-US" sz="1100" b="0" i="0" u="none" strike="noStrike">
              <a:solidFill>
                <a:srgbClr val="F17EEC"/>
              </a:solidFill>
              <a:latin typeface="Aptos Narrow"/>
              <a:ea typeface="+mn-ea"/>
              <a:cs typeface="+mn-cs"/>
            </a:rPr>
            <a:pPr marL="0" indent="0" algn="l"/>
            <a:t> $8,185.00 </a:t>
          </a:fld>
          <a:endParaRPr lang="ru-RU" sz="1400" b="0" i="0" u="none" strike="noStrike">
            <a:solidFill>
              <a:srgbClr val="F17EEC"/>
            </a:solidFill>
            <a:latin typeface="Aptos Narrow"/>
            <a:ea typeface="+mn-ea"/>
            <a:cs typeface="+mn-cs"/>
          </a:endParaRPr>
        </a:p>
      </xdr:txBody>
    </xdr:sp>
    <xdr:clientData/>
  </xdr:twoCellAnchor>
  <xdr:twoCellAnchor>
    <xdr:from>
      <xdr:col>9</xdr:col>
      <xdr:colOff>441960</xdr:colOff>
      <xdr:row>17</xdr:row>
      <xdr:rowOff>99060</xdr:rowOff>
    </xdr:from>
    <xdr:to>
      <xdr:col>12</xdr:col>
      <xdr:colOff>144780</xdr:colOff>
      <xdr:row>19</xdr:row>
      <xdr:rowOff>60960</xdr:rowOff>
    </xdr:to>
    <xdr:sp macro="" textlink="Processing!M12">
      <xdr:nvSpPr>
        <xdr:cNvPr id="43" name="TextBox 42">
          <a:extLst>
            <a:ext uri="{FF2B5EF4-FFF2-40B4-BE49-F238E27FC236}">
              <a16:creationId xmlns:a16="http://schemas.microsoft.com/office/drawing/2014/main" id="{37311D19-1809-4454-9B57-1A069B066DE0}"/>
            </a:ext>
          </a:extLst>
        </xdr:cNvPr>
        <xdr:cNvSpPr txBox="1"/>
      </xdr:nvSpPr>
      <xdr:spPr>
        <a:xfrm>
          <a:off x="5928360" y="320802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5F17A98-602F-4B55-B044-DE750FDFC2E5}" type="TxLink">
            <a:rPr lang="en-US" sz="1100" b="0" i="0" u="none" strike="noStrike">
              <a:solidFill>
                <a:srgbClr val="F17EEC"/>
              </a:solidFill>
              <a:latin typeface="Aptos Narrow"/>
              <a:ea typeface="+mn-ea"/>
              <a:cs typeface="+mn-cs"/>
            </a:rPr>
            <a:pPr marL="0" indent="0" algn="l"/>
            <a:t> $7,567.00 </a:t>
          </a:fld>
          <a:endParaRPr lang="ru-RU" sz="1400" b="0" i="0" u="none" strike="noStrike">
            <a:solidFill>
              <a:srgbClr val="F17EEC"/>
            </a:solidFill>
            <a:latin typeface="Aptos Narrow"/>
            <a:ea typeface="+mn-ea"/>
            <a:cs typeface="+mn-cs"/>
          </a:endParaRPr>
        </a:p>
      </xdr:txBody>
    </xdr:sp>
    <xdr:clientData/>
  </xdr:twoCellAnchor>
  <xdr:twoCellAnchor>
    <xdr:from>
      <xdr:col>1</xdr:col>
      <xdr:colOff>495300</xdr:colOff>
      <xdr:row>17</xdr:row>
      <xdr:rowOff>99060</xdr:rowOff>
    </xdr:from>
    <xdr:to>
      <xdr:col>4</xdr:col>
      <xdr:colOff>198120</xdr:colOff>
      <xdr:row>19</xdr:row>
      <xdr:rowOff>60960</xdr:rowOff>
    </xdr:to>
    <xdr:sp macro="" textlink="Processing!M15">
      <xdr:nvSpPr>
        <xdr:cNvPr id="44" name="TextBox 43">
          <a:extLst>
            <a:ext uri="{FF2B5EF4-FFF2-40B4-BE49-F238E27FC236}">
              <a16:creationId xmlns:a16="http://schemas.microsoft.com/office/drawing/2014/main" id="{1C50815C-B3C6-4D5C-A554-AFA16F34EC07}"/>
            </a:ext>
          </a:extLst>
        </xdr:cNvPr>
        <xdr:cNvSpPr txBox="1"/>
      </xdr:nvSpPr>
      <xdr:spPr>
        <a:xfrm>
          <a:off x="1104900" y="320802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FB8ED162-C73D-4C85-A493-118A723E7868}" type="TxLink">
            <a:rPr lang="en-US" sz="1100" b="0" i="0" u="none" strike="noStrike">
              <a:solidFill>
                <a:srgbClr val="F17EEC"/>
              </a:solidFill>
              <a:latin typeface="Aptos Narrow"/>
              <a:ea typeface="+mn-ea"/>
              <a:cs typeface="+mn-cs"/>
            </a:rPr>
            <a:pPr marL="0" indent="0" algn="r"/>
            <a:t> $7,567.00 </a:t>
          </a:fld>
          <a:endParaRPr lang="ru-RU" sz="1400" b="0" i="0" u="none" strike="noStrike">
            <a:solidFill>
              <a:srgbClr val="F17EEC"/>
            </a:solidFill>
            <a:latin typeface="Aptos Narrow"/>
            <a:ea typeface="+mn-ea"/>
            <a:cs typeface="+mn-cs"/>
          </a:endParaRPr>
        </a:p>
      </xdr:txBody>
    </xdr:sp>
    <xdr:clientData/>
  </xdr:twoCellAnchor>
  <xdr:twoCellAnchor>
    <xdr:from>
      <xdr:col>2</xdr:col>
      <xdr:colOff>396240</xdr:colOff>
      <xdr:row>27</xdr:row>
      <xdr:rowOff>38100</xdr:rowOff>
    </xdr:from>
    <xdr:to>
      <xdr:col>5</xdr:col>
      <xdr:colOff>99060</xdr:colOff>
      <xdr:row>29</xdr:row>
      <xdr:rowOff>0</xdr:rowOff>
    </xdr:to>
    <xdr:sp macro="" textlink="Processing!M14">
      <xdr:nvSpPr>
        <xdr:cNvPr id="45" name="TextBox 44">
          <a:extLst>
            <a:ext uri="{FF2B5EF4-FFF2-40B4-BE49-F238E27FC236}">
              <a16:creationId xmlns:a16="http://schemas.microsoft.com/office/drawing/2014/main" id="{5AEA712F-A867-4A74-B163-028047DACA55}"/>
            </a:ext>
          </a:extLst>
        </xdr:cNvPr>
        <xdr:cNvSpPr txBox="1"/>
      </xdr:nvSpPr>
      <xdr:spPr>
        <a:xfrm>
          <a:off x="1615440" y="497586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5C055BA5-A36D-4B75-A4F0-E3C7AB6817E1}" type="TxLink">
            <a:rPr lang="en-US" sz="1100" b="0" i="0" u="none" strike="noStrike">
              <a:solidFill>
                <a:srgbClr val="F17EEC"/>
              </a:solidFill>
              <a:latin typeface="Aptos Narrow"/>
              <a:ea typeface="+mn-ea"/>
              <a:cs typeface="+mn-cs"/>
            </a:rPr>
            <a:pPr marL="0" indent="0" algn="r"/>
            <a:t> $9,111.00 </a:t>
          </a:fld>
          <a:endParaRPr lang="ru-RU" sz="1400" b="0" i="0" u="none" strike="noStrike">
            <a:solidFill>
              <a:srgbClr val="F17EEC"/>
            </a:solidFill>
            <a:latin typeface="Aptos Narrow"/>
            <a:ea typeface="+mn-ea"/>
            <a:cs typeface="+mn-cs"/>
          </a:endParaRPr>
        </a:p>
      </xdr:txBody>
    </xdr:sp>
    <xdr:clientData/>
  </xdr:twoCellAnchor>
  <xdr:twoCellAnchor>
    <xdr:from>
      <xdr:col>8</xdr:col>
      <xdr:colOff>541020</xdr:colOff>
      <xdr:row>27</xdr:row>
      <xdr:rowOff>38100</xdr:rowOff>
    </xdr:from>
    <xdr:to>
      <xdr:col>11</xdr:col>
      <xdr:colOff>243840</xdr:colOff>
      <xdr:row>29</xdr:row>
      <xdr:rowOff>0</xdr:rowOff>
    </xdr:to>
    <xdr:sp macro="" textlink="Processing!M13">
      <xdr:nvSpPr>
        <xdr:cNvPr id="46" name="TextBox 45">
          <a:extLst>
            <a:ext uri="{FF2B5EF4-FFF2-40B4-BE49-F238E27FC236}">
              <a16:creationId xmlns:a16="http://schemas.microsoft.com/office/drawing/2014/main" id="{D886E782-7051-4B5F-809C-5162DACC8BC9}"/>
            </a:ext>
          </a:extLst>
        </xdr:cNvPr>
        <xdr:cNvSpPr txBox="1"/>
      </xdr:nvSpPr>
      <xdr:spPr>
        <a:xfrm>
          <a:off x="5417820" y="497586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D7EB4AC-8611-41C2-9138-E55E8BB1C980}" type="TxLink">
            <a:rPr lang="en-US" sz="1100" b="0" i="0" u="none" strike="noStrike">
              <a:solidFill>
                <a:srgbClr val="F17EEC"/>
              </a:solidFill>
              <a:latin typeface="Aptos Narrow"/>
              <a:ea typeface="+mn-ea"/>
              <a:cs typeface="+mn-cs"/>
            </a:rPr>
            <a:pPr marL="0" indent="0" algn="l"/>
            <a:t> $5,405.00 </a:t>
          </a:fld>
          <a:endParaRPr lang="ru-RU" sz="1400" b="0" i="0" u="none" strike="noStrike">
            <a:solidFill>
              <a:srgbClr val="F17EEC"/>
            </a:solidFill>
            <a:latin typeface="Aptos Narrow"/>
            <a:ea typeface="+mn-ea"/>
            <a:cs typeface="+mn-cs"/>
          </a:endParaRPr>
        </a:p>
      </xdr:txBody>
    </xdr:sp>
    <xdr:clientData/>
  </xdr:twoCellAnchor>
  <xdr:twoCellAnchor>
    <xdr:from>
      <xdr:col>7</xdr:col>
      <xdr:colOff>152400</xdr:colOff>
      <xdr:row>12</xdr:row>
      <xdr:rowOff>91440</xdr:rowOff>
    </xdr:from>
    <xdr:to>
      <xdr:col>9</xdr:col>
      <xdr:colOff>464820</xdr:colOff>
      <xdr:row>14</xdr:row>
      <xdr:rowOff>53340</xdr:rowOff>
    </xdr:to>
    <xdr:sp macro="" textlink="Processing!N11">
      <xdr:nvSpPr>
        <xdr:cNvPr id="47" name="TextBox 46">
          <a:extLst>
            <a:ext uri="{FF2B5EF4-FFF2-40B4-BE49-F238E27FC236}">
              <a16:creationId xmlns:a16="http://schemas.microsoft.com/office/drawing/2014/main" id="{C66E275C-28FD-40E5-A5DA-FB2584793F65}"/>
            </a:ext>
          </a:extLst>
        </xdr:cNvPr>
        <xdr:cNvSpPr txBox="1"/>
      </xdr:nvSpPr>
      <xdr:spPr>
        <a:xfrm>
          <a:off x="4419600" y="228600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CEBC020-7031-4343-9012-6D2D1F3EFC95}" type="TxLink">
            <a:rPr lang="en-US" sz="1100" b="0" i="0" u="none" strike="noStrike">
              <a:solidFill>
                <a:srgbClr val="568DF9"/>
              </a:solidFill>
              <a:latin typeface="Aptos Narrow"/>
              <a:ea typeface="+mn-ea"/>
              <a:cs typeface="+mn-cs"/>
            </a:rPr>
            <a:pPr marL="0" indent="0" algn="l"/>
            <a:t> $7,381.85 </a:t>
          </a:fld>
          <a:endParaRPr lang="ru-RU" sz="1400" b="0" i="0" u="none" strike="noStrike">
            <a:solidFill>
              <a:srgbClr val="568DF9"/>
            </a:solidFill>
            <a:latin typeface="Aptos Narrow"/>
            <a:ea typeface="+mn-ea"/>
            <a:cs typeface="+mn-cs"/>
          </a:endParaRPr>
        </a:p>
      </xdr:txBody>
    </xdr:sp>
    <xdr:clientData/>
  </xdr:twoCellAnchor>
  <xdr:twoCellAnchor>
    <xdr:from>
      <xdr:col>9</xdr:col>
      <xdr:colOff>441960</xdr:colOff>
      <xdr:row>18</xdr:row>
      <xdr:rowOff>144780</xdr:rowOff>
    </xdr:from>
    <xdr:to>
      <xdr:col>12</xdr:col>
      <xdr:colOff>144780</xdr:colOff>
      <xdr:row>20</xdr:row>
      <xdr:rowOff>106680</xdr:rowOff>
    </xdr:to>
    <xdr:sp macro="" textlink="Processing!N11">
      <xdr:nvSpPr>
        <xdr:cNvPr id="48" name="TextBox 47">
          <a:extLst>
            <a:ext uri="{FF2B5EF4-FFF2-40B4-BE49-F238E27FC236}">
              <a16:creationId xmlns:a16="http://schemas.microsoft.com/office/drawing/2014/main" id="{5831AFCB-738C-4C12-908B-311A353AFAB1}"/>
            </a:ext>
          </a:extLst>
        </xdr:cNvPr>
        <xdr:cNvSpPr txBox="1"/>
      </xdr:nvSpPr>
      <xdr:spPr>
        <a:xfrm>
          <a:off x="5928360" y="343662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629868F-A942-434B-80FF-4DC78BDD3D5D}" type="TxLink">
            <a:rPr lang="en-US" sz="1100" b="0" i="0" u="none" strike="noStrike">
              <a:solidFill>
                <a:srgbClr val="568DF9"/>
              </a:solidFill>
              <a:latin typeface="Aptos Narrow"/>
              <a:ea typeface="+mn-ea"/>
              <a:cs typeface="+mn-cs"/>
            </a:rPr>
            <a:pPr marL="0" indent="0" algn="l"/>
            <a:t> $7,381.85 </a:t>
          </a:fld>
          <a:endParaRPr lang="ru-RU" sz="1400" b="0" i="0" u="none" strike="noStrike">
            <a:solidFill>
              <a:srgbClr val="568DF9"/>
            </a:solidFill>
            <a:latin typeface="Aptos Narrow"/>
            <a:ea typeface="+mn-ea"/>
            <a:cs typeface="+mn-cs"/>
          </a:endParaRPr>
        </a:p>
      </xdr:txBody>
    </xdr:sp>
    <xdr:clientData/>
  </xdr:twoCellAnchor>
  <xdr:twoCellAnchor>
    <xdr:from>
      <xdr:col>1</xdr:col>
      <xdr:colOff>495300</xdr:colOff>
      <xdr:row>18</xdr:row>
      <xdr:rowOff>144780</xdr:rowOff>
    </xdr:from>
    <xdr:to>
      <xdr:col>4</xdr:col>
      <xdr:colOff>198120</xdr:colOff>
      <xdr:row>20</xdr:row>
      <xdr:rowOff>106680</xdr:rowOff>
    </xdr:to>
    <xdr:sp macro="" textlink="Processing!N15">
      <xdr:nvSpPr>
        <xdr:cNvPr id="49" name="TextBox 48">
          <a:extLst>
            <a:ext uri="{FF2B5EF4-FFF2-40B4-BE49-F238E27FC236}">
              <a16:creationId xmlns:a16="http://schemas.microsoft.com/office/drawing/2014/main" id="{EE5C6F25-0ADB-4AEA-B4F9-CC9EACD60457}"/>
            </a:ext>
          </a:extLst>
        </xdr:cNvPr>
        <xdr:cNvSpPr txBox="1"/>
      </xdr:nvSpPr>
      <xdr:spPr>
        <a:xfrm>
          <a:off x="1104900" y="343662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60258357-235D-4B7C-B897-29F68DBC7E5C}" type="TxLink">
            <a:rPr lang="en-US" sz="1100" b="0" i="0" u="none" strike="noStrike">
              <a:solidFill>
                <a:srgbClr val="568DF9"/>
              </a:solidFill>
              <a:latin typeface="Aptos Narrow"/>
              <a:ea typeface="+mn-ea"/>
              <a:cs typeface="+mn-cs"/>
            </a:rPr>
            <a:pPr marL="0" indent="0" algn="r"/>
            <a:t> $6,479.50 </a:t>
          </a:fld>
          <a:endParaRPr lang="ru-RU" sz="1400" b="0" i="0" u="none" strike="noStrike">
            <a:solidFill>
              <a:srgbClr val="568DF9"/>
            </a:solidFill>
            <a:latin typeface="Aptos Narrow"/>
            <a:ea typeface="+mn-ea"/>
            <a:cs typeface="+mn-cs"/>
          </a:endParaRPr>
        </a:p>
      </xdr:txBody>
    </xdr:sp>
    <xdr:clientData/>
  </xdr:twoCellAnchor>
  <xdr:twoCellAnchor>
    <xdr:from>
      <xdr:col>2</xdr:col>
      <xdr:colOff>396240</xdr:colOff>
      <xdr:row>28</xdr:row>
      <xdr:rowOff>83820</xdr:rowOff>
    </xdr:from>
    <xdr:to>
      <xdr:col>5</xdr:col>
      <xdr:colOff>99060</xdr:colOff>
      <xdr:row>30</xdr:row>
      <xdr:rowOff>45720</xdr:rowOff>
    </xdr:to>
    <xdr:sp macro="" textlink="Processing!N14">
      <xdr:nvSpPr>
        <xdr:cNvPr id="50" name="TextBox 49">
          <a:extLst>
            <a:ext uri="{FF2B5EF4-FFF2-40B4-BE49-F238E27FC236}">
              <a16:creationId xmlns:a16="http://schemas.microsoft.com/office/drawing/2014/main" id="{C07FEF25-C768-46B2-9B8A-09B5BB7CFF80}"/>
            </a:ext>
          </a:extLst>
        </xdr:cNvPr>
        <xdr:cNvSpPr txBox="1"/>
      </xdr:nvSpPr>
      <xdr:spPr>
        <a:xfrm>
          <a:off x="1615440" y="520446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BD878D61-99E8-4703-B40B-127E5238015C}" type="TxLink">
            <a:rPr lang="en-US" sz="1100" b="0" i="0" u="none" strike="noStrike">
              <a:solidFill>
                <a:srgbClr val="568DF9"/>
              </a:solidFill>
              <a:latin typeface="Aptos Narrow"/>
              <a:ea typeface="+mn-ea"/>
              <a:cs typeface="+mn-cs"/>
            </a:rPr>
            <a:pPr marL="0" indent="0" algn="r"/>
            <a:t> $4,026.80 </a:t>
          </a:fld>
          <a:endParaRPr lang="ru-RU" sz="1400" b="0" i="0" u="none" strike="noStrike">
            <a:solidFill>
              <a:srgbClr val="568DF9"/>
            </a:solidFill>
            <a:latin typeface="Aptos Narrow"/>
            <a:ea typeface="+mn-ea"/>
            <a:cs typeface="+mn-cs"/>
          </a:endParaRPr>
        </a:p>
      </xdr:txBody>
    </xdr:sp>
    <xdr:clientData/>
  </xdr:twoCellAnchor>
  <xdr:twoCellAnchor>
    <xdr:from>
      <xdr:col>8</xdr:col>
      <xdr:colOff>541020</xdr:colOff>
      <xdr:row>28</xdr:row>
      <xdr:rowOff>83820</xdr:rowOff>
    </xdr:from>
    <xdr:to>
      <xdr:col>11</xdr:col>
      <xdr:colOff>243840</xdr:colOff>
      <xdr:row>30</xdr:row>
      <xdr:rowOff>45720</xdr:rowOff>
    </xdr:to>
    <xdr:sp macro="" textlink="Processing!N13">
      <xdr:nvSpPr>
        <xdr:cNvPr id="51" name="TextBox 50">
          <a:extLst>
            <a:ext uri="{FF2B5EF4-FFF2-40B4-BE49-F238E27FC236}">
              <a16:creationId xmlns:a16="http://schemas.microsoft.com/office/drawing/2014/main" id="{509B189A-7B51-4E8C-87FA-571DEB65DD02}"/>
            </a:ext>
          </a:extLst>
        </xdr:cNvPr>
        <xdr:cNvSpPr txBox="1"/>
      </xdr:nvSpPr>
      <xdr:spPr>
        <a:xfrm>
          <a:off x="5417820" y="520446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D8D9440-EAE1-4D69-AD2B-5BE2271AC9D4}" type="TxLink">
            <a:rPr lang="en-US" sz="1100" b="0" i="0" u="none" strike="noStrike">
              <a:solidFill>
                <a:srgbClr val="568DF9"/>
              </a:solidFill>
              <a:latin typeface="Aptos Narrow"/>
              <a:ea typeface="+mn-ea"/>
              <a:cs typeface="+mn-cs"/>
            </a:rPr>
            <a:pPr marL="0" indent="0" algn="l"/>
            <a:t> $7,244.89 </a:t>
          </a:fld>
          <a:endParaRPr lang="ru-RU" sz="1400" b="0" i="0" u="none" strike="noStrike">
            <a:solidFill>
              <a:srgbClr val="568DF9"/>
            </a:solidFill>
            <a:latin typeface="Aptos Narrow"/>
            <a:ea typeface="+mn-ea"/>
            <a:cs typeface="+mn-cs"/>
          </a:endParaRPr>
        </a:p>
      </xdr:txBody>
    </xdr:sp>
    <xdr:clientData/>
  </xdr:twoCellAnchor>
  <xdr:twoCellAnchor>
    <xdr:from>
      <xdr:col>2</xdr:col>
      <xdr:colOff>354360</xdr:colOff>
      <xdr:row>10</xdr:row>
      <xdr:rowOff>45720</xdr:rowOff>
    </xdr:from>
    <xdr:to>
      <xdr:col>3</xdr:col>
      <xdr:colOff>544801</xdr:colOff>
      <xdr:row>12</xdr:row>
      <xdr:rowOff>7620</xdr:rowOff>
    </xdr:to>
    <xdr:sp macro="" textlink="Processing!M10">
      <xdr:nvSpPr>
        <xdr:cNvPr id="52" name="TextBox 51">
          <a:extLst>
            <a:ext uri="{FF2B5EF4-FFF2-40B4-BE49-F238E27FC236}">
              <a16:creationId xmlns:a16="http://schemas.microsoft.com/office/drawing/2014/main" id="{8069E9FC-9707-466D-B28D-021BB569C035}"/>
            </a:ext>
          </a:extLst>
        </xdr:cNvPr>
        <xdr:cNvSpPr txBox="1"/>
      </xdr:nvSpPr>
      <xdr:spPr>
        <a:xfrm>
          <a:off x="1573560" y="1874520"/>
          <a:ext cx="800041"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28355AE-912C-4E15-B891-05AB1DA085AC}" type="TxLink">
            <a:rPr lang="en-US" sz="1400" b="0" i="0" u="none" strike="noStrike">
              <a:solidFill>
                <a:schemeClr val="tx1"/>
              </a:solidFill>
              <a:latin typeface="Aptos Narrow"/>
            </a:rPr>
            <a:pPr algn="l"/>
            <a:t>Revenue</a:t>
          </a:fld>
          <a:endParaRPr lang="ru-RU" sz="4400" b="0">
            <a:solidFill>
              <a:schemeClr val="tx1"/>
            </a:solidFill>
          </a:endParaRPr>
        </a:p>
      </xdr:txBody>
    </xdr:sp>
    <xdr:clientData/>
  </xdr:twoCellAnchor>
  <xdr:twoCellAnchor>
    <xdr:from>
      <xdr:col>2</xdr:col>
      <xdr:colOff>354360</xdr:colOff>
      <xdr:row>11</xdr:row>
      <xdr:rowOff>99060</xdr:rowOff>
    </xdr:from>
    <xdr:to>
      <xdr:col>3</xdr:col>
      <xdr:colOff>544801</xdr:colOff>
      <xdr:row>13</xdr:row>
      <xdr:rowOff>60960</xdr:rowOff>
    </xdr:to>
    <xdr:sp macro="" textlink="Processing!N10">
      <xdr:nvSpPr>
        <xdr:cNvPr id="53" name="TextBox 52">
          <a:extLst>
            <a:ext uri="{FF2B5EF4-FFF2-40B4-BE49-F238E27FC236}">
              <a16:creationId xmlns:a16="http://schemas.microsoft.com/office/drawing/2014/main" id="{91259D2C-D67C-4BDF-8241-20283AF5259E}"/>
            </a:ext>
          </a:extLst>
        </xdr:cNvPr>
        <xdr:cNvSpPr txBox="1"/>
      </xdr:nvSpPr>
      <xdr:spPr>
        <a:xfrm>
          <a:off x="1573560" y="2110740"/>
          <a:ext cx="800041"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1F54E5D-31EF-4B0A-924F-85E64AF077EB}" type="TxLink">
            <a:rPr lang="en-US" sz="1400" b="0" i="0" u="none" strike="noStrike">
              <a:solidFill>
                <a:schemeClr val="tx1"/>
              </a:solidFill>
              <a:latin typeface="Aptos Narrow"/>
            </a:rPr>
            <a:pPr algn="l"/>
            <a:t>Sales</a:t>
          </a:fld>
          <a:endParaRPr lang="ru-RU" sz="4400" b="0">
            <a:solidFill>
              <a:schemeClr val="tx1"/>
            </a:solidFill>
          </a:endParaRPr>
        </a:p>
      </xdr:txBody>
    </xdr:sp>
    <xdr:clientData/>
  </xdr:twoCellAnchor>
  <xdr:twoCellAnchor>
    <xdr:from>
      <xdr:col>3</xdr:col>
      <xdr:colOff>537239</xdr:colOff>
      <xdr:row>10</xdr:row>
      <xdr:rowOff>45720</xdr:rowOff>
    </xdr:from>
    <xdr:to>
      <xdr:col>6</xdr:col>
      <xdr:colOff>80039</xdr:colOff>
      <xdr:row>12</xdr:row>
      <xdr:rowOff>7620</xdr:rowOff>
    </xdr:to>
    <xdr:sp macro="" textlink="Processing!M16">
      <xdr:nvSpPr>
        <xdr:cNvPr id="54" name="TextBox 53">
          <a:extLst>
            <a:ext uri="{FF2B5EF4-FFF2-40B4-BE49-F238E27FC236}">
              <a16:creationId xmlns:a16="http://schemas.microsoft.com/office/drawing/2014/main" id="{4093C0A3-2B4C-43A1-8B08-C7FFCC4B1242}"/>
            </a:ext>
          </a:extLst>
        </xdr:cNvPr>
        <xdr:cNvSpPr txBox="1"/>
      </xdr:nvSpPr>
      <xdr:spPr>
        <a:xfrm>
          <a:off x="2366039" y="1874520"/>
          <a:ext cx="13716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0BDB2E0-C0C4-49F3-B3F0-52886EE118C0}" type="TxLink">
            <a:rPr lang="en-US" sz="1400" b="0" i="0" u="none" strike="noStrike">
              <a:solidFill>
                <a:schemeClr val="tx1"/>
              </a:solidFill>
              <a:latin typeface="Aptos Narrow"/>
            </a:rPr>
            <a:pPr algn="l"/>
            <a:t> $37,835 </a:t>
          </a:fld>
          <a:endParaRPr lang="ru-RU" sz="5400" b="0">
            <a:solidFill>
              <a:schemeClr val="tx1"/>
            </a:solidFill>
          </a:endParaRPr>
        </a:p>
      </xdr:txBody>
    </xdr:sp>
    <xdr:clientData/>
  </xdr:twoCellAnchor>
  <xdr:twoCellAnchor>
    <xdr:from>
      <xdr:col>3</xdr:col>
      <xdr:colOff>537239</xdr:colOff>
      <xdr:row>11</xdr:row>
      <xdr:rowOff>99060</xdr:rowOff>
    </xdr:from>
    <xdr:to>
      <xdr:col>6</xdr:col>
      <xdr:colOff>80039</xdr:colOff>
      <xdr:row>13</xdr:row>
      <xdr:rowOff>60960</xdr:rowOff>
    </xdr:to>
    <xdr:sp macro="" textlink="Processing!N16">
      <xdr:nvSpPr>
        <xdr:cNvPr id="55" name="TextBox 54">
          <a:extLst>
            <a:ext uri="{FF2B5EF4-FFF2-40B4-BE49-F238E27FC236}">
              <a16:creationId xmlns:a16="http://schemas.microsoft.com/office/drawing/2014/main" id="{505CE468-CEB4-4C78-B863-FF3A7AADBA53}"/>
            </a:ext>
          </a:extLst>
        </xdr:cNvPr>
        <xdr:cNvSpPr txBox="1"/>
      </xdr:nvSpPr>
      <xdr:spPr>
        <a:xfrm>
          <a:off x="2366039" y="2110740"/>
          <a:ext cx="13716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289848F-4778-4F83-A9D5-A471075ECE42}" type="TxLink">
            <a:rPr lang="en-US" sz="1400" b="0" i="0" u="none" strike="noStrike">
              <a:solidFill>
                <a:schemeClr val="tx1"/>
              </a:solidFill>
              <a:latin typeface="Aptos Narrow"/>
            </a:rPr>
            <a:pPr algn="l"/>
            <a:t> $33,543 </a:t>
          </a:fld>
          <a:endParaRPr lang="ru-RU" sz="5400" b="0">
            <a:solidFill>
              <a:schemeClr val="tx1"/>
            </a:solidFill>
          </a:endParaRPr>
        </a:p>
      </xdr:txBody>
    </xdr:sp>
    <xdr:clientData/>
  </xdr:twoCellAnchor>
  <xdr:twoCellAnchor>
    <xdr:from>
      <xdr:col>2</xdr:col>
      <xdr:colOff>213360</xdr:colOff>
      <xdr:row>10</xdr:row>
      <xdr:rowOff>137160</xdr:rowOff>
    </xdr:from>
    <xdr:to>
      <xdr:col>2</xdr:col>
      <xdr:colOff>332232</xdr:colOff>
      <xdr:row>11</xdr:row>
      <xdr:rowOff>73152</xdr:rowOff>
    </xdr:to>
    <xdr:sp macro="" textlink="">
      <xdr:nvSpPr>
        <xdr:cNvPr id="56" name="Oval 55">
          <a:extLst>
            <a:ext uri="{FF2B5EF4-FFF2-40B4-BE49-F238E27FC236}">
              <a16:creationId xmlns:a16="http://schemas.microsoft.com/office/drawing/2014/main" id="{EB48C2BC-DA89-4BD1-B8BB-314753FD418D}"/>
            </a:ext>
          </a:extLst>
        </xdr:cNvPr>
        <xdr:cNvSpPr/>
      </xdr:nvSpPr>
      <xdr:spPr>
        <a:xfrm>
          <a:off x="1432560" y="1965960"/>
          <a:ext cx="118872" cy="118872"/>
        </a:xfrm>
        <a:prstGeom prst="ellipse">
          <a:avLst/>
        </a:prstGeom>
        <a:solidFill>
          <a:srgbClr val="EE0078">
            <a:alpha val="30000"/>
          </a:srgbClr>
        </a:solidFill>
        <a:ln w="12700">
          <a:solidFill>
            <a:srgbClr val="EE00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213360</xdr:colOff>
      <xdr:row>12</xdr:row>
      <xdr:rowOff>22860</xdr:rowOff>
    </xdr:from>
    <xdr:to>
      <xdr:col>2</xdr:col>
      <xdr:colOff>332232</xdr:colOff>
      <xdr:row>12</xdr:row>
      <xdr:rowOff>141732</xdr:rowOff>
    </xdr:to>
    <xdr:sp macro="" textlink="">
      <xdr:nvSpPr>
        <xdr:cNvPr id="57" name="Oval 56">
          <a:extLst>
            <a:ext uri="{FF2B5EF4-FFF2-40B4-BE49-F238E27FC236}">
              <a16:creationId xmlns:a16="http://schemas.microsoft.com/office/drawing/2014/main" id="{E0602351-789C-4775-A1B9-DD4884D821EB}"/>
            </a:ext>
          </a:extLst>
        </xdr:cNvPr>
        <xdr:cNvSpPr/>
      </xdr:nvSpPr>
      <xdr:spPr>
        <a:xfrm>
          <a:off x="1432560" y="2217420"/>
          <a:ext cx="118872" cy="118872"/>
        </a:xfrm>
        <a:prstGeom prst="ellipse">
          <a:avLst/>
        </a:prstGeom>
        <a:solidFill>
          <a:srgbClr val="4E7AFF">
            <a:alpha val="30000"/>
          </a:srgbClr>
        </a:solidFill>
        <a:ln w="12700">
          <a:solidFill>
            <a:srgbClr val="4E7A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34259</xdr:colOff>
      <xdr:row>23</xdr:row>
      <xdr:rowOff>70365</xdr:rowOff>
    </xdr:from>
    <xdr:to>
      <xdr:col>16</xdr:col>
      <xdr:colOff>567659</xdr:colOff>
      <xdr:row>33</xdr:row>
      <xdr:rowOff>38100</xdr:rowOff>
    </xdr:to>
    <xdr:graphicFrame macro="">
      <xdr:nvGraphicFramePr>
        <xdr:cNvPr id="61" name="Chart 60">
          <a:extLst>
            <a:ext uri="{FF2B5EF4-FFF2-40B4-BE49-F238E27FC236}">
              <a16:creationId xmlns:a16="http://schemas.microsoft.com/office/drawing/2014/main" id="{4A0E7F03-D065-4A07-9109-E7A8E1D9A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566998</xdr:colOff>
      <xdr:row>23</xdr:row>
      <xdr:rowOff>99060</xdr:rowOff>
    </xdr:from>
    <xdr:to>
      <xdr:col>19</xdr:col>
      <xdr:colOff>476943</xdr:colOff>
      <xdr:row>31</xdr:row>
      <xdr:rowOff>175260</xdr:rowOff>
    </xdr:to>
    <xdr:graphicFrame macro="">
      <xdr:nvGraphicFramePr>
        <xdr:cNvPr id="62" name="Chart 61">
          <a:extLst>
            <a:ext uri="{FF2B5EF4-FFF2-40B4-BE49-F238E27FC236}">
              <a16:creationId xmlns:a16="http://schemas.microsoft.com/office/drawing/2014/main" id="{8BCFB134-18AE-4272-95BC-EDBC497F6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0</xdr:row>
      <xdr:rowOff>0</xdr:rowOff>
    </xdr:from>
    <xdr:to>
      <xdr:col>0</xdr:col>
      <xdr:colOff>274320</xdr:colOff>
      <xdr:row>1</xdr:row>
      <xdr:rowOff>91440</xdr:rowOff>
    </xdr:to>
    <xdr:pic>
      <xdr:nvPicPr>
        <xdr:cNvPr id="2" name="Graphic 1" descr="Moon and stars with solid fill">
          <a:hlinkClick xmlns:r="http://schemas.openxmlformats.org/officeDocument/2006/relationships" r:id="rId10"/>
          <a:extLst>
            <a:ext uri="{FF2B5EF4-FFF2-40B4-BE49-F238E27FC236}">
              <a16:creationId xmlns:a16="http://schemas.microsoft.com/office/drawing/2014/main" id="{26C23682-B651-4C46-A6C9-7740B17D89A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0" y="0"/>
          <a:ext cx="274320" cy="274320"/>
        </a:xfrm>
        <a:prstGeom prst="rect">
          <a:avLst/>
        </a:prstGeom>
      </xdr:spPr>
    </xdr:pic>
    <xdr:clientData/>
  </xdr:twoCellAnchor>
  <xdr:twoCellAnchor>
    <xdr:from>
      <xdr:col>12</xdr:col>
      <xdr:colOff>358140</xdr:colOff>
      <xdr:row>8</xdr:row>
      <xdr:rowOff>114300</xdr:rowOff>
    </xdr:from>
    <xdr:to>
      <xdr:col>16</xdr:col>
      <xdr:colOff>274320</xdr:colOff>
      <xdr:row>18</xdr:row>
      <xdr:rowOff>114300</xdr:rowOff>
    </xdr:to>
    <xdr:sp macro="" textlink="">
      <xdr:nvSpPr>
        <xdr:cNvPr id="3" name="Rectangle: Rounded Corners 2">
          <a:hlinkClick xmlns:r="http://schemas.openxmlformats.org/officeDocument/2006/relationships" r:id="rId13"/>
          <a:extLst>
            <a:ext uri="{FF2B5EF4-FFF2-40B4-BE49-F238E27FC236}">
              <a16:creationId xmlns:a16="http://schemas.microsoft.com/office/drawing/2014/main" id="{A16193C9-1E84-468A-8737-8E1701D09EC7}"/>
            </a:ext>
          </a:extLst>
        </xdr:cNvPr>
        <xdr:cNvSpPr/>
      </xdr:nvSpPr>
      <xdr:spPr>
        <a:xfrm>
          <a:off x="7673340" y="1577340"/>
          <a:ext cx="235458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358140</xdr:colOff>
      <xdr:row>19</xdr:row>
      <xdr:rowOff>152400</xdr:rowOff>
    </xdr:from>
    <xdr:to>
      <xdr:col>16</xdr:col>
      <xdr:colOff>274320</xdr:colOff>
      <xdr:row>32</xdr:row>
      <xdr:rowOff>53340</xdr:rowOff>
    </xdr:to>
    <xdr:sp macro="" textlink="">
      <xdr:nvSpPr>
        <xdr:cNvPr id="4" name="Rectangle: Rounded Corners 3">
          <a:hlinkClick xmlns:r="http://schemas.openxmlformats.org/officeDocument/2006/relationships" r:id="rId14"/>
          <a:extLst>
            <a:ext uri="{FF2B5EF4-FFF2-40B4-BE49-F238E27FC236}">
              <a16:creationId xmlns:a16="http://schemas.microsoft.com/office/drawing/2014/main" id="{F377A66A-D5BE-47DE-9A1E-A0B54DC61290}"/>
            </a:ext>
          </a:extLst>
        </xdr:cNvPr>
        <xdr:cNvSpPr/>
      </xdr:nvSpPr>
      <xdr:spPr>
        <a:xfrm>
          <a:off x="7673340" y="3627120"/>
          <a:ext cx="2354580" cy="2278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525780</xdr:colOff>
      <xdr:row>22</xdr:row>
      <xdr:rowOff>30480</xdr:rowOff>
    </xdr:from>
    <xdr:to>
      <xdr:col>19</xdr:col>
      <xdr:colOff>518160</xdr:colOff>
      <xdr:row>32</xdr:row>
      <xdr:rowOff>30480</xdr:rowOff>
    </xdr:to>
    <xdr:sp macro="" textlink="">
      <xdr:nvSpPr>
        <xdr:cNvPr id="5" name="Rectangle: Rounded Corners 4">
          <a:hlinkClick xmlns:r="http://schemas.openxmlformats.org/officeDocument/2006/relationships" r:id="rId15"/>
          <a:extLst>
            <a:ext uri="{FF2B5EF4-FFF2-40B4-BE49-F238E27FC236}">
              <a16:creationId xmlns:a16="http://schemas.microsoft.com/office/drawing/2014/main" id="{4CA59989-A430-40C3-AB7B-4C2C03D417E6}"/>
            </a:ext>
          </a:extLst>
        </xdr:cNvPr>
        <xdr:cNvSpPr/>
      </xdr:nvSpPr>
      <xdr:spPr>
        <a:xfrm>
          <a:off x="10279380" y="4053840"/>
          <a:ext cx="182118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99060</xdr:colOff>
      <xdr:row>22</xdr:row>
      <xdr:rowOff>30480</xdr:rowOff>
    </xdr:from>
    <xdr:to>
      <xdr:col>22</xdr:col>
      <xdr:colOff>53340</xdr:colOff>
      <xdr:row>32</xdr:row>
      <xdr:rowOff>30480</xdr:rowOff>
    </xdr:to>
    <xdr:sp macro="" textlink="">
      <xdr:nvSpPr>
        <xdr:cNvPr id="6" name="Rectangle: Rounded Corners 5">
          <a:hlinkClick xmlns:r="http://schemas.openxmlformats.org/officeDocument/2006/relationships" r:id="rId16"/>
          <a:extLst>
            <a:ext uri="{FF2B5EF4-FFF2-40B4-BE49-F238E27FC236}">
              <a16:creationId xmlns:a16="http://schemas.microsoft.com/office/drawing/2014/main" id="{0E3DB41C-BDB4-4FD5-84D5-ABAC7F4E7770}"/>
            </a:ext>
          </a:extLst>
        </xdr:cNvPr>
        <xdr:cNvSpPr/>
      </xdr:nvSpPr>
      <xdr:spPr>
        <a:xfrm>
          <a:off x="12291060" y="4053840"/>
          <a:ext cx="117348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556260</xdr:colOff>
      <xdr:row>8</xdr:row>
      <xdr:rowOff>114300</xdr:rowOff>
    </xdr:from>
    <xdr:to>
      <xdr:col>22</xdr:col>
      <xdr:colOff>22860</xdr:colOff>
      <xdr:row>20</xdr:row>
      <xdr:rowOff>175260</xdr:rowOff>
    </xdr:to>
    <xdr:sp macro="" textlink="">
      <xdr:nvSpPr>
        <xdr:cNvPr id="12" name="Rectangle: Rounded Corners 11">
          <a:hlinkClick xmlns:r="http://schemas.openxmlformats.org/officeDocument/2006/relationships" r:id="rId17"/>
          <a:extLst>
            <a:ext uri="{FF2B5EF4-FFF2-40B4-BE49-F238E27FC236}">
              <a16:creationId xmlns:a16="http://schemas.microsoft.com/office/drawing/2014/main" id="{10C49F50-15EB-45BF-BBF1-651378756E6F}"/>
            </a:ext>
          </a:extLst>
        </xdr:cNvPr>
        <xdr:cNvSpPr/>
      </xdr:nvSpPr>
      <xdr:spPr>
        <a:xfrm>
          <a:off x="10309860" y="1577340"/>
          <a:ext cx="3124200" cy="2255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167640</xdr:colOff>
      <xdr:row>43</xdr:row>
      <xdr:rowOff>146304</xdr:rowOff>
    </xdr:to>
    <xdr:sp macro="" textlink="">
      <xdr:nvSpPr>
        <xdr:cNvPr id="2" name="Rectangle 1">
          <a:extLst>
            <a:ext uri="{FF2B5EF4-FFF2-40B4-BE49-F238E27FC236}">
              <a16:creationId xmlns:a16="http://schemas.microsoft.com/office/drawing/2014/main" id="{DEE6530F-1455-44F7-BBAC-182F160FE2AE}"/>
            </a:ext>
          </a:extLst>
        </xdr:cNvPr>
        <xdr:cNvSpPr/>
      </xdr:nvSpPr>
      <xdr:spPr>
        <a:xfrm>
          <a:off x="0" y="0"/>
          <a:ext cx="14798040" cy="8010144"/>
        </a:xfrm>
        <a:prstGeom prst="rect">
          <a:avLst/>
        </a:prstGeom>
        <a:gradFill flip="none" rotWithShape="1">
          <a:gsLst>
            <a:gs pos="35000">
              <a:srgbClr val="754CB9"/>
            </a:gs>
            <a:gs pos="65000">
              <a:srgbClr val="519FFB"/>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0</xdr:colOff>
      <xdr:row>0</xdr:row>
      <xdr:rowOff>0</xdr:rowOff>
    </xdr:from>
    <xdr:to>
      <xdr:col>24</xdr:col>
      <xdr:colOff>167640</xdr:colOff>
      <xdr:row>43</xdr:row>
      <xdr:rowOff>146304</xdr:rowOff>
    </xdr:to>
    <xdr:sp macro="" textlink="">
      <xdr:nvSpPr>
        <xdr:cNvPr id="3" name="Rectangle 2">
          <a:extLst>
            <a:ext uri="{FF2B5EF4-FFF2-40B4-BE49-F238E27FC236}">
              <a16:creationId xmlns:a16="http://schemas.microsoft.com/office/drawing/2014/main" id="{60C8D152-8799-4420-B503-EDE2726DBF6F}"/>
            </a:ext>
          </a:extLst>
        </xdr:cNvPr>
        <xdr:cNvSpPr/>
      </xdr:nvSpPr>
      <xdr:spPr>
        <a:xfrm>
          <a:off x="0" y="0"/>
          <a:ext cx="14798040" cy="8010144"/>
        </a:xfrm>
        <a:prstGeom prst="rect">
          <a:avLst/>
        </a:prstGeom>
        <a:gradFill flip="none" rotWithShape="1">
          <a:gsLst>
            <a:gs pos="6000">
              <a:srgbClr val="EE0078"/>
            </a:gs>
            <a:gs pos="100000">
              <a:srgbClr val="562BFF">
                <a:alpha val="0"/>
              </a:srgb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205740</xdr:colOff>
      <xdr:row>3</xdr:row>
      <xdr:rowOff>91440</xdr:rowOff>
    </xdr:from>
    <xdr:to>
      <xdr:col>22</xdr:col>
      <xdr:colOff>419100</xdr:colOff>
      <xdr:row>35</xdr:row>
      <xdr:rowOff>7034</xdr:rowOff>
    </xdr:to>
    <xdr:grpSp>
      <xdr:nvGrpSpPr>
        <xdr:cNvPr id="4" name="Group 3">
          <a:extLst>
            <a:ext uri="{FF2B5EF4-FFF2-40B4-BE49-F238E27FC236}">
              <a16:creationId xmlns:a16="http://schemas.microsoft.com/office/drawing/2014/main" id="{4CA0A750-4FF0-42FE-A9D5-5652143475C3}"/>
            </a:ext>
          </a:extLst>
        </xdr:cNvPr>
        <xdr:cNvGrpSpPr/>
      </xdr:nvGrpSpPr>
      <xdr:grpSpPr>
        <a:xfrm>
          <a:off x="815340" y="662940"/>
          <a:ext cx="13014960" cy="6011594"/>
          <a:chOff x="3116580" y="662940"/>
          <a:chExt cx="5449472" cy="5767754"/>
        </a:xfrm>
      </xdr:grpSpPr>
      <xdr:sp macro="" textlink="">
        <xdr:nvSpPr>
          <xdr:cNvPr id="5" name="Rectangle: Rounded Corners 4">
            <a:extLst>
              <a:ext uri="{FF2B5EF4-FFF2-40B4-BE49-F238E27FC236}">
                <a16:creationId xmlns:a16="http://schemas.microsoft.com/office/drawing/2014/main" id="{995770C7-0964-903A-AE40-FF0B53A3E6A7}"/>
              </a:ext>
            </a:extLst>
          </xdr:cNvPr>
          <xdr:cNvSpPr/>
        </xdr:nvSpPr>
        <xdr:spPr>
          <a:xfrm>
            <a:off x="3116580" y="662940"/>
            <a:ext cx="5449472" cy="5767754"/>
          </a:xfrm>
          <a:prstGeom prst="roundRect">
            <a:avLst>
              <a:gd name="adj" fmla="val 10643"/>
            </a:avLst>
          </a:prstGeom>
          <a:gradFill>
            <a:gsLst>
              <a:gs pos="62000">
                <a:srgbClr val="1E2255"/>
              </a:gs>
              <a:gs pos="100000">
                <a:srgbClr val="2B215C"/>
              </a:gs>
            </a:gsLst>
            <a:lin ang="8100000" scaled="1"/>
          </a:gradFill>
          <a:ln>
            <a:noFill/>
          </a:ln>
          <a:effectLst>
            <a:outerShdw blurRad="584200" dist="3937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 name="Rectangle: Rounded Corners 5">
            <a:extLst>
              <a:ext uri="{FF2B5EF4-FFF2-40B4-BE49-F238E27FC236}">
                <a16:creationId xmlns:a16="http://schemas.microsoft.com/office/drawing/2014/main" id="{7050F89F-647B-976F-9274-AED602F19FAF}"/>
              </a:ext>
            </a:extLst>
          </xdr:cNvPr>
          <xdr:cNvSpPr/>
        </xdr:nvSpPr>
        <xdr:spPr>
          <a:xfrm>
            <a:off x="3116580" y="662940"/>
            <a:ext cx="5449472" cy="5767754"/>
          </a:xfrm>
          <a:prstGeom prst="roundRect">
            <a:avLst>
              <a:gd name="adj" fmla="val 10643"/>
            </a:avLst>
          </a:prstGeom>
          <a:gradFill>
            <a:gsLst>
              <a:gs pos="0">
                <a:srgbClr val="4E7AE2"/>
              </a:gs>
              <a:gs pos="77000">
                <a:srgbClr val="3A2058">
                  <a:alpha val="0"/>
                </a:srgbClr>
              </a:gs>
            </a:gsLst>
            <a:path path="circle">
              <a:fillToRect l="100000" b="100000"/>
            </a:path>
          </a:gradFill>
          <a:ln>
            <a:gradFill flip="none" rotWithShape="1">
              <a:gsLst>
                <a:gs pos="51000">
                  <a:srgbClr val="5584ED"/>
                </a:gs>
                <a:gs pos="0">
                  <a:srgbClr val="B7D6FF"/>
                </a:gs>
                <a:gs pos="100000">
                  <a:srgbClr val="B459A0"/>
                </a:gs>
              </a:gsLst>
              <a:lin ang="8100000" scaled="1"/>
              <a:tileRect/>
            </a:gradFill>
          </a:ln>
          <a:effectLst>
            <a:outerShdw blurRad="508000" dist="1270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510540</xdr:colOff>
      <xdr:row>8</xdr:row>
      <xdr:rowOff>102287</xdr:rowOff>
    </xdr:from>
    <xdr:to>
      <xdr:col>22</xdr:col>
      <xdr:colOff>48508</xdr:colOff>
      <xdr:row>21</xdr:row>
      <xdr:rowOff>10847</xdr:rowOff>
    </xdr:to>
    <xdr:sp macro="" textlink="">
      <xdr:nvSpPr>
        <xdr:cNvPr id="7" name="Rectangle: Rounded Corners 6">
          <a:extLst>
            <a:ext uri="{FF2B5EF4-FFF2-40B4-BE49-F238E27FC236}">
              <a16:creationId xmlns:a16="http://schemas.microsoft.com/office/drawing/2014/main" id="{00FA4F69-017F-4C97-A248-42D903151179}"/>
            </a:ext>
          </a:extLst>
        </xdr:cNvPr>
        <xdr:cNvSpPr/>
      </xdr:nvSpPr>
      <xdr:spPr>
        <a:xfrm>
          <a:off x="10264140" y="1565327"/>
          <a:ext cx="3195568" cy="2286000"/>
        </a:xfrm>
        <a:prstGeom prst="roundRect">
          <a:avLst>
            <a:gd name="adj" fmla="val 12222"/>
          </a:avLst>
        </a:prstGeom>
        <a:gradFill flip="none" rotWithShape="1">
          <a:gsLst>
            <a:gs pos="49000">
              <a:srgbClr val="253274"/>
            </a:gs>
            <a:gs pos="18000">
              <a:srgbClr val="2F4495"/>
            </a:gs>
            <a:gs pos="0">
              <a:srgbClr val="3C56B2"/>
            </a:gs>
            <a:gs pos="100000">
              <a:srgbClr val="1E2255"/>
            </a:gs>
          </a:gsLst>
          <a:lin ang="8100000" scaled="1"/>
          <a:tileRect/>
        </a:gradFill>
        <a:ln w="9525">
          <a:solidFill>
            <a:schemeClr val="bg1"/>
          </a:soli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20</xdr:col>
      <xdr:colOff>78988</xdr:colOff>
      <xdr:row>22</xdr:row>
      <xdr:rowOff>24777</xdr:rowOff>
    </xdr:from>
    <xdr:to>
      <xdr:col>22</xdr:col>
      <xdr:colOff>48508</xdr:colOff>
      <xdr:row>32</xdr:row>
      <xdr:rowOff>70497</xdr:rowOff>
    </xdr:to>
    <xdr:sp macro="" textlink="Processing!L10">
      <xdr:nvSpPr>
        <xdr:cNvPr id="8" name="Rectangle: Rounded Corners 7">
          <a:extLst>
            <a:ext uri="{FF2B5EF4-FFF2-40B4-BE49-F238E27FC236}">
              <a16:creationId xmlns:a16="http://schemas.microsoft.com/office/drawing/2014/main" id="{31127D8F-B545-4020-A712-907C9D8E2D12}"/>
            </a:ext>
          </a:extLst>
        </xdr:cNvPr>
        <xdr:cNvSpPr/>
      </xdr:nvSpPr>
      <xdr:spPr>
        <a:xfrm>
          <a:off x="12270988" y="4048137"/>
          <a:ext cx="1188720" cy="1874520"/>
        </a:xfrm>
        <a:prstGeom prst="roundRect">
          <a:avLst>
            <a:gd name="adj" fmla="val 16940"/>
          </a:avLst>
        </a:prstGeom>
        <a:gradFill flip="none" rotWithShape="1">
          <a:gsLst>
            <a:gs pos="0">
              <a:srgbClr val="232C68"/>
            </a:gs>
            <a:gs pos="100000">
              <a:srgbClr val="1E2255"/>
            </a:gs>
          </a:gsLst>
          <a:lin ang="8100000" scaled="1"/>
          <a:tileRect/>
        </a:gradFill>
        <a:ln w="9525">
          <a:gradFill flip="none" rotWithShape="1">
            <a:gsLst>
              <a:gs pos="0">
                <a:srgbClr val="6476CE"/>
              </a:gs>
              <a:gs pos="76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B141ACD5-C6B6-41AA-B709-DAF022D00E18}" type="TxLink">
            <a:rPr lang="en-US" sz="1200" b="0" i="0" u="none" strike="noStrike" kern="1200">
              <a:solidFill>
                <a:srgbClr val="A2ADBE"/>
              </a:solidFill>
              <a:latin typeface="Aptos Narrow"/>
              <a:ea typeface="+mn-ea"/>
              <a:cs typeface="+mn-cs"/>
            </a:rPr>
            <a:pPr marL="0" indent="0" algn="ctr" defTabSz="914400" rtl="0" eaLnBrk="1" latinLnBrk="0" hangingPunct="1"/>
            <a:t>Top-5 Products</a:t>
          </a:fld>
          <a:endParaRPr lang="ru-RU" sz="1200" b="0" i="0" u="none" strike="noStrike" kern="1200">
            <a:solidFill>
              <a:srgbClr val="A2ADBE"/>
            </a:solidFill>
            <a:latin typeface="Aptos Narrow"/>
            <a:ea typeface="+mn-ea"/>
            <a:cs typeface="+mn-cs"/>
          </a:endParaRPr>
        </a:p>
      </xdr:txBody>
    </xdr:sp>
    <xdr:clientData/>
  </xdr:twoCellAnchor>
  <xdr:twoCellAnchor>
    <xdr:from>
      <xdr:col>16</xdr:col>
      <xdr:colOff>510540</xdr:colOff>
      <xdr:row>22</xdr:row>
      <xdr:rowOff>24777</xdr:rowOff>
    </xdr:from>
    <xdr:to>
      <xdr:col>19</xdr:col>
      <xdr:colOff>510540</xdr:colOff>
      <xdr:row>32</xdr:row>
      <xdr:rowOff>70497</xdr:rowOff>
    </xdr:to>
    <xdr:sp macro="" textlink="Processing!J1">
      <xdr:nvSpPr>
        <xdr:cNvPr id="9" name="Rectangle: Rounded Corners 8">
          <a:extLst>
            <a:ext uri="{FF2B5EF4-FFF2-40B4-BE49-F238E27FC236}">
              <a16:creationId xmlns:a16="http://schemas.microsoft.com/office/drawing/2014/main" id="{3B93179A-5712-4434-AE32-8B1B82B582A0}"/>
            </a:ext>
          </a:extLst>
        </xdr:cNvPr>
        <xdr:cNvSpPr/>
      </xdr:nvSpPr>
      <xdr:spPr>
        <a:xfrm>
          <a:off x="10264140" y="4048137"/>
          <a:ext cx="1828800" cy="1874520"/>
        </a:xfrm>
        <a:prstGeom prst="roundRect">
          <a:avLst>
            <a:gd name="adj" fmla="val 15658"/>
          </a:avLst>
        </a:prstGeom>
        <a:gradFill flip="none" rotWithShape="1">
          <a:gsLst>
            <a:gs pos="10000">
              <a:srgbClr val="1C265C"/>
            </a:gs>
            <a:gs pos="0">
              <a:srgbClr val="232C68"/>
            </a:gs>
            <a:gs pos="100000">
              <a:srgbClr val="1E2255"/>
            </a:gs>
          </a:gsLst>
          <a:lin ang="8100000" scaled="1"/>
          <a:tileRect/>
        </a:gradFill>
        <a:ln w="9525">
          <a:gradFill flip="none" rotWithShape="1">
            <a:gsLst>
              <a:gs pos="0">
                <a:srgbClr val="6476CE"/>
              </a:gs>
              <a:gs pos="73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891643E-D31A-43FE-B4F0-A61FA518E279}" type="TxLink">
            <a:rPr lang="en-US" sz="1200" b="0" i="0" u="none" strike="noStrike" kern="1200">
              <a:solidFill>
                <a:srgbClr val="A2ADBE"/>
              </a:solidFill>
              <a:latin typeface="Aptos Narrow"/>
              <a:ea typeface="+mn-ea"/>
              <a:cs typeface="+mn-cs"/>
            </a:rPr>
            <a:pPr marL="0" indent="0" algn="l" defTabSz="914400" rtl="0" eaLnBrk="1" latinLnBrk="0" hangingPunct="1"/>
            <a:t>Sales Closed</a:t>
          </a:fld>
          <a:endParaRPr lang="ru-RU" sz="1200" b="0" i="0" u="none" strike="noStrike" kern="1200">
            <a:solidFill>
              <a:srgbClr val="A2ADBE"/>
            </a:solidFill>
            <a:latin typeface="Aptos Narrow"/>
            <a:ea typeface="+mn-ea"/>
            <a:cs typeface="+mn-cs"/>
          </a:endParaRPr>
        </a:p>
      </xdr:txBody>
    </xdr:sp>
    <xdr:clientData/>
  </xdr:twoCellAnchor>
  <xdr:twoCellAnchor>
    <xdr:from>
      <xdr:col>12</xdr:col>
      <xdr:colOff>289560</xdr:colOff>
      <xdr:row>19</xdr:row>
      <xdr:rowOff>143699</xdr:rowOff>
    </xdr:from>
    <xdr:to>
      <xdr:col>16</xdr:col>
      <xdr:colOff>320040</xdr:colOff>
      <xdr:row>32</xdr:row>
      <xdr:rowOff>70497</xdr:rowOff>
    </xdr:to>
    <xdr:sp macro="" textlink="Processing!A19">
      <xdr:nvSpPr>
        <xdr:cNvPr id="10" name="Rectangle: Rounded Corners 9">
          <a:extLst>
            <a:ext uri="{FF2B5EF4-FFF2-40B4-BE49-F238E27FC236}">
              <a16:creationId xmlns:a16="http://schemas.microsoft.com/office/drawing/2014/main" id="{E1DA077F-08A9-4D8B-835C-C0E5F2784D7D}"/>
            </a:ext>
          </a:extLst>
        </xdr:cNvPr>
        <xdr:cNvSpPr/>
      </xdr:nvSpPr>
      <xdr:spPr>
        <a:xfrm>
          <a:off x="7604760" y="3618419"/>
          <a:ext cx="2468880" cy="2304238"/>
        </a:xfrm>
        <a:prstGeom prst="roundRect">
          <a:avLst>
            <a:gd name="adj" fmla="val 10585"/>
          </a:avLst>
        </a:prstGeom>
        <a:gradFill flip="none" rotWithShape="1">
          <a:gsLst>
            <a:gs pos="7000">
              <a:srgbClr val="1C265C"/>
            </a:gs>
            <a:gs pos="0">
              <a:srgbClr val="232C68"/>
            </a:gs>
            <a:gs pos="100000">
              <a:srgbClr val="1E2255"/>
            </a:gs>
          </a:gsLst>
          <a:lin ang="8100000" scaled="1"/>
          <a:tileRect/>
        </a:gradFill>
        <a:ln w="9525">
          <a:gradFill flip="none" rotWithShape="1">
            <a:gsLst>
              <a:gs pos="0">
                <a:srgbClr val="6476CE"/>
              </a:gs>
              <a:gs pos="72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1C44FD38-D300-4C1F-906B-FAB458F04708}" type="TxLink">
            <a:rPr lang="en-US" sz="1200" b="0" i="0" u="none" strike="noStrike" kern="1200">
              <a:solidFill>
                <a:srgbClr val="A2ADBE"/>
              </a:solidFill>
              <a:latin typeface="Aptos Narrow"/>
              <a:ea typeface="+mn-ea"/>
              <a:cs typeface="+mn-cs"/>
            </a:rPr>
            <a:pPr marL="0" indent="0" algn="ctr" defTabSz="914400" rtl="0" eaLnBrk="1" latinLnBrk="0" hangingPunct="1"/>
            <a:t>Revenue vs Expenses</a:t>
          </a:fld>
          <a:endParaRPr lang="ru-RU" sz="1200" b="0" i="0" u="none" strike="noStrike" kern="1200">
            <a:solidFill>
              <a:srgbClr val="A2ADBE"/>
            </a:solidFill>
            <a:latin typeface="Aptos Narrow"/>
            <a:ea typeface="+mn-ea"/>
            <a:cs typeface="+mn-cs"/>
          </a:endParaRPr>
        </a:p>
      </xdr:txBody>
    </xdr:sp>
    <xdr:clientData/>
  </xdr:twoCellAnchor>
  <xdr:twoCellAnchor>
    <xdr:from>
      <xdr:col>12</xdr:col>
      <xdr:colOff>289560</xdr:colOff>
      <xdr:row>8</xdr:row>
      <xdr:rowOff>99060</xdr:rowOff>
    </xdr:from>
    <xdr:to>
      <xdr:col>16</xdr:col>
      <xdr:colOff>320040</xdr:colOff>
      <xdr:row>18</xdr:row>
      <xdr:rowOff>144780</xdr:rowOff>
    </xdr:to>
    <xdr:sp macro="" textlink="Processing!A1">
      <xdr:nvSpPr>
        <xdr:cNvPr id="11" name="Rectangle: Rounded Corners 10">
          <a:extLst>
            <a:ext uri="{FF2B5EF4-FFF2-40B4-BE49-F238E27FC236}">
              <a16:creationId xmlns:a16="http://schemas.microsoft.com/office/drawing/2014/main" id="{BC1B7401-D00D-41BE-A789-1C4A892F8040}"/>
            </a:ext>
          </a:extLst>
        </xdr:cNvPr>
        <xdr:cNvSpPr/>
      </xdr:nvSpPr>
      <xdr:spPr>
        <a:xfrm>
          <a:off x="7604760" y="1562100"/>
          <a:ext cx="2468880" cy="1874520"/>
        </a:xfrm>
        <a:prstGeom prst="roundRect">
          <a:avLst>
            <a:gd name="adj" fmla="val 12132"/>
          </a:avLst>
        </a:prstGeom>
        <a:gradFill flip="none" rotWithShape="1">
          <a:gsLst>
            <a:gs pos="0">
              <a:srgbClr val="EE0078"/>
            </a:gs>
            <a:gs pos="73000">
              <a:srgbClr val="6459F9"/>
            </a:gs>
          </a:gsLst>
          <a:lin ang="2700000" scaled="1"/>
          <a:tileRect/>
        </a:gradFill>
        <a:ln w="12700">
          <a:no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03020289-B635-419F-B330-AF3CCE861824}" type="TxLink">
            <a:rPr lang="en-US" sz="1200" b="0" i="0" u="none" strike="noStrike">
              <a:solidFill>
                <a:schemeClr val="bg1"/>
              </a:solidFill>
              <a:latin typeface="Aptos Narrow"/>
            </a:rPr>
            <a:pPr algn="ctr"/>
            <a:t>Investments vs Sales Volume</a:t>
          </a:fld>
          <a:endParaRPr lang="ru-RU" sz="2000">
            <a:solidFill>
              <a:schemeClr val="bg1"/>
            </a:solidFill>
          </a:endParaRPr>
        </a:p>
      </xdr:txBody>
    </xdr:sp>
    <xdr:clientData/>
  </xdr:twoCellAnchor>
  <xdr:twoCellAnchor>
    <xdr:from>
      <xdr:col>16</xdr:col>
      <xdr:colOff>566998</xdr:colOff>
      <xdr:row>23</xdr:row>
      <xdr:rowOff>99060</xdr:rowOff>
    </xdr:from>
    <xdr:to>
      <xdr:col>19</xdr:col>
      <xdr:colOff>476943</xdr:colOff>
      <xdr:row>31</xdr:row>
      <xdr:rowOff>175260</xdr:rowOff>
    </xdr:to>
    <xdr:graphicFrame macro="">
      <xdr:nvGraphicFramePr>
        <xdr:cNvPr id="12" name="Chart 11">
          <a:extLst>
            <a:ext uri="{FF2B5EF4-FFF2-40B4-BE49-F238E27FC236}">
              <a16:creationId xmlns:a16="http://schemas.microsoft.com/office/drawing/2014/main" id="{2D803659-2A97-4E42-9622-8DAE6B0BC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76205</xdr:colOff>
      <xdr:row>24</xdr:row>
      <xdr:rowOff>137379</xdr:rowOff>
    </xdr:from>
    <xdr:to>
      <xdr:col>22</xdr:col>
      <xdr:colOff>60956</xdr:colOff>
      <xdr:row>31</xdr:row>
      <xdr:rowOff>136942</xdr:rowOff>
    </xdr:to>
    <xdr:graphicFrame macro="">
      <xdr:nvGraphicFramePr>
        <xdr:cNvPr id="13" name="Chart 12">
          <a:extLst>
            <a:ext uri="{FF2B5EF4-FFF2-40B4-BE49-F238E27FC236}">
              <a16:creationId xmlns:a16="http://schemas.microsoft.com/office/drawing/2014/main" id="{9F1214FA-048F-4EA8-B179-573FF2613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30677</xdr:colOff>
      <xdr:row>24</xdr:row>
      <xdr:rowOff>154137</xdr:rowOff>
    </xdr:from>
    <xdr:to>
      <xdr:col>22</xdr:col>
      <xdr:colOff>109023</xdr:colOff>
      <xdr:row>31</xdr:row>
      <xdr:rowOff>127803</xdr:rowOff>
    </xdr:to>
    <xdr:graphicFrame macro="">
      <xdr:nvGraphicFramePr>
        <xdr:cNvPr id="14" name="Chart 13">
          <a:extLst>
            <a:ext uri="{FF2B5EF4-FFF2-40B4-BE49-F238E27FC236}">
              <a16:creationId xmlns:a16="http://schemas.microsoft.com/office/drawing/2014/main" id="{3B32C99E-D043-4608-8658-41BADD4C5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61691</xdr:colOff>
      <xdr:row>23</xdr:row>
      <xdr:rowOff>70365</xdr:rowOff>
    </xdr:from>
    <xdr:to>
      <xdr:col>16</xdr:col>
      <xdr:colOff>567659</xdr:colOff>
      <xdr:row>33</xdr:row>
      <xdr:rowOff>38100</xdr:rowOff>
    </xdr:to>
    <xdr:graphicFrame macro="">
      <xdr:nvGraphicFramePr>
        <xdr:cNvPr id="15" name="Chart 14">
          <a:extLst>
            <a:ext uri="{FF2B5EF4-FFF2-40B4-BE49-F238E27FC236}">
              <a16:creationId xmlns:a16="http://schemas.microsoft.com/office/drawing/2014/main" id="{7C289B31-A0B5-4901-B042-A3F8BDDD4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91440</xdr:colOff>
      <xdr:row>9</xdr:row>
      <xdr:rowOff>114300</xdr:rowOff>
    </xdr:from>
    <xdr:to>
      <xdr:col>21</xdr:col>
      <xdr:colOff>395512</xdr:colOff>
      <xdr:row>19</xdr:row>
      <xdr:rowOff>159142</xdr:rowOff>
    </xdr:to>
    <xdr:graphicFrame macro="">
      <xdr:nvGraphicFramePr>
        <xdr:cNvPr id="16" name="Chart 15">
          <a:extLst>
            <a:ext uri="{FF2B5EF4-FFF2-40B4-BE49-F238E27FC236}">
              <a16:creationId xmlns:a16="http://schemas.microsoft.com/office/drawing/2014/main" id="{27CBCD2F-0C14-49FA-AC6E-B2C5BDA26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34290</xdr:colOff>
      <xdr:row>4</xdr:row>
      <xdr:rowOff>99060</xdr:rowOff>
    </xdr:from>
    <xdr:to>
      <xdr:col>16</xdr:col>
      <xdr:colOff>26670</xdr:colOff>
      <xdr:row>8</xdr:row>
      <xdr:rowOff>38100</xdr:rowOff>
    </xdr:to>
    <xdr:sp macro="" textlink="Processing!P1">
      <xdr:nvSpPr>
        <xdr:cNvPr id="17" name="TextBox 16">
          <a:extLst>
            <a:ext uri="{FF2B5EF4-FFF2-40B4-BE49-F238E27FC236}">
              <a16:creationId xmlns:a16="http://schemas.microsoft.com/office/drawing/2014/main" id="{BBBE3E9B-172B-4514-B3E4-3FB3A7F17C15}"/>
            </a:ext>
          </a:extLst>
        </xdr:cNvPr>
        <xdr:cNvSpPr txBox="1"/>
      </xdr:nvSpPr>
      <xdr:spPr>
        <a:xfrm>
          <a:off x="4911090" y="830580"/>
          <a:ext cx="4869180" cy="67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AFA7E3-D982-4DCE-8311-24F164F1C349}" type="TxLink">
            <a:rPr lang="en-US" sz="2800" b="0" i="0" u="none" strike="noStrike">
              <a:solidFill>
                <a:schemeClr val="bg1"/>
              </a:solidFill>
              <a:latin typeface="Aptos Narrow"/>
            </a:rPr>
            <a:pPr algn="ctr"/>
            <a:t>Sales Profitability Dashboard</a:t>
          </a:fld>
          <a:endParaRPr lang="ru-RU" sz="2800">
            <a:solidFill>
              <a:schemeClr val="bg1"/>
            </a:solidFill>
          </a:endParaRPr>
        </a:p>
      </xdr:txBody>
    </xdr:sp>
    <xdr:clientData/>
  </xdr:twoCellAnchor>
  <xdr:twoCellAnchor>
    <xdr:from>
      <xdr:col>12</xdr:col>
      <xdr:colOff>411480</xdr:colOff>
      <xdr:row>10</xdr:row>
      <xdr:rowOff>45720</xdr:rowOff>
    </xdr:from>
    <xdr:to>
      <xdr:col>15</xdr:col>
      <xdr:colOff>0</xdr:colOff>
      <xdr:row>12</xdr:row>
      <xdr:rowOff>7620</xdr:rowOff>
    </xdr:to>
    <xdr:sp macro="" textlink="Processing!B1">
      <xdr:nvSpPr>
        <xdr:cNvPr id="18" name="TextBox 17">
          <a:extLst>
            <a:ext uri="{FF2B5EF4-FFF2-40B4-BE49-F238E27FC236}">
              <a16:creationId xmlns:a16="http://schemas.microsoft.com/office/drawing/2014/main" id="{E5F87513-0CA3-46BB-8700-40DD0FE31D48}"/>
            </a:ext>
          </a:extLst>
        </xdr:cNvPr>
        <xdr:cNvSpPr txBox="1"/>
      </xdr:nvSpPr>
      <xdr:spPr>
        <a:xfrm>
          <a:off x="7726680" y="187452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EBDB900-EE2F-4AA6-B860-CDEF06AE6B57}" type="TxLink">
            <a:rPr lang="en-US" sz="1400" b="0" i="0" u="none" strike="noStrike">
              <a:solidFill>
                <a:schemeClr val="bg1"/>
              </a:solidFill>
              <a:latin typeface="Aptos Narrow"/>
            </a:rPr>
            <a:pPr algn="l"/>
            <a:t>Investments</a:t>
          </a:fld>
          <a:endParaRPr lang="ru-RU" sz="3600">
            <a:solidFill>
              <a:schemeClr val="bg1"/>
            </a:solidFill>
          </a:endParaRPr>
        </a:p>
      </xdr:txBody>
    </xdr:sp>
    <xdr:clientData/>
  </xdr:twoCellAnchor>
  <xdr:twoCellAnchor>
    <xdr:from>
      <xdr:col>12</xdr:col>
      <xdr:colOff>411480</xdr:colOff>
      <xdr:row>14</xdr:row>
      <xdr:rowOff>30480</xdr:rowOff>
    </xdr:from>
    <xdr:to>
      <xdr:col>15</xdr:col>
      <xdr:colOff>114300</xdr:colOff>
      <xdr:row>15</xdr:row>
      <xdr:rowOff>175260</xdr:rowOff>
    </xdr:to>
    <xdr:sp macro="" textlink="Processing!C1">
      <xdr:nvSpPr>
        <xdr:cNvPr id="19" name="TextBox 18">
          <a:extLst>
            <a:ext uri="{FF2B5EF4-FFF2-40B4-BE49-F238E27FC236}">
              <a16:creationId xmlns:a16="http://schemas.microsoft.com/office/drawing/2014/main" id="{619F168C-5F31-43DD-ACC2-1978B8187347}"/>
            </a:ext>
          </a:extLst>
        </xdr:cNvPr>
        <xdr:cNvSpPr txBox="1"/>
      </xdr:nvSpPr>
      <xdr:spPr>
        <a:xfrm>
          <a:off x="7726680" y="259080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F79593B-4C91-4E5C-A7F9-01D05C8FA786}" type="TxLink">
            <a:rPr lang="en-US" sz="1400" b="0" i="0" u="none" strike="noStrike">
              <a:solidFill>
                <a:schemeClr val="bg1"/>
              </a:solidFill>
              <a:latin typeface="Aptos Narrow"/>
              <a:ea typeface="+mn-ea"/>
              <a:cs typeface="+mn-cs"/>
            </a:rPr>
            <a:pPr marL="0" indent="0" algn="l"/>
            <a:t>Sales Volume</a:t>
          </a:fld>
          <a:endParaRPr lang="ru-RU" sz="1400" b="0" i="0" u="none" strike="noStrike">
            <a:solidFill>
              <a:schemeClr val="bg1"/>
            </a:solidFill>
            <a:latin typeface="Aptos Narrow"/>
            <a:ea typeface="+mn-ea"/>
            <a:cs typeface="+mn-cs"/>
          </a:endParaRPr>
        </a:p>
      </xdr:txBody>
    </xdr:sp>
    <xdr:clientData/>
  </xdr:twoCellAnchor>
  <xdr:twoCellAnchor>
    <xdr:from>
      <xdr:col>17</xdr:col>
      <xdr:colOff>68580</xdr:colOff>
      <xdr:row>9</xdr:row>
      <xdr:rowOff>53340</xdr:rowOff>
    </xdr:from>
    <xdr:to>
      <xdr:col>18</xdr:col>
      <xdr:colOff>160020</xdr:colOff>
      <xdr:row>11</xdr:row>
      <xdr:rowOff>15240</xdr:rowOff>
    </xdr:to>
    <xdr:sp macro="" textlink="Processing!J20">
      <xdr:nvSpPr>
        <xdr:cNvPr id="20" name="TextBox 19">
          <a:extLst>
            <a:ext uri="{FF2B5EF4-FFF2-40B4-BE49-F238E27FC236}">
              <a16:creationId xmlns:a16="http://schemas.microsoft.com/office/drawing/2014/main" id="{F05653DA-62B6-4928-BEB9-1D98AAA640B7}"/>
            </a:ext>
          </a:extLst>
        </xdr:cNvPr>
        <xdr:cNvSpPr txBox="1"/>
      </xdr:nvSpPr>
      <xdr:spPr>
        <a:xfrm>
          <a:off x="10431780" y="169926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5EC9B3-2A4A-4AC1-9873-86C91B8549DF}" type="TxLink">
            <a:rPr lang="en-US" sz="1800" b="0" i="0" u="none" strike="noStrike">
              <a:solidFill>
                <a:schemeClr val="bg1"/>
              </a:solidFill>
              <a:latin typeface="Aptos Narrow"/>
              <a:ea typeface="+mn-ea"/>
              <a:cs typeface="+mn-cs"/>
            </a:rPr>
            <a:pPr marL="0" indent="0"/>
            <a:t>ROI</a:t>
          </a:fld>
          <a:endParaRPr lang="ru-RU" sz="1800" b="0" i="0" u="none" strike="noStrike">
            <a:solidFill>
              <a:schemeClr val="bg1"/>
            </a:solidFill>
            <a:latin typeface="Aptos Narrow"/>
            <a:ea typeface="+mn-ea"/>
            <a:cs typeface="+mn-cs"/>
          </a:endParaRPr>
        </a:p>
      </xdr:txBody>
    </xdr:sp>
    <xdr:clientData/>
  </xdr:twoCellAnchor>
  <xdr:twoCellAnchor>
    <xdr:from>
      <xdr:col>17</xdr:col>
      <xdr:colOff>45720</xdr:colOff>
      <xdr:row>16</xdr:row>
      <xdr:rowOff>83820</xdr:rowOff>
    </xdr:from>
    <xdr:to>
      <xdr:col>18</xdr:col>
      <xdr:colOff>137160</xdr:colOff>
      <xdr:row>18</xdr:row>
      <xdr:rowOff>45720</xdr:rowOff>
    </xdr:to>
    <xdr:sp macro="" textlink="Processing!J24">
      <xdr:nvSpPr>
        <xdr:cNvPr id="21" name="TextBox 20">
          <a:extLst>
            <a:ext uri="{FF2B5EF4-FFF2-40B4-BE49-F238E27FC236}">
              <a16:creationId xmlns:a16="http://schemas.microsoft.com/office/drawing/2014/main" id="{6100BE56-160D-4D82-831E-F84BDD9ADD5F}"/>
            </a:ext>
          </a:extLst>
        </xdr:cNvPr>
        <xdr:cNvSpPr txBox="1"/>
      </xdr:nvSpPr>
      <xdr:spPr>
        <a:xfrm>
          <a:off x="10408920" y="300990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75CC82-02FE-4122-8891-3041361035D0}" type="TxLink">
            <a:rPr lang="en-US" sz="1800" b="0" i="0" u="none" strike="noStrike">
              <a:solidFill>
                <a:srgbClr val="A2ADBE"/>
              </a:solidFill>
              <a:latin typeface="Aptos Narrow"/>
              <a:ea typeface="+mn-ea"/>
              <a:cs typeface="+mn-cs"/>
            </a:rPr>
            <a:pPr marL="0" indent="0"/>
            <a:t>Profit</a:t>
          </a:fld>
          <a:endParaRPr lang="ru-RU" sz="1800" b="0" i="0" u="none" strike="noStrike">
            <a:solidFill>
              <a:srgbClr val="A2ADBE"/>
            </a:solidFill>
            <a:latin typeface="Aptos Narrow"/>
            <a:ea typeface="+mn-ea"/>
            <a:cs typeface="+mn-cs"/>
          </a:endParaRPr>
        </a:p>
      </xdr:txBody>
    </xdr:sp>
    <xdr:clientData/>
  </xdr:twoCellAnchor>
  <xdr:twoCellAnchor>
    <xdr:from>
      <xdr:col>19</xdr:col>
      <xdr:colOff>82098</xdr:colOff>
      <xdr:row>13</xdr:row>
      <xdr:rowOff>125616</xdr:rowOff>
    </xdr:from>
    <xdr:to>
      <xdr:col>20</xdr:col>
      <xdr:colOff>405582</xdr:colOff>
      <xdr:row>15</xdr:row>
      <xdr:rowOff>156325</xdr:rowOff>
    </xdr:to>
    <xdr:sp macro="" textlink="Processing!K20">
      <xdr:nvSpPr>
        <xdr:cNvPr id="22" name="TextBox 21">
          <a:extLst>
            <a:ext uri="{FF2B5EF4-FFF2-40B4-BE49-F238E27FC236}">
              <a16:creationId xmlns:a16="http://schemas.microsoft.com/office/drawing/2014/main" id="{AB01AEA8-9C5F-4FE8-97CA-17B6FF9B05E9}"/>
            </a:ext>
          </a:extLst>
        </xdr:cNvPr>
        <xdr:cNvSpPr txBox="1"/>
      </xdr:nvSpPr>
      <xdr:spPr>
        <a:xfrm>
          <a:off x="11664498" y="2503056"/>
          <a:ext cx="93308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DB45C4-5730-4E15-A21C-6CDCEBC2E35C}" type="TxLink">
            <a:rPr lang="en-US" sz="2400" b="0" i="0" u="none" strike="noStrike">
              <a:solidFill>
                <a:schemeClr val="bg1"/>
              </a:solidFill>
              <a:latin typeface="Aptos Narrow"/>
              <a:ea typeface="+mn-ea"/>
              <a:cs typeface="+mn-cs"/>
            </a:rPr>
            <a:pPr marL="0" indent="0" algn="ctr"/>
            <a:t>40%</a:t>
          </a:fld>
          <a:endParaRPr lang="ru-RU" sz="6600" b="0" i="0" u="none" strike="noStrike">
            <a:solidFill>
              <a:schemeClr val="bg1"/>
            </a:solidFill>
            <a:latin typeface="Aptos Narrow"/>
            <a:ea typeface="+mn-ea"/>
            <a:cs typeface="+mn-cs"/>
          </a:endParaRPr>
        </a:p>
      </xdr:txBody>
    </xdr:sp>
    <xdr:clientData/>
  </xdr:twoCellAnchor>
  <xdr:twoCellAnchor>
    <xdr:from>
      <xdr:col>2</xdr:col>
      <xdr:colOff>339090</xdr:colOff>
      <xdr:row>8</xdr:row>
      <xdr:rowOff>15240</xdr:rowOff>
    </xdr:from>
    <xdr:to>
      <xdr:col>11</xdr:col>
      <xdr:colOff>251460</xdr:colOff>
      <xdr:row>10</xdr:row>
      <xdr:rowOff>60960</xdr:rowOff>
    </xdr:to>
    <xdr:sp macro="" textlink="Processing!G19">
      <xdr:nvSpPr>
        <xdr:cNvPr id="23" name="TextBox 22">
          <a:extLst>
            <a:ext uri="{FF2B5EF4-FFF2-40B4-BE49-F238E27FC236}">
              <a16:creationId xmlns:a16="http://schemas.microsoft.com/office/drawing/2014/main" id="{3C42B7F3-94D4-46D0-94A4-248783DA1F5F}"/>
            </a:ext>
          </a:extLst>
        </xdr:cNvPr>
        <xdr:cNvSpPr txBox="1"/>
      </xdr:nvSpPr>
      <xdr:spPr>
        <a:xfrm>
          <a:off x="1558290" y="1478280"/>
          <a:ext cx="539877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02DA414-8EC6-47E9-8CB0-63975FD75BAC}" type="TxLink">
            <a:rPr lang="en-US" sz="2000" b="0" i="0" u="none" strike="noStrike">
              <a:solidFill>
                <a:srgbClr val="A2ADBE"/>
              </a:solidFill>
              <a:latin typeface="Aptos Narrow"/>
              <a:ea typeface="+mn-ea"/>
              <a:cs typeface="+mn-cs"/>
            </a:rPr>
            <a:pPr marL="0" indent="0" algn="l"/>
            <a:t>Return on Investment (ROI)</a:t>
          </a:fld>
          <a:endParaRPr lang="ru-RU" sz="2000" b="0" i="0" u="none" strike="noStrike">
            <a:solidFill>
              <a:srgbClr val="A2ADBE"/>
            </a:solidFill>
            <a:latin typeface="Aptos Narrow"/>
            <a:ea typeface="+mn-ea"/>
            <a:cs typeface="+mn-cs"/>
          </a:endParaRPr>
        </a:p>
      </xdr:txBody>
    </xdr:sp>
    <xdr:clientData/>
  </xdr:twoCellAnchor>
  <xdr:twoCellAnchor editAs="oneCell">
    <xdr:from>
      <xdr:col>2</xdr:col>
      <xdr:colOff>361950</xdr:colOff>
      <xdr:row>4</xdr:row>
      <xdr:rowOff>175261</xdr:rowOff>
    </xdr:from>
    <xdr:to>
      <xdr:col>5</xdr:col>
      <xdr:colOff>361950</xdr:colOff>
      <xdr:row>7</xdr:row>
      <xdr:rowOff>38100</xdr:rowOff>
    </xdr:to>
    <mc:AlternateContent xmlns:mc="http://schemas.openxmlformats.org/markup-compatibility/2006" xmlns:a14="http://schemas.microsoft.com/office/drawing/2010/main">
      <mc:Choice Requires="a14">
        <xdr:graphicFrame macro="">
          <xdr:nvGraphicFramePr>
            <xdr:cNvPr id="24" name="Year 8">
              <a:extLst>
                <a:ext uri="{FF2B5EF4-FFF2-40B4-BE49-F238E27FC236}">
                  <a16:creationId xmlns:a16="http://schemas.microsoft.com/office/drawing/2014/main" id="{331DF116-CBB7-45E3-ABBE-A818CCD3D080}"/>
                </a:ext>
              </a:extLst>
            </xdr:cNvPr>
            <xdr:cNvGraphicFramePr/>
          </xdr:nvGraphicFramePr>
          <xdr:xfrm>
            <a:off x="0" y="0"/>
            <a:ext cx="0" cy="0"/>
          </xdr:xfrm>
          <a:graphic>
            <a:graphicData uri="http://schemas.microsoft.com/office/drawing/2010/slicer">
              <sle:slicer xmlns:sle="http://schemas.microsoft.com/office/drawing/2010/slicer" name="Year 8"/>
            </a:graphicData>
          </a:graphic>
        </xdr:graphicFrame>
      </mc:Choice>
      <mc:Fallback xmlns="">
        <xdr:sp macro="" textlink="">
          <xdr:nvSpPr>
            <xdr:cNvPr id="0" name=""/>
            <xdr:cNvSpPr>
              <a:spLocks noTextEdit="1"/>
            </xdr:cNvSpPr>
          </xdr:nvSpPr>
          <xdr:spPr>
            <a:xfrm>
              <a:off x="1581150" y="906781"/>
              <a:ext cx="1828800" cy="4648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327660</xdr:colOff>
      <xdr:row>5</xdr:row>
      <xdr:rowOff>0</xdr:rowOff>
    </xdr:from>
    <xdr:to>
      <xdr:col>19</xdr:col>
      <xdr:colOff>525780</xdr:colOff>
      <xdr:row>6</xdr:row>
      <xdr:rowOff>144780</xdr:rowOff>
    </xdr:to>
    <xdr:sp macro="" textlink="Processing!P3">
      <xdr:nvSpPr>
        <xdr:cNvPr id="25" name="TextBox 24">
          <a:extLst>
            <a:ext uri="{FF2B5EF4-FFF2-40B4-BE49-F238E27FC236}">
              <a16:creationId xmlns:a16="http://schemas.microsoft.com/office/drawing/2014/main" id="{0FD55E89-B91C-4523-A69C-64DF15F85FF3}"/>
            </a:ext>
          </a:extLst>
        </xdr:cNvPr>
        <xdr:cNvSpPr txBox="1"/>
      </xdr:nvSpPr>
      <xdr:spPr>
        <a:xfrm>
          <a:off x="10690860" y="91440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4BF34E8-F5F7-4FD4-B740-151B677084AF}" type="TxLink">
            <a:rPr lang="en-US" sz="1800" b="0" i="0" u="none" strike="noStrike">
              <a:solidFill>
                <a:schemeClr val="bg1"/>
              </a:solidFill>
              <a:latin typeface="Aptos Narrow"/>
              <a:ea typeface="+mn-ea"/>
              <a:cs typeface="+mn-cs"/>
            </a:rPr>
            <a:pPr marL="0" indent="0" algn="ctr"/>
            <a:t>JANUARY</a:t>
          </a:fld>
          <a:endParaRPr lang="ru-RU" sz="1800" b="0" i="0" u="none" strike="noStrike">
            <a:solidFill>
              <a:schemeClr val="bg1"/>
            </a:solidFill>
            <a:latin typeface="Aptos Narrow"/>
            <a:ea typeface="+mn-ea"/>
            <a:cs typeface="+mn-cs"/>
          </a:endParaRPr>
        </a:p>
      </xdr:txBody>
    </xdr:sp>
    <xdr:clientData/>
  </xdr:twoCellAnchor>
  <xdr:twoCellAnchor>
    <xdr:from>
      <xdr:col>20</xdr:col>
      <xdr:colOff>30480</xdr:colOff>
      <xdr:row>5</xdr:row>
      <xdr:rowOff>0</xdr:rowOff>
    </xdr:from>
    <xdr:to>
      <xdr:col>21</xdr:col>
      <xdr:colOff>152400</xdr:colOff>
      <xdr:row>6</xdr:row>
      <xdr:rowOff>144780</xdr:rowOff>
    </xdr:to>
    <xdr:sp macro="" textlink="Processing!Q3">
      <xdr:nvSpPr>
        <xdr:cNvPr id="26" name="TextBox 25">
          <a:extLst>
            <a:ext uri="{FF2B5EF4-FFF2-40B4-BE49-F238E27FC236}">
              <a16:creationId xmlns:a16="http://schemas.microsoft.com/office/drawing/2014/main" id="{DD65F6BE-3FD0-4FFE-B007-D7C4AAC92FB4}"/>
            </a:ext>
          </a:extLst>
        </xdr:cNvPr>
        <xdr:cNvSpPr txBox="1"/>
      </xdr:nvSpPr>
      <xdr:spPr>
        <a:xfrm>
          <a:off x="12222480" y="914400"/>
          <a:ext cx="7315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1DB63C7-1528-4BD2-A1EF-C64AF007758D}" type="TxLink">
            <a:rPr lang="en-US" sz="1800" b="0" i="0" u="none" strike="noStrike">
              <a:solidFill>
                <a:schemeClr val="bg1"/>
              </a:solidFill>
              <a:latin typeface="Aptos Narrow"/>
              <a:ea typeface="+mn-ea"/>
              <a:cs typeface="+mn-cs"/>
            </a:rPr>
            <a:pPr marL="0" indent="0" algn="l"/>
            <a:t>2024</a:t>
          </a:fld>
          <a:endParaRPr lang="ru-RU" sz="1800" b="0" i="0" u="none" strike="noStrike">
            <a:solidFill>
              <a:schemeClr val="bg1"/>
            </a:solidFill>
            <a:latin typeface="Aptos Narrow"/>
            <a:ea typeface="+mn-ea"/>
            <a:cs typeface="+mn-cs"/>
          </a:endParaRPr>
        </a:p>
      </xdr:txBody>
    </xdr:sp>
    <xdr:clientData/>
  </xdr:twoCellAnchor>
  <xdr:twoCellAnchor>
    <xdr:from>
      <xdr:col>12</xdr:col>
      <xdr:colOff>304800</xdr:colOff>
      <xdr:row>15</xdr:row>
      <xdr:rowOff>160020</xdr:rowOff>
    </xdr:from>
    <xdr:to>
      <xdr:col>15</xdr:col>
      <xdr:colOff>121920</xdr:colOff>
      <xdr:row>17</xdr:row>
      <xdr:rowOff>121920</xdr:rowOff>
    </xdr:to>
    <xdr:sp macro="" textlink="Processing!C14">
      <xdr:nvSpPr>
        <xdr:cNvPr id="27" name="TextBox 26">
          <a:extLst>
            <a:ext uri="{FF2B5EF4-FFF2-40B4-BE49-F238E27FC236}">
              <a16:creationId xmlns:a16="http://schemas.microsoft.com/office/drawing/2014/main" id="{865215BB-A5AD-4719-8930-B0EB74C34FD2}"/>
            </a:ext>
          </a:extLst>
        </xdr:cNvPr>
        <xdr:cNvSpPr txBox="1"/>
      </xdr:nvSpPr>
      <xdr:spPr>
        <a:xfrm>
          <a:off x="7620000" y="290322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77A68F2-9086-49F9-A77A-937410EA236B}" type="TxLink">
            <a:rPr lang="en-US" sz="2400" b="0" i="0" u="none" strike="noStrike">
              <a:solidFill>
                <a:schemeClr val="bg1"/>
              </a:solidFill>
              <a:latin typeface="Aptos Narrow"/>
              <a:ea typeface="+mn-ea"/>
              <a:cs typeface="+mn-cs"/>
            </a:rPr>
            <a:pPr marL="0" indent="0" algn="l"/>
            <a:t> $33,543 </a:t>
          </a:fld>
          <a:endParaRPr lang="ru-RU" sz="2400" b="0" i="0" u="none" strike="noStrike">
            <a:solidFill>
              <a:schemeClr val="bg1"/>
            </a:solidFill>
            <a:latin typeface="Aptos Narrow"/>
            <a:ea typeface="+mn-ea"/>
            <a:cs typeface="+mn-cs"/>
          </a:endParaRPr>
        </a:p>
      </xdr:txBody>
    </xdr:sp>
    <xdr:clientData/>
  </xdr:twoCellAnchor>
  <xdr:twoCellAnchor>
    <xdr:from>
      <xdr:col>12</xdr:col>
      <xdr:colOff>327660</xdr:colOff>
      <xdr:row>12</xdr:row>
      <xdr:rowOff>0</xdr:rowOff>
    </xdr:from>
    <xdr:to>
      <xdr:col>15</xdr:col>
      <xdr:colOff>144780</xdr:colOff>
      <xdr:row>13</xdr:row>
      <xdr:rowOff>144780</xdr:rowOff>
    </xdr:to>
    <xdr:sp macro="" textlink="Processing!B14">
      <xdr:nvSpPr>
        <xdr:cNvPr id="28" name="TextBox 27">
          <a:extLst>
            <a:ext uri="{FF2B5EF4-FFF2-40B4-BE49-F238E27FC236}">
              <a16:creationId xmlns:a16="http://schemas.microsoft.com/office/drawing/2014/main" id="{A62D6D28-3070-4465-8C28-41EE0544B296}"/>
            </a:ext>
          </a:extLst>
        </xdr:cNvPr>
        <xdr:cNvSpPr txBox="1"/>
      </xdr:nvSpPr>
      <xdr:spPr>
        <a:xfrm>
          <a:off x="7642860" y="219456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176861D-A161-4D96-8756-6AC7C156A8BD}" type="TxLink">
            <a:rPr lang="en-US" sz="2400" b="0" i="0" u="none" strike="noStrike">
              <a:solidFill>
                <a:schemeClr val="bg1"/>
              </a:solidFill>
              <a:latin typeface="Aptos Narrow"/>
              <a:ea typeface="+mn-ea"/>
              <a:cs typeface="+mn-cs"/>
            </a:rPr>
            <a:pPr marL="0" indent="0" algn="l"/>
            <a:t> $28,026 </a:t>
          </a:fld>
          <a:endParaRPr lang="ru-RU" sz="2400" b="0" i="0" u="none" strike="noStrike">
            <a:solidFill>
              <a:schemeClr val="bg1"/>
            </a:solidFill>
            <a:latin typeface="Aptos Narrow"/>
            <a:ea typeface="+mn-ea"/>
            <a:cs typeface="+mn-cs"/>
          </a:endParaRPr>
        </a:p>
      </xdr:txBody>
    </xdr:sp>
    <xdr:clientData/>
  </xdr:twoCellAnchor>
  <xdr:twoCellAnchor>
    <xdr:from>
      <xdr:col>17</xdr:col>
      <xdr:colOff>14478</xdr:colOff>
      <xdr:row>18</xdr:row>
      <xdr:rowOff>26556</xdr:rowOff>
    </xdr:from>
    <xdr:to>
      <xdr:col>19</xdr:col>
      <xdr:colOff>320802</xdr:colOff>
      <xdr:row>20</xdr:row>
      <xdr:rowOff>57265</xdr:rowOff>
    </xdr:to>
    <xdr:sp macro="" textlink="Processing!J25">
      <xdr:nvSpPr>
        <xdr:cNvPr id="29" name="TextBox 28">
          <a:extLst>
            <a:ext uri="{FF2B5EF4-FFF2-40B4-BE49-F238E27FC236}">
              <a16:creationId xmlns:a16="http://schemas.microsoft.com/office/drawing/2014/main" id="{787C8839-3826-4758-9E4E-D87FAC7E66E1}"/>
            </a:ext>
          </a:extLst>
        </xdr:cNvPr>
        <xdr:cNvSpPr txBox="1"/>
      </xdr:nvSpPr>
      <xdr:spPr>
        <a:xfrm>
          <a:off x="10377678" y="3318396"/>
          <a:ext cx="152552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E6A133C-5381-4990-B5CC-3867629A9899}" type="TxLink">
            <a:rPr lang="en-US" sz="2000" b="0" i="0" u="none" strike="noStrike">
              <a:solidFill>
                <a:schemeClr val="bg1"/>
              </a:solidFill>
              <a:latin typeface="Aptos Narrow"/>
              <a:ea typeface="+mn-ea"/>
              <a:cs typeface="+mn-cs"/>
            </a:rPr>
            <a:pPr marL="0" indent="0" algn="l"/>
            <a:t> $11,175 </a:t>
          </a:fld>
          <a:endParaRPr lang="ru-RU" sz="2000" b="0" i="0" u="none" strike="noStrike">
            <a:solidFill>
              <a:schemeClr val="bg1"/>
            </a:solidFill>
            <a:latin typeface="Aptos Narrow"/>
            <a:ea typeface="+mn-ea"/>
            <a:cs typeface="+mn-cs"/>
          </a:endParaRPr>
        </a:p>
      </xdr:txBody>
    </xdr:sp>
    <xdr:clientData/>
  </xdr:twoCellAnchor>
  <xdr:twoCellAnchor>
    <xdr:from>
      <xdr:col>14</xdr:col>
      <xdr:colOff>251460</xdr:colOff>
      <xdr:row>10</xdr:row>
      <xdr:rowOff>68580</xdr:rowOff>
    </xdr:from>
    <xdr:to>
      <xdr:col>16</xdr:col>
      <xdr:colOff>449580</xdr:colOff>
      <xdr:row>12</xdr:row>
      <xdr:rowOff>30480</xdr:rowOff>
    </xdr:to>
    <xdr:sp macro="" textlink="Processing!A15">
      <xdr:nvSpPr>
        <xdr:cNvPr id="30" name="TextBox 29">
          <a:extLst>
            <a:ext uri="{FF2B5EF4-FFF2-40B4-BE49-F238E27FC236}">
              <a16:creationId xmlns:a16="http://schemas.microsoft.com/office/drawing/2014/main" id="{CE270A48-F9B9-4FD3-BDDF-FEDA960B6104}"/>
            </a:ext>
          </a:extLst>
        </xdr:cNvPr>
        <xdr:cNvSpPr txBox="1"/>
      </xdr:nvSpPr>
      <xdr:spPr>
        <a:xfrm>
          <a:off x="8785860" y="189738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251460</xdr:colOff>
      <xdr:row>14</xdr:row>
      <xdr:rowOff>45720</xdr:rowOff>
    </xdr:from>
    <xdr:to>
      <xdr:col>16</xdr:col>
      <xdr:colOff>449580</xdr:colOff>
      <xdr:row>16</xdr:row>
      <xdr:rowOff>7620</xdr:rowOff>
    </xdr:to>
    <xdr:sp macro="" textlink="Processing!A15">
      <xdr:nvSpPr>
        <xdr:cNvPr id="31" name="TextBox 30">
          <a:extLst>
            <a:ext uri="{FF2B5EF4-FFF2-40B4-BE49-F238E27FC236}">
              <a16:creationId xmlns:a16="http://schemas.microsoft.com/office/drawing/2014/main" id="{A3E6ED6C-C26C-4BF7-901B-27C1306FBF8F}"/>
            </a:ext>
          </a:extLst>
        </xdr:cNvPr>
        <xdr:cNvSpPr txBox="1"/>
      </xdr:nvSpPr>
      <xdr:spPr>
        <a:xfrm>
          <a:off x="8785860" y="260604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586718</xdr:colOff>
      <xdr:row>11</xdr:row>
      <xdr:rowOff>23695</xdr:rowOff>
    </xdr:from>
    <xdr:to>
      <xdr:col>16</xdr:col>
      <xdr:colOff>53318</xdr:colOff>
      <xdr:row>14</xdr:row>
      <xdr:rowOff>160855</xdr:rowOff>
    </xdr:to>
    <xdr:graphicFrame macro="">
      <xdr:nvGraphicFramePr>
        <xdr:cNvPr id="32" name="Chart 31">
          <a:extLst>
            <a:ext uri="{FF2B5EF4-FFF2-40B4-BE49-F238E27FC236}">
              <a16:creationId xmlns:a16="http://schemas.microsoft.com/office/drawing/2014/main" id="{46E29321-57C4-49EC-89D1-21C12DE3B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586718</xdr:colOff>
      <xdr:row>12</xdr:row>
      <xdr:rowOff>12265</xdr:rowOff>
    </xdr:from>
    <xdr:to>
      <xdr:col>16</xdr:col>
      <xdr:colOff>68558</xdr:colOff>
      <xdr:row>13</xdr:row>
      <xdr:rowOff>157045</xdr:rowOff>
    </xdr:to>
    <xdr:sp macro="" textlink="Processing!B15">
      <xdr:nvSpPr>
        <xdr:cNvPr id="33" name="TextBox 32">
          <a:extLst>
            <a:ext uri="{FF2B5EF4-FFF2-40B4-BE49-F238E27FC236}">
              <a16:creationId xmlns:a16="http://schemas.microsoft.com/office/drawing/2014/main" id="{1C778C15-22FB-40E0-BC58-1C9471E1EA58}"/>
            </a:ext>
          </a:extLst>
        </xdr:cNvPr>
        <xdr:cNvSpPr txBox="1"/>
      </xdr:nvSpPr>
      <xdr:spPr>
        <a:xfrm>
          <a:off x="9121118" y="220682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7864E5-CAD8-4B22-A5F5-C06AFB7D5E57}" type="TxLink">
            <a:rPr lang="en-US" sz="1100" b="0" i="0" u="none" strike="noStrike">
              <a:solidFill>
                <a:schemeClr val="bg1"/>
              </a:solidFill>
              <a:latin typeface="Aptos Narrow"/>
              <a:ea typeface="+mn-ea"/>
              <a:cs typeface="+mn-cs"/>
            </a:rPr>
            <a:pPr marL="0" indent="0" algn="ctr"/>
            <a:t>43%</a:t>
          </a:fld>
          <a:endParaRPr lang="ru-RU" sz="1800" b="0" i="0" u="none" strike="noStrike">
            <a:solidFill>
              <a:schemeClr val="bg1"/>
            </a:solidFill>
            <a:latin typeface="Aptos Narrow"/>
            <a:ea typeface="+mn-ea"/>
            <a:cs typeface="+mn-cs"/>
          </a:endParaRPr>
        </a:p>
      </xdr:txBody>
    </xdr:sp>
    <xdr:clientData/>
  </xdr:twoCellAnchor>
  <xdr:twoCellAnchor>
    <xdr:from>
      <xdr:col>14</xdr:col>
      <xdr:colOff>586718</xdr:colOff>
      <xdr:row>14</xdr:row>
      <xdr:rowOff>168475</xdr:rowOff>
    </xdr:from>
    <xdr:to>
      <xdr:col>16</xdr:col>
      <xdr:colOff>53318</xdr:colOff>
      <xdr:row>18</xdr:row>
      <xdr:rowOff>122755</xdr:rowOff>
    </xdr:to>
    <xdr:graphicFrame macro="">
      <xdr:nvGraphicFramePr>
        <xdr:cNvPr id="34" name="Chart 33">
          <a:extLst>
            <a:ext uri="{FF2B5EF4-FFF2-40B4-BE49-F238E27FC236}">
              <a16:creationId xmlns:a16="http://schemas.microsoft.com/office/drawing/2014/main" id="{A6AD0EC8-0860-4BE4-8DBE-20EDAB70A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586718</xdr:colOff>
      <xdr:row>15</xdr:row>
      <xdr:rowOff>157045</xdr:rowOff>
    </xdr:from>
    <xdr:to>
      <xdr:col>16</xdr:col>
      <xdr:colOff>68558</xdr:colOff>
      <xdr:row>17</xdr:row>
      <xdr:rowOff>118945</xdr:rowOff>
    </xdr:to>
    <xdr:sp macro="" textlink="Processing!C15">
      <xdr:nvSpPr>
        <xdr:cNvPr id="35" name="TextBox 34">
          <a:extLst>
            <a:ext uri="{FF2B5EF4-FFF2-40B4-BE49-F238E27FC236}">
              <a16:creationId xmlns:a16="http://schemas.microsoft.com/office/drawing/2014/main" id="{8890CC62-614C-42DE-B3B2-5D92CA15C864}"/>
            </a:ext>
          </a:extLst>
        </xdr:cNvPr>
        <xdr:cNvSpPr txBox="1"/>
      </xdr:nvSpPr>
      <xdr:spPr>
        <a:xfrm>
          <a:off x="9121118" y="290024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A5132A-5551-4D94-B54D-1E5261C5DB06}" type="TxLink">
            <a:rPr lang="en-US" sz="1100" b="0" i="0" u="none" strike="noStrike">
              <a:solidFill>
                <a:schemeClr val="bg1"/>
              </a:solidFill>
              <a:latin typeface="Aptos Narrow"/>
              <a:ea typeface="+mn-ea"/>
              <a:cs typeface="+mn-cs"/>
            </a:rPr>
            <a:pPr marL="0" indent="0" algn="ctr"/>
            <a:t>52%</a:t>
          </a:fld>
          <a:endParaRPr lang="ru-RU" sz="1800" b="0" i="0" u="none" strike="noStrike">
            <a:solidFill>
              <a:schemeClr val="bg1"/>
            </a:solidFill>
            <a:latin typeface="Aptos Narrow"/>
            <a:ea typeface="+mn-ea"/>
            <a:cs typeface="+mn-cs"/>
          </a:endParaRPr>
        </a:p>
      </xdr:txBody>
    </xdr:sp>
    <xdr:clientData/>
  </xdr:twoCellAnchor>
  <xdr:twoCellAnchor>
    <xdr:from>
      <xdr:col>12</xdr:col>
      <xdr:colOff>388620</xdr:colOff>
      <xdr:row>21</xdr:row>
      <xdr:rowOff>96085</xdr:rowOff>
    </xdr:from>
    <xdr:to>
      <xdr:col>14</xdr:col>
      <xdr:colOff>304778</xdr:colOff>
      <xdr:row>23</xdr:row>
      <xdr:rowOff>57985</xdr:rowOff>
    </xdr:to>
    <xdr:sp macro="" textlink="Processing!B32">
      <xdr:nvSpPr>
        <xdr:cNvPr id="36" name="TextBox 35">
          <a:extLst>
            <a:ext uri="{FF2B5EF4-FFF2-40B4-BE49-F238E27FC236}">
              <a16:creationId xmlns:a16="http://schemas.microsoft.com/office/drawing/2014/main" id="{D27D06A0-C9A0-4CEF-8E2B-2255A6218654}"/>
            </a:ext>
          </a:extLst>
        </xdr:cNvPr>
        <xdr:cNvSpPr txBox="1"/>
      </xdr:nvSpPr>
      <xdr:spPr>
        <a:xfrm>
          <a:off x="770382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E21EC3CC-CA95-428B-98B7-4DE0DF5CF094}" type="TxLink">
            <a:rPr lang="en-US" sz="1400" b="0" i="0" u="none" strike="noStrike">
              <a:gradFill>
                <a:gsLst>
                  <a:gs pos="33000">
                    <a:srgbClr val="00C6D1"/>
                  </a:gs>
                  <a:gs pos="100000">
                    <a:srgbClr val="F2ECFF"/>
                  </a:gs>
                </a:gsLst>
                <a:lin ang="5400000" scaled="1"/>
              </a:gradFill>
              <a:latin typeface="Aptos Narrow"/>
              <a:ea typeface="+mn-ea"/>
              <a:cs typeface="+mn-cs"/>
            </a:rPr>
            <a:pPr marL="0" indent="0" algn="r"/>
            <a:t> $37,835 </a:t>
          </a:fld>
          <a:endParaRPr lang="ru-RU" sz="1400" b="0" i="0" u="none" strike="noStrike">
            <a:gradFill>
              <a:gsLst>
                <a:gs pos="33000">
                  <a:srgbClr val="00C6D1"/>
                </a:gs>
                <a:gs pos="100000">
                  <a:srgbClr val="F2ECFF"/>
                </a:gs>
              </a:gsLst>
              <a:lin ang="5400000" scaled="1"/>
            </a:gradFill>
            <a:latin typeface="Aptos Narrow"/>
            <a:ea typeface="+mn-ea"/>
            <a:cs typeface="+mn-cs"/>
          </a:endParaRPr>
        </a:p>
      </xdr:txBody>
    </xdr:sp>
    <xdr:clientData/>
  </xdr:twoCellAnchor>
  <xdr:twoCellAnchor>
    <xdr:from>
      <xdr:col>14</xdr:col>
      <xdr:colOff>304800</xdr:colOff>
      <xdr:row>21</xdr:row>
      <xdr:rowOff>96085</xdr:rowOff>
    </xdr:from>
    <xdr:to>
      <xdr:col>16</xdr:col>
      <xdr:colOff>220958</xdr:colOff>
      <xdr:row>23</xdr:row>
      <xdr:rowOff>57985</xdr:rowOff>
    </xdr:to>
    <xdr:sp macro="" textlink="Processing!C32">
      <xdr:nvSpPr>
        <xdr:cNvPr id="37" name="TextBox 36">
          <a:extLst>
            <a:ext uri="{FF2B5EF4-FFF2-40B4-BE49-F238E27FC236}">
              <a16:creationId xmlns:a16="http://schemas.microsoft.com/office/drawing/2014/main" id="{387FAED7-DA5F-4D59-8293-F2B75E68C40C}"/>
            </a:ext>
          </a:extLst>
        </xdr:cNvPr>
        <xdr:cNvSpPr txBox="1"/>
      </xdr:nvSpPr>
      <xdr:spPr>
        <a:xfrm>
          <a:off x="883920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B887651-16A7-4B6B-95E2-0C9BA58C3F07}" type="TxLink">
            <a:rPr lang="en-US" sz="1400" b="0" i="0" u="none" strike="noStrike">
              <a:gradFill>
                <a:gsLst>
                  <a:gs pos="0">
                    <a:srgbClr val="F17EEC"/>
                  </a:gs>
                  <a:gs pos="100000">
                    <a:srgbClr val="EE0078"/>
                  </a:gs>
                </a:gsLst>
                <a:lin ang="5400000" scaled="0"/>
              </a:gradFill>
              <a:latin typeface="Aptos Narrow"/>
              <a:ea typeface="+mn-ea"/>
              <a:cs typeface="+mn-cs"/>
            </a:rPr>
            <a:pPr marL="0" indent="0" algn="l"/>
            <a:t> $26,660 </a:t>
          </a:fld>
          <a:endParaRPr lang="ru-RU" sz="1400" b="0" i="0" u="none" strike="noStrike">
            <a:gradFill>
              <a:gsLst>
                <a:gs pos="0">
                  <a:srgbClr val="F17EEC"/>
                </a:gs>
                <a:gs pos="100000">
                  <a:srgbClr val="EE0078"/>
                </a:gs>
              </a:gsLst>
              <a:lin ang="5400000" scaled="0"/>
            </a:gradFill>
            <a:latin typeface="Aptos Narrow"/>
            <a:ea typeface="+mn-ea"/>
            <a:cs typeface="+mn-cs"/>
          </a:endParaRPr>
        </a:p>
      </xdr:txBody>
    </xdr:sp>
    <xdr:clientData/>
  </xdr:twoCellAnchor>
  <xdr:twoCellAnchor>
    <xdr:from>
      <xdr:col>18</xdr:col>
      <xdr:colOff>236220</xdr:colOff>
      <xdr:row>22</xdr:row>
      <xdr:rowOff>83820</xdr:rowOff>
    </xdr:from>
    <xdr:to>
      <xdr:col>19</xdr:col>
      <xdr:colOff>403860</xdr:colOff>
      <xdr:row>24</xdr:row>
      <xdr:rowOff>45720</xdr:rowOff>
    </xdr:to>
    <xdr:sp macro="" textlink="Processing!K7">
      <xdr:nvSpPr>
        <xdr:cNvPr id="39" name="TextBox 38">
          <a:extLst>
            <a:ext uri="{FF2B5EF4-FFF2-40B4-BE49-F238E27FC236}">
              <a16:creationId xmlns:a16="http://schemas.microsoft.com/office/drawing/2014/main" id="{2DCC98C1-F824-4014-9098-8EB9EAA9715C}"/>
            </a:ext>
          </a:extLst>
        </xdr:cNvPr>
        <xdr:cNvSpPr txBox="1"/>
      </xdr:nvSpPr>
      <xdr:spPr>
        <a:xfrm>
          <a:off x="11209020" y="4107180"/>
          <a:ext cx="7772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95F57CC-C864-4243-8643-2B753CFD8A66}" type="TxLink">
            <a:rPr lang="en-US" sz="1400" b="0" i="0" u="none" strike="noStrike">
              <a:solidFill>
                <a:schemeClr val="bg1"/>
              </a:solidFill>
              <a:latin typeface="Aptos Narrow"/>
              <a:ea typeface="+mn-ea"/>
              <a:cs typeface="+mn-cs"/>
            </a:rPr>
            <a:pPr marL="0" indent="0" algn="r"/>
            <a:t> 15 366</a:t>
          </a:fld>
          <a:endParaRPr lang="ru-RU" sz="3200" b="0" i="0" u="none" strike="noStrike">
            <a:solidFill>
              <a:schemeClr val="bg1"/>
            </a:solidFill>
            <a:latin typeface="Aptos Narrow"/>
            <a:ea typeface="+mn-ea"/>
            <a:cs typeface="+mn-cs"/>
          </a:endParaRPr>
        </a:p>
      </xdr:txBody>
    </xdr:sp>
    <xdr:clientData/>
  </xdr:twoCellAnchor>
  <xdr:twoCellAnchor>
    <xdr:from>
      <xdr:col>1</xdr:col>
      <xdr:colOff>533400</xdr:colOff>
      <xdr:row>15</xdr:row>
      <xdr:rowOff>175260</xdr:rowOff>
    </xdr:from>
    <xdr:to>
      <xdr:col>11</xdr:col>
      <xdr:colOff>426720</xdr:colOff>
      <xdr:row>31</xdr:row>
      <xdr:rowOff>65532</xdr:rowOff>
    </xdr:to>
    <xdr:graphicFrame macro="">
      <xdr:nvGraphicFramePr>
        <xdr:cNvPr id="58" name="Chart 57">
          <a:extLst>
            <a:ext uri="{FF2B5EF4-FFF2-40B4-BE49-F238E27FC236}">
              <a16:creationId xmlns:a16="http://schemas.microsoft.com/office/drawing/2014/main" id="{1A042EF8-C033-455D-8B09-796C3861B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165918</xdr:colOff>
      <xdr:row>8</xdr:row>
      <xdr:rowOff>11316</xdr:rowOff>
    </xdr:from>
    <xdr:to>
      <xdr:col>8</xdr:col>
      <xdr:colOff>489402</xdr:colOff>
      <xdr:row>10</xdr:row>
      <xdr:rowOff>42025</xdr:rowOff>
    </xdr:to>
    <xdr:sp macro="" textlink="Processing!K20">
      <xdr:nvSpPr>
        <xdr:cNvPr id="38" name="TextBox 37">
          <a:extLst>
            <a:ext uri="{FF2B5EF4-FFF2-40B4-BE49-F238E27FC236}">
              <a16:creationId xmlns:a16="http://schemas.microsoft.com/office/drawing/2014/main" id="{041FE072-5718-7375-16BC-25C4F11BF49A}"/>
            </a:ext>
          </a:extLst>
        </xdr:cNvPr>
        <xdr:cNvSpPr txBox="1"/>
      </xdr:nvSpPr>
      <xdr:spPr>
        <a:xfrm>
          <a:off x="4433118" y="1474356"/>
          <a:ext cx="93308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73E5E43-1905-494A-8EE9-C06256600801}" type="TxLink">
            <a:rPr lang="en-US" sz="2400" b="0" i="0" u="none" strike="noStrike">
              <a:solidFill>
                <a:schemeClr val="bg1"/>
              </a:solidFill>
              <a:latin typeface="Aptos Narrow"/>
              <a:ea typeface="+mn-ea"/>
              <a:cs typeface="+mn-cs"/>
            </a:rPr>
            <a:pPr marL="0" indent="0" algn="ctr"/>
            <a:t>40%</a:t>
          </a:fld>
          <a:endParaRPr lang="ru-RU" sz="2400" b="0" i="0" u="none" strike="noStrike">
            <a:solidFill>
              <a:schemeClr val="bg1"/>
            </a:solidFill>
            <a:latin typeface="Aptos Narrow"/>
            <a:ea typeface="+mn-ea"/>
            <a:cs typeface="+mn-cs"/>
          </a:endParaRPr>
        </a:p>
      </xdr:txBody>
    </xdr:sp>
    <xdr:clientData/>
  </xdr:twoCellAnchor>
  <xdr:twoCellAnchor>
    <xdr:from>
      <xdr:col>12</xdr:col>
      <xdr:colOff>266700</xdr:colOff>
      <xdr:row>8</xdr:row>
      <xdr:rowOff>83820</xdr:rowOff>
    </xdr:from>
    <xdr:to>
      <xdr:col>16</xdr:col>
      <xdr:colOff>304800</xdr:colOff>
      <xdr:row>18</xdr:row>
      <xdr:rowOff>83820</xdr:rowOff>
    </xdr:to>
    <xdr:sp macro="" textlink="">
      <xdr:nvSpPr>
        <xdr:cNvPr id="40" name="Rectangle: Rounded Corners 39">
          <a:hlinkClick xmlns:r="http://schemas.openxmlformats.org/officeDocument/2006/relationships" r:id="rId9"/>
          <a:extLst>
            <a:ext uri="{FF2B5EF4-FFF2-40B4-BE49-F238E27FC236}">
              <a16:creationId xmlns:a16="http://schemas.microsoft.com/office/drawing/2014/main" id="{66E17417-B402-4F7A-A8C9-F2805CE9A57C}"/>
            </a:ext>
          </a:extLst>
        </xdr:cNvPr>
        <xdr:cNvSpPr/>
      </xdr:nvSpPr>
      <xdr:spPr>
        <a:xfrm>
          <a:off x="7581900" y="1546860"/>
          <a:ext cx="247650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266700</xdr:colOff>
      <xdr:row>19</xdr:row>
      <xdr:rowOff>167640</xdr:rowOff>
    </xdr:from>
    <xdr:to>
      <xdr:col>16</xdr:col>
      <xdr:colOff>304800</xdr:colOff>
      <xdr:row>32</xdr:row>
      <xdr:rowOff>121920</xdr:rowOff>
    </xdr:to>
    <xdr:sp macro="" textlink="">
      <xdr:nvSpPr>
        <xdr:cNvPr id="42" name="Rectangle: Rounded Corners 41">
          <a:hlinkClick xmlns:r="http://schemas.openxmlformats.org/officeDocument/2006/relationships" r:id="rId10"/>
          <a:extLst>
            <a:ext uri="{FF2B5EF4-FFF2-40B4-BE49-F238E27FC236}">
              <a16:creationId xmlns:a16="http://schemas.microsoft.com/office/drawing/2014/main" id="{8CE25A28-B6DF-43C7-8E1C-C37D71324402}"/>
            </a:ext>
          </a:extLst>
        </xdr:cNvPr>
        <xdr:cNvSpPr/>
      </xdr:nvSpPr>
      <xdr:spPr>
        <a:xfrm>
          <a:off x="7581900" y="3642360"/>
          <a:ext cx="2476500" cy="2331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502920</xdr:colOff>
      <xdr:row>8</xdr:row>
      <xdr:rowOff>83820</xdr:rowOff>
    </xdr:from>
    <xdr:to>
      <xdr:col>22</xdr:col>
      <xdr:colOff>15240</xdr:colOff>
      <xdr:row>21</xdr:row>
      <xdr:rowOff>53340</xdr:rowOff>
    </xdr:to>
    <xdr:sp macro="" textlink="">
      <xdr:nvSpPr>
        <xdr:cNvPr id="43" name="Rectangle: Rounded Corners 42">
          <a:hlinkClick xmlns:r="http://schemas.openxmlformats.org/officeDocument/2006/relationships" r:id="rId11"/>
          <a:extLst>
            <a:ext uri="{FF2B5EF4-FFF2-40B4-BE49-F238E27FC236}">
              <a16:creationId xmlns:a16="http://schemas.microsoft.com/office/drawing/2014/main" id="{F2EF4BA0-3781-47E6-B5A7-2808DB724A66}"/>
            </a:ext>
          </a:extLst>
        </xdr:cNvPr>
        <xdr:cNvSpPr/>
      </xdr:nvSpPr>
      <xdr:spPr>
        <a:xfrm>
          <a:off x="10256520" y="1546860"/>
          <a:ext cx="3169920" cy="23469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480060</xdr:colOff>
      <xdr:row>22</xdr:row>
      <xdr:rowOff>0</xdr:rowOff>
    </xdr:from>
    <xdr:to>
      <xdr:col>19</xdr:col>
      <xdr:colOff>502920</xdr:colOff>
      <xdr:row>32</xdr:row>
      <xdr:rowOff>121920</xdr:rowOff>
    </xdr:to>
    <xdr:sp macro="" textlink="">
      <xdr:nvSpPr>
        <xdr:cNvPr id="44" name="Rectangle: Rounded Corners 43">
          <a:hlinkClick xmlns:r="http://schemas.openxmlformats.org/officeDocument/2006/relationships" r:id="rId12"/>
          <a:extLst>
            <a:ext uri="{FF2B5EF4-FFF2-40B4-BE49-F238E27FC236}">
              <a16:creationId xmlns:a16="http://schemas.microsoft.com/office/drawing/2014/main" id="{5A7A70E4-A632-4C83-AB63-21A0F968573F}"/>
            </a:ext>
          </a:extLst>
        </xdr:cNvPr>
        <xdr:cNvSpPr/>
      </xdr:nvSpPr>
      <xdr:spPr>
        <a:xfrm>
          <a:off x="10233660" y="4023360"/>
          <a:ext cx="1851660" cy="1950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15240</xdr:colOff>
      <xdr:row>22</xdr:row>
      <xdr:rowOff>0</xdr:rowOff>
    </xdr:from>
    <xdr:to>
      <xdr:col>22</xdr:col>
      <xdr:colOff>60960</xdr:colOff>
      <xdr:row>32</xdr:row>
      <xdr:rowOff>121920</xdr:rowOff>
    </xdr:to>
    <xdr:sp macro="" textlink="">
      <xdr:nvSpPr>
        <xdr:cNvPr id="45" name="Rectangle: Rounded Corners 44">
          <a:hlinkClick xmlns:r="http://schemas.openxmlformats.org/officeDocument/2006/relationships" r:id="rId13"/>
          <a:extLst>
            <a:ext uri="{FF2B5EF4-FFF2-40B4-BE49-F238E27FC236}">
              <a16:creationId xmlns:a16="http://schemas.microsoft.com/office/drawing/2014/main" id="{6933EB90-6A00-45BE-88CE-FF370B1432E7}"/>
            </a:ext>
          </a:extLst>
        </xdr:cNvPr>
        <xdr:cNvSpPr/>
      </xdr:nvSpPr>
      <xdr:spPr>
        <a:xfrm>
          <a:off x="12207240" y="4023360"/>
          <a:ext cx="1264920" cy="1950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0</xdr:col>
      <xdr:colOff>0</xdr:colOff>
      <xdr:row>0</xdr:row>
      <xdr:rowOff>0</xdr:rowOff>
    </xdr:from>
    <xdr:to>
      <xdr:col>0</xdr:col>
      <xdr:colOff>274320</xdr:colOff>
      <xdr:row>1</xdr:row>
      <xdr:rowOff>91440</xdr:rowOff>
    </xdr:to>
    <xdr:pic>
      <xdr:nvPicPr>
        <xdr:cNvPr id="46" name="Graphic 45" descr="Sun with solid fill">
          <a:hlinkClick xmlns:r="http://schemas.openxmlformats.org/officeDocument/2006/relationships" r:id="rId14"/>
          <a:extLst>
            <a:ext uri="{FF2B5EF4-FFF2-40B4-BE49-F238E27FC236}">
              <a16:creationId xmlns:a16="http://schemas.microsoft.com/office/drawing/2014/main" id="{C9D21509-E0CD-40EF-93B3-38497297ADE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0" y="0"/>
          <a:ext cx="274320" cy="274320"/>
        </a:xfrm>
        <a:prstGeom prst="rect">
          <a:avLst/>
        </a:prstGeom>
      </xdr:spPr>
    </xdr:pic>
    <xdr:clientData/>
  </xdr:twoCellAnchor>
  <xdr:twoCellAnchor editAs="oneCell">
    <xdr:from>
      <xdr:col>2</xdr:col>
      <xdr:colOff>304800</xdr:colOff>
      <xdr:row>30</xdr:row>
      <xdr:rowOff>91440</xdr:rowOff>
    </xdr:from>
    <xdr:to>
      <xdr:col>11</xdr:col>
      <xdr:colOff>396240</xdr:colOff>
      <xdr:row>32</xdr:row>
      <xdr:rowOff>155448</xdr:rowOff>
    </xdr:to>
    <mc:AlternateContent xmlns:mc="http://schemas.openxmlformats.org/markup-compatibility/2006" xmlns:a14="http://schemas.microsoft.com/office/drawing/2010/main">
      <mc:Choice Requires="a14">
        <xdr:graphicFrame macro="">
          <xdr:nvGraphicFramePr>
            <xdr:cNvPr id="41" name="Month 8">
              <a:extLst>
                <a:ext uri="{FF2B5EF4-FFF2-40B4-BE49-F238E27FC236}">
                  <a16:creationId xmlns:a16="http://schemas.microsoft.com/office/drawing/2014/main" id="{51166F0A-B66D-4D0B-A56D-9C48DF1EE1AD}"/>
                </a:ext>
              </a:extLst>
            </xdr:cNvPr>
            <xdr:cNvGraphicFramePr/>
          </xdr:nvGraphicFramePr>
          <xdr:xfrm>
            <a:off x="0" y="0"/>
            <a:ext cx="0" cy="0"/>
          </xdr:xfrm>
          <a:graphic>
            <a:graphicData uri="http://schemas.microsoft.com/office/drawing/2010/slicer">
              <sle:slicer xmlns:sle="http://schemas.microsoft.com/office/drawing/2010/slicer" name="Month 8"/>
            </a:graphicData>
          </a:graphic>
        </xdr:graphicFrame>
      </mc:Choice>
      <mc:Fallback xmlns="">
        <xdr:sp macro="" textlink="">
          <xdr:nvSpPr>
            <xdr:cNvPr id="0" name=""/>
            <xdr:cNvSpPr>
              <a:spLocks noTextEdit="1"/>
            </xdr:cNvSpPr>
          </xdr:nvSpPr>
          <xdr:spPr>
            <a:xfrm>
              <a:off x="1524000" y="5577840"/>
              <a:ext cx="55778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7620</xdr:colOff>
      <xdr:row>0</xdr:row>
      <xdr:rowOff>0</xdr:rowOff>
    </xdr:from>
    <xdr:to>
      <xdr:col>1</xdr:col>
      <xdr:colOff>106680</xdr:colOff>
      <xdr:row>1</xdr:row>
      <xdr:rowOff>99060</xdr:rowOff>
    </xdr:to>
    <xdr:sp macro="" textlink="">
      <xdr:nvSpPr>
        <xdr:cNvPr id="53" name="Rectangle 52">
          <a:extLst>
            <a:ext uri="{FF2B5EF4-FFF2-40B4-BE49-F238E27FC236}">
              <a16:creationId xmlns:a16="http://schemas.microsoft.com/office/drawing/2014/main" id="{A06C0925-2FAC-B56B-D113-DB1FB91ECD9E}"/>
            </a:ext>
          </a:extLst>
        </xdr:cNvPr>
        <xdr:cNvSpPr/>
      </xdr:nvSpPr>
      <xdr:spPr>
        <a:xfrm>
          <a:off x="7620" y="0"/>
          <a:ext cx="708660" cy="2819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205740</xdr:colOff>
      <xdr:row>3</xdr:row>
      <xdr:rowOff>91440</xdr:rowOff>
    </xdr:from>
    <xdr:to>
      <xdr:col>22</xdr:col>
      <xdr:colOff>419100</xdr:colOff>
      <xdr:row>35</xdr:row>
      <xdr:rowOff>7034</xdr:rowOff>
    </xdr:to>
    <xdr:grpSp>
      <xdr:nvGrpSpPr>
        <xdr:cNvPr id="42" name="Group 41">
          <a:extLst>
            <a:ext uri="{FF2B5EF4-FFF2-40B4-BE49-F238E27FC236}">
              <a16:creationId xmlns:a16="http://schemas.microsoft.com/office/drawing/2014/main" id="{194B4EC5-0F47-4063-A20A-627E4FFC4C75}"/>
            </a:ext>
          </a:extLst>
        </xdr:cNvPr>
        <xdr:cNvGrpSpPr/>
      </xdr:nvGrpSpPr>
      <xdr:grpSpPr>
        <a:xfrm>
          <a:off x="815340" y="662940"/>
          <a:ext cx="13014960" cy="6011594"/>
          <a:chOff x="2438400" y="7132320"/>
          <a:chExt cx="13014960" cy="5767754"/>
        </a:xfrm>
      </xdr:grpSpPr>
      <xdr:sp macro="" textlink="">
        <xdr:nvSpPr>
          <xdr:cNvPr id="43" name="Rectangle: Rounded Corners 42">
            <a:extLst>
              <a:ext uri="{FF2B5EF4-FFF2-40B4-BE49-F238E27FC236}">
                <a16:creationId xmlns:a16="http://schemas.microsoft.com/office/drawing/2014/main" id="{43A8CADC-042C-5DE6-B320-EE20E3FD1A90}"/>
              </a:ext>
            </a:extLst>
          </xdr:cNvPr>
          <xdr:cNvSpPr/>
        </xdr:nvSpPr>
        <xdr:spPr>
          <a:xfrm>
            <a:off x="2438400" y="7132320"/>
            <a:ext cx="13014960" cy="5767754"/>
          </a:xfrm>
          <a:prstGeom prst="roundRect">
            <a:avLst>
              <a:gd name="adj" fmla="val 10643"/>
            </a:avLst>
          </a:prstGeom>
          <a:solidFill>
            <a:schemeClr val="bg1"/>
          </a:solidFill>
          <a:ln>
            <a:noFill/>
          </a:ln>
          <a:effectLst>
            <a:outerShdw blurRad="381000" dist="127000" dir="4200000" algn="tl" rotWithShape="0">
              <a:srgbClr val="006FF6">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Rectangle: Rounded Corners 43">
            <a:extLst>
              <a:ext uri="{FF2B5EF4-FFF2-40B4-BE49-F238E27FC236}">
                <a16:creationId xmlns:a16="http://schemas.microsoft.com/office/drawing/2014/main" id="{E24B7965-CE73-2135-918C-04183C5EB868}"/>
              </a:ext>
            </a:extLst>
          </xdr:cNvPr>
          <xdr:cNvSpPr/>
        </xdr:nvSpPr>
        <xdr:spPr>
          <a:xfrm>
            <a:off x="2438400" y="7132320"/>
            <a:ext cx="13014960" cy="5767754"/>
          </a:xfrm>
          <a:prstGeom prst="roundRect">
            <a:avLst>
              <a:gd name="adj" fmla="val 10643"/>
            </a:avLst>
          </a:prstGeom>
          <a:solidFill>
            <a:schemeClr val="bg1"/>
          </a:solidFill>
          <a:ln>
            <a:noFill/>
          </a:ln>
          <a:effectLst>
            <a:outerShdw blurRad="584200" dist="254000" dir="8100000" algn="tr" rotWithShape="0">
              <a:srgbClr val="B814B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510540</xdr:colOff>
      <xdr:row>8</xdr:row>
      <xdr:rowOff>102287</xdr:rowOff>
    </xdr:from>
    <xdr:to>
      <xdr:col>22</xdr:col>
      <xdr:colOff>48508</xdr:colOff>
      <xdr:row>21</xdr:row>
      <xdr:rowOff>10847</xdr:rowOff>
    </xdr:to>
    <xdr:sp macro="" textlink="">
      <xdr:nvSpPr>
        <xdr:cNvPr id="7" name="Rectangle: Rounded Corners 6">
          <a:extLst>
            <a:ext uri="{FF2B5EF4-FFF2-40B4-BE49-F238E27FC236}">
              <a16:creationId xmlns:a16="http://schemas.microsoft.com/office/drawing/2014/main" id="{8FBC1A31-5CD9-41E0-B2E2-672F8D3743A7}"/>
            </a:ext>
          </a:extLst>
        </xdr:cNvPr>
        <xdr:cNvSpPr/>
      </xdr:nvSpPr>
      <xdr:spPr>
        <a:xfrm>
          <a:off x="10264140" y="1565327"/>
          <a:ext cx="3195568" cy="2286000"/>
        </a:xfrm>
        <a:prstGeom prst="roundRect">
          <a:avLst>
            <a:gd name="adj" fmla="val 12222"/>
          </a:avLst>
        </a:prstGeom>
        <a:solidFill>
          <a:schemeClr val="bg1"/>
        </a:solidFill>
        <a:ln w="9525">
          <a:solidFill>
            <a:srgbClr val="00C6D1"/>
          </a:solid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200" b="0" i="0" u="none" strike="noStrike" kern="1200">
            <a:solidFill>
              <a:srgbClr val="A2ADBE"/>
            </a:solidFill>
            <a:latin typeface="Aptos Narrow"/>
            <a:ea typeface="+mn-ea"/>
            <a:cs typeface="+mn-cs"/>
          </a:endParaRPr>
        </a:p>
      </xdr:txBody>
    </xdr:sp>
    <xdr:clientData/>
  </xdr:twoCellAnchor>
  <xdr:twoCellAnchor>
    <xdr:from>
      <xdr:col>20</xdr:col>
      <xdr:colOff>78988</xdr:colOff>
      <xdr:row>22</xdr:row>
      <xdr:rowOff>24777</xdr:rowOff>
    </xdr:from>
    <xdr:to>
      <xdr:col>22</xdr:col>
      <xdr:colOff>48508</xdr:colOff>
      <xdr:row>32</xdr:row>
      <xdr:rowOff>70497</xdr:rowOff>
    </xdr:to>
    <xdr:sp macro="" textlink="Processing!L10">
      <xdr:nvSpPr>
        <xdr:cNvPr id="8" name="Rectangle: Rounded Corners 7">
          <a:extLst>
            <a:ext uri="{FF2B5EF4-FFF2-40B4-BE49-F238E27FC236}">
              <a16:creationId xmlns:a16="http://schemas.microsoft.com/office/drawing/2014/main" id="{D927D7C0-8349-42B7-B3FD-48DCC74E9861}"/>
            </a:ext>
          </a:extLst>
        </xdr:cNvPr>
        <xdr:cNvSpPr/>
      </xdr:nvSpPr>
      <xdr:spPr>
        <a:xfrm>
          <a:off x="12270988" y="4048137"/>
          <a:ext cx="1188720" cy="1874520"/>
        </a:xfrm>
        <a:prstGeom prst="roundRect">
          <a:avLst>
            <a:gd name="adj" fmla="val 16940"/>
          </a:avLst>
        </a:prstGeom>
        <a:solidFill>
          <a:schemeClr val="bg1"/>
        </a:solidFill>
        <a:ln w="9525">
          <a:no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B141ACD5-C6B6-41AA-B709-DAF022D00E18}" type="TxLink">
            <a:rPr lang="en-US" sz="1200" b="0" i="0" u="none" strike="noStrike" kern="1200">
              <a:solidFill>
                <a:srgbClr val="A2ADBE"/>
              </a:solidFill>
              <a:latin typeface="Aptos Narrow"/>
              <a:ea typeface="+mn-ea"/>
              <a:cs typeface="+mn-cs"/>
            </a:rPr>
            <a:pPr marL="0" indent="0" algn="ctr" defTabSz="914400" rtl="0" eaLnBrk="1" latinLnBrk="0" hangingPunct="1"/>
            <a:t>Top-5 Products</a:t>
          </a:fld>
          <a:endParaRPr lang="ru-RU" sz="1200" b="0" i="0" u="none" strike="noStrike" kern="1200">
            <a:solidFill>
              <a:srgbClr val="A2ADBE"/>
            </a:solidFill>
            <a:latin typeface="Aptos Narrow"/>
            <a:ea typeface="+mn-ea"/>
            <a:cs typeface="+mn-cs"/>
          </a:endParaRPr>
        </a:p>
      </xdr:txBody>
    </xdr:sp>
    <xdr:clientData/>
  </xdr:twoCellAnchor>
  <xdr:twoCellAnchor>
    <xdr:from>
      <xdr:col>16</xdr:col>
      <xdr:colOff>510540</xdr:colOff>
      <xdr:row>22</xdr:row>
      <xdr:rowOff>24777</xdr:rowOff>
    </xdr:from>
    <xdr:to>
      <xdr:col>19</xdr:col>
      <xdr:colOff>510540</xdr:colOff>
      <xdr:row>32</xdr:row>
      <xdr:rowOff>70497</xdr:rowOff>
    </xdr:to>
    <xdr:sp macro="" textlink="Processing!J1">
      <xdr:nvSpPr>
        <xdr:cNvPr id="9" name="Rectangle: Rounded Corners 8">
          <a:extLst>
            <a:ext uri="{FF2B5EF4-FFF2-40B4-BE49-F238E27FC236}">
              <a16:creationId xmlns:a16="http://schemas.microsoft.com/office/drawing/2014/main" id="{51F1E3A9-E8A0-4166-91BD-97E34FED007C}"/>
            </a:ext>
          </a:extLst>
        </xdr:cNvPr>
        <xdr:cNvSpPr/>
      </xdr:nvSpPr>
      <xdr:spPr>
        <a:xfrm>
          <a:off x="10264140" y="4048137"/>
          <a:ext cx="1828800" cy="1874520"/>
        </a:xfrm>
        <a:prstGeom prst="roundRect">
          <a:avLst>
            <a:gd name="adj" fmla="val 15658"/>
          </a:avLst>
        </a:prstGeom>
        <a:solidFill>
          <a:schemeClr val="bg1"/>
        </a:solidFill>
        <a:ln w="9525">
          <a:no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891643E-D31A-43FE-B4F0-A61FA518E279}" type="TxLink">
            <a:rPr lang="en-US" sz="1200" b="0" i="0" u="none" strike="noStrike" kern="1200">
              <a:solidFill>
                <a:srgbClr val="A2ADBE"/>
              </a:solidFill>
              <a:latin typeface="Aptos Narrow"/>
              <a:ea typeface="+mn-ea"/>
              <a:cs typeface="+mn-cs"/>
            </a:rPr>
            <a:pPr marL="0" indent="0" algn="l" defTabSz="914400" rtl="0" eaLnBrk="1" latinLnBrk="0" hangingPunct="1"/>
            <a:t>Sales Closed</a:t>
          </a:fld>
          <a:endParaRPr lang="ru-RU" sz="1200" b="0" i="0" u="none" strike="noStrike" kern="1200">
            <a:solidFill>
              <a:srgbClr val="A2ADBE"/>
            </a:solidFill>
            <a:latin typeface="Aptos Narrow"/>
            <a:ea typeface="+mn-ea"/>
            <a:cs typeface="+mn-cs"/>
          </a:endParaRPr>
        </a:p>
      </xdr:txBody>
    </xdr:sp>
    <xdr:clientData/>
  </xdr:twoCellAnchor>
  <xdr:twoCellAnchor>
    <xdr:from>
      <xdr:col>12</xdr:col>
      <xdr:colOff>289560</xdr:colOff>
      <xdr:row>19</xdr:row>
      <xdr:rowOff>143699</xdr:rowOff>
    </xdr:from>
    <xdr:to>
      <xdr:col>16</xdr:col>
      <xdr:colOff>320040</xdr:colOff>
      <xdr:row>32</xdr:row>
      <xdr:rowOff>70497</xdr:rowOff>
    </xdr:to>
    <xdr:sp macro="" textlink="Processing!A19">
      <xdr:nvSpPr>
        <xdr:cNvPr id="10" name="Rectangle: Rounded Corners 9">
          <a:extLst>
            <a:ext uri="{FF2B5EF4-FFF2-40B4-BE49-F238E27FC236}">
              <a16:creationId xmlns:a16="http://schemas.microsoft.com/office/drawing/2014/main" id="{9FDB78EF-B031-4377-825E-DCBC59FB096D}"/>
            </a:ext>
          </a:extLst>
        </xdr:cNvPr>
        <xdr:cNvSpPr/>
      </xdr:nvSpPr>
      <xdr:spPr>
        <a:xfrm>
          <a:off x="7604760" y="3618419"/>
          <a:ext cx="2468880" cy="2304238"/>
        </a:xfrm>
        <a:prstGeom prst="roundRect">
          <a:avLst>
            <a:gd name="adj" fmla="val 10585"/>
          </a:avLst>
        </a:prstGeom>
        <a:solidFill>
          <a:schemeClr val="bg1"/>
        </a:solidFill>
        <a:ln w="9525">
          <a:no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1C44FD38-D300-4C1F-906B-FAB458F04708}" type="TxLink">
            <a:rPr lang="en-US" sz="1200" b="0" i="0" u="none" strike="noStrike" kern="1200">
              <a:solidFill>
                <a:srgbClr val="A2ADBE"/>
              </a:solidFill>
              <a:latin typeface="Aptos Narrow"/>
              <a:ea typeface="+mn-ea"/>
              <a:cs typeface="+mn-cs"/>
            </a:rPr>
            <a:pPr marL="0" indent="0" algn="ctr" defTabSz="914400" rtl="0" eaLnBrk="1" latinLnBrk="0" hangingPunct="1"/>
            <a:t>Revenue vs Expenses</a:t>
          </a:fld>
          <a:endParaRPr lang="ru-RU" sz="1200" b="0" i="0" u="none" strike="noStrike" kern="1200">
            <a:solidFill>
              <a:srgbClr val="A2ADBE"/>
            </a:solidFill>
            <a:latin typeface="Aptos Narrow"/>
            <a:ea typeface="+mn-ea"/>
            <a:cs typeface="+mn-cs"/>
          </a:endParaRPr>
        </a:p>
      </xdr:txBody>
    </xdr:sp>
    <xdr:clientData/>
  </xdr:twoCellAnchor>
  <xdr:twoCellAnchor>
    <xdr:from>
      <xdr:col>12</xdr:col>
      <xdr:colOff>289560</xdr:colOff>
      <xdr:row>8</xdr:row>
      <xdr:rowOff>99060</xdr:rowOff>
    </xdr:from>
    <xdr:to>
      <xdr:col>16</xdr:col>
      <xdr:colOff>320040</xdr:colOff>
      <xdr:row>18</xdr:row>
      <xdr:rowOff>144780</xdr:rowOff>
    </xdr:to>
    <xdr:sp macro="" textlink="Processing!A1">
      <xdr:nvSpPr>
        <xdr:cNvPr id="11" name="Rectangle: Rounded Corners 10">
          <a:extLst>
            <a:ext uri="{FF2B5EF4-FFF2-40B4-BE49-F238E27FC236}">
              <a16:creationId xmlns:a16="http://schemas.microsoft.com/office/drawing/2014/main" id="{3001A1DA-6CF6-48BE-932F-96BE280E93A4}"/>
            </a:ext>
          </a:extLst>
        </xdr:cNvPr>
        <xdr:cNvSpPr/>
      </xdr:nvSpPr>
      <xdr:spPr>
        <a:xfrm>
          <a:off x="7604760" y="1562100"/>
          <a:ext cx="2468880" cy="1874520"/>
        </a:xfrm>
        <a:prstGeom prst="roundRect">
          <a:avLst>
            <a:gd name="adj" fmla="val 12132"/>
          </a:avLst>
        </a:prstGeom>
        <a:gradFill flip="none" rotWithShape="1">
          <a:gsLst>
            <a:gs pos="0">
              <a:srgbClr val="EE0078"/>
            </a:gs>
            <a:gs pos="73000">
              <a:srgbClr val="6459F9"/>
            </a:gs>
          </a:gsLst>
          <a:lin ang="2700000" scaled="1"/>
          <a:tileRect/>
        </a:gradFill>
        <a:ln w="12700">
          <a:solidFill>
            <a:schemeClr val="bg1"/>
          </a:solidFill>
        </a:ln>
        <a:effectLst>
          <a:outerShdw blurRad="381000" dist="127000" dir="8100000" algn="tr" rotWithShape="0">
            <a:srgbClr val="00285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03020289-B635-419F-B330-AF3CCE861824}" type="TxLink">
            <a:rPr lang="en-US" sz="1200" b="0" i="0" u="none" strike="noStrike" kern="1200">
              <a:solidFill>
                <a:schemeClr val="bg1"/>
              </a:solidFill>
              <a:latin typeface="Aptos Narrow"/>
              <a:ea typeface="+mn-ea"/>
              <a:cs typeface="+mn-cs"/>
            </a:rPr>
            <a:pPr marL="0" indent="0" algn="ctr" defTabSz="914400" rtl="0" eaLnBrk="1" latinLnBrk="0" hangingPunct="1"/>
            <a:t>Investments vs Sales Volume</a:t>
          </a:fld>
          <a:endParaRPr lang="ru-RU" sz="1200" b="0" i="0" u="none" strike="noStrike" kern="1200">
            <a:solidFill>
              <a:schemeClr val="bg1"/>
            </a:solidFill>
            <a:latin typeface="Aptos Narrow"/>
            <a:ea typeface="+mn-ea"/>
            <a:cs typeface="+mn-cs"/>
          </a:endParaRPr>
        </a:p>
      </xdr:txBody>
    </xdr:sp>
    <xdr:clientData/>
  </xdr:twoCellAnchor>
  <xdr:twoCellAnchor>
    <xdr:from>
      <xdr:col>20</xdr:col>
      <xdr:colOff>76205</xdr:colOff>
      <xdr:row>24</xdr:row>
      <xdr:rowOff>137379</xdr:rowOff>
    </xdr:from>
    <xdr:to>
      <xdr:col>22</xdr:col>
      <xdr:colOff>60956</xdr:colOff>
      <xdr:row>31</xdr:row>
      <xdr:rowOff>136942</xdr:rowOff>
    </xdr:to>
    <xdr:graphicFrame macro="">
      <xdr:nvGraphicFramePr>
        <xdr:cNvPr id="13" name="Chart 12">
          <a:extLst>
            <a:ext uri="{FF2B5EF4-FFF2-40B4-BE49-F238E27FC236}">
              <a16:creationId xmlns:a16="http://schemas.microsoft.com/office/drawing/2014/main" id="{5712B5C7-541C-4E00-A1E2-3772DDBE1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30677</xdr:colOff>
      <xdr:row>24</xdr:row>
      <xdr:rowOff>154137</xdr:rowOff>
    </xdr:from>
    <xdr:to>
      <xdr:col>22</xdr:col>
      <xdr:colOff>109023</xdr:colOff>
      <xdr:row>31</xdr:row>
      <xdr:rowOff>127803</xdr:rowOff>
    </xdr:to>
    <xdr:graphicFrame macro="">
      <xdr:nvGraphicFramePr>
        <xdr:cNvPr id="14" name="Chart 13">
          <a:extLst>
            <a:ext uri="{FF2B5EF4-FFF2-40B4-BE49-F238E27FC236}">
              <a16:creationId xmlns:a16="http://schemas.microsoft.com/office/drawing/2014/main" id="{18133052-E411-40CA-B7C5-F81147241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91440</xdr:colOff>
      <xdr:row>9</xdr:row>
      <xdr:rowOff>114300</xdr:rowOff>
    </xdr:from>
    <xdr:to>
      <xdr:col>21</xdr:col>
      <xdr:colOff>395512</xdr:colOff>
      <xdr:row>19</xdr:row>
      <xdr:rowOff>159142</xdr:rowOff>
    </xdr:to>
    <xdr:graphicFrame macro="">
      <xdr:nvGraphicFramePr>
        <xdr:cNvPr id="16" name="Chart 15">
          <a:extLst>
            <a:ext uri="{FF2B5EF4-FFF2-40B4-BE49-F238E27FC236}">
              <a16:creationId xmlns:a16="http://schemas.microsoft.com/office/drawing/2014/main" id="{AF99BC40-6624-4758-9AA2-BA75E52F4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34290</xdr:colOff>
      <xdr:row>4</xdr:row>
      <xdr:rowOff>99060</xdr:rowOff>
    </xdr:from>
    <xdr:to>
      <xdr:col>16</xdr:col>
      <xdr:colOff>26670</xdr:colOff>
      <xdr:row>8</xdr:row>
      <xdr:rowOff>38100</xdr:rowOff>
    </xdr:to>
    <xdr:sp macro="" textlink="Processing!P1">
      <xdr:nvSpPr>
        <xdr:cNvPr id="17" name="TextBox 16">
          <a:extLst>
            <a:ext uri="{FF2B5EF4-FFF2-40B4-BE49-F238E27FC236}">
              <a16:creationId xmlns:a16="http://schemas.microsoft.com/office/drawing/2014/main" id="{5A6C7290-B0C5-42B2-946A-C9EDFD1F35E6}"/>
            </a:ext>
          </a:extLst>
        </xdr:cNvPr>
        <xdr:cNvSpPr txBox="1"/>
      </xdr:nvSpPr>
      <xdr:spPr>
        <a:xfrm>
          <a:off x="4911090" y="830580"/>
          <a:ext cx="4869180" cy="67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AFA7E3-D982-4DCE-8311-24F164F1C349}" type="TxLink">
            <a:rPr lang="en-US" sz="2800" b="0" i="0" u="none" strike="noStrike">
              <a:solidFill>
                <a:schemeClr val="tx1"/>
              </a:solidFill>
              <a:latin typeface="Aptos Narrow"/>
            </a:rPr>
            <a:pPr algn="ctr"/>
            <a:t>Sales Profitability Dashboard</a:t>
          </a:fld>
          <a:endParaRPr lang="ru-RU" sz="2800">
            <a:solidFill>
              <a:schemeClr val="tx1"/>
            </a:solidFill>
          </a:endParaRPr>
        </a:p>
      </xdr:txBody>
    </xdr:sp>
    <xdr:clientData/>
  </xdr:twoCellAnchor>
  <xdr:twoCellAnchor>
    <xdr:from>
      <xdr:col>12</xdr:col>
      <xdr:colOff>411480</xdr:colOff>
      <xdr:row>10</xdr:row>
      <xdr:rowOff>45720</xdr:rowOff>
    </xdr:from>
    <xdr:to>
      <xdr:col>15</xdr:col>
      <xdr:colOff>0</xdr:colOff>
      <xdr:row>12</xdr:row>
      <xdr:rowOff>7620</xdr:rowOff>
    </xdr:to>
    <xdr:sp macro="" textlink="Processing!B1">
      <xdr:nvSpPr>
        <xdr:cNvPr id="18" name="TextBox 17">
          <a:extLst>
            <a:ext uri="{FF2B5EF4-FFF2-40B4-BE49-F238E27FC236}">
              <a16:creationId xmlns:a16="http://schemas.microsoft.com/office/drawing/2014/main" id="{C5256C5C-F17C-432C-A2CA-70007BC03B5C}"/>
            </a:ext>
          </a:extLst>
        </xdr:cNvPr>
        <xdr:cNvSpPr txBox="1"/>
      </xdr:nvSpPr>
      <xdr:spPr>
        <a:xfrm>
          <a:off x="7726680" y="187452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EBDB900-EE2F-4AA6-B860-CDEF06AE6B57}" type="TxLink">
            <a:rPr lang="en-US" sz="1400" b="0" i="0" u="none" strike="noStrike">
              <a:solidFill>
                <a:schemeClr val="bg1"/>
              </a:solidFill>
              <a:latin typeface="Aptos Narrow"/>
            </a:rPr>
            <a:pPr algn="l"/>
            <a:t>Investments</a:t>
          </a:fld>
          <a:endParaRPr lang="ru-RU" sz="3600">
            <a:solidFill>
              <a:schemeClr val="bg1"/>
            </a:solidFill>
          </a:endParaRPr>
        </a:p>
      </xdr:txBody>
    </xdr:sp>
    <xdr:clientData/>
  </xdr:twoCellAnchor>
  <xdr:twoCellAnchor>
    <xdr:from>
      <xdr:col>12</xdr:col>
      <xdr:colOff>411480</xdr:colOff>
      <xdr:row>14</xdr:row>
      <xdr:rowOff>30480</xdr:rowOff>
    </xdr:from>
    <xdr:to>
      <xdr:col>15</xdr:col>
      <xdr:colOff>114300</xdr:colOff>
      <xdr:row>15</xdr:row>
      <xdr:rowOff>175260</xdr:rowOff>
    </xdr:to>
    <xdr:sp macro="" textlink="Processing!C1">
      <xdr:nvSpPr>
        <xdr:cNvPr id="19" name="TextBox 18">
          <a:extLst>
            <a:ext uri="{FF2B5EF4-FFF2-40B4-BE49-F238E27FC236}">
              <a16:creationId xmlns:a16="http://schemas.microsoft.com/office/drawing/2014/main" id="{F208DE0F-9E81-4E02-A799-D68CEF8A5D73}"/>
            </a:ext>
          </a:extLst>
        </xdr:cNvPr>
        <xdr:cNvSpPr txBox="1"/>
      </xdr:nvSpPr>
      <xdr:spPr>
        <a:xfrm>
          <a:off x="7726680" y="259080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F79593B-4C91-4E5C-A7F9-01D05C8FA786}" type="TxLink">
            <a:rPr lang="en-US" sz="1400" b="0" i="0" u="none" strike="noStrike">
              <a:solidFill>
                <a:schemeClr val="bg1"/>
              </a:solidFill>
              <a:latin typeface="Aptos Narrow"/>
              <a:ea typeface="+mn-ea"/>
              <a:cs typeface="+mn-cs"/>
            </a:rPr>
            <a:pPr marL="0" indent="0" algn="l"/>
            <a:t>Sales Volume</a:t>
          </a:fld>
          <a:endParaRPr lang="ru-RU" sz="1400" b="0" i="0" u="none" strike="noStrike">
            <a:solidFill>
              <a:schemeClr val="bg1"/>
            </a:solidFill>
            <a:latin typeface="Aptos Narrow"/>
            <a:ea typeface="+mn-ea"/>
            <a:cs typeface="+mn-cs"/>
          </a:endParaRPr>
        </a:p>
      </xdr:txBody>
    </xdr:sp>
    <xdr:clientData/>
  </xdr:twoCellAnchor>
  <xdr:twoCellAnchor>
    <xdr:from>
      <xdr:col>17</xdr:col>
      <xdr:colOff>68580</xdr:colOff>
      <xdr:row>9</xdr:row>
      <xdr:rowOff>53340</xdr:rowOff>
    </xdr:from>
    <xdr:to>
      <xdr:col>18</xdr:col>
      <xdr:colOff>160020</xdr:colOff>
      <xdr:row>11</xdr:row>
      <xdr:rowOff>15240</xdr:rowOff>
    </xdr:to>
    <xdr:sp macro="" textlink="Processing!J20">
      <xdr:nvSpPr>
        <xdr:cNvPr id="20" name="TextBox 19">
          <a:extLst>
            <a:ext uri="{FF2B5EF4-FFF2-40B4-BE49-F238E27FC236}">
              <a16:creationId xmlns:a16="http://schemas.microsoft.com/office/drawing/2014/main" id="{303FC7BE-F914-4097-88D6-9C4093CFEECE}"/>
            </a:ext>
          </a:extLst>
        </xdr:cNvPr>
        <xdr:cNvSpPr txBox="1"/>
      </xdr:nvSpPr>
      <xdr:spPr>
        <a:xfrm>
          <a:off x="10431780" y="169926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5EC9B3-2A4A-4AC1-9873-86C91B8549DF}" type="TxLink">
            <a:rPr lang="en-US" sz="1800" b="0" i="0" u="none" strike="noStrike">
              <a:solidFill>
                <a:schemeClr val="tx1"/>
              </a:solidFill>
              <a:latin typeface="Aptos Narrow"/>
              <a:ea typeface="+mn-ea"/>
              <a:cs typeface="+mn-cs"/>
            </a:rPr>
            <a:pPr marL="0" indent="0"/>
            <a:t>ROI</a:t>
          </a:fld>
          <a:endParaRPr lang="ru-RU" sz="1800" b="0" i="0" u="none" strike="noStrike">
            <a:solidFill>
              <a:schemeClr val="tx1"/>
            </a:solidFill>
            <a:latin typeface="Aptos Narrow"/>
            <a:ea typeface="+mn-ea"/>
            <a:cs typeface="+mn-cs"/>
          </a:endParaRPr>
        </a:p>
      </xdr:txBody>
    </xdr:sp>
    <xdr:clientData/>
  </xdr:twoCellAnchor>
  <xdr:twoCellAnchor>
    <xdr:from>
      <xdr:col>17</xdr:col>
      <xdr:colOff>45720</xdr:colOff>
      <xdr:row>16</xdr:row>
      <xdr:rowOff>83820</xdr:rowOff>
    </xdr:from>
    <xdr:to>
      <xdr:col>18</xdr:col>
      <xdr:colOff>137160</xdr:colOff>
      <xdr:row>18</xdr:row>
      <xdr:rowOff>45720</xdr:rowOff>
    </xdr:to>
    <xdr:sp macro="" textlink="Processing!J24">
      <xdr:nvSpPr>
        <xdr:cNvPr id="21" name="TextBox 20">
          <a:extLst>
            <a:ext uri="{FF2B5EF4-FFF2-40B4-BE49-F238E27FC236}">
              <a16:creationId xmlns:a16="http://schemas.microsoft.com/office/drawing/2014/main" id="{02E27C2D-389F-40FE-9DE7-BFFE24C0F4F1}"/>
            </a:ext>
          </a:extLst>
        </xdr:cNvPr>
        <xdr:cNvSpPr txBox="1"/>
      </xdr:nvSpPr>
      <xdr:spPr>
        <a:xfrm>
          <a:off x="10408920" y="3009900"/>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75CC82-02FE-4122-8891-3041361035D0}" type="TxLink">
            <a:rPr lang="en-US" sz="1800" b="0" i="0" u="none" strike="noStrike">
              <a:solidFill>
                <a:srgbClr val="A2ADBE"/>
              </a:solidFill>
              <a:latin typeface="Aptos Narrow"/>
              <a:ea typeface="+mn-ea"/>
              <a:cs typeface="+mn-cs"/>
            </a:rPr>
            <a:pPr marL="0" indent="0"/>
            <a:t>Profit</a:t>
          </a:fld>
          <a:endParaRPr lang="ru-RU" sz="1800" b="0" i="0" u="none" strike="noStrike">
            <a:solidFill>
              <a:srgbClr val="A2ADBE"/>
            </a:solidFill>
            <a:latin typeface="Aptos Narrow"/>
            <a:ea typeface="+mn-ea"/>
            <a:cs typeface="+mn-cs"/>
          </a:endParaRPr>
        </a:p>
      </xdr:txBody>
    </xdr:sp>
    <xdr:clientData/>
  </xdr:twoCellAnchor>
  <xdr:twoCellAnchor>
    <xdr:from>
      <xdr:col>19</xdr:col>
      <xdr:colOff>82098</xdr:colOff>
      <xdr:row>13</xdr:row>
      <xdr:rowOff>125616</xdr:rowOff>
    </xdr:from>
    <xdr:to>
      <xdr:col>20</xdr:col>
      <xdr:colOff>405582</xdr:colOff>
      <xdr:row>15</xdr:row>
      <xdr:rowOff>156325</xdr:rowOff>
    </xdr:to>
    <xdr:sp macro="" textlink="Processing!K20">
      <xdr:nvSpPr>
        <xdr:cNvPr id="22" name="TextBox 21">
          <a:extLst>
            <a:ext uri="{FF2B5EF4-FFF2-40B4-BE49-F238E27FC236}">
              <a16:creationId xmlns:a16="http://schemas.microsoft.com/office/drawing/2014/main" id="{6226B627-F0F1-4D87-BDEE-561F9B342812}"/>
            </a:ext>
          </a:extLst>
        </xdr:cNvPr>
        <xdr:cNvSpPr txBox="1"/>
      </xdr:nvSpPr>
      <xdr:spPr>
        <a:xfrm>
          <a:off x="11664498" y="2503056"/>
          <a:ext cx="93308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DB45C4-5730-4E15-A21C-6CDCEBC2E35C}" type="TxLink">
            <a:rPr lang="en-US" sz="2400" b="0" i="0" u="none" strike="noStrike">
              <a:solidFill>
                <a:schemeClr val="tx1"/>
              </a:solidFill>
              <a:latin typeface="Aptos Narrow"/>
              <a:ea typeface="+mn-ea"/>
              <a:cs typeface="+mn-cs"/>
            </a:rPr>
            <a:pPr marL="0" indent="0" algn="ctr"/>
            <a:t>40%</a:t>
          </a:fld>
          <a:endParaRPr lang="ru-RU" sz="6600" b="0" i="0" u="none" strike="noStrike">
            <a:solidFill>
              <a:schemeClr val="tx1"/>
            </a:solidFill>
            <a:latin typeface="Aptos Narrow"/>
            <a:ea typeface="+mn-ea"/>
            <a:cs typeface="+mn-cs"/>
          </a:endParaRPr>
        </a:p>
      </xdr:txBody>
    </xdr:sp>
    <xdr:clientData/>
  </xdr:twoCellAnchor>
  <xdr:twoCellAnchor>
    <xdr:from>
      <xdr:col>2</xdr:col>
      <xdr:colOff>339090</xdr:colOff>
      <xdr:row>8</xdr:row>
      <xdr:rowOff>15240</xdr:rowOff>
    </xdr:from>
    <xdr:to>
      <xdr:col>11</xdr:col>
      <xdr:colOff>251460</xdr:colOff>
      <xdr:row>10</xdr:row>
      <xdr:rowOff>60960</xdr:rowOff>
    </xdr:to>
    <xdr:sp macro="" textlink="Processing!G19">
      <xdr:nvSpPr>
        <xdr:cNvPr id="23" name="TextBox 22">
          <a:extLst>
            <a:ext uri="{FF2B5EF4-FFF2-40B4-BE49-F238E27FC236}">
              <a16:creationId xmlns:a16="http://schemas.microsoft.com/office/drawing/2014/main" id="{39F266E3-BA30-40DB-981A-AAE7FFA6C19D}"/>
            </a:ext>
          </a:extLst>
        </xdr:cNvPr>
        <xdr:cNvSpPr txBox="1"/>
      </xdr:nvSpPr>
      <xdr:spPr>
        <a:xfrm>
          <a:off x="1558290" y="1478280"/>
          <a:ext cx="539877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02DA414-8EC6-47E9-8CB0-63975FD75BAC}" type="TxLink">
            <a:rPr lang="en-US" sz="2000" b="0" i="0" u="none" strike="noStrike">
              <a:solidFill>
                <a:srgbClr val="A2ADBE"/>
              </a:solidFill>
              <a:latin typeface="Aptos Narrow"/>
              <a:ea typeface="+mn-ea"/>
              <a:cs typeface="+mn-cs"/>
            </a:rPr>
            <a:pPr marL="0" indent="0" algn="l"/>
            <a:t>Return on Investment (ROI)</a:t>
          </a:fld>
          <a:endParaRPr lang="ru-RU" sz="2000" b="0" i="0" u="none" strike="noStrike">
            <a:solidFill>
              <a:srgbClr val="A2ADBE"/>
            </a:solidFill>
            <a:latin typeface="Aptos Narrow"/>
            <a:ea typeface="+mn-ea"/>
            <a:cs typeface="+mn-cs"/>
          </a:endParaRPr>
        </a:p>
      </xdr:txBody>
    </xdr:sp>
    <xdr:clientData/>
  </xdr:twoCellAnchor>
  <xdr:twoCellAnchor editAs="oneCell">
    <xdr:from>
      <xdr:col>2</xdr:col>
      <xdr:colOff>361950</xdr:colOff>
      <xdr:row>4</xdr:row>
      <xdr:rowOff>175260</xdr:rowOff>
    </xdr:from>
    <xdr:to>
      <xdr:col>5</xdr:col>
      <xdr:colOff>361950</xdr:colOff>
      <xdr:row>7</xdr:row>
      <xdr:rowOff>28575</xdr:rowOff>
    </xdr:to>
    <mc:AlternateContent xmlns:mc="http://schemas.openxmlformats.org/markup-compatibility/2006" xmlns:a14="http://schemas.microsoft.com/office/drawing/2010/main">
      <mc:Choice Requires="a14">
        <xdr:graphicFrame macro="">
          <xdr:nvGraphicFramePr>
            <xdr:cNvPr id="24" name="Year 9">
              <a:extLst>
                <a:ext uri="{FF2B5EF4-FFF2-40B4-BE49-F238E27FC236}">
                  <a16:creationId xmlns:a16="http://schemas.microsoft.com/office/drawing/2014/main" id="{D13AD086-A7D5-4C54-BB7D-545BBD07D0FA}"/>
                </a:ext>
              </a:extLst>
            </xdr:cNvPr>
            <xdr:cNvGraphicFramePr/>
          </xdr:nvGraphicFramePr>
          <xdr:xfrm>
            <a:off x="0" y="0"/>
            <a:ext cx="0" cy="0"/>
          </xdr:xfrm>
          <a:graphic>
            <a:graphicData uri="http://schemas.microsoft.com/office/drawing/2010/slicer">
              <sle:slicer xmlns:sle="http://schemas.microsoft.com/office/drawing/2010/slicer" name="Year 9"/>
            </a:graphicData>
          </a:graphic>
        </xdr:graphicFrame>
      </mc:Choice>
      <mc:Fallback xmlns="">
        <xdr:sp macro="" textlink="">
          <xdr:nvSpPr>
            <xdr:cNvPr id="0" name=""/>
            <xdr:cNvSpPr>
              <a:spLocks noTextEdit="1"/>
            </xdr:cNvSpPr>
          </xdr:nvSpPr>
          <xdr:spPr>
            <a:xfrm>
              <a:off x="1581150" y="906781"/>
              <a:ext cx="1828800" cy="4648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327660</xdr:colOff>
      <xdr:row>5</xdr:row>
      <xdr:rowOff>38100</xdr:rowOff>
    </xdr:from>
    <xdr:to>
      <xdr:col>19</xdr:col>
      <xdr:colOff>525780</xdr:colOff>
      <xdr:row>7</xdr:row>
      <xdr:rowOff>0</xdr:rowOff>
    </xdr:to>
    <xdr:sp macro="" textlink="Processing!P3">
      <xdr:nvSpPr>
        <xdr:cNvPr id="25" name="TextBox 24">
          <a:extLst>
            <a:ext uri="{FF2B5EF4-FFF2-40B4-BE49-F238E27FC236}">
              <a16:creationId xmlns:a16="http://schemas.microsoft.com/office/drawing/2014/main" id="{306E4484-BDED-4BB5-AC9E-DCFA334A1AC2}"/>
            </a:ext>
          </a:extLst>
        </xdr:cNvPr>
        <xdr:cNvSpPr txBox="1"/>
      </xdr:nvSpPr>
      <xdr:spPr>
        <a:xfrm>
          <a:off x="10690860" y="95250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4BF34E8-F5F7-4FD4-B740-151B677084AF}" type="TxLink">
            <a:rPr lang="en-US" sz="2000" b="0" i="0" u="none" strike="noStrike">
              <a:solidFill>
                <a:srgbClr val="A2ADBE"/>
              </a:solidFill>
              <a:latin typeface="Aptos Narrow"/>
              <a:ea typeface="+mn-ea"/>
              <a:cs typeface="+mn-cs"/>
            </a:rPr>
            <a:pPr marL="0" indent="0" algn="ctr"/>
            <a:t>JANUARY</a:t>
          </a:fld>
          <a:endParaRPr lang="ru-RU" sz="2000" b="0" i="0" u="none" strike="noStrike">
            <a:solidFill>
              <a:srgbClr val="A2ADBE"/>
            </a:solidFill>
            <a:latin typeface="Aptos Narrow"/>
            <a:ea typeface="+mn-ea"/>
            <a:cs typeface="+mn-cs"/>
          </a:endParaRPr>
        </a:p>
      </xdr:txBody>
    </xdr:sp>
    <xdr:clientData/>
  </xdr:twoCellAnchor>
  <xdr:twoCellAnchor>
    <xdr:from>
      <xdr:col>20</xdr:col>
      <xdr:colOff>30480</xdr:colOff>
      <xdr:row>5</xdr:row>
      <xdr:rowOff>38100</xdr:rowOff>
    </xdr:from>
    <xdr:to>
      <xdr:col>21</xdr:col>
      <xdr:colOff>152400</xdr:colOff>
      <xdr:row>7</xdr:row>
      <xdr:rowOff>0</xdr:rowOff>
    </xdr:to>
    <xdr:sp macro="" textlink="Processing!Q3">
      <xdr:nvSpPr>
        <xdr:cNvPr id="26" name="TextBox 25">
          <a:extLst>
            <a:ext uri="{FF2B5EF4-FFF2-40B4-BE49-F238E27FC236}">
              <a16:creationId xmlns:a16="http://schemas.microsoft.com/office/drawing/2014/main" id="{DCBA1CA5-CE04-41C8-9A99-158F645847BB}"/>
            </a:ext>
          </a:extLst>
        </xdr:cNvPr>
        <xdr:cNvSpPr txBox="1"/>
      </xdr:nvSpPr>
      <xdr:spPr>
        <a:xfrm>
          <a:off x="12222480" y="952500"/>
          <a:ext cx="7315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1DB63C7-1528-4BD2-A1EF-C64AF007758D}" type="TxLink">
            <a:rPr lang="en-US" sz="2000" b="0" i="0" u="none" strike="noStrike">
              <a:solidFill>
                <a:srgbClr val="A2ADBE"/>
              </a:solidFill>
              <a:latin typeface="Aptos Narrow"/>
              <a:ea typeface="+mn-ea"/>
              <a:cs typeface="+mn-cs"/>
            </a:rPr>
            <a:pPr marL="0" indent="0" algn="l"/>
            <a:t>2024</a:t>
          </a:fld>
          <a:endParaRPr lang="ru-RU" sz="2000" b="0" i="0" u="none" strike="noStrike">
            <a:solidFill>
              <a:srgbClr val="A2ADBE"/>
            </a:solidFill>
            <a:latin typeface="Aptos Narrow"/>
            <a:ea typeface="+mn-ea"/>
            <a:cs typeface="+mn-cs"/>
          </a:endParaRPr>
        </a:p>
      </xdr:txBody>
    </xdr:sp>
    <xdr:clientData/>
  </xdr:twoCellAnchor>
  <xdr:twoCellAnchor>
    <xdr:from>
      <xdr:col>12</xdr:col>
      <xdr:colOff>304800</xdr:colOff>
      <xdr:row>15</xdr:row>
      <xdr:rowOff>160020</xdr:rowOff>
    </xdr:from>
    <xdr:to>
      <xdr:col>15</xdr:col>
      <xdr:colOff>121920</xdr:colOff>
      <xdr:row>17</xdr:row>
      <xdr:rowOff>121920</xdr:rowOff>
    </xdr:to>
    <xdr:sp macro="" textlink="Processing!C14">
      <xdr:nvSpPr>
        <xdr:cNvPr id="27" name="TextBox 26">
          <a:extLst>
            <a:ext uri="{FF2B5EF4-FFF2-40B4-BE49-F238E27FC236}">
              <a16:creationId xmlns:a16="http://schemas.microsoft.com/office/drawing/2014/main" id="{B12D2C6D-7794-4F0E-B5AE-CECA1FBDE195}"/>
            </a:ext>
          </a:extLst>
        </xdr:cNvPr>
        <xdr:cNvSpPr txBox="1"/>
      </xdr:nvSpPr>
      <xdr:spPr>
        <a:xfrm>
          <a:off x="7620000" y="290322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77A68F2-9086-49F9-A77A-937410EA236B}" type="TxLink">
            <a:rPr lang="en-US" sz="2400" b="0" i="0" u="none" strike="noStrike">
              <a:solidFill>
                <a:schemeClr val="bg1"/>
              </a:solidFill>
              <a:latin typeface="Aptos Narrow"/>
              <a:ea typeface="+mn-ea"/>
              <a:cs typeface="+mn-cs"/>
            </a:rPr>
            <a:pPr marL="0" indent="0" algn="l"/>
            <a:t> $33,543 </a:t>
          </a:fld>
          <a:endParaRPr lang="ru-RU" sz="2400" b="0" i="0" u="none" strike="noStrike">
            <a:solidFill>
              <a:schemeClr val="bg1"/>
            </a:solidFill>
            <a:latin typeface="Aptos Narrow"/>
            <a:ea typeface="+mn-ea"/>
            <a:cs typeface="+mn-cs"/>
          </a:endParaRPr>
        </a:p>
      </xdr:txBody>
    </xdr:sp>
    <xdr:clientData/>
  </xdr:twoCellAnchor>
  <xdr:twoCellAnchor>
    <xdr:from>
      <xdr:col>12</xdr:col>
      <xdr:colOff>327660</xdr:colOff>
      <xdr:row>12</xdr:row>
      <xdr:rowOff>0</xdr:rowOff>
    </xdr:from>
    <xdr:to>
      <xdr:col>15</xdr:col>
      <xdr:colOff>144780</xdr:colOff>
      <xdr:row>13</xdr:row>
      <xdr:rowOff>144780</xdr:rowOff>
    </xdr:to>
    <xdr:sp macro="" textlink="Processing!B14">
      <xdr:nvSpPr>
        <xdr:cNvPr id="28" name="TextBox 27">
          <a:extLst>
            <a:ext uri="{FF2B5EF4-FFF2-40B4-BE49-F238E27FC236}">
              <a16:creationId xmlns:a16="http://schemas.microsoft.com/office/drawing/2014/main" id="{2BFF2E3D-326A-416E-9453-F11CEE0F8213}"/>
            </a:ext>
          </a:extLst>
        </xdr:cNvPr>
        <xdr:cNvSpPr txBox="1"/>
      </xdr:nvSpPr>
      <xdr:spPr>
        <a:xfrm>
          <a:off x="7642860" y="219456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176861D-A161-4D96-8756-6AC7C156A8BD}" type="TxLink">
            <a:rPr lang="en-US" sz="2400" b="0" i="0" u="none" strike="noStrike">
              <a:solidFill>
                <a:schemeClr val="bg1"/>
              </a:solidFill>
              <a:latin typeface="Aptos Narrow"/>
              <a:ea typeface="+mn-ea"/>
              <a:cs typeface="+mn-cs"/>
            </a:rPr>
            <a:pPr marL="0" indent="0" algn="l"/>
            <a:t> $28,026 </a:t>
          </a:fld>
          <a:endParaRPr lang="ru-RU" sz="2400" b="0" i="0" u="none" strike="noStrike">
            <a:solidFill>
              <a:schemeClr val="bg1"/>
            </a:solidFill>
            <a:latin typeface="Aptos Narrow"/>
            <a:ea typeface="+mn-ea"/>
            <a:cs typeface="+mn-cs"/>
          </a:endParaRPr>
        </a:p>
      </xdr:txBody>
    </xdr:sp>
    <xdr:clientData/>
  </xdr:twoCellAnchor>
  <xdr:twoCellAnchor>
    <xdr:from>
      <xdr:col>17</xdr:col>
      <xdr:colOff>14478</xdr:colOff>
      <xdr:row>18</xdr:row>
      <xdr:rowOff>26556</xdr:rowOff>
    </xdr:from>
    <xdr:to>
      <xdr:col>19</xdr:col>
      <xdr:colOff>320802</xdr:colOff>
      <xdr:row>20</xdr:row>
      <xdr:rowOff>57265</xdr:rowOff>
    </xdr:to>
    <xdr:sp macro="" textlink="Processing!J25">
      <xdr:nvSpPr>
        <xdr:cNvPr id="29" name="TextBox 28">
          <a:extLst>
            <a:ext uri="{FF2B5EF4-FFF2-40B4-BE49-F238E27FC236}">
              <a16:creationId xmlns:a16="http://schemas.microsoft.com/office/drawing/2014/main" id="{3FB0FE02-766C-4C8C-909C-1DEF85851BF2}"/>
            </a:ext>
          </a:extLst>
        </xdr:cNvPr>
        <xdr:cNvSpPr txBox="1"/>
      </xdr:nvSpPr>
      <xdr:spPr>
        <a:xfrm>
          <a:off x="10377678" y="3318396"/>
          <a:ext cx="152552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E6A133C-5381-4990-B5CC-3867629A9899}" type="TxLink">
            <a:rPr lang="en-US" sz="2000" b="0" i="0" u="none" strike="noStrike">
              <a:solidFill>
                <a:schemeClr val="tx1"/>
              </a:solidFill>
              <a:latin typeface="Aptos Narrow"/>
              <a:ea typeface="+mn-ea"/>
              <a:cs typeface="+mn-cs"/>
            </a:rPr>
            <a:pPr marL="0" indent="0" algn="l"/>
            <a:t> $11,175 </a:t>
          </a:fld>
          <a:endParaRPr lang="ru-RU" sz="2000" b="0" i="0" u="none" strike="noStrike">
            <a:solidFill>
              <a:schemeClr val="tx1"/>
            </a:solidFill>
            <a:latin typeface="Aptos Narrow"/>
            <a:ea typeface="+mn-ea"/>
            <a:cs typeface="+mn-cs"/>
          </a:endParaRPr>
        </a:p>
      </xdr:txBody>
    </xdr:sp>
    <xdr:clientData/>
  </xdr:twoCellAnchor>
  <xdr:twoCellAnchor>
    <xdr:from>
      <xdr:col>14</xdr:col>
      <xdr:colOff>251460</xdr:colOff>
      <xdr:row>10</xdr:row>
      <xdr:rowOff>68580</xdr:rowOff>
    </xdr:from>
    <xdr:to>
      <xdr:col>16</xdr:col>
      <xdr:colOff>449580</xdr:colOff>
      <xdr:row>12</xdr:row>
      <xdr:rowOff>30480</xdr:rowOff>
    </xdr:to>
    <xdr:sp macro="" textlink="Processing!A15">
      <xdr:nvSpPr>
        <xdr:cNvPr id="30" name="TextBox 29">
          <a:extLst>
            <a:ext uri="{FF2B5EF4-FFF2-40B4-BE49-F238E27FC236}">
              <a16:creationId xmlns:a16="http://schemas.microsoft.com/office/drawing/2014/main" id="{2D006B6F-0538-429C-B87D-FA034C1CB161}"/>
            </a:ext>
          </a:extLst>
        </xdr:cNvPr>
        <xdr:cNvSpPr txBox="1"/>
      </xdr:nvSpPr>
      <xdr:spPr>
        <a:xfrm>
          <a:off x="8785860" y="189738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251460</xdr:colOff>
      <xdr:row>14</xdr:row>
      <xdr:rowOff>45720</xdr:rowOff>
    </xdr:from>
    <xdr:to>
      <xdr:col>16</xdr:col>
      <xdr:colOff>449580</xdr:colOff>
      <xdr:row>16</xdr:row>
      <xdr:rowOff>7620</xdr:rowOff>
    </xdr:to>
    <xdr:sp macro="" textlink="Processing!A15">
      <xdr:nvSpPr>
        <xdr:cNvPr id="31" name="TextBox 30">
          <a:extLst>
            <a:ext uri="{FF2B5EF4-FFF2-40B4-BE49-F238E27FC236}">
              <a16:creationId xmlns:a16="http://schemas.microsoft.com/office/drawing/2014/main" id="{C573AD29-BCEF-437A-B9F7-5F45B9CC2AB4}"/>
            </a:ext>
          </a:extLst>
        </xdr:cNvPr>
        <xdr:cNvSpPr txBox="1"/>
      </xdr:nvSpPr>
      <xdr:spPr>
        <a:xfrm>
          <a:off x="8785860" y="2606040"/>
          <a:ext cx="1417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EDEAD3-98BC-44CD-BC73-15FD00162BD4}" type="TxLink">
            <a:rPr lang="en-US" sz="1200" b="0" i="0" u="none" strike="noStrike">
              <a:solidFill>
                <a:schemeClr val="bg1"/>
              </a:solidFill>
              <a:latin typeface="Aptos Narrow"/>
            </a:rPr>
            <a:pPr algn="l"/>
            <a:t>Cash Flow Share</a:t>
          </a:fld>
          <a:endParaRPr lang="ru-RU" sz="4000">
            <a:solidFill>
              <a:schemeClr val="bg1"/>
            </a:solidFill>
          </a:endParaRPr>
        </a:p>
      </xdr:txBody>
    </xdr:sp>
    <xdr:clientData/>
  </xdr:twoCellAnchor>
  <xdr:twoCellAnchor>
    <xdr:from>
      <xdr:col>14</xdr:col>
      <xdr:colOff>586718</xdr:colOff>
      <xdr:row>11</xdr:row>
      <xdr:rowOff>23695</xdr:rowOff>
    </xdr:from>
    <xdr:to>
      <xdr:col>16</xdr:col>
      <xdr:colOff>53318</xdr:colOff>
      <xdr:row>14</xdr:row>
      <xdr:rowOff>160855</xdr:rowOff>
    </xdr:to>
    <xdr:graphicFrame macro="">
      <xdr:nvGraphicFramePr>
        <xdr:cNvPr id="32" name="Chart 31">
          <a:extLst>
            <a:ext uri="{FF2B5EF4-FFF2-40B4-BE49-F238E27FC236}">
              <a16:creationId xmlns:a16="http://schemas.microsoft.com/office/drawing/2014/main" id="{49C569E8-1B3C-4459-AE3F-FC51A739B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586718</xdr:colOff>
      <xdr:row>12</xdr:row>
      <xdr:rowOff>12265</xdr:rowOff>
    </xdr:from>
    <xdr:to>
      <xdr:col>16</xdr:col>
      <xdr:colOff>68558</xdr:colOff>
      <xdr:row>13</xdr:row>
      <xdr:rowOff>157045</xdr:rowOff>
    </xdr:to>
    <xdr:sp macro="" textlink="Processing!B15">
      <xdr:nvSpPr>
        <xdr:cNvPr id="33" name="TextBox 32">
          <a:extLst>
            <a:ext uri="{FF2B5EF4-FFF2-40B4-BE49-F238E27FC236}">
              <a16:creationId xmlns:a16="http://schemas.microsoft.com/office/drawing/2014/main" id="{9E4B5DFE-1FE0-4C8B-B9B6-C62AB9A4E568}"/>
            </a:ext>
          </a:extLst>
        </xdr:cNvPr>
        <xdr:cNvSpPr txBox="1"/>
      </xdr:nvSpPr>
      <xdr:spPr>
        <a:xfrm>
          <a:off x="9121118" y="220682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7864E5-CAD8-4B22-A5F5-C06AFB7D5E57}" type="TxLink">
            <a:rPr lang="en-US" sz="1100" b="0" i="0" u="none" strike="noStrike">
              <a:solidFill>
                <a:schemeClr val="bg1"/>
              </a:solidFill>
              <a:latin typeface="Aptos Narrow"/>
              <a:ea typeface="+mn-ea"/>
              <a:cs typeface="+mn-cs"/>
            </a:rPr>
            <a:pPr marL="0" indent="0" algn="ctr"/>
            <a:t>43%</a:t>
          </a:fld>
          <a:endParaRPr lang="ru-RU" sz="1800" b="0" i="0" u="none" strike="noStrike">
            <a:solidFill>
              <a:schemeClr val="bg1"/>
            </a:solidFill>
            <a:latin typeface="Aptos Narrow"/>
            <a:ea typeface="+mn-ea"/>
            <a:cs typeface="+mn-cs"/>
          </a:endParaRPr>
        </a:p>
      </xdr:txBody>
    </xdr:sp>
    <xdr:clientData/>
  </xdr:twoCellAnchor>
  <xdr:twoCellAnchor>
    <xdr:from>
      <xdr:col>14</xdr:col>
      <xdr:colOff>586718</xdr:colOff>
      <xdr:row>14</xdr:row>
      <xdr:rowOff>168475</xdr:rowOff>
    </xdr:from>
    <xdr:to>
      <xdr:col>16</xdr:col>
      <xdr:colOff>53318</xdr:colOff>
      <xdr:row>18</xdr:row>
      <xdr:rowOff>122755</xdr:rowOff>
    </xdr:to>
    <xdr:graphicFrame macro="">
      <xdr:nvGraphicFramePr>
        <xdr:cNvPr id="34" name="Chart 33">
          <a:extLst>
            <a:ext uri="{FF2B5EF4-FFF2-40B4-BE49-F238E27FC236}">
              <a16:creationId xmlns:a16="http://schemas.microsoft.com/office/drawing/2014/main" id="{604058E2-3215-4277-A484-438355324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586718</xdr:colOff>
      <xdr:row>15</xdr:row>
      <xdr:rowOff>157045</xdr:rowOff>
    </xdr:from>
    <xdr:to>
      <xdr:col>16</xdr:col>
      <xdr:colOff>68558</xdr:colOff>
      <xdr:row>17</xdr:row>
      <xdr:rowOff>118945</xdr:rowOff>
    </xdr:to>
    <xdr:sp macro="" textlink="Processing!C15">
      <xdr:nvSpPr>
        <xdr:cNvPr id="35" name="TextBox 34">
          <a:extLst>
            <a:ext uri="{FF2B5EF4-FFF2-40B4-BE49-F238E27FC236}">
              <a16:creationId xmlns:a16="http://schemas.microsoft.com/office/drawing/2014/main" id="{8260B8AB-D209-4C33-BC36-EF30287E471A}"/>
            </a:ext>
          </a:extLst>
        </xdr:cNvPr>
        <xdr:cNvSpPr txBox="1"/>
      </xdr:nvSpPr>
      <xdr:spPr>
        <a:xfrm>
          <a:off x="9121118" y="2900245"/>
          <a:ext cx="701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A5132A-5551-4D94-B54D-1E5261C5DB06}" type="TxLink">
            <a:rPr lang="en-US" sz="1100" b="0" i="0" u="none" strike="noStrike">
              <a:solidFill>
                <a:schemeClr val="bg1"/>
              </a:solidFill>
              <a:latin typeface="Aptos Narrow"/>
              <a:ea typeface="+mn-ea"/>
              <a:cs typeface="+mn-cs"/>
            </a:rPr>
            <a:pPr marL="0" indent="0" algn="ctr"/>
            <a:t>52%</a:t>
          </a:fld>
          <a:endParaRPr lang="ru-RU" sz="1800" b="0" i="0" u="none" strike="noStrike">
            <a:solidFill>
              <a:schemeClr val="bg1"/>
            </a:solidFill>
            <a:latin typeface="Aptos Narrow"/>
            <a:ea typeface="+mn-ea"/>
            <a:cs typeface="+mn-cs"/>
          </a:endParaRPr>
        </a:p>
      </xdr:txBody>
    </xdr:sp>
    <xdr:clientData/>
  </xdr:twoCellAnchor>
  <xdr:twoCellAnchor>
    <xdr:from>
      <xdr:col>12</xdr:col>
      <xdr:colOff>388620</xdr:colOff>
      <xdr:row>21</xdr:row>
      <xdr:rowOff>96085</xdr:rowOff>
    </xdr:from>
    <xdr:to>
      <xdr:col>14</xdr:col>
      <xdr:colOff>304778</xdr:colOff>
      <xdr:row>23</xdr:row>
      <xdr:rowOff>57985</xdr:rowOff>
    </xdr:to>
    <xdr:sp macro="" textlink="Processing!B32">
      <xdr:nvSpPr>
        <xdr:cNvPr id="36" name="TextBox 35">
          <a:extLst>
            <a:ext uri="{FF2B5EF4-FFF2-40B4-BE49-F238E27FC236}">
              <a16:creationId xmlns:a16="http://schemas.microsoft.com/office/drawing/2014/main" id="{B3D1FE77-9FB7-43CD-A427-F258A7B6258C}"/>
            </a:ext>
          </a:extLst>
        </xdr:cNvPr>
        <xdr:cNvSpPr txBox="1"/>
      </xdr:nvSpPr>
      <xdr:spPr>
        <a:xfrm>
          <a:off x="770382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E21EC3CC-CA95-428B-98B7-4DE0DF5CF094}" type="TxLink">
            <a:rPr lang="en-US" sz="1400" b="0" i="0" u="none" strike="noStrike">
              <a:solidFill>
                <a:schemeClr val="tx1"/>
              </a:solidFill>
              <a:latin typeface="Aptos Narrow"/>
              <a:ea typeface="+mn-ea"/>
              <a:cs typeface="+mn-cs"/>
            </a:rPr>
            <a:pPr marL="0" indent="0" algn="r"/>
            <a:t> $37,835 </a:t>
          </a:fld>
          <a:endParaRPr lang="ru-RU" sz="1400" b="0" i="0" u="none" strike="noStrike">
            <a:solidFill>
              <a:schemeClr val="tx1"/>
            </a:solidFill>
            <a:latin typeface="Aptos Narrow"/>
            <a:ea typeface="+mn-ea"/>
            <a:cs typeface="+mn-cs"/>
          </a:endParaRPr>
        </a:p>
      </xdr:txBody>
    </xdr:sp>
    <xdr:clientData/>
  </xdr:twoCellAnchor>
  <xdr:twoCellAnchor>
    <xdr:from>
      <xdr:col>14</xdr:col>
      <xdr:colOff>304800</xdr:colOff>
      <xdr:row>21</xdr:row>
      <xdr:rowOff>96085</xdr:rowOff>
    </xdr:from>
    <xdr:to>
      <xdr:col>16</xdr:col>
      <xdr:colOff>220958</xdr:colOff>
      <xdr:row>23</xdr:row>
      <xdr:rowOff>57985</xdr:rowOff>
    </xdr:to>
    <xdr:sp macro="" textlink="Processing!C32">
      <xdr:nvSpPr>
        <xdr:cNvPr id="37" name="TextBox 36">
          <a:extLst>
            <a:ext uri="{FF2B5EF4-FFF2-40B4-BE49-F238E27FC236}">
              <a16:creationId xmlns:a16="http://schemas.microsoft.com/office/drawing/2014/main" id="{EDCDE723-E499-461C-8577-124D29FD6068}"/>
            </a:ext>
          </a:extLst>
        </xdr:cNvPr>
        <xdr:cNvSpPr txBox="1"/>
      </xdr:nvSpPr>
      <xdr:spPr>
        <a:xfrm>
          <a:off x="8839200" y="3936565"/>
          <a:ext cx="113535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B887651-16A7-4B6B-95E2-0C9BA58C3F07}" type="TxLink">
            <a:rPr lang="en-US" sz="1400" b="0" i="0" u="none" strike="noStrike">
              <a:solidFill>
                <a:schemeClr val="tx1"/>
              </a:solidFill>
              <a:latin typeface="Aptos Narrow"/>
              <a:ea typeface="+mn-ea"/>
              <a:cs typeface="+mn-cs"/>
            </a:rPr>
            <a:pPr marL="0" indent="0" algn="l"/>
            <a:t> $26,660 </a:t>
          </a:fld>
          <a:endParaRPr lang="ru-RU" sz="1400" b="0" i="0" u="none" strike="noStrike">
            <a:solidFill>
              <a:schemeClr val="tx1"/>
            </a:solidFill>
            <a:latin typeface="Aptos Narrow"/>
            <a:ea typeface="+mn-ea"/>
            <a:cs typeface="+mn-cs"/>
          </a:endParaRPr>
        </a:p>
      </xdr:txBody>
    </xdr:sp>
    <xdr:clientData/>
  </xdr:twoCellAnchor>
  <xdr:twoCellAnchor>
    <xdr:from>
      <xdr:col>18</xdr:col>
      <xdr:colOff>236220</xdr:colOff>
      <xdr:row>22</xdr:row>
      <xdr:rowOff>83820</xdr:rowOff>
    </xdr:from>
    <xdr:to>
      <xdr:col>19</xdr:col>
      <xdr:colOff>403860</xdr:colOff>
      <xdr:row>24</xdr:row>
      <xdr:rowOff>45720</xdr:rowOff>
    </xdr:to>
    <xdr:sp macro="" textlink="Processing!K7">
      <xdr:nvSpPr>
        <xdr:cNvPr id="38" name="TextBox 37">
          <a:extLst>
            <a:ext uri="{FF2B5EF4-FFF2-40B4-BE49-F238E27FC236}">
              <a16:creationId xmlns:a16="http://schemas.microsoft.com/office/drawing/2014/main" id="{0EA36314-B4FD-4768-8083-EA5859993F98}"/>
            </a:ext>
          </a:extLst>
        </xdr:cNvPr>
        <xdr:cNvSpPr txBox="1"/>
      </xdr:nvSpPr>
      <xdr:spPr>
        <a:xfrm>
          <a:off x="11209020" y="4107180"/>
          <a:ext cx="7772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95F57CC-C864-4243-8643-2B753CFD8A66}" type="TxLink">
            <a:rPr lang="en-US" sz="1400" b="0" i="0" u="none" strike="noStrike">
              <a:solidFill>
                <a:schemeClr val="tx1"/>
              </a:solidFill>
              <a:latin typeface="Aptos Narrow"/>
              <a:ea typeface="+mn-ea"/>
              <a:cs typeface="+mn-cs"/>
            </a:rPr>
            <a:pPr marL="0" indent="0" algn="r"/>
            <a:t> 15 366</a:t>
          </a:fld>
          <a:endParaRPr lang="ru-RU" sz="3200" b="0" i="0" u="none" strike="noStrike">
            <a:solidFill>
              <a:schemeClr val="tx1"/>
            </a:solidFill>
            <a:latin typeface="Aptos Narrow"/>
            <a:ea typeface="+mn-ea"/>
            <a:cs typeface="+mn-cs"/>
          </a:endParaRPr>
        </a:p>
      </xdr:txBody>
    </xdr:sp>
    <xdr:clientData/>
  </xdr:twoCellAnchor>
  <xdr:twoCellAnchor editAs="oneCell">
    <xdr:from>
      <xdr:col>2</xdr:col>
      <xdr:colOff>304800</xdr:colOff>
      <xdr:row>30</xdr:row>
      <xdr:rowOff>91440</xdr:rowOff>
    </xdr:from>
    <xdr:to>
      <xdr:col>11</xdr:col>
      <xdr:colOff>396240</xdr:colOff>
      <xdr:row>32</xdr:row>
      <xdr:rowOff>155448</xdr:rowOff>
    </xdr:to>
    <mc:AlternateContent xmlns:mc="http://schemas.openxmlformats.org/markup-compatibility/2006" xmlns:a14="http://schemas.microsoft.com/office/drawing/2010/main">
      <mc:Choice Requires="a14">
        <xdr:graphicFrame macro="">
          <xdr:nvGraphicFramePr>
            <xdr:cNvPr id="39" name="Month 9">
              <a:extLst>
                <a:ext uri="{FF2B5EF4-FFF2-40B4-BE49-F238E27FC236}">
                  <a16:creationId xmlns:a16="http://schemas.microsoft.com/office/drawing/2014/main" id="{7E2F1E00-EA4A-4F8E-9569-794AFF8584CD}"/>
                </a:ext>
              </a:extLst>
            </xdr:cNvPr>
            <xdr:cNvGraphicFramePr/>
          </xdr:nvGraphicFramePr>
          <xdr:xfrm>
            <a:off x="0" y="0"/>
            <a:ext cx="0" cy="0"/>
          </xdr:xfrm>
          <a:graphic>
            <a:graphicData uri="http://schemas.microsoft.com/office/drawing/2010/slicer">
              <sle:slicer xmlns:sle="http://schemas.microsoft.com/office/drawing/2010/slicer" name="Month 9"/>
            </a:graphicData>
          </a:graphic>
        </xdr:graphicFrame>
      </mc:Choice>
      <mc:Fallback xmlns="">
        <xdr:sp macro="" textlink="">
          <xdr:nvSpPr>
            <xdr:cNvPr id="0" name=""/>
            <xdr:cNvSpPr>
              <a:spLocks noTextEdit="1"/>
            </xdr:cNvSpPr>
          </xdr:nvSpPr>
          <xdr:spPr>
            <a:xfrm>
              <a:off x="1524000" y="5577840"/>
              <a:ext cx="55778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533400</xdr:colOff>
      <xdr:row>15</xdr:row>
      <xdr:rowOff>7620</xdr:rowOff>
    </xdr:from>
    <xdr:to>
      <xdr:col>11</xdr:col>
      <xdr:colOff>426720</xdr:colOff>
      <xdr:row>30</xdr:row>
      <xdr:rowOff>80772</xdr:rowOff>
    </xdr:to>
    <xdr:graphicFrame macro="">
      <xdr:nvGraphicFramePr>
        <xdr:cNvPr id="40" name="Chart 39">
          <a:extLst>
            <a:ext uri="{FF2B5EF4-FFF2-40B4-BE49-F238E27FC236}">
              <a16:creationId xmlns:a16="http://schemas.microsoft.com/office/drawing/2014/main" id="{10F153FF-9671-4181-B22D-DF83A2F0B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165918</xdr:colOff>
      <xdr:row>8</xdr:row>
      <xdr:rowOff>11316</xdr:rowOff>
    </xdr:from>
    <xdr:to>
      <xdr:col>8</xdr:col>
      <xdr:colOff>489402</xdr:colOff>
      <xdr:row>10</xdr:row>
      <xdr:rowOff>42025</xdr:rowOff>
    </xdr:to>
    <xdr:sp macro="" textlink="Processing!K20">
      <xdr:nvSpPr>
        <xdr:cNvPr id="41" name="TextBox 40">
          <a:extLst>
            <a:ext uri="{FF2B5EF4-FFF2-40B4-BE49-F238E27FC236}">
              <a16:creationId xmlns:a16="http://schemas.microsoft.com/office/drawing/2014/main" id="{023C9E13-CFCA-483D-94C8-B5F3A7739D2D}"/>
            </a:ext>
          </a:extLst>
        </xdr:cNvPr>
        <xdr:cNvSpPr txBox="1"/>
      </xdr:nvSpPr>
      <xdr:spPr>
        <a:xfrm>
          <a:off x="4433118" y="1474356"/>
          <a:ext cx="933084" cy="39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73E5E43-1905-494A-8EE9-C06256600801}" type="TxLink">
            <a:rPr lang="en-US" sz="2400" b="0" i="0" u="none" strike="noStrike">
              <a:solidFill>
                <a:schemeClr val="tx1"/>
              </a:solidFill>
              <a:latin typeface="Aptos Narrow"/>
              <a:ea typeface="+mn-ea"/>
              <a:cs typeface="+mn-cs"/>
            </a:rPr>
            <a:pPr marL="0" indent="0" algn="ctr"/>
            <a:t>40%</a:t>
          </a:fld>
          <a:endParaRPr lang="ru-RU" sz="2400" b="0" i="0" u="none" strike="noStrike">
            <a:solidFill>
              <a:schemeClr val="tx1"/>
            </a:solidFill>
            <a:latin typeface="Aptos Narrow"/>
            <a:ea typeface="+mn-ea"/>
            <a:cs typeface="+mn-cs"/>
          </a:endParaRPr>
        </a:p>
      </xdr:txBody>
    </xdr:sp>
    <xdr:clientData/>
  </xdr:twoCellAnchor>
  <xdr:twoCellAnchor>
    <xdr:from>
      <xdr:col>12</xdr:col>
      <xdr:colOff>34259</xdr:colOff>
      <xdr:row>23</xdr:row>
      <xdr:rowOff>70365</xdr:rowOff>
    </xdr:from>
    <xdr:to>
      <xdr:col>16</xdr:col>
      <xdr:colOff>567659</xdr:colOff>
      <xdr:row>33</xdr:row>
      <xdr:rowOff>38100</xdr:rowOff>
    </xdr:to>
    <xdr:graphicFrame macro="">
      <xdr:nvGraphicFramePr>
        <xdr:cNvPr id="45" name="Chart 44">
          <a:extLst>
            <a:ext uri="{FF2B5EF4-FFF2-40B4-BE49-F238E27FC236}">
              <a16:creationId xmlns:a16="http://schemas.microsoft.com/office/drawing/2014/main" id="{2927E0C7-282D-4599-8EE4-04C9318D6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566998</xdr:colOff>
      <xdr:row>23</xdr:row>
      <xdr:rowOff>99060</xdr:rowOff>
    </xdr:from>
    <xdr:to>
      <xdr:col>19</xdr:col>
      <xdr:colOff>476943</xdr:colOff>
      <xdr:row>31</xdr:row>
      <xdr:rowOff>175260</xdr:rowOff>
    </xdr:to>
    <xdr:graphicFrame macro="">
      <xdr:nvGraphicFramePr>
        <xdr:cNvPr id="46" name="Chart 45">
          <a:extLst>
            <a:ext uri="{FF2B5EF4-FFF2-40B4-BE49-F238E27FC236}">
              <a16:creationId xmlns:a16="http://schemas.microsoft.com/office/drawing/2014/main" id="{51DC1BFC-6EE1-4A93-B446-180245C78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0</xdr:row>
      <xdr:rowOff>0</xdr:rowOff>
    </xdr:from>
    <xdr:to>
      <xdr:col>0</xdr:col>
      <xdr:colOff>274320</xdr:colOff>
      <xdr:row>1</xdr:row>
      <xdr:rowOff>91440</xdr:rowOff>
    </xdr:to>
    <xdr:pic>
      <xdr:nvPicPr>
        <xdr:cNvPr id="47" name="Graphic 46" descr="Moon and stars with solid fill">
          <a:hlinkClick xmlns:r="http://schemas.openxmlformats.org/officeDocument/2006/relationships" r:id="rId9"/>
          <a:extLst>
            <a:ext uri="{FF2B5EF4-FFF2-40B4-BE49-F238E27FC236}">
              <a16:creationId xmlns:a16="http://schemas.microsoft.com/office/drawing/2014/main" id="{FBB9787E-99AF-4E5C-B91A-2219A0A0CE2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0" y="0"/>
          <a:ext cx="274320" cy="274320"/>
        </a:xfrm>
        <a:prstGeom prst="rect">
          <a:avLst/>
        </a:prstGeom>
      </xdr:spPr>
    </xdr:pic>
    <xdr:clientData/>
  </xdr:twoCellAnchor>
  <xdr:twoCellAnchor>
    <xdr:from>
      <xdr:col>12</xdr:col>
      <xdr:colOff>358140</xdr:colOff>
      <xdr:row>8</xdr:row>
      <xdr:rowOff>106680</xdr:rowOff>
    </xdr:from>
    <xdr:to>
      <xdr:col>16</xdr:col>
      <xdr:colOff>274320</xdr:colOff>
      <xdr:row>18</xdr:row>
      <xdr:rowOff>106680</xdr:rowOff>
    </xdr:to>
    <xdr:sp macro="" textlink="">
      <xdr:nvSpPr>
        <xdr:cNvPr id="48" name="Rectangle: Rounded Corners 47">
          <a:hlinkClick xmlns:r="http://schemas.openxmlformats.org/officeDocument/2006/relationships" r:id="rId12"/>
          <a:extLst>
            <a:ext uri="{FF2B5EF4-FFF2-40B4-BE49-F238E27FC236}">
              <a16:creationId xmlns:a16="http://schemas.microsoft.com/office/drawing/2014/main" id="{94E7ECEA-1403-4918-B4E9-3AEEDEAAE78F}"/>
            </a:ext>
          </a:extLst>
        </xdr:cNvPr>
        <xdr:cNvSpPr/>
      </xdr:nvSpPr>
      <xdr:spPr>
        <a:xfrm>
          <a:off x="7673340" y="1569720"/>
          <a:ext cx="235458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358140</xdr:colOff>
      <xdr:row>19</xdr:row>
      <xdr:rowOff>144780</xdr:rowOff>
    </xdr:from>
    <xdr:to>
      <xdr:col>16</xdr:col>
      <xdr:colOff>274320</xdr:colOff>
      <xdr:row>32</xdr:row>
      <xdr:rowOff>45720</xdr:rowOff>
    </xdr:to>
    <xdr:sp macro="" textlink="">
      <xdr:nvSpPr>
        <xdr:cNvPr id="49" name="Rectangle: Rounded Corners 48">
          <a:hlinkClick xmlns:r="http://schemas.openxmlformats.org/officeDocument/2006/relationships" r:id="rId13"/>
          <a:extLst>
            <a:ext uri="{FF2B5EF4-FFF2-40B4-BE49-F238E27FC236}">
              <a16:creationId xmlns:a16="http://schemas.microsoft.com/office/drawing/2014/main" id="{FD0D7C5A-2768-4EB7-99F8-FDC1D254DC96}"/>
            </a:ext>
          </a:extLst>
        </xdr:cNvPr>
        <xdr:cNvSpPr/>
      </xdr:nvSpPr>
      <xdr:spPr>
        <a:xfrm>
          <a:off x="7673340" y="3619500"/>
          <a:ext cx="2354580" cy="2278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525780</xdr:colOff>
      <xdr:row>22</xdr:row>
      <xdr:rowOff>22860</xdr:rowOff>
    </xdr:from>
    <xdr:to>
      <xdr:col>19</xdr:col>
      <xdr:colOff>518160</xdr:colOff>
      <xdr:row>32</xdr:row>
      <xdr:rowOff>22860</xdr:rowOff>
    </xdr:to>
    <xdr:sp macro="" textlink="">
      <xdr:nvSpPr>
        <xdr:cNvPr id="50" name="Rectangle: Rounded Corners 49">
          <a:hlinkClick xmlns:r="http://schemas.openxmlformats.org/officeDocument/2006/relationships" r:id="rId14"/>
          <a:extLst>
            <a:ext uri="{FF2B5EF4-FFF2-40B4-BE49-F238E27FC236}">
              <a16:creationId xmlns:a16="http://schemas.microsoft.com/office/drawing/2014/main" id="{B4D9E008-B605-4FE1-9CD8-5D630F50D27B}"/>
            </a:ext>
          </a:extLst>
        </xdr:cNvPr>
        <xdr:cNvSpPr/>
      </xdr:nvSpPr>
      <xdr:spPr>
        <a:xfrm>
          <a:off x="10279380" y="4046220"/>
          <a:ext cx="182118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99060</xdr:colOff>
      <xdr:row>22</xdr:row>
      <xdr:rowOff>22860</xdr:rowOff>
    </xdr:from>
    <xdr:to>
      <xdr:col>22</xdr:col>
      <xdr:colOff>53340</xdr:colOff>
      <xdr:row>32</xdr:row>
      <xdr:rowOff>22860</xdr:rowOff>
    </xdr:to>
    <xdr:sp macro="" textlink="">
      <xdr:nvSpPr>
        <xdr:cNvPr id="51" name="Rectangle: Rounded Corners 50">
          <a:hlinkClick xmlns:r="http://schemas.openxmlformats.org/officeDocument/2006/relationships" r:id="rId15"/>
          <a:extLst>
            <a:ext uri="{FF2B5EF4-FFF2-40B4-BE49-F238E27FC236}">
              <a16:creationId xmlns:a16="http://schemas.microsoft.com/office/drawing/2014/main" id="{D356BA7E-5DFA-4173-BAAB-2E507DDD2D36}"/>
            </a:ext>
          </a:extLst>
        </xdr:cNvPr>
        <xdr:cNvSpPr/>
      </xdr:nvSpPr>
      <xdr:spPr>
        <a:xfrm>
          <a:off x="12291060" y="4046220"/>
          <a:ext cx="1173480" cy="182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556260</xdr:colOff>
      <xdr:row>8</xdr:row>
      <xdr:rowOff>106680</xdr:rowOff>
    </xdr:from>
    <xdr:to>
      <xdr:col>22</xdr:col>
      <xdr:colOff>22860</xdr:colOff>
      <xdr:row>20</xdr:row>
      <xdr:rowOff>167640</xdr:rowOff>
    </xdr:to>
    <xdr:sp macro="" textlink="">
      <xdr:nvSpPr>
        <xdr:cNvPr id="52" name="Rectangle: Rounded Corners 51">
          <a:hlinkClick xmlns:r="http://schemas.openxmlformats.org/officeDocument/2006/relationships" r:id="rId16"/>
          <a:extLst>
            <a:ext uri="{FF2B5EF4-FFF2-40B4-BE49-F238E27FC236}">
              <a16:creationId xmlns:a16="http://schemas.microsoft.com/office/drawing/2014/main" id="{C1765CAF-3597-47B6-9BF8-DBCC17DAF5F5}"/>
            </a:ext>
          </a:extLst>
        </xdr:cNvPr>
        <xdr:cNvSpPr/>
      </xdr:nvSpPr>
      <xdr:spPr>
        <a:xfrm>
          <a:off x="10309860" y="1569720"/>
          <a:ext cx="3124200" cy="2255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is Rivera" refreshedDate="46127.414390162034" createdVersion="8" refreshedVersion="8" minRefreshableVersion="3" recordCount="36" xr:uid="{1DC0B744-4A9D-4C5C-B707-6FAB06CB46FF}">
  <cacheSource type="worksheet">
    <worksheetSource name="mydata"/>
  </cacheSource>
  <cacheFields count="21">
    <cacheField name="Year" numFmtId="0">
      <sharedItems containsSemiMixedTypes="0" containsString="0" containsNumber="1" containsInteger="1" minValue="2024" maxValue="2027" count="4">
        <n v="2025"/>
        <n v="2026"/>
        <n v="2024"/>
        <n v="2027" u="1"/>
      </sharedItems>
    </cacheField>
    <cacheField name="Month" numFmtId="0">
      <sharedItems count="12">
        <s v="JAN"/>
        <s v="FEB"/>
        <s v="MAR"/>
        <s v="APR"/>
        <s v="MAY"/>
        <s v="JUN"/>
        <s v="JUL"/>
        <s v="AUG"/>
        <s v="SEP"/>
        <s v="OCT"/>
        <s v="NOV"/>
        <s v="DEC"/>
      </sharedItems>
    </cacheField>
    <cacheField name="Investments" numFmtId="0">
      <sharedItems containsSemiMixedTypes="0" containsString="0" containsNumber="1" containsInteger="1" minValue="23093" maxValue="109735"/>
    </cacheField>
    <cacheField name="Sales Volume" numFmtId="0">
      <sharedItems containsSemiMixedTypes="0" containsString="0" containsNumber="1" containsInteger="1" minValue="33543" maxValue="114510"/>
    </cacheField>
    <cacheField name="Revenue" numFmtId="0">
      <sharedItems containsSemiMixedTypes="0" containsString="0" containsNumber="1" containsInteger="1" minValue="31175" maxValue="153629"/>
    </cacheField>
    <cacheField name="Expenses" numFmtId="0">
      <sharedItems containsSemiMixedTypes="0" containsString="0" containsNumber="1" containsInteger="1" minValue="16760" maxValue="128340"/>
    </cacheField>
    <cacheField name="MON" numFmtId="0">
      <sharedItems containsSemiMixedTypes="0" containsString="0" containsNumber="1" containsInteger="1" minValue="263" maxValue="4362"/>
    </cacheField>
    <cacheField name="TUE" numFmtId="0">
      <sharedItems containsSemiMixedTypes="0" containsString="0" containsNumber="1" containsInteger="1" minValue="647" maxValue="7805"/>
    </cacheField>
    <cacheField name="WED" numFmtId="0">
      <sharedItems containsSemiMixedTypes="0" containsString="0" containsNumber="1" containsInteger="1" minValue="405" maxValue="8568"/>
    </cacheField>
    <cacheField name="THU" numFmtId="0">
      <sharedItems containsSemiMixedTypes="0" containsString="0" containsNumber="1" containsInteger="1" minValue="401" maxValue="9530"/>
    </cacheField>
    <cacheField name="FRI" numFmtId="0">
      <sharedItems containsSemiMixedTypes="0" containsString="0" containsNumber="1" containsInteger="1" minValue="103" maxValue="5595"/>
    </cacheField>
    <cacheField name="Sales A" numFmtId="44">
      <sharedItems containsSemiMixedTypes="0" containsString="0" containsNumber="1" minValue="3881.457043968881" maxValue="27448.095297266296"/>
    </cacheField>
    <cacheField name="Sales B" numFmtId="44">
      <sharedItems containsSemiMixedTypes="0" containsString="0" containsNumber="1" minValue="4887.3752522760915" maxValue="27354.345606818973"/>
    </cacheField>
    <cacheField name="Sales C" numFmtId="44">
      <sharedItems containsSemiMixedTypes="0" containsString="0" containsNumber="1" minValue="4376.659079065168" maxValue="31549.815078236134"/>
    </cacheField>
    <cacheField name="Sales D" numFmtId="44">
      <sharedItems containsSemiMixedTypes="0" containsString="0" containsNumber="1" minValue="4026.7997889006169" maxValue="31424.981150140629"/>
    </cacheField>
    <cacheField name="Sales E" numFmtId="44">
      <sharedItems containsSemiMixedTypes="0" containsString="0" containsNumber="1" minValue="5098.1977769369705" maxValue="26949.791375931942"/>
    </cacheField>
    <cacheField name="Revenue A" numFmtId="44">
      <sharedItems containsSemiMixedTypes="0" containsString="0" containsNumber="1" containsInteger="1" minValue="5068" maxValue="51167"/>
    </cacheField>
    <cacheField name="Revenue B" numFmtId="44">
      <sharedItems containsSemiMixedTypes="0" containsString="0" containsNumber="1" containsInteger="1" minValue="4535" maxValue="28753"/>
    </cacheField>
    <cacheField name="Revenue C" numFmtId="44">
      <sharedItems containsSemiMixedTypes="0" containsString="0" containsNumber="1" containsInteger="1" minValue="4364" maxValue="35666"/>
    </cacheField>
    <cacheField name="Revenue D" numFmtId="44">
      <sharedItems containsSemiMixedTypes="0" containsString="0" containsNumber="1" containsInteger="1" minValue="5575" maxValue="41413"/>
    </cacheField>
    <cacheField name="Revenue E" numFmtId="44">
      <sharedItems containsSemiMixedTypes="0" containsString="0" containsNumber="1" containsInteger="1" minValue="6235" maxValue="30725"/>
    </cacheField>
  </cacheFields>
  <extLst>
    <ext xmlns:x14="http://schemas.microsoft.com/office/spreadsheetml/2009/9/main" uri="{725AE2AE-9491-48be-B2B4-4EB974FC3084}">
      <x14:pivotCacheDefinition pivotCacheId="19297528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is Rivera" refreshedDate="46127.414390740742" createdVersion="8" refreshedVersion="8" minRefreshableVersion="3" recordCount="5" xr:uid="{5B8FA204-2983-4EBF-8E8F-734CDFFDA46C}">
  <cacheSource type="worksheet">
    <worksheetSource ref="H1:H6" sheet="Processing"/>
  </cacheSource>
  <cacheFields count="1">
    <cacheField name="Week Day" numFmtId="0">
      <sharedItems count="5">
        <s v="Monday"/>
        <s v="Tuesday"/>
        <s v="Wednesday"/>
        <s v="Thursday"/>
        <s v="Friday"/>
      </sharedItems>
    </cacheField>
  </cacheFields>
  <extLst>
    <ext xmlns:x14="http://schemas.microsoft.com/office/spreadsheetml/2009/9/main" uri="{725AE2AE-9491-48be-B2B4-4EB974FC3084}">
      <x14:pivotCacheDefinition pivotCacheId="1974727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80017"/>
    <n v="97558"/>
    <n v="112023"/>
    <n v="100740"/>
    <n v="713"/>
    <n v="1140"/>
    <n v="1621"/>
    <n v="1446"/>
    <n v="754"/>
    <n v="27448.095297266296"/>
    <n v="16424.796621104953"/>
    <n v="7872.0363338749758"/>
    <n v="18863.280371821831"/>
    <n v="26949.791375931942"/>
    <n v="13248"/>
    <n v="26106"/>
    <n v="24158"/>
    <n v="26106"/>
    <n v="22405"/>
  </r>
  <r>
    <x v="0"/>
    <x v="1"/>
    <n v="63839"/>
    <n v="109249"/>
    <n v="89374"/>
    <n v="94530"/>
    <n v="1253"/>
    <n v="1650"/>
    <n v="2372"/>
    <n v="1139"/>
    <n v="1036"/>
    <n v="23764.929843742881"/>
    <n v="24933.090793130155"/>
    <n v="18942.266593777051"/>
    <n v="17383.05967837456"/>
    <n v="24225.653090975353"/>
    <n v="25295"/>
    <n v="15177"/>
    <n v="19898"/>
    <n v="11130"/>
    <n v="17874"/>
  </r>
  <r>
    <x v="0"/>
    <x v="2"/>
    <n v="52732"/>
    <n v="114510"/>
    <n v="73824"/>
    <n v="102810"/>
    <n v="669"/>
    <n v="866"/>
    <n v="1521"/>
    <n v="4462"/>
    <n v="1452"/>
    <n v="24276.433686394194"/>
    <n v="12218.541878602917"/>
    <n v="22456.748050186503"/>
    <n v="31424.981150140629"/>
    <n v="24133.295234675763"/>
    <n v="19686"/>
    <n v="17897"/>
    <n v="12528"/>
    <n v="8948"/>
    <n v="14765"/>
  </r>
  <r>
    <x v="0"/>
    <x v="3"/>
    <n v="50355"/>
    <n v="106636"/>
    <n v="70497"/>
    <n v="113850"/>
    <n v="1170"/>
    <n v="1781"/>
    <n v="1273"/>
    <n v="1014"/>
    <n v="518"/>
    <n v="16531.862176187573"/>
    <n v="17366.782080103087"/>
    <n v="28381.30235098851"/>
    <n v="27577.00115553501"/>
    <n v="16779.052237185817"/>
    <n v="19369"/>
    <n v="18799"/>
    <n v="9115"/>
    <n v="9115"/>
    <n v="14099"/>
  </r>
  <r>
    <x v="0"/>
    <x v="4"/>
    <n v="57327"/>
    <n v="87133"/>
    <n v="80257"/>
    <n v="106260"/>
    <n v="486"/>
    <n v="1235"/>
    <n v="2145"/>
    <n v="1513"/>
    <n v="338"/>
    <n v="14632.423984446947"/>
    <n v="15003.910904191822"/>
    <n v="21139.091681162387"/>
    <n v="20823.476394147139"/>
    <n v="15534.097036051706"/>
    <n v="9126"/>
    <n v="17274"/>
    <n v="23792"/>
    <n v="14014"/>
    <n v="16051"/>
  </r>
  <r>
    <x v="0"/>
    <x v="5"/>
    <n v="71533"/>
    <n v="76715"/>
    <n v="100146"/>
    <n v="89700"/>
    <n v="1067"/>
    <n v="1554"/>
    <n v="1331"/>
    <n v="1004"/>
    <n v="176"/>
    <n v="15548.792846497763"/>
    <n v="18349.347148937311"/>
    <n v="17570.156516427007"/>
    <n v="13182.381110618815"/>
    <n v="12064.322377519098"/>
    <n v="14421"/>
    <n v="17626"/>
    <n v="13887"/>
    <n v="34183"/>
    <n v="20029"/>
  </r>
  <r>
    <x v="0"/>
    <x v="6"/>
    <n v="88557"/>
    <n v="78093"/>
    <n v="123979"/>
    <n v="88320"/>
    <n v="531"/>
    <n v="1000"/>
    <n v="2408"/>
    <n v="627"/>
    <n v="304"/>
    <n v="18182.576851259419"/>
    <n v="22610.188801692279"/>
    <n v="18390.089295274407"/>
    <n v="8722.1508102320367"/>
    <n v="10187.994241541855"/>
    <n v="34006"/>
    <n v="28338"/>
    <n v="21254"/>
    <n v="15586"/>
    <n v="24795"/>
  </r>
  <r>
    <x v="0"/>
    <x v="7"/>
    <n v="102771"/>
    <n v="93616"/>
    <n v="143879"/>
    <n v="99360"/>
    <n v="1298"/>
    <n v="1472"/>
    <n v="814"/>
    <n v="799"/>
    <n v="354"/>
    <n v="19490.76862084345"/>
    <n v="27354.345606818973"/>
    <n v="25331.62019921701"/>
    <n v="9890.3617622280581"/>
    <n v="11548.903810892512"/>
    <n v="24858"/>
    <n v="27560"/>
    <n v="35666"/>
    <n v="27020"/>
    <n v="28775"/>
  </r>
  <r>
    <x v="0"/>
    <x v="8"/>
    <n v="109735"/>
    <n v="100816"/>
    <n v="153629"/>
    <n v="120060"/>
    <n v="1236"/>
    <n v="1720"/>
    <n v="1512"/>
    <n v="1071"/>
    <n v="168"/>
    <n v="15375.276548127074"/>
    <n v="24337.336140350875"/>
    <n v="31549.815078236134"/>
    <n v="16057.899819819821"/>
    <n v="13495.672413466098"/>
    <n v="34066"/>
    <n v="18703"/>
    <n v="28722"/>
    <n v="41413"/>
    <n v="30725"/>
  </r>
  <r>
    <x v="0"/>
    <x v="9"/>
    <n v="107323"/>
    <n v="90443"/>
    <n v="150252"/>
    <n v="128340"/>
    <n v="420"/>
    <n v="890"/>
    <n v="1583"/>
    <n v="1371"/>
    <n v="458"/>
    <n v="11014.115803806126"/>
    <n v="15341.883962959928"/>
    <n v="26871.386727097375"/>
    <n v="21798.47392507517"/>
    <n v="15417.139581061403"/>
    <n v="51167"/>
    <n v="25990"/>
    <n v="21929"/>
    <n v="21116"/>
    <n v="30050"/>
  </r>
  <r>
    <x v="0"/>
    <x v="10"/>
    <n v="96271"/>
    <n v="82576"/>
    <n v="134779"/>
    <n v="122820"/>
    <n v="337"/>
    <n v="2403"/>
    <n v="2057"/>
    <n v="738"/>
    <n v="211"/>
    <n v="10692.047098121084"/>
    <n v="11348.729853862213"/>
    <n v="19769.970104384134"/>
    <n v="23319.133528183716"/>
    <n v="17446.119415448851"/>
    <n v="42530"/>
    <n v="28753"/>
    <n v="21565"/>
    <n v="14975"/>
    <n v="26956"/>
  </r>
  <r>
    <x v="0"/>
    <x v="11"/>
    <n v="80090"/>
    <n v="88480"/>
    <n v="112126"/>
    <n v="110400"/>
    <n v="1669"/>
    <n v="1773"/>
    <n v="405"/>
    <n v="401"/>
    <n v="304"/>
    <n v="15500.810039480362"/>
    <n v="11835.550780709329"/>
    <n v="14342.623104250564"/>
    <n v="23570.212165751611"/>
    <n v="23230.803909808135"/>
    <n v="22012"/>
    <n v="18160"/>
    <n v="18160"/>
    <n v="31368"/>
    <n v="22426"/>
  </r>
  <r>
    <x v="1"/>
    <x v="0"/>
    <n v="50564"/>
    <n v="50702"/>
    <n v="63206"/>
    <n v="39690"/>
    <n v="1067"/>
    <n v="2597"/>
    <n v="1262"/>
    <n v="1529"/>
    <n v="805"/>
    <n v="12351.262958984764"/>
    <n v="8094.328121892031"/>
    <n v="5089.2945193672012"/>
    <n v="9914.3585418572893"/>
    <n v="15252.755857898715"/>
    <n v="14990"/>
    <n v="11858"/>
    <n v="9173"/>
    <n v="14543"/>
    <n v="12642"/>
  </r>
  <r>
    <x v="1"/>
    <x v="1"/>
    <n v="63421"/>
    <n v="70305"/>
    <n v="79277"/>
    <n v="49690"/>
    <n v="2412"/>
    <n v="5592"/>
    <n v="6809"/>
    <n v="2147"/>
    <n v="1808"/>
    <n v="20400.839210613558"/>
    <n v="13311.889190787891"/>
    <n v="5594.1101851912035"/>
    <n v="9408.6709004751647"/>
    <n v="21589.490512932185"/>
    <n v="19258"/>
    <n v="15920"/>
    <n v="9500"/>
    <n v="18744"/>
    <n v="15855"/>
  </r>
  <r>
    <x v="1"/>
    <x v="2"/>
    <n v="65773"/>
    <n v="55623"/>
    <n v="82217"/>
    <n v="50270"/>
    <n v="343"/>
    <n v="1232"/>
    <n v="3197"/>
    <n v="3587"/>
    <n v="2297"/>
    <n v="17483.223772999987"/>
    <n v="10576.895138768255"/>
    <n v="4376.659079065168"/>
    <n v="6886.6323676790889"/>
    <n v="16299.589641487501"/>
    <n v="23665"/>
    <n v="12180"/>
    <n v="16008"/>
    <n v="13920"/>
    <n v="16444"/>
  </r>
  <r>
    <x v="1"/>
    <x v="3"/>
    <n v="59724"/>
    <n v="62203"/>
    <n v="74656"/>
    <n v="47270"/>
    <n v="1867"/>
    <n v="7805"/>
    <n v="2249"/>
    <n v="1864"/>
    <n v="422"/>
    <n v="18590.332185898569"/>
    <n v="9495.218151616893"/>
    <n v="7034.3579925781942"/>
    <n v="10661.675539848029"/>
    <n v="16421.416130058315"/>
    <n v="8670"/>
    <n v="15654"/>
    <n v="17821"/>
    <n v="17580"/>
    <n v="14931"/>
  </r>
  <r>
    <x v="1"/>
    <x v="4"/>
    <n v="45764"/>
    <n v="54385"/>
    <n v="57205"/>
    <n v="35250"/>
    <n v="599"/>
    <n v="1422"/>
    <n v="2800"/>
    <n v="2114"/>
    <n v="566"/>
    <n v="12433.368535075653"/>
    <n v="6862.4593878954602"/>
    <n v="9908.6178473177442"/>
    <n v="12939.06674690509"/>
    <n v="12241.487482806053"/>
    <n v="7390"/>
    <n v="15065"/>
    <n v="11086"/>
    <n v="12223"/>
    <n v="11441"/>
  </r>
  <r>
    <x v="1"/>
    <x v="5"/>
    <n v="35126"/>
    <n v="36741"/>
    <n v="43908"/>
    <n v="35250"/>
    <n v="504"/>
    <n v="754"/>
    <n v="749"/>
    <n v="433"/>
    <n v="103"/>
    <n v="5599.224918150423"/>
    <n v="4887.3752522760915"/>
    <n v="8577.2705937377868"/>
    <n v="10453.408767354993"/>
    <n v="7223.7204684807057"/>
    <n v="6572"/>
    <n v="13824"/>
    <n v="6799"/>
    <n v="7932"/>
    <n v="8781"/>
  </r>
  <r>
    <x v="1"/>
    <x v="6"/>
    <n v="35124"/>
    <n v="35401"/>
    <n v="43905"/>
    <n v="44070"/>
    <n v="419"/>
    <n v="647"/>
    <n v="472"/>
    <n v="564"/>
    <n v="296"/>
    <n v="3881.457043968881"/>
    <n v="5892.0275955061761"/>
    <n v="9371.8104789600566"/>
    <n v="9753.4669239181749"/>
    <n v="6502.2379576467083"/>
    <n v="12080"/>
    <n v="8363"/>
    <n v="9106"/>
    <n v="5575"/>
    <n v="8781"/>
  </r>
  <r>
    <x v="1"/>
    <x v="7"/>
    <n v="45767"/>
    <n v="37172"/>
    <n v="57209"/>
    <n v="45370"/>
    <n v="1119"/>
    <n v="1947"/>
    <n v="2642"/>
    <n v="792"/>
    <n v="781"/>
    <n v="4034.9190398543856"/>
    <n v="8141.021804254674"/>
    <n v="10096.577326103168"/>
    <n v="8636.7236484522145"/>
    <n v="6262.7581813355582"/>
    <n v="11015"/>
    <n v="13673"/>
    <n v="9495"/>
    <n v="11584"/>
    <n v="11442"/>
  </r>
  <r>
    <x v="1"/>
    <x v="8"/>
    <n v="59726"/>
    <n v="51231"/>
    <n v="74658"/>
    <n v="56490"/>
    <n v="660"/>
    <n v="922"/>
    <n v="1397"/>
    <n v="2169"/>
    <n v="978"/>
    <n v="7036.7396697609456"/>
    <n v="13669.456009200689"/>
    <n v="14827.13824415952"/>
    <n v="9801.7743366466784"/>
    <n v="5895.8917402321658"/>
    <n v="14562"/>
    <n v="15829"/>
    <n v="15829"/>
    <n v="13507"/>
    <n v="14931"/>
  </r>
  <r>
    <x v="1"/>
    <x v="9"/>
    <n v="66562"/>
    <n v="55624"/>
    <n v="83203"/>
    <n v="61490"/>
    <n v="979"/>
    <n v="5861"/>
    <n v="5671"/>
    <n v="549"/>
    <n v="163"/>
    <n v="8987.9418734630017"/>
    <n v="17243.286384976524"/>
    <n v="15797.842164095686"/>
    <n v="7840.9496981891343"/>
    <n v="5753.9798792756537"/>
    <n v="20115"/>
    <n v="11338"/>
    <n v="23772"/>
    <n v="11338"/>
    <n v="16640"/>
  </r>
  <r>
    <x v="1"/>
    <x v="10"/>
    <n v="63425"/>
    <n v="65096"/>
    <n v="79282"/>
    <n v="57770"/>
    <n v="2964"/>
    <n v="3724"/>
    <n v="4447"/>
    <n v="3728"/>
    <n v="1512"/>
    <n v="13071.34146607718"/>
    <n v="21001.374488292124"/>
    <n v="16782.534741553409"/>
    <n v="6848.5639430162109"/>
    <n v="7392.1853610610769"/>
    <n v="16194"/>
    <n v="17093"/>
    <n v="13495"/>
    <n v="16644"/>
    <n v="15856"/>
  </r>
  <r>
    <x v="1"/>
    <x v="11"/>
    <n v="50564"/>
    <n v="44623"/>
    <n v="63206"/>
    <n v="47770"/>
    <n v="1754"/>
    <n v="2767"/>
    <n v="2046"/>
    <n v="1432"/>
    <n v="382"/>
    <n v="10151.250774079783"/>
    <n v="13637.025728606934"/>
    <n v="10074.422460115798"/>
    <n v="4256.8462184640593"/>
    <n v="6503.454818733424"/>
    <n v="9496"/>
    <n v="14718"/>
    <n v="12107"/>
    <n v="14244"/>
    <n v="12641"/>
  </r>
  <r>
    <x v="2"/>
    <x v="0"/>
    <n v="28026"/>
    <n v="33543"/>
    <n v="37835"/>
    <n v="26660"/>
    <n v="1511"/>
    <n v="5603"/>
    <n v="5741"/>
    <n v="2858"/>
    <n v="1164"/>
    <n v="7381.8451474918056"/>
    <n v="8409.9741542136544"/>
    <n v="7244.885506360758"/>
    <n v="4026.7997889006169"/>
    <n v="6479.4954030331646"/>
    <n v="8185"/>
    <n v="7567"/>
    <n v="5405"/>
    <n v="9111"/>
    <n v="7567"/>
  </r>
  <r>
    <x v="2"/>
    <x v="1"/>
    <n v="36152"/>
    <n v="33555"/>
    <n v="48805"/>
    <n v="32060"/>
    <n v="2881"/>
    <n v="5551"/>
    <n v="2481"/>
    <n v="2067"/>
    <n v="875"/>
    <n v="5996.3606098068985"/>
    <n v="5971.1099278390684"/>
    <n v="8022.9532902428209"/>
    <n v="5685.2361355604235"/>
    <n v="7879.3400365507887"/>
    <n v="6428"/>
    <n v="13808"/>
    <n v="7856"/>
    <n v="10951"/>
    <n v="9762"/>
  </r>
  <r>
    <x v="2"/>
    <x v="2"/>
    <n v="38644"/>
    <n v="38370"/>
    <n v="52169"/>
    <n v="35760"/>
    <n v="2045"/>
    <n v="2765"/>
    <n v="2278"/>
    <n v="1140"/>
    <n v="117"/>
    <n v="5162.7025766212519"/>
    <n v="4967.0323483551037"/>
    <n v="10358.507259528131"/>
    <n v="8247.3284808670542"/>
    <n v="9634.4293346284594"/>
    <n v="8675"/>
    <n v="12192"/>
    <n v="6565"/>
    <n v="14303"/>
    <n v="10434"/>
  </r>
  <r>
    <x v="2"/>
    <x v="3"/>
    <n v="35469"/>
    <n v="44242"/>
    <n v="47883"/>
    <n v="36560"/>
    <n v="263"/>
    <n v="1412"/>
    <n v="3836"/>
    <n v="2081"/>
    <n v="311"/>
    <n v="4905.9119642439391"/>
    <n v="5684.6151790881213"/>
    <n v="12310.265547853282"/>
    <n v="10837.293534604823"/>
    <n v="10503.913774209834"/>
    <n v="9577"/>
    <n v="13357"/>
    <n v="7812"/>
    <n v="7560"/>
    <n v="9577"/>
  </r>
  <r>
    <x v="2"/>
    <x v="4"/>
    <n v="29118"/>
    <n v="42780"/>
    <n v="39309"/>
    <n v="34220"/>
    <n v="1820"/>
    <n v="3031"/>
    <n v="2757"/>
    <n v="1975"/>
    <n v="1499"/>
    <n v="5071.28710209568"/>
    <n v="6959.7547504124159"/>
    <n v="11211.355410276776"/>
    <n v="10679.44791348445"/>
    <n v="8858.1548237306779"/>
    <n v="10482"/>
    <n v="7321"/>
    <n v="4659"/>
    <n v="8985"/>
    <n v="7862"/>
  </r>
  <r>
    <x v="2"/>
    <x v="5"/>
    <n v="23300"/>
    <n v="36777"/>
    <n v="31455"/>
    <n v="29500"/>
    <n v="4362"/>
    <n v="4812"/>
    <n v="4003"/>
    <n v="2397"/>
    <n v="2155"/>
    <n v="5795.3927343975847"/>
    <n v="7508.731018533389"/>
    <n v="8594.097272990075"/>
    <n v="8472.4247390229011"/>
    <n v="6406.3542350560501"/>
    <n v="5091"/>
    <n v="5527"/>
    <n v="4364"/>
    <n v="10182"/>
    <n v="6291"/>
  </r>
  <r>
    <x v="2"/>
    <x v="6"/>
    <n v="23093"/>
    <n v="33575"/>
    <n v="31175"/>
    <n v="23820"/>
    <n v="2507"/>
    <n v="7399"/>
    <n v="4559"/>
    <n v="5121"/>
    <n v="2213"/>
    <n v="7298.308608836569"/>
    <n v="7937.0813909492636"/>
    <n v="6779.620315969074"/>
    <n v="6461.7919073081239"/>
    <n v="5098.1977769369705"/>
    <n v="5068"/>
    <n v="4535"/>
    <n v="9736"/>
    <n v="5601"/>
    <n v="6235"/>
  </r>
  <r>
    <x v="2"/>
    <x v="7"/>
    <n v="32452"/>
    <n v="34422"/>
    <n v="43810"/>
    <n v="19100"/>
    <n v="3047"/>
    <n v="3163"/>
    <n v="8406"/>
    <n v="2859"/>
    <n v="846"/>
    <n v="9544.6170991506733"/>
    <n v="8118.1067054572759"/>
    <n v="5979.5525315564728"/>
    <n v="5579.246633194125"/>
    <n v="5200.477030641453"/>
    <n v="9428"/>
    <n v="7583"/>
    <n v="9428"/>
    <n v="8608"/>
    <n v="8763"/>
  </r>
  <r>
    <x v="2"/>
    <x v="8"/>
    <n v="37109"/>
    <n v="38532"/>
    <n v="50097"/>
    <n v="16760"/>
    <n v="2526"/>
    <n v="2576"/>
    <n v="8568"/>
    <n v="9530"/>
    <n v="5595"/>
    <n v="11460.902330398758"/>
    <n v="8311.4796478508542"/>
    <n v="5993.0821336095287"/>
    <n v="6048.9545313309163"/>
    <n v="6717.5813568099438"/>
    <n v="7157"/>
    <n v="13496"/>
    <n v="11451"/>
    <n v="7975"/>
    <n v="10018"/>
  </r>
  <r>
    <x v="2"/>
    <x v="9"/>
    <n v="37602"/>
    <n v="43205"/>
    <n v="50762"/>
    <n v="17560"/>
    <n v="3576"/>
    <n v="5116"/>
    <n v="3866"/>
    <n v="3387"/>
    <n v="1534"/>
    <n v="11210.946675130932"/>
    <n v="8667.7090560077395"/>
    <n v="6614.5728191292392"/>
    <n v="7779.5839662638582"/>
    <n v="8932.187483468233"/>
    <n v="10255"/>
    <n v="11691"/>
    <n v="5333"/>
    <n v="13331"/>
    <n v="10152"/>
  </r>
  <r>
    <x v="2"/>
    <x v="10"/>
    <n v="33906"/>
    <n v="43752"/>
    <n v="45773"/>
    <n v="21260"/>
    <n v="3008"/>
    <n v="3718"/>
    <n v="5994"/>
    <n v="5349"/>
    <n v="2272"/>
    <n v="8587.6624028297629"/>
    <n v="8695.334347879736"/>
    <n v="7219.4189116933321"/>
    <n v="9271.4842265454699"/>
    <n v="9978.1001110517009"/>
    <n v="10672"/>
    <n v="10672"/>
    <n v="6905"/>
    <n v="8370"/>
    <n v="9154"/>
  </r>
  <r>
    <x v="2"/>
    <x v="11"/>
    <n v="34372"/>
    <n v="41665"/>
    <n v="46402"/>
    <n v="26660"/>
    <n v="3131"/>
    <n v="4514"/>
    <n v="4313"/>
    <n v="2682"/>
    <n v="707"/>
    <n v="6213.2133372208737"/>
    <n v="8291.8549905241216"/>
    <n v="7830.2280549410843"/>
    <n v="9849.9779424348253"/>
    <n v="9479.7256748790951"/>
    <n v="5924"/>
    <n v="12242"/>
    <n v="5924"/>
    <n v="13032"/>
    <n v="928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r>
  <r>
    <x v="1"/>
  </r>
  <r>
    <x v="2"/>
  </r>
  <r>
    <x v="3"/>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CA2219-5A1A-4B52-9007-082B4BD6D197}" name="PivotTable3"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A37" firstHeaderRow="1" firstDataRow="1" firstDataCol="1"/>
  <pivotFields count="21">
    <pivotField axis="axisRow" showAll="0">
      <items count="5">
        <item h="1" x="0"/>
        <item h="1" x="1"/>
        <item h="1" m="1" x="3"/>
        <item x="2"/>
        <item t="default"/>
      </items>
    </pivotField>
    <pivotField showAll="0"/>
    <pivotField showAll="0"/>
    <pivotField showAll="0"/>
    <pivotField showAll="0"/>
    <pivotField showAll="0"/>
    <pivotField showAll="0"/>
    <pivotField showAll="0"/>
    <pivotField showAll="0"/>
    <pivotField showAll="0"/>
    <pivotField showAll="0"/>
    <pivotField numFmtId="44" showAll="0"/>
    <pivotField numFmtId="44" showAll="0"/>
    <pivotField numFmtId="44" showAll="0"/>
    <pivotField numFmtId="44" showAll="0"/>
    <pivotField numFmtId="44" showAll="0"/>
    <pivotField numFmtId="44" showAll="0"/>
    <pivotField numFmtId="44" showAll="0"/>
    <pivotField numFmtId="44" showAll="0"/>
    <pivotField numFmtId="44" showAll="0"/>
    <pivotField numFmtId="44" showAll="0"/>
  </pivotFields>
  <rowFields count="1">
    <field x="0"/>
  </rowFields>
  <rowItems count="2">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EBCBD5-60E9-407D-9871-BB59384F16AA}" name="PivotTable2"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E33" firstHeaderRow="0" firstDataRow="1" firstDataCol="1"/>
  <pivotFields count="21">
    <pivotField showAll="0">
      <items count="5">
        <item x="2"/>
        <item h="1" x="0"/>
        <item h="1" x="1"/>
        <item h="1" m="1" x="3"/>
        <item t="default"/>
      </items>
    </pivotField>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dataField="1" showAll="0"/>
    <pivotField showAll="0"/>
    <pivotField showAll="0"/>
    <pivotField showAll="0"/>
    <pivotField showAll="0"/>
    <pivotField showAll="0"/>
    <pivotField numFmtId="44" showAll="0"/>
    <pivotField numFmtId="44" showAll="0"/>
    <pivotField numFmtId="44" showAll="0"/>
    <pivotField numFmtId="44" showAll="0"/>
    <pivotField numFmtId="44" showAll="0"/>
    <pivotField numFmtId="44" showAll="0"/>
    <pivotField numFmtId="44" showAll="0"/>
    <pivotField numFmtId="44" showAll="0"/>
    <pivotField numFmtId="44" showAll="0"/>
    <pivotField numFmtId="44" showAll="0"/>
  </pivotFields>
  <rowFields count="1">
    <field x="1"/>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Investments" fld="2" baseField="0" baseItem="0"/>
    <dataField name="Sum of Sales Volume" fld="3" baseField="0" baseItem="0"/>
    <dataField name="Sum of Revenue" fld="4" baseField="0" baseItem="0"/>
    <dataField name="Sum of Expenses" fld="5" baseField="0" baseItem="0"/>
  </dataFields>
  <formats count="1">
    <format dxfId="49">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762E8D-7D7E-4BE0-AEEB-24E1555B6B21}" name="PivotTable1"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T5" firstHeaderRow="0" firstDataRow="1" firstDataCol="1"/>
  <pivotFields count="21">
    <pivotField showAll="0">
      <items count="5">
        <item x="2"/>
        <item h="1" x="0"/>
        <item h="1" x="1"/>
        <item h="1" m="1" x="3"/>
        <item t="default"/>
      </items>
    </pivotField>
    <pivotField axis="axisRow" showAll="0">
      <items count="13">
        <item x="0"/>
        <item h="1" x="1"/>
        <item h="1" x="2"/>
        <item h="1" x="3"/>
        <item h="1" x="4"/>
        <item h="1" x="5"/>
        <item h="1" x="6"/>
        <item h="1" x="7"/>
        <item h="1" x="8"/>
        <item h="1" x="9"/>
        <item h="1" x="10"/>
        <item h="1" x="1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44" showAll="0"/>
    <pivotField dataField="1" numFmtId="44" showAll="0"/>
    <pivotField dataField="1" numFmtId="44" showAll="0"/>
    <pivotField dataField="1" numFmtId="44" showAll="0"/>
    <pivotField dataField="1" numFmtId="44" showAll="0"/>
    <pivotField dataField="1" numFmtId="44" showAll="0"/>
    <pivotField dataField="1" numFmtId="44" showAll="0"/>
    <pivotField dataField="1" numFmtId="44" showAll="0"/>
    <pivotField dataField="1" numFmtId="44" showAll="0"/>
    <pivotField dataField="1" numFmtId="44" showAll="0"/>
  </pivotFields>
  <rowFields count="1">
    <field x="1"/>
  </rowFields>
  <rowItems count="2">
    <i>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dataFields count="19">
    <dataField name="Sum of Investments" fld="2" baseField="0" baseItem="0"/>
    <dataField name="Sum of Sales Volume" fld="3" baseField="0" baseItem="0"/>
    <dataField name="Sum of Revenue" fld="4" baseField="0" baseItem="0"/>
    <dataField name="Sum of Expenses" fld="5" baseField="0" baseItem="0"/>
    <dataField name="Sum of MON" fld="6" baseField="0" baseItem="0"/>
    <dataField name="Sum of TUE" fld="7" baseField="0" baseItem="0"/>
    <dataField name="Sum of WED" fld="8" baseField="0" baseItem="0"/>
    <dataField name="Sum of THU" fld="9" baseField="0" baseItem="0"/>
    <dataField name="Sum of FRI" fld="10" baseField="0" baseItem="0"/>
    <dataField name="Sum of Sales A" fld="11" baseField="0" baseItem="0" numFmtId="44"/>
    <dataField name="Sum of Sales B" fld="12" baseField="0" baseItem="0" numFmtId="44"/>
    <dataField name="Sum of Sales C" fld="13" baseField="0" baseItem="0" numFmtId="44"/>
    <dataField name="Sum of Sales D" fld="14" baseField="0" baseItem="0" numFmtId="44"/>
    <dataField name="Sum of Sales E" fld="15" baseField="0" baseItem="0" numFmtId="44"/>
    <dataField name="Sum of Revenue A" fld="16" baseField="0" baseItem="0" numFmtId="44"/>
    <dataField name="Sum of Revenue B" fld="17" baseField="0" baseItem="0" numFmtId="44"/>
    <dataField name="Sum of Revenue C" fld="18" baseField="0" baseItem="0" numFmtId="44"/>
    <dataField name="Sum of Revenue D" fld="19" baseField="0" baseItem="0" numFmtId="44"/>
    <dataField name="Sum of Revenue E" fld="20" baseField="0" baseItem="0" numFmtId="44"/>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DDA673-A4D0-4063-82A2-CC5E4544F98E}" name="PivotTable4"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A47" firstHeaderRow="1" firstDataRow="1" firstDataCol="1"/>
  <pivotFields count="1">
    <pivotField axis="axisRow" showAll="0">
      <items count="6">
        <item h="1" x="0"/>
        <item x="1"/>
        <item x="2"/>
        <item x="3"/>
        <item x="4"/>
        <item t="default"/>
      </items>
    </pivotField>
  </pivotFields>
  <rowFields count="1">
    <field x="0"/>
  </rowFields>
  <rowItems count="5">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7AA0B47-2A7B-42BD-96F7-7B9CD64E129C}" sourceName="Year">
  <pivotTables>
    <pivotTable tabId="4" name="PivotTable1"/>
    <pivotTable tabId="4" name="PivotTable2"/>
    <pivotTable tabId="4" name="PivotTable3"/>
  </pivotTables>
  <data>
    <tabular pivotCacheId="1929752805">
      <items count="4">
        <i x="2" s="1"/>
        <i x="0"/>
        <i x="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A269CB8-2B1D-407F-A3B6-FF571C461DF3}" sourceName="Month">
  <pivotTables>
    <pivotTable tabId="4" name="PivotTable1"/>
  </pivotTables>
  <data>
    <tabular pivotCacheId="1929752805">
      <items count="12">
        <i x="0" s="1"/>
        <i x="1"/>
        <i x="2"/>
        <i x="3"/>
        <i x="4"/>
        <i x="5"/>
        <i x="6"/>
        <i x="7"/>
        <i x="8"/>
        <i x="9"/>
        <i x="10"/>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Day" xr10:uid="{AF718BAE-65F1-488A-95B8-79195FF083A9}" sourceName="Week Day">
  <pivotTables>
    <pivotTable tabId="4" name="PivotTable4"/>
  </pivotTables>
  <data>
    <tabular pivotCacheId="1974727938">
      <items count="5">
        <i x="0"/>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5D1D4B5-E2FA-405B-B058-CBD1CA150093}" cache="Slicer_Year" caption="Year" columnCount="3" showCaption="0" style="SlicerStyleLight1 2" rowHeight="247650"/>
  <slicer name="Month" xr10:uid="{C51FEA38-3EAA-4F4C-AD30-0741D3377BBD}" cache="Slicer_Month" caption="Month" columnCount="12" showCaption="0" style="SlicerStyleLight1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E11D5A09-9873-4221-8418-7B6418003496}" cache="Slicer_Year" caption="Year" columnCount="3" showCaption="0" style="SlicerStyleLight1 2 2" rowHeight="247650"/>
  <slicer name="Month 4" xr10:uid="{F99A68F7-FA92-4CC5-BF54-F0F26E092354}" cache="Slicer_Month" caption="Month" columnCount="12" showCaption="0" style="SlicerStyleLight1 2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0E5599C-3E08-4ACB-A69B-0234ABFB0A45}" cache="Slicer_Year" caption="Year" columnCount="3" showCaption="0" style="SlicerStyleLight1 2" rowHeight="247650"/>
  <slicer name="Month 1" xr10:uid="{F520F958-5FF2-4617-94A9-8AA7F25FDC1E}" cache="Slicer_Month" caption="Month" columnCount="12" showCaption="0" style="SlicerStyleLight1 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5" xr10:uid="{8D3642BF-8CDF-426F-A3F5-D63F500A8D6A}" cache="Slicer_Year" caption="Year" columnCount="3" showCaption="0" style="SlicerStyleLight1 2 2" rowHeight="247650"/>
  <slicer name="Month 5" xr10:uid="{AEC216BB-6120-422B-AADB-BF09266D1A41}" cache="Slicer_Month" caption="Month" columnCount="12" showCaption="0" style="SlicerStyleLight1 2 2"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FF4BF73F-BEBE-474F-946D-266F34BE01B5}" cache="Slicer_Year" caption="Year" columnCount="3" showCaption="0" style="SlicerStyleLight1 2" rowHeight="247650"/>
  <slicer name="Month 2" xr10:uid="{412F84AB-9A95-4DF1-B9CB-30678B95B028}" cache="Slicer_Month" caption="Month" columnCount="12" showCaption="0" style="SlicerStyleLight1 2" rowHeight="247650"/>
  <slicer name="Week Day" xr10:uid="{8E4D2F23-4010-483D-95C5-D1A8300873EB}" cache="Slicer_Week_Day" caption="Week Day" columnCount="5" showCaption="0" style="SlicerStyleLight1 2"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6" xr10:uid="{E6B75B20-7EDC-4E9A-8083-6CCB78D3CBA0}" cache="Slicer_Year" caption="Year" columnCount="3" showCaption="0" style="SlicerStyleLight1 2 2" rowHeight="247650"/>
  <slicer name="Month 6" xr10:uid="{B4493597-38C3-4448-9EF5-CE4137B9F30D}" cache="Slicer_Month" caption="Month" columnCount="12" showCaption="0" style="SlicerStyleLight1 2 2" rowHeight="247650"/>
  <slicer name="Week Day 1" xr10:uid="{73F68E86-F6A1-4683-AA7D-AE7EEC495277}" cache="Slicer_Week_Day" caption="Week Day" columnCount="5" showCaption="0" style="SlicerStyleLight1 2 2"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58F264D3-0446-4491-B4B0-11A7C5C304F7}" cache="Slicer_Year" caption="Year" columnCount="3" showCaption="0" style="SlicerStyleLight1 2" rowHeight="247650"/>
  <slicer name="Month 3" xr10:uid="{034CFD36-3A28-46A8-8A78-BDC323A39795}" cache="Slicer_Month" caption="Month" columnCount="12" showCaption="0" style="SlicerStyleLight1 2" rowHeight="2476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7" xr10:uid="{786C11E8-6CBF-44EB-972C-3A25554F0A40}" cache="Slicer_Year" caption="Year" columnCount="3" showCaption="0" style="SlicerStyleLight1 2 2" rowHeight="247650"/>
  <slicer name="Month 7" xr10:uid="{B835BAF7-CB69-4476-B312-A3172D2E2244}" cache="Slicer_Month" caption="Month" columnCount="12" showCaption="0" style="SlicerStyleLight1 2 2" rowHeight="2476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8" xr10:uid="{8DF98178-D988-42C9-8A1C-51E8B7893D3C}" cache="Slicer_Year" caption="Year" columnCount="3" showCaption="0" style="SlicerStyleLight1 2" rowHeight="247650"/>
  <slicer name="Month 8" xr10:uid="{7CC3ECC9-FFFB-4248-81F0-3A84DB5E59D6}" cache="Slicer_Month" caption="Month" columnCount="12" showCaption="0" style="SlicerStyleLight1 2" rowHeight="24765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9" xr10:uid="{22595AB6-DF26-4B0B-A55A-465432760FE8}" cache="Slicer_Year" caption="Year" columnCount="3" showCaption="0" style="SlicerStyleLight1 2 2" rowHeight="247650"/>
  <slicer name="Month 9" xr10:uid="{A9D821E7-9C69-47BE-BEA2-46BABE37AB88}" cache="Slicer_Month" caption="Month" columnCount="12" showCaption="0" style="SlicerStyleLight1 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F84861-7375-4EEF-98A0-2D1D31088BF6}" name="mydata" displayName="mydata" ref="A1:U37" totalsRowShown="0" headerRowDxfId="66">
  <autoFilter ref="A1:U37" xr:uid="{B7F84861-7375-4EEF-98A0-2D1D31088BF6}"/>
  <tableColumns count="21">
    <tableColumn id="1" xr3:uid="{62757B40-2C68-4BA2-8538-68590C1F8CCC}" name="Year" dataDxfId="65"/>
    <tableColumn id="2" xr3:uid="{3C7A8F8C-36BD-4124-8F7C-00DCF56FFAEA}" name="Month" dataDxfId="64"/>
    <tableColumn id="3" xr3:uid="{6FF4A140-0F9A-4F02-8D3E-398558727EB5}" name="Investments"/>
    <tableColumn id="4" xr3:uid="{D9CBB16E-0D2A-4F91-8DC9-2F25A88837E1}" name="Sales Volume"/>
    <tableColumn id="5" xr3:uid="{E2C5CC8D-FD04-434C-A99D-8D5F7D99D6B8}" name="Revenue"/>
    <tableColumn id="6" xr3:uid="{9782E840-9460-4BC2-BF4F-766CD9E32713}" name="Expenses"/>
    <tableColumn id="7" xr3:uid="{A33AD352-C926-4CA7-8AD0-89BDF0DA9C4F}" name="MON"/>
    <tableColumn id="8" xr3:uid="{7CAE15AA-797E-4A73-8F56-3C08C56F551B}" name="TUE"/>
    <tableColumn id="9" xr3:uid="{495A2730-C521-44B7-A778-C0E914F7D99D}" name="WED"/>
    <tableColumn id="10" xr3:uid="{15C27B16-2497-43C8-8F1E-C8D25462E03E}" name="THU"/>
    <tableColumn id="11" xr3:uid="{420D7220-5692-4BD1-AB40-C87D1239A5D4}" name="FRI"/>
    <tableColumn id="12" xr3:uid="{20000329-8CDA-4276-8411-647A10693F22}" name="Sales A" dataDxfId="63" dataCellStyle="Currency"/>
    <tableColumn id="13" xr3:uid="{AA2CD07A-E00B-4971-B8D0-B04A9445F5C5}" name="Sales B" dataDxfId="62" dataCellStyle="Currency"/>
    <tableColumn id="14" xr3:uid="{C3FFD2E7-A03B-4B60-96FD-AFFCAF0EB30B}" name="Sales C" dataDxfId="61" dataCellStyle="Currency"/>
    <tableColumn id="15" xr3:uid="{E22D674E-469B-4F99-9173-CC135E14C827}" name="Sales D" dataDxfId="60" dataCellStyle="Currency"/>
    <tableColumn id="16" xr3:uid="{D2B6CA96-1714-432E-B412-92B6261D8E52}" name="Sales E" dataDxfId="59" dataCellStyle="Currency"/>
    <tableColumn id="17" xr3:uid="{285A58AE-5125-4B97-8D78-6A776266E6DF}" name="Revenue A" dataDxfId="58" dataCellStyle="Currency"/>
    <tableColumn id="18" xr3:uid="{7AA90A2A-D279-42FE-A17D-B4D4F647322E}" name="Revenue B" dataDxfId="57" dataCellStyle="Currency"/>
    <tableColumn id="19" xr3:uid="{0AC76723-EF71-48A9-9872-D8FAF9136895}" name="Revenue C" dataDxfId="56" dataCellStyle="Currency"/>
    <tableColumn id="20" xr3:uid="{0A4F896D-C86D-491D-8DC7-137BC14EBA2C}" name="Revenue D" dataDxfId="55" dataCellStyle="Currency"/>
    <tableColumn id="21" xr3:uid="{8CF87700-D373-4BBC-ADE0-F4BDB1BE0E01}" name="Revenue E" dataDxfId="54"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microsoft.com/office/2007/relationships/slicer" Target="../slicers/slicer9.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microsoft.com/office/2007/relationships/slicer" Target="../slicers/slicer10.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6D36D-B4FC-4E36-9387-DB2AC0B7EB4E}">
  <sheetPr codeName="Sheet1"/>
  <dimension ref="A1"/>
  <sheetViews>
    <sheetView showRowColHeaders="0" tabSelected="1" zoomScaleNormal="10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C2B52-13FD-44DC-8492-39C20E6FE643}">
  <sheetPr codeName="Sheet2"/>
  <dimension ref="A1"/>
  <sheetViews>
    <sheetView showGridLines="0" showRowColHeaders="0" zoomScaleNormal="100" workbookViewId="0">
      <selection activeCell="A19" sqref="A1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A9863-64CE-4006-8F84-3FC337FA7005}">
  <sheetPr codeName="Sheet3"/>
  <dimension ref="A1"/>
  <sheetViews>
    <sheetView showRowColHeaders="0" zoomScaleNormal="100" workbookViewId="0">
      <selection activeCell="K50" sqref="K5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AB1A0-B50E-40D5-980C-6FD8FF0F842A}">
  <sheetPr codeName="Sheet4"/>
  <dimension ref="A1"/>
  <sheetViews>
    <sheetView showGridLines="0" showRowColHeaders="0" workbookViewId="0">
      <selection activeCell="R45" sqref="R4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1C624-106B-4D89-869E-C91A90FF955C}">
  <sheetPr codeName="Sheet5"/>
  <dimension ref="A1"/>
  <sheetViews>
    <sheetView showRowColHeaders="0" workbookViewId="0">
      <selection activeCell="AB17" sqref="AB1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CD69C-58D1-45B1-B917-5B52093AFEEF}">
  <sheetPr codeName="Sheet6"/>
  <dimension ref="A1"/>
  <sheetViews>
    <sheetView showGridLines="0" showRowColHeaders="0" workbookViewId="0">
      <selection activeCell="P44" sqref="P4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70EE9-D513-41B6-BFE6-3047E5230945}">
  <sheetPr codeName="Sheet7"/>
  <dimension ref="A1"/>
  <sheetViews>
    <sheetView showRowColHeaders="0" workbookViewId="0">
      <selection activeCell="B47" sqref="B47:G4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1BC2E-166E-4C8E-BB87-D58D6512D9DB}">
  <sheetPr codeName="Sheet10"/>
  <dimension ref="A1"/>
  <sheetViews>
    <sheetView showGridLines="0" showRowColHeaders="0" workbookViewId="0">
      <selection activeCell="P45" sqref="P4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48EA4-3401-45CE-ACBA-1BDBF26558AF}">
  <sheetPr codeName="Sheet8"/>
  <dimension ref="A1"/>
  <sheetViews>
    <sheetView showRowColHeaders="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2A5BF-0E56-4E34-A066-027882EF3501}">
  <sheetPr codeName="Sheet9"/>
  <dimension ref="A1"/>
  <sheetViews>
    <sheetView showGridLines="0" showRowColHeaders="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41496-4575-409C-8E19-931CFB4D154C}">
  <sheetPr codeName="Sheet11"/>
  <dimension ref="A1:T32"/>
  <sheetViews>
    <sheetView workbookViewId="0">
      <selection activeCell="P2" sqref="P2"/>
    </sheetView>
  </sheetViews>
  <sheetFormatPr defaultRowHeight="15" x14ac:dyDescent="0.25"/>
  <cols>
    <col min="1" max="1" width="26.7109375" bestFit="1" customWidth="1"/>
    <col min="2" max="2" width="11.5703125" bestFit="1" customWidth="1"/>
    <col min="3" max="3" width="12.85546875" bestFit="1" customWidth="1"/>
    <col min="4" max="4" width="8.42578125" bestFit="1" customWidth="1"/>
    <col min="5" max="5" width="8.28515625" bestFit="1" customWidth="1"/>
    <col min="6" max="6" width="8" bestFit="1" customWidth="1"/>
    <col min="7" max="7" width="26.28515625" bestFit="1" customWidth="1"/>
    <col min="8" max="8" width="11.28515625" customWidth="1"/>
    <col min="10" max="10" width="10.140625" customWidth="1"/>
    <col min="13" max="13" width="12.28515625" bestFit="1" customWidth="1"/>
    <col min="14" max="14" width="11.28515625" bestFit="1" customWidth="1"/>
  </cols>
  <sheetData>
    <row r="1" spans="1:20" x14ac:dyDescent="0.25">
      <c r="A1" t="s">
        <v>26</v>
      </c>
      <c r="B1" t="s">
        <v>27</v>
      </c>
      <c r="C1" t="s">
        <v>28</v>
      </c>
      <c r="D1" t="s">
        <v>31</v>
      </c>
      <c r="E1" t="s">
        <v>32</v>
      </c>
      <c r="F1" t="s">
        <v>15</v>
      </c>
      <c r="H1" t="s">
        <v>94</v>
      </c>
      <c r="I1" t="s">
        <v>93</v>
      </c>
      <c r="J1" t="s">
        <v>29</v>
      </c>
      <c r="L1" t="s">
        <v>15</v>
      </c>
      <c r="M1" t="s">
        <v>91</v>
      </c>
      <c r="N1" t="s">
        <v>92</v>
      </c>
      <c r="P1" t="s">
        <v>138</v>
      </c>
    </row>
    <row r="2" spans="1:20" x14ac:dyDescent="0.25">
      <c r="A2" t="s">
        <v>3</v>
      </c>
      <c r="B2">
        <f>GETPIVOTDATA(""&amp;B$1,Control!$A$20,"Month",""&amp;$A2)</f>
        <v>28026</v>
      </c>
      <c r="C2">
        <f>GETPIVOTDATA(""&amp;C$1,Control!$A$20,"Month",""&amp;$A2)</f>
        <v>33543</v>
      </c>
      <c r="D2">
        <f>IFERROR(GETPIVOTDATA(""&amp;B$1,Control!$A$3,"Month",""&amp;$A2),NA())</f>
        <v>28026</v>
      </c>
      <c r="E2">
        <f>IFERROR(GETPIVOTDATA(""&amp;C$1,Control!$A$3,"Month",""&amp;$A2),NA())</f>
        <v>33543</v>
      </c>
      <c r="F2">
        <f>$F$14</f>
        <v>1545.76</v>
      </c>
      <c r="H2" t="s">
        <v>16</v>
      </c>
      <c r="I2" t="s">
        <v>21</v>
      </c>
      <c r="J2">
        <f>GETPIVOTDATA(""&amp;I2,Control!$A$3)</f>
        <v>1511</v>
      </c>
      <c r="K2" t="e">
        <f>IF(ISNUMBER(MATCH(H2,Control!$A$43:$A$47,0)),Processing!J2,NA())</f>
        <v>#N/A</v>
      </c>
      <c r="L2">
        <f>$L$7</f>
        <v>229.64000000000001</v>
      </c>
      <c r="M2" t="e">
        <f>L2+K2</f>
        <v>#N/A</v>
      </c>
      <c r="N2" t="str">
        <f>IF(ISNA(K2),"",IF(K2&lt;1000,K2,ROUND(K2/1000,1)&amp;"K"))</f>
        <v/>
      </c>
    </row>
    <row r="3" spans="1:20" x14ac:dyDescent="0.25">
      <c r="A3" t="s">
        <v>4</v>
      </c>
      <c r="B3">
        <f>GETPIVOTDATA(""&amp;B$1,Control!$A$20,"Month",""&amp;$A3)</f>
        <v>36152</v>
      </c>
      <c r="C3">
        <f>GETPIVOTDATA(""&amp;C$1,Control!$A$20,"Month",""&amp;$A3)</f>
        <v>33555</v>
      </c>
      <c r="D3" t="e">
        <f>IFERROR(GETPIVOTDATA(""&amp;B$1,Control!$A$3,"Month",""&amp;$A3),NA())</f>
        <v>#N/A</v>
      </c>
      <c r="E3" t="e">
        <f>IFERROR(GETPIVOTDATA(""&amp;C$1,Control!$A$3,"Month",""&amp;$A3),NA())</f>
        <v>#N/A</v>
      </c>
      <c r="F3">
        <f t="shared" ref="F3:F13" si="0">$F$14</f>
        <v>1545.76</v>
      </c>
      <c r="H3" t="s">
        <v>17</v>
      </c>
      <c r="I3" t="s">
        <v>25</v>
      </c>
      <c r="J3">
        <f>GETPIVOTDATA(""&amp;I3,Control!$A$3)</f>
        <v>5603</v>
      </c>
      <c r="K3">
        <f>IF(ISNUMBER(MATCH(H3,Control!$A$43:$A$47,0)),Processing!J3,NA())</f>
        <v>5603</v>
      </c>
      <c r="L3">
        <f>$L$7</f>
        <v>229.64000000000001</v>
      </c>
      <c r="M3">
        <f>L3+K3</f>
        <v>5832.64</v>
      </c>
      <c r="N3" t="str">
        <f>IF(ISNA(K3),"",IF(K3&lt;1000,K3,ROUND(K3/1000,1)&amp;"K"))</f>
        <v>5.6K</v>
      </c>
      <c r="P3" t="str">
        <f>IF(COUNTA(Control!A4:A6)=2,INDEX(L20:L31,MATCH(Control!A4,Processing!A2:A13,0)),"")</f>
        <v>JANUARY</v>
      </c>
      <c r="Q3">
        <f>IF(COUNTA(Control!A36:A38)=2,Control!A36,"")</f>
        <v>2024</v>
      </c>
    </row>
    <row r="4" spans="1:20" x14ac:dyDescent="0.25">
      <c r="A4" t="s">
        <v>5</v>
      </c>
      <c r="B4">
        <f>GETPIVOTDATA(""&amp;B$1,Control!$A$20,"Month",""&amp;$A4)</f>
        <v>38644</v>
      </c>
      <c r="C4">
        <f>GETPIVOTDATA(""&amp;C$1,Control!$A$20,"Month",""&amp;$A4)</f>
        <v>38370</v>
      </c>
      <c r="D4" t="e">
        <f>IFERROR(GETPIVOTDATA(""&amp;B$1,Control!$A$3,"Month",""&amp;$A4),NA())</f>
        <v>#N/A</v>
      </c>
      <c r="E4" t="e">
        <f>IFERROR(GETPIVOTDATA(""&amp;C$1,Control!$A$3,"Month",""&amp;$A4),NA())</f>
        <v>#N/A</v>
      </c>
      <c r="F4">
        <f t="shared" si="0"/>
        <v>1545.76</v>
      </c>
      <c r="H4" t="s">
        <v>18</v>
      </c>
      <c r="I4" t="s">
        <v>22</v>
      </c>
      <c r="J4">
        <f>GETPIVOTDATA(""&amp;I4,Control!$A$3)</f>
        <v>5741</v>
      </c>
      <c r="K4">
        <f>IF(ISNUMBER(MATCH(H4,Control!$A$43:$A$47,0)),Processing!J4,NA())</f>
        <v>5741</v>
      </c>
      <c r="L4">
        <f>$L$7</f>
        <v>229.64000000000001</v>
      </c>
      <c r="M4">
        <f>L4+K4</f>
        <v>5970.64</v>
      </c>
      <c r="N4" t="str">
        <f>IF(ISNA(K4),"",IF(K4&lt;1000,K4,ROUND(K4/1000,1)&amp;"K"))</f>
        <v>5.7K</v>
      </c>
    </row>
    <row r="5" spans="1:20" x14ac:dyDescent="0.25">
      <c r="A5" t="s">
        <v>6</v>
      </c>
      <c r="B5">
        <f>GETPIVOTDATA(""&amp;B$1,Control!$A$20,"Month",""&amp;$A5)</f>
        <v>35469</v>
      </c>
      <c r="C5">
        <f>GETPIVOTDATA(""&amp;C$1,Control!$A$20,"Month",""&amp;$A5)</f>
        <v>44242</v>
      </c>
      <c r="D5" t="e">
        <f>IFERROR(GETPIVOTDATA(""&amp;B$1,Control!$A$3,"Month",""&amp;$A5),NA())</f>
        <v>#N/A</v>
      </c>
      <c r="E5" t="e">
        <f>IFERROR(GETPIVOTDATA(""&amp;C$1,Control!$A$3,"Month",""&amp;$A5),NA())</f>
        <v>#N/A</v>
      </c>
      <c r="F5">
        <f t="shared" si="0"/>
        <v>1545.76</v>
      </c>
      <c r="H5" t="s">
        <v>19</v>
      </c>
      <c r="I5" t="s">
        <v>23</v>
      </c>
      <c r="J5">
        <f>GETPIVOTDATA(""&amp;I5,Control!$A$3)</f>
        <v>2858</v>
      </c>
      <c r="K5">
        <f>IF(ISNUMBER(MATCH(H5,Control!$A$43:$A$47,0)),Processing!J5,NA())</f>
        <v>2858</v>
      </c>
      <c r="L5">
        <f>$L$7</f>
        <v>229.64000000000001</v>
      </c>
      <c r="M5">
        <f>L5+K5</f>
        <v>3087.64</v>
      </c>
      <c r="N5" t="str">
        <f>IF(ISNA(K5),"",IF(K5&lt;1000,K5,ROUND(K5/1000,1)&amp;"K"))</f>
        <v>2.9K</v>
      </c>
    </row>
    <row r="6" spans="1:20" x14ac:dyDescent="0.25">
      <c r="A6" t="s">
        <v>7</v>
      </c>
      <c r="B6">
        <f>GETPIVOTDATA(""&amp;B$1,Control!$A$20,"Month",""&amp;$A6)</f>
        <v>29118</v>
      </c>
      <c r="C6">
        <f>GETPIVOTDATA(""&amp;C$1,Control!$A$20,"Month",""&amp;$A6)</f>
        <v>42780</v>
      </c>
      <c r="D6" t="e">
        <f>IFERROR(GETPIVOTDATA(""&amp;B$1,Control!$A$3,"Month",""&amp;$A6),NA())</f>
        <v>#N/A</v>
      </c>
      <c r="E6" t="e">
        <f>IFERROR(GETPIVOTDATA(""&amp;C$1,Control!$A$3,"Month",""&amp;$A6),NA())</f>
        <v>#N/A</v>
      </c>
      <c r="F6">
        <f t="shared" si="0"/>
        <v>1545.76</v>
      </c>
      <c r="H6" t="s">
        <v>20</v>
      </c>
      <c r="I6" t="s">
        <v>24</v>
      </c>
      <c r="J6">
        <f>GETPIVOTDATA(""&amp;I6,Control!$A$3)</f>
        <v>1164</v>
      </c>
      <c r="K6">
        <f>IF(ISNUMBER(MATCH(H6,Control!$A$43:$A$47,0)),Processing!J6,NA())</f>
        <v>1164</v>
      </c>
      <c r="L6">
        <f>$L$7</f>
        <v>229.64000000000001</v>
      </c>
      <c r="M6">
        <f>L6+K6</f>
        <v>1393.64</v>
      </c>
      <c r="N6" t="str">
        <f>IF(ISNA(K6),"",IF(K6&lt;1000,K6,ROUND(K6/1000,1)&amp;"K"))</f>
        <v>1.2K</v>
      </c>
    </row>
    <row r="7" spans="1:20" x14ac:dyDescent="0.25">
      <c r="A7" t="s">
        <v>8</v>
      </c>
      <c r="B7">
        <f>GETPIVOTDATA(""&amp;B$1,Control!$A$20,"Month",""&amp;$A7)</f>
        <v>23300</v>
      </c>
      <c r="C7">
        <f>GETPIVOTDATA(""&amp;C$1,Control!$A$20,"Month",""&amp;$A7)</f>
        <v>36777</v>
      </c>
      <c r="D7" t="e">
        <f>IFERROR(GETPIVOTDATA(""&amp;B$1,Control!$A$3,"Month",""&amp;$A7),NA())</f>
        <v>#N/A</v>
      </c>
      <c r="E7" t="e">
        <f>IFERROR(GETPIVOTDATA(""&amp;C$1,Control!$A$3,"Month",""&amp;$A7),NA())</f>
        <v>#N/A</v>
      </c>
      <c r="F7">
        <f t="shared" si="0"/>
        <v>1545.76</v>
      </c>
      <c r="K7" s="12" cm="1">
        <f t="array" ref="K7">SUM(IFERROR(K2:K6,0))</f>
        <v>15366</v>
      </c>
      <c r="L7">
        <f>MAX(J2:J6)*4%</f>
        <v>229.64000000000001</v>
      </c>
    </row>
    <row r="8" spans="1:20" x14ac:dyDescent="0.25">
      <c r="A8" t="s">
        <v>9</v>
      </c>
      <c r="B8">
        <f>GETPIVOTDATA(""&amp;B$1,Control!$A$20,"Month",""&amp;$A8)</f>
        <v>23093</v>
      </c>
      <c r="C8">
        <f>GETPIVOTDATA(""&amp;C$1,Control!$A$20,"Month",""&amp;$A8)</f>
        <v>33575</v>
      </c>
      <c r="D8" t="e">
        <f>IFERROR(GETPIVOTDATA(""&amp;B$1,Control!$A$3,"Month",""&amp;$A8),NA())</f>
        <v>#N/A</v>
      </c>
      <c r="E8" t="e">
        <f>IFERROR(GETPIVOTDATA(""&amp;C$1,Control!$A$3,"Month",""&amp;$A8),NA())</f>
        <v>#N/A</v>
      </c>
      <c r="F8">
        <f t="shared" si="0"/>
        <v>1545.76</v>
      </c>
    </row>
    <row r="9" spans="1:20" x14ac:dyDescent="0.25">
      <c r="A9" t="s">
        <v>10</v>
      </c>
      <c r="B9">
        <f>GETPIVOTDATA(""&amp;B$1,Control!$A$20,"Month",""&amp;$A9)</f>
        <v>32452</v>
      </c>
      <c r="C9">
        <f>GETPIVOTDATA(""&amp;C$1,Control!$A$20,"Month",""&amp;$A9)</f>
        <v>34422</v>
      </c>
      <c r="D9" t="e">
        <f>IFERROR(GETPIVOTDATA(""&amp;B$1,Control!$A$3,"Month",""&amp;$A9),NA())</f>
        <v>#N/A</v>
      </c>
      <c r="E9" t="e">
        <f>IFERROR(GETPIVOTDATA(""&amp;C$1,Control!$A$3,"Month",""&amp;$A9),NA())</f>
        <v>#N/A</v>
      </c>
      <c r="F9">
        <f t="shared" si="0"/>
        <v>1545.76</v>
      </c>
    </row>
    <row r="10" spans="1:20" x14ac:dyDescent="0.25">
      <c r="A10" t="s">
        <v>11</v>
      </c>
      <c r="B10">
        <f>GETPIVOTDATA(""&amp;B$1,Control!$A$20,"Month",""&amp;$A10)</f>
        <v>37109</v>
      </c>
      <c r="C10">
        <f>GETPIVOTDATA(""&amp;C$1,Control!$A$20,"Month",""&amp;$A10)</f>
        <v>38532</v>
      </c>
      <c r="D10" t="e">
        <f>IFERROR(GETPIVOTDATA(""&amp;B$1,Control!$A$3,"Month",""&amp;$A10),NA())</f>
        <v>#N/A</v>
      </c>
      <c r="E10" t="e">
        <f>IFERROR(GETPIVOTDATA(""&amp;C$1,Control!$A$3,"Month",""&amp;$A10),NA())</f>
        <v>#N/A</v>
      </c>
      <c r="F10">
        <f t="shared" si="0"/>
        <v>1545.76</v>
      </c>
      <c r="K10" t="s">
        <v>95</v>
      </c>
      <c r="L10" t="s">
        <v>33</v>
      </c>
      <c r="M10" t="s">
        <v>1</v>
      </c>
      <c r="N10" t="s">
        <v>30</v>
      </c>
    </row>
    <row r="11" spans="1:20" x14ac:dyDescent="0.25">
      <c r="A11" t="s">
        <v>12</v>
      </c>
      <c r="B11">
        <f>GETPIVOTDATA(""&amp;B$1,Control!$A$20,"Month",""&amp;$A11)</f>
        <v>37602</v>
      </c>
      <c r="C11">
        <f>GETPIVOTDATA(""&amp;C$1,Control!$A$20,"Month",""&amp;$A11)</f>
        <v>43205</v>
      </c>
      <c r="D11" t="e">
        <f>IFERROR(GETPIVOTDATA(""&amp;B$1,Control!$A$3,"Month",""&amp;$A11),NA())</f>
        <v>#N/A</v>
      </c>
      <c r="E11" t="e">
        <f>IFERROR(GETPIVOTDATA(""&amp;C$1,Control!$A$3,"Month",""&amp;$A11),NA())</f>
        <v>#N/A</v>
      </c>
      <c r="F11">
        <f t="shared" si="0"/>
        <v>1545.76</v>
      </c>
      <c r="K11" t="s">
        <v>75</v>
      </c>
      <c r="L11" t="s">
        <v>38</v>
      </c>
      <c r="M11" s="9">
        <f>GETPIVOTDATA(M$10&amp;" "&amp;$L11,Control!$A$3)</f>
        <v>8185</v>
      </c>
      <c r="N11" s="9">
        <f>GETPIVOTDATA(N$10&amp;" "&amp;$L11,Control!$A$3)</f>
        <v>7381.8451474918056</v>
      </c>
      <c r="P11">
        <v>72</v>
      </c>
      <c r="Q11">
        <v>72</v>
      </c>
      <c r="R11">
        <v>72</v>
      </c>
      <c r="S11">
        <v>72</v>
      </c>
      <c r="T11">
        <v>72</v>
      </c>
    </row>
    <row r="12" spans="1:20" x14ac:dyDescent="0.25">
      <c r="A12" t="s">
        <v>13</v>
      </c>
      <c r="B12">
        <f>GETPIVOTDATA(""&amp;B$1,Control!$A$20,"Month",""&amp;$A12)</f>
        <v>33906</v>
      </c>
      <c r="C12">
        <f>GETPIVOTDATA(""&amp;C$1,Control!$A$20,"Month",""&amp;$A12)</f>
        <v>43752</v>
      </c>
      <c r="D12" t="e">
        <f>IFERROR(GETPIVOTDATA(""&amp;B$1,Control!$A$3,"Month",""&amp;$A12),NA())</f>
        <v>#N/A</v>
      </c>
      <c r="E12" t="e">
        <f>IFERROR(GETPIVOTDATA(""&amp;C$1,Control!$A$3,"Month",""&amp;$A12),NA())</f>
        <v>#N/A</v>
      </c>
      <c r="F12">
        <f t="shared" si="0"/>
        <v>1545.76</v>
      </c>
      <c r="K12" t="s">
        <v>75</v>
      </c>
      <c r="L12" t="s">
        <v>39</v>
      </c>
      <c r="M12" s="9">
        <f>GETPIVOTDATA(M$10&amp;" "&amp;$L12,Control!$A$3)</f>
        <v>7567</v>
      </c>
      <c r="N12" s="9">
        <f>GETPIVOTDATA(N$10&amp;" "&amp;$L12,Control!$A$3)</f>
        <v>8409.9741542136544</v>
      </c>
      <c r="P12">
        <v>72</v>
      </c>
      <c r="Q12">
        <v>72</v>
      </c>
      <c r="R12">
        <v>72</v>
      </c>
      <c r="S12">
        <v>72</v>
      </c>
      <c r="T12">
        <v>72</v>
      </c>
    </row>
    <row r="13" spans="1:20" x14ac:dyDescent="0.25">
      <c r="A13" t="s">
        <v>14</v>
      </c>
      <c r="B13">
        <f>GETPIVOTDATA(""&amp;B$1,Control!$A$20,"Month",""&amp;$A13)</f>
        <v>34372</v>
      </c>
      <c r="C13">
        <f>GETPIVOTDATA(""&amp;C$1,Control!$A$20,"Month",""&amp;$A13)</f>
        <v>41665</v>
      </c>
      <c r="D13" t="e">
        <f>IFERROR(GETPIVOTDATA(""&amp;B$1,Control!$A$3,"Month",""&amp;$A13),NA())</f>
        <v>#N/A</v>
      </c>
      <c r="E13" t="e">
        <f>IFERROR(GETPIVOTDATA(""&amp;C$1,Control!$A$3,"Month",""&amp;$A13),NA())</f>
        <v>#N/A</v>
      </c>
      <c r="F13">
        <f t="shared" si="0"/>
        <v>1545.76</v>
      </c>
      <c r="K13" t="s">
        <v>75</v>
      </c>
      <c r="L13" t="s">
        <v>40</v>
      </c>
      <c r="M13" s="9">
        <f>GETPIVOTDATA(M$10&amp;" "&amp;$L13,Control!$A$3)</f>
        <v>5405</v>
      </c>
      <c r="N13" s="9">
        <f>GETPIVOTDATA(N$10&amp;" "&amp;$L13,Control!$A$3)</f>
        <v>7244.885506360758</v>
      </c>
      <c r="P13">
        <v>72</v>
      </c>
      <c r="Q13">
        <v>72</v>
      </c>
      <c r="R13">
        <v>72</v>
      </c>
      <c r="S13">
        <v>72</v>
      </c>
      <c r="T13">
        <v>72</v>
      </c>
    </row>
    <row r="14" spans="1:20" x14ac:dyDescent="0.25">
      <c r="B14" s="10">
        <f>GETPIVOTDATA("Sum of Investments",Control!$A$3)</f>
        <v>28026</v>
      </c>
      <c r="C14" s="10">
        <f>GETPIVOTDATA("Sum of Sales Volume",Control!$A$3)</f>
        <v>33543</v>
      </c>
      <c r="F14">
        <f>MAX(B2:B13)*4%</f>
        <v>1545.76</v>
      </c>
      <c r="K14" t="s">
        <v>75</v>
      </c>
      <c r="L14" t="s">
        <v>41</v>
      </c>
      <c r="M14" s="9">
        <f>GETPIVOTDATA(M$10&amp;" "&amp;$L14,Control!$A$3)</f>
        <v>9111</v>
      </c>
      <c r="N14" s="9">
        <f>GETPIVOTDATA(N$10&amp;" "&amp;$L14,Control!$A$3)</f>
        <v>4026.7997889006169</v>
      </c>
      <c r="P14">
        <v>72</v>
      </c>
      <c r="Q14">
        <v>72</v>
      </c>
      <c r="R14">
        <v>72</v>
      </c>
      <c r="S14">
        <v>72</v>
      </c>
      <c r="T14">
        <v>72</v>
      </c>
    </row>
    <row r="15" spans="1:20" x14ac:dyDescent="0.25">
      <c r="A15" t="s">
        <v>87</v>
      </c>
      <c r="B15" s="1">
        <f>B14/$J$28</f>
        <v>0.43454531359020077</v>
      </c>
      <c r="C15" s="1">
        <f>C14/$J$28</f>
        <v>0.52008682843631293</v>
      </c>
      <c r="K15" t="s">
        <v>75</v>
      </c>
      <c r="L15" t="s">
        <v>42</v>
      </c>
      <c r="M15" s="9">
        <f>GETPIVOTDATA(M$10&amp;" "&amp;$L15,Control!$A$3)</f>
        <v>7567</v>
      </c>
      <c r="N15" s="9">
        <f>GETPIVOTDATA(N$10&amp;" "&amp;$L15,Control!$A$3)</f>
        <v>6479.4954030331646</v>
      </c>
    </row>
    <row r="16" spans="1:20" x14ac:dyDescent="0.25">
      <c r="B16" s="1">
        <f>1-B15</f>
        <v>0.56545468640979923</v>
      </c>
      <c r="C16" s="1">
        <f>1-C15</f>
        <v>0.47991317156368707</v>
      </c>
      <c r="M16" s="10" cm="1">
        <f t="array" ref="M16">SUM(IFERROR(M11:M15,0))</f>
        <v>37835</v>
      </c>
      <c r="N16" s="10" cm="1">
        <f t="array" ref="N16">SUM(IFERROR(N11:N15,0))</f>
        <v>33543</v>
      </c>
    </row>
    <row r="17" spans="1:14" x14ac:dyDescent="0.25">
      <c r="B17" s="1"/>
      <c r="C17" s="1"/>
      <c r="M17" s="9"/>
      <c r="N17" s="9"/>
    </row>
    <row r="18" spans="1:14" x14ac:dyDescent="0.25">
      <c r="B18" s="1"/>
      <c r="C18" s="1"/>
      <c r="M18" s="9"/>
      <c r="N18" s="9"/>
    </row>
    <row r="19" spans="1:14" x14ac:dyDescent="0.25">
      <c r="A19" t="s">
        <v>0</v>
      </c>
      <c r="B19" s="5" t="s">
        <v>1</v>
      </c>
      <c r="C19" s="5" t="s">
        <v>2</v>
      </c>
      <c r="D19" t="s">
        <v>89</v>
      </c>
      <c r="E19" t="s">
        <v>90</v>
      </c>
      <c r="G19" s="5" t="s">
        <v>96</v>
      </c>
      <c r="H19" s="4" t="s">
        <v>49</v>
      </c>
    </row>
    <row r="20" spans="1:14" x14ac:dyDescent="0.25">
      <c r="A20" t="s">
        <v>3</v>
      </c>
      <c r="B20">
        <f>GETPIVOTDATA(""&amp;B$19,Control!$A$20,"Month",""&amp;$A20)</f>
        <v>37835</v>
      </c>
      <c r="C20">
        <f>GETPIVOTDATA(""&amp;C$19,Control!$A$20,"Month",""&amp;$A20)</f>
        <v>26660</v>
      </c>
      <c r="D20">
        <f>IFERROR(GETPIVOTDATA(""&amp;B$19,Control!$A$3,"Month",""&amp;$A20),NA())</f>
        <v>37835</v>
      </c>
      <c r="E20">
        <f>IFERROR(GETPIVOTDATA(""&amp;C$19,Control!$A$3,"Month",""&amp;$A20),NA())</f>
        <v>26660</v>
      </c>
      <c r="G20" s="13">
        <f>(B20-C20)/B2</f>
        <v>0.39873688717619354</v>
      </c>
      <c r="H20" s="13">
        <f>IF(ISNA(D20),D20,G20)</f>
        <v>0.39873688717619354</v>
      </c>
      <c r="J20" t="s">
        <v>34</v>
      </c>
      <c r="K20" s="1">
        <f>(B32-C32)/B14</f>
        <v>0.39873688717619354</v>
      </c>
      <c r="L20" t="s">
        <v>76</v>
      </c>
    </row>
    <row r="21" spans="1:14" x14ac:dyDescent="0.25">
      <c r="A21" t="s">
        <v>4</v>
      </c>
      <c r="B21">
        <f>GETPIVOTDATA(""&amp;B$19,Control!$A$20,"Month",""&amp;$A21)</f>
        <v>48805</v>
      </c>
      <c r="C21">
        <f>GETPIVOTDATA(""&amp;C$19,Control!$A$20,"Month",""&amp;$A21)</f>
        <v>32060</v>
      </c>
      <c r="D21" t="e">
        <f>IFERROR(GETPIVOTDATA(""&amp;B$19,Control!$A$3,"Month",""&amp;$A21),NA())</f>
        <v>#N/A</v>
      </c>
      <c r="E21" t="e">
        <f>IFERROR(GETPIVOTDATA(""&amp;C$19,Control!$A$3,"Month",""&amp;$A21),NA())</f>
        <v>#N/A</v>
      </c>
      <c r="G21" s="13">
        <f t="shared" ref="G21:G31" si="1">(B21-C21)/B3</f>
        <v>0.46318322637751713</v>
      </c>
      <c r="H21" s="13" t="e">
        <f t="shared" ref="H21:H31" si="2">IF(ISNA(D21),D21,G21)</f>
        <v>#N/A</v>
      </c>
      <c r="J21" s="3">
        <f>IF(K20&lt;0,0,K20)</f>
        <v>0.39873688717619354</v>
      </c>
      <c r="L21" t="s">
        <v>77</v>
      </c>
    </row>
    <row r="22" spans="1:14" x14ac:dyDescent="0.25">
      <c r="A22" t="s">
        <v>5</v>
      </c>
      <c r="B22">
        <f>GETPIVOTDATA(""&amp;B$19,Control!$A$20,"Month",""&amp;$A22)</f>
        <v>52169</v>
      </c>
      <c r="C22">
        <f>GETPIVOTDATA(""&amp;C$19,Control!$A$20,"Month",""&amp;$A22)</f>
        <v>35760</v>
      </c>
      <c r="D22" t="e">
        <f>IFERROR(GETPIVOTDATA(""&amp;B$19,Control!$A$3,"Month",""&amp;$A22),NA())</f>
        <v>#N/A</v>
      </c>
      <c r="E22" t="e">
        <f>IFERROR(GETPIVOTDATA(""&amp;C$19,Control!$A$3,"Month",""&amp;$A22),NA())</f>
        <v>#N/A</v>
      </c>
      <c r="G22" s="13">
        <f t="shared" si="1"/>
        <v>0.42461960459579756</v>
      </c>
      <c r="H22" s="13" t="e">
        <f t="shared" si="2"/>
        <v>#N/A</v>
      </c>
      <c r="J22" s="3">
        <f>IF(K20&lt;0,1-J23,1-J21)</f>
        <v>0.6012631128238064</v>
      </c>
      <c r="K22" s="3"/>
      <c r="L22" t="s">
        <v>78</v>
      </c>
    </row>
    <row r="23" spans="1:14" x14ac:dyDescent="0.25">
      <c r="A23" t="s">
        <v>6</v>
      </c>
      <c r="B23">
        <f>GETPIVOTDATA(""&amp;B$19,Control!$A$20,"Month",""&amp;$A23)</f>
        <v>47883</v>
      </c>
      <c r="C23">
        <f>GETPIVOTDATA(""&amp;C$19,Control!$A$20,"Month",""&amp;$A23)</f>
        <v>36560</v>
      </c>
      <c r="D23" t="e">
        <f>IFERROR(GETPIVOTDATA(""&amp;B$19,Control!$A$3,"Month",""&amp;$A23),NA())</f>
        <v>#N/A</v>
      </c>
      <c r="E23" t="e">
        <f>IFERROR(GETPIVOTDATA(""&amp;C$19,Control!$A$3,"Month",""&amp;$A23),NA())</f>
        <v>#N/A</v>
      </c>
      <c r="G23" s="13">
        <f t="shared" si="1"/>
        <v>0.3192365163945981</v>
      </c>
      <c r="H23" s="13" t="e">
        <f t="shared" si="2"/>
        <v>#N/A</v>
      </c>
      <c r="J23" s="1">
        <f>IF(K20&lt;0,ABS(K20),0)</f>
        <v>0</v>
      </c>
      <c r="L23" t="s">
        <v>79</v>
      </c>
    </row>
    <row r="24" spans="1:14" x14ac:dyDescent="0.25">
      <c r="A24" t="s">
        <v>7</v>
      </c>
      <c r="B24">
        <f>GETPIVOTDATA(""&amp;B$19,Control!$A$20,"Month",""&amp;$A24)</f>
        <v>39309</v>
      </c>
      <c r="C24">
        <f>GETPIVOTDATA(""&amp;C$19,Control!$A$20,"Month",""&amp;$A24)</f>
        <v>34220</v>
      </c>
      <c r="D24" t="e">
        <f>IFERROR(GETPIVOTDATA(""&amp;B$19,Control!$A$3,"Month",""&amp;$A24),NA())</f>
        <v>#N/A</v>
      </c>
      <c r="E24" t="e">
        <f>IFERROR(GETPIVOTDATA(""&amp;C$19,Control!$A$3,"Month",""&amp;$A24),NA())</f>
        <v>#N/A</v>
      </c>
      <c r="G24" s="13">
        <f t="shared" si="1"/>
        <v>0.17477161892987156</v>
      </c>
      <c r="H24" s="13" t="e">
        <f t="shared" si="2"/>
        <v>#N/A</v>
      </c>
      <c r="J24" t="s">
        <v>35</v>
      </c>
      <c r="L24" t="s">
        <v>7</v>
      </c>
    </row>
    <row r="25" spans="1:14" x14ac:dyDescent="0.25">
      <c r="A25" t="s">
        <v>8</v>
      </c>
      <c r="B25">
        <f>GETPIVOTDATA(""&amp;B$19,Control!$A$20,"Month",""&amp;$A25)</f>
        <v>31455</v>
      </c>
      <c r="C25">
        <f>GETPIVOTDATA(""&amp;C$19,Control!$A$20,"Month",""&amp;$A25)</f>
        <v>29500</v>
      </c>
      <c r="D25" t="e">
        <f>IFERROR(GETPIVOTDATA(""&amp;B$19,Control!$A$3,"Month",""&amp;$A25),NA())</f>
        <v>#N/A</v>
      </c>
      <c r="E25" t="e">
        <f>IFERROR(GETPIVOTDATA(""&amp;C$19,Control!$A$3,"Month",""&amp;$A25),NA())</f>
        <v>#N/A</v>
      </c>
      <c r="G25" s="13">
        <f t="shared" si="1"/>
        <v>8.390557939914163E-2</v>
      </c>
      <c r="H25" s="13" t="e">
        <f t="shared" si="2"/>
        <v>#N/A</v>
      </c>
      <c r="J25" s="11">
        <f>B32-C32</f>
        <v>11175</v>
      </c>
      <c r="L25" t="s">
        <v>80</v>
      </c>
    </row>
    <row r="26" spans="1:14" x14ac:dyDescent="0.25">
      <c r="A26" t="s">
        <v>9</v>
      </c>
      <c r="B26">
        <f>GETPIVOTDATA(""&amp;B$19,Control!$A$20,"Month",""&amp;$A26)</f>
        <v>31175</v>
      </c>
      <c r="C26">
        <f>GETPIVOTDATA(""&amp;C$19,Control!$A$20,"Month",""&amp;$A26)</f>
        <v>23820</v>
      </c>
      <c r="D26" t="e">
        <f>IFERROR(GETPIVOTDATA(""&amp;B$19,Control!$A$3,"Month",""&amp;$A26),NA())</f>
        <v>#N/A</v>
      </c>
      <c r="E26" t="e">
        <f>IFERROR(GETPIVOTDATA(""&amp;C$19,Control!$A$3,"Month",""&amp;$A26),NA())</f>
        <v>#N/A</v>
      </c>
      <c r="G26" s="13">
        <f t="shared" si="1"/>
        <v>0.3184947819685619</v>
      </c>
      <c r="H26" s="13" t="e">
        <f t="shared" si="2"/>
        <v>#N/A</v>
      </c>
      <c r="L26" t="s">
        <v>81</v>
      </c>
    </row>
    <row r="27" spans="1:14" x14ac:dyDescent="0.25">
      <c r="A27" t="s">
        <v>10</v>
      </c>
      <c r="B27">
        <f>GETPIVOTDATA(""&amp;B$19,Control!$A$20,"Month",""&amp;$A27)</f>
        <v>43810</v>
      </c>
      <c r="C27">
        <f>GETPIVOTDATA(""&amp;C$19,Control!$A$20,"Month",""&amp;$A27)</f>
        <v>19100</v>
      </c>
      <c r="D27" t="e">
        <f>IFERROR(GETPIVOTDATA(""&amp;B$19,Control!$A$3,"Month",""&amp;$A27),NA())</f>
        <v>#N/A</v>
      </c>
      <c r="E27" t="e">
        <f>IFERROR(GETPIVOTDATA(""&amp;C$19,Control!$A$3,"Month",""&amp;$A27),NA())</f>
        <v>#N/A</v>
      </c>
      <c r="G27" s="13">
        <f t="shared" si="1"/>
        <v>0.76143226919758411</v>
      </c>
      <c r="H27" s="13" t="e">
        <f t="shared" si="2"/>
        <v>#N/A</v>
      </c>
      <c r="J27" t="s">
        <v>88</v>
      </c>
      <c r="L27" t="s">
        <v>82</v>
      </c>
    </row>
    <row r="28" spans="1:14" x14ac:dyDescent="0.25">
      <c r="A28" t="s">
        <v>11</v>
      </c>
      <c r="B28">
        <f>GETPIVOTDATA(""&amp;B$19,Control!$A$20,"Month",""&amp;$A28)</f>
        <v>50097</v>
      </c>
      <c r="C28">
        <f>GETPIVOTDATA(""&amp;C$19,Control!$A$20,"Month",""&amp;$A28)</f>
        <v>16760</v>
      </c>
      <c r="D28" t="e">
        <f>IFERROR(GETPIVOTDATA(""&amp;B$19,Control!$A$3,"Month",""&amp;$A28),NA())</f>
        <v>#N/A</v>
      </c>
      <c r="E28" t="e">
        <f>IFERROR(GETPIVOTDATA(""&amp;C$19,Control!$A$3,"Month",""&amp;$A28),NA())</f>
        <v>#N/A</v>
      </c>
      <c r="G28" s="13">
        <f t="shared" si="1"/>
        <v>0.89835349915114937</v>
      </c>
      <c r="H28" s="13" t="e">
        <f t="shared" si="2"/>
        <v>#N/A</v>
      </c>
      <c r="J28" s="11">
        <f>B32+C32</f>
        <v>64495</v>
      </c>
      <c r="L28" t="s">
        <v>83</v>
      </c>
    </row>
    <row r="29" spans="1:14" x14ac:dyDescent="0.25">
      <c r="A29" t="s">
        <v>12</v>
      </c>
      <c r="B29">
        <f>GETPIVOTDATA(""&amp;B$19,Control!$A$20,"Month",""&amp;$A29)</f>
        <v>50762</v>
      </c>
      <c r="C29">
        <f>GETPIVOTDATA(""&amp;C$19,Control!$A$20,"Month",""&amp;$A29)</f>
        <v>17560</v>
      </c>
      <c r="D29" t="e">
        <f>IFERROR(GETPIVOTDATA(""&amp;B$19,Control!$A$3,"Month",""&amp;$A29),NA())</f>
        <v>#N/A</v>
      </c>
      <c r="E29" t="e">
        <f>IFERROR(GETPIVOTDATA(""&amp;C$19,Control!$A$3,"Month",""&amp;$A29),NA())</f>
        <v>#N/A</v>
      </c>
      <c r="G29" s="13">
        <f t="shared" si="1"/>
        <v>0.88298494760916968</v>
      </c>
      <c r="H29" s="13" t="e">
        <f t="shared" si="2"/>
        <v>#N/A</v>
      </c>
      <c r="L29" t="s">
        <v>84</v>
      </c>
    </row>
    <row r="30" spans="1:14" x14ac:dyDescent="0.25">
      <c r="A30" t="s">
        <v>13</v>
      </c>
      <c r="B30">
        <f>GETPIVOTDATA(""&amp;B$19,Control!$A$20,"Month",""&amp;$A30)</f>
        <v>45773</v>
      </c>
      <c r="C30">
        <f>GETPIVOTDATA(""&amp;C$19,Control!$A$20,"Month",""&amp;$A30)</f>
        <v>21260</v>
      </c>
      <c r="D30" t="e">
        <f>IFERROR(GETPIVOTDATA(""&amp;B$19,Control!$A$3,"Month",""&amp;$A30),NA())</f>
        <v>#N/A</v>
      </c>
      <c r="E30" t="e">
        <f>IFERROR(GETPIVOTDATA(""&amp;C$19,Control!$A$3,"Month",""&amp;$A30),NA())</f>
        <v>#N/A</v>
      </c>
      <c r="G30" s="13">
        <f t="shared" si="1"/>
        <v>0.72296938594938953</v>
      </c>
      <c r="H30" s="13" t="e">
        <f t="shared" si="2"/>
        <v>#N/A</v>
      </c>
      <c r="L30" t="s">
        <v>85</v>
      </c>
    </row>
    <row r="31" spans="1:14" x14ac:dyDescent="0.25">
      <c r="A31" t="s">
        <v>14</v>
      </c>
      <c r="B31">
        <f>GETPIVOTDATA(""&amp;B$19,Control!$A$20,"Month",""&amp;$A31)</f>
        <v>46402</v>
      </c>
      <c r="C31">
        <f>GETPIVOTDATA(""&amp;C$19,Control!$A$20,"Month",""&amp;$A31)</f>
        <v>26660</v>
      </c>
      <c r="D31" t="e">
        <f>IFERROR(GETPIVOTDATA(""&amp;B$19,Control!$A$3,"Month",""&amp;$A31),NA())</f>
        <v>#N/A</v>
      </c>
      <c r="E31" t="e">
        <f>IFERROR(GETPIVOTDATA(""&amp;C$19,Control!$A$3,"Month",""&amp;$A31),NA())</f>
        <v>#N/A</v>
      </c>
      <c r="G31" s="13">
        <f t="shared" si="1"/>
        <v>0.57436285348539506</v>
      </c>
      <c r="H31" s="13" t="e">
        <f t="shared" si="2"/>
        <v>#N/A</v>
      </c>
      <c r="L31" t="s">
        <v>86</v>
      </c>
    </row>
    <row r="32" spans="1:14" x14ac:dyDescent="0.25">
      <c r="B32" s="10">
        <f>GETPIVOTDATA("Sum of Revenue",Control!$A$3)</f>
        <v>37835</v>
      </c>
      <c r="C32" s="10">
        <f>GETPIVOTDATA("Sum of Expenses",Control!$A$3)</f>
        <v>26660</v>
      </c>
    </row>
  </sheetData>
  <phoneticPr fontId="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B4443-D8F4-4A24-AA38-E0BFEC8F4296}">
  <sheetPr codeName="Sheet12"/>
  <dimension ref="A3:T47"/>
  <sheetViews>
    <sheetView topLeftCell="A28" workbookViewId="0">
      <selection activeCell="L35" sqref="L35"/>
    </sheetView>
  </sheetViews>
  <sheetFormatPr defaultRowHeight="15" x14ac:dyDescent="0.25"/>
  <cols>
    <col min="1" max="1" width="13.42578125" bestFit="1" customWidth="1"/>
    <col min="2" max="2" width="19.28515625" bestFit="1" customWidth="1"/>
    <col min="3" max="3" width="20.140625" bestFit="1" customWidth="1"/>
    <col min="4" max="4" width="15.85546875" bestFit="1" customWidth="1"/>
    <col min="5" max="5" width="16.5703125" bestFit="1" customWidth="1"/>
    <col min="6" max="6" width="12.140625" bestFit="1" customWidth="1"/>
    <col min="7" max="7" width="11.140625" bestFit="1" customWidth="1"/>
    <col min="8" max="8" width="12.140625" bestFit="1" customWidth="1"/>
    <col min="9" max="9" width="11.42578125" bestFit="1" customWidth="1"/>
    <col min="10" max="10" width="10.5703125" bestFit="1" customWidth="1"/>
    <col min="11" max="12" width="14.28515625" bestFit="1" customWidth="1"/>
    <col min="13" max="14" width="14.5703125" bestFit="1" customWidth="1"/>
    <col min="15" max="15" width="14.28515625" bestFit="1" customWidth="1"/>
    <col min="16" max="17" width="17.5703125" bestFit="1" customWidth="1"/>
    <col min="18" max="19" width="17.85546875" bestFit="1" customWidth="1"/>
    <col min="20" max="20" width="17.5703125" bestFit="1" customWidth="1"/>
  </cols>
  <sheetData>
    <row r="3" spans="1:20" x14ac:dyDescent="0.25">
      <c r="A3" s="8" t="s">
        <v>43</v>
      </c>
      <c r="B3" t="s">
        <v>45</v>
      </c>
      <c r="C3" t="s">
        <v>46</v>
      </c>
      <c r="D3" t="s">
        <v>47</v>
      </c>
      <c r="E3" t="s">
        <v>48</v>
      </c>
      <c r="F3" t="s">
        <v>50</v>
      </c>
      <c r="G3" t="s">
        <v>51</v>
      </c>
      <c r="H3" t="s">
        <v>52</v>
      </c>
      <c r="I3" t="s">
        <v>53</v>
      </c>
      <c r="J3" t="s">
        <v>54</v>
      </c>
      <c r="K3" t="s">
        <v>65</v>
      </c>
      <c r="L3" t="s">
        <v>66</v>
      </c>
      <c r="M3" t="s">
        <v>67</v>
      </c>
      <c r="N3" t="s">
        <v>68</v>
      </c>
      <c r="O3" t="s">
        <v>69</v>
      </c>
      <c r="P3" t="s">
        <v>70</v>
      </c>
      <c r="Q3" t="s">
        <v>71</v>
      </c>
      <c r="R3" t="s">
        <v>72</v>
      </c>
      <c r="S3" t="s">
        <v>73</v>
      </c>
      <c r="T3" t="s">
        <v>74</v>
      </c>
    </row>
    <row r="4" spans="1:20" x14ac:dyDescent="0.25">
      <c r="A4" s="7" t="s">
        <v>3</v>
      </c>
      <c r="B4" s="11">
        <v>28026</v>
      </c>
      <c r="C4" s="11">
        <v>33543</v>
      </c>
      <c r="D4" s="11">
        <v>37835</v>
      </c>
      <c r="E4" s="11">
        <v>26660</v>
      </c>
      <c r="F4" s="11">
        <v>1511</v>
      </c>
      <c r="G4" s="11">
        <v>5603</v>
      </c>
      <c r="H4" s="11">
        <v>5741</v>
      </c>
      <c r="I4" s="11">
        <v>2858</v>
      </c>
      <c r="J4" s="11">
        <v>1164</v>
      </c>
      <c r="K4" s="11">
        <v>7381.8451474918056</v>
      </c>
      <c r="L4" s="11">
        <v>8409.9741542136544</v>
      </c>
      <c r="M4" s="11">
        <v>7244.885506360758</v>
      </c>
      <c r="N4" s="11">
        <v>4026.7997889006169</v>
      </c>
      <c r="O4" s="11">
        <v>6479.4954030331646</v>
      </c>
      <c r="P4" s="11">
        <v>8185</v>
      </c>
      <c r="Q4" s="11">
        <v>7567</v>
      </c>
      <c r="R4" s="11">
        <v>5405</v>
      </c>
      <c r="S4" s="11">
        <v>9111</v>
      </c>
      <c r="T4" s="11">
        <v>7567</v>
      </c>
    </row>
    <row r="5" spans="1:20" x14ac:dyDescent="0.25">
      <c r="A5" s="7" t="s">
        <v>44</v>
      </c>
      <c r="B5" s="11">
        <v>28026</v>
      </c>
      <c r="C5" s="11">
        <v>33543</v>
      </c>
      <c r="D5" s="11">
        <v>37835</v>
      </c>
      <c r="E5" s="11">
        <v>26660</v>
      </c>
      <c r="F5" s="11">
        <v>1511</v>
      </c>
      <c r="G5" s="11">
        <v>5603</v>
      </c>
      <c r="H5" s="11">
        <v>5741</v>
      </c>
      <c r="I5" s="11">
        <v>2858</v>
      </c>
      <c r="J5" s="11">
        <v>1164</v>
      </c>
      <c r="K5" s="11">
        <v>7381.8451474918056</v>
      </c>
      <c r="L5" s="11">
        <v>8409.9741542136544</v>
      </c>
      <c r="M5" s="11">
        <v>7244.885506360758</v>
      </c>
      <c r="N5" s="11">
        <v>4026.7997889006169</v>
      </c>
      <c r="O5" s="11">
        <v>6479.4954030331646</v>
      </c>
      <c r="P5" s="11">
        <v>8185</v>
      </c>
      <c r="Q5" s="11">
        <v>7567</v>
      </c>
      <c r="R5" s="11">
        <v>5405</v>
      </c>
      <c r="S5" s="11">
        <v>9111</v>
      </c>
      <c r="T5" s="11">
        <v>7567</v>
      </c>
    </row>
    <row r="20" spans="1:5" x14ac:dyDescent="0.25">
      <c r="A20" s="8" t="s">
        <v>43</v>
      </c>
      <c r="B20" t="s">
        <v>45</v>
      </c>
      <c r="C20" t="s">
        <v>46</v>
      </c>
      <c r="D20" t="s">
        <v>47</v>
      </c>
      <c r="E20" t="s">
        <v>48</v>
      </c>
    </row>
    <row r="21" spans="1:5" x14ac:dyDescent="0.25">
      <c r="A21" s="7" t="s">
        <v>3</v>
      </c>
      <c r="B21" s="11">
        <v>28026</v>
      </c>
      <c r="C21" s="11">
        <v>33543</v>
      </c>
      <c r="D21" s="11">
        <v>37835</v>
      </c>
      <c r="E21" s="11">
        <v>26660</v>
      </c>
    </row>
    <row r="22" spans="1:5" x14ac:dyDescent="0.25">
      <c r="A22" s="7" t="s">
        <v>4</v>
      </c>
      <c r="B22" s="11">
        <v>36152</v>
      </c>
      <c r="C22" s="11">
        <v>33555</v>
      </c>
      <c r="D22" s="11">
        <v>48805</v>
      </c>
      <c r="E22" s="11">
        <v>32060</v>
      </c>
    </row>
    <row r="23" spans="1:5" x14ac:dyDescent="0.25">
      <c r="A23" s="7" t="s">
        <v>5</v>
      </c>
      <c r="B23" s="11">
        <v>38644</v>
      </c>
      <c r="C23" s="11">
        <v>38370</v>
      </c>
      <c r="D23" s="11">
        <v>52169</v>
      </c>
      <c r="E23" s="11">
        <v>35760</v>
      </c>
    </row>
    <row r="24" spans="1:5" x14ac:dyDescent="0.25">
      <c r="A24" s="7" t="s">
        <v>6</v>
      </c>
      <c r="B24" s="11">
        <v>35469</v>
      </c>
      <c r="C24" s="11">
        <v>44242</v>
      </c>
      <c r="D24" s="11">
        <v>47883</v>
      </c>
      <c r="E24" s="11">
        <v>36560</v>
      </c>
    </row>
    <row r="25" spans="1:5" x14ac:dyDescent="0.25">
      <c r="A25" s="7" t="s">
        <v>7</v>
      </c>
      <c r="B25" s="11">
        <v>29118</v>
      </c>
      <c r="C25" s="11">
        <v>42780</v>
      </c>
      <c r="D25" s="11">
        <v>39309</v>
      </c>
      <c r="E25" s="11">
        <v>34220</v>
      </c>
    </row>
    <row r="26" spans="1:5" x14ac:dyDescent="0.25">
      <c r="A26" s="7" t="s">
        <v>8</v>
      </c>
      <c r="B26" s="11">
        <v>23300</v>
      </c>
      <c r="C26" s="11">
        <v>36777</v>
      </c>
      <c r="D26" s="11">
        <v>31455</v>
      </c>
      <c r="E26" s="11">
        <v>29500</v>
      </c>
    </row>
    <row r="27" spans="1:5" x14ac:dyDescent="0.25">
      <c r="A27" s="7" t="s">
        <v>9</v>
      </c>
      <c r="B27" s="11">
        <v>23093</v>
      </c>
      <c r="C27" s="11">
        <v>33575</v>
      </c>
      <c r="D27" s="11">
        <v>31175</v>
      </c>
      <c r="E27" s="11">
        <v>23820</v>
      </c>
    </row>
    <row r="28" spans="1:5" x14ac:dyDescent="0.25">
      <c r="A28" s="7" t="s">
        <v>10</v>
      </c>
      <c r="B28" s="11">
        <v>32452</v>
      </c>
      <c r="C28" s="11">
        <v>34422</v>
      </c>
      <c r="D28" s="11">
        <v>43810</v>
      </c>
      <c r="E28" s="11">
        <v>19100</v>
      </c>
    </row>
    <row r="29" spans="1:5" x14ac:dyDescent="0.25">
      <c r="A29" s="7" t="s">
        <v>11</v>
      </c>
      <c r="B29" s="11">
        <v>37109</v>
      </c>
      <c r="C29" s="11">
        <v>38532</v>
      </c>
      <c r="D29" s="11">
        <v>50097</v>
      </c>
      <c r="E29" s="11">
        <v>16760</v>
      </c>
    </row>
    <row r="30" spans="1:5" x14ac:dyDescent="0.25">
      <c r="A30" s="7" t="s">
        <v>12</v>
      </c>
      <c r="B30" s="11">
        <v>37602</v>
      </c>
      <c r="C30" s="11">
        <v>43205</v>
      </c>
      <c r="D30" s="11">
        <v>50762</v>
      </c>
      <c r="E30" s="11">
        <v>17560</v>
      </c>
    </row>
    <row r="31" spans="1:5" x14ac:dyDescent="0.25">
      <c r="A31" s="7" t="s">
        <v>13</v>
      </c>
      <c r="B31" s="11">
        <v>33906</v>
      </c>
      <c r="C31" s="11">
        <v>43752</v>
      </c>
      <c r="D31" s="11">
        <v>45773</v>
      </c>
      <c r="E31" s="11">
        <v>21260</v>
      </c>
    </row>
    <row r="32" spans="1:5" x14ac:dyDescent="0.25">
      <c r="A32" s="7" t="s">
        <v>14</v>
      </c>
      <c r="B32" s="11">
        <v>34372</v>
      </c>
      <c r="C32" s="11">
        <v>41665</v>
      </c>
      <c r="D32" s="11">
        <v>46402</v>
      </c>
      <c r="E32" s="11">
        <v>26660</v>
      </c>
    </row>
    <row r="33" spans="1:5" x14ac:dyDescent="0.25">
      <c r="A33" s="7" t="s">
        <v>44</v>
      </c>
      <c r="B33" s="24">
        <v>389243</v>
      </c>
      <c r="C33" s="24">
        <v>464418</v>
      </c>
      <c r="D33" s="24">
        <v>525475</v>
      </c>
      <c r="E33" s="24">
        <v>319920</v>
      </c>
    </row>
    <row r="35" spans="1:5" x14ac:dyDescent="0.25">
      <c r="A35" s="8" t="s">
        <v>43</v>
      </c>
    </row>
    <row r="36" spans="1:5" x14ac:dyDescent="0.25">
      <c r="A36" s="7">
        <v>2024</v>
      </c>
    </row>
    <row r="37" spans="1:5" x14ac:dyDescent="0.25">
      <c r="A37" s="7" t="s">
        <v>44</v>
      </c>
    </row>
    <row r="42" spans="1:5" x14ac:dyDescent="0.25">
      <c r="A42" s="8" t="s">
        <v>43</v>
      </c>
    </row>
    <row r="43" spans="1:5" x14ac:dyDescent="0.25">
      <c r="A43" s="7" t="s">
        <v>17</v>
      </c>
    </row>
    <row r="44" spans="1:5" x14ac:dyDescent="0.25">
      <c r="A44" s="7" t="s">
        <v>18</v>
      </c>
    </row>
    <row r="45" spans="1:5" x14ac:dyDescent="0.25">
      <c r="A45" s="7" t="s">
        <v>19</v>
      </c>
    </row>
    <row r="46" spans="1:5" x14ac:dyDescent="0.25">
      <c r="A46" s="7" t="s">
        <v>20</v>
      </c>
    </row>
    <row r="47" spans="1:5" x14ac:dyDescent="0.25">
      <c r="A47" s="7" t="s">
        <v>44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04A2-D2DF-495A-9B1A-3E8640139CC6}">
  <sheetPr codeName="Sheet13"/>
  <dimension ref="A1:U38"/>
  <sheetViews>
    <sheetView workbookViewId="0">
      <selection activeCell="Q30" sqref="Q30"/>
    </sheetView>
  </sheetViews>
  <sheetFormatPr defaultRowHeight="15" x14ac:dyDescent="0.25"/>
  <cols>
    <col min="3" max="3" width="13.140625" customWidth="1"/>
    <col min="4" max="4" width="14.140625" customWidth="1"/>
    <col min="5" max="5" width="10.5703125" bestFit="1" customWidth="1"/>
    <col min="6" max="6" width="10.7109375" customWidth="1"/>
    <col min="7" max="7" width="10.5703125" bestFit="1" customWidth="1"/>
    <col min="12" max="21" width="11.28515625" bestFit="1" customWidth="1"/>
  </cols>
  <sheetData>
    <row r="1" spans="1:21" x14ac:dyDescent="0.25">
      <c r="A1" s="5" t="s">
        <v>36</v>
      </c>
      <c r="B1" s="5" t="s">
        <v>37</v>
      </c>
      <c r="C1" s="2" t="s">
        <v>27</v>
      </c>
      <c r="D1" s="2" t="s">
        <v>28</v>
      </c>
      <c r="E1" s="2" t="s">
        <v>1</v>
      </c>
      <c r="F1" s="2" t="s">
        <v>2</v>
      </c>
      <c r="G1" s="5" t="s">
        <v>21</v>
      </c>
      <c r="H1" s="5" t="s">
        <v>25</v>
      </c>
      <c r="I1" s="5" t="s">
        <v>22</v>
      </c>
      <c r="J1" s="5" t="s">
        <v>23</v>
      </c>
      <c r="K1" s="5" t="s">
        <v>24</v>
      </c>
      <c r="L1" s="5" t="s">
        <v>55</v>
      </c>
      <c r="M1" s="5" t="s">
        <v>56</v>
      </c>
      <c r="N1" s="5" t="s">
        <v>57</v>
      </c>
      <c r="O1" s="5" t="s">
        <v>58</v>
      </c>
      <c r="P1" s="5" t="s">
        <v>59</v>
      </c>
      <c r="Q1" s="5" t="s">
        <v>60</v>
      </c>
      <c r="R1" s="5" t="s">
        <v>61</v>
      </c>
      <c r="S1" s="5" t="s">
        <v>62</v>
      </c>
      <c r="T1" s="5" t="s">
        <v>63</v>
      </c>
      <c r="U1" s="5" t="s">
        <v>64</v>
      </c>
    </row>
    <row r="2" spans="1:21" x14ac:dyDescent="0.25">
      <c r="A2" s="4">
        <v>2025</v>
      </c>
      <c r="B2" s="4" t="s">
        <v>3</v>
      </c>
      <c r="C2">
        <v>80017</v>
      </c>
      <c r="D2">
        <v>97558</v>
      </c>
      <c r="E2">
        <v>112023</v>
      </c>
      <c r="F2">
        <v>100740</v>
      </c>
      <c r="G2">
        <v>713</v>
      </c>
      <c r="H2">
        <v>1140</v>
      </c>
      <c r="I2">
        <v>1621</v>
      </c>
      <c r="J2">
        <v>1446</v>
      </c>
      <c r="K2">
        <v>754</v>
      </c>
      <c r="L2" s="9">
        <v>27448.095297266296</v>
      </c>
      <c r="M2" s="9">
        <v>16424.796621104953</v>
      </c>
      <c r="N2" s="9">
        <v>7872.0363338749758</v>
      </c>
      <c r="O2" s="9">
        <v>18863.280371821831</v>
      </c>
      <c r="P2" s="9">
        <v>26949.791375931942</v>
      </c>
      <c r="Q2" s="9">
        <v>13248</v>
      </c>
      <c r="R2" s="9">
        <v>26106</v>
      </c>
      <c r="S2" s="9">
        <v>24158</v>
      </c>
      <c r="T2" s="9">
        <v>26106</v>
      </c>
      <c r="U2" s="9">
        <v>22405</v>
      </c>
    </row>
    <row r="3" spans="1:21" x14ac:dyDescent="0.25">
      <c r="A3" s="4">
        <v>2025</v>
      </c>
      <c r="B3" s="4" t="s">
        <v>4</v>
      </c>
      <c r="C3">
        <v>63839</v>
      </c>
      <c r="D3">
        <v>109249</v>
      </c>
      <c r="E3">
        <v>89374</v>
      </c>
      <c r="F3">
        <v>94530</v>
      </c>
      <c r="G3">
        <v>1253</v>
      </c>
      <c r="H3">
        <v>1650</v>
      </c>
      <c r="I3">
        <v>2372</v>
      </c>
      <c r="J3">
        <v>1139</v>
      </c>
      <c r="K3">
        <v>1036</v>
      </c>
      <c r="L3" s="9">
        <v>23764.929843742881</v>
      </c>
      <c r="M3" s="9">
        <v>24933.090793130155</v>
      </c>
      <c r="N3" s="9">
        <v>18942.266593777051</v>
      </c>
      <c r="O3" s="9">
        <v>17383.05967837456</v>
      </c>
      <c r="P3" s="9">
        <v>24225.653090975353</v>
      </c>
      <c r="Q3" s="9">
        <v>25295</v>
      </c>
      <c r="R3" s="9">
        <v>15177</v>
      </c>
      <c r="S3" s="9">
        <v>19898</v>
      </c>
      <c r="T3" s="9">
        <v>11130</v>
      </c>
      <c r="U3" s="9">
        <v>17874</v>
      </c>
    </row>
    <row r="4" spans="1:21" x14ac:dyDescent="0.25">
      <c r="A4" s="4">
        <v>2025</v>
      </c>
      <c r="B4" s="4" t="s">
        <v>5</v>
      </c>
      <c r="C4">
        <v>52732</v>
      </c>
      <c r="D4">
        <v>114510</v>
      </c>
      <c r="E4">
        <v>73824</v>
      </c>
      <c r="F4">
        <v>102810</v>
      </c>
      <c r="G4">
        <v>669</v>
      </c>
      <c r="H4">
        <v>866</v>
      </c>
      <c r="I4">
        <v>1521</v>
      </c>
      <c r="J4">
        <v>4462</v>
      </c>
      <c r="K4">
        <v>1452</v>
      </c>
      <c r="L4" s="9">
        <v>24276.433686394194</v>
      </c>
      <c r="M4" s="9">
        <v>12218.541878602917</v>
      </c>
      <c r="N4" s="9">
        <v>22456.748050186503</v>
      </c>
      <c r="O4" s="9">
        <v>31424.981150140629</v>
      </c>
      <c r="P4" s="9">
        <v>24133.295234675763</v>
      </c>
      <c r="Q4" s="9">
        <v>19686</v>
      </c>
      <c r="R4" s="9">
        <v>17897</v>
      </c>
      <c r="S4" s="9">
        <v>12528</v>
      </c>
      <c r="T4" s="9">
        <v>8948</v>
      </c>
      <c r="U4" s="9">
        <v>14765</v>
      </c>
    </row>
    <row r="5" spans="1:21" x14ac:dyDescent="0.25">
      <c r="A5" s="4">
        <v>2025</v>
      </c>
      <c r="B5" s="4" t="s">
        <v>6</v>
      </c>
      <c r="C5">
        <v>50355</v>
      </c>
      <c r="D5">
        <v>106636</v>
      </c>
      <c r="E5">
        <v>70497</v>
      </c>
      <c r="F5">
        <v>113850</v>
      </c>
      <c r="G5">
        <v>1170</v>
      </c>
      <c r="H5">
        <v>1781</v>
      </c>
      <c r="I5">
        <v>1273</v>
      </c>
      <c r="J5">
        <v>1014</v>
      </c>
      <c r="K5">
        <v>518</v>
      </c>
      <c r="L5" s="9">
        <v>16531.862176187573</v>
      </c>
      <c r="M5" s="9">
        <v>17366.782080103087</v>
      </c>
      <c r="N5" s="9">
        <v>28381.30235098851</v>
      </c>
      <c r="O5" s="9">
        <v>27577.00115553501</v>
      </c>
      <c r="P5" s="9">
        <v>16779.052237185817</v>
      </c>
      <c r="Q5" s="9">
        <v>19369</v>
      </c>
      <c r="R5" s="9">
        <v>18799</v>
      </c>
      <c r="S5" s="9">
        <v>9115</v>
      </c>
      <c r="T5" s="9">
        <v>9115</v>
      </c>
      <c r="U5" s="9">
        <v>14099</v>
      </c>
    </row>
    <row r="6" spans="1:21" x14ac:dyDescent="0.25">
      <c r="A6" s="4">
        <v>2025</v>
      </c>
      <c r="B6" s="4" t="s">
        <v>7</v>
      </c>
      <c r="C6">
        <v>57327</v>
      </c>
      <c r="D6">
        <v>87133</v>
      </c>
      <c r="E6">
        <v>80257</v>
      </c>
      <c r="F6">
        <v>106260</v>
      </c>
      <c r="G6">
        <v>486</v>
      </c>
      <c r="H6">
        <v>1235</v>
      </c>
      <c r="I6">
        <v>2145</v>
      </c>
      <c r="J6">
        <v>1513</v>
      </c>
      <c r="K6">
        <v>338</v>
      </c>
      <c r="L6" s="9">
        <v>14632.423984446947</v>
      </c>
      <c r="M6" s="9">
        <v>15003.910904191822</v>
      </c>
      <c r="N6" s="9">
        <v>21139.091681162387</v>
      </c>
      <c r="O6" s="9">
        <v>20823.476394147139</v>
      </c>
      <c r="P6" s="9">
        <v>15534.097036051706</v>
      </c>
      <c r="Q6" s="9">
        <v>9126</v>
      </c>
      <c r="R6" s="9">
        <v>17274</v>
      </c>
      <c r="S6" s="9">
        <v>23792</v>
      </c>
      <c r="T6" s="9">
        <v>14014</v>
      </c>
      <c r="U6" s="9">
        <v>16051</v>
      </c>
    </row>
    <row r="7" spans="1:21" x14ac:dyDescent="0.25">
      <c r="A7" s="4">
        <v>2025</v>
      </c>
      <c r="B7" s="4" t="s">
        <v>8</v>
      </c>
      <c r="C7">
        <v>71533</v>
      </c>
      <c r="D7">
        <v>76715</v>
      </c>
      <c r="E7">
        <v>100146</v>
      </c>
      <c r="F7">
        <v>89700</v>
      </c>
      <c r="G7">
        <v>1067</v>
      </c>
      <c r="H7">
        <v>1554</v>
      </c>
      <c r="I7">
        <v>1331</v>
      </c>
      <c r="J7">
        <v>1004</v>
      </c>
      <c r="K7">
        <v>176</v>
      </c>
      <c r="L7" s="9">
        <v>15548.792846497763</v>
      </c>
      <c r="M7" s="9">
        <v>18349.347148937311</v>
      </c>
      <c r="N7" s="9">
        <v>17570.156516427007</v>
      </c>
      <c r="O7" s="9">
        <v>13182.381110618815</v>
      </c>
      <c r="P7" s="9">
        <v>12064.322377519098</v>
      </c>
      <c r="Q7" s="9">
        <v>14421</v>
      </c>
      <c r="R7" s="9">
        <v>17626</v>
      </c>
      <c r="S7" s="9">
        <v>13887</v>
      </c>
      <c r="T7" s="9">
        <v>34183</v>
      </c>
      <c r="U7" s="9">
        <v>20029</v>
      </c>
    </row>
    <row r="8" spans="1:21" x14ac:dyDescent="0.25">
      <c r="A8" s="4">
        <v>2025</v>
      </c>
      <c r="B8" s="4" t="s">
        <v>9</v>
      </c>
      <c r="C8">
        <v>88557</v>
      </c>
      <c r="D8">
        <v>78093</v>
      </c>
      <c r="E8">
        <v>123979</v>
      </c>
      <c r="F8">
        <v>88320</v>
      </c>
      <c r="G8">
        <v>531</v>
      </c>
      <c r="H8">
        <v>1000</v>
      </c>
      <c r="I8">
        <v>2408</v>
      </c>
      <c r="J8">
        <v>627</v>
      </c>
      <c r="K8">
        <v>304</v>
      </c>
      <c r="L8" s="9">
        <v>18182.576851259419</v>
      </c>
      <c r="M8" s="9">
        <v>22610.188801692279</v>
      </c>
      <c r="N8" s="9">
        <v>18390.089295274407</v>
      </c>
      <c r="O8" s="9">
        <v>8722.1508102320367</v>
      </c>
      <c r="P8" s="9">
        <v>10187.994241541855</v>
      </c>
      <c r="Q8" s="9">
        <v>34006</v>
      </c>
      <c r="R8" s="9">
        <v>28338</v>
      </c>
      <c r="S8" s="9">
        <v>21254</v>
      </c>
      <c r="T8" s="9">
        <v>15586</v>
      </c>
      <c r="U8" s="9">
        <v>24795</v>
      </c>
    </row>
    <row r="9" spans="1:21" x14ac:dyDescent="0.25">
      <c r="A9" s="4">
        <v>2025</v>
      </c>
      <c r="B9" s="4" t="s">
        <v>10</v>
      </c>
      <c r="C9">
        <v>102771</v>
      </c>
      <c r="D9">
        <v>93616</v>
      </c>
      <c r="E9">
        <v>143879</v>
      </c>
      <c r="F9">
        <v>99360</v>
      </c>
      <c r="G9">
        <v>1298</v>
      </c>
      <c r="H9">
        <v>1472</v>
      </c>
      <c r="I9">
        <v>814</v>
      </c>
      <c r="J9">
        <v>799</v>
      </c>
      <c r="K9">
        <v>354</v>
      </c>
      <c r="L9" s="9">
        <v>19490.76862084345</v>
      </c>
      <c r="M9" s="9">
        <v>27354.345606818973</v>
      </c>
      <c r="N9" s="9">
        <v>25331.62019921701</v>
      </c>
      <c r="O9" s="9">
        <v>9890.3617622280581</v>
      </c>
      <c r="P9" s="9">
        <v>11548.903810892512</v>
      </c>
      <c r="Q9" s="9">
        <v>24858</v>
      </c>
      <c r="R9" s="9">
        <v>27560</v>
      </c>
      <c r="S9" s="9">
        <v>35666</v>
      </c>
      <c r="T9" s="9">
        <v>27020</v>
      </c>
      <c r="U9" s="9">
        <v>28775</v>
      </c>
    </row>
    <row r="10" spans="1:21" x14ac:dyDescent="0.25">
      <c r="A10" s="4">
        <v>2025</v>
      </c>
      <c r="B10" s="4" t="s">
        <v>11</v>
      </c>
      <c r="C10">
        <v>109735</v>
      </c>
      <c r="D10">
        <v>100816</v>
      </c>
      <c r="E10">
        <v>153629</v>
      </c>
      <c r="F10">
        <v>120060</v>
      </c>
      <c r="G10">
        <v>1236</v>
      </c>
      <c r="H10">
        <v>1720</v>
      </c>
      <c r="I10">
        <v>1512</v>
      </c>
      <c r="J10">
        <v>1071</v>
      </c>
      <c r="K10">
        <v>168</v>
      </c>
      <c r="L10" s="9">
        <v>15375.276548127074</v>
      </c>
      <c r="M10" s="9">
        <v>24337.336140350875</v>
      </c>
      <c r="N10" s="9">
        <v>31549.815078236134</v>
      </c>
      <c r="O10" s="9">
        <v>16057.899819819821</v>
      </c>
      <c r="P10" s="9">
        <v>13495.672413466098</v>
      </c>
      <c r="Q10" s="9">
        <v>34066</v>
      </c>
      <c r="R10" s="9">
        <v>18703</v>
      </c>
      <c r="S10" s="9">
        <v>28722</v>
      </c>
      <c r="T10" s="9">
        <v>41413</v>
      </c>
      <c r="U10" s="9">
        <v>30725</v>
      </c>
    </row>
    <row r="11" spans="1:21" x14ac:dyDescent="0.25">
      <c r="A11" s="4">
        <v>2025</v>
      </c>
      <c r="B11" s="4" t="s">
        <v>12</v>
      </c>
      <c r="C11">
        <v>107323</v>
      </c>
      <c r="D11">
        <v>90443</v>
      </c>
      <c r="E11">
        <v>150252</v>
      </c>
      <c r="F11">
        <v>128340</v>
      </c>
      <c r="G11">
        <v>420</v>
      </c>
      <c r="H11">
        <v>890</v>
      </c>
      <c r="I11">
        <v>1583</v>
      </c>
      <c r="J11">
        <v>1371</v>
      </c>
      <c r="K11">
        <v>458</v>
      </c>
      <c r="L11" s="9">
        <v>11014.115803806126</v>
      </c>
      <c r="M11" s="9">
        <v>15341.883962959928</v>
      </c>
      <c r="N11" s="9">
        <v>26871.386727097375</v>
      </c>
      <c r="O11" s="9">
        <v>21798.47392507517</v>
      </c>
      <c r="P11" s="9">
        <v>15417.139581061403</v>
      </c>
      <c r="Q11" s="9">
        <v>51167</v>
      </c>
      <c r="R11" s="9">
        <v>25990</v>
      </c>
      <c r="S11" s="9">
        <v>21929</v>
      </c>
      <c r="T11" s="9">
        <v>21116</v>
      </c>
      <c r="U11" s="9">
        <v>30050</v>
      </c>
    </row>
    <row r="12" spans="1:21" x14ac:dyDescent="0.25">
      <c r="A12" s="4">
        <v>2025</v>
      </c>
      <c r="B12" s="4" t="s">
        <v>13</v>
      </c>
      <c r="C12">
        <v>96271</v>
      </c>
      <c r="D12">
        <v>82576</v>
      </c>
      <c r="E12">
        <v>134779</v>
      </c>
      <c r="F12">
        <v>122820</v>
      </c>
      <c r="G12">
        <v>337</v>
      </c>
      <c r="H12">
        <v>2403</v>
      </c>
      <c r="I12">
        <v>2057</v>
      </c>
      <c r="J12">
        <v>738</v>
      </c>
      <c r="K12">
        <v>211</v>
      </c>
      <c r="L12" s="9">
        <v>10692.047098121084</v>
      </c>
      <c r="M12" s="9">
        <v>11348.729853862213</v>
      </c>
      <c r="N12" s="9">
        <v>19769.970104384134</v>
      </c>
      <c r="O12" s="9">
        <v>23319.133528183716</v>
      </c>
      <c r="P12" s="9">
        <v>17446.119415448851</v>
      </c>
      <c r="Q12" s="9">
        <v>42530</v>
      </c>
      <c r="R12" s="9">
        <v>28753</v>
      </c>
      <c r="S12" s="9">
        <v>21565</v>
      </c>
      <c r="T12" s="9">
        <v>14975</v>
      </c>
      <c r="U12" s="9">
        <v>26956</v>
      </c>
    </row>
    <row r="13" spans="1:21" x14ac:dyDescent="0.25">
      <c r="A13" s="4">
        <v>2025</v>
      </c>
      <c r="B13" s="4" t="s">
        <v>14</v>
      </c>
      <c r="C13">
        <v>80090</v>
      </c>
      <c r="D13">
        <v>88480</v>
      </c>
      <c r="E13">
        <v>112126</v>
      </c>
      <c r="F13">
        <v>110400</v>
      </c>
      <c r="G13">
        <v>1669</v>
      </c>
      <c r="H13">
        <v>1773</v>
      </c>
      <c r="I13">
        <v>405</v>
      </c>
      <c r="J13">
        <v>401</v>
      </c>
      <c r="K13">
        <v>304</v>
      </c>
      <c r="L13" s="9">
        <v>15500.810039480362</v>
      </c>
      <c r="M13" s="9">
        <v>11835.550780709329</v>
      </c>
      <c r="N13" s="9">
        <v>14342.623104250564</v>
      </c>
      <c r="O13" s="9">
        <v>23570.212165751611</v>
      </c>
      <c r="P13" s="9">
        <v>23230.803909808135</v>
      </c>
      <c r="Q13" s="9">
        <v>22012</v>
      </c>
      <c r="R13" s="9">
        <v>18160</v>
      </c>
      <c r="S13" s="9">
        <v>18160</v>
      </c>
      <c r="T13" s="9">
        <v>31368</v>
      </c>
      <c r="U13" s="9">
        <v>22426</v>
      </c>
    </row>
    <row r="14" spans="1:21" x14ac:dyDescent="0.25">
      <c r="A14" s="4">
        <v>2026</v>
      </c>
      <c r="B14" s="4" t="s">
        <v>3</v>
      </c>
      <c r="C14">
        <v>50564</v>
      </c>
      <c r="D14">
        <v>50702</v>
      </c>
      <c r="E14">
        <v>63206</v>
      </c>
      <c r="F14">
        <v>39690</v>
      </c>
      <c r="G14">
        <v>1067</v>
      </c>
      <c r="H14">
        <v>2597</v>
      </c>
      <c r="I14">
        <v>1262</v>
      </c>
      <c r="J14">
        <v>1529</v>
      </c>
      <c r="K14">
        <v>805</v>
      </c>
      <c r="L14" s="9">
        <v>12351.262958984764</v>
      </c>
      <c r="M14" s="9">
        <v>8094.328121892031</v>
      </c>
      <c r="N14" s="9">
        <v>5089.2945193672012</v>
      </c>
      <c r="O14" s="9">
        <v>9914.3585418572893</v>
      </c>
      <c r="P14" s="9">
        <v>15252.755857898715</v>
      </c>
      <c r="Q14" s="9">
        <v>14990</v>
      </c>
      <c r="R14" s="9">
        <v>11858</v>
      </c>
      <c r="S14" s="9">
        <v>9173</v>
      </c>
      <c r="T14" s="9">
        <v>14543</v>
      </c>
      <c r="U14" s="9">
        <v>12642</v>
      </c>
    </row>
    <row r="15" spans="1:21" x14ac:dyDescent="0.25">
      <c r="A15" s="4">
        <v>2026</v>
      </c>
      <c r="B15" s="4" t="s">
        <v>4</v>
      </c>
      <c r="C15">
        <v>63421</v>
      </c>
      <c r="D15">
        <v>70305</v>
      </c>
      <c r="E15">
        <v>79277</v>
      </c>
      <c r="F15">
        <v>49690</v>
      </c>
      <c r="G15">
        <v>2412</v>
      </c>
      <c r="H15">
        <v>5592</v>
      </c>
      <c r="I15">
        <v>6809</v>
      </c>
      <c r="J15">
        <v>2147</v>
      </c>
      <c r="K15">
        <v>1808</v>
      </c>
      <c r="L15" s="9">
        <v>20400.839210613558</v>
      </c>
      <c r="M15" s="9">
        <v>13311.889190787891</v>
      </c>
      <c r="N15" s="9">
        <v>5594.1101851912035</v>
      </c>
      <c r="O15" s="9">
        <v>9408.6709004751647</v>
      </c>
      <c r="P15" s="9">
        <v>21589.490512932185</v>
      </c>
      <c r="Q15" s="9">
        <v>19258</v>
      </c>
      <c r="R15" s="9">
        <v>15920</v>
      </c>
      <c r="S15" s="9">
        <v>9500</v>
      </c>
      <c r="T15" s="9">
        <v>18744</v>
      </c>
      <c r="U15" s="9">
        <v>15855</v>
      </c>
    </row>
    <row r="16" spans="1:21" x14ac:dyDescent="0.25">
      <c r="A16" s="4">
        <v>2026</v>
      </c>
      <c r="B16" s="4" t="s">
        <v>5</v>
      </c>
      <c r="C16">
        <v>65773</v>
      </c>
      <c r="D16">
        <v>55623</v>
      </c>
      <c r="E16">
        <v>82217</v>
      </c>
      <c r="F16">
        <v>50270</v>
      </c>
      <c r="G16">
        <v>343</v>
      </c>
      <c r="H16">
        <v>1232</v>
      </c>
      <c r="I16">
        <v>3197</v>
      </c>
      <c r="J16">
        <v>3587</v>
      </c>
      <c r="K16">
        <v>2297</v>
      </c>
      <c r="L16" s="9">
        <v>17483.223772999987</v>
      </c>
      <c r="M16" s="9">
        <v>10576.895138768255</v>
      </c>
      <c r="N16" s="9">
        <v>4376.659079065168</v>
      </c>
      <c r="O16" s="9">
        <v>6886.6323676790889</v>
      </c>
      <c r="P16" s="9">
        <v>16299.589641487501</v>
      </c>
      <c r="Q16" s="9">
        <v>23665</v>
      </c>
      <c r="R16" s="9">
        <v>12180</v>
      </c>
      <c r="S16" s="9">
        <v>16008</v>
      </c>
      <c r="T16" s="9">
        <v>13920</v>
      </c>
      <c r="U16" s="9">
        <v>16444</v>
      </c>
    </row>
    <row r="17" spans="1:21" x14ac:dyDescent="0.25">
      <c r="A17" s="4">
        <v>2026</v>
      </c>
      <c r="B17" s="4" t="s">
        <v>6</v>
      </c>
      <c r="C17">
        <v>59724</v>
      </c>
      <c r="D17">
        <v>62203</v>
      </c>
      <c r="E17">
        <v>74656</v>
      </c>
      <c r="F17">
        <v>47270</v>
      </c>
      <c r="G17">
        <v>1867</v>
      </c>
      <c r="H17">
        <v>7805</v>
      </c>
      <c r="I17">
        <v>2249</v>
      </c>
      <c r="J17">
        <v>1864</v>
      </c>
      <c r="K17">
        <v>422</v>
      </c>
      <c r="L17" s="9">
        <v>18590.332185898569</v>
      </c>
      <c r="M17" s="9">
        <v>9495.218151616893</v>
      </c>
      <c r="N17" s="9">
        <v>7034.3579925781942</v>
      </c>
      <c r="O17" s="9">
        <v>10661.675539848029</v>
      </c>
      <c r="P17" s="9">
        <v>16421.416130058315</v>
      </c>
      <c r="Q17" s="9">
        <v>8670</v>
      </c>
      <c r="R17" s="9">
        <v>15654</v>
      </c>
      <c r="S17" s="9">
        <v>17821</v>
      </c>
      <c r="T17" s="9">
        <v>17580</v>
      </c>
      <c r="U17" s="9">
        <v>14931</v>
      </c>
    </row>
    <row r="18" spans="1:21" x14ac:dyDescent="0.25">
      <c r="A18" s="4">
        <v>2026</v>
      </c>
      <c r="B18" s="4" t="s">
        <v>7</v>
      </c>
      <c r="C18">
        <v>45764</v>
      </c>
      <c r="D18">
        <v>54385</v>
      </c>
      <c r="E18">
        <v>57205</v>
      </c>
      <c r="F18">
        <v>35250</v>
      </c>
      <c r="G18">
        <v>599</v>
      </c>
      <c r="H18">
        <v>1422</v>
      </c>
      <c r="I18">
        <v>2800</v>
      </c>
      <c r="J18">
        <v>2114</v>
      </c>
      <c r="K18">
        <v>566</v>
      </c>
      <c r="L18" s="9">
        <v>12433.368535075653</v>
      </c>
      <c r="M18" s="9">
        <v>6862.4593878954602</v>
      </c>
      <c r="N18" s="9">
        <v>9908.6178473177442</v>
      </c>
      <c r="O18" s="9">
        <v>12939.06674690509</v>
      </c>
      <c r="P18" s="9">
        <v>12241.487482806053</v>
      </c>
      <c r="Q18" s="9">
        <v>7390</v>
      </c>
      <c r="R18" s="9">
        <v>15065</v>
      </c>
      <c r="S18" s="9">
        <v>11086</v>
      </c>
      <c r="T18" s="9">
        <v>12223</v>
      </c>
      <c r="U18" s="9">
        <v>11441</v>
      </c>
    </row>
    <row r="19" spans="1:21" x14ac:dyDescent="0.25">
      <c r="A19" s="4">
        <v>2026</v>
      </c>
      <c r="B19" s="4" t="s">
        <v>8</v>
      </c>
      <c r="C19">
        <v>35126</v>
      </c>
      <c r="D19">
        <v>36741</v>
      </c>
      <c r="E19">
        <v>43908</v>
      </c>
      <c r="F19">
        <v>35250</v>
      </c>
      <c r="G19">
        <v>504</v>
      </c>
      <c r="H19">
        <v>754</v>
      </c>
      <c r="I19">
        <v>749</v>
      </c>
      <c r="J19">
        <v>433</v>
      </c>
      <c r="K19">
        <v>103</v>
      </c>
      <c r="L19" s="9">
        <v>5599.224918150423</v>
      </c>
      <c r="M19" s="9">
        <v>4887.3752522760915</v>
      </c>
      <c r="N19" s="9">
        <v>8577.2705937377868</v>
      </c>
      <c r="O19" s="9">
        <v>10453.408767354993</v>
      </c>
      <c r="P19" s="9">
        <v>7223.7204684807057</v>
      </c>
      <c r="Q19" s="9">
        <v>6572</v>
      </c>
      <c r="R19" s="9">
        <v>13824</v>
      </c>
      <c r="S19" s="9">
        <v>6799</v>
      </c>
      <c r="T19" s="9">
        <v>7932</v>
      </c>
      <c r="U19" s="9">
        <v>8781</v>
      </c>
    </row>
    <row r="20" spans="1:21" x14ac:dyDescent="0.25">
      <c r="A20" s="4">
        <v>2026</v>
      </c>
      <c r="B20" s="4" t="s">
        <v>9</v>
      </c>
      <c r="C20">
        <v>35124</v>
      </c>
      <c r="D20">
        <v>35401</v>
      </c>
      <c r="E20">
        <v>43905</v>
      </c>
      <c r="F20">
        <v>44070</v>
      </c>
      <c r="G20">
        <v>419</v>
      </c>
      <c r="H20">
        <v>647</v>
      </c>
      <c r="I20">
        <v>472</v>
      </c>
      <c r="J20">
        <v>564</v>
      </c>
      <c r="K20">
        <v>296</v>
      </c>
      <c r="L20" s="9">
        <v>3881.457043968881</v>
      </c>
      <c r="M20" s="9">
        <v>5892.0275955061761</v>
      </c>
      <c r="N20" s="9">
        <v>9371.8104789600566</v>
      </c>
      <c r="O20" s="9">
        <v>9753.4669239181749</v>
      </c>
      <c r="P20" s="9">
        <v>6502.2379576467083</v>
      </c>
      <c r="Q20" s="9">
        <v>12080</v>
      </c>
      <c r="R20" s="9">
        <v>8363</v>
      </c>
      <c r="S20" s="9">
        <v>9106</v>
      </c>
      <c r="T20" s="9">
        <v>5575</v>
      </c>
      <c r="U20" s="9">
        <v>8781</v>
      </c>
    </row>
    <row r="21" spans="1:21" x14ac:dyDescent="0.25">
      <c r="A21" s="4">
        <v>2026</v>
      </c>
      <c r="B21" s="4" t="s">
        <v>10</v>
      </c>
      <c r="C21">
        <v>45767</v>
      </c>
      <c r="D21">
        <v>37172</v>
      </c>
      <c r="E21">
        <v>57209</v>
      </c>
      <c r="F21">
        <v>45370</v>
      </c>
      <c r="G21">
        <v>1119</v>
      </c>
      <c r="H21">
        <v>1947</v>
      </c>
      <c r="I21">
        <v>2642</v>
      </c>
      <c r="J21">
        <v>792</v>
      </c>
      <c r="K21">
        <v>781</v>
      </c>
      <c r="L21" s="9">
        <v>4034.9190398543856</v>
      </c>
      <c r="M21" s="9">
        <v>8141.021804254674</v>
      </c>
      <c r="N21" s="9">
        <v>10096.577326103168</v>
      </c>
      <c r="O21" s="9">
        <v>8636.7236484522145</v>
      </c>
      <c r="P21" s="9">
        <v>6262.7581813355582</v>
      </c>
      <c r="Q21" s="9">
        <v>11015</v>
      </c>
      <c r="R21" s="9">
        <v>13673</v>
      </c>
      <c r="S21" s="9">
        <v>9495</v>
      </c>
      <c r="T21" s="9">
        <v>11584</v>
      </c>
      <c r="U21" s="9">
        <v>11442</v>
      </c>
    </row>
    <row r="22" spans="1:21" x14ac:dyDescent="0.25">
      <c r="A22" s="4">
        <v>2026</v>
      </c>
      <c r="B22" s="4" t="s">
        <v>11</v>
      </c>
      <c r="C22">
        <v>59726</v>
      </c>
      <c r="D22">
        <v>51231</v>
      </c>
      <c r="E22">
        <v>74658</v>
      </c>
      <c r="F22">
        <v>56490</v>
      </c>
      <c r="G22">
        <v>660</v>
      </c>
      <c r="H22">
        <v>922</v>
      </c>
      <c r="I22">
        <v>1397</v>
      </c>
      <c r="J22">
        <v>2169</v>
      </c>
      <c r="K22">
        <v>978</v>
      </c>
      <c r="L22" s="9">
        <v>7036.7396697609456</v>
      </c>
      <c r="M22" s="9">
        <v>13669.456009200689</v>
      </c>
      <c r="N22" s="9">
        <v>14827.13824415952</v>
      </c>
      <c r="O22" s="9">
        <v>9801.7743366466784</v>
      </c>
      <c r="P22" s="9">
        <v>5895.8917402321658</v>
      </c>
      <c r="Q22" s="9">
        <v>14562</v>
      </c>
      <c r="R22" s="9">
        <v>15829</v>
      </c>
      <c r="S22" s="9">
        <v>15829</v>
      </c>
      <c r="T22" s="9">
        <v>13507</v>
      </c>
      <c r="U22" s="9">
        <v>14931</v>
      </c>
    </row>
    <row r="23" spans="1:21" x14ac:dyDescent="0.25">
      <c r="A23" s="4">
        <v>2026</v>
      </c>
      <c r="B23" s="4" t="s">
        <v>12</v>
      </c>
      <c r="C23">
        <v>66562</v>
      </c>
      <c r="D23">
        <v>55624</v>
      </c>
      <c r="E23">
        <v>83203</v>
      </c>
      <c r="F23">
        <v>61490</v>
      </c>
      <c r="G23">
        <v>979</v>
      </c>
      <c r="H23">
        <v>5861</v>
      </c>
      <c r="I23">
        <v>5671</v>
      </c>
      <c r="J23">
        <v>549</v>
      </c>
      <c r="K23">
        <v>163</v>
      </c>
      <c r="L23" s="9">
        <v>8987.9418734630017</v>
      </c>
      <c r="M23" s="9">
        <v>17243.286384976524</v>
      </c>
      <c r="N23" s="9">
        <v>15797.842164095686</v>
      </c>
      <c r="O23" s="9">
        <v>7840.9496981891343</v>
      </c>
      <c r="P23" s="9">
        <v>5753.9798792756537</v>
      </c>
      <c r="Q23" s="9">
        <v>20115</v>
      </c>
      <c r="R23" s="9">
        <v>11338</v>
      </c>
      <c r="S23" s="9">
        <v>23772</v>
      </c>
      <c r="T23" s="9">
        <v>11338</v>
      </c>
      <c r="U23" s="9">
        <v>16640</v>
      </c>
    </row>
    <row r="24" spans="1:21" x14ac:dyDescent="0.25">
      <c r="A24" s="4">
        <v>2026</v>
      </c>
      <c r="B24" s="4" t="s">
        <v>13</v>
      </c>
      <c r="C24">
        <v>63425</v>
      </c>
      <c r="D24">
        <v>65096</v>
      </c>
      <c r="E24">
        <v>79282</v>
      </c>
      <c r="F24">
        <v>57770</v>
      </c>
      <c r="G24">
        <v>2964</v>
      </c>
      <c r="H24">
        <v>3724</v>
      </c>
      <c r="I24">
        <v>4447</v>
      </c>
      <c r="J24">
        <v>3728</v>
      </c>
      <c r="K24">
        <v>1512</v>
      </c>
      <c r="L24" s="9">
        <v>13071.34146607718</v>
      </c>
      <c r="M24" s="9">
        <v>21001.374488292124</v>
      </c>
      <c r="N24" s="9">
        <v>16782.534741553409</v>
      </c>
      <c r="O24" s="9">
        <v>6848.5639430162109</v>
      </c>
      <c r="P24" s="9">
        <v>7392.1853610610769</v>
      </c>
      <c r="Q24" s="9">
        <v>16194</v>
      </c>
      <c r="R24" s="9">
        <v>17093</v>
      </c>
      <c r="S24" s="9">
        <v>13495</v>
      </c>
      <c r="T24" s="9">
        <v>16644</v>
      </c>
      <c r="U24" s="9">
        <v>15856</v>
      </c>
    </row>
    <row r="25" spans="1:21" x14ac:dyDescent="0.25">
      <c r="A25" s="4">
        <v>2026</v>
      </c>
      <c r="B25" s="4" t="s">
        <v>14</v>
      </c>
      <c r="C25">
        <v>50564</v>
      </c>
      <c r="D25">
        <v>44623</v>
      </c>
      <c r="E25">
        <v>63206</v>
      </c>
      <c r="F25">
        <v>47770</v>
      </c>
      <c r="G25">
        <v>1754</v>
      </c>
      <c r="H25">
        <v>2767</v>
      </c>
      <c r="I25">
        <v>2046</v>
      </c>
      <c r="J25">
        <v>1432</v>
      </c>
      <c r="K25">
        <v>382</v>
      </c>
      <c r="L25" s="9">
        <v>10151.250774079783</v>
      </c>
      <c r="M25" s="9">
        <v>13637.025728606934</v>
      </c>
      <c r="N25" s="9">
        <v>10074.422460115798</v>
      </c>
      <c r="O25" s="9">
        <v>4256.8462184640593</v>
      </c>
      <c r="P25" s="9">
        <v>6503.454818733424</v>
      </c>
      <c r="Q25" s="9">
        <v>9496</v>
      </c>
      <c r="R25" s="9">
        <v>14718</v>
      </c>
      <c r="S25" s="9">
        <v>12107</v>
      </c>
      <c r="T25" s="9">
        <v>14244</v>
      </c>
      <c r="U25" s="9">
        <v>12641</v>
      </c>
    </row>
    <row r="26" spans="1:21" x14ac:dyDescent="0.25">
      <c r="A26" s="4">
        <v>2024</v>
      </c>
      <c r="B26" s="4" t="s">
        <v>3</v>
      </c>
      <c r="C26">
        <v>28026</v>
      </c>
      <c r="D26">
        <v>33543</v>
      </c>
      <c r="E26">
        <v>37835</v>
      </c>
      <c r="F26">
        <v>26660</v>
      </c>
      <c r="G26">
        <v>1511</v>
      </c>
      <c r="H26">
        <v>5603</v>
      </c>
      <c r="I26">
        <v>5741</v>
      </c>
      <c r="J26">
        <v>2858</v>
      </c>
      <c r="K26">
        <v>1164</v>
      </c>
      <c r="L26" s="9">
        <v>7381.8451474918056</v>
      </c>
      <c r="M26" s="9">
        <v>8409.9741542136544</v>
      </c>
      <c r="N26" s="9">
        <v>7244.885506360758</v>
      </c>
      <c r="O26" s="9">
        <v>4026.7997889006169</v>
      </c>
      <c r="P26" s="9">
        <v>6479.4954030331646</v>
      </c>
      <c r="Q26" s="9">
        <v>8185</v>
      </c>
      <c r="R26" s="9">
        <v>7567</v>
      </c>
      <c r="S26" s="9">
        <v>5405</v>
      </c>
      <c r="T26" s="9">
        <v>9111</v>
      </c>
      <c r="U26" s="9">
        <v>7567</v>
      </c>
    </row>
    <row r="27" spans="1:21" x14ac:dyDescent="0.25">
      <c r="A27" s="4">
        <v>2024</v>
      </c>
      <c r="B27" s="4" t="s">
        <v>4</v>
      </c>
      <c r="C27">
        <v>36152</v>
      </c>
      <c r="D27">
        <v>33555</v>
      </c>
      <c r="E27">
        <v>48805</v>
      </c>
      <c r="F27">
        <v>32060</v>
      </c>
      <c r="G27">
        <v>2881</v>
      </c>
      <c r="H27">
        <v>5551</v>
      </c>
      <c r="I27">
        <v>2481</v>
      </c>
      <c r="J27">
        <v>2067</v>
      </c>
      <c r="K27">
        <v>875</v>
      </c>
      <c r="L27" s="9">
        <v>5996.3606098068985</v>
      </c>
      <c r="M27" s="9">
        <v>5971.1099278390684</v>
      </c>
      <c r="N27" s="9">
        <v>8022.9532902428209</v>
      </c>
      <c r="O27" s="9">
        <v>5685.2361355604235</v>
      </c>
      <c r="P27" s="9">
        <v>7879.3400365507887</v>
      </c>
      <c r="Q27" s="9">
        <v>6428</v>
      </c>
      <c r="R27" s="9">
        <v>13808</v>
      </c>
      <c r="S27" s="9">
        <v>7856</v>
      </c>
      <c r="T27" s="9">
        <v>10951</v>
      </c>
      <c r="U27" s="9">
        <v>9762</v>
      </c>
    </row>
    <row r="28" spans="1:21" x14ac:dyDescent="0.25">
      <c r="A28" s="4">
        <v>2024</v>
      </c>
      <c r="B28" s="4" t="s">
        <v>5</v>
      </c>
      <c r="C28">
        <v>38644</v>
      </c>
      <c r="D28">
        <v>38370</v>
      </c>
      <c r="E28">
        <v>52169</v>
      </c>
      <c r="F28">
        <v>35760</v>
      </c>
      <c r="G28">
        <v>2045</v>
      </c>
      <c r="H28">
        <v>2765</v>
      </c>
      <c r="I28">
        <v>2278</v>
      </c>
      <c r="J28">
        <v>1140</v>
      </c>
      <c r="K28">
        <v>117</v>
      </c>
      <c r="L28" s="9">
        <v>5162.7025766212519</v>
      </c>
      <c r="M28" s="9">
        <v>4967.0323483551037</v>
      </c>
      <c r="N28" s="9">
        <v>10358.507259528131</v>
      </c>
      <c r="O28" s="9">
        <v>8247.3284808670542</v>
      </c>
      <c r="P28" s="9">
        <v>9634.4293346284594</v>
      </c>
      <c r="Q28" s="9">
        <v>8675</v>
      </c>
      <c r="R28" s="9">
        <v>12192</v>
      </c>
      <c r="S28" s="9">
        <v>6565</v>
      </c>
      <c r="T28" s="9">
        <v>14303</v>
      </c>
      <c r="U28" s="9">
        <v>10434</v>
      </c>
    </row>
    <row r="29" spans="1:21" x14ac:dyDescent="0.25">
      <c r="A29" s="4">
        <v>2024</v>
      </c>
      <c r="B29" s="4" t="s">
        <v>6</v>
      </c>
      <c r="C29">
        <v>35469</v>
      </c>
      <c r="D29">
        <v>44242</v>
      </c>
      <c r="E29">
        <v>47883</v>
      </c>
      <c r="F29">
        <v>36560</v>
      </c>
      <c r="G29">
        <v>263</v>
      </c>
      <c r="H29">
        <v>1412</v>
      </c>
      <c r="I29">
        <v>3836</v>
      </c>
      <c r="J29">
        <v>2081</v>
      </c>
      <c r="K29">
        <v>311</v>
      </c>
      <c r="L29" s="9">
        <v>4905.9119642439391</v>
      </c>
      <c r="M29" s="9">
        <v>5684.6151790881213</v>
      </c>
      <c r="N29" s="9">
        <v>12310.265547853282</v>
      </c>
      <c r="O29" s="9">
        <v>10837.293534604823</v>
      </c>
      <c r="P29" s="9">
        <v>10503.913774209834</v>
      </c>
      <c r="Q29" s="9">
        <v>9577</v>
      </c>
      <c r="R29" s="9">
        <v>13357</v>
      </c>
      <c r="S29" s="9">
        <v>7812</v>
      </c>
      <c r="T29" s="9">
        <v>7560</v>
      </c>
      <c r="U29" s="9">
        <v>9577</v>
      </c>
    </row>
    <row r="30" spans="1:21" x14ac:dyDescent="0.25">
      <c r="A30" s="4">
        <v>2024</v>
      </c>
      <c r="B30" s="4" t="s">
        <v>7</v>
      </c>
      <c r="C30">
        <v>29118</v>
      </c>
      <c r="D30">
        <v>42780</v>
      </c>
      <c r="E30">
        <v>39309</v>
      </c>
      <c r="F30">
        <v>34220</v>
      </c>
      <c r="G30">
        <v>1820</v>
      </c>
      <c r="H30">
        <v>3031</v>
      </c>
      <c r="I30">
        <v>2757</v>
      </c>
      <c r="J30">
        <v>1975</v>
      </c>
      <c r="K30">
        <v>1499</v>
      </c>
      <c r="L30" s="9">
        <v>5071.28710209568</v>
      </c>
      <c r="M30" s="9">
        <v>6959.7547504124159</v>
      </c>
      <c r="N30" s="9">
        <v>11211.355410276776</v>
      </c>
      <c r="O30" s="9">
        <v>10679.44791348445</v>
      </c>
      <c r="P30" s="9">
        <v>8858.1548237306779</v>
      </c>
      <c r="Q30" s="9">
        <v>10482</v>
      </c>
      <c r="R30" s="9">
        <v>7321</v>
      </c>
      <c r="S30" s="9">
        <v>4659</v>
      </c>
      <c r="T30" s="9">
        <v>8985</v>
      </c>
      <c r="U30" s="9">
        <v>7862</v>
      </c>
    </row>
    <row r="31" spans="1:21" x14ac:dyDescent="0.25">
      <c r="A31" s="4">
        <v>2024</v>
      </c>
      <c r="B31" s="4" t="s">
        <v>8</v>
      </c>
      <c r="C31">
        <v>23300</v>
      </c>
      <c r="D31">
        <v>36777</v>
      </c>
      <c r="E31">
        <v>31455</v>
      </c>
      <c r="F31">
        <v>29500</v>
      </c>
      <c r="G31">
        <v>4362</v>
      </c>
      <c r="H31">
        <v>4812</v>
      </c>
      <c r="I31">
        <v>4003</v>
      </c>
      <c r="J31">
        <v>2397</v>
      </c>
      <c r="K31">
        <v>2155</v>
      </c>
      <c r="L31" s="9">
        <v>5795.3927343975847</v>
      </c>
      <c r="M31" s="9">
        <v>7508.731018533389</v>
      </c>
      <c r="N31" s="9">
        <v>8594.097272990075</v>
      </c>
      <c r="O31" s="9">
        <v>8472.4247390229011</v>
      </c>
      <c r="P31" s="9">
        <v>6406.3542350560501</v>
      </c>
      <c r="Q31" s="9">
        <v>5091</v>
      </c>
      <c r="R31" s="9">
        <v>5527</v>
      </c>
      <c r="S31" s="9">
        <v>4364</v>
      </c>
      <c r="T31" s="9">
        <v>10182</v>
      </c>
      <c r="U31" s="9">
        <v>6291</v>
      </c>
    </row>
    <row r="32" spans="1:21" x14ac:dyDescent="0.25">
      <c r="A32" s="4">
        <v>2024</v>
      </c>
      <c r="B32" s="4" t="s">
        <v>9</v>
      </c>
      <c r="C32">
        <v>23093</v>
      </c>
      <c r="D32">
        <v>33575</v>
      </c>
      <c r="E32">
        <v>31175</v>
      </c>
      <c r="F32">
        <v>23820</v>
      </c>
      <c r="G32">
        <v>2507</v>
      </c>
      <c r="H32">
        <v>7399</v>
      </c>
      <c r="I32">
        <v>4559</v>
      </c>
      <c r="J32">
        <v>5121</v>
      </c>
      <c r="K32">
        <v>2213</v>
      </c>
      <c r="L32" s="9">
        <v>7298.308608836569</v>
      </c>
      <c r="M32" s="9">
        <v>7937.0813909492636</v>
      </c>
      <c r="N32" s="9">
        <v>6779.620315969074</v>
      </c>
      <c r="O32" s="9">
        <v>6461.7919073081239</v>
      </c>
      <c r="P32" s="9">
        <v>5098.1977769369705</v>
      </c>
      <c r="Q32" s="9">
        <v>5068</v>
      </c>
      <c r="R32" s="9">
        <v>4535</v>
      </c>
      <c r="S32" s="9">
        <v>9736</v>
      </c>
      <c r="T32" s="9">
        <v>5601</v>
      </c>
      <c r="U32" s="9">
        <v>6235</v>
      </c>
    </row>
    <row r="33" spans="1:21" x14ac:dyDescent="0.25">
      <c r="A33" s="4">
        <v>2024</v>
      </c>
      <c r="B33" s="4" t="s">
        <v>10</v>
      </c>
      <c r="C33">
        <v>32452</v>
      </c>
      <c r="D33">
        <v>34422</v>
      </c>
      <c r="E33">
        <v>43810</v>
      </c>
      <c r="F33">
        <v>19100</v>
      </c>
      <c r="G33">
        <v>3047</v>
      </c>
      <c r="H33">
        <v>3163</v>
      </c>
      <c r="I33">
        <v>8406</v>
      </c>
      <c r="J33">
        <v>2859</v>
      </c>
      <c r="K33">
        <v>846</v>
      </c>
      <c r="L33" s="9">
        <v>9544.6170991506733</v>
      </c>
      <c r="M33" s="9">
        <v>8118.1067054572759</v>
      </c>
      <c r="N33" s="9">
        <v>5979.5525315564728</v>
      </c>
      <c r="O33" s="9">
        <v>5579.246633194125</v>
      </c>
      <c r="P33" s="9">
        <v>5200.477030641453</v>
      </c>
      <c r="Q33" s="9">
        <v>9428</v>
      </c>
      <c r="R33" s="9">
        <v>7583</v>
      </c>
      <c r="S33" s="9">
        <v>9428</v>
      </c>
      <c r="T33" s="9">
        <v>8608</v>
      </c>
      <c r="U33" s="9">
        <v>8763</v>
      </c>
    </row>
    <row r="34" spans="1:21" x14ac:dyDescent="0.25">
      <c r="A34" s="4">
        <v>2024</v>
      </c>
      <c r="B34" s="4" t="s">
        <v>11</v>
      </c>
      <c r="C34">
        <v>37109</v>
      </c>
      <c r="D34">
        <v>38532</v>
      </c>
      <c r="E34">
        <v>50097</v>
      </c>
      <c r="F34">
        <v>16760</v>
      </c>
      <c r="G34">
        <v>2526</v>
      </c>
      <c r="H34">
        <v>2576</v>
      </c>
      <c r="I34">
        <v>8568</v>
      </c>
      <c r="J34">
        <v>9530</v>
      </c>
      <c r="K34">
        <v>5595</v>
      </c>
      <c r="L34" s="9">
        <v>11460.902330398758</v>
      </c>
      <c r="M34" s="9">
        <v>8311.4796478508542</v>
      </c>
      <c r="N34" s="9">
        <v>5993.0821336095287</v>
      </c>
      <c r="O34" s="9">
        <v>6048.9545313309163</v>
      </c>
      <c r="P34" s="9">
        <v>6717.5813568099438</v>
      </c>
      <c r="Q34" s="9">
        <v>7157</v>
      </c>
      <c r="R34" s="9">
        <v>13496</v>
      </c>
      <c r="S34" s="9">
        <v>11451</v>
      </c>
      <c r="T34" s="9">
        <v>7975</v>
      </c>
      <c r="U34" s="9">
        <v>10018</v>
      </c>
    </row>
    <row r="35" spans="1:21" x14ac:dyDescent="0.25">
      <c r="A35" s="4">
        <v>2024</v>
      </c>
      <c r="B35" s="4" t="s">
        <v>12</v>
      </c>
      <c r="C35">
        <v>37602</v>
      </c>
      <c r="D35">
        <v>43205</v>
      </c>
      <c r="E35">
        <v>50762</v>
      </c>
      <c r="F35">
        <v>17560</v>
      </c>
      <c r="G35">
        <v>3576</v>
      </c>
      <c r="H35">
        <v>5116</v>
      </c>
      <c r="I35">
        <v>3866</v>
      </c>
      <c r="J35">
        <v>3387</v>
      </c>
      <c r="K35">
        <v>1534</v>
      </c>
      <c r="L35" s="9">
        <v>11210.946675130932</v>
      </c>
      <c r="M35" s="9">
        <v>8667.7090560077395</v>
      </c>
      <c r="N35" s="9">
        <v>6614.5728191292392</v>
      </c>
      <c r="O35" s="9">
        <v>7779.5839662638582</v>
      </c>
      <c r="P35" s="9">
        <v>8932.187483468233</v>
      </c>
      <c r="Q35" s="9">
        <v>10255</v>
      </c>
      <c r="R35" s="9">
        <v>11691</v>
      </c>
      <c r="S35" s="9">
        <v>5333</v>
      </c>
      <c r="T35" s="9">
        <v>13331</v>
      </c>
      <c r="U35" s="9">
        <v>10152</v>
      </c>
    </row>
    <row r="36" spans="1:21" x14ac:dyDescent="0.25">
      <c r="A36" s="4">
        <v>2024</v>
      </c>
      <c r="B36" s="4" t="s">
        <v>13</v>
      </c>
      <c r="C36">
        <v>33906</v>
      </c>
      <c r="D36">
        <v>43752</v>
      </c>
      <c r="E36">
        <v>45773</v>
      </c>
      <c r="F36">
        <v>21260</v>
      </c>
      <c r="G36">
        <v>3008</v>
      </c>
      <c r="H36">
        <v>3718</v>
      </c>
      <c r="I36">
        <v>5994</v>
      </c>
      <c r="J36">
        <v>5349</v>
      </c>
      <c r="K36">
        <v>2272</v>
      </c>
      <c r="L36" s="9">
        <v>8587.6624028297629</v>
      </c>
      <c r="M36" s="9">
        <v>8695.334347879736</v>
      </c>
      <c r="N36" s="9">
        <v>7219.4189116933321</v>
      </c>
      <c r="O36" s="9">
        <v>9271.4842265454699</v>
      </c>
      <c r="P36" s="9">
        <v>9978.1001110517009</v>
      </c>
      <c r="Q36" s="9">
        <v>10672</v>
      </c>
      <c r="R36" s="9">
        <v>10672</v>
      </c>
      <c r="S36" s="9">
        <v>6905</v>
      </c>
      <c r="T36" s="9">
        <v>8370</v>
      </c>
      <c r="U36" s="9">
        <v>9154</v>
      </c>
    </row>
    <row r="37" spans="1:21" x14ac:dyDescent="0.25">
      <c r="A37" s="4">
        <v>2024</v>
      </c>
      <c r="B37" s="4" t="s">
        <v>14</v>
      </c>
      <c r="C37">
        <v>34372</v>
      </c>
      <c r="D37">
        <v>41665</v>
      </c>
      <c r="E37">
        <v>46402</v>
      </c>
      <c r="F37">
        <v>26660</v>
      </c>
      <c r="G37">
        <v>3131</v>
      </c>
      <c r="H37">
        <v>4514</v>
      </c>
      <c r="I37">
        <v>4313</v>
      </c>
      <c r="J37">
        <v>2682</v>
      </c>
      <c r="K37">
        <v>707</v>
      </c>
      <c r="L37" s="9">
        <v>6213.2133372208737</v>
      </c>
      <c r="M37" s="9">
        <v>8291.8549905241216</v>
      </c>
      <c r="N37" s="9">
        <v>7830.2280549410843</v>
      </c>
      <c r="O37" s="9">
        <v>9849.9779424348253</v>
      </c>
      <c r="P37" s="9">
        <v>9479.7256748790951</v>
      </c>
      <c r="Q37" s="9">
        <v>5924</v>
      </c>
      <c r="R37" s="9">
        <v>12242</v>
      </c>
      <c r="S37" s="9">
        <v>5924</v>
      </c>
      <c r="T37" s="9">
        <v>13032</v>
      </c>
      <c r="U37" s="9">
        <v>9280</v>
      </c>
    </row>
    <row r="38" spans="1:21" x14ac:dyDescent="0.25">
      <c r="C38" s="6"/>
      <c r="D38" s="6"/>
      <c r="E38" s="6"/>
      <c r="F38" s="6"/>
      <c r="G38" s="6"/>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29490-DF1A-41D3-86D5-3237AFA9DDDD}">
  <dimension ref="A1:L53"/>
  <sheetViews>
    <sheetView topLeftCell="A31" workbookViewId="0">
      <selection activeCell="N61" sqref="N61"/>
    </sheetView>
  </sheetViews>
  <sheetFormatPr defaultRowHeight="15" x14ac:dyDescent="0.25"/>
  <cols>
    <col min="4" max="4" width="11.85546875" bestFit="1" customWidth="1"/>
  </cols>
  <sheetData>
    <row r="1" spans="1:12" x14ac:dyDescent="0.25">
      <c r="C1" s="4" t="s">
        <v>97</v>
      </c>
      <c r="D1" s="7" t="s">
        <v>98</v>
      </c>
      <c r="E1" t="s">
        <v>106</v>
      </c>
      <c r="G1" t="s">
        <v>99</v>
      </c>
      <c r="H1">
        <v>60</v>
      </c>
      <c r="I1">
        <v>100</v>
      </c>
      <c r="J1">
        <v>45</v>
      </c>
      <c r="K1">
        <v>135</v>
      </c>
      <c r="L1">
        <v>30</v>
      </c>
    </row>
    <row r="2" spans="1:12" x14ac:dyDescent="0.25">
      <c r="B2" s="14" t="s">
        <v>100</v>
      </c>
      <c r="C2">
        <v>35</v>
      </c>
      <c r="G2" t="s">
        <v>99</v>
      </c>
      <c r="H2">
        <v>20</v>
      </c>
      <c r="I2">
        <v>100</v>
      </c>
      <c r="J2">
        <v>15</v>
      </c>
      <c r="K2">
        <v>135</v>
      </c>
      <c r="L2">
        <v>3</v>
      </c>
    </row>
    <row r="3" spans="1:12" x14ac:dyDescent="0.25">
      <c r="B3" s="14" t="s">
        <v>101</v>
      </c>
      <c r="C3">
        <v>65</v>
      </c>
    </row>
    <row r="4" spans="1:12" x14ac:dyDescent="0.25">
      <c r="B4" t="s">
        <v>102</v>
      </c>
      <c r="C4">
        <v>0</v>
      </c>
    </row>
    <row r="5" spans="1:12" x14ac:dyDescent="0.25">
      <c r="B5" t="s">
        <v>103</v>
      </c>
      <c r="C5">
        <v>100</v>
      </c>
    </row>
    <row r="7" spans="1:12" x14ac:dyDescent="0.25">
      <c r="B7" s="14" t="s">
        <v>104</v>
      </c>
      <c r="C7">
        <v>62</v>
      </c>
    </row>
    <row r="8" spans="1:12" x14ac:dyDescent="0.25">
      <c r="B8" s="14" t="s">
        <v>105</v>
      </c>
      <c r="C8">
        <v>100</v>
      </c>
      <c r="E8">
        <v>135</v>
      </c>
    </row>
    <row r="9" spans="1:12" x14ac:dyDescent="0.25">
      <c r="B9" t="s">
        <v>107</v>
      </c>
      <c r="C9">
        <v>0</v>
      </c>
    </row>
    <row r="10" spans="1:12" x14ac:dyDescent="0.25">
      <c r="B10" t="s">
        <v>108</v>
      </c>
      <c r="C10">
        <v>77</v>
      </c>
      <c r="D10">
        <v>100</v>
      </c>
    </row>
    <row r="11" spans="1:12" x14ac:dyDescent="0.25">
      <c r="A11" t="s">
        <v>109</v>
      </c>
      <c r="B11" t="s">
        <v>110</v>
      </c>
      <c r="C11">
        <v>0</v>
      </c>
    </row>
    <row r="12" spans="1:12" x14ac:dyDescent="0.25">
      <c r="A12" t="s">
        <v>109</v>
      </c>
      <c r="B12" t="s">
        <v>111</v>
      </c>
      <c r="C12">
        <v>51</v>
      </c>
    </row>
    <row r="13" spans="1:12" x14ac:dyDescent="0.25">
      <c r="A13" t="s">
        <v>109</v>
      </c>
      <c r="B13" t="s">
        <v>112</v>
      </c>
      <c r="C13">
        <v>100</v>
      </c>
    </row>
    <row r="14" spans="1:12" x14ac:dyDescent="0.25">
      <c r="E14" s="17" t="s">
        <v>134</v>
      </c>
      <c r="F14" s="4"/>
      <c r="G14" s="4"/>
    </row>
    <row r="15" spans="1:12" x14ac:dyDescent="0.25">
      <c r="B15" t="s">
        <v>113</v>
      </c>
      <c r="C15">
        <v>0</v>
      </c>
      <c r="F15" s="4"/>
      <c r="G15" s="4"/>
    </row>
    <row r="16" spans="1:12" x14ac:dyDescent="0.25">
      <c r="B16" t="s">
        <v>114</v>
      </c>
      <c r="C16">
        <v>20</v>
      </c>
      <c r="E16" s="18" t="s">
        <v>135</v>
      </c>
      <c r="F16" s="4"/>
      <c r="G16" s="4"/>
    </row>
    <row r="17" spans="1:7" x14ac:dyDescent="0.25">
      <c r="B17" t="s">
        <v>115</v>
      </c>
      <c r="C17">
        <v>50</v>
      </c>
      <c r="F17" s="4"/>
      <c r="G17" s="4"/>
    </row>
    <row r="18" spans="1:7" x14ac:dyDescent="0.25">
      <c r="B18" t="s">
        <v>104</v>
      </c>
      <c r="C18">
        <v>100</v>
      </c>
      <c r="E18" s="19" t="s">
        <v>130</v>
      </c>
    </row>
    <row r="19" spans="1:7" x14ac:dyDescent="0.25">
      <c r="A19" t="s">
        <v>109</v>
      </c>
      <c r="B19" t="s">
        <v>118</v>
      </c>
      <c r="C19">
        <v>0</v>
      </c>
      <c r="E19" s="20" t="s">
        <v>131</v>
      </c>
      <c r="G19" s="4"/>
    </row>
    <row r="20" spans="1:7" x14ac:dyDescent="0.25">
      <c r="A20" t="s">
        <v>109</v>
      </c>
      <c r="B20" t="s">
        <v>119</v>
      </c>
      <c r="C20">
        <v>20</v>
      </c>
      <c r="E20" s="21" t="s">
        <v>136</v>
      </c>
      <c r="G20" s="4"/>
    </row>
    <row r="21" spans="1:7" x14ac:dyDescent="0.25">
      <c r="A21" t="s">
        <v>109</v>
      </c>
      <c r="B21" t="s">
        <v>120</v>
      </c>
      <c r="C21">
        <v>100</v>
      </c>
      <c r="G21" s="4"/>
    </row>
    <row r="22" spans="1:7" x14ac:dyDescent="0.25">
      <c r="E22" s="22" t="s">
        <v>125</v>
      </c>
    </row>
    <row r="23" spans="1:7" x14ac:dyDescent="0.25">
      <c r="E23" s="23" t="s">
        <v>137</v>
      </c>
    </row>
    <row r="24" spans="1:7" x14ac:dyDescent="0.25">
      <c r="B24" t="s">
        <v>116</v>
      </c>
      <c r="C24">
        <v>0</v>
      </c>
    </row>
    <row r="25" spans="1:7" x14ac:dyDescent="0.25">
      <c r="B25" t="s">
        <v>117</v>
      </c>
      <c r="C25">
        <v>10</v>
      </c>
    </row>
    <row r="26" spans="1:7" x14ac:dyDescent="0.25">
      <c r="B26" t="s">
        <v>104</v>
      </c>
      <c r="C26">
        <v>100</v>
      </c>
    </row>
    <row r="27" spans="1:7" x14ac:dyDescent="0.25">
      <c r="A27" t="s">
        <v>109</v>
      </c>
      <c r="B27" t="s">
        <v>119</v>
      </c>
      <c r="C27">
        <v>0</v>
      </c>
    </row>
    <row r="28" spans="1:7" x14ac:dyDescent="0.25">
      <c r="A28" t="s">
        <v>109</v>
      </c>
      <c r="B28" t="s">
        <v>120</v>
      </c>
      <c r="C28">
        <v>70</v>
      </c>
    </row>
    <row r="30" spans="1:7" x14ac:dyDescent="0.25">
      <c r="B30" t="s">
        <v>102</v>
      </c>
      <c r="C30">
        <v>0</v>
      </c>
    </row>
    <row r="31" spans="1:7" x14ac:dyDescent="0.25">
      <c r="B31" t="s">
        <v>121</v>
      </c>
      <c r="C31">
        <v>73</v>
      </c>
    </row>
    <row r="33" spans="1:2" x14ac:dyDescent="0.25">
      <c r="A33" t="s">
        <v>122</v>
      </c>
      <c r="B33" t="s">
        <v>123</v>
      </c>
    </row>
    <row r="36" spans="1:2" x14ac:dyDescent="0.25">
      <c r="B36" t="s">
        <v>124</v>
      </c>
    </row>
    <row r="37" spans="1:2" x14ac:dyDescent="0.25">
      <c r="B37" t="s">
        <v>125</v>
      </c>
    </row>
    <row r="38" spans="1:2" x14ac:dyDescent="0.25">
      <c r="B38" t="s">
        <v>126</v>
      </c>
    </row>
    <row r="39" spans="1:2" x14ac:dyDescent="0.25">
      <c r="B39" t="s">
        <v>127</v>
      </c>
    </row>
    <row r="40" spans="1:2" x14ac:dyDescent="0.25">
      <c r="B40" t="s">
        <v>102</v>
      </c>
    </row>
    <row r="41" spans="1:2" x14ac:dyDescent="0.25">
      <c r="B41" t="s">
        <v>128</v>
      </c>
    </row>
    <row r="44" spans="1:2" x14ac:dyDescent="0.25">
      <c r="B44" t="s">
        <v>102</v>
      </c>
    </row>
    <row r="45" spans="1:2" x14ac:dyDescent="0.25">
      <c r="B45" t="s">
        <v>129</v>
      </c>
    </row>
    <row r="46" spans="1:2" x14ac:dyDescent="0.25">
      <c r="B46" t="s">
        <v>130</v>
      </c>
    </row>
    <row r="47" spans="1:2" x14ac:dyDescent="0.25">
      <c r="B47" t="s">
        <v>131</v>
      </c>
    </row>
    <row r="50" spans="1:2" x14ac:dyDescent="0.25">
      <c r="B50" s="15" t="s">
        <v>132</v>
      </c>
    </row>
    <row r="51" spans="1:2" x14ac:dyDescent="0.25">
      <c r="B51" s="16" t="s">
        <v>133</v>
      </c>
    </row>
    <row r="53" spans="1:2" x14ac:dyDescent="0.25">
      <c r="A53" t="s">
        <v>109</v>
      </c>
      <c r="B53"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DASHBOARD Light</vt:lpstr>
      <vt:lpstr>Revenue vs Expenses</vt:lpstr>
      <vt:lpstr>Revenue vs Expenses Light</vt:lpstr>
      <vt:lpstr>Sales Closed</vt:lpstr>
      <vt:lpstr>Sales Closed Light</vt:lpstr>
      <vt:lpstr>Products</vt:lpstr>
      <vt:lpstr>Products Light</vt:lpstr>
      <vt:lpstr>ROI</vt:lpstr>
      <vt:lpstr>ROI Light</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Luis Rivera</cp:lastModifiedBy>
  <dcterms:created xsi:type="dcterms:W3CDTF">2025-07-25T17:12:35Z</dcterms:created>
  <dcterms:modified xsi:type="dcterms:W3CDTF">2026-04-15T15:59:30Z</dcterms:modified>
</cp:coreProperties>
</file>