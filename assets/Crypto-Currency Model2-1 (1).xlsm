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16b4287a4dcc001/Documents/Spring 2022/"/>
    </mc:Choice>
  </mc:AlternateContent>
  <xr:revisionPtr revIDLastSave="302" documentId="8_{EBAA421F-1D6C-42A6-8DFD-780A241A19FB}" xr6:coauthVersionLast="47" xr6:coauthVersionMax="47" xr10:uidLastSave="{671B788D-4D09-45CF-B00D-31C35DF6B5FA}"/>
  <bookViews>
    <workbookView xWindow="-108" yWindow="-108" windowWidth="23256" windowHeight="12576" xr2:uid="{EEF6E11E-33A6-4FF1-8061-7D1C729EEE06}"/>
  </bookViews>
  <sheets>
    <sheet name="Dashboard" sheetId="6" r:id="rId1"/>
    <sheet name="Multi-Chart" sheetId="12" r:id="rId2"/>
    <sheet name="Coin Returns" sheetId="1" r:id="rId3"/>
    <sheet name="Alt Season" sheetId="2" r:id="rId4"/>
    <sheet name="Hist prices" sheetId="3" r:id="rId5"/>
    <sheet name="Single-Chart" sheetId="5" r:id="rId6"/>
    <sheet name="Coin List" sheetId="4" r:id="rId7"/>
  </sheets>
  <definedNames>
    <definedName name="Colum_Name">'Hist prices'!$H$9:$Q$9</definedName>
    <definedName name="Column_Name">'Hist prices'!$H$9:$Q$9</definedName>
    <definedName name="Column_Number">'Hist prices'!$Z$12</definedName>
    <definedName name="Dashboard_Interval">Dashboard!$C$8</definedName>
    <definedName name="Dashboard_Number_of_Days">Dashboard!$C$7</definedName>
    <definedName name="Dashboard_Symbol">Table5[[#Headers],[Symbol]]</definedName>
    <definedName name="Date_Range">Crypto_Prices[Date]</definedName>
    <definedName name="Date_Range2">'Hist prices'!$G$10:$G$16</definedName>
    <definedName name="Date2">'Hist prices'!$G$9</definedName>
    <definedName name="ExternalData_1" localSheetId="6" hidden="1">'Coin List'!$B$4:$D$13465</definedName>
    <definedName name="ExternalData_1" localSheetId="2" hidden="1">'Coin Returns'!$B$4:$N$54</definedName>
    <definedName name="ExternalData_1" localSheetId="4" hidden="1">'Hist prices'!$B$9:$D$130</definedName>
    <definedName name="Hist_Date">Crypto_Prices[[#Headers],[Date]]</definedName>
    <definedName name="Hist_Days">'Hist prices'!$C$6</definedName>
    <definedName name="Hist_Interval">'Hist prices'!$C$7</definedName>
    <definedName name="Hist_Price_Symbol">'Hist prices'!$C$4</definedName>
    <definedName name="Hist_Return">Crypto_Prices[[#Headers],[Return]]</definedName>
    <definedName name="Hist_Return_Range">Crypto_Prices[Return]</definedName>
    <definedName name="Logo">Alt_Season[Logo]</definedName>
    <definedName name="Max_Chart_Return">'Hist prices'!$AC$12</definedName>
    <definedName name="Max_Chart_Value">'Hist prices'!$AC$8</definedName>
    <definedName name="Min_Chart_Return">'Hist prices'!$AC$11</definedName>
    <definedName name="Min_Chart_Value">'Hist prices'!$AC$7</definedName>
    <definedName name="Pct_Change">Crypto_Prices[Return]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0" i="3" l="1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AC7" i="3"/>
  <c r="Z12" i="3"/>
  <c r="C13" i="6"/>
  <c r="D13" i="6"/>
  <c r="E13" i="6"/>
  <c r="F13" i="6"/>
  <c r="G13" i="6"/>
  <c r="H13" i="6"/>
  <c r="I13" i="6"/>
  <c r="J13" i="6"/>
  <c r="K13" i="6"/>
  <c r="L13" i="6"/>
  <c r="M13" i="6"/>
  <c r="C14" i="6"/>
  <c r="D14" i="6"/>
  <c r="E14" i="6"/>
  <c r="F14" i="6"/>
  <c r="G14" i="6"/>
  <c r="H14" i="6"/>
  <c r="I14" i="6"/>
  <c r="J14" i="6"/>
  <c r="K14" i="6"/>
  <c r="L14" i="6"/>
  <c r="M14" i="6"/>
  <c r="C15" i="6"/>
  <c r="D15" i="6"/>
  <c r="E15" i="6"/>
  <c r="F15" i="6"/>
  <c r="G15" i="6"/>
  <c r="H15" i="6"/>
  <c r="I15" i="6"/>
  <c r="J15" i="6"/>
  <c r="K15" i="6"/>
  <c r="L15" i="6"/>
  <c r="M15" i="6"/>
  <c r="C16" i="6"/>
  <c r="D16" i="6"/>
  <c r="E16" i="6"/>
  <c r="F16" i="6"/>
  <c r="G16" i="6"/>
  <c r="H16" i="6"/>
  <c r="I16" i="6"/>
  <c r="J16" i="6"/>
  <c r="K16" i="6"/>
  <c r="L16" i="6"/>
  <c r="M16" i="6"/>
  <c r="C17" i="6"/>
  <c r="D17" i="6"/>
  <c r="E17" i="6"/>
  <c r="F17" i="6"/>
  <c r="G17" i="6"/>
  <c r="H17" i="6"/>
  <c r="I17" i="6"/>
  <c r="J17" i="6"/>
  <c r="K17" i="6"/>
  <c r="L17" i="6"/>
  <c r="M17" i="6"/>
  <c r="C18" i="6"/>
  <c r="D18" i="6"/>
  <c r="E18" i="6"/>
  <c r="F18" i="6"/>
  <c r="G18" i="6"/>
  <c r="H18" i="6"/>
  <c r="I18" i="6"/>
  <c r="J18" i="6"/>
  <c r="K18" i="6"/>
  <c r="L18" i="6"/>
  <c r="M18" i="6"/>
  <c r="C19" i="6"/>
  <c r="D19" i="6"/>
  <c r="E19" i="6"/>
  <c r="F19" i="6"/>
  <c r="G19" i="6"/>
  <c r="H19" i="6"/>
  <c r="I19" i="6"/>
  <c r="J19" i="6"/>
  <c r="K19" i="6"/>
  <c r="L19" i="6"/>
  <c r="M19" i="6"/>
  <c r="C20" i="6"/>
  <c r="D20" i="6"/>
  <c r="E20" i="6"/>
  <c r="F20" i="6"/>
  <c r="G20" i="6"/>
  <c r="H20" i="6"/>
  <c r="I20" i="6"/>
  <c r="J20" i="6"/>
  <c r="K20" i="6"/>
  <c r="L20" i="6"/>
  <c r="M20" i="6"/>
  <c r="C21" i="6"/>
  <c r="D21" i="6"/>
  <c r="E21" i="6"/>
  <c r="F21" i="6"/>
  <c r="G21" i="6"/>
  <c r="H21" i="6"/>
  <c r="I21" i="6"/>
  <c r="J21" i="6"/>
  <c r="K21" i="6"/>
  <c r="L21" i="6"/>
  <c r="M21" i="6"/>
  <c r="M12" i="6"/>
  <c r="L12" i="6"/>
  <c r="K12" i="6"/>
  <c r="J12" i="6"/>
  <c r="I12" i="6"/>
  <c r="H12" i="6"/>
  <c r="G12" i="6"/>
  <c r="F12" i="6"/>
  <c r="E12" i="6"/>
  <c r="D12" i="6"/>
  <c r="C12" i="6"/>
  <c r="Z8" i="3"/>
  <c r="Z9" i="3"/>
  <c r="AE8" i="3"/>
  <c r="AE7" i="3"/>
  <c r="AC11" i="3" l="1"/>
  <c r="AC12" i="3"/>
  <c r="AC8" i="3"/>
  <c r="C5" i="3"/>
  <c r="Z7" i="3" s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T4" i="1"/>
  <c r="Q4" i="1"/>
  <c r="Q6" i="1" s="1"/>
  <c r="Q49" i="1" l="1"/>
  <c r="Q33" i="1"/>
  <c r="Q17" i="1"/>
  <c r="Q45" i="1"/>
  <c r="Q29" i="1"/>
  <c r="Q13" i="1"/>
  <c r="Q41" i="1"/>
  <c r="Q25" i="1"/>
  <c r="Q9" i="1"/>
  <c r="Q53" i="1"/>
  <c r="Q37" i="1"/>
  <c r="Q21" i="1"/>
  <c r="Q5" i="1"/>
  <c r="Q52" i="1"/>
  <c r="Q48" i="1"/>
  <c r="Q44" i="1"/>
  <c r="Q40" i="1"/>
  <c r="Q36" i="1"/>
  <c r="Q32" i="1"/>
  <c r="Q28" i="1"/>
  <c r="Q24" i="1"/>
  <c r="Q20" i="1"/>
  <c r="Q16" i="1"/>
  <c r="Q12" i="1"/>
  <c r="Q8" i="1"/>
  <c r="Q51" i="1"/>
  <c r="Q47" i="1"/>
  <c r="Q43" i="1"/>
  <c r="Q39" i="1"/>
  <c r="Q35" i="1"/>
  <c r="Q31" i="1"/>
  <c r="Q27" i="1"/>
  <c r="Q23" i="1"/>
  <c r="Q19" i="1"/>
  <c r="Q15" i="1"/>
  <c r="Q11" i="1"/>
  <c r="Q7" i="1"/>
  <c r="Q54" i="1"/>
  <c r="Q50" i="1"/>
  <c r="Q46" i="1"/>
  <c r="Q42" i="1"/>
  <c r="Q38" i="1"/>
  <c r="Q34" i="1"/>
  <c r="Q30" i="1"/>
  <c r="Q26" i="1"/>
  <c r="Q22" i="1"/>
  <c r="Q18" i="1"/>
  <c r="Q14" i="1"/>
  <c r="Q10" i="1"/>
  <c r="F4" i="2" l="1"/>
  <c r="S5" i="1" a="1"/>
  <c r="S5" i="1" s="1"/>
  <c r="T5" i="1" s="1"/>
  <c r="U8" i="1" l="1"/>
  <c r="U43" i="1"/>
  <c r="T51" i="1"/>
  <c r="T42" i="1"/>
  <c r="T23" i="1"/>
  <c r="T26" i="1"/>
  <c r="U11" i="1"/>
  <c r="U40" i="1"/>
  <c r="T10" i="1"/>
  <c r="T45" i="1"/>
  <c r="T29" i="1"/>
  <c r="T13" i="1"/>
  <c r="U46" i="1"/>
  <c r="T27" i="1"/>
  <c r="U27" i="1" s="1"/>
  <c r="U12" i="1"/>
  <c r="T40" i="1"/>
  <c r="T24" i="1"/>
  <c r="T8" i="1"/>
  <c r="U37" i="1"/>
  <c r="T47" i="1"/>
  <c r="T15" i="1"/>
  <c r="T54" i="1"/>
  <c r="T38" i="1"/>
  <c r="T22" i="1"/>
  <c r="T6" i="1"/>
  <c r="U6" i="1" s="1"/>
  <c r="U39" i="1"/>
  <c r="U23" i="1"/>
  <c r="U7" i="1"/>
  <c r="T41" i="1"/>
  <c r="T25" i="1"/>
  <c r="U25" i="1" s="1"/>
  <c r="T9" i="1"/>
  <c r="U42" i="1"/>
  <c r="U26" i="1"/>
  <c r="U10" i="1"/>
  <c r="T19" i="1"/>
  <c r="U36" i="1"/>
  <c r="T52" i="1"/>
  <c r="T36" i="1"/>
  <c r="T20" i="1"/>
  <c r="U49" i="1"/>
  <c r="T39" i="1"/>
  <c r="T7" i="1"/>
  <c r="U24" i="1"/>
  <c r="T50" i="1"/>
  <c r="T34" i="1"/>
  <c r="T18" i="1"/>
  <c r="U51" i="1"/>
  <c r="U19" i="1"/>
  <c r="T53" i="1"/>
  <c r="U53" i="1" s="1"/>
  <c r="T37" i="1"/>
  <c r="T21" i="1"/>
  <c r="U21" i="1" s="1"/>
  <c r="U54" i="1"/>
  <c r="U38" i="1"/>
  <c r="U22" i="1"/>
  <c r="T43" i="1"/>
  <c r="T11" i="1"/>
  <c r="U28" i="1"/>
  <c r="T48" i="1"/>
  <c r="T32" i="1"/>
  <c r="U32" i="1" s="1"/>
  <c r="T16" i="1"/>
  <c r="U16" i="1" s="1"/>
  <c r="U45" i="1"/>
  <c r="U29" i="1"/>
  <c r="U13" i="1"/>
  <c r="T31" i="1"/>
  <c r="U31" i="1" s="1"/>
  <c r="U48" i="1"/>
  <c r="T46" i="1"/>
  <c r="T30" i="1"/>
  <c r="U30" i="1" s="1"/>
  <c r="T14" i="1"/>
  <c r="U14" i="1" s="1"/>
  <c r="U47" i="1"/>
  <c r="U15" i="1"/>
  <c r="T49" i="1"/>
  <c r="T33" i="1"/>
  <c r="U33" i="1" s="1"/>
  <c r="T17" i="1"/>
  <c r="U17" i="1" s="1"/>
  <c r="U50" i="1"/>
  <c r="U34" i="1"/>
  <c r="U18" i="1"/>
  <c r="T35" i="1"/>
  <c r="U35" i="1" s="1"/>
  <c r="U52" i="1"/>
  <c r="U20" i="1"/>
  <c r="T44" i="1"/>
  <c r="U44" i="1" s="1"/>
  <c r="T28" i="1"/>
  <c r="T12" i="1"/>
  <c r="U41" i="1"/>
  <c r="U9" i="1"/>
  <c r="W5" i="1" a="1"/>
  <c r="W5" i="1" s="1"/>
  <c r="U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9F307B8-0DBB-44A2-9AD9-E3501D2ED292}" keepAlive="1" name="Query - Alt_Season" description="Connection to the 'Alt_Season' query in the workbook." type="5" refreshedVersion="8" background="1" saveData="1">
    <dbPr connection="Provider=Microsoft.Mashup.OleDb.1;Data Source=$Workbook$;Location=Alt_Season;Extended Properties=&quot;&quot;" command="SELECT * FROM [Alt_Season]"/>
  </connection>
  <connection id="2" xr16:uid="{54E40D26-20E2-40A9-B986-DD5B134D08AB}" keepAlive="1" name="Query - Coin_List" description="Connection to the 'Coin_List' query in the workbook." type="5" refreshedVersion="8" background="1" saveData="1">
    <dbPr connection="Provider=Microsoft.Mashup.OleDb.1;Data Source=$Workbook$;Location=Coin_List;Extended Properties=&quot;&quot;" command="SELECT * FROM [Coin_List]"/>
  </connection>
  <connection id="3" xr16:uid="{F32BFF8E-5B7C-4F83-A139-BFEBAA57FC65}" keepAlive="1" name="Query - Crypto_Prices" description="Connection to the 'Crypto_Prices' query in the workbook." type="5" refreshedVersion="8" background="1" saveData="1">
    <dbPr connection="Provider=Microsoft.Mashup.OleDb.1;Data Source=$Workbook$;Location=Crypto_Prices;Extended Properties=&quot;&quot;" command="SELECT * FROM [Crypto_Pric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<sst xmlns="http://schemas.openxmlformats.org/spreadsheetml/2006/main" count="40624" uniqueCount="37434">
  <si>
    <t>Rank</t>
  </si>
  <si>
    <t>Symbol</t>
  </si>
  <si>
    <t>Name</t>
  </si>
  <si>
    <t>Logo</t>
  </si>
  <si>
    <t>Price</t>
  </si>
  <si>
    <t>1 hour</t>
  </si>
  <si>
    <t>24 hour</t>
  </si>
  <si>
    <t>7 days</t>
  </si>
  <si>
    <t>14 days</t>
  </si>
  <si>
    <t>30 days</t>
  </si>
  <si>
    <t>200 days</t>
  </si>
  <si>
    <t>1 year</t>
  </si>
  <si>
    <t>Market Cap</t>
  </si>
  <si>
    <t>BTC</t>
  </si>
  <si>
    <t>Bitcoin</t>
  </si>
  <si>
    <t>https://assets.coingecko.com/coins/images/1/large/bitcoin.png?1547033579</t>
  </si>
  <si>
    <t>ETH</t>
  </si>
  <si>
    <t>Ethereum</t>
  </si>
  <si>
    <t>https://assets.coingecko.com/coins/images/279/large/ethereum.png?1595348880</t>
  </si>
  <si>
    <t>USDT</t>
  </si>
  <si>
    <t>Tether</t>
  </si>
  <si>
    <t>https://assets.coingecko.com/coins/images/325/large/Tether-logo.png?1598003707</t>
  </si>
  <si>
    <t>USDC</t>
  </si>
  <si>
    <t>USD Coin</t>
  </si>
  <si>
    <t>https://assets.coingecko.com/coins/images/6319/large/USD_Coin_icon.png?1547042389</t>
  </si>
  <si>
    <t>BNB</t>
  </si>
  <si>
    <t>https://assets.coingecko.com/coins/images/825/large/bnb-icon2_2x.png?1644979850</t>
  </si>
  <si>
    <t>XRP</t>
  </si>
  <si>
    <t>https://assets.coingecko.com/coins/images/44/large/xrp-symbol-white-128.png?1605778731</t>
  </si>
  <si>
    <t>ADA</t>
  </si>
  <si>
    <t>Cardano</t>
  </si>
  <si>
    <t>https://assets.coingecko.com/coins/images/975/large/cardano.png?1547034860</t>
  </si>
  <si>
    <t>SOL</t>
  </si>
  <si>
    <t>Solana</t>
  </si>
  <si>
    <t>https://assets.coingecko.com/coins/images/4128/large/solana.png?1640133422</t>
  </si>
  <si>
    <t>BUSD</t>
  </si>
  <si>
    <t>Binance USD</t>
  </si>
  <si>
    <t>https://assets.coingecko.com/coins/images/9576/large/BUSD.png?1568947766</t>
  </si>
  <si>
    <t>DOT</t>
  </si>
  <si>
    <t>Polkadot</t>
  </si>
  <si>
    <t>https://assets.coingecko.com/coins/images/12171/large/polkadot.png?1639712644</t>
  </si>
  <si>
    <t>DOGE</t>
  </si>
  <si>
    <t>Dogecoin</t>
  </si>
  <si>
    <t>https://assets.coingecko.com/coins/images/5/large/dogecoin.png?1547792256</t>
  </si>
  <si>
    <t>AVAX</t>
  </si>
  <si>
    <t>Avalanche</t>
  </si>
  <si>
    <t>https://assets.coingecko.com/coins/images/12559/large/coin-round-red.png?1604021818</t>
  </si>
  <si>
    <t>WBTC</t>
  </si>
  <si>
    <t>Wrapped Bitcoin</t>
  </si>
  <si>
    <t>https://assets.coingecko.com/coins/images/7598/large/wrapped_bitcoin_wbtc.png?1548822744</t>
  </si>
  <si>
    <t>STETH</t>
  </si>
  <si>
    <t>Lido Staked Ether</t>
  </si>
  <si>
    <t>https://assets.coingecko.com/coins/images/13442/large/steth_logo.png?1608607546</t>
  </si>
  <si>
    <t>TRX</t>
  </si>
  <si>
    <t>TRON</t>
  </si>
  <si>
    <t>https://assets.coingecko.com/coins/images/1094/large/tron-logo.png?1547035066</t>
  </si>
  <si>
    <t>SHIB</t>
  </si>
  <si>
    <t>Shiba Inu</t>
  </si>
  <si>
    <t>https://assets.coingecko.com/coins/images/11939/large/shiba.png?1622619446</t>
  </si>
  <si>
    <t>DAI</t>
  </si>
  <si>
    <t>Dai</t>
  </si>
  <si>
    <t>https://assets.coingecko.com/coins/images/9956/large/4943.png?1636636734</t>
  </si>
  <si>
    <t>CRO</t>
  </si>
  <si>
    <t>Cronos</t>
  </si>
  <si>
    <t>https://assets.coingecko.com/coins/images/7310/large/oCw2s3GI_400x400.jpeg?1645172042</t>
  </si>
  <si>
    <t>MATIC</t>
  </si>
  <si>
    <t>Polygon</t>
  </si>
  <si>
    <t>https://assets.coingecko.com/coins/images/4713/large/matic-token-icon.png?1624446912</t>
  </si>
  <si>
    <t>LTC</t>
  </si>
  <si>
    <t>Litecoin</t>
  </si>
  <si>
    <t>https://assets.coingecko.com/coins/images/2/large/litecoin.png?1547033580</t>
  </si>
  <si>
    <t>NEAR</t>
  </si>
  <si>
    <t>NEAR Protocol</t>
  </si>
  <si>
    <t>https://assets.coingecko.com/coins/images/10365/large/near_icon.png?1601359077</t>
  </si>
  <si>
    <t>LEO</t>
  </si>
  <si>
    <t>LEO Token</t>
  </si>
  <si>
    <t>https://assets.coingecko.com/coins/images/8418/large/leo-token.png?1558326215</t>
  </si>
  <si>
    <t>FTT</t>
  </si>
  <si>
    <t>FTX Token</t>
  </si>
  <si>
    <t>https://assets.coingecko.com/coins/images/9026/large/F.png?1609051564</t>
  </si>
  <si>
    <t>BCH</t>
  </si>
  <si>
    <t>Bitcoin Cash</t>
  </si>
  <si>
    <t>https://assets.coingecko.com/coins/images/780/large/bitcoin-cash-circle.png?1594689492</t>
  </si>
  <si>
    <t>LINK</t>
  </si>
  <si>
    <t>Chainlink</t>
  </si>
  <si>
    <t>https://assets.coingecko.com/coins/images/877/large/chainlink-new-logo.png?1547034700</t>
  </si>
  <si>
    <t>XLM</t>
  </si>
  <si>
    <t>Stellar</t>
  </si>
  <si>
    <t>https://assets.coingecko.com/coins/images/100/large/Stellar_symbol_black_RGB.png?1552356157</t>
  </si>
  <si>
    <t>ATOM</t>
  </si>
  <si>
    <t>Cosmos Hub</t>
  </si>
  <si>
    <t>https://assets.coingecko.com/coins/images/1481/large/cosmos_hub.png?1555657960</t>
  </si>
  <si>
    <t>OKB</t>
  </si>
  <si>
    <t>https://assets.coingecko.com/coins/images/4463/large/WeChat_Image_20220118095654.png?1642471050</t>
  </si>
  <si>
    <t>ALGO</t>
  </si>
  <si>
    <t>Algorand</t>
  </si>
  <si>
    <t>https://assets.coingecko.com/coins/images/4380/large/download.png?1547039725</t>
  </si>
  <si>
    <t>XMR</t>
  </si>
  <si>
    <t>Monero</t>
  </si>
  <si>
    <t>https://assets.coingecko.com/coins/images/69/large/monero_logo.png?1547033729</t>
  </si>
  <si>
    <t>FLOW</t>
  </si>
  <si>
    <t>Flow</t>
  </si>
  <si>
    <t>https://assets.coingecko.com/coins/images/13446/large/5f6294c0c7a8cda55cb1c936_Flow_Wordmark.png?1631696776</t>
  </si>
  <si>
    <t>ETC</t>
  </si>
  <si>
    <t>Ethereum Classic</t>
  </si>
  <si>
    <t>https://assets.coingecko.com/coins/images/453/large/ethereum-classic-logo.png?1547034169</t>
  </si>
  <si>
    <t>APE</t>
  </si>
  <si>
    <t>ApeCoin</t>
  </si>
  <si>
    <t>https://assets.coingecko.com/coins/images/24383/large/apecoin.jpg?1647476455</t>
  </si>
  <si>
    <t>UNI</t>
  </si>
  <si>
    <t>Uniswap</t>
  </si>
  <si>
    <t>https://assets.coingecko.com/coins/images/12504/large/uniswap-uni.png?1600306604</t>
  </si>
  <si>
    <t>VET</t>
  </si>
  <si>
    <t>VeChain</t>
  </si>
  <si>
    <t>https://assets.coingecko.com/coins/images/1167/large/VeChain-Logo-768x725.png?1547035194</t>
  </si>
  <si>
    <t>HBAR</t>
  </si>
  <si>
    <t>Hedera</t>
  </si>
  <si>
    <t>https://assets.coingecko.com/coins/images/3688/large/hbar.png?1637045634</t>
  </si>
  <si>
    <t>EGLD</t>
  </si>
  <si>
    <t>Elrond</t>
  </si>
  <si>
    <t>https://assets.coingecko.com/coins/images/12335/large/elrond3_360.png?1626341589</t>
  </si>
  <si>
    <t>ICP</t>
  </si>
  <si>
    <t>Internet Computer</t>
  </si>
  <si>
    <t>https://assets.coingecko.com/coins/images/14495/large/Internet_Computer_logo.png?1620703073</t>
  </si>
  <si>
    <t>TFUEL</t>
  </si>
  <si>
    <t>Theta Fuel</t>
  </si>
  <si>
    <t>https://assets.coingecko.com/coins/images/8029/large/1_0YusgngOrriVg4ZYx4wOFQ.png?1553483622</t>
  </si>
  <si>
    <t>MANA</t>
  </si>
  <si>
    <t>Decentraland</t>
  </si>
  <si>
    <t>https://assets.coingecko.com/coins/images/878/large/decentraland-mana.png?1550108745</t>
  </si>
  <si>
    <t>MIM</t>
  </si>
  <si>
    <t>Magic Internet Money</t>
  </si>
  <si>
    <t>FIL</t>
  </si>
  <si>
    <t>Filecoin</t>
  </si>
  <si>
    <t>https://assets.coingecko.com/coins/images/12817/large/filecoin.png?1602753933</t>
  </si>
  <si>
    <t>XCN</t>
  </si>
  <si>
    <t>Chain</t>
  </si>
  <si>
    <t>https://assets.coingecko.com/coins/images/24210/large/Chain_icon_200x200.png?1646895054</t>
  </si>
  <si>
    <t>AXS</t>
  </si>
  <si>
    <t>Axie Infinity</t>
  </si>
  <si>
    <t>https://assets.coingecko.com/coins/images/13029/large/axie_infinity_logo.png?1604471082</t>
  </si>
  <si>
    <t>CETH</t>
  </si>
  <si>
    <t>cETH</t>
  </si>
  <si>
    <t>https://assets.coingecko.com/coins/images/10643/large/ceth2.JPG?1581389598</t>
  </si>
  <si>
    <t>SAND</t>
  </si>
  <si>
    <t>The Sandbox</t>
  </si>
  <si>
    <t>https://assets.coingecko.com/coins/images/12129/large/sandbox_logo.jpg?1597397942</t>
  </si>
  <si>
    <t>XTZ</t>
  </si>
  <si>
    <t>Tezos</t>
  </si>
  <si>
    <t>https://assets.coingecko.com/coins/images/976/large/Tezos-logo.png?1547034862</t>
  </si>
  <si>
    <t>DFI</t>
  </si>
  <si>
    <t>DeFiChain</t>
  </si>
  <si>
    <t>Coin</t>
  </si>
  <si>
    <t>Time Horizon</t>
  </si>
  <si>
    <t>Return</t>
  </si>
  <si>
    <t>Sorted for a chart</t>
  </si>
  <si>
    <t>Highlight</t>
  </si>
  <si>
    <t>Sorted Names</t>
  </si>
  <si>
    <t>Names</t>
  </si>
  <si>
    <t>https://assets.coingecko.com/coins/images/13422/large/frax_logo.png?1608476506</t>
  </si>
  <si>
    <t>Frax</t>
  </si>
  <si>
    <t>FRAX</t>
  </si>
  <si>
    <t>Maker</t>
  </si>
  <si>
    <t>MKR</t>
  </si>
  <si>
    <t>https://assets.coingecko.com/coins/images/1047/large/sa9z79.png?1610678720</t>
  </si>
  <si>
    <t>KCS</t>
  </si>
  <si>
    <t>Symbol:</t>
  </si>
  <si>
    <t>Token:</t>
  </si>
  <si>
    <t>Interval:</t>
  </si>
  <si>
    <t>Coin ID</t>
  </si>
  <si>
    <t>Coin Name</t>
  </si>
  <si>
    <t>ZOC</t>
  </si>
  <si>
    <t>01coin</t>
  </si>
  <si>
    <t>ALGOHALF</t>
  </si>
  <si>
    <t>0-5x-long-algorand-token</t>
  </si>
  <si>
    <t>ALTHALF</t>
  </si>
  <si>
    <t>0-5x-long-altcoin-index-token</t>
  </si>
  <si>
    <t>ASDHALF</t>
  </si>
  <si>
    <t>0-5x-long-ascendex-token-token</t>
  </si>
  <si>
    <t>BCHHALF</t>
  </si>
  <si>
    <t>0-5x-long-bitcoin-cash-token</t>
  </si>
  <si>
    <t>HALF</t>
  </si>
  <si>
    <t>0-5x-long-bitcoin-token</t>
  </si>
  <si>
    <t>ADAHALF</t>
  </si>
  <si>
    <t>0-5x-long-cardano-token</t>
  </si>
  <si>
    <t>LINKHALF</t>
  </si>
  <si>
    <t>0-5x-long-chainlink-token</t>
  </si>
  <si>
    <t>ATOMHALF</t>
  </si>
  <si>
    <t>0-5x-long-cosmos-token</t>
  </si>
  <si>
    <t>DOGEHALF</t>
  </si>
  <si>
    <t>0-5x-long-dogecoin-token</t>
  </si>
  <si>
    <t>EOSHALF</t>
  </si>
  <si>
    <t>0-5x-long-eos-token</t>
  </si>
  <si>
    <t>ETCHALF</t>
  </si>
  <si>
    <t>0-5x-long-ethereum-classic-token</t>
  </si>
  <si>
    <t>ETHHALF</t>
  </si>
  <si>
    <t>0-5x-long-ethereum-token</t>
  </si>
  <si>
    <t>KNCHALF</t>
  </si>
  <si>
    <t>0-5x-long-kyber-network-token</t>
  </si>
  <si>
    <t>MATICHALF</t>
  </si>
  <si>
    <t>0-5x-long-matic-token</t>
  </si>
  <si>
    <t>0.5X Long Matic Token</t>
  </si>
  <si>
    <t>PRIVHALF</t>
  </si>
  <si>
    <t>0-5x-long-privacy-index-token</t>
  </si>
  <si>
    <t>SXPHALF</t>
  </si>
  <si>
    <t>0-5x-long-swipe-token</t>
  </si>
  <si>
    <t>THETAHALF</t>
  </si>
  <si>
    <t>0-5x-long-theta-network-token</t>
  </si>
  <si>
    <t>XRPHALF</t>
  </si>
  <si>
    <t>0-5x-long-xrp-token</t>
  </si>
  <si>
    <t>0.5X Long XRP Token</t>
  </si>
  <si>
    <t>ZCH</t>
  </si>
  <si>
    <t>0cash</t>
  </si>
  <si>
    <t>ZCN</t>
  </si>
  <si>
    <t>0chain</t>
  </si>
  <si>
    <t>OME</t>
  </si>
  <si>
    <t>0-mee</t>
  </si>
  <si>
    <t>O-Mee</t>
  </si>
  <si>
    <t>ZRX</t>
  </si>
  <si>
    <t>0x</t>
  </si>
  <si>
    <t>ZXC</t>
  </si>
  <si>
    <t>0xcert</t>
  </si>
  <si>
    <t>OXD</t>
  </si>
  <si>
    <t>0xdao</t>
  </si>
  <si>
    <t>0xDAO</t>
  </si>
  <si>
    <t>OXD V2</t>
  </si>
  <si>
    <t>0xdao-v2</t>
  </si>
  <si>
    <t>0xDAO V2</t>
  </si>
  <si>
    <t>0XMR</t>
  </si>
  <si>
    <t>0xmonero</t>
  </si>
  <si>
    <t>0xMonero</t>
  </si>
  <si>
    <t>0XPAD</t>
  </si>
  <si>
    <t>0xpad</t>
  </si>
  <si>
    <t>0xPAD</t>
  </si>
  <si>
    <t>0x-wormhole</t>
  </si>
  <si>
    <t>0x (Wormhole)</t>
  </si>
  <si>
    <t>REALT-S-10024-10028-APPOLINE-ST-DETROIT-MI</t>
  </si>
  <si>
    <t>10024-10028-appoline</t>
  </si>
  <si>
    <t>RealT -10024-10028 Appoline St, Detroit, MI 48227</t>
  </si>
  <si>
    <t>REALT-S-10084-GRAYTON-ST-DETROIT-MI</t>
  </si>
  <si>
    <t>10084-grayton</t>
  </si>
  <si>
    <t>RealT - 10084 Grayton St, Detroit, MI 48224</t>
  </si>
  <si>
    <t>ASTRO</t>
  </si>
  <si>
    <t>100-days-ventures</t>
  </si>
  <si>
    <t>100 Days Ventures</t>
  </si>
  <si>
    <t>100X</t>
  </si>
  <si>
    <t>100x-coin</t>
  </si>
  <si>
    <t>100xCoin</t>
  </si>
  <si>
    <t>REALT-S-10604-SOMERSET-AVE-DETROIT-MI</t>
  </si>
  <si>
    <t>10604-somerset</t>
  </si>
  <si>
    <t>RealT - 10604 Somerset Ave, Detroit, MI 48224</t>
  </si>
  <si>
    <t>REALT-S-10612-SOMERSET-AVE-DETROIT-MI</t>
  </si>
  <si>
    <t>10612-somerset</t>
  </si>
  <si>
    <t>RealT - 10612 Somerset Ave, Detroit, MI 48224</t>
  </si>
  <si>
    <t>REALT-S-10616-MCKINNEY-ST-DETROIT-MI</t>
  </si>
  <si>
    <t>10616-mckinney</t>
  </si>
  <si>
    <t>RealT - 10616 McKinney St, Detroit, MI 48224</t>
  </si>
  <si>
    <t>REALT-S-10617-HATHAWAY-AVE-CLEVELAND-OH</t>
  </si>
  <si>
    <t>10617-hathaway</t>
  </si>
  <si>
    <t>RealT - 10617 Hathaway Ave, Cleveland, OH 44108</t>
  </si>
  <si>
    <t>REALT-S-10629-MCKINNEY-ST-DETROIT-MI</t>
  </si>
  <si>
    <t>10629-mckinney</t>
  </si>
  <si>
    <t>RealT - 10629 McKinney St, Detroit, MI 48224</t>
  </si>
  <si>
    <t>REALT-S-10639-STRATMAN-ST-DETROIT-MI</t>
  </si>
  <si>
    <t>10639-stratman</t>
  </si>
  <si>
    <t>RealT - 10639 Stratman St, Detroit, MI 48224</t>
  </si>
  <si>
    <t>REALT-S-10700-WHITTIER-AVE-DETROIT-MI</t>
  </si>
  <si>
    <t>10700-whittier</t>
  </si>
  <si>
    <t>RealT - 10700 Whittier Ave, Detroit, MI 48224</t>
  </si>
  <si>
    <t>REALT-S-11078-LONGVIEW-ST-DETROIT-MI</t>
  </si>
  <si>
    <t>11078-longview</t>
  </si>
  <si>
    <t>RealT - 11078 Longview St, Detroit, MI 48213</t>
  </si>
  <si>
    <t>REALT-S-11078-WAYBURN-ST-DETROIT-MI</t>
  </si>
  <si>
    <t>11078-wayburn</t>
  </si>
  <si>
    <t>RealT - 11078 Wayburn St, Detroit, MI 48224</t>
  </si>
  <si>
    <t>REALT-S-11201-COLLEGE-ST-DETROIT-MI</t>
  </si>
  <si>
    <t>11201-college</t>
  </si>
  <si>
    <t>RealT - 11201 College St, Detroit, MI 48205</t>
  </si>
  <si>
    <t>REALT-S-11300-ROXBURY-ST-DETROIT-MI</t>
  </si>
  <si>
    <t>11300-roxbury</t>
  </si>
  <si>
    <t>RealT - 11300 Roxbury St, Detroit, MI 48224</t>
  </si>
  <si>
    <t>REALT-S-11653-NOTTINGHAM-RD-DETROIT-MI</t>
  </si>
  <si>
    <t>11653-nottingham</t>
  </si>
  <si>
    <t>RealT - 11653 Nottingham Rd, Detroit, MI 48224</t>
  </si>
  <si>
    <t>REALT-S-11957-OLGA-ST-DETROIT-MI</t>
  </si>
  <si>
    <t>11957-olga</t>
  </si>
  <si>
    <t>RealT - 11957 Olga St, Detroit, MI 48213</t>
  </si>
  <si>
    <t>ELVN</t>
  </si>
  <si>
    <t>11-minutes</t>
  </si>
  <si>
    <t>11 Minutes</t>
  </si>
  <si>
    <t>REALT-S-12334-LANSDOWNE-STREET-DETROIT-MI</t>
  </si>
  <si>
    <t>12334-lansdowne</t>
  </si>
  <si>
    <t>RealT - 12334 Lansdowne Street, Detroit, MI 48224</t>
  </si>
  <si>
    <t>REALT-S-12405-SANTA-ROSA-DR-DETROIT-MI</t>
  </si>
  <si>
    <t>12405-santa-rosa</t>
  </si>
  <si>
    <t>RealT - 12405 Santa Rosa Dr, Detroit, MI 48204</t>
  </si>
  <si>
    <t>REALT-S-12409-WHITEHILL-ST-DETROIT-MI</t>
  </si>
  <si>
    <t>12409-whitehill</t>
  </si>
  <si>
    <t>RealT - 12409 Whitehill St, Detroit, MI 48224</t>
  </si>
  <si>
    <t>REALT-S-1244-S.AVERS-ST-CHICAGO-IL</t>
  </si>
  <si>
    <t>1244-s-avers</t>
  </si>
  <si>
    <t>RealT - 1244 S. Avers St, Chicago, IL 60623</t>
  </si>
  <si>
    <t>REALT-S-12866-LAUDER-ST-DETROIT-MI</t>
  </si>
  <si>
    <t>12866-lauder</t>
  </si>
  <si>
    <t>RealT - 12866 Lauder St, Detroit, MI 48227</t>
  </si>
  <si>
    <t>TSHP</t>
  </si>
  <si>
    <t>12ships</t>
  </si>
  <si>
    <t>12Ships</t>
  </si>
  <si>
    <t>REALT-S-13045-WADE-ST-DETROIT-MI</t>
  </si>
  <si>
    <t>13045-wade</t>
  </si>
  <si>
    <t>RealT - 13045 Wade St, Detroit, MI 48213</t>
  </si>
  <si>
    <t>REALT-S-13114-GLENFIELD-AVE-DETROIT-MI</t>
  </si>
  <si>
    <t>13114-glenfield</t>
  </si>
  <si>
    <t>RealT - 13114 Glenfield Ave, Detroit, MI 48213</t>
  </si>
  <si>
    <t>REALT-S-13116-KILBOURNE-AVE-DETROIT-MI</t>
  </si>
  <si>
    <t>13116-kilbourne</t>
  </si>
  <si>
    <t>RealT - 13116 Kilbourne Ave, Detroit, MI 48213</t>
  </si>
  <si>
    <t>1337</t>
  </si>
  <si>
    <t>Elite</t>
  </si>
  <si>
    <t>REALT-S-13606-WINTHROP-ST-DETROIT-MI</t>
  </si>
  <si>
    <t>13606-winthrop</t>
  </si>
  <si>
    <t>RealT - 13606 Winthrop St, Detroit, MI 48227</t>
  </si>
  <si>
    <t>REALT-S-13991-WARWICK-ST-DETROIT-MI</t>
  </si>
  <si>
    <t>13991-warwick</t>
  </si>
  <si>
    <t>RealT -13991 Warwick St, Detroit, MI, 48223</t>
  </si>
  <si>
    <t>REALT-S-14066-SANTA-ROSA-DR-DETROIT-MI</t>
  </si>
  <si>
    <t>14066-santa-rosa</t>
  </si>
  <si>
    <t>RealT - 14066 Santa Rosa Dr, Detroit, MI 48238</t>
  </si>
  <si>
    <t>REALT-S-14078-CARLISLE-ST-DETROIT-MI</t>
  </si>
  <si>
    <t>14078-carlisle</t>
  </si>
  <si>
    <t>RealT - 14078 Carlisle St, Detroit, MI 48205</t>
  </si>
  <si>
    <t>REALT-S-14229-WILSHIRE-DR-DETROIT-MI</t>
  </si>
  <si>
    <t>14229-wilshire</t>
  </si>
  <si>
    <t>RealT - 14229 Wilshire Dr, Detroit, MI 48213</t>
  </si>
  <si>
    <t>REALT-S-14231-STRATHMOOR-ST-DETROIT-MI</t>
  </si>
  <si>
    <t>14231-strathmoor</t>
  </si>
  <si>
    <t>RealT - 14231 Strathmoor St, Detroit, MI 48227</t>
  </si>
  <si>
    <t>REALT-S-14319-ROSEMARY-ST-DETROIT-MI</t>
  </si>
  <si>
    <t>14319-rosemary</t>
  </si>
  <si>
    <t>RealT - 14319 Rosemary St, Detroit, MI 48213</t>
  </si>
  <si>
    <t>REALT-S-14494-CHELSEA-AVE-DETROIT-MI</t>
  </si>
  <si>
    <t>14494-chelsea</t>
  </si>
  <si>
    <t>RealT - 14494 Chelsea Ave, Detroit, MI 48213</t>
  </si>
  <si>
    <t>REALT-S-14825-WILFRIED-ST-DETROIT-MI</t>
  </si>
  <si>
    <t>14825-wilfred</t>
  </si>
  <si>
    <t>RealT - 14825 Wilfred St, Detroit, MI 48213</t>
  </si>
  <si>
    <t>REALT-S-14882-TROESTER-ST-DETROIT-MI</t>
  </si>
  <si>
    <t>14882-troester</t>
  </si>
  <si>
    <t>RealT - 14882 Troester St, Detroit, MI 48205</t>
  </si>
  <si>
    <t>REALT-S-14918-JOY-RD-DETROIT-MI</t>
  </si>
  <si>
    <t>14918-joy</t>
  </si>
  <si>
    <t>RealT - 14918 Joy Rd, Detroit, MI 48228</t>
  </si>
  <si>
    <t>REALT-S-15039-WARD-AVE-DETROIT-MI</t>
  </si>
  <si>
    <t>15039-ward</t>
  </si>
  <si>
    <t>RealT - 15039 Ward Ave, Detroit, MI 48227</t>
  </si>
  <si>
    <t>REALT-S-15048-FREELAND-ST-DETROIT-MI</t>
  </si>
  <si>
    <t>15048-freeland</t>
  </si>
  <si>
    <t>RealT - 15048 Freeland St, Detroit, MI, 48227</t>
  </si>
  <si>
    <t>REALT-S-15095-HARTWELL-ST-DETROIT-MI</t>
  </si>
  <si>
    <t>15095-hartwell</t>
  </si>
  <si>
    <t>RealT -15095 Hartwell St, Detroit, MI 48227</t>
  </si>
  <si>
    <t>REALT-S-15350-GREYDALE-ST-DETROIT-MI</t>
  </si>
  <si>
    <t>15350-greydale</t>
  </si>
  <si>
    <t>RealT - 15350 Greydale St, Detroit, MI 48223</t>
  </si>
  <si>
    <t>REALT-S-15373-PARKSIDE-ST-DETROIT-MI</t>
  </si>
  <si>
    <t>15373-parkside</t>
  </si>
  <si>
    <t>RealT - 15373 Parkside St, Detroit, MI 48238</t>
  </si>
  <si>
    <t>REALT-S-1542-S.RIDGEWAY-AVE-CHICAGO-IL</t>
  </si>
  <si>
    <t>1542-s-ridgeway</t>
  </si>
  <si>
    <t>RealT - 1542 S Ridgeway Ave, Chicago, IL 60623</t>
  </si>
  <si>
    <t>REALT-S-15634-LIBERAL-ST-DETROIT-MI</t>
  </si>
  <si>
    <t>15634-liberal</t>
  </si>
  <si>
    <t>RealT - 15634 Liberal St, Detroit, MI 48205</t>
  </si>
  <si>
    <t>REALT-S-15753-HARTWELL-ST-DETROIT-MI</t>
  </si>
  <si>
    <t>15753-hartwell</t>
  </si>
  <si>
    <t>RealT - 15753 Hartwell St, Detroit, MI 48227</t>
  </si>
  <si>
    <t>REALT-S-15770-PREST-ST-DETROIT-MI</t>
  </si>
  <si>
    <t>15770-prest</t>
  </si>
  <si>
    <t>RealT - 15770 Prest St, Detroit, MI 48227</t>
  </si>
  <si>
    <t>REALT-S-15777-ARDMORE-ST-DETROIT-MI</t>
  </si>
  <si>
    <t>15777-ardmore</t>
  </si>
  <si>
    <t>RealT - 15777 Ardmore St, Detroit, MI 48227</t>
  </si>
  <si>
    <t>REALT-S-15778-MANOR-ST-DETROIT-MI</t>
  </si>
  <si>
    <t>15778-manor</t>
  </si>
  <si>
    <t>RealT - 15778 Manor St, Detroit, MI 48238</t>
  </si>
  <si>
    <t>REALT-S-15784-MONTE-VISTA-ST-DETROIT-MI</t>
  </si>
  <si>
    <t>15784-monte-vista</t>
  </si>
  <si>
    <t>RealT - 15784 Monte Vista St, Detroit, MI 48238</t>
  </si>
  <si>
    <t>REALT-S-15796-HARTWELL-ST-DETROIT-MI</t>
  </si>
  <si>
    <t>15796-hartwell</t>
  </si>
  <si>
    <t>RealT - 15796 Hartwell St, Detroit, MI 48227</t>
  </si>
  <si>
    <t>REALT-S-15860-HARTWELL-ST-DETROIT-MI</t>
  </si>
  <si>
    <t>15860-hartwell</t>
  </si>
  <si>
    <t>RealT - 15860 Hartwell St, Detroit, MI 48227</t>
  </si>
  <si>
    <t>REALT-S-1617-S.AVERS-AVE-CHICAGO-IL</t>
  </si>
  <si>
    <t>1617-s-avers</t>
  </si>
  <si>
    <t>RealT - 1617 S Avers Ave, Chicago, IL 60623</t>
  </si>
  <si>
    <t>REALT-S-16200-FULLERTON-AVE-DETROIT-MI</t>
  </si>
  <si>
    <t>16200-fullerton</t>
  </si>
  <si>
    <t>RealT - 16200 Fullerton Ave, Detroit, MI 48227</t>
  </si>
  <si>
    <t>REALT-S-17500-EVERGREEN-RD-DETROIT-MI</t>
  </si>
  <si>
    <t>17500-evergreen</t>
  </si>
  <si>
    <t>RealT - 17500 Evergreen Rd, Detroit, MI 48219</t>
  </si>
  <si>
    <t>REALT-S-17809-CHAREST-ST-DETROIT-MI</t>
  </si>
  <si>
    <t>17809-charest</t>
  </si>
  <si>
    <t>RealT - 17809 Charest St, Detroit, MI 48212</t>
  </si>
  <si>
    <t>REALT-S-17813-BRADFORD-ST-DETROIT-MI</t>
  </si>
  <si>
    <t>17813-bradford</t>
  </si>
  <si>
    <t>RealT - 17813 Bradford St, Detroit, MI 48205</t>
  </si>
  <si>
    <t>REALT-S-1815-S.AVERS-AVE-CHICAGO-IL</t>
  </si>
  <si>
    <t>1815-s-avers</t>
  </si>
  <si>
    <t>RealT - 1815 S Avers Ave, Chicago, IL 60623</t>
  </si>
  <si>
    <t>REALT-S-18273-MONTE-VISTA-ST-DETROIT-MI</t>
  </si>
  <si>
    <t>18273-monte-vista</t>
  </si>
  <si>
    <t>RealT - 18273 Monte Vista St, Detroit, MI 48221</t>
  </si>
  <si>
    <t>REALT-S-18276-APPOLINE-ST-DETROIT-MI</t>
  </si>
  <si>
    <t>18276-appoline</t>
  </si>
  <si>
    <t>RealT - 18276 Appoline St, Detroit, MI 48235</t>
  </si>
  <si>
    <t>REALT-S-18433-FAUST-AVE-DETROIT-MI</t>
  </si>
  <si>
    <t>18433-faust</t>
  </si>
  <si>
    <t>RealT - 18433 Faust Ave, Detroit, MI, 48219</t>
  </si>
  <si>
    <t>REALT-S-18466-FIELDING-ST-DETROIT-MI</t>
  </si>
  <si>
    <t>18466-fielding</t>
  </si>
  <si>
    <t>RealT -18466 Fielding St, Detroit, MI 48219</t>
  </si>
  <si>
    <t>REALT-S-18481-WESTPHALIA-ST-DETROIT-MI</t>
  </si>
  <si>
    <t>18481-westphalia</t>
  </si>
  <si>
    <t>RealT - 18481 Westphalia St, Detroit, MI 48205</t>
  </si>
  <si>
    <t>REALT-S-18776-SUNDERLAND-RD-DETROIT-MI</t>
  </si>
  <si>
    <t>18776-sunderland</t>
  </si>
  <si>
    <t>RealT - 18776 Sunderland Rd, Detroit, MI 48219</t>
  </si>
  <si>
    <t>REALT-S-18900-MANSFIELD-ST-DETROIT-MI</t>
  </si>
  <si>
    <t>18900-mansfield</t>
  </si>
  <si>
    <t>RealT - 18900 Mansfield St, Detroit, MI 48235</t>
  </si>
  <si>
    <t>REALT-S-18983-ALCOY-AVE-DETROIT-MI</t>
  </si>
  <si>
    <t>18983-alcoy</t>
  </si>
  <si>
    <t>RealT - 18983 Alcoy Ave, Detroit, MI 48205</t>
  </si>
  <si>
    <t>REALT-S-19020-ROSEMONT-AVE-DETROIT-MI</t>
  </si>
  <si>
    <t>19020-rosemont</t>
  </si>
  <si>
    <t>RealT - 19020 Rosemont Ave, Detroit, MI 48219</t>
  </si>
  <si>
    <t>REALT-S-19136-TRACEY-ST-DETROIT-MI</t>
  </si>
  <si>
    <t>19136-tracey</t>
  </si>
  <si>
    <t>RealT - 19136 Tracey St, Detroit MI 48235</t>
  </si>
  <si>
    <t>REALT-S-19163-MITCHELL-ST-DETROIT-MI</t>
  </si>
  <si>
    <t>19163-mitchell</t>
  </si>
  <si>
    <t>RealT - 19163 Mitchell St, Detroit, MI 48234</t>
  </si>
  <si>
    <t>REALT-S-19200-STRASBURG-ST-DETROIT-MI</t>
  </si>
  <si>
    <t>19200-strasburg</t>
  </si>
  <si>
    <t>RealT - 19200 Strasburg St, Detroit, MI 48205</t>
  </si>
  <si>
    <t>REALT-S-19201-WESTPHALIA-ST-DETROIT-MI</t>
  </si>
  <si>
    <t>19201-westphalia</t>
  </si>
  <si>
    <t>RealT - 19201 Westphalia St, Detroit, MI 48205</t>
  </si>
  <si>
    <t>REALT-S-19218-HOUGHTON-ST-DETROIT-MI</t>
  </si>
  <si>
    <t>19218-houghton</t>
  </si>
  <si>
    <t>RealT - 19218 Houghton St, Detroit, MI 48219</t>
  </si>
  <si>
    <t>REALT-S-19311-KEYSTONE-ST-DETROIT-MI</t>
  </si>
  <si>
    <t>19311-keystone</t>
  </si>
  <si>
    <t>RealT - 19311 Keystone St, Detroit, MI 48234</t>
  </si>
  <si>
    <t>REALT-S-19317-GABLE-ST-DETROIT-MI</t>
  </si>
  <si>
    <t>19317-gable</t>
  </si>
  <si>
    <t>RealT - 19317 Gable St, Detroit, MI 48234</t>
  </si>
  <si>
    <t>REALT-S-19333-MOENART-ST-DETROIT-MI</t>
  </si>
  <si>
    <t>19333-moenart</t>
  </si>
  <si>
    <t>RealT - 19333 Moenart St, Detroit MI 48234</t>
  </si>
  <si>
    <t>REALT-S-19596-GOULBURN-ST-DETROIT-MI</t>
  </si>
  <si>
    <t>19596-goulburn</t>
  </si>
  <si>
    <t>RealT - 19596 Goulburn Ave, Detroit, MI 48205</t>
  </si>
  <si>
    <t>REALT-S-19996-JOANN-AVE-DETROIT-MI</t>
  </si>
  <si>
    <t>19996-joann</t>
  </si>
  <si>
    <t>RealT - 19996 Joann Ave, Detroit, MI 48205</t>
  </si>
  <si>
    <t>1ART</t>
  </si>
  <si>
    <t>1art</t>
  </si>
  <si>
    <t>OneArt</t>
  </si>
  <si>
    <t>1BCH</t>
  </si>
  <si>
    <t>1bch</t>
  </si>
  <si>
    <t>1BEAM</t>
  </si>
  <si>
    <t>1beam</t>
  </si>
  <si>
    <t>1Beam</t>
  </si>
  <si>
    <t>1BOX</t>
  </si>
  <si>
    <t>1box</t>
  </si>
  <si>
    <t>1DOGE</t>
  </si>
  <si>
    <t>1doge</t>
  </si>
  <si>
    <t>1Doge</t>
  </si>
  <si>
    <t>ONEUSD</t>
  </si>
  <si>
    <t>1-dollar</t>
  </si>
  <si>
    <t>1 Dollar</t>
  </si>
  <si>
    <t>1ECO</t>
  </si>
  <si>
    <t>1eco</t>
  </si>
  <si>
    <t>1INCH</t>
  </si>
  <si>
    <t>1inch</t>
  </si>
  <si>
    <t>1inch-wormhole</t>
  </si>
  <si>
    <t>1INCH (Wormhole)</t>
  </si>
  <si>
    <t>1MIL</t>
  </si>
  <si>
    <t>1million-nfts</t>
  </si>
  <si>
    <t>1MillionNFTs</t>
  </si>
  <si>
    <t>1MT</t>
  </si>
  <si>
    <t>1million-token</t>
  </si>
  <si>
    <t>1Million Token</t>
  </si>
  <si>
    <t>1NFT</t>
  </si>
  <si>
    <t>1nft</t>
  </si>
  <si>
    <t>1PECO</t>
  </si>
  <si>
    <t>1peco</t>
  </si>
  <si>
    <t>SAFU</t>
  </si>
  <si>
    <t>1safu</t>
  </si>
  <si>
    <t>1SAFU</t>
  </si>
  <si>
    <t>1SOL</t>
  </si>
  <si>
    <t>1sol</t>
  </si>
  <si>
    <t>1Sol</t>
  </si>
  <si>
    <t>1sol-io-wormhole</t>
  </si>
  <si>
    <t>1sol.io (Wormhole)</t>
  </si>
  <si>
    <t>1TRC</t>
  </si>
  <si>
    <t>1tronic</t>
  </si>
  <si>
    <t>1TRONIC</t>
  </si>
  <si>
    <t>1-UP</t>
  </si>
  <si>
    <t>1-up</t>
  </si>
  <si>
    <t>1WO</t>
  </si>
  <si>
    <t>1world</t>
  </si>
  <si>
    <t>1World</t>
  </si>
  <si>
    <t>BVOL</t>
  </si>
  <si>
    <t>1x-long-btc-implied-volatility-token</t>
  </si>
  <si>
    <t>Bitcoin Volatility Token</t>
  </si>
  <si>
    <t>ALGOHEDGE</t>
  </si>
  <si>
    <t>1x-short-algorand-token</t>
  </si>
  <si>
    <t>1X Short Algorand Token</t>
  </si>
  <si>
    <t>BCHHEDGE</t>
  </si>
  <si>
    <t>1x-short-bitcoin-cash-token</t>
  </si>
  <si>
    <t>1X Short Bitcoin Cash Token</t>
  </si>
  <si>
    <t>HEDGE</t>
  </si>
  <si>
    <t>1x-short-bitcoin-token</t>
  </si>
  <si>
    <t>1X Short Bitcoin Token</t>
  </si>
  <si>
    <t>BNBHEDGE</t>
  </si>
  <si>
    <t>1x-short-bnb-token</t>
  </si>
  <si>
    <t>IBVOL</t>
  </si>
  <si>
    <t>1x-short-btc-implied-volatility</t>
  </si>
  <si>
    <t>ADAHEDGE</t>
  </si>
  <si>
    <t>1x-short-cardano-token</t>
  </si>
  <si>
    <t>LINKHEDGE</t>
  </si>
  <si>
    <t>1x-short-chainlink-token</t>
  </si>
  <si>
    <t>COMPHEDGE</t>
  </si>
  <si>
    <t>1x-short-compound-token-token</t>
  </si>
  <si>
    <t>ATOMHEDGE</t>
  </si>
  <si>
    <t>1x-short-cosmos-token</t>
  </si>
  <si>
    <t>DEFIHEDGE</t>
  </si>
  <si>
    <t>1x-short-defi-index-token</t>
  </si>
  <si>
    <t>DOGEHEDGE</t>
  </si>
  <si>
    <t>1x-short-dogecoin-token</t>
  </si>
  <si>
    <t>EOSHEDGE</t>
  </si>
  <si>
    <t>1x-short-eos-token</t>
  </si>
  <si>
    <t>1X Short EOS Token</t>
  </si>
  <si>
    <t>ETHHEDGE</t>
  </si>
  <si>
    <t>1x-short-ethereum-token</t>
  </si>
  <si>
    <t>1X Short Ethereum Token</t>
  </si>
  <si>
    <t>EXCHHEDGE</t>
  </si>
  <si>
    <t>1x-short-exchange-token-index-token</t>
  </si>
  <si>
    <t>1X Short Exchange Token Index Token</t>
  </si>
  <si>
    <t>LTCHEDGE</t>
  </si>
  <si>
    <t>1x-short-litecoin-token</t>
  </si>
  <si>
    <t>1X Short Litecoin Token</t>
  </si>
  <si>
    <t>MATICHEDGE</t>
  </si>
  <si>
    <t>1x-short-matic-token</t>
  </si>
  <si>
    <t>OKBHEDGE</t>
  </si>
  <si>
    <t>1x-short-okb-token</t>
  </si>
  <si>
    <t>PRIVHEDGE</t>
  </si>
  <si>
    <t>1x-short-privacy-index-token</t>
  </si>
  <si>
    <t>HEDGESHIT</t>
  </si>
  <si>
    <t>1x-short-shitcoin-index-token</t>
  </si>
  <si>
    <t>1X Short Shitcoin Index Token</t>
  </si>
  <si>
    <t>SXPHEDGE</t>
  </si>
  <si>
    <t>1x-short-swipe-token</t>
  </si>
  <si>
    <t>XTZHEDGE</t>
  </si>
  <si>
    <t>1x-short-tezos-token</t>
  </si>
  <si>
    <t>THETAHEDGE</t>
  </si>
  <si>
    <t>1x-short-theta-network-token</t>
  </si>
  <si>
    <t>TOMOHEDGE</t>
  </si>
  <si>
    <t>1x-short-tomochain-token</t>
  </si>
  <si>
    <t>TRXHEDGE</t>
  </si>
  <si>
    <t>1x-short-trx-token</t>
  </si>
  <si>
    <t>VETHEDGE</t>
  </si>
  <si>
    <t>1x-short-vechain-token</t>
  </si>
  <si>
    <t>XRPHEDGE</t>
  </si>
  <si>
    <t>1x-short-xrp-token</t>
  </si>
  <si>
    <t>REALT-S-20200-LESURE-ST-DETROIT-MI</t>
  </si>
  <si>
    <t>20200-lesure</t>
  </si>
  <si>
    <t>RealT - 20200 Lesure St, Detroit, MI 48235</t>
  </si>
  <si>
    <t>2022M</t>
  </si>
  <si>
    <t>2022moon</t>
  </si>
  <si>
    <t>2022MOON</t>
  </si>
  <si>
    <t>2030FLOKI</t>
  </si>
  <si>
    <t>2030-floki</t>
  </si>
  <si>
    <t>2030 Floki</t>
  </si>
  <si>
    <t>REALT-S-25097-ANDOVER-DR-DEARBORN-HEIGHTS-MI</t>
  </si>
  <si>
    <t>25097-andover</t>
  </si>
  <si>
    <t>RealT - 25097 Andover Dr, Dearborn Heights, MI 48125</t>
  </si>
  <si>
    <t>REALT-S-272-N.E.-42ND-COURT-DEERFIELD-BEACH-FL</t>
  </si>
  <si>
    <t>272-n-e-42nd-court</t>
  </si>
  <si>
    <t>RealT - 272 N.E. 42nd Court, Deerfield Beach, FL 33064</t>
  </si>
  <si>
    <t>VCK</t>
  </si>
  <si>
    <t>28vck</t>
  </si>
  <si>
    <t>28VCK</t>
  </si>
  <si>
    <t>ARMS</t>
  </si>
  <si>
    <t>2acoin</t>
  </si>
  <si>
    <t>2ACoin</t>
  </si>
  <si>
    <t>2CRZ</t>
  </si>
  <si>
    <t>2crazynft</t>
  </si>
  <si>
    <t>2crazyNFT</t>
  </si>
  <si>
    <t>TWO</t>
  </si>
  <si>
    <t>2gather</t>
  </si>
  <si>
    <t>2GT</t>
  </si>
  <si>
    <t>2gether-2</t>
  </si>
  <si>
    <t>2gether</t>
  </si>
  <si>
    <t>2KEY</t>
  </si>
  <si>
    <t>2key</t>
  </si>
  <si>
    <t>2key.network</t>
  </si>
  <si>
    <t>2LC</t>
  </si>
  <si>
    <t>2local-2</t>
  </si>
  <si>
    <t>2local</t>
  </si>
  <si>
    <t>2OMB</t>
  </si>
  <si>
    <t>2omb-finance</t>
  </si>
  <si>
    <t>2omb</t>
  </si>
  <si>
    <t>2SHARES</t>
  </si>
  <si>
    <t>2share</t>
  </si>
  <si>
    <t>2SHARE</t>
  </si>
  <si>
    <t>2X2</t>
  </si>
  <si>
    <t>2x2</t>
  </si>
  <si>
    <t>FIT</t>
  </si>
  <si>
    <t>300fit</t>
  </si>
  <si>
    <t>300FIT</t>
  </si>
  <si>
    <t>3OMB</t>
  </si>
  <si>
    <t>30mb-token</t>
  </si>
  <si>
    <t>REALT-S-3432-HARDING-STREET-DETROIT-MI</t>
  </si>
  <si>
    <t>3432-harding</t>
  </si>
  <si>
    <t>RealT - 3432 Harding Street, Detroit, MI, 48214</t>
  </si>
  <si>
    <t>3SHARE</t>
  </si>
  <si>
    <t>3shares</t>
  </si>
  <si>
    <t>3Share</t>
  </si>
  <si>
    <t>ALGOBULL</t>
  </si>
  <si>
    <t>3x-long-algorand-token</t>
  </si>
  <si>
    <t>3X Long Algorand Token</t>
  </si>
  <si>
    <t>ALTBULL</t>
  </si>
  <si>
    <t>3x-long-altcoin-index-token</t>
  </si>
  <si>
    <t>3X Long Altcoin Index Token</t>
  </si>
  <si>
    <t>BALBULL</t>
  </si>
  <si>
    <t>3x-long-balancer-token</t>
  </si>
  <si>
    <t>TRYBBULL</t>
  </si>
  <si>
    <t>3x-long-bilira-token</t>
  </si>
  <si>
    <t>3X Long BiLira Token</t>
  </si>
  <si>
    <t>BCHBULL</t>
  </si>
  <si>
    <t>3x-long-bitcoin-cash-token</t>
  </si>
  <si>
    <t>3X Long Bitcoin Cash Token</t>
  </si>
  <si>
    <t>BSVBULL</t>
  </si>
  <si>
    <t>3x-long-bitcoin-sv-token</t>
  </si>
  <si>
    <t>3X Long Bitcoin SV Token</t>
  </si>
  <si>
    <t>BULL</t>
  </si>
  <si>
    <t>3x-long-bitcoin-token</t>
  </si>
  <si>
    <t>3X Long Bitcoin Token</t>
  </si>
  <si>
    <t>BNBBULL</t>
  </si>
  <si>
    <t>3x-long-bnb-token</t>
  </si>
  <si>
    <t>3X Long BNB Token</t>
  </si>
  <si>
    <t>ADABULL</t>
  </si>
  <si>
    <t>3x-long-cardano-token</t>
  </si>
  <si>
    <t>3X Long Cardano Token</t>
  </si>
  <si>
    <t>LINKBULL</t>
  </si>
  <si>
    <t>3x-long-chainlink-token</t>
  </si>
  <si>
    <t>3X Long Chainlink Token</t>
  </si>
  <si>
    <t>COMPBULL</t>
  </si>
  <si>
    <t>3x-long-compound-token-token</t>
  </si>
  <si>
    <t>CUSDTBULL</t>
  </si>
  <si>
    <t>3x-long-compound-usdt-token</t>
  </si>
  <si>
    <t>ATOMBULL</t>
  </si>
  <si>
    <t>3x-long-cosmos-token</t>
  </si>
  <si>
    <t>3X Long Cosmos Token</t>
  </si>
  <si>
    <t>DEFIBULL</t>
  </si>
  <si>
    <t>3x-long-defi-index-token</t>
  </si>
  <si>
    <t>DOGEBULL</t>
  </si>
  <si>
    <t>3x-long-dogecoin-token</t>
  </si>
  <si>
    <t>3X Long Dogecoin Token</t>
  </si>
  <si>
    <t>DRGNBULL</t>
  </si>
  <si>
    <t>3x-long-dragon-index-token</t>
  </si>
  <si>
    <t>3X Long Dragon Index Token</t>
  </si>
  <si>
    <t>EOSBULL</t>
  </si>
  <si>
    <t>3x-long-eos-token</t>
  </si>
  <si>
    <t>3X Long EOS Token</t>
  </si>
  <si>
    <t>ETCBULL</t>
  </si>
  <si>
    <t>3x-long-ethereum-classic-token</t>
  </si>
  <si>
    <t>3X Long Ethereum Classic Token</t>
  </si>
  <si>
    <t>ETHBULL</t>
  </si>
  <si>
    <t>3x-long-ethereum-token</t>
  </si>
  <si>
    <t>3X Long Ethereum Token</t>
  </si>
  <si>
    <t>EXCHBULL</t>
  </si>
  <si>
    <t>3x-long-exchange-token-index-token</t>
  </si>
  <si>
    <t>3X Long Exchange Token Index Token</t>
  </si>
  <si>
    <t>HTBULL</t>
  </si>
  <si>
    <t>3x-long-huobi-token-token</t>
  </si>
  <si>
    <t>3X Long Huobi Token Token</t>
  </si>
  <si>
    <t>KNCBULL</t>
  </si>
  <si>
    <t>3x-long-kyber-network-token</t>
  </si>
  <si>
    <t>LEOBULL</t>
  </si>
  <si>
    <t>3x-long-leo-token</t>
  </si>
  <si>
    <t>3X Long LEO Token</t>
  </si>
  <si>
    <t>LTCBULL</t>
  </si>
  <si>
    <t>3x-long-litecoin-token</t>
  </si>
  <si>
    <t>3X Long Litecoin Token</t>
  </si>
  <si>
    <t>MKRBULL</t>
  </si>
  <si>
    <t>3x-long-maker-token</t>
  </si>
  <si>
    <t>MATICBULL</t>
  </si>
  <si>
    <t>3x-long-matic-token</t>
  </si>
  <si>
    <t>3X Long Matic Token</t>
  </si>
  <si>
    <t>MIDBULL</t>
  </si>
  <si>
    <t>3x-long-midcap-index-token</t>
  </si>
  <si>
    <t>3X Long Midcap Index Token</t>
  </si>
  <si>
    <t>OKBBULL</t>
  </si>
  <si>
    <t>3x-long-okb-token</t>
  </si>
  <si>
    <t>3X Long OKB Token</t>
  </si>
  <si>
    <t>PAXGBULL</t>
  </si>
  <si>
    <t>3x-long-pax-gold-token</t>
  </si>
  <si>
    <t>3X Long PAX Gold Token</t>
  </si>
  <si>
    <t>PRIVBULL</t>
  </si>
  <si>
    <t>3x-long-privacy-index-token</t>
  </si>
  <si>
    <t>BULLSHIT</t>
  </si>
  <si>
    <t>3x-long-shitcoin-index-token</t>
  </si>
  <si>
    <t>3X Long Shitcoin Index Token</t>
  </si>
  <si>
    <t>XLMBULL</t>
  </si>
  <si>
    <t>3x-long-stellar-token</t>
  </si>
  <si>
    <t>SUSHIBULL</t>
  </si>
  <si>
    <t>3x-long-sushi-token</t>
  </si>
  <si>
    <t>SXPBULL</t>
  </si>
  <si>
    <t>3x-long-swipe-token</t>
  </si>
  <si>
    <t>3X Long Swipe Token</t>
  </si>
  <si>
    <t>XAUTBULL</t>
  </si>
  <si>
    <t>3x-long-tether-gold-token</t>
  </si>
  <si>
    <t>3X Long Tether Gold Token</t>
  </si>
  <si>
    <t>USDTBULL</t>
  </si>
  <si>
    <t>3x-long-tether-token</t>
  </si>
  <si>
    <t>3X Long Tether Token</t>
  </si>
  <si>
    <t>XTZBULL</t>
  </si>
  <si>
    <t>3x-long-tezos-token</t>
  </si>
  <si>
    <t>3X Long Tezos Token</t>
  </si>
  <si>
    <t>THETABULL</t>
  </si>
  <si>
    <t>3x-long-theta-network-token</t>
  </si>
  <si>
    <t>TOMOBULL</t>
  </si>
  <si>
    <t>3x-long-tomochain-token</t>
  </si>
  <si>
    <t>3X Long TomoChain Token</t>
  </si>
  <si>
    <t>TRXBULL</t>
  </si>
  <si>
    <t>3x-long-trx-token</t>
  </si>
  <si>
    <t>3X Long TRX Token</t>
  </si>
  <si>
    <t>VETBULL</t>
  </si>
  <si>
    <t>3x-long-vechain-token</t>
  </si>
  <si>
    <t>XRPBULL</t>
  </si>
  <si>
    <t>3x-long-xrp-token</t>
  </si>
  <si>
    <t>3X Long XRP Token</t>
  </si>
  <si>
    <t>ZECBULL</t>
  </si>
  <si>
    <t>3x-long-zcash-token</t>
  </si>
  <si>
    <t>3X Long Zcash</t>
  </si>
  <si>
    <t>ALTBEAR</t>
  </si>
  <si>
    <t>3x-short-altcoin-index-token</t>
  </si>
  <si>
    <t>3X Short Altcoin Index Token</t>
  </si>
  <si>
    <t>BALBEAR</t>
  </si>
  <si>
    <t>3x-short-balancer-token</t>
  </si>
  <si>
    <t>TRYBBEAR</t>
  </si>
  <si>
    <t>3x-short-bilira-token</t>
  </si>
  <si>
    <t>3X Short BiLira Token</t>
  </si>
  <si>
    <t>BCHBEAR</t>
  </si>
  <si>
    <t>3x-short-bitcoin-cash-token</t>
  </si>
  <si>
    <t>3X Short Bitcoin Cash Token</t>
  </si>
  <si>
    <t>BSVBEAR</t>
  </si>
  <si>
    <t>3x-short-bitcoin-sv-token</t>
  </si>
  <si>
    <t>3X Short Bitcoin SV Token</t>
  </si>
  <si>
    <t>BEAR</t>
  </si>
  <si>
    <t>3x-short-bitcoin-token</t>
  </si>
  <si>
    <t>3X Short Bitcoin Token</t>
  </si>
  <si>
    <t>BNBBEAR</t>
  </si>
  <si>
    <t>3x-short-bnb-token</t>
  </si>
  <si>
    <t>3X Short BNB Token</t>
  </si>
  <si>
    <t>ADABEAR</t>
  </si>
  <si>
    <t>3x-short-cardano-token</t>
  </si>
  <si>
    <t>3X Short Cardano Token</t>
  </si>
  <si>
    <t>LINKBEAR</t>
  </si>
  <si>
    <t>3x-short-chainlink-token</t>
  </si>
  <si>
    <t>3X Short Chainlink Token</t>
  </si>
  <si>
    <t>COMPBEAR</t>
  </si>
  <si>
    <t>3x-short-compound-token-token</t>
  </si>
  <si>
    <t>CUSDTBEAR</t>
  </si>
  <si>
    <t>3x-short-compound-usdt-token</t>
  </si>
  <si>
    <t>DEFIBEAR</t>
  </si>
  <si>
    <t>3x-short-defi-index-token</t>
  </si>
  <si>
    <t>DRGNBEAR</t>
  </si>
  <si>
    <t>3x-short-dragon-index-token</t>
  </si>
  <si>
    <t>3X Short Dragon Index Token</t>
  </si>
  <si>
    <t>EOSBEAR</t>
  </si>
  <si>
    <t>3x-short-eos-token</t>
  </si>
  <si>
    <t>3X Short EOS Token</t>
  </si>
  <si>
    <t>ETCBEAR</t>
  </si>
  <si>
    <t>3x-short-ethereum-classic-token</t>
  </si>
  <si>
    <t>3X Short Ethereum Classic Token</t>
  </si>
  <si>
    <t>ETHBEAR</t>
  </si>
  <si>
    <t>3x-short-ethereum-token</t>
  </si>
  <si>
    <t>3X Short Ethereum Token</t>
  </si>
  <si>
    <t>EXCHBEAR</t>
  </si>
  <si>
    <t>3x-short-exchange-token-index-token</t>
  </si>
  <si>
    <t>3X Short Exchange Token Index Token</t>
  </si>
  <si>
    <t>HTBEAR</t>
  </si>
  <si>
    <t>3x-short-huobi-token-token</t>
  </si>
  <si>
    <t>3X Short Huobi Token Token</t>
  </si>
  <si>
    <t>KNCBEAR</t>
  </si>
  <si>
    <t>3x-short-kyber-network-token</t>
  </si>
  <si>
    <t>LEOBEAR</t>
  </si>
  <si>
    <t>3x-short-leo-token</t>
  </si>
  <si>
    <t>3X Short LEO Token</t>
  </si>
  <si>
    <t>LTCBEAR</t>
  </si>
  <si>
    <t>3x-short-litecoin-token</t>
  </si>
  <si>
    <t>3X Short Litecoin Token</t>
  </si>
  <si>
    <t>MKRBEAR</t>
  </si>
  <si>
    <t>3x-short-maker-token</t>
  </si>
  <si>
    <t>MIDBEAR</t>
  </si>
  <si>
    <t>3x-short-midcap-index-token</t>
  </si>
  <si>
    <t>3X Short Midcap Index Token</t>
  </si>
  <si>
    <t>OKBBEAR</t>
  </si>
  <si>
    <t>3x-short-okb-token</t>
  </si>
  <si>
    <t>3X Short OKB Token</t>
  </si>
  <si>
    <t>PAXGBEAR</t>
  </si>
  <si>
    <t>3x-short-pax-gold-token</t>
  </si>
  <si>
    <t>3X Short PAX Gold Token</t>
  </si>
  <si>
    <t>PRIVBEAR</t>
  </si>
  <si>
    <t>3x-short-privacy-index-token</t>
  </si>
  <si>
    <t>BEARSHIT</t>
  </si>
  <si>
    <t>3x-short-shitcoin-index-token</t>
  </si>
  <si>
    <t>3X Short Shitcoin Index Token</t>
  </si>
  <si>
    <t>XLMBEAR</t>
  </si>
  <si>
    <t>3x-short-stellar-token</t>
  </si>
  <si>
    <t>SUSHIBEAR</t>
  </si>
  <si>
    <t>3x-short-sushi-token</t>
  </si>
  <si>
    <t>SXPBEAR</t>
  </si>
  <si>
    <t>3x-short-swipe-token</t>
  </si>
  <si>
    <t>3X Short Swipe Token</t>
  </si>
  <si>
    <t>XAUTBEAR</t>
  </si>
  <si>
    <t>3x-short-tether-gold-token</t>
  </si>
  <si>
    <t>3X Short Tether Gold Token</t>
  </si>
  <si>
    <t>USDTBEAR</t>
  </si>
  <si>
    <t>3x-short-tether-token</t>
  </si>
  <si>
    <t>3X Short Tether Token</t>
  </si>
  <si>
    <t>XTZBEAR</t>
  </si>
  <si>
    <t>3x-short-tezos-token</t>
  </si>
  <si>
    <t>3X Short Tezos Token</t>
  </si>
  <si>
    <t>TRXBEAR</t>
  </si>
  <si>
    <t>3x-short-trx-token</t>
  </si>
  <si>
    <t>3X Short TRX Token</t>
  </si>
  <si>
    <t>VETBEAR</t>
  </si>
  <si>
    <t>3x-short-vechain-token</t>
  </si>
  <si>
    <t>XRPBEAR</t>
  </si>
  <si>
    <t>3x-short-xrp-token</t>
  </si>
  <si>
    <t>3X Short XRP Token</t>
  </si>
  <si>
    <t>REALT-S-402-S.KOSTNER-AVE-CHICAGO-IL</t>
  </si>
  <si>
    <t>402-s-kostner</t>
  </si>
  <si>
    <t>RealT - 402 S Kostner Ave, Chicago, IL 60624</t>
  </si>
  <si>
    <t>404</t>
  </si>
  <si>
    <t>REALT-S-4061-GRAND-ST-DETROIT-MI</t>
  </si>
  <si>
    <t>4061-grand</t>
  </si>
  <si>
    <t>RealT - 4061 Grand St, Detroit, MI 48238</t>
  </si>
  <si>
    <t>42</t>
  </si>
  <si>
    <t>42-coin</t>
  </si>
  <si>
    <t>REALT-S-4340-EAST-71-CLEVELAND-OH</t>
  </si>
  <si>
    <t>4340-east-71</t>
  </si>
  <si>
    <t>RealT - 4340 East 71, Cleveland, OH 44105</t>
  </si>
  <si>
    <t>REALT-S-4380-BEACONSFIELD-ST-DETROIT-MI</t>
  </si>
  <si>
    <t>4380-beaconsfield</t>
  </si>
  <si>
    <t>RealT - 4380 Beaconsfield St, Detroit, MI 48224</t>
  </si>
  <si>
    <t>REALT-S-4680-BUCKINGHAM-AVE-DETROIT-MI</t>
  </si>
  <si>
    <t>4680-buckingham</t>
  </si>
  <si>
    <t>RealT - 4680 Buckingham Ave, Detroit, MI 48224</t>
  </si>
  <si>
    <t>REALT-S-4852-4854-W.CORTEZ-ST-CHICAGO-IL</t>
  </si>
  <si>
    <t>4852-4854-w-cortez</t>
  </si>
  <si>
    <t>RealT - 4852-4854 W Cortez St, Chicago, IL 60651</t>
  </si>
  <si>
    <t>4ART</t>
  </si>
  <si>
    <t>4artechnologies</t>
  </si>
  <si>
    <t>4ART Coin</t>
  </si>
  <si>
    <t>4B</t>
  </si>
  <si>
    <t>4bulls</t>
  </si>
  <si>
    <t>4Bulls</t>
  </si>
  <si>
    <t>MAP</t>
  </si>
  <si>
    <t>4d-twin-maps</t>
  </si>
  <si>
    <t>4D Twin Maps</t>
  </si>
  <si>
    <t>4INT</t>
  </si>
  <si>
    <t>4int</t>
  </si>
  <si>
    <t>4JNET</t>
  </si>
  <si>
    <t>4jnet</t>
  </si>
  <si>
    <t>4MW</t>
  </si>
  <si>
    <t>4mw</t>
  </si>
  <si>
    <t>4 Meta World</t>
  </si>
  <si>
    <t>KWATT</t>
  </si>
  <si>
    <t>4new</t>
  </si>
  <si>
    <t>4New</t>
  </si>
  <si>
    <t>4PLAY</t>
  </si>
  <si>
    <t>4play</t>
  </si>
  <si>
    <t>4STC</t>
  </si>
  <si>
    <t>4-stock</t>
  </si>
  <si>
    <t>4-Stock</t>
  </si>
  <si>
    <t>520</t>
  </si>
  <si>
    <t>REALT-S-5601-S.WOOD-ST-CHICAGO-IL</t>
  </si>
  <si>
    <t>5601-s-wood</t>
  </si>
  <si>
    <t>RealT - 5601 S Wood St, Chicago, IL 60636</t>
  </si>
  <si>
    <t>REALT-S-581-587-JEFFERSON-AVE-ROCHESTER-NY</t>
  </si>
  <si>
    <t>581-587-jefferson</t>
  </si>
  <si>
    <t>RealT - 581-587 Jefferson Ave, Rochester, NY 14611</t>
  </si>
  <si>
    <t>REALT-S-5942-AUDUBON-RD-DETROIT-MI</t>
  </si>
  <si>
    <t>5942-audubon</t>
  </si>
  <si>
    <t>RealT - 5942 Audubon Rd, Detroit, MI 48224</t>
  </si>
  <si>
    <t>VGC</t>
  </si>
  <si>
    <t>5g-cash</t>
  </si>
  <si>
    <t>5G-CASH</t>
  </si>
  <si>
    <t>5IRE</t>
  </si>
  <si>
    <t>5ire</t>
  </si>
  <si>
    <t>5STAR</t>
  </si>
  <si>
    <t>5star</t>
  </si>
  <si>
    <t>5Star</t>
  </si>
  <si>
    <t>5TABLE</t>
  </si>
  <si>
    <t>5table-finance</t>
  </si>
  <si>
    <t>5table Finance</t>
  </si>
  <si>
    <t>REALT-S-6923-GREENVIEW-AVE-DETROIT-MI</t>
  </si>
  <si>
    <t>6923-greenview</t>
  </si>
  <si>
    <t>RealT - 6923 Greenview Ave, Detroit, MI 48228</t>
  </si>
  <si>
    <t>7E</t>
  </si>
  <si>
    <t>7eleven</t>
  </si>
  <si>
    <t>7ELEVEN</t>
  </si>
  <si>
    <t>SV7</t>
  </si>
  <si>
    <t>7plus-coin</t>
  </si>
  <si>
    <t>7Plus Coin</t>
  </si>
  <si>
    <t>7SHARE</t>
  </si>
  <si>
    <t>7share</t>
  </si>
  <si>
    <t>7Share</t>
  </si>
  <si>
    <t>7UP</t>
  </si>
  <si>
    <t>7up</t>
  </si>
  <si>
    <t>808TA</t>
  </si>
  <si>
    <t>808ta-token</t>
  </si>
  <si>
    <t>REALT-S-8181-BLISS-ST-DETROIT-MI</t>
  </si>
  <si>
    <t>8181-bliss</t>
  </si>
  <si>
    <t>RealT - 8181 Bliss St, Detroit, MI 48234</t>
  </si>
  <si>
    <t>REALT-S-8342-SCHAEFER-HIGHWAY-DETROIT-MI</t>
  </si>
  <si>
    <t>8342-schaefer</t>
  </si>
  <si>
    <t>RealT - 8342 Schaefer Highway, Detroit, MI 48228</t>
  </si>
  <si>
    <t>867</t>
  </si>
  <si>
    <t>888</t>
  </si>
  <si>
    <t>888tron</t>
  </si>
  <si>
    <t>MPH</t>
  </si>
  <si>
    <t>88mph</t>
  </si>
  <si>
    <t>BITD</t>
  </si>
  <si>
    <t>8bit-doge</t>
  </si>
  <si>
    <t>8Bit Doge</t>
  </si>
  <si>
    <t>8DAO</t>
  </si>
  <si>
    <t>8dao</t>
  </si>
  <si>
    <t>EIGHT</t>
  </si>
  <si>
    <t>8ight-finance</t>
  </si>
  <si>
    <t>8ight Finance</t>
  </si>
  <si>
    <t>8PAY</t>
  </si>
  <si>
    <t>8pay</t>
  </si>
  <si>
    <t>8Pay</t>
  </si>
  <si>
    <t>EXE</t>
  </si>
  <si>
    <t>8x8-protocol</t>
  </si>
  <si>
    <t>8X8 Protocol</t>
  </si>
  <si>
    <t>REALT-S-9133-DEVONSHIRE-RD-DETROIT-MI</t>
  </si>
  <si>
    <t>9133-devonshire</t>
  </si>
  <si>
    <t>RealT - 9133 Devonshire Rd, Detroit, MI 48224</t>
  </si>
  <si>
    <t>REALT-S-9165-KENSINGTON-AVE-DETROIT-MI</t>
  </si>
  <si>
    <t>9165-kensington</t>
  </si>
  <si>
    <t>RealT - 9165 Kensington Ave, Detroit, MI 48224</t>
  </si>
  <si>
    <t>REALT-S-9166-DEVONSHIRE-RD-DETROIT-MI</t>
  </si>
  <si>
    <t>9166-devonshire</t>
  </si>
  <si>
    <t>RealT - 9166 Devonshire Rd, Detroit MI 48224</t>
  </si>
  <si>
    <t>REALT-S-9169-BOLEYN-ST-DETROIT-MI</t>
  </si>
  <si>
    <t>9169-boleyn</t>
  </si>
  <si>
    <t>RealT - 9169 Boleyn St, Detroit, MI, 48224</t>
  </si>
  <si>
    <t>REALT-S-9309-COURVILLE-ST-DETROIT-MI</t>
  </si>
  <si>
    <t>9309-courville</t>
  </si>
  <si>
    <t>RealT - 9309 Courville St, Detroit, MI 48224</t>
  </si>
  <si>
    <t>REALT-S-9336-PATTON-ST-DETROIT-MI</t>
  </si>
  <si>
    <t>9336-patton</t>
  </si>
  <si>
    <t>RealT - 9336 Patton St, Detroit, MI 48228</t>
  </si>
  <si>
    <t>REALT-S-9465-BEACONSFIELD-ST-DETROIT-MI</t>
  </si>
  <si>
    <t>9465-beaconsfield</t>
  </si>
  <si>
    <t>RealT - 9465 Beaconsfield St, Detroit, MI 48224</t>
  </si>
  <si>
    <t>REALT-S-9481-WAYBURN-ST-DETROIT-MI</t>
  </si>
  <si>
    <t>9481-wayburn</t>
  </si>
  <si>
    <t>RealT - 9481 Wayburn St, Detroit, MI 48224</t>
  </si>
  <si>
    <t>REALT-S-9717-EVERTS-ST-DETROIT-MI</t>
  </si>
  <si>
    <t>9717-everts</t>
  </si>
  <si>
    <t>RealT - 9717 Everts St, Detroit, MI 48224</t>
  </si>
  <si>
    <t>REALT-S-9920-BISHOP-ST-DETROIT-MI</t>
  </si>
  <si>
    <t>9920-bishop</t>
  </si>
  <si>
    <t>RealT - 9920 Bishop St, Detroit, MI 48224</t>
  </si>
  <si>
    <t>STZ</t>
  </si>
  <si>
    <t>99starz</t>
  </si>
  <si>
    <t>99Starz</t>
  </si>
  <si>
    <t>A4</t>
  </si>
  <si>
    <t>a4-finance</t>
  </si>
  <si>
    <t>A4 Finance</t>
  </si>
  <si>
    <t>AAG</t>
  </si>
  <si>
    <t>aag-ventures</t>
  </si>
  <si>
    <t>AAG Ventures</t>
  </si>
  <si>
    <t>BAG</t>
  </si>
  <si>
    <t>aananaapegarden</t>
  </si>
  <si>
    <t>BananaApeGarden</t>
  </si>
  <si>
    <t>AAPT</t>
  </si>
  <si>
    <t>aaptitude</t>
  </si>
  <si>
    <t>AAptitude</t>
  </si>
  <si>
    <t>ARMA</t>
  </si>
  <si>
    <t>aarma</t>
  </si>
  <si>
    <t>Aarma</t>
  </si>
  <si>
    <t>AAVE</t>
  </si>
  <si>
    <t>aave</t>
  </si>
  <si>
    <t>Aave</t>
  </si>
  <si>
    <t>AAAVE</t>
  </si>
  <si>
    <t>aave-aave</t>
  </si>
  <si>
    <t>Aave AAVE</t>
  </si>
  <si>
    <t>AAMMBPTBALWETH</t>
  </si>
  <si>
    <t>aave-amm-bptbalweth</t>
  </si>
  <si>
    <t>Aave AMM BptBALWETH</t>
  </si>
  <si>
    <t>AAMMBPTWBTCWETH</t>
  </si>
  <si>
    <t>aave-amm-bptwbtcweth</t>
  </si>
  <si>
    <t>Aave AMM BptWBTCWETH</t>
  </si>
  <si>
    <t>AAMMDAI</t>
  </si>
  <si>
    <t>aave-amm-dai</t>
  </si>
  <si>
    <t>Aave AMM DAI</t>
  </si>
  <si>
    <t>AAMMUNIAAVEWETH</t>
  </si>
  <si>
    <t>aave-amm-uniaaveweth</t>
  </si>
  <si>
    <t>Aave AMM UniAAVEWETH</t>
  </si>
  <si>
    <t>AAMMUNIBATWETH</t>
  </si>
  <si>
    <t>aave-amm-unibatweth</t>
  </si>
  <si>
    <t>Aave AMM UniBATWETH</t>
  </si>
  <si>
    <t>AAMMUNICRVWETH</t>
  </si>
  <si>
    <t>aave-amm-unicrvweth</t>
  </si>
  <si>
    <t>Aave AMM UniCRVWETH</t>
  </si>
  <si>
    <t>AAMMUNIDAIUSDC</t>
  </si>
  <si>
    <t>aave-amm-unidaiusdc</t>
  </si>
  <si>
    <t>Aave AMM UniDAIUSDC</t>
  </si>
  <si>
    <t>AAMMUNIDAIWETH</t>
  </si>
  <si>
    <t>aave-amm-unidaiweth</t>
  </si>
  <si>
    <t>Aave AMM UniDAIWETH</t>
  </si>
  <si>
    <t>AAMMUNILINKWETH</t>
  </si>
  <si>
    <t>aave-amm-unilinkweth</t>
  </si>
  <si>
    <t>Aave AMM UniLINKWETH</t>
  </si>
  <si>
    <t>AAMMUNIMKRWETH</t>
  </si>
  <si>
    <t>aave-amm-unimkrweth</t>
  </si>
  <si>
    <t>Aave AMM UniMKRWETH</t>
  </si>
  <si>
    <t>AAMMUNIRENWETH</t>
  </si>
  <si>
    <t>aave-amm-unirenweth</t>
  </si>
  <si>
    <t>Aave AMM UniRENWETH</t>
  </si>
  <si>
    <t>AAMMUNISNXWETH</t>
  </si>
  <si>
    <t>aave-amm-unisnxweth</t>
  </si>
  <si>
    <t>Aave AMM UniSNXWETH</t>
  </si>
  <si>
    <t>AAMMUNIUNIWETH</t>
  </si>
  <si>
    <t>aave-amm-uniuniweth</t>
  </si>
  <si>
    <t>Aave AMM UniUNIWETH</t>
  </si>
  <si>
    <t>AAMMUNIUSDCWETH</t>
  </si>
  <si>
    <t>aave-amm-uniusdcweth</t>
  </si>
  <si>
    <t>Aave AMM UniUSDCWETH</t>
  </si>
  <si>
    <t>AAMMUNIWBTCUSDC</t>
  </si>
  <si>
    <t>aave-amm-uniwbtcusdc</t>
  </si>
  <si>
    <t>Aave AMM UniWBTCUSDC</t>
  </si>
  <si>
    <t>AAMMUNIWBTCWETH</t>
  </si>
  <si>
    <t>aave-amm-uniwbtcweth</t>
  </si>
  <si>
    <t>Aave AMM UniWBTCWETH</t>
  </si>
  <si>
    <t>AAMMUNIYFIWETH</t>
  </si>
  <si>
    <t>aave-amm-uniyfiweth</t>
  </si>
  <si>
    <t>Aave AMM UniYFIWETH</t>
  </si>
  <si>
    <t>AAMMUSDC</t>
  </si>
  <si>
    <t>aave-amm-usdc</t>
  </si>
  <si>
    <t>Aave AMM USDC</t>
  </si>
  <si>
    <t>AAMMUSDT</t>
  </si>
  <si>
    <t>aave-amm-usdt</t>
  </si>
  <si>
    <t>Aave AMM USDT</t>
  </si>
  <si>
    <t>AAMMWBTC</t>
  </si>
  <si>
    <t>aave-amm-wbtc</t>
  </si>
  <si>
    <t>Aave AMM WBTC</t>
  </si>
  <si>
    <t>AAMMWETH</t>
  </si>
  <si>
    <t>aave-amm-weth</t>
  </si>
  <si>
    <t>Aave AMM WETH</t>
  </si>
  <si>
    <t>ABAL</t>
  </si>
  <si>
    <t>aave-bal</t>
  </si>
  <si>
    <t>Aave BAL</t>
  </si>
  <si>
    <t>ABPT</t>
  </si>
  <si>
    <t>aave-balancer-pool-token</t>
  </si>
  <si>
    <t>Aave Balancer Pool Token</t>
  </si>
  <si>
    <t>ABAT</t>
  </si>
  <si>
    <t>aave-bat</t>
  </si>
  <si>
    <t>Aave BAT</t>
  </si>
  <si>
    <t>aave-bat-v1</t>
  </si>
  <si>
    <t>Aave BAT v1</t>
  </si>
  <si>
    <t>ABUSD</t>
  </si>
  <si>
    <t>aave-busd</t>
  </si>
  <si>
    <t>Aave BUSD</t>
  </si>
  <si>
    <t>aave-busd-v1</t>
  </si>
  <si>
    <t>Aave BUSD v1</t>
  </si>
  <si>
    <t>ACRV</t>
  </si>
  <si>
    <t>aave-crv</t>
  </si>
  <si>
    <t>Aave CRV</t>
  </si>
  <si>
    <t>ADAI</t>
  </si>
  <si>
    <t>aave-dai</t>
  </si>
  <si>
    <t>Aave DAI</t>
  </si>
  <si>
    <t>aave-dai-v1</t>
  </si>
  <si>
    <t>Aave DAI v1</t>
  </si>
  <si>
    <t>AENJ</t>
  </si>
  <si>
    <t>aave-enj</t>
  </si>
  <si>
    <t>Aave ENJ</t>
  </si>
  <si>
    <t>aave-enj-v1</t>
  </si>
  <si>
    <t>Aave ENJ v1</t>
  </si>
  <si>
    <t>AETH</t>
  </si>
  <si>
    <t>aave-eth-v1</t>
  </si>
  <si>
    <t>Aave ETH v1</t>
  </si>
  <si>
    <t>GHST</t>
  </si>
  <si>
    <t>aavegotchi</t>
  </si>
  <si>
    <t>Aavegotchi</t>
  </si>
  <si>
    <t>ALPHA</t>
  </si>
  <si>
    <t>aavegotchi-alpha</t>
  </si>
  <si>
    <t>Aavegotchi ALPHA</t>
  </si>
  <si>
    <t>FOMO</t>
  </si>
  <si>
    <t>aavegotchi-fomo</t>
  </si>
  <si>
    <t>Aavegotchi FOMO</t>
  </si>
  <si>
    <t>FUD</t>
  </si>
  <si>
    <t>aavegotchi-fud</t>
  </si>
  <si>
    <t>Aavegotchi FUD</t>
  </si>
  <si>
    <t>KEK</t>
  </si>
  <si>
    <t>aavegotchi-kek</t>
  </si>
  <si>
    <t>Aavegotchi KEK</t>
  </si>
  <si>
    <t>AGUSD</t>
  </si>
  <si>
    <t>aave-gusd</t>
  </si>
  <si>
    <t>Aave GUSD</t>
  </si>
  <si>
    <t>ASTETH</t>
  </si>
  <si>
    <t>aave-interest-bearing-steth</t>
  </si>
  <si>
    <t>Aave Interest Bearing STETH</t>
  </si>
  <si>
    <t>AKNC</t>
  </si>
  <si>
    <t>aave-knc</t>
  </si>
  <si>
    <t>Aave KNC</t>
  </si>
  <si>
    <t>aave-knc-v1</t>
  </si>
  <si>
    <t>Aave KNC v1</t>
  </si>
  <si>
    <t>ALINK</t>
  </si>
  <si>
    <t>aave-link</t>
  </si>
  <si>
    <t>Aave LINK</t>
  </si>
  <si>
    <t>aave-link-v1</t>
  </si>
  <si>
    <t>Aave LINK v1</t>
  </si>
  <si>
    <t>AMANA</t>
  </si>
  <si>
    <t>aave-mana</t>
  </si>
  <si>
    <t>Aave MANA</t>
  </si>
  <si>
    <t>aave-mana-v1</t>
  </si>
  <si>
    <t>Aave MANA v1</t>
  </si>
  <si>
    <t>AMKR</t>
  </si>
  <si>
    <t>aave-mkr</t>
  </si>
  <si>
    <t>Aave MKR</t>
  </si>
  <si>
    <t>aave-mkr-v1</t>
  </si>
  <si>
    <t>Aave MKR v1</t>
  </si>
  <si>
    <t>AMAAVE</t>
  </si>
  <si>
    <t>aave-polygon-aave</t>
  </si>
  <si>
    <t>Aave Polygon AAVE</t>
  </si>
  <si>
    <t>AMDAI</t>
  </si>
  <si>
    <t>aave-polygon-dai</t>
  </si>
  <si>
    <t>Aave Polygon DAI</t>
  </si>
  <si>
    <t>AMUSDC</t>
  </si>
  <si>
    <t>aave-polygon-usdc</t>
  </si>
  <si>
    <t>Aave Polygon USDC</t>
  </si>
  <si>
    <t>AMUSDT</t>
  </si>
  <si>
    <t>aave-polygon-usdt</t>
  </si>
  <si>
    <t>Aave Polygon USDT</t>
  </si>
  <si>
    <t>AMWBTC</t>
  </si>
  <si>
    <t>aave-polygon-wbtc</t>
  </si>
  <si>
    <t>Aave Polygon WBTC</t>
  </si>
  <si>
    <t>AMWETH</t>
  </si>
  <si>
    <t>aave-polygon-weth</t>
  </si>
  <si>
    <t>Aave Polygon WETH</t>
  </si>
  <si>
    <t>AMWMATIC</t>
  </si>
  <si>
    <t>aave-polygon-wmatic</t>
  </si>
  <si>
    <t>Aave Polygon WMATIC</t>
  </si>
  <si>
    <t>ARAI</t>
  </si>
  <si>
    <t>aave-rai</t>
  </si>
  <si>
    <t>Aave RAI</t>
  </si>
  <si>
    <t>AREN</t>
  </si>
  <si>
    <t>aave-ren</t>
  </si>
  <si>
    <t>Aave REN</t>
  </si>
  <si>
    <t>aave-ren-v1</t>
  </si>
  <si>
    <t>Aave REN v1</t>
  </si>
  <si>
    <t>ASNX</t>
  </si>
  <si>
    <t>aave-snx</t>
  </si>
  <si>
    <t>Aave SNX</t>
  </si>
  <si>
    <t>aave-snx-v1</t>
  </si>
  <si>
    <t>Aave SNX v1</t>
  </si>
  <si>
    <t>ASUSD</t>
  </si>
  <si>
    <t>aave-susd</t>
  </si>
  <si>
    <t>Aave SUSD</t>
  </si>
  <si>
    <t>aave-susd-v1</t>
  </si>
  <si>
    <t>Aave SUSD v1</t>
  </si>
  <si>
    <t>ATUSD</t>
  </si>
  <si>
    <t>aave-tusd</t>
  </si>
  <si>
    <t>Aave TUSD</t>
  </si>
  <si>
    <t>aave-tusd-v1</t>
  </si>
  <si>
    <t>Aave TUSD v1</t>
  </si>
  <si>
    <t>AUNI</t>
  </si>
  <si>
    <t>aave-uni</t>
  </si>
  <si>
    <t>Aave UNI</t>
  </si>
  <si>
    <t>AUSDC</t>
  </si>
  <si>
    <t>aave-usdc</t>
  </si>
  <si>
    <t>Aave USDC</t>
  </si>
  <si>
    <t>aave-usdc-v1</t>
  </si>
  <si>
    <t>Aave USDC v1</t>
  </si>
  <si>
    <t>AUSDT</t>
  </si>
  <si>
    <t>aave-usdt</t>
  </si>
  <si>
    <t>Aave USDT</t>
  </si>
  <si>
    <t>aave-usdt-v1</t>
  </si>
  <si>
    <t>Aave USDT v1</t>
  </si>
  <si>
    <t>AWBTC</t>
  </si>
  <si>
    <t>aave-wbtc</t>
  </si>
  <si>
    <t>Aave WBTC</t>
  </si>
  <si>
    <t>aave-wbtc-v1</t>
  </si>
  <si>
    <t>Aave WBTC v1</t>
  </si>
  <si>
    <t>AWETH</t>
  </si>
  <si>
    <t>aave-weth</t>
  </si>
  <si>
    <t>Aave WETH</t>
  </si>
  <si>
    <t>aave-wormhole</t>
  </si>
  <si>
    <t>Aave (Wormhole)</t>
  </si>
  <si>
    <t>AXSUSHI</t>
  </si>
  <si>
    <t>aave-xsushi</t>
  </si>
  <si>
    <t>Aave XSUSHI</t>
  </si>
  <si>
    <t>AYFI</t>
  </si>
  <si>
    <t>aave-yfi</t>
  </si>
  <si>
    <t>Aave YFI</t>
  </si>
  <si>
    <t>AZRX</t>
  </si>
  <si>
    <t>aave-zrx</t>
  </si>
  <si>
    <t>Aave ZRX</t>
  </si>
  <si>
    <t>aave-zrx-v1</t>
  </si>
  <si>
    <t>Aave ZRX v1</t>
  </si>
  <si>
    <t>AAB</t>
  </si>
  <si>
    <t>aax-token</t>
  </si>
  <si>
    <t>ABI</t>
  </si>
  <si>
    <t>abachi</t>
  </si>
  <si>
    <t>Abachi</t>
  </si>
  <si>
    <t>ABC</t>
  </si>
  <si>
    <t>abacus</t>
  </si>
  <si>
    <t>Abacus</t>
  </si>
  <si>
    <t>ABBY</t>
  </si>
  <si>
    <t>abby-inu</t>
  </si>
  <si>
    <t>Abby Inu</t>
  </si>
  <si>
    <t>abc-chain</t>
  </si>
  <si>
    <t>ABC Chain</t>
  </si>
  <si>
    <t>AT</t>
  </si>
  <si>
    <t>abcc-token</t>
  </si>
  <si>
    <t>ABCC Token</t>
  </si>
  <si>
    <t>abell-coin</t>
  </si>
  <si>
    <t>Abell Coin</t>
  </si>
  <si>
    <t>ABEY</t>
  </si>
  <si>
    <t>abey</t>
  </si>
  <si>
    <t>Abey</t>
  </si>
  <si>
    <t>ABST</t>
  </si>
  <si>
    <t>abitshadow-token</t>
  </si>
  <si>
    <t>Abitshadow Token</t>
  </si>
  <si>
    <t>ABLE</t>
  </si>
  <si>
    <t>able-finance</t>
  </si>
  <si>
    <t>Able Finance</t>
  </si>
  <si>
    <t>ABS</t>
  </si>
  <si>
    <t>absolute</t>
  </si>
  <si>
    <t>Absolute</t>
  </si>
  <si>
    <t>AST</t>
  </si>
  <si>
    <t>absolute-sync-token</t>
  </si>
  <si>
    <t>Absolute Sync</t>
  </si>
  <si>
    <t>absorber</t>
  </si>
  <si>
    <t>Absorber</t>
  </si>
  <si>
    <t>AAA</t>
  </si>
  <si>
    <t>abulaba</t>
  </si>
  <si>
    <t>Abulaba</t>
  </si>
  <si>
    <t>ABU</t>
  </si>
  <si>
    <t>abura-farm</t>
  </si>
  <si>
    <t>Abura Farm</t>
  </si>
  <si>
    <t>ACA</t>
  </si>
  <si>
    <t>acala</t>
  </si>
  <si>
    <t>Acala</t>
  </si>
  <si>
    <t>acash-coin</t>
  </si>
  <si>
    <t>Acash Coin</t>
  </si>
  <si>
    <t>aca-token</t>
  </si>
  <si>
    <t>ACCEL</t>
  </si>
  <si>
    <t>accel-defi</t>
  </si>
  <si>
    <t>Accel Defi</t>
  </si>
  <si>
    <t>ACX</t>
  </si>
  <si>
    <t>accesslauncher</t>
  </si>
  <si>
    <t>AccessLauncher</t>
  </si>
  <si>
    <t>ACED</t>
  </si>
  <si>
    <t>aced</t>
  </si>
  <si>
    <t>Aced [OLD]</t>
  </si>
  <si>
    <t>aced-2</t>
  </si>
  <si>
    <t>Aced</t>
  </si>
  <si>
    <t>ACE</t>
  </si>
  <si>
    <t>acent</t>
  </si>
  <si>
    <t>Acent</t>
  </si>
  <si>
    <t>ASTAR</t>
  </si>
  <si>
    <t>acestarter</t>
  </si>
  <si>
    <t>AceStarter</t>
  </si>
  <si>
    <t>acetoken</t>
  </si>
  <si>
    <t>ACEToken</t>
  </si>
  <si>
    <t>ACT</t>
  </si>
  <si>
    <t>acet-token</t>
  </si>
  <si>
    <t>Acet</t>
  </si>
  <si>
    <t>ACXT</t>
  </si>
  <si>
    <t>ac-exchange-token</t>
  </si>
  <si>
    <t>achain</t>
  </si>
  <si>
    <t>Achain</t>
  </si>
  <si>
    <t>ACK</t>
  </si>
  <si>
    <t>acknoledger</t>
  </si>
  <si>
    <t>AcknoLedger</t>
  </si>
  <si>
    <t>ACM</t>
  </si>
  <si>
    <t>ac-milan-fan-token</t>
  </si>
  <si>
    <t>AC Milan Fan Token</t>
  </si>
  <si>
    <t>AC</t>
  </si>
  <si>
    <t>acoconut</t>
  </si>
  <si>
    <t>ACoconut</t>
  </si>
  <si>
    <t>ACOIN</t>
  </si>
  <si>
    <t>acoin</t>
  </si>
  <si>
    <t>Acoin</t>
  </si>
  <si>
    <t>ACR</t>
  </si>
  <si>
    <t>acreage-coin</t>
  </si>
  <si>
    <t>Acreage Coin</t>
  </si>
  <si>
    <t>ACS</t>
  </si>
  <si>
    <t>acryptos</t>
  </si>
  <si>
    <t>ACryptoS</t>
  </si>
  <si>
    <t>ACSI</t>
  </si>
  <si>
    <t>acryptosi</t>
  </si>
  <si>
    <t>ACryptoSI</t>
  </si>
  <si>
    <t>ACTA</t>
  </si>
  <si>
    <t>acta-finance</t>
  </si>
  <si>
    <t>Acta Finance</t>
  </si>
  <si>
    <t>AFIT</t>
  </si>
  <si>
    <t>actifit</t>
  </si>
  <si>
    <t>Actifit</t>
  </si>
  <si>
    <t>actinium</t>
  </si>
  <si>
    <t>Actinium</t>
  </si>
  <si>
    <t>ACTN</t>
  </si>
  <si>
    <t>action-coin</t>
  </si>
  <si>
    <t>Action Coin</t>
  </si>
  <si>
    <t>ACADA</t>
  </si>
  <si>
    <t>activada</t>
  </si>
  <si>
    <t>ActivADA</t>
  </si>
  <si>
    <t>AWRT</t>
  </si>
  <si>
    <t>active-world-rewards-token</t>
  </si>
  <si>
    <t>Active World Rewards</t>
  </si>
  <si>
    <t>ACU</t>
  </si>
  <si>
    <t>acuity-token</t>
  </si>
  <si>
    <t>Acuity</t>
  </si>
  <si>
    <t>acumen</t>
  </si>
  <si>
    <t>Acumen</t>
  </si>
  <si>
    <t>acu-platform</t>
  </si>
  <si>
    <t>ACU Platform</t>
  </si>
  <si>
    <t>AAC</t>
  </si>
  <si>
    <t>acute-angle-cloud</t>
  </si>
  <si>
    <t>Double-A Chain</t>
  </si>
  <si>
    <t>ACY</t>
  </si>
  <si>
    <t>acy-finance</t>
  </si>
  <si>
    <t>ACY Finance</t>
  </si>
  <si>
    <t>ADABOY</t>
  </si>
  <si>
    <t>adaboy</t>
  </si>
  <si>
    <t>ADABoy</t>
  </si>
  <si>
    <t>ADACASH</t>
  </si>
  <si>
    <t>adacash</t>
  </si>
  <si>
    <t>ADAcash</t>
  </si>
  <si>
    <t>ADAO</t>
  </si>
  <si>
    <t>adadao</t>
  </si>
  <si>
    <t>ADADao</t>
  </si>
  <si>
    <t>ADAT</t>
  </si>
  <si>
    <t>adadex-tools</t>
  </si>
  <si>
    <t>Adadex Tools</t>
  </si>
  <si>
    <t>ADAFLECT</t>
  </si>
  <si>
    <t>adaflect</t>
  </si>
  <si>
    <t>ADAFlect</t>
  </si>
  <si>
    <t>AKONG</t>
  </si>
  <si>
    <t>adakong</t>
  </si>
  <si>
    <t>AdaKong</t>
  </si>
  <si>
    <t>ADAL</t>
  </si>
  <si>
    <t>adalend</t>
  </si>
  <si>
    <t>Adalend</t>
  </si>
  <si>
    <t>ADDY</t>
  </si>
  <si>
    <t>adamant</t>
  </si>
  <si>
    <t>Adamant</t>
  </si>
  <si>
    <t>ADMC</t>
  </si>
  <si>
    <t>adamant-coin</t>
  </si>
  <si>
    <t>Adamant Coin</t>
  </si>
  <si>
    <t>ADM</t>
  </si>
  <si>
    <t>adamant-messenger</t>
  </si>
  <si>
    <t>ADAMANT Messenger</t>
  </si>
  <si>
    <t>ADAM</t>
  </si>
  <si>
    <t>adam-oracle</t>
  </si>
  <si>
    <t>ADAM Oracle</t>
  </si>
  <si>
    <t>DEMIR</t>
  </si>
  <si>
    <t>adana-demirspor</t>
  </si>
  <si>
    <t>Adana Demirspor</t>
  </si>
  <si>
    <t>ADAPAD</t>
  </si>
  <si>
    <t>adapad</t>
  </si>
  <si>
    <t>ADAPad</t>
  </si>
  <si>
    <t>ADP</t>
  </si>
  <si>
    <t>adappter-token</t>
  </si>
  <si>
    <t>Adappter</t>
  </si>
  <si>
    <t>ASW</t>
  </si>
  <si>
    <t>adaswap</t>
  </si>
  <si>
    <t>AdaSwap</t>
  </si>
  <si>
    <t>ADAX</t>
  </si>
  <si>
    <t>adax</t>
  </si>
  <si>
    <t>ADB</t>
  </si>
  <si>
    <t>adbank</t>
  </si>
  <si>
    <t>ADD</t>
  </si>
  <si>
    <t>add-xyz-new</t>
  </si>
  <si>
    <t>Add.xyz (NEW)</t>
  </si>
  <si>
    <t>ADL</t>
  </si>
  <si>
    <t>adelphoi</t>
  </si>
  <si>
    <t>Adelphoi</t>
  </si>
  <si>
    <t>ADEN</t>
  </si>
  <si>
    <t>adene</t>
  </si>
  <si>
    <t>Adene</t>
  </si>
  <si>
    <t>ADX</t>
  </si>
  <si>
    <t>adex</t>
  </si>
  <si>
    <t>Ambire AdEx</t>
  </si>
  <si>
    <t>ADF</t>
  </si>
  <si>
    <t>ad-flex-token</t>
  </si>
  <si>
    <t>ADI</t>
  </si>
  <si>
    <t>aditus</t>
  </si>
  <si>
    <t>Aditus</t>
  </si>
  <si>
    <t>ADMONKEY</t>
  </si>
  <si>
    <t>admonkey</t>
  </si>
  <si>
    <t>AdMonkey</t>
  </si>
  <si>
    <t>ARA</t>
  </si>
  <si>
    <t>adora-token</t>
  </si>
  <si>
    <t>Adora</t>
  </si>
  <si>
    <t>ADR</t>
  </si>
  <si>
    <t>adroverse</t>
  </si>
  <si>
    <t>Adroverse</t>
  </si>
  <si>
    <t>ADS</t>
  </si>
  <si>
    <t>adshares</t>
  </si>
  <si>
    <t>Adshares</t>
  </si>
  <si>
    <t>ADT</t>
  </si>
  <si>
    <t>adtoken</t>
  </si>
  <si>
    <t>AIB</t>
  </si>
  <si>
    <t>advanced-internet-block</t>
  </si>
  <si>
    <t>Advanced Integrated Blocks</t>
  </si>
  <si>
    <t>AUC</t>
  </si>
  <si>
    <t>advanced-united-continent</t>
  </si>
  <si>
    <t>Advanced United Continent</t>
  </si>
  <si>
    <t>ADVAR</t>
  </si>
  <si>
    <t>advar-protocol</t>
  </si>
  <si>
    <t>Advar Protocol</t>
  </si>
  <si>
    <t>AGLD</t>
  </si>
  <si>
    <t>adventure-gold</t>
  </si>
  <si>
    <t>Adventure Gold</t>
  </si>
  <si>
    <t>ADINU</t>
  </si>
  <si>
    <t>adventure-inu</t>
  </si>
  <si>
    <t>Adventure Inu</t>
  </si>
  <si>
    <t>TWA</t>
  </si>
  <si>
    <t>adventure-token</t>
  </si>
  <si>
    <t>ADCO</t>
  </si>
  <si>
    <t>advertise-coin</t>
  </si>
  <si>
    <t>Advertise Coin</t>
  </si>
  <si>
    <t>AGS</t>
  </si>
  <si>
    <t>aegis</t>
  </si>
  <si>
    <t>Aegis</t>
  </si>
  <si>
    <t>AGSPAD</t>
  </si>
  <si>
    <t>aegis-launchpad</t>
  </si>
  <si>
    <t>Aegis Launchpad</t>
  </si>
  <si>
    <t>ELF</t>
  </si>
  <si>
    <t>aelf</t>
  </si>
  <si>
    <t>AELIN</t>
  </si>
  <si>
    <t>aelin</t>
  </si>
  <si>
    <t>Aelin</t>
  </si>
  <si>
    <t>AEL</t>
  </si>
  <si>
    <t>aelysir</t>
  </si>
  <si>
    <t>Aelysir</t>
  </si>
  <si>
    <t>ASH</t>
  </si>
  <si>
    <t>aeneas</t>
  </si>
  <si>
    <t>Aeneas</t>
  </si>
  <si>
    <t>AENS</t>
  </si>
  <si>
    <t>aen-smart-token</t>
  </si>
  <si>
    <t>AEN Smart</t>
  </si>
  <si>
    <t>AEON</t>
  </si>
  <si>
    <t>aeon</t>
  </si>
  <si>
    <t>Aeon</t>
  </si>
  <si>
    <t>AERA</t>
  </si>
  <si>
    <t>aerarium-fi</t>
  </si>
  <si>
    <t>Aerarium Fi</t>
  </si>
  <si>
    <t>AER</t>
  </si>
  <si>
    <t>aerdrop</t>
  </si>
  <si>
    <t>Aerdrop</t>
  </si>
  <si>
    <t>AERGO</t>
  </si>
  <si>
    <t>aergo</t>
  </si>
  <si>
    <t>Aergo</t>
  </si>
  <si>
    <t>AERO-V2</t>
  </si>
  <si>
    <t>aerochain</t>
  </si>
  <si>
    <t>Aerochain Coin V2</t>
  </si>
  <si>
    <t>ARNX</t>
  </si>
  <si>
    <t>aeron</t>
  </si>
  <si>
    <t>Aeron</t>
  </si>
  <si>
    <t>AET</t>
  </si>
  <si>
    <t>aerotoken</t>
  </si>
  <si>
    <t>AEROTOKEN</t>
  </si>
  <si>
    <t>ATYNE</t>
  </si>
  <si>
    <t>aerotyne</t>
  </si>
  <si>
    <t>Aerotyne</t>
  </si>
  <si>
    <t>AERO</t>
  </si>
  <si>
    <t>aerovek-aviation</t>
  </si>
  <si>
    <t>Aerovek Aviation</t>
  </si>
  <si>
    <t>AE</t>
  </si>
  <si>
    <t>aeternity</t>
  </si>
  <si>
    <t>Aeternity</t>
  </si>
  <si>
    <t>aetherius</t>
  </si>
  <si>
    <t>Aetherius</t>
  </si>
  <si>
    <t>ATH</t>
  </si>
  <si>
    <t>aetherv2</t>
  </si>
  <si>
    <t>AetherV2</t>
  </si>
  <si>
    <t>AEUR</t>
  </si>
  <si>
    <t>aeur</t>
  </si>
  <si>
    <t>AEVO</t>
  </si>
  <si>
    <t>aevo</t>
  </si>
  <si>
    <t>Always Evolving</t>
  </si>
  <si>
    <t>AVEX!</t>
  </si>
  <si>
    <t>aevolve-token</t>
  </si>
  <si>
    <t>Aevolve</t>
  </si>
  <si>
    <t>AZR</t>
  </si>
  <si>
    <t>aezora</t>
  </si>
  <si>
    <t>Azzure</t>
  </si>
  <si>
    <t>AFEN</t>
  </si>
  <si>
    <t>afen-blockchain</t>
  </si>
  <si>
    <t>AFEN Blockchain</t>
  </si>
  <si>
    <t>FYN</t>
  </si>
  <si>
    <t>affyn</t>
  </si>
  <si>
    <t>Affyn</t>
  </si>
  <si>
    <t>AFIN</t>
  </si>
  <si>
    <t>afin-coin</t>
  </si>
  <si>
    <t>Asian Fintech</t>
  </si>
  <si>
    <t>AFR</t>
  </si>
  <si>
    <t>afreum</t>
  </si>
  <si>
    <t>Afreum</t>
  </si>
  <si>
    <t>AFX</t>
  </si>
  <si>
    <t>afrix</t>
  </si>
  <si>
    <t>Afrix</t>
  </si>
  <si>
    <t>AFRO</t>
  </si>
  <si>
    <t>afro</t>
  </si>
  <si>
    <t>Afro</t>
  </si>
  <si>
    <t>AFROX</t>
  </si>
  <si>
    <t>afrodex</t>
  </si>
  <si>
    <t>AfroDex</t>
  </si>
  <si>
    <t>afrostar</t>
  </si>
  <si>
    <t>Afrostar</t>
  </si>
  <si>
    <t>AGAC</t>
  </si>
  <si>
    <t>aga-carbon-credit</t>
  </si>
  <si>
    <t>AGA Carbon Credit</t>
  </si>
  <si>
    <t>ACAR</t>
  </si>
  <si>
    <t>aga-carbon-rewards</t>
  </si>
  <si>
    <t>AGA Carbon Rewards</t>
  </si>
  <si>
    <t>AGAIN</t>
  </si>
  <si>
    <t>again-project</t>
  </si>
  <si>
    <t>Again Project</t>
  </si>
  <si>
    <t>EDC</t>
  </si>
  <si>
    <t>aga-rewards</t>
  </si>
  <si>
    <t>Edcoin</t>
  </si>
  <si>
    <t>AGAR</t>
  </si>
  <si>
    <t>aga-rewards-2</t>
  </si>
  <si>
    <t>AGA Rewards</t>
  </si>
  <si>
    <t>AGA</t>
  </si>
  <si>
    <t>aga-token</t>
  </si>
  <si>
    <t>AGVC</t>
  </si>
  <si>
    <t>agavecoin</t>
  </si>
  <si>
    <t>AgaveCoin</t>
  </si>
  <si>
    <t>AGVE</t>
  </si>
  <si>
    <t>agave-token</t>
  </si>
  <si>
    <t>Agave</t>
  </si>
  <si>
    <t>AGE</t>
  </si>
  <si>
    <t>agenor</t>
  </si>
  <si>
    <t>Agenor</t>
  </si>
  <si>
    <t>AGENTSHIBAINU</t>
  </si>
  <si>
    <t>agent-shiba-inu</t>
  </si>
  <si>
    <t>Agent Shiba I.N.U.</t>
  </si>
  <si>
    <t>AOG</t>
  </si>
  <si>
    <t>ageofgods</t>
  </si>
  <si>
    <t>AgeOfGods</t>
  </si>
  <si>
    <t>GEM</t>
  </si>
  <si>
    <t>age-of-knights</t>
  </si>
  <si>
    <t>Age Of Knights</t>
  </si>
  <si>
    <t>A.O.T</t>
  </si>
  <si>
    <t>age-of-tanks</t>
  </si>
  <si>
    <t>Age Of Tanks</t>
  </si>
  <si>
    <t>AGEUR</t>
  </si>
  <si>
    <t>ageur</t>
  </si>
  <si>
    <t>agEUR</t>
  </si>
  <si>
    <t>ageur-wormhole</t>
  </si>
  <si>
    <t>agEUR (Wormhole)</t>
  </si>
  <si>
    <t>AGGL</t>
  </si>
  <si>
    <t>aggle-io</t>
  </si>
  <si>
    <t>aggle.io</t>
  </si>
  <si>
    <t>AGFI</t>
  </si>
  <si>
    <t>aggregatedfinance</t>
  </si>
  <si>
    <t>AggregatedFinance [OLD]</t>
  </si>
  <si>
    <t>aggregatedfinance-2</t>
  </si>
  <si>
    <t>AggregatedFinance</t>
  </si>
  <si>
    <t>AGL</t>
  </si>
  <si>
    <t>agile</t>
  </si>
  <si>
    <t>Agile</t>
  </si>
  <si>
    <t>AGORA</t>
  </si>
  <si>
    <t>agora-defi</t>
  </si>
  <si>
    <t>Agora Defi</t>
  </si>
  <si>
    <t>AGRS</t>
  </si>
  <si>
    <t>agoras-currency-of-tau</t>
  </si>
  <si>
    <t>Agoras: Currency of Tau</t>
  </si>
  <si>
    <t>AGO</t>
  </si>
  <si>
    <t>agora-token</t>
  </si>
  <si>
    <t>Agora AGO</t>
  </si>
  <si>
    <t>BLD</t>
  </si>
  <si>
    <t>agoric</t>
  </si>
  <si>
    <t>Agoric</t>
  </si>
  <si>
    <t>AGU</t>
  </si>
  <si>
    <t>agouti</t>
  </si>
  <si>
    <t>Agouti</t>
  </si>
  <si>
    <t>AGPC</t>
  </si>
  <si>
    <t>agpc</t>
  </si>
  <si>
    <t>DLT</t>
  </si>
  <si>
    <t>agrello</t>
  </si>
  <si>
    <t>Agrello</t>
  </si>
  <si>
    <t>AGN</t>
  </si>
  <si>
    <t>agricoin</t>
  </si>
  <si>
    <t>Agricoin</t>
  </si>
  <si>
    <t>agrinoble</t>
  </si>
  <si>
    <t>Agrinoble</t>
  </si>
  <si>
    <t>AGRI</t>
  </si>
  <si>
    <t>agrinovuscoin</t>
  </si>
  <si>
    <t>AgriNovusCoin</t>
  </si>
  <si>
    <t>XAGC</t>
  </si>
  <si>
    <t>agrocash-x</t>
  </si>
  <si>
    <t>AgroCash X</t>
  </si>
  <si>
    <t>FARM</t>
  </si>
  <si>
    <t>agrofarm</t>
  </si>
  <si>
    <t>Agrofarm</t>
  </si>
  <si>
    <t>AGRO</t>
  </si>
  <si>
    <t>agro-global</t>
  </si>
  <si>
    <t>Agro Global</t>
  </si>
  <si>
    <t>AMT</t>
  </si>
  <si>
    <t>agro-matic</t>
  </si>
  <si>
    <t>Agro-Matic</t>
  </si>
  <si>
    <t>AGTE</t>
  </si>
  <si>
    <t>agronomist</t>
  </si>
  <si>
    <t>Agronomist</t>
  </si>
  <si>
    <t>AHT</t>
  </si>
  <si>
    <t>ahatoken</t>
  </si>
  <si>
    <t>CAW</t>
  </si>
  <si>
    <t>a-hunters-dream</t>
  </si>
  <si>
    <t>A Hunters Dream</t>
  </si>
  <si>
    <t>AIT</t>
  </si>
  <si>
    <t>aichain</t>
  </si>
  <si>
    <t>AICHAIN</t>
  </si>
  <si>
    <t>AICO</t>
  </si>
  <si>
    <t>aicon</t>
  </si>
  <si>
    <t>Aicon</t>
  </si>
  <si>
    <t>AID</t>
  </si>
  <si>
    <t>aidcoin</t>
  </si>
  <si>
    <t>AidCoin</t>
  </si>
  <si>
    <t>AIDI</t>
  </si>
  <si>
    <t>aidi-finance</t>
  </si>
  <si>
    <t>Aidi Finance</t>
  </si>
  <si>
    <t>aidi-inu</t>
  </si>
  <si>
    <t>Aidi Inu</t>
  </si>
  <si>
    <t>AIDOC</t>
  </si>
  <si>
    <t>ai-doctor</t>
  </si>
  <si>
    <t>AI Doctor</t>
  </si>
  <si>
    <t>ADK</t>
  </si>
  <si>
    <t>aidos-kuneen</t>
  </si>
  <si>
    <t>Aidos Kuneen</t>
  </si>
  <si>
    <t>ALI</t>
  </si>
  <si>
    <t>ailink-token</t>
  </si>
  <si>
    <t>AIMX</t>
  </si>
  <si>
    <t>aimedis-2</t>
  </si>
  <si>
    <t>Aimedis</t>
  </si>
  <si>
    <t>AIN</t>
  </si>
  <si>
    <t>ai-network</t>
  </si>
  <si>
    <t>AI Network</t>
  </si>
  <si>
    <t>AINU</t>
  </si>
  <si>
    <t>ainu-token</t>
  </si>
  <si>
    <t>Ainu</t>
  </si>
  <si>
    <t>AION</t>
  </si>
  <si>
    <t>aion</t>
  </si>
  <si>
    <t>Aion</t>
  </si>
  <si>
    <t>AIOZ</t>
  </si>
  <si>
    <t>aioz-network</t>
  </si>
  <si>
    <t>AIOZ Network</t>
  </si>
  <si>
    <t>ABL</t>
  </si>
  <si>
    <t>airbloc-protocol</t>
  </si>
  <si>
    <t>Airbloc</t>
  </si>
  <si>
    <t>ABNB</t>
  </si>
  <si>
    <t>airbnb-tokenized-stock-zipmex</t>
  </si>
  <si>
    <t>Airbnb Tokenized Stock Zipmex</t>
  </si>
  <si>
    <t>AIR</t>
  </si>
  <si>
    <t>aircoin-2</t>
  </si>
  <si>
    <t>AirCoin</t>
  </si>
  <si>
    <t>AIRX</t>
  </si>
  <si>
    <t>aircoins</t>
  </si>
  <si>
    <t>Aircoins</t>
  </si>
  <si>
    <t>airdropper</t>
  </si>
  <si>
    <t>AirDropper</t>
  </si>
  <si>
    <t>AWT</t>
  </si>
  <si>
    <t>airdrop-world</t>
  </si>
  <si>
    <t>Airdrop World</t>
  </si>
  <si>
    <t>AIRI</t>
  </si>
  <si>
    <t>airight</t>
  </si>
  <si>
    <t>aiRight</t>
  </si>
  <si>
    <t>AIRT</t>
  </si>
  <si>
    <t>airnft-token</t>
  </si>
  <si>
    <t>AirNFT</t>
  </si>
  <si>
    <t>AIRPAY</t>
  </si>
  <si>
    <t>airpay</t>
  </si>
  <si>
    <t>AirPay</t>
  </si>
  <si>
    <t>ARAID</t>
  </si>
  <si>
    <t>airraid-lottery-token</t>
  </si>
  <si>
    <t>AirRaid Lottery</t>
  </si>
  <si>
    <t>AIRSHIB</t>
  </si>
  <si>
    <t>air-shiba</t>
  </si>
  <si>
    <t>Air Shiba</t>
  </si>
  <si>
    <t>airswap</t>
  </si>
  <si>
    <t>AirSwap</t>
  </si>
  <si>
    <t>AGT</t>
  </si>
  <si>
    <t>aisf</t>
  </si>
  <si>
    <t>AISF</t>
  </si>
  <si>
    <t>AITRA</t>
  </si>
  <si>
    <t>aitra</t>
  </si>
  <si>
    <t>AWO</t>
  </si>
  <si>
    <t>aiwork</t>
  </si>
  <si>
    <t>AiWork</t>
  </si>
  <si>
    <t>AJE</t>
  </si>
  <si>
    <t>ajeverse</t>
  </si>
  <si>
    <t>Ajeverse</t>
  </si>
  <si>
    <t>AKAMARU</t>
  </si>
  <si>
    <t>akamaru-inu</t>
  </si>
  <si>
    <t>Akamaru Inu</t>
  </si>
  <si>
    <t>AKT</t>
  </si>
  <si>
    <t>akash-network</t>
  </si>
  <si>
    <t>Akash Network</t>
  </si>
  <si>
    <t>AKL</t>
  </si>
  <si>
    <t>akil-coin</t>
  </si>
  <si>
    <t>Akil Coin</t>
  </si>
  <si>
    <t>AKITA</t>
  </si>
  <si>
    <t>akita-inu</t>
  </si>
  <si>
    <t>Akita Inu</t>
  </si>
  <si>
    <t>AKITAX</t>
  </si>
  <si>
    <t>akitavax</t>
  </si>
  <si>
    <t>Akitavax</t>
  </si>
  <si>
    <t>AKN</t>
  </si>
  <si>
    <t>akoin</t>
  </si>
  <si>
    <t>Akoin</t>
  </si>
  <si>
    <t>AKA</t>
  </si>
  <si>
    <t>akroma</t>
  </si>
  <si>
    <t>Akroma</t>
  </si>
  <si>
    <t>AKRO</t>
  </si>
  <si>
    <t>akropolis</t>
  </si>
  <si>
    <t>Akropolis</t>
  </si>
  <si>
    <t>ADEL</t>
  </si>
  <si>
    <t>akropolis-delphi</t>
  </si>
  <si>
    <t>Delphi</t>
  </si>
  <si>
    <t>akro-wormhole</t>
  </si>
  <si>
    <t>Akropolis (Wormhole)</t>
  </si>
  <si>
    <t>AKTIO</t>
  </si>
  <si>
    <t>aktio</t>
  </si>
  <si>
    <t>Aktio</t>
  </si>
  <si>
    <t>aladdin-cvxcrv</t>
  </si>
  <si>
    <t>Aladdin cvxCRV</t>
  </si>
  <si>
    <t>ALD</t>
  </si>
  <si>
    <t>aladdin-dao</t>
  </si>
  <si>
    <t>Aladdin DAO</t>
  </si>
  <si>
    <t>ALA</t>
  </si>
  <si>
    <t>aladiex</t>
  </si>
  <si>
    <t>Aladiex</t>
  </si>
  <si>
    <t>alanyaspor-fan-token</t>
  </si>
  <si>
    <t>Alanyaspor Fan Token</t>
  </si>
  <si>
    <t>ATP</t>
  </si>
  <si>
    <t>alaya</t>
  </si>
  <si>
    <t>Alaya</t>
  </si>
  <si>
    <t>MIST</t>
  </si>
  <si>
    <t>alchemist</t>
  </si>
  <si>
    <t>Alchemist</t>
  </si>
  <si>
    <t>ALCX</t>
  </si>
  <si>
    <t>alchemix</t>
  </si>
  <si>
    <t>Alchemix</t>
  </si>
  <si>
    <t>ALUSD</t>
  </si>
  <si>
    <t>alchemix-usd</t>
  </si>
  <si>
    <t>Alchemix USD</t>
  </si>
  <si>
    <t>ALCH</t>
  </si>
  <si>
    <t>alchemy-dao</t>
  </si>
  <si>
    <t>AlchemyDAO</t>
  </si>
  <si>
    <t>ACH</t>
  </si>
  <si>
    <t>alchemy-pay</t>
  </si>
  <si>
    <t>Alchemy Pay</t>
  </si>
  <si>
    <t>RIN</t>
  </si>
  <si>
    <t>aldrin</t>
  </si>
  <si>
    <t>Aldrin</t>
  </si>
  <si>
    <t>ALEPH</t>
  </si>
  <si>
    <t>aleph</t>
  </si>
  <si>
    <t>Aleph.im</t>
  </si>
  <si>
    <t>NALEPH</t>
  </si>
  <si>
    <t>aleph-finance</t>
  </si>
  <si>
    <t>Aleph Finance</t>
  </si>
  <si>
    <t>aleph-im-wormhole</t>
  </si>
  <si>
    <t>Aleph.im (Wormhole)</t>
  </si>
  <si>
    <t>ALPH</t>
  </si>
  <si>
    <t>alephium</t>
  </si>
  <si>
    <t>Alephium</t>
  </si>
  <si>
    <t>AZERO</t>
  </si>
  <si>
    <t>aleph-zero</t>
  </si>
  <si>
    <t>Aleph Zero</t>
  </si>
  <si>
    <t>alethea-artificial-liquid-intelligence-token</t>
  </si>
  <si>
    <t>Alethea Artificial Liquid Intelligence</t>
  </si>
  <si>
    <t>ALEX</t>
  </si>
  <si>
    <t>alex</t>
  </si>
  <si>
    <t>Alex</t>
  </si>
  <si>
    <t>SAUBER</t>
  </si>
  <si>
    <t>alfa-romeo-racing-orlen-fan-token</t>
  </si>
  <si>
    <t>Alfa Romeo Racing ORLEN Fan Token</t>
  </si>
  <si>
    <t>AFM</t>
  </si>
  <si>
    <t>alfheim-finance</t>
  </si>
  <si>
    <t>Alfheim Finance</t>
  </si>
  <si>
    <t>ALGB</t>
  </si>
  <si>
    <t>algebra</t>
  </si>
  <si>
    <t>Algebra</t>
  </si>
  <si>
    <t>ALGOBLK</t>
  </si>
  <si>
    <t>algoblocks</t>
  </si>
  <si>
    <t>AlgoBlocks</t>
  </si>
  <si>
    <t>GEMS</t>
  </si>
  <si>
    <t>algogems</t>
  </si>
  <si>
    <t>AlgoGems</t>
  </si>
  <si>
    <t>ALGOPAD</t>
  </si>
  <si>
    <t>algopad</t>
  </si>
  <si>
    <t>AlgoPad</t>
  </si>
  <si>
    <t>ALGOP</t>
  </si>
  <si>
    <t>algopainter</t>
  </si>
  <si>
    <t>AlgoPainter</t>
  </si>
  <si>
    <t>algorand</t>
  </si>
  <si>
    <t>ALG</t>
  </si>
  <si>
    <t>algory</t>
  </si>
  <si>
    <t>Algory</t>
  </si>
  <si>
    <t>AVS</t>
  </si>
  <si>
    <t>algovest</t>
  </si>
  <si>
    <t>AlgoVest</t>
  </si>
  <si>
    <t>ABBC</t>
  </si>
  <si>
    <t>alibabacoin</t>
  </si>
  <si>
    <t>DBABA</t>
  </si>
  <si>
    <t>alibaba-tokenized-stock-defichain</t>
  </si>
  <si>
    <t>Alibaba Tokenized Stock Defichain</t>
  </si>
  <si>
    <t>BABA</t>
  </si>
  <si>
    <t>alibaba-tokenized-stock-zipmex</t>
  </si>
  <si>
    <t>Alibaba Tokenized Stock Zipmex</t>
  </si>
  <si>
    <t>ALICN</t>
  </si>
  <si>
    <t>alicoin</t>
  </si>
  <si>
    <t>Alicoin</t>
  </si>
  <si>
    <t>ACF</t>
  </si>
  <si>
    <t>alien-chicken-farm</t>
  </si>
  <si>
    <t>Alien Chicken Farm</t>
  </si>
  <si>
    <t>ALIEN</t>
  </si>
  <si>
    <t>alien-inu</t>
  </si>
  <si>
    <t>Alien Inu</t>
  </si>
  <si>
    <t>ASHIB</t>
  </si>
  <si>
    <t>alien-shiba-inu</t>
  </si>
  <si>
    <t>Alien Shiba Inu</t>
  </si>
  <si>
    <t>AWG</t>
  </si>
  <si>
    <t>alien-wars-gold</t>
  </si>
  <si>
    <t>Alien Wars Gold</t>
  </si>
  <si>
    <t>TLM</t>
  </si>
  <si>
    <t>alien-worlds</t>
  </si>
  <si>
    <t>Alien Worlds</t>
  </si>
  <si>
    <t>alien-worlds-bsc</t>
  </si>
  <si>
    <t>Alien Worlds (BSC)</t>
  </si>
  <si>
    <t>ALPY</t>
  </si>
  <si>
    <t>alightpay</t>
  </si>
  <si>
    <t>Alightpay</t>
  </si>
  <si>
    <t>ALIX</t>
  </si>
  <si>
    <t>alinx</t>
  </si>
  <si>
    <t>AlinX</t>
  </si>
  <si>
    <t>ALIS</t>
  </si>
  <si>
    <t>alis</t>
  </si>
  <si>
    <t>ALIST</t>
  </si>
  <si>
    <t>a-list-royale</t>
  </si>
  <si>
    <t>A-List Royale</t>
  </si>
  <si>
    <t>alita</t>
  </si>
  <si>
    <t>Alita</t>
  </si>
  <si>
    <t>ALITA</t>
  </si>
  <si>
    <t>alita-network</t>
  </si>
  <si>
    <t>Alita Network</t>
  </si>
  <si>
    <t>ALT</t>
  </si>
  <si>
    <t>alitas</t>
  </si>
  <si>
    <t>Alitas</t>
  </si>
  <si>
    <t>ALM</t>
  </si>
  <si>
    <t>alium-finance</t>
  </si>
  <si>
    <t>Alium Finance</t>
  </si>
  <si>
    <t>ALK</t>
  </si>
  <si>
    <t>alkemi-network-dao-token</t>
  </si>
  <si>
    <t>Alkemi Network DAO</t>
  </si>
  <si>
    <t>$ADS</t>
  </si>
  <si>
    <t>alkimi</t>
  </si>
  <si>
    <t>Alkimi</t>
  </si>
  <si>
    <t>AART</t>
  </si>
  <si>
    <t>all-art</t>
  </si>
  <si>
    <t>ALL.ART</t>
  </si>
  <si>
    <t>ALLBI</t>
  </si>
  <si>
    <t>all-best-ico</t>
  </si>
  <si>
    <t>ALL BEST ICO</t>
  </si>
  <si>
    <t>ABR</t>
  </si>
  <si>
    <t>allbridge</t>
  </si>
  <si>
    <t>Allbridge</t>
  </si>
  <si>
    <t>ACYC</t>
  </si>
  <si>
    <t>all-coins-yield-capital</t>
  </si>
  <si>
    <t>All Coins Yield Capital</t>
  </si>
  <si>
    <t>AXA</t>
  </si>
  <si>
    <t>alldex-alliance</t>
  </si>
  <si>
    <t>Alldex Alliance</t>
  </si>
  <si>
    <t>ALBT</t>
  </si>
  <si>
    <t>allianceblock</t>
  </si>
  <si>
    <t>AllianceBlock</t>
  </si>
  <si>
    <t>ACD</t>
  </si>
  <si>
    <t>alliance-cargo-direct</t>
  </si>
  <si>
    <t>Alliance Cargo Direct</t>
  </si>
  <si>
    <t>ALL</t>
  </si>
  <si>
    <t>alliance-fan-token</t>
  </si>
  <si>
    <t>Alliance Fan Token</t>
  </si>
  <si>
    <t>ALTO</t>
  </si>
  <si>
    <t>alliance-token</t>
  </si>
  <si>
    <t>Alliance</t>
  </si>
  <si>
    <t>AXT</t>
  </si>
  <si>
    <t>alliance-x-trading</t>
  </si>
  <si>
    <t>Alliance X Trading</t>
  </si>
  <si>
    <t>allium-finance</t>
  </si>
  <si>
    <t>Allium Finance</t>
  </si>
  <si>
    <t>ALV</t>
  </si>
  <si>
    <t>allive</t>
  </si>
  <si>
    <t>Allive</t>
  </si>
  <si>
    <t>ME</t>
  </si>
  <si>
    <t>all-me</t>
  </si>
  <si>
    <t>All.me</t>
  </si>
  <si>
    <t>XAO</t>
  </si>
  <si>
    <t>alloy-project</t>
  </si>
  <si>
    <t>Alloy Project</t>
  </si>
  <si>
    <t>ASAFE</t>
  </si>
  <si>
    <t>allsafe</t>
  </si>
  <si>
    <t>AllSafe</t>
  </si>
  <si>
    <t>SOC</t>
  </si>
  <si>
    <t>all-sports</t>
  </si>
  <si>
    <t>All Sports</t>
  </si>
  <si>
    <t>allspot</t>
  </si>
  <si>
    <t>Allspot</t>
  </si>
  <si>
    <t>ALLUO</t>
  </si>
  <si>
    <t>alluo</t>
  </si>
  <si>
    <t>Alluo</t>
  </si>
  <si>
    <t>ALY</t>
  </si>
  <si>
    <t>ally</t>
  </si>
  <si>
    <t>Ally</t>
  </si>
  <si>
    <t>DRCT</t>
  </si>
  <si>
    <t>ally-direct</t>
  </si>
  <si>
    <t>Ally Direct</t>
  </si>
  <si>
    <t>almond</t>
  </si>
  <si>
    <t>Almond</t>
  </si>
  <si>
    <t>NASSR</t>
  </si>
  <si>
    <t>alnassr-fc-fan-token</t>
  </si>
  <si>
    <t>Alnassr FC Fan Token</t>
  </si>
  <si>
    <t>ALOHA</t>
  </si>
  <si>
    <t>aloha</t>
  </si>
  <si>
    <t>Aloha</t>
  </si>
  <si>
    <t>ALPA</t>
  </si>
  <si>
    <t>alpaca</t>
  </si>
  <si>
    <t>Alpaca City</t>
  </si>
  <si>
    <t>ALPACA</t>
  </si>
  <si>
    <t>alpaca-finance</t>
  </si>
  <si>
    <t>Alpaca Finance</t>
  </si>
  <si>
    <t>AUSD</t>
  </si>
  <si>
    <t>alpaca-usd</t>
  </si>
  <si>
    <t>Alpaca USD</t>
  </si>
  <si>
    <t>A5T</t>
  </si>
  <si>
    <t>alpha5</t>
  </si>
  <si>
    <t>Alpha5</t>
  </si>
  <si>
    <t>alpha-brain-capital</t>
  </si>
  <si>
    <t>Alpha Brain Capital [OLD]</t>
  </si>
  <si>
    <t>ACAP</t>
  </si>
  <si>
    <t>alpha-brain-capital-2</t>
  </si>
  <si>
    <t>Alpha Capital</t>
  </si>
  <si>
    <t>ACAT</t>
  </si>
  <si>
    <t>alphacat</t>
  </si>
  <si>
    <t>Alphacat</t>
  </si>
  <si>
    <t>alphacoin</t>
  </si>
  <si>
    <t>AlphaCoin</t>
  </si>
  <si>
    <t>APC</t>
  </si>
  <si>
    <t>alpha-coin</t>
  </si>
  <si>
    <t>Alpha Coin</t>
  </si>
  <si>
    <t>DEX</t>
  </si>
  <si>
    <t>alphadex</t>
  </si>
  <si>
    <t>AlphaDex</t>
  </si>
  <si>
    <t>ROAR</t>
  </si>
  <si>
    <t>alpha-dex</t>
  </si>
  <si>
    <t>Alpha DEX</t>
  </si>
  <si>
    <t>alpha-finance</t>
  </si>
  <si>
    <t>Alpha Venture DAO</t>
  </si>
  <si>
    <t>ALKOM</t>
  </si>
  <si>
    <t>alpha-kombat</t>
  </si>
  <si>
    <t>Alpha Kombat</t>
  </si>
  <si>
    <t>ANK</t>
  </si>
  <si>
    <t>alphalink</t>
  </si>
  <si>
    <t>AlphaLink</t>
  </si>
  <si>
    <t>$ALPHA</t>
  </si>
  <si>
    <t>alpha-nodes</t>
  </si>
  <si>
    <t>Alpha Shares</t>
  </si>
  <si>
    <t>APAD</t>
  </si>
  <si>
    <t>alpha-pad</t>
  </si>
  <si>
    <t>Alpha Pad</t>
  </si>
  <si>
    <t>A</t>
  </si>
  <si>
    <t>alpha-platform</t>
  </si>
  <si>
    <t>Alpha Token</t>
  </si>
  <si>
    <t>AQT</t>
  </si>
  <si>
    <t>alpha-quark-token</t>
  </si>
  <si>
    <t>.ALPHA</t>
  </si>
  <si>
    <t>alphatoken</t>
  </si>
  <si>
    <t>.Alpha</t>
  </si>
  <si>
    <t>ALPHR</t>
  </si>
  <si>
    <t>alphr</t>
  </si>
  <si>
    <t>Alphr</t>
  </si>
  <si>
    <t>ALPINE</t>
  </si>
  <si>
    <t>alpine-f1-team-fan-token</t>
  </si>
  <si>
    <t>Alpine F1 Team Fan Token</t>
  </si>
  <si>
    <t>ALTA</t>
  </si>
  <si>
    <t>alta-finance</t>
  </si>
  <si>
    <t>Alta Finance</t>
  </si>
  <si>
    <t>altair</t>
  </si>
  <si>
    <t>Altair</t>
  </si>
  <si>
    <t>ALTB</t>
  </si>
  <si>
    <t>altbase</t>
  </si>
  <si>
    <t>Altbase</t>
  </si>
  <si>
    <t>alt-coin</t>
  </si>
  <si>
    <t>Alt Coin</t>
  </si>
  <si>
    <t>ALTOM</t>
  </si>
  <si>
    <t>altcommunity-coin</t>
  </si>
  <si>
    <t>ALTER</t>
  </si>
  <si>
    <t>alter</t>
  </si>
  <si>
    <t>Alter</t>
  </si>
  <si>
    <t>AEN</t>
  </si>
  <si>
    <t>altera</t>
  </si>
  <si>
    <t>Altera</t>
  </si>
  <si>
    <t>ASTO</t>
  </si>
  <si>
    <t>altered-state-token</t>
  </si>
  <si>
    <t>Altered State Machine</t>
  </si>
  <si>
    <t>AM</t>
  </si>
  <si>
    <t>alternatemoney</t>
  </si>
  <si>
    <t>AlternateMoney</t>
  </si>
  <si>
    <t>alt-estate</t>
  </si>
  <si>
    <t>AltEstate Token</t>
  </si>
  <si>
    <t>ALTM</t>
  </si>
  <si>
    <t>altmarkets-coin</t>
  </si>
  <si>
    <t>Altmarkets Coin</t>
  </si>
  <si>
    <t>ALTRUCOIN</t>
  </si>
  <si>
    <t>altrucoin-2</t>
  </si>
  <si>
    <t>Altrucoin</t>
  </si>
  <si>
    <t>ALTS</t>
  </si>
  <si>
    <t>altswitch</t>
  </si>
  <si>
    <t>AltSwitch</t>
  </si>
  <si>
    <t>ALU</t>
  </si>
  <si>
    <t>altura</t>
  </si>
  <si>
    <t>Altura</t>
  </si>
  <si>
    <t>ALN</t>
  </si>
  <si>
    <t>aluna</t>
  </si>
  <si>
    <t>Aluna</t>
  </si>
  <si>
    <t>ALYA</t>
  </si>
  <si>
    <t>alyattes</t>
  </si>
  <si>
    <t>Alyattes</t>
  </si>
  <si>
    <t>MARA</t>
  </si>
  <si>
    <t>amara-finance</t>
  </si>
  <si>
    <t>Amara Finance</t>
  </si>
  <si>
    <t>AMAS</t>
  </si>
  <si>
    <t>amasa</t>
  </si>
  <si>
    <t>Amasa</t>
  </si>
  <si>
    <t>AMA</t>
  </si>
  <si>
    <t>amaten</t>
  </si>
  <si>
    <t>Amaten</t>
  </si>
  <si>
    <t>amateras</t>
  </si>
  <si>
    <t>Amateras</t>
  </si>
  <si>
    <t>ADOGE</t>
  </si>
  <si>
    <t>amazingdoge</t>
  </si>
  <si>
    <t>AmazingDoge</t>
  </si>
  <si>
    <t>AMAZINGTEAM</t>
  </si>
  <si>
    <t>amazingteamdao</t>
  </si>
  <si>
    <t>AmazingTeamDAO</t>
  </si>
  <si>
    <t>AMZ</t>
  </si>
  <si>
    <t>amazonacoin</t>
  </si>
  <si>
    <t>AmazonasCoin</t>
  </si>
  <si>
    <t>DAMZN</t>
  </si>
  <si>
    <t>amazon-tokenized-stock-defichain</t>
  </si>
  <si>
    <t>Amazon Tokenized Stock Defichain</t>
  </si>
  <si>
    <t>AMZN</t>
  </si>
  <si>
    <t>amazon-tokenized-stock-zipmex</t>
  </si>
  <si>
    <t>Amazon Tokenized Stock Zipmex</t>
  </si>
  <si>
    <t>AMB</t>
  </si>
  <si>
    <t>amber</t>
  </si>
  <si>
    <t>Ambrosus</t>
  </si>
  <si>
    <t>WALLET</t>
  </si>
  <si>
    <t>ambire-wallet</t>
  </si>
  <si>
    <t>Ambire Wallet</t>
  </si>
  <si>
    <t>AMC</t>
  </si>
  <si>
    <t>amc-fight-night</t>
  </si>
  <si>
    <t>AMC Fight Night</t>
  </si>
  <si>
    <t>AMDG</t>
  </si>
  <si>
    <t>amdg-token</t>
  </si>
  <si>
    <t>AME</t>
  </si>
  <si>
    <t>amepay</t>
  </si>
  <si>
    <t>AME Chain</t>
  </si>
  <si>
    <t>USHIBA</t>
  </si>
  <si>
    <t>american-shiba</t>
  </si>
  <si>
    <t>American Shiba</t>
  </si>
  <si>
    <t>AMSTAFF</t>
  </si>
  <si>
    <t>americanstaff-inu</t>
  </si>
  <si>
    <t>AmericanStaff Inu</t>
  </si>
  <si>
    <t>TERRIER</t>
  </si>
  <si>
    <t>amerikan-pitbull-terrier</t>
  </si>
  <si>
    <t>Amerikan Pitbull Terrier</t>
  </si>
  <si>
    <t>ameru-dao</t>
  </si>
  <si>
    <t>Ameru DAO</t>
  </si>
  <si>
    <t>AMES</t>
  </si>
  <si>
    <t>amethyst</t>
  </si>
  <si>
    <t>Amethyst</t>
  </si>
  <si>
    <t>AMG</t>
  </si>
  <si>
    <t>amgen</t>
  </si>
  <si>
    <t>Amgen</t>
  </si>
  <si>
    <t>AMIS</t>
  </si>
  <si>
    <t>amis</t>
  </si>
  <si>
    <t>AMI</t>
  </si>
  <si>
    <t>ammyi-coin</t>
  </si>
  <si>
    <t>AMMYI Coin</t>
  </si>
  <si>
    <t>amnext</t>
  </si>
  <si>
    <t>Amnext</t>
  </si>
  <si>
    <t>AMO</t>
  </si>
  <si>
    <t>amo</t>
  </si>
  <si>
    <t>AMO Coin</t>
  </si>
  <si>
    <t>AMN</t>
  </si>
  <si>
    <t>amon</t>
  </si>
  <si>
    <t>Amon</t>
  </si>
  <si>
    <t>AMON</t>
  </si>
  <si>
    <t>amond</t>
  </si>
  <si>
    <t>AmonD</t>
  </si>
  <si>
    <t>VEO</t>
  </si>
  <si>
    <t>amoveo</t>
  </si>
  <si>
    <t>Amoveo</t>
  </si>
  <si>
    <t>AMPL</t>
  </si>
  <si>
    <t>ampleforth</t>
  </si>
  <si>
    <t>Ampleforth</t>
  </si>
  <si>
    <t>FORTH</t>
  </si>
  <si>
    <t>ampleforth-governance-token</t>
  </si>
  <si>
    <t>Ampleforth Governance</t>
  </si>
  <si>
    <t>ampleforth-wormhole</t>
  </si>
  <si>
    <t>Ampleforth (Wormhole)</t>
  </si>
  <si>
    <t>AMPLE</t>
  </si>
  <si>
    <t>ampleswap</t>
  </si>
  <si>
    <t>AmpleSwap</t>
  </si>
  <si>
    <t>AMPT</t>
  </si>
  <si>
    <t>amplify</t>
  </si>
  <si>
    <t>Amplify</t>
  </si>
  <si>
    <t>AAPX</t>
  </si>
  <si>
    <t>ampnet</t>
  </si>
  <si>
    <t>AMPnet</t>
  </si>
  <si>
    <t>AMP</t>
  </si>
  <si>
    <t>amp-token</t>
  </si>
  <si>
    <t>Amp</t>
  </si>
  <si>
    <t>amp-wormhole</t>
  </si>
  <si>
    <t>Amp (Wormhole)</t>
  </si>
  <si>
    <t>amun-defi-index</t>
  </si>
  <si>
    <t>Amun DeFi Index</t>
  </si>
  <si>
    <t>AMY</t>
  </si>
  <si>
    <t>amy-finance</t>
  </si>
  <si>
    <t>Amy Finance</t>
  </si>
  <si>
    <t>amz-coin</t>
  </si>
  <si>
    <t>AMZ Coin</t>
  </si>
  <si>
    <t>ANATION</t>
  </si>
  <si>
    <t>a-nation</t>
  </si>
  <si>
    <t>A-Nation</t>
  </si>
  <si>
    <t>ANCT</t>
  </si>
  <si>
    <t>anchor</t>
  </si>
  <si>
    <t>Anchor</t>
  </si>
  <si>
    <t>BETH</t>
  </si>
  <si>
    <t>anchor-beth-token</t>
  </si>
  <si>
    <t>Anchor bETH Token</t>
  </si>
  <si>
    <t>ANW</t>
  </si>
  <si>
    <t>anchor-neural-world-token</t>
  </si>
  <si>
    <t>ANC</t>
  </si>
  <si>
    <t>anchor-protocol</t>
  </si>
  <si>
    <t>Anchor Protocol</t>
  </si>
  <si>
    <t>ANCHOR</t>
  </si>
  <si>
    <t>anchorswap</t>
  </si>
  <si>
    <t>AnchorSwap</t>
  </si>
  <si>
    <t>AUST</t>
  </si>
  <si>
    <t>anchorust</t>
  </si>
  <si>
    <t>AnchorUST</t>
  </si>
  <si>
    <t>DOM</t>
  </si>
  <si>
    <t>ancient-kingdom</t>
  </si>
  <si>
    <t>Ancient Kingdom</t>
  </si>
  <si>
    <t>ANCW</t>
  </si>
  <si>
    <t>ancient-warrior</t>
  </si>
  <si>
    <t>Ancient Warrior</t>
  </si>
  <si>
    <t>M31</t>
  </si>
  <si>
    <t>andromeda</t>
  </si>
  <si>
    <t>Andromeda</t>
  </si>
  <si>
    <t>ANDRO</t>
  </si>
  <si>
    <t>andronodes</t>
  </si>
  <si>
    <t>AndroNodes</t>
  </si>
  <si>
    <t>DEB</t>
  </si>
  <si>
    <t>anduschain</t>
  </si>
  <si>
    <t>Anduschain</t>
  </si>
  <si>
    <t>angelheart-token</t>
  </si>
  <si>
    <t>AngelHeart</t>
  </si>
  <si>
    <t>ANGEL</t>
  </si>
  <si>
    <t>angel-inu</t>
  </si>
  <si>
    <t>Angel Inu</t>
  </si>
  <si>
    <t>angel-nodes</t>
  </si>
  <si>
    <t>Angel Nodes</t>
  </si>
  <si>
    <t>HALO</t>
  </si>
  <si>
    <t>angel-protocol</t>
  </si>
  <si>
    <t>Angel Protocol</t>
  </si>
  <si>
    <t>angelscreed</t>
  </si>
  <si>
    <t>AngelsCreed</t>
  </si>
  <si>
    <t>ANGLE</t>
  </si>
  <si>
    <t>angle-protocol</t>
  </si>
  <si>
    <t>ANB</t>
  </si>
  <si>
    <t>angryb</t>
  </si>
  <si>
    <t>Angryb</t>
  </si>
  <si>
    <t>$AFLOKI</t>
  </si>
  <si>
    <t>angryfloki</t>
  </si>
  <si>
    <t>AngryFloki</t>
  </si>
  <si>
    <t>ANGL</t>
  </si>
  <si>
    <t>angular-finance</t>
  </si>
  <si>
    <t>Angular Finance</t>
  </si>
  <si>
    <t>ANML</t>
  </si>
  <si>
    <t>animal-concerts-token</t>
  </si>
  <si>
    <t>Animal Concerts</t>
  </si>
  <si>
    <t>ANIM</t>
  </si>
  <si>
    <t>animalia</t>
  </si>
  <si>
    <t>Animalia</t>
  </si>
  <si>
    <t>animal-tycoon</t>
  </si>
  <si>
    <t>Animal Tycoon</t>
  </si>
  <si>
    <t>ANI</t>
  </si>
  <si>
    <t>animecoin</t>
  </si>
  <si>
    <t>Animecoin</t>
  </si>
  <si>
    <t>anime-token</t>
  </si>
  <si>
    <t>ANIME</t>
  </si>
  <si>
    <t>anime-vault-nftx</t>
  </si>
  <si>
    <t>ANIME Vault (NFTX)</t>
  </si>
  <si>
    <t>ANM</t>
  </si>
  <si>
    <t>animverse</t>
  </si>
  <si>
    <t>Animverse</t>
  </si>
  <si>
    <t>LARO</t>
  </si>
  <si>
    <t>anito-legends</t>
  </si>
  <si>
    <t>Anito Legends</t>
  </si>
  <si>
    <t>ANV</t>
  </si>
  <si>
    <t>aniverse</t>
  </si>
  <si>
    <t>Aniverse</t>
  </si>
  <si>
    <t>ANJ</t>
  </si>
  <si>
    <t>anj</t>
  </si>
  <si>
    <t>Aragon Court</t>
  </si>
  <si>
    <t>ANJI</t>
  </si>
  <si>
    <t>anji</t>
  </si>
  <si>
    <t>Anji</t>
  </si>
  <si>
    <t>ANKA</t>
  </si>
  <si>
    <t>ankaragucu-fan-token</t>
  </si>
  <si>
    <t>Ankaragücü Fan Tokens</t>
  </si>
  <si>
    <t>ANKR</t>
  </si>
  <si>
    <t>ankr</t>
  </si>
  <si>
    <t>Ankr</t>
  </si>
  <si>
    <t>AAVAXB</t>
  </si>
  <si>
    <t>ankr-avalanche-reward-earning-bond</t>
  </si>
  <si>
    <t>Ankr Avalanche Reward Earning Bond</t>
  </si>
  <si>
    <t>AETHC</t>
  </si>
  <si>
    <t>ankreth</t>
  </si>
  <si>
    <t>Ankr Reward-Bearing Staked ETH</t>
  </si>
  <si>
    <t>ankr-network-wormhole</t>
  </si>
  <si>
    <t>Ankr Network (Wormhole)</t>
  </si>
  <si>
    <t>ABNBC</t>
  </si>
  <si>
    <t>ankr-reward-bearing-stake</t>
  </si>
  <si>
    <t>Ankr Reward Bearing Stake BNB</t>
  </si>
  <si>
    <t>ANN</t>
  </si>
  <si>
    <t>annex</t>
  </si>
  <si>
    <t>Annex Finance</t>
  </si>
  <si>
    <t>ANOM</t>
  </si>
  <si>
    <t>anomus-coin</t>
  </si>
  <si>
    <t>Anomus Coin</t>
  </si>
  <si>
    <t>ANON</t>
  </si>
  <si>
    <t>anon</t>
  </si>
  <si>
    <t>ANONFLOKI</t>
  </si>
  <si>
    <t>anonfloki</t>
  </si>
  <si>
    <t>AnonFloki</t>
  </si>
  <si>
    <t>anon-inu</t>
  </si>
  <si>
    <t>Anon Inu</t>
  </si>
  <si>
    <t>ANONS</t>
  </si>
  <si>
    <t>anons-network</t>
  </si>
  <si>
    <t>Anons Network</t>
  </si>
  <si>
    <t>anonverse</t>
  </si>
  <si>
    <t>Anonverse</t>
  </si>
  <si>
    <t>ADXX</t>
  </si>
  <si>
    <t>anonydoxx</t>
  </si>
  <si>
    <t>AnonyDoxx</t>
  </si>
  <si>
    <t>anonymous-bsc</t>
  </si>
  <si>
    <t>Anonymous BSC</t>
  </si>
  <si>
    <t>ANORTIS</t>
  </si>
  <si>
    <t>anortis</t>
  </si>
  <si>
    <t>Anortis</t>
  </si>
  <si>
    <t>ANPAN</t>
  </si>
  <si>
    <t>anpanswap-token</t>
  </si>
  <si>
    <t>AnpanSwap</t>
  </si>
  <si>
    <t>$ANRX</t>
  </si>
  <si>
    <t>anrkey-x</t>
  </si>
  <si>
    <t>AnRKey X</t>
  </si>
  <si>
    <t>ANS</t>
  </si>
  <si>
    <t>ans-crypto-coin</t>
  </si>
  <si>
    <t>ANS Crypto Coin</t>
  </si>
  <si>
    <t>ANSR</t>
  </si>
  <si>
    <t>answerly</t>
  </si>
  <si>
    <t>Answerly</t>
  </si>
  <si>
    <t>AKREP</t>
  </si>
  <si>
    <t>antalyaspor</t>
  </si>
  <si>
    <t>Antalyaspor</t>
  </si>
  <si>
    <t>ANTEX</t>
  </si>
  <si>
    <t>antex</t>
  </si>
  <si>
    <t>Antex</t>
  </si>
  <si>
    <t>ANTG</t>
  </si>
  <si>
    <t>antgold</t>
  </si>
  <si>
    <t>AntGold</t>
  </si>
  <si>
    <t>XAMP</t>
  </si>
  <si>
    <t>antiample</t>
  </si>
  <si>
    <t>Antiample</t>
  </si>
  <si>
    <t>MATTER</t>
  </si>
  <si>
    <t>antimatter</t>
  </si>
  <si>
    <t>AntiMatter</t>
  </si>
  <si>
    <t>ATMN</t>
  </si>
  <si>
    <t>antimony</t>
  </si>
  <si>
    <t>Antimony</t>
  </si>
  <si>
    <t>ANTIS</t>
  </si>
  <si>
    <t>antis-inu</t>
  </si>
  <si>
    <t>Antis Inu</t>
  </si>
  <si>
    <t>ANTR</t>
  </si>
  <si>
    <t>antra</t>
  </si>
  <si>
    <t>Antra</t>
  </si>
  <si>
    <t>ABLOCK</t>
  </si>
  <si>
    <t>any-blocknet</t>
  </si>
  <si>
    <t>ANY Blocknet</t>
  </si>
  <si>
    <t>anypad</t>
  </si>
  <si>
    <t>Anypad</t>
  </si>
  <si>
    <t>ANYP</t>
  </si>
  <si>
    <t>anyprinter</t>
  </si>
  <si>
    <t>AnyPrinter</t>
  </si>
  <si>
    <t>SNIPE</t>
  </si>
  <si>
    <t>anysniper</t>
  </si>
  <si>
    <t>AnySniper</t>
  </si>
  <si>
    <t>ANY</t>
  </si>
  <si>
    <t>anyswap</t>
  </si>
  <si>
    <t>Anyswap</t>
  </si>
  <si>
    <t>AOK</t>
  </si>
  <si>
    <t>aok</t>
  </si>
  <si>
    <t>A1A</t>
  </si>
  <si>
    <t>aonea-coin</t>
  </si>
  <si>
    <t>Aonea Coin</t>
  </si>
  <si>
    <t>AOS</t>
  </si>
  <si>
    <t>aos</t>
  </si>
  <si>
    <t>ape</t>
  </si>
  <si>
    <t>APEBOYS</t>
  </si>
  <si>
    <t>apeboys</t>
  </si>
  <si>
    <t>ApeBoys</t>
  </si>
  <si>
    <t>APEBUSD</t>
  </si>
  <si>
    <t>apebusd</t>
  </si>
  <si>
    <t>ApeBUSD</t>
  </si>
  <si>
    <t>apecoin</t>
  </si>
  <si>
    <t>apecoin-token</t>
  </si>
  <si>
    <t>APEcoin Token</t>
  </si>
  <si>
    <t>APEFUND</t>
  </si>
  <si>
    <t>apefund</t>
  </si>
  <si>
    <t>ApeFund</t>
  </si>
  <si>
    <t>AFT</t>
  </si>
  <si>
    <t>ape-fun-token</t>
  </si>
  <si>
    <t>Ape Fun</t>
  </si>
  <si>
    <t>APEIN</t>
  </si>
  <si>
    <t>ape-in</t>
  </si>
  <si>
    <t>Ape In</t>
  </si>
  <si>
    <t>ape_in_records</t>
  </si>
  <si>
    <t>Ape In Records</t>
  </si>
  <si>
    <t>JET</t>
  </si>
  <si>
    <t>apejet</t>
  </si>
  <si>
    <t>ApeJet</t>
  </si>
  <si>
    <t>apelab</t>
  </si>
  <si>
    <t>ApeLab</t>
  </si>
  <si>
    <t>NFT</t>
  </si>
  <si>
    <t>apenft</t>
  </si>
  <si>
    <t>APENFT</t>
  </si>
  <si>
    <t>APE$</t>
  </si>
  <si>
    <t>ape-punk</t>
  </si>
  <si>
    <t>APE Punk</t>
  </si>
  <si>
    <t>APES</t>
  </si>
  <si>
    <t>apes-token</t>
  </si>
  <si>
    <t>Apes</t>
  </si>
  <si>
    <t>BANANA</t>
  </si>
  <si>
    <t>apeswap-finance</t>
  </si>
  <si>
    <t>ApeSwap</t>
  </si>
  <si>
    <t>APET</t>
  </si>
  <si>
    <t>apetoken</t>
  </si>
  <si>
    <t>APEToken</t>
  </si>
  <si>
    <t>APEU</t>
  </si>
  <si>
    <t>ape-universe</t>
  </si>
  <si>
    <t>Ape Universe</t>
  </si>
  <si>
    <t>APE-X</t>
  </si>
  <si>
    <t>ape-x</t>
  </si>
  <si>
    <t>Ape-X</t>
  </si>
  <si>
    <t>APEX</t>
  </si>
  <si>
    <t>apex-army</t>
  </si>
  <si>
    <t>APEx Army</t>
  </si>
  <si>
    <t>apexit-finance</t>
  </si>
  <si>
    <t>ApeXit Finance</t>
  </si>
  <si>
    <t>apex-predator</t>
  </si>
  <si>
    <t>Apex Predator</t>
  </si>
  <si>
    <t>APXP</t>
  </si>
  <si>
    <t>apex-protocol</t>
  </si>
  <si>
    <t>APEX Protocol</t>
  </si>
  <si>
    <t>apex-token-2</t>
  </si>
  <si>
    <t>ApeX</t>
  </si>
  <si>
    <t>API3</t>
  </si>
  <si>
    <t>api3</t>
  </si>
  <si>
    <t>APIDAI</t>
  </si>
  <si>
    <t>apidai-network</t>
  </si>
  <si>
    <t>Apidai Network</t>
  </si>
  <si>
    <t>APISH</t>
  </si>
  <si>
    <t>apish-me</t>
  </si>
  <si>
    <t>Apish Me</t>
  </si>
  <si>
    <t>APIX</t>
  </si>
  <si>
    <t>apix</t>
  </si>
  <si>
    <t>APM</t>
  </si>
  <si>
    <t>apm-coin</t>
  </si>
  <si>
    <t>apM Coin</t>
  </si>
  <si>
    <t>APOC</t>
  </si>
  <si>
    <t>apocalypse</t>
  </si>
  <si>
    <t>Apocalypse</t>
  </si>
  <si>
    <t>APL</t>
  </si>
  <si>
    <t>apollo</t>
  </si>
  <si>
    <t>Apollo</t>
  </si>
  <si>
    <t>APX</t>
  </si>
  <si>
    <t>apollo-coin</t>
  </si>
  <si>
    <t>Apollo Coin</t>
  </si>
  <si>
    <t>APOLLO</t>
  </si>
  <si>
    <t>apollo-dao</t>
  </si>
  <si>
    <t>Apollo DAO</t>
  </si>
  <si>
    <t>apollo-inu</t>
  </si>
  <si>
    <t>Apollo Inu</t>
  </si>
  <si>
    <t>apollon-limassol</t>
  </si>
  <si>
    <t>Apollon Limassol Fan Token</t>
  </si>
  <si>
    <t>apollo-protocol</t>
  </si>
  <si>
    <t>Apollo Protocol</t>
  </si>
  <si>
    <t>apollox-2</t>
  </si>
  <si>
    <t>ApolloX</t>
  </si>
  <si>
    <t>SOUL</t>
  </si>
  <si>
    <t>apoyield</t>
  </si>
  <si>
    <t>APOyield</t>
  </si>
  <si>
    <t>app-alliance-association</t>
  </si>
  <si>
    <t>AAAchain</t>
  </si>
  <si>
    <t>APPC</t>
  </si>
  <si>
    <t>appcoins</t>
  </si>
  <si>
    <t>AppCoins</t>
  </si>
  <si>
    <t>appics</t>
  </si>
  <si>
    <t>Appics</t>
  </si>
  <si>
    <t>APPLE</t>
  </si>
  <si>
    <t>apple</t>
  </si>
  <si>
    <t>Apple</t>
  </si>
  <si>
    <t>apple-binemon</t>
  </si>
  <si>
    <t>Apple (Binemon)</t>
  </si>
  <si>
    <t>APLP</t>
  </si>
  <si>
    <t>apple-finance</t>
  </si>
  <si>
    <t>Apple Finance</t>
  </si>
  <si>
    <t>apple-fruit</t>
  </si>
  <si>
    <t>Apple Fruit</t>
  </si>
  <si>
    <t>AAPL</t>
  </si>
  <si>
    <t>apple-protocol-token</t>
  </si>
  <si>
    <t>appleswap</t>
  </si>
  <si>
    <t>AppleSwap</t>
  </si>
  <si>
    <t>DAAPL</t>
  </si>
  <si>
    <t>apple-tokenized-stock-defichain</t>
  </si>
  <si>
    <t>Apple Tokenized Stock Defichain</t>
  </si>
  <si>
    <t>APR</t>
  </si>
  <si>
    <t>apr-coin</t>
  </si>
  <si>
    <t>APR Coin</t>
  </si>
  <si>
    <t>APU</t>
  </si>
  <si>
    <t>apreum</t>
  </si>
  <si>
    <t>Apreum</t>
  </si>
  <si>
    <t>APT</t>
  </si>
  <si>
    <t>apricot</t>
  </si>
  <si>
    <t>Apricot</t>
  </si>
  <si>
    <t>APRIL</t>
  </si>
  <si>
    <t>april</t>
  </si>
  <si>
    <t>April</t>
  </si>
  <si>
    <t>APN</t>
  </si>
  <si>
    <t>apron</t>
  </si>
  <si>
    <t>Apron</t>
  </si>
  <si>
    <t>APW</t>
  </si>
  <si>
    <t>apwine</t>
  </si>
  <si>
    <t>APWine</t>
  </si>
  <si>
    <t>APY</t>
  </si>
  <si>
    <t>apy-finance</t>
  </si>
  <si>
    <t>APY.Finance</t>
  </si>
  <si>
    <t>APYS</t>
  </si>
  <si>
    <t>apyswap</t>
  </si>
  <si>
    <t>APYSwap</t>
  </si>
  <si>
    <t>VISION</t>
  </si>
  <si>
    <t>apy-vision</t>
  </si>
  <si>
    <t>APY.vision</t>
  </si>
  <si>
    <t>AQR</t>
  </si>
  <si>
    <t>aqar-chain</t>
  </si>
  <si>
    <t>Aqar Chain</t>
  </si>
  <si>
    <t>AQUA</t>
  </si>
  <si>
    <t>aquachain</t>
  </si>
  <si>
    <t>Aquachain</t>
  </si>
  <si>
    <t>AQUAGOAT</t>
  </si>
  <si>
    <t>aqua-goat</t>
  </si>
  <si>
    <t>Aqua Goat</t>
  </si>
  <si>
    <t>aquagoat-old</t>
  </si>
  <si>
    <t>AquaGoat (Old)</t>
  </si>
  <si>
    <t>AQUARI</t>
  </si>
  <si>
    <t>aquari</t>
  </si>
  <si>
    <t>Aquari</t>
  </si>
  <si>
    <t>aquarius</t>
  </si>
  <si>
    <t>Aquarius</t>
  </si>
  <si>
    <t>ARCO</t>
  </si>
  <si>
    <t>aquariuscoin</t>
  </si>
  <si>
    <t>AquariusCoin</t>
  </si>
  <si>
    <t>AQU</t>
  </si>
  <si>
    <t>aquarius-fi</t>
  </si>
  <si>
    <t>Aquarius.Fi</t>
  </si>
  <si>
    <t>ABIC</t>
  </si>
  <si>
    <t>arabic</t>
  </si>
  <si>
    <t>Arabic</t>
  </si>
  <si>
    <t>ACRE</t>
  </si>
  <si>
    <t>arable-protocol</t>
  </si>
  <si>
    <t>Arable Protocol</t>
  </si>
  <si>
    <t>AG</t>
  </si>
  <si>
    <t>aradenean-gold</t>
  </si>
  <si>
    <t>Aradenean Gold</t>
  </si>
  <si>
    <t>ANT</t>
  </si>
  <si>
    <t>aragon</t>
  </si>
  <si>
    <t>Aragon</t>
  </si>
  <si>
    <t>ARATA</t>
  </si>
  <si>
    <t>arata</t>
  </si>
  <si>
    <t>Arata</t>
  </si>
  <si>
    <t>ara-token</t>
  </si>
  <si>
    <t>Ara</t>
  </si>
  <si>
    <t>ARAW</t>
  </si>
  <si>
    <t>araw-token</t>
  </si>
  <si>
    <t>ABX</t>
  </si>
  <si>
    <t>arbidex</t>
  </si>
  <si>
    <t>Arbidex</t>
  </si>
  <si>
    <t>arbidoge</t>
  </si>
  <si>
    <t>ArbiDoge</t>
  </si>
  <si>
    <t>AFARM</t>
  </si>
  <si>
    <t>arbifarm</t>
  </si>
  <si>
    <t>ArbiFarm</t>
  </si>
  <si>
    <t>ARBIMATTER</t>
  </si>
  <si>
    <t>arbimatter</t>
  </si>
  <si>
    <t>ArbiMATTER</t>
  </si>
  <si>
    <t>NYAN</t>
  </si>
  <si>
    <t>arbinyan</t>
  </si>
  <si>
    <t>ArbiNYAN</t>
  </si>
  <si>
    <t>ARF</t>
  </si>
  <si>
    <t>arbirise-finance</t>
  </si>
  <si>
    <t>ArbiRiseFinance</t>
  </si>
  <si>
    <t>ARBIS</t>
  </si>
  <si>
    <t>arbis-finance</t>
  </si>
  <si>
    <t>Arbis Finance</t>
  </si>
  <si>
    <t>RBIS</t>
  </si>
  <si>
    <t>arbismart-token</t>
  </si>
  <si>
    <t>ArbiSmart</t>
  </si>
  <si>
    <t>ARBX</t>
  </si>
  <si>
    <t>arbix-finance</t>
  </si>
  <si>
    <t>Arbix Finance</t>
  </si>
  <si>
    <t>BUCK</t>
  </si>
  <si>
    <t>arbucks</t>
  </si>
  <si>
    <t>Arbucks</t>
  </si>
  <si>
    <t>ARBYS</t>
  </si>
  <si>
    <t>arbys</t>
  </si>
  <si>
    <t>Arbys</t>
  </si>
  <si>
    <t>ARC</t>
  </si>
  <si>
    <t>arc</t>
  </si>
  <si>
    <t>Arc</t>
  </si>
  <si>
    <t>arcade</t>
  </si>
  <si>
    <t>Arcade</t>
  </si>
  <si>
    <t>arcadenetwork</t>
  </si>
  <si>
    <t>ArcadeNetwork</t>
  </si>
  <si>
    <t>ARD</t>
  </si>
  <si>
    <t>arcader</t>
  </si>
  <si>
    <t>Arcader</t>
  </si>
  <si>
    <t>ARCADE</t>
  </si>
  <si>
    <t>arcadetoken</t>
  </si>
  <si>
    <t>ArcadeToken</t>
  </si>
  <si>
    <t>ARCA</t>
  </si>
  <si>
    <t>arcana</t>
  </si>
  <si>
    <t>Arcana</t>
  </si>
  <si>
    <t>XAR</t>
  </si>
  <si>
    <t>arcana-token</t>
  </si>
  <si>
    <t>Arcana Network</t>
  </si>
  <si>
    <t>ARCANE</t>
  </si>
  <si>
    <t>ARCANELEAGUE</t>
  </si>
  <si>
    <t>arcaneleague</t>
  </si>
  <si>
    <t>ArcaneLeague</t>
  </si>
  <si>
    <t>arcane-token</t>
  </si>
  <si>
    <t>Arcane Token</t>
  </si>
  <si>
    <t>ABT</t>
  </si>
  <si>
    <t>arcblock</t>
  </si>
  <si>
    <t>Arcblock</t>
  </si>
  <si>
    <t>ARCX</t>
  </si>
  <si>
    <t>arc-governance</t>
  </si>
  <si>
    <t>ARC Governance</t>
  </si>
  <si>
    <t>ARCHA</t>
  </si>
  <si>
    <t>archangel-token</t>
  </si>
  <si>
    <t>ArchAngel</t>
  </si>
  <si>
    <t>ARCH</t>
  </si>
  <si>
    <t>archer-dao-governance-token</t>
  </si>
  <si>
    <t>UCO</t>
  </si>
  <si>
    <t>archethic</t>
  </si>
  <si>
    <t>Archethic</t>
  </si>
  <si>
    <t>ACTP</t>
  </si>
  <si>
    <t>archetypal-network</t>
  </si>
  <si>
    <t>Archetypal Network</t>
  </si>
  <si>
    <t>ARCONA</t>
  </si>
  <si>
    <t>arcona</t>
  </si>
  <si>
    <t>Arcona</t>
  </si>
  <si>
    <t>ARX</t>
  </si>
  <si>
    <t>arcs</t>
  </si>
  <si>
    <t>ARCS</t>
  </si>
  <si>
    <t>arcticcoin</t>
  </si>
  <si>
    <t>Advanced Technology Coin</t>
  </si>
  <si>
    <t>AURORA</t>
  </si>
  <si>
    <t>arctic-finance</t>
  </si>
  <si>
    <t>Arctic Finance</t>
  </si>
  <si>
    <t>arc-token</t>
  </si>
  <si>
    <t>Arc Protocol</t>
  </si>
  <si>
    <t>DANA</t>
  </si>
  <si>
    <t>ardana</t>
  </si>
  <si>
    <t>Ardana</t>
  </si>
  <si>
    <t>ARDX</t>
  </si>
  <si>
    <t>ardcoin</t>
  </si>
  <si>
    <t>ArdCoin</t>
  </si>
  <si>
    <t>ARDR</t>
  </si>
  <si>
    <t>ardor</t>
  </si>
  <si>
    <t>Ardor</t>
  </si>
  <si>
    <t>ARENA</t>
  </si>
  <si>
    <t>arena-token</t>
  </si>
  <si>
    <t>ArenaSwap</t>
  </si>
  <si>
    <t>AVERSE</t>
  </si>
  <si>
    <t>arenaverse</t>
  </si>
  <si>
    <t>Arenaverse</t>
  </si>
  <si>
    <t>ARN</t>
  </si>
  <si>
    <t>arenum</t>
  </si>
  <si>
    <t>Arenum</t>
  </si>
  <si>
    <t>ARES</t>
  </si>
  <si>
    <t>ares-protocol</t>
  </si>
  <si>
    <t>Ares Protocol</t>
  </si>
  <si>
    <t>ARG</t>
  </si>
  <si>
    <t>argentine-football-association-fan-token</t>
  </si>
  <si>
    <t>Argentine Football Association Fan Token</t>
  </si>
  <si>
    <t>ARGO</t>
  </si>
  <si>
    <t>argo</t>
  </si>
  <si>
    <t>ArGoApp</t>
  </si>
  <si>
    <t>argo-2</t>
  </si>
  <si>
    <t>Argo</t>
  </si>
  <si>
    <t>argo-finance</t>
  </si>
  <si>
    <t>Argo Finance</t>
  </si>
  <si>
    <t>ARGON</t>
  </si>
  <si>
    <t>argon</t>
  </si>
  <si>
    <t>Argon</t>
  </si>
  <si>
    <t>argonon-helium</t>
  </si>
  <si>
    <t>Argonon Helium</t>
  </si>
  <si>
    <t>ARI10</t>
  </si>
  <si>
    <t>ari10</t>
  </si>
  <si>
    <t>Ari10</t>
  </si>
  <si>
    <t>RIA</t>
  </si>
  <si>
    <t>aria-currency</t>
  </si>
  <si>
    <t>aRIA Currency</t>
  </si>
  <si>
    <t>ARDN</t>
  </si>
  <si>
    <t>ariadne</t>
  </si>
  <si>
    <t>Ariadne</t>
  </si>
  <si>
    <t>ARIA20</t>
  </si>
  <si>
    <t>arianee</t>
  </si>
  <si>
    <t>Arianee</t>
  </si>
  <si>
    <t>AFIB</t>
  </si>
  <si>
    <t>aries-financial-token</t>
  </si>
  <si>
    <t>Aries Financial</t>
  </si>
  <si>
    <t>ARION</t>
  </si>
  <si>
    <t>arion</t>
  </si>
  <si>
    <t>Arion</t>
  </si>
  <si>
    <t>ARO</t>
  </si>
  <si>
    <t>arionum</t>
  </si>
  <si>
    <t>Arionum</t>
  </si>
  <si>
    <t>ARI</t>
  </si>
  <si>
    <t>ari-swap</t>
  </si>
  <si>
    <t>Ari Swap</t>
  </si>
  <si>
    <t>ARV</t>
  </si>
  <si>
    <t>ariva</t>
  </si>
  <si>
    <t>Ariva</t>
  </si>
  <si>
    <t>ARIX</t>
  </si>
  <si>
    <t>arix</t>
  </si>
  <si>
    <t>Arix</t>
  </si>
  <si>
    <t>ARZ</t>
  </si>
  <si>
    <t>arize</t>
  </si>
  <si>
    <t>ARize</t>
  </si>
  <si>
    <t>ARK</t>
  </si>
  <si>
    <t>ark</t>
  </si>
  <si>
    <t>Ark</t>
  </si>
  <si>
    <t>DIKO</t>
  </si>
  <si>
    <t>arkadiko-protocol</t>
  </si>
  <si>
    <t>Arkadiko</t>
  </si>
  <si>
    <t>ANIA</t>
  </si>
  <si>
    <t>arkania-protocol</t>
  </si>
  <si>
    <t>Arkania Protocol</t>
  </si>
  <si>
    <t>AKS</t>
  </si>
  <si>
    <t>arkarus</t>
  </si>
  <si>
    <t>Arkarus</t>
  </si>
  <si>
    <t>ARKER</t>
  </si>
  <si>
    <t>arker-2</t>
  </si>
  <si>
    <t>Arker</t>
  </si>
  <si>
    <t>DARKK</t>
  </si>
  <si>
    <t>ark-innovation-etf-defichain</t>
  </si>
  <si>
    <t>ARK Innovation ETF Defichain</t>
  </si>
  <si>
    <t>ARKS</t>
  </si>
  <si>
    <t>ark-of-the-universe</t>
  </si>
  <si>
    <t>Ark Of The Universe</t>
  </si>
  <si>
    <t>ARKN</t>
  </si>
  <si>
    <t>ark-rivals</t>
  </si>
  <si>
    <t>Ark Rivals</t>
  </si>
  <si>
    <t>GZM</t>
  </si>
  <si>
    <t>armacoin</t>
  </si>
  <si>
    <t>Armacoin</t>
  </si>
  <si>
    <t>ARMD</t>
  </si>
  <si>
    <t>armada</t>
  </si>
  <si>
    <t>Armada</t>
  </si>
  <si>
    <t>ARMOR</t>
  </si>
  <si>
    <t>armor</t>
  </si>
  <si>
    <t>ARNXM</t>
  </si>
  <si>
    <t>armor-nxm</t>
  </si>
  <si>
    <t>Armor NXM</t>
  </si>
  <si>
    <t>ARMY</t>
  </si>
  <si>
    <t>army-node-finance</t>
  </si>
  <si>
    <t>Army Node Finance</t>
  </si>
  <si>
    <t>ART</t>
  </si>
  <si>
    <t>around-network</t>
  </si>
  <si>
    <t>Around Network</t>
  </si>
  <si>
    <t>ARW</t>
  </si>
  <si>
    <t>arowana-token</t>
  </si>
  <si>
    <t>Arowana</t>
  </si>
  <si>
    <t>ARPA</t>
  </si>
  <si>
    <t>arpa-chain</t>
  </si>
  <si>
    <t>ARPA Chain</t>
  </si>
  <si>
    <t>ARQ</t>
  </si>
  <si>
    <t>arqma</t>
  </si>
  <si>
    <t>ArQmA</t>
  </si>
  <si>
    <t>ARRB</t>
  </si>
  <si>
    <t>arrb-token</t>
  </si>
  <si>
    <t>Arrb</t>
  </si>
  <si>
    <t>arrow</t>
  </si>
  <si>
    <t>Arrow</t>
  </si>
  <si>
    <t>AFC</t>
  </si>
  <si>
    <t>arsenal-fan-token</t>
  </si>
  <si>
    <t>Arsenal Fan Token</t>
  </si>
  <si>
    <t>XAX</t>
  </si>
  <si>
    <t>artax</t>
  </si>
  <si>
    <t>ARTAX</t>
  </si>
  <si>
    <t>ABY</t>
  </si>
  <si>
    <t>artbyte</t>
  </si>
  <si>
    <t>ArtByte</t>
  </si>
  <si>
    <t>ARTE</t>
  </si>
  <si>
    <t>arte</t>
  </si>
  <si>
    <t>ARTEM</t>
  </si>
  <si>
    <t>artem</t>
  </si>
  <si>
    <t>Artem</t>
  </si>
  <si>
    <t>MIS</t>
  </si>
  <si>
    <t>artemis</t>
  </si>
  <si>
    <t>Artemis</t>
  </si>
  <si>
    <t>artemis-vision</t>
  </si>
  <si>
    <t>Artemis Vision</t>
  </si>
  <si>
    <t>ARTEQ</t>
  </si>
  <si>
    <t>arteq-nft-investment-fund</t>
  </si>
  <si>
    <t>artèQ NFT Investment Fund</t>
  </si>
  <si>
    <t>ARTR</t>
  </si>
  <si>
    <t>artery</t>
  </si>
  <si>
    <t>Artery</t>
  </si>
  <si>
    <t>ARTEX</t>
  </si>
  <si>
    <t>artex</t>
  </si>
  <si>
    <t>Artex</t>
  </si>
  <si>
    <t>artfinity-token</t>
  </si>
  <si>
    <t>ARTH</t>
  </si>
  <si>
    <t>arth</t>
  </si>
  <si>
    <t>arth-valuecoin</t>
  </si>
  <si>
    <t>ARTH Valuecoin</t>
  </si>
  <si>
    <t>ARTIC</t>
  </si>
  <si>
    <t>artic-foundation</t>
  </si>
  <si>
    <t>ARTIC Foundation</t>
  </si>
  <si>
    <t>ATC</t>
  </si>
  <si>
    <t>articoin</t>
  </si>
  <si>
    <t>ArtiCoin</t>
  </si>
  <si>
    <t>AI</t>
  </si>
  <si>
    <t>artificial-intelligence</t>
  </si>
  <si>
    <t>Artificial Intelligence</t>
  </si>
  <si>
    <t>ARTII</t>
  </si>
  <si>
    <t>artii-token</t>
  </si>
  <si>
    <t>ARTK</t>
  </si>
  <si>
    <t>artik</t>
  </si>
  <si>
    <t>Artik</t>
  </si>
  <si>
    <t>ARTI</t>
  </si>
  <si>
    <t>arti-project</t>
  </si>
  <si>
    <t>Arti Project</t>
  </si>
  <si>
    <t>artkit</t>
  </si>
  <si>
    <t>ArtKit</t>
  </si>
  <si>
    <t>ARTL</t>
  </si>
  <si>
    <t>artl</t>
  </si>
  <si>
    <t>ARTM</t>
  </si>
  <si>
    <t>artm</t>
  </si>
  <si>
    <t>$MART</t>
  </si>
  <si>
    <t>artmeta</t>
  </si>
  <si>
    <t>ArtMeta</t>
  </si>
  <si>
    <t>artonline</t>
  </si>
  <si>
    <t>ArtOnline</t>
  </si>
  <si>
    <t>ATR</t>
  </si>
  <si>
    <t>artrade</t>
  </si>
  <si>
    <t>Artrade</t>
  </si>
  <si>
    <t>ARTRINO</t>
  </si>
  <si>
    <t>art-rino</t>
  </si>
  <si>
    <t>Art Rino</t>
  </si>
  <si>
    <t>ATT</t>
  </si>
  <si>
    <t>artube</t>
  </si>
  <si>
    <t>Artube</t>
  </si>
  <si>
    <t>AVT</t>
  </si>
  <si>
    <t>artverse-token</t>
  </si>
  <si>
    <t>Artverse</t>
  </si>
  <si>
    <t>ANFT</t>
  </si>
  <si>
    <t>artwork-nft</t>
  </si>
  <si>
    <t>Artwork NFT</t>
  </si>
  <si>
    <t>ARTX</t>
  </si>
  <si>
    <t>artx</t>
  </si>
  <si>
    <t>AR</t>
  </si>
  <si>
    <t>arweave</t>
  </si>
  <si>
    <t>Arweave</t>
  </si>
  <si>
    <t>AYA</t>
  </si>
  <si>
    <t>aryacoin</t>
  </si>
  <si>
    <t>Aryacoin</t>
  </si>
  <si>
    <t>ARYA</t>
  </si>
  <si>
    <t>arya-finance</t>
  </si>
  <si>
    <t>Arya Finance</t>
  </si>
  <si>
    <t>ascend</t>
  </si>
  <si>
    <t>Ascend</t>
  </si>
  <si>
    <t>ASND</t>
  </si>
  <si>
    <t>ascend-node-club</t>
  </si>
  <si>
    <t>Ascend Node Club</t>
  </si>
  <si>
    <t>ASN</t>
  </si>
  <si>
    <t>ascension</t>
  </si>
  <si>
    <t>Ascension</t>
  </si>
  <si>
    <t>ASCEND</t>
  </si>
  <si>
    <t>ascension-protocol</t>
  </si>
  <si>
    <t>Ascension Protocol</t>
  </si>
  <si>
    <t>ASP</t>
  </si>
  <si>
    <t>ascentpad</t>
  </si>
  <si>
    <t>AscentPad</t>
  </si>
  <si>
    <t>XAS</t>
  </si>
  <si>
    <t>asch</t>
  </si>
  <si>
    <t>Asch</t>
  </si>
  <si>
    <t>ASD</t>
  </si>
  <si>
    <t>asd</t>
  </si>
  <si>
    <t>AscendEx Token</t>
  </si>
  <si>
    <t>ASEC</t>
  </si>
  <si>
    <t>asec-frontier</t>
  </si>
  <si>
    <t>ASEC Frontier</t>
  </si>
  <si>
    <t>ASGARD</t>
  </si>
  <si>
    <t>asgard-dao</t>
  </si>
  <si>
    <t>Asgard DAO</t>
  </si>
  <si>
    <t>ASGARDV2</t>
  </si>
  <si>
    <t>asgard-dao-v2</t>
  </si>
  <si>
    <t>Asgard DAO V2</t>
  </si>
  <si>
    <t>VOLT</t>
  </si>
  <si>
    <t>asgardian-aereus</t>
  </si>
  <si>
    <t>Asgardian Aereus</t>
  </si>
  <si>
    <t>ash</t>
  </si>
  <si>
    <t>ASHARE</t>
  </si>
  <si>
    <t>ashare</t>
  </si>
  <si>
    <t>ashera</t>
  </si>
  <si>
    <t>Ashera</t>
  </si>
  <si>
    <t>ash-token</t>
  </si>
  <si>
    <t>Ash Token</t>
  </si>
  <si>
    <t>ASIA</t>
  </si>
  <si>
    <t>asia-coin</t>
  </si>
  <si>
    <t>Asia Coin</t>
  </si>
  <si>
    <t>APECOIN</t>
  </si>
  <si>
    <t>asia-pacific-electronic-coin</t>
  </si>
  <si>
    <t>Asia Pacific Electronic Coin</t>
  </si>
  <si>
    <t>ASIMI</t>
  </si>
  <si>
    <t>asimi</t>
  </si>
  <si>
    <t>ASIX</t>
  </si>
  <si>
    <t>asix</t>
  </si>
  <si>
    <t>ASIX+</t>
  </si>
  <si>
    <t>asixplus</t>
  </si>
  <si>
    <t>AsixPlus</t>
  </si>
  <si>
    <t>ask-me-anything</t>
  </si>
  <si>
    <t>Ask Me Anything</t>
  </si>
  <si>
    <t>ASKO</t>
  </si>
  <si>
    <t>askobar-network</t>
  </si>
  <si>
    <t>Asko</t>
  </si>
  <si>
    <t>ASM</t>
  </si>
  <si>
    <t>as-monaco-fan-token</t>
  </si>
  <si>
    <t>AS Monaco Fan Token</t>
  </si>
  <si>
    <t>aspire</t>
  </si>
  <si>
    <t>Aspire</t>
  </si>
  <si>
    <t>ASPO</t>
  </si>
  <si>
    <t>aspo-world</t>
  </si>
  <si>
    <t>ASPO World</t>
  </si>
  <si>
    <t>ASR</t>
  </si>
  <si>
    <t>as-roma-fan-token</t>
  </si>
  <si>
    <t>AS Roma Fan Token</t>
  </si>
  <si>
    <t>JUSTICE</t>
  </si>
  <si>
    <t>assangedao</t>
  </si>
  <si>
    <t>AssangeDAO</t>
  </si>
  <si>
    <t>ASSA</t>
  </si>
  <si>
    <t>assaplay</t>
  </si>
  <si>
    <t>AssaPlay</t>
  </si>
  <si>
    <t>assara</t>
  </si>
  <si>
    <t>ASSARA</t>
  </si>
  <si>
    <t>assemble-protocol</t>
  </si>
  <si>
    <t>Assemble Protocol</t>
  </si>
  <si>
    <t>ASNT</t>
  </si>
  <si>
    <t>assent-protocol</t>
  </si>
  <si>
    <t>Assent Protocol</t>
  </si>
  <si>
    <t>ABP</t>
  </si>
  <si>
    <t>asset-backed-protocol</t>
  </si>
  <si>
    <t>Asset Backed Protocol</t>
  </si>
  <si>
    <t>MNTL</t>
  </si>
  <si>
    <t>assetmantle</t>
  </si>
  <si>
    <t>AssetMantle</t>
  </si>
  <si>
    <t>ASTA</t>
  </si>
  <si>
    <t>asta</t>
  </si>
  <si>
    <t>ASTR</t>
  </si>
  <si>
    <t>astar</t>
  </si>
  <si>
    <t>Astar</t>
  </si>
  <si>
    <t>aster</t>
  </si>
  <si>
    <t>Aster</t>
  </si>
  <si>
    <t>ast-finance</t>
  </si>
  <si>
    <t>AST.finance</t>
  </si>
  <si>
    <t>aston-martin-cognizant-fan-token</t>
  </si>
  <si>
    <t>Aston Martin Cognizant Fan Token</t>
  </si>
  <si>
    <t>AVL</t>
  </si>
  <si>
    <t>aston-villa-fan-token</t>
  </si>
  <si>
    <t>Aston Villa Fan Token</t>
  </si>
  <si>
    <t>AGV</t>
  </si>
  <si>
    <t>astra-guild-ventures</t>
  </si>
  <si>
    <t>Astra Guild Ventures</t>
  </si>
  <si>
    <t>ASTRAL</t>
  </si>
  <si>
    <t>astral-farm</t>
  </si>
  <si>
    <t>Astral Farm</t>
  </si>
  <si>
    <t>STAR</t>
  </si>
  <si>
    <t>astralis</t>
  </si>
  <si>
    <t>Astralis</t>
  </si>
  <si>
    <t>GLXY</t>
  </si>
  <si>
    <t>astrals-glxy</t>
  </si>
  <si>
    <t>Astrals GLXY</t>
  </si>
  <si>
    <t>ASTRA</t>
  </si>
  <si>
    <t>astrapad</t>
  </si>
  <si>
    <t>AstraPad</t>
  </si>
  <si>
    <t>$ASTR</t>
  </si>
  <si>
    <t>astra-protocol-2</t>
  </si>
  <si>
    <t>Astra Protocol</t>
  </si>
  <si>
    <t>ABZ</t>
  </si>
  <si>
    <t>astrobirdz</t>
  </si>
  <si>
    <t>AstroBirdz</t>
  </si>
  <si>
    <t>DNKY</t>
  </si>
  <si>
    <t>astrodonkey</t>
  </si>
  <si>
    <t>AstroDonkey</t>
  </si>
  <si>
    <t>ELONONE</t>
  </si>
  <si>
    <t>astroelon</t>
  </si>
  <si>
    <t>AstroElon</t>
  </si>
  <si>
    <t>AK</t>
  </si>
  <si>
    <t>astrokitty</t>
  </si>
  <si>
    <t>Astrokitties</t>
  </si>
  <si>
    <t>NAUT</t>
  </si>
  <si>
    <t>astronaut</t>
  </si>
  <si>
    <t>Astronaut</t>
  </si>
  <si>
    <t>astronodes</t>
  </si>
  <si>
    <t>AstroNodes</t>
  </si>
  <si>
    <t>astroport</t>
  </si>
  <si>
    <t>ASA</t>
  </si>
  <si>
    <t>astrosanta</t>
  </si>
  <si>
    <t>AstroSanta</t>
  </si>
  <si>
    <t>SPACES</t>
  </si>
  <si>
    <t>astrospaces-io</t>
  </si>
  <si>
    <t>AstroSpaces.io</t>
  </si>
  <si>
    <t>astroswap</t>
  </si>
  <si>
    <t>AstroSwap</t>
  </si>
  <si>
    <t>astrotools</t>
  </si>
  <si>
    <t>AstroTools</t>
  </si>
  <si>
    <t>ASV</t>
  </si>
  <si>
    <t>astro-verse</t>
  </si>
  <si>
    <t>Astro Verse</t>
  </si>
  <si>
    <t>AWAR</t>
  </si>
  <si>
    <t>astrowar</t>
  </si>
  <si>
    <t>Astrowar</t>
  </si>
  <si>
    <t>ASUNAINU</t>
  </si>
  <si>
    <t>asuna-inu</t>
  </si>
  <si>
    <t>Asuna Inu</t>
  </si>
  <si>
    <t>ASVA</t>
  </si>
  <si>
    <t>asva</t>
  </si>
  <si>
    <t>Asva Labs</t>
  </si>
  <si>
    <t>ASC</t>
  </si>
  <si>
    <t>asward-coin</t>
  </si>
  <si>
    <t>Ashward Coin</t>
  </si>
  <si>
    <t>ASY</t>
  </si>
  <si>
    <t>asyagro</t>
  </si>
  <si>
    <t>ASYAGRO</t>
  </si>
  <si>
    <t>ATRI</t>
  </si>
  <si>
    <t>atari</t>
  </si>
  <si>
    <t>Atari</t>
  </si>
  <si>
    <t>atauro</t>
  </si>
  <si>
    <t>Atauro</t>
  </si>
  <si>
    <t>ATB</t>
  </si>
  <si>
    <t>atbcoin</t>
  </si>
  <si>
    <t>ATBCoin</t>
  </si>
  <si>
    <t>at-finance</t>
  </si>
  <si>
    <t>AT Finance</t>
  </si>
  <si>
    <t>atheios</t>
  </si>
  <si>
    <t>Atheios</t>
  </si>
  <si>
    <t>athena-money</t>
  </si>
  <si>
    <t>Athena Money</t>
  </si>
  <si>
    <t>OWL</t>
  </si>
  <si>
    <t>athena-money-owl</t>
  </si>
  <si>
    <t>Athena Money Owl</t>
  </si>
  <si>
    <t>ATHENASV2</t>
  </si>
  <si>
    <t>athenas</t>
  </si>
  <si>
    <t>Athenas</t>
  </si>
  <si>
    <t>AEM</t>
  </si>
  <si>
    <t>atheneum</t>
  </si>
  <si>
    <t>Atheneum</t>
  </si>
  <si>
    <t>athens</t>
  </si>
  <si>
    <t>Athens</t>
  </si>
  <si>
    <t>ATHD</t>
  </si>
  <si>
    <t>ath-games</t>
  </si>
  <si>
    <t>ATH Games</t>
  </si>
  <si>
    <t>AX</t>
  </si>
  <si>
    <t>athletex</t>
  </si>
  <si>
    <t>AthleteX</t>
  </si>
  <si>
    <t>ATLAS</t>
  </si>
  <si>
    <t>atlantis</t>
  </si>
  <si>
    <t>Atlantis</t>
  </si>
  <si>
    <t>ATLS</t>
  </si>
  <si>
    <t>atlantis-finance</t>
  </si>
  <si>
    <t>Atlantis Finance</t>
  </si>
  <si>
    <t>ATL</t>
  </si>
  <si>
    <t>atlantis-loans</t>
  </si>
  <si>
    <t>Atlantis Loans</t>
  </si>
  <si>
    <t>ATLX</t>
  </si>
  <si>
    <t>atlantis-loans-polygon</t>
  </si>
  <si>
    <t>Atlantis Loans Polygon</t>
  </si>
  <si>
    <t>TAU</t>
  </si>
  <si>
    <t>atlantis-metaverse</t>
  </si>
  <si>
    <t>Atlantis Metaverse</t>
  </si>
  <si>
    <t>ATIS</t>
  </si>
  <si>
    <t>atlantis-token</t>
  </si>
  <si>
    <t>AUM</t>
  </si>
  <si>
    <t>atlantis-universe-money</t>
  </si>
  <si>
    <t>Atlantis Universe Money</t>
  </si>
  <si>
    <t>atlas-cloud</t>
  </si>
  <si>
    <t>Atlas Cloud</t>
  </si>
  <si>
    <t>ATS</t>
  </si>
  <si>
    <t>atlas-dex</t>
  </si>
  <si>
    <t>Atlas DEX</t>
  </si>
  <si>
    <t>atlas-protocol</t>
  </si>
  <si>
    <t>Atlas Protocol</t>
  </si>
  <si>
    <t>USV</t>
  </si>
  <si>
    <t>atlas-usv</t>
  </si>
  <si>
    <t>Atlas USV</t>
  </si>
  <si>
    <t>ATM</t>
  </si>
  <si>
    <t>atletico-madrid</t>
  </si>
  <si>
    <t>Atletico Madrid Fan Token</t>
  </si>
  <si>
    <t>ATLO</t>
  </si>
  <si>
    <t>atlo</t>
  </si>
  <si>
    <t>Atlo</t>
  </si>
  <si>
    <t>ATMOS</t>
  </si>
  <si>
    <t>atmos</t>
  </si>
  <si>
    <t>Atmos</t>
  </si>
  <si>
    <t>ATN</t>
  </si>
  <si>
    <t>atn</t>
  </si>
  <si>
    <t>AWC</t>
  </si>
  <si>
    <t>atomic-wallet-coin</t>
  </si>
  <si>
    <t>Atomic Wallet Coin</t>
  </si>
  <si>
    <t>ATPAD</t>
  </si>
  <si>
    <t>atompad</t>
  </si>
  <si>
    <t>AtomPad</t>
  </si>
  <si>
    <t>PINE</t>
  </si>
  <si>
    <t>atrollcity</t>
  </si>
  <si>
    <t>Atrollcity</t>
  </si>
  <si>
    <t>AG8</t>
  </si>
  <si>
    <t>atromg8</t>
  </si>
  <si>
    <t>ATROMG8</t>
  </si>
  <si>
    <t>ATK</t>
  </si>
  <si>
    <t>attack-wagon</t>
  </si>
  <si>
    <t>Attack Wagon</t>
  </si>
  <si>
    <t>attila</t>
  </si>
  <si>
    <t>Attila</t>
  </si>
  <si>
    <t>attlas-token</t>
  </si>
  <si>
    <t>Attlas</t>
  </si>
  <si>
    <t>ATTN</t>
  </si>
  <si>
    <t>attn</t>
  </si>
  <si>
    <t>ATTR</t>
  </si>
  <si>
    <t>attrace</t>
  </si>
  <si>
    <t>Attrace</t>
  </si>
  <si>
    <t>AUCTION</t>
  </si>
  <si>
    <t>auction</t>
  </si>
  <si>
    <t>Bounce</t>
  </si>
  <si>
    <t>auctus</t>
  </si>
  <si>
    <t>Auctus</t>
  </si>
  <si>
    <t>AUDAX</t>
  </si>
  <si>
    <t>audax</t>
  </si>
  <si>
    <t>Audax</t>
  </si>
  <si>
    <t>ADC</t>
  </si>
  <si>
    <t>audiocoin</t>
  </si>
  <si>
    <t>AudioCoin</t>
  </si>
  <si>
    <t>AUDT</t>
  </si>
  <si>
    <t>auditchain</t>
  </si>
  <si>
    <t>Auditchain</t>
  </si>
  <si>
    <t>AUDIO</t>
  </si>
  <si>
    <t>audius</t>
  </si>
  <si>
    <t>Audius</t>
  </si>
  <si>
    <t>audius-wormhole</t>
  </si>
  <si>
    <t>Audius (Wormhole)</t>
  </si>
  <si>
    <t>AGF</t>
  </si>
  <si>
    <t>augmented-finance</t>
  </si>
  <si>
    <t>Augmented Finance</t>
  </si>
  <si>
    <t>REP</t>
  </si>
  <si>
    <t>augur</t>
  </si>
  <si>
    <t>Augur</t>
  </si>
  <si>
    <t>OMEN</t>
  </si>
  <si>
    <t>augury-finance</t>
  </si>
  <si>
    <t>Augury Finance</t>
  </si>
  <si>
    <t>AUNIT</t>
  </si>
  <si>
    <t>aunit</t>
  </si>
  <si>
    <t>Aunit</t>
  </si>
  <si>
    <t>AUR</t>
  </si>
  <si>
    <t>aureo</t>
  </si>
  <si>
    <t>AUREO</t>
  </si>
  <si>
    <t>ANG</t>
  </si>
  <si>
    <t>aureus-nummus-gold</t>
  </si>
  <si>
    <t>Aureus Nummus Gold</t>
  </si>
  <si>
    <t>AUREUSRH</t>
  </si>
  <si>
    <t>aureus-token</t>
  </si>
  <si>
    <t>Aureus</t>
  </si>
  <si>
    <t>AUSCM</t>
  </si>
  <si>
    <t>auric-network</t>
  </si>
  <si>
    <t>Auric Network</t>
  </si>
  <si>
    <t>PLY</t>
  </si>
  <si>
    <t>aurigami</t>
  </si>
  <si>
    <t>Aurigami</t>
  </si>
  <si>
    <t>aurix</t>
  </si>
  <si>
    <t>Aurix</t>
  </si>
  <si>
    <t>AOA</t>
  </si>
  <si>
    <t>aurora</t>
  </si>
  <si>
    <t>Aurora Chain</t>
  </si>
  <si>
    <t>auroracoin</t>
  </si>
  <si>
    <t>Auroracoin</t>
  </si>
  <si>
    <t>IDEX</t>
  </si>
  <si>
    <t>aurora-dao</t>
  </si>
  <si>
    <t>AURA</t>
  </si>
  <si>
    <t>aurora-finance</t>
  </si>
  <si>
    <t>Aurora Finance</t>
  </si>
  <si>
    <t>aurora-near</t>
  </si>
  <si>
    <t>Aurora</t>
  </si>
  <si>
    <t>ASHIBAM</t>
  </si>
  <si>
    <t>aurorashibamoon</t>
  </si>
  <si>
    <t>AuroraShibaMoon</t>
  </si>
  <si>
    <t>auroratoken</t>
  </si>
  <si>
    <t>AuroraToken</t>
  </si>
  <si>
    <t>$ADTX</t>
  </si>
  <si>
    <t>aurora-token</t>
  </si>
  <si>
    <t>Aurora Dimension</t>
  </si>
  <si>
    <t>AURY</t>
  </si>
  <si>
    <t>aurory</t>
  </si>
  <si>
    <t>Aurory</t>
  </si>
  <si>
    <t>aurory-wormhole</t>
  </si>
  <si>
    <t>Aurory (Wormhole)</t>
  </si>
  <si>
    <t>ASHIBA</t>
  </si>
  <si>
    <t>auroshiba</t>
  </si>
  <si>
    <t>AuroShiba</t>
  </si>
  <si>
    <t>AWX</t>
  </si>
  <si>
    <t>auruscoin</t>
  </si>
  <si>
    <t>AurusDeFi</t>
  </si>
  <si>
    <t>aurusgold</t>
  </si>
  <si>
    <t>AurusGOLD</t>
  </si>
  <si>
    <t>AWS</t>
  </si>
  <si>
    <t>aurus-silver</t>
  </si>
  <si>
    <t>AurusSILVER</t>
  </si>
  <si>
    <t>ausd</t>
  </si>
  <si>
    <t>aUSD</t>
  </si>
  <si>
    <t>ACCG</t>
  </si>
  <si>
    <t>australian-crypto-coin-green</t>
  </si>
  <si>
    <t>Australian Crypto Coin Green</t>
  </si>
  <si>
    <t>ASS</t>
  </si>
  <si>
    <t>australian-safe-shepherd</t>
  </si>
  <si>
    <t>Australian Safe Shepherd</t>
  </si>
  <si>
    <t>AUTO</t>
  </si>
  <si>
    <t>auto</t>
  </si>
  <si>
    <t>Auto</t>
  </si>
  <si>
    <t>autobahn</t>
  </si>
  <si>
    <t>Autobahn</t>
  </si>
  <si>
    <t>TXL</t>
  </si>
  <si>
    <t>autobahn-network</t>
  </si>
  <si>
    <t>Autobahn Network</t>
  </si>
  <si>
    <t>ABCO</t>
  </si>
  <si>
    <t>autobitco-token</t>
  </si>
  <si>
    <t>AutoBitco</t>
  </si>
  <si>
    <t>autobusd</t>
  </si>
  <si>
    <t>Autobusd</t>
  </si>
  <si>
    <t>AU</t>
  </si>
  <si>
    <t>autocrypto</t>
  </si>
  <si>
    <t>AutoCrypto</t>
  </si>
  <si>
    <t>ATA</t>
  </si>
  <si>
    <t>automata</t>
  </si>
  <si>
    <t>Automata</t>
  </si>
  <si>
    <t>ATMUP</t>
  </si>
  <si>
    <t>automaticup</t>
  </si>
  <si>
    <t>AutoMaticUp</t>
  </si>
  <si>
    <t>NIOX</t>
  </si>
  <si>
    <t>autonio</t>
  </si>
  <si>
    <t>Autonio</t>
  </si>
  <si>
    <t>JAWS</t>
  </si>
  <si>
    <t>autoshark</t>
  </si>
  <si>
    <t>AutoShark</t>
  </si>
  <si>
    <t>AUTUMN</t>
  </si>
  <si>
    <t>autumn</t>
  </si>
  <si>
    <t>Autumn</t>
  </si>
  <si>
    <t>AUX</t>
  </si>
  <si>
    <t>auxilium</t>
  </si>
  <si>
    <t>Auxilium</t>
  </si>
  <si>
    <t>AVAK</t>
  </si>
  <si>
    <t>avakus</t>
  </si>
  <si>
    <t>Avakus</t>
  </si>
  <si>
    <t>avalanche-2</t>
  </si>
  <si>
    <t>A.BEE</t>
  </si>
  <si>
    <t>avalanche-honeybee</t>
  </si>
  <si>
    <t>Avalanche HoneyBee</t>
  </si>
  <si>
    <t>VOID</t>
  </si>
  <si>
    <t>avalanchevoid</t>
  </si>
  <si>
    <t>AvalancheVoid</t>
  </si>
  <si>
    <t>avalanche-wormhole</t>
  </si>
  <si>
    <t>Avalanche (Wormhole)</t>
  </si>
  <si>
    <t>XAVA</t>
  </si>
  <si>
    <t>avalaunch</t>
  </si>
  <si>
    <t>Avalaunch</t>
  </si>
  <si>
    <t>AVAL</t>
  </si>
  <si>
    <t>avalend-finance</t>
  </si>
  <si>
    <t>Avalend Finance</t>
  </si>
  <si>
    <t>avaluse</t>
  </si>
  <si>
    <t>Avaluse</t>
  </si>
  <si>
    <t>AVAMIM</t>
  </si>
  <si>
    <t>ava-mim</t>
  </si>
  <si>
    <t>Ava MIM</t>
  </si>
  <si>
    <t>NOVA</t>
  </si>
  <si>
    <t>avania</t>
  </si>
  <si>
    <t>Avania</t>
  </si>
  <si>
    <t>ANYAN</t>
  </si>
  <si>
    <t>avanyan</t>
  </si>
  <si>
    <t>AvaNyan</t>
  </si>
  <si>
    <t>AVG</t>
  </si>
  <si>
    <t>avaocado-dao</t>
  </si>
  <si>
    <t>Avocado DAO</t>
  </si>
  <si>
    <t>AVAO</t>
  </si>
  <si>
    <t>avaone-finance</t>
  </si>
  <si>
    <t>AvaOne Finance</t>
  </si>
  <si>
    <t>AVAPAY</t>
  </si>
  <si>
    <t>avapay</t>
  </si>
  <si>
    <t>AvaPay</t>
  </si>
  <si>
    <t>AVR</t>
  </si>
  <si>
    <t>avara</t>
  </si>
  <si>
    <t>AVARA</t>
  </si>
  <si>
    <t>AVASTR</t>
  </si>
  <si>
    <t>avastr-vault-nftx</t>
  </si>
  <si>
    <t>AVASTR Vault (NFTX)</t>
  </si>
  <si>
    <t>AVAT</t>
  </si>
  <si>
    <t>avata-network</t>
  </si>
  <si>
    <t>AVATA Network</t>
  </si>
  <si>
    <t>TERRA</t>
  </si>
  <si>
    <t>avaterra</t>
  </si>
  <si>
    <t>Avaterra</t>
  </si>
  <si>
    <t>AVTIME</t>
  </si>
  <si>
    <t>ava-time</t>
  </si>
  <si>
    <t>Ava Time</t>
  </si>
  <si>
    <t>AVE</t>
  </si>
  <si>
    <t>avaware</t>
  </si>
  <si>
    <t>Avaware</t>
  </si>
  <si>
    <t>avaware-usd</t>
  </si>
  <si>
    <t>Avaware USD</t>
  </si>
  <si>
    <t>AVAX1X</t>
  </si>
  <si>
    <t>avax-1x</t>
  </si>
  <si>
    <t>AVAX 1x</t>
  </si>
  <si>
    <t>ACN</t>
  </si>
  <si>
    <t>avax-capital-node</t>
  </si>
  <si>
    <t>AVAX Capital Node</t>
  </si>
  <si>
    <t>AVAXD</t>
  </si>
  <si>
    <t>avaxdao</t>
  </si>
  <si>
    <t>AvaxDAO</t>
  </si>
  <si>
    <t>AVXL</t>
  </si>
  <si>
    <t>avaxlauncher</t>
  </si>
  <si>
    <t>Avaxlauncher</t>
  </si>
  <si>
    <t>ANODE</t>
  </si>
  <si>
    <t>avax-nodes</t>
  </si>
  <si>
    <t>Avax Nodes</t>
  </si>
  <si>
    <t>AVXT</t>
  </si>
  <si>
    <t>avaxtars</t>
  </si>
  <si>
    <t>Avaxtars</t>
  </si>
  <si>
    <t>AVAXUP</t>
  </si>
  <si>
    <t>avaxup</t>
  </si>
  <si>
    <t>AvaxUp</t>
  </si>
  <si>
    <t>aventus</t>
  </si>
  <si>
    <t>Aventus</t>
  </si>
  <si>
    <t>AVIAN</t>
  </si>
  <si>
    <t>avianite</t>
  </si>
  <si>
    <t>Avianite</t>
  </si>
  <si>
    <t>AVN</t>
  </si>
  <si>
    <t>avian-network</t>
  </si>
  <si>
    <t>AVINOC</t>
  </si>
  <si>
    <t>avinoc</t>
  </si>
  <si>
    <t>AVME</t>
  </si>
  <si>
    <t>avme</t>
  </si>
  <si>
    <t>avnrich</t>
  </si>
  <si>
    <t>AVNRich</t>
  </si>
  <si>
    <t>AVDO</t>
  </si>
  <si>
    <t>avocadocoin</t>
  </si>
  <si>
    <t>AvocadoCoin</t>
  </si>
  <si>
    <t>AXE</t>
  </si>
  <si>
    <t>axe</t>
  </si>
  <si>
    <t>Axe</t>
  </si>
  <si>
    <t>AXEL</t>
  </si>
  <si>
    <t>axel</t>
  </si>
  <si>
    <t>AXL</t>
  </si>
  <si>
    <t>axelar-network</t>
  </si>
  <si>
    <t>Axelar Network</t>
  </si>
  <si>
    <t>AXNT</t>
  </si>
  <si>
    <t>axentro</t>
  </si>
  <si>
    <t>Axentro</t>
  </si>
  <si>
    <t>AXIAV3</t>
  </si>
  <si>
    <t>axia</t>
  </si>
  <si>
    <t>Axia</t>
  </si>
  <si>
    <t>axial</t>
  </si>
  <si>
    <t>AXiaL</t>
  </si>
  <si>
    <t>AXIAL</t>
  </si>
  <si>
    <t>axial-token</t>
  </si>
  <si>
    <t>Axial Token</t>
  </si>
  <si>
    <t>axie-infinity</t>
  </si>
  <si>
    <t>AXSET</t>
  </si>
  <si>
    <t>axie-infinity-shard-wormhole</t>
  </si>
  <si>
    <t>Axie Infinity Shard (Wormhole)</t>
  </si>
  <si>
    <t>AXI</t>
  </si>
  <si>
    <t>axioms</t>
  </si>
  <si>
    <t>Axioms</t>
  </si>
  <si>
    <t>AXN</t>
  </si>
  <si>
    <t>axion</t>
  </si>
  <si>
    <t>Axion</t>
  </si>
  <si>
    <t>AXIS</t>
  </si>
  <si>
    <t>axis-defi</t>
  </si>
  <si>
    <t>Axis DeFi</t>
  </si>
  <si>
    <t>axis-token</t>
  </si>
  <si>
    <t>axl-inu</t>
  </si>
  <si>
    <t>AXL INU</t>
  </si>
  <si>
    <t>AXPR</t>
  </si>
  <si>
    <t>axpire</t>
  </si>
  <si>
    <t>aXpire</t>
  </si>
  <si>
    <t>AZ</t>
  </si>
  <si>
    <t>azbit</t>
  </si>
  <si>
    <t>Azbit</t>
  </si>
  <si>
    <t>AZX</t>
  </si>
  <si>
    <t>azeusx</t>
  </si>
  <si>
    <t>AzeusX</t>
  </si>
  <si>
    <t>AZIT</t>
  </si>
  <si>
    <t>azit</t>
  </si>
  <si>
    <t>Azit</t>
  </si>
  <si>
    <t>SUN</t>
  </si>
  <si>
    <t>aztec-nodes-sun</t>
  </si>
  <si>
    <t>Aztec Nodes SUN</t>
  </si>
  <si>
    <t>AZUKI</t>
  </si>
  <si>
    <t>azuki</t>
  </si>
  <si>
    <t>Azuki</t>
  </si>
  <si>
    <t>AZUM</t>
  </si>
  <si>
    <t>azuma-coin</t>
  </si>
  <si>
    <t>Azuma Coin</t>
  </si>
  <si>
    <t>UZZ</t>
  </si>
  <si>
    <t>azuras</t>
  </si>
  <si>
    <t>UZURAS</t>
  </si>
  <si>
    <t>AZU</t>
  </si>
  <si>
    <t>azus</t>
  </si>
  <si>
    <t>Azus</t>
  </si>
  <si>
    <t>B20</t>
  </si>
  <si>
    <t>b20</t>
  </si>
  <si>
    <t>B21</t>
  </si>
  <si>
    <t>b21</t>
  </si>
  <si>
    <t>B2B</t>
  </si>
  <si>
    <t>b2bcoin-2</t>
  </si>
  <si>
    <t>B2Bcoin</t>
  </si>
  <si>
    <t>B2U</t>
  </si>
  <si>
    <t>b2u-coin</t>
  </si>
  <si>
    <t>B2U Coin</t>
  </si>
  <si>
    <t>BXX</t>
  </si>
  <si>
    <t>baanx</t>
  </si>
  <si>
    <t>Baanx</t>
  </si>
  <si>
    <t>BAAS</t>
  </si>
  <si>
    <t>baasid</t>
  </si>
  <si>
    <t>BaaSid</t>
  </si>
  <si>
    <t>BAX</t>
  </si>
  <si>
    <t>babb</t>
  </si>
  <si>
    <t>BABB</t>
  </si>
  <si>
    <t>BABEL</t>
  </si>
  <si>
    <t>babelfish</t>
  </si>
  <si>
    <t>BabelFish</t>
  </si>
  <si>
    <t>BOON</t>
  </si>
  <si>
    <t>baboon-financial</t>
  </si>
  <si>
    <t>Baboon Financial</t>
  </si>
  <si>
    <t>BABYADA</t>
  </si>
  <si>
    <t>baby-ada</t>
  </si>
  <si>
    <t>Baby ADA</t>
  </si>
  <si>
    <t>BAETH</t>
  </si>
  <si>
    <t>babyaeth</t>
  </si>
  <si>
    <t>BabyAETH</t>
  </si>
  <si>
    <t>BABYAETH</t>
  </si>
  <si>
    <t>baby-aetherius</t>
  </si>
  <si>
    <t>Baby Aetherius</t>
  </si>
  <si>
    <t>BARMY</t>
  </si>
  <si>
    <t>babyarmy</t>
  </si>
  <si>
    <t>BabyArmy</t>
  </si>
  <si>
    <t>BB</t>
  </si>
  <si>
    <t>baby-bali</t>
  </si>
  <si>
    <t>Baby Bali</t>
  </si>
  <si>
    <t>BBNANA</t>
  </si>
  <si>
    <t>babybanana</t>
  </si>
  <si>
    <t>BabyBanana</t>
  </si>
  <si>
    <t>BABYBITC</t>
  </si>
  <si>
    <t>babybitcoin</t>
  </si>
  <si>
    <t>BabyBitcoin</t>
  </si>
  <si>
    <t>BBTC</t>
  </si>
  <si>
    <t>baby-bitcoin</t>
  </si>
  <si>
    <t>Baby Bitcoin</t>
  </si>
  <si>
    <t>BABYBNB</t>
  </si>
  <si>
    <t>babybnb</t>
  </si>
  <si>
    <t>BabyBNB</t>
  </si>
  <si>
    <t>BABYBOO</t>
  </si>
  <si>
    <t>babyboo</t>
  </si>
  <si>
    <t>BabyBoo</t>
  </si>
  <si>
    <t>BBOXER</t>
  </si>
  <si>
    <t>baby-boxer</t>
  </si>
  <si>
    <t>Baby Boxer</t>
  </si>
  <si>
    <t>BABYBUSD</t>
  </si>
  <si>
    <t>babybusd</t>
  </si>
  <si>
    <t>BabyBUSD</t>
  </si>
  <si>
    <t>BABYCAKE</t>
  </si>
  <si>
    <t>baby-cake</t>
  </si>
  <si>
    <t>Baby Cake</t>
  </si>
  <si>
    <t>BABYCARE</t>
  </si>
  <si>
    <t>babycare</t>
  </si>
  <si>
    <t>BabyCare</t>
  </si>
  <si>
    <t>BABYCASPER</t>
  </si>
  <si>
    <t>babycasper</t>
  </si>
  <si>
    <t>Baby Casper</t>
  </si>
  <si>
    <t>BABYCATS</t>
  </si>
  <si>
    <t>baby-catcoin</t>
  </si>
  <si>
    <t>Baby Catcoin</t>
  </si>
  <si>
    <t>BABYCATGIRL</t>
  </si>
  <si>
    <t>babycatgirl</t>
  </si>
  <si>
    <t>BabyCatGirl</t>
  </si>
  <si>
    <t>BABYCHEDDA</t>
  </si>
  <si>
    <t>baby-chedda</t>
  </si>
  <si>
    <t>Baby Chedda</t>
  </si>
  <si>
    <t>BCI</t>
  </si>
  <si>
    <t>baby-cheems-inu</t>
  </si>
  <si>
    <t>Baby Cheems Inu</t>
  </si>
  <si>
    <t>BABYDEFIDO</t>
  </si>
  <si>
    <t>baby-defido</t>
  </si>
  <si>
    <t>Baby DeFido</t>
  </si>
  <si>
    <t>BABYDB</t>
  </si>
  <si>
    <t>baby-doge-billionaire</t>
  </si>
  <si>
    <t>Baby Doge Billionaire</t>
  </si>
  <si>
    <t>BDC</t>
  </si>
  <si>
    <t>babydogecake</t>
  </si>
  <si>
    <t>BabyDogeCake</t>
  </si>
  <si>
    <t>BABYDOGECASH</t>
  </si>
  <si>
    <t>baby-doge-cash</t>
  </si>
  <si>
    <t>Baby Doge Cash</t>
  </si>
  <si>
    <t>BABYDOGE</t>
  </si>
  <si>
    <t>baby-doge-coin</t>
  </si>
  <si>
    <t>Baby Doge Coin</t>
  </si>
  <si>
    <t>babydoge-coin-eth</t>
  </si>
  <si>
    <t>BabyDoge ETH</t>
  </si>
  <si>
    <t>$BABYDOGEINU</t>
  </si>
  <si>
    <t>baby-doge-inu</t>
  </si>
  <si>
    <t>Baby Doge Inu</t>
  </si>
  <si>
    <t>BABYDOGEKING</t>
  </si>
  <si>
    <t>babydogeking</t>
  </si>
  <si>
    <t>BabyDogeKing</t>
  </si>
  <si>
    <t>BABYDOGEMM</t>
  </si>
  <si>
    <t>baby-doge-money-maker</t>
  </si>
  <si>
    <t>Baby Doge Money Maker</t>
  </si>
  <si>
    <t>BABYDOGEZILLA</t>
  </si>
  <si>
    <t>babydogezilla</t>
  </si>
  <si>
    <t>BabyDogeZilla</t>
  </si>
  <si>
    <t>BABYDOGO</t>
  </si>
  <si>
    <t>baby-dogo-coin</t>
  </si>
  <si>
    <t>Baby Dogo Coin</t>
  </si>
  <si>
    <t>BDOT</t>
  </si>
  <si>
    <t>babydot</t>
  </si>
  <si>
    <t>BabyDot</t>
  </si>
  <si>
    <t>BABYDOUG</t>
  </si>
  <si>
    <t>baby-doug</t>
  </si>
  <si>
    <t>Baby Doug</t>
  </si>
  <si>
    <t>BABYETH</t>
  </si>
  <si>
    <t>babyeth</t>
  </si>
  <si>
    <t>BabyEth</t>
  </si>
  <si>
    <t>BBETH</t>
  </si>
  <si>
    <t>babyethereum</t>
  </si>
  <si>
    <t>BabyEthereum</t>
  </si>
  <si>
    <t>BABYETHV2</t>
  </si>
  <si>
    <t>babyeth-v2</t>
  </si>
  <si>
    <t>BabyETH V2</t>
  </si>
  <si>
    <t>BABY EVERDOGE</t>
  </si>
  <si>
    <t>baby-everdoge</t>
  </si>
  <si>
    <t>Baby EverDoge</t>
  </si>
  <si>
    <t>BBFEG</t>
  </si>
  <si>
    <t>babyfeg</t>
  </si>
  <si>
    <t>Babyfeg</t>
  </si>
  <si>
    <t>BABYFLOKI</t>
  </si>
  <si>
    <t>babyfloki</t>
  </si>
  <si>
    <t>BabyFloki</t>
  </si>
  <si>
    <t>baby-floki</t>
  </si>
  <si>
    <t>Baby Floki</t>
  </si>
  <si>
    <t>BABYFB</t>
  </si>
  <si>
    <t>baby-floki-billionaire</t>
  </si>
  <si>
    <t>Baby Floki Billionaire</t>
  </si>
  <si>
    <t>BABYFLOKICOIN</t>
  </si>
  <si>
    <t>baby-floki-coin</t>
  </si>
  <si>
    <t>Baby Floki Coin</t>
  </si>
  <si>
    <t>BABYFD</t>
  </si>
  <si>
    <t>baby-floki-doge</t>
  </si>
  <si>
    <t>Baby Floki Doge</t>
  </si>
  <si>
    <t>BFLOKI</t>
  </si>
  <si>
    <t>baby-floki-inu</t>
  </si>
  <si>
    <t>Baby Floki Inu</t>
  </si>
  <si>
    <t>BFU</t>
  </si>
  <si>
    <t>baby-floki-up</t>
  </si>
  <si>
    <t>Baby Floki Up</t>
  </si>
  <si>
    <t>BABYFROG</t>
  </si>
  <si>
    <t>babyfrog</t>
  </si>
  <si>
    <t>BabyFrog</t>
  </si>
  <si>
    <t>BABYHARMONY</t>
  </si>
  <si>
    <t>babyharmony</t>
  </si>
  <si>
    <t>BabyHarmony</t>
  </si>
  <si>
    <t>BABYKISHU</t>
  </si>
  <si>
    <t>baby-kishu</t>
  </si>
  <si>
    <t>Baby Kishu</t>
  </si>
  <si>
    <t>BABYKITTY</t>
  </si>
  <si>
    <t>babykitty</t>
  </si>
  <si>
    <t>BabyKitty</t>
  </si>
  <si>
    <t>KRAKBABY</t>
  </si>
  <si>
    <t>babykraken</t>
  </si>
  <si>
    <t>BabyKraken</t>
  </si>
  <si>
    <t>BKS</t>
  </si>
  <si>
    <t>baby-kshark</t>
  </si>
  <si>
    <t>Baby KShark</t>
  </si>
  <si>
    <t>BLINU</t>
  </si>
  <si>
    <t>baby-lambo-inu</t>
  </si>
  <si>
    <t>Baby Lambo Inu</t>
  </si>
  <si>
    <t>BLN</t>
  </si>
  <si>
    <t>baby-lion</t>
  </si>
  <si>
    <t>Baby Lion</t>
  </si>
  <si>
    <t>BBY</t>
  </si>
  <si>
    <t>babylondao</t>
  </si>
  <si>
    <t>BabylonDAO</t>
  </si>
  <si>
    <t>BABL</t>
  </si>
  <si>
    <t>babylon-finance</t>
  </si>
  <si>
    <t>Babylon Finance</t>
  </si>
  <si>
    <t>BABI</t>
  </si>
  <si>
    <t>babylons</t>
  </si>
  <si>
    <t>Babylons</t>
  </si>
  <si>
    <t>BLOVELY</t>
  </si>
  <si>
    <t>baby-lovely-inu</t>
  </si>
  <si>
    <t>Baby Lovely Inu</t>
  </si>
  <si>
    <t>BABYMETA</t>
  </si>
  <si>
    <t>baby-meta</t>
  </si>
  <si>
    <t>Baby Meta</t>
  </si>
  <si>
    <t>BMND</t>
  </si>
  <si>
    <t>baby-mind</t>
  </si>
  <si>
    <t>Baby Mind</t>
  </si>
  <si>
    <t>FLOKI</t>
  </si>
  <si>
    <t>baby-moon-floki</t>
  </si>
  <si>
    <t>Baby Moon Floki</t>
  </si>
  <si>
    <t>BABYWOLF</t>
  </si>
  <si>
    <t>baby-moon-wolf</t>
  </si>
  <si>
    <t>Baby Moon Wolf</t>
  </si>
  <si>
    <t>BOB</t>
  </si>
  <si>
    <t>baby-o-baby</t>
  </si>
  <si>
    <t>Baby o Baby</t>
  </si>
  <si>
    <t>BABYOKX</t>
  </si>
  <si>
    <t>babyokx</t>
  </si>
  <si>
    <t>BABYOKX (BSC)</t>
  </si>
  <si>
    <t>babyokx-2</t>
  </si>
  <si>
    <t>BPANDA</t>
  </si>
  <si>
    <t>baby-panda</t>
  </si>
  <si>
    <t>Baby Panda</t>
  </si>
  <si>
    <t>BABYPIG</t>
  </si>
  <si>
    <t>baby-pig-token</t>
  </si>
  <si>
    <t>Baby Pig</t>
  </si>
  <si>
    <t>BPM</t>
  </si>
  <si>
    <t>baby-pokemoon</t>
  </si>
  <si>
    <t>Baby Pokemoon</t>
  </si>
  <si>
    <t>BUMP</t>
  </si>
  <si>
    <t>babypumpkin-finance</t>
  </si>
  <si>
    <t>BabyPumpkin Finance</t>
  </si>
  <si>
    <t>BABYQUICK</t>
  </si>
  <si>
    <t>babyquick</t>
  </si>
  <si>
    <t>BabyQuick</t>
  </si>
  <si>
    <t>BABYXRP</t>
  </si>
  <si>
    <t>baby-ripple</t>
  </si>
  <si>
    <t>Baby Ripple</t>
  </si>
  <si>
    <t>BSFM</t>
  </si>
  <si>
    <t>babysafemoon</t>
  </si>
  <si>
    <t>BabySafeMoon</t>
  </si>
  <si>
    <t>BABYSAITAMA</t>
  </si>
  <si>
    <t>baby-saitama</t>
  </si>
  <si>
    <t>Baby Saitama</t>
  </si>
  <si>
    <t>BABY</t>
  </si>
  <si>
    <t>baby-samo-coin</t>
  </si>
  <si>
    <t>Baby Samo Coin</t>
  </si>
  <si>
    <t>SATS</t>
  </si>
  <si>
    <t>baby-satoshi</t>
  </si>
  <si>
    <t>Baby Satoshi</t>
  </si>
  <si>
    <t>SHARK</t>
  </si>
  <si>
    <t>baby-shark</t>
  </si>
  <si>
    <t>Baby Shark</t>
  </si>
  <si>
    <t>BBS</t>
  </si>
  <si>
    <t>baby-shark-finance</t>
  </si>
  <si>
    <t>Baby-Shark.Finance</t>
  </si>
  <si>
    <t>BASHTANK</t>
  </si>
  <si>
    <t>baby-shark-tank</t>
  </si>
  <si>
    <t>Baby Shark Tank</t>
  </si>
  <si>
    <t>BABYSHIBA</t>
  </si>
  <si>
    <t>baby-shiba-coin</t>
  </si>
  <si>
    <t>Baby Shiba Coin</t>
  </si>
  <si>
    <t>BSD</t>
  </si>
  <si>
    <t>baby-shiba-dot</t>
  </si>
  <si>
    <t>Baby Shiba Dot</t>
  </si>
  <si>
    <t>BABYSHIBAINU</t>
  </si>
  <si>
    <t>baby-shiba-inu</t>
  </si>
  <si>
    <t>Baby Shiba Inu</t>
  </si>
  <si>
    <t>BABYSHIB</t>
  </si>
  <si>
    <t>babyshibby-inu</t>
  </si>
  <si>
    <t>BabyShibby Inu</t>
  </si>
  <si>
    <t>DRACO</t>
  </si>
  <si>
    <t>baby-soulja-boy</t>
  </si>
  <si>
    <t>Baby Soulja Boy</t>
  </si>
  <si>
    <t>STARLINKDOGE</t>
  </si>
  <si>
    <t>baby-starlink-doge</t>
  </si>
  <si>
    <t>Baby Starlink Doge</t>
  </si>
  <si>
    <t>babyswap</t>
  </si>
  <si>
    <t>BabySwap</t>
  </si>
  <si>
    <t>BABYTETHER</t>
  </si>
  <si>
    <t>baby-tether</t>
  </si>
  <si>
    <t>BABY TETHER</t>
  </si>
  <si>
    <t>BABYTIGER</t>
  </si>
  <si>
    <t>babytigergold</t>
  </si>
  <si>
    <t>BabyTigerGold</t>
  </si>
  <si>
    <t>BABYTK</t>
  </si>
  <si>
    <t>baby-tiger-king</t>
  </si>
  <si>
    <t>Baby Tiger King</t>
  </si>
  <si>
    <t>baby-token</t>
  </si>
  <si>
    <t>BABYTRUMP</t>
  </si>
  <si>
    <t>baby-trump</t>
  </si>
  <si>
    <t>Baby Trump</t>
  </si>
  <si>
    <t>BABYUSDT</t>
  </si>
  <si>
    <t>babyusdt</t>
  </si>
  <si>
    <t>BabyUSDT</t>
  </si>
  <si>
    <t>BABYWKD</t>
  </si>
  <si>
    <t>babywakandainu</t>
  </si>
  <si>
    <t>Babywakandainu</t>
  </si>
  <si>
    <t>BBW</t>
  </si>
  <si>
    <t>babywhale</t>
  </si>
  <si>
    <t>BabyWhale</t>
  </si>
  <si>
    <t>BWT</t>
  </si>
  <si>
    <t>babywhitetiger</t>
  </si>
  <si>
    <t>BabyWhiteTiger</t>
  </si>
  <si>
    <t>BWJ</t>
  </si>
  <si>
    <t>baby-woj</t>
  </si>
  <si>
    <t>Baby WOJ</t>
  </si>
  <si>
    <t>BABYX</t>
  </si>
  <si>
    <t>babyxape</t>
  </si>
  <si>
    <t>BabyXape</t>
  </si>
  <si>
    <t>BBYXRP</t>
  </si>
  <si>
    <t>babyxrp</t>
  </si>
  <si>
    <t>BabyXrp</t>
  </si>
  <si>
    <t>BABYZOROINU</t>
  </si>
  <si>
    <t>babyzoro-inu</t>
  </si>
  <si>
    <t>Babyzoro Inu</t>
  </si>
  <si>
    <t>BAKT</t>
  </si>
  <si>
    <t>backed-protocol</t>
  </si>
  <si>
    <t>Backed Protocol</t>
  </si>
  <si>
    <t>BPC</t>
  </si>
  <si>
    <t>backpacker-coin</t>
  </si>
  <si>
    <t>BackPacker Coin</t>
  </si>
  <si>
    <t>BACON</t>
  </si>
  <si>
    <t>bacon</t>
  </si>
  <si>
    <t>bacon-coin</t>
  </si>
  <si>
    <t>Bacon Coin</t>
  </si>
  <si>
    <t>bacondao</t>
  </si>
  <si>
    <t>BaconDAO</t>
  </si>
  <si>
    <t>baconswap</t>
  </si>
  <si>
    <t>BaconSwap</t>
  </si>
  <si>
    <t>APED</t>
  </si>
  <si>
    <t>baddest-alpha-ape-bundle</t>
  </si>
  <si>
    <t>Baddest Alpha Ape Bundle</t>
  </si>
  <si>
    <t>BADGER</t>
  </si>
  <si>
    <t>badger-dao</t>
  </si>
  <si>
    <t>Badger DAO</t>
  </si>
  <si>
    <t>BBADGER</t>
  </si>
  <si>
    <t>badger-sett-badger</t>
  </si>
  <si>
    <t>Badger Sett Badger</t>
  </si>
  <si>
    <t>BDIGG</t>
  </si>
  <si>
    <t>badger-sett-digg</t>
  </si>
  <si>
    <t>Badger Sett Digg</t>
  </si>
  <si>
    <t>BAE</t>
  </si>
  <si>
    <t>bae</t>
  </si>
  <si>
    <t>Bae</t>
  </si>
  <si>
    <t>BAEPAY</t>
  </si>
  <si>
    <t>baepay</t>
  </si>
  <si>
    <t>BAFE</t>
  </si>
  <si>
    <t>bafe-io</t>
  </si>
  <si>
    <t>Bafe.io</t>
  </si>
  <si>
    <t>BAFI</t>
  </si>
  <si>
    <t>bafi-finance-token</t>
  </si>
  <si>
    <t>BAGEL</t>
  </si>
  <si>
    <t>bagel</t>
  </si>
  <si>
    <t>Bagels Finance</t>
  </si>
  <si>
    <t>BSWAP</t>
  </si>
  <si>
    <t>bagswap</t>
  </si>
  <si>
    <t>BagSwap</t>
  </si>
  <si>
    <t>baguette</t>
  </si>
  <si>
    <t>Baguette</t>
  </si>
  <si>
    <t>BG</t>
  </si>
  <si>
    <t>bagus-wallet</t>
  </si>
  <si>
    <t>Bagus Wallet</t>
  </si>
  <si>
    <t>BHT</t>
  </si>
  <si>
    <t>bahtcoin</t>
  </si>
  <si>
    <t>Bahtcoin</t>
  </si>
  <si>
    <t>BAI</t>
  </si>
  <si>
    <t>bai-stablecoin</t>
  </si>
  <si>
    <t>BAI Stablecoin</t>
  </si>
  <si>
    <t>BAIT</t>
  </si>
  <si>
    <t>baitcoin</t>
  </si>
  <si>
    <t>Baitcoin</t>
  </si>
  <si>
    <t>BAKC</t>
  </si>
  <si>
    <t>bakc-vault-nftx</t>
  </si>
  <si>
    <t>BAKC Vault (NFTX)</t>
  </si>
  <si>
    <t>BAKECOIN</t>
  </si>
  <si>
    <t>bake-coin</t>
  </si>
  <si>
    <t>Bake Coin</t>
  </si>
  <si>
    <t>BAKEDCAKE</t>
  </si>
  <si>
    <t>bakedcake</t>
  </si>
  <si>
    <t>BakedCake Finance</t>
  </si>
  <si>
    <t>BAKED</t>
  </si>
  <si>
    <t>baked-token</t>
  </si>
  <si>
    <t>Baked</t>
  </si>
  <si>
    <t>BAKER</t>
  </si>
  <si>
    <t>baker-guild</t>
  </si>
  <si>
    <t>Baker Guild</t>
  </si>
  <si>
    <t>BAKE</t>
  </si>
  <si>
    <t>bakerytoken</t>
  </si>
  <si>
    <t>BakerySwap</t>
  </si>
  <si>
    <t>TBAKE</t>
  </si>
  <si>
    <t>bakerytools</t>
  </si>
  <si>
    <t>BakeryTools</t>
  </si>
  <si>
    <t>BAVA</t>
  </si>
  <si>
    <t>baklava</t>
  </si>
  <si>
    <t>Baklava</t>
  </si>
  <si>
    <t>BAKS</t>
  </si>
  <si>
    <t>baksdao</t>
  </si>
  <si>
    <t>BaksDAO</t>
  </si>
  <si>
    <t>BNUSD</t>
  </si>
  <si>
    <t>balanced-dollars</t>
  </si>
  <si>
    <t>Balanced Dollars</t>
  </si>
  <si>
    <t>BAL</t>
  </si>
  <si>
    <t>balancer</t>
  </si>
  <si>
    <t>Balancer</t>
  </si>
  <si>
    <t>BALN</t>
  </si>
  <si>
    <t>balance-tokens</t>
  </si>
  <si>
    <t>Balanced Network</t>
  </si>
  <si>
    <t>BALI</t>
  </si>
  <si>
    <t>balicoin</t>
  </si>
  <si>
    <t>Bali Coin</t>
  </si>
  <si>
    <t>BLKS</t>
  </si>
  <si>
    <t>balikesirspor-token</t>
  </si>
  <si>
    <t>Balıkesirspor Token</t>
  </si>
  <si>
    <t>BST</t>
  </si>
  <si>
    <t>balisari</t>
  </si>
  <si>
    <t>Balisari</t>
  </si>
  <si>
    <t>BSI</t>
  </si>
  <si>
    <t>bali-social-integrated</t>
  </si>
  <si>
    <t>Bali Social Integrated</t>
  </si>
  <si>
    <t>BLI</t>
  </si>
  <si>
    <t>bali-token</t>
  </si>
  <si>
    <t>Bali Token</t>
  </si>
  <si>
    <t>BKR</t>
  </si>
  <si>
    <t>balkari-token</t>
  </si>
  <si>
    <t>Balkari</t>
  </si>
  <si>
    <t>BALL</t>
  </si>
  <si>
    <t>ball-coin</t>
  </si>
  <si>
    <t>BALL Coin</t>
  </si>
  <si>
    <t>BALO</t>
  </si>
  <si>
    <t>balloon-coin</t>
  </si>
  <si>
    <t>Balloon Coin</t>
  </si>
  <si>
    <t>balloonsville-air</t>
  </si>
  <si>
    <t>Balloonsville AIR</t>
  </si>
  <si>
    <t>BBX</t>
  </si>
  <si>
    <t>ballotbox</t>
  </si>
  <si>
    <t>Ballotbox</t>
  </si>
  <si>
    <t>BSP</t>
  </si>
  <si>
    <t>ballswap</t>
  </si>
  <si>
    <t>BallSwap</t>
  </si>
  <si>
    <t>BART</t>
  </si>
  <si>
    <t>ballswapper-accelerator-reflection-token</t>
  </si>
  <si>
    <t>Ballswapper Accelerator Reflection</t>
  </si>
  <si>
    <t>BALPHA</t>
  </si>
  <si>
    <t>balpha</t>
  </si>
  <si>
    <t>bAlpha</t>
  </si>
  <si>
    <t>BMBO</t>
  </si>
  <si>
    <t>bamboo-coin</t>
  </si>
  <si>
    <t>Bamboo Coin</t>
  </si>
  <si>
    <t>BAMBOO</t>
  </si>
  <si>
    <t>bamboo-defi</t>
  </si>
  <si>
    <t>BambooDeFi</t>
  </si>
  <si>
    <t>BAMB</t>
  </si>
  <si>
    <t>bamboonium</t>
  </si>
  <si>
    <t>Bamboonium</t>
  </si>
  <si>
    <t>BAMI</t>
  </si>
  <si>
    <t>bami</t>
  </si>
  <si>
    <t>Bami</t>
  </si>
  <si>
    <t>banana</t>
  </si>
  <si>
    <t>Banana</t>
  </si>
  <si>
    <t>BAB</t>
  </si>
  <si>
    <t>banana-bucks</t>
  </si>
  <si>
    <t>Banana Bucks</t>
  </si>
  <si>
    <t>banana-finance</t>
  </si>
  <si>
    <t>Banana Finance</t>
  </si>
  <si>
    <t>BTFA</t>
  </si>
  <si>
    <t>banana-task-force-ape</t>
  </si>
  <si>
    <t>Banana Task Force Ape</t>
  </si>
  <si>
    <t>BNA</t>
  </si>
  <si>
    <t>bananatok</t>
  </si>
  <si>
    <t>BananaTok</t>
  </si>
  <si>
    <t>BNANA</t>
  </si>
  <si>
    <t>banana-token</t>
  </si>
  <si>
    <t>Chimpion</t>
  </si>
  <si>
    <t>BANANAZ</t>
  </si>
  <si>
    <t>bananaz-club</t>
  </si>
  <si>
    <t>BANANAZ CLUB</t>
  </si>
  <si>
    <t>BAN</t>
  </si>
  <si>
    <t>banano</t>
  </si>
  <si>
    <t>Banano</t>
  </si>
  <si>
    <t>BANCA</t>
  </si>
  <si>
    <t>banca</t>
  </si>
  <si>
    <t>Banca</t>
  </si>
  <si>
    <t>BNT</t>
  </si>
  <si>
    <t>bancor</t>
  </si>
  <si>
    <t>VBNT</t>
  </si>
  <si>
    <t>bancor-governance-token</t>
  </si>
  <si>
    <t>Bancor Governance</t>
  </si>
  <si>
    <t>bancor-wormhole</t>
  </si>
  <si>
    <t>Bancor (Wormhole)</t>
  </si>
  <si>
    <t>BAND</t>
  </si>
  <si>
    <t>band-protocol</t>
  </si>
  <si>
    <t>Band Protocol</t>
  </si>
  <si>
    <t>BCASH</t>
  </si>
  <si>
    <t>bankcoincash</t>
  </si>
  <si>
    <t>BankCoin BCash</t>
  </si>
  <si>
    <t>BNK</t>
  </si>
  <si>
    <t>bankera</t>
  </si>
  <si>
    <t>Bankera</t>
  </si>
  <si>
    <t>BANKER</t>
  </si>
  <si>
    <t>bankerdoge</t>
  </si>
  <si>
    <t>BankerDoge</t>
  </si>
  <si>
    <t>BANK$</t>
  </si>
  <si>
    <t>bankers-dream</t>
  </si>
  <si>
    <t>Bankers Dream</t>
  </si>
  <si>
    <t>BANKETH</t>
  </si>
  <si>
    <t>banketh</t>
  </si>
  <si>
    <t>BankEth</t>
  </si>
  <si>
    <t>BED</t>
  </si>
  <si>
    <t>bankless-bed-index</t>
  </si>
  <si>
    <t>Bankless BED Index</t>
  </si>
  <si>
    <t>BANK</t>
  </si>
  <si>
    <t>bankless-dao</t>
  </si>
  <si>
    <t>Bankless DAO</t>
  </si>
  <si>
    <t>GMI</t>
  </si>
  <si>
    <t>bankless-defi-innovation-index</t>
  </si>
  <si>
    <t>Bankless DeFi Innovation Index</t>
  </si>
  <si>
    <t>LIB</t>
  </si>
  <si>
    <t>banklife</t>
  </si>
  <si>
    <t>Banklife</t>
  </si>
  <si>
    <t>BNKRX</t>
  </si>
  <si>
    <t>bankroll-extended-token</t>
  </si>
  <si>
    <t>BNKR</t>
  </si>
  <si>
    <t>bankroll-network</t>
  </si>
  <si>
    <t>Bankroll Network</t>
  </si>
  <si>
    <t>VLT</t>
  </si>
  <si>
    <t>bankroll-vault</t>
  </si>
  <si>
    <t>Bankroll Vault</t>
  </si>
  <si>
    <t>KSE</t>
  </si>
  <si>
    <t>banksea</t>
  </si>
  <si>
    <t>Banksea</t>
  </si>
  <si>
    <t>BSL</t>
  </si>
  <si>
    <t>banksocial</t>
  </si>
  <si>
    <t>BankSocial</t>
  </si>
  <si>
    <t>BANKWUPT</t>
  </si>
  <si>
    <t>bankwupt</t>
  </si>
  <si>
    <t>Bankwupt</t>
  </si>
  <si>
    <t>CBU</t>
  </si>
  <si>
    <t>banque-universal</t>
  </si>
  <si>
    <t>Banque Universal</t>
  </si>
  <si>
    <t>XBN</t>
  </si>
  <si>
    <t>bantu</t>
  </si>
  <si>
    <t>Bantu</t>
  </si>
  <si>
    <t>BAO</t>
  </si>
  <si>
    <t>bao-finance</t>
  </si>
  <si>
    <t>Bao Finance</t>
  </si>
  <si>
    <t>BBQ</t>
  </si>
  <si>
    <t>barbecueswap</t>
  </si>
  <si>
    <t>BarbecueSwap</t>
  </si>
  <si>
    <t>BARE</t>
  </si>
  <si>
    <t>bare</t>
  </si>
  <si>
    <t>BOND</t>
  </si>
  <si>
    <t>barnbridge</t>
  </si>
  <si>
    <t>BarnBridge</t>
  </si>
  <si>
    <t>BARREL</t>
  </si>
  <si>
    <t>barrel</t>
  </si>
  <si>
    <t>Barrel</t>
  </si>
  <si>
    <t>BRTR</t>
  </si>
  <si>
    <t>barter</t>
  </si>
  <si>
    <t>Barter</t>
  </si>
  <si>
    <t>bartertrade</t>
  </si>
  <si>
    <t>BarterTrade</t>
  </si>
  <si>
    <t>BASED</t>
  </si>
  <si>
    <t>based-finance</t>
  </si>
  <si>
    <t>Based Finance</t>
  </si>
  <si>
    <t>$BASED</t>
  </si>
  <si>
    <t>based-money</t>
  </si>
  <si>
    <t>Based Money</t>
  </si>
  <si>
    <t>BSHARE</t>
  </si>
  <si>
    <t>based-shares</t>
  </si>
  <si>
    <t>BASED Shares</t>
  </si>
  <si>
    <t>based-token</t>
  </si>
  <si>
    <t>Based</t>
  </si>
  <si>
    <t>BASE</t>
  </si>
  <si>
    <t>base-protocol</t>
  </si>
  <si>
    <t>Base Protocol</t>
  </si>
  <si>
    <t>BASIC</t>
  </si>
  <si>
    <t>basic</t>
  </si>
  <si>
    <t>BAT</t>
  </si>
  <si>
    <t>basic-attention-token</t>
  </si>
  <si>
    <t>basic-attention-token-wormhole</t>
  </si>
  <si>
    <t>Basic Attention Token (Wormhole)</t>
  </si>
  <si>
    <t>BASID</t>
  </si>
  <si>
    <t>basid-coin</t>
  </si>
  <si>
    <t>Basid Coin</t>
  </si>
  <si>
    <t>basis-bond</t>
  </si>
  <si>
    <t>Basis Bond</t>
  </si>
  <si>
    <t>BAC</t>
  </si>
  <si>
    <t>basis-cash</t>
  </si>
  <si>
    <t>Basis Cash</t>
  </si>
  <si>
    <t>BCC</t>
  </si>
  <si>
    <t>basis-coin-cash</t>
  </si>
  <si>
    <t>Basis Coin Cash</t>
  </si>
  <si>
    <t>BCS</t>
  </si>
  <si>
    <t>basiscoin-share</t>
  </si>
  <si>
    <t>Basis Coin Share</t>
  </si>
  <si>
    <t>basis-dollar</t>
  </si>
  <si>
    <t>Basis Dollar</t>
  </si>
  <si>
    <t>BSDS</t>
  </si>
  <si>
    <t>basis-dollar-share</t>
  </si>
  <si>
    <t>Basis Dollar Share</t>
  </si>
  <si>
    <t>BAGS</t>
  </si>
  <si>
    <t>basis-gold-share-heco</t>
  </si>
  <si>
    <t>Basis Gold Share (Heco)</t>
  </si>
  <si>
    <t>BASIS</t>
  </si>
  <si>
    <t>basis-markets</t>
  </si>
  <si>
    <t>basis.markets</t>
  </si>
  <si>
    <t>BAS</t>
  </si>
  <si>
    <t>basis-share</t>
  </si>
  <si>
    <t>Basis Share</t>
  </si>
  <si>
    <t>BBL</t>
  </si>
  <si>
    <t>basketball-legends</t>
  </si>
  <si>
    <t>Basketball Legends</t>
  </si>
  <si>
    <t>BVR</t>
  </si>
  <si>
    <t>basketballverse</t>
  </si>
  <si>
    <t>Basketballverse</t>
  </si>
  <si>
    <t>BSKT</t>
  </si>
  <si>
    <t>basketcoin</t>
  </si>
  <si>
    <t>BasketCoin</t>
  </si>
  <si>
    <t>BASK</t>
  </si>
  <si>
    <t>basketdao</t>
  </si>
  <si>
    <t>BasketDAO</t>
  </si>
  <si>
    <t>BDI</t>
  </si>
  <si>
    <t>basketdao-defi-index</t>
  </si>
  <si>
    <t>BasketDAO DeFi Index</t>
  </si>
  <si>
    <t>BASTILLE</t>
  </si>
  <si>
    <t>bastille-de-la-bouje</t>
  </si>
  <si>
    <t>Bastille De La Bouje</t>
  </si>
  <si>
    <t>BSTN</t>
  </si>
  <si>
    <t>bastion-protocol</t>
  </si>
  <si>
    <t>Bastion Protocol</t>
  </si>
  <si>
    <t>BTA</t>
  </si>
  <si>
    <t>bata</t>
  </si>
  <si>
    <t>Bata</t>
  </si>
  <si>
    <t>BATMAN</t>
  </si>
  <si>
    <t>batman</t>
  </si>
  <si>
    <t>Batman</t>
  </si>
  <si>
    <t>BA</t>
  </si>
  <si>
    <t>batorrent</t>
  </si>
  <si>
    <t>BaTorrent</t>
  </si>
  <si>
    <t>BES</t>
  </si>
  <si>
    <t>battle-esports-coin</t>
  </si>
  <si>
    <t>battle esports coin</t>
  </si>
  <si>
    <t>BFL</t>
  </si>
  <si>
    <t>battle-for-life</t>
  </si>
  <si>
    <t>Battle for Life</t>
  </si>
  <si>
    <t>BATH</t>
  </si>
  <si>
    <t>battle-hero</t>
  </si>
  <si>
    <t>Battle Hero</t>
  </si>
  <si>
    <t>BINU</t>
  </si>
  <si>
    <t>battle-inu</t>
  </si>
  <si>
    <t>Battle Inu</t>
  </si>
  <si>
    <t>GEMZ</t>
  </si>
  <si>
    <t>battlemechs</t>
  </si>
  <si>
    <t>BattleMechs</t>
  </si>
  <si>
    <t>BGS</t>
  </si>
  <si>
    <t>battle-of-guardians-share</t>
  </si>
  <si>
    <t>Battle of Guardians Share</t>
  </si>
  <si>
    <t>PET</t>
  </si>
  <si>
    <t>battle-pets</t>
  </si>
  <si>
    <t>Battle Pets</t>
  </si>
  <si>
    <t>BRTK</t>
  </si>
  <si>
    <t>battleroyaletoken</t>
  </si>
  <si>
    <t>BattleRoyale</t>
  </si>
  <si>
    <t>BTL</t>
  </si>
  <si>
    <t>battle-saga</t>
  </si>
  <si>
    <t>Battle Saga</t>
  </si>
  <si>
    <t>BVC</t>
  </si>
  <si>
    <t>battleverse</t>
  </si>
  <si>
    <t>BattleVerse</t>
  </si>
  <si>
    <t>SWEEP</t>
  </si>
  <si>
    <t>bayc-history</t>
  </si>
  <si>
    <t>BAYC History -The Great Floor Sweep</t>
  </si>
  <si>
    <t>BAYC</t>
  </si>
  <si>
    <t>bayc-vault-nftx</t>
  </si>
  <si>
    <t>BAYC Vault (NFTX)</t>
  </si>
  <si>
    <t>bb-gaming</t>
  </si>
  <si>
    <t>BB Gaming</t>
  </si>
  <si>
    <t>bbscoin</t>
  </si>
  <si>
    <t>BBSCoin</t>
  </si>
  <si>
    <t>bbs-network</t>
  </si>
  <si>
    <t>BBS Network</t>
  </si>
  <si>
    <t>BPAD</t>
  </si>
  <si>
    <t>bchpad</t>
  </si>
  <si>
    <t>BCHPad</t>
  </si>
  <si>
    <t>BCPAY</t>
  </si>
  <si>
    <t>bcpay-fintech</t>
  </si>
  <si>
    <t>BCPAY FinTech</t>
  </si>
  <si>
    <t>BCUBE</t>
  </si>
  <si>
    <t>b-cube-ai</t>
  </si>
  <si>
    <t>B-cube.ai</t>
  </si>
  <si>
    <t>BCV</t>
  </si>
  <si>
    <t>bcv</t>
  </si>
  <si>
    <t>BitCapitalVendor</t>
  </si>
  <si>
    <t>BDO</t>
  </si>
  <si>
    <t>bdollar</t>
  </si>
  <si>
    <t>bDollar</t>
  </si>
  <si>
    <t>SBDO</t>
  </si>
  <si>
    <t>bdollar-share</t>
  </si>
  <si>
    <t>bDollar Share</t>
  </si>
  <si>
    <t>BOYZ</t>
  </si>
  <si>
    <t>beachboyz</t>
  </si>
  <si>
    <t>BeachBoyz</t>
  </si>
  <si>
    <t>BEACH</t>
  </si>
  <si>
    <t>beach-token</t>
  </si>
  <si>
    <t>Beach</t>
  </si>
  <si>
    <t>beach-token-bsc</t>
  </si>
  <si>
    <t>Beach BSC</t>
  </si>
  <si>
    <t>BECN</t>
  </si>
  <si>
    <t>beacon</t>
  </si>
  <si>
    <t>Beacon</t>
  </si>
  <si>
    <t>BEAM</t>
  </si>
  <si>
    <t>beam</t>
  </si>
  <si>
    <t>GLINT</t>
  </si>
  <si>
    <t>beamswap</t>
  </si>
  <si>
    <t>BeamSwap</t>
  </si>
  <si>
    <t>BEAN</t>
  </si>
  <si>
    <t>bean</t>
  </si>
  <si>
    <t>Bean</t>
  </si>
  <si>
    <t>BITB</t>
  </si>
  <si>
    <t>bean-cash</t>
  </si>
  <si>
    <t>Bean Cash</t>
  </si>
  <si>
    <t>BFI</t>
  </si>
  <si>
    <t>bearn-fi</t>
  </si>
  <si>
    <t>Bearn.fi</t>
  </si>
  <si>
    <t>MASTER</t>
  </si>
  <si>
    <t>beast-masters</t>
  </si>
  <si>
    <t>Beast Masters</t>
  </si>
  <si>
    <t>BNFT</t>
  </si>
  <si>
    <t>beast-nft</t>
  </si>
  <si>
    <t>Beast NFT</t>
  </si>
  <si>
    <t>BBND</t>
  </si>
  <si>
    <t>beatbind</t>
  </si>
  <si>
    <t>BeatBind</t>
  </si>
  <si>
    <t>BTZC</t>
  </si>
  <si>
    <t>beatzcoin</t>
  </si>
  <si>
    <t>BeatzCoin</t>
  </si>
  <si>
    <t>BUC</t>
  </si>
  <si>
    <t>beau-cat</t>
  </si>
  <si>
    <t>Beau Cat</t>
  </si>
  <si>
    <t>BBH</t>
  </si>
  <si>
    <t>beavis-and-butthead</t>
  </si>
  <si>
    <t>Beavis and Butthead</t>
  </si>
  <si>
    <t>BEBOP-INU</t>
  </si>
  <si>
    <t>bebop-inu</t>
  </si>
  <si>
    <t>Bebop Inu</t>
  </si>
  <si>
    <t>BECO</t>
  </si>
  <si>
    <t>becoswap-token</t>
  </si>
  <si>
    <t>BecoSwap</t>
  </si>
  <si>
    <t>bedpage-coin</t>
  </si>
  <si>
    <t>Bedpage Coin</t>
  </si>
  <si>
    <t>ROCK</t>
  </si>
  <si>
    <t>bedrock</t>
  </si>
  <si>
    <t>Bedrock</t>
  </si>
  <si>
    <t>CHAT</t>
  </si>
  <si>
    <t>beechat</t>
  </si>
  <si>
    <t>BeeChat</t>
  </si>
  <si>
    <t>BEFTM</t>
  </si>
  <si>
    <t>beefy-escrowed-fantom</t>
  </si>
  <si>
    <t>Beefy Escrowed Fantom</t>
  </si>
  <si>
    <t>BIFI</t>
  </si>
  <si>
    <t>beefy-finance</t>
  </si>
  <si>
    <t>Beefy.Finance</t>
  </si>
  <si>
    <t>BEEINU</t>
  </si>
  <si>
    <t>bee-inu</t>
  </si>
  <si>
    <t>Bee Inu</t>
  </si>
  <si>
    <t>BKBT</t>
  </si>
  <si>
    <t>beekan</t>
  </si>
  <si>
    <t>BeeKan / Beenews</t>
  </si>
  <si>
    <t>BNODE</t>
  </si>
  <si>
    <t>beenode</t>
  </si>
  <si>
    <t>Beenode</t>
  </si>
  <si>
    <t>BEER</t>
  </si>
  <si>
    <t>beer-money</t>
  </si>
  <si>
    <t>Beer Money</t>
  </si>
  <si>
    <t>BSAFE</t>
  </si>
  <si>
    <t>bee-safe</t>
  </si>
  <si>
    <t>Bee Safe</t>
  </si>
  <si>
    <t>BEETS</t>
  </si>
  <si>
    <t>beethoven-x</t>
  </si>
  <si>
    <t>Beethoven X</t>
  </si>
  <si>
    <t>BEET</t>
  </si>
  <si>
    <t>beetlecoin</t>
  </si>
  <si>
    <t>Beetlecoin</t>
  </si>
  <si>
    <t>GLBD</t>
  </si>
  <si>
    <t>beglobaldao</t>
  </si>
  <si>
    <t>BeglobalDAO</t>
  </si>
  <si>
    <t>EYE</t>
  </si>
  <si>
    <t>beholder</t>
  </si>
  <si>
    <t>Behodler</t>
  </si>
  <si>
    <t>bela</t>
  </si>
  <si>
    <t>Bela Aqua</t>
  </si>
  <si>
    <t>BDX</t>
  </si>
  <si>
    <t>beldex</t>
  </si>
  <si>
    <t>Beldex</t>
  </si>
  <si>
    <t>BEX</t>
  </si>
  <si>
    <t>belecx-protocol</t>
  </si>
  <si>
    <t>BelecX Protocol</t>
  </si>
  <si>
    <t>BEFX</t>
  </si>
  <si>
    <t>belifex</t>
  </si>
  <si>
    <t>Belifex</t>
  </si>
  <si>
    <t>BLK</t>
  </si>
  <si>
    <t>belka</t>
  </si>
  <si>
    <t>Belka</t>
  </si>
  <si>
    <t>BEL</t>
  </si>
  <si>
    <t>bella-protocol</t>
  </si>
  <si>
    <t>Bella Protocol</t>
  </si>
  <si>
    <t>BELL</t>
  </si>
  <si>
    <t>bellcoin</t>
  </si>
  <si>
    <t>Bellcoin</t>
  </si>
  <si>
    <t>BE</t>
  </si>
  <si>
    <t>belon-dao</t>
  </si>
  <si>
    <t>Belon DAO</t>
  </si>
  <si>
    <t>belrium</t>
  </si>
  <si>
    <t>Belrium</t>
  </si>
  <si>
    <t>BELT</t>
  </si>
  <si>
    <t>belt</t>
  </si>
  <si>
    <t>Belt</t>
  </si>
  <si>
    <t>BELUGA</t>
  </si>
  <si>
    <t>beluga-fi</t>
  </si>
  <si>
    <t>Beluga.fi</t>
  </si>
  <si>
    <t>BEMT</t>
  </si>
  <si>
    <t>bem</t>
  </si>
  <si>
    <t>BEM</t>
  </si>
  <si>
    <t>BMF</t>
  </si>
  <si>
    <t>be-meta-famous</t>
  </si>
  <si>
    <t>Be Meta Famous</t>
  </si>
  <si>
    <t>bemil-coin</t>
  </si>
  <si>
    <t>Bemil Coin</t>
  </si>
  <si>
    <t>BNV</t>
  </si>
  <si>
    <t>benative</t>
  </si>
  <si>
    <t>BeNative</t>
  </si>
  <si>
    <t>MARK</t>
  </si>
  <si>
    <t>benchmark-protocol</t>
  </si>
  <si>
    <t>Benchmark Protocol</t>
  </si>
  <si>
    <t>BEND</t>
  </si>
  <si>
    <t>benchmark-protocol-governance-token</t>
  </si>
  <si>
    <t>Benchmark Protocol Governance</t>
  </si>
  <si>
    <t>benddao</t>
  </si>
  <si>
    <t>BendDao</t>
  </si>
  <si>
    <t>PBENGALS</t>
  </si>
  <si>
    <t>bengals</t>
  </si>
  <si>
    <t>Bengals - Super Bowl</t>
  </si>
  <si>
    <t>QI</t>
  </si>
  <si>
    <t>benqi</t>
  </si>
  <si>
    <t>BENQI</t>
  </si>
  <si>
    <t>SAVAX</t>
  </si>
  <si>
    <t>benqi-liquid-staked-avax</t>
  </si>
  <si>
    <t>BENQI Liquid Staked AVAX</t>
  </si>
  <si>
    <t>BENT</t>
  </si>
  <si>
    <t>bent-finance</t>
  </si>
  <si>
    <t>Bent Finance</t>
  </si>
  <si>
    <t>BZN</t>
  </si>
  <si>
    <t>benzene</t>
  </si>
  <si>
    <t>Benzene</t>
  </si>
  <si>
    <t>BLEO</t>
  </si>
  <si>
    <t>bep20-leo</t>
  </si>
  <si>
    <t>BEP20 LEO</t>
  </si>
  <si>
    <t>BECOIN</t>
  </si>
  <si>
    <t>bepay</t>
  </si>
  <si>
    <t>bePAY Finance</t>
  </si>
  <si>
    <t>BEPIS</t>
  </si>
  <si>
    <t>bepis</t>
  </si>
  <si>
    <t>BEPRO</t>
  </si>
  <si>
    <t>bepro-network</t>
  </si>
  <si>
    <t>BEPRO Network</t>
  </si>
  <si>
    <t>BERA</t>
  </si>
  <si>
    <t>berachain-bera</t>
  </si>
  <si>
    <t>Berachain BERA</t>
  </si>
  <si>
    <t>BGT</t>
  </si>
  <si>
    <t>berachain-bgt</t>
  </si>
  <si>
    <t>Berachain BGT</t>
  </si>
  <si>
    <t>HONEY</t>
  </si>
  <si>
    <t>berachain-honey</t>
  </si>
  <si>
    <t>Berachain Honey</t>
  </si>
  <si>
    <t>BERN</t>
  </si>
  <si>
    <t>bernard</t>
  </si>
  <si>
    <t>Bernard</t>
  </si>
  <si>
    <t>BERRY</t>
  </si>
  <si>
    <t>berry</t>
  </si>
  <si>
    <t>Berry</t>
  </si>
  <si>
    <t>BRY</t>
  </si>
  <si>
    <t>berry-data</t>
  </si>
  <si>
    <t>Berry Data</t>
  </si>
  <si>
    <t>berryswap</t>
  </si>
  <si>
    <t>BerrySwap</t>
  </si>
  <si>
    <t>BRB</t>
  </si>
  <si>
    <t>berylbit</t>
  </si>
  <si>
    <t>BerylBit</t>
  </si>
  <si>
    <t>beshare-token</t>
  </si>
  <si>
    <t>Beshare</t>
  </si>
  <si>
    <t>BSK-BAA025</t>
  </si>
  <si>
    <t>beskar</t>
  </si>
  <si>
    <t>Beskar</t>
  </si>
  <si>
    <t>BSY</t>
  </si>
  <si>
    <t>bestay</t>
  </si>
  <si>
    <t>Bestay</t>
  </si>
  <si>
    <t>BETA</t>
  </si>
  <si>
    <t>beta-finance</t>
  </si>
  <si>
    <t>Beta Finance</t>
  </si>
  <si>
    <t>beta-token</t>
  </si>
  <si>
    <t>Beta</t>
  </si>
  <si>
    <t>BDAO</t>
  </si>
  <si>
    <t>betdao</t>
  </si>
  <si>
    <t>BetDao</t>
  </si>
  <si>
    <t>DICE</t>
  </si>
  <si>
    <t>betdice</t>
  </si>
  <si>
    <t>BetDice</t>
  </si>
  <si>
    <t>BTE</t>
  </si>
  <si>
    <t>betero</t>
  </si>
  <si>
    <t>Betero</t>
  </si>
  <si>
    <t>BEC</t>
  </si>
  <si>
    <t>betherchip</t>
  </si>
  <si>
    <t>Betherchip</t>
  </si>
  <si>
    <t>BETHER</t>
  </si>
  <si>
    <t>bethereum</t>
  </si>
  <si>
    <t>Bethereum</t>
  </si>
  <si>
    <t>BETIFY</t>
  </si>
  <si>
    <t>betify</t>
  </si>
  <si>
    <t>Betify</t>
  </si>
  <si>
    <t>BTLLR</t>
  </si>
  <si>
    <t>betller-coin</t>
  </si>
  <si>
    <t>Betller Coin</t>
  </si>
  <si>
    <t>BETS</t>
  </si>
  <si>
    <t>betswamp</t>
  </si>
  <si>
    <t>Betswamp</t>
  </si>
  <si>
    <t>BSGG</t>
  </si>
  <si>
    <t>betswap-gg</t>
  </si>
  <si>
    <t>Betswap.gg</t>
  </si>
  <si>
    <t>BETTER</t>
  </si>
  <si>
    <t>better-money</t>
  </si>
  <si>
    <t>Better Money</t>
  </si>
  <si>
    <t>BETU</t>
  </si>
  <si>
    <t>betu</t>
  </si>
  <si>
    <t>Betu</t>
  </si>
  <si>
    <t>BETXC</t>
  </si>
  <si>
    <t>betxoin</t>
  </si>
  <si>
    <t>Betxoin</t>
  </si>
  <si>
    <t>BEVERAGE</t>
  </si>
  <si>
    <t>beverage</t>
  </si>
  <si>
    <t>DRINK</t>
  </si>
  <si>
    <t>beverage-token</t>
  </si>
  <si>
    <t>Beverage Finance</t>
  </si>
  <si>
    <t>BYND</t>
  </si>
  <si>
    <t>beyondcoin</t>
  </si>
  <si>
    <t>Beyondcoin</t>
  </si>
  <si>
    <t>BYN</t>
  </si>
  <si>
    <t>beyond-finance</t>
  </si>
  <si>
    <t>BeyondFi</t>
  </si>
  <si>
    <t>BP</t>
  </si>
  <si>
    <t>beyond-protocol</t>
  </si>
  <si>
    <t>Beyond Protocol</t>
  </si>
  <si>
    <t>BZNT</t>
  </si>
  <si>
    <t>bezant</t>
  </si>
  <si>
    <t>Bezant</t>
  </si>
  <si>
    <t>BEZOGE</t>
  </si>
  <si>
    <t>bezoge-earth</t>
  </si>
  <si>
    <t>Bezoge Earth</t>
  </si>
  <si>
    <t>$BEDOGE</t>
  </si>
  <si>
    <t>bezosdoge</t>
  </si>
  <si>
    <t>BezosDoge</t>
  </si>
  <si>
    <t>BFG</t>
  </si>
  <si>
    <t>bfg-token</t>
  </si>
  <si>
    <t>BetFury</t>
  </si>
  <si>
    <t>BFIC</t>
  </si>
  <si>
    <t>bficoin</t>
  </si>
  <si>
    <t>Bficoin</t>
  </si>
  <si>
    <t>BGAN</t>
  </si>
  <si>
    <t>bgan-vault-nftx</t>
  </si>
  <si>
    <t>BGAN Vault (NFTX)</t>
  </si>
  <si>
    <t>BGL</t>
  </si>
  <si>
    <t>bgl-token</t>
  </si>
  <si>
    <t>BGG</t>
  </si>
  <si>
    <t>bgogo</t>
  </si>
  <si>
    <t>Bgogo Token</t>
  </si>
  <si>
    <t>BGOV</t>
  </si>
  <si>
    <t>bgov</t>
  </si>
  <si>
    <t>BHO</t>
  </si>
  <si>
    <t>bho-network</t>
  </si>
  <si>
    <t>BHO Network</t>
  </si>
  <si>
    <t>BBP</t>
  </si>
  <si>
    <t>biblepay</t>
  </si>
  <si>
    <t>BiblePay</t>
  </si>
  <si>
    <t>BIX</t>
  </si>
  <si>
    <t>bibox-token</t>
  </si>
  <si>
    <t>BICO</t>
  </si>
  <si>
    <t>biconomy</t>
  </si>
  <si>
    <t>Biconomy</t>
  </si>
  <si>
    <t>BIT</t>
  </si>
  <si>
    <t>biconomy-exchange-token</t>
  </si>
  <si>
    <t>Biconomy Exchange</t>
  </si>
  <si>
    <t>BID</t>
  </si>
  <si>
    <t>bidao</t>
  </si>
  <si>
    <t>Bidao</t>
  </si>
  <si>
    <t>BIDEN</t>
  </si>
  <si>
    <t>biden</t>
  </si>
  <si>
    <t>BDP</t>
  </si>
  <si>
    <t>bidipass</t>
  </si>
  <si>
    <t>BidiPass</t>
  </si>
  <si>
    <t>bifi</t>
  </si>
  <si>
    <t>BiFi</t>
  </si>
  <si>
    <t>BFC</t>
  </si>
  <si>
    <t>bifrost</t>
  </si>
  <si>
    <t>Bifrost</t>
  </si>
  <si>
    <t>BNC</t>
  </si>
  <si>
    <t>bifrost-native-coin</t>
  </si>
  <si>
    <t>Bifrost Native Coin</t>
  </si>
  <si>
    <t>BBC</t>
  </si>
  <si>
    <t>bigbang-core</t>
  </si>
  <si>
    <t>BigBang Core</t>
  </si>
  <si>
    <t>BBGC</t>
  </si>
  <si>
    <t>bigbang-game</t>
  </si>
  <si>
    <t>BigBang Game</t>
  </si>
  <si>
    <t>BBO</t>
  </si>
  <si>
    <t>bigbom-eco</t>
  </si>
  <si>
    <t>Bigbom</t>
  </si>
  <si>
    <t>BDCASH</t>
  </si>
  <si>
    <t>bigdata-cash</t>
  </si>
  <si>
    <t>BigdataCash</t>
  </si>
  <si>
    <t>big-data-protocol</t>
  </si>
  <si>
    <t>Big Data Protocol</t>
  </si>
  <si>
    <t>BDE</t>
  </si>
  <si>
    <t>big-defi-energy</t>
  </si>
  <si>
    <t>Big Defi Energy</t>
  </si>
  <si>
    <t>BDS</t>
  </si>
  <si>
    <t>big-digital-shares</t>
  </si>
  <si>
    <t>Big Digital Shares</t>
  </si>
  <si>
    <t>BDOG</t>
  </si>
  <si>
    <t>big-dog-coin</t>
  </si>
  <si>
    <t>Big Dog Coin</t>
  </si>
  <si>
    <t>BIGETH</t>
  </si>
  <si>
    <t>big-eth</t>
  </si>
  <si>
    <t>BIG ETH</t>
  </si>
  <si>
    <t>FOOT</t>
  </si>
  <si>
    <t>bigfoot</t>
  </si>
  <si>
    <t>BIGFOOT</t>
  </si>
  <si>
    <t>big-fund-capital-dao</t>
  </si>
  <si>
    <t>Big Fund Capital DAO</t>
  </si>
  <si>
    <t>MIND</t>
  </si>
  <si>
    <t>biggerminds</t>
  </si>
  <si>
    <t>BiggerMINDS</t>
  </si>
  <si>
    <t>BIGB</t>
  </si>
  <si>
    <t>bigh-bull</t>
  </si>
  <si>
    <t>Bigh Bull</t>
  </si>
  <si>
    <t>BGLG</t>
  </si>
  <si>
    <t>big-league</t>
  </si>
  <si>
    <t>Big League</t>
  </si>
  <si>
    <t>BMM</t>
  </si>
  <si>
    <t>big-mouth-monster</t>
  </si>
  <si>
    <t>Big Mouth Monster</t>
  </si>
  <si>
    <t>BIGO</t>
  </si>
  <si>
    <t>bigo-token</t>
  </si>
  <si>
    <t>BIGOCOIN</t>
  </si>
  <si>
    <t>BIGSB</t>
  </si>
  <si>
    <t>bigshortbets</t>
  </si>
  <si>
    <t>BigShortBets</t>
  </si>
  <si>
    <t>BIG</t>
  </si>
  <si>
    <t>bigwinner</t>
  </si>
  <si>
    <t>Bigwinner</t>
  </si>
  <si>
    <t>BITGATTI</t>
  </si>
  <si>
    <t>biitgatti</t>
  </si>
  <si>
    <t>Bitgatti</t>
  </si>
  <si>
    <t>BIKINI</t>
  </si>
  <si>
    <t>bikini-finance</t>
  </si>
  <si>
    <t>Bikini Finance</t>
  </si>
  <si>
    <t>TRYB</t>
  </si>
  <si>
    <t>bilira</t>
  </si>
  <si>
    <t>BiLira</t>
  </si>
  <si>
    <t>BPLUS</t>
  </si>
  <si>
    <t>billionaire-plus</t>
  </si>
  <si>
    <t>Billionaire Plus</t>
  </si>
  <si>
    <t>BHC</t>
  </si>
  <si>
    <t>billionhappiness</t>
  </si>
  <si>
    <t>BillionHappiness</t>
  </si>
  <si>
    <t>BILL</t>
  </si>
  <si>
    <t>bill-token</t>
  </si>
  <si>
    <t>Bill</t>
  </si>
  <si>
    <t>BIMP</t>
  </si>
  <si>
    <t>bimp-finance</t>
  </si>
  <si>
    <t>Bimp Finance</t>
  </si>
  <si>
    <t>HERO</t>
  </si>
  <si>
    <t>binahero</t>
  </si>
  <si>
    <t>BinaHero</t>
  </si>
  <si>
    <t>BHUNT</t>
  </si>
  <si>
    <t>binahunter</t>
  </si>
  <si>
    <t>BinaHunter</t>
  </si>
  <si>
    <t>BMARS</t>
  </si>
  <si>
    <t>binamars</t>
  </si>
  <si>
    <t>Binamars</t>
  </si>
  <si>
    <t>BGAME</t>
  </si>
  <si>
    <t>binamars-game</t>
  </si>
  <si>
    <t>Binamars Game</t>
  </si>
  <si>
    <t>BMON</t>
  </si>
  <si>
    <t>binamon</t>
  </si>
  <si>
    <t>Binamon</t>
  </si>
  <si>
    <t>B8</t>
  </si>
  <si>
    <t>binance8</t>
  </si>
  <si>
    <t>Binance8</t>
  </si>
  <si>
    <t>BTCB</t>
  </si>
  <si>
    <t>binance-bitcoin</t>
  </si>
  <si>
    <t>Binance Bitcoin</t>
  </si>
  <si>
    <t>binancecoin</t>
  </si>
  <si>
    <t>binance-coin-wormhole</t>
  </si>
  <si>
    <t>Binance Coin (Wormhole)</t>
  </si>
  <si>
    <t>binance-eth</t>
  </si>
  <si>
    <t>Binance ETH staking</t>
  </si>
  <si>
    <t>BIHODL</t>
  </si>
  <si>
    <t>binancehodl</t>
  </si>
  <si>
    <t>BinanceHODL</t>
  </si>
  <si>
    <t>BIDR</t>
  </si>
  <si>
    <t>binanceidr</t>
  </si>
  <si>
    <t>BMCC</t>
  </si>
  <si>
    <t>binance-multi-chain-capital</t>
  </si>
  <si>
    <t>Binance Multi-Chain Capital</t>
  </si>
  <si>
    <t>BSCGIRL</t>
  </si>
  <si>
    <t>binance-smart-chain-girl</t>
  </si>
  <si>
    <t>Binance Smart Chain Girl</t>
  </si>
  <si>
    <t>binance-usd</t>
  </si>
  <si>
    <t>BUSDET</t>
  </si>
  <si>
    <t>binance-usd-wormhole</t>
  </si>
  <si>
    <t>Binance USD (Wormhole)</t>
  </si>
  <si>
    <t>BUSDBS</t>
  </si>
  <si>
    <t>binance-usd-wormhole-from-bsc</t>
  </si>
  <si>
    <t>Binance USD (Wormhole from BSC)</t>
  </si>
  <si>
    <t>binance-wrapped-btc</t>
  </si>
  <si>
    <t>Binance Wrapped BTC</t>
  </si>
  <si>
    <t>binance-wrapped-dot</t>
  </si>
  <si>
    <t>Binance Wrapped DOT</t>
  </si>
  <si>
    <t>BPET</t>
  </si>
  <si>
    <t>binapet</t>
  </si>
  <si>
    <t>Binapet</t>
  </si>
  <si>
    <t>BIN</t>
  </si>
  <si>
    <t>binarium</t>
  </si>
  <si>
    <t>Binarium</t>
  </si>
  <si>
    <t>KITTY</t>
  </si>
  <si>
    <t>binary-cat</t>
  </si>
  <si>
    <t>Binary Cat</t>
  </si>
  <si>
    <t>BYTE</t>
  </si>
  <si>
    <t>binarydao</t>
  </si>
  <si>
    <t>BinaryDAO</t>
  </si>
  <si>
    <t>BNX</t>
  </si>
  <si>
    <t>binaryx</t>
  </si>
  <si>
    <t>BinaryX</t>
  </si>
  <si>
    <t>BCNT</t>
  </si>
  <si>
    <t>bincentive</t>
  </si>
  <si>
    <t>Bincentive</t>
  </si>
  <si>
    <t>binemon</t>
  </si>
  <si>
    <t>Binemon</t>
  </si>
  <si>
    <t>BINGDWENDWEN</t>
  </si>
  <si>
    <t>bingdwendwen</t>
  </si>
  <si>
    <t>BingDwenDwen</t>
  </si>
  <si>
    <t>BDOGE</t>
  </si>
  <si>
    <t>bingo-doge</t>
  </si>
  <si>
    <t>Bingo Doge</t>
  </si>
  <si>
    <t>BINGO</t>
  </si>
  <si>
    <t>bingo-game</t>
  </si>
  <si>
    <t>Bingo Game</t>
  </si>
  <si>
    <t>SBGO</t>
  </si>
  <si>
    <t>bingo-share</t>
  </si>
  <si>
    <t>Bingo Share</t>
  </si>
  <si>
    <t>BNJ</t>
  </si>
  <si>
    <t>binjit-coin</t>
  </si>
  <si>
    <t>Binjit Coin</t>
  </si>
  <si>
    <t>BINOM</t>
  </si>
  <si>
    <t>binom-protocol</t>
  </si>
  <si>
    <t>Binom Protocol</t>
  </si>
  <si>
    <t>BINO</t>
  </si>
  <si>
    <t>binopoly</t>
  </si>
  <si>
    <t>Binopoly</t>
  </si>
  <si>
    <t>BINSPIRIT</t>
  </si>
  <si>
    <t>binspirit</t>
  </si>
  <si>
    <t>binSPIRIT</t>
  </si>
  <si>
    <t>BSR</t>
  </si>
  <si>
    <t>binstarter</t>
  </si>
  <si>
    <t>BinStarter</t>
  </si>
  <si>
    <t>BNTX</t>
  </si>
  <si>
    <t>bintex-futures</t>
  </si>
  <si>
    <t>Bintex Futures</t>
  </si>
  <si>
    <t>BKKG</t>
  </si>
  <si>
    <t>biokkoin</t>
  </si>
  <si>
    <t>Biokkoin</t>
  </si>
  <si>
    <t>BIOFI</t>
  </si>
  <si>
    <t>biometric-financial</t>
  </si>
  <si>
    <t>Biometric Financial</t>
  </si>
  <si>
    <t>BIOT</t>
  </si>
  <si>
    <t>biopassport</t>
  </si>
  <si>
    <t>Bio Passport</t>
  </si>
  <si>
    <t>BIOS</t>
  </si>
  <si>
    <t>bios</t>
  </si>
  <si>
    <t>0x_nodes</t>
  </si>
  <si>
    <t>BTRN</t>
  </si>
  <si>
    <t>biotron</t>
  </si>
  <si>
    <t>Biotron</t>
  </si>
  <si>
    <t>BIR</t>
  </si>
  <si>
    <t>birake</t>
  </si>
  <si>
    <t>Birake</t>
  </si>
  <si>
    <t>BIRB</t>
  </si>
  <si>
    <t>birb</t>
  </si>
  <si>
    <t>Birb</t>
  </si>
  <si>
    <t>BIRD</t>
  </si>
  <si>
    <t>birdchain</t>
  </si>
  <si>
    <t>Birdchain</t>
  </si>
  <si>
    <t>bird-money</t>
  </si>
  <si>
    <t>Bird.Money</t>
  </si>
  <si>
    <t>birdy-finance</t>
  </si>
  <si>
    <t>Birdy Finance</t>
  </si>
  <si>
    <t>BISON</t>
  </si>
  <si>
    <t>bishares</t>
  </si>
  <si>
    <t>BiShares</t>
  </si>
  <si>
    <t>BISHUFI</t>
  </si>
  <si>
    <t>bishu-finance</t>
  </si>
  <si>
    <t>Bishu Finance</t>
  </si>
  <si>
    <t>BIS</t>
  </si>
  <si>
    <t>bismuth</t>
  </si>
  <si>
    <t>Bismuth</t>
  </si>
  <si>
    <t>BIST</t>
  </si>
  <si>
    <t>bistroo</t>
  </si>
  <si>
    <t>Bistroo</t>
  </si>
  <si>
    <t>BSW</t>
  </si>
  <si>
    <t>biswap</t>
  </si>
  <si>
    <t>Biswap</t>
  </si>
  <si>
    <t>BISWAP</t>
  </si>
  <si>
    <t>biswap-token</t>
  </si>
  <si>
    <t>Biswap Token</t>
  </si>
  <si>
    <t>B2M</t>
  </si>
  <si>
    <t>bit2me</t>
  </si>
  <si>
    <t>Bit2Me</t>
  </si>
  <si>
    <t>bitalgo</t>
  </si>
  <si>
    <t>Bitalgo</t>
  </si>
  <si>
    <t>BITANT</t>
  </si>
  <si>
    <t>bitant</t>
  </si>
  <si>
    <t>BitANT</t>
  </si>
  <si>
    <t>BITA</t>
  </si>
  <si>
    <t>bitastir</t>
  </si>
  <si>
    <t>BitAstir</t>
  </si>
  <si>
    <t>BAU</t>
  </si>
  <si>
    <t>bitau</t>
  </si>
  <si>
    <t>BitAU</t>
  </si>
  <si>
    <t>BTZ</t>
  </si>
  <si>
    <t>bitazza</t>
  </si>
  <si>
    <t>Bitazza</t>
  </si>
  <si>
    <t>BTB</t>
  </si>
  <si>
    <t>bitball</t>
  </si>
  <si>
    <t>Bitball</t>
  </si>
  <si>
    <t>BTRS</t>
  </si>
  <si>
    <t>bitball-treasure</t>
  </si>
  <si>
    <t>Bitball Treasure</t>
  </si>
  <si>
    <t>bitbar</t>
  </si>
  <si>
    <t>Bitbar</t>
  </si>
  <si>
    <t>BTBS</t>
  </si>
  <si>
    <t>bitbase-token</t>
  </si>
  <si>
    <t>BitBase BTBS</t>
  </si>
  <si>
    <t>BBR</t>
  </si>
  <si>
    <t>bitberry-token</t>
  </si>
  <si>
    <t>BBKFI</t>
  </si>
  <si>
    <t>bitblocks-finance</t>
  </si>
  <si>
    <t>BitBlocks Finance</t>
  </si>
  <si>
    <t>BFIRE</t>
  </si>
  <si>
    <t>bitblocks-fire</t>
  </si>
  <si>
    <t>Bitblocks Fire</t>
  </si>
  <si>
    <t>BBK</t>
  </si>
  <si>
    <t>bitblocks-project</t>
  </si>
  <si>
    <t>BitBlocks</t>
  </si>
  <si>
    <t>BBT</t>
  </si>
  <si>
    <t>bitbook-token</t>
  </si>
  <si>
    <t>BitBook</t>
  </si>
  <si>
    <t>bitboost</t>
  </si>
  <si>
    <t>BitBoost</t>
  </si>
  <si>
    <t>BITBUCKS</t>
  </si>
  <si>
    <t>bitbucks</t>
  </si>
  <si>
    <t>BitBucks</t>
  </si>
  <si>
    <t>BCNA</t>
  </si>
  <si>
    <t>bitcanna</t>
  </si>
  <si>
    <t>BitCanna</t>
  </si>
  <si>
    <t>BCARE</t>
  </si>
  <si>
    <t>bitcarecoin</t>
  </si>
  <si>
    <t>BitCareCoin</t>
  </si>
  <si>
    <t>BITC</t>
  </si>
  <si>
    <t>bitcash</t>
  </si>
  <si>
    <t>BitCash</t>
  </si>
  <si>
    <t>BCP</t>
  </si>
  <si>
    <t>bitcashpay-old</t>
  </si>
  <si>
    <t>BitcashPay (Old)</t>
  </si>
  <si>
    <t>BCW</t>
  </si>
  <si>
    <t>bit-castle-war</t>
  </si>
  <si>
    <t>Bit Castle War</t>
  </si>
  <si>
    <t>BCEO</t>
  </si>
  <si>
    <t>bitceo</t>
  </si>
  <si>
    <t>bitCEO</t>
  </si>
  <si>
    <t>BCHC</t>
  </si>
  <si>
    <t>bitcherry</t>
  </si>
  <si>
    <t>BitCherry</t>
  </si>
  <si>
    <t>BITCI</t>
  </si>
  <si>
    <t>bitcicoin</t>
  </si>
  <si>
    <t>Bitcicoin</t>
  </si>
  <si>
    <t>CAT</t>
  </si>
  <si>
    <t>bitclave</t>
  </si>
  <si>
    <t>BitClave</t>
  </si>
  <si>
    <t>BTDX</t>
  </si>
  <si>
    <t>bitcloud</t>
  </si>
  <si>
    <t>Bitcloud</t>
  </si>
  <si>
    <t>DESO</t>
  </si>
  <si>
    <t>bitclout</t>
  </si>
  <si>
    <t>Decentralized Social</t>
  </si>
  <si>
    <t>BITCNY</t>
  </si>
  <si>
    <t>bitcny</t>
  </si>
  <si>
    <t>bitCNY</t>
  </si>
  <si>
    <t>BFF</t>
  </si>
  <si>
    <t>bitcoffeen</t>
  </si>
  <si>
    <t>Bitcoffeen</t>
  </si>
  <si>
    <t>bitcoin</t>
  </si>
  <si>
    <t>BTC2</t>
  </si>
  <si>
    <t>bitcoin-2</t>
  </si>
  <si>
    <t>Bitcoin 2</t>
  </si>
  <si>
    <t>BTAD</t>
  </si>
  <si>
    <t>bitcoin-adult</t>
  </si>
  <si>
    <t>Bitcoin Adult</t>
  </si>
  <si>
    <t>BEST</t>
  </si>
  <si>
    <t>bitcoin-and-ethereum-standard-token</t>
  </si>
  <si>
    <t>Bitcoin and Ethereum Standard</t>
  </si>
  <si>
    <t>BTCA</t>
  </si>
  <si>
    <t>bitcoin-anonymous</t>
  </si>
  <si>
    <t>Bitcoin Anonymous</t>
  </si>
  <si>
    <t>bitcoin-asia</t>
  </si>
  <si>
    <t>Bitcoin Asia</t>
  </si>
  <si>
    <t>bitcoin-asset</t>
  </si>
  <si>
    <t>Bitcoin Asset (Old)</t>
  </si>
  <si>
    <t>bitcoin-asset-2</t>
  </si>
  <si>
    <t>Bitcoin Asset</t>
  </si>
  <si>
    <t>BCA</t>
  </si>
  <si>
    <t>bitcoin-atom</t>
  </si>
  <si>
    <t>Bitcoin Atom</t>
  </si>
  <si>
    <t>BTCBAM</t>
  </si>
  <si>
    <t>bitcoinbam</t>
  </si>
  <si>
    <t>BitcoinBam</t>
  </si>
  <si>
    <t>bitcoin-bep2</t>
  </si>
  <si>
    <t>Bitcoin BEP2</t>
  </si>
  <si>
    <t>BTCBR</t>
  </si>
  <si>
    <t>bitcoin-br</t>
  </si>
  <si>
    <t>Bitcoin BR</t>
  </si>
  <si>
    <t>bitcoinbrand</t>
  </si>
  <si>
    <t>BitcoinBrand</t>
  </si>
  <si>
    <t>bitcoin-cash</t>
  </si>
  <si>
    <t>BSV</t>
  </si>
  <si>
    <t>bitcoin-cash-sv</t>
  </si>
  <si>
    <t>Bitcoin SV</t>
  </si>
  <si>
    <t>BCITY</t>
  </si>
  <si>
    <t>bitcoin-city-coin</t>
  </si>
  <si>
    <t>Bitcoin City Coin</t>
  </si>
  <si>
    <t>BC</t>
  </si>
  <si>
    <t>bitcoin-confidential</t>
  </si>
  <si>
    <t>Bitcoin Confidential</t>
  </si>
  <si>
    <t>BYRON</t>
  </si>
  <si>
    <t>bitcoin-cure</t>
  </si>
  <si>
    <t>Byron</t>
  </si>
  <si>
    <t>BCD</t>
  </si>
  <si>
    <t>bitcoin-diamond</t>
  </si>
  <si>
    <t>Bitcoin Diamond</t>
  </si>
  <si>
    <t>BCF</t>
  </si>
  <si>
    <t>bitcoin-fast</t>
  </si>
  <si>
    <t>Bitcoin Fast</t>
  </si>
  <si>
    <t>BTCF</t>
  </si>
  <si>
    <t>bitcoin-final</t>
  </si>
  <si>
    <t>Bitcoin Final</t>
  </si>
  <si>
    <t>GOD</t>
  </si>
  <si>
    <t>bitcoin-god</t>
  </si>
  <si>
    <t>Bitcoin God</t>
  </si>
  <si>
    <t>BTG</t>
  </si>
  <si>
    <t>bitcoin-gold</t>
  </si>
  <si>
    <t>Bitcoin Gold</t>
  </si>
  <si>
    <t>BITG</t>
  </si>
  <si>
    <t>bitcoin-green</t>
  </si>
  <si>
    <t>Bitcoin Green</t>
  </si>
  <si>
    <t>BHD</t>
  </si>
  <si>
    <t>bitcoin-hd</t>
  </si>
  <si>
    <t>Bitcoin HD</t>
  </si>
  <si>
    <t>BTH</t>
  </si>
  <si>
    <t>bitcoin-hot</t>
  </si>
  <si>
    <t>Bitcoin Hot</t>
  </si>
  <si>
    <t>BTI</t>
  </si>
  <si>
    <t>bitcoin-instant</t>
  </si>
  <si>
    <t>Bitcoin Instant</t>
  </si>
  <si>
    <t>BTCI</t>
  </si>
  <si>
    <t>bitcoin-international</t>
  </si>
  <si>
    <t>Bitcoin International</t>
  </si>
  <si>
    <t>LTNM</t>
  </si>
  <si>
    <t>bitcoin-latinum</t>
  </si>
  <si>
    <t>Bitcoin Latinum</t>
  </si>
  <si>
    <t>BCL</t>
  </si>
  <si>
    <t>bitcoinlegend</t>
  </si>
  <si>
    <t>BitcoinLegend</t>
  </si>
  <si>
    <t>BLTG</t>
  </si>
  <si>
    <t>bitcoin-lightning</t>
  </si>
  <si>
    <t>Block-Logic</t>
  </si>
  <si>
    <t>BITMETA</t>
  </si>
  <si>
    <t>bitcoin-metaverse</t>
  </si>
  <si>
    <t>Bitcoin Metaverse</t>
  </si>
  <si>
    <t>BCM</t>
  </si>
  <si>
    <t>bitcoinmoney</t>
  </si>
  <si>
    <t>BitcoinMoney</t>
  </si>
  <si>
    <t>BTCMZ</t>
  </si>
  <si>
    <t>bitcoinmono</t>
  </si>
  <si>
    <t>BitcoinMono</t>
  </si>
  <si>
    <t>BTCN</t>
  </si>
  <si>
    <t>bitcoin-networks</t>
  </si>
  <si>
    <t>Bitcoin Networks</t>
  </si>
  <si>
    <t>BTCONE</t>
  </si>
  <si>
    <t>bitcoin-one</t>
  </si>
  <si>
    <t>BitCoin One</t>
  </si>
  <si>
    <t>BTP</t>
  </si>
  <si>
    <t>bitcoin-pay</t>
  </si>
  <si>
    <t>Bitcoin Pay</t>
  </si>
  <si>
    <t>XBC</t>
  </si>
  <si>
    <t>bitcoin-plus</t>
  </si>
  <si>
    <t>Bitcoin Plus</t>
  </si>
  <si>
    <t>BTCP</t>
  </si>
  <si>
    <t>bitcoinprint</t>
  </si>
  <si>
    <t>BitcoinPrint</t>
  </si>
  <si>
    <t>bitcoin-private</t>
  </si>
  <si>
    <t>Bitcoin Private</t>
  </si>
  <si>
    <t>bitcoin-pro</t>
  </si>
  <si>
    <t>Bitcoin Pro</t>
  </si>
  <si>
    <t>BTCRED</t>
  </si>
  <si>
    <t>bitcoin-red</t>
  </si>
  <si>
    <t>Bitcoin Red</t>
  </si>
  <si>
    <t>BTRL</t>
  </si>
  <si>
    <t>bitcoinregular</t>
  </si>
  <si>
    <t>BitcoinRegular</t>
  </si>
  <si>
    <t>XRC</t>
  </si>
  <si>
    <t>bitcoin-rhodium</t>
  </si>
  <si>
    <t>xRhodium</t>
  </si>
  <si>
    <t>BTCS</t>
  </si>
  <si>
    <t>bitcoin-scrypt</t>
  </si>
  <si>
    <t>Bitcoin Scrypt</t>
  </si>
  <si>
    <t>BSOV</t>
  </si>
  <si>
    <t>bitcoinsov</t>
  </si>
  <si>
    <t>BitcoinSoV</t>
  </si>
  <si>
    <t>BSK</t>
  </si>
  <si>
    <t>bitcoinstaking</t>
  </si>
  <si>
    <t>BitcoinStaking</t>
  </si>
  <si>
    <t>BSH</t>
  </si>
  <si>
    <t>bitcoin-stash</t>
  </si>
  <si>
    <t>Bitcoin Stash</t>
  </si>
  <si>
    <t>XBTX</t>
  </si>
  <si>
    <t>bitcoin-subsidium</t>
  </si>
  <si>
    <t>Bitcoin Subsidium</t>
  </si>
  <si>
    <t>BTCT</t>
  </si>
  <si>
    <t>bitcoin-token</t>
  </si>
  <si>
    <t>BitcoinToken</t>
  </si>
  <si>
    <t>BCT</t>
  </si>
  <si>
    <t>bitcoin-trust</t>
  </si>
  <si>
    <t>Bitcoin Trust</t>
  </si>
  <si>
    <t>BTCU</t>
  </si>
  <si>
    <t>bitcoin-ultra</t>
  </si>
  <si>
    <t>BitcoinUltra</t>
  </si>
  <si>
    <t>BTCV</t>
  </si>
  <si>
    <t>bitcoinv</t>
  </si>
  <si>
    <t>BitcoinV</t>
  </si>
  <si>
    <t>bitcoin-vault</t>
  </si>
  <si>
    <t>Bitcoin Vault</t>
  </si>
  <si>
    <t>BCVT</t>
  </si>
  <si>
    <t>bitcoinvend</t>
  </si>
  <si>
    <t>BitcoinVend</t>
  </si>
  <si>
    <t>BCX</t>
  </si>
  <si>
    <t>bitcoinx</t>
  </si>
  <si>
    <t>BitcoinX</t>
  </si>
  <si>
    <t>BTCX</t>
  </si>
  <si>
    <t>bitcoinx-2</t>
  </si>
  <si>
    <t>BitcoinXGames</t>
  </si>
  <si>
    <t>BTCZ</t>
  </si>
  <si>
    <t>bitcoinz</t>
  </si>
  <si>
    <t>BitcoinZ</t>
  </si>
  <si>
    <t>bitcoiva</t>
  </si>
  <si>
    <t>Bitcoiva</t>
  </si>
  <si>
    <t>BTCIX</t>
  </si>
  <si>
    <t>bitcolojix</t>
  </si>
  <si>
    <t>BITCOLOJIX</t>
  </si>
  <si>
    <t>BME</t>
  </si>
  <si>
    <t>bitcomine</t>
  </si>
  <si>
    <t>BitcoMine</t>
  </si>
  <si>
    <t>BM</t>
  </si>
  <si>
    <t>bitcomo</t>
  </si>
  <si>
    <t>Bitcomo</t>
  </si>
  <si>
    <t>bitconnect</t>
  </si>
  <si>
    <t>Bitconnect</t>
  </si>
  <si>
    <t>BCCX</t>
  </si>
  <si>
    <t>bitconnectx-genesis</t>
  </si>
  <si>
    <t>BCCXGenesis</t>
  </si>
  <si>
    <t>BTX</t>
  </si>
  <si>
    <t>bitcore</t>
  </si>
  <si>
    <t>BitCore</t>
  </si>
  <si>
    <t>BIC</t>
  </si>
  <si>
    <t>bitcrex-coin</t>
  </si>
  <si>
    <t>Bitcrex Coin</t>
  </si>
  <si>
    <t>CRUSH</t>
  </si>
  <si>
    <t>bitcrush</t>
  </si>
  <si>
    <t>Bitcrush</t>
  </si>
  <si>
    <t>BTCR</t>
  </si>
  <si>
    <t>bitcurate</t>
  </si>
  <si>
    <t>Bitcurate</t>
  </si>
  <si>
    <t>bitdao</t>
  </si>
  <si>
    <t>BitDAO</t>
  </si>
  <si>
    <t>BDG</t>
  </si>
  <si>
    <t>bitdegree</t>
  </si>
  <si>
    <t>BitDegree</t>
  </si>
  <si>
    <t>$BITC</t>
  </si>
  <si>
    <t>bitecoin</t>
  </si>
  <si>
    <t>Bitecoin</t>
  </si>
  <si>
    <t>bit-ecological-digital</t>
  </si>
  <si>
    <t>Bit Ecological Digital</t>
  </si>
  <si>
    <t>BT</t>
  </si>
  <si>
    <t>bitenium-token</t>
  </si>
  <si>
    <t>Bitenium</t>
  </si>
  <si>
    <t>FARI</t>
  </si>
  <si>
    <t>bitfari</t>
  </si>
  <si>
    <t>Bitfari</t>
  </si>
  <si>
    <t>bit_financial</t>
  </si>
  <si>
    <t>Bit Financial</t>
  </si>
  <si>
    <t>PETAL</t>
  </si>
  <si>
    <t>bitflowers</t>
  </si>
  <si>
    <t>bitFlowers</t>
  </si>
  <si>
    <t>BF</t>
  </si>
  <si>
    <t>bitforex</t>
  </si>
  <si>
    <t>Bitforex Token</t>
  </si>
  <si>
    <t>BFT</t>
  </si>
  <si>
    <t>bitfresh</t>
  </si>
  <si>
    <t>Bitfresh</t>
  </si>
  <si>
    <t>GEAR</t>
  </si>
  <si>
    <t>bitgear</t>
  </si>
  <si>
    <t>Bitgear</t>
  </si>
  <si>
    <t>XBTG</t>
  </si>
  <si>
    <t>bitgem</t>
  </si>
  <si>
    <t>Bitgem</t>
  </si>
  <si>
    <t>bitgesell</t>
  </si>
  <si>
    <t>Bitgesell</t>
  </si>
  <si>
    <t>BGB</t>
  </si>
  <si>
    <t>bitget-token</t>
  </si>
  <si>
    <t>PLAT</t>
  </si>
  <si>
    <t>bitguild</t>
  </si>
  <si>
    <t>BitGuild PLAT</t>
  </si>
  <si>
    <t>BITH</t>
  </si>
  <si>
    <t>bithachi</t>
  </si>
  <si>
    <t>Bithachi</t>
  </si>
  <si>
    <t>BHAX</t>
  </si>
  <si>
    <t>bithashex</t>
  </si>
  <si>
    <t>Bithashex</t>
  </si>
  <si>
    <t>bithash-token</t>
  </si>
  <si>
    <t>BIH</t>
  </si>
  <si>
    <t>bithostcoin</t>
  </si>
  <si>
    <t>BitHostCoin</t>
  </si>
  <si>
    <t>bit-hotel</t>
  </si>
  <si>
    <t>Bit Hotel</t>
  </si>
  <si>
    <t>BDCC</t>
  </si>
  <si>
    <t>bitica-coin</t>
  </si>
  <si>
    <t>BITICA COIN</t>
  </si>
  <si>
    <t>STU</t>
  </si>
  <si>
    <t>bitjob</t>
  </si>
  <si>
    <t>bitJob</t>
  </si>
  <si>
    <t>KUB</t>
  </si>
  <si>
    <t>bitkub-coin</t>
  </si>
  <si>
    <t>Bitkub Coin</t>
  </si>
  <si>
    <t>LIBERTE</t>
  </si>
  <si>
    <t>bitliberte</t>
  </si>
  <si>
    <t>Bitliberte</t>
  </si>
  <si>
    <t>BLT</t>
  </si>
  <si>
    <t>bitlive</t>
  </si>
  <si>
    <t>BITLIVE</t>
  </si>
  <si>
    <t>bitlocus</t>
  </si>
  <si>
    <t>Bitlocus</t>
  </si>
  <si>
    <t>bitlorrent</t>
  </si>
  <si>
    <t>Bitlorrent</t>
  </si>
  <si>
    <t>MARKS</t>
  </si>
  <si>
    <t>bitmark</t>
  </si>
  <si>
    <t>Bitmark</t>
  </si>
  <si>
    <t>BMX</t>
  </si>
  <si>
    <t>bitmart-token</t>
  </si>
  <si>
    <t>BitMart Token</t>
  </si>
  <si>
    <t>bitmax-coin</t>
  </si>
  <si>
    <t>Bitmax Coin</t>
  </si>
  <si>
    <t>BMEX</t>
  </si>
  <si>
    <t>bitmex-token</t>
  </si>
  <si>
    <t>BitMEX</t>
  </si>
  <si>
    <t>BMIC</t>
  </si>
  <si>
    <t>bitmic</t>
  </si>
  <si>
    <t>Bitmic</t>
  </si>
  <si>
    <t>bitmon</t>
  </si>
  <si>
    <t>Bitmon</t>
  </si>
  <si>
    <t>bitmoney</t>
  </si>
  <si>
    <t>BitMoney</t>
  </si>
  <si>
    <t>BTNT</t>
  </si>
  <si>
    <t>bitnautic</t>
  </si>
  <si>
    <t>BitNautic</t>
  </si>
  <si>
    <t>BN</t>
  </si>
  <si>
    <t>bitnorm</t>
  </si>
  <si>
    <t>Bitnorm</t>
  </si>
  <si>
    <t>BITO</t>
  </si>
  <si>
    <t>bito-coin</t>
  </si>
  <si>
    <t>BITO Coin</t>
  </si>
  <si>
    <t>BIO</t>
  </si>
  <si>
    <t>bitone</t>
  </si>
  <si>
    <t>BITONE</t>
  </si>
  <si>
    <t>BTNYX</t>
  </si>
  <si>
    <t>bitonyx-token</t>
  </si>
  <si>
    <t>BITORB</t>
  </si>
  <si>
    <t>bitorbit</t>
  </si>
  <si>
    <t>BitOrbit</t>
  </si>
  <si>
    <t>bitpaid-token</t>
  </si>
  <si>
    <t>Bitpaid</t>
  </si>
  <si>
    <t>bitpanda-ecosystem-token</t>
  </si>
  <si>
    <t>Bitpanda Ecosystem Token</t>
  </si>
  <si>
    <t>BPTN</t>
  </si>
  <si>
    <t>bit-public-talent-network</t>
  </si>
  <si>
    <t>Bit Public Talent Network</t>
  </si>
  <si>
    <t>BRO</t>
  </si>
  <si>
    <t>bitradio</t>
  </si>
  <si>
    <t>Bitradio</t>
  </si>
  <si>
    <t>RNTB</t>
  </si>
  <si>
    <t>bitrent</t>
  </si>
  <si>
    <t>BitRent</t>
  </si>
  <si>
    <t>RIDES</t>
  </si>
  <si>
    <t>bit-rides</t>
  </si>
  <si>
    <t>Bit Rides</t>
  </si>
  <si>
    <t>BRISE</t>
  </si>
  <si>
    <t>bitrise-token</t>
  </si>
  <si>
    <t>Bitgert</t>
  </si>
  <si>
    <t>BTR</t>
  </si>
  <si>
    <t>bitriver</t>
  </si>
  <si>
    <t>Bitriver</t>
  </si>
  <si>
    <t>bitroncoin</t>
  </si>
  <si>
    <t>BitronCoin</t>
  </si>
  <si>
    <t>bitrue-token</t>
  </si>
  <si>
    <t>Bitrue Coin</t>
  </si>
  <si>
    <t>BITX</t>
  </si>
  <si>
    <t>bitscreener</t>
  </si>
  <si>
    <t>BitScreener</t>
  </si>
  <si>
    <t>BTS</t>
  </si>
  <si>
    <t>bitshares</t>
  </si>
  <si>
    <t>BitShares</t>
  </si>
  <si>
    <t>BTSHK</t>
  </si>
  <si>
    <t>bitshark</t>
  </si>
  <si>
    <t>Bitshark</t>
  </si>
  <si>
    <t>SHIBA</t>
  </si>
  <si>
    <t>bitshiba</t>
  </si>
  <si>
    <t>BitShiba</t>
  </si>
  <si>
    <t>BTSL</t>
  </si>
  <si>
    <t>bitsol-finance</t>
  </si>
  <si>
    <t>Bitsol Finance</t>
  </si>
  <si>
    <t>BTSG</t>
  </si>
  <si>
    <t>bitsong</t>
  </si>
  <si>
    <t>BitSong</t>
  </si>
  <si>
    <t>BSC</t>
  </si>
  <si>
    <t>bitsonic-token</t>
  </si>
  <si>
    <t>SPWN</t>
  </si>
  <si>
    <t>bitspawn</t>
  </si>
  <si>
    <t>Bitspawn</t>
  </si>
  <si>
    <t>XBS</t>
  </si>
  <si>
    <t>bitstake</t>
  </si>
  <si>
    <t>BitStake</t>
  </si>
  <si>
    <t>bitsten-token</t>
  </si>
  <si>
    <t>Bitsten Token</t>
  </si>
  <si>
    <t>STORE</t>
  </si>
  <si>
    <t>bit-store-coin</t>
  </si>
  <si>
    <t>Bit Store</t>
  </si>
  <si>
    <t>BITSU</t>
  </si>
  <si>
    <t>bitsubishi</t>
  </si>
  <si>
    <t>Bitsubishi</t>
  </si>
  <si>
    <t>MAT</t>
  </si>
  <si>
    <t>bitsum</t>
  </si>
  <si>
    <t>Matka</t>
  </si>
  <si>
    <t>BITS</t>
  </si>
  <si>
    <t>bitswift</t>
  </si>
  <si>
    <t>Bitswift</t>
  </si>
  <si>
    <t>BITTO</t>
  </si>
  <si>
    <t>bitto-exchange</t>
  </si>
  <si>
    <t>BITT</t>
  </si>
  <si>
    <t>bittoken</t>
  </si>
  <si>
    <t>BXT</t>
  </si>
  <si>
    <t>bittokens</t>
  </si>
  <si>
    <t>BitTokens</t>
  </si>
  <si>
    <t>BTT</t>
  </si>
  <si>
    <t>bittorrent</t>
  </si>
  <si>
    <t>BitTorrent</t>
  </si>
  <si>
    <t>BTTOLD</t>
  </si>
  <si>
    <t>bittorrent-old</t>
  </si>
  <si>
    <t>BitTorrent [OLD]</t>
  </si>
  <si>
    <t>BTTR</t>
  </si>
  <si>
    <t>bittracksystems</t>
  </si>
  <si>
    <t>BittrackSystems</t>
  </si>
  <si>
    <t>TUBE</t>
  </si>
  <si>
    <t>bittube</t>
  </si>
  <si>
    <t>BitTube</t>
  </si>
  <si>
    <t>bittwatt</t>
  </si>
  <si>
    <t>Bittwatt</t>
  </si>
  <si>
    <t>BITUP</t>
  </si>
  <si>
    <t>bitup</t>
  </si>
  <si>
    <t>BitUp</t>
  </si>
  <si>
    <t>BUT</t>
  </si>
  <si>
    <t>bitup-token</t>
  </si>
  <si>
    <t>BitUP Token</t>
  </si>
  <si>
    <t>BITV</t>
  </si>
  <si>
    <t>bitvalley</t>
  </si>
  <si>
    <t>BitValley</t>
  </si>
  <si>
    <t>BTV</t>
  </si>
  <si>
    <t>bitvalve-2</t>
  </si>
  <si>
    <t>BitValve</t>
  </si>
  <si>
    <t>bitvote</t>
  </si>
  <si>
    <t>Bitvote</t>
  </si>
  <si>
    <t>bitweb</t>
  </si>
  <si>
    <t>Bitweb</t>
  </si>
  <si>
    <t>WELL</t>
  </si>
  <si>
    <t>bitwell-token</t>
  </si>
  <si>
    <t>Bitwell</t>
  </si>
  <si>
    <t>BTW</t>
  </si>
  <si>
    <t>bitwhite</t>
  </si>
  <si>
    <t>BitWhite</t>
  </si>
  <si>
    <t>BWI</t>
  </si>
  <si>
    <t>bitwin24</t>
  </si>
  <si>
    <t>Bitwin24</t>
  </si>
  <si>
    <t>BITZ</t>
  </si>
  <si>
    <t>bitz</t>
  </si>
  <si>
    <t>ZNY</t>
  </si>
  <si>
    <t>bitzeny</t>
  </si>
  <si>
    <t>BitZeny</t>
  </si>
  <si>
    <t>BIXB</t>
  </si>
  <si>
    <t>bixb-coin</t>
  </si>
  <si>
    <t>BixB Coin</t>
  </si>
  <si>
    <t>BIXCPRO</t>
  </si>
  <si>
    <t>bixcpro</t>
  </si>
  <si>
    <t>BIZZ</t>
  </si>
  <si>
    <t>bizzcoin</t>
  </si>
  <si>
    <t>BIZZCOIN</t>
  </si>
  <si>
    <t>BKK</t>
  </si>
  <si>
    <t>bkex-token</t>
  </si>
  <si>
    <t>BKEX Chain</t>
  </si>
  <si>
    <t>BKF</t>
  </si>
  <si>
    <t>bking-finance</t>
  </si>
  <si>
    <t>BKING Finance</t>
  </si>
  <si>
    <t>blackcoin</t>
  </si>
  <si>
    <t>BlackCoin</t>
  </si>
  <si>
    <t>DIAMONDS</t>
  </si>
  <si>
    <t>black-diamond</t>
  </si>
  <si>
    <t>Black Diamond</t>
  </si>
  <si>
    <t>BDT</t>
  </si>
  <si>
    <t>blackdragon-token</t>
  </si>
  <si>
    <t>BYG</t>
  </si>
  <si>
    <t>black-eye-galaxy</t>
  </si>
  <si>
    <t>Black Eye Galaxy</t>
  </si>
  <si>
    <t>BLKC</t>
  </si>
  <si>
    <t>blackhat-coin</t>
  </si>
  <si>
    <t>BlackHat Coin</t>
  </si>
  <si>
    <t>blackholedao</t>
  </si>
  <si>
    <t>BlackHoleDAO</t>
  </si>
  <si>
    <t>BLACK</t>
  </si>
  <si>
    <t>blackhole-protocol</t>
  </si>
  <si>
    <t>BlackHole Protocol</t>
  </si>
  <si>
    <t>BHSC</t>
  </si>
  <si>
    <t>blackholeswap-compound-dai-usdc</t>
  </si>
  <si>
    <t>BlackHoleSwap-Compound DAI/USDC</t>
  </si>
  <si>
    <t>KLB</t>
  </si>
  <si>
    <t>black-label</t>
  </si>
  <si>
    <t>Black Label</t>
  </si>
  <si>
    <t>BMC</t>
  </si>
  <si>
    <t>blackmoon-crypto</t>
  </si>
  <si>
    <t>Blackmoon Crypto</t>
  </si>
  <si>
    <t>blacknet</t>
  </si>
  <si>
    <t>Blacknet</t>
  </si>
  <si>
    <t>BPLC</t>
  </si>
  <si>
    <t>blackpearl-chain</t>
  </si>
  <si>
    <t>BlackPearl Token</t>
  </si>
  <si>
    <t>BPX</t>
  </si>
  <si>
    <t>black-phoenix</t>
  </si>
  <si>
    <t>Black Phoenix</t>
  </si>
  <si>
    <t>BPKR</t>
  </si>
  <si>
    <t>blackpoker</t>
  </si>
  <si>
    <t>BlackPoker</t>
  </si>
  <si>
    <t>BPT</t>
  </si>
  <si>
    <t>blackpool-token</t>
  </si>
  <si>
    <t>BlackPool</t>
  </si>
  <si>
    <t>BSHIB</t>
  </si>
  <si>
    <t>black-shiba</t>
  </si>
  <si>
    <t>Black Shiba</t>
  </si>
  <si>
    <t>black-whale</t>
  </si>
  <si>
    <t>Black Whale</t>
  </si>
  <si>
    <t>BLANC</t>
  </si>
  <si>
    <t>blanc</t>
  </si>
  <si>
    <t>Blanc</t>
  </si>
  <si>
    <t>BLANK</t>
  </si>
  <si>
    <t>blank</t>
  </si>
  <si>
    <t>BlockWallet</t>
  </si>
  <si>
    <t>BLAST</t>
  </si>
  <si>
    <t>blast</t>
  </si>
  <si>
    <t>BLAZAR</t>
  </si>
  <si>
    <t>blazar</t>
  </si>
  <si>
    <t>BLZN</t>
  </si>
  <si>
    <t>blaze-network</t>
  </si>
  <si>
    <t>Blaze Network</t>
  </si>
  <si>
    <t>BLES</t>
  </si>
  <si>
    <t>blind-boxes</t>
  </si>
  <si>
    <t>Blind Boxes</t>
  </si>
  <si>
    <t>blink</t>
  </si>
  <si>
    <t>BLink</t>
  </si>
  <si>
    <t>BLIN</t>
  </si>
  <si>
    <t>blin-metaverse</t>
  </si>
  <si>
    <t>Blin Metaverse</t>
  </si>
  <si>
    <t>BLITZ</t>
  </si>
  <si>
    <t>blitz-labs</t>
  </si>
  <si>
    <t>Blitz Labs</t>
  </si>
  <si>
    <t>XBP</t>
  </si>
  <si>
    <t>blitzpredict</t>
  </si>
  <si>
    <t>BlitzPick</t>
  </si>
  <si>
    <t>XBLZD</t>
  </si>
  <si>
    <t>blizzard</t>
  </si>
  <si>
    <t>Blizzard</t>
  </si>
  <si>
    <t>BLIZZ</t>
  </si>
  <si>
    <t>blizzard-network</t>
  </si>
  <si>
    <t>Blizzard Network</t>
  </si>
  <si>
    <t>BLZZ</t>
  </si>
  <si>
    <t>blizz-finance</t>
  </si>
  <si>
    <t>Blizz Finance</t>
  </si>
  <si>
    <t>BLY</t>
  </si>
  <si>
    <t>blocery</t>
  </si>
  <si>
    <t>Blocery</t>
  </si>
  <si>
    <t>18C</t>
  </si>
  <si>
    <t>block-18</t>
  </si>
  <si>
    <t>Block 18</t>
  </si>
  <si>
    <t>B2P</t>
  </si>
  <si>
    <t>block2play</t>
  </si>
  <si>
    <t>Block2Play</t>
  </si>
  <si>
    <t>block-ape-scissors</t>
  </si>
  <si>
    <t>Block Ape Scissors</t>
  </si>
  <si>
    <t>BLOCK</t>
  </si>
  <si>
    <t>blockasset</t>
  </si>
  <si>
    <t>Blockasset</t>
  </si>
  <si>
    <t>BBANK</t>
  </si>
  <si>
    <t>blockbank</t>
  </si>
  <si>
    <t>BlockBank</t>
  </si>
  <si>
    <t>blockbase</t>
  </si>
  <si>
    <t>BlockBase</t>
  </si>
  <si>
    <t>blockblend</t>
  </si>
  <si>
    <t>BlockBlend</t>
  </si>
  <si>
    <t>BURN</t>
  </si>
  <si>
    <t>blockburn</t>
  </si>
  <si>
    <t>BlockBurn</t>
  </si>
  <si>
    <t>BCDN</t>
  </si>
  <si>
    <t>blockcdn</t>
  </si>
  <si>
    <t>BlockCDN</t>
  </si>
  <si>
    <t>blockchain-adventurers-guild</t>
  </si>
  <si>
    <t>Blockchain Adventurers Guild</t>
  </si>
  <si>
    <t>MBCC</t>
  </si>
  <si>
    <t>blockchain-based-distributed-super-computing-platform</t>
  </si>
  <si>
    <t>Blockchain-Based Distributed Super Computing Platform</t>
  </si>
  <si>
    <t>BRWL</t>
  </si>
  <si>
    <t>blockchain-brawlers</t>
  </si>
  <si>
    <t>Blockchain Brawlers</t>
  </si>
  <si>
    <t>BCDT</t>
  </si>
  <si>
    <t>blockchain-certified-data-token</t>
  </si>
  <si>
    <t>EvidenZ</t>
  </si>
  <si>
    <t>CUTE</t>
  </si>
  <si>
    <t>blockchain-cuties-universe</t>
  </si>
  <si>
    <t>Blockchain Cuties Universe</t>
  </si>
  <si>
    <t>BCUG</t>
  </si>
  <si>
    <t>blockchain-cuties-universe-governance</t>
  </si>
  <si>
    <t>Blockchain Cuties Universe Governance</t>
  </si>
  <si>
    <t>BEPR</t>
  </si>
  <si>
    <t>blockchain-euro-project</t>
  </si>
  <si>
    <t>Blockchain Euro Project</t>
  </si>
  <si>
    <t>BXA</t>
  </si>
  <si>
    <t>blockchain-exchange-alliance</t>
  </si>
  <si>
    <t>Blockchain Exchange Alliance</t>
  </si>
  <si>
    <t>BCMC</t>
  </si>
  <si>
    <t>blockchain-monster-hunt</t>
  </si>
  <si>
    <t>Blockchain Monster Hunt</t>
  </si>
  <si>
    <t>BHP</t>
  </si>
  <si>
    <t>blockchain-of-hash-power</t>
  </si>
  <si>
    <t>Blockchain of Hash Power</t>
  </si>
  <si>
    <t>blockchainpoland</t>
  </si>
  <si>
    <t>BlockchainPoland</t>
  </si>
  <si>
    <t>PROTOCOL</t>
  </si>
  <si>
    <t>blockchain-protocol</t>
  </si>
  <si>
    <t>Blockchain Protocol</t>
  </si>
  <si>
    <t>BQT</t>
  </si>
  <si>
    <t>blockchain-quotations-index-token</t>
  </si>
  <si>
    <t>Blockchain Quotations Index Token</t>
  </si>
  <si>
    <t>GUILD</t>
  </si>
  <si>
    <t>blockchainspace</t>
  </si>
  <si>
    <t>BlockchainSpace</t>
  </si>
  <si>
    <t>block-commerce-protocol</t>
  </si>
  <si>
    <t>Block Commerce Protocol</t>
  </si>
  <si>
    <t>MOOLAH</t>
  </si>
  <si>
    <t>block-creatures</t>
  </si>
  <si>
    <t>Block Creatures</t>
  </si>
  <si>
    <t>BFS</t>
  </si>
  <si>
    <t>blockfilesystem</t>
  </si>
  <si>
    <t>BlockFileSystem</t>
  </si>
  <si>
    <t>blockidcoin</t>
  </si>
  <si>
    <t>Blockidcoin</t>
  </si>
  <si>
    <t>BCPT</t>
  </si>
  <si>
    <t>blockmason-credit-protocol</t>
  </si>
  <si>
    <t>Blockmason Credit Protocol</t>
  </si>
  <si>
    <t>BLINK</t>
  </si>
  <si>
    <t>blockmason-link</t>
  </si>
  <si>
    <t>BlockMason Link</t>
  </si>
  <si>
    <t>OCB</t>
  </si>
  <si>
    <t>blockmax</t>
  </si>
  <si>
    <t>BLOCKMAX</t>
  </si>
  <si>
    <t>BMH</t>
  </si>
  <si>
    <t>blockmesh-2</t>
  </si>
  <si>
    <t>BlockMesh</t>
  </si>
  <si>
    <t>GOLD NUGGET</t>
  </si>
  <si>
    <t>blockmine</t>
  </si>
  <si>
    <t>Blockmine</t>
  </si>
  <si>
    <t>MNSTRS</t>
  </si>
  <si>
    <t>block-monsters</t>
  </si>
  <si>
    <t>Block Monsters</t>
  </si>
  <si>
    <t>blocknet</t>
  </si>
  <si>
    <t>Blocknet</t>
  </si>
  <si>
    <t>BNOX</t>
  </si>
  <si>
    <t>blocknotex</t>
  </si>
  <si>
    <t>BlockNoteX</t>
  </si>
  <si>
    <t>BLOS</t>
  </si>
  <si>
    <t>blockpad</t>
  </si>
  <si>
    <t>Blockius</t>
  </si>
  <si>
    <t>PASS</t>
  </si>
  <si>
    <t>blockpass</t>
  </si>
  <si>
    <t>Blockpass</t>
  </si>
  <si>
    <t>BUX</t>
  </si>
  <si>
    <t>blockport</t>
  </si>
  <si>
    <t>BLOCKS</t>
  </si>
  <si>
    <t>blocks</t>
  </si>
  <si>
    <t>$FORGE</t>
  </si>
  <si>
    <t>blocksmith-labs-forge</t>
  </si>
  <si>
    <t>Blocksmith Labs Forge</t>
  </si>
  <si>
    <t>BLS</t>
  </si>
  <si>
    <t>blockspace-token</t>
  </si>
  <si>
    <t>Blocks Space</t>
  </si>
  <si>
    <t>BSPT</t>
  </si>
  <si>
    <t>blocksport</t>
  </si>
  <si>
    <t>Blocksport</t>
  </si>
  <si>
    <t>blocksquare</t>
  </si>
  <si>
    <t>Blocksquare</t>
  </si>
  <si>
    <t>STX</t>
  </si>
  <si>
    <t>blockstack</t>
  </si>
  <si>
    <t>Stacks</t>
  </si>
  <si>
    <t>blockstamp</t>
  </si>
  <si>
    <t>BlockStamp</t>
  </si>
  <si>
    <t>BXR</t>
  </si>
  <si>
    <t>blockster</t>
  </si>
  <si>
    <t>Blockster</t>
  </si>
  <si>
    <t>BMN</t>
  </si>
  <si>
    <t>blockstream-mining-notes</t>
  </si>
  <si>
    <t>BlockStream Mining Notes</t>
  </si>
  <si>
    <t>CBSN</t>
  </si>
  <si>
    <t>blockswap-network</t>
  </si>
  <si>
    <t>BlockSwap Network</t>
  </si>
  <si>
    <t>BKT</t>
  </si>
  <si>
    <t>blocktanium</t>
  </si>
  <si>
    <t>Blocktanium</t>
  </si>
  <si>
    <t>TIX</t>
  </si>
  <si>
    <t>blocktix</t>
  </si>
  <si>
    <t>Blocktix</t>
  </si>
  <si>
    <t>BTYM</t>
  </si>
  <si>
    <t>blocktyme</t>
  </si>
  <si>
    <t>Blocktyme</t>
  </si>
  <si>
    <t>VEE</t>
  </si>
  <si>
    <t>blockv</t>
  </si>
  <si>
    <t>BLOCKv</t>
  </si>
  <si>
    <t>BLWA</t>
  </si>
  <si>
    <t>blockwarrior</t>
  </si>
  <si>
    <t>BlockWarrior</t>
  </si>
  <si>
    <t>WRK</t>
  </si>
  <si>
    <t>blockwrk</t>
  </si>
  <si>
    <t>BlockWRK</t>
  </si>
  <si>
    <t>BLOC</t>
  </si>
  <si>
    <t>bloc-money</t>
  </si>
  <si>
    <t>Bloc.Money</t>
  </si>
  <si>
    <t>blocsport-one</t>
  </si>
  <si>
    <t>blocsport.one</t>
  </si>
  <si>
    <t>blocto-token</t>
  </si>
  <si>
    <t>Blocto</t>
  </si>
  <si>
    <t>BLOGGER</t>
  </si>
  <si>
    <t>bloggercoin</t>
  </si>
  <si>
    <t>Bloggercoin</t>
  </si>
  <si>
    <t>blokpad</t>
  </si>
  <si>
    <t>BlokPad</t>
  </si>
  <si>
    <t>BLOK</t>
  </si>
  <si>
    <t>bloktopia</t>
  </si>
  <si>
    <t>Bloktopia</t>
  </si>
  <si>
    <t>BLOOD</t>
  </si>
  <si>
    <t>blood-token</t>
  </si>
  <si>
    <t>Blood Nodes</t>
  </si>
  <si>
    <t>bloom</t>
  </si>
  <si>
    <t>Bloom</t>
  </si>
  <si>
    <t>BLOOM</t>
  </si>
  <si>
    <t>bloom-token</t>
  </si>
  <si>
    <t>Tulip Dao Bloom</t>
  </si>
  <si>
    <t>BLCT</t>
  </si>
  <si>
    <t>bloomzed-token</t>
  </si>
  <si>
    <t>Bloomzed Loyalty Club Ticket</t>
  </si>
  <si>
    <t>BLOSM</t>
  </si>
  <si>
    <t>blossomcoin</t>
  </si>
  <si>
    <t>BlossomCoin</t>
  </si>
  <si>
    <t>$BLOW</t>
  </si>
  <si>
    <t>blowup</t>
  </si>
  <si>
    <t>BlowUP</t>
  </si>
  <si>
    <t>CDT</t>
  </si>
  <si>
    <t>blox</t>
  </si>
  <si>
    <t>Blox</t>
  </si>
  <si>
    <t>BLXM</t>
  </si>
  <si>
    <t>bloxmove-erc20</t>
  </si>
  <si>
    <t>bloXmove</t>
  </si>
  <si>
    <t>BLOX</t>
  </si>
  <si>
    <t>blox-token</t>
  </si>
  <si>
    <t>Blox SDK</t>
  </si>
  <si>
    <t>BLUC</t>
  </si>
  <si>
    <t>bluca</t>
  </si>
  <si>
    <t>Bluca</t>
  </si>
  <si>
    <t>BLUE</t>
  </si>
  <si>
    <t>blue</t>
  </si>
  <si>
    <t>Blue Protocol</t>
  </si>
  <si>
    <t>BRK</t>
  </si>
  <si>
    <t>blueark</t>
  </si>
  <si>
    <t>BlueArk</t>
  </si>
  <si>
    <t>blue-baikal</t>
  </si>
  <si>
    <t>Blue Baikal</t>
  </si>
  <si>
    <t>bluebit</t>
  </si>
  <si>
    <t>BlueBit</t>
  </si>
  <si>
    <t>bluechip-capital-token</t>
  </si>
  <si>
    <t>BlueChip Capital</t>
  </si>
  <si>
    <t>BCHIP</t>
  </si>
  <si>
    <t>bluechips-token</t>
  </si>
  <si>
    <t>BLU</t>
  </si>
  <si>
    <t>bluecoin</t>
  </si>
  <si>
    <t>Bluecoin</t>
  </si>
  <si>
    <t>BEP</t>
  </si>
  <si>
    <t>blue-earth-protocol</t>
  </si>
  <si>
    <t>Blue Earth Protocol</t>
  </si>
  <si>
    <t>BLEU</t>
  </si>
  <si>
    <t>bluefi</t>
  </si>
  <si>
    <t>BleuFi</t>
  </si>
  <si>
    <t>bluefincore</t>
  </si>
  <si>
    <t>Bluefincore</t>
  </si>
  <si>
    <t>BLG</t>
  </si>
  <si>
    <t>blue-gold</t>
  </si>
  <si>
    <t>Blue Gold</t>
  </si>
  <si>
    <t>BLH</t>
  </si>
  <si>
    <t>blue-horizon</t>
  </si>
  <si>
    <t>Blue Horizon</t>
  </si>
  <si>
    <t>BLUES</t>
  </si>
  <si>
    <t>blueshift</t>
  </si>
  <si>
    <t>Blueshift</t>
  </si>
  <si>
    <t>BLUESPARROW</t>
  </si>
  <si>
    <t>bluesparrow-token</t>
  </si>
  <si>
    <t>BlueSparrow</t>
  </si>
  <si>
    <t>BWX</t>
  </si>
  <si>
    <t>blue-whale</t>
  </si>
  <si>
    <t>Blue Whale</t>
  </si>
  <si>
    <t>WIZ</t>
  </si>
  <si>
    <t>bluewizard</t>
  </si>
  <si>
    <t>BlueWizard</t>
  </si>
  <si>
    <t>BLURT</t>
  </si>
  <si>
    <t>blurt</t>
  </si>
  <si>
    <t>Blurt</t>
  </si>
  <si>
    <t>BLZ</t>
  </si>
  <si>
    <t>bluzelle</t>
  </si>
  <si>
    <t>Bluzelle</t>
  </si>
  <si>
    <t>BMT</t>
  </si>
  <si>
    <t>bmchain-token</t>
  </si>
  <si>
    <t>KOGE</t>
  </si>
  <si>
    <t>bnb48-club-token</t>
  </si>
  <si>
    <t>BAXIS</t>
  </si>
  <si>
    <t>bnb-axis</t>
  </si>
  <si>
    <t>BNB Axis</t>
  </si>
  <si>
    <t>BNBBACK</t>
  </si>
  <si>
    <t>bnbback</t>
  </si>
  <si>
    <t>BNBBack</t>
  </si>
  <si>
    <t>bnb-bank</t>
  </si>
  <si>
    <t>BNB Bank</t>
  </si>
  <si>
    <t>BNBALLBI</t>
  </si>
  <si>
    <t>bnb-chain-all-best-ico</t>
  </si>
  <si>
    <t>BNB CHAIN ALL BEST ICO</t>
  </si>
  <si>
    <t>$DEFI</t>
  </si>
  <si>
    <t>bnbdefi</t>
  </si>
  <si>
    <t>BNBDeFi</t>
  </si>
  <si>
    <t>BNBD</t>
  </si>
  <si>
    <t>bnb-diamond</t>
  </si>
  <si>
    <t>BNB Diamond</t>
  </si>
  <si>
    <t>BNBG</t>
  </si>
  <si>
    <t>bnbglobal-v2</t>
  </si>
  <si>
    <t>BNBGlobal V2</t>
  </si>
  <si>
    <t>BNBH</t>
  </si>
  <si>
    <t>bnbheroes-token</t>
  </si>
  <si>
    <t>BnbHeroes</t>
  </si>
  <si>
    <t>bnbhunter</t>
  </si>
  <si>
    <t>BNBHunter</t>
  </si>
  <si>
    <t>bnbrise</t>
  </si>
  <si>
    <t>BNBRise</t>
  </si>
  <si>
    <t>CHAKRA</t>
  </si>
  <si>
    <t>bnb-shinobi</t>
  </si>
  <si>
    <t>BNB Shinobi</t>
  </si>
  <si>
    <t>bnb-superheroes</t>
  </si>
  <si>
    <t>BNB Superheroes</t>
  </si>
  <si>
    <t>BNBTIGER</t>
  </si>
  <si>
    <t>bnbtiger</t>
  </si>
  <si>
    <t>BNBTiger</t>
  </si>
  <si>
    <t>BNBX</t>
  </si>
  <si>
    <t>bnbx-finance</t>
  </si>
  <si>
    <t>BNBX Finance</t>
  </si>
  <si>
    <t>B3X</t>
  </si>
  <si>
    <t>bnext-b3x</t>
  </si>
  <si>
    <t>Bnext B3X</t>
  </si>
  <si>
    <t>BNFTT</t>
  </si>
  <si>
    <t>bnftx-token</t>
  </si>
  <si>
    <t>BNFTX</t>
  </si>
  <si>
    <t>bnktothefuture</t>
  </si>
  <si>
    <t>BnkToTheFuture</t>
  </si>
  <si>
    <t>BNFY</t>
  </si>
  <si>
    <t>b-non-fungible-yearn</t>
  </si>
  <si>
    <t>B Non-Fungible Yearn</t>
  </si>
  <si>
    <t>BNPL</t>
  </si>
  <si>
    <t>bnpl-pay</t>
  </si>
  <si>
    <t>BNPL Pay</t>
  </si>
  <si>
    <t>BNSD</t>
  </si>
  <si>
    <t>bnsd-finance</t>
  </si>
  <si>
    <t>BNSD Finance</t>
  </si>
  <si>
    <t>BNS</t>
  </si>
  <si>
    <t>bns-token</t>
  </si>
  <si>
    <t>bns-token-old</t>
  </si>
  <si>
    <t>BNS Token [OLD]</t>
  </si>
  <si>
    <t>bnx-finex</t>
  </si>
  <si>
    <t>Bnx Finex</t>
  </si>
  <si>
    <t>BRE</t>
  </si>
  <si>
    <t>boba-brewery</t>
  </si>
  <si>
    <t>Boba Brewery</t>
  </si>
  <si>
    <t>bobadoge</t>
  </si>
  <si>
    <t>BobaDoge</t>
  </si>
  <si>
    <t>BOBA</t>
  </si>
  <si>
    <t>boba-network</t>
  </si>
  <si>
    <t>Boba Network</t>
  </si>
  <si>
    <t>bobatama</t>
  </si>
  <si>
    <t>Bobamask</t>
  </si>
  <si>
    <t>BOBC</t>
  </si>
  <si>
    <t>bobcoin</t>
  </si>
  <si>
    <t>Bobcoin</t>
  </si>
  <si>
    <t>BOBO</t>
  </si>
  <si>
    <t>bobo-cash</t>
  </si>
  <si>
    <t>Bobo Cash</t>
  </si>
  <si>
    <t>bobs_repair</t>
  </si>
  <si>
    <t>Bob's Repair</t>
  </si>
  <si>
    <t>BODAV2</t>
  </si>
  <si>
    <t>boda-token</t>
  </si>
  <si>
    <t>BODA</t>
  </si>
  <si>
    <t>NBOT</t>
  </si>
  <si>
    <t>bodhi-network</t>
  </si>
  <si>
    <t>Bodhi Network</t>
  </si>
  <si>
    <t>BOFB</t>
  </si>
  <si>
    <t>bofb</t>
  </si>
  <si>
    <t>BOG</t>
  </si>
  <si>
    <t>bogged-finance</t>
  </si>
  <si>
    <t>Bogged Finance</t>
  </si>
  <si>
    <t>bogged-finance-[old]</t>
  </si>
  <si>
    <t>Bogged Finance [OLD]</t>
  </si>
  <si>
    <t>BR</t>
  </si>
  <si>
    <t>bohr</t>
  </si>
  <si>
    <t>BoHr [OLD]</t>
  </si>
  <si>
    <t>bohr-2</t>
  </si>
  <si>
    <t>BoHr</t>
  </si>
  <si>
    <t>BOID</t>
  </si>
  <si>
    <t>boid</t>
  </si>
  <si>
    <t>Boid</t>
  </si>
  <si>
    <t>BOJI</t>
  </si>
  <si>
    <t>boji</t>
  </si>
  <si>
    <t>Boji</t>
  </si>
  <si>
    <t>BOKU</t>
  </si>
  <si>
    <t>boku</t>
  </si>
  <si>
    <t>Boryoku Dragonz</t>
  </si>
  <si>
    <t>bold-point</t>
  </si>
  <si>
    <t>Bold Point</t>
  </si>
  <si>
    <t>BOLE</t>
  </si>
  <si>
    <t>boletoken</t>
  </si>
  <si>
    <t>Bole</t>
  </si>
  <si>
    <t>bole-token</t>
  </si>
  <si>
    <t>Boleld</t>
  </si>
  <si>
    <t>BLID</t>
  </si>
  <si>
    <t>bolide</t>
  </si>
  <si>
    <t>Bolide</t>
  </si>
  <si>
    <t>BOLC</t>
  </si>
  <si>
    <t>boliecoin</t>
  </si>
  <si>
    <t>Boliecoin</t>
  </si>
  <si>
    <t>BOLI</t>
  </si>
  <si>
    <t>bolivarcoin</t>
  </si>
  <si>
    <t>Bolivarcoin</t>
  </si>
  <si>
    <t>BOLLY</t>
  </si>
  <si>
    <t>bollycoin</t>
  </si>
  <si>
    <t>BollyCoin</t>
  </si>
  <si>
    <t>bologna-fc-fan-token</t>
  </si>
  <si>
    <t>Bologna FC Fan Token</t>
  </si>
  <si>
    <t>BOLT</t>
  </si>
  <si>
    <t>bolt</t>
  </si>
  <si>
    <t>Bolt</t>
  </si>
  <si>
    <t>BOLTT</t>
  </si>
  <si>
    <t>boltt-coin</t>
  </si>
  <si>
    <t>BolttCoin</t>
  </si>
  <si>
    <t>BTD</t>
  </si>
  <si>
    <t>bolt-true-dollar</t>
  </si>
  <si>
    <t>Bolt Dollar</t>
  </si>
  <si>
    <t>bolt-true-share</t>
  </si>
  <si>
    <t>Bolt Share</t>
  </si>
  <si>
    <t>BOMB</t>
  </si>
  <si>
    <t>bomb</t>
  </si>
  <si>
    <t>BCOIN</t>
  </si>
  <si>
    <t>bomber-coin</t>
  </si>
  <si>
    <t>Bomber Coin</t>
  </si>
  <si>
    <t>$BOMB</t>
  </si>
  <si>
    <t>bomberman</t>
  </si>
  <si>
    <t>Bomberman</t>
  </si>
  <si>
    <t>bomb-money</t>
  </si>
  <si>
    <t>Bomb Money</t>
  </si>
  <si>
    <t>bomb-money-bshare</t>
  </si>
  <si>
    <t>Bomb Money BShare</t>
  </si>
  <si>
    <t>USDAP</t>
  </si>
  <si>
    <t>bondappetite-usd</t>
  </si>
  <si>
    <t>BondAppetite USD</t>
  </si>
  <si>
    <t>bondappetit-gov-token</t>
  </si>
  <si>
    <t>BondAppetit Governance</t>
  </si>
  <si>
    <t>BLUNA</t>
  </si>
  <si>
    <t>bonded-luna</t>
  </si>
  <si>
    <t>Bonded Luna</t>
  </si>
  <si>
    <t>BONDLY</t>
  </si>
  <si>
    <t>bondly</t>
  </si>
  <si>
    <t>bondtoearn</t>
  </si>
  <si>
    <t>BondToEarn</t>
  </si>
  <si>
    <t>BONE</t>
  </si>
  <si>
    <t>bone</t>
  </si>
  <si>
    <t>Bone [OLD]</t>
  </si>
  <si>
    <t>bone-2</t>
  </si>
  <si>
    <t>Bone</t>
  </si>
  <si>
    <t>B1P</t>
  </si>
  <si>
    <t>b-one-payment</t>
  </si>
  <si>
    <t>B ONE PAYMENT</t>
  </si>
  <si>
    <t>bone-shibaswap</t>
  </si>
  <si>
    <t>Bone ShibaSwap</t>
  </si>
  <si>
    <t>BNZ</t>
  </si>
  <si>
    <t>bonezyard</t>
  </si>
  <si>
    <t>BonezYard</t>
  </si>
  <si>
    <t>BNF</t>
  </si>
  <si>
    <t>bonfi</t>
  </si>
  <si>
    <t>BonFi</t>
  </si>
  <si>
    <t>FIDA</t>
  </si>
  <si>
    <t>bonfida</t>
  </si>
  <si>
    <t>Bonfida</t>
  </si>
  <si>
    <t>BONFIRE</t>
  </si>
  <si>
    <t>bonfire</t>
  </si>
  <si>
    <t>Bonfire</t>
  </si>
  <si>
    <t>BWC</t>
  </si>
  <si>
    <t>bongweedcoin</t>
  </si>
  <si>
    <t>BongWeedCoin</t>
  </si>
  <si>
    <t>BONO</t>
  </si>
  <si>
    <t>bonorum-coin</t>
  </si>
  <si>
    <t>Bonorum</t>
  </si>
  <si>
    <t>BONTE</t>
  </si>
  <si>
    <t>bontecoin</t>
  </si>
  <si>
    <t>Bontecoin</t>
  </si>
  <si>
    <t>BONUZ</t>
  </si>
  <si>
    <t>bonuz</t>
  </si>
  <si>
    <t>Bonuz</t>
  </si>
  <si>
    <t>BOOB</t>
  </si>
  <si>
    <t>boobank</t>
  </si>
  <si>
    <t>BooBank</t>
  </si>
  <si>
    <t>booby-trap</t>
  </si>
  <si>
    <t>Booby Trap</t>
  </si>
  <si>
    <t>BOOCAKE</t>
  </si>
  <si>
    <t>boocake</t>
  </si>
  <si>
    <t>BooCake</t>
  </si>
  <si>
    <t>BOOFI</t>
  </si>
  <si>
    <t>boo-finance</t>
  </si>
  <si>
    <t>Boo Finance</t>
  </si>
  <si>
    <t>boolberry</t>
  </si>
  <si>
    <t>BoolBerry</t>
  </si>
  <si>
    <t>BOOL</t>
  </si>
  <si>
    <t>boolean</t>
  </si>
  <si>
    <t>Boolean</t>
  </si>
  <si>
    <t>XBOO</t>
  </si>
  <si>
    <t>boo-mirrorworld</t>
  </si>
  <si>
    <t>Boo MirrorWorld</t>
  </si>
  <si>
    <t>BOOMSHIBA</t>
  </si>
  <si>
    <t>boom-shiba</t>
  </si>
  <si>
    <t>Boom Shiba</t>
  </si>
  <si>
    <t>SPACE</t>
  </si>
  <si>
    <t>boomspace</t>
  </si>
  <si>
    <t>BoomSpace</t>
  </si>
  <si>
    <t>BOOM</t>
  </si>
  <si>
    <t>boom-token</t>
  </si>
  <si>
    <t>ORIO</t>
  </si>
  <si>
    <t>boorio</t>
  </si>
  <si>
    <t>Boorio</t>
  </si>
  <si>
    <t>BOOST</t>
  </si>
  <si>
    <t>boost</t>
  </si>
  <si>
    <t>Boost</t>
  </si>
  <si>
    <t>boosted-finance</t>
  </si>
  <si>
    <t>Boosted Finance</t>
  </si>
  <si>
    <t>BOO</t>
  </si>
  <si>
    <t>booster</t>
  </si>
  <si>
    <t>Booster</t>
  </si>
  <si>
    <t>boosto</t>
  </si>
  <si>
    <t>BOOSTO</t>
  </si>
  <si>
    <t>BODO</t>
  </si>
  <si>
    <t>boozedoge</t>
  </si>
  <si>
    <t>BoozeDoge</t>
  </si>
  <si>
    <t>BORA</t>
  </si>
  <si>
    <t>bora</t>
  </si>
  <si>
    <t>BRL</t>
  </si>
  <si>
    <t>borealis</t>
  </si>
  <si>
    <t>Borealis</t>
  </si>
  <si>
    <t>BAPE</t>
  </si>
  <si>
    <t>bored-ape-social-club</t>
  </si>
  <si>
    <t>Bored Ape Social Club</t>
  </si>
  <si>
    <t>bored-battle-apes</t>
  </si>
  <si>
    <t>Bored Battle Apes</t>
  </si>
  <si>
    <t>BFYC</t>
  </si>
  <si>
    <t>bored-floki-yacht-club</t>
  </si>
  <si>
    <t>Bored Floki Yacht Club</t>
  </si>
  <si>
    <t>BORING</t>
  </si>
  <si>
    <t>boringdao</t>
  </si>
  <si>
    <t>BoringDAO</t>
  </si>
  <si>
    <t>OBTC</t>
  </si>
  <si>
    <t>boringdao-btc</t>
  </si>
  <si>
    <t>BoringDAO BTC</t>
  </si>
  <si>
    <t>BOR</t>
  </si>
  <si>
    <t>boringdao-[old]</t>
  </si>
  <si>
    <t>BoringDAO [OLD]</t>
  </si>
  <si>
    <t>BOP</t>
  </si>
  <si>
    <t>boring-protocol</t>
  </si>
  <si>
    <t>Boring Protocol</t>
  </si>
  <si>
    <t>BORK</t>
  </si>
  <si>
    <t>bork</t>
  </si>
  <si>
    <t>Bork</t>
  </si>
  <si>
    <t>bork-inu</t>
  </si>
  <si>
    <t>Bork Inu</t>
  </si>
  <si>
    <t>BRT</t>
  </si>
  <si>
    <t>BORUTO</t>
  </si>
  <si>
    <t>boruto-inu</t>
  </si>
  <si>
    <t>Boruto Inu</t>
  </si>
  <si>
    <t>DRGNZ</t>
  </si>
  <si>
    <t>boryoku-genesis-dragonz-index</t>
  </si>
  <si>
    <t>Boryoku Genesis Dragonz Index</t>
  </si>
  <si>
    <t>BOA</t>
  </si>
  <si>
    <t>bosagora</t>
  </si>
  <si>
    <t>BOSAGORA</t>
  </si>
  <si>
    <t>BOSON</t>
  </si>
  <si>
    <t>boson-protocol</t>
  </si>
  <si>
    <t>Boson Protocol</t>
  </si>
  <si>
    <t>BOSS</t>
  </si>
  <si>
    <t>boss</t>
  </si>
  <si>
    <t>Boss</t>
  </si>
  <si>
    <t>bossswap</t>
  </si>
  <si>
    <t>Boss Swap</t>
  </si>
  <si>
    <t>BOOT</t>
  </si>
  <si>
    <t>bostrom</t>
  </si>
  <si>
    <t>Bostrom</t>
  </si>
  <si>
    <t>BTOP</t>
  </si>
  <si>
    <t>botopiafinance</t>
  </si>
  <si>
    <t>BotopiaFinance</t>
  </si>
  <si>
    <t>BOT</t>
  </si>
  <si>
    <t>bot-planet</t>
  </si>
  <si>
    <t>Bot Planet</t>
  </si>
  <si>
    <t>BOTTO</t>
  </si>
  <si>
    <t>botto</t>
  </si>
  <si>
    <t>Botto</t>
  </si>
  <si>
    <t>BTO</t>
  </si>
  <si>
    <t>bottos</t>
  </si>
  <si>
    <t>Bottos</t>
  </si>
  <si>
    <t>BOTX</t>
  </si>
  <si>
    <t>botxcoin</t>
  </si>
  <si>
    <t>BOTXCOIN</t>
  </si>
  <si>
    <t>BOUNTIE</t>
  </si>
  <si>
    <t>bountie-hunter</t>
  </si>
  <si>
    <t>Bountie Hunter</t>
  </si>
  <si>
    <t>BNTY</t>
  </si>
  <si>
    <t>bounty</t>
  </si>
  <si>
    <t>Bounty</t>
  </si>
  <si>
    <t>bounty0x</t>
  </si>
  <si>
    <t>Bounty0x</t>
  </si>
  <si>
    <t>bountymarketcap</t>
  </si>
  <si>
    <t>BountyMarketCap</t>
  </si>
  <si>
    <t>BOUTS</t>
  </si>
  <si>
    <t>boutspro</t>
  </si>
  <si>
    <t>BoutsPro</t>
  </si>
  <si>
    <t>BVG</t>
  </si>
  <si>
    <t>bovineverse</t>
  </si>
  <si>
    <t>BovineVerse</t>
  </si>
  <si>
    <t>bowscoin</t>
  </si>
  <si>
    <t>BowsCoin</t>
  </si>
  <si>
    <t>BOX</t>
  </si>
  <si>
    <t>box</t>
  </si>
  <si>
    <t>BAXS</t>
  </si>
  <si>
    <t>boxaxis</t>
  </si>
  <si>
    <t>BoxAxis</t>
  </si>
  <si>
    <t>BOXERDOGE</t>
  </si>
  <si>
    <t>boxerdoge</t>
  </si>
  <si>
    <t>BoxerDOGE</t>
  </si>
  <si>
    <t>BOXER</t>
  </si>
  <si>
    <t>boxer-inu</t>
  </si>
  <si>
    <t>Boxer Inu</t>
  </si>
  <si>
    <t>box-token</t>
  </si>
  <si>
    <t>BOX Token</t>
  </si>
  <si>
    <t>bozkurt-token</t>
  </si>
  <si>
    <t>Bozkurt</t>
  </si>
  <si>
    <t>BPRO</t>
  </si>
  <si>
    <t>b-protocol</t>
  </si>
  <si>
    <t>B.Protocol</t>
  </si>
  <si>
    <t>BR34P</t>
  </si>
  <si>
    <t>br34p</t>
  </si>
  <si>
    <t>BRAINS</t>
  </si>
  <si>
    <t>brainiac</t>
  </si>
  <si>
    <t>Brainiac</t>
  </si>
  <si>
    <t>BTRST</t>
  </si>
  <si>
    <t>braintrust</t>
  </si>
  <si>
    <t>Braintrust</t>
  </si>
  <si>
    <t>BRAND</t>
  </si>
  <si>
    <t>brandpad-finance</t>
  </si>
  <si>
    <t>BrandPad Finance</t>
  </si>
  <si>
    <t>BRANK</t>
  </si>
  <si>
    <t>brank</t>
  </si>
  <si>
    <t>Brank</t>
  </si>
  <si>
    <t>BRAVO</t>
  </si>
  <si>
    <t>bravo-coin</t>
  </si>
  <si>
    <t>BravoCoin</t>
  </si>
  <si>
    <t>brazil-fan-token</t>
  </si>
  <si>
    <t>Brazil Fan Token</t>
  </si>
  <si>
    <t>BRCP</t>
  </si>
  <si>
    <t>brcp-token</t>
  </si>
  <si>
    <t>BRD</t>
  </si>
  <si>
    <t>bread</t>
  </si>
  <si>
    <t>Bread</t>
  </si>
  <si>
    <t>BREAK</t>
  </si>
  <si>
    <t>breakout-2</t>
  </si>
  <si>
    <t>Breakout</t>
  </si>
  <si>
    <t>BREED</t>
  </si>
  <si>
    <t>breederdao</t>
  </si>
  <si>
    <t>BreederDAO</t>
  </si>
  <si>
    <t>BRZE</t>
  </si>
  <si>
    <t>breezecoin</t>
  </si>
  <si>
    <t>Breezecoin</t>
  </si>
  <si>
    <t>BREWLABS</t>
  </si>
  <si>
    <t>brewlabs</t>
  </si>
  <si>
    <t>Brewlabs</t>
  </si>
  <si>
    <t>BRIBE</t>
  </si>
  <si>
    <t>bribe</t>
  </si>
  <si>
    <t>bribe-token-2</t>
  </si>
  <si>
    <t>BRIBE Token</t>
  </si>
  <si>
    <t>BRICK</t>
  </si>
  <si>
    <t>brick</t>
  </si>
  <si>
    <t>r/FortNiteBR Bricks</t>
  </si>
  <si>
    <t>brickchain-finance</t>
  </si>
  <si>
    <t>Brickchain Finance</t>
  </si>
  <si>
    <t>brick-token</t>
  </si>
  <si>
    <t>Brick</t>
  </si>
  <si>
    <t>BRG.X</t>
  </si>
  <si>
    <t>bridge</t>
  </si>
  <si>
    <t>Bridge$</t>
  </si>
  <si>
    <t>BMI</t>
  </si>
  <si>
    <t>bridge-mutual</t>
  </si>
  <si>
    <t>Bridge Mutual</t>
  </si>
  <si>
    <t>BRDG</t>
  </si>
  <si>
    <t>bridge-network</t>
  </si>
  <si>
    <t>Bridge Network</t>
  </si>
  <si>
    <t>BRG</t>
  </si>
  <si>
    <t>bridge-oracle</t>
  </si>
  <si>
    <t>Bridge Oracle</t>
  </si>
  <si>
    <t>BRIG</t>
  </si>
  <si>
    <t>brig-finance</t>
  </si>
  <si>
    <t>Brig Finance</t>
  </si>
  <si>
    <t>BRI</t>
  </si>
  <si>
    <t>bright-risk-index</t>
  </si>
  <si>
    <t>Bright Risk Index</t>
  </si>
  <si>
    <t>BRIGHT</t>
  </si>
  <si>
    <t>bright-token</t>
  </si>
  <si>
    <t>BrightID</t>
  </si>
  <si>
    <t>bright-union</t>
  </si>
  <si>
    <t>Bright Union</t>
  </si>
  <si>
    <t>NOR</t>
  </si>
  <si>
    <t>bring</t>
  </si>
  <si>
    <t>Noir</t>
  </si>
  <si>
    <t>BRNG</t>
  </si>
  <si>
    <t>bring-finance</t>
  </si>
  <si>
    <t>bRing.Finance</t>
  </si>
  <si>
    <t>PRDS</t>
  </si>
  <si>
    <t>brise-paradise</t>
  </si>
  <si>
    <t>Brise Paradise</t>
  </si>
  <si>
    <t>britto</t>
  </si>
  <si>
    <t>Britto</t>
  </si>
  <si>
    <t>BRMV</t>
  </si>
  <si>
    <t>brmv-token</t>
  </si>
  <si>
    <t>BRN</t>
  </si>
  <si>
    <t>brn-metaverse</t>
  </si>
  <si>
    <t>BRN Metaverse</t>
  </si>
  <si>
    <t>brokkr</t>
  </si>
  <si>
    <t>Brokkr</t>
  </si>
  <si>
    <t>BRKL</t>
  </si>
  <si>
    <t>brokoli</t>
  </si>
  <si>
    <t>Brokoli</t>
  </si>
  <si>
    <t>BRS</t>
  </si>
  <si>
    <t>broovs-projects</t>
  </si>
  <si>
    <t>Broovs Projects</t>
  </si>
  <si>
    <t>BMP</t>
  </si>
  <si>
    <t>brother-music-platform</t>
  </si>
  <si>
    <t>Brother Music Platform</t>
  </si>
  <si>
    <t>bro-token</t>
  </si>
  <si>
    <t>Bro</t>
  </si>
  <si>
    <t>BROWN</t>
  </si>
  <si>
    <t>browniesswap</t>
  </si>
  <si>
    <t>BrowniesSwap</t>
  </si>
  <si>
    <t>BRZ</t>
  </si>
  <si>
    <t>brz</t>
  </si>
  <si>
    <t>Brazilian Digital Token</t>
  </si>
  <si>
    <t>bscarmy</t>
  </si>
  <si>
    <t>BscArmy</t>
  </si>
  <si>
    <t>BSCB</t>
  </si>
  <si>
    <t>bscbay</t>
  </si>
  <si>
    <t>BSCBAY</t>
  </si>
  <si>
    <t>bscbond</t>
  </si>
  <si>
    <t>BscBond</t>
  </si>
  <si>
    <t>BSCCROP</t>
  </si>
  <si>
    <t>bsccrop</t>
  </si>
  <si>
    <t>BSCCrop</t>
  </si>
  <si>
    <t>BSCX</t>
  </si>
  <si>
    <t>bscex</t>
  </si>
  <si>
    <t>BSCEX</t>
  </si>
  <si>
    <t>BSCGOLD</t>
  </si>
  <si>
    <t>bscgold</t>
  </si>
  <si>
    <t>BSCGold</t>
  </si>
  <si>
    <t>bsclaunch</t>
  </si>
  <si>
    <t>BSClaunch</t>
  </si>
  <si>
    <t>BSCM</t>
  </si>
  <si>
    <t>bsc-memepad</t>
  </si>
  <si>
    <t>BSC MemePad</t>
  </si>
  <si>
    <t>BSCPAD</t>
  </si>
  <si>
    <t>bscpad</t>
  </si>
  <si>
    <t>BSHIBA</t>
  </si>
  <si>
    <t>bscshiba</t>
  </si>
  <si>
    <t>bscShiba</t>
  </si>
  <si>
    <t>START</t>
  </si>
  <si>
    <t>bscstarter</t>
  </si>
  <si>
    <t>Starter.xyz</t>
  </si>
  <si>
    <t>BSCS</t>
  </si>
  <si>
    <t>bsc-station</t>
  </si>
  <si>
    <t>BSC Station</t>
  </si>
  <si>
    <t>BSCV</t>
  </si>
  <si>
    <t>bscview</t>
  </si>
  <si>
    <t>Bscview</t>
  </si>
  <si>
    <t>BSCWIN</t>
  </si>
  <si>
    <t>bscwin-bulls</t>
  </si>
  <si>
    <t>BSCWIN Bulls</t>
  </si>
  <si>
    <t>BSCD</t>
  </si>
  <si>
    <t>bsdium</t>
  </si>
  <si>
    <t>BSDium</t>
  </si>
  <si>
    <t>BSHA3</t>
  </si>
  <si>
    <t>bsha3</t>
  </si>
  <si>
    <t>BINS</t>
  </si>
  <si>
    <t>bsocial</t>
  </si>
  <si>
    <t>BSocial</t>
  </si>
  <si>
    <t>BSYS</t>
  </si>
  <si>
    <t>bsys</t>
  </si>
  <si>
    <t>BTC2X-FLI</t>
  </si>
  <si>
    <t>btc-2x-flexible-leverage-index</t>
  </si>
  <si>
    <t>BTC 2x Flexible Leverage Index</t>
  </si>
  <si>
    <t>BTC2X-FLI-P</t>
  </si>
  <si>
    <t>btc-2x-flexible-leverage-index-polygon</t>
  </si>
  <si>
    <t>BTC 2x Flexible Leverage Index (Polygon)</t>
  </si>
  <si>
    <t>BTCL</t>
  </si>
  <si>
    <t>btc-lite</t>
  </si>
  <si>
    <t>BTC Lite</t>
  </si>
  <si>
    <t>BTCM</t>
  </si>
  <si>
    <t>btcmoon</t>
  </si>
  <si>
    <t>BTCMoon</t>
  </si>
  <si>
    <t>btc-network-demand-set-ii</t>
  </si>
  <si>
    <t>BTC Network Demand Set II</t>
  </si>
  <si>
    <t>BTCPX</t>
  </si>
  <si>
    <t>btc-proxy</t>
  </si>
  <si>
    <t>BTC Proxy</t>
  </si>
  <si>
    <t>BTCST</t>
  </si>
  <si>
    <t>btc-standard-hashrate-token</t>
  </si>
  <si>
    <t>BTC Standard Hashrate Token</t>
  </si>
  <si>
    <t>btecoin</t>
  </si>
  <si>
    <t>BTEcoin</t>
  </si>
  <si>
    <t>BTF</t>
  </si>
  <si>
    <t>btf</t>
  </si>
  <si>
    <t>Bitcoin Faith</t>
  </si>
  <si>
    <t>bt-finance</t>
  </si>
  <si>
    <t>BT.Finance</t>
  </si>
  <si>
    <t>btmiracles</t>
  </si>
  <si>
    <t>BtMiracles</t>
  </si>
  <si>
    <t>MSOT</t>
  </si>
  <si>
    <t>btour-chain</t>
  </si>
  <si>
    <t>BTour Chain</t>
  </si>
  <si>
    <t>btrips</t>
  </si>
  <si>
    <t>BTRIPS</t>
  </si>
  <si>
    <t>BTSC</t>
  </si>
  <si>
    <t>bts-chain</t>
  </si>
  <si>
    <t>BTS Chain</t>
  </si>
  <si>
    <t>BTSE</t>
  </si>
  <si>
    <t>btse-token</t>
  </si>
  <si>
    <t>BTSE Token</t>
  </si>
  <si>
    <t>BTU</t>
  </si>
  <si>
    <t>btu-protocol</t>
  </si>
  <si>
    <t>BTU Protocol</t>
  </si>
  <si>
    <t>BBF</t>
  </si>
  <si>
    <t>bubblefong</t>
  </si>
  <si>
    <t>Bubblefong</t>
  </si>
  <si>
    <t>bubble-network</t>
  </si>
  <si>
    <t>Bubble Network</t>
  </si>
  <si>
    <t>BUBBLE</t>
  </si>
  <si>
    <t>bubbles</t>
  </si>
  <si>
    <t>Bubbles</t>
  </si>
  <si>
    <t>buccaneer-2</t>
  </si>
  <si>
    <t>Buccaneer</t>
  </si>
  <si>
    <t>BHIG</t>
  </si>
  <si>
    <t>buckhath-coin</t>
  </si>
  <si>
    <t>BuckHath Coin</t>
  </si>
  <si>
    <t>BUCKS</t>
  </si>
  <si>
    <t>buckswap</t>
  </si>
  <si>
    <t>BuckSwap</t>
  </si>
  <si>
    <t>BUDA</t>
  </si>
  <si>
    <t>budacoin</t>
  </si>
  <si>
    <t>BudaCoin</t>
  </si>
  <si>
    <t>BUD</t>
  </si>
  <si>
    <t>buddy</t>
  </si>
  <si>
    <t>Buddy</t>
  </si>
  <si>
    <t>BUFF</t>
  </si>
  <si>
    <t>buffalo-swap</t>
  </si>
  <si>
    <t>Buffalo Swap</t>
  </si>
  <si>
    <t>HORN</t>
  </si>
  <si>
    <t>buffaloswap-horn</t>
  </si>
  <si>
    <t>BuffaloSwap HORN</t>
  </si>
  <si>
    <t>DOGECOIN</t>
  </si>
  <si>
    <t>buff-doge-coin</t>
  </si>
  <si>
    <t>Buff Doge Coin</t>
  </si>
  <si>
    <t>BKISHU</t>
  </si>
  <si>
    <t>buffed-kishu</t>
  </si>
  <si>
    <t>Buffed Kishu</t>
  </si>
  <si>
    <t>buffedshiba</t>
  </si>
  <si>
    <t>BuffedShiba</t>
  </si>
  <si>
    <t>BUFLOKI</t>
  </si>
  <si>
    <t>buff-floki</t>
  </si>
  <si>
    <t>Buff Floki</t>
  </si>
  <si>
    <t>BSAMO</t>
  </si>
  <si>
    <t>buff-samo</t>
  </si>
  <si>
    <t>Buff Samo</t>
  </si>
  <si>
    <t>BUFFSHIBA</t>
  </si>
  <si>
    <t>buff-shiba-inu</t>
  </si>
  <si>
    <t>Buff Shiba Inu</t>
  </si>
  <si>
    <t>BUFFS</t>
  </si>
  <si>
    <t>buffswap</t>
  </si>
  <si>
    <t>BuffSwap</t>
  </si>
  <si>
    <t>BUGG</t>
  </si>
  <si>
    <t>bugg-finance</t>
  </si>
  <si>
    <t>BUGG Finance</t>
  </si>
  <si>
    <t>bugg-inu</t>
  </si>
  <si>
    <t>Bugg Inu</t>
  </si>
  <si>
    <t>BLDR</t>
  </si>
  <si>
    <t>buildercoin</t>
  </si>
  <si>
    <t>BuilderCoin</t>
  </si>
  <si>
    <t>builder-coin</t>
  </si>
  <si>
    <t>BUilDER Coin</t>
  </si>
  <si>
    <t>BUILD</t>
  </si>
  <si>
    <t>build-finance</t>
  </si>
  <si>
    <t>BUILD Finance</t>
  </si>
  <si>
    <t>BUP</t>
  </si>
  <si>
    <t>buildup</t>
  </si>
  <si>
    <t>BuildUp</t>
  </si>
  <si>
    <t>BUKH</t>
  </si>
  <si>
    <t>bukh</t>
  </si>
  <si>
    <t>bUKHI</t>
  </si>
  <si>
    <t>BUL</t>
  </si>
  <si>
    <t>bul-finance</t>
  </si>
  <si>
    <t>Bul.Finance</t>
  </si>
  <si>
    <t>BULK</t>
  </si>
  <si>
    <t>bulk-network</t>
  </si>
  <si>
    <t>Bulk Network</t>
  </si>
  <si>
    <t>bullchain</t>
  </si>
  <si>
    <t>Bullchain</t>
  </si>
  <si>
    <t>bull-coin</t>
  </si>
  <si>
    <t>Bull Coin</t>
  </si>
  <si>
    <t>bulldog-billionaires</t>
  </si>
  <si>
    <t>Bulldog Billionaires</t>
  </si>
  <si>
    <t>BULLDOG</t>
  </si>
  <si>
    <t>bulldog-coin</t>
  </si>
  <si>
    <t>BullDog Coin</t>
  </si>
  <si>
    <t>BULLD</t>
  </si>
  <si>
    <t>bulldoge-inu</t>
  </si>
  <si>
    <t>Bulldoge Inu</t>
  </si>
  <si>
    <t>BUDG</t>
  </si>
  <si>
    <t>bulldogswap</t>
  </si>
  <si>
    <t>BullDogSwap</t>
  </si>
  <si>
    <t>bulldog-token</t>
  </si>
  <si>
    <t>Bulldog BDOG</t>
  </si>
  <si>
    <t>bulleon</t>
  </si>
  <si>
    <t>Bulleon</t>
  </si>
  <si>
    <t>BULLETH</t>
  </si>
  <si>
    <t>bulleth</t>
  </si>
  <si>
    <t>Bulleth</t>
  </si>
  <si>
    <t>BLX</t>
  </si>
  <si>
    <t>bullex</t>
  </si>
  <si>
    <t>BulleX</t>
  </si>
  <si>
    <t>bullieverse</t>
  </si>
  <si>
    <t>Bullieverse</t>
  </si>
  <si>
    <t>bull-inu</t>
  </si>
  <si>
    <t>BULL Inu</t>
  </si>
  <si>
    <t>CBX</t>
  </si>
  <si>
    <t>bullion</t>
  </si>
  <si>
    <t>Bullion</t>
  </si>
  <si>
    <t>bullionfx</t>
  </si>
  <si>
    <t>BullionFX</t>
  </si>
  <si>
    <t>BULLAF</t>
  </si>
  <si>
    <t>bullish-af</t>
  </si>
  <si>
    <t>Bullish AF</t>
  </si>
  <si>
    <t>BULLISH</t>
  </si>
  <si>
    <t>bullishapes</t>
  </si>
  <si>
    <t>BullishApes</t>
  </si>
  <si>
    <t>BULT</t>
  </si>
  <si>
    <t>bullit</t>
  </si>
  <si>
    <t>Bullit</t>
  </si>
  <si>
    <t>BLP</t>
  </si>
  <si>
    <t>bullperks</t>
  </si>
  <si>
    <t>BullPerks</t>
  </si>
  <si>
    <t>bullrise</t>
  </si>
  <si>
    <t>BullRise</t>
  </si>
  <si>
    <t>bull-run-token</t>
  </si>
  <si>
    <t>Bull Run Finance</t>
  </si>
  <si>
    <t>BVL</t>
  </si>
  <si>
    <t>bullswap-protocol</t>
  </si>
  <si>
    <t>Bullswap Protocol</t>
  </si>
  <si>
    <t>bully-inu</t>
  </si>
  <si>
    <t>Bully Inu</t>
  </si>
  <si>
    <t>BUMN</t>
  </si>
  <si>
    <t>bumoon</t>
  </si>
  <si>
    <t>BUMooN</t>
  </si>
  <si>
    <t>bumper</t>
  </si>
  <si>
    <t>Bumper</t>
  </si>
  <si>
    <t>BUND</t>
  </si>
  <si>
    <t>bundles</t>
  </si>
  <si>
    <t>Bundles</t>
  </si>
  <si>
    <t>BUNI</t>
  </si>
  <si>
    <t>bunicorn</t>
  </si>
  <si>
    <t>Bunicorn</t>
  </si>
  <si>
    <t>BUN</t>
  </si>
  <si>
    <t>bunnycoin</t>
  </si>
  <si>
    <t>Bunnycoin</t>
  </si>
  <si>
    <t>BUNNYGIRL</t>
  </si>
  <si>
    <t>bunnygirl</t>
  </si>
  <si>
    <t>BunnyGirl</t>
  </si>
  <si>
    <t>bunnypark</t>
  </si>
  <si>
    <t>BunnyPark</t>
  </si>
  <si>
    <t>bunnypark-game</t>
  </si>
  <si>
    <t>BunnyPark Game</t>
  </si>
  <si>
    <t>BUNNYROCKET</t>
  </si>
  <si>
    <t>bunnyrocket</t>
  </si>
  <si>
    <t>BunnyRocket</t>
  </si>
  <si>
    <t>BUNNY</t>
  </si>
  <si>
    <t>bunnytoken</t>
  </si>
  <si>
    <t>BunnyToken</t>
  </si>
  <si>
    <t>POLYBUNNY</t>
  </si>
  <si>
    <t>bunny-token-polygon</t>
  </si>
  <si>
    <t>Pancake Bunny Polygon</t>
  </si>
  <si>
    <t>bunnyverse</t>
  </si>
  <si>
    <t>BunnyVerse</t>
  </si>
  <si>
    <t>BUNNYZILLA</t>
  </si>
  <si>
    <t>bunny-zilla</t>
  </si>
  <si>
    <t>Bunny Zilla</t>
  </si>
  <si>
    <t>BSCAKE</t>
  </si>
  <si>
    <t>bunscake</t>
  </si>
  <si>
    <t>Bunscake</t>
  </si>
  <si>
    <t>BFOT</t>
  </si>
  <si>
    <t>bured-fortis-oeconomia-token</t>
  </si>
  <si>
    <t>Burned Fortis Oeconomia</t>
  </si>
  <si>
    <t>BUY</t>
  </si>
  <si>
    <t>burency</t>
  </si>
  <si>
    <t>Burency</t>
  </si>
  <si>
    <t>BURGER</t>
  </si>
  <si>
    <t>burger-swap</t>
  </si>
  <si>
    <t>Burger Swap</t>
  </si>
  <si>
    <t>buried-bones</t>
  </si>
  <si>
    <t>Buried Bones</t>
  </si>
  <si>
    <t>BURN1COIN</t>
  </si>
  <si>
    <t>burn1coin</t>
  </si>
  <si>
    <t>Burn1Coin</t>
  </si>
  <si>
    <t>BURNDOGE</t>
  </si>
  <si>
    <t>burndoge</t>
  </si>
  <si>
    <t>BurnDoge</t>
  </si>
  <si>
    <t>burnfloki</t>
  </si>
  <si>
    <t>BurnFloki</t>
  </si>
  <si>
    <t>burningmoon</t>
  </si>
  <si>
    <t>BurningMoon</t>
  </si>
  <si>
    <t>BURNROCKET</t>
  </si>
  <si>
    <t>burnrocket</t>
  </si>
  <si>
    <t>BurnRocket</t>
  </si>
  <si>
    <t>BCAKE</t>
  </si>
  <si>
    <t>burnt-cake</t>
  </si>
  <si>
    <t>Burnt Cake</t>
  </si>
  <si>
    <t>BURNX20</t>
  </si>
  <si>
    <t>burnx20</t>
  </si>
  <si>
    <t>BurnX 2.0</t>
  </si>
  <si>
    <t>BURP</t>
  </si>
  <si>
    <t>burp</t>
  </si>
  <si>
    <t>Burp</t>
  </si>
  <si>
    <t>BRRR</t>
  </si>
  <si>
    <t>burrow</t>
  </si>
  <si>
    <t>Burrow</t>
  </si>
  <si>
    <t>BUSDX</t>
  </si>
  <si>
    <t>busdx</t>
  </si>
  <si>
    <t>BAOE</t>
  </si>
  <si>
    <t>business-age-of-empires</t>
  </si>
  <si>
    <t>Business Age of Empires</t>
  </si>
  <si>
    <t>business-credit-substitute</t>
  </si>
  <si>
    <t>Business Credit Substitute</t>
  </si>
  <si>
    <t>BUST</t>
  </si>
  <si>
    <t>busta</t>
  </si>
  <si>
    <t>BUSTA</t>
  </si>
  <si>
    <t>BUSY</t>
  </si>
  <si>
    <t>busy-dao</t>
  </si>
  <si>
    <t>Busy DAO</t>
  </si>
  <si>
    <t>BUTT</t>
  </si>
  <si>
    <t>buttcoin-2</t>
  </si>
  <si>
    <t>Button</t>
  </si>
  <si>
    <t>BTRFLY</t>
  </si>
  <si>
    <t>butterflydao</t>
  </si>
  <si>
    <t>Redacted Cartel</t>
  </si>
  <si>
    <t>BFLY</t>
  </si>
  <si>
    <t>butterfly-protocol-2</t>
  </si>
  <si>
    <t>Butterfly Protocol</t>
  </si>
  <si>
    <t>BUTTER</t>
  </si>
  <si>
    <t>butterswap</t>
  </si>
  <si>
    <t>ButterSwap</t>
  </si>
  <si>
    <t>buxcoin</t>
  </si>
  <si>
    <t>BUXCOIN</t>
  </si>
  <si>
    <t>buying</t>
  </si>
  <si>
    <t>Buying.com</t>
  </si>
  <si>
    <t>$MAINST</t>
  </si>
  <si>
    <t>buymainstreet</t>
  </si>
  <si>
    <t>BuyMainStreet</t>
  </si>
  <si>
    <t>buysell</t>
  </si>
  <si>
    <t>BuySell</t>
  </si>
  <si>
    <t>buyucoin-token</t>
  </si>
  <si>
    <t>GLDY</t>
  </si>
  <si>
    <t>buzzshow</t>
  </si>
  <si>
    <t>Buzzshow</t>
  </si>
  <si>
    <t>b-watch-box</t>
  </si>
  <si>
    <t>B.watch Box</t>
  </si>
  <si>
    <t>BXBTC</t>
  </si>
  <si>
    <t>bxbtc</t>
  </si>
  <si>
    <t>bxBTC</t>
  </si>
  <si>
    <t>BXH</t>
  </si>
  <si>
    <t>bxh</t>
  </si>
  <si>
    <t>BXMI</t>
  </si>
  <si>
    <t>bxmi-token</t>
  </si>
  <si>
    <t>Bxmi</t>
  </si>
  <si>
    <t>BXTB</t>
  </si>
  <si>
    <t>bxtb-foundation</t>
  </si>
  <si>
    <t>BXTB Foundation</t>
  </si>
  <si>
    <t>BYK</t>
  </si>
  <si>
    <t>byakko</t>
  </si>
  <si>
    <t>Byakko</t>
  </si>
  <si>
    <t>GBYTE</t>
  </si>
  <si>
    <t>byteball</t>
  </si>
  <si>
    <t>Obyte</t>
  </si>
  <si>
    <t>BCN</t>
  </si>
  <si>
    <t>bytecoin</t>
  </si>
  <si>
    <t>Bytecoin</t>
  </si>
  <si>
    <t>BEXT</t>
  </si>
  <si>
    <t>bytedex</t>
  </si>
  <si>
    <t>ByteDex</t>
  </si>
  <si>
    <t>BX</t>
  </si>
  <si>
    <t>byteex</t>
  </si>
  <si>
    <t>ByteEx</t>
  </si>
  <si>
    <t>BNU</t>
  </si>
  <si>
    <t>bytenext</t>
  </si>
  <si>
    <t>ByteNext</t>
  </si>
  <si>
    <t>BTM</t>
  </si>
  <si>
    <t>bytom</t>
  </si>
  <si>
    <t>Bytom</t>
  </si>
  <si>
    <t>BYTZ</t>
  </si>
  <si>
    <t>bytz</t>
  </si>
  <si>
    <t>BZE</t>
  </si>
  <si>
    <t>bzedge</t>
  </si>
  <si>
    <t>BZEdge</t>
  </si>
  <si>
    <t>BZRX</t>
  </si>
  <si>
    <t>bzx-protocol</t>
  </si>
  <si>
    <t>bZx Protocol</t>
  </si>
  <si>
    <t>BZZONE</t>
  </si>
  <si>
    <t>bzzone</t>
  </si>
  <si>
    <t>Bzzone</t>
  </si>
  <si>
    <t>CTX</t>
  </si>
  <si>
    <t>c2x-2</t>
  </si>
  <si>
    <t>C2X</t>
  </si>
  <si>
    <t>C3</t>
  </si>
  <si>
    <t>c3</t>
  </si>
  <si>
    <t>COW</t>
  </si>
  <si>
    <t>caashcow</t>
  </si>
  <si>
    <t>CaashCow</t>
  </si>
  <si>
    <t>CAAVE</t>
  </si>
  <si>
    <t>caave</t>
  </si>
  <si>
    <t>cAAVE</t>
  </si>
  <si>
    <t>CBA</t>
  </si>
  <si>
    <t>cabana-token</t>
  </si>
  <si>
    <t>Cabana</t>
  </si>
  <si>
    <t>CABIN</t>
  </si>
  <si>
    <t>cabin</t>
  </si>
  <si>
    <t>Cabin</t>
  </si>
  <si>
    <t>CGT</t>
  </si>
  <si>
    <t>cache-gold</t>
  </si>
  <si>
    <t>CACHE Gold</t>
  </si>
  <si>
    <t>CACTI</t>
  </si>
  <si>
    <t>cacti-club</t>
  </si>
  <si>
    <t>Cacti Club</t>
  </si>
  <si>
    <t>CADC</t>
  </si>
  <si>
    <t>cad-coin</t>
  </si>
  <si>
    <t>CAD Coin</t>
  </si>
  <si>
    <t>$CAESAR</t>
  </si>
  <si>
    <t>caesar-finance</t>
  </si>
  <si>
    <t>Caesar Finance</t>
  </si>
  <si>
    <t>BREW</t>
  </si>
  <si>
    <t>cafeswap-token</t>
  </si>
  <si>
    <t>CafeSwap</t>
  </si>
  <si>
    <t>C4G3</t>
  </si>
  <si>
    <t>cage</t>
  </si>
  <si>
    <t>Cage</t>
  </si>
  <si>
    <t>cage-governance</t>
  </si>
  <si>
    <t>Cage Governance</t>
  </si>
  <si>
    <t>CICC</t>
  </si>
  <si>
    <t>caica-coin</t>
  </si>
  <si>
    <t>CAICA Coin</t>
  </si>
  <si>
    <t>CAI</t>
  </si>
  <si>
    <t>caietf-finance</t>
  </si>
  <si>
    <t>CAIETF.Finance</t>
  </si>
  <si>
    <t>CAKE</t>
  </si>
  <si>
    <t>cake</t>
  </si>
  <si>
    <t>CakeDAO</t>
  </si>
  <si>
    <t>CAKEBAKER</t>
  </si>
  <si>
    <t>cakebaker</t>
  </si>
  <si>
    <t>CakeBaker</t>
  </si>
  <si>
    <t>CAKEBANK</t>
  </si>
  <si>
    <t>cake-bank</t>
  </si>
  <si>
    <t>Cake Bank</t>
  </si>
  <si>
    <t>CAKEGIRL</t>
  </si>
  <si>
    <t>cake-girl</t>
  </si>
  <si>
    <t>Cake Girl</t>
  </si>
  <si>
    <t>MONSTA</t>
  </si>
  <si>
    <t>cake-monster</t>
  </si>
  <si>
    <t>Cake Monster</t>
  </si>
  <si>
    <t>CKP</t>
  </si>
  <si>
    <t>cakepad</t>
  </si>
  <si>
    <t>CakePad</t>
  </si>
  <si>
    <t>CAKEPUNKS</t>
  </si>
  <si>
    <t>cakepunks</t>
  </si>
  <si>
    <t>CAKESWAP</t>
  </si>
  <si>
    <t>cakeswap</t>
  </si>
  <si>
    <t>CakeSwap</t>
  </si>
  <si>
    <t>CKT</t>
  </si>
  <si>
    <t>caketools</t>
  </si>
  <si>
    <t>Caketools</t>
  </si>
  <si>
    <t>KMA</t>
  </si>
  <si>
    <t>calamari-network</t>
  </si>
  <si>
    <t>Calamari Network</t>
  </si>
  <si>
    <t>CALCIFER</t>
  </si>
  <si>
    <t>calcifer</t>
  </si>
  <si>
    <t>Calcifer</t>
  </si>
  <si>
    <t>CALI</t>
  </si>
  <si>
    <t>calicoin</t>
  </si>
  <si>
    <t>CaliCoin</t>
  </si>
  <si>
    <t>CF</t>
  </si>
  <si>
    <t>californium</t>
  </si>
  <si>
    <t>Californium</t>
  </si>
  <si>
    <t>CLO</t>
  </si>
  <si>
    <t>callisto</t>
  </si>
  <si>
    <t>Callisto Network</t>
  </si>
  <si>
    <t>CAN</t>
  </si>
  <si>
    <t>calluna-wallet</t>
  </si>
  <si>
    <t>CALO</t>
  </si>
  <si>
    <t>calo-app</t>
  </si>
  <si>
    <t>Calo</t>
  </si>
  <si>
    <t>CLC</t>
  </si>
  <si>
    <t>caluracoin</t>
  </si>
  <si>
    <t>CaluraCoin</t>
  </si>
  <si>
    <t>CLVX</t>
  </si>
  <si>
    <t>calvex</t>
  </si>
  <si>
    <t>Calvex</t>
  </si>
  <si>
    <t>CML</t>
  </si>
  <si>
    <t>camelcoin</t>
  </si>
  <si>
    <t>Camelcoin</t>
  </si>
  <si>
    <t>CMLT</t>
  </si>
  <si>
    <t>cameltoken</t>
  </si>
  <si>
    <t>Camel</t>
  </si>
  <si>
    <t>CAMP</t>
  </si>
  <si>
    <t>camp</t>
  </si>
  <si>
    <t>Camp</t>
  </si>
  <si>
    <t>CNR</t>
  </si>
  <si>
    <t>canary</t>
  </si>
  <si>
    <t>Canary</t>
  </si>
  <si>
    <t>CAND</t>
  </si>
  <si>
    <t>canary-dollar</t>
  </si>
  <si>
    <t>Canary Dollar</t>
  </si>
  <si>
    <t>CNYX</t>
  </si>
  <si>
    <t>canaryx</t>
  </si>
  <si>
    <t>CanaryX</t>
  </si>
  <si>
    <t>CLA</t>
  </si>
  <si>
    <t>candela-coin</t>
  </si>
  <si>
    <t>Candela Coin</t>
  </si>
  <si>
    <t>CDDSP</t>
  </si>
  <si>
    <t>can-devs-do-something-please</t>
  </si>
  <si>
    <t>Can Devs Do Something Please</t>
  </si>
  <si>
    <t>CNDL</t>
  </si>
  <si>
    <t>candle</t>
  </si>
  <si>
    <t>Candle</t>
  </si>
  <si>
    <t>CANDYLAD</t>
  </si>
  <si>
    <t>candylad</t>
  </si>
  <si>
    <t>Candylad</t>
  </si>
  <si>
    <t>CANN</t>
  </si>
  <si>
    <t>cannabiscoin</t>
  </si>
  <si>
    <t>CannabisCoin</t>
  </si>
  <si>
    <t>CANA</t>
  </si>
  <si>
    <t>cannabis-seed-token</t>
  </si>
  <si>
    <t>CANU</t>
  </si>
  <si>
    <t>cannumo</t>
  </si>
  <si>
    <t>Cannumo</t>
  </si>
  <si>
    <t>CATO</t>
  </si>
  <si>
    <t>OPUS</t>
  </si>
  <si>
    <t>canopus</t>
  </si>
  <si>
    <t>Canopus</t>
  </si>
  <si>
    <t>canyacoin</t>
  </si>
  <si>
    <t>CanYaCoin</t>
  </si>
  <si>
    <t>CAP</t>
  </si>
  <si>
    <t>cap</t>
  </si>
  <si>
    <t>Cap</t>
  </si>
  <si>
    <t>CAT+</t>
  </si>
  <si>
    <t>capital-aggregator-token</t>
  </si>
  <si>
    <t>Capital Aggregator</t>
  </si>
  <si>
    <t>CDS</t>
  </si>
  <si>
    <t>capital-dao-starter-token</t>
  </si>
  <si>
    <t>Capital DAO Starter</t>
  </si>
  <si>
    <t>CAPSYS</t>
  </si>
  <si>
    <t>capital-system</t>
  </si>
  <si>
    <t>Capital System</t>
  </si>
  <si>
    <t>CXC</t>
  </si>
  <si>
    <t>capital-x-cell</t>
  </si>
  <si>
    <t>CAPITAL X CELL</t>
  </si>
  <si>
    <t>CPTL</t>
  </si>
  <si>
    <t>capitol</t>
  </si>
  <si>
    <t>Capitol</t>
  </si>
  <si>
    <t>CAPP</t>
  </si>
  <si>
    <t>cappasity</t>
  </si>
  <si>
    <t>Cappasity</t>
  </si>
  <si>
    <t>CAPT</t>
  </si>
  <si>
    <t>captain</t>
  </si>
  <si>
    <t>Captain</t>
  </si>
  <si>
    <t>CPTINU</t>
  </si>
  <si>
    <t>captain-inu</t>
  </si>
  <si>
    <t>Captain Inu</t>
  </si>
  <si>
    <t>SHIBARROW</t>
  </si>
  <si>
    <t>captain-shibarrow</t>
  </si>
  <si>
    <t>Captain Shibarrow</t>
  </si>
  <si>
    <t>CAPY</t>
  </si>
  <si>
    <t>capybara</t>
  </si>
  <si>
    <t>Capybara</t>
  </si>
  <si>
    <t>MEL</t>
  </si>
  <si>
    <t>caramelswap</t>
  </si>
  <si>
    <t>CaramelSwap</t>
  </si>
  <si>
    <t>CARAT</t>
  </si>
  <si>
    <t>carat</t>
  </si>
  <si>
    <t>CRBN</t>
  </si>
  <si>
    <t>carbon</t>
  </si>
  <si>
    <t>Carbon</t>
  </si>
  <si>
    <t>CARBON</t>
  </si>
  <si>
    <t>carboncoin</t>
  </si>
  <si>
    <t>Carboncoin</t>
  </si>
  <si>
    <t>CCT</t>
  </si>
  <si>
    <t>carbon-credit</t>
  </si>
  <si>
    <t>Carbon Credit</t>
  </si>
  <si>
    <t>CARBO</t>
  </si>
  <si>
    <t>carbondefi</t>
  </si>
  <si>
    <t>CarbonDEFI</t>
  </si>
  <si>
    <t>C8</t>
  </si>
  <si>
    <t>carboneum</t>
  </si>
  <si>
    <t>Carboneum</t>
  </si>
  <si>
    <t>carbon-finance</t>
  </si>
  <si>
    <t>Carbon Finance</t>
  </si>
  <si>
    <t>carbon-gems</t>
  </si>
  <si>
    <t>Carbon GEMS</t>
  </si>
  <si>
    <t>CARB</t>
  </si>
  <si>
    <t>carbon-labs</t>
  </si>
  <si>
    <t>Carbon Labs</t>
  </si>
  <si>
    <t>CCM</t>
  </si>
  <si>
    <t>car-coin</t>
  </si>
  <si>
    <t>Car Coin</t>
  </si>
  <si>
    <t>cardano</t>
  </si>
  <si>
    <t>CEVO</t>
  </si>
  <si>
    <t>cardanoevo</t>
  </si>
  <si>
    <t>CardanoEvo</t>
  </si>
  <si>
    <t>CLAP</t>
  </si>
  <si>
    <t>cardashift</t>
  </si>
  <si>
    <t>Cardashift</t>
  </si>
  <si>
    <t>$CRDN</t>
  </si>
  <si>
    <t>cardence</t>
  </si>
  <si>
    <t>Cardence</t>
  </si>
  <si>
    <t>CRDC</t>
  </si>
  <si>
    <t>cardiocoin</t>
  </si>
  <si>
    <t>Cardiocoin</t>
  </si>
  <si>
    <t>CARD</t>
  </si>
  <si>
    <t>cardstack</t>
  </si>
  <si>
    <t>Cardstack</t>
  </si>
  <si>
    <t>CARDS</t>
  </si>
  <si>
    <t>cardstarter</t>
  </si>
  <si>
    <t>Cardstarter</t>
  </si>
  <si>
    <t>CSWAP</t>
  </si>
  <si>
    <t>cardswap</t>
  </si>
  <si>
    <t>CardSwap</t>
  </si>
  <si>
    <t>CW</t>
  </si>
  <si>
    <t>cardwallet</t>
  </si>
  <si>
    <t>CardWallet</t>
  </si>
  <si>
    <t>CRC</t>
  </si>
  <si>
    <t>care-coin</t>
  </si>
  <si>
    <t>Care Coin</t>
  </si>
  <si>
    <t>CLX</t>
  </si>
  <si>
    <t>cargolink</t>
  </si>
  <si>
    <t>CargoLink</t>
  </si>
  <si>
    <t>CXO</t>
  </si>
  <si>
    <t>cargox</t>
  </si>
  <si>
    <t>CargoX</t>
  </si>
  <si>
    <t>CARMA</t>
  </si>
  <si>
    <t>carma-coin</t>
  </si>
  <si>
    <t>Carma Coin</t>
  </si>
  <si>
    <t>CARR</t>
  </si>
  <si>
    <t>carnomaly</t>
  </si>
  <si>
    <t>Carnomaly</t>
  </si>
  <si>
    <t>CRT</t>
  </si>
  <si>
    <t>carr-finance</t>
  </si>
  <si>
    <t>Carrot Finance</t>
  </si>
  <si>
    <t>CARROT</t>
  </si>
  <si>
    <t>carrot-stable-coin</t>
  </si>
  <si>
    <t>Carrot Stable Coin</t>
  </si>
  <si>
    <t>carrot-token</t>
  </si>
  <si>
    <t>Carrot Token</t>
  </si>
  <si>
    <t>CRE</t>
  </si>
  <si>
    <t>carry</t>
  </si>
  <si>
    <t>Carry</t>
  </si>
  <si>
    <t>CAF</t>
  </si>
  <si>
    <t>carsautofinance</t>
  </si>
  <si>
    <t>CarsAutoFinance</t>
  </si>
  <si>
    <t>CTSI</t>
  </si>
  <si>
    <t>cartesi</t>
  </si>
  <si>
    <t>Cartesi</t>
  </si>
  <si>
    <t>CV</t>
  </si>
  <si>
    <t>carvertical</t>
  </si>
  <si>
    <t>carVertical</t>
  </si>
  <si>
    <t>CASH</t>
  </si>
  <si>
    <t>cash</t>
  </si>
  <si>
    <t>Cash</t>
  </si>
  <si>
    <t>CASH2</t>
  </si>
  <si>
    <t>cash2</t>
  </si>
  <si>
    <t>Cash2</t>
  </si>
  <si>
    <t>CAS</t>
  </si>
  <si>
    <t>cashaa</t>
  </si>
  <si>
    <t>Cashaa</t>
  </si>
  <si>
    <t>CBP</t>
  </si>
  <si>
    <t>cashbackpro</t>
  </si>
  <si>
    <t>CashBackPro</t>
  </si>
  <si>
    <t>CBC</t>
  </si>
  <si>
    <t>cashbet-coin</t>
  </si>
  <si>
    <t>CBC.network</t>
  </si>
  <si>
    <t>$CATS</t>
  </si>
  <si>
    <t>cashcats</t>
  </si>
  <si>
    <t>CashCats</t>
  </si>
  <si>
    <t>cashcow</t>
  </si>
  <si>
    <t>CashCow</t>
  </si>
  <si>
    <t>CCF</t>
  </si>
  <si>
    <t>cashcow-finance</t>
  </si>
  <si>
    <t>CashCow.Finance</t>
  </si>
  <si>
    <t>CASHDOG</t>
  </si>
  <si>
    <t>cashdog</t>
  </si>
  <si>
    <t>CashDog</t>
  </si>
  <si>
    <t>CSR</t>
  </si>
  <si>
    <t>cashera</t>
  </si>
  <si>
    <t>Cashera</t>
  </si>
  <si>
    <t>CHND</t>
  </si>
  <si>
    <t>cashhand</t>
  </si>
  <si>
    <t>Cashhand</t>
  </si>
  <si>
    <t>cashio-dollar</t>
  </si>
  <si>
    <t>Cashio Dollar</t>
  </si>
  <si>
    <t>CASHIO</t>
  </si>
  <si>
    <t>cashio-token</t>
  </si>
  <si>
    <t>Cashio</t>
  </si>
  <si>
    <t>CPZ</t>
  </si>
  <si>
    <t>cashpay</t>
  </si>
  <si>
    <t>CashPay</t>
  </si>
  <si>
    <t>CATE</t>
  </si>
  <si>
    <t>cash-tech</t>
  </si>
  <si>
    <t>Cash Tech</t>
  </si>
  <si>
    <t>CSC</t>
  </si>
  <si>
    <t>casinocoin</t>
  </si>
  <si>
    <t>Casinocoin</t>
  </si>
  <si>
    <t>$CASIO</t>
  </si>
  <si>
    <t>casinoxmetaverse</t>
  </si>
  <si>
    <t>CasinoXMetaverse</t>
  </si>
  <si>
    <t>CASPER</t>
  </si>
  <si>
    <t>casper-defi</t>
  </si>
  <si>
    <t>Casper DeFi</t>
  </si>
  <si>
    <t>CSPR</t>
  </si>
  <si>
    <t>casper-network</t>
  </si>
  <si>
    <t>Casper Network</t>
  </si>
  <si>
    <t>CSPD</t>
  </si>
  <si>
    <t>casperpad</t>
  </si>
  <si>
    <t>CasperPad</t>
  </si>
  <si>
    <t>CSP</t>
  </si>
  <si>
    <t>caspian</t>
  </si>
  <si>
    <t>Caspian</t>
  </si>
  <si>
    <t>CAST</t>
  </si>
  <si>
    <t>castello-coin</t>
  </si>
  <si>
    <t>Castello Coin</t>
  </si>
  <si>
    <t>CTT</t>
  </si>
  <si>
    <t>castweet</t>
  </si>
  <si>
    <t>Castweet</t>
  </si>
  <si>
    <t>cat</t>
  </si>
  <si>
    <t>ATD</t>
  </si>
  <si>
    <t>catapult</t>
  </si>
  <si>
    <t>Catapult</t>
  </si>
  <si>
    <t>CABO</t>
  </si>
  <si>
    <t>catbonk</t>
  </si>
  <si>
    <t>Catbonk</t>
  </si>
  <si>
    <t>CATBOY</t>
  </si>
  <si>
    <t>catboy-2</t>
  </si>
  <si>
    <t>CatBoy</t>
  </si>
  <si>
    <t>CATBREAD</t>
  </si>
  <si>
    <t>catbread</t>
  </si>
  <si>
    <t>CatBread</t>
  </si>
  <si>
    <t>CATCHY</t>
  </si>
  <si>
    <t>catchy</t>
  </si>
  <si>
    <t>Catchy</t>
  </si>
  <si>
    <t>catcoin-2</t>
  </si>
  <si>
    <t>CATCOIN</t>
  </si>
  <si>
    <t>catcoin-cash</t>
  </si>
  <si>
    <t>CATS</t>
  </si>
  <si>
    <t>catcoin-token</t>
  </si>
  <si>
    <t>CatCoin Token</t>
  </si>
  <si>
    <t>catecoin</t>
  </si>
  <si>
    <t>CateCoin</t>
  </si>
  <si>
    <t>CATT</t>
  </si>
  <si>
    <t>catex-token</t>
  </si>
  <si>
    <t>Catex Token</t>
  </si>
  <si>
    <t>CATGE</t>
  </si>
  <si>
    <t>catge-coin</t>
  </si>
  <si>
    <t>Catge Coin</t>
  </si>
  <si>
    <t>CATGIRL</t>
  </si>
  <si>
    <t>catgirl</t>
  </si>
  <si>
    <t>Catgirl</t>
  </si>
  <si>
    <t>NIP</t>
  </si>
  <si>
    <t>catnip</t>
  </si>
  <si>
    <t>CatNIP</t>
  </si>
  <si>
    <t>cato</t>
  </si>
  <si>
    <t>catocoin</t>
  </si>
  <si>
    <t>CatoCoin</t>
  </si>
  <si>
    <t>CATPAY</t>
  </si>
  <si>
    <t>catpay</t>
  </si>
  <si>
    <t>CATpay</t>
  </si>
  <si>
    <t>catscoin</t>
  </si>
  <si>
    <t>Catscoin</t>
  </si>
  <si>
    <t>cat-token</t>
  </si>
  <si>
    <t>catwoman</t>
  </si>
  <si>
    <t>CatWoman</t>
  </si>
  <si>
    <t>CATZ</t>
  </si>
  <si>
    <t>catzcoin</t>
  </si>
  <si>
    <t>CatzCoin</t>
  </si>
  <si>
    <t>CAVA</t>
  </si>
  <si>
    <t>cavapoo</t>
  </si>
  <si>
    <t>Cavapoo</t>
  </si>
  <si>
    <t>CAVE</t>
  </si>
  <si>
    <t>cave</t>
  </si>
  <si>
    <t>Crypto Cavemen</t>
  </si>
  <si>
    <t>CBBN</t>
  </si>
  <si>
    <t>cbbn-token</t>
  </si>
  <si>
    <t>BREE</t>
  </si>
  <si>
    <t>cbdao</t>
  </si>
  <si>
    <t>CBDAO</t>
  </si>
  <si>
    <t>CBD</t>
  </si>
  <si>
    <t>cbd-coin</t>
  </si>
  <si>
    <t>CBD Coin</t>
  </si>
  <si>
    <t>CBY</t>
  </si>
  <si>
    <t>cberry</t>
  </si>
  <si>
    <t>CBerry</t>
  </si>
  <si>
    <t>CBET</t>
  </si>
  <si>
    <t>cbet-token</t>
  </si>
  <si>
    <t>CC</t>
  </si>
  <si>
    <t>cc</t>
  </si>
  <si>
    <t>CCOMP</t>
  </si>
  <si>
    <t>ccomp</t>
  </si>
  <si>
    <t>cCOMP</t>
  </si>
  <si>
    <t>CCO</t>
  </si>
  <si>
    <t>ccore</t>
  </si>
  <si>
    <t>Ccore</t>
  </si>
  <si>
    <t>ccswap</t>
  </si>
  <si>
    <t>CCSwap</t>
  </si>
  <si>
    <t>UVU</t>
  </si>
  <si>
    <t>ccuniverse</t>
  </si>
  <si>
    <t>CCUniverse</t>
  </si>
  <si>
    <t>CDAI</t>
  </si>
  <si>
    <t>cdai</t>
  </si>
  <si>
    <t>cDAI</t>
  </si>
  <si>
    <t>CDZ</t>
  </si>
  <si>
    <t>cdzexchange</t>
  </si>
  <si>
    <t>CDzExchange</t>
  </si>
  <si>
    <t>CEDS</t>
  </si>
  <si>
    <t>cedars</t>
  </si>
  <si>
    <t>CEDARS</t>
  </si>
  <si>
    <t>CEEK</t>
  </si>
  <si>
    <t>ceek</t>
  </si>
  <si>
    <t>ceezee-safu</t>
  </si>
  <si>
    <t>CEEZEE SAFU</t>
  </si>
  <si>
    <t>CELC</t>
  </si>
  <si>
    <t>celcoin</t>
  </si>
  <si>
    <t>CelCoin</t>
  </si>
  <si>
    <t>CELEB</t>
  </si>
  <si>
    <t>celeb</t>
  </si>
  <si>
    <t>Celeb</t>
  </si>
  <si>
    <t>CELR</t>
  </si>
  <si>
    <t>celer-network</t>
  </si>
  <si>
    <t>Celer Network</t>
  </si>
  <si>
    <t>CLY</t>
  </si>
  <si>
    <t>celery</t>
  </si>
  <si>
    <t>Celery</t>
  </si>
  <si>
    <t>CELT</t>
  </si>
  <si>
    <t>celestial</t>
  </si>
  <si>
    <t>Celestial</t>
  </si>
  <si>
    <t>CU</t>
  </si>
  <si>
    <t>celestial-unity</t>
  </si>
  <si>
    <t>Celestial Unity</t>
  </si>
  <si>
    <t>celeum</t>
  </si>
  <si>
    <t>Celeum</t>
  </si>
  <si>
    <t>ECELL</t>
  </si>
  <si>
    <t>celletf</t>
  </si>
  <si>
    <t>Consensus Cell Network</t>
  </si>
  <si>
    <t>CELL</t>
  </si>
  <si>
    <t>cellframe</t>
  </si>
  <si>
    <t>Cellframe</t>
  </si>
  <si>
    <t>CELO</t>
  </si>
  <si>
    <t>celo</t>
  </si>
  <si>
    <t>Celo</t>
  </si>
  <si>
    <t>CUSD</t>
  </si>
  <si>
    <t>celo-dollar</t>
  </si>
  <si>
    <t>Celo Dollar</t>
  </si>
  <si>
    <t>CEUR</t>
  </si>
  <si>
    <t>celo-euro</t>
  </si>
  <si>
    <t>Celo Euro</t>
  </si>
  <si>
    <t>celolaunch</t>
  </si>
  <si>
    <t>CeloLaunch</t>
  </si>
  <si>
    <t>CSTAR</t>
  </si>
  <si>
    <t>celostarter</t>
  </si>
  <si>
    <t>CeloStarter</t>
  </si>
  <si>
    <t>CEL</t>
  </si>
  <si>
    <t>celsius-degree-token</t>
  </si>
  <si>
    <t>Celsius Network</t>
  </si>
  <si>
    <t>celsius-wormhole</t>
  </si>
  <si>
    <t>Celsius (Wormhole)</t>
  </si>
  <si>
    <t>CXADA</t>
  </si>
  <si>
    <t>celsiusx-wrapped-ada</t>
  </si>
  <si>
    <t>CelsiusX Wrapped ADA</t>
  </si>
  <si>
    <t>CXBTC</t>
  </si>
  <si>
    <t>celsiusx-wrapped-btc</t>
  </si>
  <si>
    <t>CelsiusX Wrapped BTC</t>
  </si>
  <si>
    <t>CXDOGE</t>
  </si>
  <si>
    <t>celsiusx-wrapped-doge</t>
  </si>
  <si>
    <t>CelsiusX Wrapped DOGE</t>
  </si>
  <si>
    <t>CXETH</t>
  </si>
  <si>
    <t>celsiusx-wrapped-eth</t>
  </si>
  <si>
    <t>CelsiusX Wrapped ETH</t>
  </si>
  <si>
    <t>CENS</t>
  </si>
  <si>
    <t>cens-world</t>
  </si>
  <si>
    <t>Cens World</t>
  </si>
  <si>
    <t>CNTR</t>
  </si>
  <si>
    <t>centaur</t>
  </si>
  <si>
    <t>Centaur</t>
  </si>
  <si>
    <t>CENT</t>
  </si>
  <si>
    <t>centaurify</t>
  </si>
  <si>
    <t>Centaurify</t>
  </si>
  <si>
    <t>CENX</t>
  </si>
  <si>
    <t>centcex</t>
  </si>
  <si>
    <t>Centcex</t>
  </si>
  <si>
    <t>CPX</t>
  </si>
  <si>
    <t>centerprime</t>
  </si>
  <si>
    <t>CenterPrime</t>
  </si>
  <si>
    <t>centralex</t>
  </si>
  <si>
    <t>Centralex</t>
  </si>
  <si>
    <t>CENNZ</t>
  </si>
  <si>
    <t>centrality</t>
  </si>
  <si>
    <t>CENNZnet</t>
  </si>
  <si>
    <t>CNS</t>
  </si>
  <si>
    <t>centric-cash</t>
  </si>
  <si>
    <t>Centric Swap</t>
  </si>
  <si>
    <t>CFG</t>
  </si>
  <si>
    <t>centrifuge</t>
  </si>
  <si>
    <t>Centrifuge</t>
  </si>
  <si>
    <t>CNT</t>
  </si>
  <si>
    <t>centurion</t>
  </si>
  <si>
    <t>Centurion</t>
  </si>
  <si>
    <t>centurion-inu</t>
  </si>
  <si>
    <t>Centurion Inu</t>
  </si>
  <si>
    <t>cerberus</t>
  </si>
  <si>
    <t>Cerberus Finance</t>
  </si>
  <si>
    <t>CRBRUS</t>
  </si>
  <si>
    <t>cerberus-2</t>
  </si>
  <si>
    <t>Cerberus</t>
  </si>
  <si>
    <t>CERBY</t>
  </si>
  <si>
    <t>cerby-token</t>
  </si>
  <si>
    <t>Cerby</t>
  </si>
  <si>
    <t>CER</t>
  </si>
  <si>
    <t>cerealia</t>
  </si>
  <si>
    <t>Cerealia</t>
  </si>
  <si>
    <t>CERE</t>
  </si>
  <si>
    <t>cere-network</t>
  </si>
  <si>
    <t>Cere Network</t>
  </si>
  <si>
    <t>CERES</t>
  </si>
  <si>
    <t>ceres</t>
  </si>
  <si>
    <t>Ceres</t>
  </si>
  <si>
    <t>XCE</t>
  </si>
  <si>
    <t>cerium</t>
  </si>
  <si>
    <t>Cerium</t>
  </si>
  <si>
    <t>CTK</t>
  </si>
  <si>
    <t>certik</t>
  </si>
  <si>
    <t>CERT</t>
  </si>
  <si>
    <t>certrise</t>
  </si>
  <si>
    <t>CertRise</t>
  </si>
  <si>
    <t>certurium</t>
  </si>
  <si>
    <t>Certurium</t>
  </si>
  <si>
    <t>CETF</t>
  </si>
  <si>
    <t>cetf</t>
  </si>
  <si>
    <t>Cell ETF</t>
  </si>
  <si>
    <t>CLT</t>
  </si>
  <si>
    <t>cexlt</t>
  </si>
  <si>
    <t>Cexlt</t>
  </si>
  <si>
    <t>CFL365</t>
  </si>
  <si>
    <t>cfl365-finance</t>
  </si>
  <si>
    <t>CFL365 Finance</t>
  </si>
  <si>
    <t>CFO</t>
  </si>
  <si>
    <t>cforforum-token</t>
  </si>
  <si>
    <t>Cfoforum</t>
  </si>
  <si>
    <t>CFXQ</t>
  </si>
  <si>
    <t>cfx-quantum</t>
  </si>
  <si>
    <t>CFX Quantum</t>
  </si>
  <si>
    <t>CHAD</t>
  </si>
  <si>
    <t>chadfi</t>
  </si>
  <si>
    <t>ChadFi</t>
  </si>
  <si>
    <t>CHADS</t>
  </si>
  <si>
    <t>chads-vc</t>
  </si>
  <si>
    <t>CHADS VC</t>
  </si>
  <si>
    <t>chain-2</t>
  </si>
  <si>
    <t>CBG</t>
  </si>
  <si>
    <t>chainbing</t>
  </si>
  <si>
    <t>Chainbing</t>
  </si>
  <si>
    <t>CHAINCADE</t>
  </si>
  <si>
    <t>chaincade</t>
  </si>
  <si>
    <t>ChainCade</t>
  </si>
  <si>
    <t>CHC</t>
  </si>
  <si>
    <t>chaincoin</t>
  </si>
  <si>
    <t>Chaincoin</t>
  </si>
  <si>
    <t>COLOS</t>
  </si>
  <si>
    <t>chain-colosseum</t>
  </si>
  <si>
    <t>Chain Colosseum</t>
  </si>
  <si>
    <t>CORNX</t>
  </si>
  <si>
    <t>chaincorn</t>
  </si>
  <si>
    <t>Chaincorn</t>
  </si>
  <si>
    <t>CHES</t>
  </si>
  <si>
    <t>chain-estate-dao</t>
  </si>
  <si>
    <t>Chain Estate DAO</t>
  </si>
  <si>
    <t>FLIP</t>
  </si>
  <si>
    <t>chainflip</t>
  </si>
  <si>
    <t>Chainflip</t>
  </si>
  <si>
    <t>CFXT</t>
  </si>
  <si>
    <t>chainflix</t>
  </si>
  <si>
    <t>Chainflix</t>
  </si>
  <si>
    <t>CFLO</t>
  </si>
  <si>
    <t>chain-flowers</t>
  </si>
  <si>
    <t>Chain Flowers</t>
  </si>
  <si>
    <t>CHAIN</t>
  </si>
  <si>
    <t>chain-games</t>
  </si>
  <si>
    <t>Chain Games</t>
  </si>
  <si>
    <t>CHNG</t>
  </si>
  <si>
    <t>chainge-finance</t>
  </si>
  <si>
    <t>Chainge Finance</t>
  </si>
  <si>
    <t>CGG</t>
  </si>
  <si>
    <t>chain-guardians</t>
  </si>
  <si>
    <t>Chain Guardians</t>
  </si>
  <si>
    <t>CHX</t>
  </si>
  <si>
    <t>chainium</t>
  </si>
  <si>
    <t>WeOwn</t>
  </si>
  <si>
    <t>chainlink</t>
  </si>
  <si>
    <t>chainlink-wormhole</t>
  </si>
  <si>
    <t>Chainlink (Wormhole)</t>
  </si>
  <si>
    <t>CLIST</t>
  </si>
  <si>
    <t>chainlist</t>
  </si>
  <si>
    <t>Chainlist</t>
  </si>
  <si>
    <t>CPAY</t>
  </si>
  <si>
    <t>chainpay</t>
  </si>
  <si>
    <t>Chainpay</t>
  </si>
  <si>
    <t>CPET</t>
  </si>
  <si>
    <t>chain-pet</t>
  </si>
  <si>
    <t>Chain Pet</t>
  </si>
  <si>
    <t>PORTX</t>
  </si>
  <si>
    <t>chainport</t>
  </si>
  <si>
    <t>ChainPort</t>
  </si>
  <si>
    <t>CHS</t>
  </si>
  <si>
    <t>chainsquare</t>
  </si>
  <si>
    <t>Chainsquare</t>
  </si>
  <si>
    <t>ASAP</t>
  </si>
  <si>
    <t>chainswap</t>
  </si>
  <si>
    <t>Chainswap</t>
  </si>
  <si>
    <t>CWE</t>
  </si>
  <si>
    <t>chain-wars-essence</t>
  </si>
  <si>
    <t>Chain Wars</t>
  </si>
  <si>
    <t>PCX</t>
  </si>
  <si>
    <t>chainx</t>
  </si>
  <si>
    <t>ChainX</t>
  </si>
  <si>
    <t>CHL</t>
  </si>
  <si>
    <t>challengedac</t>
  </si>
  <si>
    <t>ChallengeDAC</t>
  </si>
  <si>
    <t>CHAMPINU</t>
  </si>
  <si>
    <t>champinu</t>
  </si>
  <si>
    <t>ChampInu</t>
  </si>
  <si>
    <t>CAG</t>
  </si>
  <si>
    <t>change</t>
  </si>
  <si>
    <t>Change</t>
  </si>
  <si>
    <t>NOW</t>
  </si>
  <si>
    <t>changenow</t>
  </si>
  <si>
    <t>ChangeNOW</t>
  </si>
  <si>
    <t>CNG</t>
  </si>
  <si>
    <t>changer</t>
  </si>
  <si>
    <t>Changer</t>
  </si>
  <si>
    <t>channels</t>
  </si>
  <si>
    <t>Channels</t>
  </si>
  <si>
    <t>CHB</t>
  </si>
  <si>
    <t>charactbit</t>
  </si>
  <si>
    <t>Charactbit</t>
  </si>
  <si>
    <t>CHG</t>
  </si>
  <si>
    <t>charg-coin</t>
  </si>
  <si>
    <t>Charg Coin</t>
  </si>
  <si>
    <t>CHARGE</t>
  </si>
  <si>
    <t>chargedefi-charge</t>
  </si>
  <si>
    <t>ChargeDeFi Charge</t>
  </si>
  <si>
    <t>STATIC</t>
  </si>
  <si>
    <t>chargedefi-static</t>
  </si>
  <si>
    <t>ChargeDeFi Static</t>
  </si>
  <si>
    <t>IONX</t>
  </si>
  <si>
    <t>charged-particles</t>
  </si>
  <si>
    <t>Charged Particles</t>
  </si>
  <si>
    <t>CHAR</t>
  </si>
  <si>
    <t>charitas</t>
  </si>
  <si>
    <t>Charitas</t>
  </si>
  <si>
    <t>MICH</t>
  </si>
  <si>
    <t>charity-alfa</t>
  </si>
  <si>
    <t>Charity Alfa</t>
  </si>
  <si>
    <t>CHD</t>
  </si>
  <si>
    <t>charitydao</t>
  </si>
  <si>
    <t>CharityDAO</t>
  </si>
  <si>
    <t>CHARIX</t>
  </si>
  <si>
    <t>charix-token</t>
  </si>
  <si>
    <t>Charix</t>
  </si>
  <si>
    <t>CHARIZARD</t>
  </si>
  <si>
    <t>charizard-inu</t>
  </si>
  <si>
    <t>Charizard Inu</t>
  </si>
  <si>
    <t>charli3</t>
  </si>
  <si>
    <t>Charli3</t>
  </si>
  <si>
    <t>CHT</t>
  </si>
  <si>
    <t>charlie-finance</t>
  </si>
  <si>
    <t>Charlie Finance</t>
  </si>
  <si>
    <t>CHARM</t>
  </si>
  <si>
    <t>charm</t>
  </si>
  <si>
    <t>Charm</t>
  </si>
  <si>
    <t>CHART</t>
  </si>
  <si>
    <t>chartex</t>
  </si>
  <si>
    <t>ChartEx</t>
  </si>
  <si>
    <t>checkdot</t>
  </si>
  <si>
    <t>CheckDot</t>
  </si>
  <si>
    <t>CHECKR</t>
  </si>
  <si>
    <t>checkerchain</t>
  </si>
  <si>
    <t>CheckerChain</t>
  </si>
  <si>
    <t>CHECOIN</t>
  </si>
  <si>
    <t>checoin</t>
  </si>
  <si>
    <t>CheCoin</t>
  </si>
  <si>
    <t>CHEDDA</t>
  </si>
  <si>
    <t>chedda</t>
  </si>
  <si>
    <t>Chedda</t>
  </si>
  <si>
    <t>CHEE</t>
  </si>
  <si>
    <t>chee</t>
  </si>
  <si>
    <t>Chee Finance</t>
  </si>
  <si>
    <t>cheebs</t>
  </si>
  <si>
    <t>CHEEBS</t>
  </si>
  <si>
    <t>CHEEMS</t>
  </si>
  <si>
    <t>cheems</t>
  </si>
  <si>
    <t>Cheems</t>
  </si>
  <si>
    <t>$CINU</t>
  </si>
  <si>
    <t>cheems-inu</t>
  </si>
  <si>
    <t>CHEEMS INU</t>
  </si>
  <si>
    <t>CHEERS</t>
  </si>
  <si>
    <t>cheersland</t>
  </si>
  <si>
    <t>CheersLand</t>
  </si>
  <si>
    <t>CCAKE</t>
  </si>
  <si>
    <t>cheesecakeswap</t>
  </si>
  <si>
    <t>CheesecakeSwap</t>
  </si>
  <si>
    <t>CHEEZ</t>
  </si>
  <si>
    <t>cheesedao</t>
  </si>
  <si>
    <t>CheeseDAO</t>
  </si>
  <si>
    <t>CHEESE</t>
  </si>
  <si>
    <t>cheesefry</t>
  </si>
  <si>
    <t>CheeseFry</t>
  </si>
  <si>
    <t>SODA</t>
  </si>
  <si>
    <t>cheesesoda-token</t>
  </si>
  <si>
    <t>CheeseSoda</t>
  </si>
  <si>
    <t>cheeseswap</t>
  </si>
  <si>
    <t>CheeseSwap</t>
  </si>
  <si>
    <t>cheese-swap</t>
  </si>
  <si>
    <t>Cheese Swap</t>
  </si>
  <si>
    <t>cheese-token</t>
  </si>
  <si>
    <t>Hamster Cheese</t>
  </si>
  <si>
    <t>CHEESUS</t>
  </si>
  <si>
    <t>cheesus</t>
  </si>
  <si>
    <t>Cheesus</t>
  </si>
  <si>
    <t>CHEFCAKE</t>
  </si>
  <si>
    <t>chefcake</t>
  </si>
  <si>
    <t>ChefCake</t>
  </si>
  <si>
    <t>CHLT</t>
  </si>
  <si>
    <t>chellitcoin</t>
  </si>
  <si>
    <t>Chellitcoin</t>
  </si>
  <si>
    <t>KUN</t>
  </si>
  <si>
    <t>chemix-ecology-governance-token</t>
  </si>
  <si>
    <t>CHEQ</t>
  </si>
  <si>
    <t>cheqd-network</t>
  </si>
  <si>
    <t>CHEQD Network</t>
  </si>
  <si>
    <t>cherish</t>
  </si>
  <si>
    <t>Cherish</t>
  </si>
  <si>
    <t>CHER</t>
  </si>
  <si>
    <t>cherry-network</t>
  </si>
  <si>
    <t>Cherry Network</t>
  </si>
  <si>
    <t>CHERRY</t>
  </si>
  <si>
    <t>cherrypick</t>
  </si>
  <si>
    <t>CherryPick</t>
  </si>
  <si>
    <t>CHE</t>
  </si>
  <si>
    <t>cherryswap</t>
  </si>
  <si>
    <t>CherrySwap</t>
  </si>
  <si>
    <t>YT</t>
  </si>
  <si>
    <t>cherry-token</t>
  </si>
  <si>
    <t>Cherry Token</t>
  </si>
  <si>
    <t>CHESS</t>
  </si>
  <si>
    <t>chesscoin-0-32</t>
  </si>
  <si>
    <t>ChessCoin 0.32%</t>
  </si>
  <si>
    <t>CNFT</t>
  </si>
  <si>
    <t>chessnft</t>
  </si>
  <si>
    <t>ChessNFT</t>
  </si>
  <si>
    <t>CHEX</t>
  </si>
  <si>
    <t>chex-token</t>
  </si>
  <si>
    <t>CHEX Token</t>
  </si>
  <si>
    <t>CHH</t>
  </si>
  <si>
    <t>chhipscoin</t>
  </si>
  <si>
    <t>CHHIPSCOIN</t>
  </si>
  <si>
    <t>CHI</t>
  </si>
  <si>
    <t>chi</t>
  </si>
  <si>
    <t>Chi</t>
  </si>
  <si>
    <t>XCH</t>
  </si>
  <si>
    <t>chia</t>
  </si>
  <si>
    <t>Chia</t>
  </si>
  <si>
    <t>CHIBA</t>
  </si>
  <si>
    <t>chiba-inu</t>
  </si>
  <si>
    <t>Chiba Inu</t>
  </si>
  <si>
    <t>KFC</t>
  </si>
  <si>
    <t>chicken</t>
  </si>
  <si>
    <t>Chicken</t>
  </si>
  <si>
    <t>CORN</t>
  </si>
  <si>
    <t>chickenlegs</t>
  </si>
  <si>
    <t>ChickenLegs</t>
  </si>
  <si>
    <t>NUGGET</t>
  </si>
  <si>
    <t>chicken-nugget-coin</t>
  </si>
  <si>
    <t>Chicken Nugget Coin</t>
  </si>
  <si>
    <t>chi-gastoken</t>
  </si>
  <si>
    <t>chi-gastoken-bsc</t>
  </si>
  <si>
    <t>Chi Gas (BSC)</t>
  </si>
  <si>
    <t>CHIRO</t>
  </si>
  <si>
    <t>chihiro-inu</t>
  </si>
  <si>
    <t>Chihiro Inu</t>
  </si>
  <si>
    <t>HUA</t>
  </si>
  <si>
    <t>chihuahua</t>
  </si>
  <si>
    <t>Chihuahua</t>
  </si>
  <si>
    <t>CHIH</t>
  </si>
  <si>
    <t>chihuahuasol</t>
  </si>
  <si>
    <t>ChihuahuaSol</t>
  </si>
  <si>
    <t>HUAHUA</t>
  </si>
  <si>
    <t>chihuahua-token</t>
  </si>
  <si>
    <t>Chihuahua Chain</t>
  </si>
  <si>
    <t>CHIHUA</t>
  </si>
  <si>
    <t>chihuahuax</t>
  </si>
  <si>
    <t>Chihuahuax</t>
  </si>
  <si>
    <t>chihua-token</t>
  </si>
  <si>
    <t>Chihua</t>
  </si>
  <si>
    <t>CKC</t>
  </si>
  <si>
    <t>chikincoin</t>
  </si>
  <si>
    <t>ChikinCoin</t>
  </si>
  <si>
    <t>EGG</t>
  </si>
  <si>
    <t>chikn-egg</t>
  </si>
  <si>
    <t>Chikn Egg</t>
  </si>
  <si>
    <t>FEED</t>
  </si>
  <si>
    <t>chikn-feed</t>
  </si>
  <si>
    <t>chikn feed</t>
  </si>
  <si>
    <t>FERT</t>
  </si>
  <si>
    <t>chikn-fert</t>
  </si>
  <si>
    <t>Chikn Fert</t>
  </si>
  <si>
    <t>CHZ</t>
  </si>
  <si>
    <t>chiliz</t>
  </si>
  <si>
    <t>Chiliz</t>
  </si>
  <si>
    <t>chiliz-wormhole</t>
  </si>
  <si>
    <t>Chiliz (Wormhole)</t>
  </si>
  <si>
    <t>chimaera</t>
  </si>
  <si>
    <t>XAYA</t>
  </si>
  <si>
    <t>CHIM</t>
  </si>
  <si>
    <t>chimeras</t>
  </si>
  <si>
    <t>Chimeras</t>
  </si>
  <si>
    <t>NANA</t>
  </si>
  <si>
    <t>chimp-fight</t>
  </si>
  <si>
    <t>Nana</t>
  </si>
  <si>
    <t>COM</t>
  </si>
  <si>
    <t>chinaom</t>
  </si>
  <si>
    <t>ChinaOM</t>
  </si>
  <si>
    <t>$CHINU</t>
  </si>
  <si>
    <t>chinu</t>
  </si>
  <si>
    <t>Chinu</t>
  </si>
  <si>
    <t>CHIP</t>
  </si>
  <si>
    <t>chip</t>
  </si>
  <si>
    <t>Chip</t>
  </si>
  <si>
    <t>CHIPS</t>
  </si>
  <si>
    <t>chipstars</t>
  </si>
  <si>
    <t>Chipstars</t>
  </si>
  <si>
    <t>CHPZ</t>
  </si>
  <si>
    <t>chipz</t>
  </si>
  <si>
    <t>Chipz</t>
  </si>
  <si>
    <t>CHIV</t>
  </si>
  <si>
    <t>chiva-token</t>
  </si>
  <si>
    <t>Chiva</t>
  </si>
  <si>
    <t>XCC</t>
  </si>
  <si>
    <t>chives-coin</t>
  </si>
  <si>
    <t>Chives Coin</t>
  </si>
  <si>
    <t>CHIWA</t>
  </si>
  <si>
    <t>chiwawa</t>
  </si>
  <si>
    <t>Chiwawa</t>
  </si>
  <si>
    <t>CCY</t>
  </si>
  <si>
    <t>choccyswap</t>
  </si>
  <si>
    <t>ChoccySwap</t>
  </si>
  <si>
    <t>CHOICE</t>
  </si>
  <si>
    <t>choice-coin</t>
  </si>
  <si>
    <t>Choice Coin</t>
  </si>
  <si>
    <t>CHONK</t>
  </si>
  <si>
    <t>chonk</t>
  </si>
  <si>
    <t>Chonk</t>
  </si>
  <si>
    <t>CHOPPER</t>
  </si>
  <si>
    <t>chopper-inu</t>
  </si>
  <si>
    <t>Chopper Inu</t>
  </si>
  <si>
    <t>CX1</t>
  </si>
  <si>
    <t>chorusx</t>
  </si>
  <si>
    <t>ChorusX</t>
  </si>
  <si>
    <t>CHOW</t>
  </si>
  <si>
    <t>chow-chow-finance</t>
  </si>
  <si>
    <t>Chow Chow Finance</t>
  </si>
  <si>
    <t>chowdao</t>
  </si>
  <si>
    <t>ChowDAO</t>
  </si>
  <si>
    <t>chow-inu</t>
  </si>
  <si>
    <t>Chow Inu</t>
  </si>
  <si>
    <t>XMASBNB</t>
  </si>
  <si>
    <t>christmas-bnb</t>
  </si>
  <si>
    <t>Christmas BNB</t>
  </si>
  <si>
    <t>CHR</t>
  </si>
  <si>
    <t>chromaway</t>
  </si>
  <si>
    <t>Chromia</t>
  </si>
  <si>
    <t>XNL</t>
  </si>
  <si>
    <t>chronicle</t>
  </si>
  <si>
    <t>Chronicle</t>
  </si>
  <si>
    <t>TIME</t>
  </si>
  <si>
    <t>chronobank</t>
  </si>
  <si>
    <t>chrono.tech</t>
  </si>
  <si>
    <t>TIK</t>
  </si>
  <si>
    <t>chronobase</t>
  </si>
  <si>
    <t>ChronoBase</t>
  </si>
  <si>
    <t>DAY</t>
  </si>
  <si>
    <t>chronologic</t>
  </si>
  <si>
    <t>Chronologic</t>
  </si>
  <si>
    <t>CHUBBIES20</t>
  </si>
  <si>
    <t>chubbies</t>
  </si>
  <si>
    <t>Chubbies</t>
  </si>
  <si>
    <t>CAKITA</t>
  </si>
  <si>
    <t>chubbyakita</t>
  </si>
  <si>
    <t>ChubbyAkita</t>
  </si>
  <si>
    <t>CHUG</t>
  </si>
  <si>
    <t>chug-token</t>
  </si>
  <si>
    <t>CHMB</t>
  </si>
  <si>
    <t>chumbai-valley</t>
  </si>
  <si>
    <t>Chumbi Valley</t>
  </si>
  <si>
    <t>CHUM</t>
  </si>
  <si>
    <t>chum-coin</t>
  </si>
  <si>
    <t>Chum Coin</t>
  </si>
  <si>
    <t>CIA</t>
  </si>
  <si>
    <t>cia</t>
  </si>
  <si>
    <t>CIG</t>
  </si>
  <si>
    <t>cigarette-token</t>
  </si>
  <si>
    <t>Cigarette</t>
  </si>
  <si>
    <t>CND</t>
  </si>
  <si>
    <t>cindicator</t>
  </si>
  <si>
    <t>Cindicator</t>
  </si>
  <si>
    <t>CIND</t>
  </si>
  <si>
    <t>cindrum</t>
  </si>
  <si>
    <t>Cindrum</t>
  </si>
  <si>
    <t>CMCCOIN</t>
  </si>
  <si>
    <t>cine-media-celebrity-coin</t>
  </si>
  <si>
    <t>CINE MEDIA CELEBRITY COIN</t>
  </si>
  <si>
    <t>CINO</t>
  </si>
  <si>
    <t>cino-games</t>
  </si>
  <si>
    <t>Cino Games</t>
  </si>
  <si>
    <t>CPR</t>
  </si>
  <si>
    <t>cipher-2</t>
  </si>
  <si>
    <t>CIPHER</t>
  </si>
  <si>
    <t>circlepod</t>
  </si>
  <si>
    <t>Circlepod</t>
  </si>
  <si>
    <t>CIR</t>
  </si>
  <si>
    <t>circleswap</t>
  </si>
  <si>
    <t>CircleSwap</t>
  </si>
  <si>
    <t>COVAL</t>
  </si>
  <si>
    <t>circuits-of-value</t>
  </si>
  <si>
    <t>Circuits of Value</t>
  </si>
  <si>
    <t>ciredo</t>
  </si>
  <si>
    <t>Ciredo</t>
  </si>
  <si>
    <t>CIRQ</t>
  </si>
  <si>
    <t>cirquity</t>
  </si>
  <si>
    <t>Cirquity</t>
  </si>
  <si>
    <t>CRS</t>
  </si>
  <si>
    <t>cirrus</t>
  </si>
  <si>
    <t>Cirrus</t>
  </si>
  <si>
    <t>CIRUS</t>
  </si>
  <si>
    <t>cirus</t>
  </si>
  <si>
    <t>Cirus</t>
  </si>
  <si>
    <t>KNIGHT</t>
  </si>
  <si>
    <t>citadao</t>
  </si>
  <si>
    <t>CitaDAO</t>
  </si>
  <si>
    <t>CTL</t>
  </si>
  <si>
    <t>citadel</t>
  </si>
  <si>
    <t>Citadel</t>
  </si>
  <si>
    <t>XCT</t>
  </si>
  <si>
    <t>citadel-one</t>
  </si>
  <si>
    <t>Citadel.one</t>
  </si>
  <si>
    <t>CITIES</t>
  </si>
  <si>
    <t>cities-vault-nftx</t>
  </si>
  <si>
    <t>CITIES Vault (NFTX)</t>
  </si>
  <si>
    <t>CIFI</t>
  </si>
  <si>
    <t>citizen-finance</t>
  </si>
  <si>
    <t>Citizen Finance</t>
  </si>
  <si>
    <t>citizen-finance-old</t>
  </si>
  <si>
    <t>Citizen Finance (OLD)</t>
  </si>
  <si>
    <t>CTS</t>
  </si>
  <si>
    <t>citrus</t>
  </si>
  <si>
    <t>Citrus</t>
  </si>
  <si>
    <t>CITY</t>
  </si>
  <si>
    <t>city-coin</t>
  </si>
  <si>
    <t>City Coin</t>
  </si>
  <si>
    <t>COD</t>
  </si>
  <si>
    <t>city-of-dream</t>
  </si>
  <si>
    <t>City of Dream</t>
  </si>
  <si>
    <t>CSM</t>
  </si>
  <si>
    <t>citystates-medieval</t>
  </si>
  <si>
    <t>CityStates Medieval</t>
  </si>
  <si>
    <t>0NE</t>
  </si>
  <si>
    <t>civfund-stone</t>
  </si>
  <si>
    <t>Civfund Stone</t>
  </si>
  <si>
    <t>CVC</t>
  </si>
  <si>
    <t>civic</t>
  </si>
  <si>
    <t>Civic</t>
  </si>
  <si>
    <t>POWER</t>
  </si>
  <si>
    <t>civic-power</t>
  </si>
  <si>
    <t>Civic Power</t>
  </si>
  <si>
    <t>CIV</t>
  </si>
  <si>
    <t>civilization</t>
  </si>
  <si>
    <t>Civilization</t>
  </si>
  <si>
    <t>claimswap</t>
  </si>
  <si>
    <t>ClaimSwap</t>
  </si>
  <si>
    <t>CLAM</t>
  </si>
  <si>
    <t>clams</t>
  </si>
  <si>
    <t>Clams</t>
  </si>
  <si>
    <t>CLASH</t>
  </si>
  <si>
    <t>clash-of-cars</t>
  </si>
  <si>
    <t>Clash Of Cars</t>
  </si>
  <si>
    <t>CLASS</t>
  </si>
  <si>
    <t>class-coin</t>
  </si>
  <si>
    <t>Class Coin</t>
  </si>
  <si>
    <t>CBTC</t>
  </si>
  <si>
    <t>classicbitcoin</t>
  </si>
  <si>
    <t>ClassicBitcoin</t>
  </si>
  <si>
    <t>CLS</t>
  </si>
  <si>
    <t>classic-coin</t>
  </si>
  <si>
    <t>Classic Coin</t>
  </si>
  <si>
    <t>XDOGE</t>
  </si>
  <si>
    <t>classicdoge</t>
  </si>
  <si>
    <t>ClassicDoge</t>
  </si>
  <si>
    <t>CZZ</t>
  </si>
  <si>
    <t>classzz</t>
  </si>
  <si>
    <t>ClassZZ</t>
  </si>
  <si>
    <t>CLAVIS</t>
  </si>
  <si>
    <t>clavis</t>
  </si>
  <si>
    <t>Clavis</t>
  </si>
  <si>
    <t>CLEAN</t>
  </si>
  <si>
    <t>cleanocean</t>
  </si>
  <si>
    <t>CleanOcean</t>
  </si>
  <si>
    <t>CLR</t>
  </si>
  <si>
    <t>clear-coin</t>
  </si>
  <si>
    <t>Clear Coin</t>
  </si>
  <si>
    <t>CLH</t>
  </si>
  <si>
    <t>cleardao</t>
  </si>
  <si>
    <t>ClearDAO</t>
  </si>
  <si>
    <t>POLL</t>
  </si>
  <si>
    <t>clearpoll</t>
  </si>
  <si>
    <t>ClearPoll</t>
  </si>
  <si>
    <t>CPOOL</t>
  </si>
  <si>
    <t>clearpool</t>
  </si>
  <si>
    <t>Clearpool</t>
  </si>
  <si>
    <t>$CLEAR</t>
  </si>
  <si>
    <t>clear-water</t>
  </si>
  <si>
    <t>Clear Water</t>
  </si>
  <si>
    <t>CLEX</t>
  </si>
  <si>
    <t>clexchain</t>
  </si>
  <si>
    <t>Clexchain</t>
  </si>
  <si>
    <t>CLIFF</t>
  </si>
  <si>
    <t>clifford-inu</t>
  </si>
  <si>
    <t>Clifford Inu</t>
  </si>
  <si>
    <t>CLIMB</t>
  </si>
  <si>
    <t>climb-token-finance</t>
  </si>
  <si>
    <t>Climb Token Finance</t>
  </si>
  <si>
    <t>CTI</t>
  </si>
  <si>
    <t>clintex-cti</t>
  </si>
  <si>
    <t>ClinTex CTi</t>
  </si>
  <si>
    <t>CT</t>
  </si>
  <si>
    <t>cliq</t>
  </si>
  <si>
    <t>CLIQ</t>
  </si>
  <si>
    <t>CLOAK</t>
  </si>
  <si>
    <t>cloakcoin</t>
  </si>
  <si>
    <t>Cloakcoin</t>
  </si>
  <si>
    <t>C24</t>
  </si>
  <si>
    <t>clock-24</t>
  </si>
  <si>
    <t>Clock 24</t>
  </si>
  <si>
    <t>CLBK</t>
  </si>
  <si>
    <t>cloudbric</t>
  </si>
  <si>
    <t>Cloudbric</t>
  </si>
  <si>
    <t>CNAME</t>
  </si>
  <si>
    <t>cloudname</t>
  </si>
  <si>
    <t>Cloudname</t>
  </si>
  <si>
    <t>CPRO</t>
  </si>
  <si>
    <t>cloud-protocol</t>
  </si>
  <si>
    <t>Cloud Protocol</t>
  </si>
  <si>
    <t>CCS</t>
  </si>
  <si>
    <t>cloutcontracts</t>
  </si>
  <si>
    <t>CloutContracts</t>
  </si>
  <si>
    <t>CLV</t>
  </si>
  <si>
    <t>clover</t>
  </si>
  <si>
    <t>Clover</t>
  </si>
  <si>
    <t>clover-finance</t>
  </si>
  <si>
    <t>Clover Finance</t>
  </si>
  <si>
    <t>CLQDR</t>
  </si>
  <si>
    <t>clqdr</t>
  </si>
  <si>
    <t>cLQDR</t>
  </si>
  <si>
    <t>club-atletico-independiente</t>
  </si>
  <si>
    <t>Club Atletico Independiente Fan Token</t>
  </si>
  <si>
    <t>CDONK</t>
  </si>
  <si>
    <t>club-donkey</t>
  </si>
  <si>
    <t>Club Donkey</t>
  </si>
  <si>
    <t>GALO</t>
  </si>
  <si>
    <t>clube-atletico-mineiro-fan-token</t>
  </si>
  <si>
    <t>Clube Atlético Mineiro Fan Token</t>
  </si>
  <si>
    <t>MPWR</t>
  </si>
  <si>
    <t>clubrare-empower</t>
  </si>
  <si>
    <t>ClubRare Empower</t>
  </si>
  <si>
    <t>CLU</t>
  </si>
  <si>
    <t>clucoin</t>
  </si>
  <si>
    <t>CluCoin</t>
  </si>
  <si>
    <t>clytie</t>
  </si>
  <si>
    <t>Clytie</t>
  </si>
  <si>
    <t>CMCC</t>
  </si>
  <si>
    <t>cmc-coin</t>
  </si>
  <si>
    <t>CMC Coin</t>
  </si>
  <si>
    <t>CMETA</t>
  </si>
  <si>
    <t>cmeta</t>
  </si>
  <si>
    <t>cMETA</t>
  </si>
  <si>
    <t>CMIT</t>
  </si>
  <si>
    <t>cmitcoin</t>
  </si>
  <si>
    <t>CMITCOIN</t>
  </si>
  <si>
    <t>CNETA</t>
  </si>
  <si>
    <t>cneta</t>
  </si>
  <si>
    <t>cNETA</t>
  </si>
  <si>
    <t>cng-casino</t>
  </si>
  <si>
    <t>CNG Casino</t>
  </si>
  <si>
    <t>CNN</t>
  </si>
  <si>
    <t>cnn</t>
  </si>
  <si>
    <t>Content Neutrality Network</t>
  </si>
  <si>
    <t>CNNS</t>
  </si>
  <si>
    <t>cnns</t>
  </si>
  <si>
    <t>COAL</t>
  </si>
  <si>
    <t>coalculus</t>
  </si>
  <si>
    <t>Coalculus</t>
  </si>
  <si>
    <t>CBK</t>
  </si>
  <si>
    <t>cobak-token</t>
  </si>
  <si>
    <t>COBAN</t>
  </si>
  <si>
    <t>coban</t>
  </si>
  <si>
    <t>cobragoose</t>
  </si>
  <si>
    <t>CobraGoose</t>
  </si>
  <si>
    <t>CPOO</t>
  </si>
  <si>
    <t>cockapoo</t>
  </si>
  <si>
    <t>Cockapoo</t>
  </si>
  <si>
    <t>COC</t>
  </si>
  <si>
    <t>cocktailbar</t>
  </si>
  <si>
    <t>cocktailbar.finance</t>
  </si>
  <si>
    <t>COCOS</t>
  </si>
  <si>
    <t>cocos-bcx</t>
  </si>
  <si>
    <t>COCOS BCX</t>
  </si>
  <si>
    <t>COCO</t>
  </si>
  <si>
    <t>coco-swap</t>
  </si>
  <si>
    <t>Coco Swap</t>
  </si>
  <si>
    <t>code4rena</t>
  </si>
  <si>
    <t>Code4rena</t>
  </si>
  <si>
    <t>CODE7</t>
  </si>
  <si>
    <t>code-7</t>
  </si>
  <si>
    <t>Code 7</t>
  </si>
  <si>
    <t>CDEX</t>
  </si>
  <si>
    <t>codex</t>
  </si>
  <si>
    <t>Codex</t>
  </si>
  <si>
    <t>CODEX</t>
  </si>
  <si>
    <t>codex-finance</t>
  </si>
  <si>
    <t>CODEX Finance</t>
  </si>
  <si>
    <t>CODI</t>
  </si>
  <si>
    <t>codi-finance</t>
  </si>
  <si>
    <t>Codi Finance</t>
  </si>
  <si>
    <t>CTOK</t>
  </si>
  <si>
    <t>codyfight</t>
  </si>
  <si>
    <t>Codyfight</t>
  </si>
  <si>
    <t>CFF</t>
  </si>
  <si>
    <t>coffe-1-st-round</t>
  </si>
  <si>
    <t>Coffe</t>
  </si>
  <si>
    <t>COF</t>
  </si>
  <si>
    <t>coffeecoin</t>
  </si>
  <si>
    <t>CoffeeCoin</t>
  </si>
  <si>
    <t>COUSD</t>
  </si>
  <si>
    <t>coffin-dollar</t>
  </si>
  <si>
    <t>Coffin Dollar</t>
  </si>
  <si>
    <t>COFFIN</t>
  </si>
  <si>
    <t>coffin-finance</t>
  </si>
  <si>
    <t>Coffin Finance</t>
  </si>
  <si>
    <t>CNX</t>
  </si>
  <si>
    <t>cofinex</t>
  </si>
  <si>
    <t>Cofinex</t>
  </si>
  <si>
    <t>COFI</t>
  </si>
  <si>
    <t>cofix</t>
  </si>
  <si>
    <t>CoFiX</t>
  </si>
  <si>
    <t>COGE</t>
  </si>
  <si>
    <t>cogecoin</t>
  </si>
  <si>
    <t>Cogecoin</t>
  </si>
  <si>
    <t>COGI</t>
  </si>
  <si>
    <t>cogiverse</t>
  </si>
  <si>
    <t>9D NFT</t>
  </si>
  <si>
    <t>COIC</t>
  </si>
  <si>
    <t>coic</t>
  </si>
  <si>
    <t>COIN</t>
  </si>
  <si>
    <t>coin</t>
  </si>
  <si>
    <t>C4T</t>
  </si>
  <si>
    <t>coin4trade</t>
  </si>
  <si>
    <t>Coin4Trade</t>
  </si>
  <si>
    <t>C98</t>
  </si>
  <si>
    <t>coin98</t>
  </si>
  <si>
    <t>Coin98</t>
  </si>
  <si>
    <t>CAGE</t>
  </si>
  <si>
    <t>coinage-finance</t>
  </si>
  <si>
    <t>Coinage Finance</t>
  </si>
  <si>
    <t>ALP</t>
  </si>
  <si>
    <t>coinalpha</t>
  </si>
  <si>
    <t>CoinAlpha</t>
  </si>
  <si>
    <t>coin-artist</t>
  </si>
  <si>
    <t>Coin Artist</t>
  </si>
  <si>
    <t>CYT</t>
  </si>
  <si>
    <t>coinary-token</t>
  </si>
  <si>
    <t>Coinary</t>
  </si>
  <si>
    <t>coinbase-stock</t>
  </si>
  <si>
    <t>Coinbase Tokenized Stock on FTX</t>
  </si>
  <si>
    <t>coinbase-stock-bittrex</t>
  </si>
  <si>
    <t>Coinbase Tokenized Stock on Bittrex</t>
  </si>
  <si>
    <t>DCOIN</t>
  </si>
  <si>
    <t>coinbase-tokenized-stock-defichain</t>
  </si>
  <si>
    <t>Coinbase Tokenized Stock Defichain</t>
  </si>
  <si>
    <t>CAPS</t>
  </si>
  <si>
    <t>coin-capsule</t>
  </si>
  <si>
    <t>Ternoa</t>
  </si>
  <si>
    <t>CLM</t>
  </si>
  <si>
    <t>coinclaim</t>
  </si>
  <si>
    <t>CoinClaim</t>
  </si>
  <si>
    <t>CDL</t>
  </si>
  <si>
    <t>coindeal-token</t>
  </si>
  <si>
    <t>CoinDeal Token</t>
  </si>
  <si>
    <t>coin-discovery</t>
  </si>
  <si>
    <t>Coin Discovery</t>
  </si>
  <si>
    <t>SCC</t>
  </si>
  <si>
    <t>coindom</t>
  </si>
  <si>
    <t>Stem Cell Coin</t>
  </si>
  <si>
    <t>ERR</t>
  </si>
  <si>
    <t>coinerr</t>
  </si>
  <si>
    <t>Coinerr</t>
  </si>
  <si>
    <t>CET</t>
  </si>
  <si>
    <t>coinex-token</t>
  </si>
  <si>
    <t>CoinEx Token</t>
  </si>
  <si>
    <t>CFA</t>
  </si>
  <si>
    <t>coin-fast-alert</t>
  </si>
  <si>
    <t>Coin Fast Alert [OLD]</t>
  </si>
  <si>
    <t>coin-fast-alert-v2</t>
  </si>
  <si>
    <t>Coin Fast Alert V2</t>
  </si>
  <si>
    <t>coinfi</t>
  </si>
  <si>
    <t>CoinFi</t>
  </si>
  <si>
    <t>CFC</t>
  </si>
  <si>
    <t>coinfield-coin</t>
  </si>
  <si>
    <t>CoinField Coin</t>
  </si>
  <si>
    <t>AMLT</t>
  </si>
  <si>
    <t>coinfirm-amlt</t>
  </si>
  <si>
    <t>AMLT Network</t>
  </si>
  <si>
    <t>WCFLT</t>
  </si>
  <si>
    <t>coinflect</t>
  </si>
  <si>
    <t>Coinflect</t>
  </si>
  <si>
    <t>CFRESH</t>
  </si>
  <si>
    <t>coinfresh</t>
  </si>
  <si>
    <t>Coinfresh</t>
  </si>
  <si>
    <t>CGRESS</t>
  </si>
  <si>
    <t>coingress</t>
  </si>
  <si>
    <t>Coingress</t>
  </si>
  <si>
    <t>CHTRV2</t>
  </si>
  <si>
    <t>coinhunters</t>
  </si>
  <si>
    <t>Coinhunters</t>
  </si>
  <si>
    <t>CL</t>
  </si>
  <si>
    <t>coinlancer</t>
  </si>
  <si>
    <t>Coinlancer</t>
  </si>
  <si>
    <t>LION</t>
  </si>
  <si>
    <t>coinlion</t>
  </si>
  <si>
    <t>CoinLion</t>
  </si>
  <si>
    <t>coinloan</t>
  </si>
  <si>
    <t>CoinLoan</t>
  </si>
  <si>
    <t>CLG</t>
  </si>
  <si>
    <t>coinlogin</t>
  </si>
  <si>
    <t>CoinLogin</t>
  </si>
  <si>
    <t>MEET</t>
  </si>
  <si>
    <t>coinmeet</t>
  </si>
  <si>
    <t>CoinMeet</t>
  </si>
  <si>
    <t>CMERGE</t>
  </si>
  <si>
    <t>coinmerge</t>
  </si>
  <si>
    <t>CoinMerge (ERC20)</t>
  </si>
  <si>
    <t>coinmerge-bsc</t>
  </si>
  <si>
    <t>CoinMerge (BEP20)</t>
  </si>
  <si>
    <t>XCM</t>
  </si>
  <si>
    <t>coinmetro</t>
  </si>
  <si>
    <t>Coinmetro</t>
  </si>
  <si>
    <t>MOONER</t>
  </si>
  <si>
    <t>coinmooner</t>
  </si>
  <si>
    <t>CoinMooner</t>
  </si>
  <si>
    <t>COI</t>
  </si>
  <si>
    <t>coinnec</t>
  </si>
  <si>
    <t>Coinnec</t>
  </si>
  <si>
    <t>CON</t>
  </si>
  <si>
    <t>coin-of-nature</t>
  </si>
  <si>
    <t>Coin of Nature</t>
  </si>
  <si>
    <t>coin-of-the-champions</t>
  </si>
  <si>
    <t>Coin of the champions</t>
  </si>
  <si>
    <t>COFT</t>
  </si>
  <si>
    <t>coin-on-file-token</t>
  </si>
  <si>
    <t>Coin on File</t>
  </si>
  <si>
    <t>CP</t>
  </si>
  <si>
    <t>coinpad</t>
  </si>
  <si>
    <t>Coinpad</t>
  </si>
  <si>
    <t>CHP</t>
  </si>
  <si>
    <t>coinpoker</t>
  </si>
  <si>
    <t>CoinPoker</t>
  </si>
  <si>
    <t>CRACE</t>
  </si>
  <si>
    <t>coinracer</t>
  </si>
  <si>
    <t>Coinracer</t>
  </si>
  <si>
    <t>RADR</t>
  </si>
  <si>
    <t>coinradr</t>
  </si>
  <si>
    <t>CoinRadr</t>
  </si>
  <si>
    <t>CSF</t>
  </si>
  <si>
    <t>coinsale</t>
  </si>
  <si>
    <t>Coinsale</t>
  </si>
  <si>
    <t>CNB</t>
  </si>
  <si>
    <t>coinsbit-token</t>
  </si>
  <si>
    <t>Coinsbit Token</t>
  </si>
  <si>
    <t>SCAN</t>
  </si>
  <si>
    <t>coinscan</t>
  </si>
  <si>
    <t>CoinScan</t>
  </si>
  <si>
    <t>COINSCOPE</t>
  </si>
  <si>
    <t>coinscope</t>
  </si>
  <si>
    <t>Coinscope</t>
  </si>
  <si>
    <t>CPD</t>
  </si>
  <si>
    <t>coinspaid</t>
  </si>
  <si>
    <t>CoinsPaid</t>
  </si>
  <si>
    <t>CSX</t>
  </si>
  <si>
    <t>coinstox</t>
  </si>
  <si>
    <t>Coinstox</t>
  </si>
  <si>
    <t>CSS</t>
  </si>
  <si>
    <t>coinswap-space</t>
  </si>
  <si>
    <t>CoinSwap Space</t>
  </si>
  <si>
    <t>OROX</t>
  </si>
  <si>
    <t>cointorox</t>
  </si>
  <si>
    <t>Cointorox</t>
  </si>
  <si>
    <t>CTO</t>
  </si>
  <si>
    <t>coinversation</t>
  </si>
  <si>
    <t>Coinversation</t>
  </si>
  <si>
    <t>coinviewcap</t>
  </si>
  <si>
    <t>CoinViewCap</t>
  </si>
  <si>
    <t>CNW</t>
  </si>
  <si>
    <t>coinwealth</t>
  </si>
  <si>
    <t>CoinWealth</t>
  </si>
  <si>
    <t>CWEB</t>
  </si>
  <si>
    <t>coinweb</t>
  </si>
  <si>
    <t>Coinweb</t>
  </si>
  <si>
    <t>coinwind</t>
  </si>
  <si>
    <t>CoinWind</t>
  </si>
  <si>
    <t>CXPAD</t>
  </si>
  <si>
    <t>coinxpad</t>
  </si>
  <si>
    <t>CoinxPad</t>
  </si>
  <si>
    <t>COLA</t>
  </si>
  <si>
    <t>cola-token</t>
  </si>
  <si>
    <t>Cola</t>
  </si>
  <si>
    <t>COLD</t>
  </si>
  <si>
    <t>coldbank</t>
  </si>
  <si>
    <t>Coldbank</t>
  </si>
  <si>
    <t>cold-finance</t>
  </si>
  <si>
    <t>Cold Finance</t>
  </si>
  <si>
    <t>coldstack</t>
  </si>
  <si>
    <t>Coldstack</t>
  </si>
  <si>
    <t>ZEUM</t>
  </si>
  <si>
    <t>colizeum</t>
  </si>
  <si>
    <t>Colizeum</t>
  </si>
  <si>
    <t>COLL</t>
  </si>
  <si>
    <t>collateral-pay</t>
  </si>
  <si>
    <t>Collateral Pay</t>
  </si>
  <si>
    <t>COLLG</t>
  </si>
  <si>
    <t>collateral-pay-governance</t>
  </si>
  <si>
    <t>Collateral Pay Governance</t>
  </si>
  <si>
    <t>CO2</t>
  </si>
  <si>
    <t>collective</t>
  </si>
  <si>
    <t>Collective</t>
  </si>
  <si>
    <t>collector-coin</t>
  </si>
  <si>
    <t>Collector Coin</t>
  </si>
  <si>
    <t>CCN</t>
  </si>
  <si>
    <t>collegecoinnetwork</t>
  </si>
  <si>
    <t>CollegeCoinNetwork</t>
  </si>
  <si>
    <t>collegicoin</t>
  </si>
  <si>
    <t>Collegicoin</t>
  </si>
  <si>
    <t>COTK</t>
  </si>
  <si>
    <t>colligo</t>
  </si>
  <si>
    <t>Colligo</t>
  </si>
  <si>
    <t>colony</t>
  </si>
  <si>
    <t>Colony</t>
  </si>
  <si>
    <t>CLNY</t>
  </si>
  <si>
    <t>colony-network-token</t>
  </si>
  <si>
    <t>Colony Network</t>
  </si>
  <si>
    <t>COLX</t>
  </si>
  <si>
    <t>colossuscoinxt</t>
  </si>
  <si>
    <t>ColossusXT</t>
  </si>
  <si>
    <t>CBS</t>
  </si>
  <si>
    <t>columbus</t>
  </si>
  <si>
    <t>Columbus</t>
  </si>
  <si>
    <t>COMB</t>
  </si>
  <si>
    <t>comb-finance</t>
  </si>
  <si>
    <t>Comb Finance</t>
  </si>
  <si>
    <t>combo-2</t>
  </si>
  <si>
    <t>Combo</t>
  </si>
  <si>
    <t>CMDX</t>
  </si>
  <si>
    <t>comdex</t>
  </si>
  <si>
    <t>Comdex</t>
  </si>
  <si>
    <t>COMET</t>
  </si>
  <si>
    <t>comet-nodes</t>
  </si>
  <si>
    <t>Comet Nodes</t>
  </si>
  <si>
    <t>COMFY</t>
  </si>
  <si>
    <t>comfy</t>
  </si>
  <si>
    <t>Comfy</t>
  </si>
  <si>
    <t>CSHARE</t>
  </si>
  <si>
    <t>comfy-share</t>
  </si>
  <si>
    <t>Comfy Share</t>
  </si>
  <si>
    <t>comfy-v2</t>
  </si>
  <si>
    <t>Comfy V2</t>
  </si>
  <si>
    <t>commons-earth</t>
  </si>
  <si>
    <t>Commons Earth</t>
  </si>
  <si>
    <t>communifty</t>
  </si>
  <si>
    <t>Communifty</t>
  </si>
  <si>
    <t>CBT</t>
  </si>
  <si>
    <t>community-business-token</t>
  </si>
  <si>
    <t>Community Business</t>
  </si>
  <si>
    <t>CTC</t>
  </si>
  <si>
    <t>community-coin-2</t>
  </si>
  <si>
    <t>Community Coin Foundation</t>
  </si>
  <si>
    <t>CCDOGE</t>
  </si>
  <si>
    <t>community-doge-coin</t>
  </si>
  <si>
    <t>Community Doge Coin</t>
  </si>
  <si>
    <t>COMT</t>
  </si>
  <si>
    <t>community-metaverse</t>
  </si>
  <si>
    <t>Community Metaverse</t>
  </si>
  <si>
    <t>communitytoken</t>
  </si>
  <si>
    <t>Cojam</t>
  </si>
  <si>
    <t>CVP</t>
  </si>
  <si>
    <t>community-vote-power</t>
  </si>
  <si>
    <t>Community Vote Power</t>
  </si>
  <si>
    <t>CMD</t>
  </si>
  <si>
    <t>comodo-coin</t>
  </si>
  <si>
    <t>Comodo Coin</t>
  </si>
  <si>
    <t>CMFI</t>
  </si>
  <si>
    <t>compendium-fi</t>
  </si>
  <si>
    <t>Compendium.Fi</t>
  </si>
  <si>
    <t>COMFI</t>
  </si>
  <si>
    <t>complifi</t>
  </si>
  <si>
    <t>CompliFi</t>
  </si>
  <si>
    <t>CZRX</t>
  </si>
  <si>
    <t>compound-0x</t>
  </si>
  <si>
    <t>c0x</t>
  </si>
  <si>
    <t>CBAT</t>
  </si>
  <si>
    <t>compound-basic-attention-token</t>
  </si>
  <si>
    <t>cBAT</t>
  </si>
  <si>
    <t>CLINK</t>
  </si>
  <si>
    <t>compound-chainlink-token</t>
  </si>
  <si>
    <t>cLINK</t>
  </si>
  <si>
    <t>COMP</t>
  </si>
  <si>
    <t>compound-coin</t>
  </si>
  <si>
    <t>Compound Coin</t>
  </si>
  <si>
    <t>compound-ether</t>
  </si>
  <si>
    <t>compound-governance-token</t>
  </si>
  <si>
    <t>Compound</t>
  </si>
  <si>
    <t>CMKR</t>
  </si>
  <si>
    <t>compound-maker</t>
  </si>
  <si>
    <t>cMKR</t>
  </si>
  <si>
    <t>CSUSHI</t>
  </si>
  <si>
    <t>compound-sushi</t>
  </si>
  <si>
    <t>cSUSHI</t>
  </si>
  <si>
    <t>CUNI</t>
  </si>
  <si>
    <t>compound-uniswap</t>
  </si>
  <si>
    <t>cUNI</t>
  </si>
  <si>
    <t>CUSDC</t>
  </si>
  <si>
    <t>compound-usd-coin</t>
  </si>
  <si>
    <t>cUSDC</t>
  </si>
  <si>
    <t>CUSDT</t>
  </si>
  <si>
    <t>compound-usdt</t>
  </si>
  <si>
    <t>cUSDT</t>
  </si>
  <si>
    <t>compound-wormhole</t>
  </si>
  <si>
    <t>Compound (Wormhole)</t>
  </si>
  <si>
    <t>CWBTC</t>
  </si>
  <si>
    <t>compound-wrapped-btc</t>
  </si>
  <si>
    <t>cWBTC</t>
  </si>
  <si>
    <t>CYFI</t>
  </si>
  <si>
    <t>compound-yearn-finance</t>
  </si>
  <si>
    <t>cYFI</t>
  </si>
  <si>
    <t>CMS</t>
  </si>
  <si>
    <t>comsa</t>
  </si>
  <si>
    <t>COMSA</t>
  </si>
  <si>
    <t>CNV</t>
  </si>
  <si>
    <t>concave</t>
  </si>
  <si>
    <t>Concave</t>
  </si>
  <si>
    <t>CCX</t>
  </si>
  <si>
    <t>conceal</t>
  </si>
  <si>
    <t>Conceal</t>
  </si>
  <si>
    <t>concentrated-voting-power</t>
  </si>
  <si>
    <t>PowerPool Concentrated Voting Power</t>
  </si>
  <si>
    <t>CVT</t>
  </si>
  <si>
    <t>concertvr</t>
  </si>
  <si>
    <t>concertVR</t>
  </si>
  <si>
    <t>AVA</t>
  </si>
  <si>
    <t>concierge-io</t>
  </si>
  <si>
    <t>Travala.com</t>
  </si>
  <si>
    <t>CCD</t>
  </si>
  <si>
    <t>concordium</t>
  </si>
  <si>
    <t>Concordium</t>
  </si>
  <si>
    <t>CONC</t>
  </si>
  <si>
    <t>concrete-codes</t>
  </si>
  <si>
    <t>Concrete Codes</t>
  </si>
  <si>
    <t>CONEGAME</t>
  </si>
  <si>
    <t>conegame</t>
  </si>
  <si>
    <t>ConeGame</t>
  </si>
  <si>
    <t>CFTI</t>
  </si>
  <si>
    <t>confetti</t>
  </si>
  <si>
    <t>Confetti</t>
  </si>
  <si>
    <t>CFX</t>
  </si>
  <si>
    <t>conflux-token</t>
  </si>
  <si>
    <t>Conflux</t>
  </si>
  <si>
    <t>GAAS</t>
  </si>
  <si>
    <t>congruent-dao-token</t>
  </si>
  <si>
    <t>Congruent DAO</t>
  </si>
  <si>
    <t>CNC</t>
  </si>
  <si>
    <t>conic-finance</t>
  </si>
  <si>
    <t>Conic</t>
  </si>
  <si>
    <t>CONJ</t>
  </si>
  <si>
    <t>conjee</t>
  </si>
  <si>
    <t>Conjee</t>
  </si>
  <si>
    <t>XCON</t>
  </si>
  <si>
    <t>connect-coin</t>
  </si>
  <si>
    <t>Connect Coin</t>
  </si>
  <si>
    <t>CNFI</t>
  </si>
  <si>
    <t>connect-financial</t>
  </si>
  <si>
    <t>Connect Financial</t>
  </si>
  <si>
    <t>connectico</t>
  </si>
  <si>
    <t>Connectico</t>
  </si>
  <si>
    <t>CJT</t>
  </si>
  <si>
    <t>connectjob</t>
  </si>
  <si>
    <t>ConnectJob</t>
  </si>
  <si>
    <t>CNTM</t>
  </si>
  <si>
    <t>connectome</t>
  </si>
  <si>
    <t>Connectome</t>
  </si>
  <si>
    <t>CTCO</t>
  </si>
  <si>
    <t>connector-coin</t>
  </si>
  <si>
    <t>Connector Coin</t>
  </si>
  <si>
    <t>connect-token</t>
  </si>
  <si>
    <t>Connect Stela</t>
  </si>
  <si>
    <t>CONQ</t>
  </si>
  <si>
    <t>conqueror</t>
  </si>
  <si>
    <t>Conqueror</t>
  </si>
  <si>
    <t>consentium</t>
  </si>
  <si>
    <t>Consentium</t>
  </si>
  <si>
    <t>DAG</t>
  </si>
  <si>
    <t>constellation-labs</t>
  </si>
  <si>
    <t>Constellation</t>
  </si>
  <si>
    <t>PEOPLE</t>
  </si>
  <si>
    <t>constitutiondao</t>
  </si>
  <si>
    <t>ConstitutionDAO</t>
  </si>
  <si>
    <t>constitutiondao-wormhole</t>
  </si>
  <si>
    <t>ConstitutionDAO (Wormhole)</t>
  </si>
  <si>
    <t>contentbox</t>
  </si>
  <si>
    <t>ContentBox</t>
  </si>
  <si>
    <t>COS</t>
  </si>
  <si>
    <t>contentos</t>
  </si>
  <si>
    <t>Contentos</t>
  </si>
  <si>
    <t>CVNT</t>
  </si>
  <si>
    <t>content-value-network</t>
  </si>
  <si>
    <t>Conscious Value Network</t>
  </si>
  <si>
    <t>CTN</t>
  </si>
  <si>
    <t>continuum-finance</t>
  </si>
  <si>
    <t>Continuum Finance</t>
  </si>
  <si>
    <t>UM</t>
  </si>
  <si>
    <t>continuum-world</t>
  </si>
  <si>
    <t>Continuum World</t>
  </si>
  <si>
    <t>CTCN</t>
  </si>
  <si>
    <t>contracoin</t>
  </si>
  <si>
    <t>Contracoin</t>
  </si>
  <si>
    <t>LOCK</t>
  </si>
  <si>
    <t>contracto</t>
  </si>
  <si>
    <t>Contracto</t>
  </si>
  <si>
    <t>TRIB</t>
  </si>
  <si>
    <t>contribute</t>
  </si>
  <si>
    <t>Contribute</t>
  </si>
  <si>
    <t>conun</t>
  </si>
  <si>
    <t>CONUN</t>
  </si>
  <si>
    <t>CONV</t>
  </si>
  <si>
    <t>convergence</t>
  </si>
  <si>
    <t>Convergence</t>
  </si>
  <si>
    <t>converter-finance</t>
  </si>
  <si>
    <t>Converter Finance</t>
  </si>
  <si>
    <t>CVXCRV</t>
  </si>
  <si>
    <t>convex-crv</t>
  </si>
  <si>
    <t>Convex CRV</t>
  </si>
  <si>
    <t>CVX</t>
  </si>
  <si>
    <t>convex-finance</t>
  </si>
  <si>
    <t>Convex Finance</t>
  </si>
  <si>
    <t>convex-finance-wormhole</t>
  </si>
  <si>
    <t>Convex Finance (Wormhole)</t>
  </si>
  <si>
    <t>COOK</t>
  </si>
  <si>
    <t>cook</t>
  </si>
  <si>
    <t>Cook</t>
  </si>
  <si>
    <t>COOL20</t>
  </si>
  <si>
    <t>cool-cats</t>
  </si>
  <si>
    <t>Cool Cats</t>
  </si>
  <si>
    <t>COOHA</t>
  </si>
  <si>
    <t>coolmining</t>
  </si>
  <si>
    <t>CoolMining</t>
  </si>
  <si>
    <t>CMB</t>
  </si>
  <si>
    <t>cool-monke-banana</t>
  </si>
  <si>
    <t>Cool Monke Banana</t>
  </si>
  <si>
    <t>COOL</t>
  </si>
  <si>
    <t>cool-vault-nftx</t>
  </si>
  <si>
    <t>COOL Vault (NFTX)</t>
  </si>
  <si>
    <t>COPE</t>
  </si>
  <si>
    <t>cope</t>
  </si>
  <si>
    <t>Cope</t>
  </si>
  <si>
    <t>COP</t>
  </si>
  <si>
    <t>copiosa</t>
  </si>
  <si>
    <t>Copiosa</t>
  </si>
  <si>
    <t>copuppy</t>
  </si>
  <si>
    <t>CoPuppy</t>
  </si>
  <si>
    <t>COPYCAT</t>
  </si>
  <si>
    <t>copycat-finance</t>
  </si>
  <si>
    <t>Copycat Finance</t>
  </si>
  <si>
    <t>CORAL</t>
  </si>
  <si>
    <t>coral-swap</t>
  </si>
  <si>
    <t>Coral Swap</t>
  </si>
  <si>
    <t>CORD</t>
  </si>
  <si>
    <t>cord-finance</t>
  </si>
  <si>
    <t>CORD.Finance</t>
  </si>
  <si>
    <t>CMCX</t>
  </si>
  <si>
    <t>core</t>
  </si>
  <si>
    <t>CORE MultiChain</t>
  </si>
  <si>
    <t>COREDAO</t>
  </si>
  <si>
    <t>coredao</t>
  </si>
  <si>
    <t>coreDAO</t>
  </si>
  <si>
    <t>CSTR</t>
  </si>
  <si>
    <t>corestarter</t>
  </si>
  <si>
    <t>CoreStarter</t>
  </si>
  <si>
    <t>COR</t>
  </si>
  <si>
    <t>coreto</t>
  </si>
  <si>
    <t>Coreto</t>
  </si>
  <si>
    <t>CORE</t>
  </si>
  <si>
    <t>coreum</t>
  </si>
  <si>
    <t>Coreum</t>
  </si>
  <si>
    <t>CORGI</t>
  </si>
  <si>
    <t>corgicoin</t>
  </si>
  <si>
    <t>CorgiCoin</t>
  </si>
  <si>
    <t>corgidoge</t>
  </si>
  <si>
    <t>Corgidoge</t>
  </si>
  <si>
    <t>corgi-inu</t>
  </si>
  <si>
    <t>Corgi Inu</t>
  </si>
  <si>
    <t>corginftgame</t>
  </si>
  <si>
    <t>CorgiNFTGame</t>
  </si>
  <si>
    <t>CORIS</t>
  </si>
  <si>
    <t>corgiswap</t>
  </si>
  <si>
    <t>CorgiSwap</t>
  </si>
  <si>
    <t>CORX</t>
  </si>
  <si>
    <t>corionx</t>
  </si>
  <si>
    <t>CorionX</t>
  </si>
  <si>
    <t>corn</t>
  </si>
  <si>
    <t>cornatto</t>
  </si>
  <si>
    <t>Cornatto</t>
  </si>
  <si>
    <t>cornichon</t>
  </si>
  <si>
    <t>Cornichon</t>
  </si>
  <si>
    <t>COPI</t>
  </si>
  <si>
    <t>cornucopias</t>
  </si>
  <si>
    <t>Cornucopias</t>
  </si>
  <si>
    <t>CORA</t>
  </si>
  <si>
    <t>corra-finance</t>
  </si>
  <si>
    <t>Corra.Finance</t>
  </si>
  <si>
    <t>CSCT</t>
  </si>
  <si>
    <t>corsac-v2</t>
  </si>
  <si>
    <t>Corsac v2</t>
  </si>
  <si>
    <t>CTXC</t>
  </si>
  <si>
    <t>cortex</t>
  </si>
  <si>
    <t>Cortex</t>
  </si>
  <si>
    <t>CXD</t>
  </si>
  <si>
    <t>cortexdao</t>
  </si>
  <si>
    <t>CortexDAO</t>
  </si>
  <si>
    <t>COSHI</t>
  </si>
  <si>
    <t>coshi-inu</t>
  </si>
  <si>
    <t>CoShi Inu</t>
  </si>
  <si>
    <t>CAC</t>
  </si>
  <si>
    <t>cosmic-ape-coin</t>
  </si>
  <si>
    <t>Cosmic Ape Coin</t>
  </si>
  <si>
    <t>COSMIC</t>
  </si>
  <si>
    <t>cosmic-coin</t>
  </si>
  <si>
    <t>Cosmic Coin</t>
  </si>
  <si>
    <t>CSMC</t>
  </si>
  <si>
    <t>cosmic-music</t>
  </si>
  <si>
    <t>Cosmic Music</t>
  </si>
  <si>
    <t>cosmicswap</t>
  </si>
  <si>
    <t>CosmicSwap</t>
  </si>
  <si>
    <t>MAGIC</t>
  </si>
  <si>
    <t>cosmic-universe-magic-token</t>
  </si>
  <si>
    <t>Cosmic Universe Magic</t>
  </si>
  <si>
    <t>COSM</t>
  </si>
  <si>
    <t>cosmo-coin</t>
  </si>
  <si>
    <t>Cosmo Coin</t>
  </si>
  <si>
    <t>cosmos</t>
  </si>
  <si>
    <t>CSMS</t>
  </si>
  <si>
    <t>cosmostarter</t>
  </si>
  <si>
    <t>Cosmostarter</t>
  </si>
  <si>
    <t>COT</t>
  </si>
  <si>
    <t>cosplay-token</t>
  </si>
  <si>
    <t>cosplay-token-2</t>
  </si>
  <si>
    <t>Cosplay</t>
  </si>
  <si>
    <t>AKM</t>
  </si>
  <si>
    <t>cost-coin</t>
  </si>
  <si>
    <t>COST COIN+</t>
  </si>
  <si>
    <t>COTI</t>
  </si>
  <si>
    <t>coti</t>
  </si>
  <si>
    <t>cotrader</t>
  </si>
  <si>
    <t>CoTrader</t>
  </si>
  <si>
    <t>COU</t>
  </si>
  <si>
    <t>couchain</t>
  </si>
  <si>
    <t>Couchain</t>
  </si>
  <si>
    <t>CGS</t>
  </si>
  <si>
    <t>cougar-token</t>
  </si>
  <si>
    <t>CougarSwap</t>
  </si>
  <si>
    <t>COAPE</t>
  </si>
  <si>
    <t>council-of-apes</t>
  </si>
  <si>
    <t>Council of Apes</t>
  </si>
  <si>
    <t>CCA</t>
  </si>
  <si>
    <t>counos-coin</t>
  </si>
  <si>
    <t>Counos Coin</t>
  </si>
  <si>
    <t>CCXX</t>
  </si>
  <si>
    <t>counosx</t>
  </si>
  <si>
    <t>CounosX</t>
  </si>
  <si>
    <t>XCP</t>
  </si>
  <si>
    <t>counterparty</t>
  </si>
  <si>
    <t>Counterparty</t>
  </si>
  <si>
    <t>COUNTY</t>
  </si>
  <si>
    <t>county-metaverse</t>
  </si>
  <si>
    <t>County Metaverse</t>
  </si>
  <si>
    <t>CUP</t>
  </si>
  <si>
    <t>couponbay</t>
  </si>
  <si>
    <t>CouponBay</t>
  </si>
  <si>
    <t>CQT</t>
  </si>
  <si>
    <t>covalent</t>
  </si>
  <si>
    <t>Covalent</t>
  </si>
  <si>
    <t>COVA</t>
  </si>
  <si>
    <t>covalent-cova</t>
  </si>
  <si>
    <t>Cova Unity</t>
  </si>
  <si>
    <t>COVN</t>
  </si>
  <si>
    <t>covenant-child</t>
  </si>
  <si>
    <t>Covenant</t>
  </si>
  <si>
    <t>CVR</t>
  </si>
  <si>
    <t>covercompared</t>
  </si>
  <si>
    <t>CoverCompared</t>
  </si>
  <si>
    <t>COVER</t>
  </si>
  <si>
    <t>cover-protocol</t>
  </si>
  <si>
    <t>Cover Protocol</t>
  </si>
  <si>
    <t>COV</t>
  </si>
  <si>
    <t>covesting</t>
  </si>
  <si>
    <t>Covesting</t>
  </si>
  <si>
    <t>covicoin</t>
  </si>
  <si>
    <t>CoviCoin</t>
  </si>
  <si>
    <t>COVDR</t>
  </si>
  <si>
    <t>covid-19-recovery-token</t>
  </si>
  <si>
    <t>COVID-19 Recovery</t>
  </si>
  <si>
    <t>COVID DOGE</t>
  </si>
  <si>
    <t>covid-doge</t>
  </si>
  <si>
    <t>Covid Doge</t>
  </si>
  <si>
    <t>COVID19</t>
  </si>
  <si>
    <t>covid-slice</t>
  </si>
  <si>
    <t>Covid Slice</t>
  </si>
  <si>
    <t>COWS</t>
  </si>
  <si>
    <t>cowboy-snake</t>
  </si>
  <si>
    <t>Cowboy Snake</t>
  </si>
  <si>
    <t>cowcoin</t>
  </si>
  <si>
    <t>CowCoin</t>
  </si>
  <si>
    <t>CI</t>
  </si>
  <si>
    <t>cow-inu</t>
  </si>
  <si>
    <t>Cow Inu</t>
  </si>
  <si>
    <t>cow-protocol</t>
  </si>
  <si>
    <t>CoW Protocol</t>
  </si>
  <si>
    <t>cowry</t>
  </si>
  <si>
    <t>COWRY</t>
  </si>
  <si>
    <t>COX</t>
  </si>
  <si>
    <t>coxswap</t>
  </si>
  <si>
    <t>Coxswap</t>
  </si>
  <si>
    <t>CPC</t>
  </si>
  <si>
    <t>cpchain</t>
  </si>
  <si>
    <t>CPChain</t>
  </si>
  <si>
    <t>CPLAY</t>
  </si>
  <si>
    <t>cplay-network</t>
  </si>
  <si>
    <t>CPLAY Network</t>
  </si>
  <si>
    <t>CPOS</t>
  </si>
  <si>
    <t>cpos-cloud-payment</t>
  </si>
  <si>
    <t>CPOS Cloud Payment</t>
  </si>
  <si>
    <t>CPROP</t>
  </si>
  <si>
    <t>cprop</t>
  </si>
  <si>
    <t>CPU</t>
  </si>
  <si>
    <t>cpuchain</t>
  </si>
  <si>
    <t>CPUchain</t>
  </si>
  <si>
    <t>cpucoin</t>
  </si>
  <si>
    <t>CPUcoin</t>
  </si>
  <si>
    <t>CRA</t>
  </si>
  <si>
    <t>crabada</t>
  </si>
  <si>
    <t>Crabada</t>
  </si>
  <si>
    <t>CRAM</t>
  </si>
  <si>
    <t>crabada-amulet</t>
  </si>
  <si>
    <t>Crabada Amulet</t>
  </si>
  <si>
    <t>CRF</t>
  </si>
  <si>
    <t>crafting-finance</t>
  </si>
  <si>
    <t>Crafting Finance</t>
  </si>
  <si>
    <t>CFT</t>
  </si>
  <si>
    <t>craft-network</t>
  </si>
  <si>
    <t>Craft network</t>
  </si>
  <si>
    <t>GRANX</t>
  </si>
  <si>
    <t>cranx-chain</t>
  </si>
  <si>
    <t>GranX Chain</t>
  </si>
  <si>
    <t>CRTS</t>
  </si>
  <si>
    <t>cratos</t>
  </si>
  <si>
    <t>Cratos</t>
  </si>
  <si>
    <t>CRAVE</t>
  </si>
  <si>
    <t>crave</t>
  </si>
  <si>
    <t>Crave</t>
  </si>
  <si>
    <t>CBUNNY</t>
  </si>
  <si>
    <t>crazy-bunny-equity-token</t>
  </si>
  <si>
    <t>Crazy Bunny Equity</t>
  </si>
  <si>
    <t>PWR</t>
  </si>
  <si>
    <t>crazyminer</t>
  </si>
  <si>
    <t>CrazyMiner</t>
  </si>
  <si>
    <t>crazy-rich-coin</t>
  </si>
  <si>
    <t>Crazy Rich Coin</t>
  </si>
  <si>
    <t>CRAZYTIME</t>
  </si>
  <si>
    <t>crazytime</t>
  </si>
  <si>
    <t>CrazyTime</t>
  </si>
  <si>
    <t>CRB</t>
  </si>
  <si>
    <t>crb-coin</t>
  </si>
  <si>
    <t>CRB Coin</t>
  </si>
  <si>
    <t>CRD</t>
  </si>
  <si>
    <t>crd-network</t>
  </si>
  <si>
    <t>CRD Network</t>
  </si>
  <si>
    <t>CRDT</t>
  </si>
  <si>
    <t>crdt</t>
  </si>
  <si>
    <t>CRE8R</t>
  </si>
  <si>
    <t>cre8r-dao</t>
  </si>
  <si>
    <t>CRE8R DAO</t>
  </si>
  <si>
    <t>CRM</t>
  </si>
  <si>
    <t>cream</t>
  </si>
  <si>
    <t>Creamcoin</t>
  </si>
  <si>
    <t>CREAM</t>
  </si>
  <si>
    <t>cream-2</t>
  </si>
  <si>
    <t>Cream</t>
  </si>
  <si>
    <t>CRETH2</t>
  </si>
  <si>
    <t>cream-eth2</t>
  </si>
  <si>
    <t>Cream ETH 2</t>
  </si>
  <si>
    <t>PYE</t>
  </si>
  <si>
    <t>creampye</t>
  </si>
  <si>
    <t>Creampye [OLD]</t>
  </si>
  <si>
    <t>cream-shares</t>
  </si>
  <si>
    <t>IceCream Shares</t>
  </si>
  <si>
    <t>cream-wormhole</t>
  </si>
  <si>
    <t>Cream (Wormhole)</t>
  </si>
  <si>
    <t>CREAMY</t>
  </si>
  <si>
    <t>creamy</t>
  </si>
  <si>
    <t>Creamy</t>
  </si>
  <si>
    <t>CRE8</t>
  </si>
  <si>
    <t>creaticles</t>
  </si>
  <si>
    <t>Creaticles</t>
  </si>
  <si>
    <t>CREA</t>
  </si>
  <si>
    <t>creativecoin</t>
  </si>
  <si>
    <t>CTR</t>
  </si>
  <si>
    <t>creator-platform</t>
  </si>
  <si>
    <t>Creator Platform</t>
  </si>
  <si>
    <t>creator-protocol</t>
  </si>
  <si>
    <t>Creator Protocol</t>
  </si>
  <si>
    <t>CHTS</t>
  </si>
  <si>
    <t>creature_hunters</t>
  </si>
  <si>
    <t>Creature Hunters</t>
  </si>
  <si>
    <t>CREDA</t>
  </si>
  <si>
    <t>creda</t>
  </si>
  <si>
    <t>CreDA</t>
  </si>
  <si>
    <t>CREDI</t>
  </si>
  <si>
    <t>credefi</t>
  </si>
  <si>
    <t>Credefi</t>
  </si>
  <si>
    <t>credefi-wormhole</t>
  </si>
  <si>
    <t>Credefi (Wormhole)</t>
  </si>
  <si>
    <t>CREDIT</t>
  </si>
  <si>
    <t>credit</t>
  </si>
  <si>
    <t>TerraCredit</t>
  </si>
  <si>
    <t>credit-2</t>
  </si>
  <si>
    <t>PROXI DeFi</t>
  </si>
  <si>
    <t>creditcoin-2</t>
  </si>
  <si>
    <t>Creditcoin</t>
  </si>
  <si>
    <t>CREDITP</t>
  </si>
  <si>
    <t>credit-printer</t>
  </si>
  <si>
    <t>Credit Printer</t>
  </si>
  <si>
    <t>CS</t>
  </si>
  <si>
    <t>credits</t>
  </si>
  <si>
    <t>CREDITS</t>
  </si>
  <si>
    <t>creditum</t>
  </si>
  <si>
    <t>Creditum</t>
  </si>
  <si>
    <t>CMK</t>
  </si>
  <si>
    <t>credmark</t>
  </si>
  <si>
    <t>Credmark</t>
  </si>
  <si>
    <t>CREDS</t>
  </si>
  <si>
    <t>creds</t>
  </si>
  <si>
    <t>Creds</t>
  </si>
  <si>
    <t>CREO</t>
  </si>
  <si>
    <t>creo-engine</t>
  </si>
  <si>
    <t>Creo Engine</t>
  </si>
  <si>
    <t>crescent-network</t>
  </si>
  <si>
    <t>Crescent Network</t>
  </si>
  <si>
    <t>XCRE</t>
  </si>
  <si>
    <t>cresio</t>
  </si>
  <si>
    <t>Cresio</t>
  </si>
  <si>
    <t>CSO</t>
  </si>
  <si>
    <t>crespo</t>
  </si>
  <si>
    <t>Crespo</t>
  </si>
  <si>
    <t>CREVA</t>
  </si>
  <si>
    <t>crevacoin</t>
  </si>
  <si>
    <t>Crevacoin</t>
  </si>
  <si>
    <t>CREX</t>
  </si>
  <si>
    <t>crex-token</t>
  </si>
  <si>
    <t>Crex Token</t>
  </si>
  <si>
    <t>CRIC</t>
  </si>
  <si>
    <t>cricket-foundation</t>
  </si>
  <si>
    <t>Cricket Foundation</t>
  </si>
  <si>
    <t>CCASH</t>
  </si>
  <si>
    <t>crimecash</t>
  </si>
  <si>
    <t>CrimeCash</t>
  </si>
  <si>
    <t>CGOLD</t>
  </si>
  <si>
    <t>crimegold</t>
  </si>
  <si>
    <t>CrimeGold</t>
  </si>
  <si>
    <t>CRIME</t>
  </si>
  <si>
    <t>crime-gold</t>
  </si>
  <si>
    <t>Crime Gold</t>
  </si>
  <si>
    <t>crinet</t>
  </si>
  <si>
    <t>Crinet</t>
  </si>
  <si>
    <t>MSH</t>
  </si>
  <si>
    <t>crir-msh</t>
  </si>
  <si>
    <t>CRIR MSH</t>
  </si>
  <si>
    <t>CROAT</t>
  </si>
  <si>
    <t>croat</t>
  </si>
  <si>
    <t>crobank</t>
  </si>
  <si>
    <t>CroBank</t>
  </si>
  <si>
    <t>CROBLANC</t>
  </si>
  <si>
    <t>croblanc</t>
  </si>
  <si>
    <t>Croblanc</t>
  </si>
  <si>
    <t>CROCASH</t>
  </si>
  <si>
    <t>crocash</t>
  </si>
  <si>
    <t>Crocash</t>
  </si>
  <si>
    <t>CRX</t>
  </si>
  <si>
    <t>crodex</t>
  </si>
  <si>
    <t>Crodex</t>
  </si>
  <si>
    <t>CROETH</t>
  </si>
  <si>
    <t>croeth</t>
  </si>
  <si>
    <t>CROGE</t>
  </si>
  <si>
    <t>crogecoin</t>
  </si>
  <si>
    <t>Crogecoin</t>
  </si>
  <si>
    <t>CROISSANT</t>
  </si>
  <si>
    <t>croissant-games</t>
  </si>
  <si>
    <t>Croissant Games</t>
  </si>
  <si>
    <t>CRK</t>
  </si>
  <si>
    <t>croking</t>
  </si>
  <si>
    <t>Croking</t>
  </si>
  <si>
    <t>CROLAMBOS</t>
  </si>
  <si>
    <t>crolambos</t>
  </si>
  <si>
    <t>CROLambos</t>
  </si>
  <si>
    <t>CM</t>
  </si>
  <si>
    <t>cromarket-token</t>
  </si>
  <si>
    <t>Cromarket</t>
  </si>
  <si>
    <t>MOON</t>
  </si>
  <si>
    <t>cromoon</t>
  </si>
  <si>
    <t>CroMoon</t>
  </si>
  <si>
    <t>CRONA</t>
  </si>
  <si>
    <t>cronaswap</t>
  </si>
  <si>
    <t>CronaSwap</t>
  </si>
  <si>
    <t>CRN</t>
  </si>
  <si>
    <t>cronodes</t>
  </si>
  <si>
    <t>CroNodes</t>
  </si>
  <si>
    <t>CRONO</t>
  </si>
  <si>
    <t>cronofi-finance</t>
  </si>
  <si>
    <t>Cronofi Finance</t>
  </si>
  <si>
    <t>SPHERE</t>
  </si>
  <si>
    <t>cronosphere</t>
  </si>
  <si>
    <t>Cronosphere</t>
  </si>
  <si>
    <t>CROSS</t>
  </si>
  <si>
    <t>cronos-stable-swap</t>
  </si>
  <si>
    <t>Cronos Stable Swap</t>
  </si>
  <si>
    <t>cronos-wormhole</t>
  </si>
  <si>
    <t>Cronos (Wormhole)</t>
  </si>
  <si>
    <t>cronus-finance</t>
  </si>
  <si>
    <t>Cronus Finance</t>
  </si>
  <si>
    <t>cropbytes</t>
  </si>
  <si>
    <t>CropBytes</t>
  </si>
  <si>
    <t>CRP</t>
  </si>
  <si>
    <t>cropperfinance</t>
  </si>
  <si>
    <t>CropperFinance</t>
  </si>
  <si>
    <t>cro-predict</t>
  </si>
  <si>
    <t>CRO Predict</t>
  </si>
  <si>
    <t>CCBCH</t>
  </si>
  <si>
    <t>cross-chain-bch</t>
  </si>
  <si>
    <t>Cross-Chain BCH</t>
  </si>
  <si>
    <t>BRIDGE</t>
  </si>
  <si>
    <t>cross-chain-bridge</t>
  </si>
  <si>
    <t>Cross-Chain Bridge</t>
  </si>
  <si>
    <t>CCC</t>
  </si>
  <si>
    <t>cross-chain-capital</t>
  </si>
  <si>
    <t>Cross Chain Capital</t>
  </si>
  <si>
    <t>cross-chain-farming</t>
  </si>
  <si>
    <t>Cross Chain Farming</t>
  </si>
  <si>
    <t>CIOTX</t>
  </si>
  <si>
    <t>crosschain-iotx</t>
  </si>
  <si>
    <t>Crosschain IOTX</t>
  </si>
  <si>
    <t>CRFI</t>
  </si>
  <si>
    <t>crossfi</t>
  </si>
  <si>
    <t>CrossFi</t>
  </si>
  <si>
    <t>crossing-the-yellow-blocks</t>
  </si>
  <si>
    <t>Crossing the Yellow Blocks</t>
  </si>
  <si>
    <t>crosspad</t>
  </si>
  <si>
    <t>CrossPad</t>
  </si>
  <si>
    <t>crossswap</t>
  </si>
  <si>
    <t>CrossSwap</t>
  </si>
  <si>
    <t>CWT</t>
  </si>
  <si>
    <t>crosswallet</t>
  </si>
  <si>
    <t>CrossWallet</t>
  </si>
  <si>
    <t>CA</t>
  </si>
  <si>
    <t>crossy-animals</t>
  </si>
  <si>
    <t>Crossy Animals</t>
  </si>
  <si>
    <t>CROTAMA</t>
  </si>
  <si>
    <t>crotama</t>
  </si>
  <si>
    <t>Crotama</t>
  </si>
  <si>
    <t>CWD</t>
  </si>
  <si>
    <t>crowd</t>
  </si>
  <si>
    <t>CROWD</t>
  </si>
  <si>
    <t>CRCL</t>
  </si>
  <si>
    <t>crowdclassic</t>
  </si>
  <si>
    <t>CRowdCLassic</t>
  </si>
  <si>
    <t>CRWD</t>
  </si>
  <si>
    <t>crowdhero</t>
  </si>
  <si>
    <t>CrowdHero</t>
  </si>
  <si>
    <t>crowdswap</t>
  </si>
  <si>
    <t>CrowdSwap</t>
  </si>
  <si>
    <t>CRW</t>
  </si>
  <si>
    <t>crown</t>
  </si>
  <si>
    <t>Crown</t>
  </si>
  <si>
    <t>CWS</t>
  </si>
  <si>
    <t>crowns</t>
  </si>
  <si>
    <t>Seascape Crowns</t>
  </si>
  <si>
    <t>CSOV</t>
  </si>
  <si>
    <t>crown-sovereign</t>
  </si>
  <si>
    <t>Crown Sovereign</t>
  </si>
  <si>
    <t>WCSOV</t>
  </si>
  <si>
    <t>crownsterling</t>
  </si>
  <si>
    <t>CrownSterling</t>
  </si>
  <si>
    <t>crown-token</t>
  </si>
  <si>
    <t>Crown CWT</t>
  </si>
  <si>
    <t>CRWNY</t>
  </si>
  <si>
    <t>crowny-token</t>
  </si>
  <si>
    <t>Crowny</t>
  </si>
  <si>
    <t>CROW</t>
  </si>
  <si>
    <t>crow-token</t>
  </si>
  <si>
    <t>Crow</t>
  </si>
  <si>
    <t>CROX</t>
  </si>
  <si>
    <t>croxswap</t>
  </si>
  <si>
    <t>CroxSwap</t>
  </si>
  <si>
    <t>CRUDE</t>
  </si>
  <si>
    <t>crude-token</t>
  </si>
  <si>
    <t>Crude</t>
  </si>
  <si>
    <t>CRUSADER</t>
  </si>
  <si>
    <t>crusaders-of-crypto</t>
  </si>
  <si>
    <t>Crusaders of Crypto</t>
  </si>
  <si>
    <t>CRU</t>
  </si>
  <si>
    <t>crust-network</t>
  </si>
  <si>
    <t>Crust Network</t>
  </si>
  <si>
    <t>crust-storage-market</t>
  </si>
  <si>
    <t>Crust Shadow</t>
  </si>
  <si>
    <t>CRYB</t>
  </si>
  <si>
    <t>cryb</t>
  </si>
  <si>
    <t>Cryb</t>
  </si>
  <si>
    <t>crybet</t>
  </si>
  <si>
    <t>CryBet</t>
  </si>
  <si>
    <t>crycash</t>
  </si>
  <si>
    <t>CRYCASH</t>
  </si>
  <si>
    <t>CRYY</t>
  </si>
  <si>
    <t>cry-coin</t>
  </si>
  <si>
    <t>Cry Coin</t>
  </si>
  <si>
    <t>CRYN</t>
  </si>
  <si>
    <t>cryn</t>
  </si>
  <si>
    <t>CWAR</t>
  </si>
  <si>
    <t>cryowar-token</t>
  </si>
  <si>
    <t>Cryowar</t>
  </si>
  <si>
    <t>CADE</t>
  </si>
  <si>
    <t>crypcade-shares</t>
  </si>
  <si>
    <t>CrypCade Shares</t>
  </si>
  <si>
    <t>CRYP</t>
  </si>
  <si>
    <t>cryptalk</t>
  </si>
  <si>
    <t>Cryptalk</t>
  </si>
  <si>
    <t>CPT</t>
  </si>
  <si>
    <t>cryptaur</t>
  </si>
  <si>
    <t>Cryptaur</t>
  </si>
  <si>
    <t>CRPT</t>
  </si>
  <si>
    <t>crypterium</t>
  </si>
  <si>
    <t>Crypterium</t>
  </si>
  <si>
    <t>CRYPT</t>
  </si>
  <si>
    <t>cryptertoken</t>
  </si>
  <si>
    <t>Crypter</t>
  </si>
  <si>
    <t>cryptex</t>
  </si>
  <si>
    <t>CryptEx</t>
  </si>
  <si>
    <t>cryptex-finance</t>
  </si>
  <si>
    <t>Cryptex Finance</t>
  </si>
  <si>
    <t>cryptia</t>
  </si>
  <si>
    <t>Cryptia</t>
  </si>
  <si>
    <t>CID</t>
  </si>
  <si>
    <t>cryptid</t>
  </si>
  <si>
    <t>Cryptid</t>
  </si>
  <si>
    <t>cryption-network</t>
  </si>
  <si>
    <t>Cryption Network</t>
  </si>
  <si>
    <t>C20</t>
  </si>
  <si>
    <t>crypto20</t>
  </si>
  <si>
    <t>CRYPTO20</t>
  </si>
  <si>
    <t>ACPT</t>
  </si>
  <si>
    <t>crypto-accept</t>
  </si>
  <si>
    <t>Crypto Accept</t>
  </si>
  <si>
    <t>crypto-application-token</t>
  </si>
  <si>
    <t>C-ARCADE</t>
  </si>
  <si>
    <t>crypto-arcade-punk</t>
  </si>
  <si>
    <t>Crypto Arcade Punk</t>
  </si>
  <si>
    <t>CART</t>
  </si>
  <si>
    <t>cryptoart-ai</t>
  </si>
  <si>
    <t>CryptoArt.Ai</t>
  </si>
  <si>
    <t>CRYPTOBALL</t>
  </si>
  <si>
    <t>cryptoball</t>
  </si>
  <si>
    <t>CryptoBall</t>
  </si>
  <si>
    <t>CBANK</t>
  </si>
  <si>
    <t>crypto-bank</t>
  </si>
  <si>
    <t>Crypto Bank</t>
  </si>
  <si>
    <t>crypto-bank-token</t>
  </si>
  <si>
    <t>Crypto Bank Token</t>
  </si>
  <si>
    <t>cryptobattles</t>
  </si>
  <si>
    <t>CryptoBattles</t>
  </si>
  <si>
    <t>BAY</t>
  </si>
  <si>
    <t>cryptobay</t>
  </si>
  <si>
    <t>CryptoBay</t>
  </si>
  <si>
    <t>PEARL</t>
  </si>
  <si>
    <t>crypto-bay</t>
  </si>
  <si>
    <t>Crypto Bay</t>
  </si>
  <si>
    <t>CB</t>
  </si>
  <si>
    <t>cryptobike</t>
  </si>
  <si>
    <t>CryptoBike</t>
  </si>
  <si>
    <t>RIDERS</t>
  </si>
  <si>
    <t>crypto-bike-riders</t>
  </si>
  <si>
    <t>Crypto Bike Riders</t>
  </si>
  <si>
    <t>XCB</t>
  </si>
  <si>
    <t>crypto-birds</t>
  </si>
  <si>
    <t>Crypto Birds</t>
  </si>
  <si>
    <t>SKILL</t>
  </si>
  <si>
    <t>cryptoblades</t>
  </si>
  <si>
    <t>CryptoBlades</t>
  </si>
  <si>
    <t>KING</t>
  </si>
  <si>
    <t>cryptoblades-kingdoms</t>
  </si>
  <si>
    <t>CryptoBlades Kingdoms</t>
  </si>
  <si>
    <t>cryptoblast</t>
  </si>
  <si>
    <t>CryptoBlast</t>
  </si>
  <si>
    <t>CBM</t>
  </si>
  <si>
    <t>cryptobonusmiles</t>
  </si>
  <si>
    <t>CryptoBonusMiles</t>
  </si>
  <si>
    <t>cryptobosscoin</t>
  </si>
  <si>
    <t>CryptoBossCoin</t>
  </si>
  <si>
    <t>CBUCKS</t>
  </si>
  <si>
    <t>cryptobucks</t>
  </si>
  <si>
    <t>CRYPTOBUCKS</t>
  </si>
  <si>
    <t>XPT</t>
  </si>
  <si>
    <t>cryptobuyer-token</t>
  </si>
  <si>
    <t>CANDY</t>
  </si>
  <si>
    <t>crypto-candy</t>
  </si>
  <si>
    <t>Crypto Candy</t>
  </si>
  <si>
    <t>CYCE</t>
  </si>
  <si>
    <t>crypto-carbon-energy</t>
  </si>
  <si>
    <t>Crypto Carbon Energy</t>
  </si>
  <si>
    <t>CCAR</t>
  </si>
  <si>
    <t>cryptocars</t>
  </si>
  <si>
    <t>CryptoCars</t>
  </si>
  <si>
    <t>CCV2</t>
  </si>
  <si>
    <t>cryptocart</t>
  </si>
  <si>
    <t>CryptoCart V2</t>
  </si>
  <si>
    <t>CCAT</t>
  </si>
  <si>
    <t>cryptocat</t>
  </si>
  <si>
    <t>CryptoCat</t>
  </si>
  <si>
    <t>CRON</t>
  </si>
  <si>
    <t>cryptocean</t>
  </si>
  <si>
    <t>Cryptocean</t>
  </si>
  <si>
    <t>CHM</t>
  </si>
  <si>
    <t>cryptochrome</t>
  </si>
  <si>
    <t>Cryptochrome</t>
  </si>
  <si>
    <t>cryptocitizen</t>
  </si>
  <si>
    <t>CryptoCitizen</t>
  </si>
  <si>
    <t>cryptoclans</t>
  </si>
  <si>
    <t>CryptoClans</t>
  </si>
  <si>
    <t>crypto-classic</t>
  </si>
  <si>
    <t>Crypto Classic</t>
  </si>
  <si>
    <t>CCP</t>
  </si>
  <si>
    <t>cryptocoinpay</t>
  </si>
  <si>
    <t>CryptoCoinPay</t>
  </si>
  <si>
    <t>crypto-com-chain</t>
  </si>
  <si>
    <t>CCG</t>
  </si>
  <si>
    <t>crypto-crash-gaming</t>
  </si>
  <si>
    <t>Crypto Crash Gaming</t>
  </si>
  <si>
    <t>3CS</t>
  </si>
  <si>
    <t>cryptocricketclub</t>
  </si>
  <si>
    <t>CryptoCricketClub</t>
  </si>
  <si>
    <t>CMI</t>
  </si>
  <si>
    <t>cryptocurrency-market-index</t>
  </si>
  <si>
    <t>Cryptocurrency Market Index</t>
  </si>
  <si>
    <t>CC10</t>
  </si>
  <si>
    <t>cryptocurrency-top-10-tokens-index</t>
  </si>
  <si>
    <t>Cryptocurrency Top 10 Index</t>
  </si>
  <si>
    <t>crypto-development-services</t>
  </si>
  <si>
    <t>Crypto Development Services</t>
  </si>
  <si>
    <t>HRO</t>
  </si>
  <si>
    <t>cryptodicehero</t>
  </si>
  <si>
    <t>CryptoDiceHero</t>
  </si>
  <si>
    <t>cryptodogs</t>
  </si>
  <si>
    <t>CryptoDogs</t>
  </si>
  <si>
    <t>JUICE</t>
  </si>
  <si>
    <t>cryptodrop</t>
  </si>
  <si>
    <t>CryptoDrop</t>
  </si>
  <si>
    <t>CNRG</t>
  </si>
  <si>
    <t>cryptoenergy</t>
  </si>
  <si>
    <t>CryptoEnergy</t>
  </si>
  <si>
    <t>crypto-energy-token</t>
  </si>
  <si>
    <t>Crypto Energy</t>
  </si>
  <si>
    <t>CE</t>
  </si>
  <si>
    <t>crypto-excellence</t>
  </si>
  <si>
    <t>Crypto Excellence</t>
  </si>
  <si>
    <t>XPRESS</t>
  </si>
  <si>
    <t>cryptoexpress</t>
  </si>
  <si>
    <t>CryptoXpress</t>
  </si>
  <si>
    <t>crypto-fantasy-coin</t>
  </si>
  <si>
    <t>Crypto Fantasy Coin</t>
  </si>
  <si>
    <t>CFL</t>
  </si>
  <si>
    <t>crypto-fantasy-league</t>
  </si>
  <si>
    <t>Crypto Fantasy League</t>
  </si>
  <si>
    <t>$CFAR</t>
  </si>
  <si>
    <t>cryptofarming</t>
  </si>
  <si>
    <t>CryptoFarming</t>
  </si>
  <si>
    <t>FFA</t>
  </si>
  <si>
    <t>cryptofifa</t>
  </si>
  <si>
    <t>FFA.Games</t>
  </si>
  <si>
    <t>FIGHT</t>
  </si>
  <si>
    <t>crypto-fight-club</t>
  </si>
  <si>
    <t>Crypto Fight Club</t>
  </si>
  <si>
    <t>cryptoflow</t>
  </si>
  <si>
    <t>Cryptoflow</t>
  </si>
  <si>
    <t>BALLZ</t>
  </si>
  <si>
    <t>cryptofootball</t>
  </si>
  <si>
    <t>CryptoFootball</t>
  </si>
  <si>
    <t>XCHF</t>
  </si>
  <si>
    <t>cryptofranc</t>
  </si>
  <si>
    <t>CryptoFranc</t>
  </si>
  <si>
    <t>CGAZ</t>
  </si>
  <si>
    <t>cryptogamez</t>
  </si>
  <si>
    <t>CryptoGamez</t>
  </si>
  <si>
    <t>CGU</t>
  </si>
  <si>
    <t>crypto-gaming-united</t>
  </si>
  <si>
    <t>Crypto Gaming United</t>
  </si>
  <si>
    <t>CGANG</t>
  </si>
  <si>
    <t>cryptogangsters</t>
  </si>
  <si>
    <t>CryptoGangsters</t>
  </si>
  <si>
    <t>CRG</t>
  </si>
  <si>
    <t>cryptogcoin</t>
  </si>
  <si>
    <t>Cryptogcoin</t>
  </si>
  <si>
    <t>crypto-gladiator-shards</t>
  </si>
  <si>
    <t>Crypto Gladiator Shards</t>
  </si>
  <si>
    <t>GODZ</t>
  </si>
  <si>
    <t>cryptogodz</t>
  </si>
  <si>
    <t>Cryptogodz</t>
  </si>
  <si>
    <t>CRYPTOGRAM</t>
  </si>
  <si>
    <t>cryptogram</t>
  </si>
  <si>
    <t>Cryptogram</t>
  </si>
  <si>
    <t>CGAR</t>
  </si>
  <si>
    <t>cryptoguards</t>
  </si>
  <si>
    <t>CryptoGuards</t>
  </si>
  <si>
    <t>HEADZ</t>
  </si>
  <si>
    <t>cryptoheadz</t>
  </si>
  <si>
    <t>Cryptoheadz</t>
  </si>
  <si>
    <t>CHFT</t>
  </si>
  <si>
    <t>crypto-holding-frank-token</t>
  </si>
  <si>
    <t>CHORSE</t>
  </si>
  <si>
    <t>cryptohorse</t>
  </si>
  <si>
    <t>CryptoHorse</t>
  </si>
  <si>
    <t>cryptoids-admin-coin</t>
  </si>
  <si>
    <t>Cryptoids Admin Coin</t>
  </si>
  <si>
    <t>CGC</t>
  </si>
  <si>
    <t>cryptoids-game-coin</t>
  </si>
  <si>
    <t>Cryptoids Game Coin</t>
  </si>
  <si>
    <t>CIX100</t>
  </si>
  <si>
    <t>cryptoindex-io</t>
  </si>
  <si>
    <t>Cryptoindex.com 100</t>
  </si>
  <si>
    <t>CRI</t>
  </si>
  <si>
    <t>crypto-international</t>
  </si>
  <si>
    <t>Crypto International</t>
  </si>
  <si>
    <t>ABCD</t>
  </si>
  <si>
    <t>crypto-inu</t>
  </si>
  <si>
    <t>Crypto Inu</t>
  </si>
  <si>
    <t>CISLA</t>
  </si>
  <si>
    <t>crypto-island</t>
  </si>
  <si>
    <t>Crypto Island</t>
  </si>
  <si>
    <t>CJP</t>
  </si>
  <si>
    <t>crypto-jackpot</t>
  </si>
  <si>
    <t>Crypto Jackpot</t>
  </si>
  <si>
    <t>CJET</t>
  </si>
  <si>
    <t>cryptojetski</t>
  </si>
  <si>
    <t>CryptoJetski</t>
  </si>
  <si>
    <t>CKRACING</t>
  </si>
  <si>
    <t>crypto-kart-racing</t>
  </si>
  <si>
    <t>Crypto Kart Racing</t>
  </si>
  <si>
    <t>cryptokek</t>
  </si>
  <si>
    <t>Cryptokek</t>
  </si>
  <si>
    <t>cryptokenz</t>
  </si>
  <si>
    <t>Cryptokenz</t>
  </si>
  <si>
    <t>KLH</t>
  </si>
  <si>
    <t>crypto-klash</t>
  </si>
  <si>
    <t>Crypto Klash</t>
  </si>
  <si>
    <t>KOMBAT</t>
  </si>
  <si>
    <t>crypto-kombat</t>
  </si>
  <si>
    <t>Crypto Kombat</t>
  </si>
  <si>
    <t>CLION</t>
  </si>
  <si>
    <t>cryptolion</t>
  </si>
  <si>
    <t>CryptoLion</t>
  </si>
  <si>
    <t>$CMF</t>
  </si>
  <si>
    <t>cryptomafia</t>
  </si>
  <si>
    <t>CryptoMafia</t>
  </si>
  <si>
    <t>CMF</t>
  </si>
  <si>
    <t>crypto-makers-foundation</t>
  </si>
  <si>
    <t>Crypto Makers Foundation</t>
  </si>
  <si>
    <t>TECH</t>
  </si>
  <si>
    <t>cryptomeda</t>
  </si>
  <si>
    <t>Cryptomeda</t>
  </si>
  <si>
    <t>CMN</t>
  </si>
  <si>
    <t>crypto-media-network</t>
  </si>
  <si>
    <t>Crypto Media Network</t>
  </si>
  <si>
    <t>ETERNAL</t>
  </si>
  <si>
    <t>cryptomines-eternal</t>
  </si>
  <si>
    <t>CryptoMines Eternal</t>
  </si>
  <si>
    <t>CRUX</t>
  </si>
  <si>
    <t>cryptomines-reborn</t>
  </si>
  <si>
    <t>CryptoMines Reborn</t>
  </si>
  <si>
    <t>cryptomoonshots</t>
  </si>
  <si>
    <t>CryptoMoonShots</t>
  </si>
  <si>
    <t>CMC</t>
  </si>
  <si>
    <t>cryptomotorcycle</t>
  </si>
  <si>
    <t>CryptoMotorcycle</t>
  </si>
  <si>
    <t>SHROOMZ</t>
  </si>
  <si>
    <t>crypto-mushroomz</t>
  </si>
  <si>
    <t>Crypto Mushroomz</t>
  </si>
  <si>
    <t>CNF</t>
  </si>
  <si>
    <t>cryptoneur-network-foundation</t>
  </si>
  <si>
    <t>CryptoNeur Network foundation</t>
  </si>
  <si>
    <t>cryptonex</t>
  </si>
  <si>
    <t>Cryptonex</t>
  </si>
  <si>
    <t>CNP</t>
  </si>
  <si>
    <t>cryptonia-poker</t>
  </si>
  <si>
    <t>Cryptonia Poker</t>
  </si>
  <si>
    <t>CTNT</t>
  </si>
  <si>
    <t>cryptonite-token</t>
  </si>
  <si>
    <t>CryptoniteGame</t>
  </si>
  <si>
    <t>cryptonits</t>
  </si>
  <si>
    <t>Cryptonits</t>
  </si>
  <si>
    <t>CRND</t>
  </si>
  <si>
    <t>crypto-nodes</t>
  </si>
  <si>
    <t>Crypto Nodes</t>
  </si>
  <si>
    <t>YAE</t>
  </si>
  <si>
    <t>cryptonovae</t>
  </si>
  <si>
    <t>Cryptonovae</t>
  </si>
  <si>
    <t>cryptopay</t>
  </si>
  <si>
    <t>Cryptopay</t>
  </si>
  <si>
    <t>cryptoperformance-coin</t>
  </si>
  <si>
    <t>CryptoPerformance Coin</t>
  </si>
  <si>
    <t>CPRX</t>
  </si>
  <si>
    <t>crypto-perx</t>
  </si>
  <si>
    <t>Crypto Perx</t>
  </si>
  <si>
    <t>CPHX</t>
  </si>
  <si>
    <t>crypto-phoenix</t>
  </si>
  <si>
    <t>Crypto Phoenix</t>
  </si>
  <si>
    <t>BELLY</t>
  </si>
  <si>
    <t>crypto-piece</t>
  </si>
  <si>
    <t>Crypto Piece</t>
  </si>
  <si>
    <t>CPAN</t>
  </si>
  <si>
    <t>cryptoplanes</t>
  </si>
  <si>
    <t>CryptoPlanes</t>
  </si>
  <si>
    <t>cryptoplants</t>
  </si>
  <si>
    <t>CryptoPlants Club</t>
  </si>
  <si>
    <t>CPO</t>
  </si>
  <si>
    <t>cryptopolis</t>
  </si>
  <si>
    <t>Cryptopolis</t>
  </si>
  <si>
    <t>POPE</t>
  </si>
  <si>
    <t>crypto-pote-token</t>
  </si>
  <si>
    <t>Crypto Pote</t>
  </si>
  <si>
    <t>CPI</t>
  </si>
  <si>
    <t>crypto-price-index</t>
  </si>
  <si>
    <t>Crypto Price Index</t>
  </si>
  <si>
    <t>cryptoprofile</t>
  </si>
  <si>
    <t>CryptoProfile</t>
  </si>
  <si>
    <t>PUFFS</t>
  </si>
  <si>
    <t>crypto-puffs</t>
  </si>
  <si>
    <t>Crypto Puffs</t>
  </si>
  <si>
    <t>HOODIE</t>
  </si>
  <si>
    <t>cryptopunk-7171-hoodie</t>
  </si>
  <si>
    <t>CryptoPunk #7171</t>
  </si>
  <si>
    <t>PUN</t>
  </si>
  <si>
    <t>cryptopunt</t>
  </si>
  <si>
    <t>CryptoPunt</t>
  </si>
  <si>
    <t>RAIDER</t>
  </si>
  <si>
    <t>crypto-raiders</t>
  </si>
  <si>
    <t>Crypto Raiders</t>
  </si>
  <si>
    <t>YNY</t>
  </si>
  <si>
    <t>crypto-realms-war</t>
  </si>
  <si>
    <t>Crypto Realms War</t>
  </si>
  <si>
    <t>cryptorewards</t>
  </si>
  <si>
    <t>Crypto Rewards Studio</t>
  </si>
  <si>
    <t>CTG</t>
  </si>
  <si>
    <t>cryptorg-token</t>
  </si>
  <si>
    <t>CRL</t>
  </si>
  <si>
    <t>crypto-rocket-launch</t>
  </si>
  <si>
    <t>Crypto Rocket Launch</t>
  </si>
  <si>
    <t>CROCKET</t>
  </si>
  <si>
    <t>cryptorockets</t>
  </si>
  <si>
    <t>CryptoRockets</t>
  </si>
  <si>
    <t>ROY</t>
  </si>
  <si>
    <t>crypto-royale</t>
  </si>
  <si>
    <t>Crypto Royale</t>
  </si>
  <si>
    <t>RPG</t>
  </si>
  <si>
    <t>cryptorpg</t>
  </si>
  <si>
    <t>CryptoRPG</t>
  </si>
  <si>
    <t>cryptorun-network</t>
  </si>
  <si>
    <t>Cryptorun Network</t>
  </si>
  <si>
    <t>SAGA</t>
  </si>
  <si>
    <t>cryptosaga</t>
  </si>
  <si>
    <t>CryptoSaga</t>
  </si>
  <si>
    <t>SHARES</t>
  </si>
  <si>
    <t>cryptoshares</t>
  </si>
  <si>
    <t>Cryptoshares</t>
  </si>
  <si>
    <t>SHIELD</t>
  </si>
  <si>
    <t>crypto-shield</t>
  </si>
  <si>
    <t>Crypto Shield</t>
  </si>
  <si>
    <t>CSHIP</t>
  </si>
  <si>
    <t>cryptoships</t>
  </si>
  <si>
    <t>CryptoShips</t>
  </si>
  <si>
    <t>CST</t>
  </si>
  <si>
    <t>cryptoskates</t>
  </si>
  <si>
    <t>CryptoSkates</t>
  </si>
  <si>
    <t>SNACK</t>
  </si>
  <si>
    <t>crypto-snack</t>
  </si>
  <si>
    <t>Crypto Snack</t>
  </si>
  <si>
    <t>crypto-soccer</t>
  </si>
  <si>
    <t>Crypto Soccer</t>
  </si>
  <si>
    <t>cryptosoul</t>
  </si>
  <si>
    <t>CryptoSoul</t>
  </si>
  <si>
    <t>CSPN</t>
  </si>
  <si>
    <t>crypto-sports</t>
  </si>
  <si>
    <t>Crypto Sports</t>
  </si>
  <si>
    <t>crypto-stake-token</t>
  </si>
  <si>
    <t>CryptoStake</t>
  </si>
  <si>
    <t>SWD</t>
  </si>
  <si>
    <t>cryptosword</t>
  </si>
  <si>
    <t>CryptoSword</t>
  </si>
  <si>
    <t>TANK</t>
  </si>
  <si>
    <t>cryptotanks</t>
  </si>
  <si>
    <t>CryptoTanks</t>
  </si>
  <si>
    <t>CTASK</t>
  </si>
  <si>
    <t>cryptotask-2</t>
  </si>
  <si>
    <t>CryptoTask</t>
  </si>
  <si>
    <t>CTAX</t>
  </si>
  <si>
    <t>cryptotaxis-token</t>
  </si>
  <si>
    <t>Cryptotaxis</t>
  </si>
  <si>
    <t>TOTEM</t>
  </si>
  <si>
    <t>cryptotem</t>
  </si>
  <si>
    <t>Cryptotem</t>
  </si>
  <si>
    <t>CTEX</t>
  </si>
  <si>
    <t>crypto-tex</t>
  </si>
  <si>
    <t>Crypto Tex</t>
  </si>
  <si>
    <t>CTRAIN</t>
  </si>
  <si>
    <t>cryptotrains</t>
  </si>
  <si>
    <t>CryptoTrains</t>
  </si>
  <si>
    <t>cryptotycoon</t>
  </si>
  <si>
    <t>CryptoTycoon</t>
  </si>
  <si>
    <t>cryptounit</t>
  </si>
  <si>
    <t>Cryptounit</t>
  </si>
  <si>
    <t>crypto-vault</t>
  </si>
  <si>
    <t>Crypto Vault</t>
  </si>
  <si>
    <t>CVCC</t>
  </si>
  <si>
    <t>cryptoverificationcoin</t>
  </si>
  <si>
    <t>CryptoVerificationCoin</t>
  </si>
  <si>
    <t/>
  </si>
  <si>
    <t>cryptoverse</t>
  </si>
  <si>
    <t>Cryptoverse</t>
  </si>
  <si>
    <t>CVA</t>
  </si>
  <si>
    <t>crypto-village-accelerator</t>
  </si>
  <si>
    <t>Crypto Village Accelerator</t>
  </si>
  <si>
    <t>CVAG</t>
  </si>
  <si>
    <t>crypto-village-accelerator-cvag</t>
  </si>
  <si>
    <t>Crypto Village Accelerator CVAG</t>
  </si>
  <si>
    <t>CVOL</t>
  </si>
  <si>
    <t>crypto-volatility-token</t>
  </si>
  <si>
    <t>Crypto Volatility</t>
  </si>
  <si>
    <t>CVZ</t>
  </si>
  <si>
    <t>cryptovszombie</t>
  </si>
  <si>
    <t>CryptoVsZombie</t>
  </si>
  <si>
    <t>OPEN</t>
  </si>
  <si>
    <t>cryptowar-xblade</t>
  </si>
  <si>
    <t>OpenWorld</t>
  </si>
  <si>
    <t>CWOLF</t>
  </si>
  <si>
    <t>cryptowolf</t>
  </si>
  <si>
    <t>CryptoWolf</t>
  </si>
  <si>
    <t>CWV</t>
  </si>
  <si>
    <t>cryptoworld-vip</t>
  </si>
  <si>
    <t>CryptoWorld.VIP</t>
  </si>
  <si>
    <t>$CWI</t>
  </si>
  <si>
    <t>crypto-wrestling-inu</t>
  </si>
  <si>
    <t>Crypto Wrestling Inu</t>
  </si>
  <si>
    <t>ZERI</t>
  </si>
  <si>
    <t>cryptozerofi</t>
  </si>
  <si>
    <t>CryptoZerofi</t>
  </si>
  <si>
    <t>ZOO</t>
  </si>
  <si>
    <t>cryptozoo</t>
  </si>
  <si>
    <t>CryptoZoo</t>
  </si>
  <si>
    <t>ZOON</t>
  </si>
  <si>
    <t>cryptozoon</t>
  </si>
  <si>
    <t>CryptoZoon</t>
  </si>
  <si>
    <t>CTRT</t>
  </si>
  <si>
    <t>cryptrust</t>
  </si>
  <si>
    <t>Cryptrust</t>
  </si>
  <si>
    <t>cryptyk</t>
  </si>
  <si>
    <t>Cryptyk</t>
  </si>
  <si>
    <t>crystal-clear</t>
  </si>
  <si>
    <t>Crystal Clear</t>
  </si>
  <si>
    <t>CKG</t>
  </si>
  <si>
    <t>crystal-kingdoms</t>
  </si>
  <si>
    <t>Crystal Kingdoms</t>
  </si>
  <si>
    <t>crystal-of-dragon</t>
  </si>
  <si>
    <t>Crystal Of Dragon</t>
  </si>
  <si>
    <t>crystal-powder</t>
  </si>
  <si>
    <t>Crystal Powder</t>
  </si>
  <si>
    <t>CYL</t>
  </si>
  <si>
    <t>crystal-token</t>
  </si>
  <si>
    <t>Crystal Token</t>
  </si>
  <si>
    <t>crystal-wallet</t>
  </si>
  <si>
    <t>Crystal Wallet</t>
  </si>
  <si>
    <t>CRYSTL</t>
  </si>
  <si>
    <t>crystl-finance</t>
  </si>
  <si>
    <t>Crystl Finance</t>
  </si>
  <si>
    <t>CSPC</t>
  </si>
  <si>
    <t>cspc</t>
  </si>
  <si>
    <t>NEBO</t>
  </si>
  <si>
    <t>csp-dao-network</t>
  </si>
  <si>
    <t>CSP DAO Network</t>
  </si>
  <si>
    <t>csr</t>
  </si>
  <si>
    <t>C2C</t>
  </si>
  <si>
    <t>ctc</t>
  </si>
  <si>
    <t>C2C System</t>
  </si>
  <si>
    <t>ctc-2</t>
  </si>
  <si>
    <t>C</t>
  </si>
  <si>
    <t>c-token-2</t>
  </si>
  <si>
    <t>Carbon Coin</t>
  </si>
  <si>
    <t>CTP</t>
  </si>
  <si>
    <t>ctomorrow-platform</t>
  </si>
  <si>
    <t>Ctomorrow Platform</t>
  </si>
  <si>
    <t>CTSC</t>
  </si>
  <si>
    <t>cts-coin</t>
  </si>
  <si>
    <t>Crypto Trading Solutions Coin</t>
  </si>
  <si>
    <t>ITAMCUBE</t>
  </si>
  <si>
    <t>cube</t>
  </si>
  <si>
    <t>CUBE</t>
  </si>
  <si>
    <t>cube-intelligence</t>
  </si>
  <si>
    <t>Cube Intelligence</t>
  </si>
  <si>
    <t>cube-token</t>
  </si>
  <si>
    <t>Tower Finance Cube</t>
  </si>
  <si>
    <t>CUB</t>
  </si>
  <si>
    <t>cub-finance</t>
  </si>
  <si>
    <t>Cub Finance</t>
  </si>
  <si>
    <t>CBIX</t>
  </si>
  <si>
    <t>cubiex</t>
  </si>
  <si>
    <t>Cubiex</t>
  </si>
  <si>
    <t>CBIX-P</t>
  </si>
  <si>
    <t>cubiex-power</t>
  </si>
  <si>
    <t>Cubiex Power</t>
  </si>
  <si>
    <t>CUBO</t>
  </si>
  <si>
    <t>cubo</t>
  </si>
  <si>
    <t>Cubo</t>
  </si>
  <si>
    <t>CUDL</t>
  </si>
  <si>
    <t>cudl-finance</t>
  </si>
  <si>
    <t>Cudl Finance</t>
  </si>
  <si>
    <t>CUDOS</t>
  </si>
  <si>
    <t>cudos</t>
  </si>
  <si>
    <t>Cudos</t>
  </si>
  <si>
    <t>CCAP</t>
  </si>
  <si>
    <t>cuex</t>
  </si>
  <si>
    <t>CUEX Capital</t>
  </si>
  <si>
    <t>$CUFFIES</t>
  </si>
  <si>
    <t>cuffies</t>
  </si>
  <si>
    <t>Cuffies</t>
  </si>
  <si>
    <t>CUJO</t>
  </si>
  <si>
    <t>cujo-inu</t>
  </si>
  <si>
    <t>Cujo Inu</t>
  </si>
  <si>
    <t>CULT</t>
  </si>
  <si>
    <t>cult-dao</t>
  </si>
  <si>
    <t>Cult DAO</t>
  </si>
  <si>
    <t>CTPL</t>
  </si>
  <si>
    <t>cultiplan</t>
  </si>
  <si>
    <t>Cultiplan</t>
  </si>
  <si>
    <t>culture-ticket-chain</t>
  </si>
  <si>
    <t>Culture Ticket Chain</t>
  </si>
  <si>
    <t>CUMINU</t>
  </si>
  <si>
    <t>cuminu</t>
  </si>
  <si>
    <t>Cuminu</t>
  </si>
  <si>
    <t>CUMMIES</t>
  </si>
  <si>
    <t>cumrocket</t>
  </si>
  <si>
    <t>CumRocket</t>
  </si>
  <si>
    <t>ARROWS</t>
  </si>
  <si>
    <t>cupid-farm</t>
  </si>
  <si>
    <t>Cupid Farm</t>
  </si>
  <si>
    <t>XCUR</t>
  </si>
  <si>
    <t>curate</t>
  </si>
  <si>
    <t>Curate</t>
  </si>
  <si>
    <t>CURE</t>
  </si>
  <si>
    <t>curecoin</t>
  </si>
  <si>
    <t>Curecoin</t>
  </si>
  <si>
    <t>cure-token-v2</t>
  </si>
  <si>
    <t>CURE V2</t>
  </si>
  <si>
    <t>curio-governance</t>
  </si>
  <si>
    <t>Curio Governance</t>
  </si>
  <si>
    <t>CURRY</t>
  </si>
  <si>
    <t>curryswap</t>
  </si>
  <si>
    <t>CurrySwap</t>
  </si>
  <si>
    <t>CRV</t>
  </si>
  <si>
    <t>curve-dao-token</t>
  </si>
  <si>
    <t>curve-dao-token-wormhole</t>
  </si>
  <si>
    <t>Curve DAO Token (Wormhole)</t>
  </si>
  <si>
    <t>G3CRV</t>
  </si>
  <si>
    <t>curve-fi-gdai-gusdc-gusdt</t>
  </si>
  <si>
    <t>Curve.fi gDAI/gUSDC/gUSDT</t>
  </si>
  <si>
    <t>YCURVE</t>
  </si>
  <si>
    <t>curve-fi-ydai-yusdc-yusdt-ytusd</t>
  </si>
  <si>
    <t>LP-yCurve</t>
  </si>
  <si>
    <t>CURVE</t>
  </si>
  <si>
    <t>curvehash</t>
  </si>
  <si>
    <t>CURVEHASH</t>
  </si>
  <si>
    <t>custom-contract-network</t>
  </si>
  <si>
    <t>Custom contract network</t>
  </si>
  <si>
    <t>CUT</t>
  </si>
  <si>
    <t>cutcoin</t>
  </si>
  <si>
    <t>CUTcoin</t>
  </si>
  <si>
    <t>cvault-finance</t>
  </si>
  <si>
    <t>cVault.finance</t>
  </si>
  <si>
    <t>CVD19</t>
  </si>
  <si>
    <t>cvd19</t>
  </si>
  <si>
    <t>CVIP</t>
  </si>
  <si>
    <t>cvip</t>
  </si>
  <si>
    <t>CVNX</t>
  </si>
  <si>
    <t>cvnx</t>
  </si>
  <si>
    <t>CX</t>
  </si>
  <si>
    <t>cxcoin</t>
  </si>
  <si>
    <t>CxCoin</t>
  </si>
  <si>
    <t>CXRBN</t>
  </si>
  <si>
    <t>cxrbn-token</t>
  </si>
  <si>
    <t>cyberclassic</t>
  </si>
  <si>
    <t>Cyberclassic</t>
  </si>
  <si>
    <t>CRYSTAL</t>
  </si>
  <si>
    <t>cyber-crystal</t>
  </si>
  <si>
    <t>Cyber Crystal</t>
  </si>
  <si>
    <t>CYBER</t>
  </si>
  <si>
    <t>cyberdao</t>
  </si>
  <si>
    <t>CyberDAO</t>
  </si>
  <si>
    <t>CYBRRRDOGE</t>
  </si>
  <si>
    <t>cyberdoge</t>
  </si>
  <si>
    <t>CyberDoge</t>
  </si>
  <si>
    <t>GOLD</t>
  </si>
  <si>
    <t>cyberdragon-gold</t>
  </si>
  <si>
    <t>CyberDragon Gold</t>
  </si>
  <si>
    <t>CFI</t>
  </si>
  <si>
    <t>cyberfi</t>
  </si>
  <si>
    <t>CyberFi</t>
  </si>
  <si>
    <t>CYFM</t>
  </si>
  <si>
    <t>cyberfm</t>
  </si>
  <si>
    <t>CyberFM</t>
  </si>
  <si>
    <t>KONGZ20</t>
  </si>
  <si>
    <t>cyberkongz</t>
  </si>
  <si>
    <t>CYBERKONGZ</t>
  </si>
  <si>
    <t>CMT</t>
  </si>
  <si>
    <t>cybermiles</t>
  </si>
  <si>
    <t>CyberMiles</t>
  </si>
  <si>
    <t>CMCT</t>
  </si>
  <si>
    <t>cyber-movie-chain</t>
  </si>
  <si>
    <t>Cyber Movie Chain</t>
  </si>
  <si>
    <t>CYMT</t>
  </si>
  <si>
    <t>cybermusic</t>
  </si>
  <si>
    <t>CyberMusic</t>
  </si>
  <si>
    <t>CTF</t>
  </si>
  <si>
    <t>cybertime-finance</t>
  </si>
  <si>
    <t>CyberTime Finance</t>
  </si>
  <si>
    <t>cybertronchain</t>
  </si>
  <si>
    <t>CyberTronchain</t>
  </si>
  <si>
    <t>cybervein</t>
  </si>
  <si>
    <t>CyberVeinToken</t>
  </si>
  <si>
    <t>CYB</t>
  </si>
  <si>
    <t>cybex</t>
  </si>
  <si>
    <t>Cybex</t>
  </si>
  <si>
    <t>cybloc-battery-token</t>
  </si>
  <si>
    <t>CyBall CyBloc Battery</t>
  </si>
  <si>
    <t>BORG</t>
  </si>
  <si>
    <t>cyborg-apes</t>
  </si>
  <si>
    <t>Cyborg Apes</t>
  </si>
  <si>
    <t>CBO</t>
  </si>
  <si>
    <t>cyborgswap</t>
  </si>
  <si>
    <t>CyborgSwap</t>
  </si>
  <si>
    <t>CYN</t>
  </si>
  <si>
    <t>cycan-network</t>
  </si>
  <si>
    <t>Cycan Network</t>
  </si>
  <si>
    <t>CYCLE</t>
  </si>
  <si>
    <t>cycle-token</t>
  </si>
  <si>
    <t>Cycle</t>
  </si>
  <si>
    <t>CYC</t>
  </si>
  <si>
    <t>cyclone-protocol</t>
  </si>
  <si>
    <t>Cyclone Protocol</t>
  </si>
  <si>
    <t>CYTR</t>
  </si>
  <si>
    <t>cyclops-treasure</t>
  </si>
  <si>
    <t>Cyclops Treasure</t>
  </si>
  <si>
    <t>CYS</t>
  </si>
  <si>
    <t>cyclos</t>
  </si>
  <si>
    <t>Cykura</t>
  </si>
  <si>
    <t>CYM</t>
  </si>
  <si>
    <t>cylum-finance</t>
  </si>
  <si>
    <t>Cylum Finance</t>
  </si>
  <si>
    <t>CYNC</t>
  </si>
  <si>
    <t>cyn-c</t>
  </si>
  <si>
    <t>Cyn-C</t>
  </si>
  <si>
    <t>CYOP</t>
  </si>
  <si>
    <t>cyop-protocol</t>
  </si>
  <si>
    <t>CyOp Protocol</t>
  </si>
  <si>
    <t>CPH</t>
  </si>
  <si>
    <t>cypherium</t>
  </si>
  <si>
    <t>Cypherium</t>
  </si>
  <si>
    <t>CZF</t>
  </si>
  <si>
    <t>czfarm</t>
  </si>
  <si>
    <t>CZFarm</t>
  </si>
  <si>
    <t>CZUSD</t>
  </si>
  <si>
    <t>czusd</t>
  </si>
  <si>
    <t>DEFI</t>
  </si>
  <si>
    <t>d3</t>
  </si>
  <si>
    <t>D3</t>
  </si>
  <si>
    <t>DDOGE</t>
  </si>
  <si>
    <t>dabb-doge</t>
  </si>
  <si>
    <t>Dabb Doge</t>
  </si>
  <si>
    <t>DAB</t>
  </si>
  <si>
    <t>dab-coin</t>
  </si>
  <si>
    <t>DAB Coin</t>
  </si>
  <si>
    <t>DACC</t>
  </si>
  <si>
    <t>dacc</t>
  </si>
  <si>
    <t>DACXI</t>
  </si>
  <si>
    <t>dacxi</t>
  </si>
  <si>
    <t>Dacxi</t>
  </si>
  <si>
    <t>DJBZ</t>
  </si>
  <si>
    <t>daddybezos</t>
  </si>
  <si>
    <t>DaddyBezos</t>
  </si>
  <si>
    <t>DADDYDOGE</t>
  </si>
  <si>
    <t>daddy-doge</t>
  </si>
  <si>
    <t>Daddy Doge</t>
  </si>
  <si>
    <t>DADDYDB</t>
  </si>
  <si>
    <t>daddy-dogeback</t>
  </si>
  <si>
    <t>Daddy Dogeback</t>
  </si>
  <si>
    <t>DADDYETH</t>
  </si>
  <si>
    <t>daddyeth</t>
  </si>
  <si>
    <t>DaddyETH</t>
  </si>
  <si>
    <t>DADDYUSDT</t>
  </si>
  <si>
    <t>daddyusdt</t>
  </si>
  <si>
    <t>DaddyUSDT</t>
  </si>
  <si>
    <t>DDY</t>
  </si>
  <si>
    <t>daddyyorkie</t>
  </si>
  <si>
    <t>DaddyYorkie</t>
  </si>
  <si>
    <t>DAX</t>
  </si>
  <si>
    <t>daex</t>
  </si>
  <si>
    <t>DAEX</t>
  </si>
  <si>
    <t>DAF</t>
  </si>
  <si>
    <t>dafin</t>
  </si>
  <si>
    <t>DaFIN</t>
  </si>
  <si>
    <t>DAFI</t>
  </si>
  <si>
    <t>dafi-protocol</t>
  </si>
  <si>
    <t>Dafi Protocol</t>
  </si>
  <si>
    <t>XDAG</t>
  </si>
  <si>
    <t>dagger</t>
  </si>
  <si>
    <t>Dagger</t>
  </si>
  <si>
    <t>dai</t>
  </si>
  <si>
    <t>DIC</t>
  </si>
  <si>
    <t>daikicoin</t>
  </si>
  <si>
    <t>Daikicoin</t>
  </si>
  <si>
    <t>DKKS</t>
  </si>
  <si>
    <t>daikokuten-sama</t>
  </si>
  <si>
    <t>Daikokuten Sama</t>
  </si>
  <si>
    <t>DLYCOP</t>
  </si>
  <si>
    <t>daily-cop</t>
  </si>
  <si>
    <t>Daily COP</t>
  </si>
  <si>
    <t>DAIN</t>
  </si>
  <si>
    <t>dain-token</t>
  </si>
  <si>
    <t>Dain</t>
  </si>
  <si>
    <t>MILK</t>
  </si>
  <si>
    <t>dairy-money-milk</t>
  </si>
  <si>
    <t>Dairy.Money MILK</t>
  </si>
  <si>
    <t>DAIPO</t>
  </si>
  <si>
    <t>dai-stablecoin-wormhole</t>
  </si>
  <si>
    <t>Dai Stablecoin (Wormhole)</t>
  </si>
  <si>
    <t>DAISY</t>
  </si>
  <si>
    <t>daisy</t>
  </si>
  <si>
    <t>Daisy Protocol</t>
  </si>
  <si>
    <t>dai-wormhole</t>
  </si>
  <si>
    <t>DAI (Wormhole)</t>
  </si>
  <si>
    <t>DALC</t>
  </si>
  <si>
    <t>dalecoin</t>
  </si>
  <si>
    <t>Dalecoin</t>
  </si>
  <si>
    <t>DALI</t>
  </si>
  <si>
    <t>dali</t>
  </si>
  <si>
    <t>DAMA</t>
  </si>
  <si>
    <t>dama</t>
  </si>
  <si>
    <t>DAMN</t>
  </si>
  <si>
    <t>damn-token</t>
  </si>
  <si>
    <t>DNC</t>
  </si>
  <si>
    <t>danat-coin</t>
  </si>
  <si>
    <t>Danat Coin</t>
  </si>
  <si>
    <t>DANDY</t>
  </si>
  <si>
    <t>dandy</t>
  </si>
  <si>
    <t>Dandy Dego</t>
  </si>
  <si>
    <t>DANGERMOON</t>
  </si>
  <si>
    <t>dangermoon</t>
  </si>
  <si>
    <t>DangerMoon</t>
  </si>
  <si>
    <t>DANTE</t>
  </si>
  <si>
    <t>dante-finance</t>
  </si>
  <si>
    <t>Dante Finance</t>
  </si>
  <si>
    <t>DAO1</t>
  </si>
  <si>
    <t>dao1</t>
  </si>
  <si>
    <t>daobao</t>
  </si>
  <si>
    <t>DAOBAO</t>
  </si>
  <si>
    <t>DAOF</t>
  </si>
  <si>
    <t>dao-farmer-daof</t>
  </si>
  <si>
    <t>DAO Farmer DAOF</t>
  </si>
  <si>
    <t>DFG</t>
  </si>
  <si>
    <t>dao-farmer-dfg</t>
  </si>
  <si>
    <t>DAO Farmer DFG</t>
  </si>
  <si>
    <t>DFM</t>
  </si>
  <si>
    <t>dao-farmer-dfm</t>
  </si>
  <si>
    <t>DAO Farmer DFM</t>
  </si>
  <si>
    <t>DFW</t>
  </si>
  <si>
    <t>dao-farmer-dfw</t>
  </si>
  <si>
    <t>DAO Farmer DFW</t>
  </si>
  <si>
    <t>HAUS</t>
  </si>
  <si>
    <t>daohaus</t>
  </si>
  <si>
    <t>DAOhaus</t>
  </si>
  <si>
    <t>VEST</t>
  </si>
  <si>
    <t>dao-invest</t>
  </si>
  <si>
    <t>DAO Invest</t>
  </si>
  <si>
    <t>DLD</t>
  </si>
  <si>
    <t>daoland</t>
  </si>
  <si>
    <t>Daoland</t>
  </si>
  <si>
    <t>DAL</t>
  </si>
  <si>
    <t>daolaunch</t>
  </si>
  <si>
    <t>DAOLaunch</t>
  </si>
  <si>
    <t>DAO</t>
  </si>
  <si>
    <t>dao-maker</t>
  </si>
  <si>
    <t>DAO Maker</t>
  </si>
  <si>
    <t>dao-maker-wormhole</t>
  </si>
  <si>
    <t>DAO Maker (Wormhole)</t>
  </si>
  <si>
    <t>DAOS</t>
  </si>
  <si>
    <t>daopolis-token</t>
  </si>
  <si>
    <t>Daopolis</t>
  </si>
  <si>
    <t>DAOSOL</t>
  </si>
  <si>
    <t>daosol</t>
  </si>
  <si>
    <t>daoSOL</t>
  </si>
  <si>
    <t>RICE</t>
  </si>
  <si>
    <t>daosquare</t>
  </si>
  <si>
    <t>DAOSquare</t>
  </si>
  <si>
    <t>GEN</t>
  </si>
  <si>
    <t>daostack</t>
  </si>
  <si>
    <t>DAOstack</t>
  </si>
  <si>
    <t>DAOVC</t>
  </si>
  <si>
    <t>daovc</t>
  </si>
  <si>
    <t>DAOvc</t>
  </si>
  <si>
    <t>DVD</t>
  </si>
  <si>
    <t>daoventures</t>
  </si>
  <si>
    <t>DAOventures</t>
  </si>
  <si>
    <t>DAPP</t>
  </si>
  <si>
    <t>dapp</t>
  </si>
  <si>
    <t>LiquidApps</t>
  </si>
  <si>
    <t>DCASH</t>
  </si>
  <si>
    <t>dappatoz</t>
  </si>
  <si>
    <t>Dappatoz</t>
  </si>
  <si>
    <t>DAPPT</t>
  </si>
  <si>
    <t>dapp-com</t>
  </si>
  <si>
    <t>Dapp.com</t>
  </si>
  <si>
    <t>dappercoin</t>
  </si>
  <si>
    <t>DapperCoin</t>
  </si>
  <si>
    <t>NODE</t>
  </si>
  <si>
    <t>dappnode</t>
  </si>
  <si>
    <t>DAppNode</t>
  </si>
  <si>
    <t>RADAR</t>
  </si>
  <si>
    <t>dappradar</t>
  </si>
  <si>
    <t>DappRadar</t>
  </si>
  <si>
    <t>DAPPX</t>
  </si>
  <si>
    <t>dappstore</t>
  </si>
  <si>
    <t>dAppstore</t>
  </si>
  <si>
    <t>APP</t>
  </si>
  <si>
    <t>dappsy</t>
  </si>
  <si>
    <t>Dappsy</t>
  </si>
  <si>
    <t>DAPS</t>
  </si>
  <si>
    <t>daps-token</t>
  </si>
  <si>
    <t>DAPS Coin</t>
  </si>
  <si>
    <t>DARC</t>
  </si>
  <si>
    <t>darcmatter-coin</t>
  </si>
  <si>
    <t>Konstellation</t>
  </si>
  <si>
    <t>DDT</t>
  </si>
  <si>
    <t>dar-dex-token</t>
  </si>
  <si>
    <t>Dar Dex</t>
  </si>
  <si>
    <t>DNFT</t>
  </si>
  <si>
    <t>darenft</t>
  </si>
  <si>
    <t>DareNFT</t>
  </si>
  <si>
    <t>DPL</t>
  </si>
  <si>
    <t>dareplay</t>
  </si>
  <si>
    <t>DarePlay</t>
  </si>
  <si>
    <t>DARK</t>
  </si>
  <si>
    <t>darkcrypto</t>
  </si>
  <si>
    <t>DarkCrypto</t>
  </si>
  <si>
    <t>SKY</t>
  </si>
  <si>
    <t>darkcrypto-share</t>
  </si>
  <si>
    <t>DarkCrypto Share</t>
  </si>
  <si>
    <t>DEC</t>
  </si>
  <si>
    <t>dark-energy-crystals</t>
  </si>
  <si>
    <t>Dark Energy Crystals</t>
  </si>
  <si>
    <t>dark-frontiers</t>
  </si>
  <si>
    <t>Dark Frontiers</t>
  </si>
  <si>
    <t>DARKG</t>
  </si>
  <si>
    <t>darkgang-finance</t>
  </si>
  <si>
    <t>DarkGang Finance</t>
  </si>
  <si>
    <t>DKNIGHT</t>
  </si>
  <si>
    <t>darkknight</t>
  </si>
  <si>
    <t>Dark Knight</t>
  </si>
  <si>
    <t>dark-land-survival</t>
  </si>
  <si>
    <t>Dark Land Survival</t>
  </si>
  <si>
    <t>DMAGIC</t>
  </si>
  <si>
    <t>dark-magic</t>
  </si>
  <si>
    <t>Dark Magic</t>
  </si>
  <si>
    <t>DMT</t>
  </si>
  <si>
    <t>darkmatter</t>
  </si>
  <si>
    <t>DarkMatter</t>
  </si>
  <si>
    <t>dark-matter</t>
  </si>
  <si>
    <t>Dark Matter</t>
  </si>
  <si>
    <t>DMD</t>
  </si>
  <si>
    <t>dark-matter-defi</t>
  </si>
  <si>
    <t>Dark Matter Defi</t>
  </si>
  <si>
    <t>DKMT</t>
  </si>
  <si>
    <t>dark-matter-token</t>
  </si>
  <si>
    <t>Vibranium Dark Matter</t>
  </si>
  <si>
    <t>DUSD</t>
  </si>
  <si>
    <t>darkness-dollar</t>
  </si>
  <si>
    <t>Darkness Dollar</t>
  </si>
  <si>
    <t>NESS</t>
  </si>
  <si>
    <t>darkness-share</t>
  </si>
  <si>
    <t>Darkness Share</t>
  </si>
  <si>
    <t>DARKO</t>
  </si>
  <si>
    <t>darkopera-finance</t>
  </si>
  <si>
    <t>DarkOpera Finance</t>
  </si>
  <si>
    <t>D4RK</t>
  </si>
  <si>
    <t>darkpaycoin</t>
  </si>
  <si>
    <t>DP</t>
  </si>
  <si>
    <t>dark-planet</t>
  </si>
  <si>
    <t>Dark Planet</t>
  </si>
  <si>
    <t>DKS</t>
  </si>
  <si>
    <t>darkshield</t>
  </si>
  <si>
    <t>DarkShield</t>
  </si>
  <si>
    <t>DGE</t>
  </si>
  <si>
    <t>darleygo-essence</t>
  </si>
  <si>
    <t>DarleyGo Essence</t>
  </si>
  <si>
    <t>DMCH</t>
  </si>
  <si>
    <t>darma-cash</t>
  </si>
  <si>
    <t>Darma Cash</t>
  </si>
  <si>
    <t>DART</t>
  </si>
  <si>
    <t>dart-insurance</t>
  </si>
  <si>
    <t>dART Insurance</t>
  </si>
  <si>
    <t>dart-inu</t>
  </si>
  <si>
    <t>Dart Inu</t>
  </si>
  <si>
    <t>KTON</t>
  </si>
  <si>
    <t>darwinia-commitment-token</t>
  </si>
  <si>
    <t>CRAB</t>
  </si>
  <si>
    <t>darwinia-crab-network</t>
  </si>
  <si>
    <t>RING</t>
  </si>
  <si>
    <t>darwinia-network-native-token</t>
  </si>
  <si>
    <t>GRN</t>
  </si>
  <si>
    <t>dascoin</t>
  </si>
  <si>
    <t>GreenPower</t>
  </si>
  <si>
    <t>DASH</t>
  </si>
  <si>
    <t>dash</t>
  </si>
  <si>
    <t>Dash</t>
  </si>
  <si>
    <t>DASHD</t>
  </si>
  <si>
    <t>dash-diamond</t>
  </si>
  <si>
    <t>Dash Diamond</t>
  </si>
  <si>
    <t>DASS</t>
  </si>
  <si>
    <t>dashsports</t>
  </si>
  <si>
    <t>DashSports</t>
  </si>
  <si>
    <t>DTA</t>
  </si>
  <si>
    <t>data</t>
  </si>
  <si>
    <t>DATA</t>
  </si>
  <si>
    <t>DTX</t>
  </si>
  <si>
    <t>databroker-dao</t>
  </si>
  <si>
    <t>DaTa eXchange Token</t>
  </si>
  <si>
    <t>DC</t>
  </si>
  <si>
    <t>datachain-foundation</t>
  </si>
  <si>
    <t>DATACHAIN FOUNDATION</t>
  </si>
  <si>
    <t>DTC</t>
  </si>
  <si>
    <t>datacoin</t>
  </si>
  <si>
    <t>Datacoin</t>
  </si>
  <si>
    <t>data-economy-index</t>
  </si>
  <si>
    <t>Data Economy Index</t>
  </si>
  <si>
    <t>data-enterprise-chain</t>
  </si>
  <si>
    <t>Data Enterprise Chain</t>
  </si>
  <si>
    <t>DHX</t>
  </si>
  <si>
    <t>datahighway</t>
  </si>
  <si>
    <t>DataHighway</t>
  </si>
  <si>
    <t>DKYC</t>
  </si>
  <si>
    <t>datakyc</t>
  </si>
  <si>
    <t>DataKYC</t>
  </si>
  <si>
    <t>DAM</t>
  </si>
  <si>
    <t>datamine</t>
  </si>
  <si>
    <t>Datamine</t>
  </si>
  <si>
    <t>DATX</t>
  </si>
  <si>
    <t>datx</t>
  </si>
  <si>
    <t>DATx</t>
  </si>
  <si>
    <t>DAV</t>
  </si>
  <si>
    <t>dav</t>
  </si>
  <si>
    <t>DAV Network</t>
  </si>
  <si>
    <t>davidcoin</t>
  </si>
  <si>
    <t>DavidCoin</t>
  </si>
  <si>
    <t>DAC</t>
  </si>
  <si>
    <t>davinci-coin</t>
  </si>
  <si>
    <t>Davinci Coin</t>
  </si>
  <si>
    <t>VINCI</t>
  </si>
  <si>
    <t>DAVIS</t>
  </si>
  <si>
    <t>davis-cup-fan-token</t>
  </si>
  <si>
    <t>Davis Cup Fan Token</t>
  </si>
  <si>
    <t>DAWG</t>
  </si>
  <si>
    <t>dawg</t>
  </si>
  <si>
    <t>DAGO</t>
  </si>
  <si>
    <t>dawn-of-gods</t>
  </si>
  <si>
    <t>Dawn Of Gods</t>
  </si>
  <si>
    <t>DAWN</t>
  </si>
  <si>
    <t>dawn-protocol</t>
  </si>
  <si>
    <t>Dawn Protocol</t>
  </si>
  <si>
    <t>DW</t>
  </si>
  <si>
    <t>dawn-wars</t>
  </si>
  <si>
    <t>Dawn Wars</t>
  </si>
  <si>
    <t>DBD</t>
  </si>
  <si>
    <t>day-by-day</t>
  </si>
  <si>
    <t>Day By Day</t>
  </si>
  <si>
    <t>DOD</t>
  </si>
  <si>
    <t>day-of-defeat</t>
  </si>
  <si>
    <t>Day Of Defeat</t>
  </si>
  <si>
    <t>DBQ</t>
  </si>
  <si>
    <t>dbquest</t>
  </si>
  <si>
    <t>DBQuest</t>
  </si>
  <si>
    <t>DBX</t>
  </si>
  <si>
    <t>dbx-2</t>
  </si>
  <si>
    <t>$DCAP</t>
  </si>
  <si>
    <t>dcap</t>
  </si>
  <si>
    <t>DCAP</t>
  </si>
  <si>
    <t>DCD</t>
  </si>
  <si>
    <t>dcd-ecosystem</t>
  </si>
  <si>
    <t>DCD Ecosystem</t>
  </si>
  <si>
    <t>dchess-king</t>
  </si>
  <si>
    <t>DChess King</t>
  </si>
  <si>
    <t>DT</t>
  </si>
  <si>
    <t>dcoin-token</t>
  </si>
  <si>
    <t>Dcoin Token</t>
  </si>
  <si>
    <t>DILI</t>
  </si>
  <si>
    <t>d-community</t>
  </si>
  <si>
    <t>D Community</t>
  </si>
  <si>
    <t>DDDX</t>
  </si>
  <si>
    <t>dddx-protocol</t>
  </si>
  <si>
    <t>DDDX Protocol</t>
  </si>
  <si>
    <t>DDM</t>
  </si>
  <si>
    <t>ddmcoin</t>
  </si>
  <si>
    <t>DDMCoin</t>
  </si>
  <si>
    <t>DKM</t>
  </si>
  <si>
    <t>dead-knight</t>
  </si>
  <si>
    <t>Dead Knight</t>
  </si>
  <si>
    <t>DEP</t>
  </si>
  <si>
    <t>deapcoin</t>
  </si>
  <si>
    <t>DEAPCOIN</t>
  </si>
  <si>
    <t>DRACE</t>
  </si>
  <si>
    <t>deathroad</t>
  </si>
  <si>
    <t>DeathRoad</t>
  </si>
  <si>
    <t>DEATH</t>
  </si>
  <si>
    <t>death-token</t>
  </si>
  <si>
    <t>Death</t>
  </si>
  <si>
    <t>DBIO</t>
  </si>
  <si>
    <t>debio-network</t>
  </si>
  <si>
    <t>DeBio Network</t>
  </si>
  <si>
    <t>debitum-network</t>
  </si>
  <si>
    <t>Debitum Network</t>
  </si>
  <si>
    <t>DGS</t>
  </si>
  <si>
    <t>deblox</t>
  </si>
  <si>
    <t>Deblox</t>
  </si>
  <si>
    <t>DBET</t>
  </si>
  <si>
    <t>decentbet</t>
  </si>
  <si>
    <t>DecentBet</t>
  </si>
  <si>
    <t>DECENT</t>
  </si>
  <si>
    <t>decent-database</t>
  </si>
  <si>
    <t>DECENT Database</t>
  </si>
  <si>
    <t>decentr</t>
  </si>
  <si>
    <t>Decentr</t>
  </si>
  <si>
    <t>DCNTR</t>
  </si>
  <si>
    <t>decentrahub-coin</t>
  </si>
  <si>
    <t>Decentrahub Coin</t>
  </si>
  <si>
    <t>decentraland</t>
  </si>
  <si>
    <t>decentraland-wormhole</t>
  </si>
  <si>
    <t>Decentraland (Wormhole)</t>
  </si>
  <si>
    <t>DG</t>
  </si>
  <si>
    <t>decentral-games</t>
  </si>
  <si>
    <t>Decentral Games</t>
  </si>
  <si>
    <t>XDG</t>
  </si>
  <si>
    <t>decentral-games-governance</t>
  </si>
  <si>
    <t>Decentral Games Governance</t>
  </si>
  <si>
    <t>ICE</t>
  </si>
  <si>
    <t>decentral-games-ice</t>
  </si>
  <si>
    <t>Decentral Games ICE</t>
  </si>
  <si>
    <t>decentral-games-old</t>
  </si>
  <si>
    <t>Decentral Games (Old)</t>
  </si>
  <si>
    <t>DAD</t>
  </si>
  <si>
    <t>decentralized-advertising</t>
  </si>
  <si>
    <t>DATP</t>
  </si>
  <si>
    <t>decentralized-asset-trading-platform</t>
  </si>
  <si>
    <t>Decentralized Asset Trading Platform</t>
  </si>
  <si>
    <t>decentralized-autonomous-organization</t>
  </si>
  <si>
    <t>Decentralized Autonomous Organization</t>
  </si>
  <si>
    <t>DBS</t>
  </si>
  <si>
    <t>decentralized-business-systems</t>
  </si>
  <si>
    <t>Decentralized Business Systems</t>
  </si>
  <si>
    <t>DCIP</t>
  </si>
  <si>
    <t>decentralized-community-investment-protocol</t>
  </si>
  <si>
    <t>Decentralized Community Investment Protocol</t>
  </si>
  <si>
    <t>DCA</t>
  </si>
  <si>
    <t>decentralized-currency-assets</t>
  </si>
  <si>
    <t>Decentralize Currency</t>
  </si>
  <si>
    <t>DETF</t>
  </si>
  <si>
    <t>decentralized-etf</t>
  </si>
  <si>
    <t>Decentralized ETF</t>
  </si>
  <si>
    <t>DML</t>
  </si>
  <si>
    <t>decentralized-machine-learning</t>
  </si>
  <si>
    <t>Decentralized Machine Learning Protocol</t>
  </si>
  <si>
    <t>DMC</t>
  </si>
  <si>
    <t>decentralized-mining-exchange</t>
  </si>
  <si>
    <t>Decentralized Mining Exchange</t>
  </si>
  <si>
    <t>DENA</t>
  </si>
  <si>
    <t>decentralized-nations</t>
  </si>
  <si>
    <t>Decentralized Nations</t>
  </si>
  <si>
    <t>DUBI</t>
  </si>
  <si>
    <t>decentralized-universal-basic-income</t>
  </si>
  <si>
    <t>Decentralized Universal Basic Income</t>
  </si>
  <si>
    <t>decentralized-usd</t>
  </si>
  <si>
    <t>Decentralized USD</t>
  </si>
  <si>
    <t>DVP</t>
  </si>
  <si>
    <t>decentralized-vulnerability-platform</t>
  </si>
  <si>
    <t>Decentralized Vulnerability Platform</t>
  </si>
  <si>
    <t>DELO</t>
  </si>
  <si>
    <t>decentra-lotto</t>
  </si>
  <si>
    <t>Decentra-Lotto</t>
  </si>
  <si>
    <t>DCW</t>
  </si>
  <si>
    <t>decentralway</t>
  </si>
  <si>
    <t>Decentralway</t>
  </si>
  <si>
    <t>DWEB</t>
  </si>
  <si>
    <t>decentraweb</t>
  </si>
  <si>
    <t>DecentraWeb</t>
  </si>
  <si>
    <t>DSOL</t>
  </si>
  <si>
    <t>decentsol</t>
  </si>
  <si>
    <t>DecentSol</t>
  </si>
  <si>
    <t>DCNT</t>
  </si>
  <si>
    <t>decenturion</t>
  </si>
  <si>
    <t>Decenturion</t>
  </si>
  <si>
    <t>DCH</t>
  </si>
  <si>
    <t>dechart</t>
  </si>
  <si>
    <t>DeChart</t>
  </si>
  <si>
    <t>DEL</t>
  </si>
  <si>
    <t>decimal</t>
  </si>
  <si>
    <t>Decimal</t>
  </si>
  <si>
    <t>DIO</t>
  </si>
  <si>
    <t>decimated</t>
  </si>
  <si>
    <t>Decimated</t>
  </si>
  <si>
    <t>DTEP</t>
  </si>
  <si>
    <t>decoin</t>
  </si>
  <si>
    <t>Decoin</t>
  </si>
  <si>
    <t>DCR</t>
  </si>
  <si>
    <t>decred</t>
  </si>
  <si>
    <t>Decred</t>
  </si>
  <si>
    <t>CDTC</t>
  </si>
  <si>
    <t>decredit</t>
  </si>
  <si>
    <t>DeCredit</t>
  </si>
  <si>
    <t>DCB</t>
  </si>
  <si>
    <t>decubate</t>
  </si>
  <si>
    <t>Decubate</t>
  </si>
  <si>
    <t>ECU</t>
  </si>
  <si>
    <t>decurian</t>
  </si>
  <si>
    <t>Decurian</t>
  </si>
  <si>
    <t>DBEA</t>
  </si>
  <si>
    <t>deep-blue-sea</t>
  </si>
  <si>
    <t>Deep Blue Sea</t>
  </si>
  <si>
    <t>DBC</t>
  </si>
  <si>
    <t>deepbrain-chain</t>
  </si>
  <si>
    <t>DeepBrain Chain</t>
  </si>
  <si>
    <t>DEEP</t>
  </si>
  <si>
    <t>deepcloud-ai</t>
  </si>
  <si>
    <t>DeepCloud AI</t>
  </si>
  <si>
    <t>DPR</t>
  </si>
  <si>
    <t>deeper-network</t>
  </si>
  <si>
    <t>Deeper Network</t>
  </si>
  <si>
    <t>ONION</t>
  </si>
  <si>
    <t>deeponion</t>
  </si>
  <si>
    <t>DeepOnion</t>
  </si>
  <si>
    <t>DPS</t>
  </si>
  <si>
    <t>deepspace</t>
  </si>
  <si>
    <t>DEEPSPACE</t>
  </si>
  <si>
    <t>DXO</t>
  </si>
  <si>
    <t>deepspace-token</t>
  </si>
  <si>
    <t>DeepSpace DXO</t>
  </si>
  <si>
    <t>LOVE</t>
  </si>
  <si>
    <t>deesse</t>
  </si>
  <si>
    <t>Deesse</t>
  </si>
  <si>
    <t>DEEZNUTS</t>
  </si>
  <si>
    <t>deez-nuts</t>
  </si>
  <si>
    <t>Deez Nuts</t>
  </si>
  <si>
    <t>FACTR</t>
  </si>
  <si>
    <t>defactor</t>
  </si>
  <si>
    <t>Defactor</t>
  </si>
  <si>
    <t>defender-of-doge</t>
  </si>
  <si>
    <t>Defender of Doge</t>
  </si>
  <si>
    <t>DEFO</t>
  </si>
  <si>
    <t>defhold</t>
  </si>
  <si>
    <t>DefHold</t>
  </si>
  <si>
    <t>D11</t>
  </si>
  <si>
    <t>defi11</t>
  </si>
  <si>
    <t>DeFi11</t>
  </si>
  <si>
    <t>DFAI</t>
  </si>
  <si>
    <t>defiai</t>
  </si>
  <si>
    <t>DeFiAI</t>
  </si>
  <si>
    <t>defiant</t>
  </si>
  <si>
    <t>DeFiant</t>
  </si>
  <si>
    <t>DFT</t>
  </si>
  <si>
    <t>defiat</t>
  </si>
  <si>
    <t>DeFiat</t>
  </si>
  <si>
    <t>DFIAT</t>
  </si>
  <si>
    <t>defiato</t>
  </si>
  <si>
    <t>DeFiato</t>
  </si>
  <si>
    <t>defibank-money</t>
  </si>
  <si>
    <t>DefiBank.Money</t>
  </si>
  <si>
    <t>DBTYCOON</t>
  </si>
  <si>
    <t>defi-bank-tycoon</t>
  </si>
  <si>
    <t>DeFi Bank Tycoon</t>
  </si>
  <si>
    <t>DBAY</t>
  </si>
  <si>
    <t>defibay</t>
  </si>
  <si>
    <t>DefiBay</t>
  </si>
  <si>
    <t>$DBET</t>
  </si>
  <si>
    <t>defibet</t>
  </si>
  <si>
    <t>DefiBet</t>
  </si>
  <si>
    <t>defi-bids</t>
  </si>
  <si>
    <t>DeFi Bids</t>
  </si>
  <si>
    <t>defibox</t>
  </si>
  <si>
    <t>DefiBox</t>
  </si>
  <si>
    <t>DFCH</t>
  </si>
  <si>
    <t>defi-ch</t>
  </si>
  <si>
    <t>DeFi.ch</t>
  </si>
  <si>
    <t>defichain</t>
  </si>
  <si>
    <t>DFC</t>
  </si>
  <si>
    <t>defi-city</t>
  </si>
  <si>
    <t>DeFi City</t>
  </si>
  <si>
    <t>deficliq</t>
  </si>
  <si>
    <t>DefiCliq</t>
  </si>
  <si>
    <t>DEFC</t>
  </si>
  <si>
    <t>defi-coin</t>
  </si>
  <si>
    <t>DeFi Coin</t>
  </si>
  <si>
    <t>deficonnect</t>
  </si>
  <si>
    <t>DefiConnect</t>
  </si>
  <si>
    <t>DDL</t>
  </si>
  <si>
    <t>defi-degen-land</t>
  </si>
  <si>
    <t>DeFi Degen Land</t>
  </si>
  <si>
    <t>DEFIDO</t>
  </si>
  <si>
    <t>defido</t>
  </si>
  <si>
    <t>DeFido</t>
  </si>
  <si>
    <t>defidollar</t>
  </si>
  <si>
    <t>DefiDollar</t>
  </si>
  <si>
    <t>DFD</t>
  </si>
  <si>
    <t>defidollar-dao</t>
  </si>
  <si>
    <t>DefiDollar DAO</t>
  </si>
  <si>
    <t>DEG</t>
  </si>
  <si>
    <t>defi-empire-gold</t>
  </si>
  <si>
    <t>Defi Empire Gold</t>
  </si>
  <si>
    <t>DFY</t>
  </si>
  <si>
    <t>defi-for-you</t>
  </si>
  <si>
    <t>Defi For You</t>
  </si>
  <si>
    <t>DFGL</t>
  </si>
  <si>
    <t>defi-gold</t>
  </si>
  <si>
    <t>DeFi Gold</t>
  </si>
  <si>
    <t>defigram</t>
  </si>
  <si>
    <t>Defigram</t>
  </si>
  <si>
    <t>DHOLD</t>
  </si>
  <si>
    <t>defi-holdings</t>
  </si>
  <si>
    <t>DeFi Holdings</t>
  </si>
  <si>
    <t>DFH</t>
  </si>
  <si>
    <t>defihorse</t>
  </si>
  <si>
    <t>DeFiHorse</t>
  </si>
  <si>
    <t>RR</t>
  </si>
  <si>
    <t>defihorse-rocket-race</t>
  </si>
  <si>
    <t>DeFiHorse Rocket Race</t>
  </si>
  <si>
    <t>DDAO</t>
  </si>
  <si>
    <t>defi-hunters-dao</t>
  </si>
  <si>
    <t>DeFi Hunters DAO</t>
  </si>
  <si>
    <t>JEWEL</t>
  </si>
  <si>
    <t>defi-kingdoms</t>
  </si>
  <si>
    <t>DeFi Kingdoms</t>
  </si>
  <si>
    <t>defi-kingdoms-crystal</t>
  </si>
  <si>
    <t>DeFi Kingdoms Crystal</t>
  </si>
  <si>
    <t>DFL</t>
  </si>
  <si>
    <t>defil</t>
  </si>
  <si>
    <t>DeFIL</t>
  </si>
  <si>
    <t>defi-land</t>
  </si>
  <si>
    <t>DeFi Land</t>
  </si>
  <si>
    <t>DLAUNCH</t>
  </si>
  <si>
    <t>defi-launch</t>
  </si>
  <si>
    <t>DeFi Launch</t>
  </si>
  <si>
    <t>defily</t>
  </si>
  <si>
    <t>Defily</t>
  </si>
  <si>
    <t>FINA</t>
  </si>
  <si>
    <t>defina-finance</t>
  </si>
  <si>
    <t>Defina Finance</t>
  </si>
  <si>
    <t>DFA</t>
  </si>
  <si>
    <t>define</t>
  </si>
  <si>
    <t>DeFine</t>
  </si>
  <si>
    <t>FIN</t>
  </si>
  <si>
    <t>definer</t>
  </si>
  <si>
    <t>DeFiner</t>
  </si>
  <si>
    <t>DEFX</t>
  </si>
  <si>
    <t>definity</t>
  </si>
  <si>
    <t>DeFinity</t>
  </si>
  <si>
    <t>FINIX</t>
  </si>
  <si>
    <t>definix</t>
  </si>
  <si>
    <t>Definix</t>
  </si>
  <si>
    <t>defi-on-mcw</t>
  </si>
  <si>
    <t>DeFi on MCW</t>
  </si>
  <si>
    <t>PIE</t>
  </si>
  <si>
    <t>defipie</t>
  </si>
  <si>
    <t>DeFiPie</t>
  </si>
  <si>
    <t>DFP2</t>
  </si>
  <si>
    <t>defiplaza</t>
  </si>
  <si>
    <t>DefiPlaza</t>
  </si>
  <si>
    <t>DPI</t>
  </si>
  <si>
    <t>defipulse-index</t>
  </si>
  <si>
    <t>DeFi Pulse Index</t>
  </si>
  <si>
    <t>CWAP</t>
  </si>
  <si>
    <t>defire</t>
  </si>
  <si>
    <t>DeFIRE</t>
  </si>
  <si>
    <t>XGM</t>
  </si>
  <si>
    <t>defis</t>
  </si>
  <si>
    <t>Defis</t>
  </si>
  <si>
    <t>defiscale</t>
  </si>
  <si>
    <t>DeFiScale</t>
  </si>
  <si>
    <t>DSS</t>
  </si>
  <si>
    <t>defi-shopping-stake</t>
  </si>
  <si>
    <t>Defi Shopping Stake</t>
  </si>
  <si>
    <t>DFS</t>
  </si>
  <si>
    <t>defis-network</t>
  </si>
  <si>
    <t>Defis Network</t>
  </si>
  <si>
    <t>DSC</t>
  </si>
  <si>
    <t>defisportscoin</t>
  </si>
  <si>
    <t>DefiSportsCoin</t>
  </si>
  <si>
    <t>defistarter</t>
  </si>
  <si>
    <t>DfiStarter</t>
  </si>
  <si>
    <t>STA</t>
  </si>
  <si>
    <t>defi-stoa</t>
  </si>
  <si>
    <t>STOA Network</t>
  </si>
  <si>
    <t>DEFIT</t>
  </si>
  <si>
    <t>defit</t>
  </si>
  <si>
    <t>Digital Fitness</t>
  </si>
  <si>
    <t>DEFI5</t>
  </si>
  <si>
    <t>defi-top-5-tokens-index</t>
  </si>
  <si>
    <t>DEFI Top 5 Index</t>
  </si>
  <si>
    <t>ISLA</t>
  </si>
  <si>
    <t>defiville-island</t>
  </si>
  <si>
    <t>DefiVille Island</t>
  </si>
  <si>
    <t>FIWA</t>
  </si>
  <si>
    <t>defi-warrior</t>
  </si>
  <si>
    <t>Defi Warrior</t>
  </si>
  <si>
    <t>DYP</t>
  </si>
  <si>
    <t>defi-yield-protocol</t>
  </si>
  <si>
    <t>DeFi Yield Protocol</t>
  </si>
  <si>
    <t>DEFLY</t>
  </si>
  <si>
    <t>deflyball</t>
  </si>
  <si>
    <t>Deflyball</t>
  </si>
  <si>
    <t>MELT</t>
  </si>
  <si>
    <t>defrost-finance</t>
  </si>
  <si>
    <t>Defrost Finance</t>
  </si>
  <si>
    <t>H2O</t>
  </si>
  <si>
    <t>defrost-finance-h2o</t>
  </si>
  <si>
    <t>Defrost Finance H2O</t>
  </si>
  <si>
    <t>DEFY</t>
  </si>
  <si>
    <t>defycoinv2</t>
  </si>
  <si>
    <t>DefyCoinV2</t>
  </si>
  <si>
    <t>defydefi</t>
  </si>
  <si>
    <t>DefyDefi</t>
  </si>
  <si>
    <t>defyswap-finance</t>
  </si>
  <si>
    <t>DefySwap Finance</t>
  </si>
  <si>
    <t>degate</t>
  </si>
  <si>
    <t>DeGate</t>
  </si>
  <si>
    <t>DGM</t>
  </si>
  <si>
    <t>degem</t>
  </si>
  <si>
    <t>DegemV2</t>
  </si>
  <si>
    <t>DEGN</t>
  </si>
  <si>
    <t>degen</t>
  </si>
  <si>
    <t>Degen</t>
  </si>
  <si>
    <t>degen-ape-club</t>
  </si>
  <si>
    <t>Degen Ape Club</t>
  </si>
  <si>
    <t>DEGENR</t>
  </si>
  <si>
    <t>degenerate-money</t>
  </si>
  <si>
    <t>Degenerate Money</t>
  </si>
  <si>
    <t>MEME</t>
  </si>
  <si>
    <t>degenerator</t>
  </si>
  <si>
    <t>Meme</t>
  </si>
  <si>
    <t>DEGEN</t>
  </si>
  <si>
    <t>degen-finance</t>
  </si>
  <si>
    <t>Degen Finance</t>
  </si>
  <si>
    <t>degen-index</t>
  </si>
  <si>
    <t>DEGEN Index</t>
  </si>
  <si>
    <t>SH33P</t>
  </si>
  <si>
    <t>degen-protocol-token</t>
  </si>
  <si>
    <t>Degen Protocol</t>
  </si>
  <si>
    <t>DGVC</t>
  </si>
  <si>
    <t>degenvc</t>
  </si>
  <si>
    <t>DegenVC</t>
  </si>
  <si>
    <t>degis</t>
  </si>
  <si>
    <t>Degis</t>
  </si>
  <si>
    <t>DEGO</t>
  </si>
  <si>
    <t>dego-finance</t>
  </si>
  <si>
    <t>Dego Finance</t>
  </si>
  <si>
    <t>DCT</t>
  </si>
  <si>
    <t>degree-crypto-token</t>
  </si>
  <si>
    <t>Degree Crypto</t>
  </si>
  <si>
    <t>DHLT</t>
  </si>
  <si>
    <t>dehealth</t>
  </si>
  <si>
    <t>DeHealth</t>
  </si>
  <si>
    <t>HEROES</t>
  </si>
  <si>
    <t>dehero-community-token</t>
  </si>
  <si>
    <t>Dehero Community</t>
  </si>
  <si>
    <t>DHV</t>
  </si>
  <si>
    <t>dehive</t>
  </si>
  <si>
    <t>DeHive</t>
  </si>
  <si>
    <t>DEVT</t>
  </si>
  <si>
    <t>dehorizon</t>
  </si>
  <si>
    <t>DeHorizon</t>
  </si>
  <si>
    <t>DHR</t>
  </si>
  <si>
    <t>dehr-network</t>
  </si>
  <si>
    <t>DeHR Network</t>
  </si>
  <si>
    <t>DEHUB</t>
  </si>
  <si>
    <t>dehub</t>
  </si>
  <si>
    <t>DeHub</t>
  </si>
  <si>
    <t>deimos-token</t>
  </si>
  <si>
    <t>Deimos DIO</t>
  </si>
  <si>
    <t>DIP</t>
  </si>
  <si>
    <t>deipool</t>
  </si>
  <si>
    <t>Deipool</t>
  </si>
  <si>
    <t>DEIP</t>
  </si>
  <si>
    <t>deip-protocol</t>
  </si>
  <si>
    <t>DEIP Protocol</t>
  </si>
  <si>
    <t>DEI</t>
  </si>
  <si>
    <t>dei-token</t>
  </si>
  <si>
    <t>DEK</t>
  </si>
  <si>
    <t>dekbox</t>
  </si>
  <si>
    <t>DekBox</t>
  </si>
  <si>
    <t>DEKU</t>
  </si>
  <si>
    <t>deku-inu</t>
  </si>
  <si>
    <t>Deku Inu</t>
  </si>
  <si>
    <t>DLF</t>
  </si>
  <si>
    <t>delfino-finance</t>
  </si>
  <si>
    <t>Delfino Finance</t>
  </si>
  <si>
    <t>IRA</t>
  </si>
  <si>
    <t>deligence</t>
  </si>
  <si>
    <t>Diligence</t>
  </si>
  <si>
    <t>DOTX</t>
  </si>
  <si>
    <t>deli-of-thrones</t>
  </si>
  <si>
    <t>DeFi of Thrones</t>
  </si>
  <si>
    <t>DLN</t>
  </si>
  <si>
    <t>delion</t>
  </si>
  <si>
    <t>Delion</t>
  </si>
  <si>
    <t>DLQ</t>
  </si>
  <si>
    <t>deliq</t>
  </si>
  <si>
    <t>Deliq</t>
  </si>
  <si>
    <t>DELOS</t>
  </si>
  <si>
    <t>delos-defi</t>
  </si>
  <si>
    <t>Delos Defi</t>
  </si>
  <si>
    <t>DELOT</t>
  </si>
  <si>
    <t>delot-io</t>
  </si>
  <si>
    <t>DELOT.IO</t>
  </si>
  <si>
    <t>DPY</t>
  </si>
  <si>
    <t>delphy</t>
  </si>
  <si>
    <t>Delphy</t>
  </si>
  <si>
    <t>DELTA</t>
  </si>
  <si>
    <t>deltachain</t>
  </si>
  <si>
    <t>DeltaChain</t>
  </si>
  <si>
    <t>DETO</t>
  </si>
  <si>
    <t>delta-exchange-token</t>
  </si>
  <si>
    <t>Delta Exchange</t>
  </si>
  <si>
    <t>DELFI</t>
  </si>
  <si>
    <t>deltafi</t>
  </si>
  <si>
    <t>DeltaFi</t>
  </si>
  <si>
    <t>delta-financial</t>
  </si>
  <si>
    <t>Delta Financial</t>
  </si>
  <si>
    <t>DELTAF</t>
  </si>
  <si>
    <t>deltaflip</t>
  </si>
  <si>
    <t>DeltaFlip</t>
  </si>
  <si>
    <t>DHC</t>
  </si>
  <si>
    <t>DLTA</t>
  </si>
  <si>
    <t>delta-theta</t>
  </si>
  <si>
    <t>delta.theta</t>
  </si>
  <si>
    <t>DEO</t>
  </si>
  <si>
    <t>demeter</t>
  </si>
  <si>
    <t>Demeter</t>
  </si>
  <si>
    <t>demeter-usd</t>
  </si>
  <si>
    <t>Demeter USD</t>
  </si>
  <si>
    <t>DMOD</t>
  </si>
  <si>
    <t>demodyfi</t>
  </si>
  <si>
    <t>Demodyfi</t>
  </si>
  <si>
    <t>DMLG</t>
  </si>
  <si>
    <t>demole</t>
  </si>
  <si>
    <t>Demole</t>
  </si>
  <si>
    <t>demonic-doge</t>
  </si>
  <si>
    <t>Demonic Doge</t>
  </si>
  <si>
    <t>D</t>
  </si>
  <si>
    <t>denarius</t>
  </si>
  <si>
    <t>Denarius</t>
  </si>
  <si>
    <t>DDN</t>
  </si>
  <si>
    <t>dendomains</t>
  </si>
  <si>
    <t>Den Domains</t>
  </si>
  <si>
    <t>DNZ</t>
  </si>
  <si>
    <t>denizlispor-fan-token</t>
  </si>
  <si>
    <t>Denizlispor Fan Token</t>
  </si>
  <si>
    <t>DENT</t>
  </si>
  <si>
    <t>dent</t>
  </si>
  <si>
    <t>Dent</t>
  </si>
  <si>
    <t>DCN</t>
  </si>
  <si>
    <t>dentacoin</t>
  </si>
  <si>
    <t>Dentacoin</t>
  </si>
  <si>
    <t>DENTRO</t>
  </si>
  <si>
    <t>dentrocoin</t>
  </si>
  <si>
    <t>Dentrocoin</t>
  </si>
  <si>
    <t>DON</t>
  </si>
  <si>
    <t>deonex-token</t>
  </si>
  <si>
    <t>DEPAY</t>
  </si>
  <si>
    <t>depay</t>
  </si>
  <si>
    <t>DePay</t>
  </si>
  <si>
    <t>DEPO</t>
  </si>
  <si>
    <t>depo</t>
  </si>
  <si>
    <t>Depo</t>
  </si>
  <si>
    <t>depocket</t>
  </si>
  <si>
    <t>DePocket</t>
  </si>
  <si>
    <t>depth-token</t>
  </si>
  <si>
    <t>Depth</t>
  </si>
  <si>
    <t>DEQ</t>
  </si>
  <si>
    <t>dequant</t>
  </si>
  <si>
    <t>Dequant</t>
  </si>
  <si>
    <t>DERC</t>
  </si>
  <si>
    <t>derace</t>
  </si>
  <si>
    <t>DeRace</t>
  </si>
  <si>
    <t>DRC</t>
  </si>
  <si>
    <t>deracoin</t>
  </si>
  <si>
    <t>Deracoin</t>
  </si>
  <si>
    <t>DRF</t>
  </si>
  <si>
    <t>derify-protocol</t>
  </si>
  <si>
    <t>Derify Protocol</t>
  </si>
  <si>
    <t>DERI</t>
  </si>
  <si>
    <t>deri-protocol</t>
  </si>
  <si>
    <t>Deri Protocol</t>
  </si>
  <si>
    <t>DDX</t>
  </si>
  <si>
    <t>derivadao</t>
  </si>
  <si>
    <t>DerivaDAO</t>
  </si>
  <si>
    <t>DVDX</t>
  </si>
  <si>
    <t>derived</t>
  </si>
  <si>
    <t>Derived</t>
  </si>
  <si>
    <t>DERO</t>
  </si>
  <si>
    <t>dero</t>
  </si>
  <si>
    <t>Dero</t>
  </si>
  <si>
    <t>DESIRE</t>
  </si>
  <si>
    <t>desirenft</t>
  </si>
  <si>
    <t>DesireNFT</t>
  </si>
  <si>
    <t>DSM</t>
  </si>
  <si>
    <t>desmos</t>
  </si>
  <si>
    <t>Desmos</t>
  </si>
  <si>
    <t>DSE</t>
  </si>
  <si>
    <t>despace</t>
  </si>
  <si>
    <t>Despace</t>
  </si>
  <si>
    <t>DES</t>
  </si>
  <si>
    <t>despace-protocol</t>
  </si>
  <si>
    <t>DeSpace Protocol</t>
  </si>
  <si>
    <t>DS</t>
  </si>
  <si>
    <t>destorage</t>
  </si>
  <si>
    <t>DeStorage</t>
  </si>
  <si>
    <t>DAW</t>
  </si>
  <si>
    <t>deswap</t>
  </si>
  <si>
    <t>Deswap</t>
  </si>
  <si>
    <t>DTH</t>
  </si>
  <si>
    <t>dether</t>
  </si>
  <si>
    <t>Dether</t>
  </si>
  <si>
    <t>DTK</t>
  </si>
  <si>
    <t>detik</t>
  </si>
  <si>
    <t>DETIK</t>
  </si>
  <si>
    <t>DEUS</t>
  </si>
  <si>
    <t>deus-finance-2</t>
  </si>
  <si>
    <t>DEUS Finance</t>
  </si>
  <si>
    <t>DEM</t>
  </si>
  <si>
    <t>deutsche-emark</t>
  </si>
  <si>
    <t>Deutsche eMark</t>
  </si>
  <si>
    <t>DEUX</t>
  </si>
  <si>
    <t>deuxpad</t>
  </si>
  <si>
    <t>DeuxPad</t>
  </si>
  <si>
    <t>DEVA</t>
  </si>
  <si>
    <t>deva-token</t>
  </si>
  <si>
    <t>DVT</t>
  </si>
  <si>
    <t>devault</t>
  </si>
  <si>
    <t>DeVault</t>
  </si>
  <si>
    <t>EVE</t>
  </si>
  <si>
    <t>devery</t>
  </si>
  <si>
    <t>Devery</t>
  </si>
  <si>
    <t>DEVIA8</t>
  </si>
  <si>
    <t>devia8</t>
  </si>
  <si>
    <t>Devia8</t>
  </si>
  <si>
    <t>DEV</t>
  </si>
  <si>
    <t>deviantcoin</t>
  </si>
  <si>
    <t>Deviant Coin</t>
  </si>
  <si>
    <t>DVK</t>
  </si>
  <si>
    <t>devikins</t>
  </si>
  <si>
    <t>Devikins</t>
  </si>
  <si>
    <t>DEVIL</t>
  </si>
  <si>
    <t>devil-finance</t>
  </si>
  <si>
    <t>Devil Finance</t>
  </si>
  <si>
    <t>DEVL</t>
  </si>
  <si>
    <t>devil-token</t>
  </si>
  <si>
    <t>Devil</t>
  </si>
  <si>
    <t>DGOLD</t>
  </si>
  <si>
    <t>devious-licks-gold</t>
  </si>
  <si>
    <t>Devious Licks Gold</t>
  </si>
  <si>
    <t>LIFE</t>
  </si>
  <si>
    <t>devita-global</t>
  </si>
  <si>
    <t>DEVITA</t>
  </si>
  <si>
    <t>DEVI</t>
  </si>
  <si>
    <t>devium</t>
  </si>
  <si>
    <t>Devium</t>
  </si>
  <si>
    <t>DEVO</t>
  </si>
  <si>
    <t>devolution</t>
  </si>
  <si>
    <t>DeVolution</t>
  </si>
  <si>
    <t>RESTAURANTS</t>
  </si>
  <si>
    <t>devour</t>
  </si>
  <si>
    <t>Devour</t>
  </si>
  <si>
    <t>dev-protocol</t>
  </si>
  <si>
    <t>Dev Protocol</t>
  </si>
  <si>
    <t>DEXA</t>
  </si>
  <si>
    <t>dexa-coin</t>
  </si>
  <si>
    <t>DEXA COIN</t>
  </si>
  <si>
    <t>ALOT</t>
  </si>
  <si>
    <t>dexalot</t>
  </si>
  <si>
    <t>Dexalot</t>
  </si>
  <si>
    <t>dexbrowser</t>
  </si>
  <si>
    <t>DexBrowser</t>
  </si>
  <si>
    <t>DEXE</t>
  </si>
  <si>
    <t>dexe</t>
  </si>
  <si>
    <t>DeXe</t>
  </si>
  <si>
    <t>DXF</t>
  </si>
  <si>
    <t>dexfin</t>
  </si>
  <si>
    <t>Dexfin</t>
  </si>
  <si>
    <t>DEXF</t>
  </si>
  <si>
    <t>dexfolio</t>
  </si>
  <si>
    <t>Dexfolio</t>
  </si>
  <si>
    <t>DXGM</t>
  </si>
  <si>
    <t>dex-game</t>
  </si>
  <si>
    <t>DexGame</t>
  </si>
  <si>
    <t>DXG</t>
  </si>
  <si>
    <t>dexigas</t>
  </si>
  <si>
    <t>Dexigas</t>
  </si>
  <si>
    <t>DEXI</t>
  </si>
  <si>
    <t>dexioprotocol</t>
  </si>
  <si>
    <t>Dexioprotocol</t>
  </si>
  <si>
    <t>dexira</t>
  </si>
  <si>
    <t>dexIRA</t>
  </si>
  <si>
    <t>DXT</t>
  </si>
  <si>
    <t>dexit-finance</t>
  </si>
  <si>
    <t>Dexit Network</t>
  </si>
  <si>
    <t>KIT</t>
  </si>
  <si>
    <t>dexkit</t>
  </si>
  <si>
    <t>DexKit</t>
  </si>
  <si>
    <t>DXL</t>
  </si>
  <si>
    <t>dexlab</t>
  </si>
  <si>
    <t>Dexlab</t>
  </si>
  <si>
    <t>DXP</t>
  </si>
  <si>
    <t>dexpad</t>
  </si>
  <si>
    <t>DexPad</t>
  </si>
  <si>
    <t>dexpools</t>
  </si>
  <si>
    <t>Dexpools</t>
  </si>
  <si>
    <t>DXW</t>
  </si>
  <si>
    <t>dexscrow</t>
  </si>
  <si>
    <t>Dexscrow</t>
  </si>
  <si>
    <t>DESU</t>
  </si>
  <si>
    <t>dexsport</t>
  </si>
  <si>
    <t>Dexsport</t>
  </si>
  <si>
    <t>DEXTF</t>
  </si>
  <si>
    <t>dextf</t>
  </si>
  <si>
    <t>Domani Protocol</t>
  </si>
  <si>
    <t>DEXG</t>
  </si>
  <si>
    <t>dextoken-governance</t>
  </si>
  <si>
    <t>Dextoken Governance</t>
  </si>
  <si>
    <t>DEXT</t>
  </si>
  <si>
    <t>dextools</t>
  </si>
  <si>
    <t>DexTools</t>
  </si>
  <si>
    <t>DXC</t>
  </si>
  <si>
    <t>dex-trade-coin</t>
  </si>
  <si>
    <t>Dex-Trade Coin</t>
  </si>
  <si>
    <t>dextro</t>
  </si>
  <si>
    <t>Dextro</t>
  </si>
  <si>
    <t>DFE</t>
  </si>
  <si>
    <t>dfe-finance</t>
  </si>
  <si>
    <t>DFE.Finance</t>
  </si>
  <si>
    <t>XFI</t>
  </si>
  <si>
    <t>dfinance</t>
  </si>
  <si>
    <t>Dfinance</t>
  </si>
  <si>
    <t>BUIDL</t>
  </si>
  <si>
    <t>dfohub</t>
  </si>
  <si>
    <t>DF</t>
  </si>
  <si>
    <t>dforce-token</t>
  </si>
  <si>
    <t>DFSM</t>
  </si>
  <si>
    <t>dfs-mafia</t>
  </si>
  <si>
    <t>DFS MAFIA</t>
  </si>
  <si>
    <t>DFSOCIAL</t>
  </si>
  <si>
    <t>dfsocial</t>
  </si>
  <si>
    <t>DFSocial (Old)</t>
  </si>
  <si>
    <t>DFSG</t>
  </si>
  <si>
    <t>dfsocial-gaming-2</t>
  </si>
  <si>
    <t>DFSocial Gaming</t>
  </si>
  <si>
    <t>DFND</t>
  </si>
  <si>
    <t>dfund</t>
  </si>
  <si>
    <t>dFund</t>
  </si>
  <si>
    <t>dfuture</t>
  </si>
  <si>
    <t>DFX</t>
  </si>
  <si>
    <t>dfx-finance</t>
  </si>
  <si>
    <t>DFX Finance</t>
  </si>
  <si>
    <t>DFYN</t>
  </si>
  <si>
    <t>dfyn-network</t>
  </si>
  <si>
    <t>Dfyn Network</t>
  </si>
  <si>
    <t>DGLD</t>
  </si>
  <si>
    <t>dgld</t>
  </si>
  <si>
    <t>DGP</t>
  </si>
  <si>
    <t>dgpayment</t>
  </si>
  <si>
    <t>DGPayment</t>
  </si>
  <si>
    <t>dhabicoin</t>
  </si>
  <si>
    <t>Dhabicoin</t>
  </si>
  <si>
    <t>DHP</t>
  </si>
  <si>
    <t>dhealth</t>
  </si>
  <si>
    <t>dHealth</t>
  </si>
  <si>
    <t>DHT</t>
  </si>
  <si>
    <t>dhedge-dao</t>
  </si>
  <si>
    <t>dHEDGE DAO</t>
  </si>
  <si>
    <t>dhedge-stablecoin-yield</t>
  </si>
  <si>
    <t>dHEDGE Stablecoin Yield</t>
  </si>
  <si>
    <t>DTOP</t>
  </si>
  <si>
    <t>dhedge-top-index</t>
  </si>
  <si>
    <t>dHEDGE Top Index</t>
  </si>
  <si>
    <t>DIA</t>
  </si>
  <si>
    <t>dia-data</t>
  </si>
  <si>
    <t>diamond</t>
  </si>
  <si>
    <t>Diamond</t>
  </si>
  <si>
    <t>DBZ</t>
  </si>
  <si>
    <t>diamond-boyz-coin</t>
  </si>
  <si>
    <t>Diamond Boyz Coin</t>
  </si>
  <si>
    <t>DIAMOND</t>
  </si>
  <si>
    <t>diamond-coin</t>
  </si>
  <si>
    <t>Diamond Coin</t>
  </si>
  <si>
    <t>DMND</t>
  </si>
  <si>
    <t>diamonddao</t>
  </si>
  <si>
    <t>DiamondDAO</t>
  </si>
  <si>
    <t>DND</t>
  </si>
  <si>
    <t>diamond-dnd</t>
  </si>
  <si>
    <t>Diamond DND</t>
  </si>
  <si>
    <t>diamond-hands-token</t>
  </si>
  <si>
    <t>Diamond Hands DHC</t>
  </si>
  <si>
    <t>diamondhold</t>
  </si>
  <si>
    <t>DiamondHold</t>
  </si>
  <si>
    <t>diamond-love</t>
  </si>
  <si>
    <t>Diamond Love</t>
  </si>
  <si>
    <t>DPT</t>
  </si>
  <si>
    <t>diamond-platform-token</t>
  </si>
  <si>
    <t>Diamond Platform Token</t>
  </si>
  <si>
    <t>DIQ</t>
  </si>
  <si>
    <t>diamondq</t>
  </si>
  <si>
    <t>DiamondQ</t>
  </si>
  <si>
    <t>DS$</t>
  </si>
  <si>
    <t>diamondshiba</t>
  </si>
  <si>
    <t>DiamondShiba</t>
  </si>
  <si>
    <t>DWHX</t>
  </si>
  <si>
    <t>diamond-whitex</t>
  </si>
  <si>
    <t>Diamond Whitex</t>
  </si>
  <si>
    <t>diamond-xrpl</t>
  </si>
  <si>
    <t>Diamond XRPL</t>
  </si>
  <si>
    <t>DIAH</t>
  </si>
  <si>
    <t>diarrheacoin</t>
  </si>
  <si>
    <t>DiarrheaCoin</t>
  </si>
  <si>
    <t>DIBS</t>
  </si>
  <si>
    <t>dibs-money</t>
  </si>
  <si>
    <t>Dibs Money</t>
  </si>
  <si>
    <t>DSHARE</t>
  </si>
  <si>
    <t>dibs-share</t>
  </si>
  <si>
    <t>Dibs Share</t>
  </si>
  <si>
    <t>dice-inu</t>
  </si>
  <si>
    <t>Dice Inu</t>
  </si>
  <si>
    <t>DID</t>
  </si>
  <si>
    <t>didcoin-2</t>
  </si>
  <si>
    <t>Didcoin</t>
  </si>
  <si>
    <t>DLB</t>
  </si>
  <si>
    <t>diemlibre</t>
  </si>
  <si>
    <t>DiemLibre</t>
  </si>
  <si>
    <t>DIFF</t>
  </si>
  <si>
    <t>diffusion</t>
  </si>
  <si>
    <t>Diffusion</t>
  </si>
  <si>
    <t>DFN</t>
  </si>
  <si>
    <t>difo-network</t>
  </si>
  <si>
    <t>Difo Network</t>
  </si>
  <si>
    <t>YFIII</t>
  </si>
  <si>
    <t>dify-finance</t>
  </si>
  <si>
    <t>Dify.Finance</t>
  </si>
  <si>
    <t>DIG</t>
  </si>
  <si>
    <t>dig-chain</t>
  </si>
  <si>
    <t>Dig Chain</t>
  </si>
  <si>
    <t>DIGG</t>
  </si>
  <si>
    <t>digg</t>
  </si>
  <si>
    <t>DIGI</t>
  </si>
  <si>
    <t>digible</t>
  </si>
  <si>
    <t>Digible</t>
  </si>
  <si>
    <t>DGB</t>
  </si>
  <si>
    <t>digibyte</t>
  </si>
  <si>
    <t>DigiByte</t>
  </si>
  <si>
    <t>DIGICHAIN</t>
  </si>
  <si>
    <t>digichain</t>
  </si>
  <si>
    <t>Digichain Coin</t>
  </si>
  <si>
    <t>DGCL</t>
  </si>
  <si>
    <t>digicol-token</t>
  </si>
  <si>
    <t>DDR</t>
  </si>
  <si>
    <t>digi-dinar</t>
  </si>
  <si>
    <t>Digi Dinar</t>
  </si>
  <si>
    <t>DDRST</t>
  </si>
  <si>
    <t>digidinar-stabletoken</t>
  </si>
  <si>
    <t>DDRT</t>
  </si>
  <si>
    <t>digidinar-token</t>
  </si>
  <si>
    <t>DigiDinar Token</t>
  </si>
  <si>
    <t>digifinextoken</t>
  </si>
  <si>
    <t>DigiFinexToken</t>
  </si>
  <si>
    <t>DGI</t>
  </si>
  <si>
    <t>digifit</t>
  </si>
  <si>
    <t>DIGIFIT</t>
  </si>
  <si>
    <t>DGMV</t>
  </si>
  <si>
    <t>digimetaverse</t>
  </si>
  <si>
    <t>DigiMetaverse</t>
  </si>
  <si>
    <t>digimoney</t>
  </si>
  <si>
    <t>DigiMoney</t>
  </si>
  <si>
    <t>DBA</t>
  </si>
  <si>
    <t>digital-bank-of-africa</t>
  </si>
  <si>
    <t>Digital Bank of Africa</t>
  </si>
  <si>
    <t>XDB</t>
  </si>
  <si>
    <t>digitalbits</t>
  </si>
  <si>
    <t>DigitalBits</t>
  </si>
  <si>
    <t>DGC</t>
  </si>
  <si>
    <t>digitalcoin</t>
  </si>
  <si>
    <t>Digitalcoin</t>
  </si>
  <si>
    <t>digitaldollar</t>
  </si>
  <si>
    <t>DigitalDollar</t>
  </si>
  <si>
    <t>DIFX</t>
  </si>
  <si>
    <t>digital-financial-exchange</t>
  </si>
  <si>
    <t>Digital Financial Exchange</t>
  </si>
  <si>
    <t>DMB</t>
  </si>
  <si>
    <t>digital-money-bits</t>
  </si>
  <si>
    <t>Digital Money Bits</t>
  </si>
  <si>
    <t>XDN</t>
  </si>
  <si>
    <t>digitalnote</t>
  </si>
  <si>
    <t>DigitalNote</t>
  </si>
  <si>
    <t>digitalprice</t>
  </si>
  <si>
    <t>DigitalPrice</t>
  </si>
  <si>
    <t>DZAR</t>
  </si>
  <si>
    <t>digital-rand</t>
  </si>
  <si>
    <t>Digital Rand</t>
  </si>
  <si>
    <t>digital-reserve-currency</t>
  </si>
  <si>
    <t>Digital Reserve Currency</t>
  </si>
  <si>
    <t>DSFR</t>
  </si>
  <si>
    <t>digital-swis-franc</t>
  </si>
  <si>
    <t>Digital Swiss Franc</t>
  </si>
  <si>
    <t>digital-ticks</t>
  </si>
  <si>
    <t>Digital Ticks</t>
  </si>
  <si>
    <t>DGTX</t>
  </si>
  <si>
    <t>digitex-futures-exchange</t>
  </si>
  <si>
    <t>DIGITS</t>
  </si>
  <si>
    <t>digits-dao</t>
  </si>
  <si>
    <t>Digits DAO</t>
  </si>
  <si>
    <t>DGD</t>
  </si>
  <si>
    <t>digixdao</t>
  </si>
  <si>
    <t>DigixDAO</t>
  </si>
  <si>
    <t>DGX</t>
  </si>
  <si>
    <t>digix-gold</t>
  </si>
  <si>
    <t>Digix Gold</t>
  </si>
  <si>
    <t>DIKE</t>
  </si>
  <si>
    <t>dike</t>
  </si>
  <si>
    <t>Dike</t>
  </si>
  <si>
    <t>DIME</t>
  </si>
  <si>
    <t>dimecoin</t>
  </si>
  <si>
    <t>Dimecoin</t>
  </si>
  <si>
    <t>DIMI</t>
  </si>
  <si>
    <t>diminutive-coin</t>
  </si>
  <si>
    <t>Diminutive Coin</t>
  </si>
  <si>
    <t>DMTR</t>
  </si>
  <si>
    <t>dimitra</t>
  </si>
  <si>
    <t>Dimitra</t>
  </si>
  <si>
    <t>DMS</t>
  </si>
  <si>
    <t>dimsum</t>
  </si>
  <si>
    <t>DimSum</t>
  </si>
  <si>
    <t>DINA</t>
  </si>
  <si>
    <t>dina</t>
  </si>
  <si>
    <t>Dina</t>
  </si>
  <si>
    <t>DZG</t>
  </si>
  <si>
    <t>dinamo-zagreb-fan-token</t>
  </si>
  <si>
    <t>Dinamo Zagreb Fan Token</t>
  </si>
  <si>
    <t>DCY</t>
  </si>
  <si>
    <t>dinastycoin</t>
  </si>
  <si>
    <t>Dinastycoin</t>
  </si>
  <si>
    <t>DIN</t>
  </si>
  <si>
    <t>dinero</t>
  </si>
  <si>
    <t>Dinero</t>
  </si>
  <si>
    <t>DINGER</t>
  </si>
  <si>
    <t>dinger-token</t>
  </si>
  <si>
    <t>Dinger</t>
  </si>
  <si>
    <t>DINGO</t>
  </si>
  <si>
    <t>dingocoin</t>
  </si>
  <si>
    <t>Dingocoin</t>
  </si>
  <si>
    <t>dingo-token</t>
  </si>
  <si>
    <t>Dingo</t>
  </si>
  <si>
    <t>DINK</t>
  </si>
  <si>
    <t>dink-donk</t>
  </si>
  <si>
    <t>Dink Doink</t>
  </si>
  <si>
    <t>DINO</t>
  </si>
  <si>
    <t>dino</t>
  </si>
  <si>
    <t>Dino</t>
  </si>
  <si>
    <t>DINOEGG</t>
  </si>
  <si>
    <t>dinoegg</t>
  </si>
  <si>
    <t>dino-exchange</t>
  </si>
  <si>
    <t>Dino Exchange</t>
  </si>
  <si>
    <t>DNL</t>
  </si>
  <si>
    <t>dinoland</t>
  </si>
  <si>
    <t>Dinoland</t>
  </si>
  <si>
    <t>DINOP</t>
  </si>
  <si>
    <t>dinopark</t>
  </si>
  <si>
    <t>DinoPark</t>
  </si>
  <si>
    <t>DSG</t>
  </si>
  <si>
    <t>dinosaureggs</t>
  </si>
  <si>
    <t>Dinosaur Eggs</t>
  </si>
  <si>
    <t>dinoswap</t>
  </si>
  <si>
    <t>DinoSwap</t>
  </si>
  <si>
    <t>DNXC</t>
  </si>
  <si>
    <t>dinox</t>
  </si>
  <si>
    <t>DinoX</t>
  </si>
  <si>
    <t>DINT</t>
  </si>
  <si>
    <t>dint-token</t>
  </si>
  <si>
    <t>DION</t>
  </si>
  <si>
    <t>dionpay</t>
  </si>
  <si>
    <t>Dionpay</t>
  </si>
  <si>
    <t>DIOS</t>
  </si>
  <si>
    <t>dios-finance</t>
  </si>
  <si>
    <t>Dios Finance</t>
  </si>
  <si>
    <t>dipper</t>
  </si>
  <si>
    <t>Dipper</t>
  </si>
  <si>
    <t>dipper-network</t>
  </si>
  <si>
    <t>Dipper Network</t>
  </si>
  <si>
    <t>DAH</t>
  </si>
  <si>
    <t>dirham</t>
  </si>
  <si>
    <t>Dirham</t>
  </si>
  <si>
    <t>DHS</t>
  </si>
  <si>
    <t>dirham-crypto</t>
  </si>
  <si>
    <t>Dirham Crypto</t>
  </si>
  <si>
    <t>DIRTY</t>
  </si>
  <si>
    <t>dirty-finance</t>
  </si>
  <si>
    <t>Dirty Finance</t>
  </si>
  <si>
    <t>DDOS</t>
  </si>
  <si>
    <t>disbalancer</t>
  </si>
  <si>
    <t>disBalancer</t>
  </si>
  <si>
    <t>DBT</t>
  </si>
  <si>
    <t>disco-burn-token</t>
  </si>
  <si>
    <t>Disco Burn</t>
  </si>
  <si>
    <t>DNT</t>
  </si>
  <si>
    <t>district0x</t>
  </si>
  <si>
    <t>DISTX</t>
  </si>
  <si>
    <t>distx</t>
  </si>
  <si>
    <t>DistX</t>
  </si>
  <si>
    <t>DITTO</t>
  </si>
  <si>
    <t>ditto</t>
  </si>
  <si>
    <t>Ditto</t>
  </si>
  <si>
    <t>DITTOINU</t>
  </si>
  <si>
    <t>dittoinu</t>
  </si>
  <si>
    <t>DittoInu</t>
  </si>
  <si>
    <t>DIVER</t>
  </si>
  <si>
    <t>divergence-protocol</t>
  </si>
  <si>
    <t>Divergence Protocol</t>
  </si>
  <si>
    <t>diversifi</t>
  </si>
  <si>
    <t>DiversiFi</t>
  </si>
  <si>
    <t>DIVI</t>
  </si>
  <si>
    <t>divi</t>
  </si>
  <si>
    <t>Divi</t>
  </si>
  <si>
    <t>DVLD</t>
  </si>
  <si>
    <t>divi-land</t>
  </si>
  <si>
    <t>DIVI LAND</t>
  </si>
  <si>
    <t>DIVINE</t>
  </si>
  <si>
    <t>divine-dao</t>
  </si>
  <si>
    <t>Divine DAO</t>
  </si>
  <si>
    <t>DIV</t>
  </si>
  <si>
    <t>diviner</t>
  </si>
  <si>
    <t>Diviner</t>
  </si>
  <si>
    <t>diviner-protocol</t>
  </si>
  <si>
    <t>Diviner Protocol</t>
  </si>
  <si>
    <t>DIVS</t>
  </si>
  <si>
    <t>divs</t>
  </si>
  <si>
    <t>Divs</t>
  </si>
  <si>
    <t>DIXT</t>
  </si>
  <si>
    <t>dixt-finance</t>
  </si>
  <si>
    <t>Dixt Finance</t>
  </si>
  <si>
    <t>DIYAR</t>
  </si>
  <si>
    <t>diyarbekirspor</t>
  </si>
  <si>
    <t>Diyarbekirspor</t>
  </si>
  <si>
    <t>DKA</t>
  </si>
  <si>
    <t>dkargo</t>
  </si>
  <si>
    <t>dKargo</t>
  </si>
  <si>
    <t>DKEY</t>
  </si>
  <si>
    <t>dkey-bank</t>
  </si>
  <si>
    <t>DKEY Bank</t>
  </si>
  <si>
    <t>DUCK</t>
  </si>
  <si>
    <t>dlp-duck-token</t>
  </si>
  <si>
    <t>dmarket</t>
  </si>
  <si>
    <t>DMarket</t>
  </si>
  <si>
    <t>dmd</t>
  </si>
  <si>
    <t>DMME</t>
  </si>
  <si>
    <t>dmme-app</t>
  </si>
  <si>
    <t>DMme</t>
  </si>
  <si>
    <t>DMG</t>
  </si>
  <si>
    <t>dmm-governance</t>
  </si>
  <si>
    <t>DMM: Governance</t>
  </si>
  <si>
    <t>dmt-token</t>
  </si>
  <si>
    <t>DMZ</t>
  </si>
  <si>
    <t>dmz-token</t>
  </si>
  <si>
    <t>DNA</t>
  </si>
  <si>
    <t>dna-dollar</t>
  </si>
  <si>
    <t>DNA Dollar</t>
  </si>
  <si>
    <t>dna-genesys</t>
  </si>
  <si>
    <t>DNA Genesys</t>
  </si>
  <si>
    <t>dna-share</t>
  </si>
  <si>
    <t>DNA Share</t>
  </si>
  <si>
    <t>DXCT</t>
  </si>
  <si>
    <t>dnaxcat</t>
  </si>
  <si>
    <t>DNAxCAT</t>
  </si>
  <si>
    <t>DNDB</t>
  </si>
  <si>
    <t>dnd-metaverse</t>
  </si>
  <si>
    <t>DnD Metaverse</t>
  </si>
  <si>
    <t>DNF</t>
  </si>
  <si>
    <t>dnft-protocol</t>
  </si>
  <si>
    <t>DNFT Protocol</t>
  </si>
  <si>
    <t>DOA</t>
  </si>
  <si>
    <t>doaibu</t>
  </si>
  <si>
    <t>Doaibu</t>
  </si>
  <si>
    <t>DOBE</t>
  </si>
  <si>
    <t>dobermann</t>
  </si>
  <si>
    <t>Dobermann</t>
  </si>
  <si>
    <t>DOCK</t>
  </si>
  <si>
    <t>dock</t>
  </si>
  <si>
    <t>Dock</t>
  </si>
  <si>
    <t>DCCT</t>
  </si>
  <si>
    <t>docuchain</t>
  </si>
  <si>
    <t>DocuChain</t>
  </si>
  <si>
    <t>documentchain</t>
  </si>
  <si>
    <t>Documentchain</t>
  </si>
  <si>
    <t>DODO</t>
  </si>
  <si>
    <t>dodo</t>
  </si>
  <si>
    <t>DRM</t>
  </si>
  <si>
    <t>dodreamchain</t>
  </si>
  <si>
    <t>DoDreamChain</t>
  </si>
  <si>
    <t>DOEX</t>
  </si>
  <si>
    <t>doex</t>
  </si>
  <si>
    <t>DOO</t>
  </si>
  <si>
    <t>dofi</t>
  </si>
  <si>
    <t>Dofi</t>
  </si>
  <si>
    <t>DOG</t>
  </si>
  <si>
    <t>dog</t>
  </si>
  <si>
    <t>Dog [OLD]</t>
  </si>
  <si>
    <t>dog-2</t>
  </si>
  <si>
    <t>Dog</t>
  </si>
  <si>
    <t>DOGA</t>
  </si>
  <si>
    <t>dogami</t>
  </si>
  <si>
    <t>Dogami</t>
  </si>
  <si>
    <t>DOGBOSS</t>
  </si>
  <si>
    <t>dog-boss</t>
  </si>
  <si>
    <t>Dog Boss</t>
  </si>
  <si>
    <t>COLLAR</t>
  </si>
  <si>
    <t>dog-collar</t>
  </si>
  <si>
    <t>Dog Collar</t>
  </si>
  <si>
    <t>DOGDEFI</t>
  </si>
  <si>
    <t>dogdeficoin</t>
  </si>
  <si>
    <t>DogDeFiCoin</t>
  </si>
  <si>
    <t>DOGE-1</t>
  </si>
  <si>
    <t>doge-1-mission-to-the-moon</t>
  </si>
  <si>
    <t>Doge-1 Mission to the moon</t>
  </si>
  <si>
    <t>DOGEALLY</t>
  </si>
  <si>
    <t>doge-alliance</t>
  </si>
  <si>
    <t>Doge Alliance</t>
  </si>
  <si>
    <t>DGAT</t>
  </si>
  <si>
    <t>doge-army-token</t>
  </si>
  <si>
    <t>Doge Army</t>
  </si>
  <si>
    <t>DOBO</t>
  </si>
  <si>
    <t>dogebonk</t>
  </si>
  <si>
    <t>DogeBonk</t>
  </si>
  <si>
    <t>DOGEC</t>
  </si>
  <si>
    <t>dogecash</t>
  </si>
  <si>
    <t>DogeCash</t>
  </si>
  <si>
    <t>DOGECAT</t>
  </si>
  <si>
    <t>doge-cat</t>
  </si>
  <si>
    <t>DOGE-CAT</t>
  </si>
  <si>
    <t>dogecoin</t>
  </si>
  <si>
    <t>DOGE2</t>
  </si>
  <si>
    <t>dogecoin-2</t>
  </si>
  <si>
    <t>Dogecoin 2.0</t>
  </si>
  <si>
    <t>DOGECOLA</t>
  </si>
  <si>
    <t>dogecola</t>
  </si>
  <si>
    <t>DogeCola</t>
  </si>
  <si>
    <t>DOGECO</t>
  </si>
  <si>
    <t>dogecolony</t>
  </si>
  <si>
    <t>Dogecolony</t>
  </si>
  <si>
    <t>DOGECUBE</t>
  </si>
  <si>
    <t>dogecube</t>
  </si>
  <si>
    <t>DogeCube</t>
  </si>
  <si>
    <t>DOGEDAO</t>
  </si>
  <si>
    <t>dogedao</t>
  </si>
  <si>
    <t>DogeDao</t>
  </si>
  <si>
    <t>DOGEDASH</t>
  </si>
  <si>
    <t>doge-dash</t>
  </si>
  <si>
    <t>Doge Dash</t>
  </si>
  <si>
    <t>DOGEDEAD</t>
  </si>
  <si>
    <t>dogedead</t>
  </si>
  <si>
    <t>DogeDead</t>
  </si>
  <si>
    <t>DOGEDI</t>
  </si>
  <si>
    <t>dogedi</t>
  </si>
  <si>
    <t>DOGEFATHER</t>
  </si>
  <si>
    <t>dogefather</t>
  </si>
  <si>
    <t>Dogefather</t>
  </si>
  <si>
    <t>FATHER</t>
  </si>
  <si>
    <t>dogefather-token</t>
  </si>
  <si>
    <t>DogeFather Token</t>
  </si>
  <si>
    <t>DOGEFI</t>
  </si>
  <si>
    <t>dogefi</t>
  </si>
  <si>
    <t>DogeFi</t>
  </si>
  <si>
    <t>DOFI</t>
  </si>
  <si>
    <t>doge-floki-coin</t>
  </si>
  <si>
    <t>Doge Floki Coin</t>
  </si>
  <si>
    <t>DOGEFOOD</t>
  </si>
  <si>
    <t>dogefood</t>
  </si>
  <si>
    <t>DogeFood</t>
  </si>
  <si>
    <t>DGA</t>
  </si>
  <si>
    <t>dogegamer</t>
  </si>
  <si>
    <t>Doge Gamer</t>
  </si>
  <si>
    <t>GOGE</t>
  </si>
  <si>
    <t>dogegayson</t>
  </si>
  <si>
    <t>DogeGaySon</t>
  </si>
  <si>
    <t>DOGEGF</t>
  </si>
  <si>
    <t>dogegf</t>
  </si>
  <si>
    <t>DogeGF</t>
  </si>
  <si>
    <t>DGSHIB</t>
  </si>
  <si>
    <t>doge-in-shiba</t>
  </si>
  <si>
    <t>Doge in Shiba</t>
  </si>
  <si>
    <t>DOGEKING</t>
  </si>
  <si>
    <t>dogeking</t>
  </si>
  <si>
    <t>DogeKing</t>
  </si>
  <si>
    <t>DOGEKONGZILLA</t>
  </si>
  <si>
    <t>dogekongzilla</t>
  </si>
  <si>
    <t>DogeKongZilla</t>
  </si>
  <si>
    <t>DGLN</t>
  </si>
  <si>
    <t>dogelana</t>
  </si>
  <si>
    <t>Dogelana</t>
  </si>
  <si>
    <t>ELON</t>
  </si>
  <si>
    <t>dogelon-mars</t>
  </si>
  <si>
    <t>Dogelon Mars</t>
  </si>
  <si>
    <t>dogelon-mars-wormhole</t>
  </si>
  <si>
    <t>Dogelon Mars (Wormhole)</t>
  </si>
  <si>
    <t>DXLM</t>
  </si>
  <si>
    <t>doge-lumens</t>
  </si>
  <si>
    <t>Doge Lumens</t>
  </si>
  <si>
    <t>DGMAN</t>
  </si>
  <si>
    <t>dogeman</t>
  </si>
  <si>
    <t>DogeMan</t>
  </si>
  <si>
    <t>DOGEMANIA</t>
  </si>
  <si>
    <t>dogemania</t>
  </si>
  <si>
    <t>DogeMania</t>
  </si>
  <si>
    <t>DM</t>
  </si>
  <si>
    <t>dogematic</t>
  </si>
  <si>
    <t>Dogematic</t>
  </si>
  <si>
    <t>DOGEMETA</t>
  </si>
  <si>
    <t>dogemetaverse</t>
  </si>
  <si>
    <t>Dogemetaverse</t>
  </si>
  <si>
    <t>DOGO</t>
  </si>
  <si>
    <t>dogemon-go</t>
  </si>
  <si>
    <t>DogemonGo</t>
  </si>
  <si>
    <t>DOGEMOON</t>
  </si>
  <si>
    <t>dogemoon</t>
  </si>
  <si>
    <t>Dogemoon</t>
  </si>
  <si>
    <t>DINJA</t>
  </si>
  <si>
    <t>doge-ninja-samurai</t>
  </si>
  <si>
    <t>DOGE NINJA SAMURAI</t>
  </si>
  <si>
    <t>dogeon</t>
  </si>
  <si>
    <t>Dogeon</t>
  </si>
  <si>
    <t>DOGEPEPSI</t>
  </si>
  <si>
    <t>dogepepsi</t>
  </si>
  <si>
    <t>DogePepsi</t>
  </si>
  <si>
    <t>DOGEP</t>
  </si>
  <si>
    <t>doge-protocol</t>
  </si>
  <si>
    <t>Doge Protocol</t>
  </si>
  <si>
    <t>DOCA</t>
  </si>
  <si>
    <t>doge-raca</t>
  </si>
  <si>
    <t>Doge Raca</t>
  </si>
  <si>
    <t>DOGERISEUP</t>
  </si>
  <si>
    <t>doge-rise-up</t>
  </si>
  <si>
    <t>Doge Rise Up</t>
  </si>
  <si>
    <t>DRUN</t>
  </si>
  <si>
    <t>doge-run</t>
  </si>
  <si>
    <t>Doge Run</t>
  </si>
  <si>
    <t>DOGESX</t>
  </si>
  <si>
    <t>doge-spacex</t>
  </si>
  <si>
    <t>Doge SpaceX</t>
  </si>
  <si>
    <t>MIYAZAKI</t>
  </si>
  <si>
    <t>doges-spirited-howling-castle-game</t>
  </si>
  <si>
    <t>Doges Spirited Howling Castle Game</t>
  </si>
  <si>
    <t>DRAP</t>
  </si>
  <si>
    <t>doge-strap</t>
  </si>
  <si>
    <t>Doge Strap</t>
  </si>
  <si>
    <t>DGSTB</t>
  </si>
  <si>
    <t>dogestribute</t>
  </si>
  <si>
    <t>Dogestribute</t>
  </si>
  <si>
    <t>DOGES</t>
  </si>
  <si>
    <t>dogeswap</t>
  </si>
  <si>
    <t>Dogeswap</t>
  </si>
  <si>
    <t>DOGETAMA</t>
  </si>
  <si>
    <t>dogetama</t>
  </si>
  <si>
    <t>Dogetama</t>
  </si>
  <si>
    <t>DOGET</t>
  </si>
  <si>
    <t>doge-token</t>
  </si>
  <si>
    <t>Doge Token</t>
  </si>
  <si>
    <t>SPACEXDOGE</t>
  </si>
  <si>
    <t>doge-universe</t>
  </si>
  <si>
    <t>Doge Universe</t>
  </si>
  <si>
    <t>DVILLE</t>
  </si>
  <si>
    <t>dogeville</t>
  </si>
  <si>
    <t>DogeVille</t>
  </si>
  <si>
    <t>DWR</t>
  </si>
  <si>
    <t>dogewarrior</t>
  </si>
  <si>
    <t>DogeWarrior</t>
  </si>
  <si>
    <t>DOGEWHALE</t>
  </si>
  <si>
    <t>dogewhale</t>
  </si>
  <si>
    <t>Dogewhale</t>
  </si>
  <si>
    <t>DOGEWHISKY</t>
  </si>
  <si>
    <t>dogewhisky</t>
  </si>
  <si>
    <t>Dogewhisky</t>
  </si>
  <si>
    <t>DOGEX</t>
  </si>
  <si>
    <t>doge-x</t>
  </si>
  <si>
    <t>Doge X</t>
  </si>
  <si>
    <t>DOGEY</t>
  </si>
  <si>
    <t>doge-yellow-coin</t>
  </si>
  <si>
    <t>Doge Yellow Coin</t>
  </si>
  <si>
    <t>DOGY</t>
  </si>
  <si>
    <t>dogeyield</t>
  </si>
  <si>
    <t>DogeYield</t>
  </si>
  <si>
    <t>DINU</t>
  </si>
  <si>
    <t>dogey-inu</t>
  </si>
  <si>
    <t>Dogey-Inu</t>
  </si>
  <si>
    <t>DOGEZILLA</t>
  </si>
  <si>
    <t>dogezilla</t>
  </si>
  <si>
    <t>DogeZilla</t>
  </si>
  <si>
    <t>DOGEZ</t>
  </si>
  <si>
    <t>doge-zilla</t>
  </si>
  <si>
    <t>DogeZilla Token</t>
  </si>
  <si>
    <t>DOGGER</t>
  </si>
  <si>
    <t>dogger</t>
  </si>
  <si>
    <t>Dogger</t>
  </si>
  <si>
    <t>DOGGY</t>
  </si>
  <si>
    <t>doggy</t>
  </si>
  <si>
    <t>Doggy</t>
  </si>
  <si>
    <t>doggystyle-coin</t>
  </si>
  <si>
    <t>DoggyStyle Coin</t>
  </si>
  <si>
    <t>DOGIRA</t>
  </si>
  <si>
    <t>dogira</t>
  </si>
  <si>
    <t>Dogira</t>
  </si>
  <si>
    <t>DAKE</t>
  </si>
  <si>
    <t>dogkage</t>
  </si>
  <si>
    <t>DogKage</t>
  </si>
  <si>
    <t>DOGS</t>
  </si>
  <si>
    <t>dogs</t>
  </si>
  <si>
    <t>DK</t>
  </si>
  <si>
    <t>dogs-kombat</t>
  </si>
  <si>
    <t>Dogs Kombat</t>
  </si>
  <si>
    <t>DOE</t>
  </si>
  <si>
    <t>dogsofelon</t>
  </si>
  <si>
    <t>Dogs Of Elon</t>
  </si>
  <si>
    <t>dogswap-token</t>
  </si>
  <si>
    <t>Dogeswap (HECO)</t>
  </si>
  <si>
    <t>DOGUS</t>
  </si>
  <si>
    <t>dogus</t>
  </si>
  <si>
    <t>Dogus</t>
  </si>
  <si>
    <t>DOR</t>
  </si>
  <si>
    <t>dogyrace</t>
  </si>
  <si>
    <t>DogyRace</t>
  </si>
  <si>
    <t>DOGZ</t>
  </si>
  <si>
    <t>dogz</t>
  </si>
  <si>
    <t>Dogz</t>
  </si>
  <si>
    <t>DGZV</t>
  </si>
  <si>
    <t>dogzverse-token</t>
  </si>
  <si>
    <t>DogZVerse</t>
  </si>
  <si>
    <t>DHN</t>
  </si>
  <si>
    <t>dohrnii</t>
  </si>
  <si>
    <t>Dohrnii</t>
  </si>
  <si>
    <t>DOJO</t>
  </si>
  <si>
    <t>dojo</t>
  </si>
  <si>
    <t>DOKEN</t>
  </si>
  <si>
    <t>doken</t>
  </si>
  <si>
    <t>DoKEN</t>
  </si>
  <si>
    <t>DOKI</t>
  </si>
  <si>
    <t>doki-doki-finance</t>
  </si>
  <si>
    <t>Doki Doki</t>
  </si>
  <si>
    <t>DOK</t>
  </si>
  <si>
    <t>dok-token</t>
  </si>
  <si>
    <t>DOLA</t>
  </si>
  <si>
    <t>dola-usd</t>
  </si>
  <si>
    <t>Dola</t>
  </si>
  <si>
    <t>DOLLARDOGE</t>
  </si>
  <si>
    <t>dollardoge</t>
  </si>
  <si>
    <t>DollarDoge</t>
  </si>
  <si>
    <t>DOLLAR</t>
  </si>
  <si>
    <t>dollar-online</t>
  </si>
  <si>
    <t>Dollar INTERNATIONAL</t>
  </si>
  <si>
    <t>USDX</t>
  </si>
  <si>
    <t>dollars</t>
  </si>
  <si>
    <t>Dollars</t>
  </si>
  <si>
    <t>DOLLY</t>
  </si>
  <si>
    <t>dollypad-finance</t>
  </si>
  <si>
    <t>Dollypad Finance</t>
  </si>
  <si>
    <t>DMN</t>
  </si>
  <si>
    <t>domain-coin</t>
  </si>
  <si>
    <t>Domain Coin</t>
  </si>
  <si>
    <t>DOMI</t>
  </si>
  <si>
    <t>domi</t>
  </si>
  <si>
    <t>Domi</t>
  </si>
  <si>
    <t>dominium-2</t>
  </si>
  <si>
    <t>Dominium</t>
  </si>
  <si>
    <t>DRT</t>
  </si>
  <si>
    <t>domraider</t>
  </si>
  <si>
    <t>DomRaider</t>
  </si>
  <si>
    <t>DONA</t>
  </si>
  <si>
    <t>dona</t>
  </si>
  <si>
    <t>DONK</t>
  </si>
  <si>
    <t>donkey</t>
  </si>
  <si>
    <t>Donkey</t>
  </si>
  <si>
    <t>don-key</t>
  </si>
  <si>
    <t>Don-key</t>
  </si>
  <si>
    <t>donkey-token</t>
  </si>
  <si>
    <t>Donkey DON</t>
  </si>
  <si>
    <t>donnie-finance</t>
  </si>
  <si>
    <t>Donnie Finance</t>
  </si>
  <si>
    <t>dont-kyc</t>
  </si>
  <si>
    <t>Don't KYC</t>
  </si>
  <si>
    <t>DPWK</t>
  </si>
  <si>
    <t>dont-play-with-kitty</t>
  </si>
  <si>
    <t>Dont Play With Kitty</t>
  </si>
  <si>
    <t>DONUT</t>
  </si>
  <si>
    <t>donut</t>
  </si>
  <si>
    <t>Donut</t>
  </si>
  <si>
    <t>DOOGEE</t>
  </si>
  <si>
    <t>doogee</t>
  </si>
  <si>
    <t>Doogee</t>
  </si>
  <si>
    <t>DHD</t>
  </si>
  <si>
    <t>doom-hero-dao</t>
  </si>
  <si>
    <t>Doom Hero Dao</t>
  </si>
  <si>
    <t>DHG</t>
  </si>
  <si>
    <t>doom-hero-game</t>
  </si>
  <si>
    <t>Doom Hero Game</t>
  </si>
  <si>
    <t>DBUY</t>
  </si>
  <si>
    <t>doont-buy</t>
  </si>
  <si>
    <t>Doont Buy</t>
  </si>
  <si>
    <t>DOOR</t>
  </si>
  <si>
    <t>door</t>
  </si>
  <si>
    <t>DOC</t>
  </si>
  <si>
    <t>dooropen</t>
  </si>
  <si>
    <t>Dooropen</t>
  </si>
  <si>
    <t>DOOS</t>
  </si>
  <si>
    <t>doos-token</t>
  </si>
  <si>
    <t>PAPER</t>
  </si>
  <si>
    <t>dope-wars-paper</t>
  </si>
  <si>
    <t>Dope Wars Paper</t>
  </si>
  <si>
    <t>DRUG</t>
  </si>
  <si>
    <t>dopewarz</t>
  </si>
  <si>
    <t>DopeWarz</t>
  </si>
  <si>
    <t>DPX</t>
  </si>
  <si>
    <t>dopex</t>
  </si>
  <si>
    <t>Dopex</t>
  </si>
  <si>
    <t>RDPX</t>
  </si>
  <si>
    <t>dopex-rebate-token</t>
  </si>
  <si>
    <t>Dopex Rebate</t>
  </si>
  <si>
    <t>DOP</t>
  </si>
  <si>
    <t>dopple-finance</t>
  </si>
  <si>
    <t>Dopple Finance</t>
  </si>
  <si>
    <t>DORAEMONINU</t>
  </si>
  <si>
    <t>doraemoninu</t>
  </si>
  <si>
    <t>DoraemonInu</t>
  </si>
  <si>
    <t>DORA</t>
  </si>
  <si>
    <t>doraemoon</t>
  </si>
  <si>
    <t>Doraemoon</t>
  </si>
  <si>
    <t>dora-factory</t>
  </si>
  <si>
    <t>Dora Factory</t>
  </si>
  <si>
    <t>doragonland</t>
  </si>
  <si>
    <t>DoragonLand</t>
  </si>
  <si>
    <t>DRE</t>
  </si>
  <si>
    <t>doren</t>
  </si>
  <si>
    <t>DoRen</t>
  </si>
  <si>
    <t>DOSE</t>
  </si>
  <si>
    <t>dose-token</t>
  </si>
  <si>
    <t>DOS</t>
  </si>
  <si>
    <t>dos-network</t>
  </si>
  <si>
    <t>DOS Network</t>
  </si>
  <si>
    <t>dotarcade</t>
  </si>
  <si>
    <t>DotArcade</t>
  </si>
  <si>
    <t>DOTC</t>
  </si>
  <si>
    <t>dotc-pro-token</t>
  </si>
  <si>
    <t>dotc.pro</t>
  </si>
  <si>
    <t>DDD</t>
  </si>
  <si>
    <t>dot-dot-finance</t>
  </si>
  <si>
    <t>Dot Dot Finance</t>
  </si>
  <si>
    <t>PINK</t>
  </si>
  <si>
    <t>dot-finance</t>
  </si>
  <si>
    <t>Dot Finance</t>
  </si>
  <si>
    <t>MOOV</t>
  </si>
  <si>
    <t>dotmoovs</t>
  </si>
  <si>
    <t>DO</t>
  </si>
  <si>
    <t>do-token</t>
  </si>
  <si>
    <t>Do</t>
  </si>
  <si>
    <t>DTO</t>
  </si>
  <si>
    <t>dotoracle</t>
  </si>
  <si>
    <t>DotOracle</t>
  </si>
  <si>
    <t>DTR</t>
  </si>
  <si>
    <t>dotori</t>
  </si>
  <si>
    <t>Dotori</t>
  </si>
  <si>
    <t>DODI</t>
  </si>
  <si>
    <t>doubledice-token</t>
  </si>
  <si>
    <t>DoubleDice</t>
  </si>
  <si>
    <t>DBL</t>
  </si>
  <si>
    <t>doubloon</t>
  </si>
  <si>
    <t>Doubloon</t>
  </si>
  <si>
    <t>DOUGE</t>
  </si>
  <si>
    <t>douge</t>
  </si>
  <si>
    <t>Douge</t>
  </si>
  <si>
    <t>DOUGH</t>
  </si>
  <si>
    <t>dough</t>
  </si>
  <si>
    <t>Dough</t>
  </si>
  <si>
    <t>DOV</t>
  </si>
  <si>
    <t>dovu</t>
  </si>
  <si>
    <t>Dovu</t>
  </si>
  <si>
    <t>DOW</t>
  </si>
  <si>
    <t>dowcoin</t>
  </si>
  <si>
    <t>Dowcoin</t>
  </si>
  <si>
    <t>$ABYSS</t>
  </si>
  <si>
    <t>down-below</t>
  </si>
  <si>
    <t>Down Below</t>
  </si>
  <si>
    <t>DOX</t>
  </si>
  <si>
    <t>doxed</t>
  </si>
  <si>
    <t>Doxed</t>
  </si>
  <si>
    <t>DXSANTA</t>
  </si>
  <si>
    <t>doxxed-santa</t>
  </si>
  <si>
    <t>Doxxed Santa</t>
  </si>
  <si>
    <t>DPAD</t>
  </si>
  <si>
    <t>dpad-finance</t>
  </si>
  <si>
    <t>Dpad Finance</t>
  </si>
  <si>
    <t>DPK TOKEN</t>
  </si>
  <si>
    <t>dpk</t>
  </si>
  <si>
    <t>DPK</t>
  </si>
  <si>
    <t>RATING</t>
  </si>
  <si>
    <t>dprating</t>
  </si>
  <si>
    <t>DPRating</t>
  </si>
  <si>
    <t>dp-token</t>
  </si>
  <si>
    <t>DRAG</t>
  </si>
  <si>
    <t>drachen-lord</t>
  </si>
  <si>
    <t>Drachen Lord</t>
  </si>
  <si>
    <t>draco-finance</t>
  </si>
  <si>
    <t>Draco.Finance</t>
  </si>
  <si>
    <t>dracoomaster</t>
  </si>
  <si>
    <t>DracooMaster</t>
  </si>
  <si>
    <t>DRA</t>
  </si>
  <si>
    <t>dracoo-point</t>
  </si>
  <si>
    <t>Dracoo Point</t>
  </si>
  <si>
    <t>dracula</t>
  </si>
  <si>
    <t>Dracula</t>
  </si>
  <si>
    <t>DRGB</t>
  </si>
  <si>
    <t>dragonbit</t>
  </si>
  <si>
    <t>Dragonbit</t>
  </si>
  <si>
    <t>BITE</t>
  </si>
  <si>
    <t>dragonbite</t>
  </si>
  <si>
    <t>DragonBite</t>
  </si>
  <si>
    <t>DRGN</t>
  </si>
  <si>
    <t>dragonchain</t>
  </si>
  <si>
    <t>Dragonchain</t>
  </si>
  <si>
    <t>DRG</t>
  </si>
  <si>
    <t>dragon-coin</t>
  </si>
  <si>
    <t>Dragon Coin</t>
  </si>
  <si>
    <t>DCAU</t>
  </si>
  <si>
    <t>dragon-crypto-aurum</t>
  </si>
  <si>
    <t>Dragon Crypto Aurum</t>
  </si>
  <si>
    <t>DREGG</t>
  </si>
  <si>
    <t>dragon-egg</t>
  </si>
  <si>
    <t>Dragon Egg</t>
  </si>
  <si>
    <t>dragonereum-gold</t>
  </si>
  <si>
    <t>Dragonereum GOLD</t>
  </si>
  <si>
    <t>$DI</t>
  </si>
  <si>
    <t>dragon-infinity</t>
  </si>
  <si>
    <t>Dragon Infinity</t>
  </si>
  <si>
    <t>KART</t>
  </si>
  <si>
    <t>dragon-kart-token</t>
  </si>
  <si>
    <t>Dragon Kart</t>
  </si>
  <si>
    <t>dragonknight</t>
  </si>
  <si>
    <t>Dragon Knight</t>
  </si>
  <si>
    <t>dragon-mainland-shards</t>
  </si>
  <si>
    <t>Dragon Mainland Shards</t>
  </si>
  <si>
    <t>dragonmaster-token</t>
  </si>
  <si>
    <t>DragonMaster</t>
  </si>
  <si>
    <t>dragonmaster-totem</t>
  </si>
  <si>
    <t>DragonMaster Totem</t>
  </si>
  <si>
    <t>DMOON</t>
  </si>
  <si>
    <t>dragonmoon</t>
  </si>
  <si>
    <t>DragonMoon</t>
  </si>
  <si>
    <t>DMUSK</t>
  </si>
  <si>
    <t>dragonmusk</t>
  </si>
  <si>
    <t>Dragonmusk</t>
  </si>
  <si>
    <t>dragon-pool</t>
  </si>
  <si>
    <t>Dragon Pool</t>
  </si>
  <si>
    <t>SB</t>
  </si>
  <si>
    <t>dragonsb</t>
  </si>
  <si>
    <t>DragonSB</t>
  </si>
  <si>
    <t>dragonsea</t>
  </si>
  <si>
    <t>DragonSea</t>
  </si>
  <si>
    <t>$DRAGONS</t>
  </si>
  <si>
    <t>dragons-gamefi</t>
  </si>
  <si>
    <t>Dragons gameFi</t>
  </si>
  <si>
    <t>DRS</t>
  </si>
  <si>
    <t>dragon-slayer</t>
  </si>
  <si>
    <t>Dragon Slayer</t>
  </si>
  <si>
    <t>DQUICK</t>
  </si>
  <si>
    <t>dragons-quick</t>
  </si>
  <si>
    <t>Dragon's Quick</t>
  </si>
  <si>
    <t>DVC</t>
  </si>
  <si>
    <t>dragonvein</t>
  </si>
  <si>
    <t>DragonVein</t>
  </si>
  <si>
    <t>DRV</t>
  </si>
  <si>
    <t>dragon-verse</t>
  </si>
  <si>
    <t>Dragon Verse</t>
  </si>
  <si>
    <t>DRAW</t>
  </si>
  <si>
    <t>dragon-war</t>
  </si>
  <si>
    <t>Dragon War</t>
  </si>
  <si>
    <t>dragon-x</t>
  </si>
  <si>
    <t>Dragon X</t>
  </si>
  <si>
    <t>DBALL</t>
  </si>
  <si>
    <t>drakeball-token</t>
  </si>
  <si>
    <t>DrakeBall [OLD]</t>
  </si>
  <si>
    <t>DRK</t>
  </si>
  <si>
    <t>draken</t>
  </si>
  <si>
    <t>Draken</t>
  </si>
  <si>
    <t>drakoin</t>
  </si>
  <si>
    <t>Drakoin</t>
  </si>
  <si>
    <t>JOY</t>
  </si>
  <si>
    <t>drawshop-kingdom-reverse-joystick</t>
  </si>
  <si>
    <t>Drawshop Kingdom Reverse Joystick</t>
  </si>
  <si>
    <t>DRAX</t>
  </si>
  <si>
    <t>drax</t>
  </si>
  <si>
    <t>Drax</t>
  </si>
  <si>
    <t>drc-mobility</t>
  </si>
  <si>
    <t>DRC Mobility</t>
  </si>
  <si>
    <t>DRDOGE</t>
  </si>
  <si>
    <t>drdoge</t>
  </si>
  <si>
    <t>DrDoge</t>
  </si>
  <si>
    <t>DREAM</t>
  </si>
  <si>
    <t>dreamdao</t>
  </si>
  <si>
    <t>DreamDAO</t>
  </si>
  <si>
    <t>$DREAMN</t>
  </si>
  <si>
    <t>dreamn</t>
  </si>
  <si>
    <t>DreamN</t>
  </si>
  <si>
    <t>DMR</t>
  </si>
  <si>
    <t>dreamr-platform-token</t>
  </si>
  <si>
    <t>Dreamr Platform</t>
  </si>
  <si>
    <t>dreamscoin</t>
  </si>
  <si>
    <t>DreamsCoin</t>
  </si>
  <si>
    <t>DREAMS</t>
  </si>
  <si>
    <t>dreams-quest</t>
  </si>
  <si>
    <t>Dreams Quest</t>
  </si>
  <si>
    <t>dream-swap</t>
  </si>
  <si>
    <t>Dream Swap</t>
  </si>
  <si>
    <t>dream-token</t>
  </si>
  <si>
    <t>Dream</t>
  </si>
  <si>
    <t>DV</t>
  </si>
  <si>
    <t>dreamverse</t>
  </si>
  <si>
    <t>Dreamverse</t>
  </si>
  <si>
    <t>DUW</t>
  </si>
  <si>
    <t>dreamy-undersea-world</t>
  </si>
  <si>
    <t>Dreamy Undersea World</t>
  </si>
  <si>
    <t>d-reit</t>
  </si>
  <si>
    <t>D-ReiT</t>
  </si>
  <si>
    <t>DREP</t>
  </si>
  <si>
    <t>drep-new</t>
  </si>
  <si>
    <t>Drep [new]</t>
  </si>
  <si>
    <t>drife</t>
  </si>
  <si>
    <t>Drife</t>
  </si>
  <si>
    <t>DRIP</t>
  </si>
  <si>
    <t>drip-network</t>
  </si>
  <si>
    <t>Drip Network</t>
  </si>
  <si>
    <t>DRYP</t>
  </si>
  <si>
    <t>dripto</t>
  </si>
  <si>
    <t>Dripto</t>
  </si>
  <si>
    <t>DVX</t>
  </si>
  <si>
    <t>drivenx</t>
  </si>
  <si>
    <t>DRIVENx</t>
  </si>
  <si>
    <t>KDC</t>
  </si>
  <si>
    <t>dronefly</t>
  </si>
  <si>
    <t>DroneFly</t>
  </si>
  <si>
    <t>drops-ownership-power</t>
  </si>
  <si>
    <t>Drops Ownership Power</t>
  </si>
  <si>
    <t>DRSL</t>
  </si>
  <si>
    <t>dr-skull</t>
  </si>
  <si>
    <t>Dr. Skull</t>
  </si>
  <si>
    <t>DRUNK</t>
  </si>
  <si>
    <t>drunkdoge</t>
  </si>
  <si>
    <t>DrunkDoge</t>
  </si>
  <si>
    <t>METAL</t>
  </si>
  <si>
    <t>drunk-robots</t>
  </si>
  <si>
    <t>Drunk Robots</t>
  </si>
  <si>
    <t>DRYDOGE</t>
  </si>
  <si>
    <t>dry-doge-metaverse</t>
  </si>
  <si>
    <t>Dry Doge Metaverse</t>
  </si>
  <si>
    <t>dshares</t>
  </si>
  <si>
    <t>DShares</t>
  </si>
  <si>
    <t>d-skyscraper</t>
  </si>
  <si>
    <t>D-Skyscraper</t>
  </si>
  <si>
    <t>DSYS</t>
  </si>
  <si>
    <t>dsys</t>
  </si>
  <si>
    <t>dt-dragon-coin</t>
  </si>
  <si>
    <t>DT Dragon Coin</t>
  </si>
  <si>
    <t>DTNG</t>
  </si>
  <si>
    <t>dtng</t>
  </si>
  <si>
    <t>TRVL</t>
  </si>
  <si>
    <t>dtravel</t>
  </si>
  <si>
    <t>DTSLA</t>
  </si>
  <si>
    <t>dtsla</t>
  </si>
  <si>
    <t>Tesla Tokenized Stock Defichain</t>
  </si>
  <si>
    <t>DTUBE</t>
  </si>
  <si>
    <t>dtube-coin</t>
  </si>
  <si>
    <t>Dtube Coin</t>
  </si>
  <si>
    <t>DUCATO</t>
  </si>
  <si>
    <t>DDIM</t>
  </si>
  <si>
    <t>duckdaodime</t>
  </si>
  <si>
    <t>DuckDaoDime</t>
  </si>
  <si>
    <t>duckduck-token</t>
  </si>
  <si>
    <t>DuckDuck</t>
  </si>
  <si>
    <t>MMETA</t>
  </si>
  <si>
    <t>duckie-land-multi-metaverse</t>
  </si>
  <si>
    <t>Duckie Land Multi Metaverse</t>
  </si>
  <si>
    <t>duckrocket</t>
  </si>
  <si>
    <t>DuckRocket</t>
  </si>
  <si>
    <t>duck-vault-nftx</t>
  </si>
  <si>
    <t>DUCK Vault (NFTX)</t>
  </si>
  <si>
    <t>DEGG</t>
  </si>
  <si>
    <t>duckydefi</t>
  </si>
  <si>
    <t>DuckyDefi</t>
  </si>
  <si>
    <t>DKT</t>
  </si>
  <si>
    <t>duelist-king</t>
  </si>
  <si>
    <t>Duelist King</t>
  </si>
  <si>
    <t>DUEL</t>
  </si>
  <si>
    <t>duel-network</t>
  </si>
  <si>
    <t>Duel Network</t>
  </si>
  <si>
    <t>DUET</t>
  </si>
  <si>
    <t>duet-protocol</t>
  </si>
  <si>
    <t>Duet Protocol</t>
  </si>
  <si>
    <t>DUK+</t>
  </si>
  <si>
    <t>dukascoin</t>
  </si>
  <si>
    <t>Dukascoin</t>
  </si>
  <si>
    <t>DKC</t>
  </si>
  <si>
    <t>dukecoin</t>
  </si>
  <si>
    <t>Dukecoin</t>
  </si>
  <si>
    <t>DUKE</t>
  </si>
  <si>
    <t>duke-inu-token</t>
  </si>
  <si>
    <t>Duke Inu</t>
  </si>
  <si>
    <t>DLC</t>
  </si>
  <si>
    <t>dulcet</t>
  </si>
  <si>
    <t>Dulcet</t>
  </si>
  <si>
    <t>GTFO</t>
  </si>
  <si>
    <t>dumpbuster</t>
  </si>
  <si>
    <t>DumpBuster</t>
  </si>
  <si>
    <t>DUN</t>
  </si>
  <si>
    <t>dune</t>
  </si>
  <si>
    <t>Dune</t>
  </si>
  <si>
    <t>DUNE</t>
  </si>
  <si>
    <t>dune-token</t>
  </si>
  <si>
    <t>dungeonswap</t>
  </si>
  <si>
    <t>DungeonSwap</t>
  </si>
  <si>
    <t>DUO</t>
  </si>
  <si>
    <t>duo</t>
  </si>
  <si>
    <t>DUO Network</t>
  </si>
  <si>
    <t>RBI</t>
  </si>
  <si>
    <t>durham-inu</t>
  </si>
  <si>
    <t>Durham Inu</t>
  </si>
  <si>
    <t>dusd-network</t>
  </si>
  <si>
    <t>DUSD Network</t>
  </si>
  <si>
    <t>DUSK</t>
  </si>
  <si>
    <t>dusk-network</t>
  </si>
  <si>
    <t>DUSK Network</t>
  </si>
  <si>
    <t>DUST</t>
  </si>
  <si>
    <t>dust</t>
  </si>
  <si>
    <t>Dust</t>
  </si>
  <si>
    <t>dust-protocol</t>
  </si>
  <si>
    <t>DUST Protocol</t>
  </si>
  <si>
    <t>dust-token</t>
  </si>
  <si>
    <t>DUST Token</t>
  </si>
  <si>
    <t>DVF</t>
  </si>
  <si>
    <t>dvf</t>
  </si>
  <si>
    <t>DeversiFi</t>
  </si>
  <si>
    <t>DVI</t>
  </si>
  <si>
    <t>dvision-network</t>
  </si>
  <si>
    <t>Dvision Network</t>
  </si>
  <si>
    <t>DXB</t>
  </si>
  <si>
    <t>dxbpay</t>
  </si>
  <si>
    <t>DXBPay</t>
  </si>
  <si>
    <t>DX</t>
  </si>
  <si>
    <t>dxchain</t>
  </si>
  <si>
    <t>DxChain Token</t>
  </si>
  <si>
    <t>DXD</t>
  </si>
  <si>
    <t>dxdao</t>
  </si>
  <si>
    <t>DXdao</t>
  </si>
  <si>
    <t>SALE</t>
  </si>
  <si>
    <t>dxsale-network</t>
  </si>
  <si>
    <t>DxSale Network</t>
  </si>
  <si>
    <t>DXS</t>
  </si>
  <si>
    <t>dx-spot</t>
  </si>
  <si>
    <t>Dx Spot</t>
  </si>
  <si>
    <t>DYN</t>
  </si>
  <si>
    <t>dyakon</t>
  </si>
  <si>
    <t>DYAKON</t>
  </si>
  <si>
    <t>DYDX</t>
  </si>
  <si>
    <t>dydx</t>
  </si>
  <si>
    <t>dYdX</t>
  </si>
  <si>
    <t>dydx-wormhole</t>
  </si>
  <si>
    <t>dYdX (Wormhole)</t>
  </si>
  <si>
    <t>DMX</t>
  </si>
  <si>
    <t>dymmax</t>
  </si>
  <si>
    <t>Dymmax</t>
  </si>
  <si>
    <t>dynamic</t>
  </si>
  <si>
    <t>Dynamic</t>
  </si>
  <si>
    <t>DSD</t>
  </si>
  <si>
    <t>dynamic-set-dollar</t>
  </si>
  <si>
    <t>Dynamic Set Dollar</t>
  </si>
  <si>
    <t>DYT</t>
  </si>
  <si>
    <t>dynamite</t>
  </si>
  <si>
    <t>DoYourTip</t>
  </si>
  <si>
    <t>DYNMT</t>
  </si>
  <si>
    <t>dynamite-token</t>
  </si>
  <si>
    <t>DYNA</t>
  </si>
  <si>
    <t>dynamix</t>
  </si>
  <si>
    <t>Dynamix</t>
  </si>
  <si>
    <t>DYNAMO</t>
  </si>
  <si>
    <t>dynamo-coin</t>
  </si>
  <si>
    <t>Dynamo Coin</t>
  </si>
  <si>
    <t>dynasty-global-investments-ag</t>
  </si>
  <si>
    <t>Dynasty Global Investments AG</t>
  </si>
  <si>
    <t>DYOR</t>
  </si>
  <si>
    <t>dyor</t>
  </si>
  <si>
    <t>e1337</t>
  </si>
  <si>
    <t>ELC</t>
  </si>
  <si>
    <t>eaglecoin-2</t>
  </si>
  <si>
    <t>EagleCoin</t>
  </si>
  <si>
    <t>EAGON</t>
  </si>
  <si>
    <t>eagonswap-token</t>
  </si>
  <si>
    <t>EagonSwap</t>
  </si>
  <si>
    <t>EBIRD</t>
  </si>
  <si>
    <t>early-bird</t>
  </si>
  <si>
    <t>Early Bird</t>
  </si>
  <si>
    <t>EBSC</t>
  </si>
  <si>
    <t>earlybsc</t>
  </si>
  <si>
    <t>EarlyBSC</t>
  </si>
  <si>
    <t>EFI</t>
  </si>
  <si>
    <t>earnablefi</t>
  </si>
  <si>
    <t>EarnableFi</t>
  </si>
  <si>
    <t>EARN</t>
  </si>
  <si>
    <t>earnable-v2</t>
  </si>
  <si>
    <t>Earnable v2</t>
  </si>
  <si>
    <t>EBUSD</t>
  </si>
  <si>
    <t>earnbusd</t>
  </si>
  <si>
    <t>EarnBUSD</t>
  </si>
  <si>
    <t>PLOT</t>
  </si>
  <si>
    <t>earncraft</t>
  </si>
  <si>
    <t>Earncraft</t>
  </si>
  <si>
    <t>earndefi</t>
  </si>
  <si>
    <t>EarnDeFi</t>
  </si>
  <si>
    <t>EFX</t>
  </si>
  <si>
    <t>earnfinex</t>
  </si>
  <si>
    <t>Earnfinex</t>
  </si>
  <si>
    <t>earnguild</t>
  </si>
  <si>
    <t>EarnGuild</t>
  </si>
  <si>
    <t>EHB</t>
  </si>
  <si>
    <t>earnhub</t>
  </si>
  <si>
    <t>EarnHub</t>
  </si>
  <si>
    <t>EARNPAY</t>
  </si>
  <si>
    <t>earnpay</t>
  </si>
  <si>
    <t>EarnPay</t>
  </si>
  <si>
    <t>EARNX</t>
  </si>
  <si>
    <t>earnx-v2</t>
  </si>
  <si>
    <t>EarnX V2</t>
  </si>
  <si>
    <t>ERZ</t>
  </si>
  <si>
    <t>earnzcoin</t>
  </si>
  <si>
    <t>EarnzCoin</t>
  </si>
  <si>
    <t>EBYT</t>
  </si>
  <si>
    <t>earthbyt</t>
  </si>
  <si>
    <t>EarthByt</t>
  </si>
  <si>
    <t>EARTH</t>
  </si>
  <si>
    <t>earthchain</t>
  </si>
  <si>
    <t>EarthChain</t>
  </si>
  <si>
    <t>EAC</t>
  </si>
  <si>
    <t>earthcoin</t>
  </si>
  <si>
    <t>Earthcoin</t>
  </si>
  <si>
    <t>1EARTH</t>
  </si>
  <si>
    <t>earthfund</t>
  </si>
  <si>
    <t>EarthFund</t>
  </si>
  <si>
    <t>EFLOKI</t>
  </si>
  <si>
    <t>easter-floki</t>
  </si>
  <si>
    <t>Easter Floki</t>
  </si>
  <si>
    <t>ESTI</t>
  </si>
  <si>
    <t>easticoin</t>
  </si>
  <si>
    <t>Easticoin</t>
  </si>
  <si>
    <t>EZ</t>
  </si>
  <si>
    <t>easyfi</t>
  </si>
  <si>
    <t>EasyFi V2</t>
  </si>
  <si>
    <t>EFT</t>
  </si>
  <si>
    <t>easy-finance-token</t>
  </si>
  <si>
    <t>Easy Finance</t>
  </si>
  <si>
    <t>EMT</t>
  </si>
  <si>
    <t>easymine</t>
  </si>
  <si>
    <t>easyMine</t>
  </si>
  <si>
    <t>ATO</t>
  </si>
  <si>
    <t>eautocoin</t>
  </si>
  <si>
    <t>EAutocoin</t>
  </si>
  <si>
    <t>EZPAY</t>
  </si>
  <si>
    <t>eazypayza</t>
  </si>
  <si>
    <t>EazyPayZa</t>
  </si>
  <si>
    <t>EBSO</t>
  </si>
  <si>
    <t>eblockstock</t>
  </si>
  <si>
    <t>eBlockStock</t>
  </si>
  <si>
    <t>EBST</t>
  </si>
  <si>
    <t>eboost</t>
  </si>
  <si>
    <t>eBoost</t>
  </si>
  <si>
    <t>EBOX</t>
  </si>
  <si>
    <t>ebox</t>
  </si>
  <si>
    <t>Ebox</t>
  </si>
  <si>
    <t>EBSP</t>
  </si>
  <si>
    <t>ebsp-token</t>
  </si>
  <si>
    <t>EBSP Token</t>
  </si>
  <si>
    <t>XEC</t>
  </si>
  <si>
    <t>ecash</t>
  </si>
  <si>
    <t>eCash</t>
  </si>
  <si>
    <t>ECC</t>
  </si>
  <si>
    <t>ecc</t>
  </si>
  <si>
    <t>ECHT</t>
  </si>
  <si>
    <t>e-chat</t>
  </si>
  <si>
    <t>e-Chat</t>
  </si>
  <si>
    <t>ECH</t>
  </si>
  <si>
    <t>echelon</t>
  </si>
  <si>
    <t>Echelon</t>
  </si>
  <si>
    <t>ECD</t>
  </si>
  <si>
    <t>echidna</t>
  </si>
  <si>
    <t>Echidna</t>
  </si>
  <si>
    <t>EC</t>
  </si>
  <si>
    <t>echoin</t>
  </si>
  <si>
    <t>Echoin</t>
  </si>
  <si>
    <t>EKO</t>
  </si>
  <si>
    <t>echolink</t>
  </si>
  <si>
    <t>EchoLink</t>
  </si>
  <si>
    <t>ESRC</t>
  </si>
  <si>
    <t>echosoracoin</t>
  </si>
  <si>
    <t>EchoSoraCoin</t>
  </si>
  <si>
    <t>ECOT</t>
  </si>
  <si>
    <t>echo-tech-coin</t>
  </si>
  <si>
    <t>Echo Tech Coin</t>
  </si>
  <si>
    <t>ECIO</t>
  </si>
  <si>
    <t>ecio-space</t>
  </si>
  <si>
    <t>ECIO Space</t>
  </si>
  <si>
    <t>ECP</t>
  </si>
  <si>
    <t>eclipse-2</t>
  </si>
  <si>
    <t>Eclipse</t>
  </si>
  <si>
    <t>ECOB</t>
  </si>
  <si>
    <t>ecobit</t>
  </si>
  <si>
    <t>Ecobit</t>
  </si>
  <si>
    <t>ECOC</t>
  </si>
  <si>
    <t>ecochain</t>
  </si>
  <si>
    <t>Ecochain</t>
  </si>
  <si>
    <t>ECT</t>
  </si>
  <si>
    <t>ecochain-token</t>
  </si>
  <si>
    <t>Ecochain Finance</t>
  </si>
  <si>
    <t>ECO</t>
  </si>
  <si>
    <t>ecocredit</t>
  </si>
  <si>
    <t>EcoCREDIT</t>
  </si>
  <si>
    <t>ECOP</t>
  </si>
  <si>
    <t>eco-defi</t>
  </si>
  <si>
    <t>Eco DeFi</t>
  </si>
  <si>
    <t>ECOS</t>
  </si>
  <si>
    <t>ecodollar</t>
  </si>
  <si>
    <t>EcoDollar</t>
  </si>
  <si>
    <t>ecofi</t>
  </si>
  <si>
    <t>EcoFi</t>
  </si>
  <si>
    <t>EGC</t>
  </si>
  <si>
    <t>ecog9coin</t>
  </si>
  <si>
    <t>EcoG9coin</t>
  </si>
  <si>
    <t>ECOIN</t>
  </si>
  <si>
    <t>ecoin-2</t>
  </si>
  <si>
    <t>Ecoin</t>
  </si>
  <si>
    <t>ecoin-finance</t>
  </si>
  <si>
    <t>Ecoin Finance</t>
  </si>
  <si>
    <t>OMI</t>
  </si>
  <si>
    <t>ecomi</t>
  </si>
  <si>
    <t>ECOMI</t>
  </si>
  <si>
    <t>ecoscu</t>
  </si>
  <si>
    <t>ECOSC</t>
  </si>
  <si>
    <t>ECN</t>
  </si>
  <si>
    <t>ecosystem-coin-network</t>
  </si>
  <si>
    <t>Ecosystem Coin Network</t>
  </si>
  <si>
    <t>EVC</t>
  </si>
  <si>
    <t>eco-value-coin</t>
  </si>
  <si>
    <t>Eco Value Coin</t>
  </si>
  <si>
    <t>EWT</t>
  </si>
  <si>
    <t>ecowatt</t>
  </si>
  <si>
    <t>Ecowatt</t>
  </si>
  <si>
    <t>ecp-technology</t>
  </si>
  <si>
    <t>ECP+ Technology</t>
  </si>
  <si>
    <t>EDAC</t>
  </si>
  <si>
    <t>edac</t>
  </si>
  <si>
    <t>EAI</t>
  </si>
  <si>
    <t>edain</t>
  </si>
  <si>
    <t>Edain</t>
  </si>
  <si>
    <t>edc-blockchain</t>
  </si>
  <si>
    <t>EDC Blockchain</t>
  </si>
  <si>
    <t>EDDA</t>
  </si>
  <si>
    <t>eddaswap</t>
  </si>
  <si>
    <t>EDDASwap</t>
  </si>
  <si>
    <t>EDEN</t>
  </si>
  <si>
    <t>eden</t>
  </si>
  <si>
    <t>EDN</t>
  </si>
  <si>
    <t>edenchain</t>
  </si>
  <si>
    <t>Edenchain</t>
  </si>
  <si>
    <t>ELT</t>
  </si>
  <si>
    <t>edenloop</t>
  </si>
  <si>
    <t>EdenLoop</t>
  </si>
  <si>
    <t>EDGE</t>
  </si>
  <si>
    <t>edge</t>
  </si>
  <si>
    <t>Edge</t>
  </si>
  <si>
    <t>EDGT</t>
  </si>
  <si>
    <t>edgecoin-2</t>
  </si>
  <si>
    <t>Edgecoin</t>
  </si>
  <si>
    <t>EDG</t>
  </si>
  <si>
    <t>edgeless</t>
  </si>
  <si>
    <t>Edgeless</t>
  </si>
  <si>
    <t>EGS</t>
  </si>
  <si>
    <t>edgeswap</t>
  </si>
  <si>
    <t>EdgeSwap</t>
  </si>
  <si>
    <t>edgeware</t>
  </si>
  <si>
    <t>Edgeware</t>
  </si>
  <si>
    <t>EKT</t>
  </si>
  <si>
    <t>educare</t>
  </si>
  <si>
    <t>EDUCare</t>
  </si>
  <si>
    <t>education-assessment-cult</t>
  </si>
  <si>
    <t>Education Assessment Cult</t>
  </si>
  <si>
    <t>LEDU</t>
  </si>
  <si>
    <t>education-ecosystem</t>
  </si>
  <si>
    <t>Education Ecosystem</t>
  </si>
  <si>
    <t>EDU</t>
  </si>
  <si>
    <t>educoin</t>
  </si>
  <si>
    <t>Educoin</t>
  </si>
  <si>
    <t>EDUX</t>
  </si>
  <si>
    <t>edufex</t>
  </si>
  <si>
    <t>Edufex</t>
  </si>
  <si>
    <t>EEAT</t>
  </si>
  <si>
    <t>eeat</t>
  </si>
  <si>
    <t>eEat</t>
  </si>
  <si>
    <t>effect-network</t>
  </si>
  <si>
    <t>Effect Network</t>
  </si>
  <si>
    <t>EFIL</t>
  </si>
  <si>
    <t>efil</t>
  </si>
  <si>
    <t>eFIL</t>
  </si>
  <si>
    <t>EFIN</t>
  </si>
  <si>
    <t>efin</t>
  </si>
  <si>
    <t>eFIN</t>
  </si>
  <si>
    <t>WEFIN</t>
  </si>
  <si>
    <t>efin-decentralized</t>
  </si>
  <si>
    <t>eFin Decentralized</t>
  </si>
  <si>
    <t>efinity</t>
  </si>
  <si>
    <t>Efinity</t>
  </si>
  <si>
    <t>eft</t>
  </si>
  <si>
    <t>EFUN</t>
  </si>
  <si>
    <t>efun</t>
  </si>
  <si>
    <t>EGGPLANT</t>
  </si>
  <si>
    <t>eggplant</t>
  </si>
  <si>
    <t>Eggplant</t>
  </si>
  <si>
    <t>EGGP</t>
  </si>
  <si>
    <t>eggplant-finance</t>
  </si>
  <si>
    <t>Eggplant Finance</t>
  </si>
  <si>
    <t>egg-protocol</t>
  </si>
  <si>
    <t>EGG Protocol</t>
  </si>
  <si>
    <t>eggzilla</t>
  </si>
  <si>
    <t>EGOH</t>
  </si>
  <si>
    <t>egoh-finance</t>
  </si>
  <si>
    <t>EGOH Finance</t>
  </si>
  <si>
    <t>EGOLD</t>
  </si>
  <si>
    <t>egold</t>
  </si>
  <si>
    <t>eGold</t>
  </si>
  <si>
    <t>EGR</t>
  </si>
  <si>
    <t>egoras</t>
  </si>
  <si>
    <t>Egoras Rights</t>
  </si>
  <si>
    <t>egoras-credit</t>
  </si>
  <si>
    <t>Egoras Credit</t>
  </si>
  <si>
    <t>EGT</t>
  </si>
  <si>
    <t>egretia</t>
  </si>
  <si>
    <t>Egretia</t>
  </si>
  <si>
    <t>MAU</t>
  </si>
  <si>
    <t>egyptian-mau</t>
  </si>
  <si>
    <t>Egyptian Mau</t>
  </si>
  <si>
    <t>EHASH</t>
  </si>
  <si>
    <t>ehash</t>
  </si>
  <si>
    <t>EHash</t>
  </si>
  <si>
    <t>EIDOS</t>
  </si>
  <si>
    <t>eidos</t>
  </si>
  <si>
    <t>EIFI</t>
  </si>
  <si>
    <t>eifi-finance</t>
  </si>
  <si>
    <t>EIFI Finance</t>
  </si>
  <si>
    <t>EHRT</t>
  </si>
  <si>
    <t>eight-hours</t>
  </si>
  <si>
    <t>Eight Hours</t>
  </si>
  <si>
    <t>ODA</t>
  </si>
  <si>
    <t>eiichiro-oda-inu</t>
  </si>
  <si>
    <t>Eiichiro Oda Inu</t>
  </si>
  <si>
    <t>EMC2</t>
  </si>
  <si>
    <t>einsteinium</t>
  </si>
  <si>
    <t>Einsteinium</t>
  </si>
  <si>
    <t>EJECT</t>
  </si>
  <si>
    <t>eject</t>
  </si>
  <si>
    <t>Eject</t>
  </si>
  <si>
    <t>EKTA</t>
  </si>
  <si>
    <t>ekta-2</t>
  </si>
  <si>
    <t>Ekta</t>
  </si>
  <si>
    <t>ELAMA</t>
  </si>
  <si>
    <t>elamachain</t>
  </si>
  <si>
    <t>Elamachain</t>
  </si>
  <si>
    <t>TIC</t>
  </si>
  <si>
    <t>elasticswap</t>
  </si>
  <si>
    <t>ElasticSwap</t>
  </si>
  <si>
    <t>ELA</t>
  </si>
  <si>
    <t>elastos</t>
  </si>
  <si>
    <t>Elastos</t>
  </si>
  <si>
    <t>ECA</t>
  </si>
  <si>
    <t>electra</t>
  </si>
  <si>
    <t>Electra</t>
  </si>
  <si>
    <t>XEP</t>
  </si>
  <si>
    <t>electra-protocol</t>
  </si>
  <si>
    <t>Electra Protocol</t>
  </si>
  <si>
    <t>ELCASH</t>
  </si>
  <si>
    <t>electric-cash</t>
  </si>
  <si>
    <t>Electric Cash</t>
  </si>
  <si>
    <t>EVDC</t>
  </si>
  <si>
    <t>electric-vehicle-direct-currency</t>
  </si>
  <si>
    <t>Electric Vehicle Direct Currency</t>
  </si>
  <si>
    <t>EVZ</t>
  </si>
  <si>
    <t>electric-vehicle-zone</t>
  </si>
  <si>
    <t>Electric Vehicle Zone</t>
  </si>
  <si>
    <t>ELEC</t>
  </si>
  <si>
    <t>electrify-asia</t>
  </si>
  <si>
    <t>Electrify.Asia</t>
  </si>
  <si>
    <t>ETNX</t>
  </si>
  <si>
    <t>electronero</t>
  </si>
  <si>
    <t>Electronero</t>
  </si>
  <si>
    <t>ETNXP</t>
  </si>
  <si>
    <t>electronero-pulse</t>
  </si>
  <si>
    <t>Electronero Pulse</t>
  </si>
  <si>
    <t>ETN</t>
  </si>
  <si>
    <t>electroneum</t>
  </si>
  <si>
    <t>Electroneum</t>
  </si>
  <si>
    <t>EFL</t>
  </si>
  <si>
    <t>electronicgulden</t>
  </si>
  <si>
    <t>Electronic Gulden</t>
  </si>
  <si>
    <t>EPC</t>
  </si>
  <si>
    <t>electronic-pk-chain</t>
  </si>
  <si>
    <t>Electronic PK Chain</t>
  </si>
  <si>
    <t>ELD</t>
  </si>
  <si>
    <t>electrum-dark</t>
  </si>
  <si>
    <t>Electrum Dark</t>
  </si>
  <si>
    <t>ELEF</t>
  </si>
  <si>
    <t>elefworld</t>
  </si>
  <si>
    <t>ELEF World</t>
  </si>
  <si>
    <t>element-black</t>
  </si>
  <si>
    <t>Element Black</t>
  </si>
  <si>
    <t>ELFI</t>
  </si>
  <si>
    <t>element-finance</t>
  </si>
  <si>
    <t>Element Finance</t>
  </si>
  <si>
    <t>ELE</t>
  </si>
  <si>
    <t>elementrem</t>
  </si>
  <si>
    <t>Elementrem</t>
  </si>
  <si>
    <t>ELM</t>
  </si>
  <si>
    <t>elements-2</t>
  </si>
  <si>
    <t>Elements</t>
  </si>
  <si>
    <t>ELMON</t>
  </si>
  <si>
    <t>elemon</t>
  </si>
  <si>
    <t>Elemon</t>
  </si>
  <si>
    <t>ELENA</t>
  </si>
  <si>
    <t>elena-protocol</t>
  </si>
  <si>
    <t>Elena Protocol</t>
  </si>
  <si>
    <t>ELEPHANT</t>
  </si>
  <si>
    <t>elephant-money</t>
  </si>
  <si>
    <t>Elephant Money</t>
  </si>
  <si>
    <t>elevate</t>
  </si>
  <si>
    <t>Elevate</t>
  </si>
  <si>
    <t>ELV</t>
  </si>
  <si>
    <t>e-leven</t>
  </si>
  <si>
    <t>E-leven</t>
  </si>
  <si>
    <t>eleven-finance</t>
  </si>
  <si>
    <t>Eleven Finance</t>
  </si>
  <si>
    <t>eleventoken</t>
  </si>
  <si>
    <t>11Minutes</t>
  </si>
  <si>
    <t>ELXR</t>
  </si>
  <si>
    <t>elexir</t>
  </si>
  <si>
    <t>Elexir</t>
  </si>
  <si>
    <t>elf-token</t>
  </si>
  <si>
    <t>Elf</t>
  </si>
  <si>
    <t>ELFT</t>
  </si>
  <si>
    <t>elfworld</t>
  </si>
  <si>
    <t>Elfworld</t>
  </si>
  <si>
    <t>GOC</t>
  </si>
  <si>
    <t>eligma</t>
  </si>
  <si>
    <t>GoCrypto</t>
  </si>
  <si>
    <t>XLS</t>
  </si>
  <si>
    <t>elis</t>
  </si>
  <si>
    <t>ELIS</t>
  </si>
  <si>
    <t>elite-swap</t>
  </si>
  <si>
    <t>Elite Swap</t>
  </si>
  <si>
    <t>EUM</t>
  </si>
  <si>
    <t>elitium</t>
  </si>
  <si>
    <t>Elitium</t>
  </si>
  <si>
    <t>ELK</t>
  </si>
  <si>
    <t>elk-finance</t>
  </si>
  <si>
    <t>Elk Finance</t>
  </si>
  <si>
    <t>EPS</t>
  </si>
  <si>
    <t>ellipsis</t>
  </si>
  <si>
    <t>Ellipsis [OLD]</t>
  </si>
  <si>
    <t>EPX</t>
  </si>
  <si>
    <t>ellipsis-x</t>
  </si>
  <si>
    <t>Ellipsis X</t>
  </si>
  <si>
    <t>ELOIN</t>
  </si>
  <si>
    <t>eloin</t>
  </si>
  <si>
    <t>Eloin</t>
  </si>
  <si>
    <t>ELO INU</t>
  </si>
  <si>
    <t>elo-inu</t>
  </si>
  <si>
    <t>Elo Inu</t>
  </si>
  <si>
    <t>ELONBALLS</t>
  </si>
  <si>
    <t>elonballs</t>
  </si>
  <si>
    <t>ELONBANK</t>
  </si>
  <si>
    <t>elonbank</t>
  </si>
  <si>
    <t>ElonBank</t>
  </si>
  <si>
    <t>EDAO</t>
  </si>
  <si>
    <t>elondoge-dao</t>
  </si>
  <si>
    <t>ElonDoge DAO</t>
  </si>
  <si>
    <t>EDOGE</t>
  </si>
  <si>
    <t>elon-doge-token</t>
  </si>
  <si>
    <t>ElonDoge.io</t>
  </si>
  <si>
    <t>ELONGATE</t>
  </si>
  <si>
    <t>elongate</t>
  </si>
  <si>
    <t>ElonGate</t>
  </si>
  <si>
    <t>ELONGD</t>
  </si>
  <si>
    <t>elongate-duluxe</t>
  </si>
  <si>
    <t>Elongate Deluxe</t>
  </si>
  <si>
    <t>elon-goat</t>
  </si>
  <si>
    <t>Elon GOAT</t>
  </si>
  <si>
    <t>ELONGRAB</t>
  </si>
  <si>
    <t>elongrab</t>
  </si>
  <si>
    <t>Elongrab</t>
  </si>
  <si>
    <t>ELONHYPE</t>
  </si>
  <si>
    <t>elonhype</t>
  </si>
  <si>
    <t>ElonHype</t>
  </si>
  <si>
    <t>ELNC</t>
  </si>
  <si>
    <t>eloniumcoin</t>
  </si>
  <si>
    <t>EloniumCoin</t>
  </si>
  <si>
    <t>ELONJET</t>
  </si>
  <si>
    <t>elonjet</t>
  </si>
  <si>
    <t>ElonJet</t>
  </si>
  <si>
    <t>$ELONOM</t>
  </si>
  <si>
    <t>elonomics</t>
  </si>
  <si>
    <t>Elonomics</t>
  </si>
  <si>
    <t>ELONPEG</t>
  </si>
  <si>
    <t>elon-peg</t>
  </si>
  <si>
    <t>Elon Peg</t>
  </si>
  <si>
    <t>MARVIN</t>
  </si>
  <si>
    <t>elons-marvin</t>
  </si>
  <si>
    <t>Elon's Marvin</t>
  </si>
  <si>
    <t>ELP</t>
  </si>
  <si>
    <t>ERABBIT</t>
  </si>
  <si>
    <t>elons-rabbit</t>
  </si>
  <si>
    <t>ELONs RABBIT</t>
  </si>
  <si>
    <t>ETCH</t>
  </si>
  <si>
    <t>elontech</t>
  </si>
  <si>
    <t>ElonTech</t>
  </si>
  <si>
    <t>EBA</t>
  </si>
  <si>
    <t>elpis-battle</t>
  </si>
  <si>
    <t>Elpis Battle</t>
  </si>
  <si>
    <t>elrond-erd-2</t>
  </si>
  <si>
    <t>ELTCOIN</t>
  </si>
  <si>
    <t>eltcoin</t>
  </si>
  <si>
    <t>Eltcoin</t>
  </si>
  <si>
    <t>ELU</t>
  </si>
  <si>
    <t>elumia</t>
  </si>
  <si>
    <t>Elumia</t>
  </si>
  <si>
    <t>elvantis</t>
  </si>
  <si>
    <t>Elvantis</t>
  </si>
  <si>
    <t>ELVES</t>
  </si>
  <si>
    <t>elves-century</t>
  </si>
  <si>
    <t>Elves Century</t>
  </si>
  <si>
    <t>EK</t>
  </si>
  <si>
    <t>elves-continent</t>
  </si>
  <si>
    <t>Elves Continent</t>
  </si>
  <si>
    <t>ELYA</t>
  </si>
  <si>
    <t>elya</t>
  </si>
  <si>
    <t>Elya</t>
  </si>
  <si>
    <t>elyfi</t>
  </si>
  <si>
    <t>ELYFI</t>
  </si>
  <si>
    <t>ELYX</t>
  </si>
  <si>
    <t>elynet-token</t>
  </si>
  <si>
    <t>EL</t>
  </si>
  <si>
    <t>elysia</t>
  </si>
  <si>
    <t>ELYSIA</t>
  </si>
  <si>
    <t>ELY</t>
  </si>
  <si>
    <t>elysian</t>
  </si>
  <si>
    <t>Elysian</t>
  </si>
  <si>
    <t>ELS</t>
  </si>
  <si>
    <t>elysiant-token</t>
  </si>
  <si>
    <t>Elysian ELS</t>
  </si>
  <si>
    <t>LYS</t>
  </si>
  <si>
    <t>elysium</t>
  </si>
  <si>
    <t>Elysium</t>
  </si>
  <si>
    <t>emanate</t>
  </si>
  <si>
    <t>Emanate</t>
  </si>
  <si>
    <t>EMBR</t>
  </si>
  <si>
    <t>embr</t>
  </si>
  <si>
    <t>Embr</t>
  </si>
  <si>
    <t>EMD</t>
  </si>
  <si>
    <t>emerald-crypto</t>
  </si>
  <si>
    <t>Emerald Crypto</t>
  </si>
  <si>
    <t>$EM</t>
  </si>
  <si>
    <t>emerald-nodes</t>
  </si>
  <si>
    <t>Emerald Nodes</t>
  </si>
  <si>
    <t>EMC</t>
  </si>
  <si>
    <t>emercoin</t>
  </si>
  <si>
    <t>EmerCoin</t>
  </si>
  <si>
    <t>EM</t>
  </si>
  <si>
    <t>eminer</t>
  </si>
  <si>
    <t>Eminer</t>
  </si>
  <si>
    <t>EMRX</t>
  </si>
  <si>
    <t>emirex-token</t>
  </si>
  <si>
    <t>Emirex Token</t>
  </si>
  <si>
    <t>ESW</t>
  </si>
  <si>
    <t>emiswap</t>
  </si>
  <si>
    <t>EmiSwap</t>
  </si>
  <si>
    <t>EMO</t>
  </si>
  <si>
    <t>emocoin</t>
  </si>
  <si>
    <t>Emocoin</t>
  </si>
  <si>
    <t>LOL</t>
  </si>
  <si>
    <t>emogi-network</t>
  </si>
  <si>
    <t>EMOGI Network</t>
  </si>
  <si>
    <t>NGM</t>
  </si>
  <si>
    <t>e-money</t>
  </si>
  <si>
    <t>e-Money</t>
  </si>
  <si>
    <t>EEUR</t>
  </si>
  <si>
    <t>e-money-eur</t>
  </si>
  <si>
    <t>e-Money EUR</t>
  </si>
  <si>
    <t>empire-capital-token</t>
  </si>
  <si>
    <t>Empire Capital</t>
  </si>
  <si>
    <t>EMPIRE</t>
  </si>
  <si>
    <t>empire-token</t>
  </si>
  <si>
    <t>Empire</t>
  </si>
  <si>
    <t>EMP</t>
  </si>
  <si>
    <t>emp-money</t>
  </si>
  <si>
    <t>Emp Money</t>
  </si>
  <si>
    <t>empow</t>
  </si>
  <si>
    <t>Empow</t>
  </si>
  <si>
    <t>empowa</t>
  </si>
  <si>
    <t>Empowa</t>
  </si>
  <si>
    <t>ESHARE</t>
  </si>
  <si>
    <t>emp-shares</t>
  </si>
  <si>
    <t>EMP Shares</t>
  </si>
  <si>
    <t>ESC</t>
  </si>
  <si>
    <t>empty-set-crypto</t>
  </si>
  <si>
    <t>Empty Set Crypto</t>
  </si>
  <si>
    <t>ESD</t>
  </si>
  <si>
    <t>empty-set-dollar</t>
  </si>
  <si>
    <t>Empty Set Dollar</t>
  </si>
  <si>
    <t>EMPYR</t>
  </si>
  <si>
    <t>empyrean</t>
  </si>
  <si>
    <t>Empyrean</t>
  </si>
  <si>
    <t>EMRALS</t>
  </si>
  <si>
    <t>emrals</t>
  </si>
  <si>
    <t>Emrals</t>
  </si>
  <si>
    <t>EPG</t>
  </si>
  <si>
    <t>encocoinplus</t>
  </si>
  <si>
    <t>Encocoinplus</t>
  </si>
  <si>
    <t>encrypgen</t>
  </si>
  <si>
    <t>EncrypGen</t>
  </si>
  <si>
    <t>END</t>
  </si>
  <si>
    <t>endgame-token</t>
  </si>
  <si>
    <t>Endgame</t>
  </si>
  <si>
    <t>EB</t>
  </si>
  <si>
    <t>endless-battlefield</t>
  </si>
  <si>
    <t>Endless Battlefield</t>
  </si>
  <si>
    <t>EBC</t>
  </si>
  <si>
    <t>endless-battlefield-coin</t>
  </si>
  <si>
    <t>Endless Battlefield Coin</t>
  </si>
  <si>
    <t>EDR</t>
  </si>
  <si>
    <t>endor</t>
  </si>
  <si>
    <t>ENDCEX</t>
  </si>
  <si>
    <t>endpoint-cex-fan-token</t>
  </si>
  <si>
    <t>Endpoint Cex Fan Token</t>
  </si>
  <si>
    <t>EFTR</t>
  </si>
  <si>
    <t>eneftor</t>
  </si>
  <si>
    <t>Eneftor</t>
  </si>
  <si>
    <t>EGX</t>
  </si>
  <si>
    <t>enegra</t>
  </si>
  <si>
    <t>Enegra</t>
  </si>
  <si>
    <t>NRG</t>
  </si>
  <si>
    <t>energi</t>
  </si>
  <si>
    <t>Energi</t>
  </si>
  <si>
    <t>USDE</t>
  </si>
  <si>
    <t>energi-dollar</t>
  </si>
  <si>
    <t>Energi Dollar</t>
  </si>
  <si>
    <t>TSL</t>
  </si>
  <si>
    <t>energo</t>
  </si>
  <si>
    <t>TFG1</t>
  </si>
  <si>
    <t>energoncoin</t>
  </si>
  <si>
    <t>Energoncoin</t>
  </si>
  <si>
    <t>NRGY</t>
  </si>
  <si>
    <t>energy</t>
  </si>
  <si>
    <t>ENERGY</t>
  </si>
  <si>
    <t>E8</t>
  </si>
  <si>
    <t>energy8</t>
  </si>
  <si>
    <t>Energy8</t>
  </si>
  <si>
    <t>DEEM</t>
  </si>
  <si>
    <t>energy-efficient-mortgage-tokenized-stock-defichain</t>
  </si>
  <si>
    <t>iShares MSCI Emerging Markets ETF Defichain</t>
  </si>
  <si>
    <t>energyfi</t>
  </si>
  <si>
    <t>Energyfi</t>
  </si>
  <si>
    <t>ELX</t>
  </si>
  <si>
    <t>energy-ledger</t>
  </si>
  <si>
    <t>Energy Ledger</t>
  </si>
  <si>
    <t>ENY</t>
  </si>
  <si>
    <t>energy-pay</t>
  </si>
  <si>
    <t>Energy Pay</t>
  </si>
  <si>
    <t>energy-web-token</t>
  </si>
  <si>
    <t>ENX</t>
  </si>
  <si>
    <t>enex</t>
  </si>
  <si>
    <t>ENEX</t>
  </si>
  <si>
    <t>EGCC</t>
  </si>
  <si>
    <t>engine</t>
  </si>
  <si>
    <t>Engine</t>
  </si>
  <si>
    <t>FURY</t>
  </si>
  <si>
    <t>engines-of-fury</t>
  </si>
  <si>
    <t>Engines of Fury</t>
  </si>
  <si>
    <t>ENGN</t>
  </si>
  <si>
    <t>engine-token</t>
  </si>
  <si>
    <t>Engine Token</t>
  </si>
  <si>
    <t>enhanced-liquidity-konstrukt</t>
  </si>
  <si>
    <t>Enhanced Liquidity Konstrukt</t>
  </si>
  <si>
    <t>ENH</t>
  </si>
  <si>
    <t>enhance-v2</t>
  </si>
  <si>
    <t>Enhance V2</t>
  </si>
  <si>
    <t>ENG</t>
  </si>
  <si>
    <t>enigma</t>
  </si>
  <si>
    <t>Enigma</t>
  </si>
  <si>
    <t>GMA</t>
  </si>
  <si>
    <t>ENJ</t>
  </si>
  <si>
    <t>enjincoin</t>
  </si>
  <si>
    <t>Enjin Coin</t>
  </si>
  <si>
    <t>EJS</t>
  </si>
  <si>
    <t>enjinstarter</t>
  </si>
  <si>
    <t>Enjinstarter</t>
  </si>
  <si>
    <t>enjin-wormhole</t>
  </si>
  <si>
    <t>Enjin (Wormhole)</t>
  </si>
  <si>
    <t>EKX</t>
  </si>
  <si>
    <t>enkix</t>
  </si>
  <si>
    <t>EnkiX</t>
  </si>
  <si>
    <t>ENNO</t>
  </si>
  <si>
    <t>enno-cash</t>
  </si>
  <si>
    <t>ENNO Cash</t>
  </si>
  <si>
    <t>ENQ</t>
  </si>
  <si>
    <t>enq-enecuum</t>
  </si>
  <si>
    <t>Enecuum</t>
  </si>
  <si>
    <t>NRCH</t>
  </si>
  <si>
    <t>enreachdao</t>
  </si>
  <si>
    <t>EnreachDAO</t>
  </si>
  <si>
    <t>ENRX</t>
  </si>
  <si>
    <t>enrex</t>
  </si>
  <si>
    <t>Enrex</t>
  </si>
  <si>
    <t>ETM</t>
  </si>
  <si>
    <t>en-tan-mo</t>
  </si>
  <si>
    <t>En-Tan-Mo</t>
  </si>
  <si>
    <t>ENTC</t>
  </si>
  <si>
    <t>enterbutton</t>
  </si>
  <si>
    <t>EnterButton</t>
  </si>
  <si>
    <t>ENTRC</t>
  </si>
  <si>
    <t>entercoin</t>
  </si>
  <si>
    <t>EnterCoin</t>
  </si>
  <si>
    <t>ENTR</t>
  </si>
  <si>
    <t>enterdao</t>
  </si>
  <si>
    <t>EnterDAO</t>
  </si>
  <si>
    <t>ENTIRE</t>
  </si>
  <si>
    <t>entireswap</t>
  </si>
  <si>
    <t>EntireSwap</t>
  </si>
  <si>
    <t>ERP</t>
  </si>
  <si>
    <t>entropyfi</t>
  </si>
  <si>
    <t>Entropyfi</t>
  </si>
  <si>
    <t>ENV</t>
  </si>
  <si>
    <t>env-finance</t>
  </si>
  <si>
    <t>ENV Finance</t>
  </si>
  <si>
    <t>EVN</t>
  </si>
  <si>
    <t>envion</t>
  </si>
  <si>
    <t>Envion</t>
  </si>
  <si>
    <t>ENVIRO</t>
  </si>
  <si>
    <t>enviro</t>
  </si>
  <si>
    <t>Enviro</t>
  </si>
  <si>
    <t>VIS</t>
  </si>
  <si>
    <t>envision</t>
  </si>
  <si>
    <t>Envision</t>
  </si>
  <si>
    <t>VOY</t>
  </si>
  <si>
    <t>envoy-defi</t>
  </si>
  <si>
    <t>enVoy DeFi</t>
  </si>
  <si>
    <t>envoy-network</t>
  </si>
  <si>
    <t>Envoy</t>
  </si>
  <si>
    <t>EOS</t>
  </si>
  <si>
    <t>eos</t>
  </si>
  <si>
    <t>BET</t>
  </si>
  <si>
    <t>eosbet</t>
  </si>
  <si>
    <t>EarnBet</t>
  </si>
  <si>
    <t>eosblack</t>
  </si>
  <si>
    <t>eosBLACK</t>
  </si>
  <si>
    <t>EOSDAC</t>
  </si>
  <si>
    <t>eosdac</t>
  </si>
  <si>
    <t>eosDAC</t>
  </si>
  <si>
    <t>EOSC</t>
  </si>
  <si>
    <t>eosforce</t>
  </si>
  <si>
    <t>EOSForce</t>
  </si>
  <si>
    <t>POW</t>
  </si>
  <si>
    <t>eos-pow-coin</t>
  </si>
  <si>
    <t>EOS PoW Coin</t>
  </si>
  <si>
    <t>EOX</t>
  </si>
  <si>
    <t>eox</t>
  </si>
  <si>
    <t>epanus</t>
  </si>
  <si>
    <t>Epanus</t>
  </si>
  <si>
    <t>EPIC</t>
  </si>
  <si>
    <t>epic-cash</t>
  </si>
  <si>
    <t>Epic Cash</t>
  </si>
  <si>
    <t>EPICHERO</t>
  </si>
  <si>
    <t>epichero</t>
  </si>
  <si>
    <t>EpicHero</t>
  </si>
  <si>
    <t>EWAR</t>
  </si>
  <si>
    <t>epic-war</t>
  </si>
  <si>
    <t>Epic War</t>
  </si>
  <si>
    <t>EPIK</t>
  </si>
  <si>
    <t>epik-prime</t>
  </si>
  <si>
    <t>Epik Prime</t>
  </si>
  <si>
    <t>EPK</t>
  </si>
  <si>
    <t>epik-protocol</t>
  </si>
  <si>
    <t>EpiK Protocol</t>
  </si>
  <si>
    <t>EQX</t>
  </si>
  <si>
    <t>eqifi</t>
  </si>
  <si>
    <t>EQIFi</t>
  </si>
  <si>
    <t>EQL</t>
  </si>
  <si>
    <t>equal</t>
  </si>
  <si>
    <t>Equal</t>
  </si>
  <si>
    <t>EQZ</t>
  </si>
  <si>
    <t>equalizer</t>
  </si>
  <si>
    <t>Equalizer</t>
  </si>
  <si>
    <t>EQ</t>
  </si>
  <si>
    <t>equilibrium</t>
  </si>
  <si>
    <t>Equilibrium Games</t>
  </si>
  <si>
    <t>EOSDT</t>
  </si>
  <si>
    <t>equilibrium-eosdt</t>
  </si>
  <si>
    <t>Equilibrium EOSDT</t>
  </si>
  <si>
    <t>equinox</t>
  </si>
  <si>
    <t>Equinox</t>
  </si>
  <si>
    <t>EQT</t>
  </si>
  <si>
    <t>equitrader</t>
  </si>
  <si>
    <t>EquiTrader</t>
  </si>
  <si>
    <t>EQO</t>
  </si>
  <si>
    <t>equos-origin</t>
  </si>
  <si>
    <t>ERA</t>
  </si>
  <si>
    <t>era7</t>
  </si>
  <si>
    <t>Era7</t>
  </si>
  <si>
    <t>EXRD</t>
  </si>
  <si>
    <t>e-radix</t>
  </si>
  <si>
    <t>e-Radix</t>
  </si>
  <si>
    <t>ES</t>
  </si>
  <si>
    <t>era-swap-token</t>
  </si>
  <si>
    <t>ERC20</t>
  </si>
  <si>
    <t>erc20</t>
  </si>
  <si>
    <t>ERG</t>
  </si>
  <si>
    <t>ergo</t>
  </si>
  <si>
    <t>Ergo</t>
  </si>
  <si>
    <t>ERGOPAD</t>
  </si>
  <si>
    <t>ergopad</t>
  </si>
  <si>
    <t>Ergopad</t>
  </si>
  <si>
    <t>EST</t>
  </si>
  <si>
    <t>erica-social-token</t>
  </si>
  <si>
    <t>Erica Social Token</t>
  </si>
  <si>
    <t>ERT</t>
  </si>
  <si>
    <t>eristica</t>
  </si>
  <si>
    <t>ERON</t>
  </si>
  <si>
    <t>eron</t>
  </si>
  <si>
    <t>ERS</t>
  </si>
  <si>
    <t>eros</t>
  </si>
  <si>
    <t>Eros</t>
  </si>
  <si>
    <t>ERO</t>
  </si>
  <si>
    <t>eroverse</t>
  </si>
  <si>
    <t>Eroverse</t>
  </si>
  <si>
    <t>ERTHA</t>
  </si>
  <si>
    <t>ertha</t>
  </si>
  <si>
    <t>Ertha</t>
  </si>
  <si>
    <t>EWC</t>
  </si>
  <si>
    <t>erugo-world-coin</t>
  </si>
  <si>
    <t>Erugo World Coin</t>
  </si>
  <si>
    <t>erzurumspor-token</t>
  </si>
  <si>
    <t>Erzurumspor Token</t>
  </si>
  <si>
    <t>ELG</t>
  </si>
  <si>
    <t>escoin-token</t>
  </si>
  <si>
    <t>ESN</t>
  </si>
  <si>
    <t>escudonavacense</t>
  </si>
  <si>
    <t>EscudoNavacense</t>
  </si>
  <si>
    <t>ESG</t>
  </si>
  <si>
    <t>esg</t>
  </si>
  <si>
    <t>ESGC</t>
  </si>
  <si>
    <t>esg-chain</t>
  </si>
  <si>
    <t>ESG Chain</t>
  </si>
  <si>
    <t>ESK</t>
  </si>
  <si>
    <t>eska</t>
  </si>
  <si>
    <t>Eska</t>
  </si>
  <si>
    <t>ESES</t>
  </si>
  <si>
    <t>eskisehir-fan-token</t>
  </si>
  <si>
    <t>Eskişehir Fan Tokens</t>
  </si>
  <si>
    <t>ESP</t>
  </si>
  <si>
    <t>espers</t>
  </si>
  <si>
    <t>Espers</t>
  </si>
  <si>
    <t>ESPL</t>
  </si>
  <si>
    <t>esplash</t>
  </si>
  <si>
    <t>ESplash</t>
  </si>
  <si>
    <t>ESM</t>
  </si>
  <si>
    <t>esportgame</t>
  </si>
  <si>
    <t>EsportGame</t>
  </si>
  <si>
    <t>esports</t>
  </si>
  <si>
    <t>Esports.com</t>
  </si>
  <si>
    <t>ESPRO</t>
  </si>
  <si>
    <t>esportspro</t>
  </si>
  <si>
    <t>EsportsPro</t>
  </si>
  <si>
    <t>ESR</t>
  </si>
  <si>
    <t>esportsref</t>
  </si>
  <si>
    <t>EsportsRef</t>
  </si>
  <si>
    <t>EOC</t>
  </si>
  <si>
    <t>essence-of-creation</t>
  </si>
  <si>
    <t>Essence of Creation</t>
  </si>
  <si>
    <t>ESS</t>
  </si>
  <si>
    <t>essentia</t>
  </si>
  <si>
    <t>Essentia</t>
  </si>
  <si>
    <t>ester-finance</t>
  </si>
  <si>
    <t>Ester Finance</t>
  </si>
  <si>
    <t>ESWAPV2</t>
  </si>
  <si>
    <t>eswapping-v2</t>
  </si>
  <si>
    <t>eSwapping v2</t>
  </si>
  <si>
    <t>ETER</t>
  </si>
  <si>
    <t>eterland</t>
  </si>
  <si>
    <t>Eterland</t>
  </si>
  <si>
    <t>etermon</t>
  </si>
  <si>
    <t>Etermon</t>
  </si>
  <si>
    <t>EHX</t>
  </si>
  <si>
    <t>eterna-hybrid-exchange</t>
  </si>
  <si>
    <t>Eterna Hybrid Exchange</t>
  </si>
  <si>
    <t>eternal-dragons</t>
  </si>
  <si>
    <t>Eternal Dragons</t>
  </si>
  <si>
    <t>eternalflow</t>
  </si>
  <si>
    <t>EternalFlow</t>
  </si>
  <si>
    <t>ETOS</t>
  </si>
  <si>
    <t>eternal-oasis</t>
  </si>
  <si>
    <t>Eternal Oasis</t>
  </si>
  <si>
    <t>ENSP</t>
  </si>
  <si>
    <t>eternal-spire-v2</t>
  </si>
  <si>
    <t>Eternal Spire V2</t>
  </si>
  <si>
    <t>ETGF</t>
  </si>
  <si>
    <t>etg-finance</t>
  </si>
  <si>
    <t>ETG Finance</t>
  </si>
  <si>
    <t>ETH20SMACO</t>
  </si>
  <si>
    <t>eth_20_day_ma_crossover_set</t>
  </si>
  <si>
    <t>ETH 20 Day MA Crossover Set</t>
  </si>
  <si>
    <t>ETH2</t>
  </si>
  <si>
    <t>eth2-staking-by-poolx</t>
  </si>
  <si>
    <t>Eth 2.0 Staking by Pool-X</t>
  </si>
  <si>
    <t>ETH2X-FLI</t>
  </si>
  <si>
    <t>eth-2x-flexible-leverage-index</t>
  </si>
  <si>
    <t>Index Coop - ETH 2x Flexible Leverage Index</t>
  </si>
  <si>
    <t>ETH3S</t>
  </si>
  <si>
    <t>eth3s</t>
  </si>
  <si>
    <t>ETHA</t>
  </si>
  <si>
    <t>etha-lend</t>
  </si>
  <si>
    <t>ETHA Lend</t>
  </si>
  <si>
    <t>ETHAX</t>
  </si>
  <si>
    <t>ethax</t>
  </si>
  <si>
    <t>ETHBNT</t>
  </si>
  <si>
    <t>ethbnt</t>
  </si>
  <si>
    <t>ETHBNT Relay</t>
  </si>
  <si>
    <t>MRATIOMOON</t>
  </si>
  <si>
    <t>ethbtc-2x-long-polygon</t>
  </si>
  <si>
    <t>ETHBTC 2x Long (Polygon)</t>
  </si>
  <si>
    <t>ETHBTCMOON</t>
  </si>
  <si>
    <t>ethbtc-2x-long-token</t>
  </si>
  <si>
    <t>ETHBTC 2x Long</t>
  </si>
  <si>
    <t>ETHDOWN</t>
  </si>
  <si>
    <t>ethdown</t>
  </si>
  <si>
    <t>ETHDOX</t>
  </si>
  <si>
    <t>ethdox</t>
  </si>
  <si>
    <t>HEAL</t>
  </si>
  <si>
    <t>etheal</t>
  </si>
  <si>
    <t>Etheal</t>
  </si>
  <si>
    <t>ETHE</t>
  </si>
  <si>
    <t>etheking</t>
  </si>
  <si>
    <t>ETHEKing</t>
  </si>
  <si>
    <t>ETHO</t>
  </si>
  <si>
    <t>ether-1</t>
  </si>
  <si>
    <t>Etho Protocol</t>
  </si>
  <si>
    <t>ETA</t>
  </si>
  <si>
    <t>ethera-2</t>
  </si>
  <si>
    <t>Ethera</t>
  </si>
  <si>
    <t>ETB</t>
  </si>
  <si>
    <t>ethera-black</t>
  </si>
  <si>
    <t>Ethera Black</t>
  </si>
  <si>
    <t>ETHBACK</t>
  </si>
  <si>
    <t>etherback</t>
  </si>
  <si>
    <t>EtherBack</t>
  </si>
  <si>
    <t>etherconnect</t>
  </si>
  <si>
    <t>Etherconnect</t>
  </si>
  <si>
    <t>OS</t>
  </si>
  <si>
    <t>ethereans</t>
  </si>
  <si>
    <t>Ethereans</t>
  </si>
  <si>
    <t>ethereum</t>
  </si>
  <si>
    <t>EAPEX</t>
  </si>
  <si>
    <t>ethereum-apex</t>
  </si>
  <si>
    <t>Ethereum Apex</t>
  </si>
  <si>
    <t>ECASH</t>
  </si>
  <si>
    <t>ethereum-cash</t>
  </si>
  <si>
    <t>Ethereum Cash</t>
  </si>
  <si>
    <t>ethereum-cash-token</t>
  </si>
  <si>
    <t>Ethereum Cash ECASH</t>
  </si>
  <si>
    <t>ethereum-classic</t>
  </si>
  <si>
    <t>EGL</t>
  </si>
  <si>
    <t>ethereum-eagle-project</t>
  </si>
  <si>
    <t>Ethereum Gas Limit</t>
  </si>
  <si>
    <t>ETG</t>
  </si>
  <si>
    <t>ethereum-gold</t>
  </si>
  <si>
    <t>Ethereum Gold</t>
  </si>
  <si>
    <t>ETGP</t>
  </si>
  <si>
    <t>ethereum-gold-project</t>
  </si>
  <si>
    <t>Ethereum Gold Project</t>
  </si>
  <si>
    <t>ELITE</t>
  </si>
  <si>
    <t>ethereum-lite</t>
  </si>
  <si>
    <t>Ethereum Lite</t>
  </si>
  <si>
    <t>EMAX</t>
  </si>
  <si>
    <t>ethereummax</t>
  </si>
  <si>
    <t>EthereumMax</t>
  </si>
  <si>
    <t>ETHM</t>
  </si>
  <si>
    <t>ethereum-meta</t>
  </si>
  <si>
    <t>Ethereum Meta</t>
  </si>
  <si>
    <t>ETHMNY</t>
  </si>
  <si>
    <t>ethereum-money</t>
  </si>
  <si>
    <t>Ethereum Money</t>
  </si>
  <si>
    <t>ENS</t>
  </si>
  <si>
    <t>ethereum-name-service</t>
  </si>
  <si>
    <t>Ethereum Name Service</t>
  </si>
  <si>
    <t>ethereum-name-service-wormhole</t>
  </si>
  <si>
    <t>Ethereum Name Service (Wormhole)</t>
  </si>
  <si>
    <t>PUSH</t>
  </si>
  <si>
    <t>ethereum-push-notification-service</t>
  </si>
  <si>
    <t>Ethereum Push Notification Service - EPNS</t>
  </si>
  <si>
    <t>ESHILL</t>
  </si>
  <si>
    <t>ethereum-shillings</t>
  </si>
  <si>
    <t>Ethereum Shillings</t>
  </si>
  <si>
    <t>ETHYS</t>
  </si>
  <si>
    <t>ethereum-stake</t>
  </si>
  <si>
    <t>Ethereum Stake</t>
  </si>
  <si>
    <t>ETHV</t>
  </si>
  <si>
    <t>ethereum-volatility-index-token</t>
  </si>
  <si>
    <t>Ethereum Volatility Index Token</t>
  </si>
  <si>
    <t>ethereum-wormhole</t>
  </si>
  <si>
    <t>Ethereum (Wormhole)</t>
  </si>
  <si>
    <t>ethereum-wrapped-filecoin</t>
  </si>
  <si>
    <t>Ethereum Wrapped Filecoin</t>
  </si>
  <si>
    <t>ETX</t>
  </si>
  <si>
    <t>ethereumx</t>
  </si>
  <si>
    <t>EthereumX</t>
  </si>
  <si>
    <t>ETHY</t>
  </si>
  <si>
    <t>ethereum-yield</t>
  </si>
  <si>
    <t>Ethereum Yield</t>
  </si>
  <si>
    <t>EGEM</t>
  </si>
  <si>
    <t>ethergem</t>
  </si>
  <si>
    <t>EtherGem</t>
  </si>
  <si>
    <t>ETI</t>
  </si>
  <si>
    <t>etherinc</t>
  </si>
  <si>
    <t>EtherInc</t>
  </si>
  <si>
    <t>etherisc</t>
  </si>
  <si>
    <t>ELAND</t>
  </si>
  <si>
    <t>etherland</t>
  </si>
  <si>
    <t>Etherland</t>
  </si>
  <si>
    <t>ELET</t>
  </si>
  <si>
    <t>ether-legends</t>
  </si>
  <si>
    <t>Elementeum</t>
  </si>
  <si>
    <t>ETL</t>
  </si>
  <si>
    <t>etherlite-2</t>
  </si>
  <si>
    <t>EtherLite</t>
  </si>
  <si>
    <t>EMON</t>
  </si>
  <si>
    <t>ethermon</t>
  </si>
  <si>
    <t>Ethermon</t>
  </si>
  <si>
    <t>NAAL</t>
  </si>
  <si>
    <t>ethernaal</t>
  </si>
  <si>
    <t>Ethernaal</t>
  </si>
  <si>
    <t>ETHERNAL</t>
  </si>
  <si>
    <t>ethernal</t>
  </si>
  <si>
    <t>Ethernal</t>
  </si>
  <si>
    <t>ETHFIN</t>
  </si>
  <si>
    <t>ethernal-finance</t>
  </si>
  <si>
    <t>Ethernal Finance</t>
  </si>
  <si>
    <t>ERN</t>
  </si>
  <si>
    <t>ethernity-chain</t>
  </si>
  <si>
    <t>Ethernity Chain</t>
  </si>
  <si>
    <t>etheroll</t>
  </si>
  <si>
    <t>Etheroll</t>
  </si>
  <si>
    <t>FUEL</t>
  </si>
  <si>
    <t>etherparty</t>
  </si>
  <si>
    <t>Etherparty</t>
  </si>
  <si>
    <t>ETHPY</t>
  </si>
  <si>
    <t>etherpay</t>
  </si>
  <si>
    <t>Etherpay</t>
  </si>
  <si>
    <t>ETHP</t>
  </si>
  <si>
    <t>etherprint</t>
  </si>
  <si>
    <t>Etherprint</t>
  </si>
  <si>
    <t>PEBBLE</t>
  </si>
  <si>
    <t>etherrock-72</t>
  </si>
  <si>
    <t>Etherrock #72</t>
  </si>
  <si>
    <t>ethersmart</t>
  </si>
  <si>
    <t>EtherSmart</t>
  </si>
  <si>
    <t>ETS</t>
  </si>
  <si>
    <t>ethersniper</t>
  </si>
  <si>
    <t>Ethersniper</t>
  </si>
  <si>
    <t>ETHS</t>
  </si>
  <si>
    <t>etherstones</t>
  </si>
  <si>
    <t>Etherstones</t>
  </si>
  <si>
    <t>ET</t>
  </si>
  <si>
    <t>ETZ</t>
  </si>
  <si>
    <t>etherzero</t>
  </si>
  <si>
    <t>Ether Zero</t>
  </si>
  <si>
    <t>$EFB</t>
  </si>
  <si>
    <t>ethfan-burn</t>
  </si>
  <si>
    <t>ETHFan Burn</t>
  </si>
  <si>
    <t>eth-fan-token</t>
  </si>
  <si>
    <t>ETH Fan Token Ecosystem</t>
  </si>
  <si>
    <t>ETHIX</t>
  </si>
  <si>
    <t>ethichub</t>
  </si>
  <si>
    <t>EthicHub</t>
  </si>
  <si>
    <t>LEND</t>
  </si>
  <si>
    <t>ethlend</t>
  </si>
  <si>
    <t>Aave [OLD]</t>
  </si>
  <si>
    <t>ETHMAXY</t>
  </si>
  <si>
    <t>eth-max-yield-index</t>
  </si>
  <si>
    <t>ETH Max Yield Index</t>
  </si>
  <si>
    <t>ETHNOTE</t>
  </si>
  <si>
    <t>eth-note</t>
  </si>
  <si>
    <t>Eth Note</t>
  </si>
  <si>
    <t>HORSE</t>
  </si>
  <si>
    <t>ethorse</t>
  </si>
  <si>
    <t>Ethorse</t>
  </si>
  <si>
    <t>VGX</t>
  </si>
  <si>
    <t>ethos</t>
  </si>
  <si>
    <t>ETHOS</t>
  </si>
  <si>
    <t>ethos-project</t>
  </si>
  <si>
    <t>Ethos Project</t>
  </si>
  <si>
    <t>ETHPAD</t>
  </si>
  <si>
    <t>ethpad</t>
  </si>
  <si>
    <t>ETHPad</t>
  </si>
  <si>
    <t>ETHPLO</t>
  </si>
  <si>
    <t>ethplode</t>
  </si>
  <si>
    <t>ETHplode</t>
  </si>
  <si>
    <t>ethplus</t>
  </si>
  <si>
    <t>ETHPlus</t>
  </si>
  <si>
    <t>ETHSHIB</t>
  </si>
  <si>
    <t>eth-shiba</t>
  </si>
  <si>
    <t>Eth Shiba</t>
  </si>
  <si>
    <t>ethst-governance-token</t>
  </si>
  <si>
    <t>ETHST Governance</t>
  </si>
  <si>
    <t>ETHUP</t>
  </si>
  <si>
    <t>ethup</t>
  </si>
  <si>
    <t>METHMOON</t>
  </si>
  <si>
    <t>eth-variable-long</t>
  </si>
  <si>
    <t>ETH Variable Leverage Long</t>
  </si>
  <si>
    <t>ethverse</t>
  </si>
  <si>
    <t>Ethverse</t>
  </si>
  <si>
    <t>ETHZILLA</t>
  </si>
  <si>
    <t>ethzilla</t>
  </si>
  <si>
    <t>EthZilla</t>
  </si>
  <si>
    <t>ETIT</t>
  </si>
  <si>
    <t>etitanium</t>
  </si>
  <si>
    <t>eTitanium</t>
  </si>
  <si>
    <t>MTB</t>
  </si>
  <si>
    <t>etna-metabolism</t>
  </si>
  <si>
    <t>ETNA Metabolism</t>
  </si>
  <si>
    <t>ETNA</t>
  </si>
  <si>
    <t>etna-network</t>
  </si>
  <si>
    <t>ETNA Network</t>
  </si>
  <si>
    <t>ETOR</t>
  </si>
  <si>
    <t>etor</t>
  </si>
  <si>
    <t>ETT</t>
  </si>
  <si>
    <t>etrade</t>
  </si>
  <si>
    <t>Etrade</t>
  </si>
  <si>
    <t>EUBC</t>
  </si>
  <si>
    <t>eub-chain</t>
  </si>
  <si>
    <t>EUB Chain</t>
  </si>
  <si>
    <t>EULER</t>
  </si>
  <si>
    <t>euler-tools</t>
  </si>
  <si>
    <t>Euler Tools</t>
  </si>
  <si>
    <t>EUNO</t>
  </si>
  <si>
    <t>euno</t>
  </si>
  <si>
    <t>ENTS</t>
  </si>
  <si>
    <t>eunomia</t>
  </si>
  <si>
    <t>EUNOMIA</t>
  </si>
  <si>
    <t>WAGMI</t>
  </si>
  <si>
    <t>euphoria-2</t>
  </si>
  <si>
    <t>Euphoria</t>
  </si>
  <si>
    <t>ERK</t>
  </si>
  <si>
    <t>eureka-coin</t>
  </si>
  <si>
    <t>Eureka Coin</t>
  </si>
  <si>
    <t>ECTE</t>
  </si>
  <si>
    <t>eurocoinpay</t>
  </si>
  <si>
    <t>EurocoinToken</t>
  </si>
  <si>
    <t>EURONIN</t>
  </si>
  <si>
    <t>euronin</t>
  </si>
  <si>
    <t>Euronin</t>
  </si>
  <si>
    <t>ERC</t>
  </si>
  <si>
    <t>europecoin</t>
  </si>
  <si>
    <t>EuropeCoin</t>
  </si>
  <si>
    <t>EURST</t>
  </si>
  <si>
    <t>euro-stable-token</t>
  </si>
  <si>
    <t>Euro Stable Token</t>
  </si>
  <si>
    <t>EUT</t>
  </si>
  <si>
    <t>eutaria</t>
  </si>
  <si>
    <t>Eutaria</t>
  </si>
  <si>
    <t>EVA</t>
  </si>
  <si>
    <t>evagrow-coin</t>
  </si>
  <si>
    <t>Evagrow Coin</t>
  </si>
  <si>
    <t>EV</t>
  </si>
  <si>
    <t>evai-2</t>
  </si>
  <si>
    <t>Evai</t>
  </si>
  <si>
    <t>evanesco-network</t>
  </si>
  <si>
    <t>Evanesco Network</t>
  </si>
  <si>
    <t>EVED</t>
  </si>
  <si>
    <t>evedo</t>
  </si>
  <si>
    <t>Evedo</t>
  </si>
  <si>
    <t>eve-exchange</t>
  </si>
  <si>
    <t>evencoin</t>
  </si>
  <si>
    <t>EvenCoin</t>
  </si>
  <si>
    <t>EVERBNB</t>
  </si>
  <si>
    <t>everbnb</t>
  </si>
  <si>
    <t>EverBNB</t>
  </si>
  <si>
    <t>DOME</t>
  </si>
  <si>
    <t>everdome</t>
  </si>
  <si>
    <t>Everdome</t>
  </si>
  <si>
    <t>EVERDOT</t>
  </si>
  <si>
    <t>everdot</t>
  </si>
  <si>
    <t>EverDot</t>
  </si>
  <si>
    <t>everearn</t>
  </si>
  <si>
    <t>EverEarn</t>
  </si>
  <si>
    <t>EVCOIN</t>
  </si>
  <si>
    <t>everestcoin</t>
  </si>
  <si>
    <t>EverestCoin</t>
  </si>
  <si>
    <t>EVRT</t>
  </si>
  <si>
    <t>everest-token</t>
  </si>
  <si>
    <t>Everest DAO</t>
  </si>
  <si>
    <t>EVERETH</t>
  </si>
  <si>
    <t>evereth</t>
  </si>
  <si>
    <t>EverETH</t>
  </si>
  <si>
    <t>EVX</t>
  </si>
  <si>
    <t>everex</t>
  </si>
  <si>
    <t>Everex</t>
  </si>
  <si>
    <t>EVERGAIN</t>
  </si>
  <si>
    <t>evergain</t>
  </si>
  <si>
    <t>EverGain</t>
  </si>
  <si>
    <t>evergreen-token</t>
  </si>
  <si>
    <t>Evergreen</t>
  </si>
  <si>
    <t>evergrowcoin</t>
  </si>
  <si>
    <t>EverGrowCoin</t>
  </si>
  <si>
    <t>ID</t>
  </si>
  <si>
    <t>everid</t>
  </si>
  <si>
    <t>Everest</t>
  </si>
  <si>
    <t>IQ</t>
  </si>
  <si>
    <t>everipedia</t>
  </si>
  <si>
    <t>Everipedia</t>
  </si>
  <si>
    <t>ELEN</t>
  </si>
  <si>
    <t>everlens</t>
  </si>
  <si>
    <t>Everlens</t>
  </si>
  <si>
    <t>EVM</t>
  </si>
  <si>
    <t>evermars</t>
  </si>
  <si>
    <t>EverMars</t>
  </si>
  <si>
    <t>evermoon</t>
  </si>
  <si>
    <t>Evermoon</t>
  </si>
  <si>
    <t>EPRINT</t>
  </si>
  <si>
    <t>everprinter</t>
  </si>
  <si>
    <t>EverPrinter</t>
  </si>
  <si>
    <t>EVRF</t>
  </si>
  <si>
    <t>everreflect</t>
  </si>
  <si>
    <t>EverReflect</t>
  </si>
  <si>
    <t>RISE</t>
  </si>
  <si>
    <t>everrise</t>
  </si>
  <si>
    <t>EverRise</t>
  </si>
  <si>
    <t>EVERSAFU</t>
  </si>
  <si>
    <t>eversafu</t>
  </si>
  <si>
    <t>EverSAFU</t>
  </si>
  <si>
    <t>EVER</t>
  </si>
  <si>
    <t>everscale</t>
  </si>
  <si>
    <t>Everscale</t>
  </si>
  <si>
    <t>ESOL</t>
  </si>
  <si>
    <t>eversol</t>
  </si>
  <si>
    <t>EVERSOL</t>
  </si>
  <si>
    <t>eversol-staked-sol</t>
  </si>
  <si>
    <t>EverSOL Staked SOL</t>
  </si>
  <si>
    <t>everswap</t>
  </si>
  <si>
    <t>EverSwap</t>
  </si>
  <si>
    <t>EFC</t>
  </si>
  <si>
    <t>everton-fan-token</t>
  </si>
  <si>
    <t>Everton Fan Token</t>
  </si>
  <si>
    <t>EVR</t>
  </si>
  <si>
    <t>everus</t>
  </si>
  <si>
    <t>Everus</t>
  </si>
  <si>
    <t>EVAPE</t>
  </si>
  <si>
    <t>everyape-bsc</t>
  </si>
  <si>
    <t>EveryApe BSC</t>
  </si>
  <si>
    <t>EVY</t>
  </si>
  <si>
    <t>everycoin</t>
  </si>
  <si>
    <t>EveryCoin</t>
  </si>
  <si>
    <t>EGAME</t>
  </si>
  <si>
    <t>every-game</t>
  </si>
  <si>
    <t>Every Game</t>
  </si>
  <si>
    <t>everyonescrypto</t>
  </si>
  <si>
    <t>EveryonesCrypto</t>
  </si>
  <si>
    <t>EVEO</t>
  </si>
  <si>
    <t>every-original</t>
  </si>
  <si>
    <t>EVERY ORIGINAL</t>
  </si>
  <si>
    <t>EPTT</t>
  </si>
  <si>
    <t>evident-proof-transaction-token</t>
  </si>
  <si>
    <t>Evident Proof Transaction</t>
  </si>
  <si>
    <t>EVIL</t>
  </si>
  <si>
    <t>evil-coin</t>
  </si>
  <si>
    <t>Evil Coin</t>
  </si>
  <si>
    <t>ESI</t>
  </si>
  <si>
    <t>evil-shiba-inu</t>
  </si>
  <si>
    <t>Evil Shiba Inu</t>
  </si>
  <si>
    <t>EVILSQUID</t>
  </si>
  <si>
    <t>evilsquidgame</t>
  </si>
  <si>
    <t>EvilSquidGame</t>
  </si>
  <si>
    <t>EVMOS</t>
  </si>
  <si>
    <t>evmos</t>
  </si>
  <si>
    <t>Evmos</t>
  </si>
  <si>
    <t>EVNY</t>
  </si>
  <si>
    <t>evny-token</t>
  </si>
  <si>
    <t>EVOC</t>
  </si>
  <si>
    <t>evocardano</t>
  </si>
  <si>
    <t>EvoCardano</t>
  </si>
  <si>
    <t>EVO</t>
  </si>
  <si>
    <t>evo-finance</t>
  </si>
  <si>
    <t>Evo Finance</t>
  </si>
  <si>
    <t>evolution</t>
  </si>
  <si>
    <t>Evolution</t>
  </si>
  <si>
    <t>evolution-finance</t>
  </si>
  <si>
    <t>Evolution Finance</t>
  </si>
  <si>
    <t>EVOX</t>
  </si>
  <si>
    <t>evolution-network</t>
  </si>
  <si>
    <t>Evolution Network</t>
  </si>
  <si>
    <t>evolution-token</t>
  </si>
  <si>
    <t>Evolution EVO</t>
  </si>
  <si>
    <t>EPW</t>
  </si>
  <si>
    <t>evoverse-power</t>
  </si>
  <si>
    <t>Evoverse Power</t>
  </si>
  <si>
    <t>evoverses</t>
  </si>
  <si>
    <t>EvoVerses</t>
  </si>
  <si>
    <t>EVS</t>
  </si>
  <si>
    <t>evoverse-shard</t>
  </si>
  <si>
    <t>Evoverse Shard</t>
  </si>
  <si>
    <t>evrice</t>
  </si>
  <si>
    <t>Evrice</t>
  </si>
  <si>
    <t>EVRY</t>
  </si>
  <si>
    <t>evrynet</t>
  </si>
  <si>
    <t>Evrynet</t>
  </si>
  <si>
    <t>EVU</t>
  </si>
  <si>
    <t>evulus</t>
  </si>
  <si>
    <t>Evulus</t>
  </si>
  <si>
    <t>EXALT</t>
  </si>
  <si>
    <t>exalt</t>
  </si>
  <si>
    <t>Exalt</t>
  </si>
  <si>
    <t>EXC</t>
  </si>
  <si>
    <t>excalibur</t>
  </si>
  <si>
    <t>Excalibur</t>
  </si>
  <si>
    <t>CAVO</t>
  </si>
  <si>
    <t>excavo-finance</t>
  </si>
  <si>
    <t>Excavo Finance</t>
  </si>
  <si>
    <t>XLON</t>
  </si>
  <si>
    <t>excelon</t>
  </si>
  <si>
    <t>Excelon</t>
  </si>
  <si>
    <t>EXCC</t>
  </si>
  <si>
    <t>exchangecoin</t>
  </si>
  <si>
    <t>ExchangeCoin</t>
  </si>
  <si>
    <t>XGEM</t>
  </si>
  <si>
    <t>exchange-genesis-ethlas-medium</t>
  </si>
  <si>
    <t>Exchange Genesis Ethlas Medium</t>
  </si>
  <si>
    <t>XUC</t>
  </si>
  <si>
    <t>exchange-union</t>
  </si>
  <si>
    <t>Exchange Union</t>
  </si>
  <si>
    <t>XJP</t>
  </si>
  <si>
    <t>exciting-japan-coin</t>
  </si>
  <si>
    <t>eXciting Japan Coin</t>
  </si>
  <si>
    <t>EXCL</t>
  </si>
  <si>
    <t>exclusivecoin</t>
  </si>
  <si>
    <t>ExclusiveCoin</t>
  </si>
  <si>
    <t>XED</t>
  </si>
  <si>
    <t>exeedme</t>
  </si>
  <si>
    <t>Exeedme</t>
  </si>
  <si>
    <t>EXENP</t>
  </si>
  <si>
    <t>exenpay-token</t>
  </si>
  <si>
    <t>ExenPay</t>
  </si>
  <si>
    <t>EXEN</t>
  </si>
  <si>
    <t>exentoken</t>
  </si>
  <si>
    <t>Exen</t>
  </si>
  <si>
    <t>EXG</t>
  </si>
  <si>
    <t>exgold</t>
  </si>
  <si>
    <t>Exgold</t>
  </si>
  <si>
    <t>EXIP</t>
  </si>
  <si>
    <t>exip</t>
  </si>
  <si>
    <t>EXIST</t>
  </si>
  <si>
    <t>exist</t>
  </si>
  <si>
    <t>Exist</t>
  </si>
  <si>
    <t>EXMOC</t>
  </si>
  <si>
    <t>exmoc</t>
  </si>
  <si>
    <t>EXM</t>
  </si>
  <si>
    <t>exmo-coin</t>
  </si>
  <si>
    <t>EXMO Coin</t>
  </si>
  <si>
    <t>EXMR</t>
  </si>
  <si>
    <t>exmr-monero</t>
  </si>
  <si>
    <t>EXMR FDN</t>
  </si>
  <si>
    <t>EXNT</t>
  </si>
  <si>
    <t>exnetwork-token</t>
  </si>
  <si>
    <t>EXOS</t>
  </si>
  <si>
    <t>exobots</t>
  </si>
  <si>
    <t>Exobots</t>
  </si>
  <si>
    <t>EXOD</t>
  </si>
  <si>
    <t>exodia</t>
  </si>
  <si>
    <t>Exodia</t>
  </si>
  <si>
    <t>EXO</t>
  </si>
  <si>
    <t>exohood</t>
  </si>
  <si>
    <t>Exohood</t>
  </si>
  <si>
    <t>EXOR</t>
  </si>
  <si>
    <t>exor</t>
  </si>
  <si>
    <t>exordium-limited</t>
  </si>
  <si>
    <t>Exordium Limited</t>
  </si>
  <si>
    <t>EXP</t>
  </si>
  <si>
    <t>exp</t>
  </si>
  <si>
    <t>Exp</t>
  </si>
  <si>
    <t>expanse</t>
  </si>
  <si>
    <t>Expanse</t>
  </si>
  <si>
    <t>XPC</t>
  </si>
  <si>
    <t>experience-chain</t>
  </si>
  <si>
    <t>eXPerience Chain</t>
  </si>
  <si>
    <t>experiencecoin</t>
  </si>
  <si>
    <t>ExperienceCoin</t>
  </si>
  <si>
    <t>WIS</t>
  </si>
  <si>
    <t>experty-wisdom-token</t>
  </si>
  <si>
    <t>EXPO</t>
  </si>
  <si>
    <t>exponential-capital</t>
  </si>
  <si>
    <t>Exponential Capital</t>
  </si>
  <si>
    <t>export-mortos-platform</t>
  </si>
  <si>
    <t>Export Motors Platform</t>
  </si>
  <si>
    <t>EXRN</t>
  </si>
  <si>
    <t>exrnchain</t>
  </si>
  <si>
    <t>EXRNchain</t>
  </si>
  <si>
    <t>EXRT</t>
  </si>
  <si>
    <t>exrt-network</t>
  </si>
  <si>
    <t>EXRT Network</t>
  </si>
  <si>
    <t>EXS</t>
  </si>
  <si>
    <t>ex-sports</t>
  </si>
  <si>
    <t>EX Sports</t>
  </si>
  <si>
    <t>XDNA</t>
  </si>
  <si>
    <t>extradna</t>
  </si>
  <si>
    <t>extraDNA</t>
  </si>
  <si>
    <t>EXZO</t>
  </si>
  <si>
    <t>exzocoin</t>
  </si>
  <si>
    <t>ExzoCoin 2.0</t>
  </si>
  <si>
    <t>EYES</t>
  </si>
  <si>
    <t>eyes-protocol</t>
  </si>
  <si>
    <t>EYES Protocol</t>
  </si>
  <si>
    <t>EZC</t>
  </si>
  <si>
    <t>ezchain</t>
  </si>
  <si>
    <t>EZChain</t>
  </si>
  <si>
    <t>EZX</t>
  </si>
  <si>
    <t>ezdex</t>
  </si>
  <si>
    <t>EZDex</t>
  </si>
  <si>
    <t>EZI</t>
  </si>
  <si>
    <t>ezillion</t>
  </si>
  <si>
    <t>Ezillion</t>
  </si>
  <si>
    <t>EZY</t>
  </si>
  <si>
    <t>ezystayz</t>
  </si>
  <si>
    <t>Ezystayz</t>
  </si>
  <si>
    <t>FAB</t>
  </si>
  <si>
    <t>fabric</t>
  </si>
  <si>
    <t>Fabric</t>
  </si>
  <si>
    <t>WELT</t>
  </si>
  <si>
    <t>fabwelt</t>
  </si>
  <si>
    <t>Fabwelt</t>
  </si>
  <si>
    <t>FACE</t>
  </si>
  <si>
    <t>face</t>
  </si>
  <si>
    <t>Faceter</t>
  </si>
  <si>
    <t>DFB</t>
  </si>
  <si>
    <t>facebook-tokenized-stock-defichain</t>
  </si>
  <si>
    <t>Facebook Tokenized Stock Defichain</t>
  </si>
  <si>
    <t>FB</t>
  </si>
  <si>
    <t>facebook-tokenized-stock-zipmex</t>
  </si>
  <si>
    <t>Facebook Tokenized Stock Zipmex</t>
  </si>
  <si>
    <t>facedao</t>
  </si>
  <si>
    <t>FaceDAO</t>
  </si>
  <si>
    <t>face-vault-nftx</t>
  </si>
  <si>
    <t>FACE Vault (NFTX)</t>
  </si>
  <si>
    <t>FCT</t>
  </si>
  <si>
    <t>factom</t>
  </si>
  <si>
    <t>Factom</t>
  </si>
  <si>
    <t>BKC</t>
  </si>
  <si>
    <t>facts</t>
  </si>
  <si>
    <t>FACTS</t>
  </si>
  <si>
    <t>FADO</t>
  </si>
  <si>
    <t>fado-go</t>
  </si>
  <si>
    <t>FADO Go</t>
  </si>
  <si>
    <t>FAIR</t>
  </si>
  <si>
    <t>faircoin</t>
  </si>
  <si>
    <t>Faircoin</t>
  </si>
  <si>
    <t>FAF</t>
  </si>
  <si>
    <t>fairface</t>
  </si>
  <si>
    <t>Fairface</t>
  </si>
  <si>
    <t>fairgame</t>
  </si>
  <si>
    <t>FairGame</t>
  </si>
  <si>
    <t>FAIRLIFE</t>
  </si>
  <si>
    <t>fairlife</t>
  </si>
  <si>
    <t>FairLife</t>
  </si>
  <si>
    <t>FAI</t>
  </si>
  <si>
    <t>fairum</t>
  </si>
  <si>
    <t>Fairum</t>
  </si>
  <si>
    <t>FAIRY</t>
  </si>
  <si>
    <t>fairy</t>
  </si>
  <si>
    <t>Fairy</t>
  </si>
  <si>
    <t>FFN</t>
  </si>
  <si>
    <t>fairy-forest</t>
  </si>
  <si>
    <t>Fairy Forest</t>
  </si>
  <si>
    <t>FAITH</t>
  </si>
  <si>
    <t>faithcoin</t>
  </si>
  <si>
    <t>FaithCoin</t>
  </si>
  <si>
    <t>FTRB</t>
  </si>
  <si>
    <t>faith-tribe</t>
  </si>
  <si>
    <t>Faith Tribe</t>
  </si>
  <si>
    <t>FALAFEL</t>
  </si>
  <si>
    <t>falafel</t>
  </si>
  <si>
    <t>Falafel</t>
  </si>
  <si>
    <t>F9</t>
  </si>
  <si>
    <t>falcon-nine</t>
  </si>
  <si>
    <t>Falcon Nine</t>
  </si>
  <si>
    <t>FALCONS</t>
  </si>
  <si>
    <t>falcon-swaps</t>
  </si>
  <si>
    <t>Falcon Swaps</t>
  </si>
  <si>
    <t>FNT</t>
  </si>
  <si>
    <t>falcon-token</t>
  </si>
  <si>
    <t>Falcon Project</t>
  </si>
  <si>
    <t>FALCX</t>
  </si>
  <si>
    <t>falconx</t>
  </si>
  <si>
    <t>FalconX</t>
  </si>
  <si>
    <t>FAME</t>
  </si>
  <si>
    <t>fame-mma</t>
  </si>
  <si>
    <t>Fame MMA</t>
  </si>
  <si>
    <t>FAM</t>
  </si>
  <si>
    <t>family</t>
  </si>
  <si>
    <t>Family</t>
  </si>
  <si>
    <t>FPC</t>
  </si>
  <si>
    <t>familyparty</t>
  </si>
  <si>
    <t>FamilyParty</t>
  </si>
  <si>
    <t>FAMOUS</t>
  </si>
  <si>
    <t>famous-coin</t>
  </si>
  <si>
    <t>Famous Coin</t>
  </si>
  <si>
    <t>FAFI</t>
  </si>
  <si>
    <t>famous-five</t>
  </si>
  <si>
    <t>Famous Five</t>
  </si>
  <si>
    <t>fam-token</t>
  </si>
  <si>
    <t>FAN8</t>
  </si>
  <si>
    <t>fan8</t>
  </si>
  <si>
    <t>Fan8</t>
  </si>
  <si>
    <t>FAN</t>
  </si>
  <si>
    <t>fanadise</t>
  </si>
  <si>
    <t>Fanadise</t>
  </si>
  <si>
    <t>FAW</t>
  </si>
  <si>
    <t>fananywhere</t>
  </si>
  <si>
    <t>FanAnywhere</t>
  </si>
  <si>
    <t>FCH</t>
  </si>
  <si>
    <t>fanaticos-cash</t>
  </si>
  <si>
    <t>Fanáticos Cash</t>
  </si>
  <si>
    <t>FBT</t>
  </si>
  <si>
    <t>fanbi-token</t>
  </si>
  <si>
    <t>FANBI TOKEN</t>
  </si>
  <si>
    <t>FNC</t>
  </si>
  <si>
    <t>fancy-games</t>
  </si>
  <si>
    <t>Fancy Games</t>
  </si>
  <si>
    <t>fandom-chain</t>
  </si>
  <si>
    <t>Fandom Chain</t>
  </si>
  <si>
    <t>XFG</t>
  </si>
  <si>
    <t>fango</t>
  </si>
  <si>
    <t>Fango</t>
  </si>
  <si>
    <t>DRAGONLAND</t>
  </si>
  <si>
    <t>fangs</t>
  </si>
  <si>
    <t>Dragon Land Metaverse</t>
  </si>
  <si>
    <t>FANG</t>
  </si>
  <si>
    <t>fang-token</t>
  </si>
  <si>
    <t>FANI</t>
  </si>
  <si>
    <t>fanitrade</t>
  </si>
  <si>
    <t>FaniTrade</t>
  </si>
  <si>
    <t>FC</t>
  </si>
  <si>
    <t>fanscoin</t>
  </si>
  <si>
    <t>FansCoin</t>
  </si>
  <si>
    <t>fanspel</t>
  </si>
  <si>
    <t>Fanspel</t>
  </si>
  <si>
    <t>FST</t>
  </si>
  <si>
    <t>fans-squid</t>
  </si>
  <si>
    <t>Fans Squid</t>
  </si>
  <si>
    <t>FTI</t>
  </si>
  <si>
    <t>fanstime</t>
  </si>
  <si>
    <t>FansTime</t>
  </si>
  <si>
    <t>FSM</t>
  </si>
  <si>
    <t>fantasm-fsm</t>
  </si>
  <si>
    <t>Fantasm FSM</t>
  </si>
  <si>
    <t>XFTM</t>
  </si>
  <si>
    <t>fantasm-xftm</t>
  </si>
  <si>
    <t>Fantasm XFTM</t>
  </si>
  <si>
    <t>FXM</t>
  </si>
  <si>
    <t>fantastic-protocol-fxm-token</t>
  </si>
  <si>
    <t>Fantastic Protocol FXM</t>
  </si>
  <si>
    <t>GAEA</t>
  </si>
  <si>
    <t>fantastic-protocol-gaea</t>
  </si>
  <si>
    <t>Fantastic Protocol GAEA</t>
  </si>
  <si>
    <t>FAVAX</t>
  </si>
  <si>
    <t>fantastic-protocol-peg-avax-favax-token</t>
  </si>
  <si>
    <t>Fantastic Protocol Peg-AVAX (FAVAX)</t>
  </si>
  <si>
    <t>XCRO</t>
  </si>
  <si>
    <t>fantastic-protocol-peg-cro</t>
  </si>
  <si>
    <t>Fantastic Protocol Peg-CRO</t>
  </si>
  <si>
    <t>FTMX</t>
  </si>
  <si>
    <t>fantastic-protocol-peg-ftm</t>
  </si>
  <si>
    <t>Fantastic Protocol Peg-FTM</t>
  </si>
  <si>
    <t>SNOWY</t>
  </si>
  <si>
    <t>fantastic-protocol-snowy-token</t>
  </si>
  <si>
    <t>Fantastic Protocol SNOWY</t>
  </si>
  <si>
    <t>FTSY</t>
  </si>
  <si>
    <t>fantasy</t>
  </si>
  <si>
    <t>Fantasy</t>
  </si>
  <si>
    <t>FTD</t>
  </si>
  <si>
    <t>fantasy-doge</t>
  </si>
  <si>
    <t>Fantasy Doge</t>
  </si>
  <si>
    <t>FGC</t>
  </si>
  <si>
    <t>fantasy-gold</t>
  </si>
  <si>
    <t>Fantasy Gold</t>
  </si>
  <si>
    <t>FTS</t>
  </si>
  <si>
    <t>fantasy-monster</t>
  </si>
  <si>
    <t>Fantasy Monster</t>
  </si>
  <si>
    <t>FWG</t>
  </si>
  <si>
    <t>fantasy-world-gold</t>
  </si>
  <si>
    <t>Fantasy World Gold</t>
  </si>
  <si>
    <t>FHM</t>
  </si>
  <si>
    <t>fantohm</t>
  </si>
  <si>
    <t>Fantohm</t>
  </si>
  <si>
    <t>FTM</t>
  </si>
  <si>
    <t>fantom</t>
  </si>
  <si>
    <t>Fantom</t>
  </si>
  <si>
    <t>FATCAKE</t>
  </si>
  <si>
    <t>fantom-cake</t>
  </si>
  <si>
    <t>Fantom Cake</t>
  </si>
  <si>
    <t>RIP</t>
  </si>
  <si>
    <t>fantom-doge</t>
  </si>
  <si>
    <t>Fantom Doge</t>
  </si>
  <si>
    <t>FETHP</t>
  </si>
  <si>
    <t>fantom-ethprinter</t>
  </si>
  <si>
    <t>FANTOM ETHPrinter</t>
  </si>
  <si>
    <t>FFS</t>
  </si>
  <si>
    <t>fantom-frens</t>
  </si>
  <si>
    <t>Fantom Frens</t>
  </si>
  <si>
    <t>FTG</t>
  </si>
  <si>
    <t>fantomgo</t>
  </si>
  <si>
    <t>fantomGO</t>
  </si>
  <si>
    <t>FLIBERO</t>
  </si>
  <si>
    <t>fantom-libero-financial</t>
  </si>
  <si>
    <t>Fantom Libero Financial</t>
  </si>
  <si>
    <t>fantom-maker</t>
  </si>
  <si>
    <t>Fantom Maker</t>
  </si>
  <si>
    <t>FTMO</t>
  </si>
  <si>
    <t>fantom-oasis</t>
  </si>
  <si>
    <t>Fantom Oasis</t>
  </si>
  <si>
    <t>FANTOMAPES</t>
  </si>
  <si>
    <t>fantom-of-the-opera-apes</t>
  </si>
  <si>
    <t>Fantom of the Opera Apes</t>
  </si>
  <si>
    <t>FS</t>
  </si>
  <si>
    <t>fantomstarter</t>
  </si>
  <si>
    <t>FantomStarter</t>
  </si>
  <si>
    <t>FTMET</t>
  </si>
  <si>
    <t>fantom-token-wormhole</t>
  </si>
  <si>
    <t>Fantom Token (Wormhole)</t>
  </si>
  <si>
    <t>FUSD</t>
  </si>
  <si>
    <t>fantom-usd</t>
  </si>
  <si>
    <t>Fantom USD</t>
  </si>
  <si>
    <t>FOO</t>
  </si>
  <si>
    <t>fantums-of-opera-token</t>
  </si>
  <si>
    <t>Fantums of Opera</t>
  </si>
  <si>
    <t>FANV</t>
  </si>
  <si>
    <t>fanverse</t>
  </si>
  <si>
    <t>FanVerse</t>
  </si>
  <si>
    <t>FX1</t>
  </si>
  <si>
    <t>fanzy</t>
  </si>
  <si>
    <t>FANZY</t>
  </si>
  <si>
    <t>FARA</t>
  </si>
  <si>
    <t>faraland</t>
  </si>
  <si>
    <t>FaraLand</t>
  </si>
  <si>
    <t>FG</t>
  </si>
  <si>
    <t>farmageddon</t>
  </si>
  <si>
    <t>Farmageddon</t>
  </si>
  <si>
    <t>FMB</t>
  </si>
  <si>
    <t>farmbit</t>
  </si>
  <si>
    <t>Farmbit</t>
  </si>
  <si>
    <t>CROP</t>
  </si>
  <si>
    <t>farmerdoge</t>
  </si>
  <si>
    <t>FarmerDoge V3</t>
  </si>
  <si>
    <t>FOX</t>
  </si>
  <si>
    <t>farmersonly-onion</t>
  </si>
  <si>
    <t>FarmersOnly Onion</t>
  </si>
  <si>
    <t>FWW</t>
  </si>
  <si>
    <t>farmers-world-wood</t>
  </si>
  <si>
    <t>Farmers World Wood</t>
  </si>
  <si>
    <t>FFT</t>
  </si>
  <si>
    <t>farm-finance</t>
  </si>
  <si>
    <t>Farm Finance</t>
  </si>
  <si>
    <t>FAR</t>
  </si>
  <si>
    <t>farmland-protocol</t>
  </si>
  <si>
    <t>Farmland Protocol</t>
  </si>
  <si>
    <t>farm-me</t>
  </si>
  <si>
    <t>Farm Me</t>
  </si>
  <si>
    <t>FPL</t>
  </si>
  <si>
    <t>farm-planet</t>
  </si>
  <si>
    <t>Farm Planet</t>
  </si>
  <si>
    <t>POLY</t>
  </si>
  <si>
    <t>farmpoly</t>
  </si>
  <si>
    <t>FarmPoly</t>
  </si>
  <si>
    <t>FSK</t>
  </si>
  <si>
    <t>farm-skylines</t>
  </si>
  <si>
    <t>Farm Skylines</t>
  </si>
  <si>
    <t>FAMY</t>
  </si>
  <si>
    <t>farmyield</t>
  </si>
  <si>
    <t>FarmYield</t>
  </si>
  <si>
    <t>FSHN</t>
  </si>
  <si>
    <t>fashion-coin</t>
  </si>
  <si>
    <t>Fashion Coin</t>
  </si>
  <si>
    <t>FFWOOL</t>
  </si>
  <si>
    <t>fast-food-wolf-game</t>
  </si>
  <si>
    <t>Fast Food Wolf Game</t>
  </si>
  <si>
    <t>FASTMOON</t>
  </si>
  <si>
    <t>fastmoon</t>
  </si>
  <si>
    <t>FastMoon</t>
  </si>
  <si>
    <t>FAST</t>
  </si>
  <si>
    <t>fastswap</t>
  </si>
  <si>
    <t>FastSwap</t>
  </si>
  <si>
    <t>fastswap-bsc</t>
  </si>
  <si>
    <t>Fastswap (BSC)</t>
  </si>
  <si>
    <t>fatcake</t>
  </si>
  <si>
    <t>FatCake</t>
  </si>
  <si>
    <t>FAT</t>
  </si>
  <si>
    <t>fatcoin</t>
  </si>
  <si>
    <t>Fatcoin</t>
  </si>
  <si>
    <t>FOGE</t>
  </si>
  <si>
    <t>fat-doge</t>
  </si>
  <si>
    <t>Fat Doge</t>
  </si>
  <si>
    <t>FATE</t>
  </si>
  <si>
    <t>fate-token</t>
  </si>
  <si>
    <t>Fate</t>
  </si>
  <si>
    <t>FATOSHI</t>
  </si>
  <si>
    <t>fat-satoshi</t>
  </si>
  <si>
    <t>Fat Satoshi</t>
  </si>
  <si>
    <t>FAVE</t>
  </si>
  <si>
    <t>favecoin</t>
  </si>
  <si>
    <t>Favecoin</t>
  </si>
  <si>
    <t>FAVOR</t>
  </si>
  <si>
    <t>favor</t>
  </si>
  <si>
    <t>Favor</t>
  </si>
  <si>
    <t>FAYRE</t>
  </si>
  <si>
    <t>fayre</t>
  </si>
  <si>
    <t>Fayre</t>
  </si>
  <si>
    <t>FBAND</t>
  </si>
  <si>
    <t>fband</t>
  </si>
  <si>
    <t>fBAND</t>
  </si>
  <si>
    <t>FBNB</t>
  </si>
  <si>
    <t>fbnb</t>
  </si>
  <si>
    <t>fBNB</t>
  </si>
  <si>
    <t>fbomb</t>
  </si>
  <si>
    <t>fBOMB</t>
  </si>
  <si>
    <t>FBTC</t>
  </si>
  <si>
    <t>fbtc</t>
  </si>
  <si>
    <t>fBTC</t>
  </si>
  <si>
    <t>BAR</t>
  </si>
  <si>
    <t>fc-barcelona-fan-token</t>
  </si>
  <si>
    <t>FC Barcelona Fan Token</t>
  </si>
  <si>
    <t>PORTO</t>
  </si>
  <si>
    <t>fc-porto</t>
  </si>
  <si>
    <t>FC Porto</t>
  </si>
  <si>
    <t>FDOGE</t>
  </si>
  <si>
    <t>fdoge-finance</t>
  </si>
  <si>
    <t>FDoge Finance</t>
  </si>
  <si>
    <t>FDS</t>
  </si>
  <si>
    <t>fds</t>
  </si>
  <si>
    <t>Fair Dollars</t>
  </si>
  <si>
    <t>FEAR</t>
  </si>
  <si>
    <t>fear</t>
  </si>
  <si>
    <t>Fear</t>
  </si>
  <si>
    <t>fear-token</t>
  </si>
  <si>
    <t>Spookyverse Fear</t>
  </si>
  <si>
    <t>FTC</t>
  </si>
  <si>
    <t>feathercoin</t>
  </si>
  <si>
    <t>Feathercoin</t>
  </si>
  <si>
    <t>TIPS</t>
  </si>
  <si>
    <t>fedoracoin</t>
  </si>
  <si>
    <t>Fedoracoin</t>
  </si>
  <si>
    <t>FED</t>
  </si>
  <si>
    <t>fedora-gold</t>
  </si>
  <si>
    <t>Fedora Gold</t>
  </si>
  <si>
    <t>feeder-finance</t>
  </si>
  <si>
    <t>Feeder Finance</t>
  </si>
  <si>
    <t>FUPS</t>
  </si>
  <si>
    <t>feed-pups</t>
  </si>
  <si>
    <t>Feed Pups</t>
  </si>
  <si>
    <t>FEEL</t>
  </si>
  <si>
    <t>feelcoin</t>
  </si>
  <si>
    <t>FeelCoin</t>
  </si>
  <si>
    <t>FEG</t>
  </si>
  <si>
    <t>feg-token</t>
  </si>
  <si>
    <t>feg-token-bsc</t>
  </si>
  <si>
    <t>FEG BSC</t>
  </si>
  <si>
    <t>FCN</t>
  </si>
  <si>
    <t>feichang-niu</t>
  </si>
  <si>
    <t>Feichang Niu</t>
  </si>
  <si>
    <t>NFD</t>
  </si>
  <si>
    <t>feisty-doge-nft</t>
  </si>
  <si>
    <t>Feisty Doge NFT</t>
  </si>
  <si>
    <t>FEI</t>
  </si>
  <si>
    <t>fei-usd</t>
  </si>
  <si>
    <t>Fei USD</t>
  </si>
  <si>
    <t>FLX</t>
  </si>
  <si>
    <t>felix</t>
  </si>
  <si>
    <t>Felix</t>
  </si>
  <si>
    <t>fenerbahce-token</t>
  </si>
  <si>
    <t>Fenerbahçe</t>
  </si>
  <si>
    <t>DJN</t>
  </si>
  <si>
    <t>fenix-danjon</t>
  </si>
  <si>
    <t>Fenix Danjon</t>
  </si>
  <si>
    <t>FENOMY</t>
  </si>
  <si>
    <t>fenomy</t>
  </si>
  <si>
    <t>Fenomy</t>
  </si>
  <si>
    <t>FERA</t>
  </si>
  <si>
    <t>fera</t>
  </si>
  <si>
    <t>Fera</t>
  </si>
  <si>
    <t>FRT</t>
  </si>
  <si>
    <t>ferret</t>
  </si>
  <si>
    <t>Ferret</t>
  </si>
  <si>
    <t>FRM</t>
  </si>
  <si>
    <t>ferrum-network</t>
  </si>
  <si>
    <t>Ferrum Network</t>
  </si>
  <si>
    <t>fertilizer</t>
  </si>
  <si>
    <t>Fertilizer</t>
  </si>
  <si>
    <t>FESS</t>
  </si>
  <si>
    <t>fess-chain</t>
  </si>
  <si>
    <t>Fesschain</t>
  </si>
  <si>
    <t>FET</t>
  </si>
  <si>
    <t>fetch-ai</t>
  </si>
  <si>
    <t>Fetch.ai</t>
  </si>
  <si>
    <t>FINU</t>
  </si>
  <si>
    <t>fetch-inu</t>
  </si>
  <si>
    <t>Fetch Inu</t>
  </si>
  <si>
    <t>FETH</t>
  </si>
  <si>
    <t>feth</t>
  </si>
  <si>
    <t>fETH</t>
  </si>
  <si>
    <t>FETISH</t>
  </si>
  <si>
    <t>fetish-coin</t>
  </si>
  <si>
    <t>Fetish Coin</t>
  </si>
  <si>
    <t>GOLDZ</t>
  </si>
  <si>
    <t>feudalz-goldz</t>
  </si>
  <si>
    <t>Feudalz Goldz</t>
  </si>
  <si>
    <t>FEY</t>
  </si>
  <si>
    <t>feyorra</t>
  </si>
  <si>
    <t>Feyorra</t>
  </si>
  <si>
    <t>FIA</t>
  </si>
  <si>
    <t>fia-protocol</t>
  </si>
  <si>
    <t>FIA Protocol</t>
  </si>
  <si>
    <t>USD24</t>
  </si>
  <si>
    <t>fiat24-usd</t>
  </si>
  <si>
    <t>Fiat24 USD</t>
  </si>
  <si>
    <t>FDT</t>
  </si>
  <si>
    <t>fiat-dao-token</t>
  </si>
  <si>
    <t>Fiat DAO</t>
  </si>
  <si>
    <t>fibitpro-exchange</t>
  </si>
  <si>
    <t>Fibitpro Exchange</t>
  </si>
  <si>
    <t>FIBO</t>
  </si>
  <si>
    <t>fibodex</t>
  </si>
  <si>
    <t>FiboDex</t>
  </si>
  <si>
    <t>FO</t>
  </si>
  <si>
    <t>fibos</t>
  </si>
  <si>
    <t>FIBOS</t>
  </si>
  <si>
    <t>fibo-token</t>
  </si>
  <si>
    <t>FibSwap DEX</t>
  </si>
  <si>
    <t>FDLS</t>
  </si>
  <si>
    <t>fidelis</t>
  </si>
  <si>
    <t>FIDELIS</t>
  </si>
  <si>
    <t>FEX</t>
  </si>
  <si>
    <t>fidex-exchange</t>
  </si>
  <si>
    <t>FIDEX Exchange</t>
  </si>
  <si>
    <t>FID</t>
  </si>
  <si>
    <t>fidira</t>
  </si>
  <si>
    <t>Fidira</t>
  </si>
  <si>
    <t>FIEF</t>
  </si>
  <si>
    <t>fief</t>
  </si>
  <si>
    <t>Fief</t>
  </si>
  <si>
    <t>FIESTA</t>
  </si>
  <si>
    <t>fiestacoin</t>
  </si>
  <si>
    <t>FiestaCoin</t>
  </si>
  <si>
    <t>FIFTY</t>
  </si>
  <si>
    <t>fiftyonefifty</t>
  </si>
  <si>
    <t>FIFTYONEFIFTY</t>
  </si>
  <si>
    <t>FILDA</t>
  </si>
  <si>
    <t>filda</t>
  </si>
  <si>
    <t>Filda</t>
  </si>
  <si>
    <t>FIC</t>
  </si>
  <si>
    <t>filecash</t>
  </si>
  <si>
    <t>Filecash</t>
  </si>
  <si>
    <t>filecoin</t>
  </si>
  <si>
    <t>SFIL</t>
  </si>
  <si>
    <t>filecoin-standard-full-hashrate</t>
  </si>
  <si>
    <t>Filecoin Standard Full Hashrate</t>
  </si>
  <si>
    <t>FILST</t>
  </si>
  <si>
    <t>filecoin-standard-hashrate-token</t>
  </si>
  <si>
    <t>Filecoin Standard Hashrate</t>
  </si>
  <si>
    <t>FN</t>
  </si>
  <si>
    <t>filenet</t>
  </si>
  <si>
    <t>Filenet</t>
  </si>
  <si>
    <t>filestar</t>
  </si>
  <si>
    <t>FileStar</t>
  </si>
  <si>
    <t>FCP</t>
  </si>
  <si>
    <t>filipcoin</t>
  </si>
  <si>
    <t>Filipcoin</t>
  </si>
  <si>
    <t>FLIKS</t>
  </si>
  <si>
    <t>film-coin</t>
  </si>
  <si>
    <t>Film Coin</t>
  </si>
  <si>
    <t>FIMI</t>
  </si>
  <si>
    <t>fimi-market-inc</t>
  </si>
  <si>
    <t>Fimi Market Inc.</t>
  </si>
  <si>
    <t>FRNT</t>
  </si>
  <si>
    <t>final-frontier</t>
  </si>
  <si>
    <t>Final Frontier</t>
  </si>
  <si>
    <t>FBX</t>
  </si>
  <si>
    <t>finance-blocks</t>
  </si>
  <si>
    <t>Finance Blocks</t>
  </si>
  <si>
    <t>FVT</t>
  </si>
  <si>
    <t>finance-vote</t>
  </si>
  <si>
    <t>Finance Vote</t>
  </si>
  <si>
    <t>FIG</t>
  </si>
  <si>
    <t>financial-intelligence-games</t>
  </si>
  <si>
    <t>Financial Intelligence Games</t>
  </si>
  <si>
    <t>ATBFIG</t>
  </si>
  <si>
    <t>financial-intelligence-group-token</t>
  </si>
  <si>
    <t>Financial Intelligence Group</t>
  </si>
  <si>
    <t>financial-investment-token</t>
  </si>
  <si>
    <t>financio</t>
  </si>
  <si>
    <t>Financio</t>
  </si>
  <si>
    <t>FRA</t>
  </si>
  <si>
    <t>findora</t>
  </si>
  <si>
    <t>Findora</t>
  </si>
  <si>
    <t>FSHIBBY</t>
  </si>
  <si>
    <t>findshibby</t>
  </si>
  <si>
    <t>Findshibby</t>
  </si>
  <si>
    <t>FNB</t>
  </si>
  <si>
    <t>finexbox-token</t>
  </si>
  <si>
    <t>FinexboxToken</t>
  </si>
  <si>
    <t>PRINTS</t>
  </si>
  <si>
    <t>fingerprints</t>
  </si>
  <si>
    <t>FingerprintsDAO</t>
  </si>
  <si>
    <t>FMT</t>
  </si>
  <si>
    <t>finminity</t>
  </si>
  <si>
    <t>Finminity</t>
  </si>
  <si>
    <t>FINO</t>
  </si>
  <si>
    <t>fino-dao</t>
  </si>
  <si>
    <t>FINO DAO</t>
  </si>
  <si>
    <t>FINS</t>
  </si>
  <si>
    <t>fins-token</t>
  </si>
  <si>
    <t>Fins</t>
  </si>
  <si>
    <t>FNTB</t>
  </si>
  <si>
    <t>fintab</t>
  </si>
  <si>
    <t>FinTab</t>
  </si>
  <si>
    <t>FINT</t>
  </si>
  <si>
    <t>fintropy</t>
  </si>
  <si>
    <t>Fintropy</t>
  </si>
  <si>
    <t>FTX</t>
  </si>
  <si>
    <t>fintrux</t>
  </si>
  <si>
    <t>FintruX</t>
  </si>
  <si>
    <t>FXF</t>
  </si>
  <si>
    <t>finxflo</t>
  </si>
  <si>
    <t>FINXFLO</t>
  </si>
  <si>
    <t>FIO</t>
  </si>
  <si>
    <t>fio-protocol</t>
  </si>
  <si>
    <t>FIO Protocol</t>
  </si>
  <si>
    <t>FIRA</t>
  </si>
  <si>
    <t>fira</t>
  </si>
  <si>
    <t>FDO</t>
  </si>
  <si>
    <t>firdaos</t>
  </si>
  <si>
    <t>Firdaos</t>
  </si>
  <si>
    <t>ANTS</t>
  </si>
  <si>
    <t>fireants</t>
  </si>
  <si>
    <t>FireAnts</t>
  </si>
  <si>
    <t>FIRE</t>
  </si>
  <si>
    <t>fireball-2</t>
  </si>
  <si>
    <t>FireBall</t>
  </si>
  <si>
    <t>HOPE</t>
  </si>
  <si>
    <t>firebird-finance</t>
  </si>
  <si>
    <t>Firebird.Finance</t>
  </si>
  <si>
    <t>firebot</t>
  </si>
  <si>
    <t>FireBot</t>
  </si>
  <si>
    <t>fireflame-inu</t>
  </si>
  <si>
    <t>FireFlame Inu</t>
  </si>
  <si>
    <t>FLOT</t>
  </si>
  <si>
    <t>fire-lotto</t>
  </si>
  <si>
    <t>Fire Lotto</t>
  </si>
  <si>
    <t>fire-protocol</t>
  </si>
  <si>
    <t>Fire Protocol</t>
  </si>
  <si>
    <t>FIREROCKET</t>
  </si>
  <si>
    <t>firerocket</t>
  </si>
  <si>
    <t>FireRocket</t>
  </si>
  <si>
    <t>FLAME</t>
  </si>
  <si>
    <t>firestarter</t>
  </si>
  <si>
    <t>FireStarter</t>
  </si>
  <si>
    <t>firetoken</t>
  </si>
  <si>
    <t>Firework Games</t>
  </si>
  <si>
    <t>fire-token-2</t>
  </si>
  <si>
    <t>WOOD</t>
  </si>
  <si>
    <t>firewood</t>
  </si>
  <si>
    <t>Firewood</t>
  </si>
  <si>
    <t>ZARD</t>
  </si>
  <si>
    <t>firezard</t>
  </si>
  <si>
    <t>FireZard</t>
  </si>
  <si>
    <t>firmachain</t>
  </si>
  <si>
    <t>Firmachain</t>
  </si>
  <si>
    <t>FIRSTDOGE</t>
  </si>
  <si>
    <t>firstdoge</t>
  </si>
  <si>
    <t>FirstDoge</t>
  </si>
  <si>
    <t>F11</t>
  </si>
  <si>
    <t>first-eleven</t>
  </si>
  <si>
    <t>First Eleven</t>
  </si>
  <si>
    <t>FEN</t>
  </si>
  <si>
    <t>first-ever-nft</t>
  </si>
  <si>
    <t>First Ever NFT</t>
  </si>
  <si>
    <t>FIRSTHARE</t>
  </si>
  <si>
    <t>firsthare</t>
  </si>
  <si>
    <t>FirstHare</t>
  </si>
  <si>
    <t>first-inu</t>
  </si>
  <si>
    <t>First Inu</t>
  </si>
  <si>
    <t>FIRU</t>
  </si>
  <si>
    <t>firulais</t>
  </si>
  <si>
    <t>Firulais</t>
  </si>
  <si>
    <t>FIWT</t>
  </si>
  <si>
    <t>firulais-wallet-token</t>
  </si>
  <si>
    <t>Firulais Wallet</t>
  </si>
  <si>
    <t>FSCC</t>
  </si>
  <si>
    <t>fisco</t>
  </si>
  <si>
    <t>FISCO Coin</t>
  </si>
  <si>
    <t>FICO</t>
  </si>
  <si>
    <t>fish-crypto</t>
  </si>
  <si>
    <t>Fish Crypto</t>
  </si>
  <si>
    <t>FVP</t>
  </si>
  <si>
    <t>fishervspirate</t>
  </si>
  <si>
    <t>FisherVsPirate</t>
  </si>
  <si>
    <t>FHTN</t>
  </si>
  <si>
    <t>fishing-town</t>
  </si>
  <si>
    <t>Fishing Town</t>
  </si>
  <si>
    <t>GIL</t>
  </si>
  <si>
    <t>fishingtowngiltoken</t>
  </si>
  <si>
    <t>FishingTownGil</t>
  </si>
  <si>
    <t>FTE</t>
  </si>
  <si>
    <t>fishy-tank-token</t>
  </si>
  <si>
    <t>Fishy Tank</t>
  </si>
  <si>
    <t>FIST</t>
  </si>
  <si>
    <t>fistbump</t>
  </si>
  <si>
    <t>Fistbump</t>
  </si>
  <si>
    <t>FTB</t>
  </si>
  <si>
    <t>fit-beat</t>
  </si>
  <si>
    <t>Fit&amp;Beat</t>
  </si>
  <si>
    <t>fitmin</t>
  </si>
  <si>
    <t>Fitmin</t>
  </si>
  <si>
    <t>$FIT</t>
  </si>
  <si>
    <t>fitscrypt</t>
  </si>
  <si>
    <t>FitScrypt</t>
  </si>
  <si>
    <t>fit-token</t>
  </si>
  <si>
    <t>FBN</t>
  </si>
  <si>
    <t>five-balance</t>
  </si>
  <si>
    <t>Fivebalance Coin</t>
  </si>
  <si>
    <t>KMT</t>
  </si>
  <si>
    <t>fivekm-kmt</t>
  </si>
  <si>
    <t>FiveKM KMT</t>
  </si>
  <si>
    <t>FIAT</t>
  </si>
  <si>
    <t>fixed-income-asset-token</t>
  </si>
  <si>
    <t>Fixed Income Asset</t>
  </si>
  <si>
    <t>FXTC</t>
  </si>
  <si>
    <t>fixed-trade-coin</t>
  </si>
  <si>
    <t>Fixed Trade Coin</t>
  </si>
  <si>
    <t>FK</t>
  </si>
  <si>
    <t>fk-coin</t>
  </si>
  <si>
    <t>FK Coin</t>
  </si>
  <si>
    <t>FLAG</t>
  </si>
  <si>
    <t>flag-network</t>
  </si>
  <si>
    <t>Flag Network</t>
  </si>
  <si>
    <t>MENGO</t>
  </si>
  <si>
    <t>flamengo-fan-token</t>
  </si>
  <si>
    <t>Flamengo Fan Token</t>
  </si>
  <si>
    <t>FLM</t>
  </si>
  <si>
    <t>flamingo-finance</t>
  </si>
  <si>
    <t>Flamingo Finance</t>
  </si>
  <si>
    <t>FLPD</t>
  </si>
  <si>
    <t>flappydoge</t>
  </si>
  <si>
    <t>FlappyDoge</t>
  </si>
  <si>
    <t>FLAFLO</t>
  </si>
  <si>
    <t>flappy-floki</t>
  </si>
  <si>
    <t>Flappy Floki</t>
  </si>
  <si>
    <t>FSINU</t>
  </si>
  <si>
    <t>flappy-shiba-inu</t>
  </si>
  <si>
    <t>Flappy Shiba Inu</t>
  </si>
  <si>
    <t>EXFI</t>
  </si>
  <si>
    <t>flare-finance</t>
  </si>
  <si>
    <t>Flare Finance</t>
  </si>
  <si>
    <t>1FLR</t>
  </si>
  <si>
    <t>flare-token</t>
  </si>
  <si>
    <t>Flare</t>
  </si>
  <si>
    <t>FLASH</t>
  </si>
  <si>
    <t>flash-inu</t>
  </si>
  <si>
    <t>Flash Inu</t>
  </si>
  <si>
    <t>flash-token</t>
  </si>
  <si>
    <t>Flash Loans</t>
  </si>
  <si>
    <t>flash-token-2</t>
  </si>
  <si>
    <t>FSXU</t>
  </si>
  <si>
    <t>flashx-ultra</t>
  </si>
  <si>
    <t>FlashX Ultra</t>
  </si>
  <si>
    <t>FLVR</t>
  </si>
  <si>
    <t>flavors-bsc</t>
  </si>
  <si>
    <t>Flavors BSC</t>
  </si>
  <si>
    <t>FLESH</t>
  </si>
  <si>
    <t>flesh-token</t>
  </si>
  <si>
    <t>Flesh</t>
  </si>
  <si>
    <t>FLETA</t>
  </si>
  <si>
    <t>fleta</t>
  </si>
  <si>
    <t>FLEX</t>
  </si>
  <si>
    <t>flex-coin</t>
  </si>
  <si>
    <t>FLEX Coin</t>
  </si>
  <si>
    <t>FLQ</t>
  </si>
  <si>
    <t>flexq</t>
  </si>
  <si>
    <t>FlexQ</t>
  </si>
  <si>
    <t>FLEXUSD</t>
  </si>
  <si>
    <t>flex-usd</t>
  </si>
  <si>
    <t>flexUSD</t>
  </si>
  <si>
    <t>FLN</t>
  </si>
  <si>
    <t>flinch</t>
  </si>
  <si>
    <t>Flinch</t>
  </si>
  <si>
    <t>FLINK</t>
  </si>
  <si>
    <t>flink</t>
  </si>
  <si>
    <t>fLINK</t>
  </si>
  <si>
    <t>flipstar</t>
  </si>
  <si>
    <t>FlipStar</t>
  </si>
  <si>
    <t>FLS</t>
  </si>
  <si>
    <t>flits</t>
  </si>
  <si>
    <t>Flits</t>
  </si>
  <si>
    <t>FLIX</t>
  </si>
  <si>
    <t>flix</t>
  </si>
  <si>
    <t>Flix</t>
  </si>
  <si>
    <t>FLIXX</t>
  </si>
  <si>
    <t>flixxo</t>
  </si>
  <si>
    <t>Flixxo</t>
  </si>
  <si>
    <t>float-protocol</t>
  </si>
  <si>
    <t>Float Protocol</t>
  </si>
  <si>
    <t>FLOAT</t>
  </si>
  <si>
    <t>float-protocol-float</t>
  </si>
  <si>
    <t>Float Protocol: Float</t>
  </si>
  <si>
    <t>FLOCK</t>
  </si>
  <si>
    <t>flock</t>
  </si>
  <si>
    <t>Flock</t>
  </si>
  <si>
    <t>FLOBO</t>
  </si>
  <si>
    <t>flokibonk</t>
  </si>
  <si>
    <t>FlokiBonk</t>
  </si>
  <si>
    <t>FBRO</t>
  </si>
  <si>
    <t>flokibro</t>
  </si>
  <si>
    <t>FlokiBro</t>
  </si>
  <si>
    <t>FLOKICOKE</t>
  </si>
  <si>
    <t>flokicoke</t>
  </si>
  <si>
    <t>FlokiCoke</t>
  </si>
  <si>
    <t>$FLOGE</t>
  </si>
  <si>
    <t>flokidoge</t>
  </si>
  <si>
    <t>Flokidoge</t>
  </si>
  <si>
    <t>FLOKIFRUNKPUPPY</t>
  </si>
  <si>
    <t>flokifrunkpuppy</t>
  </si>
  <si>
    <t>FlokiFrunkPuppy</t>
  </si>
  <si>
    <t>GAINZ</t>
  </si>
  <si>
    <t>flokigainz</t>
  </si>
  <si>
    <t>FlokiGainz</t>
  </si>
  <si>
    <t>floki-inu</t>
  </si>
  <si>
    <t>Floki Inu</t>
  </si>
  <si>
    <t>MILLIONS</t>
  </si>
  <si>
    <t>floki-millions</t>
  </si>
  <si>
    <t>Floki Millions</t>
  </si>
  <si>
    <t>FLOKIMONK</t>
  </si>
  <si>
    <t>floki-monk</t>
  </si>
  <si>
    <t>Floki Monk</t>
  </si>
  <si>
    <t>FLOKIM</t>
  </si>
  <si>
    <t>flokimooni</t>
  </si>
  <si>
    <t>Flokimooni</t>
  </si>
  <si>
    <t>floki-musk</t>
  </si>
  <si>
    <t>Floki Musk</t>
  </si>
  <si>
    <t>FLOKIPAD</t>
  </si>
  <si>
    <t>flokipad</t>
  </si>
  <si>
    <t>FlokiPad</t>
  </si>
  <si>
    <t>FLOKIPUP</t>
  </si>
  <si>
    <t>floki-pup</t>
  </si>
  <si>
    <t>Floki Pup</t>
  </si>
  <si>
    <t>FLOKIRAI</t>
  </si>
  <si>
    <t>flokirai</t>
  </si>
  <si>
    <t>Flokirai</t>
  </si>
  <si>
    <t>RKF</t>
  </si>
  <si>
    <t>flokirocket</t>
  </si>
  <si>
    <t>FlokiRocket</t>
  </si>
  <si>
    <t>RLOKI</t>
  </si>
  <si>
    <t>floki-rocket</t>
  </si>
  <si>
    <t>Floki Rocket</t>
  </si>
  <si>
    <t>FSHIB</t>
  </si>
  <si>
    <t>floki-shiba</t>
  </si>
  <si>
    <t>Floki Shiba</t>
  </si>
  <si>
    <t>FLISHU</t>
  </si>
  <si>
    <t>flokishu</t>
  </si>
  <si>
    <t>FloKishu</t>
  </si>
  <si>
    <t>FLOKIS</t>
  </si>
  <si>
    <t>flokiswap</t>
  </si>
  <si>
    <t>FlokiSwap</t>
  </si>
  <si>
    <t>FLOKIV</t>
  </si>
  <si>
    <t>flokiverse</t>
  </si>
  <si>
    <t>Flokiverse</t>
  </si>
  <si>
    <t>FLOKIZ</t>
  </si>
  <si>
    <t>flokizap</t>
  </si>
  <si>
    <t>FlokiZap</t>
  </si>
  <si>
    <t>FLOOF</t>
  </si>
  <si>
    <t>floof</t>
  </si>
  <si>
    <t>FLOOR</t>
  </si>
  <si>
    <t>floordao</t>
  </si>
  <si>
    <t>FloorDAO</t>
  </si>
  <si>
    <t>FMAN</t>
  </si>
  <si>
    <t>florida-man</t>
  </si>
  <si>
    <t>Florida Man</t>
  </si>
  <si>
    <t>XFL</t>
  </si>
  <si>
    <t>florin</t>
  </si>
  <si>
    <t>Florin</t>
  </si>
  <si>
    <t>FLOSHIN</t>
  </si>
  <si>
    <t>floshin</t>
  </si>
  <si>
    <t>Floshin</t>
  </si>
  <si>
    <t>FLRS</t>
  </si>
  <si>
    <t>flourish-coin</t>
  </si>
  <si>
    <t>Flourish Coin</t>
  </si>
  <si>
    <t>flourishing-ai-token</t>
  </si>
  <si>
    <t>Flourishing AI</t>
  </si>
  <si>
    <t>flow</t>
  </si>
  <si>
    <t>FLC</t>
  </si>
  <si>
    <t>flowchaincoin</t>
  </si>
  <si>
    <t>Flowchain</t>
  </si>
  <si>
    <t>flowcom</t>
  </si>
  <si>
    <t>FlowCom</t>
  </si>
  <si>
    <t>flower</t>
  </si>
  <si>
    <t>Flower</t>
  </si>
  <si>
    <t>flower-solana</t>
  </si>
  <si>
    <t>Flower Solana</t>
  </si>
  <si>
    <t>FLOYX</t>
  </si>
  <si>
    <t>floyx</t>
  </si>
  <si>
    <t>Floyx</t>
  </si>
  <si>
    <t>FLUF</t>
  </si>
  <si>
    <t>fluffy-coin</t>
  </si>
  <si>
    <t>Fluffy Coin</t>
  </si>
  <si>
    <t>FLUFFY</t>
  </si>
  <si>
    <t>fluffy-inu</t>
  </si>
  <si>
    <t>Fluffy Inu</t>
  </si>
  <si>
    <t>FLD</t>
  </si>
  <si>
    <t>fluid</t>
  </si>
  <si>
    <t>FLUID</t>
  </si>
  <si>
    <t>fluidfi</t>
  </si>
  <si>
    <t>FluidFi</t>
  </si>
  <si>
    <t>FLURRY</t>
  </si>
  <si>
    <t>flurry</t>
  </si>
  <si>
    <t>Flurry Finance</t>
  </si>
  <si>
    <t>FLUX</t>
  </si>
  <si>
    <t>flux</t>
  </si>
  <si>
    <t>Datamine FLUX</t>
  </si>
  <si>
    <t>fluxchain</t>
  </si>
  <si>
    <t>FLUXchain</t>
  </si>
  <si>
    <t>flux-protocol</t>
  </si>
  <si>
    <t>Flux Protocol</t>
  </si>
  <si>
    <t>flux-token</t>
  </si>
  <si>
    <t>FluxProtocol</t>
  </si>
  <si>
    <t>FLY</t>
  </si>
  <si>
    <t>flyapy</t>
  </si>
  <si>
    <t>FlyApy</t>
  </si>
  <si>
    <t>OURS</t>
  </si>
  <si>
    <t>flying-colours</t>
  </si>
  <si>
    <t>Flying Colours</t>
  </si>
  <si>
    <t>STICKY</t>
  </si>
  <si>
    <t>flypaper</t>
  </si>
  <si>
    <t>FlyPaper</t>
  </si>
  <si>
    <t>FYP</t>
  </si>
  <si>
    <t>flypme</t>
  </si>
  <si>
    <t>FlypMe</t>
  </si>
  <si>
    <t>FME</t>
  </si>
  <si>
    <t>fme</t>
  </si>
  <si>
    <t>FMG</t>
  </si>
  <si>
    <t>fm-gallery</t>
  </si>
  <si>
    <t>FM Gallery</t>
  </si>
  <si>
    <t>fnb-protocol</t>
  </si>
  <si>
    <t>FNB Protocol</t>
  </si>
  <si>
    <t>FNDZ</t>
  </si>
  <si>
    <t>fndz-token</t>
  </si>
  <si>
    <t>FNK</t>
  </si>
  <si>
    <t>fnkcom</t>
  </si>
  <si>
    <t>Fnk.com</t>
  </si>
  <si>
    <t>FOAM</t>
  </si>
  <si>
    <t>foam-protocol</t>
  </si>
  <si>
    <t>FODL</t>
  </si>
  <si>
    <t>fodl-finance</t>
  </si>
  <si>
    <t>Fodl Finance</t>
  </si>
  <si>
    <t>FOHO</t>
  </si>
  <si>
    <t>foho-coin</t>
  </si>
  <si>
    <t>Foho Coin</t>
  </si>
  <si>
    <t>FOIN</t>
  </si>
  <si>
    <t>foincoin</t>
  </si>
  <si>
    <t>Foin</t>
  </si>
  <si>
    <t>FOL</t>
  </si>
  <si>
    <t>folder-protocol</t>
  </si>
  <si>
    <t>Folder Protocol</t>
  </si>
  <si>
    <t>FOLO</t>
  </si>
  <si>
    <t>follow-token</t>
  </si>
  <si>
    <t>Alpha Impact</t>
  </si>
  <si>
    <t>FOMOBABY</t>
  </si>
  <si>
    <t>fomo-baby</t>
  </si>
  <si>
    <t>FOMO BABY</t>
  </si>
  <si>
    <t>OTAKU</t>
  </si>
  <si>
    <t>fomo-chronicles-manga</t>
  </si>
  <si>
    <t>FOMO Chronicles Manga</t>
  </si>
  <si>
    <t>FOMOETH</t>
  </si>
  <si>
    <t>fomoeth</t>
  </si>
  <si>
    <t>FomoETH</t>
  </si>
  <si>
    <t>fomo-pot</t>
  </si>
  <si>
    <t>FOMO Pot</t>
  </si>
  <si>
    <t>FOMP</t>
  </si>
  <si>
    <t>fompound</t>
  </si>
  <si>
    <t>Fompound</t>
  </si>
  <si>
    <t>FONE</t>
  </si>
  <si>
    <t>fone</t>
  </si>
  <si>
    <t>Fone</t>
  </si>
  <si>
    <t>FONT</t>
  </si>
  <si>
    <t>font</t>
  </si>
  <si>
    <t>Font</t>
  </si>
  <si>
    <t>FOOD</t>
  </si>
  <si>
    <t>food-bank</t>
  </si>
  <si>
    <t>Food Bank</t>
  </si>
  <si>
    <t>foodchain-global</t>
  </si>
  <si>
    <t>FoodChain Global</t>
  </si>
  <si>
    <t>FFF</t>
  </si>
  <si>
    <t>food-farmer-finance</t>
  </si>
  <si>
    <t>Food Farmer Finance</t>
  </si>
  <si>
    <t>XFC</t>
  </si>
  <si>
    <t>football-coin</t>
  </si>
  <si>
    <t>Football Coin</t>
  </si>
  <si>
    <t>FANTA</t>
  </si>
  <si>
    <t>football-fantasy-pro</t>
  </si>
  <si>
    <t>Football Fantasy Pro</t>
  </si>
  <si>
    <t>FGSPORT</t>
  </si>
  <si>
    <t>footballgo</t>
  </si>
  <si>
    <t>FootBallGo</t>
  </si>
  <si>
    <t>footballstars</t>
  </si>
  <si>
    <t>FootballStars</t>
  </si>
  <si>
    <t>FOOTIE</t>
  </si>
  <si>
    <t>footie-plus</t>
  </si>
  <si>
    <t>Footie Plus</t>
  </si>
  <si>
    <t>FBS</t>
  </si>
  <si>
    <t>forbitspace</t>
  </si>
  <si>
    <t>Forbitspace</t>
  </si>
  <si>
    <t>FCB</t>
  </si>
  <si>
    <t>forcecowboy</t>
  </si>
  <si>
    <t>ForceCowBoy</t>
  </si>
  <si>
    <t>force-for-fast</t>
  </si>
  <si>
    <t>Force For Fast</t>
  </si>
  <si>
    <t>FOR</t>
  </si>
  <si>
    <t>force-protocol</t>
  </si>
  <si>
    <t>ForTube</t>
  </si>
  <si>
    <t>FF</t>
  </si>
  <si>
    <t>forefront</t>
  </si>
  <si>
    <t>Forefront</t>
  </si>
  <si>
    <t>FORS</t>
  </si>
  <si>
    <t>foresight</t>
  </si>
  <si>
    <t>Foresight</t>
  </si>
  <si>
    <t>forest-knight</t>
  </si>
  <si>
    <t>Forest Knight</t>
  </si>
  <si>
    <t>FEB</t>
  </si>
  <si>
    <t>foreverblast</t>
  </si>
  <si>
    <t>ForeverBlast</t>
  </si>
  <si>
    <t>foreverbnb</t>
  </si>
  <si>
    <t>ForeverBNB</t>
  </si>
  <si>
    <t>FOREVERFOMO</t>
  </si>
  <si>
    <t>foreverfomo</t>
  </si>
  <si>
    <t>ForeverFOMO</t>
  </si>
  <si>
    <t>FOREVERPUMP</t>
  </si>
  <si>
    <t>forever-pump</t>
  </si>
  <si>
    <t>Forever Pump</t>
  </si>
  <si>
    <t>FOREX</t>
  </si>
  <si>
    <t>forexcoin</t>
  </si>
  <si>
    <t>FOREXCOIN</t>
  </si>
  <si>
    <t>FORGE</t>
  </si>
  <si>
    <t>forge-finance</t>
  </si>
  <si>
    <t>Forge Finance</t>
  </si>
  <si>
    <t>FORINT</t>
  </si>
  <si>
    <t>forint</t>
  </si>
  <si>
    <t>Forint</t>
  </si>
  <si>
    <t>for-loot-and-glory</t>
  </si>
  <si>
    <t>For Loot And Glory</t>
  </si>
  <si>
    <t>FORM</t>
  </si>
  <si>
    <t>formation-fi</t>
  </si>
  <si>
    <t>Formation FI</t>
  </si>
  <si>
    <t>FML</t>
  </si>
  <si>
    <t>formula</t>
  </si>
  <si>
    <t>FormulA</t>
  </si>
  <si>
    <t>FPUMP</t>
  </si>
  <si>
    <t>forrest-pump</t>
  </si>
  <si>
    <t>Forrest Pump</t>
  </si>
  <si>
    <t>FORT</t>
  </si>
  <si>
    <t>forta</t>
  </si>
  <si>
    <t>Forta</t>
  </si>
  <si>
    <t>forthbox</t>
  </si>
  <si>
    <t>ForthBox</t>
  </si>
  <si>
    <t>KNOX</t>
  </si>
  <si>
    <t>fortknox</t>
  </si>
  <si>
    <t>FortKnox</t>
  </si>
  <si>
    <t>FKX</t>
  </si>
  <si>
    <t>fortknoxter</t>
  </si>
  <si>
    <t>FortKnoxster</t>
  </si>
  <si>
    <t>fortress</t>
  </si>
  <si>
    <t>Fortress Loans</t>
  </si>
  <si>
    <t>fortressdao</t>
  </si>
  <si>
    <t>Fortress</t>
  </si>
  <si>
    <t>FOTA</t>
  </si>
  <si>
    <t>fortuna</t>
  </si>
  <si>
    <t>Fortuna</t>
  </si>
  <si>
    <t>fortuna-sittard-fan-token</t>
  </si>
  <si>
    <t>Fortuna Sittard Fan Token</t>
  </si>
  <si>
    <t>FORTUNE</t>
  </si>
  <si>
    <t>fortune</t>
  </si>
  <si>
    <t>Fortune</t>
  </si>
  <si>
    <t>FRTN</t>
  </si>
  <si>
    <t>fortune-finance</t>
  </si>
  <si>
    <t>Fortune Finance</t>
  </si>
  <si>
    <t>forus</t>
  </si>
  <si>
    <t>Forus</t>
  </si>
  <si>
    <t>FOSSIL</t>
  </si>
  <si>
    <t>fossil</t>
  </si>
  <si>
    <t>Fossil</t>
  </si>
  <si>
    <t>foundation-eth</t>
  </si>
  <si>
    <t>Foundation ETH</t>
  </si>
  <si>
    <t>FRY</t>
  </si>
  <si>
    <t>foundrydao-logistics</t>
  </si>
  <si>
    <t>FoundryDAO Logistics</t>
  </si>
  <si>
    <t>FTP</t>
  </si>
  <si>
    <t>fountain-protocol</t>
  </si>
  <si>
    <t>Fountain Protocol</t>
  </si>
  <si>
    <t>fox</t>
  </si>
  <si>
    <t>Fox</t>
  </si>
  <si>
    <t>FBB</t>
  </si>
  <si>
    <t>foxboy</t>
  </si>
  <si>
    <t>Foxboy</t>
  </si>
  <si>
    <t>FOXD</t>
  </si>
  <si>
    <t>foxdcoin</t>
  </si>
  <si>
    <t>Foxdcoin</t>
  </si>
  <si>
    <t>fox-finance</t>
  </si>
  <si>
    <t>Fox Finance</t>
  </si>
  <si>
    <t>FOXGIRL</t>
  </si>
  <si>
    <t>foxgirl</t>
  </si>
  <si>
    <t>FoxGirl</t>
  </si>
  <si>
    <t>FOXT</t>
  </si>
  <si>
    <t>fox-trading-token</t>
  </si>
  <si>
    <t>FOXY</t>
  </si>
  <si>
    <t>foxy-equilibrium</t>
  </si>
  <si>
    <t>Foxy Equilibrium</t>
  </si>
  <si>
    <t>FQS</t>
  </si>
  <si>
    <t>fqswap</t>
  </si>
  <si>
    <t>FqSwap</t>
  </si>
  <si>
    <t>FCL</t>
  </si>
  <si>
    <t>fractal</t>
  </si>
  <si>
    <t>Fractal</t>
  </si>
  <si>
    <t>FRACTION</t>
  </si>
  <si>
    <t>fraction</t>
  </si>
  <si>
    <t>Fraction</t>
  </si>
  <si>
    <t>DAOJONES</t>
  </si>
  <si>
    <t>fractionalized-smb-2367</t>
  </si>
  <si>
    <t>Fractionalized SMB-2367</t>
  </si>
  <si>
    <t>WAV</t>
  </si>
  <si>
    <t>fractionalized-wave-999</t>
  </si>
  <si>
    <t>Fractionalized WAVE-999</t>
  </si>
  <si>
    <t>fractionmeta</t>
  </si>
  <si>
    <t>FractionMeta</t>
  </si>
  <si>
    <t>FOA</t>
  </si>
  <si>
    <t>fragments-of-arker</t>
  </si>
  <si>
    <t>Fragments of Arker</t>
  </si>
  <si>
    <t>FRAK</t>
  </si>
  <si>
    <t>fraktal</t>
  </si>
  <si>
    <t>Fraktal</t>
  </si>
  <si>
    <t>THUG</t>
  </si>
  <si>
    <t>fraktionalized-thug-2856</t>
  </si>
  <si>
    <t>Fraktionalized THUG 2856</t>
  </si>
  <si>
    <t>FRKT</t>
  </si>
  <si>
    <t>frakt-token</t>
  </si>
  <si>
    <t>FRAKT</t>
  </si>
  <si>
    <t>FRF</t>
  </si>
  <si>
    <t>france-rev-finance</t>
  </si>
  <si>
    <t>France REV Finance</t>
  </si>
  <si>
    <t>FRANK</t>
  </si>
  <si>
    <t>frankenstein-finance</t>
  </si>
  <si>
    <t>Frankenstein Finance</t>
  </si>
  <si>
    <t>frank-inu</t>
  </si>
  <si>
    <t>Frank Inu</t>
  </si>
  <si>
    <t>franklin</t>
  </si>
  <si>
    <t>Franklin</t>
  </si>
  <si>
    <t>FRAT</t>
  </si>
  <si>
    <t>frat</t>
  </si>
  <si>
    <t>Frat</t>
  </si>
  <si>
    <t>frax</t>
  </si>
  <si>
    <t>FPI</t>
  </si>
  <si>
    <t>frax-price-index</t>
  </si>
  <si>
    <t>Frax Price Index</t>
  </si>
  <si>
    <t>FPIS</t>
  </si>
  <si>
    <t>frax-price-index-share</t>
  </si>
  <si>
    <t>Frax Price Index Share</t>
  </si>
  <si>
    <t>FXS</t>
  </si>
  <si>
    <t>frax-share</t>
  </si>
  <si>
    <t>Frax Share</t>
  </si>
  <si>
    <t>frax-share-wormhole</t>
  </si>
  <si>
    <t>Frax Share (Wormhole)</t>
  </si>
  <si>
    <t>frax-wormhole</t>
  </si>
  <si>
    <t>Frax (Wormhole)</t>
  </si>
  <si>
    <t>FRED</t>
  </si>
  <si>
    <t>fredenergy</t>
  </si>
  <si>
    <t>FRED Energy</t>
  </si>
  <si>
    <t>freecash</t>
  </si>
  <si>
    <t>Freecash</t>
  </si>
  <si>
    <t>FDM</t>
  </si>
  <si>
    <t>freedom</t>
  </si>
  <si>
    <t>Freedom</t>
  </si>
  <si>
    <t>FREE</t>
  </si>
  <si>
    <t>freedom-22-dao</t>
  </si>
  <si>
    <t>Freedom 22 DAO</t>
  </si>
  <si>
    <t>FREED</t>
  </si>
  <si>
    <t>freedomcoin</t>
  </si>
  <si>
    <t>Freedomcoin</t>
  </si>
  <si>
    <t>freedom-coin</t>
  </si>
  <si>
    <t>FREEdom coin</t>
  </si>
  <si>
    <t>FGD</t>
  </si>
  <si>
    <t>freedom-god-dao</t>
  </si>
  <si>
    <t>Freedom God DAO</t>
  </si>
  <si>
    <t>$FJB</t>
  </si>
  <si>
    <t>freedom-jobs-business</t>
  </si>
  <si>
    <t>Freedom. Jobs. Business</t>
  </si>
  <si>
    <t>FR</t>
  </si>
  <si>
    <t>freedom-reserve</t>
  </si>
  <si>
    <t>Freedom Reserve</t>
  </si>
  <si>
    <t>FREL</t>
  </si>
  <si>
    <t>freela</t>
  </si>
  <si>
    <t>Freela</t>
  </si>
  <si>
    <t>FL</t>
  </si>
  <si>
    <t>freeliquid</t>
  </si>
  <si>
    <t>Freeliquid</t>
  </si>
  <si>
    <t>FREEMOON</t>
  </si>
  <si>
    <t>freemoon</t>
  </si>
  <si>
    <t>Freemoon</t>
  </si>
  <si>
    <t>freemoon-token</t>
  </si>
  <si>
    <t>Freemoon Token</t>
  </si>
  <si>
    <t>FREEDOM</t>
  </si>
  <si>
    <t>free-novak</t>
  </si>
  <si>
    <t>Free Novak</t>
  </si>
  <si>
    <t>freerossdao</t>
  </si>
  <si>
    <t>FreeRossDAO</t>
  </si>
  <si>
    <t>FWT</t>
  </si>
  <si>
    <t>FRC</t>
  </si>
  <si>
    <t>freicoin</t>
  </si>
  <si>
    <t>Freicoin</t>
  </si>
  <si>
    <t>EDI</t>
  </si>
  <si>
    <t>freight-trust-network</t>
  </si>
  <si>
    <t>Freight Trust Network</t>
  </si>
  <si>
    <t>FREN</t>
  </si>
  <si>
    <t>fren</t>
  </si>
  <si>
    <t>FCF</t>
  </si>
  <si>
    <t>french-connection-finance</t>
  </si>
  <si>
    <t>French Connection Finance</t>
  </si>
  <si>
    <t>FDR</t>
  </si>
  <si>
    <t>french-digital-reserve</t>
  </si>
  <si>
    <t>French Digital Reserve</t>
  </si>
  <si>
    <t>frenchie</t>
  </si>
  <si>
    <t>Frenchie</t>
  </si>
  <si>
    <t>frencoin</t>
  </si>
  <si>
    <t>FrenCoin</t>
  </si>
  <si>
    <t>FZY</t>
  </si>
  <si>
    <t>frenzy</t>
  </si>
  <si>
    <t>Frenzy</t>
  </si>
  <si>
    <t>FCD</t>
  </si>
  <si>
    <t>freshcut-diamond</t>
  </si>
  <si>
    <t>FreshCut Diamond</t>
  </si>
  <si>
    <t>FREY</t>
  </si>
  <si>
    <t>frey</t>
  </si>
  <si>
    <t>Frey</t>
  </si>
  <si>
    <t>XYA</t>
  </si>
  <si>
    <t>freyala</t>
  </si>
  <si>
    <t>GameFi Crossing</t>
  </si>
  <si>
    <t>FWB</t>
  </si>
  <si>
    <t>friends-with-benefits-pro</t>
  </si>
  <si>
    <t>Friends With Benefits Pro</t>
  </si>
  <si>
    <t>FDZ</t>
  </si>
  <si>
    <t>friendz</t>
  </si>
  <si>
    <t>Friendz</t>
  </si>
  <si>
    <t>FRIES</t>
  </si>
  <si>
    <t>friesdao</t>
  </si>
  <si>
    <t>friesDAO</t>
  </si>
  <si>
    <t>FRIN</t>
  </si>
  <si>
    <t>fringe-finance</t>
  </si>
  <si>
    <t>Fringe Finance</t>
  </si>
  <si>
    <t>FRMX</t>
  </si>
  <si>
    <t>frmx-token</t>
  </si>
  <si>
    <t>FROG</t>
  </si>
  <si>
    <t>frog</t>
  </si>
  <si>
    <t>Frog</t>
  </si>
  <si>
    <t>FROGEX</t>
  </si>
  <si>
    <t>froge-finance</t>
  </si>
  <si>
    <t>FrogeX</t>
  </si>
  <si>
    <t>FROGGIES</t>
  </si>
  <si>
    <t>froggies-token</t>
  </si>
  <si>
    <t>Froggies</t>
  </si>
  <si>
    <t>frog-nation-farm</t>
  </si>
  <si>
    <t>Frog Nation Farm</t>
  </si>
  <si>
    <t>frogswap</t>
  </si>
  <si>
    <t>FrogSwap</t>
  </si>
  <si>
    <t>FRONT</t>
  </si>
  <si>
    <t>frontier-token</t>
  </si>
  <si>
    <t>Frontier</t>
  </si>
  <si>
    <t>frontier-token-wormhole</t>
  </si>
  <si>
    <t>Frontier Token (Wormhole)</t>
  </si>
  <si>
    <t>FRR</t>
  </si>
  <si>
    <t>front-row</t>
  </si>
  <si>
    <t>Frontrow</t>
  </si>
  <si>
    <t>FROST</t>
  </si>
  <si>
    <t>frost</t>
  </si>
  <si>
    <t>Frost</t>
  </si>
  <si>
    <t>FROSTEDCAKE</t>
  </si>
  <si>
    <t>frosted-cake</t>
  </si>
  <si>
    <t>Frosted Cake</t>
  </si>
  <si>
    <t>FROSTYFLOKI</t>
  </si>
  <si>
    <t>frosty-floki-v2</t>
  </si>
  <si>
    <t>Frosty Floki V2</t>
  </si>
  <si>
    <t>FROYO</t>
  </si>
  <si>
    <t>froyo-games</t>
  </si>
  <si>
    <t>Froyo Games</t>
  </si>
  <si>
    <t>FTOMB</t>
  </si>
  <si>
    <t>frozentomb</t>
  </si>
  <si>
    <t>Frozentomb</t>
  </si>
  <si>
    <t>frozentomb-lot</t>
  </si>
  <si>
    <t>Frozentomb LOT</t>
  </si>
  <si>
    <t>FRUIT</t>
  </si>
  <si>
    <t>fruit</t>
  </si>
  <si>
    <t>Fruit</t>
  </si>
  <si>
    <t>FOOFIGHT</t>
  </si>
  <si>
    <t>fruit-fighters</t>
  </si>
  <si>
    <t>Fruit Fighters</t>
  </si>
  <si>
    <t>FRTS</t>
  </si>
  <si>
    <t>fruits</t>
  </si>
  <si>
    <t>Fruits</t>
  </si>
  <si>
    <t>FRZSS</t>
  </si>
  <si>
    <t>frz-solar-system</t>
  </si>
  <si>
    <t>Frz Solar System</t>
  </si>
  <si>
    <t>FSDCOIN</t>
  </si>
  <si>
    <t>fsd-coin</t>
  </si>
  <si>
    <t>FSD Coin</t>
  </si>
  <si>
    <t>FSN</t>
  </si>
  <si>
    <t>fsn</t>
  </si>
  <si>
    <t>FUSION</t>
  </si>
  <si>
    <t>FSW</t>
  </si>
  <si>
    <t>fsw-token</t>
  </si>
  <si>
    <t>Falconswap</t>
  </si>
  <si>
    <t>ftm-guru</t>
  </si>
  <si>
    <t>ftm.guru</t>
  </si>
  <si>
    <t>FTML</t>
  </si>
  <si>
    <t>ftmlaunch</t>
  </si>
  <si>
    <t>FTMlaunch</t>
  </si>
  <si>
    <t>FTMP</t>
  </si>
  <si>
    <t>ftmpay</t>
  </si>
  <si>
    <t>FTMPay</t>
  </si>
  <si>
    <t>F2C</t>
  </si>
  <si>
    <t>ftribe-fighters</t>
  </si>
  <si>
    <t>Ftribe Fighters</t>
  </si>
  <si>
    <t>ftx-token</t>
  </si>
  <si>
    <t>ftx-wormhole</t>
  </si>
  <si>
    <t>FTX (Wormhole)</t>
  </si>
  <si>
    <t>FUBUKI</t>
  </si>
  <si>
    <t>fubuki</t>
  </si>
  <si>
    <t>Fubuki</t>
  </si>
  <si>
    <t>fudcoin-official</t>
  </si>
  <si>
    <t>FUDcoin Official</t>
  </si>
  <si>
    <t>fuel-token</t>
  </si>
  <si>
    <t>Jetfuel Finance</t>
  </si>
  <si>
    <t>FUFU</t>
  </si>
  <si>
    <t>fufu</t>
  </si>
  <si>
    <t>Fufu</t>
  </si>
  <si>
    <t>FUJI</t>
  </si>
  <si>
    <t>fuji</t>
  </si>
  <si>
    <t>Fuji</t>
  </si>
  <si>
    <t>FJT</t>
  </si>
  <si>
    <t>fujitoken</t>
  </si>
  <si>
    <t>Fuji FJT</t>
  </si>
  <si>
    <t>FUMA</t>
  </si>
  <si>
    <t>fuma-finance</t>
  </si>
  <si>
    <t>Fuma Finance</t>
  </si>
  <si>
    <t>FUM</t>
  </si>
  <si>
    <t>fumoney</t>
  </si>
  <si>
    <t>FUMoney</t>
  </si>
  <si>
    <t>FULA</t>
  </si>
  <si>
    <t>functionland</t>
  </si>
  <si>
    <t>Functionland</t>
  </si>
  <si>
    <t>FMTA</t>
  </si>
  <si>
    <t>fundamenta</t>
  </si>
  <si>
    <t>Fundamenta</t>
  </si>
  <si>
    <t>FUNDX</t>
  </si>
  <si>
    <t>funder-one</t>
  </si>
  <si>
    <t>Funder One</t>
  </si>
  <si>
    <t>FOY</t>
  </si>
  <si>
    <t>fund-of-yours</t>
  </si>
  <si>
    <t>Fund Of Yours</t>
  </si>
  <si>
    <t>FND</t>
  </si>
  <si>
    <t>fundum</t>
  </si>
  <si>
    <t>Fundum</t>
  </si>
  <si>
    <t>FUN</t>
  </si>
  <si>
    <t>funfair</t>
  </si>
  <si>
    <t>FNG</t>
  </si>
  <si>
    <t>fungie-dao</t>
  </si>
  <si>
    <t>Fungie DAO</t>
  </si>
  <si>
    <t>COMBO</t>
  </si>
  <si>
    <t>furucombo</t>
  </si>
  <si>
    <t>Furucombo</t>
  </si>
  <si>
    <t>FUKU</t>
  </si>
  <si>
    <t>furukuru</t>
  </si>
  <si>
    <t>Furukuru</t>
  </si>
  <si>
    <t>fuse-doge</t>
  </si>
  <si>
    <t>Fuse Doge</t>
  </si>
  <si>
    <t>fuse-dollar</t>
  </si>
  <si>
    <t>Fuse Dollar</t>
  </si>
  <si>
    <t>fusefi</t>
  </si>
  <si>
    <t>Voltage Finance</t>
  </si>
  <si>
    <t>FUSE</t>
  </si>
  <si>
    <t>fuse-network-token</t>
  </si>
  <si>
    <t>Fuse</t>
  </si>
  <si>
    <t>FUSII</t>
  </si>
  <si>
    <t>fusible</t>
  </si>
  <si>
    <t>Fusible</t>
  </si>
  <si>
    <t>FTXT</t>
  </si>
  <si>
    <t>futurax</t>
  </si>
  <si>
    <t>FUTURAX</t>
  </si>
  <si>
    <t>FTR</t>
  </si>
  <si>
    <t>future</t>
  </si>
  <si>
    <t>Future</t>
  </si>
  <si>
    <t>F1C</t>
  </si>
  <si>
    <t>future1coin</t>
  </si>
  <si>
    <t>Future1Coin</t>
  </si>
  <si>
    <t>FUTURE</t>
  </si>
  <si>
    <t>futurecoin</t>
  </si>
  <si>
    <t>FutureCoin</t>
  </si>
  <si>
    <t>FUFI</t>
  </si>
  <si>
    <t>futurefi</t>
  </si>
  <si>
    <t>FutureFi</t>
  </si>
  <si>
    <t>FRET</t>
  </si>
  <si>
    <t>future-real-estate-token</t>
  </si>
  <si>
    <t>Future Real Estate</t>
  </si>
  <si>
    <t>futurescash</t>
  </si>
  <si>
    <t>FuturesCash</t>
  </si>
  <si>
    <t>futurescoin</t>
  </si>
  <si>
    <t>FuturesCoin</t>
  </si>
  <si>
    <t>FSTAR</t>
  </si>
  <si>
    <t>future-star</t>
  </si>
  <si>
    <t>Future Star</t>
  </si>
  <si>
    <t>futureswap</t>
  </si>
  <si>
    <t>Futureswap</t>
  </si>
  <si>
    <t>FTO</t>
  </si>
  <si>
    <t>futurocoin</t>
  </si>
  <si>
    <t>FuturoCoin</t>
  </si>
  <si>
    <t>FUZE</t>
  </si>
  <si>
    <t>fuze-token</t>
  </si>
  <si>
    <t>FUZE Token</t>
  </si>
  <si>
    <t>FXT</t>
  </si>
  <si>
    <t>fuzex</t>
  </si>
  <si>
    <t>FuzeX</t>
  </si>
  <si>
    <t>FUZZ</t>
  </si>
  <si>
    <t>fuzzballs</t>
  </si>
  <si>
    <t>FuzzBalls</t>
  </si>
  <si>
    <t>fuzz-finance</t>
  </si>
  <si>
    <t>Fuzz Finance</t>
  </si>
  <si>
    <t>fwar-finance</t>
  </si>
  <si>
    <t>Fwar Finance</t>
  </si>
  <si>
    <t>FX</t>
  </si>
  <si>
    <t>fx-coin</t>
  </si>
  <si>
    <t>Function X</t>
  </si>
  <si>
    <t>FXP</t>
  </si>
  <si>
    <t>fxpay</t>
  </si>
  <si>
    <t>FXPay</t>
  </si>
  <si>
    <t>fxt-token</t>
  </si>
  <si>
    <t>FXL</t>
  </si>
  <si>
    <t>fxwallet</t>
  </si>
  <si>
    <t>FXWallet</t>
  </si>
  <si>
    <t>FYD</t>
  </si>
  <si>
    <t>fydcoin</t>
  </si>
  <si>
    <t>FYDcoin</t>
  </si>
  <si>
    <t>FYZ</t>
  </si>
  <si>
    <t>fyooz</t>
  </si>
  <si>
    <t>Fyooz</t>
  </si>
  <si>
    <t>G999</t>
  </si>
  <si>
    <t>g999</t>
  </si>
  <si>
    <t>GABECOIN</t>
  </si>
  <si>
    <t>gabecoin</t>
  </si>
  <si>
    <t>Gabecoin</t>
  </si>
  <si>
    <t>GAC</t>
  </si>
  <si>
    <t>gacube</t>
  </si>
  <si>
    <t>GACUBE</t>
  </si>
  <si>
    <t>GWAR</t>
  </si>
  <si>
    <t>gadget-war</t>
  </si>
  <si>
    <t>Gadget War</t>
  </si>
  <si>
    <t>GAFA</t>
  </si>
  <si>
    <t>gafa</t>
  </si>
  <si>
    <t>Gafa</t>
  </si>
  <si>
    <t>GAIA</t>
  </si>
  <si>
    <t>gaia-dao</t>
  </si>
  <si>
    <t>Gaia DAO</t>
  </si>
  <si>
    <t>gaia-everworld</t>
  </si>
  <si>
    <t>Gaia Everworld</t>
  </si>
  <si>
    <t>GAIN</t>
  </si>
  <si>
    <t>gain</t>
  </si>
  <si>
    <t>GainPool</t>
  </si>
  <si>
    <t>gain-protocol</t>
  </si>
  <si>
    <t>Gain Protocol</t>
  </si>
  <si>
    <t>GAINS</t>
  </si>
  <si>
    <t>gains</t>
  </si>
  <si>
    <t>Gains</t>
  </si>
  <si>
    <t>GFARM2</t>
  </si>
  <si>
    <t>gains-farm</t>
  </si>
  <si>
    <t>Gains Farm</t>
  </si>
  <si>
    <t>GNS</t>
  </si>
  <si>
    <t>gains-network</t>
  </si>
  <si>
    <t>Gains Network</t>
  </si>
  <si>
    <t>GAJ</t>
  </si>
  <si>
    <t>gaj</t>
  </si>
  <si>
    <t>Gaj Finance</t>
  </si>
  <si>
    <t>GALA</t>
  </si>
  <si>
    <t>gala</t>
  </si>
  <si>
    <t>Gala</t>
  </si>
  <si>
    <t>GAN</t>
  </si>
  <si>
    <t>galactic-arena-the-nftverse</t>
  </si>
  <si>
    <t>Galactic Arena: The NFTverse</t>
  </si>
  <si>
    <t>ORE</t>
  </si>
  <si>
    <t>galactrum</t>
  </si>
  <si>
    <t>Galactrum</t>
  </si>
  <si>
    <t>GAL</t>
  </si>
  <si>
    <t>galatasaray-fan-token</t>
  </si>
  <si>
    <t>Galatasaray Fan Token</t>
  </si>
  <si>
    <t>GKF</t>
  </si>
  <si>
    <t>galatic-kitty-fighters</t>
  </si>
  <si>
    <t>Galatic Kitty Fighters</t>
  </si>
  <si>
    <t>gala-wormhole</t>
  </si>
  <si>
    <t>Gala (Wormhole)</t>
  </si>
  <si>
    <t>GLXM</t>
  </si>
  <si>
    <t>galaxium</t>
  </si>
  <si>
    <t>Galaxium</t>
  </si>
  <si>
    <t>GLA</t>
  </si>
  <si>
    <t>galaxy-adventure</t>
  </si>
  <si>
    <t>Galaxy Adventure</t>
  </si>
  <si>
    <t>MIT</t>
  </si>
  <si>
    <t>galaxy-blitz</t>
  </si>
  <si>
    <t>Galaxy Blitz</t>
  </si>
  <si>
    <t>GALAXY</t>
  </si>
  <si>
    <t>galaxybusd</t>
  </si>
  <si>
    <t>GalaxyBUSD</t>
  </si>
  <si>
    <t>galaxycoin</t>
  </si>
  <si>
    <t>GalaxyCoin</t>
  </si>
  <si>
    <t>GLXC</t>
  </si>
  <si>
    <t>galaxy-coin</t>
  </si>
  <si>
    <t>Galaxy Coin</t>
  </si>
  <si>
    <t>GALAXYDOGE</t>
  </si>
  <si>
    <t>galaxy-doge</t>
  </si>
  <si>
    <t>Galaxy Doge</t>
  </si>
  <si>
    <t>GCOIN</t>
  </si>
  <si>
    <t>galaxy-fight-club</t>
  </si>
  <si>
    <t>Galaxy Fight Club</t>
  </si>
  <si>
    <t>GFX</t>
  </si>
  <si>
    <t>galaxy-force-x</t>
  </si>
  <si>
    <t>Galaxy Force X</t>
  </si>
  <si>
    <t>GG</t>
  </si>
  <si>
    <t>galaxygoggle</t>
  </si>
  <si>
    <t>GalaxyGoggle</t>
  </si>
  <si>
    <t>GHC</t>
  </si>
  <si>
    <t>galaxy-heroes-coin</t>
  </si>
  <si>
    <t>Galaxy Heroes Coin [OLD]</t>
  </si>
  <si>
    <t>galaxy-heroes-coin-2</t>
  </si>
  <si>
    <t>Galaxy Heroes Coin</t>
  </si>
  <si>
    <t>GNC</t>
  </si>
  <si>
    <t>galaxy-network</t>
  </si>
  <si>
    <t>Galaxy Network</t>
  </si>
  <si>
    <t>GALS</t>
  </si>
  <si>
    <t>galaxy-surge</t>
  </si>
  <si>
    <t>Galaxy Surge</t>
  </si>
  <si>
    <t>GWT</t>
  </si>
  <si>
    <t>galaxy-war</t>
  </si>
  <si>
    <t>Galaxy War</t>
  </si>
  <si>
    <t>GALE</t>
  </si>
  <si>
    <t>gale-network</t>
  </si>
  <si>
    <t>Gale Network</t>
  </si>
  <si>
    <t>GALEON</t>
  </si>
  <si>
    <t>galeon</t>
  </si>
  <si>
    <t>Galeon</t>
  </si>
  <si>
    <t>gallant</t>
  </si>
  <si>
    <t>Gallant</t>
  </si>
  <si>
    <t>GMB</t>
  </si>
  <si>
    <t>gamb</t>
  </si>
  <si>
    <t>GAMB</t>
  </si>
  <si>
    <t>GMT</t>
  </si>
  <si>
    <t>gambit</t>
  </si>
  <si>
    <t>Gambit</t>
  </si>
  <si>
    <t>GSHIBA</t>
  </si>
  <si>
    <t>gambler-shiba</t>
  </si>
  <si>
    <t>Gambler Shiba</t>
  </si>
  <si>
    <t>GTC</t>
  </si>
  <si>
    <t>game</t>
  </si>
  <si>
    <t>Game</t>
  </si>
  <si>
    <t>GAT</t>
  </si>
  <si>
    <t>game-ace-token</t>
  </si>
  <si>
    <t>Game Ace</t>
  </si>
  <si>
    <t>GAMEBOX</t>
  </si>
  <si>
    <t>gamebox</t>
  </si>
  <si>
    <t>Gamebox</t>
  </si>
  <si>
    <t>GMCI</t>
  </si>
  <si>
    <t>game-city</t>
  </si>
  <si>
    <t>Game City</t>
  </si>
  <si>
    <t>GMEX</t>
  </si>
  <si>
    <t>game-coin</t>
  </si>
  <si>
    <t>Game Coin</t>
  </si>
  <si>
    <t>GAME</t>
  </si>
  <si>
    <t>gamecredits</t>
  </si>
  <si>
    <t>GameCredits</t>
  </si>
  <si>
    <t>GAMECRYPT</t>
  </si>
  <si>
    <t>gamecrypt</t>
  </si>
  <si>
    <t>GameCrypt</t>
  </si>
  <si>
    <t>gamedao</t>
  </si>
  <si>
    <t>GameDAO</t>
  </si>
  <si>
    <t>GMEE</t>
  </si>
  <si>
    <t>gamee</t>
  </si>
  <si>
    <t>GAMEE</t>
  </si>
  <si>
    <t>GFS</t>
  </si>
  <si>
    <t>gamefantasystar</t>
  </si>
  <si>
    <t>GameFantasyStar</t>
  </si>
  <si>
    <t>GFT</t>
  </si>
  <si>
    <t>game-fantasy-token</t>
  </si>
  <si>
    <t>Game Fantasy</t>
  </si>
  <si>
    <t>GAFI</t>
  </si>
  <si>
    <t>gamefi</t>
  </si>
  <si>
    <t>GameFi</t>
  </si>
  <si>
    <t>GFC</t>
  </si>
  <si>
    <t>gamefi-collection</t>
  </si>
  <si>
    <t>GameFi Collection</t>
  </si>
  <si>
    <t>GFI</t>
  </si>
  <si>
    <t>gamefi-token</t>
  </si>
  <si>
    <t>GameFi Protocol</t>
  </si>
  <si>
    <t>FLP</t>
  </si>
  <si>
    <t>gameflip</t>
  </si>
  <si>
    <t>Gameflip</t>
  </si>
  <si>
    <t>FRAG</t>
  </si>
  <si>
    <t>game-frag</t>
  </si>
  <si>
    <t>Game-Frag</t>
  </si>
  <si>
    <t>GNFT</t>
  </si>
  <si>
    <t>gamenft</t>
  </si>
  <si>
    <t>GameNFT</t>
  </si>
  <si>
    <t>GMY</t>
  </si>
  <si>
    <t>gameology</t>
  </si>
  <si>
    <t>Gameology</t>
  </si>
  <si>
    <t>GOPX</t>
  </si>
  <si>
    <t>game-on-players</t>
  </si>
  <si>
    <t>Game On Players</t>
  </si>
  <si>
    <t>GPAD</t>
  </si>
  <si>
    <t>gamepad</t>
  </si>
  <si>
    <t>Gamepad</t>
  </si>
  <si>
    <t>GMR</t>
  </si>
  <si>
    <t>gamer</t>
  </si>
  <si>
    <t>GAMER</t>
  </si>
  <si>
    <t>GHX</t>
  </si>
  <si>
    <t>gamercoin</t>
  </si>
  <si>
    <t>GamerCoin</t>
  </si>
  <si>
    <t>LFG</t>
  </si>
  <si>
    <t>gamerse</t>
  </si>
  <si>
    <t>Gamerse</t>
  </si>
  <si>
    <t>GY</t>
  </si>
  <si>
    <t>gamers-yield</t>
  </si>
  <si>
    <t>Gamers Yield</t>
  </si>
  <si>
    <t>GAMESAFE</t>
  </si>
  <si>
    <t>gamesafe</t>
  </si>
  <si>
    <t>Gamesafe</t>
  </si>
  <si>
    <t>GMPD</t>
  </si>
  <si>
    <t>gamespad</t>
  </si>
  <si>
    <t>GamesPad</t>
  </si>
  <si>
    <t>GSG</t>
  </si>
  <si>
    <t>gamesta</t>
  </si>
  <si>
    <t>Gamesta</t>
  </si>
  <si>
    <t>GMS</t>
  </si>
  <si>
    <t>gamestar-exchange</t>
  </si>
  <si>
    <t>GameStar</t>
  </si>
  <si>
    <t>GST</t>
  </si>
  <si>
    <t>game-stars</t>
  </si>
  <si>
    <t>Game Stars</t>
  </si>
  <si>
    <t>gamestarter</t>
  </si>
  <si>
    <t>Gamestarter</t>
  </si>
  <si>
    <t>gamestation</t>
  </si>
  <si>
    <t>GameStation</t>
  </si>
  <si>
    <t>GME</t>
  </si>
  <si>
    <t>gamestop-finance</t>
  </si>
  <si>
    <t>GameStop Finance</t>
  </si>
  <si>
    <t>DGME</t>
  </si>
  <si>
    <t>gamestop-tokenized-stock-defichain</t>
  </si>
  <si>
    <t>GameStop Tokenized Stock Defichain</t>
  </si>
  <si>
    <t>GSWAP</t>
  </si>
  <si>
    <t>gameswap-org</t>
  </si>
  <si>
    <t>Gameswap</t>
  </si>
  <si>
    <t>GTCOIN</t>
  </si>
  <si>
    <t>game-tree</t>
  </si>
  <si>
    <t>Game Tree</t>
  </si>
  <si>
    <t>GMV</t>
  </si>
  <si>
    <t>gameverse</t>
  </si>
  <si>
    <t>GameVerse</t>
  </si>
  <si>
    <t>GMX</t>
  </si>
  <si>
    <t>gamex</t>
  </si>
  <si>
    <t>GameX</t>
  </si>
  <si>
    <t>GXP</t>
  </si>
  <si>
    <t>game-x-change-potion</t>
  </si>
  <si>
    <t>Game X Change Potion</t>
  </si>
  <si>
    <t>GYC</t>
  </si>
  <si>
    <t>gameyoo</t>
  </si>
  <si>
    <t>GameYoo</t>
  </si>
  <si>
    <t>GZONE</t>
  </si>
  <si>
    <t>gamezone</t>
  </si>
  <si>
    <t>GameZone</t>
  </si>
  <si>
    <t>GAMI</t>
  </si>
  <si>
    <t>gami</t>
  </si>
  <si>
    <t>Gami</t>
  </si>
  <si>
    <t>gamifi</t>
  </si>
  <si>
    <t>GamiFi</t>
  </si>
  <si>
    <t>GAMINGDOGE</t>
  </si>
  <si>
    <t>gaming-doge</t>
  </si>
  <si>
    <t>Gaming Doge</t>
  </si>
  <si>
    <t>GAMINGSHIBA</t>
  </si>
  <si>
    <t>gamingshiba</t>
  </si>
  <si>
    <t>GamingShiba</t>
  </si>
  <si>
    <t>GAMES</t>
  </si>
  <si>
    <t>gaming-stars</t>
  </si>
  <si>
    <t>Gaming Stars</t>
  </si>
  <si>
    <t>GMM</t>
  </si>
  <si>
    <t>gamium</t>
  </si>
  <si>
    <t>Gamium</t>
  </si>
  <si>
    <t>gami-world</t>
  </si>
  <si>
    <t>GAMI World</t>
  </si>
  <si>
    <t>GAMMA</t>
  </si>
  <si>
    <t>gamma</t>
  </si>
  <si>
    <t>Gamma</t>
  </si>
  <si>
    <t>gamma-strategies</t>
  </si>
  <si>
    <t>Gamma Strategies</t>
  </si>
  <si>
    <t>GAM</t>
  </si>
  <si>
    <t>gamma-token</t>
  </si>
  <si>
    <t>Gamma GAM</t>
  </si>
  <si>
    <t>gamyfi-token</t>
  </si>
  <si>
    <t>GamyFi</t>
  </si>
  <si>
    <t>GBET</t>
  </si>
  <si>
    <t>gangstabet</t>
  </si>
  <si>
    <t>GangstaBet</t>
  </si>
  <si>
    <t>GPUNKS20</t>
  </si>
  <si>
    <t>gan-punks</t>
  </si>
  <si>
    <t>Gan Punks</t>
  </si>
  <si>
    <t>GAP</t>
  </si>
  <si>
    <t>gapcoin</t>
  </si>
  <si>
    <t>Gapcoin</t>
  </si>
  <si>
    <t>GGT</t>
  </si>
  <si>
    <t>gard-governance-token</t>
  </si>
  <si>
    <t>GARI</t>
  </si>
  <si>
    <t>gari-network</t>
  </si>
  <si>
    <t>Gari Network</t>
  </si>
  <si>
    <t>GRLC</t>
  </si>
  <si>
    <t>garlic</t>
  </si>
  <si>
    <t>Garlic</t>
  </si>
  <si>
    <t>garlicoin</t>
  </si>
  <si>
    <t>Garlicoin</t>
  </si>
  <si>
    <t>GAS</t>
  </si>
  <si>
    <t>gas</t>
  </si>
  <si>
    <t>Gas</t>
  </si>
  <si>
    <t>gas-dao</t>
  </si>
  <si>
    <t>Gas DAO</t>
  </si>
  <si>
    <t>GASP</t>
  </si>
  <si>
    <t>gasp</t>
  </si>
  <si>
    <t>gAsp</t>
  </si>
  <si>
    <t>GST2</t>
  </si>
  <si>
    <t>gastoken</t>
  </si>
  <si>
    <t>GasToken</t>
  </si>
  <si>
    <t>GSTRM</t>
  </si>
  <si>
    <t>gastream</t>
  </si>
  <si>
    <t>GaStream</t>
  </si>
  <si>
    <t>gastrocoin</t>
  </si>
  <si>
    <t>GastroCoin</t>
  </si>
  <si>
    <t>GT</t>
  </si>
  <si>
    <t>gatechain-token</t>
  </si>
  <si>
    <t>GateToken</t>
  </si>
  <si>
    <t>gatechain-wormhole</t>
  </si>
  <si>
    <t>GateChain (Wormhole)</t>
  </si>
  <si>
    <t>GATE</t>
  </si>
  <si>
    <t>gatenet</t>
  </si>
  <si>
    <t>GATENet</t>
  </si>
  <si>
    <t>GOE</t>
  </si>
  <si>
    <t>gates-of-ethernity</t>
  </si>
  <si>
    <t>Gates of Ethernity</t>
  </si>
  <si>
    <t>GWP</t>
  </si>
  <si>
    <t>gateway-protocol</t>
  </si>
  <si>
    <t>Gateway Protocol</t>
  </si>
  <si>
    <t>GTH</t>
  </si>
  <si>
    <t>gather</t>
  </si>
  <si>
    <t>Gather</t>
  </si>
  <si>
    <t>GATOR</t>
  </si>
  <si>
    <t>gatorswap</t>
  </si>
  <si>
    <t>GatorSwap</t>
  </si>
  <si>
    <t>GAUR</t>
  </si>
  <si>
    <t>gaur-money</t>
  </si>
  <si>
    <t>Gaur Money</t>
  </si>
  <si>
    <t>GSHARE</t>
  </si>
  <si>
    <t>gaur-shares</t>
  </si>
  <si>
    <t>Gaur Shares</t>
  </si>
  <si>
    <t>GAZE</t>
  </si>
  <si>
    <t>gazetv</t>
  </si>
  <si>
    <t>GazeTV</t>
  </si>
  <si>
    <t>GBOX</t>
  </si>
  <si>
    <t>gbox</t>
  </si>
  <si>
    <t>GBX</t>
  </si>
  <si>
    <t>gbrick</t>
  </si>
  <si>
    <t>Gbrick</t>
  </si>
  <si>
    <t>GCN</t>
  </si>
  <si>
    <t>gcn-coin</t>
  </si>
  <si>
    <t>GCN Coin</t>
  </si>
  <si>
    <t>XGDAO</t>
  </si>
  <si>
    <t>gdao-governance-vault</t>
  </si>
  <si>
    <t>GDAO Governance Vault</t>
  </si>
  <si>
    <t>GDOGE</t>
  </si>
  <si>
    <t>gdoge-finance</t>
  </si>
  <si>
    <t>GDOGE Finance</t>
  </si>
  <si>
    <t>gear</t>
  </si>
  <si>
    <t>Gear</t>
  </si>
  <si>
    <t>gearbox</t>
  </si>
  <si>
    <t>Gearbox</t>
  </si>
  <si>
    <t>GEEQ</t>
  </si>
  <si>
    <t>geeq</t>
  </si>
  <si>
    <t>GEG</t>
  </si>
  <si>
    <t>gegem</t>
  </si>
  <si>
    <t>GeGem</t>
  </si>
  <si>
    <t>GDAI</t>
  </si>
  <si>
    <t>geist-dai</t>
  </si>
  <si>
    <t>Geist Dai</t>
  </si>
  <si>
    <t>GETH</t>
  </si>
  <si>
    <t>geist-eth</t>
  </si>
  <si>
    <t>Geist ETH</t>
  </si>
  <si>
    <t>GEIST</t>
  </si>
  <si>
    <t>geist-finance</t>
  </si>
  <si>
    <t>Geist Finance</t>
  </si>
  <si>
    <t>GFTM</t>
  </si>
  <si>
    <t>geist-ftm</t>
  </si>
  <si>
    <t>Geist FTM</t>
  </si>
  <si>
    <t>GFUSDT</t>
  </si>
  <si>
    <t>geist-fusdt</t>
  </si>
  <si>
    <t>Geist fUSDT</t>
  </si>
  <si>
    <t>GUSDC</t>
  </si>
  <si>
    <t>geist-usdc</t>
  </si>
  <si>
    <t>Geist USDC</t>
  </si>
  <si>
    <t>GWBTC</t>
  </si>
  <si>
    <t>geist-wbtc</t>
  </si>
  <si>
    <t>Geist WBTC</t>
  </si>
  <si>
    <t>GEL</t>
  </si>
  <si>
    <t>gelato</t>
  </si>
  <si>
    <t>Gelato</t>
  </si>
  <si>
    <t>GELDF</t>
  </si>
  <si>
    <t>geld-finance</t>
  </si>
  <si>
    <t>GELD Finance</t>
  </si>
  <si>
    <t>GBTS</t>
  </si>
  <si>
    <t>gembites</t>
  </si>
  <si>
    <t>GemBites</t>
  </si>
  <si>
    <t>GEMG</t>
  </si>
  <si>
    <t>gemguardian</t>
  </si>
  <si>
    <t>GemGuardian</t>
  </si>
  <si>
    <t>GHUB</t>
  </si>
  <si>
    <t>gemhub</t>
  </si>
  <si>
    <t>GemHUB</t>
  </si>
  <si>
    <t>GUSD</t>
  </si>
  <si>
    <t>gemini-dollar</t>
  </si>
  <si>
    <t>Gemini Dollar</t>
  </si>
  <si>
    <t>GEMIT</t>
  </si>
  <si>
    <t>gemit-app</t>
  </si>
  <si>
    <t>GEMIT.app</t>
  </si>
  <si>
    <t>GLINK</t>
  </si>
  <si>
    <t>gemlink</t>
  </si>
  <si>
    <t>GemLink</t>
  </si>
  <si>
    <t>GXT</t>
  </si>
  <si>
    <t>gemma-extending-tech</t>
  </si>
  <si>
    <t>GEMMINE</t>
  </si>
  <si>
    <t>gemmine</t>
  </si>
  <si>
    <t>GemMine</t>
  </si>
  <si>
    <t>gempad</t>
  </si>
  <si>
    <t>GemPad</t>
  </si>
  <si>
    <t>GPAY</t>
  </si>
  <si>
    <t>gempay</t>
  </si>
  <si>
    <t>GemPay</t>
  </si>
  <si>
    <t>gems-2</t>
  </si>
  <si>
    <t>Gems</t>
  </si>
  <si>
    <t>gem-token</t>
  </si>
  <si>
    <t>Gem</t>
  </si>
  <si>
    <t>GENI</t>
  </si>
  <si>
    <t>gemuni</t>
  </si>
  <si>
    <t>GemUni</t>
  </si>
  <si>
    <t>GNX</t>
  </si>
  <si>
    <t>genaro-network</t>
  </si>
  <si>
    <t>Genaro Network</t>
  </si>
  <si>
    <t>GENART</t>
  </si>
  <si>
    <t>genart</t>
  </si>
  <si>
    <t>GENCAP</t>
  </si>
  <si>
    <t>gencoin-capital</t>
  </si>
  <si>
    <t>GenCoin Capital</t>
  </si>
  <si>
    <t>GENE</t>
  </si>
  <si>
    <t>gene</t>
  </si>
  <si>
    <t>Gene</t>
  </si>
  <si>
    <t>GNBT</t>
  </si>
  <si>
    <t>genebank-token</t>
  </si>
  <si>
    <t>Genebank</t>
  </si>
  <si>
    <t>XAC</t>
  </si>
  <si>
    <t>general-attention-currency</t>
  </si>
  <si>
    <t>General Attention Currency</t>
  </si>
  <si>
    <t>GWS</t>
  </si>
  <si>
    <t>generational-wealth-society</t>
  </si>
  <si>
    <t>Generational Wealth Society</t>
  </si>
  <si>
    <t>GENES</t>
  </si>
  <si>
    <t>genes-chain</t>
  </si>
  <si>
    <t>GENES Chain</t>
  </si>
  <si>
    <t>genesis-mana</t>
  </si>
  <si>
    <t>Genesis Mana</t>
  </si>
  <si>
    <t>GNSS</t>
  </si>
  <si>
    <t>genesis-nft</t>
  </si>
  <si>
    <t>Genesis NFT</t>
  </si>
  <si>
    <t>GPOOL</t>
  </si>
  <si>
    <t>genesis-pool</t>
  </si>
  <si>
    <t>Genesis Pool</t>
  </si>
  <si>
    <t>GS</t>
  </si>
  <si>
    <t>genesis-shards</t>
  </si>
  <si>
    <t>Genesis Shards</t>
  </si>
  <si>
    <t>GENT</t>
  </si>
  <si>
    <t>genesis-token</t>
  </si>
  <si>
    <t>Genesis Token</t>
  </si>
  <si>
    <t>GVT</t>
  </si>
  <si>
    <t>genesis-vision</t>
  </si>
  <si>
    <t>Genesis Vision</t>
  </si>
  <si>
    <t>GENESIS</t>
  </si>
  <si>
    <t>genesis-worlds</t>
  </si>
  <si>
    <t>Genesis Worlds</t>
  </si>
  <si>
    <t>XGS</t>
  </si>
  <si>
    <t>genesisx</t>
  </si>
  <si>
    <t>GenesisX</t>
  </si>
  <si>
    <t>SHDW</t>
  </si>
  <si>
    <t>genesysgo-shadow</t>
  </si>
  <si>
    <t>GenesysGo Shadow</t>
  </si>
  <si>
    <t>GXI</t>
  </si>
  <si>
    <t>genexi</t>
  </si>
  <si>
    <t>Genexi</t>
  </si>
  <si>
    <t>GNP</t>
  </si>
  <si>
    <t>genie-protocol</t>
  </si>
  <si>
    <t>Genie Protocol</t>
  </si>
  <si>
    <t>GENIUS</t>
  </si>
  <si>
    <t>genius-coin</t>
  </si>
  <si>
    <t>Genius Coin</t>
  </si>
  <si>
    <t>GENS</t>
  </si>
  <si>
    <t>genius-yield</t>
  </si>
  <si>
    <t>Genius Yield</t>
  </si>
  <si>
    <t>GENIX</t>
  </si>
  <si>
    <t>genix</t>
  </si>
  <si>
    <t>Genix</t>
  </si>
  <si>
    <t>GNNX</t>
  </si>
  <si>
    <t>gennix</t>
  </si>
  <si>
    <t>Gennix</t>
  </si>
  <si>
    <t>$GENE</t>
  </si>
  <si>
    <t>genomesdao</t>
  </si>
  <si>
    <t>GenomesDAO</t>
  </si>
  <si>
    <t>genopets</t>
  </si>
  <si>
    <t>Genopets</t>
  </si>
  <si>
    <t>GENRE</t>
  </si>
  <si>
    <t>genre</t>
  </si>
  <si>
    <t>GFLOKI</t>
  </si>
  <si>
    <t>genshinflokiinu</t>
  </si>
  <si>
    <t>GenshinFlokiInu</t>
  </si>
  <si>
    <t>GENSHIN</t>
  </si>
  <si>
    <t>genshin-nft</t>
  </si>
  <si>
    <t>Genshin NFT</t>
  </si>
  <si>
    <t>genshiro</t>
  </si>
  <si>
    <t>Genshiro</t>
  </si>
  <si>
    <t>MV</t>
  </si>
  <si>
    <t>gensokishis-metaverse</t>
  </si>
  <si>
    <t>GensoKishi Metaverse</t>
  </si>
  <si>
    <t>GTM</t>
  </si>
  <si>
    <t>gentarium</t>
  </si>
  <si>
    <t>Gentarium</t>
  </si>
  <si>
    <t>GENX</t>
  </si>
  <si>
    <t>genx</t>
  </si>
  <si>
    <t>GEO</t>
  </si>
  <si>
    <t>geocoin</t>
  </si>
  <si>
    <t>Geocoin</t>
  </si>
  <si>
    <t>geodb</t>
  </si>
  <si>
    <t>GeoDB</t>
  </si>
  <si>
    <t>JAM</t>
  </si>
  <si>
    <t>geojam</t>
  </si>
  <si>
    <t>Geojam</t>
  </si>
  <si>
    <t>GEO$</t>
  </si>
  <si>
    <t>geopoly</t>
  </si>
  <si>
    <t>Geopoly</t>
  </si>
  <si>
    <t>GERA</t>
  </si>
  <si>
    <t>gera-coin</t>
  </si>
  <si>
    <t>Gera Coin</t>
  </si>
  <si>
    <t>GERO</t>
  </si>
  <si>
    <t>gerowallet</t>
  </si>
  <si>
    <t>GeroWallet</t>
  </si>
  <si>
    <t>GET</t>
  </si>
  <si>
    <t>get-token</t>
  </si>
  <si>
    <t>GET Protocol</t>
  </si>
  <si>
    <t>GYSR</t>
  </si>
  <si>
    <t>geyser</t>
  </si>
  <si>
    <t>Geyser</t>
  </si>
  <si>
    <t>GSR</t>
  </si>
  <si>
    <t>geysercoin</t>
  </si>
  <si>
    <t>GeyserCoin</t>
  </si>
  <si>
    <t>GFCE</t>
  </si>
  <si>
    <t>gforce</t>
  </si>
  <si>
    <t>GFORCE</t>
  </si>
  <si>
    <t>GGC</t>
  </si>
  <si>
    <t>gg-coin</t>
  </si>
  <si>
    <t>Global Game Coin</t>
  </si>
  <si>
    <t>GGTK</t>
  </si>
  <si>
    <t>gg-token</t>
  </si>
  <si>
    <t>GHSP</t>
  </si>
  <si>
    <t>ghospers-game</t>
  </si>
  <si>
    <t>Ghospers Game</t>
  </si>
  <si>
    <t>GHOSTBLADE</t>
  </si>
  <si>
    <t>ghostblade-inu</t>
  </si>
  <si>
    <t>GhostBlade Inu</t>
  </si>
  <si>
    <t>ECTO</t>
  </si>
  <si>
    <t>ghost-block</t>
  </si>
  <si>
    <t>Ghost Block</t>
  </si>
  <si>
    <t>GHOST</t>
  </si>
  <si>
    <t>ghost-by-mcafee</t>
  </si>
  <si>
    <t>Ghost</t>
  </si>
  <si>
    <t>GHOSTFACE</t>
  </si>
  <si>
    <t>ghostface</t>
  </si>
  <si>
    <t>Ghostface</t>
  </si>
  <si>
    <t>ghost-farmer-capital</t>
  </si>
  <si>
    <t>Ghost Farmer Capital</t>
  </si>
  <si>
    <t>ghost-inu</t>
  </si>
  <si>
    <t>Ghost Inu</t>
  </si>
  <si>
    <t>GM</t>
  </si>
  <si>
    <t>ghostmarket</t>
  </si>
  <si>
    <t>GhostMarket</t>
  </si>
  <si>
    <t>GTR</t>
  </si>
  <si>
    <t>ghost-trader</t>
  </si>
  <si>
    <t>Ghost Trader</t>
  </si>
  <si>
    <t>GHOUL</t>
  </si>
  <si>
    <t>ghoul-token</t>
  </si>
  <si>
    <t>Ghoul</t>
  </si>
  <si>
    <t>X</t>
  </si>
  <si>
    <t>gibx-swap</t>
  </si>
  <si>
    <t>GIBX Swap</t>
  </si>
  <si>
    <t>GICT</t>
  </si>
  <si>
    <t>gictrade</t>
  </si>
  <si>
    <t>GICTrade</t>
  </si>
  <si>
    <t>GDDY</t>
  </si>
  <si>
    <t>giddy</t>
  </si>
  <si>
    <t>Giddy</t>
  </si>
  <si>
    <t>GBAG</t>
  </si>
  <si>
    <t>giftbag</t>
  </si>
  <si>
    <t>Giftbag</t>
  </si>
  <si>
    <t>GIFT</t>
  </si>
  <si>
    <t>gift-coin</t>
  </si>
  <si>
    <t>Gift Coin</t>
  </si>
  <si>
    <t>GHD</t>
  </si>
  <si>
    <t>giftedhands</t>
  </si>
  <si>
    <t>Giftedhands</t>
  </si>
  <si>
    <t>GTO</t>
  </si>
  <si>
    <t>gifto</t>
  </si>
  <si>
    <t>Gifto</t>
  </si>
  <si>
    <t>gigachad</t>
  </si>
  <si>
    <t>GigaChad</t>
  </si>
  <si>
    <t>WTT</t>
  </si>
  <si>
    <t>giga-watt-token</t>
  </si>
  <si>
    <t>GIG</t>
  </si>
  <si>
    <t>gigco</t>
  </si>
  <si>
    <t>GIGCO</t>
  </si>
  <si>
    <t>gigecoin</t>
  </si>
  <si>
    <t>GigEcoin</t>
  </si>
  <si>
    <t>GJCO</t>
  </si>
  <si>
    <t>giletjaunecoin</t>
  </si>
  <si>
    <t>GiletJauneCoin</t>
  </si>
  <si>
    <t>gilgamesh-eth</t>
  </si>
  <si>
    <t>Gilgamesh ETH</t>
  </si>
  <si>
    <t>gimmer</t>
  </si>
  <si>
    <t>Gimmer</t>
  </si>
  <si>
    <t>GIN</t>
  </si>
  <si>
    <t>ginga-finance</t>
  </si>
  <si>
    <t>Ginga Finance</t>
  </si>
  <si>
    <t>GINOA</t>
  </si>
  <si>
    <t>ginoa</t>
  </si>
  <si>
    <t>Ginoa</t>
  </si>
  <si>
    <t>GINSPIRIT</t>
  </si>
  <si>
    <t>ginspirit</t>
  </si>
  <si>
    <t>GinSpirit</t>
  </si>
  <si>
    <t>gin-token</t>
  </si>
  <si>
    <t>Gin</t>
  </si>
  <si>
    <t>GER</t>
  </si>
  <si>
    <t>ginza-eternity-reward</t>
  </si>
  <si>
    <t>Ginza Eternity Reward</t>
  </si>
  <si>
    <t>GINZA</t>
  </si>
  <si>
    <t>ginza-network</t>
  </si>
  <si>
    <t>Ginza Network</t>
  </si>
  <si>
    <t>GRS</t>
  </si>
  <si>
    <t>giresunspor-token</t>
  </si>
  <si>
    <t>Giresunspor Token</t>
  </si>
  <si>
    <t>METAGIRL</t>
  </si>
  <si>
    <t>girl-story</t>
  </si>
  <si>
    <t>Girl Story</t>
  </si>
  <si>
    <t>gitcoin</t>
  </si>
  <si>
    <t>Gitcoin</t>
  </si>
  <si>
    <t>GIV</t>
  </si>
  <si>
    <t>giveth</t>
  </si>
  <si>
    <t>Giveth</t>
  </si>
  <si>
    <t>givetime-io</t>
  </si>
  <si>
    <t>Givetime.io</t>
  </si>
  <si>
    <t>SVS</t>
  </si>
  <si>
    <t>givingtoservices-svs</t>
  </si>
  <si>
    <t>GivingToServices SVS</t>
  </si>
  <si>
    <t>givly-coin</t>
  </si>
  <si>
    <t>GIV Token</t>
  </si>
  <si>
    <t>GIZA</t>
  </si>
  <si>
    <t>gizadao</t>
  </si>
  <si>
    <t>GizaDao</t>
  </si>
  <si>
    <t>GLAC</t>
  </si>
  <si>
    <t>glacierlaunch</t>
  </si>
  <si>
    <t>GlacierLaunch</t>
  </si>
  <si>
    <t>GLS</t>
  </si>
  <si>
    <t>glass-chain</t>
  </si>
  <si>
    <t>Glass Chain</t>
  </si>
  <si>
    <t>gld-tokenized-stock-defichain</t>
  </si>
  <si>
    <t>SPDR Gold Shares Defichain</t>
  </si>
  <si>
    <t>GLEEC</t>
  </si>
  <si>
    <t>gleec-coin</t>
  </si>
  <si>
    <t>Gleec Coin</t>
  </si>
  <si>
    <t>GLEX</t>
  </si>
  <si>
    <t>glex</t>
  </si>
  <si>
    <t>GLIDE</t>
  </si>
  <si>
    <t>glide-finance</t>
  </si>
  <si>
    <t>Glide Finance</t>
  </si>
  <si>
    <t>GLMS</t>
  </si>
  <si>
    <t>glimpse</t>
  </si>
  <si>
    <t>Glimpse</t>
  </si>
  <si>
    <t>GARTS</t>
  </si>
  <si>
    <t>glink-arts-shares</t>
  </si>
  <si>
    <t>Glink Arts Share</t>
  </si>
  <si>
    <t>GLCH</t>
  </si>
  <si>
    <t>glitch-protocol</t>
  </si>
  <si>
    <t>Glitch Protocol</t>
  </si>
  <si>
    <t>GLY</t>
  </si>
  <si>
    <t>glitchy</t>
  </si>
  <si>
    <t>Glitchy</t>
  </si>
  <si>
    <t>XGLI</t>
  </si>
  <si>
    <t>glitter-finance</t>
  </si>
  <si>
    <t>Glitter Finance</t>
  </si>
  <si>
    <t>GTN</t>
  </si>
  <si>
    <t>glitzkoin</t>
  </si>
  <si>
    <t>GlitzKoin</t>
  </si>
  <si>
    <t>global-aex-token</t>
  </si>
  <si>
    <t>Global AEX Token</t>
  </si>
  <si>
    <t>BSTY</t>
  </si>
  <si>
    <t>globalboost</t>
  </si>
  <si>
    <t>GlobalBoost-Y</t>
  </si>
  <si>
    <t>GCZ</t>
  </si>
  <si>
    <t>globalchainz</t>
  </si>
  <si>
    <t>GlobalChainZ</t>
  </si>
  <si>
    <t>global-china-cash</t>
  </si>
  <si>
    <t>Global China Cash</t>
  </si>
  <si>
    <t>GLC</t>
  </si>
  <si>
    <t>globalcoin</t>
  </si>
  <si>
    <t>GlobalCoin</t>
  </si>
  <si>
    <t>GCR</t>
  </si>
  <si>
    <t>global-coin-research</t>
  </si>
  <si>
    <t>Global Coin Research</t>
  </si>
  <si>
    <t>CALL</t>
  </si>
  <si>
    <t>global-crypto-alliance</t>
  </si>
  <si>
    <t>Global Crypto Alliance</t>
  </si>
  <si>
    <t>GDC</t>
  </si>
  <si>
    <t>global-digital-content</t>
  </si>
  <si>
    <t>Global Digital Content</t>
  </si>
  <si>
    <t>GMNG</t>
  </si>
  <si>
    <t>global-gaming</t>
  </si>
  <si>
    <t>Global Gaming</t>
  </si>
  <si>
    <t>GGIVE</t>
  </si>
  <si>
    <t>globalgive</t>
  </si>
  <si>
    <t>GlobalGive</t>
  </si>
  <si>
    <t>GHT</t>
  </si>
  <si>
    <t>global-human-trust</t>
  </si>
  <si>
    <t>Global Human Trust</t>
  </si>
  <si>
    <t>GLOB</t>
  </si>
  <si>
    <t>global-reserve-system</t>
  </si>
  <si>
    <t>Global Reserve System</t>
  </si>
  <si>
    <t>GSA</t>
  </si>
  <si>
    <t>global-smart-asset</t>
  </si>
  <si>
    <t>Global Smart Asset</t>
  </si>
  <si>
    <t>GSC</t>
  </si>
  <si>
    <t>global-social-chain</t>
  </si>
  <si>
    <t>Global Social Chain</t>
  </si>
  <si>
    <t>global-trust-coin</t>
  </si>
  <si>
    <t>Global Trust Coin</t>
  </si>
  <si>
    <t>GTF</t>
  </si>
  <si>
    <t>GVE</t>
  </si>
  <si>
    <t>globalvillage-ecosystem</t>
  </si>
  <si>
    <t>Globalvillage Ecosystem</t>
  </si>
  <si>
    <t>GDT</t>
  </si>
  <si>
    <t>globe-derivative-exchange</t>
  </si>
  <si>
    <t>Globe Derivative Exchange</t>
  </si>
  <si>
    <t>GBEX</t>
  </si>
  <si>
    <t>globiance-exchange</t>
  </si>
  <si>
    <t>Globiance Exchange</t>
  </si>
  <si>
    <t>GLORYD</t>
  </si>
  <si>
    <t>glorydoge</t>
  </si>
  <si>
    <t>GloryDoge</t>
  </si>
  <si>
    <t>GLO</t>
  </si>
  <si>
    <t>glosfer-token</t>
  </si>
  <si>
    <t>GLK</t>
  </si>
  <si>
    <t>glouki</t>
  </si>
  <si>
    <t>Glouki</t>
  </si>
  <si>
    <t>GLOW</t>
  </si>
  <si>
    <t>glow</t>
  </si>
  <si>
    <t>Glow</t>
  </si>
  <si>
    <t>glow-token</t>
  </si>
  <si>
    <t>Glow Yield</t>
  </si>
  <si>
    <t>GLOWV2</t>
  </si>
  <si>
    <t>glowv2</t>
  </si>
  <si>
    <t>GlowV2</t>
  </si>
  <si>
    <t>GLOX</t>
  </si>
  <si>
    <t>glox-finance</t>
  </si>
  <si>
    <t>Glox Finance</t>
  </si>
  <si>
    <t>GLYPH</t>
  </si>
  <si>
    <t>glyph-vault-nftx</t>
  </si>
  <si>
    <t>GLYPH Vault (NFTX)</t>
  </si>
  <si>
    <t>gm</t>
  </si>
  <si>
    <t>gma</t>
  </si>
  <si>
    <t>gmcoin</t>
  </si>
  <si>
    <t>GM Holding</t>
  </si>
  <si>
    <t>gm-coin</t>
  </si>
  <si>
    <t>Gm Coin</t>
  </si>
  <si>
    <t>GMCOIN</t>
  </si>
  <si>
    <t>gmcoin-2</t>
  </si>
  <si>
    <t>GMCoin</t>
  </si>
  <si>
    <t>GMFLOKI</t>
  </si>
  <si>
    <t>gm-floki</t>
  </si>
  <si>
    <t>GM Floki</t>
  </si>
  <si>
    <t>GMSOL</t>
  </si>
  <si>
    <t>gmsol</t>
  </si>
  <si>
    <t>gmt-token</t>
  </si>
  <si>
    <t>gmx</t>
  </si>
  <si>
    <t>GN</t>
  </si>
  <si>
    <t>gn</t>
  </si>
  <si>
    <t>GNAR</t>
  </si>
  <si>
    <t>gnar-token</t>
  </si>
  <si>
    <t>gnft</t>
  </si>
  <si>
    <t>$GNOME</t>
  </si>
  <si>
    <t>gnome</t>
  </si>
  <si>
    <t>GNOME</t>
  </si>
  <si>
    <t>gnometoken</t>
  </si>
  <si>
    <t>GnomeArmy</t>
  </si>
  <si>
    <t>GNO</t>
  </si>
  <si>
    <t>gnosis</t>
  </si>
  <si>
    <t>Gnosis</t>
  </si>
  <si>
    <t>GNY</t>
  </si>
  <si>
    <t>gny</t>
  </si>
  <si>
    <t>GOAL</t>
  </si>
  <si>
    <t>goal</t>
  </si>
  <si>
    <t>CronosFC</t>
  </si>
  <si>
    <t>GTX</t>
  </si>
  <si>
    <t>goaltime-n</t>
  </si>
  <si>
    <t>GoalTime N</t>
  </si>
  <si>
    <t>goal-token</t>
  </si>
  <si>
    <t>Goal</t>
  </si>
  <si>
    <t>GOAT</t>
  </si>
  <si>
    <t>goatcoin</t>
  </si>
  <si>
    <t>Goatcoin</t>
  </si>
  <si>
    <t>goat-coin</t>
  </si>
  <si>
    <t>Goat Coin</t>
  </si>
  <si>
    <t>GOATS</t>
  </si>
  <si>
    <t>goats</t>
  </si>
  <si>
    <t>G.O.A.T</t>
  </si>
  <si>
    <t>g-o-a-t-token</t>
  </si>
  <si>
    <t>GOBLIN</t>
  </si>
  <si>
    <t>goblin</t>
  </si>
  <si>
    <t>Goblin</t>
  </si>
  <si>
    <t>gobyte</t>
  </si>
  <si>
    <t>GoByte</t>
  </si>
  <si>
    <t>GO</t>
  </si>
  <si>
    <t>gochain</t>
  </si>
  <si>
    <t>GoChain</t>
  </si>
  <si>
    <t>GCME</t>
  </si>
  <si>
    <t>gocryptome</t>
  </si>
  <si>
    <t>GoCryptoMe</t>
  </si>
  <si>
    <t>god-candle</t>
  </si>
  <si>
    <t>God Candle</t>
  </si>
  <si>
    <t>god-dao</t>
  </si>
  <si>
    <t>God DAO</t>
  </si>
  <si>
    <t>GODE</t>
  </si>
  <si>
    <t>gode-chain</t>
  </si>
  <si>
    <t>Gode Chain</t>
  </si>
  <si>
    <t>GNLR</t>
  </si>
  <si>
    <t>gods-and-legends</t>
  </si>
  <si>
    <t>Gods and Legends</t>
  </si>
  <si>
    <t>GSHIB</t>
  </si>
  <si>
    <t>god-shiba-token</t>
  </si>
  <si>
    <t>God Shiba</t>
  </si>
  <si>
    <t>GODS</t>
  </si>
  <si>
    <t>gods-unchained</t>
  </si>
  <si>
    <t>Gods Unchained</t>
  </si>
  <si>
    <t>godzilla</t>
  </si>
  <si>
    <t>Godzilla</t>
  </si>
  <si>
    <t>GOI</t>
  </si>
  <si>
    <t>goforit</t>
  </si>
  <si>
    <t>GoForIt Walk&amp;Win</t>
  </si>
  <si>
    <t>GOGO</t>
  </si>
  <si>
    <t>gogocoin</t>
  </si>
  <si>
    <t>GOGOcoin</t>
  </si>
  <si>
    <t>gogo-finance</t>
  </si>
  <si>
    <t>GOGO Finance</t>
  </si>
  <si>
    <t>GOL</t>
  </si>
  <si>
    <t>gogolcoin</t>
  </si>
  <si>
    <t>GogolCoin</t>
  </si>
  <si>
    <t>GOIN</t>
  </si>
  <si>
    <t>goin</t>
  </si>
  <si>
    <t>GOKU</t>
  </si>
  <si>
    <t>goku</t>
  </si>
  <si>
    <t>Goku</t>
  </si>
  <si>
    <t>GMC</t>
  </si>
  <si>
    <t>gokumarket-credit</t>
  </si>
  <si>
    <t>GokuMarket Credit</t>
  </si>
  <si>
    <t>gold</t>
  </si>
  <si>
    <t>GLD</t>
  </si>
  <si>
    <t>goldario</t>
  </si>
  <si>
    <t>Goldario</t>
  </si>
  <si>
    <t>GB</t>
  </si>
  <si>
    <t>goldblocks</t>
  </si>
  <si>
    <t>GoldBlocks</t>
  </si>
  <si>
    <t>gold-cash</t>
  </si>
  <si>
    <t>Gold Cash</t>
  </si>
  <si>
    <t>goldcoin</t>
  </si>
  <si>
    <t>Goldcoin</t>
  </si>
  <si>
    <t>gold-coin-reserve</t>
  </si>
  <si>
    <t>Gold Coin Reserve</t>
  </si>
  <si>
    <t>goldefy</t>
  </si>
  <si>
    <t>GoldeFy</t>
  </si>
  <si>
    <t>GA</t>
  </si>
  <si>
    <t>golden-age</t>
  </si>
  <si>
    <t>Golden Age</t>
  </si>
  <si>
    <t>GLB</t>
  </si>
  <si>
    <t>golden-ball</t>
  </si>
  <si>
    <t>Golden Ball</t>
  </si>
  <si>
    <t>GBA</t>
  </si>
  <si>
    <t>golden-banana</t>
  </si>
  <si>
    <t>Golden Banana</t>
  </si>
  <si>
    <t>G9</t>
  </si>
  <si>
    <t>goldendiamond9</t>
  </si>
  <si>
    <t>GoldenDiamond9</t>
  </si>
  <si>
    <t>golden-doge</t>
  </si>
  <si>
    <t>Golden Doge</t>
  </si>
  <si>
    <t>golden-goose</t>
  </si>
  <si>
    <t>Golden Goose</t>
  </si>
  <si>
    <t>GKCAKE</t>
  </si>
  <si>
    <t>golden-kitty-cake</t>
  </si>
  <si>
    <t>Golden Kitty Cake</t>
  </si>
  <si>
    <t>GOLDR</t>
  </si>
  <si>
    <t>golden-ratio-coin</t>
  </si>
  <si>
    <t>Golden Ratio Coin</t>
  </si>
  <si>
    <t>GRT</t>
  </si>
  <si>
    <t>golden-ratio-token</t>
  </si>
  <si>
    <t>Golden Ratio Token</t>
  </si>
  <si>
    <t>GDR</t>
  </si>
  <si>
    <t>golden-roots</t>
  </si>
  <si>
    <t>Golden Roots</t>
  </si>
  <si>
    <t>golden-token</t>
  </si>
  <si>
    <t>Golden Token</t>
  </si>
  <si>
    <t>GNTO</t>
  </si>
  <si>
    <t>goldenugget</t>
  </si>
  <si>
    <t>GoldeNugget</t>
  </si>
  <si>
    <t>GLDX</t>
  </si>
  <si>
    <t>goldex-token</t>
  </si>
  <si>
    <t>Goldex</t>
  </si>
  <si>
    <t>goldfarm</t>
  </si>
  <si>
    <t>GoldFarm</t>
  </si>
  <si>
    <t>NGL</t>
  </si>
  <si>
    <t>gold-fever-native-gold</t>
  </si>
  <si>
    <t>Gold Fever Native Gold</t>
  </si>
  <si>
    <t>goldfinch</t>
  </si>
  <si>
    <t>Goldfinch</t>
  </si>
  <si>
    <t>GIX</t>
  </si>
  <si>
    <t>goldfinx</t>
  </si>
  <si>
    <t>GoldFinX</t>
  </si>
  <si>
    <t>GFUN</t>
  </si>
  <si>
    <t>goldfund-ico</t>
  </si>
  <si>
    <t>GoldFund</t>
  </si>
  <si>
    <t>XGK</t>
  </si>
  <si>
    <t>goldkash</t>
  </si>
  <si>
    <t>GoldKash</t>
  </si>
  <si>
    <t>goldminer</t>
  </si>
  <si>
    <t>GoldMiner</t>
  </si>
  <si>
    <t>gold-mining-members</t>
  </si>
  <si>
    <t>Gold Mining Members</t>
  </si>
  <si>
    <t>MNTP</t>
  </si>
  <si>
    <t>goldmint</t>
  </si>
  <si>
    <t>Goldmint</t>
  </si>
  <si>
    <t>GDM</t>
  </si>
  <si>
    <t>goldmoney</t>
  </si>
  <si>
    <t>Goldmoney</t>
  </si>
  <si>
    <t>NGT</t>
  </si>
  <si>
    <t>goldnugget</t>
  </si>
  <si>
    <t>Gold Nugget</t>
  </si>
  <si>
    <t>GPO</t>
  </si>
  <si>
    <t>goldpesa-option</t>
  </si>
  <si>
    <t>GoldPesa Option</t>
  </si>
  <si>
    <t>GPKR</t>
  </si>
  <si>
    <t>gold-poker</t>
  </si>
  <si>
    <t>Gold Poker</t>
  </si>
  <si>
    <t>GRUSH</t>
  </si>
  <si>
    <t>gold-rush</t>
  </si>
  <si>
    <t>Gold Rush</t>
  </si>
  <si>
    <t>GSX</t>
  </si>
  <si>
    <t>gold-secured-currency</t>
  </si>
  <si>
    <t>Gold Secured Currency</t>
  </si>
  <si>
    <t>GLM</t>
  </si>
  <si>
    <t>golem</t>
  </si>
  <si>
    <t>Golem</t>
  </si>
  <si>
    <t>GOF</t>
  </si>
  <si>
    <t>golff</t>
  </si>
  <si>
    <t>Golff</t>
  </si>
  <si>
    <t>golfinance</t>
  </si>
  <si>
    <t>GolFinance</t>
  </si>
  <si>
    <t>GOLF</t>
  </si>
  <si>
    <t>golfrochain</t>
  </si>
  <si>
    <t>Golfrochain</t>
  </si>
  <si>
    <t>GOMA</t>
  </si>
  <si>
    <t>goma-finance</t>
  </si>
  <si>
    <t>GOMA Finance [OLD]</t>
  </si>
  <si>
    <t>goma-finance-2</t>
  </si>
  <si>
    <t>Goma Finance</t>
  </si>
  <si>
    <t>GOMAX</t>
  </si>
  <si>
    <t>gomax</t>
  </si>
  <si>
    <t>GOMAx</t>
  </si>
  <si>
    <t>GOMB</t>
  </si>
  <si>
    <t>gomb</t>
  </si>
  <si>
    <t>gombshare</t>
  </si>
  <si>
    <t>GOMBSHARE</t>
  </si>
  <si>
    <t>GOMT</t>
  </si>
  <si>
    <t>gomeat</t>
  </si>
  <si>
    <t>GoMeat</t>
  </si>
  <si>
    <t>GOM</t>
  </si>
  <si>
    <t>gomics</t>
  </si>
  <si>
    <t>Gomics</t>
  </si>
  <si>
    <t>GOM2</t>
  </si>
  <si>
    <t>gomoney2</t>
  </si>
  <si>
    <t>GoMoney2</t>
  </si>
  <si>
    <t>GDL</t>
  </si>
  <si>
    <t>gondola-finance</t>
  </si>
  <si>
    <t>Gondola Finance</t>
  </si>
  <si>
    <t>GOT</t>
  </si>
  <si>
    <t>gonetwork</t>
  </si>
  <si>
    <t>GoNetwork</t>
  </si>
  <si>
    <t>good-bridging</t>
  </si>
  <si>
    <t>Good Bridging</t>
  </si>
  <si>
    <t>GF</t>
  </si>
  <si>
    <t>good-fire</t>
  </si>
  <si>
    <t>Good Fire</t>
  </si>
  <si>
    <t>GGG</t>
  </si>
  <si>
    <t>good-games-guild</t>
  </si>
  <si>
    <t>Good Games Guild</t>
  </si>
  <si>
    <t>GPCX</t>
  </si>
  <si>
    <t>good-person-coin</t>
  </si>
  <si>
    <t>Good Person Coin</t>
  </si>
  <si>
    <t>GOOFYDOGE</t>
  </si>
  <si>
    <t>goofydoge</t>
  </si>
  <si>
    <t>GoofyDoge</t>
  </si>
  <si>
    <t>DGOOGL</t>
  </si>
  <si>
    <t>google-tokenized-stock-defichain</t>
  </si>
  <si>
    <t>Google Tokenized Stock Defichain</t>
  </si>
  <si>
    <t>GOOGL</t>
  </si>
  <si>
    <t>google-tokenized-stock-zipmex</t>
  </si>
  <si>
    <t>Google Tokenized Stock Zipmex</t>
  </si>
  <si>
    <t>goose-finance</t>
  </si>
  <si>
    <t>Goose Finance</t>
  </si>
  <si>
    <t>GOFX</t>
  </si>
  <si>
    <t>goosefx</t>
  </si>
  <si>
    <t>GooseFX</t>
  </si>
  <si>
    <t>GORGEOUS</t>
  </si>
  <si>
    <t>gorgeous</t>
  </si>
  <si>
    <t>Gorgeous</t>
  </si>
  <si>
    <t>gorilla-diamond</t>
  </si>
  <si>
    <t>Gorilla Diamond</t>
  </si>
  <si>
    <t>GORILLA INU</t>
  </si>
  <si>
    <t>gorilla-inu</t>
  </si>
  <si>
    <t>Gorilla Inu</t>
  </si>
  <si>
    <t>gorilla-nodes</t>
  </si>
  <si>
    <t>Gorilla Nodes</t>
  </si>
  <si>
    <t>GOSH</t>
  </si>
  <si>
    <t>gosh-realm</t>
  </si>
  <si>
    <t>GOSH Realm</t>
  </si>
  <si>
    <t>GOTEM</t>
  </si>
  <si>
    <t>gotem</t>
  </si>
  <si>
    <t>gotEM</t>
  </si>
  <si>
    <t>GOTHAM</t>
  </si>
  <si>
    <t>gotham</t>
  </si>
  <si>
    <t>Gotham</t>
  </si>
  <si>
    <t>GUM</t>
  </si>
  <si>
    <t>gourmetgalaxy</t>
  </si>
  <si>
    <t>Gourmet Galaxy</t>
  </si>
  <si>
    <t>GOHM</t>
  </si>
  <si>
    <t>governance-ohm</t>
  </si>
  <si>
    <t>Governance OHM</t>
  </si>
  <si>
    <t>governance-ohm-wormhole</t>
  </si>
  <si>
    <t>Governance OHM (Wormhole)</t>
  </si>
  <si>
    <t>GZIL</t>
  </si>
  <si>
    <t>governance-zil</t>
  </si>
  <si>
    <t>governance ZIL</t>
  </si>
  <si>
    <t>GDAO</t>
  </si>
  <si>
    <t>governor-dao</t>
  </si>
  <si>
    <t>Governor DAO</t>
  </si>
  <si>
    <t>GOVI</t>
  </si>
  <si>
    <t>govi</t>
  </si>
  <si>
    <t>CVI</t>
  </si>
  <si>
    <t>GOV</t>
  </si>
  <si>
    <t>govworld</t>
  </si>
  <si>
    <t>GovWorld</t>
  </si>
  <si>
    <t>GMAT</t>
  </si>
  <si>
    <t>gowithmi</t>
  </si>
  <si>
    <t>GoWithMi</t>
  </si>
  <si>
    <t>GOZ</t>
  </si>
  <si>
    <t>goztepe-s-k-fan-token</t>
  </si>
  <si>
    <t>Göztepe S.K. Fan Token</t>
  </si>
  <si>
    <t>GPX</t>
  </si>
  <si>
    <t>gpex</t>
  </si>
  <si>
    <t>GPEX</t>
  </si>
  <si>
    <t>GPS</t>
  </si>
  <si>
    <t>gps-ecosystem</t>
  </si>
  <si>
    <t>GPS Ecosystem</t>
  </si>
  <si>
    <t>GFNC</t>
  </si>
  <si>
    <t>grafenocoin-2</t>
  </si>
  <si>
    <t>GrafenoCoin</t>
  </si>
  <si>
    <t>GRFT</t>
  </si>
  <si>
    <t>graft-blockchain</t>
  </si>
  <si>
    <t>Graft Blockchain</t>
  </si>
  <si>
    <t>GRAIL</t>
  </si>
  <si>
    <t>grail</t>
  </si>
  <si>
    <t>Grail</t>
  </si>
  <si>
    <t>GRAM</t>
  </si>
  <si>
    <t>gram</t>
  </si>
  <si>
    <t>OpenGram</t>
  </si>
  <si>
    <t>GP</t>
  </si>
  <si>
    <t>GRAPE</t>
  </si>
  <si>
    <t>grape-2</t>
  </si>
  <si>
    <t>Grape Protocol</t>
  </si>
  <si>
    <t>grape-finance</t>
  </si>
  <si>
    <t>Grape Finance</t>
  </si>
  <si>
    <t>GRPFT</t>
  </si>
  <si>
    <t>grapefruit-coin</t>
  </si>
  <si>
    <t>Grapefruit Coin</t>
  </si>
  <si>
    <t>grape-token</t>
  </si>
  <si>
    <t>Grape</t>
  </si>
  <si>
    <t>GRAP</t>
  </si>
  <si>
    <t>grap-finance</t>
  </si>
  <si>
    <t>Grap Finance</t>
  </si>
  <si>
    <t>ELTG</t>
  </si>
  <si>
    <t>graphen</t>
  </si>
  <si>
    <t>Graphen</t>
  </si>
  <si>
    <t>GFN</t>
  </si>
  <si>
    <t>graphene</t>
  </si>
  <si>
    <t>Graphene</t>
  </si>
  <si>
    <t>GLQ</t>
  </si>
  <si>
    <t>graphlinq-protocol</t>
  </si>
  <si>
    <t>GraphLinq Protocol</t>
  </si>
  <si>
    <t>GRVE</t>
  </si>
  <si>
    <t>grave</t>
  </si>
  <si>
    <t>Grave</t>
  </si>
  <si>
    <t>GIO</t>
  </si>
  <si>
    <t>graviocoin</t>
  </si>
  <si>
    <t>Graviocoin</t>
  </si>
  <si>
    <t>GRVS</t>
  </si>
  <si>
    <t>gravis-finance</t>
  </si>
  <si>
    <t>Gravis Finance</t>
  </si>
  <si>
    <t>GRV</t>
  </si>
  <si>
    <t>gravitoken</t>
  </si>
  <si>
    <t>Gravitoken</t>
  </si>
  <si>
    <t>GRAV</t>
  </si>
  <si>
    <t>graviton</t>
  </si>
  <si>
    <t>Graviton</t>
  </si>
  <si>
    <t>graviton-zero</t>
  </si>
  <si>
    <t>Graviton Zero</t>
  </si>
  <si>
    <t>GRX</t>
  </si>
  <si>
    <t>gravitx</t>
  </si>
  <si>
    <t>GravitX</t>
  </si>
  <si>
    <t>grearn</t>
  </si>
  <si>
    <t>GrEarn</t>
  </si>
  <si>
    <t>GREATAPE</t>
  </si>
  <si>
    <t>great-ape</t>
  </si>
  <si>
    <t>Great Ape</t>
  </si>
  <si>
    <t>GBD</t>
  </si>
  <si>
    <t>great-bounty-dealer</t>
  </si>
  <si>
    <t>Great Bounty Dealer</t>
  </si>
  <si>
    <t>$GREED</t>
  </si>
  <si>
    <t>greed</t>
  </si>
  <si>
    <t>Greed</t>
  </si>
  <si>
    <t>greekmythology</t>
  </si>
  <si>
    <t>GreekMythology</t>
  </si>
  <si>
    <t>GREEN</t>
  </si>
  <si>
    <t>greenair</t>
  </si>
  <si>
    <t>GreenAir</t>
  </si>
  <si>
    <t>GRBE</t>
  </si>
  <si>
    <t>green-beli</t>
  </si>
  <si>
    <t>Green Beli</t>
  </si>
  <si>
    <t>EBEN</t>
  </si>
  <si>
    <t>green-ben</t>
  </si>
  <si>
    <t>Green Ben</t>
  </si>
  <si>
    <t>green-chart</t>
  </si>
  <si>
    <t>Green Chart</t>
  </si>
  <si>
    <t>WGC</t>
  </si>
  <si>
    <t>green-climate-world</t>
  </si>
  <si>
    <t>Green Climate World</t>
  </si>
  <si>
    <t>GRE</t>
  </si>
  <si>
    <t>greencoin</t>
  </si>
  <si>
    <t>Greencoin</t>
  </si>
  <si>
    <t>GDILDO</t>
  </si>
  <si>
    <t>green-dildo-finance</t>
  </si>
  <si>
    <t>Green Dildo Finance</t>
  </si>
  <si>
    <t>GEC</t>
  </si>
  <si>
    <t>green-energy-coin</t>
  </si>
  <si>
    <t>Green Energy Coin</t>
  </si>
  <si>
    <t>greeneum-network</t>
  </si>
  <si>
    <t>Greeneum Network</t>
  </si>
  <si>
    <t>green-eyed-monsters</t>
  </si>
  <si>
    <t>Green Eyed Monsters</t>
  </si>
  <si>
    <t>GREENFLOKI</t>
  </si>
  <si>
    <t>green-floki</t>
  </si>
  <si>
    <t>Green Floki</t>
  </si>
  <si>
    <t>GRC</t>
  </si>
  <si>
    <t>green-flow</t>
  </si>
  <si>
    <t>GreenCoin.AI</t>
  </si>
  <si>
    <t>GREENFUEL</t>
  </si>
  <si>
    <t>greenfuel</t>
  </si>
  <si>
    <t>Greenfuel</t>
  </si>
  <si>
    <t>greenheart-cbd</t>
  </si>
  <si>
    <t>Greenheart CBD</t>
  </si>
  <si>
    <t>greenhouse</t>
  </si>
  <si>
    <t>Greenhouse</t>
  </si>
  <si>
    <t>GNL</t>
  </si>
  <si>
    <t>green-life-energy</t>
  </si>
  <si>
    <t>Green Life Energy</t>
  </si>
  <si>
    <t>GL</t>
  </si>
  <si>
    <t>green-light</t>
  </si>
  <si>
    <t>Green Light</t>
  </si>
  <si>
    <t>GMETA</t>
  </si>
  <si>
    <t>green-meta</t>
  </si>
  <si>
    <t>Green Meta</t>
  </si>
  <si>
    <t>GRMZILLA</t>
  </si>
  <si>
    <t>greenmoonzilla</t>
  </si>
  <si>
    <t>GreenMoonZilla</t>
  </si>
  <si>
    <t>GPC</t>
  </si>
  <si>
    <t>greenpay-coin</t>
  </si>
  <si>
    <t>GreenPay Coin</t>
  </si>
  <si>
    <t>green-planet</t>
  </si>
  <si>
    <t>Green Planet</t>
  </si>
  <si>
    <t>green-satoshi-token</t>
  </si>
  <si>
    <t>green-satoshi-token-bsc</t>
  </si>
  <si>
    <t>GINUX</t>
  </si>
  <si>
    <t>green-shiba-inu</t>
  </si>
  <si>
    <t>Green Shiba Inu</t>
  </si>
  <si>
    <t>GRCC</t>
  </si>
  <si>
    <t>green-star</t>
  </si>
  <si>
    <t>Green Star</t>
  </si>
  <si>
    <t>GTE</t>
  </si>
  <si>
    <t>greentek</t>
  </si>
  <si>
    <t>GreenTek</t>
  </si>
  <si>
    <t>GNT</t>
  </si>
  <si>
    <t>greentrust</t>
  </si>
  <si>
    <t>GreenTrust</t>
  </si>
  <si>
    <t>GREW</t>
  </si>
  <si>
    <t>green-world</t>
  </si>
  <si>
    <t>Green World</t>
  </si>
  <si>
    <t>GZX</t>
  </si>
  <si>
    <t>greenzonex</t>
  </si>
  <si>
    <t>GreenZoneX</t>
  </si>
  <si>
    <t>GREYHOUND</t>
  </si>
  <si>
    <t>greyhound</t>
  </si>
  <si>
    <t>Greyhound</t>
  </si>
  <si>
    <t>GC</t>
  </si>
  <si>
    <t>gric</t>
  </si>
  <si>
    <t>Gric Coin</t>
  </si>
  <si>
    <t>GRID</t>
  </si>
  <si>
    <t>grid</t>
  </si>
  <si>
    <t>GridPlus [OLD]</t>
  </si>
  <si>
    <t>gridcoin-research</t>
  </si>
  <si>
    <t>Gridcoin</t>
  </si>
  <si>
    <t>ZONE</t>
  </si>
  <si>
    <t>gridzone</t>
  </si>
  <si>
    <t>GridZone.io</t>
  </si>
  <si>
    <t>GART</t>
  </si>
  <si>
    <t>griffin-art</t>
  </si>
  <si>
    <t>Griffin Art</t>
  </si>
  <si>
    <t>GRIMACE</t>
  </si>
  <si>
    <t>grimace-coin</t>
  </si>
  <si>
    <t>Grimace Coin</t>
  </si>
  <si>
    <t>GRIM EVO</t>
  </si>
  <si>
    <t>grim-evo</t>
  </si>
  <si>
    <t>Grim EVO</t>
  </si>
  <si>
    <t>GRIMM</t>
  </si>
  <si>
    <t>grimm</t>
  </si>
  <si>
    <t>Grimm</t>
  </si>
  <si>
    <t>GRIM</t>
  </si>
  <si>
    <t>grimtoken</t>
  </si>
  <si>
    <t>Grim</t>
  </si>
  <si>
    <t>GRIN</t>
  </si>
  <si>
    <t>grin</t>
  </si>
  <si>
    <t>Grin</t>
  </si>
  <si>
    <t>GRO</t>
  </si>
  <si>
    <t>gro-dao-token</t>
  </si>
  <si>
    <t>Gro DAO</t>
  </si>
  <si>
    <t>groestlcoin</t>
  </si>
  <si>
    <t>Groestlcoin</t>
  </si>
  <si>
    <t>GROK</t>
  </si>
  <si>
    <t>grok</t>
  </si>
  <si>
    <t>Grok</t>
  </si>
  <si>
    <t>GR</t>
  </si>
  <si>
    <t>grom</t>
  </si>
  <si>
    <t>GROM</t>
  </si>
  <si>
    <t>GDO</t>
  </si>
  <si>
    <t>groupdao</t>
  </si>
  <si>
    <t>GroupDao</t>
  </si>
  <si>
    <t>gro-vault-token</t>
  </si>
  <si>
    <t>Gro Vault</t>
  </si>
  <si>
    <t>GVR</t>
  </si>
  <si>
    <t>grove</t>
  </si>
  <si>
    <t>Grove</t>
  </si>
  <si>
    <t>GROW</t>
  </si>
  <si>
    <t>growing-fi</t>
  </si>
  <si>
    <t>Growing.fi</t>
  </si>
  <si>
    <t>GRW</t>
  </si>
  <si>
    <t>growthcoin</t>
  </si>
  <si>
    <t>GrowthCoin</t>
  </si>
  <si>
    <t>growth-defi</t>
  </si>
  <si>
    <t>GROWTH DeFi</t>
  </si>
  <si>
    <t>grow-token-2</t>
  </si>
  <si>
    <t>Grow</t>
  </si>
  <si>
    <t>GSCARAB</t>
  </si>
  <si>
    <t>gscarab</t>
  </si>
  <si>
    <t>GScarab</t>
  </si>
  <si>
    <t>GSE</t>
  </si>
  <si>
    <t>gsenetwork</t>
  </si>
  <si>
    <t>GSENetwork</t>
  </si>
  <si>
    <t>GSM</t>
  </si>
  <si>
    <t>gsmcoin</t>
  </si>
  <si>
    <t>GSMcoin</t>
  </si>
  <si>
    <t>GSPI</t>
  </si>
  <si>
    <t>gspi</t>
  </si>
  <si>
    <t>Shopping.io Governance</t>
  </si>
  <si>
    <t>gstcoin</t>
  </si>
  <si>
    <t>GSTCOIN</t>
  </si>
  <si>
    <t>GTON</t>
  </si>
  <si>
    <t>gton-capital</t>
  </si>
  <si>
    <t>GTON CAPITAL</t>
  </si>
  <si>
    <t>GTP</t>
  </si>
  <si>
    <t>gt-protocol</t>
  </si>
  <si>
    <t>GT-Protocol</t>
  </si>
  <si>
    <t>GU</t>
  </si>
  <si>
    <t>gu</t>
  </si>
  <si>
    <t>Kugle GU</t>
  </si>
  <si>
    <t>GUAP</t>
  </si>
  <si>
    <t>guapcoin</t>
  </si>
  <si>
    <t>Guapcoin</t>
  </si>
  <si>
    <t>guarded-ether</t>
  </si>
  <si>
    <t>Guarded Ether</t>
  </si>
  <si>
    <t>GUARD</t>
  </si>
  <si>
    <t>guardian-token</t>
  </si>
  <si>
    <t>Guardian GUARD</t>
  </si>
  <si>
    <t>guider</t>
  </si>
  <si>
    <t>Guider</t>
  </si>
  <si>
    <t>guildfi</t>
  </si>
  <si>
    <t>GuildFi</t>
  </si>
  <si>
    <t>GOG</t>
  </si>
  <si>
    <t>guild-of-guardians</t>
  </si>
  <si>
    <t>Guild of Guardians</t>
  </si>
  <si>
    <t>GUT</t>
  </si>
  <si>
    <t>guitarswap</t>
  </si>
  <si>
    <t>GuitarSwap</t>
  </si>
  <si>
    <t>NLG</t>
  </si>
  <si>
    <t>gulden</t>
  </si>
  <si>
    <t>Gulden</t>
  </si>
  <si>
    <t>GUMMIE</t>
  </si>
  <si>
    <t>gummy-beans</t>
  </si>
  <si>
    <t>Gummy Beans</t>
  </si>
  <si>
    <t>GUMMY</t>
  </si>
  <si>
    <t>gummy-bull-token</t>
  </si>
  <si>
    <t>Gummy Bull</t>
  </si>
  <si>
    <t>GUN</t>
  </si>
  <si>
    <t>guncoin</t>
  </si>
  <si>
    <t>Guncoin</t>
  </si>
  <si>
    <t>gunstar-metaverse</t>
  </si>
  <si>
    <t>Gunstar Metaverse</t>
  </si>
  <si>
    <t>gunstar-metaverse-currency</t>
  </si>
  <si>
    <t>Gunstar Metaverse Currency</t>
  </si>
  <si>
    <t>GUNTHY</t>
  </si>
  <si>
    <t>gunthy</t>
  </si>
  <si>
    <t>GUSDT</t>
  </si>
  <si>
    <t>gusd-token</t>
  </si>
  <si>
    <t>GUSS</t>
  </si>
  <si>
    <t>guss-one</t>
  </si>
  <si>
    <t>GUSS.ONE</t>
  </si>
  <si>
    <t>GCG</t>
  </si>
  <si>
    <t>gutter-cat-gang</t>
  </si>
  <si>
    <t>Gutter Cat Gang</t>
  </si>
  <si>
    <t>GZLR</t>
  </si>
  <si>
    <t>guzzler</t>
  </si>
  <si>
    <t>Guzzler</t>
  </si>
  <si>
    <t>GW</t>
  </si>
  <si>
    <t>gw</t>
  </si>
  <si>
    <t>GXC</t>
  </si>
  <si>
    <t>gxchain</t>
  </si>
  <si>
    <t>GXChain</t>
  </si>
  <si>
    <t>GYEN</t>
  </si>
  <si>
    <t>gyen</t>
  </si>
  <si>
    <t>GYMNET</t>
  </si>
  <si>
    <t>gym-network</t>
  </si>
  <si>
    <t>Gym Network</t>
  </si>
  <si>
    <t>GYM</t>
  </si>
  <si>
    <t>gym-token</t>
  </si>
  <si>
    <t>GYRO</t>
  </si>
  <si>
    <t>gyro</t>
  </si>
  <si>
    <t>Gyro</t>
  </si>
  <si>
    <t>GYFI</t>
  </si>
  <si>
    <t>gyroscope</t>
  </si>
  <si>
    <t>Gyroscope</t>
  </si>
  <si>
    <t>YFIH2</t>
  </si>
  <si>
    <t>h2finance</t>
  </si>
  <si>
    <t>H2Finance</t>
  </si>
  <si>
    <t>h2o</t>
  </si>
  <si>
    <t>h2o-dao</t>
  </si>
  <si>
    <t>H2O Dao</t>
  </si>
  <si>
    <t>H3RO3S</t>
  </si>
  <si>
    <t>h3ro3s</t>
  </si>
  <si>
    <t>HBT</t>
  </si>
  <si>
    <t>habitat</t>
  </si>
  <si>
    <t>Habitat</t>
  </si>
  <si>
    <t>HBX</t>
  </si>
  <si>
    <t>habits</t>
  </si>
  <si>
    <t>Habits</t>
  </si>
  <si>
    <t>HAC</t>
  </si>
  <si>
    <t>hacash</t>
  </si>
  <si>
    <t>Hacash</t>
  </si>
  <si>
    <t>HACHIKO</t>
  </si>
  <si>
    <t>hachiko</t>
  </si>
  <si>
    <t>Hachiko</t>
  </si>
  <si>
    <t>HKC</t>
  </si>
  <si>
    <t>hachiko-charity</t>
  </si>
  <si>
    <t>Hachiko Charity</t>
  </si>
  <si>
    <t>INU</t>
  </si>
  <si>
    <t>hachikoinu</t>
  </si>
  <si>
    <t>HachikoInu</t>
  </si>
  <si>
    <t>HAI</t>
  </si>
  <si>
    <t>hackenai</t>
  </si>
  <si>
    <t>HLD</t>
  </si>
  <si>
    <t>hackerlabs-dao</t>
  </si>
  <si>
    <t>Hackerlabs DAO</t>
  </si>
  <si>
    <t>hackspace-capital</t>
  </si>
  <si>
    <t>Hackspace Capital</t>
  </si>
  <si>
    <t>HADES</t>
  </si>
  <si>
    <t>hades-money</t>
  </si>
  <si>
    <t>Hades Money</t>
  </si>
  <si>
    <t>HDO</t>
  </si>
  <si>
    <t>hado</t>
  </si>
  <si>
    <t>HADO</t>
  </si>
  <si>
    <t>DAMO</t>
  </si>
  <si>
    <t>hai-governence-token</t>
  </si>
  <si>
    <t>Hai DAMO</t>
  </si>
  <si>
    <t>HE</t>
  </si>
  <si>
    <t>haino</t>
  </si>
  <si>
    <t>Haino [OLD]</t>
  </si>
  <si>
    <t>haino-2</t>
  </si>
  <si>
    <t>Haino</t>
  </si>
  <si>
    <t>HAKKA</t>
  </si>
  <si>
    <t>hakka-finance</t>
  </si>
  <si>
    <t>Hakka Finance</t>
  </si>
  <si>
    <t>MATATA</t>
  </si>
  <si>
    <t>hakuna-matata</t>
  </si>
  <si>
    <t>Hakuna Matata</t>
  </si>
  <si>
    <t>HKUN</t>
  </si>
  <si>
    <t>hakunamatata-new</t>
  </si>
  <si>
    <t>HakunaMatata (new)</t>
  </si>
  <si>
    <t>TATA</t>
  </si>
  <si>
    <t>hakuna-metata</t>
  </si>
  <si>
    <t>HakunaMatata (old)</t>
  </si>
  <si>
    <t>MTT</t>
  </si>
  <si>
    <t>hakuna-shares</t>
  </si>
  <si>
    <t>Hakuna Shares</t>
  </si>
  <si>
    <t>$RAI</t>
  </si>
  <si>
    <t>hakurai</t>
  </si>
  <si>
    <t>Hakurai</t>
  </si>
  <si>
    <t>$RYU</t>
  </si>
  <si>
    <t>hakuryu</t>
  </si>
  <si>
    <t>Hakuryu</t>
  </si>
  <si>
    <t>HAKU</t>
  </si>
  <si>
    <t>hakuswap</t>
  </si>
  <si>
    <t>HakuSwap</t>
  </si>
  <si>
    <t>HKN</t>
  </si>
  <si>
    <t>HAL</t>
  </si>
  <si>
    <t>halcyon</t>
  </si>
  <si>
    <t>Halcyon</t>
  </si>
  <si>
    <t>PIZA</t>
  </si>
  <si>
    <t>halfpizza</t>
  </si>
  <si>
    <t>Half Pizza</t>
  </si>
  <si>
    <t>HO</t>
  </si>
  <si>
    <t>halo-network</t>
  </si>
  <si>
    <t>HALO Network</t>
  </si>
  <si>
    <t>halo-platform</t>
  </si>
  <si>
    <t>Halo Platform</t>
  </si>
  <si>
    <t>HALV</t>
  </si>
  <si>
    <t>halving-coin</t>
  </si>
  <si>
    <t>Halving</t>
  </si>
  <si>
    <t>MARU</t>
  </si>
  <si>
    <t>hamaru</t>
  </si>
  <si>
    <t>Hamaru</t>
  </si>
  <si>
    <t>HMC</t>
  </si>
  <si>
    <t>hamdan-coin</t>
  </si>
  <si>
    <t>Hamdan Coin</t>
  </si>
  <si>
    <t>HMETA</t>
  </si>
  <si>
    <t>hampton-metaverse</t>
  </si>
  <si>
    <t>Hampton Metaverse</t>
  </si>
  <si>
    <t>HAM</t>
  </si>
  <si>
    <t>hamster</t>
  </si>
  <si>
    <t>Hamster</t>
  </si>
  <si>
    <t>hamster-money</t>
  </si>
  <si>
    <t>Hamster Money</t>
  </si>
  <si>
    <t>HSHARE</t>
  </si>
  <si>
    <t>hamster-share</t>
  </si>
  <si>
    <t>Hamster Share</t>
  </si>
  <si>
    <t>HANA</t>
  </si>
  <si>
    <t>hanacoin</t>
  </si>
  <si>
    <t>Hanacoin</t>
  </si>
  <si>
    <t>HNG</t>
  </si>
  <si>
    <t>hanagold-token</t>
  </si>
  <si>
    <t>HanaGold</t>
  </si>
  <si>
    <t>handle-fi</t>
  </si>
  <si>
    <t>handle.fi</t>
  </si>
  <si>
    <t>HNS</t>
  </si>
  <si>
    <t>handshake</t>
  </si>
  <si>
    <t>Handshake</t>
  </si>
  <si>
    <t>HANDY</t>
  </si>
  <si>
    <t>handy</t>
  </si>
  <si>
    <t>Handy</t>
  </si>
  <si>
    <t>HANGRY</t>
  </si>
  <si>
    <t>hangrybirds</t>
  </si>
  <si>
    <t>HangryBirds</t>
  </si>
  <si>
    <t>HANU</t>
  </si>
  <si>
    <t>hanu-yokia</t>
  </si>
  <si>
    <t>Hanu Yokia</t>
  </si>
  <si>
    <t>HANZO</t>
  </si>
  <si>
    <t>hanzo-inu</t>
  </si>
  <si>
    <t>Hanzo</t>
  </si>
  <si>
    <t>HAPI</t>
  </si>
  <si>
    <t>hapi</t>
  </si>
  <si>
    <t>HPS</t>
  </si>
  <si>
    <t>happiness-token</t>
  </si>
  <si>
    <t>Happiness HPS</t>
  </si>
  <si>
    <t>HBDC</t>
  </si>
  <si>
    <t>happy-birthday-coin</t>
  </si>
  <si>
    <t>Happy Birthday Coin</t>
  </si>
  <si>
    <t>HAPPY</t>
  </si>
  <si>
    <t>happycoin</t>
  </si>
  <si>
    <t>HappyCoin</t>
  </si>
  <si>
    <t>happyfans</t>
  </si>
  <si>
    <t>HappyFans</t>
  </si>
  <si>
    <t>HPL</t>
  </si>
  <si>
    <t>happyland</t>
  </si>
  <si>
    <t>HappyLand</t>
  </si>
  <si>
    <t>HPW</t>
  </si>
  <si>
    <t>happyland-reward-token</t>
  </si>
  <si>
    <t>HappyLand Reward</t>
  </si>
  <si>
    <t>HARAMBE</t>
  </si>
  <si>
    <t>harambe</t>
  </si>
  <si>
    <t>Harambe</t>
  </si>
  <si>
    <t>RIPH</t>
  </si>
  <si>
    <t>harambe-protocol</t>
  </si>
  <si>
    <t>Harambe Protocol</t>
  </si>
  <si>
    <t>HART</t>
  </si>
  <si>
    <t>hara-token</t>
  </si>
  <si>
    <t>Hara Token</t>
  </si>
  <si>
    <t>HARE</t>
  </si>
  <si>
    <t>hare</t>
  </si>
  <si>
    <t>Hare</t>
  </si>
  <si>
    <t>HARE PLUS</t>
  </si>
  <si>
    <t>hare-plus</t>
  </si>
  <si>
    <t>Hare Plus</t>
  </si>
  <si>
    <t>hare-token</t>
  </si>
  <si>
    <t>Hare [OLD]</t>
  </si>
  <si>
    <t>HSHARES</t>
  </si>
  <si>
    <t>harmes-shares</t>
  </si>
  <si>
    <t>Hermes Shares</t>
  </si>
  <si>
    <t>HMZ</t>
  </si>
  <si>
    <t>harmomized-app</t>
  </si>
  <si>
    <t>Harmonized App</t>
  </si>
  <si>
    <t>harmon-ape</t>
  </si>
  <si>
    <t>Harmon Ape</t>
  </si>
  <si>
    <t>ONE</t>
  </si>
  <si>
    <t>harmony</t>
  </si>
  <si>
    <t>Harmony</t>
  </si>
  <si>
    <t>harmonycoin</t>
  </si>
  <si>
    <t>HarmonyCoin</t>
  </si>
  <si>
    <t>HARL</t>
  </si>
  <si>
    <t>harmonylauncher</t>
  </si>
  <si>
    <t>HarmonyLauncher</t>
  </si>
  <si>
    <t>1PEGG</t>
  </si>
  <si>
    <t>harmony-parrot-egg</t>
  </si>
  <si>
    <t>Harmony Parrot Egg</t>
  </si>
  <si>
    <t>HPLAY</t>
  </si>
  <si>
    <t>harmony-play</t>
  </si>
  <si>
    <t>Harmony Play</t>
  </si>
  <si>
    <t>HVILLE</t>
  </si>
  <si>
    <t>harmonyville</t>
  </si>
  <si>
    <t>Harmonyville</t>
  </si>
  <si>
    <t>HRLD</t>
  </si>
  <si>
    <t>haroldcoin</t>
  </si>
  <si>
    <t>Haroldcoin</t>
  </si>
  <si>
    <t>HARPY</t>
  </si>
  <si>
    <t>harpy-finance</t>
  </si>
  <si>
    <t>Harpy Finance</t>
  </si>
  <si>
    <t>FIRST</t>
  </si>
  <si>
    <t>harrison-first</t>
  </si>
  <si>
    <t>Harrison First</t>
  </si>
  <si>
    <t>BITCOIN</t>
  </si>
  <si>
    <t>harrypotterobamasonic10inu</t>
  </si>
  <si>
    <t>HarryPotterObamaSonic10Inu</t>
  </si>
  <si>
    <t>harvest-finance</t>
  </si>
  <si>
    <t>Harvest Finance</t>
  </si>
  <si>
    <t>HBIT</t>
  </si>
  <si>
    <t>hashbit</t>
  </si>
  <si>
    <t>HashBit</t>
  </si>
  <si>
    <t>HBO</t>
  </si>
  <si>
    <t>hash-bridge-oracle</t>
  </si>
  <si>
    <t>Hash Bridge Oracle</t>
  </si>
  <si>
    <t>hashbx</t>
  </si>
  <si>
    <t>HashBX</t>
  </si>
  <si>
    <t>HSC</t>
  </si>
  <si>
    <t>hashcoin</t>
  </si>
  <si>
    <t>HashCoin</t>
  </si>
  <si>
    <t>GARD</t>
  </si>
  <si>
    <t>hashgard</t>
  </si>
  <si>
    <t>Hashgard</t>
  </si>
  <si>
    <t>BUDS</t>
  </si>
  <si>
    <t>hashkings-buds</t>
  </si>
  <si>
    <t>Hashkings Buds</t>
  </si>
  <si>
    <t>HC</t>
  </si>
  <si>
    <t>hashland-coin</t>
  </si>
  <si>
    <t>HashLand Coin</t>
  </si>
  <si>
    <t>MASK20</t>
  </si>
  <si>
    <t>hashmasks</t>
  </si>
  <si>
    <t>Hashmasks</t>
  </si>
  <si>
    <t>HNB</t>
  </si>
  <si>
    <t>hashnet-biteco</t>
  </si>
  <si>
    <t>HashNet BitEco</t>
  </si>
  <si>
    <t>PANDA</t>
  </si>
  <si>
    <t>hashpanda</t>
  </si>
  <si>
    <t>HashPanda</t>
  </si>
  <si>
    <t>HSS</t>
  </si>
  <si>
    <t>hashshare</t>
  </si>
  <si>
    <t>Hashshare</t>
  </si>
  <si>
    <t>MOOO</t>
  </si>
  <si>
    <t>hashtagger</t>
  </si>
  <si>
    <t>Hashtagger</t>
  </si>
  <si>
    <t>HASH</t>
  </si>
  <si>
    <t>hash-token</t>
  </si>
  <si>
    <t>Hashbon</t>
  </si>
  <si>
    <t>HATAY</t>
  </si>
  <si>
    <t>hatayspor-token</t>
  </si>
  <si>
    <t>Hatayspor Token</t>
  </si>
  <si>
    <t>HATCH</t>
  </si>
  <si>
    <t>hatch-dao</t>
  </si>
  <si>
    <t>Hatch DAO</t>
  </si>
  <si>
    <t>HTR</t>
  </si>
  <si>
    <t>hathor</t>
  </si>
  <si>
    <t>Hathor</t>
  </si>
  <si>
    <t>HATOK</t>
  </si>
  <si>
    <t>hatoken</t>
  </si>
  <si>
    <t>Hatoken [OLD]</t>
  </si>
  <si>
    <t>hatoken-2</t>
  </si>
  <si>
    <t>Hatoken</t>
  </si>
  <si>
    <t>HTC</t>
  </si>
  <si>
    <t>hat-swap-city</t>
  </si>
  <si>
    <t>Hat Swap City</t>
  </si>
  <si>
    <t>HATTER</t>
  </si>
  <si>
    <t>hatter</t>
  </si>
  <si>
    <t>Hatter</t>
  </si>
  <si>
    <t>HFSP</t>
  </si>
  <si>
    <t>have-fun-staying-poor</t>
  </si>
  <si>
    <t>Have Fun Staying Poor</t>
  </si>
  <si>
    <t>XHV</t>
  </si>
  <si>
    <t>haven</t>
  </si>
  <si>
    <t>Haven</t>
  </si>
  <si>
    <t>HXN</t>
  </si>
  <si>
    <t>havens-nook</t>
  </si>
  <si>
    <t>Havens Nook</t>
  </si>
  <si>
    <t>HAVEN</t>
  </si>
  <si>
    <t>haven-token</t>
  </si>
  <si>
    <t>Safehaven DeFi</t>
  </si>
  <si>
    <t>SNX</t>
  </si>
  <si>
    <t>havven</t>
  </si>
  <si>
    <t>Synthetix Network Token</t>
  </si>
  <si>
    <t>HAVY</t>
  </si>
  <si>
    <t>havy-2</t>
  </si>
  <si>
    <t>Havy</t>
  </si>
  <si>
    <t>HWI</t>
  </si>
  <si>
    <t>hawaii-coin</t>
  </si>
  <si>
    <t>Hawaii Coin</t>
  </si>
  <si>
    <t>HAWK</t>
  </si>
  <si>
    <t>hawksight</t>
  </si>
  <si>
    <t>Hawksight</t>
  </si>
  <si>
    <t>HINU</t>
  </si>
  <si>
    <t>hayate-inu</t>
  </si>
  <si>
    <t>Hayate Inu</t>
  </si>
  <si>
    <t>HAY</t>
  </si>
  <si>
    <t>hayfever</t>
  </si>
  <si>
    <t>Hayfever</t>
  </si>
  <si>
    <t>HAZ</t>
  </si>
  <si>
    <t>hazza</t>
  </si>
  <si>
    <t>Hazza</t>
  </si>
  <si>
    <t>HBARP</t>
  </si>
  <si>
    <t>hbarpad</t>
  </si>
  <si>
    <t>HbarPad</t>
  </si>
  <si>
    <t>HBC</t>
  </si>
  <si>
    <t>hbtc-token</t>
  </si>
  <si>
    <t>HDD</t>
  </si>
  <si>
    <t>hddcoin</t>
  </si>
  <si>
    <t>HDDcoin</t>
  </si>
  <si>
    <t>HDPUNK</t>
  </si>
  <si>
    <t>hdpunk-vault-nftx</t>
  </si>
  <si>
    <t>HDPUNK Vault (NFTX)</t>
  </si>
  <si>
    <t>HEADBANGERS</t>
  </si>
  <si>
    <t>headbangers-club</t>
  </si>
  <si>
    <t>Headbangers Club</t>
  </si>
  <si>
    <t>HEAD</t>
  </si>
  <si>
    <t>head-football</t>
  </si>
  <si>
    <t>Head Football</t>
  </si>
  <si>
    <t>HPPOT</t>
  </si>
  <si>
    <t>healing-potion</t>
  </si>
  <si>
    <t>Healing Potion</t>
  </si>
  <si>
    <t>HCUT</t>
  </si>
  <si>
    <t>healthchainus</t>
  </si>
  <si>
    <t>HealthChainUS</t>
  </si>
  <si>
    <t>heal-the-world</t>
  </si>
  <si>
    <t>Heal The World</t>
  </si>
  <si>
    <t>HTF</t>
  </si>
  <si>
    <t>healthify</t>
  </si>
  <si>
    <t>Healthify</t>
  </si>
  <si>
    <t>HEARN</t>
  </si>
  <si>
    <t>hearn-fi</t>
  </si>
  <si>
    <t>Hearn.fi</t>
  </si>
  <si>
    <t>HB</t>
  </si>
  <si>
    <t>heartbout</t>
  </si>
  <si>
    <t>HeartBout</t>
  </si>
  <si>
    <t>HP</t>
  </si>
  <si>
    <t>heartbout-pay</t>
  </si>
  <si>
    <t>HeartBout Pay</t>
  </si>
  <si>
    <t>HTN</t>
  </si>
  <si>
    <t>heartnumber</t>
  </si>
  <si>
    <t>Heart Number</t>
  </si>
  <si>
    <t>HEART</t>
  </si>
  <si>
    <t>hearts</t>
  </si>
  <si>
    <t>Hearts</t>
  </si>
  <si>
    <t>HTO</t>
  </si>
  <si>
    <t>heavenland-hto</t>
  </si>
  <si>
    <t>Heavenland HTO</t>
  </si>
  <si>
    <t>HEBE</t>
  </si>
  <si>
    <t>hebeblock</t>
  </si>
  <si>
    <t>Hebeblock</t>
  </si>
  <si>
    <t>HECATE</t>
  </si>
  <si>
    <t>hecate-capital</t>
  </si>
  <si>
    <t>Hecate Capital</t>
  </si>
  <si>
    <t>HFI</t>
  </si>
  <si>
    <t>hecofi</t>
  </si>
  <si>
    <t>HecoFi</t>
  </si>
  <si>
    <t>HOGT</t>
  </si>
  <si>
    <t>heco-origin-token</t>
  </si>
  <si>
    <t>Heco Origin</t>
  </si>
  <si>
    <t>heco-peg-bnb</t>
  </si>
  <si>
    <t>Heco-Peg Binance Coin</t>
  </si>
  <si>
    <t>heco-peg-xrp</t>
  </si>
  <si>
    <t>Heco-Peg XRP</t>
  </si>
  <si>
    <t>HEC</t>
  </si>
  <si>
    <t>hector-dao</t>
  </si>
  <si>
    <t>Hector Finance</t>
  </si>
  <si>
    <t>hedera-hashgraph</t>
  </si>
  <si>
    <t>hedge-finance</t>
  </si>
  <si>
    <t>Hedge Finance</t>
  </si>
  <si>
    <t>HDG</t>
  </si>
  <si>
    <t>hedge-protocol</t>
  </si>
  <si>
    <t>Hedge Protocol</t>
  </si>
  <si>
    <t>HGET</t>
  </si>
  <si>
    <t>hedget</t>
  </si>
  <si>
    <t>Hedget</t>
  </si>
  <si>
    <t>HEDG</t>
  </si>
  <si>
    <t>hedgetrade</t>
  </si>
  <si>
    <t>HedgeTrade</t>
  </si>
  <si>
    <t>hedget-wormhole</t>
  </si>
  <si>
    <t>Hedget (Wormhole)</t>
  </si>
  <si>
    <t>USH</t>
  </si>
  <si>
    <t>hedge-usd</t>
  </si>
  <si>
    <t>Hedge USD</t>
  </si>
  <si>
    <t>HDP.Ф</t>
  </si>
  <si>
    <t>hedpay</t>
  </si>
  <si>
    <t>HEdpAY</t>
  </si>
  <si>
    <t>HDRN</t>
  </si>
  <si>
    <t>hedron</t>
  </si>
  <si>
    <t>Hedron</t>
  </si>
  <si>
    <t>HEGIC</t>
  </si>
  <si>
    <t>hegic</t>
  </si>
  <si>
    <t>Hegic</t>
  </si>
  <si>
    <t>COPTER</t>
  </si>
  <si>
    <t>helicopter-finance</t>
  </si>
  <si>
    <t>Helicopter Finance</t>
  </si>
  <si>
    <t>HLO</t>
  </si>
  <si>
    <t>helio</t>
  </si>
  <si>
    <t>Helio</t>
  </si>
  <si>
    <t>HNT</t>
  </si>
  <si>
    <t>helium</t>
  </si>
  <si>
    <t>Helium</t>
  </si>
  <si>
    <t>HLIX</t>
  </si>
  <si>
    <t>helix</t>
  </si>
  <si>
    <t>Helix</t>
  </si>
  <si>
    <t>HK</t>
  </si>
  <si>
    <t>helkin</t>
  </si>
  <si>
    <t>Helkin</t>
  </si>
  <si>
    <t>HNC</t>
  </si>
  <si>
    <t>helleniccoin</t>
  </si>
  <si>
    <t>HNC Coin</t>
  </si>
  <si>
    <t>hell-hounds</t>
  </si>
  <si>
    <t>HELL HOUNDS</t>
  </si>
  <si>
    <t>HMOON</t>
  </si>
  <si>
    <t>hellmoon</t>
  </si>
  <si>
    <t>HELLMOON</t>
  </si>
  <si>
    <t>HGT</t>
  </si>
  <si>
    <t>hellogold</t>
  </si>
  <si>
    <t>HelloGold</t>
  </si>
  <si>
    <t>HELLSHARE</t>
  </si>
  <si>
    <t>hellshare</t>
  </si>
  <si>
    <t>HELLSING</t>
  </si>
  <si>
    <t>hellsing-inu</t>
  </si>
  <si>
    <t>Hellsing Inu</t>
  </si>
  <si>
    <t>HELMET</t>
  </si>
  <si>
    <t>helmet-insure</t>
  </si>
  <si>
    <t>Helmet Insure</t>
  </si>
  <si>
    <t>HLP</t>
  </si>
  <si>
    <t>help-coin</t>
  </si>
  <si>
    <t>HCS</t>
  </si>
  <si>
    <t>help-coins</t>
  </si>
  <si>
    <t>Help Coins</t>
  </si>
  <si>
    <t>HSN</t>
  </si>
  <si>
    <t>helper-search-token</t>
  </si>
  <si>
    <t>Helper Search Token</t>
  </si>
  <si>
    <t>HELP</t>
  </si>
  <si>
    <t>helpico</t>
  </si>
  <si>
    <t>Helpico</t>
  </si>
  <si>
    <t>helpkidz-coin</t>
  </si>
  <si>
    <t>HelpKidz Coin</t>
  </si>
  <si>
    <t>HELPS</t>
  </si>
  <si>
    <t>helpseed</t>
  </si>
  <si>
    <t>HelpSeed</t>
  </si>
  <si>
    <t>HTH</t>
  </si>
  <si>
    <t>help-the-homeless-coin</t>
  </si>
  <si>
    <t>Help The Homeless Coin</t>
  </si>
  <si>
    <t>help-token</t>
  </si>
  <si>
    <t>GoHelpFund</t>
  </si>
  <si>
    <t>THC</t>
  </si>
  <si>
    <t>hempcoin-thc</t>
  </si>
  <si>
    <t>Hempcoin</t>
  </si>
  <si>
    <t>HEPA</t>
  </si>
  <si>
    <t>hepa-finance</t>
  </si>
  <si>
    <t>Hepa Finance</t>
  </si>
  <si>
    <t>HPTF</t>
  </si>
  <si>
    <t>heptafranc</t>
  </si>
  <si>
    <t>HEPTAFRANC</t>
  </si>
  <si>
    <t>HERA</t>
  </si>
  <si>
    <t>hera-finance</t>
  </si>
  <si>
    <t>Hera Finance</t>
  </si>
  <si>
    <t>HERB</t>
  </si>
  <si>
    <t>herbalist-token</t>
  </si>
  <si>
    <t>Herbalist Token</t>
  </si>
  <si>
    <t>HRS</t>
  </si>
  <si>
    <t>heres</t>
  </si>
  <si>
    <t>Heres</t>
  </si>
  <si>
    <t>HER</t>
  </si>
  <si>
    <t>herity-network</t>
  </si>
  <si>
    <t>Herity Network</t>
  </si>
  <si>
    <t>HERMES</t>
  </si>
  <si>
    <t>hermes</t>
  </si>
  <si>
    <t>hermes-protocol</t>
  </si>
  <si>
    <t>Hermes Protocol</t>
  </si>
  <si>
    <t>HEZ</t>
  </si>
  <si>
    <t>hermez-network-token</t>
  </si>
  <si>
    <t>Hermez Network</t>
  </si>
  <si>
    <t>hero</t>
  </si>
  <si>
    <t>hero-arena</t>
  </si>
  <si>
    <t>Hero Arena</t>
  </si>
  <si>
    <t>HRB</t>
  </si>
  <si>
    <t>herobattle</t>
  </si>
  <si>
    <t>Herobattle</t>
  </si>
  <si>
    <t>HBG</t>
  </si>
  <si>
    <t>herobook</t>
  </si>
  <si>
    <t>HeroBook</t>
  </si>
  <si>
    <t>HCK</t>
  </si>
  <si>
    <t>hero-cat-key</t>
  </si>
  <si>
    <t>Hero Cat Key</t>
  </si>
  <si>
    <t>HCT</t>
  </si>
  <si>
    <t>hero-cat-token</t>
  </si>
  <si>
    <t>Hero Cat</t>
  </si>
  <si>
    <t>PLAY</t>
  </si>
  <si>
    <t>herocoin</t>
  </si>
  <si>
    <t>HEROcoin</t>
  </si>
  <si>
    <t>heroeschained</t>
  </si>
  <si>
    <t>HeroesChained</t>
  </si>
  <si>
    <t>heroes-empires</t>
  </si>
  <si>
    <t>Heroes &amp; Empires</t>
  </si>
  <si>
    <t>HON</t>
  </si>
  <si>
    <t>heroes-of-nft</t>
  </si>
  <si>
    <t>Heroes of NFT</t>
  </si>
  <si>
    <t>HES</t>
  </si>
  <si>
    <t>hero-essence</t>
  </si>
  <si>
    <t>Hero Essence</t>
  </si>
  <si>
    <t>HTD</t>
  </si>
  <si>
    <t>heroes-td</t>
  </si>
  <si>
    <t>Heroes TD</t>
  </si>
  <si>
    <t>heroestd-cgc</t>
  </si>
  <si>
    <t>HeroesTD CGC</t>
  </si>
  <si>
    <t>HEROEGG</t>
  </si>
  <si>
    <t>herofi</t>
  </si>
  <si>
    <t>HeroFi</t>
  </si>
  <si>
    <t>ROFI</t>
  </si>
  <si>
    <t>herofi-token-2</t>
  </si>
  <si>
    <t>HeroFi ROFI</t>
  </si>
  <si>
    <t>HEROS</t>
  </si>
  <si>
    <t>hero-inu</t>
  </si>
  <si>
    <t>Heros</t>
  </si>
  <si>
    <t>heropark</t>
  </si>
  <si>
    <t>HeroPark</t>
  </si>
  <si>
    <t>herosofcrypton</t>
  </si>
  <si>
    <t>Heroes of Crypton</t>
  </si>
  <si>
    <t>RAISE</t>
  </si>
  <si>
    <t>hero-token</t>
  </si>
  <si>
    <t>heroverse</t>
  </si>
  <si>
    <t>HeroVerse</t>
  </si>
  <si>
    <t>HTZ</t>
  </si>
  <si>
    <t>hertz-network</t>
  </si>
  <si>
    <t>Hertz Network</t>
  </si>
  <si>
    <t>RAM</t>
  </si>
  <si>
    <t>herum</t>
  </si>
  <si>
    <t>Herum</t>
  </si>
  <si>
    <t>HESH</t>
  </si>
  <si>
    <t>hesh-fi</t>
  </si>
  <si>
    <t>Hesh.Fi</t>
  </si>
  <si>
    <t>HEX</t>
  </si>
  <si>
    <t>hex</t>
  </si>
  <si>
    <t>HXY</t>
  </si>
  <si>
    <t>hex-money</t>
  </si>
  <si>
    <t>HXY Money</t>
  </si>
  <si>
    <t>$HEYSHIB</t>
  </si>
  <si>
    <t>hey-shiba</t>
  </si>
  <si>
    <t>Hey Shiba</t>
  </si>
  <si>
    <t>HFUEL</t>
  </si>
  <si>
    <t>hfuel</t>
  </si>
  <si>
    <t>HFuel</t>
  </si>
  <si>
    <t>HIBIKI</t>
  </si>
  <si>
    <t>hibiki-finance</t>
  </si>
  <si>
    <t>Hibiki Finance</t>
  </si>
  <si>
    <t>HIBS</t>
  </si>
  <si>
    <t>hiblocks</t>
  </si>
  <si>
    <t>Hiblocks</t>
  </si>
  <si>
    <t>XHI</t>
  </si>
  <si>
    <t>hicoin</t>
  </si>
  <si>
    <t>HiCoin</t>
  </si>
  <si>
    <t>HDN</t>
  </si>
  <si>
    <t>hidden-coin</t>
  </si>
  <si>
    <t>Hidden Coin</t>
  </si>
  <si>
    <t>HIDEOUS</t>
  </si>
  <si>
    <t>hideous-coin</t>
  </si>
  <si>
    <t>Hideous Finance</t>
  </si>
  <si>
    <t>HI</t>
  </si>
  <si>
    <t>hi-dollar</t>
  </si>
  <si>
    <t>hi Dollar</t>
  </si>
  <si>
    <t>hierocoin</t>
  </si>
  <si>
    <t>Hierocoin</t>
  </si>
  <si>
    <t>HIFI</t>
  </si>
  <si>
    <t>hifi-gaming-society</t>
  </si>
  <si>
    <t>HiFi Gaming Society</t>
  </si>
  <si>
    <t>HIGGS</t>
  </si>
  <si>
    <t>higgs</t>
  </si>
  <si>
    <t>Higgs</t>
  </si>
  <si>
    <t>HYSS</t>
  </si>
  <si>
    <t>highest-yield-savings-service</t>
  </si>
  <si>
    <t>Highest Yield Savings Service</t>
  </si>
  <si>
    <t>HPB</t>
  </si>
  <si>
    <t>high-performance-blockchain</t>
  </si>
  <si>
    <t>High Performance Blockchain</t>
  </si>
  <si>
    <t>ROLL</t>
  </si>
  <si>
    <t>high-roller-hippo-clique</t>
  </si>
  <si>
    <t>High Roller Hippo Clique</t>
  </si>
  <si>
    <t>HIGH</t>
  </si>
  <si>
    <t>highstreet</t>
  </si>
  <si>
    <t>Highstreet</t>
  </si>
  <si>
    <t>HSF</t>
  </si>
  <si>
    <t>hillstone</t>
  </si>
  <si>
    <t>Hillstone Finance</t>
  </si>
  <si>
    <t>HIMA</t>
  </si>
  <si>
    <t>himalayan-cat-coin</t>
  </si>
  <si>
    <t>Himalayan Cat Coin</t>
  </si>
  <si>
    <t>HIMO</t>
  </si>
  <si>
    <t>himo-world</t>
  </si>
  <si>
    <t>Himo World</t>
  </si>
  <si>
    <t>HINA</t>
  </si>
  <si>
    <t>hina-inu</t>
  </si>
  <si>
    <t>Hina Inu</t>
  </si>
  <si>
    <t>HINT</t>
  </si>
  <si>
    <t>hintchain</t>
  </si>
  <si>
    <t>Hintchain</t>
  </si>
  <si>
    <t>$HIPPO</t>
  </si>
  <si>
    <t>hippo-coin</t>
  </si>
  <si>
    <t>Hippo Coin</t>
  </si>
  <si>
    <t>HIP</t>
  </si>
  <si>
    <t>hippo-token</t>
  </si>
  <si>
    <t>Hippo</t>
  </si>
  <si>
    <t>HIRAM</t>
  </si>
  <si>
    <t>hiram</t>
  </si>
  <si>
    <t>Hiram</t>
  </si>
  <si>
    <t>HVT</t>
  </si>
  <si>
    <t>hirevibes</t>
  </si>
  <si>
    <t>HireVibes</t>
  </si>
  <si>
    <t>HTA</t>
  </si>
  <si>
    <t>historia</t>
  </si>
  <si>
    <t>Historia</t>
  </si>
  <si>
    <t>HIT</t>
  </si>
  <si>
    <t>hitbtc-token</t>
  </si>
  <si>
    <t>HitBTC</t>
  </si>
  <si>
    <t>hitchain</t>
  </si>
  <si>
    <t>HitChain</t>
  </si>
  <si>
    <t>hitcoin</t>
  </si>
  <si>
    <t>Hitcoin</t>
  </si>
  <si>
    <t>HITX</t>
  </si>
  <si>
    <t>hithotx</t>
  </si>
  <si>
    <t>Hithotx</t>
  </si>
  <si>
    <t>HIVE</t>
  </si>
  <si>
    <t>hive</t>
  </si>
  <si>
    <t>Hive</t>
  </si>
  <si>
    <t>HBD</t>
  </si>
  <si>
    <t>hive_dollar</t>
  </si>
  <si>
    <t>Hive Dollar</t>
  </si>
  <si>
    <t>HNY</t>
  </si>
  <si>
    <t>hive-investments-honey</t>
  </si>
  <si>
    <t>Hive.Investments HONEY</t>
  </si>
  <si>
    <t>HVN</t>
  </si>
  <si>
    <t>hiveterminal</t>
  </si>
  <si>
    <t>HIZ</t>
  </si>
  <si>
    <t>hiz-finance</t>
  </si>
  <si>
    <t>Hiz Finance</t>
  </si>
  <si>
    <t>hk-coin</t>
  </si>
  <si>
    <t>HK Coin</t>
  </si>
  <si>
    <t>HDAO</t>
  </si>
  <si>
    <t>hkd-com-dao</t>
  </si>
  <si>
    <t>Hkd.com Dao</t>
  </si>
  <si>
    <t>HLAND</t>
  </si>
  <si>
    <t>hland-token</t>
  </si>
  <si>
    <t>HLTH</t>
  </si>
  <si>
    <t>hlth-token</t>
  </si>
  <si>
    <t>ORI</t>
  </si>
  <si>
    <t>hnk-orijent-1919-token</t>
  </si>
  <si>
    <t>HNK Orijent 1919</t>
  </si>
  <si>
    <t>HNW</t>
  </si>
  <si>
    <t>hobbs-networking</t>
  </si>
  <si>
    <t>Hobbs Networking</t>
  </si>
  <si>
    <t>HBN</t>
  </si>
  <si>
    <t>hobonickels</t>
  </si>
  <si>
    <t>Hobonickels</t>
  </si>
  <si>
    <t>HODL</t>
  </si>
  <si>
    <t>hodlassets</t>
  </si>
  <si>
    <t>HodlAssets</t>
  </si>
  <si>
    <t>hodlcoin</t>
  </si>
  <si>
    <t>HOdlcoin</t>
  </si>
  <si>
    <t>HHNFT</t>
  </si>
  <si>
    <t>hodler-heroes-nft</t>
  </si>
  <si>
    <t>Hodler Heroes NFT</t>
  </si>
  <si>
    <t>HETH</t>
  </si>
  <si>
    <t>hodl-eth</t>
  </si>
  <si>
    <t>Hodl ETH</t>
  </si>
  <si>
    <t>HFT</t>
  </si>
  <si>
    <t>hodl-finance</t>
  </si>
  <si>
    <t>Hodl Finance</t>
  </si>
  <si>
    <t>hodl-token</t>
  </si>
  <si>
    <t>HVLT</t>
  </si>
  <si>
    <t>hodl-vault</t>
  </si>
  <si>
    <t>HODL Vault</t>
  </si>
  <si>
    <t>HOD</t>
  </si>
  <si>
    <t>hodooi-com</t>
  </si>
  <si>
    <t>HoDooi.com</t>
  </si>
  <si>
    <t>HOFF</t>
  </si>
  <si>
    <t>hoff-coin</t>
  </si>
  <si>
    <t>Hoff Coin</t>
  </si>
  <si>
    <t>HOGE</t>
  </si>
  <si>
    <t>hoge-finance</t>
  </si>
  <si>
    <t>Hoge Finance</t>
  </si>
  <si>
    <t>HOKK</t>
  </si>
  <si>
    <t>hokkaidu-inu</t>
  </si>
  <si>
    <t>Hokkaido Inu</t>
  </si>
  <si>
    <t>H2E</t>
  </si>
  <si>
    <t>hold2earn</t>
  </si>
  <si>
    <t>Hold2Earn</t>
  </si>
  <si>
    <t>HDT</t>
  </si>
  <si>
    <t>hold-diamond</t>
  </si>
  <si>
    <t>Hold Diamond</t>
  </si>
  <si>
    <t>HOLDENOMICS</t>
  </si>
  <si>
    <t>holdenomics</t>
  </si>
  <si>
    <t>Holdenomics</t>
  </si>
  <si>
    <t>HLM</t>
  </si>
  <si>
    <t>holdermoon</t>
  </si>
  <si>
    <t>HolderMoon</t>
  </si>
  <si>
    <t>HFS</t>
  </si>
  <si>
    <t>holderswap</t>
  </si>
  <si>
    <t>HolderSwap</t>
  </si>
  <si>
    <t>HOLDEX</t>
  </si>
  <si>
    <t>holdex-finance</t>
  </si>
  <si>
    <t>Holdex Finance</t>
  </si>
  <si>
    <t>HOL</t>
  </si>
  <si>
    <t>holiday-token</t>
  </si>
  <si>
    <t>Holiday</t>
  </si>
  <si>
    <t>XHT</t>
  </si>
  <si>
    <t>hollaex-token</t>
  </si>
  <si>
    <t>HollaEx</t>
  </si>
  <si>
    <t>HGOLD</t>
  </si>
  <si>
    <t>hollygold</t>
  </si>
  <si>
    <t>HollyGold</t>
  </si>
  <si>
    <t>hololoot</t>
  </si>
  <si>
    <t>Hololoot</t>
  </si>
  <si>
    <t>RIDE</t>
  </si>
  <si>
    <t>holoride</t>
  </si>
  <si>
    <t>HOT</t>
  </si>
  <si>
    <t>holotoken</t>
  </si>
  <si>
    <t>Holo</t>
  </si>
  <si>
    <t>HDOGE</t>
  </si>
  <si>
    <t>holydoge</t>
  </si>
  <si>
    <t>HolyDoge</t>
  </si>
  <si>
    <t>HLY</t>
  </si>
  <si>
    <t>holygrail</t>
  </si>
  <si>
    <t>HolyGrail</t>
  </si>
  <si>
    <t>MOVE</t>
  </si>
  <si>
    <t>holyheld-2</t>
  </si>
  <si>
    <t>Mover</t>
  </si>
  <si>
    <t>HOLY</t>
  </si>
  <si>
    <t>holy-knight</t>
  </si>
  <si>
    <t>Holy Knight</t>
  </si>
  <si>
    <t>holy-trinity</t>
  </si>
  <si>
    <t>Holy Trinity</t>
  </si>
  <si>
    <t>HOME</t>
  </si>
  <si>
    <t>home-coin</t>
  </si>
  <si>
    <t>Home Coin</t>
  </si>
  <si>
    <t>HMR</t>
  </si>
  <si>
    <t>homeros</t>
  </si>
  <si>
    <t>Homeros</t>
  </si>
  <si>
    <t>HMRN</t>
  </si>
  <si>
    <t>homerun</t>
  </si>
  <si>
    <t>Homerun</t>
  </si>
  <si>
    <t>HOMT</t>
  </si>
  <si>
    <t>hom-token</t>
  </si>
  <si>
    <t>HNDC</t>
  </si>
  <si>
    <t>hondaiscoin</t>
  </si>
  <si>
    <t>HondaisCoin</t>
  </si>
  <si>
    <t>HNST</t>
  </si>
  <si>
    <t>honest-mining</t>
  </si>
  <si>
    <t>Honest</t>
  </si>
  <si>
    <t>honey</t>
  </si>
  <si>
    <t>Honey</t>
  </si>
  <si>
    <t>HONEYBADGER</t>
  </si>
  <si>
    <t>honey-badger</t>
  </si>
  <si>
    <t>Honey Badger</t>
  </si>
  <si>
    <t>honeybear</t>
  </si>
  <si>
    <t>HoneyBear</t>
  </si>
  <si>
    <t>BEE</t>
  </si>
  <si>
    <t>honeybee</t>
  </si>
  <si>
    <t>HoneyBee</t>
  </si>
  <si>
    <t>honeycomb-2</t>
  </si>
  <si>
    <t>Honeycomb</t>
  </si>
  <si>
    <t>HONEYD</t>
  </si>
  <si>
    <t>honey-deluxe</t>
  </si>
  <si>
    <t>Honey Deluxe</t>
  </si>
  <si>
    <t>$HONEY</t>
  </si>
  <si>
    <t>honey-fancybearsmetaverse</t>
  </si>
  <si>
    <t>Honey (Fancy Bears Metaverse)</t>
  </si>
  <si>
    <t>honeyfarm-finance</t>
  </si>
  <si>
    <t>HoneyFarm Finance</t>
  </si>
  <si>
    <t>honey-finance</t>
  </si>
  <si>
    <t>Honey Finance</t>
  </si>
  <si>
    <t>honeymoon-token</t>
  </si>
  <si>
    <t>HoneyMOON</t>
  </si>
  <si>
    <t>honeypad</t>
  </si>
  <si>
    <t>HONEYPAD</t>
  </si>
  <si>
    <t>honey-pot-beekeepers</t>
  </si>
  <si>
    <t>Honey Pot BeeKeepers</t>
  </si>
  <si>
    <t>SWEET</t>
  </si>
  <si>
    <t>honey-token</t>
  </si>
  <si>
    <t>Honey SWEET</t>
  </si>
  <si>
    <t>HONK</t>
  </si>
  <si>
    <t>honk-honk</t>
  </si>
  <si>
    <t>Honk Honk</t>
  </si>
  <si>
    <t>HONO</t>
  </si>
  <si>
    <t>hono</t>
  </si>
  <si>
    <t>Hono</t>
  </si>
  <si>
    <t>HONOR</t>
  </si>
  <si>
    <t>honorland</t>
  </si>
  <si>
    <t>HonorLand</t>
  </si>
  <si>
    <t>HOOP</t>
  </si>
  <si>
    <t>hoopoe</t>
  </si>
  <si>
    <t>Hoopoe</t>
  </si>
  <si>
    <t>HOO</t>
  </si>
  <si>
    <t>hoo-token</t>
  </si>
  <si>
    <t>hope-galaxy</t>
  </si>
  <si>
    <t>HOPE Galaxy</t>
  </si>
  <si>
    <t>hope-token</t>
  </si>
  <si>
    <t>hoppers-game</t>
  </si>
  <si>
    <t>Hoppers Game</t>
  </si>
  <si>
    <t>HOP</t>
  </si>
  <si>
    <t>hop-protocol</t>
  </si>
  <si>
    <t>Hop Protocol</t>
  </si>
  <si>
    <t>hoppy</t>
  </si>
  <si>
    <t>HOPPY</t>
  </si>
  <si>
    <t>HOPR</t>
  </si>
  <si>
    <t>hopr</t>
  </si>
  <si>
    <t>HQX</t>
  </si>
  <si>
    <t>hoqu</t>
  </si>
  <si>
    <t>HOQU</t>
  </si>
  <si>
    <t>HORD</t>
  </si>
  <si>
    <t>hord</t>
  </si>
  <si>
    <t>Hord</t>
  </si>
  <si>
    <t>HOR</t>
  </si>
  <si>
    <t>horde</t>
  </si>
  <si>
    <t>Horde</t>
  </si>
  <si>
    <t>$HORDE</t>
  </si>
  <si>
    <t>horde-token</t>
  </si>
  <si>
    <t>HORGI</t>
  </si>
  <si>
    <t>horgi</t>
  </si>
  <si>
    <t>Horgi</t>
  </si>
  <si>
    <t>HZD</t>
  </si>
  <si>
    <t>horizondollar</t>
  </si>
  <si>
    <t>Horizon Dollar</t>
  </si>
  <si>
    <t>HRZ</t>
  </si>
  <si>
    <t>horizonland</t>
  </si>
  <si>
    <t>Horizonland</t>
  </si>
  <si>
    <t>HZN</t>
  </si>
  <si>
    <t>horizon-protocol</t>
  </si>
  <si>
    <t>Horizon Protocol</t>
  </si>
  <si>
    <t>HORUS</t>
  </si>
  <si>
    <t>horuspay</t>
  </si>
  <si>
    <t>HorusPay</t>
  </si>
  <si>
    <t>HOSKY</t>
  </si>
  <si>
    <t>hosky</t>
  </si>
  <si>
    <t>Hosky</t>
  </si>
  <si>
    <t>HOSP</t>
  </si>
  <si>
    <t>hospital-coin</t>
  </si>
  <si>
    <t>Hospital Coin</t>
  </si>
  <si>
    <t>HTB</t>
  </si>
  <si>
    <t>hotbit-token</t>
  </si>
  <si>
    <t>Hotbit Token</t>
  </si>
  <si>
    <t>HOTCROSS</t>
  </si>
  <si>
    <t>hot-cross</t>
  </si>
  <si>
    <t>Hot Cross</t>
  </si>
  <si>
    <t>HOTDOGE</t>
  </si>
  <si>
    <t>hotdoge</t>
  </si>
  <si>
    <t>HotDoge</t>
  </si>
  <si>
    <t>hot-doge</t>
  </si>
  <si>
    <t>HotDoge [OLD]</t>
  </si>
  <si>
    <t>HDS</t>
  </si>
  <si>
    <t>hotdollars-token</t>
  </si>
  <si>
    <t>HTL</t>
  </si>
  <si>
    <t>hotelium</t>
  </si>
  <si>
    <t>Hotelium</t>
  </si>
  <si>
    <t>HOTMOON</t>
  </si>
  <si>
    <t>hotmoon</t>
  </si>
  <si>
    <t>HotMoon</t>
  </si>
  <si>
    <t>hotnow</t>
  </si>
  <si>
    <t>HotNow</t>
  </si>
  <si>
    <t>HOTZILLA</t>
  </si>
  <si>
    <t>hotzilla</t>
  </si>
  <si>
    <t>HotZilla</t>
  </si>
  <si>
    <t>HOUSE</t>
  </si>
  <si>
    <t>housedao</t>
  </si>
  <si>
    <t>HouseDAO</t>
  </si>
  <si>
    <t>UDOO</t>
  </si>
  <si>
    <t>howdoo</t>
  </si>
  <si>
    <t>Hyprr</t>
  </si>
  <si>
    <t>HWL</t>
  </si>
  <si>
    <t>howl-city</t>
  </si>
  <si>
    <t>Howl City</t>
  </si>
  <si>
    <t>HWXT</t>
  </si>
  <si>
    <t>howlx</t>
  </si>
  <si>
    <t>Howlx</t>
  </si>
  <si>
    <t>HRD</t>
  </si>
  <si>
    <t>hrdcoin</t>
  </si>
  <si>
    <t>HRDcoin</t>
  </si>
  <si>
    <t>HRDG</t>
  </si>
  <si>
    <t>hrdgcoin</t>
  </si>
  <si>
    <t>HRDGCOIN</t>
  </si>
  <si>
    <t>hshare</t>
  </si>
  <si>
    <t>HyperCash</t>
  </si>
  <si>
    <t>HKSM</t>
  </si>
  <si>
    <t>h-space-metaverse</t>
  </si>
  <si>
    <t>H-Space Metaverse</t>
  </si>
  <si>
    <t>HTM</t>
  </si>
  <si>
    <t>htm</t>
  </si>
  <si>
    <t>HTML</t>
  </si>
  <si>
    <t>htmlcoin</t>
  </si>
  <si>
    <t>HTMLCOIN</t>
  </si>
  <si>
    <t>HTMOON</t>
  </si>
  <si>
    <t>htmoon</t>
  </si>
  <si>
    <t>HTMoon</t>
  </si>
  <si>
    <t>HBB</t>
  </si>
  <si>
    <t>hubble</t>
  </si>
  <si>
    <t>Hubble</t>
  </si>
  <si>
    <t>HUB</t>
  </si>
  <si>
    <t>hub-token</t>
  </si>
  <si>
    <t>FINN</t>
  </si>
  <si>
    <t>huckleberry</t>
  </si>
  <si>
    <t>Huckleberry</t>
  </si>
  <si>
    <t>HUDI</t>
  </si>
  <si>
    <t>hudi</t>
  </si>
  <si>
    <t>Hudi</t>
  </si>
  <si>
    <t>HGHG</t>
  </si>
  <si>
    <t>hughug-coin</t>
  </si>
  <si>
    <t>HUGHUG</t>
  </si>
  <si>
    <t>HUGO</t>
  </si>
  <si>
    <t>hugo-finance</t>
  </si>
  <si>
    <t>Hugo Game</t>
  </si>
  <si>
    <t>HUH</t>
  </si>
  <si>
    <t>huh</t>
  </si>
  <si>
    <t>HMNC</t>
  </si>
  <si>
    <t>humancoin-2</t>
  </si>
  <si>
    <t>HumanCoin</t>
  </si>
  <si>
    <t>humandao</t>
  </si>
  <si>
    <t>humanDAO</t>
  </si>
  <si>
    <t>HMQ</t>
  </si>
  <si>
    <t>humaniq</t>
  </si>
  <si>
    <t>Humaniq</t>
  </si>
  <si>
    <t>HMT</t>
  </si>
  <si>
    <t>human-protocol</t>
  </si>
  <si>
    <t>HUMAN Protocol</t>
  </si>
  <si>
    <t>humans-ai</t>
  </si>
  <si>
    <t>Humans.ai</t>
  </si>
  <si>
    <t>HUM</t>
  </si>
  <si>
    <t>humanscape</t>
  </si>
  <si>
    <t>Humanscape</t>
  </si>
  <si>
    <t>SSAP</t>
  </si>
  <si>
    <t>human-world</t>
  </si>
  <si>
    <t>Human World</t>
  </si>
  <si>
    <t>HEGG</t>
  </si>
  <si>
    <t>hummingbird-egg-token</t>
  </si>
  <si>
    <t>Hummingbird Egg</t>
  </si>
  <si>
    <t>HMNG</t>
  </si>
  <si>
    <t>hummingbird-finance</t>
  </si>
  <si>
    <t>Hummingbird Finance</t>
  </si>
  <si>
    <t>HBOT</t>
  </si>
  <si>
    <t>hummingbot</t>
  </si>
  <si>
    <t>Hummingbot</t>
  </si>
  <si>
    <t>hummus</t>
  </si>
  <si>
    <t>Hummus</t>
  </si>
  <si>
    <t>HUMP</t>
  </si>
  <si>
    <t>humpback</t>
  </si>
  <si>
    <t>Whale Loans</t>
  </si>
  <si>
    <t>HND</t>
  </si>
  <si>
    <t>hundred-finance</t>
  </si>
  <si>
    <t>Hundred Finance</t>
  </si>
  <si>
    <t>HVI</t>
  </si>
  <si>
    <t>hungarian-vizsla-inu</t>
  </si>
  <si>
    <t>Hungarian Vizsla Inu</t>
  </si>
  <si>
    <t>HUNGER</t>
  </si>
  <si>
    <t>hunger-token</t>
  </si>
  <si>
    <t>Hunger</t>
  </si>
  <si>
    <t>HUNGRY</t>
  </si>
  <si>
    <t>hungrybear</t>
  </si>
  <si>
    <t>HungryBear</t>
  </si>
  <si>
    <t>HBEE</t>
  </si>
  <si>
    <t>hungry-bees</t>
  </si>
  <si>
    <t>Hungry Bees</t>
  </si>
  <si>
    <t>hunny-love-token</t>
  </si>
  <si>
    <t>HunnyDAO</t>
  </si>
  <si>
    <t>HCC</t>
  </si>
  <si>
    <t>hunter-crypto-coin</t>
  </si>
  <si>
    <t>Hunter Crypto Coin</t>
  </si>
  <si>
    <t>$HD</t>
  </si>
  <si>
    <t>hunterdoge</t>
  </si>
  <si>
    <t>HunterDoge</t>
  </si>
  <si>
    <t>HUNT</t>
  </si>
  <si>
    <t>hunt-token</t>
  </si>
  <si>
    <t>HUNY</t>
  </si>
  <si>
    <t>huny</t>
  </si>
  <si>
    <t>Huny</t>
  </si>
  <si>
    <t>HBCH</t>
  </si>
  <si>
    <t>huobi-bitcoin-cash</t>
  </si>
  <si>
    <t>Huobi Bitcoin Cash</t>
  </si>
  <si>
    <t>HBTC</t>
  </si>
  <si>
    <t>huobi-btc</t>
  </si>
  <si>
    <t>Huobi BTC</t>
  </si>
  <si>
    <t>huobi-btc-wormhole</t>
  </si>
  <si>
    <t>Huobi BTC (Wormhole)</t>
  </si>
  <si>
    <t>huobi-ethereum</t>
  </si>
  <si>
    <t>Huobi Ethereum</t>
  </si>
  <si>
    <t>HFIL</t>
  </si>
  <si>
    <t>huobi-fil</t>
  </si>
  <si>
    <t>Huobi Fil</t>
  </si>
  <si>
    <t>HLTC</t>
  </si>
  <si>
    <t>huobi-litecoin</t>
  </si>
  <si>
    <t>Huobi Litecoin</t>
  </si>
  <si>
    <t>HDOT</t>
  </si>
  <si>
    <t>huobi-polkadot</t>
  </si>
  <si>
    <t>Huobi Polkadot</t>
  </si>
  <si>
    <t>HPT</t>
  </si>
  <si>
    <t>huobi-pool-token</t>
  </si>
  <si>
    <t>Huobi Pool Token</t>
  </si>
  <si>
    <t>HT</t>
  </si>
  <si>
    <t>huobi-token</t>
  </si>
  <si>
    <t>HPX</t>
  </si>
  <si>
    <t>hupayx</t>
  </si>
  <si>
    <t>HUPAYX</t>
  </si>
  <si>
    <t>HUR</t>
  </si>
  <si>
    <t>hurify</t>
  </si>
  <si>
    <t>Hurify</t>
  </si>
  <si>
    <t>MLD</t>
  </si>
  <si>
    <t>hurrian-network</t>
  </si>
  <si>
    <t>Hurrian Network</t>
  </si>
  <si>
    <t>NHCT</t>
  </si>
  <si>
    <t>hurricane-nft</t>
  </si>
  <si>
    <t>Hurricane NFT</t>
  </si>
  <si>
    <t>hurricaneswap-token</t>
  </si>
  <si>
    <t>HurricaneSwap</t>
  </si>
  <si>
    <t>HUSD</t>
  </si>
  <si>
    <t>husd</t>
  </si>
  <si>
    <t>husd-stablecoin-wormhole</t>
  </si>
  <si>
    <t>HUSD Stablecoin (Wormhole)</t>
  </si>
  <si>
    <t>HUSH</t>
  </si>
  <si>
    <t>hush</t>
  </si>
  <si>
    <t>Hush</t>
  </si>
  <si>
    <t>HUSKY</t>
  </si>
  <si>
    <t>husky</t>
  </si>
  <si>
    <t>Husky</t>
  </si>
  <si>
    <t>husky-avax</t>
  </si>
  <si>
    <t>Husky AVAX</t>
  </si>
  <si>
    <t>HSHIBA</t>
  </si>
  <si>
    <t>huskyshiba</t>
  </si>
  <si>
    <t>HuskyShiba</t>
  </si>
  <si>
    <t>ENTRP</t>
  </si>
  <si>
    <t>hut34-entropy</t>
  </si>
  <si>
    <t>Hut34 Entropy</t>
  </si>
  <si>
    <t>HXRO</t>
  </si>
  <si>
    <t>hxro</t>
  </si>
  <si>
    <t>Hxro</t>
  </si>
  <si>
    <t>hxro-wormhole</t>
  </si>
  <si>
    <t>Hxro (Wormhole)</t>
  </si>
  <si>
    <t>HYBRID</t>
  </si>
  <si>
    <t>hybrid</t>
  </si>
  <si>
    <t>Hybrid</t>
  </si>
  <si>
    <t>hybrid-bank-cash</t>
  </si>
  <si>
    <t>Hybrid Bank Cash</t>
  </si>
  <si>
    <t>HY</t>
  </si>
  <si>
    <t>hybrix</t>
  </si>
  <si>
    <t>Hybrix</t>
  </si>
  <si>
    <t>HYC</t>
  </si>
  <si>
    <t>hycon</t>
  </si>
  <si>
    <t>Hycon</t>
  </si>
  <si>
    <t>HYDRA</t>
  </si>
  <si>
    <t>hydra</t>
  </si>
  <si>
    <t>Hydra</t>
  </si>
  <si>
    <t>HYD</t>
  </si>
  <si>
    <t>hydra-token</t>
  </si>
  <si>
    <t>Hydraledger</t>
  </si>
  <si>
    <t>HDV</t>
  </si>
  <si>
    <t>hydraverse</t>
  </si>
  <si>
    <t>Hydraverse</t>
  </si>
  <si>
    <t>HYDRO</t>
  </si>
  <si>
    <t>hydro</t>
  </si>
  <si>
    <t>Hydro</t>
  </si>
  <si>
    <t>hydro-h2o</t>
  </si>
  <si>
    <t>Hydro H2O</t>
  </si>
  <si>
    <t>HLINK</t>
  </si>
  <si>
    <t>hydrolink</t>
  </si>
  <si>
    <t>HydroLink</t>
  </si>
  <si>
    <t>hydro-protocol</t>
  </si>
  <si>
    <t>Hydro Protocol</t>
  </si>
  <si>
    <t>hydro-protocol-token</t>
  </si>
  <si>
    <t>Hydro Protocol Finance</t>
  </si>
  <si>
    <t>HG</t>
  </si>
  <si>
    <t>hygenercoin</t>
  </si>
  <si>
    <t>Hygenercoin</t>
  </si>
  <si>
    <t>hymnode</t>
  </si>
  <si>
    <t>Hymnode</t>
  </si>
  <si>
    <t>ALLOY</t>
  </si>
  <si>
    <t>hyperalloy</t>
  </si>
  <si>
    <t>HyperAlloy</t>
  </si>
  <si>
    <t>HYPERBOOST</t>
  </si>
  <si>
    <t>hyperboost</t>
  </si>
  <si>
    <t>HyperBoost</t>
  </si>
  <si>
    <t>HYPER</t>
  </si>
  <si>
    <t>hyperchain-x</t>
  </si>
  <si>
    <t>HyperChain X</t>
  </si>
  <si>
    <t>HPAY</t>
  </si>
  <si>
    <t>hyper-credit-network</t>
  </si>
  <si>
    <t>Hyper Credit Network</t>
  </si>
  <si>
    <t>hyperdao</t>
  </si>
  <si>
    <t>HyperDAO</t>
  </si>
  <si>
    <t>HDFL</t>
  </si>
  <si>
    <t>hyper-deflate</t>
  </si>
  <si>
    <t>Hyper Deflate</t>
  </si>
  <si>
    <t>HX</t>
  </si>
  <si>
    <t>hyperexchange</t>
  </si>
  <si>
    <t>HyperExchange</t>
  </si>
  <si>
    <t>HYFI</t>
  </si>
  <si>
    <t>hyper-finance</t>
  </si>
  <si>
    <t>Hyper Finance</t>
  </si>
  <si>
    <t>HYN</t>
  </si>
  <si>
    <t>hyperion</t>
  </si>
  <si>
    <t>Hyperion</t>
  </si>
  <si>
    <t>HPY</t>
  </si>
  <si>
    <t>hyper-pay</t>
  </si>
  <si>
    <t>Hyper Pay</t>
  </si>
  <si>
    <t>HQT</t>
  </si>
  <si>
    <t>hyperquant</t>
  </si>
  <si>
    <t>HyperQuant</t>
  </si>
  <si>
    <t>HYPERR</t>
  </si>
  <si>
    <t>hyperrun</t>
  </si>
  <si>
    <t>HyperRun</t>
  </si>
  <si>
    <t>HID</t>
  </si>
  <si>
    <t>hypersign-identity-token</t>
  </si>
  <si>
    <t>Hypersign Identity</t>
  </si>
  <si>
    <t>HYPERSONIC</t>
  </si>
  <si>
    <t>hypersonic-finance</t>
  </si>
  <si>
    <t>Hypersonic Finance</t>
  </si>
  <si>
    <t>HYP</t>
  </si>
  <si>
    <t>hyperstake</t>
  </si>
  <si>
    <t>Element</t>
  </si>
  <si>
    <t>HPTT</t>
  </si>
  <si>
    <t>hyper-trust</t>
  </si>
  <si>
    <t>Hyper Trust</t>
  </si>
  <si>
    <t>hyperverse</t>
  </si>
  <si>
    <t>HyperVerse</t>
  </si>
  <si>
    <t>RUPEE</t>
  </si>
  <si>
    <t>hyruleswap</t>
  </si>
  <si>
    <t>HyruleSwap</t>
  </si>
  <si>
    <t>HYVE</t>
  </si>
  <si>
    <t>hyve</t>
  </si>
  <si>
    <t>Hyve</t>
  </si>
  <si>
    <t>HZM</t>
  </si>
  <si>
    <t>hzm-coin</t>
  </si>
  <si>
    <t>HZM Coin</t>
  </si>
  <si>
    <t>I0C</t>
  </si>
  <si>
    <t>i0coin</t>
  </si>
  <si>
    <t>I0Coin</t>
  </si>
  <si>
    <t>i4i-finance</t>
  </si>
  <si>
    <t>i4i Finance</t>
  </si>
  <si>
    <t>I9C</t>
  </si>
  <si>
    <t>i9-coin</t>
  </si>
  <si>
    <t>i9 Coin</t>
  </si>
  <si>
    <t>I9X</t>
  </si>
  <si>
    <t>i9x-coin</t>
  </si>
  <si>
    <t>i9X Coin</t>
  </si>
  <si>
    <t>IAB</t>
  </si>
  <si>
    <t>iab</t>
  </si>
  <si>
    <t>IAG</t>
  </si>
  <si>
    <t>iagon</t>
  </si>
  <si>
    <t>Iagon</t>
  </si>
  <si>
    <t>IAMVAX</t>
  </si>
  <si>
    <t>i-am-vaccinated</t>
  </si>
  <si>
    <t>I Am Vaccinated</t>
  </si>
  <si>
    <t>ASSET</t>
  </si>
  <si>
    <t>iassets</t>
  </si>
  <si>
    <t>iAssets</t>
  </si>
  <si>
    <t>IBANK</t>
  </si>
  <si>
    <t>ibank</t>
  </si>
  <si>
    <t>iBank</t>
  </si>
  <si>
    <t>IBXC</t>
  </si>
  <si>
    <t>ibax-network</t>
  </si>
  <si>
    <t>IBAX Network</t>
  </si>
  <si>
    <t>IBY</t>
  </si>
  <si>
    <t>ibetyou</t>
  </si>
  <si>
    <t>iBetYou</t>
  </si>
  <si>
    <t>IBG</t>
  </si>
  <si>
    <t>ibg-eth</t>
  </si>
  <si>
    <t>iBG Finance (ETH)</t>
  </si>
  <si>
    <t>ibg-token</t>
  </si>
  <si>
    <t>iBG Finance (BSC)</t>
  </si>
  <si>
    <t>IBH</t>
  </si>
  <si>
    <t>ibithub</t>
  </si>
  <si>
    <t>iBitHub</t>
  </si>
  <si>
    <t>IBNB</t>
  </si>
  <si>
    <t>ibnb-2</t>
  </si>
  <si>
    <t>iBNB</t>
  </si>
  <si>
    <t>IBFR</t>
  </si>
  <si>
    <t>ibuffer-token</t>
  </si>
  <si>
    <t>iBuffer</t>
  </si>
  <si>
    <t>ICA</t>
  </si>
  <si>
    <t>icarus-finance</t>
  </si>
  <si>
    <t>Icarus Finance</t>
  </si>
  <si>
    <t>icarus-network</t>
  </si>
  <si>
    <t>Icarus Network</t>
  </si>
  <si>
    <t>ICEBERG</t>
  </si>
  <si>
    <t>iceberg</t>
  </si>
  <si>
    <t>ICEBRK</t>
  </si>
  <si>
    <t>icebreak-r</t>
  </si>
  <si>
    <t>IceBreak-R</t>
  </si>
  <si>
    <t>icecream-finance</t>
  </si>
  <si>
    <t>IceCream Finance</t>
  </si>
  <si>
    <t>ICUBE</t>
  </si>
  <si>
    <t>icecubes-finance</t>
  </si>
  <si>
    <t>IceCubes Finance</t>
  </si>
  <si>
    <t>ICY</t>
  </si>
  <si>
    <t>ice-dao</t>
  </si>
  <si>
    <t>Ice Dao</t>
  </si>
  <si>
    <t>FLAKE</t>
  </si>
  <si>
    <t>iceflake-finance</t>
  </si>
  <si>
    <t>IceFlake Finance</t>
  </si>
  <si>
    <t>ice-token</t>
  </si>
  <si>
    <t>Popsicle Finance</t>
  </si>
  <si>
    <t>ice-wormhole</t>
  </si>
  <si>
    <t>Ice (Wormhole)</t>
  </si>
  <si>
    <t>ELLO</t>
  </si>
  <si>
    <t>ichello</t>
  </si>
  <si>
    <t>Ichello</t>
  </si>
  <si>
    <t>ICHI</t>
  </si>
  <si>
    <t>ichi-farm</t>
  </si>
  <si>
    <t>ICHIGO</t>
  </si>
  <si>
    <t>ichigo-inu</t>
  </si>
  <si>
    <t>Ichigo Inu</t>
  </si>
  <si>
    <t>ICN</t>
  </si>
  <si>
    <t>i-coin</t>
  </si>
  <si>
    <t>I-Coin V2</t>
  </si>
  <si>
    <t>ICOL</t>
  </si>
  <si>
    <t>icolcoin</t>
  </si>
  <si>
    <t>Icolcoin</t>
  </si>
  <si>
    <t>ICMX</t>
  </si>
  <si>
    <t>icomex</t>
  </si>
  <si>
    <t>iCOMEX</t>
  </si>
  <si>
    <t>ICOM</t>
  </si>
  <si>
    <t>icommunity</t>
  </si>
  <si>
    <t>iCommunity</t>
  </si>
  <si>
    <t>ICX</t>
  </si>
  <si>
    <t>icon</t>
  </si>
  <si>
    <t>ICON</t>
  </si>
  <si>
    <t>ICNQ</t>
  </si>
  <si>
    <t>iconiq-lab-token</t>
  </si>
  <si>
    <t>Iconic Token</t>
  </si>
  <si>
    <t>IUSDC</t>
  </si>
  <si>
    <t>icon-usdc</t>
  </si>
  <si>
    <t>Icon USDC</t>
  </si>
  <si>
    <t>ICW</t>
  </si>
  <si>
    <t>icrypto-world</t>
  </si>
  <si>
    <t>iCrypto World</t>
  </si>
  <si>
    <t>icy-money</t>
  </si>
  <si>
    <t>ICY.MONEY</t>
  </si>
  <si>
    <t>IDV</t>
  </si>
  <si>
    <t>idavoll-network</t>
  </si>
  <si>
    <t>Idavoll DAO</t>
  </si>
  <si>
    <t>ICH</t>
  </si>
  <si>
    <t>ideachain</t>
  </si>
  <si>
    <t>IdeaChain</t>
  </si>
  <si>
    <t>IMO</t>
  </si>
  <si>
    <t>ideamarket</t>
  </si>
  <si>
    <t>Ideamarket</t>
  </si>
  <si>
    <t>INET</t>
  </si>
  <si>
    <t>ideanet-token</t>
  </si>
  <si>
    <t>Ideanet</t>
  </si>
  <si>
    <t>IDEA</t>
  </si>
  <si>
    <t>ideaology</t>
  </si>
  <si>
    <t>Ideaology</t>
  </si>
  <si>
    <t>IDS</t>
  </si>
  <si>
    <t>ideas</t>
  </si>
  <si>
    <t>IDEAS</t>
  </si>
  <si>
    <t>IDYP</t>
  </si>
  <si>
    <t>idefiyieldprotocol</t>
  </si>
  <si>
    <t>iDeFiYieldProtocol</t>
  </si>
  <si>
    <t>IDNA</t>
  </si>
  <si>
    <t>idena</t>
  </si>
  <si>
    <t>Idena</t>
  </si>
  <si>
    <t>IDTT</t>
  </si>
  <si>
    <t>identity</t>
  </si>
  <si>
    <t>Identity</t>
  </si>
  <si>
    <t>IDO</t>
  </si>
  <si>
    <t>idexo-token</t>
  </si>
  <si>
    <t>Idexo</t>
  </si>
  <si>
    <t>IDIA</t>
  </si>
  <si>
    <t>idia</t>
  </si>
  <si>
    <t>Impossible Finance Launchpad</t>
  </si>
  <si>
    <t>IDK</t>
  </si>
  <si>
    <t>idk</t>
  </si>
  <si>
    <t>IDLE</t>
  </si>
  <si>
    <t>idle</t>
  </si>
  <si>
    <t>AFK</t>
  </si>
  <si>
    <t>idle-cyber</t>
  </si>
  <si>
    <t>Idle Cyber</t>
  </si>
  <si>
    <t>IDLEDAISAFE</t>
  </si>
  <si>
    <t>idle-dai-risk-adjusted</t>
  </si>
  <si>
    <t>IdleDAI (Risk Adjusted)</t>
  </si>
  <si>
    <t>IDLEDAIYIELD</t>
  </si>
  <si>
    <t>idle-dai-yield</t>
  </si>
  <si>
    <t>IdleDAI (Best Yield)</t>
  </si>
  <si>
    <t>MST</t>
  </si>
  <si>
    <t>idle-mystic</t>
  </si>
  <si>
    <t>Idle Mystic</t>
  </si>
  <si>
    <t>IMT</t>
  </si>
  <si>
    <t>idle-mystic-token</t>
  </si>
  <si>
    <t>IDLESUSDYIELD</t>
  </si>
  <si>
    <t>idle-susd-yield</t>
  </si>
  <si>
    <t>IdleSUSD (Yield)</t>
  </si>
  <si>
    <t>idle-token</t>
  </si>
  <si>
    <t>Idle Cyber Game</t>
  </si>
  <si>
    <t>IDLETUSDYIELD</t>
  </si>
  <si>
    <t>idle-tusd-yield</t>
  </si>
  <si>
    <t>IdleTUSD (Best Yield)</t>
  </si>
  <si>
    <t>IDLEUSDCSAFE</t>
  </si>
  <si>
    <t>idle-usdc-risk-adjusted</t>
  </si>
  <si>
    <t>IdleUSDC (Risk Adjusted)</t>
  </si>
  <si>
    <t>IDLEUSDCYIELD</t>
  </si>
  <si>
    <t>idle-usdc-yield</t>
  </si>
  <si>
    <t>IdleUSDC (Yield)</t>
  </si>
  <si>
    <t>IDLEUSDTSAFE</t>
  </si>
  <si>
    <t>idle-usdt-risk-adjusted</t>
  </si>
  <si>
    <t>IdleUSDT (Risk Adjusted)</t>
  </si>
  <si>
    <t>IDLEUSDTYIELD</t>
  </si>
  <si>
    <t>idle-usdt-yield</t>
  </si>
  <si>
    <t>IdleUSDT (Yield)</t>
  </si>
  <si>
    <t>IDLEWBTCYIELD</t>
  </si>
  <si>
    <t>idle-wbtc-yield</t>
  </si>
  <si>
    <t>IdleWBTC (Best Yield)</t>
  </si>
  <si>
    <t>IDM</t>
  </si>
  <si>
    <t>idm-token</t>
  </si>
  <si>
    <t>IDM Coop</t>
  </si>
  <si>
    <t>$IDOL</t>
  </si>
  <si>
    <t>idol</t>
  </si>
  <si>
    <t>IDOL</t>
  </si>
  <si>
    <t>IDOSCAN</t>
  </si>
  <si>
    <t>idoscan</t>
  </si>
  <si>
    <t>Idoscan</t>
  </si>
  <si>
    <t>IETH</t>
  </si>
  <si>
    <t>iethereum</t>
  </si>
  <si>
    <t>iEthereum</t>
  </si>
  <si>
    <t>RLC</t>
  </si>
  <si>
    <t>iexec-rlc</t>
  </si>
  <si>
    <t>iExec RLC</t>
  </si>
  <si>
    <t>IFARM</t>
  </si>
  <si>
    <t>ifarm</t>
  </si>
  <si>
    <t>iFARM</t>
  </si>
  <si>
    <t>ifoswap-token</t>
  </si>
  <si>
    <t>IFOSwap</t>
  </si>
  <si>
    <t>IFT</t>
  </si>
  <si>
    <t>iftoken</t>
  </si>
  <si>
    <t>IFX24</t>
  </si>
  <si>
    <t>ifx24</t>
  </si>
  <si>
    <t>IGG</t>
  </si>
  <si>
    <t>ig-gold</t>
  </si>
  <si>
    <t>IG Gold</t>
  </si>
  <si>
    <t>IGNIS</t>
  </si>
  <si>
    <t>ignis</t>
  </si>
  <si>
    <t>Ignis</t>
  </si>
  <si>
    <t>IC</t>
  </si>
  <si>
    <t>ignition</t>
  </si>
  <si>
    <t>Ignition</t>
  </si>
  <si>
    <t>IG</t>
  </si>
  <si>
    <t>igtoken</t>
  </si>
  <si>
    <t>IGToken</t>
  </si>
  <si>
    <t>IHT</t>
  </si>
  <si>
    <t>iht-real-estate-protocol</t>
  </si>
  <si>
    <t>IHT Real Estate Protocol</t>
  </si>
  <si>
    <t>IJZ</t>
  </si>
  <si>
    <t>iinjaz</t>
  </si>
  <si>
    <t>IJC</t>
  </si>
  <si>
    <t>ijascoin</t>
  </si>
  <si>
    <t>IjasCoin</t>
  </si>
  <si>
    <t>IKC</t>
  </si>
  <si>
    <t>ik-coin</t>
  </si>
  <si>
    <t>iK Coin</t>
  </si>
  <si>
    <t>IKONIC</t>
  </si>
  <si>
    <t>ikonic</t>
  </si>
  <si>
    <t>IKURA</t>
  </si>
  <si>
    <t>ikura-token</t>
  </si>
  <si>
    <t>Ikura</t>
  </si>
  <si>
    <t>ILC</t>
  </si>
  <si>
    <t>ilcoin</t>
  </si>
  <si>
    <t>ILCOIN</t>
  </si>
  <si>
    <t>JPEGS</t>
  </si>
  <si>
    <t>illiquiddao</t>
  </si>
  <si>
    <t>IlliquidDAO</t>
  </si>
  <si>
    <t>ILV</t>
  </si>
  <si>
    <t>illuvium</t>
  </si>
  <si>
    <t>Illuvium</t>
  </si>
  <si>
    <t>illuvium-wormhole</t>
  </si>
  <si>
    <t>Illuvium (Wormhole)</t>
  </si>
  <si>
    <t>ILUS</t>
  </si>
  <si>
    <t>ilus-coin</t>
  </si>
  <si>
    <t>ILUS Coin</t>
  </si>
  <si>
    <t>IMGC</t>
  </si>
  <si>
    <t>imagecash</t>
  </si>
  <si>
    <t>ImageCash</t>
  </si>
  <si>
    <t>IMG</t>
  </si>
  <si>
    <t>imagecoin</t>
  </si>
  <si>
    <t>ImageCoin</t>
  </si>
  <si>
    <t>IMAGIC</t>
  </si>
  <si>
    <t>imagictoken</t>
  </si>
  <si>
    <t>iMagic</t>
  </si>
  <si>
    <t>LIME</t>
  </si>
  <si>
    <t>ime-lab</t>
  </si>
  <si>
    <t>iMe Lab</t>
  </si>
  <si>
    <t>IMV</t>
  </si>
  <si>
    <t>imminentverse</t>
  </si>
  <si>
    <t>ImminentVerse</t>
  </si>
  <si>
    <t>IMMO</t>
  </si>
  <si>
    <t>immortaldao</t>
  </si>
  <si>
    <t>ImmortalDAO</t>
  </si>
  <si>
    <t>IMRTL</t>
  </si>
  <si>
    <t>immortl</t>
  </si>
  <si>
    <t>Immortl</t>
  </si>
  <si>
    <t>DARA</t>
  </si>
  <si>
    <t>immutable</t>
  </si>
  <si>
    <t>Immutable</t>
  </si>
  <si>
    <t>IMX</t>
  </si>
  <si>
    <t>immutable-x</t>
  </si>
  <si>
    <t>Immutable X</t>
  </si>
  <si>
    <t>imo</t>
  </si>
  <si>
    <t>IMC</t>
  </si>
  <si>
    <t>i-money-crypto</t>
  </si>
  <si>
    <t>i Money Crypto</t>
  </si>
  <si>
    <t>PACT</t>
  </si>
  <si>
    <t>impactmarket</t>
  </si>
  <si>
    <t>impactMarket</t>
  </si>
  <si>
    <t>IMPACTX</t>
  </si>
  <si>
    <t>impactx</t>
  </si>
  <si>
    <t>ImpactX</t>
  </si>
  <si>
    <t>IMPACTXP</t>
  </si>
  <si>
    <t>impactxp</t>
  </si>
  <si>
    <t>ImpactXP</t>
  </si>
  <si>
    <t>IMP</t>
  </si>
  <si>
    <t>imperial-obelisk</t>
  </si>
  <si>
    <t>Imperial Obelisk</t>
  </si>
  <si>
    <t>IME</t>
  </si>
  <si>
    <t>imperium-empires</t>
  </si>
  <si>
    <t>Imperium Empires</t>
  </si>
  <si>
    <t>impermax</t>
  </si>
  <si>
    <t>Impermax</t>
  </si>
  <si>
    <t>IMPL</t>
  </si>
  <si>
    <t>impleum</t>
  </si>
  <si>
    <t>Impleum</t>
  </si>
  <si>
    <t>IF</t>
  </si>
  <si>
    <t>impossible-finance</t>
  </si>
  <si>
    <t>Impossible Finance</t>
  </si>
  <si>
    <t>impostors-blood</t>
  </si>
  <si>
    <t>Impostors Blood</t>
  </si>
  <si>
    <t>IBTC</t>
  </si>
  <si>
    <t>improved-bitcoin</t>
  </si>
  <si>
    <t>Improved Bitcoin</t>
  </si>
  <si>
    <t>IMPULSE</t>
  </si>
  <si>
    <t>impulse-by-fdr</t>
  </si>
  <si>
    <t>Impulse By FDR</t>
  </si>
  <si>
    <t>I7</t>
  </si>
  <si>
    <t>impulseven</t>
  </si>
  <si>
    <t>ImpulseVen</t>
  </si>
  <si>
    <t>INARI</t>
  </si>
  <si>
    <t>inari</t>
  </si>
  <si>
    <t>Inari</t>
  </si>
  <si>
    <t>NKA</t>
  </si>
  <si>
    <t>incakoin</t>
  </si>
  <si>
    <t>IncaKoin</t>
  </si>
  <si>
    <t>incinerate</t>
  </si>
  <si>
    <t>Incinerate</t>
  </si>
  <si>
    <t>INCI</t>
  </si>
  <si>
    <t>inci-token</t>
  </si>
  <si>
    <t>Inci</t>
  </si>
  <si>
    <t>PRV</t>
  </si>
  <si>
    <t>incognito-2</t>
  </si>
  <si>
    <t>Incognito</t>
  </si>
  <si>
    <t>IN</t>
  </si>
  <si>
    <t>incoin</t>
  </si>
  <si>
    <t>InCoin</t>
  </si>
  <si>
    <t>INCOME</t>
  </si>
  <si>
    <t>income</t>
  </si>
  <si>
    <t>Income</t>
  </si>
  <si>
    <t>income-island</t>
  </si>
  <si>
    <t>Income Island</t>
  </si>
  <si>
    <t>COOOM</t>
  </si>
  <si>
    <t>incooom-genesis</t>
  </si>
  <si>
    <t>Incooom Genesis</t>
  </si>
  <si>
    <t>GCOOOM</t>
  </si>
  <si>
    <t>incooom-genesis-gold</t>
  </si>
  <si>
    <t>Incooom Genesis Gold</t>
  </si>
  <si>
    <t>PCOOOM</t>
  </si>
  <si>
    <t>incooom-genesis-psychedelic</t>
  </si>
  <si>
    <t>Incooom Genesis Psychedelic</t>
  </si>
  <si>
    <t>IDH</t>
  </si>
  <si>
    <t>indahash</t>
  </si>
  <si>
    <t>indaHash</t>
  </si>
  <si>
    <t>IDX</t>
  </si>
  <si>
    <t>index-chain</t>
  </si>
  <si>
    <t>Index Chain</t>
  </si>
  <si>
    <t>INDEX</t>
  </si>
  <si>
    <t>index-cooperative</t>
  </si>
  <si>
    <t>Index Cooperative</t>
  </si>
  <si>
    <t>ETH2X-FLI-P</t>
  </si>
  <si>
    <t>index-coop-eth-2x-flexible-leverage-index</t>
  </si>
  <si>
    <t>Index Coop - ETH 2x Flexible Leverage Index (Polygon)</t>
  </si>
  <si>
    <t>IETH-FLI-P</t>
  </si>
  <si>
    <t>index-coop-inverse-eth-flexible-leverage-index</t>
  </si>
  <si>
    <t>Index Coop - Inverse ETH Flexible Leverage Index</t>
  </si>
  <si>
    <t>IMATIC-FLI-P</t>
  </si>
  <si>
    <t>index-coop-inverse-matic-flexible-leverage-index</t>
  </si>
  <si>
    <t>Index Coop - Inverse MATIC Flexible Leverage Index</t>
  </si>
  <si>
    <t>MATIC2X-FLI-P</t>
  </si>
  <si>
    <t>index-coop-matic-2x-flexible-leverage-index</t>
  </si>
  <si>
    <t>Index Coop - MATIC 2x Flexible Leverage Index</t>
  </si>
  <si>
    <t>NDX</t>
  </si>
  <si>
    <t>indexed-finance</t>
  </si>
  <si>
    <t>Indexed Finance</t>
  </si>
  <si>
    <t>INDSHIB</t>
  </si>
  <si>
    <t>indian-shiba-inu</t>
  </si>
  <si>
    <t>Indian Shiba Inu</t>
  </si>
  <si>
    <t>INDI</t>
  </si>
  <si>
    <t>indigg</t>
  </si>
  <si>
    <t>IndiGG</t>
  </si>
  <si>
    <t>IND</t>
  </si>
  <si>
    <t>indorse</t>
  </si>
  <si>
    <t>Indorse</t>
  </si>
  <si>
    <t>INF</t>
  </si>
  <si>
    <t>infam</t>
  </si>
  <si>
    <t>Infam</t>
  </si>
  <si>
    <t>infbundle</t>
  </si>
  <si>
    <t>INFBUNDLE</t>
  </si>
  <si>
    <t>infchain</t>
  </si>
  <si>
    <t>InfChain</t>
  </si>
  <si>
    <t>IFC</t>
  </si>
  <si>
    <t>infinitecoin</t>
  </si>
  <si>
    <t>Infinitecoin</t>
  </si>
  <si>
    <t>INFTEE</t>
  </si>
  <si>
    <t>infinitee</t>
  </si>
  <si>
    <t>Infinitee</t>
  </si>
  <si>
    <t>INFINITY</t>
  </si>
  <si>
    <t>infinite-ecosystem</t>
  </si>
  <si>
    <t>Infinite Ecosystem</t>
  </si>
  <si>
    <t>infinite-fleet</t>
  </si>
  <si>
    <t>Infinite Fleet</t>
  </si>
  <si>
    <t>ILA</t>
  </si>
  <si>
    <t>infinite-launch</t>
  </si>
  <si>
    <t>Infinite Launch</t>
  </si>
  <si>
    <t>RICK</t>
  </si>
  <si>
    <t>infinite-ricks</t>
  </si>
  <si>
    <t>Infinite Ricks</t>
  </si>
  <si>
    <t>INFT</t>
  </si>
  <si>
    <t>infinito</t>
  </si>
  <si>
    <t>Infinito</t>
  </si>
  <si>
    <t>INX</t>
  </si>
  <si>
    <t>infinitx</t>
  </si>
  <si>
    <t>InfinitX</t>
  </si>
  <si>
    <t>INAZ</t>
  </si>
  <si>
    <t>infinity-arena</t>
  </si>
  <si>
    <t>Infinity Arena</t>
  </si>
  <si>
    <t>INCAKE</t>
  </si>
  <si>
    <t>infinitycake</t>
  </si>
  <si>
    <t>InfinityCake</t>
  </si>
  <si>
    <t>infinitycash</t>
  </si>
  <si>
    <t>InfinityCash</t>
  </si>
  <si>
    <t>infinity-dao</t>
  </si>
  <si>
    <t>Infinity DAO</t>
  </si>
  <si>
    <t>INFS</t>
  </si>
  <si>
    <t>infinity-esaham</t>
  </si>
  <si>
    <t>Infinity Esaham</t>
  </si>
  <si>
    <t>infinity-eth</t>
  </si>
  <si>
    <t>Infinity ETH</t>
  </si>
  <si>
    <t>8FI</t>
  </si>
  <si>
    <t>infinity-finance</t>
  </si>
  <si>
    <t>Infinity Finance</t>
  </si>
  <si>
    <t>IGN</t>
  </si>
  <si>
    <t>infinity-game-nft</t>
  </si>
  <si>
    <t>Infinity Game NFT</t>
  </si>
  <si>
    <t>infinitygaming</t>
  </si>
  <si>
    <t>InfinityGaming</t>
  </si>
  <si>
    <t>INFP</t>
  </si>
  <si>
    <t>infinitypad</t>
  </si>
  <si>
    <t>InfinityPad</t>
  </si>
  <si>
    <t>IPAD</t>
  </si>
  <si>
    <t>infinity-pad</t>
  </si>
  <si>
    <t>Infinity Pad</t>
  </si>
  <si>
    <t>infinity-protocol-bsc</t>
  </si>
  <si>
    <t>Infinity Protocol BSC</t>
  </si>
  <si>
    <t>IRT</t>
  </si>
  <si>
    <t>infinity-rocket-token</t>
  </si>
  <si>
    <t>Infinity Rocket</t>
  </si>
  <si>
    <t>ISKY</t>
  </si>
  <si>
    <t>infinity-skies</t>
  </si>
  <si>
    <t>Infinity Skies</t>
  </si>
  <si>
    <t>infinium</t>
  </si>
  <si>
    <t>Infinium</t>
  </si>
  <si>
    <t>IFLT</t>
  </si>
  <si>
    <t>inflationcoin</t>
  </si>
  <si>
    <t>InflationCoin</t>
  </si>
  <si>
    <t>IHC</t>
  </si>
  <si>
    <t>inflation-hedging-coin</t>
  </si>
  <si>
    <t>Inflation Hedging Coin</t>
  </si>
  <si>
    <t>INFLEX</t>
  </si>
  <si>
    <t>inflex-finance</t>
  </si>
  <si>
    <t>Inflex Finance</t>
  </si>
  <si>
    <t>IFV</t>
  </si>
  <si>
    <t>infliv</t>
  </si>
  <si>
    <t>INFLIV</t>
  </si>
  <si>
    <t>IMI</t>
  </si>
  <si>
    <t>influencer</t>
  </si>
  <si>
    <t>Influencer</t>
  </si>
  <si>
    <t>IDOGE</t>
  </si>
  <si>
    <t>influencer-doge</t>
  </si>
  <si>
    <t>Influencer Doge</t>
  </si>
  <si>
    <t>INFLUENCE</t>
  </si>
  <si>
    <t>influencer-finance</t>
  </si>
  <si>
    <t>Influencer Finance</t>
  </si>
  <si>
    <t>IOM</t>
  </si>
  <si>
    <t>influencers-of-the-metaverse</t>
  </si>
  <si>
    <t>Influencers of the Metaverse</t>
  </si>
  <si>
    <t>influencer-token</t>
  </si>
  <si>
    <t>INFLUENCER TOKEN</t>
  </si>
  <si>
    <t>INFX</t>
  </si>
  <si>
    <t>influxcoin</t>
  </si>
  <si>
    <t>Influxcoin</t>
  </si>
  <si>
    <t>INFO</t>
  </si>
  <si>
    <t>infomatix</t>
  </si>
  <si>
    <t>Infomatix</t>
  </si>
  <si>
    <t>info-token</t>
  </si>
  <si>
    <t>Kardia Info</t>
  </si>
  <si>
    <t>inft-platform</t>
  </si>
  <si>
    <t>iNFT</t>
  </si>
  <si>
    <t>INS</t>
  </si>
  <si>
    <t>inftspace</t>
  </si>
  <si>
    <t>iNFTspace</t>
  </si>
  <si>
    <t>IAI</t>
  </si>
  <si>
    <t>inheritance-art</t>
  </si>
  <si>
    <t>inheritance Art</t>
  </si>
  <si>
    <t>INJ</t>
  </si>
  <si>
    <t>injective-protocol</t>
  </si>
  <si>
    <t>Injective</t>
  </si>
  <si>
    <t>WIJM</t>
  </si>
  <si>
    <t>injeolmi</t>
  </si>
  <si>
    <t>Wrapped Injeolmi</t>
  </si>
  <si>
    <t>INK</t>
  </si>
  <si>
    <t>ink</t>
  </si>
  <si>
    <t>Ink</t>
  </si>
  <si>
    <t>ink-fantom</t>
  </si>
  <si>
    <t>Ink Fantom</t>
  </si>
  <si>
    <t>XNK</t>
  </si>
  <si>
    <t>ink-protocol</t>
  </si>
  <si>
    <t>Ink Protocol</t>
  </si>
  <si>
    <t>INKZ</t>
  </si>
  <si>
    <t>inkz</t>
  </si>
  <si>
    <t>INKz</t>
  </si>
  <si>
    <t>ILK</t>
  </si>
  <si>
    <t>inlock-token</t>
  </si>
  <si>
    <t>INLOCK</t>
  </si>
  <si>
    <t>DIT</t>
  </si>
  <si>
    <t>inmediate</t>
  </si>
  <si>
    <t>Direct Insurance Token</t>
  </si>
  <si>
    <t>INN</t>
  </si>
  <si>
    <t>innova</t>
  </si>
  <si>
    <t>Innova</t>
  </si>
  <si>
    <t>MINX</t>
  </si>
  <si>
    <t>innovaminex</t>
  </si>
  <si>
    <t>InnovaMinex</t>
  </si>
  <si>
    <t>IBP</t>
  </si>
  <si>
    <t>innovation-blockchain-payment</t>
  </si>
  <si>
    <t>Innovation Blockchain Payment</t>
  </si>
  <si>
    <t>INNBC</t>
  </si>
  <si>
    <t>innovative-bioresearch</t>
  </si>
  <si>
    <t>Innovative Bioresearch Coin</t>
  </si>
  <si>
    <t>INNBCL</t>
  </si>
  <si>
    <t>innovativebioresearchclassic</t>
  </si>
  <si>
    <t>InnovativeBioresearchClassic</t>
  </si>
  <si>
    <t>INO</t>
  </si>
  <si>
    <t>ino-coin</t>
  </si>
  <si>
    <t>Ino Coin</t>
  </si>
  <si>
    <t>IVI</t>
  </si>
  <si>
    <t>inoovi</t>
  </si>
  <si>
    <t>Inoovi</t>
  </si>
  <si>
    <t>INP</t>
  </si>
  <si>
    <t>inpoker</t>
  </si>
  <si>
    <t>InPoker</t>
  </si>
  <si>
    <t>IPX</t>
  </si>
  <si>
    <t>inpulse-x</t>
  </si>
  <si>
    <t>InpulseX</t>
  </si>
  <si>
    <t>INS3</t>
  </si>
  <si>
    <t>ins3</t>
  </si>
  <si>
    <t>INSN</t>
  </si>
  <si>
    <t>insanecoin</t>
  </si>
  <si>
    <t>INSaNe</t>
  </si>
  <si>
    <t>insight-protocol</t>
  </si>
  <si>
    <t>Insight Protocol</t>
  </si>
  <si>
    <t>INSTAR</t>
  </si>
  <si>
    <t>insights-network</t>
  </si>
  <si>
    <t>INST</t>
  </si>
  <si>
    <t>instadapp</t>
  </si>
  <si>
    <t>Instadapp</t>
  </si>
  <si>
    <t>INSTANTXRP</t>
  </si>
  <si>
    <t>instantxrp</t>
  </si>
  <si>
    <t>InstantXRP</t>
  </si>
  <si>
    <t>INSTA</t>
  </si>
  <si>
    <t>instaraise</t>
  </si>
  <si>
    <t>Instaraise</t>
  </si>
  <si>
    <t>INSTINCT</t>
  </si>
  <si>
    <t>instinct</t>
  </si>
  <si>
    <t>Instinct</t>
  </si>
  <si>
    <t>STRM</t>
  </si>
  <si>
    <t>instrumental-finance</t>
  </si>
  <si>
    <t>Instrumental Finance</t>
  </si>
  <si>
    <t>insula</t>
  </si>
  <si>
    <t>Insula</t>
  </si>
  <si>
    <t>INSUR</t>
  </si>
  <si>
    <t>insurace</t>
  </si>
  <si>
    <t>InsurAce</t>
  </si>
  <si>
    <t>SURE</t>
  </si>
  <si>
    <t>insure</t>
  </si>
  <si>
    <t>inSure DeFi</t>
  </si>
  <si>
    <t>INSURE</t>
  </si>
  <si>
    <t>insuredao</t>
  </si>
  <si>
    <t>InsureDAO</t>
  </si>
  <si>
    <t>INFI</t>
  </si>
  <si>
    <t>insured-finance</t>
  </si>
  <si>
    <t>Insured Finance</t>
  </si>
  <si>
    <t>IPL</t>
  </si>
  <si>
    <t>insurepal</t>
  </si>
  <si>
    <t>InsurePal</t>
  </si>
  <si>
    <t>ISR</t>
  </si>
  <si>
    <t>insureum</t>
  </si>
  <si>
    <t>Insureum</t>
  </si>
  <si>
    <t>IXT</t>
  </si>
  <si>
    <t>insurex</t>
  </si>
  <si>
    <t>iXledger</t>
  </si>
  <si>
    <t>ITGR</t>
  </si>
  <si>
    <t>integral</t>
  </si>
  <si>
    <t>Integral</t>
  </si>
  <si>
    <t>TEER</t>
  </si>
  <si>
    <t>integritee</t>
  </si>
  <si>
    <t>Integritee</t>
  </si>
  <si>
    <t>IIC</t>
  </si>
  <si>
    <t>intelligent-investment-chain</t>
  </si>
  <si>
    <t>Intelligent Investment Chain</t>
  </si>
  <si>
    <t>IM</t>
  </si>
  <si>
    <t>intelligent-mining</t>
  </si>
  <si>
    <t>Intelligent Mining</t>
  </si>
  <si>
    <t>ITR</t>
  </si>
  <si>
    <t>intercoin</t>
  </si>
  <si>
    <t>Intercoin</t>
  </si>
  <si>
    <t>ICR</t>
  </si>
  <si>
    <t>intercrone</t>
  </si>
  <si>
    <t>InterCrone</t>
  </si>
  <si>
    <t>IBBTC</t>
  </si>
  <si>
    <t>interest-bearing-bitcoin</t>
  </si>
  <si>
    <t>Interest Bearing Bitcoin</t>
  </si>
  <si>
    <t>interest-bearing-bitcoin-wormhole</t>
  </si>
  <si>
    <t>Interest Bearing Bitcoin (Wormhole)</t>
  </si>
  <si>
    <t>IBETH</t>
  </si>
  <si>
    <t>interest-bearing-eth</t>
  </si>
  <si>
    <t>Interest Bearing ETH</t>
  </si>
  <si>
    <t>ICETH</t>
  </si>
  <si>
    <t>interest-compounding-eth-index</t>
  </si>
  <si>
    <t>Interest Compounding ETH Index</t>
  </si>
  <si>
    <t>IFEX</t>
  </si>
  <si>
    <t>interfinex-bills</t>
  </si>
  <si>
    <t>Interfinex Bills</t>
  </si>
  <si>
    <t>ICC</t>
  </si>
  <si>
    <t>intergalactic-cockroach</t>
  </si>
  <si>
    <t>Intergalactic Cockroach</t>
  </si>
  <si>
    <t>ISH</t>
  </si>
  <si>
    <t>interlude</t>
  </si>
  <si>
    <t>Interlude</t>
  </si>
  <si>
    <t>INTER</t>
  </si>
  <si>
    <t>inter-milan-fan-token</t>
  </si>
  <si>
    <t>Inter Milan Fan Token</t>
  </si>
  <si>
    <t>INCX</t>
  </si>
  <si>
    <t>international-cryptox</t>
  </si>
  <si>
    <t>International CryptoX</t>
  </si>
  <si>
    <t>internet-computer</t>
  </si>
  <si>
    <t>INT</t>
  </si>
  <si>
    <t>internet-node-token</t>
  </si>
  <si>
    <t>INTchain</t>
  </si>
  <si>
    <t>IOEN</t>
  </si>
  <si>
    <t>internet-of-energy-network</t>
  </si>
  <si>
    <t>Internet of Energy Network</t>
  </si>
  <si>
    <t>INXT</t>
  </si>
  <si>
    <t>internxt</t>
  </si>
  <si>
    <t>Internxt</t>
  </si>
  <si>
    <t>ISOLA</t>
  </si>
  <si>
    <t>intersola</t>
  </si>
  <si>
    <t>Intersola</t>
  </si>
  <si>
    <t>interstellar-domain-order</t>
  </si>
  <si>
    <t>Interstellar Domain Order</t>
  </si>
  <si>
    <t>INVE</t>
  </si>
  <si>
    <t>intervalue</t>
  </si>
  <si>
    <t>InterValue</t>
  </si>
  <si>
    <t>INTX</t>
  </si>
  <si>
    <t>intexcoin</t>
  </si>
  <si>
    <t>INTEXCOIN</t>
  </si>
  <si>
    <t>INTU</t>
  </si>
  <si>
    <t>intucoin</t>
  </si>
  <si>
    <t>INTUCoin</t>
  </si>
  <si>
    <t>INUBIS</t>
  </si>
  <si>
    <t>inubis</t>
  </si>
  <si>
    <t>Inubis</t>
  </si>
  <si>
    <t>INUGAMI</t>
  </si>
  <si>
    <t>inugami</t>
  </si>
  <si>
    <t>Inugami</t>
  </si>
  <si>
    <t>INUJUMP</t>
  </si>
  <si>
    <t>inu-jump-and-the-temple-of-shiba</t>
  </si>
  <si>
    <t>Inu Jump and the Temple of Shiba</t>
  </si>
  <si>
    <t>inu-token</t>
  </si>
  <si>
    <t>IWR</t>
  </si>
  <si>
    <t>inu-wars</t>
  </si>
  <si>
    <t>Inu Wars</t>
  </si>
  <si>
    <t>VNT</t>
  </si>
  <si>
    <t>inventoryclub</t>
  </si>
  <si>
    <t>InventoryClub</t>
  </si>
  <si>
    <t>IBTC-FLI-P</t>
  </si>
  <si>
    <t>inverse-btc-flexible-leverage-index</t>
  </si>
  <si>
    <t>Inverse BTC Flexible Leverage Index</t>
  </si>
  <si>
    <t>IETHV</t>
  </si>
  <si>
    <t>inverse-ethereum-volatility-index-token</t>
  </si>
  <si>
    <t>Inverse Ethereum Volatility Index Token</t>
  </si>
  <si>
    <t>INV</t>
  </si>
  <si>
    <t>inverse-finance</t>
  </si>
  <si>
    <t>Inverse Finance</t>
  </si>
  <si>
    <t>INVEST</t>
  </si>
  <si>
    <t>investdex</t>
  </si>
  <si>
    <t>InvestDex</t>
  </si>
  <si>
    <t>IDT</t>
  </si>
  <si>
    <t>investdigital</t>
  </si>
  <si>
    <t>InvestDigital</t>
  </si>
  <si>
    <t>INVESTEL</t>
  </si>
  <si>
    <t>investel</t>
  </si>
  <si>
    <t>Investel</t>
  </si>
  <si>
    <t>IVN</t>
  </si>
  <si>
    <t>investin</t>
  </si>
  <si>
    <t>Investin</t>
  </si>
  <si>
    <t>ILSI</t>
  </si>
  <si>
    <t>invest-like-stakeborg-index</t>
  </si>
  <si>
    <t>Invest Like Stakeborg Index</t>
  </si>
  <si>
    <t>invictus</t>
  </si>
  <si>
    <t>Invictus</t>
  </si>
  <si>
    <t>ICAP</t>
  </si>
  <si>
    <t>invictus-capital-token</t>
  </si>
  <si>
    <t>Invictus Capital</t>
  </si>
  <si>
    <t>IHF</t>
  </si>
  <si>
    <t>invictus-hyprion-fund</t>
  </si>
  <si>
    <t>Invictus Hyperion Fund</t>
  </si>
  <si>
    <t>INVI</t>
  </si>
  <si>
    <t>invi-token</t>
  </si>
  <si>
    <t>IVC</t>
  </si>
  <si>
    <t>invoice-coin</t>
  </si>
  <si>
    <t>Invoice Coin</t>
  </si>
  <si>
    <t>IV</t>
  </si>
  <si>
    <t>invoke</t>
  </si>
  <si>
    <t>Invoker</t>
  </si>
  <si>
    <t>IOBUSD</t>
  </si>
  <si>
    <t>iobusd</t>
  </si>
  <si>
    <t>ioBUSD</t>
  </si>
  <si>
    <t>IOC</t>
  </si>
  <si>
    <t>iocoin</t>
  </si>
  <si>
    <t>I/O Coin</t>
  </si>
  <si>
    <t>IOETH</t>
  </si>
  <si>
    <t>ioeth</t>
  </si>
  <si>
    <t>ioETH</t>
  </si>
  <si>
    <t>IOEX</t>
  </si>
  <si>
    <t>ioex</t>
  </si>
  <si>
    <t>ioeX</t>
  </si>
  <si>
    <t>IOI</t>
  </si>
  <si>
    <t>ioi-token</t>
  </si>
  <si>
    <t>ION</t>
  </si>
  <si>
    <t>ion</t>
  </si>
  <si>
    <t>Ion</t>
  </si>
  <si>
    <t>IONC</t>
  </si>
  <si>
    <t>ionchain-token</t>
  </si>
  <si>
    <t>IONChain</t>
  </si>
  <si>
    <t>ionomy</t>
  </si>
  <si>
    <t>Ionomy</t>
  </si>
  <si>
    <t>IOST</t>
  </si>
  <si>
    <t>iostoken</t>
  </si>
  <si>
    <t>MIOTA</t>
  </si>
  <si>
    <t>iota</t>
  </si>
  <si>
    <t>IOTA</t>
  </si>
  <si>
    <t>ITC</t>
  </si>
  <si>
    <t>iot-chain</t>
  </si>
  <si>
    <t>IoT Chain</t>
  </si>
  <si>
    <t>IOTN</t>
  </si>
  <si>
    <t>ioten</t>
  </si>
  <si>
    <t>IOTEN</t>
  </si>
  <si>
    <t>IOTX</t>
  </si>
  <si>
    <t>iotex</t>
  </si>
  <si>
    <t>IoTeX</t>
  </si>
  <si>
    <t>IOTEXCHART</t>
  </si>
  <si>
    <t>iotexchart</t>
  </si>
  <si>
    <t>Iotexchart</t>
  </si>
  <si>
    <t>IODOGE</t>
  </si>
  <si>
    <t>iotexdoge</t>
  </si>
  <si>
    <t>IotexDoge</t>
  </si>
  <si>
    <t>MTGO</t>
  </si>
  <si>
    <t>iotex-monster-go</t>
  </si>
  <si>
    <t>Iotex Monster Go</t>
  </si>
  <si>
    <t>TEX</t>
  </si>
  <si>
    <t>iotexpad</t>
  </si>
  <si>
    <t>IoTeXPad</t>
  </si>
  <si>
    <t>IOSHIB</t>
  </si>
  <si>
    <t>iotexshiba</t>
  </si>
  <si>
    <t>IoTexShiba</t>
  </si>
  <si>
    <t>IOUNI</t>
  </si>
  <si>
    <t>iouni</t>
  </si>
  <si>
    <t>ioUNI</t>
  </si>
  <si>
    <t>IOUSDC</t>
  </si>
  <si>
    <t>iousdc</t>
  </si>
  <si>
    <t>ioUSDC</t>
  </si>
  <si>
    <t>IOUSDT</t>
  </si>
  <si>
    <t>iousdt</t>
  </si>
  <si>
    <t>ioUSDT</t>
  </si>
  <si>
    <t>IOWBTC</t>
  </si>
  <si>
    <t>iowbtc</t>
  </si>
  <si>
    <t>ioWBTC</t>
  </si>
  <si>
    <t>IOWN</t>
  </si>
  <si>
    <t>iown</t>
  </si>
  <si>
    <t>iOWN Token</t>
  </si>
  <si>
    <t>IPAY</t>
  </si>
  <si>
    <t>ipay</t>
  </si>
  <si>
    <t>iPay</t>
  </si>
  <si>
    <t>POST</t>
  </si>
  <si>
    <t>ipse</t>
  </si>
  <si>
    <t>IPSE</t>
  </si>
  <si>
    <t>PLS</t>
  </si>
  <si>
    <t>ipulse</t>
  </si>
  <si>
    <t>iPulse</t>
  </si>
  <si>
    <t>ipx-token</t>
  </si>
  <si>
    <t>Tachyon Protocol</t>
  </si>
  <si>
    <t>iq-cash</t>
  </si>
  <si>
    <t>IQ.cash</t>
  </si>
  <si>
    <t>IQCOIN</t>
  </si>
  <si>
    <t>iqcoin</t>
  </si>
  <si>
    <t>IQCoin</t>
  </si>
  <si>
    <t>IQG</t>
  </si>
  <si>
    <t>iq-coin</t>
  </si>
  <si>
    <t>IQ Coin</t>
  </si>
  <si>
    <t>IQN</t>
  </si>
  <si>
    <t>iqeon</t>
  </si>
  <si>
    <t>IQeon</t>
  </si>
  <si>
    <t>IQQ</t>
  </si>
  <si>
    <t>iqoniq</t>
  </si>
  <si>
    <t>Iqoniq</t>
  </si>
  <si>
    <t>IQT</t>
  </si>
  <si>
    <t>iq-protocol</t>
  </si>
  <si>
    <t>IQ Protocol</t>
  </si>
  <si>
    <t>IRENA</t>
  </si>
  <si>
    <t>irena-green-energy</t>
  </si>
  <si>
    <t>IRENA Green Energy</t>
  </si>
  <si>
    <t>IRD</t>
  </si>
  <si>
    <t>iridium</t>
  </si>
  <si>
    <t>Iridium</t>
  </si>
  <si>
    <t>IRIS</t>
  </si>
  <si>
    <t>iris-network</t>
  </si>
  <si>
    <t>IRISnet</t>
  </si>
  <si>
    <t>iris-token-2</t>
  </si>
  <si>
    <t>Iris</t>
  </si>
  <si>
    <t>IB</t>
  </si>
  <si>
    <t>iron-bank</t>
  </si>
  <si>
    <t>Iron Bank</t>
  </si>
  <si>
    <t>IBEUR</t>
  </si>
  <si>
    <t>iron-bank-euro</t>
  </si>
  <si>
    <t>Iron Bank EURO</t>
  </si>
  <si>
    <t>IRON</t>
  </si>
  <si>
    <t>iron-bsc</t>
  </si>
  <si>
    <t>Iron BSC</t>
  </si>
  <si>
    <t>iron-finance</t>
  </si>
  <si>
    <t>Iron Finance</t>
  </si>
  <si>
    <t>iron-stablecoin</t>
  </si>
  <si>
    <t>Iron</t>
  </si>
  <si>
    <t>TITAN</t>
  </si>
  <si>
    <t>iron-titanium-token</t>
  </si>
  <si>
    <t>IRON Titanium</t>
  </si>
  <si>
    <t>ISAL</t>
  </si>
  <si>
    <t>isalcoin</t>
  </si>
  <si>
    <t>Isalcoin</t>
  </si>
  <si>
    <t>ISET-84E55E</t>
  </si>
  <si>
    <t>isengard-nft-marketplace</t>
  </si>
  <si>
    <t>Isengard NFT Marketplace</t>
  </si>
  <si>
    <t>DURTH</t>
  </si>
  <si>
    <t>ishares-msci-world-etf-tokenized-stock-defichain</t>
  </si>
  <si>
    <t>iShares MSCI World ETF Tokenized Stock Defichain</t>
  </si>
  <si>
    <t>ISIKC</t>
  </si>
  <si>
    <t>isiklar-coin</t>
  </si>
  <si>
    <t>Isiklar Coin</t>
  </si>
  <si>
    <t>ISLAMI</t>
  </si>
  <si>
    <t>islamicoin</t>
  </si>
  <si>
    <t>ISLAMICOIN</t>
  </si>
  <si>
    <t>$ISLBYZ</t>
  </si>
  <si>
    <t>island-boyz</t>
  </si>
  <si>
    <t>Island Boyz</t>
  </si>
  <si>
    <t>ISA</t>
  </si>
  <si>
    <t>islander</t>
  </si>
  <si>
    <t>Islander</t>
  </si>
  <si>
    <t>ISL</t>
  </si>
  <si>
    <t>islandswap</t>
  </si>
  <si>
    <t>Islandswap</t>
  </si>
  <si>
    <t>ISO</t>
  </si>
  <si>
    <t>isotopec</t>
  </si>
  <si>
    <t>IsotopeC</t>
  </si>
  <si>
    <t>ISP</t>
  </si>
  <si>
    <t>ispolink</t>
  </si>
  <si>
    <t>Ispolink</t>
  </si>
  <si>
    <t>IBFK</t>
  </si>
  <si>
    <t>istanbul-basaksehir-fan-token</t>
  </si>
  <si>
    <t>İstanbul Başakşehir Fan Token</t>
  </si>
  <si>
    <t>ISDT</t>
  </si>
  <si>
    <t>istardust</t>
  </si>
  <si>
    <t>Istardust</t>
  </si>
  <si>
    <t>ITL</t>
  </si>
  <si>
    <t>italian-lira</t>
  </si>
  <si>
    <t>Italian Lira</t>
  </si>
  <si>
    <t>XTA</t>
  </si>
  <si>
    <t>italo</t>
  </si>
  <si>
    <t>Italo</t>
  </si>
  <si>
    <t>ITAM</t>
  </si>
  <si>
    <t>itam-games</t>
  </si>
  <si>
    <t>ITAM Games</t>
  </si>
  <si>
    <t>itc</t>
  </si>
  <si>
    <t>ITEN</t>
  </si>
  <si>
    <t>iten</t>
  </si>
  <si>
    <t>ITS</t>
  </si>
  <si>
    <t>iteration-syndicate</t>
  </si>
  <si>
    <t>Iteration Syndicate</t>
  </si>
  <si>
    <t>ITHEUM</t>
  </si>
  <si>
    <t>itheum</t>
  </si>
  <si>
    <t>Itheum</t>
  </si>
  <si>
    <t>ITI</t>
  </si>
  <si>
    <t>iticoin</t>
  </si>
  <si>
    <t>iTicoin</t>
  </si>
  <si>
    <t>ITG</t>
  </si>
  <si>
    <t>itrust-governance-token</t>
  </si>
  <si>
    <t>iTrust Governance</t>
  </si>
  <si>
    <t>MYNE</t>
  </si>
  <si>
    <t>itsmyne</t>
  </si>
  <si>
    <t>ITSMYNE</t>
  </si>
  <si>
    <t>NOTART</t>
  </si>
  <si>
    <t>its-not-art</t>
  </si>
  <si>
    <t>Its Not Art</t>
  </si>
  <si>
    <t>ING</t>
  </si>
  <si>
    <t>iungo</t>
  </si>
  <si>
    <t>Iungo</t>
  </si>
  <si>
    <t>PIXEL</t>
  </si>
  <si>
    <t>iupixel</t>
  </si>
  <si>
    <t>iUPixel</t>
  </si>
  <si>
    <t>IVG</t>
  </si>
  <si>
    <t>ivogel</t>
  </si>
  <si>
    <t>IVOGEL</t>
  </si>
  <si>
    <t>IVORY</t>
  </si>
  <si>
    <t>ivory</t>
  </si>
  <si>
    <t>Ivory</t>
  </si>
  <si>
    <t>IXC</t>
  </si>
  <si>
    <t>ixcoin</t>
  </si>
  <si>
    <t>Ixcoin</t>
  </si>
  <si>
    <t>IXI</t>
  </si>
  <si>
    <t>ixicash</t>
  </si>
  <si>
    <t>IxiCash</t>
  </si>
  <si>
    <t>XXA</t>
  </si>
  <si>
    <t>ixinium</t>
  </si>
  <si>
    <t>Ixinium</t>
  </si>
  <si>
    <t>IXIR</t>
  </si>
  <si>
    <t>ixirswap</t>
  </si>
  <si>
    <t>Ixirswap</t>
  </si>
  <si>
    <t>IXO</t>
  </si>
  <si>
    <t>ixo</t>
  </si>
  <si>
    <t>IXS</t>
  </si>
  <si>
    <t>ix-swap</t>
  </si>
  <si>
    <t>IX Swap</t>
  </si>
  <si>
    <t>ix-token</t>
  </si>
  <si>
    <t>IX</t>
  </si>
  <si>
    <t>NAGI</t>
  </si>
  <si>
    <t>izanagi</t>
  </si>
  <si>
    <t>Izanagi</t>
  </si>
  <si>
    <t>IZE</t>
  </si>
  <si>
    <t>ize</t>
  </si>
  <si>
    <t>IUSD</t>
  </si>
  <si>
    <t>izumi-bond-usd</t>
  </si>
  <si>
    <t>iZUMi Bond USD</t>
  </si>
  <si>
    <t>IZI</t>
  </si>
  <si>
    <t>izumi-finance</t>
  </si>
  <si>
    <t>Izumi Finance</t>
  </si>
  <si>
    <t>J9BC</t>
  </si>
  <si>
    <t>j9casino</t>
  </si>
  <si>
    <t>J9CASINO</t>
  </si>
  <si>
    <t>JFI</t>
  </si>
  <si>
    <t>jackpool-finance</t>
  </si>
  <si>
    <t>JackPool.finance</t>
  </si>
  <si>
    <t>777</t>
  </si>
  <si>
    <t>jackpot</t>
  </si>
  <si>
    <t>Jackpot</t>
  </si>
  <si>
    <t>JPT</t>
  </si>
  <si>
    <t>jackpot-token</t>
  </si>
  <si>
    <t>Jackpot Token</t>
  </si>
  <si>
    <t>JACK</t>
  </si>
  <si>
    <t>jack-token</t>
  </si>
  <si>
    <t>Jack Token</t>
  </si>
  <si>
    <t>JACY</t>
  </si>
  <si>
    <t>jacy</t>
  </si>
  <si>
    <t>JADE</t>
  </si>
  <si>
    <t>jade-currency</t>
  </si>
  <si>
    <t>Jade Currency</t>
  </si>
  <si>
    <t>jade-protocol</t>
  </si>
  <si>
    <t>Jade Protocol</t>
  </si>
  <si>
    <t>JAGUAR</t>
  </si>
  <si>
    <t>jaguarswap</t>
  </si>
  <si>
    <t>JaguarSwap</t>
  </si>
  <si>
    <t>JAIHO</t>
  </si>
  <si>
    <t>jaiho-crypto</t>
  </si>
  <si>
    <t>Jaiho Crypto</t>
  </si>
  <si>
    <t>JAMON</t>
  </si>
  <si>
    <t>jamonswap</t>
  </si>
  <si>
    <t>JamonSwap</t>
  </si>
  <si>
    <t>JAR</t>
  </si>
  <si>
    <t>jarvis</t>
  </si>
  <si>
    <t>Jarvis+</t>
  </si>
  <si>
    <t>JRT</t>
  </si>
  <si>
    <t>jarvis-reward-token</t>
  </si>
  <si>
    <t>JAUD</t>
  </si>
  <si>
    <t>jarvis-synthetic-australian-dollar</t>
  </si>
  <si>
    <t>Jarvis Synthetic Australian Dollar</t>
  </si>
  <si>
    <t>JGBP</t>
  </si>
  <si>
    <t>jarvis-synthetic-british-pound</t>
  </si>
  <si>
    <t>Jarvis Synthetic British Pound</t>
  </si>
  <si>
    <t>JCAD</t>
  </si>
  <si>
    <t>jarvis-synthetic-canadian-dollar</t>
  </si>
  <si>
    <t>Jarvis Synthetic Canadian Dollar</t>
  </si>
  <si>
    <t>JCNY</t>
  </si>
  <si>
    <t>jarvis-synthetic-chinese-yuan</t>
  </si>
  <si>
    <t>Jarvis Synthetic Chinese Yuan</t>
  </si>
  <si>
    <t>JEUR</t>
  </si>
  <si>
    <t>jarvis-synthetic-euro</t>
  </si>
  <si>
    <t>Jarvis Synthetic Euro</t>
  </si>
  <si>
    <t>JJPY</t>
  </si>
  <si>
    <t>jarvis-synthetic-japanese-yen</t>
  </si>
  <si>
    <t>Jarvis Synthetic Japanese Yen</t>
  </si>
  <si>
    <t>JSGD</t>
  </si>
  <si>
    <t>jarvis-synthetic-singapore-dollar</t>
  </si>
  <si>
    <t>Jarvis Synthetic Singapore Dollar</t>
  </si>
  <si>
    <t>JSEK</t>
  </si>
  <si>
    <t>jarvis-synthetic-swedish-krona</t>
  </si>
  <si>
    <t>Jarvis Synthetic Swedish Krona</t>
  </si>
  <si>
    <t>JCHF</t>
  </si>
  <si>
    <t>jarvis-synthetic-swiss-franc</t>
  </si>
  <si>
    <t>Jarvis Synthetic Swiss Franc</t>
  </si>
  <si>
    <t>JASMY</t>
  </si>
  <si>
    <t>jasmycoin</t>
  </si>
  <si>
    <t>JasmyCoin</t>
  </si>
  <si>
    <t>JS</t>
  </si>
  <si>
    <t>javascript-token</t>
  </si>
  <si>
    <t>WJXN</t>
  </si>
  <si>
    <t>jax-network</t>
  </si>
  <si>
    <t>Jax.Network</t>
  </si>
  <si>
    <t>JDC</t>
  </si>
  <si>
    <t>jd-coin</t>
  </si>
  <si>
    <t>JD Coin</t>
  </si>
  <si>
    <t>JDI</t>
  </si>
  <si>
    <t>jdi-token</t>
  </si>
  <si>
    <t>JED</t>
  </si>
  <si>
    <t>jedstar</t>
  </si>
  <si>
    <t>JEDSTAR</t>
  </si>
  <si>
    <t>JEET</t>
  </si>
  <si>
    <t>jeet</t>
  </si>
  <si>
    <t>JEFE</t>
  </si>
  <si>
    <t>jefe</t>
  </si>
  <si>
    <t>Jefe</t>
  </si>
  <si>
    <t>JEJUDOGE</t>
  </si>
  <si>
    <t>jejudoge</t>
  </si>
  <si>
    <t>Jejudoge</t>
  </si>
  <si>
    <t>jejudoge-bsc</t>
  </si>
  <si>
    <t>Jejudoge BSC</t>
  </si>
  <si>
    <t>JELLY</t>
  </si>
  <si>
    <t>jelly</t>
  </si>
  <si>
    <t>Jelly</t>
  </si>
  <si>
    <t>JEM</t>
  </si>
  <si>
    <t>jem</t>
  </si>
  <si>
    <t>Jem</t>
  </si>
  <si>
    <t>UJENNY</t>
  </si>
  <si>
    <t>jenny-metaverse-dao-token</t>
  </si>
  <si>
    <t>Jenny Metaverse DAO</t>
  </si>
  <si>
    <t>JRIT</t>
  </si>
  <si>
    <t>jeritex</t>
  </si>
  <si>
    <t>JERITEX</t>
  </si>
  <si>
    <t>jet</t>
  </si>
  <si>
    <t>jetcoin</t>
  </si>
  <si>
    <t>Jetcoin</t>
  </si>
  <si>
    <t>JETS</t>
  </si>
  <si>
    <t>jetoken</t>
  </si>
  <si>
    <t>JeToken</t>
  </si>
  <si>
    <t>JTS</t>
  </si>
  <si>
    <t>jetset</t>
  </si>
  <si>
    <t>Jetset</t>
  </si>
  <si>
    <t>WINGS</t>
  </si>
  <si>
    <t>jetswap-token</t>
  </si>
  <si>
    <t>JetSwap</t>
  </si>
  <si>
    <t>JWL</t>
  </si>
  <si>
    <t>jewel</t>
  </si>
  <si>
    <t>Jewel</t>
  </si>
  <si>
    <t>JFIN</t>
  </si>
  <si>
    <t>jfin-coin</t>
  </si>
  <si>
    <t>JFIN Coin</t>
  </si>
  <si>
    <t>JIG</t>
  </si>
  <si>
    <t>jigen</t>
  </si>
  <si>
    <t>Jigen</t>
  </si>
  <si>
    <t>JIGSAW</t>
  </si>
  <si>
    <t>jigsaw</t>
  </si>
  <si>
    <t>Jigsaw</t>
  </si>
  <si>
    <t>STAK</t>
  </si>
  <si>
    <t>jigstack</t>
  </si>
  <si>
    <t>Jigstack</t>
  </si>
  <si>
    <t>JINDOGE</t>
  </si>
  <si>
    <t>jindoge</t>
  </si>
  <si>
    <t>Jindoge</t>
  </si>
  <si>
    <t>JIND</t>
  </si>
  <si>
    <t>jindo-inu</t>
  </si>
  <si>
    <t>Jindo Inu</t>
  </si>
  <si>
    <t>JK</t>
  </si>
  <si>
    <t>jk-coin</t>
  </si>
  <si>
    <t>JK Coin</t>
  </si>
  <si>
    <t>JMT</t>
  </si>
  <si>
    <t>jmtime</t>
  </si>
  <si>
    <t>JMTIME</t>
  </si>
  <si>
    <t>JOB</t>
  </si>
  <si>
    <t>jobchain</t>
  </si>
  <si>
    <t>Jobchain</t>
  </si>
  <si>
    <t>JOE</t>
  </si>
  <si>
    <t>joe</t>
  </si>
  <si>
    <t>HAT</t>
  </si>
  <si>
    <t>joe-hat-token</t>
  </si>
  <si>
    <t>Joe Hat</t>
  </si>
  <si>
    <t>joe-wormhole</t>
  </si>
  <si>
    <t>JOE (Wormhole)</t>
  </si>
  <si>
    <t>JYC</t>
  </si>
  <si>
    <t>joe-yo-coin</t>
  </si>
  <si>
    <t>Joe-Yo Coin</t>
  </si>
  <si>
    <t>JOIN</t>
  </si>
  <si>
    <t>joincoin</t>
  </si>
  <si>
    <t>JoinCoin</t>
  </si>
  <si>
    <t>JOINT</t>
  </si>
  <si>
    <t>joint</t>
  </si>
  <si>
    <t>Joint Ventures</t>
  </si>
  <si>
    <t>JNTR</t>
  </si>
  <si>
    <t>jointer</t>
  </si>
  <si>
    <t>Jointer</t>
  </si>
  <si>
    <t>JOJO</t>
  </si>
  <si>
    <t>jojo</t>
  </si>
  <si>
    <t>jojo-inu</t>
  </si>
  <si>
    <t>JoJo Inu</t>
  </si>
  <si>
    <t>$JOKE</t>
  </si>
  <si>
    <t>joke-community</t>
  </si>
  <si>
    <t>Joke Community</t>
  </si>
  <si>
    <t>JKT</t>
  </si>
  <si>
    <t>jokermanor-metaverse</t>
  </si>
  <si>
    <t>JokerManor Metaverse</t>
  </si>
  <si>
    <t>JOKE</t>
  </si>
  <si>
    <t>jokes-meme</t>
  </si>
  <si>
    <t>Jokes Meme</t>
  </si>
  <si>
    <t>JOLT</t>
  </si>
  <si>
    <t>joltify</t>
  </si>
  <si>
    <t>Joltify</t>
  </si>
  <si>
    <t>JSHIBA</t>
  </si>
  <si>
    <t>jomon-shiba</t>
  </si>
  <si>
    <t>Jomon Shiba</t>
  </si>
  <si>
    <t>JONES</t>
  </si>
  <si>
    <t>jones-dao</t>
  </si>
  <si>
    <t>Jones DAO</t>
  </si>
  <si>
    <t>JIC</t>
  </si>
  <si>
    <t>joorschain</t>
  </si>
  <si>
    <t>JoorsChain</t>
  </si>
  <si>
    <t>JOOS</t>
  </si>
  <si>
    <t>joos-protocol</t>
  </si>
  <si>
    <t>JOOS Protocol</t>
  </si>
  <si>
    <t>XJO</t>
  </si>
  <si>
    <t>joulecoin</t>
  </si>
  <si>
    <t>Joulecoin</t>
  </si>
  <si>
    <t>JOYS</t>
  </si>
  <si>
    <t>joys</t>
  </si>
  <si>
    <t>joystick-2</t>
  </si>
  <si>
    <t>Joystick</t>
  </si>
  <si>
    <t>joystream</t>
  </si>
  <si>
    <t>Joystream</t>
  </si>
  <si>
    <t>JPEG</t>
  </si>
  <si>
    <t>jpeg-d</t>
  </si>
  <si>
    <t>JPEG'd</t>
  </si>
  <si>
    <t>jpegvaultdao-2</t>
  </si>
  <si>
    <t>JPEGvaultDAO</t>
  </si>
  <si>
    <t>JPG</t>
  </si>
  <si>
    <t>jpg-nft-index</t>
  </si>
  <si>
    <t>JPG NFT Index</t>
  </si>
  <si>
    <t>JSOL</t>
  </si>
  <si>
    <t>jpool</t>
  </si>
  <si>
    <t>JPool</t>
  </si>
  <si>
    <t>JPYC</t>
  </si>
  <si>
    <t>jpyc</t>
  </si>
  <si>
    <t>JPY Coin</t>
  </si>
  <si>
    <t>JSB</t>
  </si>
  <si>
    <t>jsb-foundation</t>
  </si>
  <si>
    <t>JSB Foundation</t>
  </si>
  <si>
    <t>JF</t>
  </si>
  <si>
    <t>jswap-finance</t>
  </si>
  <si>
    <t>Jswap.Finance</t>
  </si>
  <si>
    <t>JT</t>
  </si>
  <si>
    <t>jubi-token</t>
  </si>
  <si>
    <t>Jubi Token</t>
  </si>
  <si>
    <t>JGN</t>
  </si>
  <si>
    <t>juggernaut</t>
  </si>
  <si>
    <t>Juggernaut</t>
  </si>
  <si>
    <t>JBX</t>
  </si>
  <si>
    <t>juicebox</t>
  </si>
  <si>
    <t>Juicebox</t>
  </si>
  <si>
    <t>juice-coin</t>
  </si>
  <si>
    <t>Juice Coin</t>
  </si>
  <si>
    <t>JULIEN</t>
  </si>
  <si>
    <t>julien</t>
  </si>
  <si>
    <t>JULD</t>
  </si>
  <si>
    <t>julswap</t>
  </si>
  <si>
    <t>JulSwap</t>
  </si>
  <si>
    <t>JUB</t>
  </si>
  <si>
    <t>jumbo</t>
  </si>
  <si>
    <t>Jumbo</t>
  </si>
  <si>
    <t>JUMBO</t>
  </si>
  <si>
    <t>jumbo-exchange</t>
  </si>
  <si>
    <t>Jumbo Exchange</t>
  </si>
  <si>
    <t>JMPT</t>
  </si>
  <si>
    <t>jumptoken</t>
  </si>
  <si>
    <t>JCC</t>
  </si>
  <si>
    <t>junca-cash</t>
  </si>
  <si>
    <t>Junca cash</t>
  </si>
  <si>
    <t>JUNGLE</t>
  </si>
  <si>
    <t>jungle</t>
  </si>
  <si>
    <t>Jungle</t>
  </si>
  <si>
    <t>jungle-defi</t>
  </si>
  <si>
    <t>Jungle DeFi</t>
  </si>
  <si>
    <t>JGRD</t>
  </si>
  <si>
    <t>jungle-road</t>
  </si>
  <si>
    <t>Jungle Road</t>
  </si>
  <si>
    <t>jungle-token</t>
  </si>
  <si>
    <t>Jungle Token</t>
  </si>
  <si>
    <t>JUNKOINU</t>
  </si>
  <si>
    <t>junko-inu</t>
  </si>
  <si>
    <t>Junko Inu</t>
  </si>
  <si>
    <t>JUNO</t>
  </si>
  <si>
    <t>juno-network</t>
  </si>
  <si>
    <t>RAW</t>
  </si>
  <si>
    <t>junoswap-raw-dao</t>
  </si>
  <si>
    <t>JunoSwap Raw Dao</t>
  </si>
  <si>
    <t>JMC</t>
  </si>
  <si>
    <t>junsonmingchancoin</t>
  </si>
  <si>
    <t>Junsonmingchancoin</t>
  </si>
  <si>
    <t>JUP</t>
  </si>
  <si>
    <t>jupiter</t>
  </si>
  <si>
    <t>Jupiter</t>
  </si>
  <si>
    <t>JUR</t>
  </si>
  <si>
    <t>jur</t>
  </si>
  <si>
    <t>Jur</t>
  </si>
  <si>
    <t>JREX</t>
  </si>
  <si>
    <t>jurasaur</t>
  </si>
  <si>
    <t>Jurasaur</t>
  </si>
  <si>
    <t>jurassic_nodes</t>
  </si>
  <si>
    <t>Jurassic Nodes</t>
  </si>
  <si>
    <t>JRSC</t>
  </si>
  <si>
    <t>jurassic-token</t>
  </si>
  <si>
    <t>Jurassic</t>
  </si>
  <si>
    <t>JST</t>
  </si>
  <si>
    <t>just</t>
  </si>
  <si>
    <t>JUST</t>
  </si>
  <si>
    <t>JCR</t>
  </si>
  <si>
    <t>justcarbon-removal</t>
  </si>
  <si>
    <t>JustCarbon Removal</t>
  </si>
  <si>
    <t>JFM</t>
  </si>
  <si>
    <t>justfarm</t>
  </si>
  <si>
    <t>JustFarm</t>
  </si>
  <si>
    <t>JM</t>
  </si>
  <si>
    <t>justmoney-2</t>
  </si>
  <si>
    <t>JustMoney</t>
  </si>
  <si>
    <t>USDJ</t>
  </si>
  <si>
    <t>just-stablecoin</t>
  </si>
  <si>
    <t>JUST Stablecoin</t>
  </si>
  <si>
    <t>justyours</t>
  </si>
  <si>
    <t>JustYours</t>
  </si>
  <si>
    <t>JUV</t>
  </si>
  <si>
    <t>juventus-fan-token</t>
  </si>
  <si>
    <t>Juventus Fan Token</t>
  </si>
  <si>
    <t>K21</t>
  </si>
  <si>
    <t>k21</t>
  </si>
  <si>
    <t>KFL</t>
  </si>
  <si>
    <t>kaafila</t>
  </si>
  <si>
    <t>Kaafila</t>
  </si>
  <si>
    <t>KABOSU</t>
  </si>
  <si>
    <t>kabosu</t>
  </si>
  <si>
    <t>Kabosu</t>
  </si>
  <si>
    <t>KABY</t>
  </si>
  <si>
    <t>kaby-arena</t>
  </si>
  <si>
    <t>Kaby Arena</t>
  </si>
  <si>
    <t>KGT</t>
  </si>
  <si>
    <t>kaby-gaming-token</t>
  </si>
  <si>
    <t>Kaby Gaming</t>
  </si>
  <si>
    <t>KDA</t>
  </si>
  <si>
    <t>kadena</t>
  </si>
  <si>
    <t>Kadena</t>
  </si>
  <si>
    <t>KAIBA</t>
  </si>
  <si>
    <t>kaiba-defi</t>
  </si>
  <si>
    <t>Kaiba Defi</t>
  </si>
  <si>
    <t>KAIDHT</t>
  </si>
  <si>
    <t>kaidht</t>
  </si>
  <si>
    <t>Dog House</t>
  </si>
  <si>
    <t>KAIINU</t>
  </si>
  <si>
    <t>kai-inu</t>
  </si>
  <si>
    <t>Kai Inu</t>
  </si>
  <si>
    <t>KAIJU</t>
  </si>
  <si>
    <t>kaiju-worlds</t>
  </si>
  <si>
    <t>Kaiju Worlds</t>
  </si>
  <si>
    <t>KAIECO</t>
  </si>
  <si>
    <t>kaikeninu</t>
  </si>
  <si>
    <t>KaikenInu</t>
  </si>
  <si>
    <t>KSHIB</t>
  </si>
  <si>
    <t>kaiken-shiba</t>
  </si>
  <si>
    <t>Kaiken Shiba</t>
  </si>
  <si>
    <t>KAINET</t>
  </si>
  <si>
    <t>kainet</t>
  </si>
  <si>
    <t>KZEN</t>
  </si>
  <si>
    <t>kaizen</t>
  </si>
  <si>
    <t>Kaizen</t>
  </si>
  <si>
    <t>KAIZILLA</t>
  </si>
  <si>
    <t>kaizilla</t>
  </si>
  <si>
    <t>Kaizilla</t>
  </si>
  <si>
    <t>KAKA</t>
  </si>
  <si>
    <t>kaka-nft-world</t>
  </si>
  <si>
    <t>KAKA NFT World</t>
  </si>
  <si>
    <t>KALA</t>
  </si>
  <si>
    <t>kala</t>
  </si>
  <si>
    <t>Kala</t>
  </si>
  <si>
    <t>kala-finance</t>
  </si>
  <si>
    <t>Kala Finance</t>
  </si>
  <si>
    <t>KALAM</t>
  </si>
  <si>
    <t>kalamint</t>
  </si>
  <si>
    <t>Kalamint</t>
  </si>
  <si>
    <t>KLNW</t>
  </si>
  <si>
    <t>kala-network</t>
  </si>
  <si>
    <t>KALA Network</t>
  </si>
  <si>
    <t>KLO</t>
  </si>
  <si>
    <t>kalao</t>
  </si>
  <si>
    <t>Kalao</t>
  </si>
  <si>
    <t>kalata</t>
  </si>
  <si>
    <t>Kalata Protocol</t>
  </si>
  <si>
    <t>KLN</t>
  </si>
  <si>
    <t>kalera-nft</t>
  </si>
  <si>
    <t>Kalera NFT</t>
  </si>
  <si>
    <t>KALI</t>
  </si>
  <si>
    <t>kalissa</t>
  </si>
  <si>
    <t>Kalissa</t>
  </si>
  <si>
    <t>KS</t>
  </si>
  <si>
    <t>kalisten</t>
  </si>
  <si>
    <t>Kalisten</t>
  </si>
  <si>
    <t>KLC</t>
  </si>
  <si>
    <t>kalkicoin</t>
  </si>
  <si>
    <t>Kalkicoin</t>
  </si>
  <si>
    <t>KALM</t>
  </si>
  <si>
    <t>kalmar</t>
  </si>
  <si>
    <t>Kalmar</t>
  </si>
  <si>
    <t>KLR</t>
  </si>
  <si>
    <t>kalori</t>
  </si>
  <si>
    <t>Kalori</t>
  </si>
  <si>
    <t>KAT</t>
  </si>
  <si>
    <t>kambria</t>
  </si>
  <si>
    <t>Kambria</t>
  </si>
  <si>
    <t>KAMPAY</t>
  </si>
  <si>
    <t>kampay</t>
  </si>
  <si>
    <t>Kampay</t>
  </si>
  <si>
    <t>KAN</t>
  </si>
  <si>
    <t>kan</t>
  </si>
  <si>
    <t>BitKan</t>
  </si>
  <si>
    <t>KANA</t>
  </si>
  <si>
    <t>kanaloa-network</t>
  </si>
  <si>
    <t>Kanaloa Network</t>
  </si>
  <si>
    <t>KANDY</t>
  </si>
  <si>
    <t>kandy</t>
  </si>
  <si>
    <t>KANG3N</t>
  </si>
  <si>
    <t>kang3n</t>
  </si>
  <si>
    <t>KNG</t>
  </si>
  <si>
    <t>kanga-exchange</t>
  </si>
  <si>
    <t>Kanga Exchange</t>
  </si>
  <si>
    <t>KANGAL</t>
  </si>
  <si>
    <t>kangal</t>
  </si>
  <si>
    <t>Kangal</t>
  </si>
  <si>
    <t>GAR</t>
  </si>
  <si>
    <t>kangaroo</t>
  </si>
  <si>
    <t>Kangaroo</t>
  </si>
  <si>
    <t>KCAKE</t>
  </si>
  <si>
    <t>kangaroocake</t>
  </si>
  <si>
    <t>KangarooCake</t>
  </si>
  <si>
    <t>KAE</t>
  </si>
  <si>
    <t>kanpeki</t>
  </si>
  <si>
    <t>Kanpeki</t>
  </si>
  <si>
    <t>KAPPA</t>
  </si>
  <si>
    <t>kappa</t>
  </si>
  <si>
    <t>Kappa</t>
  </si>
  <si>
    <t>KRG</t>
  </si>
  <si>
    <t>karaganda-token</t>
  </si>
  <si>
    <t>Karaganda Token</t>
  </si>
  <si>
    <t>KARA</t>
  </si>
  <si>
    <t>karastar-kara</t>
  </si>
  <si>
    <t>KaraStar</t>
  </si>
  <si>
    <t>UMY</t>
  </si>
  <si>
    <t>karastar-umy</t>
  </si>
  <si>
    <t>KaraStar UMY</t>
  </si>
  <si>
    <t>KRB</t>
  </si>
  <si>
    <t>karbo</t>
  </si>
  <si>
    <t>Karbo</t>
  </si>
  <si>
    <t>KAI</t>
  </si>
  <si>
    <t>kardiachain</t>
  </si>
  <si>
    <t>KardiaChain</t>
  </si>
  <si>
    <t>KAREN</t>
  </si>
  <si>
    <t>karencoin</t>
  </si>
  <si>
    <t>KarenCoin</t>
  </si>
  <si>
    <t>KDAO</t>
  </si>
  <si>
    <t>karmadao</t>
  </si>
  <si>
    <t>KarmaDao</t>
  </si>
  <si>
    <t>KARMA</t>
  </si>
  <si>
    <t>karma-dao</t>
  </si>
  <si>
    <t>Karma DAO</t>
  </si>
  <si>
    <t>KNOT</t>
  </si>
  <si>
    <t>karmaverse</t>
  </si>
  <si>
    <t>Karmaverse</t>
  </si>
  <si>
    <t>KSK</t>
  </si>
  <si>
    <t>karsiyaka-taraftar-token</t>
  </si>
  <si>
    <t>Karsiyaka Taraftar Token</t>
  </si>
  <si>
    <t>KRL</t>
  </si>
  <si>
    <t>kart-racing-league</t>
  </si>
  <si>
    <t>Kart Racing League</t>
  </si>
  <si>
    <t>KAR</t>
  </si>
  <si>
    <t>karura</t>
  </si>
  <si>
    <t>Karura</t>
  </si>
  <si>
    <t>KASHH</t>
  </si>
  <si>
    <t>kashhcoin</t>
  </si>
  <si>
    <t>Kashhcoin</t>
  </si>
  <si>
    <t>KACY</t>
  </si>
  <si>
    <t>kassandra</t>
  </si>
  <si>
    <t>Kassandra</t>
  </si>
  <si>
    <t>KASTA</t>
  </si>
  <si>
    <t>kasta</t>
  </si>
  <si>
    <t>Kasta</t>
  </si>
  <si>
    <t>KTLYO</t>
  </si>
  <si>
    <t>katalyo</t>
  </si>
  <si>
    <t>Katalyo</t>
  </si>
  <si>
    <t>KATANA</t>
  </si>
  <si>
    <t>katana-finance</t>
  </si>
  <si>
    <t>Katana Finance</t>
  </si>
  <si>
    <t>KATA</t>
  </si>
  <si>
    <t>katana-inu</t>
  </si>
  <si>
    <t>Katana Inu</t>
  </si>
  <si>
    <t>KATSUMI</t>
  </si>
  <si>
    <t>katsumi</t>
  </si>
  <si>
    <t>Katsumi</t>
  </si>
  <si>
    <t>KTN</t>
  </si>
  <si>
    <t>kattana</t>
  </si>
  <si>
    <t>Kattana</t>
  </si>
  <si>
    <t>KAU</t>
  </si>
  <si>
    <t>kauri</t>
  </si>
  <si>
    <t>Kauri</t>
  </si>
  <si>
    <t>KAVA</t>
  </si>
  <si>
    <t>kava</t>
  </si>
  <si>
    <t>Kava</t>
  </si>
  <si>
    <t>HARD</t>
  </si>
  <si>
    <t>kava-lend</t>
  </si>
  <si>
    <t>Kava Lend</t>
  </si>
  <si>
    <t>SWP</t>
  </si>
  <si>
    <t>kava-swap</t>
  </si>
  <si>
    <t>Kava Swap</t>
  </si>
  <si>
    <t>KWT</t>
  </si>
  <si>
    <t>kawaii-islands</t>
  </si>
  <si>
    <t>Kawaii Islands</t>
  </si>
  <si>
    <t>KAWAII</t>
  </si>
  <si>
    <t>kawaiinu</t>
  </si>
  <si>
    <t>kawaiINU</t>
  </si>
  <si>
    <t>KSHIBA</t>
  </si>
  <si>
    <t>kawai-shiba</t>
  </si>
  <si>
    <t>Kawai Shiba</t>
  </si>
  <si>
    <t>KAWA</t>
  </si>
  <si>
    <t>kawakami</t>
  </si>
  <si>
    <t>Kawakami</t>
  </si>
  <si>
    <t>KYSR</t>
  </si>
  <si>
    <t>kayserispor</t>
  </si>
  <si>
    <t>Kayserispor</t>
  </si>
  <si>
    <t>KAZAMA</t>
  </si>
  <si>
    <t>kazama-senshi</t>
  </si>
  <si>
    <t>Kazama Senshi</t>
  </si>
  <si>
    <t>KBN</t>
  </si>
  <si>
    <t>kbn</t>
  </si>
  <si>
    <t>Koban</t>
  </si>
  <si>
    <t>KCASH</t>
  </si>
  <si>
    <t>kcash</t>
  </si>
  <si>
    <t>Kcash</t>
  </si>
  <si>
    <t>KCCM</t>
  </si>
  <si>
    <t>kcc-memepad</t>
  </si>
  <si>
    <t>KCC MemePad</t>
  </si>
  <si>
    <t>KCCPAD</t>
  </si>
  <si>
    <t>kccpad</t>
  </si>
  <si>
    <t>KCCPad</t>
  </si>
  <si>
    <t>KDAG</t>
  </si>
  <si>
    <t>kdag</t>
  </si>
  <si>
    <t>King DAG</t>
  </si>
  <si>
    <t>KEBAB</t>
  </si>
  <si>
    <t>kebab-token</t>
  </si>
  <si>
    <t>KP3R</t>
  </si>
  <si>
    <t>keep3rv1</t>
  </si>
  <si>
    <t>Keep3rV1</t>
  </si>
  <si>
    <t>keep3rv1-wormhole</t>
  </si>
  <si>
    <t>Keep3rV1 (Wormhole)</t>
  </si>
  <si>
    <t>KP4R</t>
  </si>
  <si>
    <t>keep4r</t>
  </si>
  <si>
    <t>Keep4r</t>
  </si>
  <si>
    <t>KEEP</t>
  </si>
  <si>
    <t>keep-network</t>
  </si>
  <si>
    <t>Keep Network</t>
  </si>
  <si>
    <t>keep-network-wormhole</t>
  </si>
  <si>
    <t>Keep Network (Wormhole)</t>
  </si>
  <si>
    <t>KPC</t>
  </si>
  <si>
    <t>keeps-coin</t>
  </si>
  <si>
    <t>KEEPs Coin</t>
  </si>
  <si>
    <t>$KSH</t>
  </si>
  <si>
    <t>keeshond</t>
  </si>
  <si>
    <t>Keeshond</t>
  </si>
  <si>
    <t>KEIKO</t>
  </si>
  <si>
    <t>keiko</t>
  </si>
  <si>
    <t>Keiko</t>
  </si>
  <si>
    <t>$KEI</t>
  </si>
  <si>
    <t>keisuke-inu</t>
  </si>
  <si>
    <t>Keisuke Inu</t>
  </si>
  <si>
    <t>KEKW</t>
  </si>
  <si>
    <t>kekwcoin</t>
  </si>
  <si>
    <t>Kekwcoin</t>
  </si>
  <si>
    <t>KEL</t>
  </si>
  <si>
    <t>kelvpn</t>
  </si>
  <si>
    <t>KelVPN</t>
  </si>
  <si>
    <t>KEMA</t>
  </si>
  <si>
    <t>kemacoin</t>
  </si>
  <si>
    <t>KemaCoin</t>
  </si>
  <si>
    <t>KENSHI</t>
  </si>
  <si>
    <t>kenshi</t>
  </si>
  <si>
    <t>Kenshi</t>
  </si>
  <si>
    <t>KPHI</t>
  </si>
  <si>
    <t>kephi-gallery</t>
  </si>
  <si>
    <t>Kephi Gallery</t>
  </si>
  <si>
    <t>452B</t>
  </si>
  <si>
    <t>kepler452b</t>
  </si>
  <si>
    <t>Kepler452b</t>
  </si>
  <si>
    <t>KMW</t>
  </si>
  <si>
    <t>kepler-network</t>
  </si>
  <si>
    <t>Kepler Network</t>
  </si>
  <si>
    <t>KERMAN</t>
  </si>
  <si>
    <t>kerman</t>
  </si>
  <si>
    <t>KERMIT</t>
  </si>
  <si>
    <t>kermit</t>
  </si>
  <si>
    <t>Kermit Finance</t>
  </si>
  <si>
    <t>KVA</t>
  </si>
  <si>
    <t>kevacoin</t>
  </si>
  <si>
    <t>Kevacoin</t>
  </si>
  <si>
    <t>KEY</t>
  </si>
  <si>
    <t>key</t>
  </si>
  <si>
    <t>Key</t>
  </si>
  <si>
    <t>KEC</t>
  </si>
  <si>
    <t>keyco</t>
  </si>
  <si>
    <t>Keyco</t>
  </si>
  <si>
    <t>KEYFI</t>
  </si>
  <si>
    <t>keyfi</t>
  </si>
  <si>
    <t>KeyFi</t>
  </si>
  <si>
    <t>KEN</t>
  </si>
  <si>
    <t>keysians-network</t>
  </si>
  <si>
    <t>Keysians Network</t>
  </si>
  <si>
    <t>KEYS</t>
  </si>
  <si>
    <t>keys-token</t>
  </si>
  <si>
    <t>Keys</t>
  </si>
  <si>
    <t>keyswap</t>
  </si>
  <si>
    <t>KeySwap</t>
  </si>
  <si>
    <t>TANGO</t>
  </si>
  <si>
    <t>keytango</t>
  </si>
  <si>
    <t>keyTango</t>
  </si>
  <si>
    <t>KFAN</t>
  </si>
  <si>
    <t>kfan-token</t>
  </si>
  <si>
    <t>KFan</t>
  </si>
  <si>
    <t>KHALIFA</t>
  </si>
  <si>
    <t>khalifa-finance</t>
  </si>
  <si>
    <t>Khalifa Finance</t>
  </si>
  <si>
    <t>KHAOS</t>
  </si>
  <si>
    <t>khaos-finance</t>
  </si>
  <si>
    <t>Khaos Finance</t>
  </si>
  <si>
    <t>XKI</t>
  </si>
  <si>
    <t>ki</t>
  </si>
  <si>
    <t>KI</t>
  </si>
  <si>
    <t>KIBA</t>
  </si>
  <si>
    <t>kiba-inu</t>
  </si>
  <si>
    <t>Kiba Inu</t>
  </si>
  <si>
    <t>KSC</t>
  </si>
  <si>
    <t>kibastablecapital</t>
  </si>
  <si>
    <t>KibaStableCapital</t>
  </si>
  <si>
    <t>KICH</t>
  </si>
  <si>
    <t>kichicoin</t>
  </si>
  <si>
    <t>KichiCoin</t>
  </si>
  <si>
    <t>KICK</t>
  </si>
  <si>
    <t>kick</t>
  </si>
  <si>
    <t>Kick</t>
  </si>
  <si>
    <t>kick-io</t>
  </si>
  <si>
    <t>KICK.IO</t>
  </si>
  <si>
    <t>KPAD</t>
  </si>
  <si>
    <t>kickpad</t>
  </si>
  <si>
    <t>KickPad</t>
  </si>
  <si>
    <t>KIKI</t>
  </si>
  <si>
    <t>kiki</t>
  </si>
  <si>
    <t>Kiki</t>
  </si>
  <si>
    <t>kiki-finance</t>
  </si>
  <si>
    <t>Kiki Finance</t>
  </si>
  <si>
    <t>KIK</t>
  </si>
  <si>
    <t>kikswap</t>
  </si>
  <si>
    <t>Kikswap</t>
  </si>
  <si>
    <t>KINU</t>
  </si>
  <si>
    <t>kiku-inu</t>
  </si>
  <si>
    <t>Kiku Inu</t>
  </si>
  <si>
    <t>KSW</t>
  </si>
  <si>
    <t>killswitch</t>
  </si>
  <si>
    <t>KillSwitch</t>
  </si>
  <si>
    <t>KTZ</t>
  </si>
  <si>
    <t>killthezero</t>
  </si>
  <si>
    <t>KILLTHEZERO</t>
  </si>
  <si>
    <t>KMPL</t>
  </si>
  <si>
    <t>kiloample</t>
  </si>
  <si>
    <t>KiloAmple</t>
  </si>
  <si>
    <t>kilo-shiba-inu</t>
  </si>
  <si>
    <t>Kilo Shiba Inu</t>
  </si>
  <si>
    <t>KILT</t>
  </si>
  <si>
    <t>kilt-protocol</t>
  </si>
  <si>
    <t>KILT Protocol</t>
  </si>
  <si>
    <t>KIMCHI</t>
  </si>
  <si>
    <t>kimchi-finance</t>
  </si>
  <si>
    <t>KIMCHI.finance</t>
  </si>
  <si>
    <t>KMX</t>
  </si>
  <si>
    <t>kimex</t>
  </si>
  <si>
    <t>KIMEX</t>
  </si>
  <si>
    <t>KIMJ</t>
  </si>
  <si>
    <t>kimjongmoon</t>
  </si>
  <si>
    <t>KimJongMoon</t>
  </si>
  <si>
    <t>KIN</t>
  </si>
  <si>
    <t>kin</t>
  </si>
  <si>
    <t>Kin</t>
  </si>
  <si>
    <t>KIND</t>
  </si>
  <si>
    <t>kind-ads-token</t>
  </si>
  <si>
    <t>kindcow-finance</t>
  </si>
  <si>
    <t>Kindcow Finance</t>
  </si>
  <si>
    <t>KFS G</t>
  </si>
  <si>
    <t>kindness-for-soul</t>
  </si>
  <si>
    <t>Kindness For Soul</t>
  </si>
  <si>
    <t>KKO</t>
  </si>
  <si>
    <t>kineko</t>
  </si>
  <si>
    <t>Kineko</t>
  </si>
  <si>
    <t>KINE</t>
  </si>
  <si>
    <t>kine-protocol</t>
  </si>
  <si>
    <t>Kine Protocol</t>
  </si>
  <si>
    <t>KNTC</t>
  </si>
  <si>
    <t>kinetic-money</t>
  </si>
  <si>
    <t>Kinetic Money</t>
  </si>
  <si>
    <t>KUST</t>
  </si>
  <si>
    <t>kinetic-synthetic-ust</t>
  </si>
  <si>
    <t>Kinetic Synthetic UST</t>
  </si>
  <si>
    <t>BKING</t>
  </si>
  <si>
    <t>king-arthur</t>
  </si>
  <si>
    <t>King Arthur</t>
  </si>
  <si>
    <t>KDOGE</t>
  </si>
  <si>
    <t>kingdoge</t>
  </si>
  <si>
    <t>KingDoge</t>
  </si>
  <si>
    <t>KINGDOGE</t>
  </si>
  <si>
    <t>kingdoge-token</t>
  </si>
  <si>
    <t>KingDoge Token</t>
  </si>
  <si>
    <t>KINGDOG</t>
  </si>
  <si>
    <t>king-dog-inu</t>
  </si>
  <si>
    <t>King Dog Inu</t>
  </si>
  <si>
    <t>KDG</t>
  </si>
  <si>
    <t>kingdom-game-4-0</t>
  </si>
  <si>
    <t>Kingdom Game 4.0</t>
  </si>
  <si>
    <t>KKT</t>
  </si>
  <si>
    <t>kingdom-karnage</t>
  </si>
  <si>
    <t>Kingdom Karnage</t>
  </si>
  <si>
    <t>KGC</t>
  </si>
  <si>
    <t>kingdom-quest</t>
  </si>
  <si>
    <t>Kingdom Quest</t>
  </si>
  <si>
    <t>kingdomswap</t>
  </si>
  <si>
    <t>Kingdomswap [OLD]</t>
  </si>
  <si>
    <t>KS2</t>
  </si>
  <si>
    <t>kingdomswap-2</t>
  </si>
  <si>
    <t>Kingdom Swap 2.0</t>
  </si>
  <si>
    <t>KT</t>
  </si>
  <si>
    <t>kingdomx</t>
  </si>
  <si>
    <t>KingdomX</t>
  </si>
  <si>
    <t>king-finance</t>
  </si>
  <si>
    <t>King Finance</t>
  </si>
  <si>
    <t>KFR</t>
  </si>
  <si>
    <t>king-forever</t>
  </si>
  <si>
    <t>KING FOREVER</t>
  </si>
  <si>
    <t>KIM</t>
  </si>
  <si>
    <t>king-money</t>
  </si>
  <si>
    <t>King Money</t>
  </si>
  <si>
    <t>KOP</t>
  </si>
  <si>
    <t>king-of-planets</t>
  </si>
  <si>
    <t>King of Planets</t>
  </si>
  <si>
    <t>KINGSHIBA</t>
  </si>
  <si>
    <t>king-of-shiba</t>
  </si>
  <si>
    <t>King of Shiba</t>
  </si>
  <si>
    <t>CROWN</t>
  </si>
  <si>
    <t>kingpad</t>
  </si>
  <si>
    <t>KingPad</t>
  </si>
  <si>
    <t>KRC</t>
  </si>
  <si>
    <t>king-rooster</t>
  </si>
  <si>
    <t>King Rooster</t>
  </si>
  <si>
    <t>KSAMO</t>
  </si>
  <si>
    <t>king-samo</t>
  </si>
  <si>
    <t>King Samo</t>
  </si>
  <si>
    <t>KSHARE</t>
  </si>
  <si>
    <t>king-share</t>
  </si>
  <si>
    <t>KING Share</t>
  </si>
  <si>
    <t>KINGSHIB</t>
  </si>
  <si>
    <t>king-shiba</t>
  </si>
  <si>
    <t>King Shiba</t>
  </si>
  <si>
    <t>kingspeed</t>
  </si>
  <si>
    <t>KingSpeed</t>
  </si>
  <si>
    <t>$KING</t>
  </si>
  <si>
    <t>king-swap</t>
  </si>
  <si>
    <t>King Swap</t>
  </si>
  <si>
    <t>KINGTAMA</t>
  </si>
  <si>
    <t>kingtama</t>
  </si>
  <si>
    <t>Kingtama</t>
  </si>
  <si>
    <t>KXC</t>
  </si>
  <si>
    <t>kingxchain</t>
  </si>
  <si>
    <t>KingXChain</t>
  </si>
  <si>
    <t>KINO</t>
  </si>
  <si>
    <t>kino</t>
  </si>
  <si>
    <t>Kino</t>
  </si>
  <si>
    <t>KINTA</t>
  </si>
  <si>
    <t>kintaman</t>
  </si>
  <si>
    <t>Kintaman</t>
  </si>
  <si>
    <t>KINT</t>
  </si>
  <si>
    <t>kintsugi</t>
  </si>
  <si>
    <t>Kintsugi</t>
  </si>
  <si>
    <t>KIRADOGE</t>
  </si>
  <si>
    <t>kiradoge-coin</t>
  </si>
  <si>
    <t>Kiradoge</t>
  </si>
  <si>
    <t>KEX</t>
  </si>
  <si>
    <t>kira-network</t>
  </si>
  <si>
    <t>KIRA Network</t>
  </si>
  <si>
    <t>KIRO</t>
  </si>
  <si>
    <t>kirobo</t>
  </si>
  <si>
    <t>Kirobo</t>
  </si>
  <si>
    <t>KISHIMOTO</t>
  </si>
  <si>
    <t>kishimoto-inu</t>
  </si>
  <si>
    <t>Kishimoto Inu</t>
  </si>
  <si>
    <t>KISHUBABY</t>
  </si>
  <si>
    <t>kishu-baby</t>
  </si>
  <si>
    <t>Kishu Baby</t>
  </si>
  <si>
    <t>KISHU</t>
  </si>
  <si>
    <t>kishu-inu</t>
  </si>
  <si>
    <t>Kishu Inu</t>
  </si>
  <si>
    <t>KISHUTAMA</t>
  </si>
  <si>
    <t>kishutama</t>
  </si>
  <si>
    <t>Kishutama</t>
  </si>
  <si>
    <t>KISSMYMOON</t>
  </si>
  <si>
    <t>kissmymoon</t>
  </si>
  <si>
    <t>KissMyMoon</t>
  </si>
  <si>
    <t>KTC</t>
  </si>
  <si>
    <t>kitcoin</t>
  </si>
  <si>
    <t>Kitcoin</t>
  </si>
  <si>
    <t>KITE</t>
  </si>
  <si>
    <t>kite-sync</t>
  </si>
  <si>
    <t>Kite Sync</t>
  </si>
  <si>
    <t>$KMC</t>
  </si>
  <si>
    <t>kitsumon</t>
  </si>
  <si>
    <t>Kitsumon</t>
  </si>
  <si>
    <t>KITTENS</t>
  </si>
  <si>
    <t>kitten-coin</t>
  </si>
  <si>
    <t>Kitten Coin</t>
  </si>
  <si>
    <t>KIF</t>
  </si>
  <si>
    <t>kittenfinance</t>
  </si>
  <si>
    <t>KittenFinance</t>
  </si>
  <si>
    <t>KAP</t>
  </si>
  <si>
    <t>kittens-puppies</t>
  </si>
  <si>
    <t>Kittens &amp; Puppies</t>
  </si>
  <si>
    <t>kitty</t>
  </si>
  <si>
    <t>Kitty</t>
  </si>
  <si>
    <t>kittycake</t>
  </si>
  <si>
    <t>KittyCake</t>
  </si>
  <si>
    <t>kittycoin</t>
  </si>
  <si>
    <t>Kitty Coin</t>
  </si>
  <si>
    <t>kitty-coin-solana</t>
  </si>
  <si>
    <t>Kitty Coin Solana</t>
  </si>
  <si>
    <t>kitty-finance</t>
  </si>
  <si>
    <t>Kitty Finance</t>
  </si>
  <si>
    <t>kitty-inu</t>
  </si>
  <si>
    <t>Kitty Inu</t>
  </si>
  <si>
    <t>KINJA</t>
  </si>
  <si>
    <t>kitty-ninja</t>
  </si>
  <si>
    <t>Kitty Ninja</t>
  </si>
  <si>
    <t>kitty-solana</t>
  </si>
  <si>
    <t>Kitty Solana</t>
  </si>
  <si>
    <t>KGO</t>
  </si>
  <si>
    <t>kiwigo</t>
  </si>
  <si>
    <t>Kiwigo</t>
  </si>
  <si>
    <t>KIWI</t>
  </si>
  <si>
    <t>kiwi-token</t>
  </si>
  <si>
    <t>KIWI Token</t>
  </si>
  <si>
    <t>LAY</t>
  </si>
  <si>
    <t>klaycity-lay007</t>
  </si>
  <si>
    <t>KlayCity Lay007</t>
  </si>
  <si>
    <t>ORB</t>
  </si>
  <si>
    <t>klaycity-orb</t>
  </si>
  <si>
    <t>KlayCity ORB</t>
  </si>
  <si>
    <t>KFI</t>
  </si>
  <si>
    <t>klayfi-finance</t>
  </si>
  <si>
    <t>KlayFi Finance</t>
  </si>
  <si>
    <t>META</t>
  </si>
  <si>
    <t>klaymeta</t>
  </si>
  <si>
    <t>Klaymeta</t>
  </si>
  <si>
    <t>klaymore-stakehouse</t>
  </si>
  <si>
    <t>Klaymore Stakehouse</t>
  </si>
  <si>
    <t>KSP</t>
  </si>
  <si>
    <t>klayswap-protocol</t>
  </si>
  <si>
    <t>KlaySwap Protocol</t>
  </si>
  <si>
    <t>KLAY</t>
  </si>
  <si>
    <t>klay-token</t>
  </si>
  <si>
    <t>Klaytn</t>
  </si>
  <si>
    <t>KLEAR</t>
  </si>
  <si>
    <t>klear-finance</t>
  </si>
  <si>
    <t>Klear Finance</t>
  </si>
  <si>
    <t>KLEE</t>
  </si>
  <si>
    <t>kleekai</t>
  </si>
  <si>
    <t>KleeKai</t>
  </si>
  <si>
    <t>KLT</t>
  </si>
  <si>
    <t>klend</t>
  </si>
  <si>
    <t>KLend</t>
  </si>
  <si>
    <t>PNK</t>
  </si>
  <si>
    <t>kleros</t>
  </si>
  <si>
    <t>Kleros</t>
  </si>
  <si>
    <t>KLV</t>
  </si>
  <si>
    <t>klever</t>
  </si>
  <si>
    <t>Klever</t>
  </si>
  <si>
    <t>klever-finance</t>
  </si>
  <si>
    <t>Klever Finance</t>
  </si>
  <si>
    <t>KLIMA</t>
  </si>
  <si>
    <t>klima-dao</t>
  </si>
  <si>
    <t>Klima DAO</t>
  </si>
  <si>
    <t>KTS</t>
  </si>
  <si>
    <t>klimatas</t>
  </si>
  <si>
    <t>Klimatas</t>
  </si>
  <si>
    <t>KLING</t>
  </si>
  <si>
    <t>kling</t>
  </si>
  <si>
    <t>Kling</t>
  </si>
  <si>
    <t>LIST</t>
  </si>
  <si>
    <t>klist-protocol</t>
  </si>
  <si>
    <t>KList Protocol</t>
  </si>
  <si>
    <t>KTV</t>
  </si>
  <si>
    <t>kmushicoin</t>
  </si>
  <si>
    <t>Kmushicoin</t>
  </si>
  <si>
    <t>KNT</t>
  </si>
  <si>
    <t>knekted</t>
  </si>
  <si>
    <t>Knekted</t>
  </si>
  <si>
    <t>KNIGHTS</t>
  </si>
  <si>
    <t>knights-of-fantom</t>
  </si>
  <si>
    <t>Knights of Fantom</t>
  </si>
  <si>
    <t>knights-peasants</t>
  </si>
  <si>
    <t>Knights &amp; Peasants</t>
  </si>
  <si>
    <t>knightswap</t>
  </si>
  <si>
    <t>KnightSwap</t>
  </si>
  <si>
    <t>KWS</t>
  </si>
  <si>
    <t>knight-war-spirits</t>
  </si>
  <si>
    <t>Knight War Spirits</t>
  </si>
  <si>
    <t>KFT</t>
  </si>
  <si>
    <t>knit-finance</t>
  </si>
  <si>
    <t>Knit Finance</t>
  </si>
  <si>
    <t>KYDC</t>
  </si>
  <si>
    <t>know-your-developer</t>
  </si>
  <si>
    <t>Know Your Developer</t>
  </si>
  <si>
    <t>KNX</t>
  </si>
  <si>
    <t>knoxedge</t>
  </si>
  <si>
    <t>KnoxEdge</t>
  </si>
  <si>
    <t>KFX</t>
  </si>
  <si>
    <t>knoxfs</t>
  </si>
  <si>
    <t>KnoxFS</t>
  </si>
  <si>
    <t>KOACOMBAT</t>
  </si>
  <si>
    <t>koakombat</t>
  </si>
  <si>
    <t>KoaKombat</t>
  </si>
  <si>
    <t>MKOALA</t>
  </si>
  <si>
    <t>koala-token</t>
  </si>
  <si>
    <t>Koala</t>
  </si>
  <si>
    <t>KOBO</t>
  </si>
  <si>
    <t>kobocoin</t>
  </si>
  <si>
    <t>Kobocoin</t>
  </si>
  <si>
    <t>KODA</t>
  </si>
  <si>
    <t>koda-finance</t>
  </si>
  <si>
    <t>Koda Cryptocurrency</t>
  </si>
  <si>
    <t>KODI</t>
  </si>
  <si>
    <t>kodi</t>
  </si>
  <si>
    <t>KOEL</t>
  </si>
  <si>
    <t>koel-coin</t>
  </si>
  <si>
    <t>Koel Coin</t>
  </si>
  <si>
    <t>KOGECOIN</t>
  </si>
  <si>
    <t>kogecoin</t>
  </si>
  <si>
    <t>KogeCoin</t>
  </si>
  <si>
    <t>KOIN</t>
  </si>
  <si>
    <t>koinon</t>
  </si>
  <si>
    <t>Koinon</t>
  </si>
  <si>
    <t>koinos</t>
  </si>
  <si>
    <t>Koinos</t>
  </si>
  <si>
    <t>KIC</t>
  </si>
  <si>
    <t>koisan</t>
  </si>
  <si>
    <t>Koisan</t>
  </si>
  <si>
    <t>KOJI</t>
  </si>
  <si>
    <t>koji</t>
  </si>
  <si>
    <t>Koji</t>
  </si>
  <si>
    <t>KOK</t>
  </si>
  <si>
    <t>kok</t>
  </si>
  <si>
    <t>koka-inu</t>
  </si>
  <si>
    <t>KOKA INU</t>
  </si>
  <si>
    <t>KOKOA</t>
  </si>
  <si>
    <t>kokoa-finance</t>
  </si>
  <si>
    <t>Kokoa Finance</t>
  </si>
  <si>
    <t>KSD</t>
  </si>
  <si>
    <t>kokoa-stable-dollar</t>
  </si>
  <si>
    <t>Kokoa Stable Dollar</t>
  </si>
  <si>
    <t>KOKO</t>
  </si>
  <si>
    <t>kokoswap</t>
  </si>
  <si>
    <t>KokoSwap</t>
  </si>
  <si>
    <t>kolibri-dao</t>
  </si>
  <si>
    <t>Kolibri DAO</t>
  </si>
  <si>
    <t>KOL</t>
  </si>
  <si>
    <t>kollect</t>
  </si>
  <si>
    <t>Kollect</t>
  </si>
  <si>
    <t>KLTR</t>
  </si>
  <si>
    <t>kollector</t>
  </si>
  <si>
    <t>Kollector</t>
  </si>
  <si>
    <t>KOLO</t>
  </si>
  <si>
    <t>kolo-market</t>
  </si>
  <si>
    <t>Kolo.Market</t>
  </si>
  <si>
    <t>KOT</t>
  </si>
  <si>
    <t>kols-offering-token</t>
  </si>
  <si>
    <t>Kols Offering</t>
  </si>
  <si>
    <t>KOMBAI</t>
  </si>
  <si>
    <t>kombai-inu</t>
  </si>
  <si>
    <t>Kombai Inu</t>
  </si>
  <si>
    <t>KOMET</t>
  </si>
  <si>
    <t>komet</t>
  </si>
  <si>
    <t>Komet</t>
  </si>
  <si>
    <t>KOM</t>
  </si>
  <si>
    <t>kommunitas</t>
  </si>
  <si>
    <t>Kommunitas</t>
  </si>
  <si>
    <t>KMD</t>
  </si>
  <si>
    <t>komodo</t>
  </si>
  <si>
    <t>Komodo</t>
  </si>
  <si>
    <t>KOMPETE</t>
  </si>
  <si>
    <t>kompete</t>
  </si>
  <si>
    <t>Kompete</t>
  </si>
  <si>
    <t>KNDX</t>
  </si>
  <si>
    <t>kondux</t>
  </si>
  <si>
    <t>Kondux</t>
  </si>
  <si>
    <t>KONGTAMA</t>
  </si>
  <si>
    <t>kongtama</t>
  </si>
  <si>
    <t>Kongtama</t>
  </si>
  <si>
    <t>KONJ</t>
  </si>
  <si>
    <t>konjungate</t>
  </si>
  <si>
    <t>KONJUNGATE</t>
  </si>
  <si>
    <t>KONO</t>
  </si>
  <si>
    <t>konomi-network</t>
  </si>
  <si>
    <t>Konomi Network</t>
  </si>
  <si>
    <t>KST</t>
  </si>
  <si>
    <t>konstrukt</t>
  </si>
  <si>
    <t>Konstrukt</t>
  </si>
  <si>
    <t>koreadoge</t>
  </si>
  <si>
    <t>Koreadoge</t>
  </si>
  <si>
    <t>KORI</t>
  </si>
  <si>
    <t>kori-inu</t>
  </si>
  <si>
    <t>Kori Inu</t>
  </si>
  <si>
    <t>KOROMARU</t>
  </si>
  <si>
    <t>koromaru</t>
  </si>
  <si>
    <t>KCLP</t>
  </si>
  <si>
    <t>korss-chain-launchpad</t>
  </si>
  <si>
    <t>Kross Chain Launchpad</t>
  </si>
  <si>
    <t>KOTO</t>
  </si>
  <si>
    <t>koto</t>
  </si>
  <si>
    <t>Koto</t>
  </si>
  <si>
    <t>KTO</t>
  </si>
  <si>
    <t>kounotori</t>
  </si>
  <si>
    <t>Kounotori</t>
  </si>
  <si>
    <t>KPOP</t>
  </si>
  <si>
    <t>kpop-coin</t>
  </si>
  <si>
    <t>KPOP Coin</t>
  </si>
  <si>
    <t>kragger-inu</t>
  </si>
  <si>
    <t>Kragger Inu</t>
  </si>
  <si>
    <t>KRZ</t>
  </si>
  <si>
    <t>kranz-token</t>
  </si>
  <si>
    <t>Kranz</t>
  </si>
  <si>
    <t>$KRAUSE</t>
  </si>
  <si>
    <t>krause</t>
  </si>
  <si>
    <t>KRAUSE</t>
  </si>
  <si>
    <t>KRED</t>
  </si>
  <si>
    <t>kred</t>
  </si>
  <si>
    <t>KRIDA</t>
  </si>
  <si>
    <t>krida-fans</t>
  </si>
  <si>
    <t>Krida Fans</t>
  </si>
  <si>
    <t>KRIGGER</t>
  </si>
  <si>
    <t>krigger</t>
  </si>
  <si>
    <t>Krigger</t>
  </si>
  <si>
    <t>KRILL</t>
  </si>
  <si>
    <t>krill</t>
  </si>
  <si>
    <t>Krill</t>
  </si>
  <si>
    <t>krios</t>
  </si>
  <si>
    <t>Krios</t>
  </si>
  <si>
    <t>KABA</t>
  </si>
  <si>
    <t>kripto-galaxy-battle</t>
  </si>
  <si>
    <t>Kripto Galaxy Battle</t>
  </si>
  <si>
    <t>KROM</t>
  </si>
  <si>
    <t>kromatika</t>
  </si>
  <si>
    <t>Kromatika</t>
  </si>
  <si>
    <t>KREX</t>
  </si>
  <si>
    <t>kronn</t>
  </si>
  <si>
    <t>Kronn</t>
  </si>
  <si>
    <t>KNB</t>
  </si>
  <si>
    <t>kronobit</t>
  </si>
  <si>
    <t>Kronobit</t>
  </si>
  <si>
    <t>KRONOS</t>
  </si>
  <si>
    <t>kronosdao</t>
  </si>
  <si>
    <t>KronosDao</t>
  </si>
  <si>
    <t>KRNO</t>
  </si>
  <si>
    <t>kronos-dao</t>
  </si>
  <si>
    <t>Kronos Dao</t>
  </si>
  <si>
    <t>KROOK</t>
  </si>
  <si>
    <t>krook-coin</t>
  </si>
  <si>
    <t>Krook Coin</t>
  </si>
  <si>
    <t>KROOT</t>
  </si>
  <si>
    <t>k-root-wallet</t>
  </si>
  <si>
    <t>K-Root Wallet</t>
  </si>
  <si>
    <t>KRW</t>
  </si>
  <si>
    <t>krown</t>
  </si>
  <si>
    <t>KROWN</t>
  </si>
  <si>
    <t>kryll</t>
  </si>
  <si>
    <t>KRYLL</t>
  </si>
  <si>
    <t>KRYPTO</t>
  </si>
  <si>
    <t>kryptobellion</t>
  </si>
  <si>
    <t>Kryptobellion</t>
  </si>
  <si>
    <t>KTY</t>
  </si>
  <si>
    <t>krypto-kitty</t>
  </si>
  <si>
    <t>Krypto Kitty</t>
  </si>
  <si>
    <t>KMON</t>
  </si>
  <si>
    <t>kryptomon</t>
  </si>
  <si>
    <t>Kryptomon</t>
  </si>
  <si>
    <t>KRD</t>
  </si>
  <si>
    <t>krypton-dao</t>
  </si>
  <si>
    <t>Krypton DAO</t>
  </si>
  <si>
    <t>krypton-token</t>
  </si>
  <si>
    <t>Krypton Galaxy Coin</t>
  </si>
  <si>
    <t>KPETS</t>
  </si>
  <si>
    <t>kryptopets</t>
  </si>
  <si>
    <t>KryptoPets</t>
  </si>
  <si>
    <t>KXA</t>
  </si>
  <si>
    <t>kryxivia-game</t>
  </si>
  <si>
    <t>Kryxivia Game</t>
  </si>
  <si>
    <t>KRX</t>
  </si>
  <si>
    <t>kryza-exchange</t>
  </si>
  <si>
    <t>KRYZA Exchange</t>
  </si>
  <si>
    <t>KRN</t>
  </si>
  <si>
    <t>kryza-network</t>
  </si>
  <si>
    <t>KRYZA Network</t>
  </si>
  <si>
    <t>ksm-starter</t>
  </si>
  <si>
    <t>Karus Starter</t>
  </si>
  <si>
    <t>kstarcoin</t>
  </si>
  <si>
    <t>KStarCoin</t>
  </si>
  <si>
    <t>KTT</t>
  </si>
  <si>
    <t>k-tune</t>
  </si>
  <si>
    <t>K-Tune</t>
  </si>
  <si>
    <t>kuaitoken</t>
  </si>
  <si>
    <t>Kuai Token</t>
  </si>
  <si>
    <t>kuber-finance</t>
  </si>
  <si>
    <t>Kuber Finance</t>
  </si>
  <si>
    <t>KUBIC</t>
  </si>
  <si>
    <t>kubic</t>
  </si>
  <si>
    <t>Kubic</t>
  </si>
  <si>
    <t>kucoin-shares</t>
  </si>
  <si>
    <t>KUDO</t>
  </si>
  <si>
    <t>kudoge</t>
  </si>
  <si>
    <t>KuDoge</t>
  </si>
  <si>
    <t>KUE</t>
  </si>
  <si>
    <t>kuende</t>
  </si>
  <si>
    <t>Kuende</t>
  </si>
  <si>
    <t>KUJI</t>
  </si>
  <si>
    <t>kujira</t>
  </si>
  <si>
    <t>Kujira</t>
  </si>
  <si>
    <t>KUKY</t>
  </si>
  <si>
    <t>kuky-star</t>
  </si>
  <si>
    <t>Kuky Star</t>
  </si>
  <si>
    <t>KLP</t>
  </si>
  <si>
    <t>kulupu</t>
  </si>
  <si>
    <t>Kulupu</t>
  </si>
  <si>
    <t>KUMA</t>
  </si>
  <si>
    <t>kuma-inu</t>
  </si>
  <si>
    <t>Kuma Inu</t>
  </si>
  <si>
    <t>KUNAI</t>
  </si>
  <si>
    <t>kunaiinu</t>
  </si>
  <si>
    <t>KunaiInu</t>
  </si>
  <si>
    <t>KUNCI</t>
  </si>
  <si>
    <t>kunci-coin</t>
  </si>
  <si>
    <t>Kunci Coin</t>
  </si>
  <si>
    <t>KUNO</t>
  </si>
  <si>
    <t>kunoichix</t>
  </si>
  <si>
    <t>KunoichiX</t>
  </si>
  <si>
    <t>KURAI</t>
  </si>
  <si>
    <t>kurai-inu</t>
  </si>
  <si>
    <t>Kurai Inu</t>
  </si>
  <si>
    <t>KUNU</t>
  </si>
  <si>
    <t>kuramainu</t>
  </si>
  <si>
    <t>KuramaInu</t>
  </si>
  <si>
    <t>KURO</t>
  </si>
  <si>
    <t>kurobi</t>
  </si>
  <si>
    <t>Kurobi</t>
  </si>
  <si>
    <t>kuro-shiba</t>
  </si>
  <si>
    <t>Kuro Shiba</t>
  </si>
  <si>
    <t>KURT</t>
  </si>
  <si>
    <t>kurrent</t>
  </si>
  <si>
    <t>Kurrent</t>
  </si>
  <si>
    <t>KSM</t>
  </si>
  <si>
    <t>kusama</t>
  </si>
  <si>
    <t>Kusama</t>
  </si>
  <si>
    <t>KUSD-T</t>
  </si>
  <si>
    <t>kusd-t</t>
  </si>
  <si>
    <t>KSEED</t>
  </si>
  <si>
    <t>kush-finance</t>
  </si>
  <si>
    <t>Kush Finance</t>
  </si>
  <si>
    <t>KUSUNOKI</t>
  </si>
  <si>
    <t>kusunoki-samurai</t>
  </si>
  <si>
    <t>Kusunoki Samurai</t>
  </si>
  <si>
    <t>KUS</t>
  </si>
  <si>
    <t>kuswap</t>
  </si>
  <si>
    <t>KuSwap</t>
  </si>
  <si>
    <t>KUV</t>
  </si>
  <si>
    <t>kuverit</t>
  </si>
  <si>
    <t>Kuverit</t>
  </si>
  <si>
    <t>KTX</t>
  </si>
  <si>
    <t>kwiktrust</t>
  </si>
  <si>
    <t>KwikTrust</t>
  </si>
  <si>
    <t>KYAN</t>
  </si>
  <si>
    <t>kyanite</t>
  </si>
  <si>
    <t>Kyanite</t>
  </si>
  <si>
    <t>KBD</t>
  </si>
  <si>
    <t>kyberdyne</t>
  </si>
  <si>
    <t>Kyberdyne</t>
  </si>
  <si>
    <t>KNCL</t>
  </si>
  <si>
    <t>kyber-network</t>
  </si>
  <si>
    <t>Kyber Network Crystal Legacy</t>
  </si>
  <si>
    <t>KNC</t>
  </si>
  <si>
    <t>kyber-network-crystal</t>
  </si>
  <si>
    <t>Kyber Network Crystal</t>
  </si>
  <si>
    <t>KYCC</t>
  </si>
  <si>
    <t>kyccoin</t>
  </si>
  <si>
    <t>KYCCOIN</t>
  </si>
  <si>
    <t>KYL</t>
  </si>
  <si>
    <t>kylin-network</t>
  </si>
  <si>
    <t>Kylin Network</t>
  </si>
  <si>
    <t>KYOKO</t>
  </si>
  <si>
    <t>kyoko</t>
  </si>
  <si>
    <t>Kyoko</t>
  </si>
  <si>
    <t>KRRX</t>
  </si>
  <si>
    <t>kyrrex</t>
  </si>
  <si>
    <t>Kyrrex</t>
  </si>
  <si>
    <t>KTE</t>
  </si>
  <si>
    <t>kyte-one</t>
  </si>
  <si>
    <t>Kyte.One</t>
  </si>
  <si>
    <t>KZC</t>
  </si>
  <si>
    <t>kzcash</t>
  </si>
  <si>
    <t>Kzcash</t>
  </si>
  <si>
    <t>L2PAD</t>
  </si>
  <si>
    <t>l2pad</t>
  </si>
  <si>
    <t>LBL</t>
  </si>
  <si>
    <t>label-foundation</t>
  </si>
  <si>
    <t>LABEL Foundation</t>
  </si>
  <si>
    <t>LABRA</t>
  </si>
  <si>
    <t>labracoin</t>
  </si>
  <si>
    <t>LabraCoin</t>
  </si>
  <si>
    <t>LABS</t>
  </si>
  <si>
    <t>labs-group</t>
  </si>
  <si>
    <t>LCDP</t>
  </si>
  <si>
    <t>la-casa-de-papel</t>
  </si>
  <si>
    <t>La Casa De Papel</t>
  </si>
  <si>
    <t>LNT</t>
  </si>
  <si>
    <t>laconic-network-token</t>
  </si>
  <si>
    <t>Laconic Network</t>
  </si>
  <si>
    <t>LAC</t>
  </si>
  <si>
    <t>lacucina</t>
  </si>
  <si>
    <t>LaCucina</t>
  </si>
  <si>
    <t>LADA</t>
  </si>
  <si>
    <t>laddercaster</t>
  </si>
  <si>
    <t>LadderCaster</t>
  </si>
  <si>
    <t>LDDP</t>
  </si>
  <si>
    <t>la-doge-de-papel</t>
  </si>
  <si>
    <t>La Doge de Papel</t>
  </si>
  <si>
    <t>YTTRIUM</t>
  </si>
  <si>
    <t>ladyminers</t>
  </si>
  <si>
    <t>Ladyminers</t>
  </si>
  <si>
    <t>LUNI</t>
  </si>
  <si>
    <t>lady-uni</t>
  </si>
  <si>
    <t>Lady Uni</t>
  </si>
  <si>
    <t>LADZ</t>
  </si>
  <si>
    <t>ladz</t>
  </si>
  <si>
    <t>LAIKA</t>
  </si>
  <si>
    <t>laikacoin</t>
  </si>
  <si>
    <t>LaikaCoin</t>
  </si>
  <si>
    <t>laika-protocol</t>
  </si>
  <si>
    <t>Laika Protocol</t>
  </si>
  <si>
    <t>LAMB</t>
  </si>
  <si>
    <t>lambda</t>
  </si>
  <si>
    <t>Lambda</t>
  </si>
  <si>
    <t>LAMBO</t>
  </si>
  <si>
    <t>lambo</t>
  </si>
  <si>
    <t>Lambo</t>
  </si>
  <si>
    <t>lamden</t>
  </si>
  <si>
    <t>Lamden</t>
  </si>
  <si>
    <t>LANA</t>
  </si>
  <si>
    <t>lanacoin</t>
  </si>
  <si>
    <t>LanaCoin</t>
  </si>
  <si>
    <t>LANC</t>
  </si>
  <si>
    <t>lanceria</t>
  </si>
  <si>
    <t>Lanceria</t>
  </si>
  <si>
    <t>LOR</t>
  </si>
  <si>
    <t>land-of-realm</t>
  </si>
  <si>
    <t>Land of Realm</t>
  </si>
  <si>
    <t>LORC</t>
  </si>
  <si>
    <t>landorc</t>
  </si>
  <si>
    <t>LandOrc</t>
  </si>
  <si>
    <t>LAND</t>
  </si>
  <si>
    <t>landshare</t>
  </si>
  <si>
    <t>Landshare</t>
  </si>
  <si>
    <t>LVMH</t>
  </si>
  <si>
    <t>landverse</t>
  </si>
  <si>
    <t>Landverse</t>
  </si>
  <si>
    <t>PTA</t>
  </si>
  <si>
    <t>la-peseta</t>
  </si>
  <si>
    <t>La Peseta</t>
  </si>
  <si>
    <t>LQR</t>
  </si>
  <si>
    <t>laqira-protocol</t>
  </si>
  <si>
    <t>Laqira Protocol</t>
  </si>
  <si>
    <t>LRG</t>
  </si>
  <si>
    <t>largo-coin</t>
  </si>
  <si>
    <t>Largo Coin</t>
  </si>
  <si>
    <t>LARIX</t>
  </si>
  <si>
    <t>larix</t>
  </si>
  <si>
    <t>Larix</t>
  </si>
  <si>
    <t>LSR</t>
  </si>
  <si>
    <t>lasereyes</t>
  </si>
  <si>
    <t>LaserEyes</t>
  </si>
  <si>
    <t>LASEREYES</t>
  </si>
  <si>
    <t>laser-eyes</t>
  </si>
  <si>
    <t>Laser Eyes</t>
  </si>
  <si>
    <t>LASSO</t>
  </si>
  <si>
    <t>lassocoin</t>
  </si>
  <si>
    <t>LassoCoin</t>
  </si>
  <si>
    <t>LSC</t>
  </si>
  <si>
    <t>last-survivor</t>
  </si>
  <si>
    <t>Last Survivor</t>
  </si>
  <si>
    <t>LMCH</t>
  </si>
  <si>
    <t>latamcash</t>
  </si>
  <si>
    <t>Latamcash</t>
  </si>
  <si>
    <t>LATX</t>
  </si>
  <si>
    <t>latiumx</t>
  </si>
  <si>
    <t>LatiumX</t>
  </si>
  <si>
    <t>LA</t>
  </si>
  <si>
    <t>latoken</t>
  </si>
  <si>
    <t>LATTE</t>
  </si>
  <si>
    <t>latteswap</t>
  </si>
  <si>
    <t>LatteSwap</t>
  </si>
  <si>
    <t>LTX</t>
  </si>
  <si>
    <t>lattice-token</t>
  </si>
  <si>
    <t>LBP</t>
  </si>
  <si>
    <t>launchblock</t>
  </si>
  <si>
    <t>LaunchBlock</t>
  </si>
  <si>
    <t>MYNFT</t>
  </si>
  <si>
    <t>launchmynft</t>
  </si>
  <si>
    <t>LaunchMyNFT</t>
  </si>
  <si>
    <t>LPOOL</t>
  </si>
  <si>
    <t>launchpool</t>
  </si>
  <si>
    <t>Launchpool</t>
  </si>
  <si>
    <t>WALL</t>
  </si>
  <si>
    <t>launchwall</t>
  </si>
  <si>
    <t>LaunchWall</t>
  </si>
  <si>
    <t>LZ</t>
  </si>
  <si>
    <t>launchzone</t>
  </si>
  <si>
    <t>LaunchZone</t>
  </si>
  <si>
    <t>LSCN</t>
  </si>
  <si>
    <t>laurus-coin</t>
  </si>
  <si>
    <t>Laurus Coin</t>
  </si>
  <si>
    <t>LAVA</t>
  </si>
  <si>
    <t>lavacake-finance</t>
  </si>
  <si>
    <t>LavaCake Finance</t>
  </si>
  <si>
    <t>lavaswap</t>
  </si>
  <si>
    <t>Lavaswap</t>
  </si>
  <si>
    <t>LAVAX</t>
  </si>
  <si>
    <t>lavax-labs</t>
  </si>
  <si>
    <t>LavaX Labs</t>
  </si>
  <si>
    <t>LAW</t>
  </si>
  <si>
    <t>law</t>
  </si>
  <si>
    <t>law-token</t>
  </si>
  <si>
    <t>Law Token</t>
  </si>
  <si>
    <t>L2DAO</t>
  </si>
  <si>
    <t>layer2dao</t>
  </si>
  <si>
    <t>Layer2DAO</t>
  </si>
  <si>
    <t>LAZIO</t>
  </si>
  <si>
    <t>lazio-fan-token</t>
  </si>
  <si>
    <t>Lazio Fan Token</t>
  </si>
  <si>
    <t>LAZYDOGE</t>
  </si>
  <si>
    <t>lazydoge</t>
  </si>
  <si>
    <t>LazyDoge</t>
  </si>
  <si>
    <t>LHRC</t>
  </si>
  <si>
    <t>lazy-horse-race-club</t>
  </si>
  <si>
    <t>Lazy Horse Race Club</t>
  </si>
  <si>
    <t>LAZY</t>
  </si>
  <si>
    <t>lazymint</t>
  </si>
  <si>
    <t>LazyMint</t>
  </si>
  <si>
    <t>LAZYSHIBA</t>
  </si>
  <si>
    <t>lazy-shiba</t>
  </si>
  <si>
    <t>Lazy Shiba</t>
  </si>
  <si>
    <t>LBK</t>
  </si>
  <si>
    <t>lbk</t>
  </si>
  <si>
    <t>LBC</t>
  </si>
  <si>
    <t>lbry-credits</t>
  </si>
  <si>
    <t>LBRY Credits</t>
  </si>
  <si>
    <t>LCG</t>
  </si>
  <si>
    <t>lcg</t>
  </si>
  <si>
    <t>LCMS</t>
  </si>
  <si>
    <t>lcms</t>
  </si>
  <si>
    <t>LCX</t>
  </si>
  <si>
    <t>lcx</t>
  </si>
  <si>
    <t>LEAD</t>
  </si>
  <si>
    <t>lead-token</t>
  </si>
  <si>
    <t>LEAF</t>
  </si>
  <si>
    <t>leafcoin</t>
  </si>
  <si>
    <t>Leafcoin</t>
  </si>
  <si>
    <t>LEAG</t>
  </si>
  <si>
    <t>leaguedao-governance-token</t>
  </si>
  <si>
    <t>LeagueDAO Governance</t>
  </si>
  <si>
    <t>LOA</t>
  </si>
  <si>
    <t>league-of-ancients</t>
  </si>
  <si>
    <t>League of Ancients</t>
  </si>
  <si>
    <t>LOE</t>
  </si>
  <si>
    <t>league-of-empires</t>
  </si>
  <si>
    <t>League of Empires</t>
  </si>
  <si>
    <t>LOKA</t>
  </si>
  <si>
    <t>league-of-kingdoms</t>
  </si>
  <si>
    <t>League of Kingdoms</t>
  </si>
  <si>
    <t>LOZ</t>
  </si>
  <si>
    <t>league-of-zodiacs</t>
  </si>
  <si>
    <t>League of Zodiacs</t>
  </si>
  <si>
    <t>LEAN</t>
  </si>
  <si>
    <t>lean</t>
  </si>
  <si>
    <t>Lean</t>
  </si>
  <si>
    <t>lean-management-token</t>
  </si>
  <si>
    <t>Lean Management</t>
  </si>
  <si>
    <t>LEA</t>
  </si>
  <si>
    <t>leapableio</t>
  </si>
  <si>
    <t>LeapableIO</t>
  </si>
  <si>
    <t>EAD</t>
  </si>
  <si>
    <t>learning-cash</t>
  </si>
  <si>
    <t>Learning Cash</t>
  </si>
  <si>
    <t>LSH</t>
  </si>
  <si>
    <t>leasehold</t>
  </si>
  <si>
    <t>Leasehold</t>
  </si>
  <si>
    <t>LEASH</t>
  </si>
  <si>
    <t>leash</t>
  </si>
  <si>
    <t>Doge Killer</t>
  </si>
  <si>
    <t>LECLIENTE</t>
  </si>
  <si>
    <t>le-caliente</t>
  </si>
  <si>
    <t>LE CALIENTE</t>
  </si>
  <si>
    <t>LED</t>
  </si>
  <si>
    <t>ledgerscore</t>
  </si>
  <si>
    <t>LedgerScore</t>
  </si>
  <si>
    <t>ledgis</t>
  </si>
  <si>
    <t>Ledgis</t>
  </si>
  <si>
    <t>LTY</t>
  </si>
  <si>
    <t>ledgity</t>
  </si>
  <si>
    <t>Ledgity</t>
  </si>
  <si>
    <t>LUFC</t>
  </si>
  <si>
    <t>leeds-united-fan-token</t>
  </si>
  <si>
    <t>Leeds United Fan Token</t>
  </si>
  <si>
    <t>LEEK</t>
  </si>
  <si>
    <t>leek-token</t>
  </si>
  <si>
    <t>Leek</t>
  </si>
  <si>
    <t>legal-block</t>
  </si>
  <si>
    <t>Legal Block</t>
  </si>
  <si>
    <t>LGND</t>
  </si>
  <si>
    <t>legendaryum</t>
  </si>
  <si>
    <t>Legendaryum</t>
  </si>
  <si>
    <t>LFW</t>
  </si>
  <si>
    <t>legend-of-fantasy-war</t>
  </si>
  <si>
    <t>Legend of Fantasy War</t>
  </si>
  <si>
    <t>MITA</t>
  </si>
  <si>
    <t>legends-of-mitra</t>
  </si>
  <si>
    <t>Legends of Mitra</t>
  </si>
  <si>
    <t>MORE</t>
  </si>
  <si>
    <t>legends-room</t>
  </si>
  <si>
    <t>More Coin</t>
  </si>
  <si>
    <t>LEG</t>
  </si>
  <si>
    <t>legia-warsaw-fan-token</t>
  </si>
  <si>
    <t>Legia Warsaw Fan Token</t>
  </si>
  <si>
    <t>LGO</t>
  </si>
  <si>
    <t>legiodao</t>
  </si>
  <si>
    <t>LegioDAO</t>
  </si>
  <si>
    <t>LGX</t>
  </si>
  <si>
    <t>legion-network</t>
  </si>
  <si>
    <t>Legion Network</t>
  </si>
  <si>
    <t>LEGO</t>
  </si>
  <si>
    <t>lego-coin</t>
  </si>
  <si>
    <t>Lego Coin</t>
  </si>
  <si>
    <t>legolas-exchange</t>
  </si>
  <si>
    <t>LPY</t>
  </si>
  <si>
    <t>leisurepay</t>
  </si>
  <si>
    <t>LeisurePay</t>
  </si>
  <si>
    <t>LEMO</t>
  </si>
  <si>
    <t>lemochain</t>
  </si>
  <si>
    <t>LemoChain</t>
  </si>
  <si>
    <t>LMN</t>
  </si>
  <si>
    <t>lemon</t>
  </si>
  <si>
    <t>Lemon</t>
  </si>
  <si>
    <t>LBET</t>
  </si>
  <si>
    <t>lemon-bet</t>
  </si>
  <si>
    <t>Lemon Bet</t>
  </si>
  <si>
    <t>LEMC</t>
  </si>
  <si>
    <t>lemonchain</t>
  </si>
  <si>
    <t>LemonChain</t>
  </si>
  <si>
    <t>LEMD</t>
  </si>
  <si>
    <t>lemond</t>
  </si>
  <si>
    <t>Lemond</t>
  </si>
  <si>
    <t>lemonn-token</t>
  </si>
  <si>
    <t>Lemonn</t>
  </si>
  <si>
    <t>LEMN</t>
  </si>
  <si>
    <t>lemon-token</t>
  </si>
  <si>
    <t>Crypto Lemon</t>
  </si>
  <si>
    <t>LENDA</t>
  </si>
  <si>
    <t>lenda</t>
  </si>
  <si>
    <t>Lenda</t>
  </si>
  <si>
    <t>LDFI</t>
  </si>
  <si>
    <t>lendefi</t>
  </si>
  <si>
    <t>Lendefi</t>
  </si>
  <si>
    <t>LFT</t>
  </si>
  <si>
    <t>lend-flare-dao-token</t>
  </si>
  <si>
    <t>Lend Flare Dao</t>
  </si>
  <si>
    <t>LHB</t>
  </si>
  <si>
    <t>lendhub</t>
  </si>
  <si>
    <t>Lendhub</t>
  </si>
  <si>
    <t>LND</t>
  </si>
  <si>
    <t>lendingblock</t>
  </si>
  <si>
    <t>Lendingblock</t>
  </si>
  <si>
    <t>LST</t>
  </si>
  <si>
    <t>lendroid-support-token</t>
  </si>
  <si>
    <t>Lendroid Support Token</t>
  </si>
  <si>
    <t>leo</t>
  </si>
  <si>
    <t>Leo</t>
  </si>
  <si>
    <t>LEOS</t>
  </si>
  <si>
    <t>leonicorn-swap</t>
  </si>
  <si>
    <t>Leonicorn Swap</t>
  </si>
  <si>
    <t>leonidas</t>
  </si>
  <si>
    <t>Leonidas</t>
  </si>
  <si>
    <t>LEONIDAS</t>
  </si>
  <si>
    <t>leonidas-token</t>
  </si>
  <si>
    <t>Leonidas Token</t>
  </si>
  <si>
    <t>LEON</t>
  </si>
  <si>
    <t>leon-token</t>
  </si>
  <si>
    <t>Leonicorn LEON</t>
  </si>
  <si>
    <t>LEOPARD</t>
  </si>
  <si>
    <t>leopard</t>
  </si>
  <si>
    <t>Leopard</t>
  </si>
  <si>
    <t>leo-token</t>
  </si>
  <si>
    <t>LEPA</t>
  </si>
  <si>
    <t>lepasa</t>
  </si>
  <si>
    <t>Lepasa</t>
  </si>
  <si>
    <t>LEP</t>
  </si>
  <si>
    <t>leprechaun-finance</t>
  </si>
  <si>
    <t>Leprechaun Finance</t>
  </si>
  <si>
    <t>L3P</t>
  </si>
  <si>
    <t>lepricon</t>
  </si>
  <si>
    <t>Lepricon</t>
  </si>
  <si>
    <t>leslar-metaverse</t>
  </si>
  <si>
    <t>LESLAR Metaverse</t>
  </si>
  <si>
    <t>LESS</t>
  </si>
  <si>
    <t>less-network</t>
  </si>
  <si>
    <t>Less Network</t>
  </si>
  <si>
    <t>LCS</t>
  </si>
  <si>
    <t>letcoinshop</t>
  </si>
  <si>
    <t>LetCoinShop</t>
  </si>
  <si>
    <t>LTHN</t>
  </si>
  <si>
    <t>lethean</t>
  </si>
  <si>
    <t>Lethean</t>
  </si>
  <si>
    <t>LIR</t>
  </si>
  <si>
    <t>letitride</t>
  </si>
  <si>
    <t>LetItRide</t>
  </si>
  <si>
    <t>LETSGO</t>
  </si>
  <si>
    <t>lets-go-brandon</t>
  </si>
  <si>
    <t>Lets Go Brandon</t>
  </si>
  <si>
    <t>LGF</t>
  </si>
  <si>
    <t>lets-go-farming</t>
  </si>
  <si>
    <t>Let's Go Farming</t>
  </si>
  <si>
    <t>LEV</t>
  </si>
  <si>
    <t>levante-ud-fan-token</t>
  </si>
  <si>
    <t>Levante U.D. Fan Token</t>
  </si>
  <si>
    <t>LVL</t>
  </si>
  <si>
    <t>levelapp</t>
  </si>
  <si>
    <t>LevelApp</t>
  </si>
  <si>
    <t>LEVELG</t>
  </si>
  <si>
    <t>levelg</t>
  </si>
  <si>
    <t>LVLUP</t>
  </si>
  <si>
    <t>levelup-gaming</t>
  </si>
  <si>
    <t>LevelUp Gaming</t>
  </si>
  <si>
    <t>LEVEN</t>
  </si>
  <si>
    <t>leven</t>
  </si>
  <si>
    <t>Leven</t>
  </si>
  <si>
    <t>L2</t>
  </si>
  <si>
    <t>leverj-gluon</t>
  </si>
  <si>
    <t>Leverj Gluon</t>
  </si>
  <si>
    <t>lever-network</t>
  </si>
  <si>
    <t>Lever Network</t>
  </si>
  <si>
    <t>LEVIN</t>
  </si>
  <si>
    <t>levin</t>
  </si>
  <si>
    <t>Levin</t>
  </si>
  <si>
    <t>LEVL</t>
  </si>
  <si>
    <t>levolution</t>
  </si>
  <si>
    <t>Levolution</t>
  </si>
  <si>
    <t>LEXI</t>
  </si>
  <si>
    <t>lexit-2</t>
  </si>
  <si>
    <t>LEXIT</t>
  </si>
  <si>
    <t>LGCY</t>
  </si>
  <si>
    <t>lgcy-network</t>
  </si>
  <si>
    <t>LGCY Network</t>
  </si>
  <si>
    <t>LHCOIN</t>
  </si>
  <si>
    <t>lhcoin</t>
  </si>
  <si>
    <t>LHCoin</t>
  </si>
  <si>
    <t>libartysharetoken</t>
  </si>
  <si>
    <t>libcoin</t>
  </si>
  <si>
    <t>Libcoin</t>
  </si>
  <si>
    <t>LBR</t>
  </si>
  <si>
    <t>liber-coin</t>
  </si>
  <si>
    <t>LIBER COIN</t>
  </si>
  <si>
    <t>LIBERO</t>
  </si>
  <si>
    <t>libero-financial</t>
  </si>
  <si>
    <t>Libero Financial</t>
  </si>
  <si>
    <t>LIBERTAS</t>
  </si>
  <si>
    <t>libertas-token</t>
  </si>
  <si>
    <t>LIBFX</t>
  </si>
  <si>
    <t>libfx</t>
  </si>
  <si>
    <t>Libfx</t>
  </si>
  <si>
    <t>LBY</t>
  </si>
  <si>
    <t>libonomy</t>
  </si>
  <si>
    <t>Libonomy</t>
  </si>
  <si>
    <t>LC</t>
  </si>
  <si>
    <t>libra-2</t>
  </si>
  <si>
    <t>Libra</t>
  </si>
  <si>
    <t>LBA</t>
  </si>
  <si>
    <t>libra-credit</t>
  </si>
  <si>
    <t>LibraToken</t>
  </si>
  <si>
    <t>LIBRE</t>
  </si>
  <si>
    <t>libre-defi</t>
  </si>
  <si>
    <t>Libre DeFi</t>
  </si>
  <si>
    <t>LIBREF</t>
  </si>
  <si>
    <t>librefreelencer</t>
  </si>
  <si>
    <t>LibreFreelencer</t>
  </si>
  <si>
    <t>librium-tech</t>
  </si>
  <si>
    <t>Librium Tech</t>
  </si>
  <si>
    <t>lichang</t>
  </si>
  <si>
    <t>Lichang</t>
  </si>
  <si>
    <t>LDO</t>
  </si>
  <si>
    <t>lido-dao</t>
  </si>
  <si>
    <t>Lido DAO</t>
  </si>
  <si>
    <t>lido-dao-wormhole</t>
  </si>
  <si>
    <t>Lido DAO (Wormhole)</t>
  </si>
  <si>
    <t>lido-staked-ether-wormhole</t>
  </si>
  <si>
    <t>Lido Staked Ether (Wormhole)</t>
  </si>
  <si>
    <t>STMATIC</t>
  </si>
  <si>
    <t>lido-staked-matic</t>
  </si>
  <si>
    <t>Lido Staked Matic</t>
  </si>
  <si>
    <t>STSOL</t>
  </si>
  <si>
    <t>lido-staked-sol</t>
  </si>
  <si>
    <t>Lido Staked SOL</t>
  </si>
  <si>
    <t>LIEN</t>
  </si>
  <si>
    <t>lien</t>
  </si>
  <si>
    <t>Lien</t>
  </si>
  <si>
    <t>LIFEBIRD</t>
  </si>
  <si>
    <t>lifebird</t>
  </si>
  <si>
    <t>LFC</t>
  </si>
  <si>
    <t>life-coin</t>
  </si>
  <si>
    <t>Life Coin</t>
  </si>
  <si>
    <t>life-crypto</t>
  </si>
  <si>
    <t>Life Crypto</t>
  </si>
  <si>
    <t>LF</t>
  </si>
  <si>
    <t>life-dao</t>
  </si>
  <si>
    <t>Life DAO</t>
  </si>
  <si>
    <t>lifetime</t>
  </si>
  <si>
    <t>Lifetime</t>
  </si>
  <si>
    <t>lifetise</t>
  </si>
  <si>
    <t>Lifetise</t>
  </si>
  <si>
    <t>LTNV2</t>
  </si>
  <si>
    <t>life-token-v2</t>
  </si>
  <si>
    <t>Life v2</t>
  </si>
  <si>
    <t>LFNTY</t>
  </si>
  <si>
    <t>lifinity</t>
  </si>
  <si>
    <t>Lifinity</t>
  </si>
  <si>
    <t>LBCC</t>
  </si>
  <si>
    <t>lightbeam-courier-coin</t>
  </si>
  <si>
    <t>Lightbeam Courier Coin</t>
  </si>
  <si>
    <t>LHC</t>
  </si>
  <si>
    <t>lightcoin</t>
  </si>
  <si>
    <t>Lightcoin</t>
  </si>
  <si>
    <t>LIGHT</t>
  </si>
  <si>
    <t>light-defi</t>
  </si>
  <si>
    <t>Light Defi</t>
  </si>
  <si>
    <t>LIC</t>
  </si>
  <si>
    <t>lightening-cash</t>
  </si>
  <si>
    <t>Lightening Cash</t>
  </si>
  <si>
    <t>LTFG</t>
  </si>
  <si>
    <t>lightforge</t>
  </si>
  <si>
    <t>Lightforge</t>
  </si>
  <si>
    <t>LBTC</t>
  </si>
  <si>
    <t>lightning-bitcoin</t>
  </si>
  <si>
    <t>Lightning Bitcoin</t>
  </si>
  <si>
    <t>lightningcoin</t>
  </si>
  <si>
    <t>LightningCoin</t>
  </si>
  <si>
    <t>lightning-protocol</t>
  </si>
  <si>
    <t>Lightning Protocol</t>
  </si>
  <si>
    <t>PHT</t>
  </si>
  <si>
    <t>lightstreams</t>
  </si>
  <si>
    <t>Lightstreams Photon</t>
  </si>
  <si>
    <t>light-year</t>
  </si>
  <si>
    <t>Light Year</t>
  </si>
  <si>
    <t>YEAR</t>
  </si>
  <si>
    <t>lightyears</t>
  </si>
  <si>
    <t>Lightyears</t>
  </si>
  <si>
    <t>LIKE</t>
  </si>
  <si>
    <t>likecoin</t>
  </si>
  <si>
    <t>LikeCoin</t>
  </si>
  <si>
    <t>LDF</t>
  </si>
  <si>
    <t>lil-doge-floki-token</t>
  </si>
  <si>
    <t>Lil Doge Floki LDF</t>
  </si>
  <si>
    <t>LILFLOKI</t>
  </si>
  <si>
    <t>lil-floki</t>
  </si>
  <si>
    <t>Lil Floki</t>
  </si>
  <si>
    <t>LILFLOKICEO</t>
  </si>
  <si>
    <t>lilflokiceo</t>
  </si>
  <si>
    <t>LilFlokiCeo</t>
  </si>
  <si>
    <t>LLTH</t>
  </si>
  <si>
    <t>lilith-swap</t>
  </si>
  <si>
    <t>Lilith Swap</t>
  </si>
  <si>
    <t>LIL</t>
  </si>
  <si>
    <t>lillion</t>
  </si>
  <si>
    <t>Lillion</t>
  </si>
  <si>
    <t>LY</t>
  </si>
  <si>
    <t>lilly-finance</t>
  </si>
  <si>
    <t>Lilly Finance</t>
  </si>
  <si>
    <t>LNFS</t>
  </si>
  <si>
    <t>limbo-token</t>
  </si>
  <si>
    <t>Limbo</t>
  </si>
  <si>
    <t>LIMC</t>
  </si>
  <si>
    <t>limcore</t>
  </si>
  <si>
    <t>LimCore</t>
  </si>
  <si>
    <t>LIMEX</t>
  </si>
  <si>
    <t>limestone-network</t>
  </si>
  <si>
    <t>Limestone Network</t>
  </si>
  <si>
    <t>LEUR</t>
  </si>
  <si>
    <t>limited-euro</t>
  </si>
  <si>
    <t>Limited Euro</t>
  </si>
  <si>
    <t>LUSD</t>
  </si>
  <si>
    <t>limited-usd</t>
  </si>
  <si>
    <t>Limited USD</t>
  </si>
  <si>
    <t>LIMIT</t>
  </si>
  <si>
    <t>limitswap</t>
  </si>
  <si>
    <t>LimitSwap</t>
  </si>
  <si>
    <t>LMCSWAP</t>
  </si>
  <si>
    <t>limocoin-swap</t>
  </si>
  <si>
    <t>Limocoin Swap</t>
  </si>
  <si>
    <t>LINA</t>
  </si>
  <si>
    <t>lina</t>
  </si>
  <si>
    <t>MRX</t>
  </si>
  <si>
    <t>linda</t>
  </si>
  <si>
    <t>Metrix Coin</t>
  </si>
  <si>
    <t>linear</t>
  </si>
  <si>
    <t>Linear</t>
  </si>
  <si>
    <t>LINEAR</t>
  </si>
  <si>
    <t>linear-protocol</t>
  </si>
  <si>
    <t>LiNEAR Protocol</t>
  </si>
  <si>
    <t>linfinity</t>
  </si>
  <si>
    <t>Linfinity</t>
  </si>
  <si>
    <t>LNX</t>
  </si>
  <si>
    <t>linix</t>
  </si>
  <si>
    <t>LNX Protocol</t>
  </si>
  <si>
    <t>LN</t>
  </si>
  <si>
    <t>link</t>
  </si>
  <si>
    <t>LINKA</t>
  </si>
  <si>
    <t>linka</t>
  </si>
  <si>
    <t>LAR</t>
  </si>
  <si>
    <t>linkart</t>
  </si>
  <si>
    <t>LinkArt</t>
  </si>
  <si>
    <t>LKN</t>
  </si>
  <si>
    <t>linkcoin-token</t>
  </si>
  <si>
    <t>LinkCoin Token</t>
  </si>
  <si>
    <t>LNC</t>
  </si>
  <si>
    <t>linker-coin</t>
  </si>
  <si>
    <t>Linker Coin</t>
  </si>
  <si>
    <t>LET</t>
  </si>
  <si>
    <t>linkeye</t>
  </si>
  <si>
    <t>Linkeye</t>
  </si>
  <si>
    <t>IKA</t>
  </si>
  <si>
    <t>linkka</t>
  </si>
  <si>
    <t>Linkka</t>
  </si>
  <si>
    <t>LML</t>
  </si>
  <si>
    <t>link-machine-learning</t>
  </si>
  <si>
    <t>Link Machine Learning</t>
  </si>
  <si>
    <t>LPL</t>
  </si>
  <si>
    <t>linkpool</t>
  </si>
  <si>
    <t>LinkPool</t>
  </si>
  <si>
    <t>LINKS</t>
  </si>
  <si>
    <t>links</t>
  </si>
  <si>
    <t>Links</t>
  </si>
  <si>
    <t>SYNC</t>
  </si>
  <si>
    <t>linksync</t>
  </si>
  <si>
    <t>LinkSync</t>
  </si>
  <si>
    <t>LTK</t>
  </si>
  <si>
    <t>linktoken</t>
  </si>
  <si>
    <t>LinkToken</t>
  </si>
  <si>
    <t>LINSPIRIT</t>
  </si>
  <si>
    <t>linspirit</t>
  </si>
  <si>
    <t>linSpirit</t>
  </si>
  <si>
    <t>lion-scrub-finance</t>
  </si>
  <si>
    <t>Lion Scrub Finance</t>
  </si>
  <si>
    <t>lion-token</t>
  </si>
  <si>
    <t>Lion</t>
  </si>
  <si>
    <t>LIQ</t>
  </si>
  <si>
    <t>liq-protocol</t>
  </si>
  <si>
    <t>LIQ Protocol</t>
  </si>
  <si>
    <t>LIQUIDATOR</t>
  </si>
  <si>
    <t>liquidator-dao</t>
  </si>
  <si>
    <t>Liquidator DAO</t>
  </si>
  <si>
    <t>LICO</t>
  </si>
  <si>
    <t>liquid-collectibles</t>
  </si>
  <si>
    <t>Liquid Collectibles</t>
  </si>
  <si>
    <t>LQDR</t>
  </si>
  <si>
    <t>liquiddriver</t>
  </si>
  <si>
    <t>LiquidDriver</t>
  </si>
  <si>
    <t>LICP</t>
  </si>
  <si>
    <t>liquid-icp</t>
  </si>
  <si>
    <t>Liquid ICP</t>
  </si>
  <si>
    <t>LQT</t>
  </si>
  <si>
    <t>liquidifty</t>
  </si>
  <si>
    <t>Liquidifty</t>
  </si>
  <si>
    <t>LAT</t>
  </si>
  <si>
    <t>liquidify</t>
  </si>
  <si>
    <t>Liquidify</t>
  </si>
  <si>
    <t>LID</t>
  </si>
  <si>
    <t>liquidity-dividends-protocol</t>
  </si>
  <si>
    <t>Liquidity Dividends Protocol</t>
  </si>
  <si>
    <t>LQD</t>
  </si>
  <si>
    <t>liquidity-network</t>
  </si>
  <si>
    <t>Liquidity Network</t>
  </si>
  <si>
    <t>liquidswap</t>
  </si>
  <si>
    <t>LiquidSwap</t>
  </si>
  <si>
    <t>liquidus</t>
  </si>
  <si>
    <t>Liquidus</t>
  </si>
  <si>
    <t>LQTY</t>
  </si>
  <si>
    <t>liquity</t>
  </si>
  <si>
    <t>Liquity</t>
  </si>
  <si>
    <t>liquity-usd</t>
  </si>
  <si>
    <t>Liquity USD</t>
  </si>
  <si>
    <t>LQ</t>
  </si>
  <si>
    <t>liqwid-finance</t>
  </si>
  <si>
    <t>Liqwid Finance</t>
  </si>
  <si>
    <t>LSK</t>
  </si>
  <si>
    <t>lisk</t>
  </si>
  <si>
    <t>Lisk</t>
  </si>
  <si>
    <t>LIT</t>
  </si>
  <si>
    <t>lit</t>
  </si>
  <si>
    <t>LTB</t>
  </si>
  <si>
    <t>litebar</t>
  </si>
  <si>
    <t>LiteBar</t>
  </si>
  <si>
    <t>litebitcoin</t>
  </si>
  <si>
    <t>LiteBitcoin</t>
  </si>
  <si>
    <t>litecash</t>
  </si>
  <si>
    <t>Litecash</t>
  </si>
  <si>
    <t>litecoin</t>
  </si>
  <si>
    <t>LTCB</t>
  </si>
  <si>
    <t>litecoin-bep2</t>
  </si>
  <si>
    <t>Litecoin BEP2</t>
  </si>
  <si>
    <t>LCC</t>
  </si>
  <si>
    <t>litecoin-cash</t>
  </si>
  <si>
    <t>Litecoin Cash</t>
  </si>
  <si>
    <t>LTFN</t>
  </si>
  <si>
    <t>litecoin-finance</t>
  </si>
  <si>
    <t>Litecoin Finance</t>
  </si>
  <si>
    <t>LCP</t>
  </si>
  <si>
    <t>litecoin-plus</t>
  </si>
  <si>
    <t>Litecoin Plus</t>
  </si>
  <si>
    <t>LSV</t>
  </si>
  <si>
    <t>litecoin-sv</t>
  </si>
  <si>
    <t>Litecoin SV</t>
  </si>
  <si>
    <t>litecoin-token</t>
  </si>
  <si>
    <t>Litecoin Token</t>
  </si>
  <si>
    <t>LTCU</t>
  </si>
  <si>
    <t>litecoin-ultra</t>
  </si>
  <si>
    <t>LiteCoin Ultra</t>
  </si>
  <si>
    <t>LTZ</t>
  </si>
  <si>
    <t>litecoinz</t>
  </si>
  <si>
    <t>LitecoinZ</t>
  </si>
  <si>
    <t>LDX</t>
  </si>
  <si>
    <t>litedex</t>
  </si>
  <si>
    <t>Litedex</t>
  </si>
  <si>
    <t>LDOGE</t>
  </si>
  <si>
    <t>litedoge</t>
  </si>
  <si>
    <t>LiteDoge</t>
  </si>
  <si>
    <t>LTG</t>
  </si>
  <si>
    <t>litegold</t>
  </si>
  <si>
    <t>LiteGold</t>
  </si>
  <si>
    <t>litentry</t>
  </si>
  <si>
    <t>Litentry</t>
  </si>
  <si>
    <t>LXT</t>
  </si>
  <si>
    <t>litex</t>
  </si>
  <si>
    <t>LITEX</t>
  </si>
  <si>
    <t>LITH</t>
  </si>
  <si>
    <t>litherium</t>
  </si>
  <si>
    <t>Litherium</t>
  </si>
  <si>
    <t>LITHIUM</t>
  </si>
  <si>
    <t>lithium-2</t>
  </si>
  <si>
    <t>Lithium</t>
  </si>
  <si>
    <t>lithium-finance</t>
  </si>
  <si>
    <t>Lithium Finance</t>
  </si>
  <si>
    <t>LITHO</t>
  </si>
  <si>
    <t>lithosphere</t>
  </si>
  <si>
    <t>Lithosphere</t>
  </si>
  <si>
    <t>lith-token</t>
  </si>
  <si>
    <t>Lith</t>
  </si>
  <si>
    <t>lition</t>
  </si>
  <si>
    <t>Lition</t>
  </si>
  <si>
    <t>LAB-V2</t>
  </si>
  <si>
    <t>little-angry-bunny-v2</t>
  </si>
  <si>
    <t>Little Angry Bunny v2</t>
  </si>
  <si>
    <t>little-bunny-rocket</t>
  </si>
  <si>
    <t>Little Bunny Rocket</t>
  </si>
  <si>
    <t>littleghosts-ectoplasm</t>
  </si>
  <si>
    <t>LittleGhosts Ectoplasm</t>
  </si>
  <si>
    <t>LINU</t>
  </si>
  <si>
    <t>littleinu</t>
  </si>
  <si>
    <t>LittleInu</t>
  </si>
  <si>
    <t>LTRBT</t>
  </si>
  <si>
    <t>little-rabbit</t>
  </si>
  <si>
    <t>Little Rabbit</t>
  </si>
  <si>
    <t>littlesesame</t>
  </si>
  <si>
    <t>Littlesesame</t>
  </si>
  <si>
    <t>LILTK</t>
  </si>
  <si>
    <t>little-tsuki-inu</t>
  </si>
  <si>
    <t>Little Tsuki Inu</t>
  </si>
  <si>
    <t>LUD</t>
  </si>
  <si>
    <t>little-ugly-duck</t>
  </si>
  <si>
    <t>Little Ugly Duck</t>
  </si>
  <si>
    <t>LITO</t>
  </si>
  <si>
    <t>lituni</t>
  </si>
  <si>
    <t>Lituni</t>
  </si>
  <si>
    <t>LIVENFT</t>
  </si>
  <si>
    <t>live-nft</t>
  </si>
  <si>
    <t>Live NFT</t>
  </si>
  <si>
    <t>LNO</t>
  </si>
  <si>
    <t>livenodes</t>
  </si>
  <si>
    <t>Livenodes</t>
  </si>
  <si>
    <t>LVN</t>
  </si>
  <si>
    <t>livenpay</t>
  </si>
  <si>
    <t>LivenPay</t>
  </si>
  <si>
    <t>LPT</t>
  </si>
  <si>
    <t>livepeer</t>
  </si>
  <si>
    <t>Livepeer</t>
  </si>
  <si>
    <t>live-swap-coin</t>
  </si>
  <si>
    <t>Live Swap Coin</t>
  </si>
  <si>
    <t>LTD</t>
  </si>
  <si>
    <t>livetrade-token</t>
  </si>
  <si>
    <t>LiveTrade</t>
  </si>
  <si>
    <t>LIX</t>
  </si>
  <si>
    <t>lixir-protocol</t>
  </si>
  <si>
    <t>Lixir Finance</t>
  </si>
  <si>
    <t>LIZARD</t>
  </si>
  <si>
    <t>lizard-token</t>
  </si>
  <si>
    <t>Lizard</t>
  </si>
  <si>
    <t>LIZ</t>
  </si>
  <si>
    <t>lizardtoken-finance</t>
  </si>
  <si>
    <t>LizardToken.Finance</t>
  </si>
  <si>
    <t>LAMA</t>
  </si>
  <si>
    <t>llamaswap</t>
  </si>
  <si>
    <t>LlamaSwap</t>
  </si>
  <si>
    <t>SPIT</t>
  </si>
  <si>
    <t>llamaverse</t>
  </si>
  <si>
    <t>Llamaverse</t>
  </si>
  <si>
    <t>LNKO</t>
  </si>
  <si>
    <t>lnko-token</t>
  </si>
  <si>
    <t>loa-protocol</t>
  </si>
  <si>
    <t>LOA Protocol</t>
  </si>
  <si>
    <t>lobby</t>
  </si>
  <si>
    <t>Lobby</t>
  </si>
  <si>
    <t>LOBI</t>
  </si>
  <si>
    <t>lobis</t>
  </si>
  <si>
    <t>Lobis</t>
  </si>
  <si>
    <t>LOBS</t>
  </si>
  <si>
    <t>lobstex-coin</t>
  </si>
  <si>
    <t>Lobstex</t>
  </si>
  <si>
    <t>localcoinswap</t>
  </si>
  <si>
    <t>LocalCoinSwap</t>
  </si>
  <si>
    <t>LOCAL</t>
  </si>
  <si>
    <t>local-terra</t>
  </si>
  <si>
    <t>Local Terra</t>
  </si>
  <si>
    <t>LTT</t>
  </si>
  <si>
    <t>localtrade</t>
  </si>
  <si>
    <t>LocalTrade</t>
  </si>
  <si>
    <t>LOCG</t>
  </si>
  <si>
    <t>locgame</t>
  </si>
  <si>
    <t>LOCGame</t>
  </si>
  <si>
    <t>LOC</t>
  </si>
  <si>
    <t>lockchain</t>
  </si>
  <si>
    <t>LockTrip</t>
  </si>
  <si>
    <t>lockness</t>
  </si>
  <si>
    <t>Lockness</t>
  </si>
  <si>
    <t>LOCUS</t>
  </si>
  <si>
    <t>locus-chain</t>
  </si>
  <si>
    <t>Locus Chain</t>
  </si>
  <si>
    <t>LOFI</t>
  </si>
  <si>
    <t>lofi-defi</t>
  </si>
  <si>
    <t>Lofi Defi</t>
  </si>
  <si>
    <t>LTR</t>
  </si>
  <si>
    <t>logitron</t>
  </si>
  <si>
    <t>LogiTron</t>
  </si>
  <si>
    <t>LOGOS</t>
  </si>
  <si>
    <t>logosunaux</t>
  </si>
  <si>
    <t>Logosunaux</t>
  </si>
  <si>
    <t>LOGS</t>
  </si>
  <si>
    <t>logs</t>
  </si>
  <si>
    <t>OXEN</t>
  </si>
  <si>
    <t>loki-network</t>
  </si>
  <si>
    <t>Oxen</t>
  </si>
  <si>
    <t>LKR</t>
  </si>
  <si>
    <t>lokr</t>
  </si>
  <si>
    <t>Lokr</t>
  </si>
  <si>
    <t>lol</t>
  </si>
  <si>
    <t>loltoken</t>
  </si>
  <si>
    <t>LOLTOKEN</t>
  </si>
  <si>
    <t>londex-2</t>
  </si>
  <si>
    <t>Londex</t>
  </si>
  <si>
    <t>LDXG</t>
  </si>
  <si>
    <t>londoncoingold</t>
  </si>
  <si>
    <t>LondonCoinGold</t>
  </si>
  <si>
    <t>LONDON</t>
  </si>
  <si>
    <t>london-vault-nftx</t>
  </si>
  <si>
    <t>LONDON Vault (NFTX)</t>
  </si>
  <si>
    <t>LOF</t>
  </si>
  <si>
    <t>lonelyfans</t>
  </si>
  <si>
    <t>LonelyFans</t>
  </si>
  <si>
    <t>LONG</t>
  </si>
  <si>
    <t>longdrink-finance</t>
  </si>
  <si>
    <t>Longdrink Finance</t>
  </si>
  <si>
    <t>LOOK</t>
  </si>
  <si>
    <t>lookscoin</t>
  </si>
  <si>
    <t>LooksCoin</t>
  </si>
  <si>
    <t>LOOKS</t>
  </si>
  <si>
    <t>looksrare</t>
  </si>
  <si>
    <t>LooksRare</t>
  </si>
  <si>
    <t>LR</t>
  </si>
  <si>
    <t>looks-rare</t>
  </si>
  <si>
    <t>Looks Rare</t>
  </si>
  <si>
    <t>LOOMI</t>
  </si>
  <si>
    <t>loomi</t>
  </si>
  <si>
    <t>Loomi</t>
  </si>
  <si>
    <t>LOOMOLD</t>
  </si>
  <si>
    <t>loom-network</t>
  </si>
  <si>
    <t>Loom Network (OLD)</t>
  </si>
  <si>
    <t>LOOM</t>
  </si>
  <si>
    <t>loom-network-new</t>
  </si>
  <si>
    <t>Loom Network (NEW)</t>
  </si>
  <si>
    <t>LOON</t>
  </si>
  <si>
    <t>loon-network</t>
  </si>
  <si>
    <t>Loon Network</t>
  </si>
  <si>
    <t>LOOP</t>
  </si>
  <si>
    <t>loopnetwork</t>
  </si>
  <si>
    <t>LoopNetwork</t>
  </si>
  <si>
    <t>LRC</t>
  </si>
  <si>
    <t>loopring</t>
  </si>
  <si>
    <t>Loopring</t>
  </si>
  <si>
    <t>loopringcoin-v2-wormhole</t>
  </si>
  <si>
    <t>LoopringCoin V2 (Wormhole)</t>
  </si>
  <si>
    <t>LOOPS</t>
  </si>
  <si>
    <t>loopstarter</t>
  </si>
  <si>
    <t>LOOPStarter</t>
  </si>
  <si>
    <t>LSWAP</t>
  </si>
  <si>
    <t>loopswap</t>
  </si>
  <si>
    <t>LoopSwap</t>
  </si>
  <si>
    <t>loop-token</t>
  </si>
  <si>
    <t>LOOP Finance</t>
  </si>
  <si>
    <t>LOOT</t>
  </si>
  <si>
    <t>loot</t>
  </si>
  <si>
    <t>Lootex</t>
  </si>
  <si>
    <t>LOOTDOLLAR</t>
  </si>
  <si>
    <t>loot-dollar</t>
  </si>
  <si>
    <t>Loot Dollar</t>
  </si>
  <si>
    <t>loot-network</t>
  </si>
  <si>
    <t>Loot Network</t>
  </si>
  <si>
    <t>loot-token</t>
  </si>
  <si>
    <t>Loot</t>
  </si>
  <si>
    <t>LORDA</t>
  </si>
  <si>
    <t>lord-arena</t>
  </si>
  <si>
    <t>Lord Arena</t>
  </si>
  <si>
    <t>EDGELON</t>
  </si>
  <si>
    <t>lorde-edge</t>
  </si>
  <si>
    <t>Lorde Edge</t>
  </si>
  <si>
    <t>LORDS</t>
  </si>
  <si>
    <t>lords</t>
  </si>
  <si>
    <t>lordtoken</t>
  </si>
  <si>
    <t>LordToken</t>
  </si>
  <si>
    <t>loserchick-egg</t>
  </si>
  <si>
    <t>LoserChick EGG</t>
  </si>
  <si>
    <t>LOWB</t>
  </si>
  <si>
    <t>loser-coin</t>
  </si>
  <si>
    <t>Loser Coin</t>
  </si>
  <si>
    <t>LSS</t>
  </si>
  <si>
    <t>lossless</t>
  </si>
  <si>
    <t>Lossless</t>
  </si>
  <si>
    <t>LOST</t>
  </si>
  <si>
    <t>lost-world</t>
  </si>
  <si>
    <t>Lost World</t>
  </si>
  <si>
    <t>LOTO</t>
  </si>
  <si>
    <t>lotoblock</t>
  </si>
  <si>
    <t>Lotoblock</t>
  </si>
  <si>
    <t>LOTTO</t>
  </si>
  <si>
    <t>lotto</t>
  </si>
  <si>
    <t>Lotto</t>
  </si>
  <si>
    <t>LOTT</t>
  </si>
  <si>
    <t>lot-trade</t>
  </si>
  <si>
    <t>LOT.TRADE</t>
  </si>
  <si>
    <t>lotus-capital</t>
  </si>
  <si>
    <t>Lotus Capital</t>
  </si>
  <si>
    <t>LOUD</t>
  </si>
  <si>
    <t>loud-market</t>
  </si>
  <si>
    <t>Loud Market</t>
  </si>
  <si>
    <t>LVT</t>
  </si>
  <si>
    <t>louverture</t>
  </si>
  <si>
    <t>Louverture V2</t>
  </si>
  <si>
    <t>LOUVRE</t>
  </si>
  <si>
    <t>louvre-finance</t>
  </si>
  <si>
    <t>Louvre Finance</t>
  </si>
  <si>
    <t>LOV</t>
  </si>
  <si>
    <t>lovechain</t>
  </si>
  <si>
    <t>LoveChain</t>
  </si>
  <si>
    <t>LEC</t>
  </si>
  <si>
    <t>love-earth-coin</t>
  </si>
  <si>
    <t>Love Earth Coin</t>
  </si>
  <si>
    <t>LACE</t>
  </si>
  <si>
    <t>lovelace-world</t>
  </si>
  <si>
    <t>Lovelace World</t>
  </si>
  <si>
    <t>LOVELY</t>
  </si>
  <si>
    <t>lovely-inu-finance</t>
  </si>
  <si>
    <t>Lovely Inu finance</t>
  </si>
  <si>
    <t>lovepot-token</t>
  </si>
  <si>
    <t>LovePot</t>
  </si>
  <si>
    <t>love-protocol</t>
  </si>
  <si>
    <t>Love Protocol</t>
  </si>
  <si>
    <t>LOX</t>
  </si>
  <si>
    <t>lox-network</t>
  </si>
  <si>
    <t>Lox Network</t>
  </si>
  <si>
    <t>3CRV</t>
  </si>
  <si>
    <t>lp-3pool-curve</t>
  </si>
  <si>
    <t>LP 3pool Curve</t>
  </si>
  <si>
    <t>LPK</t>
  </si>
  <si>
    <t>l-pesa</t>
  </si>
  <si>
    <t>Kripton</t>
  </si>
  <si>
    <t>LPI</t>
  </si>
  <si>
    <t>lpi-dao</t>
  </si>
  <si>
    <t>LPI DAO</t>
  </si>
  <si>
    <t>RENBTCCURVE</t>
  </si>
  <si>
    <t>lp-renbtc-curve</t>
  </si>
  <si>
    <t>LP renBTC Curve</t>
  </si>
  <si>
    <t>SCURVE</t>
  </si>
  <si>
    <t>lp-scurve</t>
  </si>
  <si>
    <t>LP-sCurve</t>
  </si>
  <si>
    <t>LTO</t>
  </si>
  <si>
    <t>lto-network</t>
  </si>
  <si>
    <t>LTO Network</t>
  </si>
  <si>
    <t>LTEX</t>
  </si>
  <si>
    <t>ltradex</t>
  </si>
  <si>
    <t>Ltradex</t>
  </si>
  <si>
    <t>LUART</t>
  </si>
  <si>
    <t>luart</t>
  </si>
  <si>
    <t>Luart</t>
  </si>
  <si>
    <t>LUA</t>
  </si>
  <si>
    <t>lua-token</t>
  </si>
  <si>
    <t>LuaSwap</t>
  </si>
  <si>
    <t>luatoken-wormhole</t>
  </si>
  <si>
    <t>LuaToken (Wormhole)</t>
  </si>
  <si>
    <t>LUCA</t>
  </si>
  <si>
    <t>luca</t>
  </si>
  <si>
    <t>LCNT</t>
  </si>
  <si>
    <t>lucent</t>
  </si>
  <si>
    <t>Lucent</t>
  </si>
  <si>
    <t>LUCHA</t>
  </si>
  <si>
    <t>lucha</t>
  </si>
  <si>
    <t>Lucha</t>
  </si>
  <si>
    <t>LCD</t>
  </si>
  <si>
    <t>lucidao</t>
  </si>
  <si>
    <t>Lucidao</t>
  </si>
  <si>
    <t>LLG</t>
  </si>
  <si>
    <t>lucid-lands</t>
  </si>
  <si>
    <t>Lucid Lands</t>
  </si>
  <si>
    <t>BASH</t>
  </si>
  <si>
    <t>luckchain</t>
  </si>
  <si>
    <t>LuckChain</t>
  </si>
  <si>
    <t>luckstar</t>
  </si>
  <si>
    <t>Luckstar</t>
  </si>
  <si>
    <t>LUCKY</t>
  </si>
  <si>
    <t>lucky-2</t>
  </si>
  <si>
    <t>LBLOCK</t>
  </si>
  <si>
    <t>lucky-block</t>
  </si>
  <si>
    <t>Lucky Block</t>
  </si>
  <si>
    <t>LUCKYDOGE</t>
  </si>
  <si>
    <t>luckydoge</t>
  </si>
  <si>
    <t>LuckyDoge</t>
  </si>
  <si>
    <t>lucky-lion</t>
  </si>
  <si>
    <t>Lucky Lion</t>
  </si>
  <si>
    <t>LUCKYPIG</t>
  </si>
  <si>
    <t>luckypig</t>
  </si>
  <si>
    <t>LuckyPig</t>
  </si>
  <si>
    <t>LPDI</t>
  </si>
  <si>
    <t>lucky-property-development-invest</t>
  </si>
  <si>
    <t>Lucky Property Development Invest</t>
  </si>
  <si>
    <t>luckyseventoken</t>
  </si>
  <si>
    <t>LuckySevenToken</t>
  </si>
  <si>
    <t>LUSHI</t>
  </si>
  <si>
    <t>lucky-shinu</t>
  </si>
  <si>
    <t>Lucky Shinu</t>
  </si>
  <si>
    <t>LKT</t>
  </si>
  <si>
    <t>luckytoken</t>
  </si>
  <si>
    <t>LuckyToken</t>
  </si>
  <si>
    <t>L99</t>
  </si>
  <si>
    <t>lucky-unicorn-token</t>
  </si>
  <si>
    <t>Lucky Unicorn</t>
  </si>
  <si>
    <t>LUC</t>
  </si>
  <si>
    <t>lucretius</t>
  </si>
  <si>
    <t>Lucretius</t>
  </si>
  <si>
    <t>$LUCA</t>
  </si>
  <si>
    <t>lucrosus-capital</t>
  </si>
  <si>
    <t>Lucrosus Capital</t>
  </si>
  <si>
    <t>LUCY</t>
  </si>
  <si>
    <t>lucy</t>
  </si>
  <si>
    <t>LDN</t>
  </si>
  <si>
    <t>ludena-protocol</t>
  </si>
  <si>
    <t>Ludena Protocol</t>
  </si>
  <si>
    <t>ludos</t>
  </si>
  <si>
    <t>Ludos Protocol</t>
  </si>
  <si>
    <t>LUFFY</t>
  </si>
  <si>
    <t>luffy-inu</t>
  </si>
  <si>
    <t>Luffy</t>
  </si>
  <si>
    <t>LYXE</t>
  </si>
  <si>
    <t>lukso-token</t>
  </si>
  <si>
    <t>LULZ</t>
  </si>
  <si>
    <t>lulz</t>
  </si>
  <si>
    <t>LSP</t>
  </si>
  <si>
    <t>lumenswap</t>
  </si>
  <si>
    <t>Lumenswap</t>
  </si>
  <si>
    <t>LMR</t>
  </si>
  <si>
    <t>lumerin</t>
  </si>
  <si>
    <t>Lumerin</t>
  </si>
  <si>
    <t>LUMI</t>
  </si>
  <si>
    <t>lumi-credits</t>
  </si>
  <si>
    <t>LUMI Credits</t>
  </si>
  <si>
    <t>luminos-mining-protocol</t>
  </si>
  <si>
    <t>Luminos Mining Protocol</t>
  </si>
  <si>
    <t>LUM</t>
  </si>
  <si>
    <t>lum-network</t>
  </si>
  <si>
    <t>Lum Network</t>
  </si>
  <si>
    <t>LUMOSX</t>
  </si>
  <si>
    <t>lumos-metaverse</t>
  </si>
  <si>
    <t>Lumos Metaverse</t>
  </si>
  <si>
    <t>lum-rune</t>
  </si>
  <si>
    <t>Lum Rune</t>
  </si>
  <si>
    <t>LUNA1X</t>
  </si>
  <si>
    <t>luna-1x</t>
  </si>
  <si>
    <t>LUNA 1x</t>
  </si>
  <si>
    <t>LUCHOW</t>
  </si>
  <si>
    <t>lunachow</t>
  </si>
  <si>
    <t>LunaChow</t>
  </si>
  <si>
    <t>LOGE</t>
  </si>
  <si>
    <t>lunadoge</t>
  </si>
  <si>
    <t>LunaDoge</t>
  </si>
  <si>
    <t>LFI</t>
  </si>
  <si>
    <t>lunafi</t>
  </si>
  <si>
    <t>Lunafi</t>
  </si>
  <si>
    <t>LUFX</t>
  </si>
  <si>
    <t>lunafox</t>
  </si>
  <si>
    <t>LunaFox</t>
  </si>
  <si>
    <t>LLN</t>
  </si>
  <si>
    <t>lunaland</t>
  </si>
  <si>
    <t>LunaLand</t>
  </si>
  <si>
    <t>LUNAPAD</t>
  </si>
  <si>
    <t>luna-pad</t>
  </si>
  <si>
    <t>Luna-Pad</t>
  </si>
  <si>
    <t>LNR</t>
  </si>
  <si>
    <t>lunar</t>
  </si>
  <si>
    <t>Lunar</t>
  </si>
  <si>
    <t>LUN</t>
  </si>
  <si>
    <t>lunarbrain</t>
  </si>
  <si>
    <t>LunarBrain</t>
  </si>
  <si>
    <t>XLN</t>
  </si>
  <si>
    <t>lunarium</t>
  </si>
  <si>
    <t>Lunarium</t>
  </si>
  <si>
    <t>LUNAR</t>
  </si>
  <si>
    <t>lunarswap</t>
  </si>
  <si>
    <t>LunarSwap</t>
  </si>
  <si>
    <t>ARTS</t>
  </si>
  <si>
    <t>lunart</t>
  </si>
  <si>
    <t>LunArt</t>
  </si>
  <si>
    <t>lunar-token</t>
  </si>
  <si>
    <t>PolarisFinance Lunar</t>
  </si>
  <si>
    <t>LUS</t>
  </si>
  <si>
    <t>luna-rush</t>
  </si>
  <si>
    <t>Luna Rush</t>
  </si>
  <si>
    <t>LUV</t>
  </si>
  <si>
    <t>lunaverse</t>
  </si>
  <si>
    <t>Lunaverse</t>
  </si>
  <si>
    <t>LUNA</t>
  </si>
  <si>
    <t>luna-wormhole</t>
  </si>
  <si>
    <t>LMY</t>
  </si>
  <si>
    <t>lunch-money</t>
  </si>
  <si>
    <t>Lunch Money</t>
  </si>
  <si>
    <t>LUNES</t>
  </si>
  <si>
    <t>lunes</t>
  </si>
  <si>
    <t>Lunes</t>
  </si>
  <si>
    <t>L2P</t>
  </si>
  <si>
    <t>lung-protocol</t>
  </si>
  <si>
    <t>Lung Protocol</t>
  </si>
  <si>
    <t>luni</t>
  </si>
  <si>
    <t>LUNR</t>
  </si>
  <si>
    <t>lunr-token</t>
  </si>
  <si>
    <t>Lunr</t>
  </si>
  <si>
    <t>lunyr</t>
  </si>
  <si>
    <t>Lunyr</t>
  </si>
  <si>
    <t>lusd</t>
  </si>
  <si>
    <t>LUTO</t>
  </si>
  <si>
    <t>luto-cash</t>
  </si>
  <si>
    <t>Luto Cash</t>
  </si>
  <si>
    <t>LBXC</t>
  </si>
  <si>
    <t>lux-bio-exchange-coin</t>
  </si>
  <si>
    <t>LUX BIO EXCHANGE COIN</t>
  </si>
  <si>
    <t>LUX</t>
  </si>
  <si>
    <t>luxcoin</t>
  </si>
  <si>
    <t>LUXCoin</t>
  </si>
  <si>
    <t>LUXE</t>
  </si>
  <si>
    <t>luxeracing</t>
  </si>
  <si>
    <t>LuxeRacing</t>
  </si>
  <si>
    <t>LXF</t>
  </si>
  <si>
    <t>luxfi</t>
  </si>
  <si>
    <t>LuxFi</t>
  </si>
  <si>
    <t>LUXO</t>
  </si>
  <si>
    <t>luxo</t>
  </si>
  <si>
    <t>Luxo</t>
  </si>
  <si>
    <t>luxor</t>
  </si>
  <si>
    <t>Luxor</t>
  </si>
  <si>
    <t>LPNT</t>
  </si>
  <si>
    <t>luxurious-pro-network-token</t>
  </si>
  <si>
    <t>Luxurious Pro Network</t>
  </si>
  <si>
    <t>luxury-club</t>
  </si>
  <si>
    <t>Luxury Club</t>
  </si>
  <si>
    <t>LUXY</t>
  </si>
  <si>
    <t>luxy</t>
  </si>
  <si>
    <t>Luxy</t>
  </si>
  <si>
    <t>LYK</t>
  </si>
  <si>
    <t>luyuka</t>
  </si>
  <si>
    <t>Luyuka</t>
  </si>
  <si>
    <t>LZN</t>
  </si>
  <si>
    <t>luzion-protocol</t>
  </si>
  <si>
    <t>Luzion Protocol</t>
  </si>
  <si>
    <t>LYCA</t>
  </si>
  <si>
    <t>lyca-island</t>
  </si>
  <si>
    <t>Lyca Nation</t>
  </si>
  <si>
    <t>LYD</t>
  </si>
  <si>
    <t>lydia-finance</t>
  </si>
  <si>
    <t>Lydia Finance</t>
  </si>
  <si>
    <t>LYFE</t>
  </si>
  <si>
    <t>lyfe</t>
  </si>
  <si>
    <t>Lyfe</t>
  </si>
  <si>
    <t>LGOLD</t>
  </si>
  <si>
    <t>lyfe-gold</t>
  </si>
  <si>
    <t>Lyfe Gold</t>
  </si>
  <si>
    <t>LLAND</t>
  </si>
  <si>
    <t>lyfe-land</t>
  </si>
  <si>
    <t>Lyfe Land</t>
  </si>
  <si>
    <t>LSILVER</t>
  </si>
  <si>
    <t>lyfe-silver</t>
  </si>
  <si>
    <t>Lyfe Silver</t>
  </si>
  <si>
    <t>LYM</t>
  </si>
  <si>
    <t>lympo</t>
  </si>
  <si>
    <t>Lympo</t>
  </si>
  <si>
    <t>LMT</t>
  </si>
  <si>
    <t>lympo-market-token</t>
  </si>
  <si>
    <t>Lympo Market</t>
  </si>
  <si>
    <t>LYNK</t>
  </si>
  <si>
    <t>lynkey</t>
  </si>
  <si>
    <t>LynKey</t>
  </si>
  <si>
    <t>LYNX</t>
  </si>
  <si>
    <t>lynx</t>
  </si>
  <si>
    <t>Lynx</t>
  </si>
  <si>
    <t>LYO</t>
  </si>
  <si>
    <t>lyocredit</t>
  </si>
  <si>
    <t>LYO Credit</t>
  </si>
  <si>
    <t>LYPTUS</t>
  </si>
  <si>
    <t>lyptus-token</t>
  </si>
  <si>
    <t>Lyptus</t>
  </si>
  <si>
    <t>LYR</t>
  </si>
  <si>
    <t>lyra</t>
  </si>
  <si>
    <t>Lyra</t>
  </si>
  <si>
    <t>LYRA</t>
  </si>
  <si>
    <t>lyra-finance</t>
  </si>
  <si>
    <t>Lyra Finance</t>
  </si>
  <si>
    <t>lys-capital</t>
  </si>
  <si>
    <t>LYS Capital</t>
  </si>
  <si>
    <t>LZP</t>
  </si>
  <si>
    <t>lzp</t>
  </si>
  <si>
    <t>M2</t>
  </si>
  <si>
    <t>m2</t>
  </si>
  <si>
    <t>MCRN</t>
  </si>
  <si>
    <t>macaronswap</t>
  </si>
  <si>
    <t>MacaronSwap</t>
  </si>
  <si>
    <t>MAC</t>
  </si>
  <si>
    <t>machinecoin</t>
  </si>
  <si>
    <t>Machinecoin</t>
  </si>
  <si>
    <t>MCX</t>
  </si>
  <si>
    <t>machix</t>
  </si>
  <si>
    <t>Machi X</t>
  </si>
  <si>
    <t>$TIME</t>
  </si>
  <si>
    <t>madagascar-token</t>
  </si>
  <si>
    <t>Madagascar</t>
  </si>
  <si>
    <t>MAD</t>
  </si>
  <si>
    <t>mad-bucks</t>
  </si>
  <si>
    <t>MAD Bucks</t>
  </si>
  <si>
    <t>MWD</t>
  </si>
  <si>
    <t>madcredits</t>
  </si>
  <si>
    <t>MadCredits</t>
  </si>
  <si>
    <t>METF</t>
  </si>
  <si>
    <t>mad-meerkat-etf</t>
  </si>
  <si>
    <t>Mad Meerkat ETF</t>
  </si>
  <si>
    <t>MMO</t>
  </si>
  <si>
    <t>mad-meerkat-optimizer</t>
  </si>
  <si>
    <t>Mad Meerkat Optimizer</t>
  </si>
  <si>
    <t>mad-network</t>
  </si>
  <si>
    <t>MADNetwork</t>
  </si>
  <si>
    <t>MUSD</t>
  </si>
  <si>
    <t>mad-usd</t>
  </si>
  <si>
    <t>Mad USD</t>
  </si>
  <si>
    <t>MVG</t>
  </si>
  <si>
    <t>mad-viking-games</t>
  </si>
  <si>
    <t>Mad Viking Games</t>
  </si>
  <si>
    <t>UMAD</t>
  </si>
  <si>
    <t>madworld</t>
  </si>
  <si>
    <t>MADworld</t>
  </si>
  <si>
    <t>maecenas</t>
  </si>
  <si>
    <t>Maecenas</t>
  </si>
  <si>
    <t>MAFA</t>
  </si>
  <si>
    <t>mafacoin</t>
  </si>
  <si>
    <t>MafaCoin</t>
  </si>
  <si>
    <t>magic</t>
  </si>
  <si>
    <t>Magic</t>
  </si>
  <si>
    <t>BSTS</t>
  </si>
  <si>
    <t>magic-beasties</t>
  </si>
  <si>
    <t>Magic Beasties</t>
  </si>
  <si>
    <t>MBT</t>
  </si>
  <si>
    <t>magic-birds-token</t>
  </si>
  <si>
    <t>Magic Birds</t>
  </si>
  <si>
    <t>MBNB</t>
  </si>
  <si>
    <t>magic-bnb</t>
  </si>
  <si>
    <t>MAGIC BNB</t>
  </si>
  <si>
    <t>magicbox</t>
  </si>
  <si>
    <t>MagicBox</t>
  </si>
  <si>
    <t>MCRT</t>
  </si>
  <si>
    <t>magiccraft</t>
  </si>
  <si>
    <t>MagicCraft</t>
  </si>
  <si>
    <t>MCC</t>
  </si>
  <si>
    <t>magic-cube</t>
  </si>
  <si>
    <t>Magic Cube Coin</t>
  </si>
  <si>
    <t>MAST</t>
  </si>
  <si>
    <t>magic-cube-finance</t>
  </si>
  <si>
    <t>Magic Cube Finance</t>
  </si>
  <si>
    <t>MAGICDOGE</t>
  </si>
  <si>
    <t>magicdoge</t>
  </si>
  <si>
    <t>MagicDOGE</t>
  </si>
  <si>
    <t>MAGA</t>
  </si>
  <si>
    <t>magic-eggs</t>
  </si>
  <si>
    <t>Magic Eggs</t>
  </si>
  <si>
    <t>MEG</t>
  </si>
  <si>
    <t>magic-elpis-gem</t>
  </si>
  <si>
    <t>Magic Elpis Gem</t>
  </si>
  <si>
    <t>MEM</t>
  </si>
  <si>
    <t>magic-ethereum-money</t>
  </si>
  <si>
    <t>Magic Ethereum Money</t>
  </si>
  <si>
    <t>MAGF</t>
  </si>
  <si>
    <t>magic-forest</t>
  </si>
  <si>
    <t>Magic Forest</t>
  </si>
  <si>
    <t>magic-internet-money</t>
  </si>
  <si>
    <t>MIMET</t>
  </si>
  <si>
    <t>magic-internet-money-wormhole</t>
  </si>
  <si>
    <t>Magic Internet Money (Wormhole)</t>
  </si>
  <si>
    <t>magic-inu</t>
  </si>
  <si>
    <t>Magic Inu</t>
  </si>
  <si>
    <t>MAGICK</t>
  </si>
  <si>
    <t>magick-dao</t>
  </si>
  <si>
    <t>Magick DAO</t>
  </si>
  <si>
    <t>magic-metaverse</t>
  </si>
  <si>
    <t>Magic Metaverse</t>
  </si>
  <si>
    <t>magicofgold</t>
  </si>
  <si>
    <t>MagicofGold</t>
  </si>
  <si>
    <t>MGC</t>
  </si>
  <si>
    <t>magic-of-universe</t>
  </si>
  <si>
    <t>Magic of Universe</t>
  </si>
  <si>
    <t>MGP</t>
  </si>
  <si>
    <t>magic-power</t>
  </si>
  <si>
    <t>Magic Power</t>
  </si>
  <si>
    <t>magic-token</t>
  </si>
  <si>
    <t>MagicLand</t>
  </si>
  <si>
    <t>MTK</t>
  </si>
  <si>
    <t>magic-trading-token</t>
  </si>
  <si>
    <t>Magic Trading</t>
  </si>
  <si>
    <t>MAGIK</t>
  </si>
  <si>
    <t>magik</t>
  </si>
  <si>
    <t>Magik</t>
  </si>
  <si>
    <t>magnachain</t>
  </si>
  <si>
    <t>Magnachain</t>
  </si>
  <si>
    <t>MAG</t>
  </si>
  <si>
    <t>magnet-dao</t>
  </si>
  <si>
    <t>Magnet DAO</t>
  </si>
  <si>
    <t>MTG</t>
  </si>
  <si>
    <t>magnetgold</t>
  </si>
  <si>
    <t>MagnetGold</t>
  </si>
  <si>
    <t>MGPC</t>
  </si>
  <si>
    <t>magpiecoin</t>
  </si>
  <si>
    <t>MagpieCoin</t>
  </si>
  <si>
    <t>MAHA</t>
  </si>
  <si>
    <t>mahadao</t>
  </si>
  <si>
    <t>MahaDAO</t>
  </si>
  <si>
    <t>MAIA</t>
  </si>
  <si>
    <t>maia</t>
  </si>
  <si>
    <t>Maia</t>
  </si>
  <si>
    <t>MEX</t>
  </si>
  <si>
    <t>maiar-dex</t>
  </si>
  <si>
    <t>Maiar DEX</t>
  </si>
  <si>
    <t>$MAID</t>
  </si>
  <si>
    <t>maidcoin</t>
  </si>
  <si>
    <t>MaidCoin</t>
  </si>
  <si>
    <t>MAID</t>
  </si>
  <si>
    <t>maidsafecoin</t>
  </si>
  <si>
    <t>MaidSafeCoin</t>
  </si>
  <si>
    <t>MAIN</t>
  </si>
  <si>
    <t>main</t>
  </si>
  <si>
    <t>Main</t>
  </si>
  <si>
    <t>MNC</t>
  </si>
  <si>
    <t>maincoin</t>
  </si>
  <si>
    <t>MainCoin</t>
  </si>
  <si>
    <t>MFT</t>
  </si>
  <si>
    <t>mainframe</t>
  </si>
  <si>
    <t>Hifi Finance</t>
  </si>
  <si>
    <t>MFTU</t>
  </si>
  <si>
    <t>mainstream-for-the-underground</t>
  </si>
  <si>
    <t>Mainstream For The Underground</t>
  </si>
  <si>
    <t>MSN</t>
  </si>
  <si>
    <t>maison-capital</t>
  </si>
  <si>
    <t>Maison Capital</t>
  </si>
  <si>
    <t>MJR</t>
  </si>
  <si>
    <t>major-protocol</t>
  </si>
  <si>
    <t>Major Protocol</t>
  </si>
  <si>
    <t>M3C</t>
  </si>
  <si>
    <t>make-more-money</t>
  </si>
  <si>
    <t>Make More Money</t>
  </si>
  <si>
    <t>maker</t>
  </si>
  <si>
    <t>MKS</t>
  </si>
  <si>
    <t>makes</t>
  </si>
  <si>
    <t>Makes</t>
  </si>
  <si>
    <t>MAKI</t>
  </si>
  <si>
    <t>makiswap</t>
  </si>
  <si>
    <t>MakiSwap</t>
  </si>
  <si>
    <t>MAKK</t>
  </si>
  <si>
    <t>makk</t>
  </si>
  <si>
    <t>Makk</t>
  </si>
  <si>
    <t>MLNK</t>
  </si>
  <si>
    <t>malinka</t>
  </si>
  <si>
    <t>Malinka</t>
  </si>
  <si>
    <t>MALT</t>
  </si>
  <si>
    <t>malt-stablecoin-v2</t>
  </si>
  <si>
    <t>Malt Stablecoin V2</t>
  </si>
  <si>
    <t>MAMA</t>
  </si>
  <si>
    <t>mama-dao</t>
  </si>
  <si>
    <t>Mama DAO</t>
  </si>
  <si>
    <t>MAMADOGE</t>
  </si>
  <si>
    <t>mamadoge</t>
  </si>
  <si>
    <t>MamaDoge</t>
  </si>
  <si>
    <t>COINMAMA</t>
  </si>
  <si>
    <t>mamaverse</t>
  </si>
  <si>
    <t>MamaVerse</t>
  </si>
  <si>
    <t>MPRO</t>
  </si>
  <si>
    <t>manager-pro</t>
  </si>
  <si>
    <t>Manager PRO</t>
  </si>
  <si>
    <t>manarium</t>
  </si>
  <si>
    <t>Manarium</t>
  </si>
  <si>
    <t>MTC</t>
  </si>
  <si>
    <t>manateecoin</t>
  </si>
  <si>
    <t>ManateeCoin</t>
  </si>
  <si>
    <t>manchester-city-fan-token</t>
  </si>
  <si>
    <t>Manchester City Fan Token</t>
  </si>
  <si>
    <t>MANC</t>
  </si>
  <si>
    <t>mancium</t>
  </si>
  <si>
    <t>Mancium</t>
  </si>
  <si>
    <t>MNDL</t>
  </si>
  <si>
    <t>mandala-2</t>
  </si>
  <si>
    <t>Mandala</t>
  </si>
  <si>
    <t>MDX</t>
  </si>
  <si>
    <t>mandala-exchange-token</t>
  </si>
  <si>
    <t>MANDI</t>
  </si>
  <si>
    <t>mandi-token</t>
  </si>
  <si>
    <t>MANDOX</t>
  </si>
  <si>
    <t>mandox-2</t>
  </si>
  <si>
    <t>MandoX</t>
  </si>
  <si>
    <t>NEKI</t>
  </si>
  <si>
    <t>maneki-neko</t>
  </si>
  <si>
    <t>Maneki-neko</t>
  </si>
  <si>
    <t>$MANGA</t>
  </si>
  <si>
    <t>manga-token</t>
  </si>
  <si>
    <t>Manga</t>
  </si>
  <si>
    <t>mangochain</t>
  </si>
  <si>
    <t>MangoChain</t>
  </si>
  <si>
    <t>MNGO</t>
  </si>
  <si>
    <t>mango-markets</t>
  </si>
  <si>
    <t>Mango</t>
  </si>
  <si>
    <t>FOLD</t>
  </si>
  <si>
    <t>manifold-finance</t>
  </si>
  <si>
    <t>Manifold Finance</t>
  </si>
  <si>
    <t>MANNA</t>
  </si>
  <si>
    <t>manna</t>
  </si>
  <si>
    <t>Manna</t>
  </si>
  <si>
    <t>MNTIS</t>
  </si>
  <si>
    <t>mantis-network</t>
  </si>
  <si>
    <t>Mantis Network</t>
  </si>
  <si>
    <t>OM</t>
  </si>
  <si>
    <t>mantra-dao</t>
  </si>
  <si>
    <t>MANTRA DAO</t>
  </si>
  <si>
    <t>MNFT</t>
  </si>
  <si>
    <t>manufactory-2</t>
  </si>
  <si>
    <t>ManuFactory</t>
  </si>
  <si>
    <t>MANY</t>
  </si>
  <si>
    <t>manyswap</t>
  </si>
  <si>
    <t>Manyswap</t>
  </si>
  <si>
    <t>many-worlds</t>
  </si>
  <si>
    <t>Many Worlds</t>
  </si>
  <si>
    <t>MAO</t>
  </si>
  <si>
    <t>mao-zedong</t>
  </si>
  <si>
    <t>Mao Zedong</t>
  </si>
  <si>
    <t>MAPC</t>
  </si>
  <si>
    <t>mapcoin</t>
  </si>
  <si>
    <t>MapCoin</t>
  </si>
  <si>
    <t>MPL</t>
  </si>
  <si>
    <t>maple</t>
  </si>
  <si>
    <t>Maple</t>
  </si>
  <si>
    <t>MMAPS</t>
  </si>
  <si>
    <t>mapmetrics</t>
  </si>
  <si>
    <t>MapMetrics</t>
  </si>
  <si>
    <t>MAPS</t>
  </si>
  <si>
    <t>maps</t>
  </si>
  <si>
    <t>XMP</t>
  </si>
  <si>
    <t>mapt-coin</t>
  </si>
  <si>
    <t>Mapt.Coin</t>
  </si>
  <si>
    <t>$MARBLE</t>
  </si>
  <si>
    <t>marble</t>
  </si>
  <si>
    <t>Marble Dao</t>
  </si>
  <si>
    <t>MBC</t>
  </si>
  <si>
    <t>marblecoin</t>
  </si>
  <si>
    <t>Marblecoin</t>
  </si>
  <si>
    <t>MBH</t>
  </si>
  <si>
    <t>marble-heroes</t>
  </si>
  <si>
    <t>Marble Heroes</t>
  </si>
  <si>
    <t>MBX</t>
  </si>
  <si>
    <t>marblex</t>
  </si>
  <si>
    <t>Marblex</t>
  </si>
  <si>
    <t>marcopolo</t>
  </si>
  <si>
    <t>MAP Protocol</t>
  </si>
  <si>
    <t>MARGARITA</t>
  </si>
  <si>
    <t>margarita</t>
  </si>
  <si>
    <t>Margarita</t>
  </si>
  <si>
    <t>MFI</t>
  </si>
  <si>
    <t>marginswap</t>
  </si>
  <si>
    <t>Marginswap</t>
  </si>
  <si>
    <t>MRHB</t>
  </si>
  <si>
    <t>marhabadefi</t>
  </si>
  <si>
    <t>MarhabaDeFi</t>
  </si>
  <si>
    <t>MNDE</t>
  </si>
  <si>
    <t>marinade</t>
  </si>
  <si>
    <t>Marinade</t>
  </si>
  <si>
    <t>MSOL</t>
  </si>
  <si>
    <t>marinade-staked-sol-wormhole</t>
  </si>
  <si>
    <t>Marinade staked SOL (Wormhole)</t>
  </si>
  <si>
    <t>MRFLOKI</t>
  </si>
  <si>
    <t>mariofloki</t>
  </si>
  <si>
    <t>MarioFloki</t>
  </si>
  <si>
    <t>MKCY</t>
  </si>
  <si>
    <t>markaccy</t>
  </si>
  <si>
    <t>Markaccy</t>
  </si>
  <si>
    <t>ML</t>
  </si>
  <si>
    <t>market-ledger</t>
  </si>
  <si>
    <t>Market Ledger</t>
  </si>
  <si>
    <t>MMPRO</t>
  </si>
  <si>
    <t>market-making-pro</t>
  </si>
  <si>
    <t>Market Making Pro</t>
  </si>
  <si>
    <t>marketmove</t>
  </si>
  <si>
    <t>MarketMove</t>
  </si>
  <si>
    <t>MNYE</t>
  </si>
  <si>
    <t>market-neutral-yield-eth</t>
  </si>
  <si>
    <t>Market Neutral Yield ETH</t>
  </si>
  <si>
    <t>PEAK</t>
  </si>
  <si>
    <t>marketpeak</t>
  </si>
  <si>
    <t>PEAKDEFI</t>
  </si>
  <si>
    <t>MM</t>
  </si>
  <si>
    <t>markhor-meta</t>
  </si>
  <si>
    <t>Markhor Meta</t>
  </si>
  <si>
    <t>MMT</t>
  </si>
  <si>
    <t>markmeta</t>
  </si>
  <si>
    <t>MarkMeta</t>
  </si>
  <si>
    <t>POND</t>
  </si>
  <si>
    <t>marlin</t>
  </si>
  <si>
    <t>Marlin</t>
  </si>
  <si>
    <t>MARMAJ</t>
  </si>
  <si>
    <t>marmaj</t>
  </si>
  <si>
    <t>Marmaj</t>
  </si>
  <si>
    <t>MARS</t>
  </si>
  <si>
    <t>mar-network</t>
  </si>
  <si>
    <t>Mars Network</t>
  </si>
  <si>
    <t>TAUR</t>
  </si>
  <si>
    <t>marnotaur</t>
  </si>
  <si>
    <t>Marnotaur</t>
  </si>
  <si>
    <t>mars</t>
  </si>
  <si>
    <t>Mars</t>
  </si>
  <si>
    <t>MARS4</t>
  </si>
  <si>
    <t>mars4</t>
  </si>
  <si>
    <t>marscoin</t>
  </si>
  <si>
    <t>Marscoin</t>
  </si>
  <si>
    <t>marscolony</t>
  </si>
  <si>
    <t>MarsColony</t>
  </si>
  <si>
    <t>MDAO</t>
  </si>
  <si>
    <t>marsdao</t>
  </si>
  <si>
    <t>MarsDAO</t>
  </si>
  <si>
    <t>MARSDOGE</t>
  </si>
  <si>
    <t>mars-doge</t>
  </si>
  <si>
    <t>Mars Doge</t>
  </si>
  <si>
    <t>MDC</t>
  </si>
  <si>
    <t>mars-dogecoin</t>
  </si>
  <si>
    <t>Mars DogeCoin</t>
  </si>
  <si>
    <t>XMS</t>
  </si>
  <si>
    <t>mars-ecosystem-token</t>
  </si>
  <si>
    <t>Mars Ecosystem</t>
  </si>
  <si>
    <t>mars-floki-inu</t>
  </si>
  <si>
    <t>Mars Floki Inu</t>
  </si>
  <si>
    <t>MLGC</t>
  </si>
  <si>
    <t>marshal-lion-group-coin</t>
  </si>
  <si>
    <t>Marshal Lion Group Coin</t>
  </si>
  <si>
    <t>MRI</t>
  </si>
  <si>
    <t>marshall-rogan-inu</t>
  </si>
  <si>
    <t>Marshall Inu</t>
  </si>
  <si>
    <t>MASH</t>
  </si>
  <si>
    <t>marshmellowdefi</t>
  </si>
  <si>
    <t>MarshmallowDeFi</t>
  </si>
  <si>
    <t>MARSINU</t>
  </si>
  <si>
    <t>mars-inu</t>
  </si>
  <si>
    <t>Mars Inu</t>
  </si>
  <si>
    <t>MPT</t>
  </si>
  <si>
    <t>mars-panda-world</t>
  </si>
  <si>
    <t>Mars Panda World</t>
  </si>
  <si>
    <t>mars-protocol</t>
  </si>
  <si>
    <t>Mars Protocol</t>
  </si>
  <si>
    <t>MARSRISE</t>
  </si>
  <si>
    <t>marsrise</t>
  </si>
  <si>
    <t>MarsRise</t>
  </si>
  <si>
    <t>MPX</t>
  </si>
  <si>
    <t>mars-space-x</t>
  </si>
  <si>
    <t>Mars Space X</t>
  </si>
  <si>
    <t>OMT</t>
  </si>
  <si>
    <t>mars-token</t>
  </si>
  <si>
    <t>Mars OMT</t>
  </si>
  <si>
    <t>marsupilamii</t>
  </si>
  <si>
    <t>Marsupilamii</t>
  </si>
  <si>
    <t>MX</t>
  </si>
  <si>
    <t>marsx</t>
  </si>
  <si>
    <t>MarsX</t>
  </si>
  <si>
    <t>MXT</t>
  </si>
  <si>
    <t>martexcoin</t>
  </si>
  <si>
    <t>MarteXcoin</t>
  </si>
  <si>
    <t>MARTIANDOGE</t>
  </si>
  <si>
    <t>martiandoge</t>
  </si>
  <si>
    <t>MartianDoge</t>
  </si>
  <si>
    <t>MARTK</t>
  </si>
  <si>
    <t>martkist</t>
  </si>
  <si>
    <t>Martkist</t>
  </si>
  <si>
    <t>marvelous-nfts</t>
  </si>
  <si>
    <t>Marvelous NFTs</t>
  </si>
  <si>
    <t>marvininu</t>
  </si>
  <si>
    <t>MarvinInu</t>
  </si>
  <si>
    <t>marvin-inu</t>
  </si>
  <si>
    <t>Marvin Inu</t>
  </si>
  <si>
    <t>MARX</t>
  </si>
  <si>
    <t>marx</t>
  </si>
  <si>
    <t>MarX</t>
  </si>
  <si>
    <t>marxcoin</t>
  </si>
  <si>
    <t>MarxCoin</t>
  </si>
  <si>
    <t>MSR</t>
  </si>
  <si>
    <t>masari</t>
  </si>
  <si>
    <t>Masari</t>
  </si>
  <si>
    <t>maskdoge</t>
  </si>
  <si>
    <t>MASK</t>
  </si>
  <si>
    <t>mask-network</t>
  </si>
  <si>
    <t>Mask Network</t>
  </si>
  <si>
    <t>mask-vault-nftx</t>
  </si>
  <si>
    <t>MASK Vault (NFTX)</t>
  </si>
  <si>
    <t>MASQ</t>
  </si>
  <si>
    <t>masq</t>
  </si>
  <si>
    <t>MASS</t>
  </si>
  <si>
    <t>mass</t>
  </si>
  <si>
    <t>MAV</t>
  </si>
  <si>
    <t>massive-protocol</t>
  </si>
  <si>
    <t>Massive Protocol</t>
  </si>
  <si>
    <t>MVL</t>
  </si>
  <si>
    <t>mass-vehicle-ledger</t>
  </si>
  <si>
    <t>MCT</t>
  </si>
  <si>
    <t>master-contract-token</t>
  </si>
  <si>
    <t>Master Contract Token</t>
  </si>
  <si>
    <t>master-floki</t>
  </si>
  <si>
    <t>Master Floki</t>
  </si>
  <si>
    <t>MNME</t>
  </si>
  <si>
    <t>masternodesme</t>
  </si>
  <si>
    <t>MasterNodesME</t>
  </si>
  <si>
    <t>MW</t>
  </si>
  <si>
    <t>masterwin</t>
  </si>
  <si>
    <t>MasterWin</t>
  </si>
  <si>
    <t>MATA</t>
  </si>
  <si>
    <t>mata</t>
  </si>
  <si>
    <t>Mata</t>
  </si>
  <si>
    <t>MTDR</t>
  </si>
  <si>
    <t>matador-token</t>
  </si>
  <si>
    <t>Matador</t>
  </si>
  <si>
    <t>GUP</t>
  </si>
  <si>
    <t>matchpool</t>
  </si>
  <si>
    <t>Guppy</t>
  </si>
  <si>
    <t>MATE</t>
  </si>
  <si>
    <t>mate</t>
  </si>
  <si>
    <t>Mate</t>
  </si>
  <si>
    <t>MTRL</t>
  </si>
  <si>
    <t>material</t>
  </si>
  <si>
    <t>Material</t>
  </si>
  <si>
    <t>MTRM</t>
  </si>
  <si>
    <t>materium</t>
  </si>
  <si>
    <t>Materium</t>
  </si>
  <si>
    <t>MATH</t>
  </si>
  <si>
    <t>math</t>
  </si>
  <si>
    <t>math-token-wormhole</t>
  </si>
  <si>
    <t>MATH Token (Wormhole)</t>
  </si>
  <si>
    <t>MAAAVE</t>
  </si>
  <si>
    <t>matic-aave-aave</t>
  </si>
  <si>
    <t>Matic Aave Interest Bearing AAVE</t>
  </si>
  <si>
    <t>MAUSDC</t>
  </si>
  <si>
    <t>matic-aave-usdc</t>
  </si>
  <si>
    <t>Matic Aave Interest Bearing USDC</t>
  </si>
  <si>
    <t>MAWETH</t>
  </si>
  <si>
    <t>matic-aave-weth</t>
  </si>
  <si>
    <t>Matic Aave Interest Bearing WETH</t>
  </si>
  <si>
    <t>DAI-MATIC</t>
  </si>
  <si>
    <t>matic-dai-stablecoin</t>
  </si>
  <si>
    <t>Matic DAI Stablecoin</t>
  </si>
  <si>
    <t>MTCL</t>
  </si>
  <si>
    <t>maticlaunch</t>
  </si>
  <si>
    <t>MaticLaunch</t>
  </si>
  <si>
    <t>MATICPAD</t>
  </si>
  <si>
    <t>matic-launchpad</t>
  </si>
  <si>
    <t>Matic Launchpad</t>
  </si>
  <si>
    <t>matic-network</t>
  </si>
  <si>
    <t>MATPAD</t>
  </si>
  <si>
    <t>maticpad</t>
  </si>
  <si>
    <t>MaticPad</t>
  </si>
  <si>
    <t>MVERSE</t>
  </si>
  <si>
    <t>maticverse</t>
  </si>
  <si>
    <t>MaticVerse</t>
  </si>
  <si>
    <t>MATICPO</t>
  </si>
  <si>
    <t>matic-wormhole</t>
  </si>
  <si>
    <t>MATIC (Wormhole)</t>
  </si>
  <si>
    <t>MATICET</t>
  </si>
  <si>
    <t>matic-wormhole-from-ethereum</t>
  </si>
  <si>
    <t>Matic (Wormhole from Ethereum)</t>
  </si>
  <si>
    <t>matrexcoin</t>
  </si>
  <si>
    <t>Matrexcoin</t>
  </si>
  <si>
    <t>MTIX</t>
  </si>
  <si>
    <t>matrix-2</t>
  </si>
  <si>
    <t>Matrix</t>
  </si>
  <si>
    <t>MAN</t>
  </si>
  <si>
    <t>matrix-ai-network</t>
  </si>
  <si>
    <t>Matrix AI Network</t>
  </si>
  <si>
    <t>MC</t>
  </si>
  <si>
    <t>matrixcoin</t>
  </si>
  <si>
    <t>MatrixCoin</t>
  </si>
  <si>
    <t>MDF</t>
  </si>
  <si>
    <t>matrixetf</t>
  </si>
  <si>
    <t>MatrixETF</t>
  </si>
  <si>
    <t>MTX</t>
  </si>
  <si>
    <t>matrix-protocol</t>
  </si>
  <si>
    <t>Matrix Protocol</t>
  </si>
  <si>
    <t>MXS</t>
  </si>
  <si>
    <t>matrix-samurai</t>
  </si>
  <si>
    <t>Marketing Samurai</t>
  </si>
  <si>
    <t>MSI</t>
  </si>
  <si>
    <t>matrix-solana-index</t>
  </si>
  <si>
    <t>Matrix Solana Index</t>
  </si>
  <si>
    <t>MATRIX</t>
  </si>
  <si>
    <t>matrixswap</t>
  </si>
  <si>
    <t>Matrix Labs</t>
  </si>
  <si>
    <t>matryx</t>
  </si>
  <si>
    <t>MATRYX</t>
  </si>
  <si>
    <t>MVX</t>
  </si>
  <si>
    <t>mavaverse-token</t>
  </si>
  <si>
    <t>Mavaverse</t>
  </si>
  <si>
    <t>MAX</t>
  </si>
  <si>
    <t>maxcoin</t>
  </si>
  <si>
    <t>Maxcoin</t>
  </si>
  <si>
    <t>MAXGOAT</t>
  </si>
  <si>
    <t>maxgoat</t>
  </si>
  <si>
    <t>MaxGoat</t>
  </si>
  <si>
    <t>MAXI</t>
  </si>
  <si>
    <t>maximizer</t>
  </si>
  <si>
    <t>Maximizer</t>
  </si>
  <si>
    <t>maximus</t>
  </si>
  <si>
    <t>Maximus</t>
  </si>
  <si>
    <t>maximus-dao</t>
  </si>
  <si>
    <t>Maximus DAO</t>
  </si>
  <si>
    <t>MXW</t>
  </si>
  <si>
    <t>maxonrow</t>
  </si>
  <si>
    <t>Maxonrow</t>
  </si>
  <si>
    <t>MCF</t>
  </si>
  <si>
    <t>max-property-group</t>
  </si>
  <si>
    <t>Max Crowdfund</t>
  </si>
  <si>
    <t>MAXR</t>
  </si>
  <si>
    <t>max-revive</t>
  </si>
  <si>
    <t>Max Revive</t>
  </si>
  <si>
    <t>max-token</t>
  </si>
  <si>
    <t>MAX Token</t>
  </si>
  <si>
    <t>MAYP</t>
  </si>
  <si>
    <t>maya-preferred-223</t>
  </si>
  <si>
    <t>Maya Preferred</t>
  </si>
  <si>
    <t>MZC</t>
  </si>
  <si>
    <t>maza</t>
  </si>
  <si>
    <t>Maza</t>
  </si>
  <si>
    <t>MBIT</t>
  </si>
  <si>
    <t>mbitbooks</t>
  </si>
  <si>
    <t>MBitBooks</t>
  </si>
  <si>
    <t>MCAT</t>
  </si>
  <si>
    <t>mcat</t>
  </si>
  <si>
    <t>mCat</t>
  </si>
  <si>
    <t>MCB</t>
  </si>
  <si>
    <t>mcdex</t>
  </si>
  <si>
    <t>MCDEX</t>
  </si>
  <si>
    <t>MCDOGE</t>
  </si>
  <si>
    <t>mcdoge</t>
  </si>
  <si>
    <t>McDoge</t>
  </si>
  <si>
    <t>MCELO</t>
  </si>
  <si>
    <t>mcelo</t>
  </si>
  <si>
    <t>mCELO</t>
  </si>
  <si>
    <t>MCEUR</t>
  </si>
  <si>
    <t>mceur</t>
  </si>
  <si>
    <t>mcEUR</t>
  </si>
  <si>
    <t>mcfinance</t>
  </si>
  <si>
    <t>MCFinance</t>
  </si>
  <si>
    <t>MAR</t>
  </si>
  <si>
    <t>mchain</t>
  </si>
  <si>
    <t>Mchain</t>
  </si>
  <si>
    <t>MCHC</t>
  </si>
  <si>
    <t>mch-coin</t>
  </si>
  <si>
    <t>MCH Coin</t>
  </si>
  <si>
    <t>CYCLUB</t>
  </si>
  <si>
    <t>mci-coin</t>
  </si>
  <si>
    <t>Cyclub</t>
  </si>
  <si>
    <t>MCN</t>
  </si>
  <si>
    <t>mcn-ventures</t>
  </si>
  <si>
    <t>MCN Ventures</t>
  </si>
  <si>
    <t>mcobit</t>
  </si>
  <si>
    <t>Mcobit</t>
  </si>
  <si>
    <t>MCOIN</t>
  </si>
  <si>
    <t>mcoin1</t>
  </si>
  <si>
    <t>mCoin</t>
  </si>
  <si>
    <t>MCONTENT</t>
  </si>
  <si>
    <t>mcontent</t>
  </si>
  <si>
    <t>MContent</t>
  </si>
  <si>
    <t>MCPEPE</t>
  </si>
  <si>
    <t>mcpepe</t>
  </si>
  <si>
    <t>MCS</t>
  </si>
  <si>
    <t>mcs-token</t>
  </si>
  <si>
    <t>mdex</t>
  </si>
  <si>
    <t>Mdex</t>
  </si>
  <si>
    <t>TMED</t>
  </si>
  <si>
    <t>mdsquare</t>
  </si>
  <si>
    <t>MDsquare</t>
  </si>
  <si>
    <t>MDTK</t>
  </si>
  <si>
    <t>mdtoken</t>
  </si>
  <si>
    <t>MDtoken</t>
  </si>
  <si>
    <t>MDU</t>
  </si>
  <si>
    <t>mdu</t>
  </si>
  <si>
    <t>MDUKEY</t>
  </si>
  <si>
    <t>MEAD</t>
  </si>
  <si>
    <t>mead</t>
  </si>
  <si>
    <t>Mead</t>
  </si>
  <si>
    <t>MEALS</t>
  </si>
  <si>
    <t>meals</t>
  </si>
  <si>
    <t>MEAN</t>
  </si>
  <si>
    <t>meanfi</t>
  </si>
  <si>
    <t>Meanfi</t>
  </si>
  <si>
    <t>MEANTAMATO</t>
  </si>
  <si>
    <t>mean-tamato</t>
  </si>
  <si>
    <t>Mean Tamato</t>
  </si>
  <si>
    <t>MDT</t>
  </si>
  <si>
    <t>measurable-data-token</t>
  </si>
  <si>
    <t>MEB</t>
  </si>
  <si>
    <t>meblox-protocol</t>
  </si>
  <si>
    <t>Meblox Protocol</t>
  </si>
  <si>
    <t>$MECHA</t>
  </si>
  <si>
    <t>mechachain</t>
  </si>
  <si>
    <t>MechaChain</t>
  </si>
  <si>
    <t>MAPE</t>
  </si>
  <si>
    <t>mecha-morphing</t>
  </si>
  <si>
    <t>Mecha Morphing</t>
  </si>
  <si>
    <t>MEC</t>
  </si>
  <si>
    <t>mechashiba</t>
  </si>
  <si>
    <t>MechaShiba</t>
  </si>
  <si>
    <t>MECHA</t>
  </si>
  <si>
    <t>mecha-tracker</t>
  </si>
  <si>
    <t>Mecha Tracker</t>
  </si>
  <si>
    <t>MECH</t>
  </si>
  <si>
    <t>mech-master</t>
  </si>
  <si>
    <t>Mech Master</t>
  </si>
  <si>
    <t>MCH</t>
  </si>
  <si>
    <t>meconcash</t>
  </si>
  <si>
    <t>Meconcash</t>
  </si>
  <si>
    <t>MEDA</t>
  </si>
  <si>
    <t>medacoin</t>
  </si>
  <si>
    <t>Medacoin</t>
  </si>
  <si>
    <t>MON</t>
  </si>
  <si>
    <t>medamon</t>
  </si>
  <si>
    <t>Medamon</t>
  </si>
  <si>
    <t>MDO</t>
  </si>
  <si>
    <t>medano</t>
  </si>
  <si>
    <t>Medano</t>
  </si>
  <si>
    <t>medcarecoin</t>
  </si>
  <si>
    <t>MedCareCoin</t>
  </si>
  <si>
    <t>media-eye</t>
  </si>
  <si>
    <t>MeDIA eYe</t>
  </si>
  <si>
    <t>MLT</t>
  </si>
  <si>
    <t>media-licensing-token</t>
  </si>
  <si>
    <t>Media Licensing</t>
  </si>
  <si>
    <t>MEDIA</t>
  </si>
  <si>
    <t>media-network</t>
  </si>
  <si>
    <t>Media Network</t>
  </si>
  <si>
    <t>MEDIBIT</t>
  </si>
  <si>
    <t>medibit</t>
  </si>
  <si>
    <t>MED</t>
  </si>
  <si>
    <t>medibloc</t>
  </si>
  <si>
    <t>Medibloc</t>
  </si>
  <si>
    <t>MTN</t>
  </si>
  <si>
    <t>medicalchain</t>
  </si>
  <si>
    <t>Medicalchain</t>
  </si>
  <si>
    <t>medical-token-currency</t>
  </si>
  <si>
    <t>Doc.com</t>
  </si>
  <si>
    <t>MVEDA</t>
  </si>
  <si>
    <t>medicalveda</t>
  </si>
  <si>
    <t>MedicalVeda</t>
  </si>
  <si>
    <t>MCAN</t>
  </si>
  <si>
    <t>medican-coin</t>
  </si>
  <si>
    <t>Medican Coin</t>
  </si>
  <si>
    <t>MEDIC</t>
  </si>
  <si>
    <t>medic-coin</t>
  </si>
  <si>
    <t>Medic Coin</t>
  </si>
  <si>
    <t>MEDI</t>
  </si>
  <si>
    <t>mediconnect</t>
  </si>
  <si>
    <t>MediConnect</t>
  </si>
  <si>
    <t>FAKT</t>
  </si>
  <si>
    <t>medifakt</t>
  </si>
  <si>
    <t>Medifakt</t>
  </si>
  <si>
    <t>MKX</t>
  </si>
  <si>
    <t>medikhanax</t>
  </si>
  <si>
    <t>MedikhanaX</t>
  </si>
  <si>
    <t>MDS</t>
  </si>
  <si>
    <t>medishares</t>
  </si>
  <si>
    <t>MediShares</t>
  </si>
  <si>
    <t>medi-token</t>
  </si>
  <si>
    <t>Medi</t>
  </si>
  <si>
    <t>MDM</t>
  </si>
  <si>
    <t>medium</t>
  </si>
  <si>
    <t>MEDIUM</t>
  </si>
  <si>
    <t>MDZA</t>
  </si>
  <si>
    <t>medooza-ecosystem</t>
  </si>
  <si>
    <t>Medooza Ecosystem</t>
  </si>
  <si>
    <t>MPG</t>
  </si>
  <si>
    <t>medping</t>
  </si>
  <si>
    <t>Medping</t>
  </si>
  <si>
    <t>DUSA</t>
  </si>
  <si>
    <t>medusa</t>
  </si>
  <si>
    <t>Medusa</t>
  </si>
  <si>
    <t>MBBT</t>
  </si>
  <si>
    <t>meebitsdao-pool</t>
  </si>
  <si>
    <t>MeebitsDAO Pool</t>
  </si>
  <si>
    <t>MEEB</t>
  </si>
  <si>
    <t>meeb-master</t>
  </si>
  <si>
    <t>Meeb Master</t>
  </si>
  <si>
    <t>meeb-vault-nftx</t>
  </si>
  <si>
    <t>MEEB Vault (NFTX)</t>
  </si>
  <si>
    <t>MEED</t>
  </si>
  <si>
    <t>meeds-dao</t>
  </si>
  <si>
    <t>Meeds DAO</t>
  </si>
  <si>
    <t>MSHARE</t>
  </si>
  <si>
    <t>meerkat-shares</t>
  </si>
  <si>
    <t>Meerkat Shares</t>
  </si>
  <si>
    <t>MEETONE</t>
  </si>
  <si>
    <t>meetone</t>
  </si>
  <si>
    <t>MEET.ONE</t>
  </si>
  <si>
    <t>meetple</t>
  </si>
  <si>
    <t>Meetple</t>
  </si>
  <si>
    <t>MBONK</t>
  </si>
  <si>
    <t>megabonk</t>
  </si>
  <si>
    <t>megaBonk</t>
  </si>
  <si>
    <t>megacoin</t>
  </si>
  <si>
    <t>Megacoin</t>
  </si>
  <si>
    <t>MEGA</t>
  </si>
  <si>
    <t>megacryptopolis</t>
  </si>
  <si>
    <t>MegaCryptoPolis</t>
  </si>
  <si>
    <t>MLR</t>
  </si>
  <si>
    <t>mega-lottery-services-global</t>
  </si>
  <si>
    <t>Mega Lottery Services Global</t>
  </si>
  <si>
    <t>MGMOON</t>
  </si>
  <si>
    <t>megamoon</t>
  </si>
  <si>
    <t>MegaMoon</t>
  </si>
  <si>
    <t>MSZ</t>
  </si>
  <si>
    <t>megashibazilla</t>
  </si>
  <si>
    <t>MegaShibaZilla</t>
  </si>
  <si>
    <t>MGT</t>
  </si>
  <si>
    <t>megatech</t>
  </si>
  <si>
    <t>Megatech</t>
  </si>
  <si>
    <t>megatoken</t>
  </si>
  <si>
    <t>MegaToken</t>
  </si>
  <si>
    <t>$WEAPON</t>
  </si>
  <si>
    <t>megaweapon</t>
  </si>
  <si>
    <t>Megaweapon</t>
  </si>
  <si>
    <t>MGD</t>
  </si>
  <si>
    <t>megla-doge</t>
  </si>
  <si>
    <t>Megla Doge</t>
  </si>
  <si>
    <t>MEISHU</t>
  </si>
  <si>
    <t>meishu</t>
  </si>
  <si>
    <t>Meishu</t>
  </si>
  <si>
    <t>MEKA</t>
  </si>
  <si>
    <t>meka</t>
  </si>
  <si>
    <t>MekaMiners</t>
  </si>
  <si>
    <t>MEKKA</t>
  </si>
  <si>
    <t>mekkafroggo</t>
  </si>
  <si>
    <t>MekkaFroggo</t>
  </si>
  <si>
    <t>LFGO</t>
  </si>
  <si>
    <t>mekka-froggo</t>
  </si>
  <si>
    <t>Mekka Froggo</t>
  </si>
  <si>
    <t>melalie</t>
  </si>
  <si>
    <t>MELX</t>
  </si>
  <si>
    <t>MELD</t>
  </si>
  <si>
    <t>meland-ai</t>
  </si>
  <si>
    <t>Meland.ai</t>
  </si>
  <si>
    <t>meld</t>
  </si>
  <si>
    <t>MCAU</t>
  </si>
  <si>
    <t>meld-gold</t>
  </si>
  <si>
    <t>Meld Gold</t>
  </si>
  <si>
    <t>MELI</t>
  </si>
  <si>
    <t>meli-games</t>
  </si>
  <si>
    <t>Meli Games</t>
  </si>
  <si>
    <t>MELIODAS</t>
  </si>
  <si>
    <t>meliodas</t>
  </si>
  <si>
    <t>Meliodas</t>
  </si>
  <si>
    <t>MORA</t>
  </si>
  <si>
    <t>meliora</t>
  </si>
  <si>
    <t>Meliora</t>
  </si>
  <si>
    <t>melodity</t>
  </si>
  <si>
    <t>Melodity</t>
  </si>
  <si>
    <t>MELODY</t>
  </si>
  <si>
    <t>melody</t>
  </si>
  <si>
    <t>Melody</t>
  </si>
  <si>
    <t>MLN</t>
  </si>
  <si>
    <t>melon</t>
  </si>
  <si>
    <t>Enzyme</t>
  </si>
  <si>
    <t>MHSP</t>
  </si>
  <si>
    <t>melonheadsprotocol</t>
  </si>
  <si>
    <t>MelonHeadSProtocol</t>
  </si>
  <si>
    <t>$MLNX</t>
  </si>
  <si>
    <t>melonx</t>
  </si>
  <si>
    <t>MELONx</t>
  </si>
  <si>
    <t>MELOS</t>
  </si>
  <si>
    <t>melos-studio</t>
  </si>
  <si>
    <t>Melos Studio</t>
  </si>
  <si>
    <t>MELO</t>
  </si>
  <si>
    <t>melo-token</t>
  </si>
  <si>
    <t>Melo</t>
  </si>
  <si>
    <t>MBN</t>
  </si>
  <si>
    <t>membrana-platform</t>
  </si>
  <si>
    <t>Membrana</t>
  </si>
  <si>
    <t>MEMES</t>
  </si>
  <si>
    <t>meme-chain-capital</t>
  </si>
  <si>
    <t>Meme Chain Capital</t>
  </si>
  <si>
    <t>memecoin</t>
  </si>
  <si>
    <t>Memecoin</t>
  </si>
  <si>
    <t>FACTORY</t>
  </si>
  <si>
    <t>memecoin-factory</t>
  </si>
  <si>
    <t>Memecoin Factory</t>
  </si>
  <si>
    <t>MCU</t>
  </si>
  <si>
    <t>memecoinuniverse</t>
  </si>
  <si>
    <t>MemeCoinUniverse</t>
  </si>
  <si>
    <t>MEMEDOGE</t>
  </si>
  <si>
    <t>meme-doge-coin</t>
  </si>
  <si>
    <t>Meme Doge Coin</t>
  </si>
  <si>
    <t>MEMELON</t>
  </si>
  <si>
    <t>meme-elon-doge-floki</t>
  </si>
  <si>
    <t>Meme Elon Doge Floki</t>
  </si>
  <si>
    <t>MFLATE</t>
  </si>
  <si>
    <t>memeflate</t>
  </si>
  <si>
    <t>Memeflate</t>
  </si>
  <si>
    <t>meme-inu</t>
  </si>
  <si>
    <t>Meme Inu</t>
  </si>
  <si>
    <t>MKONG</t>
  </si>
  <si>
    <t>meme-kong</t>
  </si>
  <si>
    <t>Meme Kong</t>
  </si>
  <si>
    <t>$LORDZ</t>
  </si>
  <si>
    <t>meme-lordz</t>
  </si>
  <si>
    <t>Meme Lordz</t>
  </si>
  <si>
    <t>MEME20</t>
  </si>
  <si>
    <t>meme-ltd</t>
  </si>
  <si>
    <t>MEME LTD</t>
  </si>
  <si>
    <t>MEMA</t>
  </si>
  <si>
    <t>meme-machine</t>
  </si>
  <si>
    <t>Meme Machine</t>
  </si>
  <si>
    <t>memenft</t>
  </si>
  <si>
    <t>MemeNFT</t>
  </si>
  <si>
    <t>MNOP</t>
  </si>
  <si>
    <t>memenopoly-money</t>
  </si>
  <si>
    <t>Memenopoly Money</t>
  </si>
  <si>
    <t>MEPAD</t>
  </si>
  <si>
    <t>memepad</t>
  </si>
  <si>
    <t>MemePad</t>
  </si>
  <si>
    <t>memes-token</t>
  </si>
  <si>
    <t>Memes</t>
  </si>
  <si>
    <t>memetic</t>
  </si>
  <si>
    <t>Memetic</t>
  </si>
  <si>
    <t>memeverse</t>
  </si>
  <si>
    <t>Memeverse</t>
  </si>
  <si>
    <t>MWAR</t>
  </si>
  <si>
    <t>memewars</t>
  </si>
  <si>
    <t>MemeWars</t>
  </si>
  <si>
    <t>MEMEX</t>
  </si>
  <si>
    <t>memex</t>
  </si>
  <si>
    <t>MPAY</t>
  </si>
  <si>
    <t>menapay</t>
  </si>
  <si>
    <t>Menapay</t>
  </si>
  <si>
    <t>menlo-one</t>
  </si>
  <si>
    <t>Menlo One</t>
  </si>
  <si>
    <t>MSA</t>
  </si>
  <si>
    <t>mensa</t>
  </si>
  <si>
    <t>Mensa</t>
  </si>
  <si>
    <t>MENSA</t>
  </si>
  <si>
    <t>mensa-protocol</t>
  </si>
  <si>
    <t>Mensa Protocol</t>
  </si>
  <si>
    <t>MEONG</t>
  </si>
  <si>
    <t>meong-token</t>
  </si>
  <si>
    <t>Meong</t>
  </si>
  <si>
    <t>MEO</t>
  </si>
  <si>
    <t>meo-tools</t>
  </si>
  <si>
    <t>Meo.tools</t>
  </si>
  <si>
    <t>MNT</t>
  </si>
  <si>
    <t>meownaut</t>
  </si>
  <si>
    <t>Meownaut</t>
  </si>
  <si>
    <t>MEOW</t>
  </si>
  <si>
    <t>meowswap-token</t>
  </si>
  <si>
    <t>MeowSwap</t>
  </si>
  <si>
    <t>MGOLD</t>
  </si>
  <si>
    <t>mercenary</t>
  </si>
  <si>
    <t>Mercenary</t>
  </si>
  <si>
    <t>MTO</t>
  </si>
  <si>
    <t>merchant-token</t>
  </si>
  <si>
    <t>Merchant</t>
  </si>
  <si>
    <t>MRCH</t>
  </si>
  <si>
    <t>merchdao</t>
  </si>
  <si>
    <t>MerchDAO</t>
  </si>
  <si>
    <t>MRCR</t>
  </si>
  <si>
    <t>mercor-finance</t>
  </si>
  <si>
    <t>Mercor Finance</t>
  </si>
  <si>
    <t>MVP</t>
  </si>
  <si>
    <t>merculet</t>
  </si>
  <si>
    <t>Merculet</t>
  </si>
  <si>
    <t>MER</t>
  </si>
  <si>
    <t>mercurial</t>
  </si>
  <si>
    <t>Mercurial</t>
  </si>
  <si>
    <t>mercury</t>
  </si>
  <si>
    <t>Mercury</t>
  </si>
  <si>
    <t>MERCURY</t>
  </si>
  <si>
    <t>mercury-tools</t>
  </si>
  <si>
    <t>Mercury Tools</t>
  </si>
  <si>
    <t>MERI</t>
  </si>
  <si>
    <t>merebel</t>
  </si>
  <si>
    <t>Merebel</t>
  </si>
  <si>
    <t>MERGE</t>
  </si>
  <si>
    <t>merge</t>
  </si>
  <si>
    <t>Merge</t>
  </si>
  <si>
    <t>meridian-network</t>
  </si>
  <si>
    <t>Meridian Network</t>
  </si>
  <si>
    <t>merit-circle</t>
  </si>
  <si>
    <t>Merit Circle</t>
  </si>
  <si>
    <t>MERKLE</t>
  </si>
  <si>
    <t>merkle-network</t>
  </si>
  <si>
    <t>Merkle Network</t>
  </si>
  <si>
    <t>MERD</t>
  </si>
  <si>
    <t>mermaid</t>
  </si>
  <si>
    <t>Mermaid</t>
  </si>
  <si>
    <t>MES</t>
  </si>
  <si>
    <t>meschain</t>
  </si>
  <si>
    <t>MesChain</t>
  </si>
  <si>
    <t>SEFA</t>
  </si>
  <si>
    <t>mesefa</t>
  </si>
  <si>
    <t>Mesefa</t>
  </si>
  <si>
    <t>MESH</t>
  </si>
  <si>
    <t>meshbox</t>
  </si>
  <si>
    <t>MeshBox</t>
  </si>
  <si>
    <t>MTA</t>
  </si>
  <si>
    <t>meta</t>
  </si>
  <si>
    <t>MAOE</t>
  </si>
  <si>
    <t>meta-age-of-empires</t>
  </si>
  <si>
    <t>Meta Age of Empires</t>
  </si>
  <si>
    <t>MAIR</t>
  </si>
  <si>
    <t>metaair</t>
  </si>
  <si>
    <t>MetaAir</t>
  </si>
  <si>
    <t>metaaltpad</t>
  </si>
  <si>
    <t>MetaAltPad</t>
  </si>
  <si>
    <t>MAPES</t>
  </si>
  <si>
    <t>meta-apes</t>
  </si>
  <si>
    <t>Meta Apes</t>
  </si>
  <si>
    <t>AUDIOM</t>
  </si>
  <si>
    <t>metaaudio</t>
  </si>
  <si>
    <t>MetaAudio</t>
  </si>
  <si>
    <t>metaaxis</t>
  </si>
  <si>
    <t>MetaAxis</t>
  </si>
  <si>
    <t>METABEAN</t>
  </si>
  <si>
    <t>metabean</t>
  </si>
  <si>
    <t>MetaBean</t>
  </si>
  <si>
    <t>MBET</t>
  </si>
  <si>
    <t>metabet</t>
  </si>
  <si>
    <t>MetaBET</t>
  </si>
  <si>
    <t>MBIKE</t>
  </si>
  <si>
    <t>metabike</t>
  </si>
  <si>
    <t>Metabike</t>
  </si>
  <si>
    <t>METABC</t>
  </si>
  <si>
    <t>meta-billionaires-club</t>
  </si>
  <si>
    <t>Meta Billionaires Club</t>
  </si>
  <si>
    <t>metablackout</t>
  </si>
  <si>
    <t>MetaBlackout</t>
  </si>
  <si>
    <t>MTBC</t>
  </si>
  <si>
    <t>metabolic</t>
  </si>
  <si>
    <t>Metabolic</t>
  </si>
  <si>
    <t>metabomb</t>
  </si>
  <si>
    <t>MetaBomb</t>
  </si>
  <si>
    <t>metabots</t>
  </si>
  <si>
    <t>MetaBots</t>
  </si>
  <si>
    <t>MAGE</t>
  </si>
  <si>
    <t>metabrands</t>
  </si>
  <si>
    <t>MetaBrands</t>
  </si>
  <si>
    <t>BRAWL</t>
  </si>
  <si>
    <t>meta-brawl</t>
  </si>
  <si>
    <t>Meta Brawl</t>
  </si>
  <si>
    <t>meta-bsc</t>
  </si>
  <si>
    <t>Meta BSC</t>
  </si>
  <si>
    <t>BERAGE</t>
  </si>
  <si>
    <t>metabullrage</t>
  </si>
  <si>
    <t>Metabullrage</t>
  </si>
  <si>
    <t>MBR</t>
  </si>
  <si>
    <t>metabullrun</t>
  </si>
  <si>
    <t>MetaBullRun</t>
  </si>
  <si>
    <t>metabusdcoin</t>
  </si>
  <si>
    <t>MetaBUSDCoin</t>
  </si>
  <si>
    <t>MEFI</t>
  </si>
  <si>
    <t>metabusiness</t>
  </si>
  <si>
    <t>Metabusiness</t>
  </si>
  <si>
    <t>MCAP</t>
  </si>
  <si>
    <t>meta-capital</t>
  </si>
  <si>
    <t>Meta Capital</t>
  </si>
  <si>
    <t>META CAR</t>
  </si>
  <si>
    <t>meta-car</t>
  </si>
  <si>
    <t>Meta Car</t>
  </si>
  <si>
    <t>metacash</t>
  </si>
  <si>
    <t>MetaCash</t>
  </si>
  <si>
    <t>meta-cat</t>
  </si>
  <si>
    <t>Meta Cat</t>
  </si>
  <si>
    <t>metacelo</t>
  </si>
  <si>
    <t>MetaCelo</t>
  </si>
  <si>
    <t>SHAH</t>
  </si>
  <si>
    <t>metachess</t>
  </si>
  <si>
    <t>MetaChess</t>
  </si>
  <si>
    <t>PCORE</t>
  </si>
  <si>
    <t>metaclash</t>
  </si>
  <si>
    <t>MetaClash</t>
  </si>
  <si>
    <t>META CLOTH</t>
  </si>
  <si>
    <t>meta-cloth</t>
  </si>
  <si>
    <t>Meta Cloth</t>
  </si>
  <si>
    <t>CLUB</t>
  </si>
  <si>
    <t>meta-club</t>
  </si>
  <si>
    <t>Meta Club</t>
  </si>
  <si>
    <t>metacoin</t>
  </si>
  <si>
    <t>Metacoin</t>
  </si>
  <si>
    <t>metacontinental</t>
  </si>
  <si>
    <t>MetaContinental</t>
  </si>
  <si>
    <t>metacraft</t>
  </si>
  <si>
    <t>Metacraft</t>
  </si>
  <si>
    <t>MDL</t>
  </si>
  <si>
    <t>meta-decentraland</t>
  </si>
  <si>
    <t>Meta Decentraland</t>
  </si>
  <si>
    <t>DBY</t>
  </si>
  <si>
    <t>metaderby</t>
  </si>
  <si>
    <t>Metaderby</t>
  </si>
  <si>
    <t>HOOF</t>
  </si>
  <si>
    <t>metaderby-hoof</t>
  </si>
  <si>
    <t>Metaderby Hoof</t>
  </si>
  <si>
    <t>metadium</t>
  </si>
  <si>
    <t>Metadium</t>
  </si>
  <si>
    <t>MEDOC</t>
  </si>
  <si>
    <t>metadoctor</t>
  </si>
  <si>
    <t>MetaDoctor</t>
  </si>
  <si>
    <t>METADOGE</t>
  </si>
  <si>
    <t>meta-doge</t>
  </si>
  <si>
    <t>Meta Doge</t>
  </si>
  <si>
    <t>metadogeswap</t>
  </si>
  <si>
    <t>MetaDogeSwap</t>
  </si>
  <si>
    <t>METADOGEV2</t>
  </si>
  <si>
    <t>metadoge-v2</t>
  </si>
  <si>
    <t>MetaDoge V2</t>
  </si>
  <si>
    <t>DOG$</t>
  </si>
  <si>
    <t>metadog-racing</t>
  </si>
  <si>
    <t>MetaDog Racing</t>
  </si>
  <si>
    <t>metadrace</t>
  </si>
  <si>
    <t>MetaDrace</t>
  </si>
  <si>
    <t>DRAGON</t>
  </si>
  <si>
    <t>meta-dragon-city</t>
  </si>
  <si>
    <t>Meta Dragon City</t>
  </si>
  <si>
    <t>MTD</t>
  </si>
  <si>
    <t>metadress</t>
  </si>
  <si>
    <t>MetaDress</t>
  </si>
  <si>
    <t>MDB</t>
  </si>
  <si>
    <t>metadubai</t>
  </si>
  <si>
    <t>MetaDubai</t>
  </si>
  <si>
    <t>FABRIC</t>
  </si>
  <si>
    <t>metafabric</t>
  </si>
  <si>
    <t>MetaFabric</t>
  </si>
  <si>
    <t>metaface</t>
  </si>
  <si>
    <t>MetaFace</t>
  </si>
  <si>
    <t>METAFARM</t>
  </si>
  <si>
    <t>metafarm-dao</t>
  </si>
  <si>
    <t>MetaFarm DAO</t>
  </si>
  <si>
    <t>MFF</t>
  </si>
  <si>
    <t>meta-farmer-finance</t>
  </si>
  <si>
    <t>Meta Farmer Finance</t>
  </si>
  <si>
    <t>MFS</t>
  </si>
  <si>
    <t>metafashioners</t>
  </si>
  <si>
    <t>MetaFashioners</t>
  </si>
  <si>
    <t>metaficial-world</t>
  </si>
  <si>
    <t>Metaficial World</t>
  </si>
  <si>
    <t>MF</t>
  </si>
  <si>
    <t>metafighter</t>
  </si>
  <si>
    <t>MetaFighter</t>
  </si>
  <si>
    <t>metafinance</t>
  </si>
  <si>
    <t>MetaFinance</t>
  </si>
  <si>
    <t>MF1</t>
  </si>
  <si>
    <t>meta_finance</t>
  </si>
  <si>
    <t>Meta Finance</t>
  </si>
  <si>
    <t>FISH</t>
  </si>
  <si>
    <t>metafish</t>
  </si>
  <si>
    <t>Metafish</t>
  </si>
  <si>
    <t>METAFLIP</t>
  </si>
  <si>
    <t>metaflip</t>
  </si>
  <si>
    <t>MetaFlip</t>
  </si>
  <si>
    <t>MFLOKI</t>
  </si>
  <si>
    <t>meta-floki</t>
  </si>
  <si>
    <t>Meta Floki</t>
  </si>
  <si>
    <t>METAFLOKIMG</t>
  </si>
  <si>
    <t>meta-flokimon-go</t>
  </si>
  <si>
    <t>Meta FlokiMon Go</t>
  </si>
  <si>
    <t>METO</t>
  </si>
  <si>
    <t>metafluence</t>
  </si>
  <si>
    <t>Metafluence</t>
  </si>
  <si>
    <t>METAFOCUS</t>
  </si>
  <si>
    <t>metafocus</t>
  </si>
  <si>
    <t>MetaFocus</t>
  </si>
  <si>
    <t>MTF</t>
  </si>
  <si>
    <t>metafootball</t>
  </si>
  <si>
    <t>MetaFootball</t>
  </si>
  <si>
    <t>MGXY</t>
  </si>
  <si>
    <t>metagalaxy</t>
  </si>
  <si>
    <t>Metagalaxy</t>
  </si>
  <si>
    <t>MEGALAND</t>
  </si>
  <si>
    <t>metagalaxy-land</t>
  </si>
  <si>
    <t>Metagalaxy Land</t>
  </si>
  <si>
    <t>SEED</t>
  </si>
  <si>
    <t>metagame</t>
  </si>
  <si>
    <t>MetaGame</t>
  </si>
  <si>
    <t>MGA</t>
  </si>
  <si>
    <t>metagame-arena</t>
  </si>
  <si>
    <t>Metagame Arena</t>
  </si>
  <si>
    <t>MGH</t>
  </si>
  <si>
    <t>metagamehub-dao</t>
  </si>
  <si>
    <t>MetaGameHub DAO</t>
  </si>
  <si>
    <t>METAGS</t>
  </si>
  <si>
    <t>metagamespace</t>
  </si>
  <si>
    <t>MetaGameSpace</t>
  </si>
  <si>
    <t>MTGM</t>
  </si>
  <si>
    <t>metagaming</t>
  </si>
  <si>
    <t>MetaGaming</t>
  </si>
  <si>
    <t>MGG</t>
  </si>
  <si>
    <t>metagaming-guild</t>
  </si>
  <si>
    <t>MetaGaming Guild</t>
  </si>
  <si>
    <t>METAG</t>
  </si>
  <si>
    <t>metagamz</t>
  </si>
  <si>
    <t>MetagamZ</t>
  </si>
  <si>
    <t>metagear</t>
  </si>
  <si>
    <t>MetaGear</t>
  </si>
  <si>
    <t>MGCHI</t>
  </si>
  <si>
    <t>metagochi</t>
  </si>
  <si>
    <t>Metagochi</t>
  </si>
  <si>
    <t>MGOD</t>
  </si>
  <si>
    <t>metagods</t>
  </si>
  <si>
    <t>MetaGods</t>
  </si>
  <si>
    <t>METAGON</t>
  </si>
  <si>
    <t>metagon</t>
  </si>
  <si>
    <t>Metagon</t>
  </si>
  <si>
    <t>metagox</t>
  </si>
  <si>
    <t>Metagox</t>
  </si>
  <si>
    <t>meta-grow</t>
  </si>
  <si>
    <t>META GROW</t>
  </si>
  <si>
    <t>MHG</t>
  </si>
  <si>
    <t>meta-hangry-games</t>
  </si>
  <si>
    <t>Meta Hangry Games</t>
  </si>
  <si>
    <t>MHC</t>
  </si>
  <si>
    <t>metahash</t>
  </si>
  <si>
    <t>#MetaHash</t>
  </si>
  <si>
    <t>metahero</t>
  </si>
  <si>
    <t>Metahero</t>
  </si>
  <si>
    <t>META HOUSE</t>
  </si>
  <si>
    <t>meta-house</t>
  </si>
  <si>
    <t>Meta House</t>
  </si>
  <si>
    <t>meta-inu-token</t>
  </si>
  <si>
    <t>Meta Inu Token</t>
  </si>
  <si>
    <t>IGO</t>
  </si>
  <si>
    <t>meta-islands</t>
  </si>
  <si>
    <t>Meta Islands</t>
  </si>
  <si>
    <t>MKP</t>
  </si>
  <si>
    <t>metakeeper</t>
  </si>
  <si>
    <t>MetaKeeper</t>
  </si>
  <si>
    <t>metakings</t>
  </si>
  <si>
    <t>Metakings</t>
  </si>
  <si>
    <t>METAKNIGHT</t>
  </si>
  <si>
    <t>meta-knight</t>
  </si>
  <si>
    <t>Meta Knight</t>
  </si>
  <si>
    <t>metakombat</t>
  </si>
  <si>
    <t>MetaKombat</t>
  </si>
  <si>
    <t>MKC</t>
  </si>
  <si>
    <t>meta-kongz</t>
  </si>
  <si>
    <t>Meta Kongz</t>
  </si>
  <si>
    <t>MTL</t>
  </si>
  <si>
    <t>metal</t>
  </si>
  <si>
    <t>Metal</t>
  </si>
  <si>
    <t>metalama</t>
  </si>
  <si>
    <t>MetaLama</t>
  </si>
  <si>
    <t>metaland-dao</t>
  </si>
  <si>
    <t>Metaland DAO</t>
  </si>
  <si>
    <t>metaland-gameverse</t>
  </si>
  <si>
    <t>Monster</t>
  </si>
  <si>
    <t>MLS</t>
  </si>
  <si>
    <t>MLY</t>
  </si>
  <si>
    <t>meta-land-yield</t>
  </si>
  <si>
    <t>Meta Land Yield</t>
  </si>
  <si>
    <t>$METAZ</t>
  </si>
  <si>
    <t>metalandz</t>
  </si>
  <si>
    <t>MetaLandz</t>
  </si>
  <si>
    <t>MBMX</t>
  </si>
  <si>
    <t>metal-backed-money</t>
  </si>
  <si>
    <t>Metal Backed Money</t>
  </si>
  <si>
    <t>meta-legends</t>
  </si>
  <si>
    <t>Meta Legends</t>
  </si>
  <si>
    <t>metalk</t>
  </si>
  <si>
    <t>Metalk</t>
  </si>
  <si>
    <t>MTLMC3</t>
  </si>
  <si>
    <t>metal-music-coin</t>
  </si>
  <si>
    <t>Metal Music Coin</t>
  </si>
  <si>
    <t>metaloop-tech</t>
  </si>
  <si>
    <t>Metaloop Tech</t>
  </si>
  <si>
    <t>metal-packaging-token</t>
  </si>
  <si>
    <t>Metal Packaging Token</t>
  </si>
  <si>
    <t>XMT</t>
  </si>
  <si>
    <t>metalswap</t>
  </si>
  <si>
    <t>MetalSwap</t>
  </si>
  <si>
    <t>METALUNA</t>
  </si>
  <si>
    <t>metaluna</t>
  </si>
  <si>
    <t>MetaLuna</t>
  </si>
  <si>
    <t>MALL</t>
  </si>
  <si>
    <t>metamall</t>
  </si>
  <si>
    <t>MetaMall</t>
  </si>
  <si>
    <t>metamaps</t>
  </si>
  <si>
    <t>MetaMaps</t>
  </si>
  <si>
    <t>METAM</t>
  </si>
  <si>
    <t>metamars</t>
  </si>
  <si>
    <t>MetaMars</t>
  </si>
  <si>
    <t>MTM</t>
  </si>
  <si>
    <t>metamate</t>
  </si>
  <si>
    <t>MetaMate</t>
  </si>
  <si>
    <t>metamatrix</t>
  </si>
  <si>
    <t>MetaMatrix</t>
  </si>
  <si>
    <t>meta-monstas</t>
  </si>
  <si>
    <t>Meta Monstas</t>
  </si>
  <si>
    <t>METAMOON</t>
  </si>
  <si>
    <t>metamoon</t>
  </si>
  <si>
    <t>MetaMoon</t>
  </si>
  <si>
    <t>METM</t>
  </si>
  <si>
    <t>metamorph</t>
  </si>
  <si>
    <t>MetaMorph</t>
  </si>
  <si>
    <t>MOUNT</t>
  </si>
  <si>
    <t>metamounts</t>
  </si>
  <si>
    <t>MetaMounts</t>
  </si>
  <si>
    <t>MMUI</t>
  </si>
  <si>
    <t>metamui</t>
  </si>
  <si>
    <t>MetaMUI</t>
  </si>
  <si>
    <t>meta-musk</t>
  </si>
  <si>
    <t>Meta Musk</t>
  </si>
  <si>
    <t>MVRS</t>
  </si>
  <si>
    <t>meta-mvrs</t>
  </si>
  <si>
    <t>Meta MVRS</t>
  </si>
  <si>
    <t>MENA</t>
  </si>
  <si>
    <t>metanations</t>
  </si>
  <si>
    <t>MetaNations</t>
  </si>
  <si>
    <t>METAN</t>
  </si>
  <si>
    <t>metan-evolutions</t>
  </si>
  <si>
    <t>Metan Evolutions</t>
  </si>
  <si>
    <t>metanft</t>
  </si>
  <si>
    <t>MetaNFT</t>
  </si>
  <si>
    <t>MNG</t>
  </si>
  <si>
    <t>metanftgaming</t>
  </si>
  <si>
    <t>MetaNFTGaming</t>
  </si>
  <si>
    <t>METANIA</t>
  </si>
  <si>
    <t>metaniagames</t>
  </si>
  <si>
    <t>MetaniaGames</t>
  </si>
  <si>
    <t>METX</t>
  </si>
  <si>
    <t>metanyx</t>
  </si>
  <si>
    <t>Metanyx</t>
  </si>
  <si>
    <t>MPD</t>
  </si>
  <si>
    <t>metapad</t>
  </si>
  <si>
    <t>Metapad</t>
  </si>
  <si>
    <t>metapay</t>
  </si>
  <si>
    <t>Metapay</t>
  </si>
  <si>
    <t>METAPETS</t>
  </si>
  <si>
    <t>metapets</t>
  </si>
  <si>
    <t>MetaPets</t>
  </si>
  <si>
    <t>MP</t>
  </si>
  <si>
    <t>MEPIX</t>
  </si>
  <si>
    <t>metapixel</t>
  </si>
  <si>
    <t>MetaPixel</t>
  </si>
  <si>
    <t>MPC</t>
  </si>
  <si>
    <t>metaplace</t>
  </si>
  <si>
    <t>Metaplace</t>
  </si>
  <si>
    <t>metaplanet</t>
  </si>
  <si>
    <t>MetaPlanet</t>
  </si>
  <si>
    <t>MPLAY</t>
  </si>
  <si>
    <t>metaplay</t>
  </si>
  <si>
    <t>FPS</t>
  </si>
  <si>
    <t>metaplayers-gg</t>
  </si>
  <si>
    <t>MetaPlayers.gg</t>
  </si>
  <si>
    <t>meta-pool</t>
  </si>
  <si>
    <t>Meta Pool</t>
  </si>
  <si>
    <t>metaportal-gaming-index</t>
  </si>
  <si>
    <t>MetaPortal Gaming Index</t>
  </si>
  <si>
    <t>METAP</t>
  </si>
  <si>
    <t>metapplay</t>
  </si>
  <si>
    <t>MetapPlay</t>
  </si>
  <si>
    <t>metaprints</t>
  </si>
  <si>
    <t>Metaprints</t>
  </si>
  <si>
    <t>METAQ</t>
  </si>
  <si>
    <t>metaq</t>
  </si>
  <si>
    <t>MetaQ</t>
  </si>
  <si>
    <t>METAR</t>
  </si>
  <si>
    <t>metaraca</t>
  </si>
  <si>
    <t>MetaRaca</t>
  </si>
  <si>
    <t>MRS</t>
  </si>
  <si>
    <t>metaracers</t>
  </si>
  <si>
    <t>MetaRacers</t>
  </si>
  <si>
    <t>MTRA</t>
  </si>
  <si>
    <t>metarare</t>
  </si>
  <si>
    <t>MetaRare</t>
  </si>
  <si>
    <t>MRLM</t>
  </si>
  <si>
    <t>metarealm</t>
  </si>
  <si>
    <t>MetaRealm</t>
  </si>
  <si>
    <t>metareserve</t>
  </si>
  <si>
    <t>MetaReserve</t>
  </si>
  <si>
    <t>RIM</t>
  </si>
  <si>
    <t>metarim</t>
  </si>
  <si>
    <t>MetaRim</t>
  </si>
  <si>
    <t>RBX</t>
  </si>
  <si>
    <t>metarobox</t>
  </si>
  <si>
    <t>Metarobox</t>
  </si>
  <si>
    <t>METAROID</t>
  </si>
  <si>
    <t>metaroid-nft</t>
  </si>
  <si>
    <t>Metaroid NFT</t>
  </si>
  <si>
    <t>MRVR</t>
  </si>
  <si>
    <t>metaroyale</t>
  </si>
  <si>
    <t>MetaRoyale</t>
  </si>
  <si>
    <t>MTSC</t>
  </si>
  <si>
    <t>metars</t>
  </si>
  <si>
    <t>Metars</t>
  </si>
  <si>
    <t>MR</t>
  </si>
  <si>
    <t>meta-ruffy</t>
  </si>
  <si>
    <t>Meta Ruffy</t>
  </si>
  <si>
    <t>MRUN</t>
  </si>
  <si>
    <t>metarun</t>
  </si>
  <si>
    <t>Metarun</t>
  </si>
  <si>
    <t>METASFM</t>
  </si>
  <si>
    <t>metasafemoon</t>
  </si>
  <si>
    <t>MetaSafeMoon</t>
  </si>
  <si>
    <t>METAS</t>
  </si>
  <si>
    <t>metaseer</t>
  </si>
  <si>
    <t>Metaseer</t>
  </si>
  <si>
    <t>MSU</t>
  </si>
  <si>
    <t>metasens</t>
  </si>
  <si>
    <t>Metasens</t>
  </si>
  <si>
    <t>MTS</t>
  </si>
  <si>
    <t>meta-shark</t>
  </si>
  <si>
    <t>Meta Shark</t>
  </si>
  <si>
    <t>SHELL</t>
  </si>
  <si>
    <t>metashells</t>
  </si>
  <si>
    <t>MetaShells</t>
  </si>
  <si>
    <t>METASHIB</t>
  </si>
  <si>
    <t>metashiba</t>
  </si>
  <si>
    <t>MetaShiba</t>
  </si>
  <si>
    <t>MSHIBA</t>
  </si>
  <si>
    <t>meta-shiba</t>
  </si>
  <si>
    <t>Meta Shiba</t>
  </si>
  <si>
    <t>metashib-token</t>
  </si>
  <si>
    <t>MetaShib</t>
  </si>
  <si>
    <t>meta-shield</t>
  </si>
  <si>
    <t>Meta Shield</t>
  </si>
  <si>
    <t>MHUNT</t>
  </si>
  <si>
    <t>metashooter</t>
  </si>
  <si>
    <t>MetaShooter</t>
  </si>
  <si>
    <t>METASH</t>
  </si>
  <si>
    <t>meta-skinny-hope</t>
  </si>
  <si>
    <t>Meta Skinny&amp;Hope</t>
  </si>
  <si>
    <t>metasnooker</t>
  </si>
  <si>
    <t>MetaSnooker</t>
  </si>
  <si>
    <t>metasoccer</t>
  </si>
  <si>
    <t>MetaSoccer</t>
  </si>
  <si>
    <t>MSPACE</t>
  </si>
  <si>
    <t>metaspace</t>
  </si>
  <si>
    <t>Metaspace</t>
  </si>
  <si>
    <t>MREIT</t>
  </si>
  <si>
    <t>metaspace-reit</t>
  </si>
  <si>
    <t>MetaSpace REIT</t>
  </si>
  <si>
    <t>SPAT</t>
  </si>
  <si>
    <t>meta-spatial</t>
  </si>
  <si>
    <t>Meta Spatial</t>
  </si>
  <si>
    <t>MSP</t>
  </si>
  <si>
    <t>metaspets</t>
  </si>
  <si>
    <t>MetaSpets</t>
  </si>
  <si>
    <t>MTSP</t>
  </si>
  <si>
    <t>metasphere</t>
  </si>
  <si>
    <t>Metasphere</t>
  </si>
  <si>
    <t>metastrike</t>
  </si>
  <si>
    <t>Metastrike</t>
  </si>
  <si>
    <t>MSG</t>
  </si>
  <si>
    <t>metasurvivor</t>
  </si>
  <si>
    <t>MetaSurvivor</t>
  </si>
  <si>
    <t>MSC</t>
  </si>
  <si>
    <t>metaswap</t>
  </si>
  <si>
    <t>MetaSwap</t>
  </si>
  <si>
    <t>RIFF</t>
  </si>
  <si>
    <t>metatariff</t>
  </si>
  <si>
    <t>MetaTariff</t>
  </si>
  <si>
    <t>TAX</t>
  </si>
  <si>
    <t>metatoll</t>
  </si>
  <si>
    <t>MetaToll</t>
  </si>
  <si>
    <t>MTOWN</t>
  </si>
  <si>
    <t>metatown</t>
  </si>
  <si>
    <t>MetaTown</t>
  </si>
  <si>
    <t>MET</t>
  </si>
  <si>
    <t>metatrone</t>
  </si>
  <si>
    <t>Metatrone</t>
  </si>
  <si>
    <t>METAUFO</t>
  </si>
  <si>
    <t>metaufo</t>
  </si>
  <si>
    <t>MetaUFO</t>
  </si>
  <si>
    <t>METAUNIVERSE</t>
  </si>
  <si>
    <t>metauniverse</t>
  </si>
  <si>
    <t>MetaUniverse</t>
  </si>
  <si>
    <t>MEUR</t>
  </si>
  <si>
    <t>meta-uranus</t>
  </si>
  <si>
    <t>Meta Uranus</t>
  </si>
  <si>
    <t>meta-utopia</t>
  </si>
  <si>
    <t>Meta Utopia</t>
  </si>
  <si>
    <t>MVD</t>
  </si>
  <si>
    <t>metavault</t>
  </si>
  <si>
    <t>Metavault</t>
  </si>
  <si>
    <t>metavault-trade</t>
  </si>
  <si>
    <t>Metavault Trade</t>
  </si>
  <si>
    <t>METAVEGAS</t>
  </si>
  <si>
    <t>metavegas</t>
  </si>
  <si>
    <t>MetaVegas</t>
  </si>
  <si>
    <t>metaverseair</t>
  </si>
  <si>
    <t>MetaverseAir</t>
  </si>
  <si>
    <t>METAALLBI</t>
  </si>
  <si>
    <t>metaverse-all-best-ico</t>
  </si>
  <si>
    <t>Metaverse ALL BEST ICO</t>
  </si>
  <si>
    <t>MVC</t>
  </si>
  <si>
    <t>metaverse-capital</t>
  </si>
  <si>
    <t>Metaverse Capital</t>
  </si>
  <si>
    <t>metaverse-dao</t>
  </si>
  <si>
    <t>Metaverse DAO</t>
  </si>
  <si>
    <t>MVDG</t>
  </si>
  <si>
    <t>metaverse-dog</t>
  </si>
  <si>
    <t>MetaVerse Dog</t>
  </si>
  <si>
    <t>metaverse-dualchain-network-architecture</t>
  </si>
  <si>
    <t>Metaverse DNA</t>
  </si>
  <si>
    <t>ETP</t>
  </si>
  <si>
    <t>metaverse-etp</t>
  </si>
  <si>
    <t>Metaverse ETP</t>
  </si>
  <si>
    <t>METACEX</t>
  </si>
  <si>
    <t>metaverse-exchange</t>
  </si>
  <si>
    <t>Metaverse Exchange</t>
  </si>
  <si>
    <t>MEFA</t>
  </si>
  <si>
    <t>metaverse-face</t>
  </si>
  <si>
    <t>Metaverse Face</t>
  </si>
  <si>
    <t>MVI</t>
  </si>
  <si>
    <t>metaverse-index</t>
  </si>
  <si>
    <t>Metaverse Index</t>
  </si>
  <si>
    <t>METAI</t>
  </si>
  <si>
    <t>metaverse-index-token</t>
  </si>
  <si>
    <t>Metaverse Index Token</t>
  </si>
  <si>
    <t>metaverse-lab</t>
  </si>
  <si>
    <t>Metaverse Lab</t>
  </si>
  <si>
    <t>MGLC</t>
  </si>
  <si>
    <t>metaversemgl</t>
  </si>
  <si>
    <t>MetaverseMGL</t>
  </si>
  <si>
    <t>metaverse-miner</t>
  </si>
  <si>
    <t>Metaverse Miner</t>
  </si>
  <si>
    <t>METANET</t>
  </si>
  <si>
    <t>metaverse-network</t>
  </si>
  <si>
    <t>Metaverse Network</t>
  </si>
  <si>
    <t>metaverse-nft-index</t>
  </si>
  <si>
    <t>Metaverse NFT Index</t>
  </si>
  <si>
    <t>metaversepro</t>
  </si>
  <si>
    <t>MetaversePRO</t>
  </si>
  <si>
    <t>MEVR</t>
  </si>
  <si>
    <t>metaverse-vr</t>
  </si>
  <si>
    <t>Metaverse VR</t>
  </si>
  <si>
    <t>METAX</t>
  </si>
  <si>
    <t>metaversex</t>
  </si>
  <si>
    <t>MetaverseX</t>
  </si>
  <si>
    <t>METAVS</t>
  </si>
  <si>
    <t>metaversus</t>
  </si>
  <si>
    <t>MetaVersus</t>
  </si>
  <si>
    <t>MESA</t>
  </si>
  <si>
    <t>metavisa</t>
  </si>
  <si>
    <t>METAV</t>
  </si>
  <si>
    <t>metavpad</t>
  </si>
  <si>
    <t>MetaVPad</t>
  </si>
  <si>
    <t>METAWAR</t>
  </si>
  <si>
    <t>metawar</t>
  </si>
  <si>
    <t>Metawar</t>
  </si>
  <si>
    <t>WARS</t>
  </si>
  <si>
    <t>metawars</t>
  </si>
  <si>
    <t>MetaWars</t>
  </si>
  <si>
    <t>WEAR</t>
  </si>
  <si>
    <t>metawear</t>
  </si>
  <si>
    <t>MetaWear</t>
  </si>
  <si>
    <t>metaworld</t>
  </si>
  <si>
    <t>MetaWorld</t>
  </si>
  <si>
    <t>METAWORLD</t>
  </si>
  <si>
    <t>meta-world</t>
  </si>
  <si>
    <t>Meta World</t>
  </si>
  <si>
    <t>MTW</t>
  </si>
  <si>
    <t>meta-world-game</t>
  </si>
  <si>
    <t>Meta World Game</t>
  </si>
  <si>
    <t>XHUNTER</t>
  </si>
  <si>
    <t>metaxhunter</t>
  </si>
  <si>
    <t>MetaXHunter</t>
  </si>
  <si>
    <t>MEXI</t>
  </si>
  <si>
    <t>metaxiz</t>
  </si>
  <si>
    <t>Metaxiz</t>
  </si>
  <si>
    <t>MXY</t>
  </si>
  <si>
    <t>metaxy</t>
  </si>
  <si>
    <t>Metaxy</t>
  </si>
  <si>
    <t>SPICE</t>
  </si>
  <si>
    <t>metayoka-spice</t>
  </si>
  <si>
    <t>Metayoka Spice</t>
  </si>
  <si>
    <t>MZT</t>
  </si>
  <si>
    <t>meta-z</t>
  </si>
  <si>
    <t>Meta Z</t>
  </si>
  <si>
    <t>MZ</t>
  </si>
  <si>
    <t>metazilla</t>
  </si>
  <si>
    <t>MetaZilla</t>
  </si>
  <si>
    <t>MEZ</t>
  </si>
  <si>
    <t>metazoon-token</t>
  </si>
  <si>
    <t>MetaZoon</t>
  </si>
  <si>
    <t>metazuckzilla</t>
  </si>
  <si>
    <t>MetaZuckZilla</t>
  </si>
  <si>
    <t>METEOR</t>
  </si>
  <si>
    <t>meteorite-network</t>
  </si>
  <si>
    <t>Meteorite Network</t>
  </si>
  <si>
    <t>MRE</t>
  </si>
  <si>
    <t>meteor-remnants-essence</t>
  </si>
  <si>
    <t>Meteor Remnants Essence</t>
  </si>
  <si>
    <t>MTRG</t>
  </si>
  <si>
    <t>meter</t>
  </si>
  <si>
    <t>Meter Governance</t>
  </si>
  <si>
    <t>EMTRG</t>
  </si>
  <si>
    <t>meter-governance-mapped-by-meter-io</t>
  </si>
  <si>
    <t>Meter Governance mapped by Meter.io</t>
  </si>
  <si>
    <t>MTR</t>
  </si>
  <si>
    <t>meter-stable</t>
  </si>
  <si>
    <t>Meter Stable</t>
  </si>
  <si>
    <t>MTHD</t>
  </si>
  <si>
    <t>method-fi</t>
  </si>
  <si>
    <t>Method Finance</t>
  </si>
  <si>
    <t>metis</t>
  </si>
  <si>
    <t>Metis MTS</t>
  </si>
  <si>
    <t>MRISE</t>
  </si>
  <si>
    <t>metisrise</t>
  </si>
  <si>
    <t>MetisRise</t>
  </si>
  <si>
    <t>METIS</t>
  </si>
  <si>
    <t>metis-token</t>
  </si>
  <si>
    <t>Metis</t>
  </si>
  <si>
    <t>metoshi</t>
  </si>
  <si>
    <t>Metoshi</t>
  </si>
  <si>
    <t>METRA</t>
  </si>
  <si>
    <t>metra</t>
  </si>
  <si>
    <t>Metra</t>
  </si>
  <si>
    <t>METR</t>
  </si>
  <si>
    <t>metria</t>
  </si>
  <si>
    <t>Metria Network</t>
  </si>
  <si>
    <t>METRIC</t>
  </si>
  <si>
    <t>metric-exchange</t>
  </si>
  <si>
    <t>MetricExchange</t>
  </si>
  <si>
    <t>metronome</t>
  </si>
  <si>
    <t>Metronome</t>
  </si>
  <si>
    <t>metroverse</t>
  </si>
  <si>
    <t>Metroverse</t>
  </si>
  <si>
    <t>MTLX</t>
  </si>
  <si>
    <t>mettalex</t>
  </si>
  <si>
    <t>Mettalex</t>
  </si>
  <si>
    <t>MEV</t>
  </si>
  <si>
    <t>meverse</t>
  </si>
  <si>
    <t>MEVerse</t>
  </si>
  <si>
    <t>MEW</t>
  </si>
  <si>
    <t>mew-inu</t>
  </si>
  <si>
    <t>Mew Inu</t>
  </si>
  <si>
    <t>MEWN</t>
  </si>
  <si>
    <t>mewn-inu</t>
  </si>
  <si>
    <t>Mewn Inu</t>
  </si>
  <si>
    <t>MEWTWO</t>
  </si>
  <si>
    <t>mewtwo-inu</t>
  </si>
  <si>
    <t>Mewtwo Inu</t>
  </si>
  <si>
    <t>mex</t>
  </si>
  <si>
    <t>MEXC</t>
  </si>
  <si>
    <t>mexc-token</t>
  </si>
  <si>
    <t>MEXC Token</t>
  </si>
  <si>
    <t>MFET</t>
  </si>
  <si>
    <t>mfet</t>
  </si>
  <si>
    <t>mgc-token</t>
  </si>
  <si>
    <t>MGS</t>
  </si>
  <si>
    <t>mg-social</t>
  </si>
  <si>
    <t>MG.Social</t>
  </si>
  <si>
    <t>MIAMI</t>
  </si>
  <si>
    <t>miami</t>
  </si>
  <si>
    <t>MIA</t>
  </si>
  <si>
    <t>miamicoin</t>
  </si>
  <si>
    <t>MiamiCoin</t>
  </si>
  <si>
    <t>miami-land</t>
  </si>
  <si>
    <t>Miami Land</t>
  </si>
  <si>
    <t>MIAW</t>
  </si>
  <si>
    <t>miaw-token</t>
  </si>
  <si>
    <t>Miaw</t>
  </si>
  <si>
    <t>MIB</t>
  </si>
  <si>
    <t>mib-coin</t>
  </si>
  <si>
    <t>MIB Coin</t>
  </si>
  <si>
    <t>microbitcoin</t>
  </si>
  <si>
    <t>MicroBitcoin</t>
  </si>
  <si>
    <t>MBTC</t>
  </si>
  <si>
    <t>micro-bitcoin-finance</t>
  </si>
  <si>
    <t>Micro Bitcoin Finance</t>
  </si>
  <si>
    <t>microcoin</t>
  </si>
  <si>
    <t>MicroCoin</t>
  </si>
  <si>
    <t>MIC</t>
  </si>
  <si>
    <t>microcosm</t>
  </si>
  <si>
    <t>Microcosm</t>
  </si>
  <si>
    <t>1MCT</t>
  </si>
  <si>
    <t>microcredittoken</t>
  </si>
  <si>
    <t>MicroCredit</t>
  </si>
  <si>
    <t>MICRO</t>
  </si>
  <si>
    <t>microdexwallet</t>
  </si>
  <si>
    <t>MicroDexWallet</t>
  </si>
  <si>
    <t>micromines</t>
  </si>
  <si>
    <t>Micromines</t>
  </si>
  <si>
    <t>AMM</t>
  </si>
  <si>
    <t>micromoney</t>
  </si>
  <si>
    <t>MicroMoney</t>
  </si>
  <si>
    <t>PETS</t>
  </si>
  <si>
    <t>micropets</t>
  </si>
  <si>
    <t>MicroPets</t>
  </si>
  <si>
    <t>MICROSANTA</t>
  </si>
  <si>
    <t>micro-santa-coin</t>
  </si>
  <si>
    <t>Micro Santa Coin</t>
  </si>
  <si>
    <t>MICROSHIB</t>
  </si>
  <si>
    <t>microshiba</t>
  </si>
  <si>
    <t>MicroSHIBA</t>
  </si>
  <si>
    <t>DMSFT</t>
  </si>
  <si>
    <t>microsoft-tokenized-stock-defichain</t>
  </si>
  <si>
    <t>Microsoft Tokenized Stock Defichain</t>
  </si>
  <si>
    <t>TICK</t>
  </si>
  <si>
    <t>microtick</t>
  </si>
  <si>
    <t>Microtick</t>
  </si>
  <si>
    <t>microtuber</t>
  </si>
  <si>
    <t>MicroTuber</t>
  </si>
  <si>
    <t>MIZL</t>
  </si>
  <si>
    <t>microzillas</t>
  </si>
  <si>
    <t>MicroZillas</t>
  </si>
  <si>
    <t>MIDAS</t>
  </si>
  <si>
    <t>midas</t>
  </si>
  <si>
    <t>Midas</t>
  </si>
  <si>
    <t>midasdao</t>
  </si>
  <si>
    <t>MidasDAO</t>
  </si>
  <si>
    <t>MDG</t>
  </si>
  <si>
    <t>midas-gold</t>
  </si>
  <si>
    <t>Midas Gold</t>
  </si>
  <si>
    <t>MAS</t>
  </si>
  <si>
    <t>midas-protocol</t>
  </si>
  <si>
    <t>Midas Protocol</t>
  </si>
  <si>
    <t>MIE</t>
  </si>
  <si>
    <t>mie-network</t>
  </si>
  <si>
    <t>MIE Network</t>
  </si>
  <si>
    <t>MIG</t>
  </si>
  <si>
    <t>migranet</t>
  </si>
  <si>
    <t>Migranet</t>
  </si>
  <si>
    <t>MILE</t>
  </si>
  <si>
    <t>milestonebased</t>
  </si>
  <si>
    <t>milestoneBased</t>
  </si>
  <si>
    <t>mileverse</t>
  </si>
  <si>
    <t>MileVerse</t>
  </si>
  <si>
    <t>MILF</t>
  </si>
  <si>
    <t>milf-finance</t>
  </si>
  <si>
    <t>MILF Finance</t>
  </si>
  <si>
    <t>MIL</t>
  </si>
  <si>
    <t>military-finance</t>
  </si>
  <si>
    <t>Military Finance</t>
  </si>
  <si>
    <t>MILIT</t>
  </si>
  <si>
    <t>militia-games</t>
  </si>
  <si>
    <t>Militia Games</t>
  </si>
  <si>
    <t>milk</t>
  </si>
  <si>
    <t>Cool Cats Milk</t>
  </si>
  <si>
    <t>milk2</t>
  </si>
  <si>
    <t>CashCow Protocol Milk</t>
  </si>
  <si>
    <t>MLK</t>
  </si>
  <si>
    <t>milk-alliance</t>
  </si>
  <si>
    <t>MiL.k Alliance</t>
  </si>
  <si>
    <t>MB</t>
  </si>
  <si>
    <t>milk-and-butter</t>
  </si>
  <si>
    <t>Milk and Butter</t>
  </si>
  <si>
    <t>MSHAKE</t>
  </si>
  <si>
    <t>milkshake</t>
  </si>
  <si>
    <t>Milkshake</t>
  </si>
  <si>
    <t>milkshakeswap</t>
  </si>
  <si>
    <t>Milkshake Swap</t>
  </si>
  <si>
    <t>MSHIB</t>
  </si>
  <si>
    <t>milkshiba</t>
  </si>
  <si>
    <t>MilkShiba</t>
  </si>
  <si>
    <t>MILKY</t>
  </si>
  <si>
    <t>milkyswap</t>
  </si>
  <si>
    <t>MilkySwap</t>
  </si>
  <si>
    <t>milky-token</t>
  </si>
  <si>
    <t>Milky</t>
  </si>
  <si>
    <t>milkywayex</t>
  </si>
  <si>
    <t>MilkyWayEx</t>
  </si>
  <si>
    <t>MCLB</t>
  </si>
  <si>
    <t>millenniumclub</t>
  </si>
  <si>
    <t>MillenniumClub Coin</t>
  </si>
  <si>
    <t>MSTO</t>
  </si>
  <si>
    <t>millennium-sapphire</t>
  </si>
  <si>
    <t>Millennium Sapphire</t>
  </si>
  <si>
    <t>millimeter</t>
  </si>
  <si>
    <t>Millimeter</t>
  </si>
  <si>
    <t>million</t>
  </si>
  <si>
    <t>Million</t>
  </si>
  <si>
    <t>MILLION</t>
  </si>
  <si>
    <t>millionaire-maker</t>
  </si>
  <si>
    <t>Millionaire Maker</t>
  </si>
  <si>
    <t>MIMO</t>
  </si>
  <si>
    <t>million-monke</t>
  </si>
  <si>
    <t>Million Monke</t>
  </si>
  <si>
    <t>MILLI</t>
  </si>
  <si>
    <t>millionsy</t>
  </si>
  <si>
    <t>MILLIONSY</t>
  </si>
  <si>
    <t>MFC</t>
  </si>
  <si>
    <t>millonarios-fc-fan-token</t>
  </si>
  <si>
    <t>Millonarios FC Fan Token</t>
  </si>
  <si>
    <t>MILO</t>
  </si>
  <si>
    <t>milo-inu</t>
  </si>
  <si>
    <t>Milo Inu</t>
  </si>
  <si>
    <t>SWARM</t>
  </si>
  <si>
    <t>mim</t>
  </si>
  <si>
    <t>MIMAS</t>
  </si>
  <si>
    <t>MIMATIC</t>
  </si>
  <si>
    <t>mimatic</t>
  </si>
  <si>
    <t>MAI</t>
  </si>
  <si>
    <t>MWC</t>
  </si>
  <si>
    <t>mimblewimblecoin</t>
  </si>
  <si>
    <t>MimbleWimbleCoin</t>
  </si>
  <si>
    <t>MIMIR</t>
  </si>
  <si>
    <t>mimir-token</t>
  </si>
  <si>
    <t>Mimir</t>
  </si>
  <si>
    <t>mimo-parallel-governance-token</t>
  </si>
  <si>
    <t>Mimo Governance</t>
  </si>
  <si>
    <t>mimosa</t>
  </si>
  <si>
    <t>Mimosa</t>
  </si>
  <si>
    <t>MINA</t>
  </si>
  <si>
    <t>mina-protocol</t>
  </si>
  <si>
    <t>Mina Protocol</t>
  </si>
  <si>
    <t>MNTO</t>
  </si>
  <si>
    <t>minato</t>
  </si>
  <si>
    <t>Minato</t>
  </si>
  <si>
    <t>mincoin</t>
  </si>
  <si>
    <t>Mincoin</t>
  </si>
  <si>
    <t>mindcell</t>
  </si>
  <si>
    <t>MindCell</t>
  </si>
  <si>
    <t>MND</t>
  </si>
  <si>
    <t>mindcoin</t>
  </si>
  <si>
    <t>MindCoin</t>
  </si>
  <si>
    <t>$WOOD</t>
  </si>
  <si>
    <t>mindfolk-wood</t>
  </si>
  <si>
    <t>Mindfolk Wood</t>
  </si>
  <si>
    <t>mind-music</t>
  </si>
  <si>
    <t>Mind Music</t>
  </si>
  <si>
    <t>MIN</t>
  </si>
  <si>
    <t>mindol</t>
  </si>
  <si>
    <t>MINDOL</t>
  </si>
  <si>
    <t>MINDS</t>
  </si>
  <si>
    <t>minds</t>
  </si>
  <si>
    <t>Minds</t>
  </si>
  <si>
    <t>mindsync</t>
  </si>
  <si>
    <t>Mindsync</t>
  </si>
  <si>
    <t>minebee</t>
  </si>
  <si>
    <t>MineBee</t>
  </si>
  <si>
    <t>MCR</t>
  </si>
  <si>
    <t>minecrypto</t>
  </si>
  <si>
    <t>MineCrypto</t>
  </si>
  <si>
    <t>MNET</t>
  </si>
  <si>
    <t>mine-network</t>
  </si>
  <si>
    <t>MINE Network</t>
  </si>
  <si>
    <t>MNR</t>
  </si>
  <si>
    <t>mineral</t>
  </si>
  <si>
    <t>Mineral</t>
  </si>
  <si>
    <t>MBLOX</t>
  </si>
  <si>
    <t>minerblox</t>
  </si>
  <si>
    <t>MinerBlox</t>
  </si>
  <si>
    <t>MNE</t>
  </si>
  <si>
    <t>minereum</t>
  </si>
  <si>
    <t>Minereum</t>
  </si>
  <si>
    <t>MG</t>
  </si>
  <si>
    <t>minergate-token</t>
  </si>
  <si>
    <t>minerjoe</t>
  </si>
  <si>
    <t>MinerJoe</t>
  </si>
  <si>
    <t>MINERS</t>
  </si>
  <si>
    <t>minersdefi</t>
  </si>
  <si>
    <t>MinersDefi</t>
  </si>
  <si>
    <t>MIVA</t>
  </si>
  <si>
    <t>minerva-wallet</t>
  </si>
  <si>
    <t>Minerva Wallet</t>
  </si>
  <si>
    <t>DAR</t>
  </si>
  <si>
    <t>mines-of-dalarnia</t>
  </si>
  <si>
    <t>Mines of Dalarnia</t>
  </si>
  <si>
    <t>MNM</t>
  </si>
  <si>
    <t>mineum</t>
  </si>
  <si>
    <t>Mineum</t>
  </si>
  <si>
    <t>MINI</t>
  </si>
  <si>
    <t>mini</t>
  </si>
  <si>
    <t>Mini</t>
  </si>
  <si>
    <t>MINIBABYDOGE</t>
  </si>
  <si>
    <t>mini-baby-doge</t>
  </si>
  <si>
    <t>Mini Baby Doge</t>
  </si>
  <si>
    <t>minibitcoin</t>
  </si>
  <si>
    <t>MiniBitcoin</t>
  </si>
  <si>
    <t>MINIBTC</t>
  </si>
  <si>
    <t>minibtc</t>
  </si>
  <si>
    <t>MiniBTC</t>
  </si>
  <si>
    <t>MINIDOGE</t>
  </si>
  <si>
    <t>minidoge</t>
  </si>
  <si>
    <t>MiniDOGE</t>
  </si>
  <si>
    <t>MINIDOGEPRO</t>
  </si>
  <si>
    <t>mini-doge-pro</t>
  </si>
  <si>
    <t>Mini Doge Pro</t>
  </si>
  <si>
    <t>MINIFLOKI</t>
  </si>
  <si>
    <t>mini-floki</t>
  </si>
  <si>
    <t>Mini Floki</t>
  </si>
  <si>
    <t>MFLOKIADA</t>
  </si>
  <si>
    <t>miniflokiada</t>
  </si>
  <si>
    <t>MiniFlokiADA</t>
  </si>
  <si>
    <t>MINIFOOTBALL</t>
  </si>
  <si>
    <t>minifootball</t>
  </si>
  <si>
    <t>Minifootball</t>
  </si>
  <si>
    <t>MINIKISHIMOTO</t>
  </si>
  <si>
    <t>minikishimoto-inu</t>
  </si>
  <si>
    <t>miniKishimoto Inu</t>
  </si>
  <si>
    <t>MINIKISHU</t>
  </si>
  <si>
    <t>minikishu</t>
  </si>
  <si>
    <t>MMS</t>
  </si>
  <si>
    <t>minimals</t>
  </si>
  <si>
    <t>Minimals</t>
  </si>
  <si>
    <t>MINIME</t>
  </si>
  <si>
    <t>mini-metis</t>
  </si>
  <si>
    <t>Mini Metis</t>
  </si>
  <si>
    <t>MINIMONGOOSE</t>
  </si>
  <si>
    <t>mini-mongoose</t>
  </si>
  <si>
    <t>mini Mongoose</t>
  </si>
  <si>
    <t>minipanther</t>
  </si>
  <si>
    <t>MiniPanther</t>
  </si>
  <si>
    <t>MINISHIB</t>
  </si>
  <si>
    <t>minishib-token</t>
  </si>
  <si>
    <t>miniSHIB Token</t>
  </si>
  <si>
    <t>MINISPORTZ</t>
  </si>
  <si>
    <t>minisportzilla</t>
  </si>
  <si>
    <t>MiniSportZilla</t>
  </si>
  <si>
    <t>MINITIGER</t>
  </si>
  <si>
    <t>mini-tiger</t>
  </si>
  <si>
    <t>Mini Tiger</t>
  </si>
  <si>
    <t>MVDOLLAR</t>
  </si>
  <si>
    <t>miniverse-dollar</t>
  </si>
  <si>
    <t>MiniVerse Dollar</t>
  </si>
  <si>
    <t>miniverse-share</t>
  </si>
  <si>
    <t>Miniverse Share</t>
  </si>
  <si>
    <t>MNX</t>
  </si>
  <si>
    <t>minix</t>
  </si>
  <si>
    <t>MiniX</t>
  </si>
  <si>
    <t>MYAK</t>
  </si>
  <si>
    <t>miniyak</t>
  </si>
  <si>
    <t>MiniYAK</t>
  </si>
  <si>
    <t>minmax</t>
  </si>
  <si>
    <t>MinMax</t>
  </si>
  <si>
    <t>MINO</t>
  </si>
  <si>
    <t>minotaur</t>
  </si>
  <si>
    <t>Minotaur</t>
  </si>
  <si>
    <t>MINT</t>
  </si>
  <si>
    <t>mint-club</t>
  </si>
  <si>
    <t>Mint Club</t>
  </si>
  <si>
    <t>mintcoin</t>
  </si>
  <si>
    <t>Mintcoin</t>
  </si>
  <si>
    <t>mintdao</t>
  </si>
  <si>
    <t>MintDAO</t>
  </si>
  <si>
    <t>minter-hub</t>
  </si>
  <si>
    <t>Minter Hub</t>
  </si>
  <si>
    <t>BIP</t>
  </si>
  <si>
    <t>minter-network</t>
  </si>
  <si>
    <t>Minter Network</t>
  </si>
  <si>
    <t>BTCMT</t>
  </si>
  <si>
    <t>minto</t>
  </si>
  <si>
    <t>Minto</t>
  </si>
  <si>
    <t>mintstarter</t>
  </si>
  <si>
    <t>MintStarter</t>
  </si>
  <si>
    <t>mintswap</t>
  </si>
  <si>
    <t>MintSwap</t>
  </si>
  <si>
    <t>MINTYS</t>
  </si>
  <si>
    <t>mintyswap</t>
  </si>
  <si>
    <t>MintySwap</t>
  </si>
  <si>
    <t>MU</t>
  </si>
  <si>
    <t>miracle-universe</t>
  </si>
  <si>
    <t>Miracle Universe</t>
  </si>
  <si>
    <t>MIRAI</t>
  </si>
  <si>
    <t>mirai-token</t>
  </si>
  <si>
    <t>Mirai Labs</t>
  </si>
  <si>
    <t>MQL</t>
  </si>
  <si>
    <t>miraqle</t>
  </si>
  <si>
    <t>MiraQle</t>
  </si>
  <si>
    <t>MIRL</t>
  </si>
  <si>
    <t>mirl</t>
  </si>
  <si>
    <t>MIRO</t>
  </si>
  <si>
    <t>mirocana</t>
  </si>
  <si>
    <t>Mirocana</t>
  </si>
  <si>
    <t>MABNB</t>
  </si>
  <si>
    <t>mirrored-airbnb</t>
  </si>
  <si>
    <t>Mirrored Airbnb</t>
  </si>
  <si>
    <t>MBABA</t>
  </si>
  <si>
    <t>mirrored-alibaba</t>
  </si>
  <si>
    <t>Mirrored Alibaba</t>
  </si>
  <si>
    <t>MAMZN</t>
  </si>
  <si>
    <t>mirrored-amazon</t>
  </si>
  <si>
    <t>Mirrored Amazon</t>
  </si>
  <si>
    <t>MAAPL</t>
  </si>
  <si>
    <t>mirrored-apple</t>
  </si>
  <si>
    <t>Mirrored Apple</t>
  </si>
  <si>
    <t>mirrored-bitcoin</t>
  </si>
  <si>
    <t>Mirrored Bitcoin</t>
  </si>
  <si>
    <t>MKO</t>
  </si>
  <si>
    <t>mirrored-coca-cola</t>
  </si>
  <si>
    <t>Mirrored Coca-Cola</t>
  </si>
  <si>
    <t>mirrored-coinbase</t>
  </si>
  <si>
    <t>Mirrored Coinbase</t>
  </si>
  <si>
    <t>METH</t>
  </si>
  <si>
    <t>mirrored-ether</t>
  </si>
  <si>
    <t>Mirrored Ether</t>
  </si>
  <si>
    <t>MFB</t>
  </si>
  <si>
    <t>mirrored-facebook</t>
  </si>
  <si>
    <t>Mirrored Facebook</t>
  </si>
  <si>
    <t>MGLXY</t>
  </si>
  <si>
    <t>mirrored-galaxy-digital-holdings-ltd</t>
  </si>
  <si>
    <t>Mirrored Galaxy Digital Holdings Ltd</t>
  </si>
  <si>
    <t>mirrored-goldman-sachs</t>
  </si>
  <si>
    <t>Mirrored Goldman Sachs</t>
  </si>
  <si>
    <t>MGOOGL</t>
  </si>
  <si>
    <t>mirrored-google</t>
  </si>
  <si>
    <t>Mirrored Google</t>
  </si>
  <si>
    <t>MQQQ</t>
  </si>
  <si>
    <t>mirrored-invesco-qqq-trust</t>
  </si>
  <si>
    <t>Mirrored Invesco QQQ Trust</t>
  </si>
  <si>
    <t>MIAU</t>
  </si>
  <si>
    <t>mirrored-ishares-gold-trust</t>
  </si>
  <si>
    <t>Mirrored iShares Gold Trust</t>
  </si>
  <si>
    <t>MSLV</t>
  </si>
  <si>
    <t>mirrored-ishares-silver-trust</t>
  </si>
  <si>
    <t>Mirrored iShares Silver Trust</t>
  </si>
  <si>
    <t>MJNJ</t>
  </si>
  <si>
    <t>mirrored-johnson-johnson</t>
  </si>
  <si>
    <t>Mirrored Johnson &amp; Johnson</t>
  </si>
  <si>
    <t>MMSFT</t>
  </si>
  <si>
    <t>mirrored-microsoft</t>
  </si>
  <si>
    <t>Mirrored Microsoft</t>
  </si>
  <si>
    <t>MNFLX</t>
  </si>
  <si>
    <t>mirrored-netflix</t>
  </si>
  <si>
    <t>Mirrored Netflix</t>
  </si>
  <si>
    <t>MNIO</t>
  </si>
  <si>
    <t>mirrored-nio</t>
  </si>
  <si>
    <t>Mirrored Nio</t>
  </si>
  <si>
    <t>MNVDA</t>
  </si>
  <si>
    <t>mirrored-nvidia</t>
  </si>
  <si>
    <t>Mirrored Nvidia</t>
  </si>
  <si>
    <t>MPYPL</t>
  </si>
  <si>
    <t>mirrored-paypal</t>
  </si>
  <si>
    <t>Mirrored Paypal</t>
  </si>
  <si>
    <t>MSPY</t>
  </si>
  <si>
    <t>mirrored-spdr-s-p-500</t>
  </si>
  <si>
    <t>Mirrored SPDR S&amp;P 500</t>
  </si>
  <si>
    <t>MSQ</t>
  </si>
  <si>
    <t>mirrored-square</t>
  </si>
  <si>
    <t>Mirrored Square</t>
  </si>
  <si>
    <t>MSBUX</t>
  </si>
  <si>
    <t>mirrored-starbucks</t>
  </si>
  <si>
    <t>Mirrored Starbucks</t>
  </si>
  <si>
    <t>MTSLA</t>
  </si>
  <si>
    <t>mirrored-tesla</t>
  </si>
  <si>
    <t>Mirrored Tesla</t>
  </si>
  <si>
    <t>MTWTR</t>
  </si>
  <si>
    <t>mirrored-twitter</t>
  </si>
  <si>
    <t>Mirrored Twitter</t>
  </si>
  <si>
    <t>MUSO</t>
  </si>
  <si>
    <t>mirrored-united-states-oil-fund</t>
  </si>
  <si>
    <t>Mirrored United States Oil Fund</t>
  </si>
  <si>
    <t>MARKK</t>
  </si>
  <si>
    <t>mirror-markk-token</t>
  </si>
  <si>
    <t>Mirror mARKK Token</t>
  </si>
  <si>
    <t>MDOT</t>
  </si>
  <si>
    <t>mirror-mdot-token</t>
  </si>
  <si>
    <t>MIR</t>
  </si>
  <si>
    <t>mirror-protocol</t>
  </si>
  <si>
    <t>Mirror Protocol</t>
  </si>
  <si>
    <t>mirror-world-token</t>
  </si>
  <si>
    <t>MSB</t>
  </si>
  <si>
    <t>misbloc</t>
  </si>
  <si>
    <t>Misbloc</t>
  </si>
  <si>
    <t>MSK</t>
  </si>
  <si>
    <t>mishka</t>
  </si>
  <si>
    <t>Mishka</t>
  </si>
  <si>
    <t>HELIOS</t>
  </si>
  <si>
    <t>mission-helios</t>
  </si>
  <si>
    <t>Mission Helios</t>
  </si>
  <si>
    <t>mist</t>
  </si>
  <si>
    <t>Mist</t>
  </si>
  <si>
    <t>MISTEL</t>
  </si>
  <si>
    <t>mistel-finance</t>
  </si>
  <si>
    <t>Mistel Finance</t>
  </si>
  <si>
    <t>mistswap</t>
  </si>
  <si>
    <t>MistSwap</t>
  </si>
  <si>
    <t>MITH</t>
  </si>
  <si>
    <t>mithril</t>
  </si>
  <si>
    <t>Mithril</t>
  </si>
  <si>
    <t>mithril-share</t>
  </si>
  <si>
    <t>Mithril Share</t>
  </si>
  <si>
    <t>MITHRIL</t>
  </si>
  <si>
    <t>mithrilverse</t>
  </si>
  <si>
    <t>Mithrilverse</t>
  </si>
  <si>
    <t>XIN</t>
  </si>
  <si>
    <t>mixin</t>
  </si>
  <si>
    <t>Mixin</t>
  </si>
  <si>
    <t>MIX</t>
  </si>
  <si>
    <t>mixmarvel</t>
  </si>
  <si>
    <t>MixMarvel</t>
  </si>
  <si>
    <t>SOME</t>
  </si>
  <si>
    <t>mixsome</t>
  </si>
  <si>
    <t>Mixsome</t>
  </si>
  <si>
    <t>mixtrust</t>
  </si>
  <si>
    <t>MixTrust</t>
  </si>
  <si>
    <t>MXF</t>
  </si>
  <si>
    <t>mixty-finance</t>
  </si>
  <si>
    <t>Mixty Finance</t>
  </si>
  <si>
    <t>miyazaki-inu</t>
  </si>
  <si>
    <t>Miyazaki Inu</t>
  </si>
  <si>
    <t>MZR</t>
  </si>
  <si>
    <t>mizar</t>
  </si>
  <si>
    <t>Mizar</t>
  </si>
  <si>
    <t>MJACK</t>
  </si>
  <si>
    <t>mjackswap</t>
  </si>
  <si>
    <t>MjackSwap</t>
  </si>
  <si>
    <t>MJEWEL</t>
  </si>
  <si>
    <t>mjewel</t>
  </si>
  <si>
    <t>MJewel</t>
  </si>
  <si>
    <t>MKITTY</t>
  </si>
  <si>
    <t>mkitty</t>
  </si>
  <si>
    <t>mKitty</t>
  </si>
  <si>
    <t>mktcash</t>
  </si>
  <si>
    <t>Mktcash</t>
  </si>
  <si>
    <t>MKT</t>
  </si>
  <si>
    <t>mktcoin</t>
  </si>
  <si>
    <t>MktCoin</t>
  </si>
  <si>
    <t>MLOKY</t>
  </si>
  <si>
    <t>mloky</t>
  </si>
  <si>
    <t>MM72</t>
  </si>
  <si>
    <t>mm72</t>
  </si>
  <si>
    <t>MMA</t>
  </si>
  <si>
    <t>mmacoin</t>
  </si>
  <si>
    <t>MMACoin</t>
  </si>
  <si>
    <t>mma-gaming</t>
  </si>
  <si>
    <t>MMA Gaming</t>
  </si>
  <si>
    <t>MMAON</t>
  </si>
  <si>
    <t>mmaon</t>
  </si>
  <si>
    <t>MMF</t>
  </si>
  <si>
    <t>mmfinance</t>
  </si>
  <si>
    <t>MMFinance</t>
  </si>
  <si>
    <t>BURROW</t>
  </si>
  <si>
    <t>mmf-money</t>
  </si>
  <si>
    <t>MMF Money</t>
  </si>
  <si>
    <t>MMM7</t>
  </si>
  <si>
    <t>mmmluckup7</t>
  </si>
  <si>
    <t>MMMLUCKUP7</t>
  </si>
  <si>
    <t>mmocoin</t>
  </si>
  <si>
    <t>MMOCoin</t>
  </si>
  <si>
    <t>MCASH</t>
  </si>
  <si>
    <t>mms-cash</t>
  </si>
  <si>
    <t>MMS Cash</t>
  </si>
  <si>
    <t>MMSC</t>
  </si>
  <si>
    <t>mms-coin</t>
  </si>
  <si>
    <t>MMS Coin</t>
  </si>
  <si>
    <t>mm-token</t>
  </si>
  <si>
    <t>MNMC</t>
  </si>
  <si>
    <t>mnmcoin</t>
  </si>
  <si>
    <t>MNMCoin</t>
  </si>
  <si>
    <t>MPTC</t>
  </si>
  <si>
    <t>mnpostree</t>
  </si>
  <si>
    <t>MNPoSTree</t>
  </si>
  <si>
    <t>MO</t>
  </si>
  <si>
    <t>mo</t>
  </si>
  <si>
    <t>MOAR</t>
  </si>
  <si>
    <t>moar</t>
  </si>
  <si>
    <t>Moar Finance</t>
  </si>
  <si>
    <t>mobiecoin</t>
  </si>
  <si>
    <t>MobieCoin</t>
  </si>
  <si>
    <t>MOFI</t>
  </si>
  <si>
    <t>mobifi</t>
  </si>
  <si>
    <t>MobiFi</t>
  </si>
  <si>
    <t>MOB</t>
  </si>
  <si>
    <t>mobilecoin</t>
  </si>
  <si>
    <t>MobileCoin</t>
  </si>
  <si>
    <t>MCPC</t>
  </si>
  <si>
    <t>mobile-crypto-pay-coin</t>
  </si>
  <si>
    <t>Mobile Crypto Pay Coin</t>
  </si>
  <si>
    <t>MGO</t>
  </si>
  <si>
    <t>mobilego</t>
  </si>
  <si>
    <t>MobileGo</t>
  </si>
  <si>
    <t>mobilian-coin</t>
  </si>
  <si>
    <t>Mobilian Coin</t>
  </si>
  <si>
    <t>MOLK</t>
  </si>
  <si>
    <t>mobilink-coin</t>
  </si>
  <si>
    <t>MobilinkToken</t>
  </si>
  <si>
    <t>MOBIC</t>
  </si>
  <si>
    <t>mobility-coin</t>
  </si>
  <si>
    <t>Mobility Coin</t>
  </si>
  <si>
    <t>MITX</t>
  </si>
  <si>
    <t>mobist</t>
  </si>
  <si>
    <t>Mobist</t>
  </si>
  <si>
    <t>MBGL</t>
  </si>
  <si>
    <t>mobit-global</t>
  </si>
  <si>
    <t>Mobit Global</t>
  </si>
  <si>
    <t>MOBI</t>
  </si>
  <si>
    <t>mobius</t>
  </si>
  <si>
    <t>Mobius</t>
  </si>
  <si>
    <t>MOT</t>
  </si>
  <si>
    <t>mobius-finance</t>
  </si>
  <si>
    <t>Mobius Finance</t>
  </si>
  <si>
    <t>mobius-money</t>
  </si>
  <si>
    <t>Mobius Money</t>
  </si>
  <si>
    <t>MBOX</t>
  </si>
  <si>
    <t>mobox</t>
  </si>
  <si>
    <t>Mobox</t>
  </si>
  <si>
    <t>MOBL</t>
  </si>
  <si>
    <t>mobula</t>
  </si>
  <si>
    <t>Mobula</t>
  </si>
  <si>
    <t>MOBY</t>
  </si>
  <si>
    <t>moby-dick-2</t>
  </si>
  <si>
    <t>Moby Dick</t>
  </si>
  <si>
    <t>MOCHI</t>
  </si>
  <si>
    <t>mochi-inu</t>
  </si>
  <si>
    <t>Mochi Inu</t>
  </si>
  <si>
    <t>MOMA</t>
  </si>
  <si>
    <t>mochi-market</t>
  </si>
  <si>
    <t>Mochi Market</t>
  </si>
  <si>
    <t>MCM</t>
  </si>
  <si>
    <t>mochimo</t>
  </si>
  <si>
    <t>Mochimo</t>
  </si>
  <si>
    <t>MODA</t>
  </si>
  <si>
    <t>moda-dao</t>
  </si>
  <si>
    <t>MODA DAO</t>
  </si>
  <si>
    <t>MOD</t>
  </si>
  <si>
    <t>modefi</t>
  </si>
  <si>
    <t>Modefi</t>
  </si>
  <si>
    <t>MODX</t>
  </si>
  <si>
    <t>model-x-coin</t>
  </si>
  <si>
    <t>MODEL-X-coin</t>
  </si>
  <si>
    <t>MODEX</t>
  </si>
  <si>
    <t>modex</t>
  </si>
  <si>
    <t>Modex</t>
  </si>
  <si>
    <t>AIM</t>
  </si>
  <si>
    <t>modihost</t>
  </si>
  <si>
    <t>ModiHost</t>
  </si>
  <si>
    <t>moebius</t>
  </si>
  <si>
    <t>Moebius</t>
  </si>
  <si>
    <t>MDA</t>
  </si>
  <si>
    <t>moeda-loyalty-points</t>
  </si>
  <si>
    <t>Moeda Loyalty Points</t>
  </si>
  <si>
    <t>MOGX</t>
  </si>
  <si>
    <t>mogu</t>
  </si>
  <si>
    <t>Mogu</t>
  </si>
  <si>
    <t>STARS</t>
  </si>
  <si>
    <t>mogul-productions</t>
  </si>
  <si>
    <t>Mogul Productions</t>
  </si>
  <si>
    <t>MJT</t>
  </si>
  <si>
    <t>mojitoswap</t>
  </si>
  <si>
    <t>MojitoSwap</t>
  </si>
  <si>
    <t>MOJO</t>
  </si>
  <si>
    <t>mojocoin</t>
  </si>
  <si>
    <t>Mojocoin</t>
  </si>
  <si>
    <t>MOJOV2</t>
  </si>
  <si>
    <t>mojo-v2</t>
  </si>
  <si>
    <t>Mojo V2</t>
  </si>
  <si>
    <t>MOF</t>
  </si>
  <si>
    <t>molecular-future</t>
  </si>
  <si>
    <t>Molecular Future</t>
  </si>
  <si>
    <t>MOL</t>
  </si>
  <si>
    <t>mollector</t>
  </si>
  <si>
    <t>Mollector</t>
  </si>
  <si>
    <t>MOMAT</t>
  </si>
  <si>
    <t>moma-protocol</t>
  </si>
  <si>
    <t>Moma Protocol</t>
  </si>
  <si>
    <t>MOMENTO</t>
  </si>
  <si>
    <t>momento</t>
  </si>
  <si>
    <t>Momento</t>
  </si>
  <si>
    <t>moments</t>
  </si>
  <si>
    <t>Moments Market</t>
  </si>
  <si>
    <t>momentum-token</t>
  </si>
  <si>
    <t>Momentum MTM</t>
  </si>
  <si>
    <t>MMON</t>
  </si>
  <si>
    <t>mommon</t>
  </si>
  <si>
    <t>Mammon</t>
  </si>
  <si>
    <t>MOMMYDOGE</t>
  </si>
  <si>
    <t>mommy-doge</t>
  </si>
  <si>
    <t>Mommy Doge</t>
  </si>
  <si>
    <t>MOMMYUSDT</t>
  </si>
  <si>
    <t>mommyusdt</t>
  </si>
  <si>
    <t>MommyUSDT</t>
  </si>
  <si>
    <t>momo-key</t>
  </si>
  <si>
    <t>MoMo Key</t>
  </si>
  <si>
    <t>MOMO</t>
  </si>
  <si>
    <t>momo-protocol</t>
  </si>
  <si>
    <t>Momo Protocol</t>
  </si>
  <si>
    <t>MONA</t>
  </si>
  <si>
    <t>mona</t>
  </si>
  <si>
    <t>Monaco Planet</t>
  </si>
  <si>
    <t>MCO</t>
  </si>
  <si>
    <t>monaco</t>
  </si>
  <si>
    <t>monacoin</t>
  </si>
  <si>
    <t>MonaCoin</t>
  </si>
  <si>
    <t>MONK</t>
  </si>
  <si>
    <t>monastery-finance</t>
  </si>
  <si>
    <t>Monastery Finance</t>
  </si>
  <si>
    <t>monavale</t>
  </si>
  <si>
    <t>Monavale</t>
  </si>
  <si>
    <t>MONDAY</t>
  </si>
  <si>
    <t>mondayclub</t>
  </si>
  <si>
    <t>MondayClub</t>
  </si>
  <si>
    <t>MNDCC</t>
  </si>
  <si>
    <t>mondo-community-coin</t>
  </si>
  <si>
    <t>Mondo Community Coin</t>
  </si>
  <si>
    <t>EURE</t>
  </si>
  <si>
    <t>monerium-eur-money</t>
  </si>
  <si>
    <t>Monerium EUR emoney</t>
  </si>
  <si>
    <t>monero</t>
  </si>
  <si>
    <t>XMC</t>
  </si>
  <si>
    <t>monero-classic-xmc</t>
  </si>
  <si>
    <t>Monero-Classic</t>
  </si>
  <si>
    <t>XMV</t>
  </si>
  <si>
    <t>monerov</t>
  </si>
  <si>
    <t>MoneroV</t>
  </si>
  <si>
    <t>MONETA</t>
  </si>
  <si>
    <t>moneta</t>
  </si>
  <si>
    <t>Moneta</t>
  </si>
  <si>
    <t>MUE</t>
  </si>
  <si>
    <t>monetaryunit</t>
  </si>
  <si>
    <t>MonetaryUnit</t>
  </si>
  <si>
    <t>MNTG</t>
  </si>
  <si>
    <t>monetas</t>
  </si>
  <si>
    <t>Monetas</t>
  </si>
  <si>
    <t>MTH</t>
  </si>
  <si>
    <t>monetha</t>
  </si>
  <si>
    <t>Monetha</t>
  </si>
  <si>
    <t>BIPS</t>
  </si>
  <si>
    <t>moneybrain-bips</t>
  </si>
  <si>
    <t>Moneybrain BiPS</t>
  </si>
  <si>
    <t>moneybyte</t>
  </si>
  <si>
    <t>MoneyByte</t>
  </si>
  <si>
    <t>MSD</t>
  </si>
  <si>
    <t>moneydefiswap</t>
  </si>
  <si>
    <t>MoneydefiSwap</t>
  </si>
  <si>
    <t>MONEYRAIN</t>
  </si>
  <si>
    <t>moneyrain-finance</t>
  </si>
  <si>
    <t>Moneyrain Finance</t>
  </si>
  <si>
    <t>MSWAP</t>
  </si>
  <si>
    <t>moneyswap</t>
  </si>
  <si>
    <t>MoneySwap</t>
  </si>
  <si>
    <t>moneytoken</t>
  </si>
  <si>
    <t>MoneyToken</t>
  </si>
  <si>
    <t>MONEY</t>
  </si>
  <si>
    <t>moneytree</t>
  </si>
  <si>
    <t>MoneyTree</t>
  </si>
  <si>
    <t>monfter</t>
  </si>
  <si>
    <t>Monfter</t>
  </si>
  <si>
    <t>MONGOCM</t>
  </si>
  <si>
    <t>mongo-coin</t>
  </si>
  <si>
    <t>MONGO Coin</t>
  </si>
  <si>
    <t>mongol-nft</t>
  </si>
  <si>
    <t>Mongol NFT</t>
  </si>
  <si>
    <t>MONGOOSE</t>
  </si>
  <si>
    <t>mongoose</t>
  </si>
  <si>
    <t>Mongoose</t>
  </si>
  <si>
    <t>mongoosecoin</t>
  </si>
  <si>
    <t>MongooseCoin</t>
  </si>
  <si>
    <t>MOWA</t>
  </si>
  <si>
    <t>moniwar</t>
  </si>
  <si>
    <t>Moniwar</t>
  </si>
  <si>
    <t>monk</t>
  </si>
  <si>
    <t>Monk</t>
  </si>
  <si>
    <t>MBS</t>
  </si>
  <si>
    <t>monkeyball</t>
  </si>
  <si>
    <t>MonkeyLeague</t>
  </si>
  <si>
    <t>MCG</t>
  </si>
  <si>
    <t>monkey-claus-game</t>
  </si>
  <si>
    <t>Monkey Claus Game</t>
  </si>
  <si>
    <t>monnfts</t>
  </si>
  <si>
    <t>MONNFTS</t>
  </si>
  <si>
    <t>MNS</t>
  </si>
  <si>
    <t>monnos</t>
  </si>
  <si>
    <t>Monnos</t>
  </si>
  <si>
    <t>MONO</t>
  </si>
  <si>
    <t>monomoney</t>
  </si>
  <si>
    <t>MonoMoney</t>
  </si>
  <si>
    <t>MONONOKE-INU</t>
  </si>
  <si>
    <t>mononoke-inu</t>
  </si>
  <si>
    <t>Mononoke Inu</t>
  </si>
  <si>
    <t>MGM</t>
  </si>
  <si>
    <t>monopolon</t>
  </si>
  <si>
    <t>MetaGemMolon</t>
  </si>
  <si>
    <t>MMG</t>
  </si>
  <si>
    <t>monopoly-millionaire-game</t>
  </si>
  <si>
    <t>Monopoly Millionaire Game</t>
  </si>
  <si>
    <t>monox</t>
  </si>
  <si>
    <t>MonoX</t>
  </si>
  <si>
    <t>monsoon-finance</t>
  </si>
  <si>
    <t>Monsoon Finance</t>
  </si>
  <si>
    <t>MSPC</t>
  </si>
  <si>
    <t>monspac</t>
  </si>
  <si>
    <t>Monspac</t>
  </si>
  <si>
    <t>MONI</t>
  </si>
  <si>
    <t>monsta-infinite</t>
  </si>
  <si>
    <t>Monsta Infinite</t>
  </si>
  <si>
    <t>MONSTR</t>
  </si>
  <si>
    <t>monstaverse</t>
  </si>
  <si>
    <t>MonstaVerse</t>
  </si>
  <si>
    <t>monster-adventure-token</t>
  </si>
  <si>
    <t>Monster Adventure</t>
  </si>
  <si>
    <t>monster-battle</t>
  </si>
  <si>
    <t>Monster Battle</t>
  </si>
  <si>
    <t>MSS</t>
  </si>
  <si>
    <t>monster-cash-share</t>
  </si>
  <si>
    <t>Monster Slayer Share</t>
  </si>
  <si>
    <t>GGM</t>
  </si>
  <si>
    <t>monster-galaxy</t>
  </si>
  <si>
    <t>Monster Galaxy</t>
  </si>
  <si>
    <t>MGPX</t>
  </si>
  <si>
    <t>monster-grand-prix-token</t>
  </si>
  <si>
    <t>Monster Grand Prix</t>
  </si>
  <si>
    <t>MONX</t>
  </si>
  <si>
    <t>monster-of-god</t>
  </si>
  <si>
    <t>Monster of God</t>
  </si>
  <si>
    <t>MQST</t>
  </si>
  <si>
    <t>monsterquest</t>
  </si>
  <si>
    <t>MonsterQuest</t>
  </si>
  <si>
    <t>MSTR</t>
  </si>
  <si>
    <t>monsterra</t>
  </si>
  <si>
    <t>Monsterra</t>
  </si>
  <si>
    <t>monster-saga</t>
  </si>
  <si>
    <t>Monster Saga</t>
  </si>
  <si>
    <t>MONS</t>
  </si>
  <si>
    <t>monsters-clan</t>
  </si>
  <si>
    <t>Monsters Clan</t>
  </si>
  <si>
    <t>MONSTER</t>
  </si>
  <si>
    <t>monster-valley</t>
  </si>
  <si>
    <t>Monster Valley</t>
  </si>
  <si>
    <t>monstock</t>
  </si>
  <si>
    <t>Monstock</t>
  </si>
  <si>
    <t>MOOCHII</t>
  </si>
  <si>
    <t>moochii</t>
  </si>
  <si>
    <t>Moochii</t>
  </si>
  <si>
    <t>moola-celo-atoken</t>
  </si>
  <si>
    <t>Moola CELO AToken</t>
  </si>
  <si>
    <t>MCUSD</t>
  </si>
  <si>
    <t>moola-celo-dollars</t>
  </si>
  <si>
    <t>Moola Celo Dollars</t>
  </si>
  <si>
    <t>MOO</t>
  </si>
  <si>
    <t>moola-market</t>
  </si>
  <si>
    <t>Moola Market</t>
  </si>
  <si>
    <t>moomonster</t>
  </si>
  <si>
    <t>MooMonster</t>
  </si>
  <si>
    <t>moon</t>
  </si>
  <si>
    <t>r/CryptoCurrency Moons</t>
  </si>
  <si>
    <t>MOOI</t>
  </si>
  <si>
    <t>moonai</t>
  </si>
  <si>
    <t>Moonaï</t>
  </si>
  <si>
    <t>MOONARCH</t>
  </si>
  <si>
    <t>moonarch</t>
  </si>
  <si>
    <t>Moonarch</t>
  </si>
  <si>
    <t>GLMR</t>
  </si>
  <si>
    <t>moonbeam</t>
  </si>
  <si>
    <t>Moonbeam</t>
  </si>
  <si>
    <t>BEANS</t>
  </si>
  <si>
    <t>moonbeans</t>
  </si>
  <si>
    <t>MoonBeans</t>
  </si>
  <si>
    <t>MBF</t>
  </si>
  <si>
    <t>moonbear-finance</t>
  </si>
  <si>
    <t>MoonBear.Finance</t>
  </si>
  <si>
    <t>moonbet</t>
  </si>
  <si>
    <t>MoonBet</t>
  </si>
  <si>
    <t>MBIRD</t>
  </si>
  <si>
    <t>moonbird</t>
  </si>
  <si>
    <t>Moonbird</t>
  </si>
  <si>
    <t>NMOON</t>
  </si>
  <si>
    <t>moonbirds-nft-index-by-mexc</t>
  </si>
  <si>
    <t>Moonbirds NFT Index by MEXC</t>
  </si>
  <si>
    <t>BOOBS</t>
  </si>
  <si>
    <t>moonboobs</t>
  </si>
  <si>
    <t>MoonBoobs</t>
  </si>
  <si>
    <t>mooncake</t>
  </si>
  <si>
    <t>MoonCake</t>
  </si>
  <si>
    <t>MOONCAT</t>
  </si>
  <si>
    <t>mooncat-vault-nftx</t>
  </si>
  <si>
    <t>MOONCAT Vault (NFTX)</t>
  </si>
  <si>
    <t>mooncoin</t>
  </si>
  <si>
    <t>Mooncoin</t>
  </si>
  <si>
    <t>MOONED</t>
  </si>
  <si>
    <t>moonedge</t>
  </si>
  <si>
    <t>MoonEdge</t>
  </si>
  <si>
    <t>mooner</t>
  </si>
  <si>
    <t>Mooner</t>
  </si>
  <si>
    <t>MNRY</t>
  </si>
  <si>
    <t>moonery</t>
  </si>
  <si>
    <t>Moonery</t>
  </si>
  <si>
    <t>MOONEY</t>
  </si>
  <si>
    <t>mooney</t>
  </si>
  <si>
    <t>Moon DAO</t>
  </si>
  <si>
    <t>moon-eye</t>
  </si>
  <si>
    <t>Moon Eye</t>
  </si>
  <si>
    <t>MFM</t>
  </si>
  <si>
    <t>moonfarmer</t>
  </si>
  <si>
    <t>MoonFarmer</t>
  </si>
  <si>
    <t>MFO</t>
  </si>
  <si>
    <t>moonfarm-finance</t>
  </si>
  <si>
    <t>MoonFarm Finance</t>
  </si>
  <si>
    <t>moonflower-farm</t>
  </si>
  <si>
    <t>Moonflower Farm</t>
  </si>
  <si>
    <t>FORCE</t>
  </si>
  <si>
    <t>moonforce</t>
  </si>
  <si>
    <t>MoonForce</t>
  </si>
  <si>
    <t>moongame</t>
  </si>
  <si>
    <t>Moongame</t>
  </si>
  <si>
    <t>MOONI</t>
  </si>
  <si>
    <t>mooni</t>
  </si>
  <si>
    <t>Mooni</t>
  </si>
  <si>
    <t>MNY</t>
  </si>
  <si>
    <t>moonienft</t>
  </si>
  <si>
    <t>MoonieNFT</t>
  </si>
  <si>
    <t>MKA</t>
  </si>
  <si>
    <t>moonka</t>
  </si>
  <si>
    <t>Moonka</t>
  </si>
  <si>
    <t>MKAT</t>
  </si>
  <si>
    <t>moonkat-finance</t>
  </si>
  <si>
    <t>MoonKat Finance</t>
  </si>
  <si>
    <t>MOLA</t>
  </si>
  <si>
    <t>moonlana</t>
  </si>
  <si>
    <t>MoonLana</t>
  </si>
  <si>
    <t>MLTPX</t>
  </si>
  <si>
    <t>moonlift</t>
  </si>
  <si>
    <t>Moonlift Capital</t>
  </si>
  <si>
    <t>MLNT</t>
  </si>
  <si>
    <t>moon-light-night</t>
  </si>
  <si>
    <t>Moon Light Night</t>
  </si>
  <si>
    <t>MOONLIGHT</t>
  </si>
  <si>
    <t>moonlight-token</t>
  </si>
  <si>
    <t>Moonlight</t>
  </si>
  <si>
    <t>MMP</t>
  </si>
  <si>
    <t>moon-maker-protocol</t>
  </si>
  <si>
    <t>Moon Maker Protocol</t>
  </si>
  <si>
    <t>MOONMINER</t>
  </si>
  <si>
    <t>moonminer</t>
  </si>
  <si>
    <t>MoonMiner</t>
  </si>
  <si>
    <t>moon-nation-game</t>
  </si>
  <si>
    <t>Moon Nation Game</t>
  </si>
  <si>
    <t>MOONPAW</t>
  </si>
  <si>
    <t>moonpaw</t>
  </si>
  <si>
    <t>MoonPaw</t>
  </si>
  <si>
    <t>CMP</t>
  </si>
  <si>
    <t>moonpoly</t>
  </si>
  <si>
    <t>Moonpoly</t>
  </si>
  <si>
    <t>POTS</t>
  </si>
  <si>
    <t>moonpot</t>
  </si>
  <si>
    <t>Moonpot</t>
  </si>
  <si>
    <t>moon-rabbit</t>
  </si>
  <si>
    <t>Moon Rabbit</t>
  </si>
  <si>
    <t>MRT</t>
  </si>
  <si>
    <t>moonraise</t>
  </si>
  <si>
    <t>MoonRaise</t>
  </si>
  <si>
    <t>FETCH</t>
  </si>
  <si>
    <t>moonretriever</t>
  </si>
  <si>
    <t>MoonRetriever</t>
  </si>
  <si>
    <t>MOONRISE</t>
  </si>
  <si>
    <t>moonrise</t>
  </si>
  <si>
    <t>MoonRise</t>
  </si>
  <si>
    <t>MOVR</t>
  </si>
  <si>
    <t>moonriver</t>
  </si>
  <si>
    <t>Moonriver</t>
  </si>
  <si>
    <t>moonrock</t>
  </si>
  <si>
    <t>MoonRock [OLD]</t>
  </si>
  <si>
    <t>MRC</t>
  </si>
  <si>
    <t>moon-rocket-coin</t>
  </si>
  <si>
    <t>Moon Rocket Coin</t>
  </si>
  <si>
    <t>moonrock-v2</t>
  </si>
  <si>
    <t>MoonRock V2</t>
  </si>
  <si>
    <t>SACK</t>
  </si>
  <si>
    <t>moon-sack</t>
  </si>
  <si>
    <t>Moon Sack</t>
  </si>
  <si>
    <t>MSCP</t>
  </si>
  <si>
    <t>moonscape</t>
  </si>
  <si>
    <t>Moonscape</t>
  </si>
  <si>
    <t>MOOND</t>
  </si>
  <si>
    <t>moonsdust</t>
  </si>
  <si>
    <t>MoonsDust</t>
  </si>
  <si>
    <t>SEEDS</t>
  </si>
  <si>
    <t>moonseeds</t>
  </si>
  <si>
    <t>MoonSeeds</t>
  </si>
  <si>
    <t>moonseer</t>
  </si>
  <si>
    <t>Moonseer</t>
  </si>
  <si>
    <t>MOONSHOT</t>
  </si>
  <si>
    <t>moonshot</t>
  </si>
  <si>
    <t>Moonshot [OLD]</t>
  </si>
  <si>
    <t>MSM</t>
  </si>
  <si>
    <t>moonshot-max</t>
  </si>
  <si>
    <t>MoonShot Max</t>
  </si>
  <si>
    <t>BONES</t>
  </si>
  <si>
    <t>moonshots-farm</t>
  </si>
  <si>
    <t>Moonshots Farm</t>
  </si>
  <si>
    <t>MSHOT</t>
  </si>
  <si>
    <t>moonshot-token</t>
  </si>
  <si>
    <t>Moonshot</t>
  </si>
  <si>
    <t>moonstarevenge-token</t>
  </si>
  <si>
    <t>MoonstaRevenge</t>
  </si>
  <si>
    <t>MNST</t>
  </si>
  <si>
    <t>moonstarter</t>
  </si>
  <si>
    <t>MoonStarter</t>
  </si>
  <si>
    <t>MNSTP</t>
  </si>
  <si>
    <t>moon-stop</t>
  </si>
  <si>
    <t>Moon Stop</t>
  </si>
  <si>
    <t>moonswap</t>
  </si>
  <si>
    <t>MoonSwap</t>
  </si>
  <si>
    <t>moontimer</t>
  </si>
  <si>
    <t>MoonTimer</t>
  </si>
  <si>
    <t>MOONTOKEN</t>
  </si>
  <si>
    <t>moontoken</t>
  </si>
  <si>
    <t>MoonToken</t>
  </si>
  <si>
    <t>moon-token</t>
  </si>
  <si>
    <t>Moon</t>
  </si>
  <si>
    <t>MOONS</t>
  </si>
  <si>
    <t>moontools</t>
  </si>
  <si>
    <t>MoonTools</t>
  </si>
  <si>
    <t>MNTT</t>
  </si>
  <si>
    <t>moontrust</t>
  </si>
  <si>
    <t>MoonTrust</t>
  </si>
  <si>
    <t>MNTTBSC</t>
  </si>
  <si>
    <t>moontrustbsc</t>
  </si>
  <si>
    <t>MoonTrustBSC</t>
  </si>
  <si>
    <t>moon-warriors</t>
  </si>
  <si>
    <t>Moon Warriors</t>
  </si>
  <si>
    <t>MOONWAY</t>
  </si>
  <si>
    <t>moonway</t>
  </si>
  <si>
    <t>MoonWay</t>
  </si>
  <si>
    <t>MFAM</t>
  </si>
  <si>
    <t>moonwell</t>
  </si>
  <si>
    <t>Moonwell Apollo</t>
  </si>
  <si>
    <t>MOONWILLY</t>
  </si>
  <si>
    <t>moonwilly</t>
  </si>
  <si>
    <t>MoonWilly</t>
  </si>
  <si>
    <t>WOLF</t>
  </si>
  <si>
    <t>moonwolf-io</t>
  </si>
  <si>
    <t>moonwolf.io</t>
  </si>
  <si>
    <t>MOR</t>
  </si>
  <si>
    <t>morcilla-war</t>
  </si>
  <si>
    <t>Morcilla War</t>
  </si>
  <si>
    <t>moremoney-usd</t>
  </si>
  <si>
    <t>Moremoney USD</t>
  </si>
  <si>
    <t>more-token</t>
  </si>
  <si>
    <t>More</t>
  </si>
  <si>
    <t>MORK</t>
  </si>
  <si>
    <t>mork</t>
  </si>
  <si>
    <t>morpher</t>
  </si>
  <si>
    <t>Morpher</t>
  </si>
  <si>
    <t>morpheus-labs</t>
  </si>
  <si>
    <t>Morpheus Labs</t>
  </si>
  <si>
    <t>MNW</t>
  </si>
  <si>
    <t>morpheus-network</t>
  </si>
  <si>
    <t>Morpheus Network</t>
  </si>
  <si>
    <t>PILLS</t>
  </si>
  <si>
    <t>morpheus-token</t>
  </si>
  <si>
    <t>Morpheus Swap</t>
  </si>
  <si>
    <t>MRFI</t>
  </si>
  <si>
    <t>morphie</t>
  </si>
  <si>
    <t>Morphie</t>
  </si>
  <si>
    <t>mor-stablecoin</t>
  </si>
  <si>
    <t>Mor Stablecoin</t>
  </si>
  <si>
    <t>MWT</t>
  </si>
  <si>
    <t>mortal-wars</t>
  </si>
  <si>
    <t>Mortal Wars</t>
  </si>
  <si>
    <t>MOSHI</t>
  </si>
  <si>
    <t>moshiheads</t>
  </si>
  <si>
    <t>Moshiheads</t>
  </si>
  <si>
    <t>MCO2</t>
  </si>
  <si>
    <t>moss-carbon-credit</t>
  </si>
  <si>
    <t>Moss Carbon Credit</t>
  </si>
  <si>
    <t>MOC</t>
  </si>
  <si>
    <t>mossland</t>
  </si>
  <si>
    <t>Mossland</t>
  </si>
  <si>
    <t>MI</t>
  </si>
  <si>
    <t>mosterisland</t>
  </si>
  <si>
    <t>MosterIsland</t>
  </si>
  <si>
    <t>MGOT</t>
  </si>
  <si>
    <t>mota</t>
  </si>
  <si>
    <t>MoTA</t>
  </si>
  <si>
    <t>MOTA</t>
  </si>
  <si>
    <t>motacoin</t>
  </si>
  <si>
    <t>MotaCoin</t>
  </si>
  <si>
    <t>mother-earth</t>
  </si>
  <si>
    <t>Mother Earth</t>
  </si>
  <si>
    <t>MOM</t>
  </si>
  <si>
    <t>mother-of-memes</t>
  </si>
  <si>
    <t>Mother of Memes</t>
  </si>
  <si>
    <t>MWG</t>
  </si>
  <si>
    <t>motionwreck-games</t>
  </si>
  <si>
    <t>MotionWreck Games</t>
  </si>
  <si>
    <t>MOV</t>
  </si>
  <si>
    <t>motiv-protocol</t>
  </si>
  <si>
    <t>MOTIV Protocol</t>
  </si>
  <si>
    <t>MOTO</t>
  </si>
  <si>
    <t>motocoin</t>
  </si>
  <si>
    <t>Motocoin</t>
  </si>
  <si>
    <t>mound-token</t>
  </si>
  <si>
    <t>Mound</t>
  </si>
  <si>
    <t>MOUSE</t>
  </si>
  <si>
    <t>mouse</t>
  </si>
  <si>
    <t>MouseMN</t>
  </si>
  <si>
    <t>MHT</t>
  </si>
  <si>
    <t>mouse-haunt</t>
  </si>
  <si>
    <t>Mouse Haunt</t>
  </si>
  <si>
    <t>MPAD</t>
  </si>
  <si>
    <t>mousepad</t>
  </si>
  <si>
    <t>MousePad</t>
  </si>
  <si>
    <t>movei</t>
  </si>
  <si>
    <t>Movei</t>
  </si>
  <si>
    <t>MOVD</t>
  </si>
  <si>
    <t>move-network</t>
  </si>
  <si>
    <t>MOVE Network</t>
  </si>
  <si>
    <t>MOVEY</t>
  </si>
  <si>
    <t>movey</t>
  </si>
  <si>
    <t>Movey</t>
  </si>
  <si>
    <t>MBL</t>
  </si>
  <si>
    <t>moviebloc</t>
  </si>
  <si>
    <t>MovieBloc</t>
  </si>
  <si>
    <t>MVM</t>
  </si>
  <si>
    <t>movie-magic</t>
  </si>
  <si>
    <t>Movie Magic</t>
  </si>
  <si>
    <t>MOZ</t>
  </si>
  <si>
    <t>mozik</t>
  </si>
  <si>
    <t>Mozik</t>
  </si>
  <si>
    <t>MOZOX</t>
  </si>
  <si>
    <t>mozox</t>
  </si>
  <si>
    <t>MozoX</t>
  </si>
  <si>
    <t>MOZZA</t>
  </si>
  <si>
    <t>mozza</t>
  </si>
  <si>
    <t>Mozza</t>
  </si>
  <si>
    <t>MP3</t>
  </si>
  <si>
    <t>mp3</t>
  </si>
  <si>
    <t>MRFOX</t>
  </si>
  <si>
    <t>mr-fox-token</t>
  </si>
  <si>
    <t>Mr.FOX</t>
  </si>
  <si>
    <t>MRV</t>
  </si>
  <si>
    <t>mrv</t>
  </si>
  <si>
    <t>mrweb-finance</t>
  </si>
  <si>
    <t>MrWeb Finance</t>
  </si>
  <si>
    <t>msgsender</t>
  </si>
  <si>
    <t>MsgSender</t>
  </si>
  <si>
    <t>mshare</t>
  </si>
  <si>
    <t>MShare</t>
  </si>
  <si>
    <t>msn</t>
  </si>
  <si>
    <t>msol</t>
  </si>
  <si>
    <t>Marinade staked SOL</t>
  </si>
  <si>
    <t>msquare-global</t>
  </si>
  <si>
    <t>MSquare Global</t>
  </si>
  <si>
    <t>mstation</t>
  </si>
  <si>
    <t>MStation</t>
  </si>
  <si>
    <t>MPS</t>
  </si>
  <si>
    <t>mt-pelerin-shares</t>
  </si>
  <si>
    <t>Mt Pelerin Shares</t>
  </si>
  <si>
    <t>MTTCOIN</t>
  </si>
  <si>
    <t>mttcoin</t>
  </si>
  <si>
    <t>MTTCoin</t>
  </si>
  <si>
    <t>MTVX</t>
  </si>
  <si>
    <t>mtvx</t>
  </si>
  <si>
    <t>mu-coin</t>
  </si>
  <si>
    <t>Mu Coin</t>
  </si>
  <si>
    <t>mu-continent</t>
  </si>
  <si>
    <t>Mu Continent</t>
  </si>
  <si>
    <t>DANK</t>
  </si>
  <si>
    <t>mu-dank</t>
  </si>
  <si>
    <t>MU DANK</t>
  </si>
  <si>
    <t>mud-guild-game</t>
  </si>
  <si>
    <t>MUD Guild Game</t>
  </si>
  <si>
    <t>MUDRA</t>
  </si>
  <si>
    <t>mudra</t>
  </si>
  <si>
    <t>Mudra</t>
  </si>
  <si>
    <t>muesliswap-milk</t>
  </si>
  <si>
    <t>MuesliSwap MILK</t>
  </si>
  <si>
    <t>MYIELD</t>
  </si>
  <si>
    <t>muesliswap-yield-token</t>
  </si>
  <si>
    <t>MuesliSwap Yield</t>
  </si>
  <si>
    <t>MUG</t>
  </si>
  <si>
    <t>mu-gold</t>
  </si>
  <si>
    <t>Mu Gold</t>
  </si>
  <si>
    <t>MULTI</t>
  </si>
  <si>
    <t>multichain</t>
  </si>
  <si>
    <t>Multichain</t>
  </si>
  <si>
    <t>multi-chain-capital</t>
  </si>
  <si>
    <t>Multi-Chain Capital [OLD]</t>
  </si>
  <si>
    <t>multi-chain-capital-2</t>
  </si>
  <si>
    <t>Multi-Chain Capital</t>
  </si>
  <si>
    <t>multi-farm-capital</t>
  </si>
  <si>
    <t>Multi-Farm Capital</t>
  </si>
  <si>
    <t>multigame</t>
  </si>
  <si>
    <t>Multigame</t>
  </si>
  <si>
    <t>multipad</t>
  </si>
  <si>
    <t>MultiPad</t>
  </si>
  <si>
    <t>INUS</t>
  </si>
  <si>
    <t>multiplanetary-inus</t>
  </si>
  <si>
    <t>MultiPlanetary Inus</t>
  </si>
  <si>
    <t>MXX</t>
  </si>
  <si>
    <t>multiplier</t>
  </si>
  <si>
    <t>Multiplier</t>
  </si>
  <si>
    <t>BMXX</t>
  </si>
  <si>
    <t>multiplier-bsc</t>
  </si>
  <si>
    <t>Multiplier (BSC)</t>
  </si>
  <si>
    <t>MSTART</t>
  </si>
  <si>
    <t>multistarter</t>
  </si>
  <si>
    <t>MultiStarter</t>
  </si>
  <si>
    <t>multi-strategies-capital</t>
  </si>
  <si>
    <t>Multi Strategies Capital</t>
  </si>
  <si>
    <t>MTV</t>
  </si>
  <si>
    <t>multivac</t>
  </si>
  <si>
    <t>MultiVAC</t>
  </si>
  <si>
    <t>multiverse</t>
  </si>
  <si>
    <t>Multiverse</t>
  </si>
  <si>
    <t>multiverse-capital</t>
  </si>
  <si>
    <t>Multiverse Capital</t>
  </si>
  <si>
    <t>MTVP</t>
  </si>
  <si>
    <t>multiversepad</t>
  </si>
  <si>
    <t>MultiversePad</t>
  </si>
  <si>
    <t>MUNA</t>
  </si>
  <si>
    <t>muna</t>
  </si>
  <si>
    <t>Muna</t>
  </si>
  <si>
    <t>MUNCH</t>
  </si>
  <si>
    <t>munch-token</t>
  </si>
  <si>
    <t>Munch</t>
  </si>
  <si>
    <t>$MUNDO</t>
  </si>
  <si>
    <t>mundo-token</t>
  </si>
  <si>
    <t>muon-network</t>
  </si>
  <si>
    <t>Muon Network</t>
  </si>
  <si>
    <t>MURPHY</t>
  </si>
  <si>
    <t>murphycat</t>
  </si>
  <si>
    <t>MURPHYCAT</t>
  </si>
  <si>
    <t>MUS</t>
  </si>
  <si>
    <t>mus</t>
  </si>
  <si>
    <t>Musashi Finance</t>
  </si>
  <si>
    <t>musd</t>
  </si>
  <si>
    <t>mStable USD</t>
  </si>
  <si>
    <t>MUSE</t>
  </si>
  <si>
    <t>muse-2</t>
  </si>
  <si>
    <t>Muse DAO</t>
  </si>
  <si>
    <t>MSE</t>
  </si>
  <si>
    <t>museo</t>
  </si>
  <si>
    <t>Museo</t>
  </si>
  <si>
    <t>MOCA</t>
  </si>
  <si>
    <t>museum-of-crypto-art</t>
  </si>
  <si>
    <t>Museum of Crypto Art</t>
  </si>
  <si>
    <t>mushroom-coin</t>
  </si>
  <si>
    <t>Mushroom Coin</t>
  </si>
  <si>
    <t>MUSHU</t>
  </si>
  <si>
    <t>mushu-finance</t>
  </si>
  <si>
    <t>Mushu Finance</t>
  </si>
  <si>
    <t>MUSK</t>
  </si>
  <si>
    <t>musk</t>
  </si>
  <si>
    <t>Musk</t>
  </si>
  <si>
    <t>MKD</t>
  </si>
  <si>
    <t>musk-doge</t>
  </si>
  <si>
    <t>Musk Doge</t>
  </si>
  <si>
    <t>musk-gold</t>
  </si>
  <si>
    <t>MUSK Gold</t>
  </si>
  <si>
    <t>MITO</t>
  </si>
  <si>
    <t>musk-ito</t>
  </si>
  <si>
    <t>Musk Ito</t>
  </si>
  <si>
    <t>MELON</t>
  </si>
  <si>
    <t>musk-melon</t>
  </si>
  <si>
    <t>Musk Melon</t>
  </si>
  <si>
    <t>METAMUSK</t>
  </si>
  <si>
    <t>musk-metaverse</t>
  </si>
  <si>
    <t>Musk Metaverse</t>
  </si>
  <si>
    <t>muskswap</t>
  </si>
  <si>
    <t>MuskSwap</t>
  </si>
  <si>
    <t>muso-finance-2</t>
  </si>
  <si>
    <t>MUSO Finance</t>
  </si>
  <si>
    <t>MUST</t>
  </si>
  <si>
    <t>must</t>
  </si>
  <si>
    <t>Must</t>
  </si>
  <si>
    <t>MUTE</t>
  </si>
  <si>
    <t>mute</t>
  </si>
  <si>
    <t>Mute</t>
  </si>
  <si>
    <t>MZK</t>
  </si>
  <si>
    <t>muzika-network</t>
  </si>
  <si>
    <t>Muzika Network</t>
  </si>
  <si>
    <t>mvpad</t>
  </si>
  <si>
    <t>MvPad</t>
  </si>
  <si>
    <t>mvp-coin</t>
  </si>
  <si>
    <t>MVP Coin</t>
  </si>
  <si>
    <t>MVS</t>
  </si>
  <si>
    <t>mvs-multiverse</t>
  </si>
  <si>
    <t>MVS Multiverse</t>
  </si>
  <si>
    <t>MXC</t>
  </si>
  <si>
    <t>mxc</t>
  </si>
  <si>
    <t>mx-token</t>
  </si>
  <si>
    <t>MX Token</t>
  </si>
  <si>
    <t>MYB</t>
  </si>
  <si>
    <t>mybit-token</t>
  </si>
  <si>
    <t>BRICKS</t>
  </si>
  <si>
    <t>mybricks</t>
  </si>
  <si>
    <t>MyBricks</t>
  </si>
  <si>
    <t>YCE</t>
  </si>
  <si>
    <t>myce</t>
  </si>
  <si>
    <t>MYCE</t>
  </si>
  <si>
    <t>my-ceremonial-event</t>
  </si>
  <si>
    <t>MY Ceremonial Event</t>
  </si>
  <si>
    <t>MYO</t>
  </si>
  <si>
    <t>mycro-ico</t>
  </si>
  <si>
    <t>Mycro</t>
  </si>
  <si>
    <t>DLEGENDS</t>
  </si>
  <si>
    <t>my-defi-legends</t>
  </si>
  <si>
    <t>My DeFi Legends</t>
  </si>
  <si>
    <t>DPET</t>
  </si>
  <si>
    <t>my-defi-pet</t>
  </si>
  <si>
    <t>My DeFi Pet</t>
  </si>
  <si>
    <t>MYFARMPET</t>
  </si>
  <si>
    <t>my-farm-pet</t>
  </si>
  <si>
    <t>My Farm Pet</t>
  </si>
  <si>
    <t>MYID</t>
  </si>
  <si>
    <t>my-identity-coin</t>
  </si>
  <si>
    <t>My Identity Coin</t>
  </si>
  <si>
    <t>mykey</t>
  </si>
  <si>
    <t>MYKEY</t>
  </si>
  <si>
    <t>MYK</t>
  </si>
  <si>
    <t>mykingdom</t>
  </si>
  <si>
    <t>MyKingdom</t>
  </si>
  <si>
    <t>MYL</t>
  </si>
  <si>
    <t>my-lotto-coin</t>
  </si>
  <si>
    <t>My Lotto Coin</t>
  </si>
  <si>
    <t>my-master-war</t>
  </si>
  <si>
    <t>My Master War</t>
  </si>
  <si>
    <t>mymessage</t>
  </si>
  <si>
    <t>myMessage</t>
  </si>
  <si>
    <t>MYMINE</t>
  </si>
  <si>
    <t>mymine</t>
  </si>
  <si>
    <t>MyMine</t>
  </si>
  <si>
    <t>MYMN</t>
  </si>
  <si>
    <t>mymn</t>
  </si>
  <si>
    <t>MyMN</t>
  </si>
  <si>
    <t>ALICE</t>
  </si>
  <si>
    <t>my-neighbor-alice</t>
  </si>
  <si>
    <t>My Neighbor Alice</t>
  </si>
  <si>
    <t>my-neighbor-alice-wormhole</t>
  </si>
  <si>
    <t>My Neighbor Alice (Wormhole)</t>
  </si>
  <si>
    <t>MYOBU</t>
  </si>
  <si>
    <t>myobu</t>
  </si>
  <si>
    <t>Myōbu</t>
  </si>
  <si>
    <t>PANDAVS</t>
  </si>
  <si>
    <t>my-pandaverse</t>
  </si>
  <si>
    <t>My Pandaverse</t>
  </si>
  <si>
    <t>MYRA</t>
  </si>
  <si>
    <t>myra-ai</t>
  </si>
  <si>
    <t>Myra AI</t>
  </si>
  <si>
    <t>XMY</t>
  </si>
  <si>
    <t>myriadcoin</t>
  </si>
  <si>
    <t>Myriad</t>
  </si>
  <si>
    <t>MYRIA</t>
  </si>
  <si>
    <t>myriad-social</t>
  </si>
  <si>
    <t>Myriad Social</t>
  </si>
  <si>
    <t>my-shiba-academia</t>
  </si>
  <si>
    <t>My Shiba Academia</t>
  </si>
  <si>
    <t>MYST</t>
  </si>
  <si>
    <t>mysterium</t>
  </si>
  <si>
    <t>Mysterium</t>
  </si>
  <si>
    <t>mystery</t>
  </si>
  <si>
    <t>MYSTERY</t>
  </si>
  <si>
    <t>mystic-bets</t>
  </si>
  <si>
    <t>MysticBets</t>
  </si>
  <si>
    <t>MYSTIC</t>
  </si>
  <si>
    <t>mystic-warrior</t>
  </si>
  <si>
    <t>Mystic Warrior</t>
  </si>
  <si>
    <t>MYC</t>
  </si>
  <si>
    <t>myteamcoin</t>
  </si>
  <si>
    <t>Myteamcoin</t>
  </si>
  <si>
    <t>mytheria</t>
  </si>
  <si>
    <t>Mytheria</t>
  </si>
  <si>
    <t>MYTH</t>
  </si>
  <si>
    <t>myth-token</t>
  </si>
  <si>
    <t>Myth</t>
  </si>
  <si>
    <t>MT</t>
  </si>
  <si>
    <t>mytoken</t>
  </si>
  <si>
    <t>MyToken</t>
  </si>
  <si>
    <t>MYT</t>
  </si>
  <si>
    <t>mytrade</t>
  </si>
  <si>
    <t>Mytrade</t>
  </si>
  <si>
    <t>MYTV</t>
  </si>
  <si>
    <t>mytvchain</t>
  </si>
  <si>
    <t>MyTVchain</t>
  </si>
  <si>
    <t>WISH</t>
  </si>
  <si>
    <t>mywish</t>
  </si>
  <si>
    <t>MyWish</t>
  </si>
  <si>
    <t>NABOX</t>
  </si>
  <si>
    <t>nabox</t>
  </si>
  <si>
    <t>Nabox</t>
  </si>
  <si>
    <t>NACHO</t>
  </si>
  <si>
    <t>nacho-finance</t>
  </si>
  <si>
    <t>Nacho Finance</t>
  </si>
  <si>
    <t>NDSK</t>
  </si>
  <si>
    <t>nadeshiko</t>
  </si>
  <si>
    <t>Nadeshiko</t>
  </si>
  <si>
    <t>NAFF</t>
  </si>
  <si>
    <t>naffiti</t>
  </si>
  <si>
    <t>Naffiti</t>
  </si>
  <si>
    <t>NAFT</t>
  </si>
  <si>
    <t>nafter</t>
  </si>
  <si>
    <t>Nafter</t>
  </si>
  <si>
    <t>NAFTY</t>
  </si>
  <si>
    <t>nafty</t>
  </si>
  <si>
    <t>Nafty</t>
  </si>
  <si>
    <t>NGC</t>
  </si>
  <si>
    <t>naga</t>
  </si>
  <si>
    <t>NAGA</t>
  </si>
  <si>
    <t>naga-kingdom</t>
  </si>
  <si>
    <t>Naga Kingdom</t>
  </si>
  <si>
    <t>BNW</t>
  </si>
  <si>
    <t>nagaswap</t>
  </si>
  <si>
    <t>NagaSwap</t>
  </si>
  <si>
    <t>NII</t>
  </si>
  <si>
    <t>nahmii</t>
  </si>
  <si>
    <t>Nahmii</t>
  </si>
  <si>
    <t>NAIAD</t>
  </si>
  <si>
    <t>naiad-water-investment-coin</t>
  </si>
  <si>
    <t>Naiad Water Investment Coin</t>
  </si>
  <si>
    <t>naka-bodhi-token</t>
  </si>
  <si>
    <t>Naka Bodhi Token</t>
  </si>
  <si>
    <t>NAKA</t>
  </si>
  <si>
    <t>nakamoto-games</t>
  </si>
  <si>
    <t>Nakamoto Games</t>
  </si>
  <si>
    <t>NCT</t>
  </si>
  <si>
    <t>name-changing-token</t>
  </si>
  <si>
    <t>NMC</t>
  </si>
  <si>
    <t>namecoin</t>
  </si>
  <si>
    <t>Namecoin</t>
  </si>
  <si>
    <t>NAMI</t>
  </si>
  <si>
    <t>nami-corporation-token</t>
  </si>
  <si>
    <t>nami-inu</t>
  </si>
  <si>
    <t>Nami Inu</t>
  </si>
  <si>
    <t>NANJ</t>
  </si>
  <si>
    <t>nanjcoin</t>
  </si>
  <si>
    <t>NANJCOIN</t>
  </si>
  <si>
    <t>XNO</t>
  </si>
  <si>
    <t>nano</t>
  </si>
  <si>
    <t>Nano</t>
  </si>
  <si>
    <t>NBTC</t>
  </si>
  <si>
    <t>nano-bitcoin-token</t>
  </si>
  <si>
    <t>Nano Bitcoin</t>
  </si>
  <si>
    <t>NBT</t>
  </si>
  <si>
    <t>nanobyte</t>
  </si>
  <si>
    <t>NanoByte</t>
  </si>
  <si>
    <t>NANODOGE</t>
  </si>
  <si>
    <t>nano-doge</t>
  </si>
  <si>
    <t>Nano Doge</t>
  </si>
  <si>
    <t>INDC</t>
  </si>
  <si>
    <t>nano-dogecoin</t>
  </si>
  <si>
    <t>Nano Dogecoin</t>
  </si>
  <si>
    <t>NMBTC</t>
  </si>
  <si>
    <t>nanometer-bitcoin</t>
  </si>
  <si>
    <t>NanoMeter Bitcoin</t>
  </si>
  <si>
    <t>NAN</t>
  </si>
  <si>
    <t>nantrade</t>
  </si>
  <si>
    <t>NanTrade</t>
  </si>
  <si>
    <t>NBUSD</t>
  </si>
  <si>
    <t>naos-busd</t>
  </si>
  <si>
    <t>NAOS BUSD</t>
  </si>
  <si>
    <t>NAOS</t>
  </si>
  <si>
    <t>naos-finance</t>
  </si>
  <si>
    <t>NAOS Finance</t>
  </si>
  <si>
    <t>NUSD</t>
  </si>
  <si>
    <t>naos-usd</t>
  </si>
  <si>
    <t>NAOS USD</t>
  </si>
  <si>
    <t>NPX</t>
  </si>
  <si>
    <t>napoleon-x</t>
  </si>
  <si>
    <t>Napoleon X</t>
  </si>
  <si>
    <t>NAP</t>
  </si>
  <si>
    <t>napoli-fan-token</t>
  </si>
  <si>
    <t>Napoli Fan Token</t>
  </si>
  <si>
    <t>NT</t>
  </si>
  <si>
    <t>NARUTO</t>
  </si>
  <si>
    <t>naruto-inu</t>
  </si>
  <si>
    <t>Naruto Inu</t>
  </si>
  <si>
    <t>NASADOGE</t>
  </si>
  <si>
    <t>nasa-doge</t>
  </si>
  <si>
    <t>Nasa Doge</t>
  </si>
  <si>
    <t>NSD</t>
  </si>
  <si>
    <t>nasdacoin</t>
  </si>
  <si>
    <t>Nasdacoin</t>
  </si>
  <si>
    <t>NSDX</t>
  </si>
  <si>
    <t>nasdex-token</t>
  </si>
  <si>
    <t>NASDEX</t>
  </si>
  <si>
    <t>NATION</t>
  </si>
  <si>
    <t>nation3</t>
  </si>
  <si>
    <t>Nation3</t>
  </si>
  <si>
    <t>NUT</t>
  </si>
  <si>
    <t>native-utility-token</t>
  </si>
  <si>
    <t>Native Utility Token</t>
  </si>
  <si>
    <t>NFUP</t>
  </si>
  <si>
    <t>natural-farm-union-protocol</t>
  </si>
  <si>
    <t>Natural Farm Union Protocol</t>
  </si>
  <si>
    <t>NAVI</t>
  </si>
  <si>
    <t>natus-vincere-fan-token</t>
  </si>
  <si>
    <t>Natus Vincere Fan Token</t>
  </si>
  <si>
    <t>NAUSICAA</t>
  </si>
  <si>
    <t>nausicaal-inu</t>
  </si>
  <si>
    <t>Nausicaa-Inu</t>
  </si>
  <si>
    <t>NAV</t>
  </si>
  <si>
    <t>nav-coin</t>
  </si>
  <si>
    <t>Navcoin</t>
  </si>
  <si>
    <t>navibration</t>
  </si>
  <si>
    <t>Navibration</t>
  </si>
  <si>
    <t>NAXAR</t>
  </si>
  <si>
    <t>naxar</t>
  </si>
  <si>
    <t>Naxar</t>
  </si>
  <si>
    <t>NC</t>
  </si>
  <si>
    <t>nayuta-coin</t>
  </si>
  <si>
    <t>Nayuta Coin</t>
  </si>
  <si>
    <t>NDAU</t>
  </si>
  <si>
    <t>ndau</t>
  </si>
  <si>
    <t>Ndau</t>
  </si>
  <si>
    <t>ndex</t>
  </si>
  <si>
    <t>nDEX</t>
  </si>
  <si>
    <t>NDN</t>
  </si>
  <si>
    <t>ndn-link</t>
  </si>
  <si>
    <t>NDN Link</t>
  </si>
  <si>
    <t>near</t>
  </si>
  <si>
    <t>PAD</t>
  </si>
  <si>
    <t>nearpad</t>
  </si>
  <si>
    <t>NearPad</t>
  </si>
  <si>
    <t>NEBL</t>
  </si>
  <si>
    <t>neblio</t>
  </si>
  <si>
    <t>Neblio</t>
  </si>
  <si>
    <t>NAS</t>
  </si>
  <si>
    <t>nebulas</t>
  </si>
  <si>
    <t>Nebulas</t>
  </si>
  <si>
    <t>NEBULA</t>
  </si>
  <si>
    <t>nebulatoken</t>
  </si>
  <si>
    <t>NebulaToken</t>
  </si>
  <si>
    <t>NEC</t>
  </si>
  <si>
    <t>nectar-token</t>
  </si>
  <si>
    <t>Nectar</t>
  </si>
  <si>
    <t>NEET</t>
  </si>
  <si>
    <t>neetcoin</t>
  </si>
  <si>
    <t>Neetcoin</t>
  </si>
  <si>
    <t>NVA</t>
  </si>
  <si>
    <t>neeva-defi</t>
  </si>
  <si>
    <t>Neeva Defi</t>
  </si>
  <si>
    <t>neftipedia</t>
  </si>
  <si>
    <t>NEFTiPEDiA</t>
  </si>
  <si>
    <t>NHT</t>
  </si>
  <si>
    <t>neighbourhoods</t>
  </si>
  <si>
    <t>Neighbourhoods</t>
  </si>
  <si>
    <t>NEKOS</t>
  </si>
  <si>
    <t>nekocoin</t>
  </si>
  <si>
    <t>Nekocoin</t>
  </si>
  <si>
    <t>NEKO</t>
  </si>
  <si>
    <t>neko-network</t>
  </si>
  <si>
    <t>Neko Network</t>
  </si>
  <si>
    <t>NUKO</t>
  </si>
  <si>
    <t>nekonium</t>
  </si>
  <si>
    <t>Nekonium</t>
  </si>
  <si>
    <t>NELO</t>
  </si>
  <si>
    <t>nelo-metaverse</t>
  </si>
  <si>
    <t>NELO Metaverse</t>
  </si>
  <si>
    <t>XEM</t>
  </si>
  <si>
    <t>nem</t>
  </si>
  <si>
    <t>NEM</t>
  </si>
  <si>
    <t>NMS</t>
  </si>
  <si>
    <t>nemesis</t>
  </si>
  <si>
    <t>Nemesis</t>
  </si>
  <si>
    <t>nemesis-dao</t>
  </si>
  <si>
    <t>Nemesis DAO</t>
  </si>
  <si>
    <t>nemesis-wealth-projects-bsc</t>
  </si>
  <si>
    <t>Nemesis Wealth Projects BSC</t>
  </si>
  <si>
    <t>NEO</t>
  </si>
  <si>
    <t>neo</t>
  </si>
  <si>
    <t>NEOFI</t>
  </si>
  <si>
    <t>neofi</t>
  </si>
  <si>
    <t>NeoFi</t>
  </si>
  <si>
    <t>NHC</t>
  </si>
  <si>
    <t>neo-holistic-coin</t>
  </si>
  <si>
    <t>Neo Holistic Coin</t>
  </si>
  <si>
    <t>NEX</t>
  </si>
  <si>
    <t>neon-exchange</t>
  </si>
  <si>
    <t>Nash</t>
  </si>
  <si>
    <t>NNI</t>
  </si>
  <si>
    <t>neonomad-finance</t>
  </si>
  <si>
    <t>Neonomad Finance</t>
  </si>
  <si>
    <t>NPT</t>
  </si>
  <si>
    <t>neopin</t>
  </si>
  <si>
    <t>Neopin</t>
  </si>
  <si>
    <t>NCR</t>
  </si>
  <si>
    <t>neos-credits</t>
  </si>
  <si>
    <t>Neos Credits</t>
  </si>
  <si>
    <t>NASH</t>
  </si>
  <si>
    <t>neoworld-cash</t>
  </si>
  <si>
    <t>NeoWorld Cash</t>
  </si>
  <si>
    <t>NPTUN</t>
  </si>
  <si>
    <t>neptune</t>
  </si>
  <si>
    <t>Neptune</t>
  </si>
  <si>
    <t>NERDY</t>
  </si>
  <si>
    <t>nerdy-inu</t>
  </si>
  <si>
    <t>Nerdy Inu</t>
  </si>
  <si>
    <t>NERIAN</t>
  </si>
  <si>
    <t>nerian-network</t>
  </si>
  <si>
    <t>Nerian Network</t>
  </si>
  <si>
    <t>XNV</t>
  </si>
  <si>
    <t>nerva</t>
  </si>
  <si>
    <t>Nerva</t>
  </si>
  <si>
    <t>NRV</t>
  </si>
  <si>
    <t>nerve-finance</t>
  </si>
  <si>
    <t>Nerve Finance</t>
  </si>
  <si>
    <t>NERVE</t>
  </si>
  <si>
    <t>nerveflux</t>
  </si>
  <si>
    <t>NerveFlux</t>
  </si>
  <si>
    <t>NVT</t>
  </si>
  <si>
    <t>nervenetwork</t>
  </si>
  <si>
    <t>NerveNetwork</t>
  </si>
  <si>
    <t>CKB</t>
  </si>
  <si>
    <t>nervos-network</t>
  </si>
  <si>
    <t>Nervos Network</t>
  </si>
  <si>
    <t>nerv-protocol</t>
  </si>
  <si>
    <t>Nerv Protocol</t>
  </si>
  <si>
    <t>NEST</t>
  </si>
  <si>
    <t>nest</t>
  </si>
  <si>
    <t>Nest Protocol</t>
  </si>
  <si>
    <t>NESTA</t>
  </si>
  <si>
    <t>nest-arcade</t>
  </si>
  <si>
    <t>Nest Arcade</t>
  </si>
  <si>
    <t>NEGG</t>
  </si>
  <si>
    <t>nest-egg</t>
  </si>
  <si>
    <t>Nest Egg</t>
  </si>
  <si>
    <t>nestegg-coin</t>
  </si>
  <si>
    <t>NestEgg Coin</t>
  </si>
  <si>
    <t>NIT</t>
  </si>
  <si>
    <t>nesten</t>
  </si>
  <si>
    <t>Nesten</t>
  </si>
  <si>
    <t>nestree</t>
  </si>
  <si>
    <t>Nestree</t>
  </si>
  <si>
    <t>NETA</t>
  </si>
  <si>
    <t>neta</t>
  </si>
  <si>
    <t>NBX</t>
  </si>
  <si>
    <t>netbox-coin</t>
  </si>
  <si>
    <t>Netbox Coin</t>
  </si>
  <si>
    <t>NET</t>
  </si>
  <si>
    <t>netcoin</t>
  </si>
  <si>
    <t>Netcoin</t>
  </si>
  <si>
    <t>NCC</t>
  </si>
  <si>
    <t>netcoincapital</t>
  </si>
  <si>
    <t>Netcoincapital</t>
  </si>
  <si>
    <t>DNFLX</t>
  </si>
  <si>
    <t>netflix-tokenized-stock-defichain</t>
  </si>
  <si>
    <t>Netflix Tokenized Stock Defichain</t>
  </si>
  <si>
    <t>NFLX</t>
  </si>
  <si>
    <t>netflix-tokenized-stock-zipmex</t>
  </si>
  <si>
    <t>Netflix Tokenized Stock Zipmex</t>
  </si>
  <si>
    <t>NTR</t>
  </si>
  <si>
    <t>nether</t>
  </si>
  <si>
    <t>Nether</t>
  </si>
  <si>
    <t>NTK</t>
  </si>
  <si>
    <t>netkoin</t>
  </si>
  <si>
    <t>Netkoin</t>
  </si>
  <si>
    <t>NTM</t>
  </si>
  <si>
    <t>netm</t>
  </si>
  <si>
    <t>Netm</t>
  </si>
  <si>
    <t>NTO</t>
  </si>
  <si>
    <t>neton</t>
  </si>
  <si>
    <t>Neton</t>
  </si>
  <si>
    <t>NETT</t>
  </si>
  <si>
    <t>netswap</t>
  </si>
  <si>
    <t>Netswap</t>
  </si>
  <si>
    <t>NTVRK</t>
  </si>
  <si>
    <t>netvrk</t>
  </si>
  <si>
    <t>Netvrk</t>
  </si>
  <si>
    <t>NEU</t>
  </si>
  <si>
    <t>neumark</t>
  </si>
  <si>
    <t>Neumark</t>
  </si>
  <si>
    <t>NEURALINK</t>
  </si>
  <si>
    <t>neuralink</t>
  </si>
  <si>
    <t>Neuralink</t>
  </si>
  <si>
    <t>NRP</t>
  </si>
  <si>
    <t>neural-protocol</t>
  </si>
  <si>
    <t>Neural Protocol</t>
  </si>
  <si>
    <t>neurochain</t>
  </si>
  <si>
    <t>NeuroChain</t>
  </si>
  <si>
    <t>NMP</t>
  </si>
  <si>
    <t>neuromorphic-io</t>
  </si>
  <si>
    <t>Neuromorphic.io</t>
  </si>
  <si>
    <t>neurotoken</t>
  </si>
  <si>
    <t>Neurotoken</t>
  </si>
  <si>
    <t>USDN</t>
  </si>
  <si>
    <t>neutrino</t>
  </si>
  <si>
    <t>Neutrino USD</t>
  </si>
  <si>
    <t>NSBT</t>
  </si>
  <si>
    <t>neutrino-system-base-token</t>
  </si>
  <si>
    <t>NEVADA</t>
  </si>
  <si>
    <t>nevada</t>
  </si>
  <si>
    <t>Nevada</t>
  </si>
  <si>
    <t>NEWB</t>
  </si>
  <si>
    <t>newb-farm</t>
  </si>
  <si>
    <t>NewB.Farm</t>
  </si>
  <si>
    <t>NBS</t>
  </si>
  <si>
    <t>new-bitshares</t>
  </si>
  <si>
    <t>New BitShares</t>
  </si>
  <si>
    <t>newdex-token</t>
  </si>
  <si>
    <t>Newdex Token</t>
  </si>
  <si>
    <t>NEOM</t>
  </si>
  <si>
    <t>new-earth-order-money</t>
  </si>
  <si>
    <t>New Earth Order Money</t>
  </si>
  <si>
    <t>new-era</t>
  </si>
  <si>
    <t>New Era</t>
  </si>
  <si>
    <t>NFP</t>
  </si>
  <si>
    <t>new-frontier-presents</t>
  </si>
  <si>
    <t>New Frontier Presents</t>
  </si>
  <si>
    <t>NEWINU</t>
  </si>
  <si>
    <t>newinu</t>
  </si>
  <si>
    <t>Newinu</t>
  </si>
  <si>
    <t>new-landbox</t>
  </si>
  <si>
    <t>LandBox</t>
  </si>
  <si>
    <t>NEWO</t>
  </si>
  <si>
    <t>newo-coin</t>
  </si>
  <si>
    <t>NEWO Coin</t>
  </si>
  <si>
    <t>new-order</t>
  </si>
  <si>
    <t>New Order</t>
  </si>
  <si>
    <t>NOC</t>
  </si>
  <si>
    <t>new-origin</t>
  </si>
  <si>
    <t>New Origin</t>
  </si>
  <si>
    <t>NPAS</t>
  </si>
  <si>
    <t>new-paradigm-assets-solution</t>
  </si>
  <si>
    <t>New Paradigm Assets Solution</t>
  </si>
  <si>
    <t>NPW</t>
  </si>
  <si>
    <t>new-power-coin</t>
  </si>
  <si>
    <t>New Power Coin</t>
  </si>
  <si>
    <t>NWC</t>
  </si>
  <si>
    <t>newscrypto-coin</t>
  </si>
  <si>
    <t>Newscrypto Coin</t>
  </si>
  <si>
    <t>NST</t>
  </si>
  <si>
    <t>newsolution</t>
  </si>
  <si>
    <t>Newsolution</t>
  </si>
  <si>
    <t>NSTE</t>
  </si>
  <si>
    <t>newsolution-2-0</t>
  </si>
  <si>
    <t>NewSolution 2.0</t>
  </si>
  <si>
    <t>NCP</t>
  </si>
  <si>
    <t>newton-coin-project</t>
  </si>
  <si>
    <t>Newton Coin Project</t>
  </si>
  <si>
    <t>NEW</t>
  </si>
  <si>
    <t>newton-project</t>
  </si>
  <si>
    <t>Newton Project</t>
  </si>
  <si>
    <t>NYR</t>
  </si>
  <si>
    <t>new-year-resolution</t>
  </si>
  <si>
    <t>New Year Resolution</t>
  </si>
  <si>
    <t>NYT</t>
  </si>
  <si>
    <t>new-year-token</t>
  </si>
  <si>
    <t>New Year</t>
  </si>
  <si>
    <t>NYC</t>
  </si>
  <si>
    <t>newyorkcoin</t>
  </si>
  <si>
    <t>NewYorkCoin</t>
  </si>
  <si>
    <t>NYE</t>
  </si>
  <si>
    <t>newyork-exchange</t>
  </si>
  <si>
    <t>NewYork Exchange</t>
  </si>
  <si>
    <t>XLT</t>
  </si>
  <si>
    <t>nexalt</t>
  </si>
  <si>
    <t>Nexalt</t>
  </si>
  <si>
    <t>nexdax</t>
  </si>
  <si>
    <t>NexDAX</t>
  </si>
  <si>
    <t>NEXO</t>
  </si>
  <si>
    <t>nexo</t>
  </si>
  <si>
    <t>NAX</t>
  </si>
  <si>
    <t>nextdao</t>
  </si>
  <si>
    <t>NextDAO</t>
  </si>
  <si>
    <t>NXDF</t>
  </si>
  <si>
    <t>next-defi-protocol</t>
  </si>
  <si>
    <t>NeXt-DeFi Protocol</t>
  </si>
  <si>
    <t>NXTT</t>
  </si>
  <si>
    <t>next-earth</t>
  </si>
  <si>
    <t>Next Earth</t>
  </si>
  <si>
    <t>NX</t>
  </si>
  <si>
    <t>nextech-network</t>
  </si>
  <si>
    <t>Nxtech Network</t>
  </si>
  <si>
    <t>NEXT</t>
  </si>
  <si>
    <t>nextexchange</t>
  </si>
  <si>
    <t>NXL</t>
  </si>
  <si>
    <t>next-level</t>
  </si>
  <si>
    <t>Next Level</t>
  </si>
  <si>
    <t>NXT</t>
  </si>
  <si>
    <t>next-token</t>
  </si>
  <si>
    <t>Next NXT</t>
  </si>
  <si>
    <t>nextype-finance</t>
  </si>
  <si>
    <t>NEXTYPE Finance</t>
  </si>
  <si>
    <t>NEXM</t>
  </si>
  <si>
    <t>nexum</t>
  </si>
  <si>
    <t>Nexum</t>
  </si>
  <si>
    <t>NXS</t>
  </si>
  <si>
    <t>nexus</t>
  </si>
  <si>
    <t>Nexus</t>
  </si>
  <si>
    <t>NETH</t>
  </si>
  <si>
    <t>nexus-beth-token-share-representation</t>
  </si>
  <si>
    <t>Nexus bETH token share representation</t>
  </si>
  <si>
    <t>NLUNA</t>
  </si>
  <si>
    <t>nexus-bluna-token-share-representation</t>
  </si>
  <si>
    <t>Nexus bLuna token share representation</t>
  </si>
  <si>
    <t>NXD</t>
  </si>
  <si>
    <t>nexus-dubai</t>
  </si>
  <si>
    <t>Nexus Dubai</t>
  </si>
  <si>
    <t>PSI</t>
  </si>
  <si>
    <t>nexus-governance-token</t>
  </si>
  <si>
    <t>Nexus Protocol</t>
  </si>
  <si>
    <t>NXM</t>
  </si>
  <si>
    <t>nexus-mutual-wormhole</t>
  </si>
  <si>
    <t>Nexus Mutual (Wormhole)</t>
  </si>
  <si>
    <t>NEXUS</t>
  </si>
  <si>
    <t>nexus-token</t>
  </si>
  <si>
    <t>Nexus Crypto Services</t>
  </si>
  <si>
    <t>NEZUKO</t>
  </si>
  <si>
    <t>nezuko-inu</t>
  </si>
  <si>
    <t>Nezuko Inu</t>
  </si>
  <si>
    <t>NFS</t>
  </si>
  <si>
    <t>nfans</t>
  </si>
  <si>
    <t>Nfans</t>
  </si>
  <si>
    <t>NFMON</t>
  </si>
  <si>
    <t>nfmonsters</t>
  </si>
  <si>
    <t>NFMonsters</t>
  </si>
  <si>
    <t>NFTA</t>
  </si>
  <si>
    <t>nfraction</t>
  </si>
  <si>
    <t>NFracTion</t>
  </si>
  <si>
    <t>NFT11</t>
  </si>
  <si>
    <t>nft11</t>
  </si>
  <si>
    <t>NFTALLBI</t>
  </si>
  <si>
    <t>nft-all-best-ico</t>
  </si>
  <si>
    <t>NFT All Best ICO</t>
  </si>
  <si>
    <t>ALLEY</t>
  </si>
  <si>
    <t>nft-alley</t>
  </si>
  <si>
    <t>NFT Alley</t>
  </si>
  <si>
    <t>NFTART</t>
  </si>
  <si>
    <t>nft-art-finance</t>
  </si>
  <si>
    <t>NFT Art Finance</t>
  </si>
  <si>
    <t>NFTASCII</t>
  </si>
  <si>
    <t>nftascii</t>
  </si>
  <si>
    <t>NFTB</t>
  </si>
  <si>
    <t>nftb</t>
  </si>
  <si>
    <t>NFTb</t>
  </si>
  <si>
    <t>NBM</t>
  </si>
  <si>
    <t>nftblackmarket</t>
  </si>
  <si>
    <t>NFTBlackmarket</t>
  </si>
  <si>
    <t>NBP</t>
  </si>
  <si>
    <t>nftbomb</t>
  </si>
  <si>
    <t>NFTBomb</t>
  </si>
  <si>
    <t>NFTBS</t>
  </si>
  <si>
    <t>nftbooks</t>
  </si>
  <si>
    <t>NFTBooks</t>
  </si>
  <si>
    <t>CHAMP</t>
  </si>
  <si>
    <t>nft-champions</t>
  </si>
  <si>
    <t>NFT Champions</t>
  </si>
  <si>
    <t>NFTC</t>
  </si>
  <si>
    <t>nftcircle</t>
  </si>
  <si>
    <t>NFTCircle</t>
  </si>
  <si>
    <t>NAO</t>
  </si>
  <si>
    <t>nftdao</t>
  </si>
  <si>
    <t>NFTDAO</t>
  </si>
  <si>
    <t>NFTEEZ</t>
  </si>
  <si>
    <t>nfteez</t>
  </si>
  <si>
    <t>NFTeez</t>
  </si>
  <si>
    <t>nfteyez</t>
  </si>
  <si>
    <t>NftEyez</t>
  </si>
  <si>
    <t>NFA</t>
  </si>
  <si>
    <t>nftfundart</t>
  </si>
  <si>
    <t>NFTFundArt</t>
  </si>
  <si>
    <t>NFTFY</t>
  </si>
  <si>
    <t>nftfy</t>
  </si>
  <si>
    <t>Nftfy</t>
  </si>
  <si>
    <t>GS1</t>
  </si>
  <si>
    <t>nftgamingstars</t>
  </si>
  <si>
    <t>NFTGamingStars</t>
  </si>
  <si>
    <t>NFTG</t>
  </si>
  <si>
    <t>nft-global-platform</t>
  </si>
  <si>
    <t>NFT Global Platform</t>
  </si>
  <si>
    <t>N1</t>
  </si>
  <si>
    <t>nftify</t>
  </si>
  <si>
    <t>NFTify</t>
  </si>
  <si>
    <t>NFTM</t>
  </si>
  <si>
    <t>nftime</t>
  </si>
  <si>
    <t>Nftime</t>
  </si>
  <si>
    <t>NFTNDR</t>
  </si>
  <si>
    <t>nftinder</t>
  </si>
  <si>
    <t>NFTinder</t>
  </si>
  <si>
    <t>NFTI</t>
  </si>
  <si>
    <t>nft-index</t>
  </si>
  <si>
    <t>NFT Index</t>
  </si>
  <si>
    <t>NFTL</t>
  </si>
  <si>
    <t>nftlaunch</t>
  </si>
  <si>
    <t>NFTLaunch</t>
  </si>
  <si>
    <t>nftlootbox</t>
  </si>
  <si>
    <t>LootBox.io</t>
  </si>
  <si>
    <t>nftl-token</t>
  </si>
  <si>
    <t>MAKE</t>
  </si>
  <si>
    <t>nftmake</t>
  </si>
  <si>
    <t>NFTMAKE</t>
  </si>
  <si>
    <t>NMKR</t>
  </si>
  <si>
    <t>nft-maker</t>
  </si>
  <si>
    <t>NFT-MAKER</t>
  </si>
  <si>
    <t>nftmall</t>
  </si>
  <si>
    <t>NFTmall</t>
  </si>
  <si>
    <t>MANIA</t>
  </si>
  <si>
    <t>nftmania</t>
  </si>
  <si>
    <t>NFTMania</t>
  </si>
  <si>
    <t>NMT</t>
  </si>
  <si>
    <t>nftmart-token</t>
  </si>
  <si>
    <t>NFTMart</t>
  </si>
  <si>
    <t>MAZE</t>
  </si>
  <si>
    <t>nft-maze</t>
  </si>
  <si>
    <t>NFT MAZE</t>
  </si>
  <si>
    <t>MUSIC</t>
  </si>
  <si>
    <t>nftmusic</t>
  </si>
  <si>
    <t>NFTMusic.ai</t>
  </si>
  <si>
    <t>STREAMER</t>
  </si>
  <si>
    <t>nftmusic-stream</t>
  </si>
  <si>
    <t>NFTMUSIC.STREAM</t>
  </si>
  <si>
    <t>NFTOPIA</t>
  </si>
  <si>
    <t>nftopia</t>
  </si>
  <si>
    <t>NFTPAD</t>
  </si>
  <si>
    <t>nftpad</t>
  </si>
  <si>
    <t>NFTPad</t>
  </si>
  <si>
    <t>NFTP</t>
  </si>
  <si>
    <t>nft-platform-index</t>
  </si>
  <si>
    <t>NFT Platform Index</t>
  </si>
  <si>
    <t>nft-protocol</t>
  </si>
  <si>
    <t>NFT Protocol</t>
  </si>
  <si>
    <t>NFTPUNK</t>
  </si>
  <si>
    <t>nftpunk-finance</t>
  </si>
  <si>
    <t>NFTPunk.Finance</t>
  </si>
  <si>
    <t>NFTD</t>
  </si>
  <si>
    <t>nftrade</t>
  </si>
  <si>
    <t>NFTrade</t>
  </si>
  <si>
    <t>NRT</t>
  </si>
  <si>
    <t>nft-royal-token</t>
  </si>
  <si>
    <t>NFT Royal</t>
  </si>
  <si>
    <t>NFSG</t>
  </si>
  <si>
    <t>nft-soccer-games</t>
  </si>
  <si>
    <t>NFT Soccer Games</t>
  </si>
  <si>
    <t>NSC</t>
  </si>
  <si>
    <t>nftsocial</t>
  </si>
  <si>
    <t>NFTSocial</t>
  </si>
  <si>
    <t>NFTSOL</t>
  </si>
  <si>
    <t>nft-solpad</t>
  </si>
  <si>
    <t>NFT SolPad</t>
  </si>
  <si>
    <t>NFTS</t>
  </si>
  <si>
    <t>nft-stars</t>
  </si>
  <si>
    <t>NFT Stars</t>
  </si>
  <si>
    <t>nft-starter</t>
  </si>
  <si>
    <t>NFT Starter</t>
  </si>
  <si>
    <t>NFTSTYLE</t>
  </si>
  <si>
    <t>nftstyle</t>
  </si>
  <si>
    <t>NFTStyle</t>
  </si>
  <si>
    <t>SWAPS</t>
  </si>
  <si>
    <t>nftswaps</t>
  </si>
  <si>
    <t>NFTSwaps</t>
  </si>
  <si>
    <t>NFTT</t>
  </si>
  <si>
    <t>nft-tech</t>
  </si>
  <si>
    <t>NFT Tech</t>
  </si>
  <si>
    <t>TONE</t>
  </si>
  <si>
    <t>nft-tone</t>
  </si>
  <si>
    <t>NFT Tone</t>
  </si>
  <si>
    <t>NFTK</t>
  </si>
  <si>
    <t>nftwiki</t>
  </si>
  <si>
    <t>NFTWiki</t>
  </si>
  <si>
    <t>WRLD</t>
  </si>
  <si>
    <t>nft-worlds</t>
  </si>
  <si>
    <t>NFT Worlds</t>
  </si>
  <si>
    <t>NFTX</t>
  </si>
  <si>
    <t>nftx</t>
  </si>
  <si>
    <t>NFTY</t>
  </si>
  <si>
    <t>nfty-token</t>
  </si>
  <si>
    <t>NFTY Labs</t>
  </si>
  <si>
    <t>NFXC</t>
  </si>
  <si>
    <t>nfx-coin</t>
  </si>
  <si>
    <t>NFX Coin</t>
  </si>
  <si>
    <t>NG</t>
  </si>
  <si>
    <t>ngin</t>
  </si>
  <si>
    <t>Ngin</t>
  </si>
  <si>
    <t>NHBTC</t>
  </si>
  <si>
    <t>nhbtc</t>
  </si>
  <si>
    <t>nHBTC</t>
  </si>
  <si>
    <t>NICHEMAN</t>
  </si>
  <si>
    <t>nicheman</t>
  </si>
  <si>
    <t>Nicheman</t>
  </si>
  <si>
    <t>NICKEL</t>
  </si>
  <si>
    <t>nickel-token</t>
  </si>
  <si>
    <t>Nickel Token</t>
  </si>
  <si>
    <t>NIDO</t>
  </si>
  <si>
    <t>nido-invest-dao</t>
  </si>
  <si>
    <t>NIDO Invest Dao</t>
  </si>
  <si>
    <t>NIFT</t>
  </si>
  <si>
    <t>niftify</t>
  </si>
  <si>
    <t>Niftify</t>
  </si>
  <si>
    <t>NIFTSY</t>
  </si>
  <si>
    <t>niftsy</t>
  </si>
  <si>
    <t>Envelop (Niftsy)</t>
  </si>
  <si>
    <t>nifty-league</t>
  </si>
  <si>
    <t>Nifty League</t>
  </si>
  <si>
    <t>NIFTY</t>
  </si>
  <si>
    <t>niftypays</t>
  </si>
  <si>
    <t>NiftyPays</t>
  </si>
  <si>
    <t>nifty-token</t>
  </si>
  <si>
    <t>NFTY DeFi Protocol</t>
  </si>
  <si>
    <t>NLIFE</t>
  </si>
  <si>
    <t>night-life-crypto</t>
  </si>
  <si>
    <t>Night Life Crypto</t>
  </si>
  <si>
    <t>NIIFI</t>
  </si>
  <si>
    <t>niifi</t>
  </si>
  <si>
    <t>NiiFi</t>
  </si>
  <si>
    <t>NIL</t>
  </si>
  <si>
    <t>nil-coin</t>
  </si>
  <si>
    <t>nil-dao</t>
  </si>
  <si>
    <t>Nil DAO</t>
  </si>
  <si>
    <t>NILU</t>
  </si>
  <si>
    <t>nilu</t>
  </si>
  <si>
    <t>Nilu</t>
  </si>
  <si>
    <t>NBU</t>
  </si>
  <si>
    <t>nimbus</t>
  </si>
  <si>
    <t>Nimbus</t>
  </si>
  <si>
    <t>GNBU</t>
  </si>
  <si>
    <t>nimbus-governance-token</t>
  </si>
  <si>
    <t>Nimbus Governance</t>
  </si>
  <si>
    <t>NIM</t>
  </si>
  <si>
    <t>nimiq-2</t>
  </si>
  <si>
    <t>Nimiq</t>
  </si>
  <si>
    <t>$NINJADOGE</t>
  </si>
  <si>
    <t>ninja-doge</t>
  </si>
  <si>
    <t>Ninja Doge</t>
  </si>
  <si>
    <t>ninja-fantasy-token</t>
  </si>
  <si>
    <t>Ninja Fantasy</t>
  </si>
  <si>
    <t>NPI</t>
  </si>
  <si>
    <t>ninja-panda-inu</t>
  </si>
  <si>
    <t>Ninja Panda Inu</t>
  </si>
  <si>
    <t>NINJA</t>
  </si>
  <si>
    <t>ninja-protocol</t>
  </si>
  <si>
    <t>Ninja Protocol</t>
  </si>
  <si>
    <t>ninja-squad</t>
  </si>
  <si>
    <t>Ninja Squad</t>
  </si>
  <si>
    <t>NINKY</t>
  </si>
  <si>
    <t>ninky</t>
  </si>
  <si>
    <t>Idle Ninja Online</t>
  </si>
  <si>
    <t>NINO</t>
  </si>
  <si>
    <t>ninneko</t>
  </si>
  <si>
    <t>Ninneko</t>
  </si>
  <si>
    <t>NINTI</t>
  </si>
  <si>
    <t>nintia-estate</t>
  </si>
  <si>
    <t>Nintia Estate</t>
  </si>
  <si>
    <t>NIOB</t>
  </si>
  <si>
    <t>niob</t>
  </si>
  <si>
    <t>NBR</t>
  </si>
  <si>
    <t>niobio-cash</t>
  </si>
  <si>
    <t>Niobio</t>
  </si>
  <si>
    <t>NBC</t>
  </si>
  <si>
    <t>niobium-coin</t>
  </si>
  <si>
    <t>Niobium Coin</t>
  </si>
  <si>
    <t>NIROS</t>
  </si>
  <si>
    <t>niros</t>
  </si>
  <si>
    <t>Niros</t>
  </si>
  <si>
    <t>ANA</t>
  </si>
  <si>
    <t>nirvana-ana</t>
  </si>
  <si>
    <t>Nirvana ANA</t>
  </si>
  <si>
    <t>MNU</t>
  </si>
  <si>
    <t>nirvanameta</t>
  </si>
  <si>
    <t>NirvanaMeta</t>
  </si>
  <si>
    <t>NIRV</t>
  </si>
  <si>
    <t>nirvana-nirv</t>
  </si>
  <si>
    <t>Nirvana NIRV</t>
  </si>
  <si>
    <t>NTX</t>
  </si>
  <si>
    <t>nitroex</t>
  </si>
  <si>
    <t>NitroEX</t>
  </si>
  <si>
    <t>NITRO</t>
  </si>
  <si>
    <t>nitro-league</t>
  </si>
  <si>
    <t>Nitro League</t>
  </si>
  <si>
    <t>VOICE</t>
  </si>
  <si>
    <t>nix-bridge-token</t>
  </si>
  <si>
    <t>NKCLC</t>
  </si>
  <si>
    <t>nkcl-classic</t>
  </si>
  <si>
    <t>NKCL Classic</t>
  </si>
  <si>
    <t>NKN</t>
  </si>
  <si>
    <t>nkn</t>
  </si>
  <si>
    <t>NNB</t>
  </si>
  <si>
    <t>nnb-token</t>
  </si>
  <si>
    <t>NNB Token</t>
  </si>
  <si>
    <t>NOAH</t>
  </si>
  <si>
    <t>noah</t>
  </si>
  <si>
    <t>Noah</t>
  </si>
  <si>
    <t>NRK</t>
  </si>
  <si>
    <t>noahark</t>
  </si>
  <si>
    <t>NoahArk</t>
  </si>
  <si>
    <t>NOAHP</t>
  </si>
  <si>
    <t>noah-coin</t>
  </si>
  <si>
    <t>Noah Decentralized State Coin</t>
  </si>
  <si>
    <t>NOA</t>
  </si>
  <si>
    <t>noa-play</t>
  </si>
  <si>
    <t>NOA PLAY</t>
  </si>
  <si>
    <t>NOBEL</t>
  </si>
  <si>
    <t>nobelium</t>
  </si>
  <si>
    <t>Nobelium</t>
  </si>
  <si>
    <t>NBL</t>
  </si>
  <si>
    <t>nobility</t>
  </si>
  <si>
    <t>Nobility</t>
  </si>
  <si>
    <t>NOBL</t>
  </si>
  <si>
    <t>noblecoin</t>
  </si>
  <si>
    <t>NobleCoin</t>
  </si>
  <si>
    <t>NOBF</t>
  </si>
  <si>
    <t>nobo-finance</t>
  </si>
  <si>
    <t>Nobo Finance</t>
  </si>
  <si>
    <t>NB</t>
  </si>
  <si>
    <t>no-bull</t>
  </si>
  <si>
    <t>No Bull</t>
  </si>
  <si>
    <t>NBNG</t>
  </si>
  <si>
    <t>nobunaga</t>
  </si>
  <si>
    <t>Nobunaga</t>
  </si>
  <si>
    <t>nocapcoin</t>
  </si>
  <si>
    <t>NoCapCoin</t>
  </si>
  <si>
    <t>$NODAC</t>
  </si>
  <si>
    <t>node-aggregator-capital</t>
  </si>
  <si>
    <t>Node Aggregator Capital</t>
  </si>
  <si>
    <t>NOCH</t>
  </si>
  <si>
    <t>nodebunch</t>
  </si>
  <si>
    <t>NodeBunch</t>
  </si>
  <si>
    <t>NODEC</t>
  </si>
  <si>
    <t>node-compiler-avax</t>
  </si>
  <si>
    <t>Piler</t>
  </si>
  <si>
    <t>N3</t>
  </si>
  <si>
    <t>node-cubed</t>
  </si>
  <si>
    <t>Node Cubed</t>
  </si>
  <si>
    <t>NDFI</t>
  </si>
  <si>
    <t>nodeify</t>
  </si>
  <si>
    <t>Nodeify</t>
  </si>
  <si>
    <t>NDR</t>
  </si>
  <si>
    <t>noderunners</t>
  </si>
  <si>
    <t>Node Runners</t>
  </si>
  <si>
    <t>NDS</t>
  </si>
  <si>
    <t>nodeseeds</t>
  </si>
  <si>
    <t>Nodeseeds</t>
  </si>
  <si>
    <t>N2</t>
  </si>
  <si>
    <t>node-squared</t>
  </si>
  <si>
    <t>Node Squared</t>
  </si>
  <si>
    <t>NS</t>
  </si>
  <si>
    <t>nodestats</t>
  </si>
  <si>
    <t>Nodestats</t>
  </si>
  <si>
    <t>nodetrade</t>
  </si>
  <si>
    <t>Nodetrade</t>
  </si>
  <si>
    <t>NOF</t>
  </si>
  <si>
    <t>noften</t>
  </si>
  <si>
    <t>nOFTEN</t>
  </si>
  <si>
    <t>nogoaltoken</t>
  </si>
  <si>
    <t>NoGoal</t>
  </si>
  <si>
    <t>NOIA</t>
  </si>
  <si>
    <t>noia-network</t>
  </si>
  <si>
    <t>Syntropy</t>
  </si>
  <si>
    <t>NOKN</t>
  </si>
  <si>
    <t>nokencoin</t>
  </si>
  <si>
    <t>Nokencoin</t>
  </si>
  <si>
    <t>NOKU</t>
  </si>
  <si>
    <t>noku</t>
  </si>
  <si>
    <t>Noku</t>
  </si>
  <si>
    <t>NPC</t>
  </si>
  <si>
    <t>nole-npc</t>
  </si>
  <si>
    <t>NPC DAO</t>
  </si>
  <si>
    <t>AMSK</t>
  </si>
  <si>
    <t>nolewater</t>
  </si>
  <si>
    <t>NoleWater</t>
  </si>
  <si>
    <t>NLCR</t>
  </si>
  <si>
    <t>nolian-credits</t>
  </si>
  <si>
    <t>Nolian Credits</t>
  </si>
  <si>
    <t>NLA</t>
  </si>
  <si>
    <t>no-limit-ape</t>
  </si>
  <si>
    <t>No Limit Ape</t>
  </si>
  <si>
    <t>NLC</t>
  </si>
  <si>
    <t>nolimitcoin</t>
  </si>
  <si>
    <t>NoLimitCoin</t>
  </si>
  <si>
    <t>PRIDE</t>
  </si>
  <si>
    <t>nomad-exiles</t>
  </si>
  <si>
    <t>Nomad Exiles</t>
  </si>
  <si>
    <t>NOMAD</t>
  </si>
  <si>
    <t>nomadland</t>
  </si>
  <si>
    <t>NOMADLAND</t>
  </si>
  <si>
    <t>NMX</t>
  </si>
  <si>
    <t>nominex</t>
  </si>
  <si>
    <t>Nominex</t>
  </si>
  <si>
    <t>NOMY</t>
  </si>
  <si>
    <t>nomy</t>
  </si>
  <si>
    <t>TOKE</t>
  </si>
  <si>
    <t>non-fungible-toke</t>
  </si>
  <si>
    <t>Non-Fungible TOKE</t>
  </si>
  <si>
    <t>NFY</t>
  </si>
  <si>
    <t>non-fungible-yearn</t>
  </si>
  <si>
    <t>Non-Fungible Yearn</t>
  </si>
  <si>
    <t>NOOFT</t>
  </si>
  <si>
    <t>nooft</t>
  </si>
  <si>
    <t>Nooft</t>
  </si>
  <si>
    <t>NOONE</t>
  </si>
  <si>
    <t>no-one</t>
  </si>
  <si>
    <t>No One</t>
  </si>
  <si>
    <t>NRA</t>
  </si>
  <si>
    <t>nora-token</t>
  </si>
  <si>
    <t>Nora</t>
  </si>
  <si>
    <t>NORD</t>
  </si>
  <si>
    <t>nord-finance</t>
  </si>
  <si>
    <t>Nord Finance</t>
  </si>
  <si>
    <t>NORTH</t>
  </si>
  <si>
    <t>north</t>
  </si>
  <si>
    <t>North (North Pole)</t>
  </si>
  <si>
    <t>NOS</t>
  </si>
  <si>
    <t>nosana</t>
  </si>
  <si>
    <t>Nosana</t>
  </si>
  <si>
    <t>NSH</t>
  </si>
  <si>
    <t>noshit</t>
  </si>
  <si>
    <t>NoShit</t>
  </si>
  <si>
    <t>NOSNITCH</t>
  </si>
  <si>
    <t>nosnitches</t>
  </si>
  <si>
    <t>Nosnitches</t>
  </si>
  <si>
    <t>NOSTA</t>
  </si>
  <si>
    <t>nosta</t>
  </si>
  <si>
    <t>Nosta</t>
  </si>
  <si>
    <t>NTRS</t>
  </si>
  <si>
    <t>nosturis</t>
  </si>
  <si>
    <t>Nosturis</t>
  </si>
  <si>
    <t>USNOTA</t>
  </si>
  <si>
    <t>nota</t>
  </si>
  <si>
    <t>NOTA</t>
  </si>
  <si>
    <t>notable</t>
  </si>
  <si>
    <t>Notable</t>
  </si>
  <si>
    <t>NASA</t>
  </si>
  <si>
    <t>not-another-shit-altcoin</t>
  </si>
  <si>
    <t>Not Another Shit Altcoin</t>
  </si>
  <si>
    <t>NTBC</t>
  </si>
  <si>
    <t>note-blockchain</t>
  </si>
  <si>
    <t>Note Blockchain</t>
  </si>
  <si>
    <t>NADA</t>
  </si>
  <si>
    <t>nothing</t>
  </si>
  <si>
    <t>Nothing</t>
  </si>
  <si>
    <t>NOTE</t>
  </si>
  <si>
    <t>notional-finance</t>
  </si>
  <si>
    <t>Notional Finance</t>
  </si>
  <si>
    <t>NM</t>
  </si>
  <si>
    <t>not-much</t>
  </si>
  <si>
    <t>Not Much</t>
  </si>
  <si>
    <t>NOTSAFEMOON</t>
  </si>
  <si>
    <t>notsafemoon</t>
  </si>
  <si>
    <t>NotSafeMoon</t>
  </si>
  <si>
    <t>nova</t>
  </si>
  <si>
    <t>NVC</t>
  </si>
  <si>
    <t>novacoin</t>
  </si>
  <si>
    <t>Novacoin</t>
  </si>
  <si>
    <t>nova-finance</t>
  </si>
  <si>
    <t>Nova Finance</t>
  </si>
  <si>
    <t>NBK</t>
  </si>
  <si>
    <t>nova-network</t>
  </si>
  <si>
    <t>Nova Token</t>
  </si>
  <si>
    <t>NOV</t>
  </si>
  <si>
    <t>novara-calcio-fan-token</t>
  </si>
  <si>
    <t>Novara Calcio Fan Token</t>
  </si>
  <si>
    <t>XCRS</t>
  </si>
  <si>
    <t>novaxcrystal</t>
  </si>
  <si>
    <t>NovaXCrystal</t>
  </si>
  <si>
    <t>XMTL</t>
  </si>
  <si>
    <t>novaxmetal</t>
  </si>
  <si>
    <t>NovaXMetal</t>
  </si>
  <si>
    <t>XSLR</t>
  </si>
  <si>
    <t>novaxsolar</t>
  </si>
  <si>
    <t>NovaXSolar</t>
  </si>
  <si>
    <t>NNN</t>
  </si>
  <si>
    <t>novem-gold</t>
  </si>
  <si>
    <t>Novem Gold</t>
  </si>
  <si>
    <t>NVM</t>
  </si>
  <si>
    <t>novem-pro</t>
  </si>
  <si>
    <t>Novem Pro</t>
  </si>
  <si>
    <t>NOVO</t>
  </si>
  <si>
    <t>novo-token</t>
  </si>
  <si>
    <t>Novo</t>
  </si>
  <si>
    <t>NAC</t>
  </si>
  <si>
    <t>nowlage-coin</t>
  </si>
  <si>
    <t>Nowlage Coin</t>
  </si>
  <si>
    <t>npccoin</t>
  </si>
  <si>
    <t>NPCcoin</t>
  </si>
  <si>
    <t>NPICK</t>
  </si>
  <si>
    <t>npick-block</t>
  </si>
  <si>
    <t>NPick Block</t>
  </si>
  <si>
    <t>NPO</t>
  </si>
  <si>
    <t>npo-coin</t>
  </si>
  <si>
    <t>NPO Coin</t>
  </si>
  <si>
    <t>nrgy-defi</t>
  </si>
  <si>
    <t>NRGY Defi</t>
  </si>
  <si>
    <t>NSHARE</t>
  </si>
  <si>
    <t>nshare</t>
  </si>
  <si>
    <t>NSI</t>
  </si>
  <si>
    <t>nsights</t>
  </si>
  <si>
    <t>nSights</t>
  </si>
  <si>
    <t>NSS</t>
  </si>
  <si>
    <t>nss-coin</t>
  </si>
  <si>
    <t>NSS Coin</t>
  </si>
  <si>
    <t>NSUR</t>
  </si>
  <si>
    <t>nsur-coin</t>
  </si>
  <si>
    <t>NSUR Coin</t>
  </si>
  <si>
    <t>NSURE</t>
  </si>
  <si>
    <t>nsure-network</t>
  </si>
  <si>
    <t>Nsure Network</t>
  </si>
  <si>
    <t>USNBT</t>
  </si>
  <si>
    <t>nubits</t>
  </si>
  <si>
    <t>NuBits</t>
  </si>
  <si>
    <t>NCASH</t>
  </si>
  <si>
    <t>nucleus-vision</t>
  </si>
  <si>
    <t>Nucleus Vision</t>
  </si>
  <si>
    <t>NCDT</t>
  </si>
  <si>
    <t>nuco-cloud</t>
  </si>
  <si>
    <t>Nuco.Cloud</t>
  </si>
  <si>
    <t>NUC</t>
  </si>
  <si>
    <t>nucoin</t>
  </si>
  <si>
    <t>NuCoin</t>
  </si>
  <si>
    <t>NU</t>
  </si>
  <si>
    <t>nucypher</t>
  </si>
  <si>
    <t>NuCypher</t>
  </si>
  <si>
    <t>NUDES</t>
  </si>
  <si>
    <t>nudes</t>
  </si>
  <si>
    <t>NUKE</t>
  </si>
  <si>
    <t>nuke-token</t>
  </si>
  <si>
    <t>Nuke</t>
  </si>
  <si>
    <t>NULS</t>
  </si>
  <si>
    <t>nuls</t>
  </si>
  <si>
    <t>Nuls</t>
  </si>
  <si>
    <t>NUARS</t>
  </si>
  <si>
    <t>num-ars</t>
  </si>
  <si>
    <t>Num ARS</t>
  </si>
  <si>
    <t>NR1</t>
  </si>
  <si>
    <t>number-1-token</t>
  </si>
  <si>
    <t>Number 1</t>
  </si>
  <si>
    <t>NUM</t>
  </si>
  <si>
    <t>numbers-protocol</t>
  </si>
  <si>
    <t>Numbers Protocol</t>
  </si>
  <si>
    <t>NMR</t>
  </si>
  <si>
    <t>numeraire</t>
  </si>
  <si>
    <t>Numeraire</t>
  </si>
  <si>
    <t>NUME</t>
  </si>
  <si>
    <t>numisme</t>
  </si>
  <si>
    <t>NumisMe</t>
  </si>
  <si>
    <t>NUMI</t>
  </si>
  <si>
    <t>numitor</t>
  </si>
  <si>
    <t>Numitor</t>
  </si>
  <si>
    <t>NUNA</t>
  </si>
  <si>
    <t>nuna</t>
  </si>
  <si>
    <t>Nuna</t>
  </si>
  <si>
    <t>nunet</t>
  </si>
  <si>
    <t>NuNet</t>
  </si>
  <si>
    <t>NNT</t>
  </si>
  <si>
    <t>nunu-spirits</t>
  </si>
  <si>
    <t>Nunu Spirits</t>
  </si>
  <si>
    <t>NRFB</t>
  </si>
  <si>
    <t>nurifootball</t>
  </si>
  <si>
    <t>NuriFootBall</t>
  </si>
  <si>
    <t>SUSD</t>
  </si>
  <si>
    <t>nusd</t>
  </si>
  <si>
    <t>sUSD</t>
  </si>
  <si>
    <t>nusd-hotbit</t>
  </si>
  <si>
    <t>nUSD (HotBit)</t>
  </si>
  <si>
    <t>NSR</t>
  </si>
  <si>
    <t>nushares</t>
  </si>
  <si>
    <t>NuShares</t>
  </si>
  <si>
    <t>NUTGV2</t>
  </si>
  <si>
    <t>nutgain</t>
  </si>
  <si>
    <t>NUTGAIN</t>
  </si>
  <si>
    <t>NUTSG</t>
  </si>
  <si>
    <t>nuts-gaming</t>
  </si>
  <si>
    <t>NUTS Gaming</t>
  </si>
  <si>
    <t>NUVO</t>
  </si>
  <si>
    <t>nuvo-cash</t>
  </si>
  <si>
    <t>Nuvo Cash</t>
  </si>
  <si>
    <t>DNVDA</t>
  </si>
  <si>
    <t>nvidia-tokenized-stock-defichain</t>
  </si>
  <si>
    <t>Nvidia Tokenized Stock Defichain</t>
  </si>
  <si>
    <t>NVIR</t>
  </si>
  <si>
    <t>nvirworld</t>
  </si>
  <si>
    <t>NvirWorld</t>
  </si>
  <si>
    <t>NVL</t>
  </si>
  <si>
    <t>nvl-project</t>
  </si>
  <si>
    <t>NVL Project</t>
  </si>
  <si>
    <t>nxm</t>
  </si>
  <si>
    <t>Nexus Mutual</t>
  </si>
  <si>
    <t>nxt</t>
  </si>
  <si>
    <t>NXUSD</t>
  </si>
  <si>
    <t>nxusd</t>
  </si>
  <si>
    <t>NCAT</t>
  </si>
  <si>
    <t>nyan-cat</t>
  </si>
  <si>
    <t>NYAN-2</t>
  </si>
  <si>
    <t>nyan-v2</t>
  </si>
  <si>
    <t>Nyan V2</t>
  </si>
  <si>
    <t>nycccoin</t>
  </si>
  <si>
    <t>NewYorkCityCoin</t>
  </si>
  <si>
    <t>NYEX</t>
  </si>
  <si>
    <t>nyerium</t>
  </si>
  <si>
    <t>Nyerium</t>
  </si>
  <si>
    <t>NYM</t>
  </si>
  <si>
    <t>nym</t>
  </si>
  <si>
    <t>Nym</t>
  </si>
  <si>
    <t>NYN</t>
  </si>
  <si>
    <t>nynja</t>
  </si>
  <si>
    <t>NYNJACoin</t>
  </si>
  <si>
    <t>NYXT</t>
  </si>
  <si>
    <t>nyx-token</t>
  </si>
  <si>
    <t>Nyx</t>
  </si>
  <si>
    <t>NYZO</t>
  </si>
  <si>
    <t>nyzo</t>
  </si>
  <si>
    <t>Nyzo</t>
  </si>
  <si>
    <t>NZDS</t>
  </si>
  <si>
    <t>nzd-stablecoin</t>
  </si>
  <si>
    <t>NZD Stablecoin</t>
  </si>
  <si>
    <t>O3</t>
  </si>
  <si>
    <t>o3-swap</t>
  </si>
  <si>
    <t>O3 Swap</t>
  </si>
  <si>
    <t>XOS</t>
  </si>
  <si>
    <t>oasis-2</t>
  </si>
  <si>
    <t>OASIS</t>
  </si>
  <si>
    <t>OSC</t>
  </si>
  <si>
    <t>oasis-city</t>
  </si>
  <si>
    <t>Oasis City</t>
  </si>
  <si>
    <t>OAS</t>
  </si>
  <si>
    <t>oasisdao</t>
  </si>
  <si>
    <t>OasisDAO</t>
  </si>
  <si>
    <t>OG</t>
  </si>
  <si>
    <t>oasis-gold</t>
  </si>
  <si>
    <t>Oasis Gold</t>
  </si>
  <si>
    <t>ROSE</t>
  </si>
  <si>
    <t>oasis-network</t>
  </si>
  <si>
    <t>Oasis Network</t>
  </si>
  <si>
    <t>oasis-token</t>
  </si>
  <si>
    <t>Oasis Token</t>
  </si>
  <si>
    <t>OATH</t>
  </si>
  <si>
    <t>oath</t>
  </si>
  <si>
    <t>Oath</t>
  </si>
  <si>
    <t>OBIC</t>
  </si>
  <si>
    <t>obic</t>
  </si>
  <si>
    <t>OBOT</t>
  </si>
  <si>
    <t>obortech</t>
  </si>
  <si>
    <t>Obortech</t>
  </si>
  <si>
    <t>OBROK</t>
  </si>
  <si>
    <t>obrok</t>
  </si>
  <si>
    <t>OBRok</t>
  </si>
  <si>
    <t>OBSR</t>
  </si>
  <si>
    <t>observer-coin</t>
  </si>
  <si>
    <t>OBSERVER Coin</t>
  </si>
  <si>
    <t>OBS</t>
  </si>
  <si>
    <t>obsidium</t>
  </si>
  <si>
    <t>Obsidium</t>
  </si>
  <si>
    <t>OBT</t>
  </si>
  <si>
    <t>obtoken</t>
  </si>
  <si>
    <t>OB</t>
  </si>
  <si>
    <t>OCC</t>
  </si>
  <si>
    <t>occamfi</t>
  </si>
  <si>
    <t>OccamFi</t>
  </si>
  <si>
    <t>OCE</t>
  </si>
  <si>
    <t>oceanex</t>
  </si>
  <si>
    <t>OceanEX</t>
  </si>
  <si>
    <t>OLAND</t>
  </si>
  <si>
    <t>oceanland</t>
  </si>
  <si>
    <t>OceanLand</t>
  </si>
  <si>
    <t>OCEAN</t>
  </si>
  <si>
    <t>ocean-protocol</t>
  </si>
  <si>
    <t>Ocean Protocol</t>
  </si>
  <si>
    <t>OCEANS</t>
  </si>
  <si>
    <t>oceans-finance</t>
  </si>
  <si>
    <t>Oceans Finance</t>
  </si>
  <si>
    <t>OBLOX</t>
  </si>
  <si>
    <t>oceidon-blox</t>
  </si>
  <si>
    <t>Oceidon Blox</t>
  </si>
  <si>
    <t>OCP</t>
  </si>
  <si>
    <t>oc-protocol</t>
  </si>
  <si>
    <t>OC Protocol</t>
  </si>
  <si>
    <t>OCRA</t>
  </si>
  <si>
    <t>ocra</t>
  </si>
  <si>
    <t>OCTF</t>
  </si>
  <si>
    <t>octafarm</t>
  </si>
  <si>
    <t>Octafarm</t>
  </si>
  <si>
    <t>OCTANE</t>
  </si>
  <si>
    <t>octane-protocol-token</t>
  </si>
  <si>
    <t>Octane Protocol</t>
  </si>
  <si>
    <t>OCTA</t>
  </si>
  <si>
    <t>octapay</t>
  </si>
  <si>
    <t>OctaPay</t>
  </si>
  <si>
    <t>PLX</t>
  </si>
  <si>
    <t>octaplex-network</t>
  </si>
  <si>
    <t>Octaplex Network</t>
  </si>
  <si>
    <t>OVG</t>
  </si>
  <si>
    <t>octaverse-games</t>
  </si>
  <si>
    <t>Octaverse Games</t>
  </si>
  <si>
    <t>OCTAX</t>
  </si>
  <si>
    <t>octax</t>
  </si>
  <si>
    <t>OctaX</t>
  </si>
  <si>
    <t>OCTI</t>
  </si>
  <si>
    <t>oction</t>
  </si>
  <si>
    <t>Oction</t>
  </si>
  <si>
    <t>octocoin</t>
  </si>
  <si>
    <t>Octocoin</t>
  </si>
  <si>
    <t>OCTO</t>
  </si>
  <si>
    <t>octofi</t>
  </si>
  <si>
    <t>OctoFi</t>
  </si>
  <si>
    <t>OCT</t>
  </si>
  <si>
    <t>octopus-network</t>
  </si>
  <si>
    <t>Octopus Network</t>
  </si>
  <si>
    <t>OPS</t>
  </si>
  <si>
    <t>octopus-protocol</t>
  </si>
  <si>
    <t>Octopus Protocol</t>
  </si>
  <si>
    <t>OAK</t>
  </si>
  <si>
    <t>octree-finance</t>
  </si>
  <si>
    <t>Octree Finance</t>
  </si>
  <si>
    <t>OCV</t>
  </si>
  <si>
    <t>oculus-vision</t>
  </si>
  <si>
    <t>Oculus Vision</t>
  </si>
  <si>
    <t>ODDZ</t>
  </si>
  <si>
    <t>oddz</t>
  </si>
  <si>
    <t>Oddz</t>
  </si>
  <si>
    <t>ODE</t>
  </si>
  <si>
    <t>odem</t>
  </si>
  <si>
    <t>ODEM</t>
  </si>
  <si>
    <t>ODN</t>
  </si>
  <si>
    <t>odin-platform</t>
  </si>
  <si>
    <t>Odin Platform</t>
  </si>
  <si>
    <t>ODOP</t>
  </si>
  <si>
    <t>odop</t>
  </si>
  <si>
    <t>oDOP</t>
  </si>
  <si>
    <t>OWC</t>
  </si>
  <si>
    <t>oduwa-coin</t>
  </si>
  <si>
    <t>Oduwa Coin</t>
  </si>
  <si>
    <t>OCN</t>
  </si>
  <si>
    <t>odyssey</t>
  </si>
  <si>
    <t>Odyssey</t>
  </si>
  <si>
    <t>BCHK</t>
  </si>
  <si>
    <t>oec-bch</t>
  </si>
  <si>
    <t>OEC BCH</t>
  </si>
  <si>
    <t>BTCK</t>
  </si>
  <si>
    <t>oec-btc</t>
  </si>
  <si>
    <t>OEC BTC</t>
  </si>
  <si>
    <t>DAIK</t>
  </si>
  <si>
    <t>oec-dai</t>
  </si>
  <si>
    <t>OEC DAI</t>
  </si>
  <si>
    <t>ETHK</t>
  </si>
  <si>
    <t>oec-eth</t>
  </si>
  <si>
    <t>OEC ETH</t>
  </si>
  <si>
    <t>FILK</t>
  </si>
  <si>
    <t>oec-fil</t>
  </si>
  <si>
    <t>OEC FIL</t>
  </si>
  <si>
    <t>LTCK</t>
  </si>
  <si>
    <t>oec-ltc</t>
  </si>
  <si>
    <t>OEC LTC</t>
  </si>
  <si>
    <t>OKT</t>
  </si>
  <si>
    <t>oec-token</t>
  </si>
  <si>
    <t>TRXK</t>
  </si>
  <si>
    <t>oec-tron</t>
  </si>
  <si>
    <t>OEC Tron</t>
  </si>
  <si>
    <t>UNIK</t>
  </si>
  <si>
    <t>oec-uni</t>
  </si>
  <si>
    <t>OEC UNI</t>
  </si>
  <si>
    <t>XRPK</t>
  </si>
  <si>
    <t>oec-xrp</t>
  </si>
  <si>
    <t>OEC XRP</t>
  </si>
  <si>
    <t>OCCT</t>
  </si>
  <si>
    <t>official-crypto-cowboy-token</t>
  </si>
  <si>
    <t>Official Crypto Cowboy</t>
  </si>
  <si>
    <t>OFF</t>
  </si>
  <si>
    <t>offline</t>
  </si>
  <si>
    <t>Offline</t>
  </si>
  <si>
    <t>XFT</t>
  </si>
  <si>
    <t>offshift</t>
  </si>
  <si>
    <t>Offshift</t>
  </si>
  <si>
    <t>og-fan-token</t>
  </si>
  <si>
    <t>OG Fan Token</t>
  </si>
  <si>
    <t>OH</t>
  </si>
  <si>
    <t>oh-finance</t>
  </si>
  <si>
    <t>Oh! Finance</t>
  </si>
  <si>
    <t>OHMC</t>
  </si>
  <si>
    <t>ohm-coin</t>
  </si>
  <si>
    <t>Ohmcoin</t>
  </si>
  <si>
    <t>AVOHMINU</t>
  </si>
  <si>
    <t>ohm-inu-dao</t>
  </si>
  <si>
    <t>Ohm Inu DAO</t>
  </si>
  <si>
    <t>OKS</t>
  </si>
  <si>
    <t>oikos</t>
  </si>
  <si>
    <t>Oikos</t>
  </si>
  <si>
    <t>OIL</t>
  </si>
  <si>
    <t>oilage</t>
  </si>
  <si>
    <t>OILage</t>
  </si>
  <si>
    <t>oiler</t>
  </si>
  <si>
    <t>Oiler</t>
  </si>
  <si>
    <t>OIN</t>
  </si>
  <si>
    <t>oin-finance</t>
  </si>
  <si>
    <t>OIN Finance</t>
  </si>
  <si>
    <t>OINK</t>
  </si>
  <si>
    <t>oink-token</t>
  </si>
  <si>
    <t>Oink</t>
  </si>
  <si>
    <t>OIOC</t>
  </si>
  <si>
    <t>oiocoin</t>
  </si>
  <si>
    <t>OIOCoin</t>
  </si>
  <si>
    <t>OJA</t>
  </si>
  <si>
    <t>ojamu</t>
  </si>
  <si>
    <t>Ojamu</t>
  </si>
  <si>
    <t>OJE</t>
  </si>
  <si>
    <t>oje-token</t>
  </si>
  <si>
    <t>Oje</t>
  </si>
  <si>
    <t>okb</t>
  </si>
  <si>
    <t>OK</t>
  </si>
  <si>
    <t>okcash</t>
  </si>
  <si>
    <t>OKCash</t>
  </si>
  <si>
    <t>OKLG</t>
  </si>
  <si>
    <t>ok-lets-go</t>
  </si>
  <si>
    <t>ok.lets.go.</t>
  </si>
  <si>
    <t>OKLP</t>
  </si>
  <si>
    <t>okletsplay</t>
  </si>
  <si>
    <t>OkLetsPlay</t>
  </si>
  <si>
    <t>ORT</t>
  </si>
  <si>
    <t>okratech-token</t>
  </si>
  <si>
    <t>Okratech</t>
  </si>
  <si>
    <t>XOT</t>
  </si>
  <si>
    <t>okuru</t>
  </si>
  <si>
    <t>Okuru</t>
  </si>
  <si>
    <t>OLA</t>
  </si>
  <si>
    <t>ola-city</t>
  </si>
  <si>
    <t>Ola City</t>
  </si>
  <si>
    <t>OLE</t>
  </si>
  <si>
    <t>olea</t>
  </si>
  <si>
    <t>Olea</t>
  </si>
  <si>
    <t>olecoin</t>
  </si>
  <si>
    <t>OleCoin</t>
  </si>
  <si>
    <t>OLV</t>
  </si>
  <si>
    <t>olive</t>
  </si>
  <si>
    <t>OLIVE</t>
  </si>
  <si>
    <t>olivecash</t>
  </si>
  <si>
    <t>Olive Cash</t>
  </si>
  <si>
    <t>OLYMPIC DOGE</t>
  </si>
  <si>
    <t>olympic-doge</t>
  </si>
  <si>
    <t>Olympic Doge</t>
  </si>
  <si>
    <t>OHM</t>
  </si>
  <si>
    <t>olympus</t>
  </si>
  <si>
    <t>Olympus</t>
  </si>
  <si>
    <t>OLYMPUS</t>
  </si>
  <si>
    <t>olympus-token</t>
  </si>
  <si>
    <t>olympus-v1</t>
  </si>
  <si>
    <t>Olympus v1</t>
  </si>
  <si>
    <t>olympus-wormhole</t>
  </si>
  <si>
    <t>Olympus (Wormhole)</t>
  </si>
  <si>
    <t>OLY</t>
  </si>
  <si>
    <t>olyseum</t>
  </si>
  <si>
    <t>Olyseum</t>
  </si>
  <si>
    <t>oly-sport</t>
  </si>
  <si>
    <t>Oly Sport</t>
  </si>
  <si>
    <t>OMAX</t>
  </si>
  <si>
    <t>omax-token</t>
  </si>
  <si>
    <t>Omax</t>
  </si>
  <si>
    <t>OMB</t>
  </si>
  <si>
    <t>ombre</t>
  </si>
  <si>
    <t>Ombre</t>
  </si>
  <si>
    <t>OMEGA</t>
  </si>
  <si>
    <t>omega</t>
  </si>
  <si>
    <t>OPM</t>
  </si>
  <si>
    <t>omega-protocol-money</t>
  </si>
  <si>
    <t>Omega Protocol Money</t>
  </si>
  <si>
    <t>OMIC</t>
  </si>
  <si>
    <t>omicron</t>
  </si>
  <si>
    <t>Omicron</t>
  </si>
  <si>
    <t>OMG</t>
  </si>
  <si>
    <t>omisego</t>
  </si>
  <si>
    <t>OMG Network</t>
  </si>
  <si>
    <t>OML</t>
  </si>
  <si>
    <t>omlira</t>
  </si>
  <si>
    <t>Omlira</t>
  </si>
  <si>
    <t>OMM</t>
  </si>
  <si>
    <t>omm-tokens</t>
  </si>
  <si>
    <t>Omm</t>
  </si>
  <si>
    <t>OMNI</t>
  </si>
  <si>
    <t>omni</t>
  </si>
  <si>
    <t>Omni</t>
  </si>
  <si>
    <t>OMNIA</t>
  </si>
  <si>
    <t>omnia</t>
  </si>
  <si>
    <t>Omnia</t>
  </si>
  <si>
    <t>omniaverse</t>
  </si>
  <si>
    <t>OmniaVerse</t>
  </si>
  <si>
    <t>OCA$H</t>
  </si>
  <si>
    <t>omni-cash</t>
  </si>
  <si>
    <t>Omni Cash</t>
  </si>
  <si>
    <t>omni-consumer-protocol</t>
  </si>
  <si>
    <t>Omni Consumer Protocol</t>
  </si>
  <si>
    <t>omnidex</t>
  </si>
  <si>
    <t>OmniDex</t>
  </si>
  <si>
    <t>omniflix-network</t>
  </si>
  <si>
    <t>OmniFlix Network</t>
  </si>
  <si>
    <t>omni-real-estate-token</t>
  </si>
  <si>
    <t>Omni Real Estate</t>
  </si>
  <si>
    <t>OMNIS</t>
  </si>
  <si>
    <t>omnis</t>
  </si>
  <si>
    <t>ECOM</t>
  </si>
  <si>
    <t>omnitude</t>
  </si>
  <si>
    <t>Omnitude</t>
  </si>
  <si>
    <t>WHIRL</t>
  </si>
  <si>
    <t>omniwhirl</t>
  </si>
  <si>
    <t>OmniWhirl</t>
  </si>
  <si>
    <t>MTNS</t>
  </si>
  <si>
    <t>omotenashicoin</t>
  </si>
  <si>
    <t>OmotenashiCoin</t>
  </si>
  <si>
    <t>ONIT</t>
  </si>
  <si>
    <t>onbuff</t>
  </si>
  <si>
    <t>ONBUFF</t>
  </si>
  <si>
    <t>on-chain-capital</t>
  </si>
  <si>
    <t>On Chain Capital</t>
  </si>
  <si>
    <t>one</t>
  </si>
  <si>
    <t>One</t>
  </si>
  <si>
    <t>one-basis-cash</t>
  </si>
  <si>
    <t>One Basis Cash</t>
  </si>
  <si>
    <t>1BIT</t>
  </si>
  <si>
    <t>onebit</t>
  </si>
  <si>
    <t>OneBit</t>
  </si>
  <si>
    <t>ONEBTC</t>
  </si>
  <si>
    <t>onebtc</t>
  </si>
  <si>
    <t>Legacy oneBTC</t>
  </si>
  <si>
    <t>ONC</t>
  </si>
  <si>
    <t>one-cash</t>
  </si>
  <si>
    <t>One Cash</t>
  </si>
  <si>
    <t>ODAO</t>
  </si>
  <si>
    <t>onedao-finance</t>
  </si>
  <si>
    <t>OneDao Finance</t>
  </si>
  <si>
    <t>ODEX</t>
  </si>
  <si>
    <t>one-dex</t>
  </si>
  <si>
    <t>One DEX</t>
  </si>
  <si>
    <t>BOLD</t>
  </si>
  <si>
    <t>onefortune</t>
  </si>
  <si>
    <t>OneFortune</t>
  </si>
  <si>
    <t>ONEFUSE</t>
  </si>
  <si>
    <t>onefuse</t>
  </si>
  <si>
    <t>oneFUSE</t>
  </si>
  <si>
    <t>OGC</t>
  </si>
  <si>
    <t>onegetcoin</t>
  </si>
  <si>
    <t>Onegetcoin</t>
  </si>
  <si>
    <t>one-hundred-coin-2</t>
  </si>
  <si>
    <t>One Hundred Coin</t>
  </si>
  <si>
    <t>OLT</t>
  </si>
  <si>
    <t>one-ledger</t>
  </si>
  <si>
    <t>OneLedger</t>
  </si>
  <si>
    <t>ONEPERL</t>
  </si>
  <si>
    <t>oneperl</t>
  </si>
  <si>
    <t>onePERL</t>
  </si>
  <si>
    <t>ONEPIECE</t>
  </si>
  <si>
    <t>one-piece</t>
  </si>
  <si>
    <t>ONE PIECE</t>
  </si>
  <si>
    <t>ORARE</t>
  </si>
  <si>
    <t>onerare</t>
  </si>
  <si>
    <t>OneRare</t>
  </si>
  <si>
    <t>onering</t>
  </si>
  <si>
    <t>OneRing</t>
  </si>
  <si>
    <t>RNT</t>
  </si>
  <si>
    <t>oneroot-network</t>
  </si>
  <si>
    <t>OneRoot Network</t>
  </si>
  <si>
    <t>ONS</t>
  </si>
  <si>
    <t>one-share</t>
  </si>
  <si>
    <t>One Share</t>
  </si>
  <si>
    <t>ONES</t>
  </si>
  <si>
    <t>oneswap-dao-token</t>
  </si>
  <si>
    <t>1TO11</t>
  </si>
  <si>
    <t>oneto11</t>
  </si>
  <si>
    <t>OneTo11</t>
  </si>
  <si>
    <t>OWO</t>
  </si>
  <si>
    <t>one-world-coin</t>
  </si>
  <si>
    <t>One World Coin</t>
  </si>
  <si>
    <t>ONG</t>
  </si>
  <si>
    <t>ong</t>
  </si>
  <si>
    <t>Ontology Gas</t>
  </si>
  <si>
    <t>ONI</t>
  </si>
  <si>
    <t>oni-exchange</t>
  </si>
  <si>
    <t>ONI Exchange</t>
  </si>
  <si>
    <t>ONIGIRI</t>
  </si>
  <si>
    <t>onigiri</t>
  </si>
  <si>
    <t>Onigiri</t>
  </si>
  <si>
    <t>onion-mixer</t>
  </si>
  <si>
    <t>Onion Mixer</t>
  </si>
  <si>
    <t>oni-token</t>
  </si>
  <si>
    <t>ONINO</t>
  </si>
  <si>
    <t>ONLEXPA</t>
  </si>
  <si>
    <t>onlexpa-token</t>
  </si>
  <si>
    <t>OCW</t>
  </si>
  <si>
    <t>online-cold-wallet</t>
  </si>
  <si>
    <t>Online Cold Wallet</t>
  </si>
  <si>
    <t>online-expo</t>
  </si>
  <si>
    <t>only1</t>
  </si>
  <si>
    <t>Only1</t>
  </si>
  <si>
    <t>O1T</t>
  </si>
  <si>
    <t>only-1-token</t>
  </si>
  <si>
    <t>Only 1</t>
  </si>
  <si>
    <t>NOM</t>
  </si>
  <si>
    <t>onomy-protocol</t>
  </si>
  <si>
    <t>Onomy Protocol</t>
  </si>
  <si>
    <t>OOKS</t>
  </si>
  <si>
    <t>onooks</t>
  </si>
  <si>
    <t>Onooks</t>
  </si>
  <si>
    <t>ONSTON</t>
  </si>
  <si>
    <t>onston</t>
  </si>
  <si>
    <t>Onston</t>
  </si>
  <si>
    <t>ONT</t>
  </si>
  <si>
    <t>ontology</t>
  </si>
  <si>
    <t>Ontology</t>
  </si>
  <si>
    <t>ONUS</t>
  </si>
  <si>
    <t>onus</t>
  </si>
  <si>
    <t>ONX</t>
  </si>
  <si>
    <t>onx-finance</t>
  </si>
  <si>
    <t>OnX Finance</t>
  </si>
  <si>
    <t>ONYX</t>
  </si>
  <si>
    <t>onyx</t>
  </si>
  <si>
    <t>Onyx</t>
  </si>
  <si>
    <t>oobit</t>
  </si>
  <si>
    <t>Oobit</t>
  </si>
  <si>
    <t>oogear</t>
  </si>
  <si>
    <t>Oogear</t>
  </si>
  <si>
    <t>OOGI</t>
  </si>
  <si>
    <t>oogi</t>
  </si>
  <si>
    <t>OOKI</t>
  </si>
  <si>
    <t>ooki</t>
  </si>
  <si>
    <t>Ooki</t>
  </si>
  <si>
    <t>OLO</t>
  </si>
  <si>
    <t>oolongswap</t>
  </si>
  <si>
    <t>OolongSwap</t>
  </si>
  <si>
    <t>OOOOR</t>
  </si>
  <si>
    <t>oooor-finance</t>
  </si>
  <si>
    <t>OOOOR Finance</t>
  </si>
  <si>
    <t>OPCT</t>
  </si>
  <si>
    <t>opacity</t>
  </si>
  <si>
    <t>Opacity</t>
  </si>
  <si>
    <t>AUOP</t>
  </si>
  <si>
    <t>opalcoin</t>
  </si>
  <si>
    <t>Opalcoin</t>
  </si>
  <si>
    <t>OPC</t>
  </si>
  <si>
    <t>op-coin</t>
  </si>
  <si>
    <t>OP Coin</t>
  </si>
  <si>
    <t>OAP</t>
  </si>
  <si>
    <t>openalexa-protocol</t>
  </si>
  <si>
    <t>OpenAlexa Protocol</t>
  </si>
  <si>
    <t>OAX</t>
  </si>
  <si>
    <t>openanx</t>
  </si>
  <si>
    <t>SOS</t>
  </si>
  <si>
    <t>opendao</t>
  </si>
  <si>
    <t>OpenDAO</t>
  </si>
  <si>
    <t>opendao-wormhole</t>
  </si>
  <si>
    <t>OpenDAO (Wormhole)</t>
  </si>
  <si>
    <t>open-data-protocol</t>
  </si>
  <si>
    <t>Open Data Protocol</t>
  </si>
  <si>
    <t>open-governance-token</t>
  </si>
  <si>
    <t>OPV</t>
  </si>
  <si>
    <t>openlive-nft</t>
  </si>
  <si>
    <t>OpenLive NFT</t>
  </si>
  <si>
    <t>OPNN</t>
  </si>
  <si>
    <t>opennity</t>
  </si>
  <si>
    <t>Opennity</t>
  </si>
  <si>
    <t>OOE</t>
  </si>
  <si>
    <t>openocean</t>
  </si>
  <si>
    <t>OpenOcean</t>
  </si>
  <si>
    <t>open-platform</t>
  </si>
  <si>
    <t>Open Platform</t>
  </si>
  <si>
    <t>OSW</t>
  </si>
  <si>
    <t>openstream-world</t>
  </si>
  <si>
    <t>OpenStream World</t>
  </si>
  <si>
    <t>OSWAP</t>
  </si>
  <si>
    <t>openswap</t>
  </si>
  <si>
    <t>OpenSwap</t>
  </si>
  <si>
    <t>OPENX</t>
  </si>
  <si>
    <t>openswap-token</t>
  </si>
  <si>
    <t>OpenSwap.One</t>
  </si>
  <si>
    <t>ORO</t>
  </si>
  <si>
    <t>operon-origins</t>
  </si>
  <si>
    <t>Operon Origins</t>
  </si>
  <si>
    <t>WPE</t>
  </si>
  <si>
    <t>opes-wrapped-pe</t>
  </si>
  <si>
    <t>OPES (Wrapped PE)</t>
  </si>
  <si>
    <t>OPIUM</t>
  </si>
  <si>
    <t>opium</t>
  </si>
  <si>
    <t>Opium</t>
  </si>
  <si>
    <t>OPPA</t>
  </si>
  <si>
    <t>oppa</t>
  </si>
  <si>
    <t>oppa-token</t>
  </si>
  <si>
    <t>OPPA Token</t>
  </si>
  <si>
    <t>OPSMEN</t>
  </si>
  <si>
    <t>opsmen</t>
  </si>
  <si>
    <t>OPSY</t>
  </si>
  <si>
    <t>opsya-insurance</t>
  </si>
  <si>
    <t>Opsya Insurance</t>
  </si>
  <si>
    <t>OP</t>
  </si>
  <si>
    <t>optimism</t>
  </si>
  <si>
    <t>Optimism</t>
  </si>
  <si>
    <t>OPTCM</t>
  </si>
  <si>
    <t>optimus</t>
  </si>
  <si>
    <t>Optimus</t>
  </si>
  <si>
    <t>OPA</t>
  </si>
  <si>
    <t>option-panda-platform</t>
  </si>
  <si>
    <t>Option Panda Platform</t>
  </si>
  <si>
    <t>ROOM</t>
  </si>
  <si>
    <t>option-room</t>
  </si>
  <si>
    <t>OptionRoom</t>
  </si>
  <si>
    <t>COURT</t>
  </si>
  <si>
    <t>optionroom-governance-token</t>
  </si>
  <si>
    <t>OptionRoom Governance</t>
  </si>
  <si>
    <t>OSM</t>
  </si>
  <si>
    <t>options-market</t>
  </si>
  <si>
    <t>Options Market</t>
  </si>
  <si>
    <t>OPTI</t>
  </si>
  <si>
    <t>optitoken</t>
  </si>
  <si>
    <t>Optitoken</t>
  </si>
  <si>
    <t>OPUL</t>
  </si>
  <si>
    <t>opulous</t>
  </si>
  <si>
    <t>Opulous</t>
  </si>
  <si>
    <t>OPT</t>
  </si>
  <si>
    <t>opus</t>
  </si>
  <si>
    <t>Opus</t>
  </si>
  <si>
    <t>OSQTH</t>
  </si>
  <si>
    <t>opyn-squeeth</t>
  </si>
  <si>
    <t>Opyn Squeeth</t>
  </si>
  <si>
    <t>oraclechain</t>
  </si>
  <si>
    <t>OracleChain</t>
  </si>
  <si>
    <t>ORC</t>
  </si>
  <si>
    <t>oracle-system</t>
  </si>
  <si>
    <t>Oracle System</t>
  </si>
  <si>
    <t>XOR</t>
  </si>
  <si>
    <t>oracolxor</t>
  </si>
  <si>
    <t>Oracolxor</t>
  </si>
  <si>
    <t>ORACULA</t>
  </si>
  <si>
    <t>oracula</t>
  </si>
  <si>
    <t>Oracula</t>
  </si>
  <si>
    <t>ORGN</t>
  </si>
  <si>
    <t>oragonx</t>
  </si>
  <si>
    <t>OragonX</t>
  </si>
  <si>
    <t>ORAI</t>
  </si>
  <si>
    <t>oraichain-token</t>
  </si>
  <si>
    <t>ORKL</t>
  </si>
  <si>
    <t>orakler</t>
  </si>
  <si>
    <t>Orakler</t>
  </si>
  <si>
    <t>ORK</t>
  </si>
  <si>
    <t>orakuru</t>
  </si>
  <si>
    <t>Orakuru</t>
  </si>
  <si>
    <t>ORAO</t>
  </si>
  <si>
    <t>orao-network</t>
  </si>
  <si>
    <t>ORAO Network</t>
  </si>
  <si>
    <t>ORBC</t>
  </si>
  <si>
    <t>orbis</t>
  </si>
  <si>
    <t>Orbis</t>
  </si>
  <si>
    <t>TAUM</t>
  </si>
  <si>
    <t>orbitau-taureum</t>
  </si>
  <si>
    <t>Orbitau Taureum</t>
  </si>
  <si>
    <t>orbit-chain</t>
  </si>
  <si>
    <t>Orbit Chain</t>
  </si>
  <si>
    <t>orbitcoin</t>
  </si>
  <si>
    <t>Orbitcoin</t>
  </si>
  <si>
    <t>ORBIT</t>
  </si>
  <si>
    <t>orbit-token</t>
  </si>
  <si>
    <t>First On The Moon ORBIT</t>
  </si>
  <si>
    <t>ORBR</t>
  </si>
  <si>
    <t>orbler</t>
  </si>
  <si>
    <t>Orbler</t>
  </si>
  <si>
    <t>ORBS</t>
  </si>
  <si>
    <t>orbs</t>
  </si>
  <si>
    <t>Orbs</t>
  </si>
  <si>
    <t>ORBYT</t>
  </si>
  <si>
    <t>orbyt-token</t>
  </si>
  <si>
    <t>ORBYT Token</t>
  </si>
  <si>
    <t>ORCA</t>
  </si>
  <si>
    <t>orca</t>
  </si>
  <si>
    <t>Orca</t>
  </si>
  <si>
    <t>AVAI</t>
  </si>
  <si>
    <t>orca-avai</t>
  </si>
  <si>
    <t>Orca AVAI</t>
  </si>
  <si>
    <t>orcadao</t>
  </si>
  <si>
    <t>Orca DAO</t>
  </si>
  <si>
    <t>OXT</t>
  </si>
  <si>
    <t>orchid-protocol</t>
  </si>
  <si>
    <t>Orchid Protocol</t>
  </si>
  <si>
    <t>orclands-metaverse</t>
  </si>
  <si>
    <t>Orclands Metaverse</t>
  </si>
  <si>
    <t>ORU</t>
  </si>
  <si>
    <t>orcus-oru</t>
  </si>
  <si>
    <t>Orcus ORU</t>
  </si>
  <si>
    <t>orcus-ousd</t>
  </si>
  <si>
    <t>Orcus OUSD</t>
  </si>
  <si>
    <t>OAV</t>
  </si>
  <si>
    <t>order-of-the-apeverse</t>
  </si>
  <si>
    <t>Order of the Apeverse</t>
  </si>
  <si>
    <t>OREN</t>
  </si>
  <si>
    <t>oren-game</t>
  </si>
  <si>
    <t>OREN Game</t>
  </si>
  <si>
    <t>ore-token</t>
  </si>
  <si>
    <t>OGX</t>
  </si>
  <si>
    <t>organix</t>
  </si>
  <si>
    <t>Organix</t>
  </si>
  <si>
    <t>orica</t>
  </si>
  <si>
    <t>Orica</t>
  </si>
  <si>
    <t>HTDF</t>
  </si>
  <si>
    <t>orient-walt</t>
  </si>
  <si>
    <t>Orient Walt</t>
  </si>
  <si>
    <t>TUSC</t>
  </si>
  <si>
    <t>original-crypto-coin</t>
  </si>
  <si>
    <t>The Universal Settlement Coin</t>
  </si>
  <si>
    <t>OGSHIB</t>
  </si>
  <si>
    <t>original-gangsta-shiba</t>
  </si>
  <si>
    <t>Original Gangsta Shiba</t>
  </si>
  <si>
    <t>OUSD</t>
  </si>
  <si>
    <t>origin-dollar</t>
  </si>
  <si>
    <t>Origin Dollar</t>
  </si>
  <si>
    <t>OGN</t>
  </si>
  <si>
    <t>origin-protocol</t>
  </si>
  <si>
    <t>Origin Protocol</t>
  </si>
  <si>
    <t>ORS</t>
  </si>
  <si>
    <t>origin-sport</t>
  </si>
  <si>
    <t>Origin Sport</t>
  </si>
  <si>
    <t>TRAC</t>
  </si>
  <si>
    <t>origintrail</t>
  </si>
  <si>
    <t>OriginTrail</t>
  </si>
  <si>
    <t>OGO</t>
  </si>
  <si>
    <t>origo</t>
  </si>
  <si>
    <t>Origo</t>
  </si>
  <si>
    <t>ORION</t>
  </si>
  <si>
    <t>orion-money</t>
  </si>
  <si>
    <t>Orion Money</t>
  </si>
  <si>
    <t>ORN</t>
  </si>
  <si>
    <t>orion-protocol</t>
  </si>
  <si>
    <t>Orion Protocol</t>
  </si>
  <si>
    <t>orkan</t>
  </si>
  <si>
    <t>Orkan</t>
  </si>
  <si>
    <t>ORLY</t>
  </si>
  <si>
    <t>orlycoin</t>
  </si>
  <si>
    <t>Orlycoin</t>
  </si>
  <si>
    <t>OMC</t>
  </si>
  <si>
    <t>ormeus-cash</t>
  </si>
  <si>
    <t>Ormeus Cash</t>
  </si>
  <si>
    <t>ORME</t>
  </si>
  <si>
    <t>ormeuscoin</t>
  </si>
  <si>
    <t>Ormeus Coin</t>
  </si>
  <si>
    <t>ormeus-ecosystem</t>
  </si>
  <si>
    <t>Ormeus Ecosystem</t>
  </si>
  <si>
    <t>ORNE</t>
  </si>
  <si>
    <t>orne</t>
  </si>
  <si>
    <t>Orne</t>
  </si>
  <si>
    <t>oro</t>
  </si>
  <si>
    <t>OSHARE</t>
  </si>
  <si>
    <t>oshare</t>
  </si>
  <si>
    <t>OShare</t>
  </si>
  <si>
    <t>OSK</t>
  </si>
  <si>
    <t>osk</t>
  </si>
  <si>
    <t>OS76</t>
  </si>
  <si>
    <t>osmiumcoin</t>
  </si>
  <si>
    <t>OsmiumCoin</t>
  </si>
  <si>
    <t>OSMO</t>
  </si>
  <si>
    <t>osmosis</t>
  </si>
  <si>
    <t>Osmosis</t>
  </si>
  <si>
    <t>OTB</t>
  </si>
  <si>
    <t>otcbtc-token</t>
  </si>
  <si>
    <t>OTCBTC Token</t>
  </si>
  <si>
    <t>OT-CDAI-29DEC2022</t>
  </si>
  <si>
    <t>ot-compound-dai</t>
  </si>
  <si>
    <t>OT Compound Dai</t>
  </si>
  <si>
    <t>OT</t>
  </si>
  <si>
    <t>otfinancial</t>
  </si>
  <si>
    <t>OTFINANCIAL</t>
  </si>
  <si>
    <t>OTL</t>
  </si>
  <si>
    <t>otherlife</t>
  </si>
  <si>
    <t>OtherLife</t>
  </si>
  <si>
    <t>OTIUM</t>
  </si>
  <si>
    <t>otium-technologies</t>
  </si>
  <si>
    <t>Otium Technologies</t>
  </si>
  <si>
    <t>OTO</t>
  </si>
  <si>
    <t>otocash</t>
  </si>
  <si>
    <t>OTOCASH</t>
  </si>
  <si>
    <t>oto-protocol</t>
  </si>
  <si>
    <t>OTO Protocol</t>
  </si>
  <si>
    <t>OT-PE-29DEC2022</t>
  </si>
  <si>
    <t>ot-pendle-eth</t>
  </si>
  <si>
    <t>OT-PENDLE/ETH</t>
  </si>
  <si>
    <t>otterclam</t>
  </si>
  <si>
    <t>OtterClam</t>
  </si>
  <si>
    <t>OTR</t>
  </si>
  <si>
    <t>otter-finance</t>
  </si>
  <si>
    <t>Otter Finance</t>
  </si>
  <si>
    <t>OUD</t>
  </si>
  <si>
    <t>oud</t>
  </si>
  <si>
    <t>OUR</t>
  </si>
  <si>
    <t>ouranos</t>
  </si>
  <si>
    <t>Ouranos</t>
  </si>
  <si>
    <t>GLASS</t>
  </si>
  <si>
    <t>ourglass</t>
  </si>
  <si>
    <t>OurGlass</t>
  </si>
  <si>
    <t>OURO</t>
  </si>
  <si>
    <t>ouroboros</t>
  </si>
  <si>
    <t>Ouroboros</t>
  </si>
  <si>
    <t>OGS</t>
  </si>
  <si>
    <t>ouro-governance-share</t>
  </si>
  <si>
    <t>Ouro Governance Share</t>
  </si>
  <si>
    <t>ouro-stablecoin</t>
  </si>
  <si>
    <t>Ouro Stablecoin</t>
  </si>
  <si>
    <t>our-pay</t>
  </si>
  <si>
    <t>Our Pay</t>
  </si>
  <si>
    <t>OUSE</t>
  </si>
  <si>
    <t>ouse</t>
  </si>
  <si>
    <t>Ouse</t>
  </si>
  <si>
    <t>GQ</t>
  </si>
  <si>
    <t>outer-ring</t>
  </si>
  <si>
    <t>outrace</t>
  </si>
  <si>
    <t>Outrace</t>
  </si>
  <si>
    <t>OVO</t>
  </si>
  <si>
    <t>ovato</t>
  </si>
  <si>
    <t>Ovato</t>
  </si>
  <si>
    <t>EMB</t>
  </si>
  <si>
    <t>overline-emblem</t>
  </si>
  <si>
    <t>Overline Emblem</t>
  </si>
  <si>
    <t>OVL</t>
  </si>
  <si>
    <t>overload-game</t>
  </si>
  <si>
    <t>Overlord Game</t>
  </si>
  <si>
    <t>LORD</t>
  </si>
  <si>
    <t>overlord</t>
  </si>
  <si>
    <t>Overlord</t>
  </si>
  <si>
    <t>OVR</t>
  </si>
  <si>
    <t>ovr</t>
  </si>
  <si>
    <t>Ovr</t>
  </si>
  <si>
    <t>OW</t>
  </si>
  <si>
    <t>owgaming</t>
  </si>
  <si>
    <t>OWGaming</t>
  </si>
  <si>
    <t>owldao</t>
  </si>
  <si>
    <t>OwlDAO</t>
  </si>
  <si>
    <t>owl-share</t>
  </si>
  <si>
    <t>Owl Share</t>
  </si>
  <si>
    <t>OWN</t>
  </si>
  <si>
    <t>owndata</t>
  </si>
  <si>
    <t>OWNDATA</t>
  </si>
  <si>
    <t>ownix</t>
  </si>
  <si>
    <t>Ownix</t>
  </si>
  <si>
    <t>ownly</t>
  </si>
  <si>
    <t>Ownly</t>
  </si>
  <si>
    <t>own-token</t>
  </si>
  <si>
    <t>OWN Token</t>
  </si>
  <si>
    <t>0XBTC</t>
  </si>
  <si>
    <t>oxbitcoin</t>
  </si>
  <si>
    <t>0xBitcoin</t>
  </si>
  <si>
    <t>OXS</t>
  </si>
  <si>
    <t>oxbull-solana</t>
  </si>
  <si>
    <t>Oxbull Solana</t>
  </si>
  <si>
    <t>OXB</t>
  </si>
  <si>
    <t>oxbull-tech</t>
  </si>
  <si>
    <t>Oxbull Tech</t>
  </si>
  <si>
    <t>OXFI</t>
  </si>
  <si>
    <t>oxfinance</t>
  </si>
  <si>
    <t>Oxfinance</t>
  </si>
  <si>
    <t>OXO</t>
  </si>
  <si>
    <t>oxo-farm</t>
  </si>
  <si>
    <t>OXO.Farm</t>
  </si>
  <si>
    <t>OXSOLID</t>
  </si>
  <si>
    <t>oxsolid</t>
  </si>
  <si>
    <t>oxSOLID</t>
  </si>
  <si>
    <t>OYT</t>
  </si>
  <si>
    <t>oxy-dev</t>
  </si>
  <si>
    <t>OxyDev</t>
  </si>
  <si>
    <t>OXY</t>
  </si>
  <si>
    <t>oxygen</t>
  </si>
  <si>
    <t>Oxygen</t>
  </si>
  <si>
    <t>OZG</t>
  </si>
  <si>
    <t>ozagold</t>
  </si>
  <si>
    <t>Ozagold</t>
  </si>
  <si>
    <t>P2P</t>
  </si>
  <si>
    <t>p2p</t>
  </si>
  <si>
    <t>P2PS</t>
  </si>
  <si>
    <t>p2p-solutions-foundation</t>
  </si>
  <si>
    <t>P2P solutions foundation</t>
  </si>
  <si>
    <t>PAC</t>
  </si>
  <si>
    <t>paccoin</t>
  </si>
  <si>
    <t>PAC Protocol</t>
  </si>
  <si>
    <t>PAF</t>
  </si>
  <si>
    <t>pacific</t>
  </si>
  <si>
    <t>Pacific</t>
  </si>
  <si>
    <t>PACIFIC</t>
  </si>
  <si>
    <t>pacific-defi</t>
  </si>
  <si>
    <t>Pacific DeFi</t>
  </si>
  <si>
    <t>PORT</t>
  </si>
  <si>
    <t>packageportal</t>
  </si>
  <si>
    <t>PackagePortal</t>
  </si>
  <si>
    <t>packswap</t>
  </si>
  <si>
    <t>PactSwap</t>
  </si>
  <si>
    <t>PACOCA</t>
  </si>
  <si>
    <t>pacoca</t>
  </si>
  <si>
    <t>Pacoca</t>
  </si>
  <si>
    <t>FUR</t>
  </si>
  <si>
    <t>pagan-gods-fur-token</t>
  </si>
  <si>
    <t>Pagan Gods Fur</t>
  </si>
  <si>
    <t>PAGE</t>
  </si>
  <si>
    <t>page</t>
  </si>
  <si>
    <t>Page</t>
  </si>
  <si>
    <t>PAID</t>
  </si>
  <si>
    <t>paid-network</t>
  </si>
  <si>
    <t>PAID Network</t>
  </si>
  <si>
    <t>PAINT</t>
  </si>
  <si>
    <t>paint</t>
  </si>
  <si>
    <t>MurAll</t>
  </si>
  <si>
    <t>BRUSH</t>
  </si>
  <si>
    <t>paint-swap</t>
  </si>
  <si>
    <t>Paint Swap</t>
  </si>
  <si>
    <t>PAK</t>
  </si>
  <si>
    <t>pakcoin</t>
  </si>
  <si>
    <t>Pakcoin</t>
  </si>
  <si>
    <t>PALA</t>
  </si>
  <si>
    <t>pala</t>
  </si>
  <si>
    <t>Pala</t>
  </si>
  <si>
    <t>PAA</t>
  </si>
  <si>
    <t>palace</t>
  </si>
  <si>
    <t>Palace</t>
  </si>
  <si>
    <t>PAL</t>
  </si>
  <si>
    <t>paladin</t>
  </si>
  <si>
    <t>Paladin</t>
  </si>
  <si>
    <t>paladin-dao</t>
  </si>
  <si>
    <t>Paladin DAO</t>
  </si>
  <si>
    <t>PALSTKAAVE</t>
  </si>
  <si>
    <t>paladin-stkaave</t>
  </si>
  <si>
    <t>Paladin stkAAVE</t>
  </si>
  <si>
    <t>DPLTR</t>
  </si>
  <si>
    <t>palantir-tokenized-stock-defichain</t>
  </si>
  <si>
    <t>Palantir Tokenized Stock Defichain</t>
  </si>
  <si>
    <t>PLT</t>
  </si>
  <si>
    <t>palette</t>
  </si>
  <si>
    <t>Palette</t>
  </si>
  <si>
    <t>PALG</t>
  </si>
  <si>
    <t>palgold</t>
  </si>
  <si>
    <t>PalGold</t>
  </si>
  <si>
    <t>PALLA</t>
  </si>
  <si>
    <t>pallapay</t>
  </si>
  <si>
    <t>Pallapay</t>
  </si>
  <si>
    <t>PALLAS</t>
  </si>
  <si>
    <t>pallas-finance</t>
  </si>
  <si>
    <t>Pallas Finance</t>
  </si>
  <si>
    <t>PTN</t>
  </si>
  <si>
    <t>palletone</t>
  </si>
  <si>
    <t>PAMP</t>
  </si>
  <si>
    <t>pamp-network</t>
  </si>
  <si>
    <t>Pamp Network</t>
  </si>
  <si>
    <t>PAMPTHER</t>
  </si>
  <si>
    <t>pampther</t>
  </si>
  <si>
    <t>Pampther</t>
  </si>
  <si>
    <t>pancake-bunny</t>
  </si>
  <si>
    <t>Pancake Bunny</t>
  </si>
  <si>
    <t>GCAKE</t>
  </si>
  <si>
    <t>pancake-games</t>
  </si>
  <si>
    <t>Pancake Games</t>
  </si>
  <si>
    <t>HUNNY</t>
  </si>
  <si>
    <t>pancake-hunny</t>
  </si>
  <si>
    <t>Hunny Finance</t>
  </si>
  <si>
    <t>PLOCK</t>
  </si>
  <si>
    <t>pancakelock</t>
  </si>
  <si>
    <t>PancakeLock</t>
  </si>
  <si>
    <t>PPOLL</t>
  </si>
  <si>
    <t>pancakepoll</t>
  </si>
  <si>
    <t>PancakePoll</t>
  </si>
  <si>
    <t>pancakeswap-token</t>
  </si>
  <si>
    <t>PancakeSwap</t>
  </si>
  <si>
    <t>pancakeswap-wormhole</t>
  </si>
  <si>
    <t>PancakeSwap (Wormhole)</t>
  </si>
  <si>
    <t>TCAKE</t>
  </si>
  <si>
    <t>pancaketools</t>
  </si>
  <si>
    <t>PancakeTools</t>
  </si>
  <si>
    <t>PND</t>
  </si>
  <si>
    <t>pandacoin</t>
  </si>
  <si>
    <t>Pandacoin</t>
  </si>
  <si>
    <t>panda-coin</t>
  </si>
  <si>
    <t>Panda Coin</t>
  </si>
  <si>
    <t>pandadao</t>
  </si>
  <si>
    <t>PandaDAO</t>
  </si>
  <si>
    <t>PDAO</t>
  </si>
  <si>
    <t>panda-dao</t>
  </si>
  <si>
    <t>Panda Dao</t>
  </si>
  <si>
    <t>PGIRL</t>
  </si>
  <si>
    <t>panda-girl</t>
  </si>
  <si>
    <t>Panda Girl</t>
  </si>
  <si>
    <t>PNDMLV</t>
  </si>
  <si>
    <t>panda-multiverse</t>
  </si>
  <si>
    <t>Panda Multiverse</t>
  </si>
  <si>
    <t>pandaswap-2</t>
  </si>
  <si>
    <t>PandaSwap</t>
  </si>
  <si>
    <t>PANDO</t>
  </si>
  <si>
    <t>pando</t>
  </si>
  <si>
    <t>Pando</t>
  </si>
  <si>
    <t>PNDR</t>
  </si>
  <si>
    <t>pandora-protocol</t>
  </si>
  <si>
    <t>Pandora Protocol</t>
  </si>
  <si>
    <t>RMOB</t>
  </si>
  <si>
    <t>pando-rings</t>
  </si>
  <si>
    <t>Pando Rings</t>
  </si>
  <si>
    <t>PTX</t>
  </si>
  <si>
    <t>pando-token</t>
  </si>
  <si>
    <t>PandoProject</t>
  </si>
  <si>
    <t>PUSD</t>
  </si>
  <si>
    <t>pando-usd</t>
  </si>
  <si>
    <t>Pando USD</t>
  </si>
  <si>
    <t>PNG</t>
  </si>
  <si>
    <t>pangolin</t>
  </si>
  <si>
    <t>Pangolin</t>
  </si>
  <si>
    <t>PANGOLIN</t>
  </si>
  <si>
    <t>pangolinswap</t>
  </si>
  <si>
    <t>Pangolinswap</t>
  </si>
  <si>
    <t>PANIC</t>
  </si>
  <si>
    <t>panicswap</t>
  </si>
  <si>
    <t>PanicSwap</t>
  </si>
  <si>
    <t>XPN</t>
  </si>
  <si>
    <t>pantheon-x</t>
  </si>
  <si>
    <t>PANTHEON X</t>
  </si>
  <si>
    <t>ZKP</t>
  </si>
  <si>
    <t>panther</t>
  </si>
  <si>
    <t>Panther Protocol</t>
  </si>
  <si>
    <t>PANTHER</t>
  </si>
  <si>
    <t>pantherswap</t>
  </si>
  <si>
    <t>PantherSwap</t>
  </si>
  <si>
    <t>PAN</t>
  </si>
  <si>
    <t>pantos</t>
  </si>
  <si>
    <t>Pantos</t>
  </si>
  <si>
    <t>panvala-pan</t>
  </si>
  <si>
    <t>Panvala Pan</t>
  </si>
  <si>
    <t>PAPADOGE</t>
  </si>
  <si>
    <t>papa-doge</t>
  </si>
  <si>
    <t>Papa Doge</t>
  </si>
  <si>
    <t>PAZZI</t>
  </si>
  <si>
    <t>paparazzi</t>
  </si>
  <si>
    <t>Paparazzi</t>
  </si>
  <si>
    <t>PAPEL</t>
  </si>
  <si>
    <t>papel</t>
  </si>
  <si>
    <t>Papel</t>
  </si>
  <si>
    <t>paper-fantom</t>
  </si>
  <si>
    <t>Paper</t>
  </si>
  <si>
    <t>PAPPAY</t>
  </si>
  <si>
    <t>pappay</t>
  </si>
  <si>
    <t>Pappay</t>
  </si>
  <si>
    <t>PAPR</t>
  </si>
  <si>
    <t>paprprintr-finance</t>
  </si>
  <si>
    <t>Paprprintr Finance</t>
  </si>
  <si>
    <t>PARA</t>
  </si>
  <si>
    <t>parabolic-2</t>
  </si>
  <si>
    <t>Parabolic</t>
  </si>
  <si>
    <t>PAR</t>
  </si>
  <si>
    <t>parachute</t>
  </si>
  <si>
    <t>Parachute</t>
  </si>
  <si>
    <t>paradisehotel-nft</t>
  </si>
  <si>
    <t>ParadiseHotel NFT</t>
  </si>
  <si>
    <t>PXBSC</t>
  </si>
  <si>
    <t>paradox-nft</t>
  </si>
  <si>
    <t>Paradox NFT</t>
  </si>
  <si>
    <t>RGEN</t>
  </si>
  <si>
    <t>paragen</t>
  </si>
  <si>
    <t>Paragen</t>
  </si>
  <si>
    <t>PARAGON</t>
  </si>
  <si>
    <t>paragon-capital</t>
  </si>
  <si>
    <t>Paragon Capital</t>
  </si>
  <si>
    <t>PDT</t>
  </si>
  <si>
    <t>paragonsdao</t>
  </si>
  <si>
    <t>ParagonsDAO</t>
  </si>
  <si>
    <t>paralink-network</t>
  </si>
  <si>
    <t>Paralink Network</t>
  </si>
  <si>
    <t>XPLL</t>
  </si>
  <si>
    <t>parallelchain</t>
  </si>
  <si>
    <t>ParallelChain</t>
  </si>
  <si>
    <t>parallelcoin</t>
  </si>
  <si>
    <t>ParallelCoin</t>
  </si>
  <si>
    <t>PARAS</t>
  </si>
  <si>
    <t>paras</t>
  </si>
  <si>
    <t>Paras</t>
  </si>
  <si>
    <t>PSOL</t>
  </si>
  <si>
    <t>parasol-finance</t>
  </si>
  <si>
    <t>Parasol Finance</t>
  </si>
  <si>
    <t>ASET</t>
  </si>
  <si>
    <t>parasset</t>
  </si>
  <si>
    <t>Parasset</t>
  </si>
  <si>
    <t>STATE</t>
  </si>
  <si>
    <t>parastate</t>
  </si>
  <si>
    <t>ParaState</t>
  </si>
  <si>
    <t>PSP</t>
  </si>
  <si>
    <t>paraswap</t>
  </si>
  <si>
    <t>ParaSwap</t>
  </si>
  <si>
    <t>paratoken</t>
  </si>
  <si>
    <t>ParaToken [OLD]</t>
  </si>
  <si>
    <t>paratoken-2</t>
  </si>
  <si>
    <t>Para</t>
  </si>
  <si>
    <t>PRX</t>
  </si>
  <si>
    <t>parex</t>
  </si>
  <si>
    <t>Parex</t>
  </si>
  <si>
    <t>PRB</t>
  </si>
  <si>
    <t>paribu-net</t>
  </si>
  <si>
    <t>Paribu Net</t>
  </si>
  <si>
    <t>PBX</t>
  </si>
  <si>
    <t>paribus</t>
  </si>
  <si>
    <t>Paribus</t>
  </si>
  <si>
    <t>PSG</t>
  </si>
  <si>
    <t>paris-saint-germain-fan-token</t>
  </si>
  <si>
    <t>Paris Saint-Germain Fan Token</t>
  </si>
  <si>
    <t>parkgene</t>
  </si>
  <si>
    <t>Parkgene</t>
  </si>
  <si>
    <t>PARK</t>
  </si>
  <si>
    <t>parking-infinity-token</t>
  </si>
  <si>
    <t>Parking Infinity</t>
  </si>
  <si>
    <t>parkingo</t>
  </si>
  <si>
    <t>ParkinGo</t>
  </si>
  <si>
    <t>PARMA</t>
  </si>
  <si>
    <t>parma</t>
  </si>
  <si>
    <t>PARR</t>
  </si>
  <si>
    <t>parrotdao</t>
  </si>
  <si>
    <t>ParrotDao</t>
  </si>
  <si>
    <t>IPEGG</t>
  </si>
  <si>
    <t>parrot-egg</t>
  </si>
  <si>
    <t>Parrot Egg</t>
  </si>
  <si>
    <t>PRT</t>
  </si>
  <si>
    <t>parrot-protocol</t>
  </si>
  <si>
    <t>Parrot Protocol</t>
  </si>
  <si>
    <t>PAI</t>
  </si>
  <si>
    <t>parrot-usd</t>
  </si>
  <si>
    <t>Parrot USD</t>
  </si>
  <si>
    <t>PRQ</t>
  </si>
  <si>
    <t>parsiq</t>
  </si>
  <si>
    <t>PARSIQ</t>
  </si>
  <si>
    <t>PRQBOOST</t>
  </si>
  <si>
    <t>parsiq-boost</t>
  </si>
  <si>
    <t>Parsiq Boost</t>
  </si>
  <si>
    <t>parsl</t>
  </si>
  <si>
    <t>Parsl</t>
  </si>
  <si>
    <t>par-stablecoin</t>
  </si>
  <si>
    <t>Parallel</t>
  </si>
  <si>
    <t>PARTIAL</t>
  </si>
  <si>
    <t>partial</t>
  </si>
  <si>
    <t>Partial</t>
  </si>
  <si>
    <t>PSHARE</t>
  </si>
  <si>
    <t>partial-share</t>
  </si>
  <si>
    <t>Partial Share</t>
  </si>
  <si>
    <t>PART</t>
  </si>
  <si>
    <t>particl</t>
  </si>
  <si>
    <t>Particl</t>
  </si>
  <si>
    <t>PRTCLE</t>
  </si>
  <si>
    <t>particle-2</t>
  </si>
  <si>
    <t>Particle</t>
  </si>
  <si>
    <t>particle-technology</t>
  </si>
  <si>
    <t>Particle Technology</t>
  </si>
  <si>
    <t>partisia-blockchain</t>
  </si>
  <si>
    <t>Partisia Blockchain</t>
  </si>
  <si>
    <t>PTR</t>
  </si>
  <si>
    <t>partneroid</t>
  </si>
  <si>
    <t>Partner Coin</t>
  </si>
  <si>
    <t>P4C</t>
  </si>
  <si>
    <t>parts-of-four-coin</t>
  </si>
  <si>
    <t>Parts of Four Coin</t>
  </si>
  <si>
    <t>PAB</t>
  </si>
  <si>
    <t>partyboard</t>
  </si>
  <si>
    <t>PartyBoard</t>
  </si>
  <si>
    <t>PDOG</t>
  </si>
  <si>
    <t>party-dog</t>
  </si>
  <si>
    <t>Party Dog</t>
  </si>
  <si>
    <t>PASC</t>
  </si>
  <si>
    <t>pascalcoin</t>
  </si>
  <si>
    <t>Pascal</t>
  </si>
  <si>
    <t>passive-income</t>
  </si>
  <si>
    <t>Passive Income</t>
  </si>
  <si>
    <t>PASSIVE</t>
  </si>
  <si>
    <t>passive-token</t>
  </si>
  <si>
    <t>Passive</t>
  </si>
  <si>
    <t>passport-finance</t>
  </si>
  <si>
    <t>Passport Finance</t>
  </si>
  <si>
    <t>PASTA</t>
  </si>
  <si>
    <t>pasta-finance</t>
  </si>
  <si>
    <t>Pasta Finance</t>
  </si>
  <si>
    <t>PSL</t>
  </si>
  <si>
    <t>pastel</t>
  </si>
  <si>
    <t>Pastel</t>
  </si>
  <si>
    <t>PASTRYPUNKS</t>
  </si>
  <si>
    <t>pastrypunks</t>
  </si>
  <si>
    <t>PastryPunks</t>
  </si>
  <si>
    <t>PASV</t>
  </si>
  <si>
    <t>pasv</t>
  </si>
  <si>
    <t>PATH</t>
  </si>
  <si>
    <t>pathdao</t>
  </si>
  <si>
    <t>PathDAO</t>
  </si>
  <si>
    <t>pathfundv2</t>
  </si>
  <si>
    <t>PathFundV2</t>
  </si>
  <si>
    <t>PTOY</t>
  </si>
  <si>
    <t>patientory</t>
  </si>
  <si>
    <t>Patientory</t>
  </si>
  <si>
    <t>PAT</t>
  </si>
  <si>
    <t>patron</t>
  </si>
  <si>
    <t>Patron</t>
  </si>
  <si>
    <t>PVN</t>
  </si>
  <si>
    <t>pavecoin</t>
  </si>
  <si>
    <t>Pavecoin</t>
  </si>
  <si>
    <t>PAVIA</t>
  </si>
  <si>
    <t>pavia</t>
  </si>
  <si>
    <t>Pavia</t>
  </si>
  <si>
    <t>PAW</t>
  </si>
  <si>
    <t>paw</t>
  </si>
  <si>
    <t>Paw</t>
  </si>
  <si>
    <t>PAWN</t>
  </si>
  <si>
    <t>pawn</t>
  </si>
  <si>
    <t>Pawn</t>
  </si>
  <si>
    <t>PNFT</t>
  </si>
  <si>
    <t>pawn-my-nft</t>
  </si>
  <si>
    <t>Pawn My NFT</t>
  </si>
  <si>
    <t>PAWS</t>
  </si>
  <si>
    <t>paws-funds</t>
  </si>
  <si>
    <t>Paws Funds</t>
  </si>
  <si>
    <t>PAWTH</t>
  </si>
  <si>
    <t>pawthereum</t>
  </si>
  <si>
    <t>Pawthereum</t>
  </si>
  <si>
    <t>UPI</t>
  </si>
  <si>
    <t>pawtocol</t>
  </si>
  <si>
    <t>Pawtocol</t>
  </si>
  <si>
    <t>paw-v2</t>
  </si>
  <si>
    <t>Paw V2</t>
  </si>
  <si>
    <t>PAXG</t>
  </si>
  <si>
    <t>pax-gold</t>
  </si>
  <si>
    <t>PAX Gold</t>
  </si>
  <si>
    <t>paxos-gold-wormhole</t>
  </si>
  <si>
    <t>Paxos Gold (Wormhole)</t>
  </si>
  <si>
    <t>USDP</t>
  </si>
  <si>
    <t>paxos-standard</t>
  </si>
  <si>
    <t>Pax Dollar</t>
  </si>
  <si>
    <t>PAYT</t>
  </si>
  <si>
    <t>payaccept</t>
  </si>
  <si>
    <t>PayAccept</t>
  </si>
  <si>
    <t>PYBC</t>
  </si>
  <si>
    <t>paybandcoin</t>
  </si>
  <si>
    <t>PaybandCoin</t>
  </si>
  <si>
    <t>PAY</t>
  </si>
  <si>
    <t>paybolt</t>
  </si>
  <si>
    <t>PayBolt</t>
  </si>
  <si>
    <t>PAYB</t>
  </si>
  <si>
    <t>paybswap</t>
  </si>
  <si>
    <t>Paybswap</t>
  </si>
  <si>
    <t>PYN</t>
  </si>
  <si>
    <t>paycent</t>
  </si>
  <si>
    <t>Paycent</t>
  </si>
  <si>
    <t>PCR</t>
  </si>
  <si>
    <t>paycer-protocol</t>
  </si>
  <si>
    <t>Paycer Protocol</t>
  </si>
  <si>
    <t>CHECK</t>
  </si>
  <si>
    <t>paycheck-defi</t>
  </si>
  <si>
    <t>Paycheck</t>
  </si>
  <si>
    <t>PCI</t>
  </si>
  <si>
    <t>pay-coin</t>
  </si>
  <si>
    <t>Paycoin</t>
  </si>
  <si>
    <t>paycon-token</t>
  </si>
  <si>
    <t>PAYGO</t>
  </si>
  <si>
    <t>paygo</t>
  </si>
  <si>
    <t>PayGo</t>
  </si>
  <si>
    <t>PIN</t>
  </si>
  <si>
    <t>pay-it-now</t>
  </si>
  <si>
    <t>Pay It Now</t>
  </si>
  <si>
    <t>PMC</t>
  </si>
  <si>
    <t>paymastercoin</t>
  </si>
  <si>
    <t>PayMasterCoin</t>
  </si>
  <si>
    <t>POD</t>
  </si>
  <si>
    <t>payment-coin</t>
  </si>
  <si>
    <t>Payment Coin</t>
  </si>
  <si>
    <t>PAYN</t>
  </si>
  <si>
    <t>paynet-coin</t>
  </si>
  <si>
    <t>PayNet Coin</t>
  </si>
  <si>
    <t>PYPL</t>
  </si>
  <si>
    <t>paypal-tokenized-stock-zipmex</t>
  </si>
  <si>
    <t>Paypal Tokenized Stock Zipmex</t>
  </si>
  <si>
    <t>PPP</t>
  </si>
  <si>
    <t>paypie</t>
  </si>
  <si>
    <t>PayPie</t>
  </si>
  <si>
    <t>EPAN</t>
  </si>
  <si>
    <t>paypolitan-token</t>
  </si>
  <si>
    <t>PROPEL</t>
  </si>
  <si>
    <t>payrue</t>
  </si>
  <si>
    <t>Propel</t>
  </si>
  <si>
    <t>PTI</t>
  </si>
  <si>
    <t>paytomat</t>
  </si>
  <si>
    <t>Paytomat</t>
  </si>
  <si>
    <t>payturn</t>
  </si>
  <si>
    <t>Payturn</t>
  </si>
  <si>
    <t>YOT</t>
  </si>
  <si>
    <t>payyoda</t>
  </si>
  <si>
    <t>PayYoda</t>
  </si>
  <si>
    <t>PAYZ</t>
  </si>
  <si>
    <t>payz-payments</t>
  </si>
  <si>
    <t>Payz Payments</t>
  </si>
  <si>
    <t>PBTC35A</t>
  </si>
  <si>
    <t>pbtc35a</t>
  </si>
  <si>
    <t>pBTC35A</t>
  </si>
  <si>
    <t>PI</t>
  </si>
  <si>
    <t>pchain</t>
  </si>
  <si>
    <t>Plian</t>
  </si>
  <si>
    <t>DPDBC</t>
  </si>
  <si>
    <t>pdbc-defichain</t>
  </si>
  <si>
    <t>PDBC Defichain</t>
  </si>
  <si>
    <t>PDD</t>
  </si>
  <si>
    <t>pddollar</t>
  </si>
  <si>
    <t>PDDOLLAR</t>
  </si>
  <si>
    <t>PDO</t>
  </si>
  <si>
    <t>pdollar</t>
  </si>
  <si>
    <t>pDollar</t>
  </si>
  <si>
    <t>SPDO</t>
  </si>
  <si>
    <t>pdollar-share</t>
  </si>
  <si>
    <t>pDollar Share</t>
  </si>
  <si>
    <t>PDSHARE</t>
  </si>
  <si>
    <t>pdshare</t>
  </si>
  <si>
    <t>PDX</t>
  </si>
  <si>
    <t>pdx-coin</t>
  </si>
  <si>
    <t>PDX Coin</t>
  </si>
  <si>
    <t>PEACE</t>
  </si>
  <si>
    <t>peace-dao</t>
  </si>
  <si>
    <t>Peace DAO</t>
  </si>
  <si>
    <t>PEACEDOGE</t>
  </si>
  <si>
    <t>peace-doge</t>
  </si>
  <si>
    <t>Peace Doge</t>
  </si>
  <si>
    <t>peace-token</t>
  </si>
  <si>
    <t>Peace</t>
  </si>
  <si>
    <t>PEECH</t>
  </si>
  <si>
    <t>peach-finance</t>
  </si>
  <si>
    <t>Peach Finance</t>
  </si>
  <si>
    <t>PCHF</t>
  </si>
  <si>
    <t>peachfolio</t>
  </si>
  <si>
    <t>Peachfolio</t>
  </si>
  <si>
    <t>PEKC</t>
  </si>
  <si>
    <t>peacockcoin</t>
  </si>
  <si>
    <t>Peacockcoin</t>
  </si>
  <si>
    <t>peacockcoin-eth</t>
  </si>
  <si>
    <t>Peacockcoin (ETH)</t>
  </si>
  <si>
    <t>PEA</t>
  </si>
  <si>
    <t>pea-farm</t>
  </si>
  <si>
    <t>Pea Farm</t>
  </si>
  <si>
    <t>PEAKAVAX</t>
  </si>
  <si>
    <t>peak-avalanche</t>
  </si>
  <si>
    <t>Peak Avalanche</t>
  </si>
  <si>
    <t>peak-finance</t>
  </si>
  <si>
    <t>Peak Finance</t>
  </si>
  <si>
    <t>peakmines-peak</t>
  </si>
  <si>
    <t>Peakmines PEAK</t>
  </si>
  <si>
    <t>NUX</t>
  </si>
  <si>
    <t>peanut</t>
  </si>
  <si>
    <t>Peanut</t>
  </si>
  <si>
    <t>PEAR</t>
  </si>
  <si>
    <t>pear</t>
  </si>
  <si>
    <t>Pear</t>
  </si>
  <si>
    <t>PEX</t>
  </si>
  <si>
    <t>peardao</t>
  </si>
  <si>
    <t>PearDAO</t>
  </si>
  <si>
    <t>pearl-finance</t>
  </si>
  <si>
    <t>Pearl Finance</t>
  </si>
  <si>
    <t>peaswap</t>
  </si>
  <si>
    <t>PeaSwap</t>
  </si>
  <si>
    <t>PCL</t>
  </si>
  <si>
    <t>peculium-2</t>
  </si>
  <si>
    <t>Peculium</t>
  </si>
  <si>
    <t>PEECOIN</t>
  </si>
  <si>
    <t>peecoin-charts</t>
  </si>
  <si>
    <t>PeeCoin Charts</t>
  </si>
  <si>
    <t>PCN</t>
  </si>
  <si>
    <t>peepcoin</t>
  </si>
  <si>
    <t>Peepcoin</t>
  </si>
  <si>
    <t>PPC</t>
  </si>
  <si>
    <t>peercoin</t>
  </si>
  <si>
    <t>Peercoin</t>
  </si>
  <si>
    <t>PERX</t>
  </si>
  <si>
    <t>peerex-network</t>
  </si>
  <si>
    <t>PeerEx Network</t>
  </si>
  <si>
    <t>GUESS</t>
  </si>
  <si>
    <t>peerguess</t>
  </si>
  <si>
    <t>PeerGuess</t>
  </si>
  <si>
    <t>PTE</t>
  </si>
  <si>
    <t>peet-defi</t>
  </si>
  <si>
    <t>Peet DeFi</t>
  </si>
  <si>
    <t>PGC</t>
  </si>
  <si>
    <t>pegascoin</t>
  </si>
  <si>
    <t>Pegascoin</t>
  </si>
  <si>
    <t>SUS</t>
  </si>
  <si>
    <t>pegasusdao</t>
  </si>
  <si>
    <t>PegasusDAO</t>
  </si>
  <si>
    <t>PEGA</t>
  </si>
  <si>
    <t>pegasus-finance</t>
  </si>
  <si>
    <t>Pegasus Finance</t>
  </si>
  <si>
    <t>PSYS</t>
  </si>
  <si>
    <t>pegasys</t>
  </si>
  <si>
    <t>Pegasys</t>
  </si>
  <si>
    <t>PGX</t>
  </si>
  <si>
    <t>pegaxy-stone</t>
  </si>
  <si>
    <t>Pegaxy Stone</t>
  </si>
  <si>
    <t>PEG</t>
  </si>
  <si>
    <t>pegazus-finance</t>
  </si>
  <si>
    <t>Pegazus Finance</t>
  </si>
  <si>
    <t>pegnet</t>
  </si>
  <si>
    <t>PegNet</t>
  </si>
  <si>
    <t>PELE</t>
  </si>
  <si>
    <t>pele-network</t>
  </si>
  <si>
    <t>PELE Network</t>
  </si>
  <si>
    <t>PELLET</t>
  </si>
  <si>
    <t>pellet-food</t>
  </si>
  <si>
    <t>Pellet Food</t>
  </si>
  <si>
    <t>PENCIL</t>
  </si>
  <si>
    <t>pencil-dao</t>
  </si>
  <si>
    <t>Pencil DAO</t>
  </si>
  <si>
    <t>PENDLE</t>
  </si>
  <si>
    <t>pendle</t>
  </si>
  <si>
    <t>Pendle</t>
  </si>
  <si>
    <t>PGO</t>
  </si>
  <si>
    <t>pengolincoin</t>
  </si>
  <si>
    <t>PengolinCoin</t>
  </si>
  <si>
    <t>PEFI</t>
  </si>
  <si>
    <t>penguin-finance</t>
  </si>
  <si>
    <t>Penguin Finance</t>
  </si>
  <si>
    <t>PGK</t>
  </si>
  <si>
    <t>penguin-karts</t>
  </si>
  <si>
    <t>Penguin Karts</t>
  </si>
  <si>
    <t>penguin-party-fish</t>
  </si>
  <si>
    <t>Penguin Party Fish</t>
  </si>
  <si>
    <t>PENKY</t>
  </si>
  <si>
    <t>penky</t>
  </si>
  <si>
    <t>Penky</t>
  </si>
  <si>
    <t>PFB</t>
  </si>
  <si>
    <t>penny-for-bit</t>
  </si>
  <si>
    <t>Penny For Bit</t>
  </si>
  <si>
    <t>PP</t>
  </si>
  <si>
    <t>pension-plan</t>
  </si>
  <si>
    <t>Pension Plan</t>
  </si>
  <si>
    <t>PNY</t>
  </si>
  <si>
    <t>peony-coin</t>
  </si>
  <si>
    <t>Peony Coin</t>
  </si>
  <si>
    <t>DDDD</t>
  </si>
  <si>
    <t>peoples-punk</t>
  </si>
  <si>
    <t>People's Punk</t>
  </si>
  <si>
    <t>LEZ</t>
  </si>
  <si>
    <t>peoplez</t>
  </si>
  <si>
    <t>Peoplez</t>
  </si>
  <si>
    <t>PEOS</t>
  </si>
  <si>
    <t>peos</t>
  </si>
  <si>
    <t>pEOS</t>
  </si>
  <si>
    <t>PPDEX</t>
  </si>
  <si>
    <t>pepedex</t>
  </si>
  <si>
    <t>Pepedex</t>
  </si>
  <si>
    <t>PEPS</t>
  </si>
  <si>
    <t>pepegold</t>
  </si>
  <si>
    <t>PEPS Coin</t>
  </si>
  <si>
    <t>PEPE</t>
  </si>
  <si>
    <t>pepemoon</t>
  </si>
  <si>
    <t>Pepemoon</t>
  </si>
  <si>
    <t>PEPEVR</t>
  </si>
  <si>
    <t>pepeverse</t>
  </si>
  <si>
    <t>PepeVerse</t>
  </si>
  <si>
    <t>PERA</t>
  </si>
  <si>
    <t>pera-finance</t>
  </si>
  <si>
    <t>Pera Finance</t>
  </si>
  <si>
    <t>PFW</t>
  </si>
  <si>
    <t>perfect-world</t>
  </si>
  <si>
    <t>Perfect World</t>
  </si>
  <si>
    <t>PERI</t>
  </si>
  <si>
    <t>peri-finance</t>
  </si>
  <si>
    <t>PERI Finance</t>
  </si>
  <si>
    <t>PERC</t>
  </si>
  <si>
    <t>perion</t>
  </si>
  <si>
    <t>Perion</t>
  </si>
  <si>
    <t>PRKL</t>
  </si>
  <si>
    <t>perkle</t>
  </si>
  <si>
    <t>Perkle</t>
  </si>
  <si>
    <t>PERL</t>
  </si>
  <si>
    <t>perlin</t>
  </si>
  <si>
    <t>PERL.eco</t>
  </si>
  <si>
    <t>ASK</t>
  </si>
  <si>
    <t>permission-coin</t>
  </si>
  <si>
    <t>Permission Coin</t>
  </si>
  <si>
    <t>PERP</t>
  </si>
  <si>
    <t>perpetual-protocol</t>
  </si>
  <si>
    <t>Perpetual Protocol</t>
  </si>
  <si>
    <t>perpetual-wormhole</t>
  </si>
  <si>
    <t>Perpetual (Wormhole)</t>
  </si>
  <si>
    <t>PRP</t>
  </si>
  <si>
    <t>perpetuum-coin</t>
  </si>
  <si>
    <t>Perpetuum Coin</t>
  </si>
  <si>
    <t>PER</t>
  </si>
  <si>
    <t>per-project</t>
  </si>
  <si>
    <t>PER Project</t>
  </si>
  <si>
    <t>PERSIA</t>
  </si>
  <si>
    <t>persia</t>
  </si>
  <si>
    <t>Persia</t>
  </si>
  <si>
    <t>XPRT</t>
  </si>
  <si>
    <t>persistence</t>
  </si>
  <si>
    <t>Persistence</t>
  </si>
  <si>
    <t>STKXPRT</t>
  </si>
  <si>
    <t>persistence-staked-xprt</t>
  </si>
  <si>
    <t>pSTAKE Staked XPRT</t>
  </si>
  <si>
    <t>PMGT</t>
  </si>
  <si>
    <t>perth-mint-gold-token</t>
  </si>
  <si>
    <t>Perth Mint Gold Token</t>
  </si>
  <si>
    <t>PESA</t>
  </si>
  <si>
    <t>pesabase</t>
  </si>
  <si>
    <t>Pesabase</t>
  </si>
  <si>
    <t>PTD</t>
  </si>
  <si>
    <t>peseta-digital</t>
  </si>
  <si>
    <t>Peseta Digital</t>
  </si>
  <si>
    <t>PETG</t>
  </si>
  <si>
    <t>pet-games</t>
  </si>
  <si>
    <t>Pet Games</t>
  </si>
  <si>
    <t>PETH18C</t>
  </si>
  <si>
    <t>peth18c</t>
  </si>
  <si>
    <t>pETH18C</t>
  </si>
  <si>
    <t>PETO</t>
  </si>
  <si>
    <t>petoverse</t>
  </si>
  <si>
    <t>Petoverse</t>
  </si>
  <si>
    <t>petrachor</t>
  </si>
  <si>
    <t>Petrachor</t>
  </si>
  <si>
    <t>XPD</t>
  </si>
  <si>
    <t>petrodollar</t>
  </si>
  <si>
    <t>PetroDollar</t>
  </si>
  <si>
    <t>PETH</t>
  </si>
  <si>
    <t>petshelp</t>
  </si>
  <si>
    <t>PetsHelp</t>
  </si>
  <si>
    <t>pexcoin</t>
  </si>
  <si>
    <t>Pexcoin</t>
  </si>
  <si>
    <t>PFTM</t>
  </si>
  <si>
    <t>pftm</t>
  </si>
  <si>
    <t>pFTM</t>
  </si>
  <si>
    <t>PHA</t>
  </si>
  <si>
    <t>pha</t>
  </si>
  <si>
    <t>Phala Network</t>
  </si>
  <si>
    <t>PHAE</t>
  </si>
  <si>
    <t>phaeton</t>
  </si>
  <si>
    <t>Phaeton</t>
  </si>
  <si>
    <t>PNT</t>
  </si>
  <si>
    <t>phant</t>
  </si>
  <si>
    <t>Phant</t>
  </si>
  <si>
    <t>PHM</t>
  </si>
  <si>
    <t>phantamdao</t>
  </si>
  <si>
    <t>PhantomDAO</t>
  </si>
  <si>
    <t>FANT</t>
  </si>
  <si>
    <t>phantasia</t>
  </si>
  <si>
    <t>Phantasia</t>
  </si>
  <si>
    <t>phantasma</t>
  </si>
  <si>
    <t>Phantasma</t>
  </si>
  <si>
    <t>KCAL</t>
  </si>
  <si>
    <t>phantasma-energy</t>
  </si>
  <si>
    <t>Phantasma Energy</t>
  </si>
  <si>
    <t>phantasma-energy-old</t>
  </si>
  <si>
    <t>Phantasma Energy [OLD]</t>
  </si>
  <si>
    <t>phantom-protocol</t>
  </si>
  <si>
    <t>Phantom Protocol</t>
  </si>
  <si>
    <t>PHENIX</t>
  </si>
  <si>
    <t>phenix</t>
  </si>
  <si>
    <t>Phenix</t>
  </si>
  <si>
    <t>PHNX</t>
  </si>
  <si>
    <t>phenix-finance</t>
  </si>
  <si>
    <t>Phenix Finance</t>
  </si>
  <si>
    <t>PHIFIV2</t>
  </si>
  <si>
    <t>phifi-finance</t>
  </si>
  <si>
    <t>PhiFi Finance</t>
  </si>
  <si>
    <t>PHL</t>
  </si>
  <si>
    <t>philcoin</t>
  </si>
  <si>
    <t>Philcoin</t>
  </si>
  <si>
    <t>SOCIUS</t>
  </si>
  <si>
    <t>philetairus-socius</t>
  </si>
  <si>
    <t>Philetairus Socius</t>
  </si>
  <si>
    <t>philips-pay-coin</t>
  </si>
  <si>
    <t>PHILLIPS PAY COIN</t>
  </si>
  <si>
    <t>PHN</t>
  </si>
  <si>
    <t>phillionex</t>
  </si>
  <si>
    <t>Phillionex</t>
  </si>
  <si>
    <t>WAGE</t>
  </si>
  <si>
    <t>philscurrency</t>
  </si>
  <si>
    <t>Digiwage</t>
  </si>
  <si>
    <t>PHX</t>
  </si>
  <si>
    <t>phoenix</t>
  </si>
  <si>
    <t>Phoenix</t>
  </si>
  <si>
    <t>phoenixchain</t>
  </si>
  <si>
    <t>PhoenixChain</t>
  </si>
  <si>
    <t>PXC</t>
  </si>
  <si>
    <t>phoenixcoin</t>
  </si>
  <si>
    <t>Phoenixcoin</t>
  </si>
  <si>
    <t>phoenixdao</t>
  </si>
  <si>
    <t>PhoenixDAO</t>
  </si>
  <si>
    <t>PNIXS</t>
  </si>
  <si>
    <t>phoenix-defi-finance</t>
  </si>
  <si>
    <t>Phoenix Defi Finance</t>
  </si>
  <si>
    <t>PNIX</t>
  </si>
  <si>
    <t>phoenixdefi-finance</t>
  </si>
  <si>
    <t>PhoenixDefi.Finance</t>
  </si>
  <si>
    <t>PHB</t>
  </si>
  <si>
    <t>phoenix-global</t>
  </si>
  <si>
    <t>Phoenix Global</t>
  </si>
  <si>
    <t>phoenix-token</t>
  </si>
  <si>
    <t>Phoenix Finance</t>
  </si>
  <si>
    <t>phoneum</t>
  </si>
  <si>
    <t>Phoneum</t>
  </si>
  <si>
    <t>PHONON</t>
  </si>
  <si>
    <t>phonon-dao</t>
  </si>
  <si>
    <t>Phonon DAO</t>
  </si>
  <si>
    <t>PHR</t>
  </si>
  <si>
    <t>phore</t>
  </si>
  <si>
    <t>Phore</t>
  </si>
  <si>
    <t>PHCR</t>
  </si>
  <si>
    <t>photochromic</t>
  </si>
  <si>
    <t>PhotoChromic</t>
  </si>
  <si>
    <t>PHO</t>
  </si>
  <si>
    <t>photon</t>
  </si>
  <si>
    <t>Photon</t>
  </si>
  <si>
    <t>PHOTON</t>
  </si>
  <si>
    <t>photonswap</t>
  </si>
  <si>
    <t>PhotonSwap</t>
  </si>
  <si>
    <t>PHC</t>
  </si>
  <si>
    <t>phuket-holiday-coin</t>
  </si>
  <si>
    <t>Phuket Holiday Coin</t>
  </si>
  <si>
    <t>PHUNK</t>
  </si>
  <si>
    <t>phunk-vault-nftx</t>
  </si>
  <si>
    <t>PHUNK Vault (NFTX)</t>
  </si>
  <si>
    <t>PHTK</t>
  </si>
  <si>
    <t>phuntoken</t>
  </si>
  <si>
    <t>Phun</t>
  </si>
  <si>
    <t>PQD</t>
  </si>
  <si>
    <t>phu-quoc-dog</t>
  </si>
  <si>
    <t>Phu Quoc Dog</t>
  </si>
  <si>
    <t>PHTR</t>
  </si>
  <si>
    <t>phuture</t>
  </si>
  <si>
    <t>Phuture</t>
  </si>
  <si>
    <t>PHY</t>
  </si>
  <si>
    <t>physis</t>
  </si>
  <si>
    <t>Physis</t>
  </si>
  <si>
    <t>PIASA</t>
  </si>
  <si>
    <t>piasa</t>
  </si>
  <si>
    <t>PIB</t>
  </si>
  <si>
    <t>pibble</t>
  </si>
  <si>
    <t>Pibble</t>
  </si>
  <si>
    <t>PANFT</t>
  </si>
  <si>
    <t>picartnft</t>
  </si>
  <si>
    <t>PicArtNFT</t>
  </si>
  <si>
    <t>PICA</t>
  </si>
  <si>
    <t>picasso-network</t>
  </si>
  <si>
    <t>Picasso Network</t>
  </si>
  <si>
    <t>PINU</t>
  </si>
  <si>
    <t>piccolo-inu</t>
  </si>
  <si>
    <t>Piccolo Inu</t>
  </si>
  <si>
    <t>PICIPO</t>
  </si>
  <si>
    <t>picipo</t>
  </si>
  <si>
    <t>Picipo</t>
  </si>
  <si>
    <t>PICK</t>
  </si>
  <si>
    <t>pick</t>
  </si>
  <si>
    <t>PICKLE</t>
  </si>
  <si>
    <t>pickle-finance</t>
  </si>
  <si>
    <t>Pickle Finance</t>
  </si>
  <si>
    <t>PICO</t>
  </si>
  <si>
    <t>picogo</t>
  </si>
  <si>
    <t>PicoGo</t>
  </si>
  <si>
    <t>PXL</t>
  </si>
  <si>
    <t>piction-network</t>
  </si>
  <si>
    <t>Piction Network</t>
  </si>
  <si>
    <t>PID</t>
  </si>
  <si>
    <t>pidao</t>
  </si>
  <si>
    <t>PIDAO</t>
  </si>
  <si>
    <t>piedao-balanced-crypto-pie</t>
  </si>
  <si>
    <t>PieDAO Balanced Crypto Pie</t>
  </si>
  <si>
    <t>BTC++</t>
  </si>
  <si>
    <t>piedao-btc</t>
  </si>
  <si>
    <t>PieDAO BTC++</t>
  </si>
  <si>
    <t>DEFI++</t>
  </si>
  <si>
    <t>piedao-defi</t>
  </si>
  <si>
    <t>PieDAO DEFI++</t>
  </si>
  <si>
    <t>DEFI+L</t>
  </si>
  <si>
    <t>piedao-defi-large-cap</t>
  </si>
  <si>
    <t>PieDAO DEFI Large Cap</t>
  </si>
  <si>
    <t>DEFI+S</t>
  </si>
  <si>
    <t>piedao-defi-small-cap</t>
  </si>
  <si>
    <t>PieDAO DEFI Small Cap</t>
  </si>
  <si>
    <t>piedao-dough-v2</t>
  </si>
  <si>
    <t>PieDAO DOUGH v2</t>
  </si>
  <si>
    <t>YPIE</t>
  </si>
  <si>
    <t>piedao-yearn-ecosystem-pie</t>
  </si>
  <si>
    <t>PieDAO Yearn Ecosystem Pie</t>
  </si>
  <si>
    <t>pieme</t>
  </si>
  <si>
    <t>Pieme</t>
  </si>
  <si>
    <t>pie-share</t>
  </si>
  <si>
    <t>Pie Share</t>
  </si>
  <si>
    <t>PGN</t>
  </si>
  <si>
    <t>pigeoncoin</t>
  </si>
  <si>
    <t>Pigeoncoin</t>
  </si>
  <si>
    <t>PGNT</t>
  </si>
  <si>
    <t>pigeon-sol</t>
  </si>
  <si>
    <t>Pigeon Sol</t>
  </si>
  <si>
    <t>PIG</t>
  </si>
  <si>
    <t>pig-finance</t>
  </si>
  <si>
    <t>Pig Finance</t>
  </si>
  <si>
    <t>PIGGY</t>
  </si>
  <si>
    <t>piggy</t>
  </si>
  <si>
    <t>Piggy</t>
  </si>
  <si>
    <t>PB</t>
  </si>
  <si>
    <t>piggy-bank</t>
  </si>
  <si>
    <t>Piggy Bank</t>
  </si>
  <si>
    <t>piggy-bank-token</t>
  </si>
  <si>
    <t>PiggyBank</t>
  </si>
  <si>
    <t>piggy-finance</t>
  </si>
  <si>
    <t>Piggy Finance</t>
  </si>
  <si>
    <t>PIGI</t>
  </si>
  <si>
    <t>piggy-planet</t>
  </si>
  <si>
    <t>Piggy Planet</t>
  </si>
  <si>
    <t>piggy-share</t>
  </si>
  <si>
    <t>Piggy Share</t>
  </si>
  <si>
    <t>PIGS</t>
  </si>
  <si>
    <t>pigs</t>
  </si>
  <si>
    <t>PIKA</t>
  </si>
  <si>
    <t>pikachu</t>
  </si>
  <si>
    <t>Pika</t>
  </si>
  <si>
    <t>PIKACHU</t>
  </si>
  <si>
    <t>pikachu-inu</t>
  </si>
  <si>
    <t>Pikachu Inu</t>
  </si>
  <si>
    <t>PLR</t>
  </si>
  <si>
    <t>pillar</t>
  </si>
  <si>
    <t>Pillar</t>
  </si>
  <si>
    <t>pilot</t>
  </si>
  <si>
    <t>Pilot</t>
  </si>
  <si>
    <t>PNS</t>
  </si>
  <si>
    <t>pineapple-swap</t>
  </si>
  <si>
    <t>Pineapple swap</t>
  </si>
  <si>
    <t>PCT</t>
  </si>
  <si>
    <t>pinecone-finance</t>
  </si>
  <si>
    <t>Pinecone Finance</t>
  </si>
  <si>
    <t>PINETWORKDEFI</t>
  </si>
  <si>
    <t>pi-network-defi</t>
  </si>
  <si>
    <t>Pi Network DeFi</t>
  </si>
  <si>
    <t>pinkcoin</t>
  </si>
  <si>
    <t>Pinkcoin</t>
  </si>
  <si>
    <t>PINKE</t>
  </si>
  <si>
    <t>pinkelon</t>
  </si>
  <si>
    <t>PinkElon</t>
  </si>
  <si>
    <t>PINKM</t>
  </si>
  <si>
    <t>pinkmoon</t>
  </si>
  <si>
    <t>PinkMoon</t>
  </si>
  <si>
    <t>PNODE</t>
  </si>
  <si>
    <t>pinknode</t>
  </si>
  <si>
    <t>Pinknode</t>
  </si>
  <si>
    <t>PINKPANDA</t>
  </si>
  <si>
    <t>pink-panda</t>
  </si>
  <si>
    <t>Pink Panda</t>
  </si>
  <si>
    <t>pink-panther</t>
  </si>
  <si>
    <t>PINK PANTHER</t>
  </si>
  <si>
    <t>PINKSALE</t>
  </si>
  <si>
    <t>pinksale</t>
  </si>
  <si>
    <t>PinkSale</t>
  </si>
  <si>
    <t>PSLIP</t>
  </si>
  <si>
    <t>pinkslip-finance</t>
  </si>
  <si>
    <t>Pinkslip Finance</t>
  </si>
  <si>
    <t>PINKS</t>
  </si>
  <si>
    <t>pinkswap-token</t>
  </si>
  <si>
    <t>PinkSwap</t>
  </si>
  <si>
    <t>PTU</t>
  </si>
  <si>
    <t>pintu-token</t>
  </si>
  <si>
    <t>Pintu</t>
  </si>
  <si>
    <t>PIP</t>
  </si>
  <si>
    <t>pip</t>
  </si>
  <si>
    <t>PIPL</t>
  </si>
  <si>
    <t>piplcoin</t>
  </si>
  <si>
    <t>PiplCoin</t>
  </si>
  <si>
    <t>PIPI</t>
  </si>
  <si>
    <t>pippi-finance</t>
  </si>
  <si>
    <t>Pippi Finance</t>
  </si>
  <si>
    <t>PIRATEBOY</t>
  </si>
  <si>
    <t>pirate-boy</t>
  </si>
  <si>
    <t>Pirate Boy</t>
  </si>
  <si>
    <t>PIRATE</t>
  </si>
  <si>
    <t>piratecash</t>
  </si>
  <si>
    <t>PirateCash</t>
  </si>
  <si>
    <t>ARRR</t>
  </si>
  <si>
    <t>pirate-chain</t>
  </si>
  <si>
    <t>Pirate Chain</t>
  </si>
  <si>
    <t>PIRATECOIN☠</t>
  </si>
  <si>
    <t>piratecoin</t>
  </si>
  <si>
    <t>PirateCoin</t>
  </si>
  <si>
    <t>JOLLY</t>
  </si>
  <si>
    <t>piratedao</t>
  </si>
  <si>
    <t>PirateDAO</t>
  </si>
  <si>
    <t>BOOTY</t>
  </si>
  <si>
    <t>pirate-dice</t>
  </si>
  <si>
    <t>Pirate Dice</t>
  </si>
  <si>
    <t>pirate-inu</t>
  </si>
  <si>
    <t>Pirate Inu</t>
  </si>
  <si>
    <t>PIRA</t>
  </si>
  <si>
    <t>piratera</t>
  </si>
  <si>
    <t>Piratera</t>
  </si>
  <si>
    <t>PKT</t>
  </si>
  <si>
    <t>piratesking</t>
  </si>
  <si>
    <t>PiratesKing</t>
  </si>
  <si>
    <t>PXP</t>
  </si>
  <si>
    <t>pirate-x-pirate</t>
  </si>
  <si>
    <t>Pirate x Pirate</t>
  </si>
  <si>
    <t>PSTN</t>
  </si>
  <si>
    <t>piston</t>
  </si>
  <si>
    <t>Piston</t>
  </si>
  <si>
    <t>PIST</t>
  </si>
  <si>
    <t>pist-trust</t>
  </si>
  <si>
    <t>Pist Trust</t>
  </si>
  <si>
    <t>PIT</t>
  </si>
  <si>
    <t>pitbull</t>
  </si>
  <si>
    <t>Pitbull</t>
  </si>
  <si>
    <t>PITCH</t>
  </si>
  <si>
    <t>pitch</t>
  </si>
  <si>
    <t>Pitch</t>
  </si>
  <si>
    <t>PITQD</t>
  </si>
  <si>
    <t>pitquidity-bsc</t>
  </si>
  <si>
    <t>Pitquidity-BSC</t>
  </si>
  <si>
    <t>PITTYS</t>
  </si>
  <si>
    <t>pittys</t>
  </si>
  <si>
    <t>Pittys</t>
  </si>
  <si>
    <t>PVT</t>
  </si>
  <si>
    <t>pivot-token</t>
  </si>
  <si>
    <t>Pivot Token</t>
  </si>
  <si>
    <t>PIVX</t>
  </si>
  <si>
    <t>pivx</t>
  </si>
  <si>
    <t>PIXELGAS</t>
  </si>
  <si>
    <t>pixelgas</t>
  </si>
  <si>
    <t>PixelGas</t>
  </si>
  <si>
    <t>PIXELSQUID</t>
  </si>
  <si>
    <t>pixelsquid</t>
  </si>
  <si>
    <t>PixelSQUID</t>
  </si>
  <si>
    <t>PIXL</t>
  </si>
  <si>
    <t>pixels-so</t>
  </si>
  <si>
    <t>Pixels.so</t>
  </si>
  <si>
    <t>pixelverse</t>
  </si>
  <si>
    <t>PixelVerse</t>
  </si>
  <si>
    <t>PIXEOS</t>
  </si>
  <si>
    <t>pixeos</t>
  </si>
  <si>
    <t>PixEOS</t>
  </si>
  <si>
    <t>PIXIU</t>
  </si>
  <si>
    <t>pixiu-finance</t>
  </si>
  <si>
    <t>Pixiu Finance</t>
  </si>
  <si>
    <t>PXLC</t>
  </si>
  <si>
    <t>pixl-coin-2</t>
  </si>
  <si>
    <t>Pixl Coin</t>
  </si>
  <si>
    <t>PIXLS</t>
  </si>
  <si>
    <t>pixls-vault-nftx</t>
  </si>
  <si>
    <t>PIXLS Vault (NFTX)</t>
  </si>
  <si>
    <t>PIZZA</t>
  </si>
  <si>
    <t>pizza-game</t>
  </si>
  <si>
    <t>Pizza Game</t>
  </si>
  <si>
    <t>$PIZZA</t>
  </si>
  <si>
    <t>pizza-nft</t>
  </si>
  <si>
    <t>Pizza NFT</t>
  </si>
  <si>
    <t>PPUG</t>
  </si>
  <si>
    <t>pizza-pug-coin</t>
  </si>
  <si>
    <t>Pizza Pug Coin</t>
  </si>
  <si>
    <t>pizzaswap</t>
  </si>
  <si>
    <t>PizzaSwap</t>
  </si>
  <si>
    <t>pizza-usde</t>
  </si>
  <si>
    <t>PKG</t>
  </si>
  <si>
    <t>pkg-token</t>
  </si>
  <si>
    <t>PKG Token</t>
  </si>
  <si>
    <t>pkt</t>
  </si>
  <si>
    <t>placeh</t>
  </si>
  <si>
    <t>Placeholders</t>
  </si>
  <si>
    <t>PLACE</t>
  </si>
  <si>
    <t>place-war</t>
  </si>
  <si>
    <t>PlaceWar Governance</t>
  </si>
  <si>
    <t>PLA</t>
  </si>
  <si>
    <t>plair</t>
  </si>
  <si>
    <t>Plair</t>
  </si>
  <si>
    <t>planet</t>
  </si>
  <si>
    <t>PLANET</t>
  </si>
  <si>
    <t>planet-finance</t>
  </si>
  <si>
    <t>Planet Finance</t>
  </si>
  <si>
    <t>PLANETINU</t>
  </si>
  <si>
    <t>planet-inu</t>
  </si>
  <si>
    <t>Planet Inu</t>
  </si>
  <si>
    <t>POA</t>
  </si>
  <si>
    <t>PSB</t>
  </si>
  <si>
    <t>planet-sandbox</t>
  </si>
  <si>
    <t>Planet Sandbox</t>
  </si>
  <si>
    <t>PLANETS</t>
  </si>
  <si>
    <t>planetwatch</t>
  </si>
  <si>
    <t>PlanetWatch</t>
  </si>
  <si>
    <t>P2E</t>
  </si>
  <si>
    <t>plant2earn</t>
  </si>
  <si>
    <t>Plant2Earn</t>
  </si>
  <si>
    <t>PEXO</t>
  </si>
  <si>
    <t>plant-exodus</t>
  </si>
  <si>
    <t>Plant Exodus</t>
  </si>
  <si>
    <t>PVU</t>
  </si>
  <si>
    <t>plant-vs-undead-token</t>
  </si>
  <si>
    <t>Plant vs Undead</t>
  </si>
  <si>
    <t>PPAY</t>
  </si>
  <si>
    <t>plasma-finance</t>
  </si>
  <si>
    <t>Plasma Finance</t>
  </si>
  <si>
    <t>PLASTIK</t>
  </si>
  <si>
    <t>plastiks</t>
  </si>
  <si>
    <t>Plastiks</t>
  </si>
  <si>
    <t>PLATA</t>
  </si>
  <si>
    <t>plata-network</t>
  </si>
  <si>
    <t>Plata Network</t>
  </si>
  <si>
    <t>PUFA</t>
  </si>
  <si>
    <t>platform-for-underpaid-female-athletes</t>
  </si>
  <si>
    <t>Platform for Underpaid Female Athletes</t>
  </si>
  <si>
    <t>PLC</t>
  </si>
  <si>
    <t>platincoin</t>
  </si>
  <si>
    <t>PlatinCoin</t>
  </si>
  <si>
    <t>platinum-finance</t>
  </si>
  <si>
    <t>Platinum Finance</t>
  </si>
  <si>
    <t>platinx</t>
  </si>
  <si>
    <t>PlatinX</t>
  </si>
  <si>
    <t>plato-farm</t>
  </si>
  <si>
    <t>Plato Farm</t>
  </si>
  <si>
    <t>PLATO</t>
  </si>
  <si>
    <t>plato-game</t>
  </si>
  <si>
    <t>Plato Game</t>
  </si>
  <si>
    <t>PLTC</t>
  </si>
  <si>
    <t>platoncoin</t>
  </si>
  <si>
    <t>PlatonCoin</t>
  </si>
  <si>
    <t>platon-network</t>
  </si>
  <si>
    <t>PlatON Network</t>
  </si>
  <si>
    <t>PTP</t>
  </si>
  <si>
    <t>platypus-finance</t>
  </si>
  <si>
    <t>Platypus Finance</t>
  </si>
  <si>
    <t>play2live</t>
  </si>
  <si>
    <t>Level-Up Coin</t>
  </si>
  <si>
    <t>3ULL</t>
  </si>
  <si>
    <t>playa3ull-games</t>
  </si>
  <si>
    <t>Playa3ull Games</t>
  </si>
  <si>
    <t>playandlike</t>
  </si>
  <si>
    <t>PlayAndLike</t>
  </si>
  <si>
    <t>playandlike-old</t>
  </si>
  <si>
    <t>PlayAndLike [OLD]</t>
  </si>
  <si>
    <t>PCNT</t>
  </si>
  <si>
    <t>playcent</t>
  </si>
  <si>
    <t>Playcent</t>
  </si>
  <si>
    <t>playchip</t>
  </si>
  <si>
    <t>PlayChip</t>
  </si>
  <si>
    <t>playcoin-qrc20</t>
  </si>
  <si>
    <t>PlayCoin (QRC-20)</t>
  </si>
  <si>
    <t>playdapp</t>
  </si>
  <si>
    <t>PlayDapp</t>
  </si>
  <si>
    <t>PYM</t>
  </si>
  <si>
    <t>playermon</t>
  </si>
  <si>
    <t>Playermon</t>
  </si>
  <si>
    <t>PO</t>
  </si>
  <si>
    <t>playersonly</t>
  </si>
  <si>
    <t>PlayersOnly</t>
  </si>
  <si>
    <t>PVP</t>
  </si>
  <si>
    <t>playervsplayercoin</t>
  </si>
  <si>
    <t>PlayerVsPlayerCoin</t>
  </si>
  <si>
    <t>PLF</t>
  </si>
  <si>
    <t>playfuel</t>
  </si>
  <si>
    <t>PlayFuel</t>
  </si>
  <si>
    <t>PXG</t>
  </si>
  <si>
    <t>playgame</t>
  </si>
  <si>
    <t>PlayGame</t>
  </si>
  <si>
    <t>PLAYA</t>
  </si>
  <si>
    <t>playground</t>
  </si>
  <si>
    <t>Playground</t>
  </si>
  <si>
    <t>WAVES</t>
  </si>
  <si>
    <t>playground-waves-floor-index</t>
  </si>
  <si>
    <t>Playground Waves Floor Index</t>
  </si>
  <si>
    <t>IOG</t>
  </si>
  <si>
    <t>playgroundz</t>
  </si>
  <si>
    <t>Playgroundz</t>
  </si>
  <si>
    <t>PIF</t>
  </si>
  <si>
    <t>play-it-forward-dao</t>
  </si>
  <si>
    <t>Play It Forward DAO</t>
  </si>
  <si>
    <t>playkey</t>
  </si>
  <si>
    <t>PlayKey</t>
  </si>
  <si>
    <t>PMT</t>
  </si>
  <si>
    <t>playmarket</t>
  </si>
  <si>
    <t>DAO PlayMarket 2.0</t>
  </si>
  <si>
    <t>playnity</t>
  </si>
  <si>
    <t>PlayNity</t>
  </si>
  <si>
    <t>PPAD</t>
  </si>
  <si>
    <t>playpad</t>
  </si>
  <si>
    <t>PlayPad</t>
  </si>
  <si>
    <t>playposeidon-nft</t>
  </si>
  <si>
    <t>PlayPoseidon NFT</t>
  </si>
  <si>
    <t>PMX</t>
  </si>
  <si>
    <t>play-to-maximize</t>
  </si>
  <si>
    <t>Play To Maximize</t>
  </si>
  <si>
    <t>TREKS</t>
  </si>
  <si>
    <t>playtreks</t>
  </si>
  <si>
    <t>PlayTreks</t>
  </si>
  <si>
    <t>PLAYZAP</t>
  </si>
  <si>
    <t>playzap</t>
  </si>
  <si>
    <t>PlayZap</t>
  </si>
  <si>
    <t>PLCU</t>
  </si>
  <si>
    <t>plc-ultima</t>
  </si>
  <si>
    <t>PLC Ultima</t>
  </si>
  <si>
    <t>PLN</t>
  </si>
  <si>
    <t>plearn</t>
  </si>
  <si>
    <t>PLEARN</t>
  </si>
  <si>
    <t>NSFW</t>
  </si>
  <si>
    <t>pleasure-coin</t>
  </si>
  <si>
    <t>Pleasure Coin</t>
  </si>
  <si>
    <t>PLEB</t>
  </si>
  <si>
    <t>plebe-gaming</t>
  </si>
  <si>
    <t>Plebe Gaming</t>
  </si>
  <si>
    <t>PLGR</t>
  </si>
  <si>
    <t>pledge</t>
  </si>
  <si>
    <t>Pledge</t>
  </si>
  <si>
    <t>PLG</t>
  </si>
  <si>
    <t>pledgecamp</t>
  </si>
  <si>
    <t>Pledgecamp</t>
  </si>
  <si>
    <t>MPLGR</t>
  </si>
  <si>
    <t>pledge-finance</t>
  </si>
  <si>
    <t>Pledge Finance</t>
  </si>
  <si>
    <t>PLENA</t>
  </si>
  <si>
    <t>plena</t>
  </si>
  <si>
    <t>Plena</t>
  </si>
  <si>
    <t>PLENTY</t>
  </si>
  <si>
    <t>plenty-dao</t>
  </si>
  <si>
    <t>Plenty DeFi</t>
  </si>
  <si>
    <t>PLE</t>
  </si>
  <si>
    <t>plethori</t>
  </si>
  <si>
    <t>Plethori</t>
  </si>
  <si>
    <t>PLEX</t>
  </si>
  <si>
    <t>plex</t>
  </si>
  <si>
    <t>PLUG</t>
  </si>
  <si>
    <t>plgnet</t>
  </si>
  <si>
    <t>PL^Gnet</t>
  </si>
  <si>
    <t>plotx</t>
  </si>
  <si>
    <t>PlotX</t>
  </si>
  <si>
    <t>plug</t>
  </si>
  <si>
    <t>Plug</t>
  </si>
  <si>
    <t>PLUGCN</t>
  </si>
  <si>
    <t>plug-chain</t>
  </si>
  <si>
    <t>Plug Chain</t>
  </si>
  <si>
    <t>PLI</t>
  </si>
  <si>
    <t>plugin</t>
  </si>
  <si>
    <t>Plugin</t>
  </si>
  <si>
    <t>PLUM</t>
  </si>
  <si>
    <t>plumcake-finance</t>
  </si>
  <si>
    <t>PlumCake Finance</t>
  </si>
  <si>
    <t>plunge</t>
  </si>
  <si>
    <t>Plunge</t>
  </si>
  <si>
    <t>PLURA</t>
  </si>
  <si>
    <t>pluracoin</t>
  </si>
  <si>
    <t>PluraCoin</t>
  </si>
  <si>
    <t>NPLC</t>
  </si>
  <si>
    <t>plus-coin</t>
  </si>
  <si>
    <t>Plus Coin</t>
  </si>
  <si>
    <t>PLUS1</t>
  </si>
  <si>
    <t>plusonecoin</t>
  </si>
  <si>
    <t>PlusOneCoin</t>
  </si>
  <si>
    <t>PLUS</t>
  </si>
  <si>
    <t>pluspad</t>
  </si>
  <si>
    <t>PlusPad</t>
  </si>
  <si>
    <t>PLU</t>
  </si>
  <si>
    <t>pluton</t>
  </si>
  <si>
    <t>Pluton</t>
  </si>
  <si>
    <t>pluton-chain</t>
  </si>
  <si>
    <t>Pluton Chain</t>
  </si>
  <si>
    <t>pluto-network</t>
  </si>
  <si>
    <t>Pluto Network</t>
  </si>
  <si>
    <t>PLD</t>
  </si>
  <si>
    <t>plutonian-dao</t>
  </si>
  <si>
    <t>Plutonian DAO</t>
  </si>
  <si>
    <t>plutonium</t>
  </si>
  <si>
    <t>Plutonium</t>
  </si>
  <si>
    <t>PLUTO</t>
  </si>
  <si>
    <t>plutopepe</t>
  </si>
  <si>
    <t>PlutoPepe</t>
  </si>
  <si>
    <t>PLUT</t>
  </si>
  <si>
    <t>plutos-network</t>
  </si>
  <si>
    <t>Plutos Network</t>
  </si>
  <si>
    <t>plutusdao</t>
  </si>
  <si>
    <t>PlutusDAO</t>
  </si>
  <si>
    <t>PML</t>
  </si>
  <si>
    <t>pmail</t>
  </si>
  <si>
    <t>Pmail</t>
  </si>
  <si>
    <t>pnetwork</t>
  </si>
  <si>
    <t>pNetwork</t>
  </si>
  <si>
    <t>PN</t>
  </si>
  <si>
    <t>pn-token</t>
  </si>
  <si>
    <t>poa-network</t>
  </si>
  <si>
    <t>POA Network</t>
  </si>
  <si>
    <t>POC</t>
  </si>
  <si>
    <t>poc-blockchain</t>
  </si>
  <si>
    <t>POC Blockchain</t>
  </si>
  <si>
    <t>POCC</t>
  </si>
  <si>
    <t>poc-chain</t>
  </si>
  <si>
    <t>POC Chain</t>
  </si>
  <si>
    <t>POCHI</t>
  </si>
  <si>
    <t>pochi-inu</t>
  </si>
  <si>
    <t>Pochi Inu</t>
  </si>
  <si>
    <t>pocket-arena</t>
  </si>
  <si>
    <t>Pocket Arena</t>
  </si>
  <si>
    <t>PKOIN</t>
  </si>
  <si>
    <t>pocketcoin</t>
  </si>
  <si>
    <t>Pocketcoin</t>
  </si>
  <si>
    <t>PCKT</t>
  </si>
  <si>
    <t>pocket-doge</t>
  </si>
  <si>
    <t>Pocket</t>
  </si>
  <si>
    <t>POKT</t>
  </si>
  <si>
    <t>pocket-network</t>
  </si>
  <si>
    <t>Pocket Network</t>
  </si>
  <si>
    <t>pocket-node</t>
  </si>
  <si>
    <t>Pocket Node</t>
  </si>
  <si>
    <t>pocmon-2</t>
  </si>
  <si>
    <t>PocMon</t>
  </si>
  <si>
    <t>POCO</t>
  </si>
  <si>
    <t>pocoland</t>
  </si>
  <si>
    <t>Pocoland</t>
  </si>
  <si>
    <t>podo-point</t>
  </si>
  <si>
    <t>Podo Point</t>
  </si>
  <si>
    <t>POE</t>
  </si>
  <si>
    <t>poet</t>
  </si>
  <si>
    <t>Po.et</t>
  </si>
  <si>
    <t>POFI</t>
  </si>
  <si>
    <t>pofi</t>
  </si>
  <si>
    <t>PoFi</t>
  </si>
  <si>
    <t>POG</t>
  </si>
  <si>
    <t>pogcoin</t>
  </si>
  <si>
    <t>PogCoin</t>
  </si>
  <si>
    <t>pog-coin</t>
  </si>
  <si>
    <t>PolygonumOnline</t>
  </si>
  <si>
    <t>pointpay</t>
  </si>
  <si>
    <t>PointPay</t>
  </si>
  <si>
    <t>pokedx</t>
  </si>
  <si>
    <t>PokeDX</t>
  </si>
  <si>
    <t>POKELON</t>
  </si>
  <si>
    <t>pokelon</t>
  </si>
  <si>
    <t>POS</t>
  </si>
  <si>
    <t>PKN</t>
  </si>
  <si>
    <t>poken</t>
  </si>
  <si>
    <t>Poken</t>
  </si>
  <si>
    <t>MMDA</t>
  </si>
  <si>
    <t>pokerain</t>
  </si>
  <si>
    <t>Pokerain</t>
  </si>
  <si>
    <t>POKERFI</t>
  </si>
  <si>
    <t>pokerfi</t>
  </si>
  <si>
    <t>PokerFi</t>
  </si>
  <si>
    <t>POK</t>
  </si>
  <si>
    <t>pokmonsters</t>
  </si>
  <si>
    <t>Pokmonsters</t>
  </si>
  <si>
    <t>POLAR</t>
  </si>
  <si>
    <t>polar</t>
  </si>
  <si>
    <t>polaris</t>
  </si>
  <si>
    <t>Polarisdefi</t>
  </si>
  <si>
    <t>ARIS</t>
  </si>
  <si>
    <t>polarisdao</t>
  </si>
  <si>
    <t>PolarisDAO</t>
  </si>
  <si>
    <t>POLA</t>
  </si>
  <si>
    <t>polaris-share</t>
  </si>
  <si>
    <t>Polaris Share</t>
  </si>
  <si>
    <t>PLRS</t>
  </si>
  <si>
    <t>polaris-token</t>
  </si>
  <si>
    <t>Polaris Token</t>
  </si>
  <si>
    <t>POL</t>
  </si>
  <si>
    <t>polars</t>
  </si>
  <si>
    <t>Polars</t>
  </si>
  <si>
    <t>SPOLAR</t>
  </si>
  <si>
    <t>polar-shares</t>
  </si>
  <si>
    <t>Polar Shares</t>
  </si>
  <si>
    <t>polar-sync</t>
  </si>
  <si>
    <t>Polar Sync</t>
  </si>
  <si>
    <t>polar-token</t>
  </si>
  <si>
    <t>Polaris Finance Polar</t>
  </si>
  <si>
    <t>POLE</t>
  </si>
  <si>
    <t>pole</t>
  </si>
  <si>
    <t>Pole (North Pole)</t>
  </si>
  <si>
    <t>police-and-thief-game</t>
  </si>
  <si>
    <t>Police and Thief Game</t>
  </si>
  <si>
    <t>POLICEDOGE</t>
  </si>
  <si>
    <t>policedoge</t>
  </si>
  <si>
    <t>PoliceDOGE</t>
  </si>
  <si>
    <t>POLI</t>
  </si>
  <si>
    <t>polinate</t>
  </si>
  <si>
    <t>Polinate</t>
  </si>
  <si>
    <t>POLIS</t>
  </si>
  <si>
    <t>polis</t>
  </si>
  <si>
    <t>Polis</t>
  </si>
  <si>
    <t>PBR</t>
  </si>
  <si>
    <t>polkabridge</t>
  </si>
  <si>
    <t>PolkaBridge</t>
  </si>
  <si>
    <t>CPHR</t>
  </si>
  <si>
    <t>polkacipher</t>
  </si>
  <si>
    <t>PolkaCipher</t>
  </si>
  <si>
    <t>POLC</t>
  </si>
  <si>
    <t>polka-city</t>
  </si>
  <si>
    <t>Polkacity</t>
  </si>
  <si>
    <t>polka-classic</t>
  </si>
  <si>
    <t>Polka Classic</t>
  </si>
  <si>
    <t>PDEX</t>
  </si>
  <si>
    <t>polkadex</t>
  </si>
  <si>
    <t>Polkadex</t>
  </si>
  <si>
    <t>EINSTEIN</t>
  </si>
  <si>
    <t>polkadog-v2-0</t>
  </si>
  <si>
    <t>Polkadog V2.0</t>
  </si>
  <si>
    <t>NAME</t>
  </si>
  <si>
    <t>polkadomain</t>
  </si>
  <si>
    <t>PolkaDomain</t>
  </si>
  <si>
    <t>polkadot</t>
  </si>
  <si>
    <t>PKEX</t>
  </si>
  <si>
    <t>polkaex</t>
  </si>
  <si>
    <t>PolkaEx</t>
  </si>
  <si>
    <t>XP</t>
  </si>
  <si>
    <t>polkafantasy</t>
  </si>
  <si>
    <t>PolkaFantasy</t>
  </si>
  <si>
    <t>PKF</t>
  </si>
  <si>
    <t>polkafoundry</t>
  </si>
  <si>
    <t>PolkaFoundry</t>
  </si>
  <si>
    <t>$PLKG</t>
  </si>
  <si>
    <t>polkago</t>
  </si>
  <si>
    <t>Polkago</t>
  </si>
  <si>
    <t>PIS</t>
  </si>
  <si>
    <t>polkainsure-finance</t>
  </si>
  <si>
    <t>Polkainsure Finance</t>
  </si>
  <si>
    <t>KALLY</t>
  </si>
  <si>
    <t>polkally</t>
  </si>
  <si>
    <t>Kally</t>
  </si>
  <si>
    <t>POLK</t>
  </si>
  <si>
    <t>polkamarkets</t>
  </si>
  <si>
    <t>Polkamarkets</t>
  </si>
  <si>
    <t>PKMON</t>
  </si>
  <si>
    <t>polkamonster</t>
  </si>
  <si>
    <t>PolkaMonster</t>
  </si>
  <si>
    <t>POLP</t>
  </si>
  <si>
    <t>polkaparty</t>
  </si>
  <si>
    <t>PolkaParty</t>
  </si>
  <si>
    <t>polkapet-world</t>
  </si>
  <si>
    <t>PolkaPet World</t>
  </si>
  <si>
    <t>POLO</t>
  </si>
  <si>
    <t>polkaplay</t>
  </si>
  <si>
    <t>NftyPlay</t>
  </si>
  <si>
    <t>PRARE</t>
  </si>
  <si>
    <t>polkarare</t>
  </si>
  <si>
    <t>Polkarare</t>
  </si>
  <si>
    <t>PSN</t>
  </si>
  <si>
    <t>polkasocial-network</t>
  </si>
  <si>
    <t>Polkasocial Network</t>
  </si>
  <si>
    <t>POLS</t>
  </si>
  <si>
    <t>polkastarter</t>
  </si>
  <si>
    <t>Polkastarter</t>
  </si>
  <si>
    <t>PSWAP</t>
  </si>
  <si>
    <t>polkaswap</t>
  </si>
  <si>
    <t>Polkaswap</t>
  </si>
  <si>
    <t>PWAR</t>
  </si>
  <si>
    <t>polkawar</t>
  </si>
  <si>
    <t>PolkaWar</t>
  </si>
  <si>
    <t>PKR</t>
  </si>
  <si>
    <t>polker</t>
  </si>
  <si>
    <t>Polker</t>
  </si>
  <si>
    <t>pollchain</t>
  </si>
  <si>
    <t>Pollchain</t>
  </si>
  <si>
    <t>pollen</t>
  </si>
  <si>
    <t>Pollen</t>
  </si>
  <si>
    <t>POX</t>
  </si>
  <si>
    <t>pollux-coin</t>
  </si>
  <si>
    <t>Pollux Coin</t>
  </si>
  <si>
    <t>POLLY</t>
  </si>
  <si>
    <t>polly</t>
  </si>
  <si>
    <t>Polly Finance</t>
  </si>
  <si>
    <t>NDEFI</t>
  </si>
  <si>
    <t>polly-defi-nest</t>
  </si>
  <si>
    <t>Polly DeFi Nest</t>
  </si>
  <si>
    <t>polyalpha-finance</t>
  </si>
  <si>
    <t>PolyAlpha Finance</t>
  </si>
  <si>
    <t>PLBT</t>
  </si>
  <si>
    <t>polybius</t>
  </si>
  <si>
    <t>Polybius</t>
  </si>
  <si>
    <t>polycat-finance</t>
  </si>
  <si>
    <t>Polycat Finance</t>
  </si>
  <si>
    <t>PMON</t>
  </si>
  <si>
    <t>polychain-monsters</t>
  </si>
  <si>
    <t>Polychain Monsters</t>
  </si>
  <si>
    <t>PMLG</t>
  </si>
  <si>
    <t>polychain-monsters-genesis</t>
  </si>
  <si>
    <t>Polychain Monsters Genesis</t>
  </si>
  <si>
    <t>POLYCUB</t>
  </si>
  <si>
    <t>polycub</t>
  </si>
  <si>
    <t>PolyCub</t>
  </si>
  <si>
    <t>POLYDOGE</t>
  </si>
  <si>
    <t>polydoge</t>
  </si>
  <si>
    <t>PolyDoge</t>
  </si>
  <si>
    <t>polyfarm-egg</t>
  </si>
  <si>
    <t>PolyFarm EGG</t>
  </si>
  <si>
    <t>POKI</t>
  </si>
  <si>
    <t>polyfloki</t>
  </si>
  <si>
    <t>PolyFLOKI</t>
  </si>
  <si>
    <t>PGEN</t>
  </si>
  <si>
    <t>polygen</t>
  </si>
  <si>
    <t>Polygen</t>
  </si>
  <si>
    <t>GULL</t>
  </si>
  <si>
    <t>polygod</t>
  </si>
  <si>
    <t>PolyGod</t>
  </si>
  <si>
    <t>POLYBABYDOGE</t>
  </si>
  <si>
    <t>polygon-babydoge</t>
  </si>
  <si>
    <t>Polygon BabyDoge</t>
  </si>
  <si>
    <t>PECO</t>
  </si>
  <si>
    <t>polygon-ecosystem-index</t>
  </si>
  <si>
    <t>Amun Polygon Ecosystem Index</t>
  </si>
  <si>
    <t>SPADE</t>
  </si>
  <si>
    <t>polygonfarm-finance</t>
  </si>
  <si>
    <t>PolygonFarm Finance</t>
  </si>
  <si>
    <t>PHBD</t>
  </si>
  <si>
    <t>polygon-hbd</t>
  </si>
  <si>
    <t>Polygon HBD</t>
  </si>
  <si>
    <t>PHIVE</t>
  </si>
  <si>
    <t>polygon-hive</t>
  </si>
  <si>
    <t>Polygon Hive</t>
  </si>
  <si>
    <t>PGT</t>
  </si>
  <si>
    <t>polyient-games-governance-token</t>
  </si>
  <si>
    <t>PGU</t>
  </si>
  <si>
    <t>polyient-games-unity</t>
  </si>
  <si>
    <t>Polyient Games Unity</t>
  </si>
  <si>
    <t>POLX</t>
  </si>
  <si>
    <t>polylastic</t>
  </si>
  <si>
    <t>Polylastic</t>
  </si>
  <si>
    <t>polylauncher</t>
  </si>
  <si>
    <t>Polylauncher</t>
  </si>
  <si>
    <t>polylion</t>
  </si>
  <si>
    <t>PolyLion</t>
  </si>
  <si>
    <t>polymath</t>
  </si>
  <si>
    <t>Polymath</t>
  </si>
  <si>
    <t>POLYX</t>
  </si>
  <si>
    <t>polymesh</t>
  </si>
  <si>
    <t>Polymesh</t>
  </si>
  <si>
    <t>POLYMOON</t>
  </si>
  <si>
    <t>polymoon</t>
  </si>
  <si>
    <t>PolyMoon</t>
  </si>
  <si>
    <t>POLYPAD</t>
  </si>
  <si>
    <t>polypad</t>
  </si>
  <si>
    <t>PolyPad</t>
  </si>
  <si>
    <t>HMDX</t>
  </si>
  <si>
    <t>poly-peg-mdex</t>
  </si>
  <si>
    <t>Poly-Peg Mdex</t>
  </si>
  <si>
    <t>POLYPUG</t>
  </si>
  <si>
    <t>polypug</t>
  </si>
  <si>
    <t>PolyPug</t>
  </si>
  <si>
    <t>PUP</t>
  </si>
  <si>
    <t>polypup</t>
  </si>
  <si>
    <t>PolyPup</t>
  </si>
  <si>
    <t>polypup-collar-token</t>
  </si>
  <si>
    <t>PolyPup Collar</t>
  </si>
  <si>
    <t>PYQ</t>
  </si>
  <si>
    <t>polyquity</t>
  </si>
  <si>
    <t>PolyQuity</t>
  </si>
  <si>
    <t>PYD</t>
  </si>
  <si>
    <t>polyquity-dollar</t>
  </si>
  <si>
    <t>PolyQuity Dollar</t>
  </si>
  <si>
    <t>polyroll</t>
  </si>
  <si>
    <t>Polyroll</t>
  </si>
  <si>
    <t>polysafu</t>
  </si>
  <si>
    <t>polySAFU</t>
  </si>
  <si>
    <t>polyshark-finance</t>
  </si>
  <si>
    <t>PolyShark Finance</t>
  </si>
  <si>
    <t>POLYSHIBA</t>
  </si>
  <si>
    <t>polyshiba</t>
  </si>
  <si>
    <t>PolyShiba</t>
  </si>
  <si>
    <t>PS1</t>
  </si>
  <si>
    <t>polysports</t>
  </si>
  <si>
    <t>POLYSPORTS</t>
  </si>
  <si>
    <t>POLYSTAR</t>
  </si>
  <si>
    <t>polystar</t>
  </si>
  <si>
    <t>PolyStar</t>
  </si>
  <si>
    <t>polyswarm</t>
  </si>
  <si>
    <t>PolySwarm</t>
  </si>
  <si>
    <t>TRADE</t>
  </si>
  <si>
    <t>polytrade</t>
  </si>
  <si>
    <t>Polytrade</t>
  </si>
  <si>
    <t>VERT</t>
  </si>
  <si>
    <t>polyvertex</t>
  </si>
  <si>
    <t>PolyVertex</t>
  </si>
  <si>
    <t>WAVE</t>
  </si>
  <si>
    <t>polywave</t>
  </si>
  <si>
    <t>polyWAVE</t>
  </si>
  <si>
    <t>polywhale</t>
  </si>
  <si>
    <t>Polywhale</t>
  </si>
  <si>
    <t>PXT</t>
  </si>
  <si>
    <t>polyx</t>
  </si>
  <si>
    <t>YELD</t>
  </si>
  <si>
    <t>polyyeld-token</t>
  </si>
  <si>
    <t>PolyYeld</t>
  </si>
  <si>
    <t>YIELD</t>
  </si>
  <si>
    <t>polyyield-token</t>
  </si>
  <si>
    <t>PolyYield</t>
  </si>
  <si>
    <t>PZAP</t>
  </si>
  <si>
    <t>polyzap</t>
  </si>
  <si>
    <t>PolyZap</t>
  </si>
  <si>
    <t>POM</t>
  </si>
  <si>
    <t>pomeranian</t>
  </si>
  <si>
    <t>Pomeranian</t>
  </si>
  <si>
    <t>POME</t>
  </si>
  <si>
    <t>pomerocket</t>
  </si>
  <si>
    <t>PomeRocket</t>
  </si>
  <si>
    <t>POMI</t>
  </si>
  <si>
    <t>pomi</t>
  </si>
  <si>
    <t>Pomi</t>
  </si>
  <si>
    <t>POMO</t>
  </si>
  <si>
    <t>pomo</t>
  </si>
  <si>
    <t>Pomo</t>
  </si>
  <si>
    <t>pompom</t>
  </si>
  <si>
    <t>PomPom</t>
  </si>
  <si>
    <t>TOON</t>
  </si>
  <si>
    <t>pontoon</t>
  </si>
  <si>
    <t>Pontoon</t>
  </si>
  <si>
    <t>PONYO</t>
  </si>
  <si>
    <t>ponyo-inu</t>
  </si>
  <si>
    <t>Ponyo Impact</t>
  </si>
  <si>
    <t>PONZI</t>
  </si>
  <si>
    <t>ponzicoin</t>
  </si>
  <si>
    <t>PonziCoin</t>
  </si>
  <si>
    <t>POOCH</t>
  </si>
  <si>
    <t>pooch</t>
  </si>
  <si>
    <t>Pooch</t>
  </si>
  <si>
    <t>POOCOIN</t>
  </si>
  <si>
    <t>poocoin</t>
  </si>
  <si>
    <t>PooCoin</t>
  </si>
  <si>
    <t>POODL</t>
  </si>
  <si>
    <t>poodle</t>
  </si>
  <si>
    <t>Poodl</t>
  </si>
  <si>
    <t>POOF</t>
  </si>
  <si>
    <t>poofcash</t>
  </si>
  <si>
    <t>PoofCash</t>
  </si>
  <si>
    <t>POOL</t>
  </si>
  <si>
    <t>poolcoin</t>
  </si>
  <si>
    <t>POOLCOIN</t>
  </si>
  <si>
    <t>poollotto-finance</t>
  </si>
  <si>
    <t>Poollotto.finance</t>
  </si>
  <si>
    <t>pool-party</t>
  </si>
  <si>
    <t>Pool Party</t>
  </si>
  <si>
    <t>pooltogether</t>
  </si>
  <si>
    <t>PoolTogether</t>
  </si>
  <si>
    <t>pool-token</t>
  </si>
  <si>
    <t>Pool</t>
  </si>
  <si>
    <t>POOLZ</t>
  </si>
  <si>
    <t>poolz-finance</t>
  </si>
  <si>
    <t>Poolz Finance</t>
  </si>
  <si>
    <t>POO</t>
  </si>
  <si>
    <t>poomoon</t>
  </si>
  <si>
    <t>POOMOON</t>
  </si>
  <si>
    <t>poopay</t>
  </si>
  <si>
    <t>PooPay</t>
  </si>
  <si>
    <t>POOP</t>
  </si>
  <si>
    <t>poopsicle</t>
  </si>
  <si>
    <t>Poopsicle</t>
  </si>
  <si>
    <t>POORDOGE</t>
  </si>
  <si>
    <t>poordoge</t>
  </si>
  <si>
    <t>PoorDoge</t>
  </si>
  <si>
    <t>POOR</t>
  </si>
  <si>
    <t>poor-quack</t>
  </si>
  <si>
    <t>Poor Quack</t>
  </si>
  <si>
    <t>POP!</t>
  </si>
  <si>
    <t>pop</t>
  </si>
  <si>
    <t>POP</t>
  </si>
  <si>
    <t>pop-chest-token</t>
  </si>
  <si>
    <t>POP Network</t>
  </si>
  <si>
    <t>popcorn</t>
  </si>
  <si>
    <t>Popcorn</t>
  </si>
  <si>
    <t>POPK</t>
  </si>
  <si>
    <t>popkon</t>
  </si>
  <si>
    <t>POPKON</t>
  </si>
  <si>
    <t>popop-world</t>
  </si>
  <si>
    <t>Popop World</t>
  </si>
  <si>
    <t>PPT</t>
  </si>
  <si>
    <t>populous</t>
  </si>
  <si>
    <t>Populous</t>
  </si>
  <si>
    <t>populous-xbrl-token</t>
  </si>
  <si>
    <t>Populous XBRL Token</t>
  </si>
  <si>
    <t>ZK</t>
  </si>
  <si>
    <t>poriot</t>
  </si>
  <si>
    <t>Poriot</t>
  </si>
  <si>
    <t>RIKEN</t>
  </si>
  <si>
    <t>poriverse</t>
  </si>
  <si>
    <t>Poriverse</t>
  </si>
  <si>
    <t>porkswap</t>
  </si>
  <si>
    <t>PorkSwap</t>
  </si>
  <si>
    <t>PORNROCKET</t>
  </si>
  <si>
    <t>pornrocket</t>
  </si>
  <si>
    <t>PornRocket</t>
  </si>
  <si>
    <t>KIAN</t>
  </si>
  <si>
    <t>porta</t>
  </si>
  <si>
    <t>Porta</t>
  </si>
  <si>
    <t>PORTAL</t>
  </si>
  <si>
    <t>portal</t>
  </si>
  <si>
    <t>Portal</t>
  </si>
  <si>
    <t>IVRY</t>
  </si>
  <si>
    <t>portals-ivory-index</t>
  </si>
  <si>
    <t>Portals Ivory Index</t>
  </si>
  <si>
    <t>PORTE</t>
  </si>
  <si>
    <t>porte-token</t>
  </si>
  <si>
    <t>Porte Token</t>
  </si>
  <si>
    <t>port-finance</t>
  </si>
  <si>
    <t>Port Finance</t>
  </si>
  <si>
    <t>PFY</t>
  </si>
  <si>
    <t>portify</t>
  </si>
  <si>
    <t>Portify</t>
  </si>
  <si>
    <t>portion</t>
  </si>
  <si>
    <t>Portion</t>
  </si>
  <si>
    <t>POR</t>
  </si>
  <si>
    <t>portugal-national-team-fan-token</t>
  </si>
  <si>
    <t>Portugal National Team Fan Token</t>
  </si>
  <si>
    <t>portuma</t>
  </si>
  <si>
    <t>Portuma</t>
  </si>
  <si>
    <t>pos-coin</t>
  </si>
  <si>
    <t>POS Coin</t>
  </si>
  <si>
    <t>PSDN</t>
  </si>
  <si>
    <t>poseidon-2</t>
  </si>
  <si>
    <t>Poseidon</t>
  </si>
  <si>
    <t>poseidon-finance</t>
  </si>
  <si>
    <t>Poseidon Finance</t>
  </si>
  <si>
    <t>poseidon-token</t>
  </si>
  <si>
    <t>Poseidon POS</t>
  </si>
  <si>
    <t>POSI</t>
  </si>
  <si>
    <t>position-token</t>
  </si>
  <si>
    <t>Position</t>
  </si>
  <si>
    <t>POT</t>
  </si>
  <si>
    <t>positron-token</t>
  </si>
  <si>
    <t>Positron</t>
  </si>
  <si>
    <t>postcoin</t>
  </si>
  <si>
    <t>PostCoin</t>
  </si>
  <si>
    <t>POTATO</t>
  </si>
  <si>
    <t>potato</t>
  </si>
  <si>
    <t>Potato</t>
  </si>
  <si>
    <t>potcoin</t>
  </si>
  <si>
    <t>Potcoin</t>
  </si>
  <si>
    <t>PTT</t>
  </si>
  <si>
    <t>potent-coin</t>
  </si>
  <si>
    <t>Potent Coin</t>
  </si>
  <si>
    <t>PTM</t>
  </si>
  <si>
    <t>potentiam</t>
  </si>
  <si>
    <t>Potentiam</t>
  </si>
  <si>
    <t>powerada</t>
  </si>
  <si>
    <t>PowerADA</t>
  </si>
  <si>
    <t>PWRB</t>
  </si>
  <si>
    <t>powerbalt</t>
  </si>
  <si>
    <t>PowerBalt</t>
  </si>
  <si>
    <t>PRCH</t>
  </si>
  <si>
    <t>power-cash</t>
  </si>
  <si>
    <t>Power Cash</t>
  </si>
  <si>
    <t>PIPT</t>
  </si>
  <si>
    <t>power-index-pool-token</t>
  </si>
  <si>
    <t>POWR</t>
  </si>
  <si>
    <t>power-ledger</t>
  </si>
  <si>
    <t>Power Ledger</t>
  </si>
  <si>
    <t>power-nodes</t>
  </si>
  <si>
    <t>Power Nodes</t>
  </si>
  <si>
    <t>PTF</t>
  </si>
  <si>
    <t>powertrade-fuel</t>
  </si>
  <si>
    <t>PowerTrade Fuel</t>
  </si>
  <si>
    <t>POWERZILLA</t>
  </si>
  <si>
    <t>powerzilla</t>
  </si>
  <si>
    <t>PowerZilla</t>
  </si>
  <si>
    <t>PQBERT</t>
  </si>
  <si>
    <t>pqbert</t>
  </si>
  <si>
    <t>pQBERT</t>
  </si>
  <si>
    <t>PRAGMA</t>
  </si>
  <si>
    <t>pragma</t>
  </si>
  <si>
    <t>Pragma</t>
  </si>
  <si>
    <t>PRCY</t>
  </si>
  <si>
    <t>prcy-coin</t>
  </si>
  <si>
    <t>PRivaCY Coin</t>
  </si>
  <si>
    <t>PCPI</t>
  </si>
  <si>
    <t>precharge</t>
  </si>
  <si>
    <t>Precharge</t>
  </si>
  <si>
    <t>PRED</t>
  </si>
  <si>
    <t>predictcoin</t>
  </si>
  <si>
    <t>Predictcoin</t>
  </si>
  <si>
    <t>PQT</t>
  </si>
  <si>
    <t>prediqt</t>
  </si>
  <si>
    <t>Prediqt</t>
  </si>
  <si>
    <t>PRDX</t>
  </si>
  <si>
    <t>predix-network</t>
  </si>
  <si>
    <t>Predix Network</t>
  </si>
  <si>
    <t>PEAX</t>
  </si>
  <si>
    <t>prelax</t>
  </si>
  <si>
    <t>Prelax</t>
  </si>
  <si>
    <t>PREMIA</t>
  </si>
  <si>
    <t>premia</t>
  </si>
  <si>
    <t>Premia</t>
  </si>
  <si>
    <t>PREMIO</t>
  </si>
  <si>
    <t>premio</t>
  </si>
  <si>
    <t>Premio</t>
  </si>
  <si>
    <t>AF-PRESALEDAO</t>
  </si>
  <si>
    <t>presaledao</t>
  </si>
  <si>
    <t>PresaleDAO</t>
  </si>
  <si>
    <t>PRE</t>
  </si>
  <si>
    <t>presearch</t>
  </si>
  <si>
    <t>Presearch</t>
  </si>
  <si>
    <t>PRESIDENTDOGE</t>
  </si>
  <si>
    <t>president-doge</t>
  </si>
  <si>
    <t>President Doge</t>
  </si>
  <si>
    <t>PRM</t>
  </si>
  <si>
    <t>primal</t>
  </si>
  <si>
    <t>Primal</t>
  </si>
  <si>
    <t>PST</t>
  </si>
  <si>
    <t>primas</t>
  </si>
  <si>
    <t>Primas</t>
  </si>
  <si>
    <t>PRIMATE</t>
  </si>
  <si>
    <t>primate</t>
  </si>
  <si>
    <t>Primate</t>
  </si>
  <si>
    <t>D2D</t>
  </si>
  <si>
    <t>prime</t>
  </si>
  <si>
    <t>Prime</t>
  </si>
  <si>
    <t>XPM</t>
  </si>
  <si>
    <t>primecoin</t>
  </si>
  <si>
    <t>Primecoin</t>
  </si>
  <si>
    <t>PDAI</t>
  </si>
  <si>
    <t>prime-dai</t>
  </si>
  <si>
    <t>Prime DAI</t>
  </si>
  <si>
    <t>PRNT</t>
  </si>
  <si>
    <t>prime-numbers</t>
  </si>
  <si>
    <t>Prime Numbers</t>
  </si>
  <si>
    <t>PXI</t>
  </si>
  <si>
    <t>prime-xi</t>
  </si>
  <si>
    <t>Prime-XI</t>
  </si>
  <si>
    <t>PRIMO</t>
  </si>
  <si>
    <t>primo-dao</t>
  </si>
  <si>
    <t>Primo DAO</t>
  </si>
  <si>
    <t>PRSG</t>
  </si>
  <si>
    <t>princess-striker-gem</t>
  </si>
  <si>
    <t>Princess Striker Gem</t>
  </si>
  <si>
    <t>PRISM</t>
  </si>
  <si>
    <t>prism</t>
  </si>
  <si>
    <t>Prism</t>
  </si>
  <si>
    <t>CLUNA</t>
  </si>
  <si>
    <t>prism-cluna</t>
  </si>
  <si>
    <t>Prism cLUNA</t>
  </si>
  <si>
    <t>XPRISM</t>
  </si>
  <si>
    <t>prism-governance-token</t>
  </si>
  <si>
    <t>Prism Governance</t>
  </si>
  <si>
    <t>prism-network</t>
  </si>
  <si>
    <t>Prism Network</t>
  </si>
  <si>
    <t>PLUNA</t>
  </si>
  <si>
    <t>prism-pluna</t>
  </si>
  <si>
    <t>Prism pLUNA</t>
  </si>
  <si>
    <t>prism-protocol</t>
  </si>
  <si>
    <t>Prism Protocol</t>
  </si>
  <si>
    <t>YLUNA</t>
  </si>
  <si>
    <t>prism-yluna</t>
  </si>
  <si>
    <t>Prism yLUNA</t>
  </si>
  <si>
    <t>privacyswap</t>
  </si>
  <si>
    <t>PrivacySwap</t>
  </si>
  <si>
    <t>BPRIVA</t>
  </si>
  <si>
    <t>privapp-network</t>
  </si>
  <si>
    <t>Privapp Network</t>
  </si>
  <si>
    <t>PVM</t>
  </si>
  <si>
    <t>privateum</t>
  </si>
  <si>
    <t>Privateum</t>
  </si>
  <si>
    <t>PRIX</t>
  </si>
  <si>
    <t>privatix</t>
  </si>
  <si>
    <t>Privatix</t>
  </si>
  <si>
    <t>PRIV</t>
  </si>
  <si>
    <t>privcy</t>
  </si>
  <si>
    <t>PRiVCY</t>
  </si>
  <si>
    <t>PIX</t>
  </si>
  <si>
    <t>privi-pix</t>
  </si>
  <si>
    <t>Privi Pix</t>
  </si>
  <si>
    <t>TRAX</t>
  </si>
  <si>
    <t>privi-trax</t>
  </si>
  <si>
    <t>Privi Trax</t>
  </si>
  <si>
    <t>PRZ</t>
  </si>
  <si>
    <t>prize-coin</t>
  </si>
  <si>
    <t>Prize Coin</t>
  </si>
  <si>
    <t>PZM</t>
  </si>
  <si>
    <t>prizm</t>
  </si>
  <si>
    <t>Prizm</t>
  </si>
  <si>
    <t>PRNTR</t>
  </si>
  <si>
    <t>prntr</t>
  </si>
  <si>
    <t>PRBLY</t>
  </si>
  <si>
    <t>probably-nothing</t>
  </si>
  <si>
    <t>Probably Nothing</t>
  </si>
  <si>
    <t>probinex</t>
  </si>
  <si>
    <t>Probinex</t>
  </si>
  <si>
    <t>PROB</t>
  </si>
  <si>
    <t>probit-exchange</t>
  </si>
  <si>
    <t>Probit Token</t>
  </si>
  <si>
    <t>prodax</t>
  </si>
  <si>
    <t>Prodax</t>
  </si>
  <si>
    <t>PFL</t>
  </si>
  <si>
    <t>professional-fighters-league-fan-token</t>
  </si>
  <si>
    <t>Professional Fighters League Fan Token</t>
  </si>
  <si>
    <t>PBK</t>
  </si>
  <si>
    <t>profit-bank</t>
  </si>
  <si>
    <t>Profit Bank</t>
  </si>
  <si>
    <t>FEENIXV2</t>
  </si>
  <si>
    <t>projectfeenixv2</t>
  </si>
  <si>
    <t>ProjectFeenixv2</t>
  </si>
  <si>
    <t>project-galaxy</t>
  </si>
  <si>
    <t>Project Galaxy</t>
  </si>
  <si>
    <t>XIV</t>
  </si>
  <si>
    <t>project-inverse</t>
  </si>
  <si>
    <t>Planet Inverse</t>
  </si>
  <si>
    <t>projectmars</t>
  </si>
  <si>
    <t>ProjectMars</t>
  </si>
  <si>
    <t>project-oasis</t>
  </si>
  <si>
    <t>ProjectOasis</t>
  </si>
  <si>
    <t>project-one-whale</t>
  </si>
  <si>
    <t>Project: One Whale</t>
  </si>
  <si>
    <t>project-pai</t>
  </si>
  <si>
    <t>Project Pai</t>
  </si>
  <si>
    <t>QBIT</t>
  </si>
  <si>
    <t>project-quantum</t>
  </si>
  <si>
    <t>Project Quantum</t>
  </si>
  <si>
    <t>WIKEN</t>
  </si>
  <si>
    <t>project-with</t>
  </si>
  <si>
    <t>Project WITH</t>
  </si>
  <si>
    <t>XIL</t>
  </si>
  <si>
    <t>projectx</t>
  </si>
  <si>
    <t>ProjectX</t>
  </si>
  <si>
    <t>NANOX</t>
  </si>
  <si>
    <t>project-x</t>
  </si>
  <si>
    <t>Project-X</t>
  </si>
  <si>
    <t>project-x-nodes</t>
  </si>
  <si>
    <t>Project X Finance</t>
  </si>
  <si>
    <t>projekt-gold</t>
  </si>
  <si>
    <t>Projekt Gold</t>
  </si>
  <si>
    <t>PROM</t>
  </si>
  <si>
    <t>prometeus</t>
  </si>
  <si>
    <t>Prometeus</t>
  </si>
  <si>
    <t>PHI</t>
  </si>
  <si>
    <t>prometheus</t>
  </si>
  <si>
    <t>Prometheus</t>
  </si>
  <si>
    <t>PRO</t>
  </si>
  <si>
    <t>prometheus-token</t>
  </si>
  <si>
    <t>PROMISE</t>
  </si>
  <si>
    <t>promise-token</t>
  </si>
  <si>
    <t>Promise</t>
  </si>
  <si>
    <t>PMD</t>
  </si>
  <si>
    <t>promodio</t>
  </si>
  <si>
    <t>Promodio</t>
  </si>
  <si>
    <t>PSC</t>
  </si>
  <si>
    <t>promo-swipe-coin</t>
  </si>
  <si>
    <t>Promo Swipe Coin</t>
  </si>
  <si>
    <t>PC</t>
  </si>
  <si>
    <t>promotionchain</t>
  </si>
  <si>
    <t>PromotionChain</t>
  </si>
  <si>
    <t>proof-of-liquidity</t>
  </si>
  <si>
    <t>Proof Of Liquidity</t>
  </si>
  <si>
    <t>PEL</t>
  </si>
  <si>
    <t>propel-token</t>
  </si>
  <si>
    <t>Propel PEL</t>
  </si>
  <si>
    <t>PSIX</t>
  </si>
  <si>
    <t>propersix</t>
  </si>
  <si>
    <t>ProperSix</t>
  </si>
  <si>
    <t>PBT</t>
  </si>
  <si>
    <t>property-blockchain-trade</t>
  </si>
  <si>
    <t>PROPERTY BLOCKCHAIN TRADE</t>
  </si>
  <si>
    <t>PROPS</t>
  </si>
  <si>
    <t>props</t>
  </si>
  <si>
    <t>Props Token</t>
  </si>
  <si>
    <t>propy</t>
  </si>
  <si>
    <t>Propy</t>
  </si>
  <si>
    <t>proshares-bitcoin-strategy-etf</t>
  </si>
  <si>
    <t>ProShares Bitcoin Strategy ETF</t>
  </si>
  <si>
    <t>PROS</t>
  </si>
  <si>
    <t>prosper</t>
  </si>
  <si>
    <t>Prosper</t>
  </si>
  <si>
    <t>PROT</t>
  </si>
  <si>
    <t>prostarter-token</t>
  </si>
  <si>
    <t>ProStarter</t>
  </si>
  <si>
    <t>proswap</t>
  </si>
  <si>
    <t>ProSwap</t>
  </si>
  <si>
    <t>PROGE</t>
  </si>
  <si>
    <t>protector-roge</t>
  </si>
  <si>
    <t>Protector Roge</t>
  </si>
  <si>
    <t>PROTEUS</t>
  </si>
  <si>
    <t>proteus-finance</t>
  </si>
  <si>
    <t>Proteus Finance</t>
  </si>
  <si>
    <t>PFI</t>
  </si>
  <si>
    <t>protocol-finance</t>
  </si>
  <si>
    <t>Protocol Finance</t>
  </si>
  <si>
    <t>PEN</t>
  </si>
  <si>
    <t>protocon</t>
  </si>
  <si>
    <t>Protocon</t>
  </si>
  <si>
    <t>PROTO</t>
  </si>
  <si>
    <t>protofi</t>
  </si>
  <si>
    <t>Protofi</t>
  </si>
  <si>
    <t>XPR</t>
  </si>
  <si>
    <t>proton</t>
  </si>
  <si>
    <t>Proton</t>
  </si>
  <si>
    <t>proton-coin</t>
  </si>
  <si>
    <t>Proton Coin</t>
  </si>
  <si>
    <t>LOAN</t>
  </si>
  <si>
    <t>proton-loan</t>
  </si>
  <si>
    <t>Proton Loan</t>
  </si>
  <si>
    <t>proton-token</t>
  </si>
  <si>
    <t>Proton Token</t>
  </si>
  <si>
    <t>PRGC</t>
  </si>
  <si>
    <t>protoreality-games</t>
  </si>
  <si>
    <t>ProtoReality Games</t>
  </si>
  <si>
    <t>PROUD</t>
  </si>
  <si>
    <t>proud-money</t>
  </si>
  <si>
    <t>Proud Money</t>
  </si>
  <si>
    <t>provenance-blockchain</t>
  </si>
  <si>
    <t>Provenance Blockchain</t>
  </si>
  <si>
    <t>VOCO</t>
  </si>
  <si>
    <t>provoco</t>
  </si>
  <si>
    <t>Provoco</t>
  </si>
  <si>
    <t>XES</t>
  </si>
  <si>
    <t>proxeus</t>
  </si>
  <si>
    <t>Proxeus</t>
  </si>
  <si>
    <t>XPX</t>
  </si>
  <si>
    <t>proximax</t>
  </si>
  <si>
    <t>ProximaX</t>
  </si>
  <si>
    <t>PRXY</t>
  </si>
  <si>
    <t>proxy</t>
  </si>
  <si>
    <t>Proxy</t>
  </si>
  <si>
    <t>proxynode</t>
  </si>
  <si>
    <t>ProxyNode</t>
  </si>
  <si>
    <t>PRYZ</t>
  </si>
  <si>
    <t>pryz</t>
  </si>
  <si>
    <t>Pryz</t>
  </si>
  <si>
    <t>pshare</t>
  </si>
  <si>
    <t>pSHARE</t>
  </si>
  <si>
    <t>PSPACE</t>
  </si>
  <si>
    <t>pspace</t>
  </si>
  <si>
    <t>pSPACE</t>
  </si>
  <si>
    <t>PSTAKE</t>
  </si>
  <si>
    <t>pstake-finance</t>
  </si>
  <si>
    <t>pSTAKE Finance</t>
  </si>
  <si>
    <t>STKATOM</t>
  </si>
  <si>
    <t>pstake-staked-atom</t>
  </si>
  <si>
    <t>pSTAKE Staked ATOM</t>
  </si>
  <si>
    <t>SULE</t>
  </si>
  <si>
    <t>psule</t>
  </si>
  <si>
    <t>Sule</t>
  </si>
  <si>
    <t>USD1</t>
  </si>
  <si>
    <t>psyche</t>
  </si>
  <si>
    <t>Psyche</t>
  </si>
  <si>
    <t>PSYCHODOGE</t>
  </si>
  <si>
    <t>psycho-doge</t>
  </si>
  <si>
    <t>Psycho Doge</t>
  </si>
  <si>
    <t>PSY</t>
  </si>
  <si>
    <t>psy-coin</t>
  </si>
  <si>
    <t>PSY Coin</t>
  </si>
  <si>
    <t>psyoptions</t>
  </si>
  <si>
    <t>PsyOptions</t>
  </si>
  <si>
    <t>PBTC</t>
  </si>
  <si>
    <t>ptokens-btc</t>
  </si>
  <si>
    <t>pTokens BTC</t>
  </si>
  <si>
    <t>ptokens-ore</t>
  </si>
  <si>
    <t>ORE Network</t>
  </si>
  <si>
    <t>PUBE</t>
  </si>
  <si>
    <t>pube-finance</t>
  </si>
  <si>
    <t>Pube Finance</t>
  </si>
  <si>
    <t>PINT</t>
  </si>
  <si>
    <t>pub-finance</t>
  </si>
  <si>
    <t>Pub Finance</t>
  </si>
  <si>
    <t>public-index-network</t>
  </si>
  <si>
    <t>Public Index Network</t>
  </si>
  <si>
    <t>public-mint</t>
  </si>
  <si>
    <t>Public Mint</t>
  </si>
  <si>
    <t>NEWS</t>
  </si>
  <si>
    <t>publish</t>
  </si>
  <si>
    <t>PUBLISH</t>
  </si>
  <si>
    <t>PUD</t>
  </si>
  <si>
    <t>puddingswap</t>
  </si>
  <si>
    <t>PuddingSwap</t>
  </si>
  <si>
    <t>PUPS</t>
  </si>
  <si>
    <t>pudgy-pups-club</t>
  </si>
  <si>
    <t>Pudgy Pups Club</t>
  </si>
  <si>
    <t>PUDGY</t>
  </si>
  <si>
    <t>pudgy-vault-nftx</t>
  </si>
  <si>
    <t>PUDGY Vault (NFTX)</t>
  </si>
  <si>
    <t>PUFF</t>
  </si>
  <si>
    <t>puff</t>
  </si>
  <si>
    <t>PUFFSANTA</t>
  </si>
  <si>
    <t>puff-santa</t>
  </si>
  <si>
    <t>Puff Santa</t>
  </si>
  <si>
    <t>PUGL</t>
  </si>
  <si>
    <t>puglife</t>
  </si>
  <si>
    <t>PugLife</t>
  </si>
  <si>
    <t>PULI</t>
  </si>
  <si>
    <t>puli-inu</t>
  </si>
  <si>
    <t>Puli</t>
  </si>
  <si>
    <t>PULSEDOGE</t>
  </si>
  <si>
    <t>pulsedoge</t>
  </si>
  <si>
    <t>PulseDoge</t>
  </si>
  <si>
    <t>PLSD</t>
  </si>
  <si>
    <t>pulsedogecoin</t>
  </si>
  <si>
    <t>PulseDogecoin</t>
  </si>
  <si>
    <t>PULSEMOON</t>
  </si>
  <si>
    <t>pulsemoon</t>
  </si>
  <si>
    <t>PulseMoon</t>
  </si>
  <si>
    <t>PLSPAD</t>
  </si>
  <si>
    <t>pulsepad</t>
  </si>
  <si>
    <t>PulsePad</t>
  </si>
  <si>
    <t>PULSE</t>
  </si>
  <si>
    <t>pulse-token</t>
  </si>
  <si>
    <t>PulseMarkets</t>
  </si>
  <si>
    <t>PMA</t>
  </si>
  <si>
    <t>pumapay</t>
  </si>
  <si>
    <t>PumaPay</t>
  </si>
  <si>
    <t>PUML</t>
  </si>
  <si>
    <t>puml-better-health</t>
  </si>
  <si>
    <t>PUML Better Health</t>
  </si>
  <si>
    <t>PUMP</t>
  </si>
  <si>
    <t>pump-coin</t>
  </si>
  <si>
    <t>Pump Coin</t>
  </si>
  <si>
    <t>PUMPKIN</t>
  </si>
  <si>
    <t>pumpkin-inu</t>
  </si>
  <si>
    <t>Pumpkin Inu</t>
  </si>
  <si>
    <t>PPUNKS</t>
  </si>
  <si>
    <t>pumpkin-punks</t>
  </si>
  <si>
    <t>Pumpkin Punks</t>
  </si>
  <si>
    <t>PSHIBAX</t>
  </si>
  <si>
    <t>pumpshibax</t>
  </si>
  <si>
    <t>PumpShibaX</t>
  </si>
  <si>
    <t>PTPA</t>
  </si>
  <si>
    <t>pumptopia</t>
  </si>
  <si>
    <t>Pumptopia</t>
  </si>
  <si>
    <t>PUNCH</t>
  </si>
  <si>
    <t>punch</t>
  </si>
  <si>
    <t>Punch</t>
  </si>
  <si>
    <t>NPXS</t>
  </si>
  <si>
    <t>pundi-x</t>
  </si>
  <si>
    <t>Pundi X [OLD]</t>
  </si>
  <si>
    <t>PUNDIX</t>
  </si>
  <si>
    <t>pundi-x-2</t>
  </si>
  <si>
    <t>Pundi X</t>
  </si>
  <si>
    <t>NPXSXEM</t>
  </si>
  <si>
    <t>pundi-x-nem</t>
  </si>
  <si>
    <t>Pundi X NEM</t>
  </si>
  <si>
    <t>PURSE</t>
  </si>
  <si>
    <t>pundi-x-purse</t>
  </si>
  <si>
    <t>Pundi X PURSE</t>
  </si>
  <si>
    <t>PUNK</t>
  </si>
  <si>
    <t>punk-network</t>
  </si>
  <si>
    <t>Punk.Network</t>
  </si>
  <si>
    <t>PUNKS</t>
  </si>
  <si>
    <t>punks-comic</t>
  </si>
  <si>
    <t>PUNKS Comic</t>
  </si>
  <si>
    <t>punks-comic-pow</t>
  </si>
  <si>
    <t>Metahero Universe</t>
  </si>
  <si>
    <t>punk-shiba</t>
  </si>
  <si>
    <t>Punk Shiba</t>
  </si>
  <si>
    <t>punk-vault-nftx</t>
  </si>
  <si>
    <t>Punk Vault (NFTX)</t>
  </si>
  <si>
    <t>PUPDOGE</t>
  </si>
  <si>
    <t>pup-doge</t>
  </si>
  <si>
    <t>Pup Doge</t>
  </si>
  <si>
    <t>pupper</t>
  </si>
  <si>
    <t>Pupper</t>
  </si>
  <si>
    <t>PUPPETS</t>
  </si>
  <si>
    <t>puppets-arts</t>
  </si>
  <si>
    <t>Puppets Arts</t>
  </si>
  <si>
    <t>PUPPY</t>
  </si>
  <si>
    <t>puppy-doge</t>
  </si>
  <si>
    <t>Puppy Doge</t>
  </si>
  <si>
    <t>puppy-token</t>
  </si>
  <si>
    <t>Puppy</t>
  </si>
  <si>
    <t>pups-milk</t>
  </si>
  <si>
    <t>Pups Milk</t>
  </si>
  <si>
    <t>UFI</t>
  </si>
  <si>
    <t>purefi</t>
  </si>
  <si>
    <t>PureFi</t>
  </si>
  <si>
    <t>PGPAY</t>
  </si>
  <si>
    <t>puregold-token</t>
  </si>
  <si>
    <t>PGPay</t>
  </si>
  <si>
    <t>PUR</t>
  </si>
  <si>
    <t>purfect-network</t>
  </si>
  <si>
    <t>Purfect Network</t>
  </si>
  <si>
    <t>PURE</t>
  </si>
  <si>
    <t>puriever</t>
  </si>
  <si>
    <t>Puriever</t>
  </si>
  <si>
    <t>PBTT</t>
  </si>
  <si>
    <t>purple-butterfly-trading</t>
  </si>
  <si>
    <t>Purple Butterfly Trading</t>
  </si>
  <si>
    <t>PURPLEFLOKI</t>
  </si>
  <si>
    <t>purple-floki-inu</t>
  </si>
  <si>
    <t>Purple Floki Inu</t>
  </si>
  <si>
    <t>PRPS</t>
  </si>
  <si>
    <t>purpose</t>
  </si>
  <si>
    <t>Purpose</t>
  </si>
  <si>
    <t>PURR</t>
  </si>
  <si>
    <t>purr-vault-nftx</t>
  </si>
  <si>
    <t>PURR Vault (NFTX)</t>
  </si>
  <si>
    <t>pusd</t>
  </si>
  <si>
    <t>PUSSY</t>
  </si>
  <si>
    <t>pussy-financial</t>
  </si>
  <si>
    <t>Pussy Financial</t>
  </si>
  <si>
    <t>PUT</t>
  </si>
  <si>
    <t>putincoin</t>
  </si>
  <si>
    <t>PUTinCoin</t>
  </si>
  <si>
    <t>PADX</t>
  </si>
  <si>
    <t>puzzle-and-dragons-x</t>
  </si>
  <si>
    <t>Puzzle And Dragons X</t>
  </si>
  <si>
    <t>PWG</t>
  </si>
  <si>
    <t>pw-gold</t>
  </si>
  <si>
    <t>PW-GOLD</t>
  </si>
  <si>
    <t>PWRD</t>
  </si>
  <si>
    <t>pwrd-stablecoin</t>
  </si>
  <si>
    <t>PWRD Stablecoin</t>
  </si>
  <si>
    <t>pye</t>
  </si>
  <si>
    <t>PETN</t>
  </si>
  <si>
    <t>pylon-eco-token</t>
  </si>
  <si>
    <t>Pylon Eco</t>
  </si>
  <si>
    <t>MINE</t>
  </si>
  <si>
    <t>pylon-protocol</t>
  </si>
  <si>
    <t>Pylon Protocol</t>
  </si>
  <si>
    <t>PYRAM</t>
  </si>
  <si>
    <t>pyram-token</t>
  </si>
  <si>
    <t>Pyram</t>
  </si>
  <si>
    <t>GPYX</t>
  </si>
  <si>
    <t>pyrexcoin</t>
  </si>
  <si>
    <t>GoldenPyrex</t>
  </si>
  <si>
    <t>PYRK</t>
  </si>
  <si>
    <t>pyrk</t>
  </si>
  <si>
    <t>Pyrk</t>
  </si>
  <si>
    <t>PYRO</t>
  </si>
  <si>
    <t>pyromaniac</t>
  </si>
  <si>
    <t>Pyroworld</t>
  </si>
  <si>
    <t>pyro-network</t>
  </si>
  <si>
    <t>PYRO Network</t>
  </si>
  <si>
    <t>PYO</t>
  </si>
  <si>
    <t>pyrrho-defi</t>
  </si>
  <si>
    <t>Pyrrho</t>
  </si>
  <si>
    <t>Q8E20</t>
  </si>
  <si>
    <t>q8e20-token</t>
  </si>
  <si>
    <t>Q8E20 Token</t>
  </si>
  <si>
    <t>QANX</t>
  </si>
  <si>
    <t>qanplatform</t>
  </si>
  <si>
    <t>QANplatform</t>
  </si>
  <si>
    <t>QASH</t>
  </si>
  <si>
    <t>qash</t>
  </si>
  <si>
    <t>FWC</t>
  </si>
  <si>
    <t>qatar-2022</t>
  </si>
  <si>
    <t>Qatar 2022</t>
  </si>
  <si>
    <t>QWLA</t>
  </si>
  <si>
    <t>qawalla</t>
  </si>
  <si>
    <t>Qawalla</t>
  </si>
  <si>
    <t>QBT</t>
  </si>
  <si>
    <t>qbao</t>
  </si>
  <si>
    <t>Qbao</t>
  </si>
  <si>
    <t>QC</t>
  </si>
  <si>
    <t>qcash</t>
  </si>
  <si>
    <t>Qcash</t>
  </si>
  <si>
    <t>QCH</t>
  </si>
  <si>
    <t>qchi</t>
  </si>
  <si>
    <t>QChi</t>
  </si>
  <si>
    <t>QHC</t>
  </si>
  <si>
    <t>qchi-chain</t>
  </si>
  <si>
    <t>QChi Chain</t>
  </si>
  <si>
    <t>QDAO</t>
  </si>
  <si>
    <t>q-dao-governance-token-v1-0</t>
  </si>
  <si>
    <t>Q DAO Governance token v1.0</t>
  </si>
  <si>
    <t>QSD</t>
  </si>
  <si>
    <t>qian-second-generation-dollar</t>
  </si>
  <si>
    <t>QIAN Second Generation Dollar</t>
  </si>
  <si>
    <t>qi-dao</t>
  </si>
  <si>
    <t>Qi Dao</t>
  </si>
  <si>
    <t>QBX</t>
  </si>
  <si>
    <t>qiibee</t>
  </si>
  <si>
    <t>qiswap</t>
  </si>
  <si>
    <t>QiSwap</t>
  </si>
  <si>
    <t>QTC</t>
  </si>
  <si>
    <t>qitchain-network</t>
  </si>
  <si>
    <t>Qitcoin</t>
  </si>
  <si>
    <t>MEER</t>
  </si>
  <si>
    <t>qitmeer-network</t>
  </si>
  <si>
    <t>Qitmeer Network</t>
  </si>
  <si>
    <t>QLC</t>
  </si>
  <si>
    <t>qlink</t>
  </si>
  <si>
    <t>QLC Chain</t>
  </si>
  <si>
    <t>QMALL</t>
  </si>
  <si>
    <t>qmall</t>
  </si>
  <si>
    <t>Qmall</t>
  </si>
  <si>
    <t>QMC</t>
  </si>
  <si>
    <t>qmcoin</t>
  </si>
  <si>
    <t>QMCoin</t>
  </si>
  <si>
    <t>QOB</t>
  </si>
  <si>
    <t>qobit</t>
  </si>
  <si>
    <t>Qobit</t>
  </si>
  <si>
    <t>QIQ</t>
  </si>
  <si>
    <t>qoiniq</t>
  </si>
  <si>
    <t>QoinIQ</t>
  </si>
  <si>
    <t>QWT</t>
  </si>
  <si>
    <t>qowatt</t>
  </si>
  <si>
    <t>QoWatt</t>
  </si>
  <si>
    <t>QQQ</t>
  </si>
  <si>
    <t>qqq-token</t>
  </si>
  <si>
    <t>Poseidon Network</t>
  </si>
  <si>
    <t>DQQQ</t>
  </si>
  <si>
    <t>qqq-tokenized-stock-defichain</t>
  </si>
  <si>
    <t>Invesco QQQ Trust Defichain</t>
  </si>
  <si>
    <t>XQR</t>
  </si>
  <si>
    <t>qredit</t>
  </si>
  <si>
    <t>Qredit</t>
  </si>
  <si>
    <t>QRDO</t>
  </si>
  <si>
    <t>qredo</t>
  </si>
  <si>
    <t>Qredo</t>
  </si>
  <si>
    <t>QRT</t>
  </si>
  <si>
    <t>qrkita-token</t>
  </si>
  <si>
    <t>Qrkita</t>
  </si>
  <si>
    <t>QSHARE</t>
  </si>
  <si>
    <t>qshare</t>
  </si>
  <si>
    <t>QShare</t>
  </si>
  <si>
    <t>QTUM</t>
  </si>
  <si>
    <t>qtum</t>
  </si>
  <si>
    <t>Qtum</t>
  </si>
  <si>
    <t>QUAD</t>
  </si>
  <si>
    <t>quadency</t>
  </si>
  <si>
    <t>Quadency</t>
  </si>
  <si>
    <t>EQUAD</t>
  </si>
  <si>
    <t>quadrant-protocol</t>
  </si>
  <si>
    <t>Quadrant Protocol</t>
  </si>
  <si>
    <t>QUAI</t>
  </si>
  <si>
    <t>quai-dao</t>
  </si>
  <si>
    <t>Quai Dao</t>
  </si>
  <si>
    <t>QUAM</t>
  </si>
  <si>
    <t>quam-network</t>
  </si>
  <si>
    <t>Quam Network</t>
  </si>
  <si>
    <t>QBU</t>
  </si>
  <si>
    <t>quannabu</t>
  </si>
  <si>
    <t>Quannabu</t>
  </si>
  <si>
    <t>QTF</t>
  </si>
  <si>
    <t>quantfury</t>
  </si>
  <si>
    <t>Quantfury</t>
  </si>
  <si>
    <t>QUANTIC</t>
  </si>
  <si>
    <t>quantic</t>
  </si>
  <si>
    <t>Quantic</t>
  </si>
  <si>
    <t>QUAN</t>
  </si>
  <si>
    <t>quantis</t>
  </si>
  <si>
    <t>Quantis</t>
  </si>
  <si>
    <t>QLT</t>
  </si>
  <si>
    <t>quantland</t>
  </si>
  <si>
    <t>Quantland</t>
  </si>
  <si>
    <t>QNT</t>
  </si>
  <si>
    <t>quant-network</t>
  </si>
  <si>
    <t>Quant</t>
  </si>
  <si>
    <t>QSP</t>
  </si>
  <si>
    <t>quantstamp</t>
  </si>
  <si>
    <t>Quantstamp</t>
  </si>
  <si>
    <t>QA</t>
  </si>
  <si>
    <t>quantum-assets</t>
  </si>
  <si>
    <t>Quantum Assets</t>
  </si>
  <si>
    <t>QRL</t>
  </si>
  <si>
    <t>quantum-resistant-ledger</t>
  </si>
  <si>
    <t>Quantum Resistant Ledger</t>
  </si>
  <si>
    <t>QUA</t>
  </si>
  <si>
    <t>quantum-tech</t>
  </si>
  <si>
    <t>Quantum Tech</t>
  </si>
  <si>
    <t>quarashi</t>
  </si>
  <si>
    <t>Quarashi</t>
  </si>
  <si>
    <t>QRK</t>
  </si>
  <si>
    <t>quark</t>
  </si>
  <si>
    <t>Quark</t>
  </si>
  <si>
    <t>QKC</t>
  </si>
  <si>
    <t>quark-chain</t>
  </si>
  <si>
    <t>QuarkChain</t>
  </si>
  <si>
    <t>QTZ</t>
  </si>
  <si>
    <t>quartz</t>
  </si>
  <si>
    <t>Quartz</t>
  </si>
  <si>
    <t>QUARTZ</t>
  </si>
  <si>
    <t>quartz-defi</t>
  </si>
  <si>
    <t>Quartz.defi</t>
  </si>
  <si>
    <t>quartz-defi-ashare</t>
  </si>
  <si>
    <t>quartz.defi AShare</t>
  </si>
  <si>
    <t>quasacoin</t>
  </si>
  <si>
    <t>Quasacoin</t>
  </si>
  <si>
    <t>QAC</t>
  </si>
  <si>
    <t>quasarcoin</t>
  </si>
  <si>
    <t>Quasarcoin</t>
  </si>
  <si>
    <t>QUBE</t>
  </si>
  <si>
    <t>qube-2</t>
  </si>
  <si>
    <t>Qube</t>
  </si>
  <si>
    <t>QUB</t>
  </si>
  <si>
    <t>qubism</t>
  </si>
  <si>
    <t>Qubism</t>
  </si>
  <si>
    <t>qubit</t>
  </si>
  <si>
    <t>Qubit</t>
  </si>
  <si>
    <t>QBC</t>
  </si>
  <si>
    <t>quebecoin</t>
  </si>
  <si>
    <t>Quebecoin</t>
  </si>
  <si>
    <t>QBZ</t>
  </si>
  <si>
    <t>queenbee</t>
  </si>
  <si>
    <t>QUEENBEE</t>
  </si>
  <si>
    <t>QUICK</t>
  </si>
  <si>
    <t>quick</t>
  </si>
  <si>
    <t>Quickswap [OLD]</t>
  </si>
  <si>
    <t>QUICKCHART</t>
  </si>
  <si>
    <t>quickchart</t>
  </si>
  <si>
    <t>QuickChart</t>
  </si>
  <si>
    <t>QM</t>
  </si>
  <si>
    <t>quick-mining</t>
  </si>
  <si>
    <t>Quick Mining</t>
  </si>
  <si>
    <t>quickswap</t>
  </si>
  <si>
    <t>Quickswap</t>
  </si>
  <si>
    <t>QCX</t>
  </si>
  <si>
    <t>quickx-protocol</t>
  </si>
  <si>
    <t>QuickX Protocol</t>
  </si>
  <si>
    <t>QDX</t>
  </si>
  <si>
    <t>quidax</t>
  </si>
  <si>
    <t>Quidax</t>
  </si>
  <si>
    <t>QUIDD</t>
  </si>
  <si>
    <t>quidd</t>
  </si>
  <si>
    <t>Quidd</t>
  </si>
  <si>
    <t>QUID</t>
  </si>
  <si>
    <t>quid-ika</t>
  </si>
  <si>
    <t>Quid Ika</t>
  </si>
  <si>
    <t>quid-token</t>
  </si>
  <si>
    <t>Quid</t>
  </si>
  <si>
    <t>QUIK</t>
  </si>
  <si>
    <t>quik</t>
  </si>
  <si>
    <t>Quik</t>
  </si>
  <si>
    <t>QUIN</t>
  </si>
  <si>
    <t>quinads</t>
  </si>
  <si>
    <t>QUINADS</t>
  </si>
  <si>
    <t>QIN</t>
  </si>
  <si>
    <t>quincoin</t>
  </si>
  <si>
    <t>QUINCOIN</t>
  </si>
  <si>
    <t>QUINT</t>
  </si>
  <si>
    <t>quint</t>
  </si>
  <si>
    <t>Quint</t>
  </si>
  <si>
    <t>QRX</t>
  </si>
  <si>
    <t>quiverx</t>
  </si>
  <si>
    <t>QuiverX</t>
  </si>
  <si>
    <t>QDI</t>
  </si>
  <si>
    <t>quix-defi-index</t>
  </si>
  <si>
    <t>Quix Defi Index</t>
  </si>
  <si>
    <t>QDROP</t>
  </si>
  <si>
    <t>quizdrop</t>
  </si>
  <si>
    <t>QuizDrop</t>
  </si>
  <si>
    <t>QTCON</t>
  </si>
  <si>
    <t>quiztok</t>
  </si>
  <si>
    <t>Quiztok</t>
  </si>
  <si>
    <t>RUM</t>
  </si>
  <si>
    <t>quorum</t>
  </si>
  <si>
    <t>Quorum</t>
  </si>
  <si>
    <t>QTA</t>
  </si>
  <si>
    <t>quota</t>
  </si>
  <si>
    <t>QUOTA</t>
  </si>
  <si>
    <t>QUOTH</t>
  </si>
  <si>
    <t>quoth</t>
  </si>
  <si>
    <t>Quoth</t>
  </si>
  <si>
    <t>XQN</t>
  </si>
  <si>
    <t>quotient</t>
  </si>
  <si>
    <t>Quotient</t>
  </si>
  <si>
    <t>XQC</t>
  </si>
  <si>
    <t>quras-token</t>
  </si>
  <si>
    <t>QWC</t>
  </si>
  <si>
    <t>qwertycoin</t>
  </si>
  <si>
    <t>Qwertycoin</t>
  </si>
  <si>
    <t>R34P</t>
  </si>
  <si>
    <t>r34p</t>
  </si>
  <si>
    <t>RABBIT</t>
  </si>
  <si>
    <t>rabbit-finance</t>
  </si>
  <si>
    <t>Rabbit Finance</t>
  </si>
  <si>
    <t>RBT</t>
  </si>
  <si>
    <t>rabet</t>
  </si>
  <si>
    <t>Rabet</t>
  </si>
  <si>
    <t>RAC</t>
  </si>
  <si>
    <t>rac</t>
  </si>
  <si>
    <t>RACE</t>
  </si>
  <si>
    <t>race</t>
  </si>
  <si>
    <t>Race</t>
  </si>
  <si>
    <t>RACEFI</t>
  </si>
  <si>
    <t>racefi</t>
  </si>
  <si>
    <t>RaceFi</t>
  </si>
  <si>
    <t>RACEX</t>
  </si>
  <si>
    <t>racex</t>
  </si>
  <si>
    <t>RaceX</t>
  </si>
  <si>
    <t>RACING</t>
  </si>
  <si>
    <t>racing-club-fan-token</t>
  </si>
  <si>
    <t>Racing Club Fan Token</t>
  </si>
  <si>
    <t>racoon</t>
  </si>
  <si>
    <t>Racøøn</t>
  </si>
  <si>
    <t>RAD</t>
  </si>
  <si>
    <t>rad</t>
  </si>
  <si>
    <t>radar</t>
  </si>
  <si>
    <t>Radar</t>
  </si>
  <si>
    <t>RADI</t>
  </si>
  <si>
    <t>radi</t>
  </si>
  <si>
    <t>RDL</t>
  </si>
  <si>
    <t>radial-finance</t>
  </si>
  <si>
    <t>Radial Finance</t>
  </si>
  <si>
    <t>radicle</t>
  </si>
  <si>
    <t>Radicle</t>
  </si>
  <si>
    <t>RACA</t>
  </si>
  <si>
    <t>radio-caca</t>
  </si>
  <si>
    <t>Radio Caca</t>
  </si>
  <si>
    <t>RAHO</t>
  </si>
  <si>
    <t>radio-hero</t>
  </si>
  <si>
    <t>Radio Hero</t>
  </si>
  <si>
    <t>RADIO</t>
  </si>
  <si>
    <t>radioshack</t>
  </si>
  <si>
    <t>RadioShack</t>
  </si>
  <si>
    <t>VAL</t>
  </si>
  <si>
    <t>radium</t>
  </si>
  <si>
    <t>Validity</t>
  </si>
  <si>
    <t>XRD</t>
  </si>
  <si>
    <t>radix</t>
  </si>
  <si>
    <t>Radix</t>
  </si>
  <si>
    <t>radom</t>
  </si>
  <si>
    <t>Radom</t>
  </si>
  <si>
    <t>RAE</t>
  </si>
  <si>
    <t>rae-token</t>
  </si>
  <si>
    <t>Receive Access Ecosystem</t>
  </si>
  <si>
    <t>RAGE</t>
  </si>
  <si>
    <t>rage-fan</t>
  </si>
  <si>
    <t>Rage.Fan</t>
  </si>
  <si>
    <t>RGK</t>
  </si>
  <si>
    <t>ragnarokdao</t>
  </si>
  <si>
    <t>RagnarokDAO</t>
  </si>
  <si>
    <t>RAI</t>
  </si>
  <si>
    <t>rai</t>
  </si>
  <si>
    <t>Rai Reflex Index</t>
  </si>
  <si>
    <t>raicoin</t>
  </si>
  <si>
    <t>Raicoin</t>
  </si>
  <si>
    <t>RDN</t>
  </si>
  <si>
    <t>raiden-network</t>
  </si>
  <si>
    <t>AURUM</t>
  </si>
  <si>
    <t>raider-aurum</t>
  </si>
  <si>
    <t>Raider Aurum</t>
  </si>
  <si>
    <t>RAID</t>
  </si>
  <si>
    <t>raid-token</t>
  </si>
  <si>
    <t>Raid</t>
  </si>
  <si>
    <t>SOFI</t>
  </si>
  <si>
    <t>rai-finance</t>
  </si>
  <si>
    <t>RAI Finance</t>
  </si>
  <si>
    <t>RAIL</t>
  </si>
  <si>
    <t>railgun</t>
  </si>
  <si>
    <t>Railgun</t>
  </si>
  <si>
    <t>TRAIN</t>
  </si>
  <si>
    <t>railnode</t>
  </si>
  <si>
    <t>RailNode</t>
  </si>
  <si>
    <t>RAILPOLY</t>
  </si>
  <si>
    <t>rail-polygon</t>
  </si>
  <si>
    <t>Rail Polygon</t>
  </si>
  <si>
    <t>RAINBOWTOKEN</t>
  </si>
  <si>
    <t>rainbowtoken</t>
  </si>
  <si>
    <t>RainbowToken</t>
  </si>
  <si>
    <t>RNBW</t>
  </si>
  <si>
    <t>rainbow-token</t>
  </si>
  <si>
    <t>HaloDAO</t>
  </si>
  <si>
    <t>RBW</t>
  </si>
  <si>
    <t>rainbow-token-2</t>
  </si>
  <si>
    <t>Crypto Unicorns Rainbow</t>
  </si>
  <si>
    <t>RAINI</t>
  </si>
  <si>
    <t>rainicorn</t>
  </si>
  <si>
    <t>Rainicorn</t>
  </si>
  <si>
    <t>RAIN</t>
  </si>
  <si>
    <t>rainmaker-games</t>
  </si>
  <si>
    <t>Rainmaker Games</t>
  </si>
  <si>
    <t>rain-network</t>
  </si>
  <si>
    <t>RAIN Network</t>
  </si>
  <si>
    <t>RIOX</t>
  </si>
  <si>
    <t>raised-in-oblivion-x</t>
  </si>
  <si>
    <t>Raised in Oblivion X</t>
  </si>
  <si>
    <t>rai-token</t>
  </si>
  <si>
    <t>Rai</t>
  </si>
  <si>
    <t>RAK</t>
  </si>
  <si>
    <t>rake-finance</t>
  </si>
  <si>
    <t>Rake Finance</t>
  </si>
  <si>
    <t>RKN</t>
  </si>
  <si>
    <t>rakon</t>
  </si>
  <si>
    <t>RAKON</t>
  </si>
  <si>
    <t>RAKUC</t>
  </si>
  <si>
    <t>raku-coin</t>
  </si>
  <si>
    <t>Raku Coin</t>
  </si>
  <si>
    <t>RLY</t>
  </si>
  <si>
    <t>rally-2</t>
  </si>
  <si>
    <t>Rally</t>
  </si>
  <si>
    <t>SRLY</t>
  </si>
  <si>
    <t>rally-solana</t>
  </si>
  <si>
    <t>Rally (Solana)</t>
  </si>
  <si>
    <t>RAMEN</t>
  </si>
  <si>
    <t>ramenswap</t>
  </si>
  <si>
    <t>RamenSwap</t>
  </si>
  <si>
    <t>ramifi</t>
  </si>
  <si>
    <t>Ramifi Protocol</t>
  </si>
  <si>
    <t>RAMMUS</t>
  </si>
  <si>
    <t>rammus</t>
  </si>
  <si>
    <t>Rammus</t>
  </si>
  <si>
    <t>RAMP</t>
  </si>
  <si>
    <t>ramp</t>
  </si>
  <si>
    <t>PRAMS</t>
  </si>
  <si>
    <t>rams</t>
  </si>
  <si>
    <t>Rams - Super Bowl</t>
  </si>
  <si>
    <t>RNDM</t>
  </si>
  <si>
    <t>random</t>
  </si>
  <si>
    <t>Random</t>
  </si>
  <si>
    <t>RFT</t>
  </si>
  <si>
    <t>rangers-fan-token</t>
  </si>
  <si>
    <t>Rangers Fan Token</t>
  </si>
  <si>
    <t>rangers-protocol-gas</t>
  </si>
  <si>
    <t>Rangers Protocol</t>
  </si>
  <si>
    <t>RANGO</t>
  </si>
  <si>
    <t>rango-exchange</t>
  </si>
  <si>
    <t>Rango Exchange</t>
  </si>
  <si>
    <t>RANKER</t>
  </si>
  <si>
    <t>rankerdao</t>
  </si>
  <si>
    <t>RankerDao</t>
  </si>
  <si>
    <t>RANK</t>
  </si>
  <si>
    <t>rank-token</t>
  </si>
  <si>
    <t>Rank Token</t>
  </si>
  <si>
    <t>RCW</t>
  </si>
  <si>
    <t>ran-online-crypto-world</t>
  </si>
  <si>
    <t>Ran Online Crypto World</t>
  </si>
  <si>
    <t>RXC</t>
  </si>
  <si>
    <t>ran-x-crypto</t>
  </si>
  <si>
    <t>Ran x Crypto</t>
  </si>
  <si>
    <t>RPD</t>
  </si>
  <si>
    <t>rapids</t>
  </si>
  <si>
    <t>Rapids</t>
  </si>
  <si>
    <t>RPZX</t>
  </si>
  <si>
    <t>rapidz</t>
  </si>
  <si>
    <t>Rapidz</t>
  </si>
  <si>
    <t>RTM</t>
  </si>
  <si>
    <t>raptoreum</t>
  </si>
  <si>
    <t>Raptoreum</t>
  </si>
  <si>
    <t>RAPTR</t>
  </si>
  <si>
    <t>raptor-finance</t>
  </si>
  <si>
    <t>Raptor Finance [OLD]</t>
  </si>
  <si>
    <t>RPTR</t>
  </si>
  <si>
    <t>raptor-finance-2</t>
  </si>
  <si>
    <t>Raptor Finance</t>
  </si>
  <si>
    <t>RARE</t>
  </si>
  <si>
    <t>rare</t>
  </si>
  <si>
    <t>Rare</t>
  </si>
  <si>
    <t>RAREST</t>
  </si>
  <si>
    <t>rarest</t>
  </si>
  <si>
    <t>RARI</t>
  </si>
  <si>
    <t>rarible</t>
  </si>
  <si>
    <t>Rarible</t>
  </si>
  <si>
    <t>RGT</t>
  </si>
  <si>
    <t>rari-governance-token</t>
  </si>
  <si>
    <t>rari-governance-token-wormhole</t>
  </si>
  <si>
    <t>Rari Governance Token (Wormhole)</t>
  </si>
  <si>
    <t>rari-token</t>
  </si>
  <si>
    <t>Rari</t>
  </si>
  <si>
    <t>RASKO</t>
  </si>
  <si>
    <t>rasko</t>
  </si>
  <si>
    <t>rASKO</t>
  </si>
  <si>
    <t>RASTA</t>
  </si>
  <si>
    <t>rasta-finance</t>
  </si>
  <si>
    <t>Rasta Finance</t>
  </si>
  <si>
    <t>RTE</t>
  </si>
  <si>
    <t>rate3</t>
  </si>
  <si>
    <t>Rate3</t>
  </si>
  <si>
    <t>XRA</t>
  </si>
  <si>
    <t>ratecoin</t>
  </si>
  <si>
    <t>Ratecoin</t>
  </si>
  <si>
    <t>RATIO</t>
  </si>
  <si>
    <t>ratio-finance</t>
  </si>
  <si>
    <t>Ratio Protocol</t>
  </si>
  <si>
    <t>RATOKEN</t>
  </si>
  <si>
    <t>ratoken</t>
  </si>
  <si>
    <t>Ratoken</t>
  </si>
  <si>
    <t>RATRACE</t>
  </si>
  <si>
    <t>ratrace</t>
  </si>
  <si>
    <t>RatRace</t>
  </si>
  <si>
    <t>RATS</t>
  </si>
  <si>
    <t>ratscoin</t>
  </si>
  <si>
    <t>Ratscoin</t>
  </si>
  <si>
    <t>RAV</t>
  </si>
  <si>
    <t>ravelin-finance</t>
  </si>
  <si>
    <t>Ravelin Finance</t>
  </si>
  <si>
    <t>RAVEN</t>
  </si>
  <si>
    <t>RVN</t>
  </si>
  <si>
    <t>ravencoin</t>
  </si>
  <si>
    <t>Ravencoin</t>
  </si>
  <si>
    <t>RVC</t>
  </si>
  <si>
    <t>ravencoin-classic</t>
  </si>
  <si>
    <t>Ravencoin Classic</t>
  </si>
  <si>
    <t>raven-dark</t>
  </si>
  <si>
    <t>Raven Dark</t>
  </si>
  <si>
    <t>RAVE</t>
  </si>
  <si>
    <t>ravendex</t>
  </si>
  <si>
    <t>Ravendex</t>
  </si>
  <si>
    <t>raven-protocol</t>
  </si>
  <si>
    <t>Raven Protocol</t>
  </si>
  <si>
    <t>RAY</t>
  </si>
  <si>
    <t>raydium</t>
  </si>
  <si>
    <t>Raydium</t>
  </si>
  <si>
    <t>raydium-wormhole</t>
  </si>
  <si>
    <t>Raydium (Wormhole)</t>
  </si>
  <si>
    <t>RAZE</t>
  </si>
  <si>
    <t>raze-network</t>
  </si>
  <si>
    <t>Raze Network</t>
  </si>
  <si>
    <t>RAZOR</t>
  </si>
  <si>
    <t>razor-network</t>
  </si>
  <si>
    <t>Razor Network</t>
  </si>
  <si>
    <t>RBCH</t>
  </si>
  <si>
    <t>rbch</t>
  </si>
  <si>
    <t>rBCH</t>
  </si>
  <si>
    <t>RBXS</t>
  </si>
  <si>
    <t>rbxsamurai</t>
  </si>
  <si>
    <t>RBXSamurai</t>
  </si>
  <si>
    <t>rbx-token</t>
  </si>
  <si>
    <t>RCCC</t>
  </si>
  <si>
    <t>rccc</t>
  </si>
  <si>
    <t>REV</t>
  </si>
  <si>
    <t>rchain</t>
  </si>
  <si>
    <t>RChain</t>
  </si>
  <si>
    <t>RDCT</t>
  </si>
  <si>
    <t>rdctoken</t>
  </si>
  <si>
    <t>RDCToken</t>
  </si>
  <si>
    <t>RCT</t>
  </si>
  <si>
    <t>reactor-2</t>
  </si>
  <si>
    <t>Reactor</t>
  </si>
  <si>
    <t>REB</t>
  </si>
  <si>
    <t>realbox</t>
  </si>
  <si>
    <t>Realbox</t>
  </si>
  <si>
    <t>FEVR</t>
  </si>
  <si>
    <t>realfevr</t>
  </si>
  <si>
    <t>RealFevr</t>
  </si>
  <si>
    <t>REFI</t>
  </si>
  <si>
    <t>realfinance-network</t>
  </si>
  <si>
    <t>Realfinance Network</t>
  </si>
  <si>
    <t>RIO</t>
  </si>
  <si>
    <t>realio-network</t>
  </si>
  <si>
    <t>Realio Network</t>
  </si>
  <si>
    <t>RETA</t>
  </si>
  <si>
    <t>realital-metaverse</t>
  </si>
  <si>
    <t>Realital Metaverse</t>
  </si>
  <si>
    <t>REAL</t>
  </si>
  <si>
    <t>reallink</t>
  </si>
  <si>
    <t>RealLink</t>
  </si>
  <si>
    <t>RLQ</t>
  </si>
  <si>
    <t>realliq</t>
  </si>
  <si>
    <t>Realliq</t>
  </si>
  <si>
    <t>REALM</t>
  </si>
  <si>
    <t>realm</t>
  </si>
  <si>
    <t>Realm</t>
  </si>
  <si>
    <t>RETH</t>
  </si>
  <si>
    <t>realms-of-ethernity</t>
  </si>
  <si>
    <t>Realms of Ethernity</t>
  </si>
  <si>
    <t>real-realm</t>
  </si>
  <si>
    <t>Real Realm</t>
  </si>
  <si>
    <t>REALT-S-13895-SARATOGA-ST-DETROIT-MI</t>
  </si>
  <si>
    <t>realtoken-s-13895-saratoga-st-detroit-mi</t>
  </si>
  <si>
    <t>RealT - 13895 Saratoga St, Detroit, MI 48205</t>
  </si>
  <si>
    <t>RET</t>
  </si>
  <si>
    <t>realtract</t>
  </si>
  <si>
    <t>RealTract</t>
  </si>
  <si>
    <t>realy-metaverse</t>
  </si>
  <si>
    <t>Realy Metaverse</t>
  </si>
  <si>
    <t>REAP</t>
  </si>
  <si>
    <t>reapchain</t>
  </si>
  <si>
    <t>ReapChain</t>
  </si>
  <si>
    <t>REAPER</t>
  </si>
  <si>
    <t>reaper-token</t>
  </si>
  <si>
    <t>Reaper</t>
  </si>
  <si>
    <t>$REACT</t>
  </si>
  <si>
    <t>rebase-aggregator-capital</t>
  </si>
  <si>
    <t>Rebase Aggregator Capital</t>
  </si>
  <si>
    <t>REBASEAPY</t>
  </si>
  <si>
    <t>rebaseapy</t>
  </si>
  <si>
    <t>RebaseAPY</t>
  </si>
  <si>
    <t>DELTA RLP</t>
  </si>
  <si>
    <t>rebasing-liquidity</t>
  </si>
  <si>
    <t>Rebasing Liquidity</t>
  </si>
  <si>
    <t>RBLS</t>
  </si>
  <si>
    <t>rebel-bots</t>
  </si>
  <si>
    <t>Rebel Bots</t>
  </si>
  <si>
    <t>rebellion-dao</t>
  </si>
  <si>
    <t>Rebellion DAO</t>
  </si>
  <si>
    <t>REBL</t>
  </si>
  <si>
    <t>rebellion-protocol</t>
  </si>
  <si>
    <t>Rebellion Protocol</t>
  </si>
  <si>
    <t>RTT</t>
  </si>
  <si>
    <t>rebeltradertoken</t>
  </si>
  <si>
    <t>RebelTrader</t>
  </si>
  <si>
    <t>KEYT</t>
  </si>
  <si>
    <t>rebit</t>
  </si>
  <si>
    <t>Rebit</t>
  </si>
  <si>
    <t>R1</t>
  </si>
  <si>
    <t>recast1</t>
  </si>
  <si>
    <t>Recast1</t>
  </si>
  <si>
    <t>RCG</t>
  </si>
  <si>
    <t>recharge</t>
  </si>
  <si>
    <t>Recharge</t>
  </si>
  <si>
    <t>R3FI</t>
  </si>
  <si>
    <t>recharge-finance</t>
  </si>
  <si>
    <t>Recharge Finance</t>
  </si>
  <si>
    <t>recklessape</t>
  </si>
  <si>
    <t>RecklessApe</t>
  </si>
  <si>
    <t>RRT</t>
  </si>
  <si>
    <t>recovery-right-token</t>
  </si>
  <si>
    <t>Recovery Right Token</t>
  </si>
  <si>
    <t>REC</t>
  </si>
  <si>
    <t>rec-token</t>
  </si>
  <si>
    <t>Rec</t>
  </si>
  <si>
    <t>RED</t>
  </si>
  <si>
    <t>red</t>
  </si>
  <si>
    <t>Red</t>
  </si>
  <si>
    <t>REDBUX</t>
  </si>
  <si>
    <t>redbux</t>
  </si>
  <si>
    <t>RedBUX</t>
  </si>
  <si>
    <t>REDC</t>
  </si>
  <si>
    <t>redchillies</t>
  </si>
  <si>
    <t>RedChillies</t>
  </si>
  <si>
    <t>RDD</t>
  </si>
  <si>
    <t>reddcoin</t>
  </si>
  <si>
    <t>Reddcoin</t>
  </si>
  <si>
    <t>REDFEG</t>
  </si>
  <si>
    <t>redfeg</t>
  </si>
  <si>
    <t>RedFeg</t>
  </si>
  <si>
    <t>RANTS</t>
  </si>
  <si>
    <t>redfireants</t>
  </si>
  <si>
    <t>redFireAnts</t>
  </si>
  <si>
    <t>REDFLOKI</t>
  </si>
  <si>
    <t>red-floki</t>
  </si>
  <si>
    <t>Red Floki</t>
  </si>
  <si>
    <t>RFOX</t>
  </si>
  <si>
    <t>redfox-labs-2</t>
  </si>
  <si>
    <t>REDI</t>
  </si>
  <si>
    <t>redi</t>
  </si>
  <si>
    <t>REDi</t>
  </si>
  <si>
    <t>REDKISHU</t>
  </si>
  <si>
    <t>red-kishu</t>
  </si>
  <si>
    <t>Red Kishu</t>
  </si>
  <si>
    <t>PLAYMATES</t>
  </si>
  <si>
    <t>redlight-node-district</t>
  </si>
  <si>
    <t>Redlight Node District</t>
  </si>
  <si>
    <t>RMARS</t>
  </si>
  <si>
    <t>redmars</t>
  </si>
  <si>
    <t>REDMARS</t>
  </si>
  <si>
    <t>REDPANDA</t>
  </si>
  <si>
    <t>redpanda-earth</t>
  </si>
  <si>
    <t>RedPanda Earth</t>
  </si>
  <si>
    <t>RPP</t>
  </si>
  <si>
    <t>red-pill</t>
  </si>
  <si>
    <t>Red Pill</t>
  </si>
  <si>
    <t>red-pulse</t>
  </si>
  <si>
    <t>Phoenix Global [OLD]</t>
  </si>
  <si>
    <t>RST</t>
  </si>
  <si>
    <t>red-shiba-token</t>
  </si>
  <si>
    <t>Red Shiba</t>
  </si>
  <si>
    <t>REDZILLA</t>
  </si>
  <si>
    <t>redzilla</t>
  </si>
  <si>
    <t>RedZilla</t>
  </si>
  <si>
    <t>REE</t>
  </si>
  <si>
    <t>reecoin</t>
  </si>
  <si>
    <t>ReeCoin</t>
  </si>
  <si>
    <t>REEFER</t>
  </si>
  <si>
    <t>reefer-token</t>
  </si>
  <si>
    <t>Reefer</t>
  </si>
  <si>
    <t>REEF</t>
  </si>
  <si>
    <t>reef-finance</t>
  </si>
  <si>
    <t>Reef Finance</t>
  </si>
  <si>
    <t>SYCLE</t>
  </si>
  <si>
    <t>reesykle</t>
  </si>
  <si>
    <t>Reesykle</t>
  </si>
  <si>
    <t>RFR</t>
  </si>
  <si>
    <t>refereum</t>
  </si>
  <si>
    <t>Refereum</t>
  </si>
  <si>
    <t>REF</t>
  </si>
  <si>
    <t>ref-finance</t>
  </si>
  <si>
    <t>Ref Finance</t>
  </si>
  <si>
    <t>refi</t>
  </si>
  <si>
    <t>Reimagined Finance</t>
  </si>
  <si>
    <t>FINE</t>
  </si>
  <si>
    <t>refinable</t>
  </si>
  <si>
    <t>Refinable</t>
  </si>
  <si>
    <t>RFI</t>
  </si>
  <si>
    <t>reflect-finance</t>
  </si>
  <si>
    <t>reflect.finance</t>
  </si>
  <si>
    <t>REFLECTO</t>
  </si>
  <si>
    <t>reflecto</t>
  </si>
  <si>
    <t>Reflecto</t>
  </si>
  <si>
    <t>RFX</t>
  </si>
  <si>
    <t>reflex</t>
  </si>
  <si>
    <t>Reflex</t>
  </si>
  <si>
    <t>reflexer-ungovernance-token</t>
  </si>
  <si>
    <t>Reflexer Ungovernance</t>
  </si>
  <si>
    <t>REFLEX</t>
  </si>
  <si>
    <t>reflex-finance-v2</t>
  </si>
  <si>
    <t>Reflex Finance V2</t>
  </si>
  <si>
    <t>RMOG</t>
  </si>
  <si>
    <t>reforestation-mahogany</t>
  </si>
  <si>
    <t>Reforestation Mahogany</t>
  </si>
  <si>
    <t>EFK</t>
  </si>
  <si>
    <t>refork</t>
  </si>
  <si>
    <t>ReFork</t>
  </si>
  <si>
    <t>$RFG</t>
  </si>
  <si>
    <t>refugees-token</t>
  </si>
  <si>
    <t>Refugees</t>
  </si>
  <si>
    <t>REGEN</t>
  </si>
  <si>
    <t>regen</t>
  </si>
  <si>
    <t>Regen</t>
  </si>
  <si>
    <t>RTF</t>
  </si>
  <si>
    <t>regiment-finance</t>
  </si>
  <si>
    <t>Regiment Finance</t>
  </si>
  <si>
    <t>REGU</t>
  </si>
  <si>
    <t>regularpresale</t>
  </si>
  <si>
    <t>RegularPresale</t>
  </si>
  <si>
    <t>REI</t>
  </si>
  <si>
    <t>rei-network</t>
  </si>
  <si>
    <t>REI Network</t>
  </si>
  <si>
    <t>RELAY</t>
  </si>
  <si>
    <t>relay-token</t>
  </si>
  <si>
    <t>Relay Chain</t>
  </si>
  <si>
    <t>RLB</t>
  </si>
  <si>
    <t>relbit</t>
  </si>
  <si>
    <t>Relbit</t>
  </si>
  <si>
    <t>REL</t>
  </si>
  <si>
    <t>release-ico-project</t>
  </si>
  <si>
    <t>RELEASE</t>
  </si>
  <si>
    <t>relevant</t>
  </si>
  <si>
    <t>Relevant</t>
  </si>
  <si>
    <t>RELI</t>
  </si>
  <si>
    <t>relite-finance</t>
  </si>
  <si>
    <t>Relite Finance</t>
  </si>
  <si>
    <t>RTC</t>
  </si>
  <si>
    <t>reltime</t>
  </si>
  <si>
    <t>Reltime</t>
  </si>
  <si>
    <t>RMTX</t>
  </si>
  <si>
    <t>rematicegc</t>
  </si>
  <si>
    <t>RematicEGC</t>
  </si>
  <si>
    <t>RMX</t>
  </si>
  <si>
    <t>remex</t>
  </si>
  <si>
    <t>RemeX</t>
  </si>
  <si>
    <t>REMIT</t>
  </si>
  <si>
    <t>remita-coin</t>
  </si>
  <si>
    <t>Remita Coin</t>
  </si>
  <si>
    <t>REM</t>
  </si>
  <si>
    <t>remme</t>
  </si>
  <si>
    <t>Remme</t>
  </si>
  <si>
    <t>REMN</t>
  </si>
  <si>
    <t>remnant-labs</t>
  </si>
  <si>
    <t>Remnant Labs</t>
  </si>
  <si>
    <t>RENA</t>
  </si>
  <si>
    <t>rena-finance</t>
  </si>
  <si>
    <t>RENA Finance</t>
  </si>
  <si>
    <t>RENBTC</t>
  </si>
  <si>
    <t>renbtc</t>
  </si>
  <si>
    <t>renBTC</t>
  </si>
  <si>
    <t>RNDR</t>
  </si>
  <si>
    <t>render-token</t>
  </si>
  <si>
    <t>RENDOGE</t>
  </si>
  <si>
    <t>rendoge</t>
  </si>
  <si>
    <t>renDOGE</t>
  </si>
  <si>
    <t>REEC</t>
  </si>
  <si>
    <t>renewableelectronicenergycoin</t>
  </si>
  <si>
    <t>Renewable Electronic Energy Coin</t>
  </si>
  <si>
    <t>renewable-energy</t>
  </si>
  <si>
    <t>Renewable Energy</t>
  </si>
  <si>
    <t>RENFIL</t>
  </si>
  <si>
    <t>renfil</t>
  </si>
  <si>
    <t>renFIL</t>
  </si>
  <si>
    <t>RRB</t>
  </si>
  <si>
    <t>renrenbit</t>
  </si>
  <si>
    <t>Renrenbit</t>
  </si>
  <si>
    <t>rentberry</t>
  </si>
  <si>
    <t>Rentberry</t>
  </si>
  <si>
    <t>RNB</t>
  </si>
  <si>
    <t>rentible</t>
  </si>
  <si>
    <t>Rentible</t>
  </si>
  <si>
    <t>RENZEC</t>
  </si>
  <si>
    <t>renzec</t>
  </si>
  <si>
    <t>renZEC</t>
  </si>
  <si>
    <t>REPO</t>
  </si>
  <si>
    <t>repo</t>
  </si>
  <si>
    <t>Repo Coin</t>
  </si>
  <si>
    <t>RPT</t>
  </si>
  <si>
    <t>represent</t>
  </si>
  <si>
    <t>Represent</t>
  </si>
  <si>
    <t>RPTC</t>
  </si>
  <si>
    <t>reptilian</t>
  </si>
  <si>
    <t>Reptilian</t>
  </si>
  <si>
    <t>RPC</t>
  </si>
  <si>
    <t>republic-credits</t>
  </si>
  <si>
    <t>Republic Credits</t>
  </si>
  <si>
    <t>ROD</t>
  </si>
  <si>
    <t>republic-of-dogs</t>
  </si>
  <si>
    <t>Republic of Dogs</t>
  </si>
  <si>
    <t>REN</t>
  </si>
  <si>
    <t>republic-protocol</t>
  </si>
  <si>
    <t>REQ</t>
  </si>
  <si>
    <t>request-network</t>
  </si>
  <si>
    <t>Request</t>
  </si>
  <si>
    <t>RSV</t>
  </si>
  <si>
    <t>reserve</t>
  </si>
  <si>
    <t>Reserve</t>
  </si>
  <si>
    <t>RSR</t>
  </si>
  <si>
    <t>reserve-rights-token</t>
  </si>
  <si>
    <t>reserve-rights-wormhole</t>
  </si>
  <si>
    <t>Reserve Rights (Wormhole)</t>
  </si>
  <si>
    <t>RES</t>
  </si>
  <si>
    <t>resfinex-token</t>
  </si>
  <si>
    <t>Resfinex Token</t>
  </si>
  <si>
    <t>SOURCE</t>
  </si>
  <si>
    <t>resource-protocol</t>
  </si>
  <si>
    <t>ReSource Protocol</t>
  </si>
  <si>
    <t>restore-truth-token</t>
  </si>
  <si>
    <t>Restore Truth</t>
  </si>
  <si>
    <t>reth</t>
  </si>
  <si>
    <t>rETH</t>
  </si>
  <si>
    <t>RETH2</t>
  </si>
  <si>
    <t>reth2</t>
  </si>
  <si>
    <t>rETH2</t>
  </si>
  <si>
    <t>RETIRE</t>
  </si>
  <si>
    <t>retire-token</t>
  </si>
  <si>
    <t>Retire</t>
  </si>
  <si>
    <t>RCUBE</t>
  </si>
  <si>
    <t>retro-defi</t>
  </si>
  <si>
    <t>Retro DEFI</t>
  </si>
  <si>
    <t>RETRO</t>
  </si>
  <si>
    <t>retromoon</t>
  </si>
  <si>
    <t>Retromoon</t>
  </si>
  <si>
    <t>ROK</t>
  </si>
  <si>
    <t>return-of-the-king</t>
  </si>
  <si>
    <t>Return of The King</t>
  </si>
  <si>
    <t>REU</t>
  </si>
  <si>
    <t>reucoin</t>
  </si>
  <si>
    <t>revain</t>
  </si>
  <si>
    <t>Revain</t>
  </si>
  <si>
    <t>REVA</t>
  </si>
  <si>
    <t>revault-network</t>
  </si>
  <si>
    <t>Revault Network</t>
  </si>
  <si>
    <t>revenue-coin</t>
  </si>
  <si>
    <t>Revenue Coin</t>
  </si>
  <si>
    <t>RVRS</t>
  </si>
  <si>
    <t>reverse</t>
  </si>
  <si>
    <t>Reverse</t>
  </si>
  <si>
    <t>reverse-protocol</t>
  </si>
  <si>
    <t>Reverse Protocol</t>
  </si>
  <si>
    <t>RVST</t>
  </si>
  <si>
    <t>revest-finance</t>
  </si>
  <si>
    <t>Revest Finance</t>
  </si>
  <si>
    <t>RECAP</t>
  </si>
  <si>
    <t>review-capital</t>
  </si>
  <si>
    <t>Review Capital</t>
  </si>
  <si>
    <t>RVL</t>
  </si>
  <si>
    <t>revival</t>
  </si>
  <si>
    <t>REVIVAL</t>
  </si>
  <si>
    <t>RVE</t>
  </si>
  <si>
    <t>revive</t>
  </si>
  <si>
    <t>Revive</t>
  </si>
  <si>
    <t>revolotto</t>
  </si>
  <si>
    <t>Revolotto</t>
  </si>
  <si>
    <t>REVT</t>
  </si>
  <si>
    <t>revolt</t>
  </si>
  <si>
    <t>Revolt</t>
  </si>
  <si>
    <t>revolution</t>
  </si>
  <si>
    <t>Revolution</t>
  </si>
  <si>
    <t>RVLNG</t>
  </si>
  <si>
    <t>revolutiongames</t>
  </si>
  <si>
    <t>RevolutionGames</t>
  </si>
  <si>
    <t>RVP</t>
  </si>
  <si>
    <t>revolution-populi</t>
  </si>
  <si>
    <t>Revolution Populi</t>
  </si>
  <si>
    <t>RVZ</t>
  </si>
  <si>
    <t>revoluzion</t>
  </si>
  <si>
    <t>Revoluzion</t>
  </si>
  <si>
    <t>revolve-games</t>
  </si>
  <si>
    <t>Revolve Games</t>
  </si>
  <si>
    <t>REVO</t>
  </si>
  <si>
    <t>revomon</t>
  </si>
  <si>
    <t>Revomon</t>
  </si>
  <si>
    <t>revonetwork</t>
  </si>
  <si>
    <t>RevoNetwork</t>
  </si>
  <si>
    <t>REVU</t>
  </si>
  <si>
    <t>revuto</t>
  </si>
  <si>
    <t>Revuto</t>
  </si>
  <si>
    <t>REVV</t>
  </si>
  <si>
    <t>revv</t>
  </si>
  <si>
    <t>RC</t>
  </si>
  <si>
    <t>reward-cycle</t>
  </si>
  <si>
    <t>Reward Cycle</t>
  </si>
  <si>
    <t>RC2</t>
  </si>
  <si>
    <t>reward-cycle-2</t>
  </si>
  <si>
    <t>Reward Cycle 2</t>
  </si>
  <si>
    <t>REUM</t>
  </si>
  <si>
    <t>rewardeum</t>
  </si>
  <si>
    <t>Rewardeum</t>
  </si>
  <si>
    <t>RHT</t>
  </si>
  <si>
    <t>reward-hunters-token</t>
  </si>
  <si>
    <t>Reward Hunters</t>
  </si>
  <si>
    <t>REW</t>
  </si>
  <si>
    <t>rewardiqa</t>
  </si>
  <si>
    <t>Rewardiqa</t>
  </si>
  <si>
    <t>RWD</t>
  </si>
  <si>
    <t>rewards</t>
  </si>
  <si>
    <t>Rewards</t>
  </si>
  <si>
    <t>RBUNNY</t>
  </si>
  <si>
    <t>rewards-bunny</t>
  </si>
  <si>
    <t>Rewards Bunny</t>
  </si>
  <si>
    <t>RWSC</t>
  </si>
  <si>
    <t>rewardscoin</t>
  </si>
  <si>
    <t>RewardsCoin</t>
  </si>
  <si>
    <t>REWARDS</t>
  </si>
  <si>
    <t>rewards-token</t>
  </si>
  <si>
    <t>Rewards Token</t>
  </si>
  <si>
    <t>REX</t>
  </si>
  <si>
    <t>rewardsx</t>
  </si>
  <si>
    <t>RewardsX</t>
  </si>
  <si>
    <t>rex</t>
  </si>
  <si>
    <t>Imbrex</t>
  </si>
  <si>
    <t>RFUST</t>
  </si>
  <si>
    <t>rfust</t>
  </si>
  <si>
    <t>rfUST</t>
  </si>
  <si>
    <t>🏔</t>
  </si>
  <si>
    <t>rhea-dao</t>
  </si>
  <si>
    <t>Rhea DAO</t>
  </si>
  <si>
    <t>RHEGIC2</t>
  </si>
  <si>
    <t>rhegic2</t>
  </si>
  <si>
    <t>rHEGIC2</t>
  </si>
  <si>
    <t>RHO</t>
  </si>
  <si>
    <t>rhinos-finance</t>
  </si>
  <si>
    <t>Rhinos Finance</t>
  </si>
  <si>
    <t>RHINOS</t>
  </si>
  <si>
    <t>rhinos-game</t>
  </si>
  <si>
    <t>rhinos.game</t>
  </si>
  <si>
    <t>RHOBUSD</t>
  </si>
  <si>
    <t>rhobusd</t>
  </si>
  <si>
    <t>rhoBUSD [OLD]</t>
  </si>
  <si>
    <t>rhobusd-2</t>
  </si>
  <si>
    <t>rhoBUSD</t>
  </si>
  <si>
    <t>rho-token</t>
  </si>
  <si>
    <t>Rho</t>
  </si>
  <si>
    <t>RHOUSDC</t>
  </si>
  <si>
    <t>rhousdc</t>
  </si>
  <si>
    <t>rhoUSDC</t>
  </si>
  <si>
    <t>RHOUSDT</t>
  </si>
  <si>
    <t>rhousdt</t>
  </si>
  <si>
    <t>rhoUSDT [OLD]</t>
  </si>
  <si>
    <t>rhousdt-2</t>
  </si>
  <si>
    <t>rhoUSDT</t>
  </si>
  <si>
    <t>RHYTHM</t>
  </si>
  <si>
    <t>rhythm</t>
  </si>
  <si>
    <t>Rhythm</t>
  </si>
  <si>
    <t>RIBT</t>
  </si>
  <si>
    <t>ribbit</t>
  </si>
  <si>
    <t>Ribbit</t>
  </si>
  <si>
    <t>RBN</t>
  </si>
  <si>
    <t>ribbon-finance</t>
  </si>
  <si>
    <t>Ribbon Finance</t>
  </si>
  <si>
    <t>rice</t>
  </si>
  <si>
    <t>Rice</t>
  </si>
  <si>
    <t>riceswap</t>
  </si>
  <si>
    <t>RiceSwap</t>
  </si>
  <si>
    <t>rice-wallet</t>
  </si>
  <si>
    <t>Rice Wallet</t>
  </si>
  <si>
    <t>RCH</t>
  </si>
  <si>
    <t>rich</t>
  </si>
  <si>
    <t>Rich</t>
  </si>
  <si>
    <t>RICH</t>
  </si>
  <si>
    <t>richcity</t>
  </si>
  <si>
    <t>RichCity</t>
  </si>
  <si>
    <t>richcity-cash</t>
  </si>
  <si>
    <t>rich-dao</t>
  </si>
  <si>
    <t>Rich DAO</t>
  </si>
  <si>
    <t>richie</t>
  </si>
  <si>
    <t>Richie 2.0</t>
  </si>
  <si>
    <t>richierich-coin</t>
  </si>
  <si>
    <t>RichieRich Coin</t>
  </si>
  <si>
    <t>rich-maker</t>
  </si>
  <si>
    <t>Rich Maker</t>
  </si>
  <si>
    <t>RIC</t>
  </si>
  <si>
    <t>richochet</t>
  </si>
  <si>
    <t>Ricochet</t>
  </si>
  <si>
    <t>QUACK</t>
  </si>
  <si>
    <t>richquack</t>
  </si>
  <si>
    <t>Rich Quack</t>
  </si>
  <si>
    <t>richway-finance</t>
  </si>
  <si>
    <t>Richway.Finance</t>
  </si>
  <si>
    <t>RICKMORTYDOXX</t>
  </si>
  <si>
    <t>rickmortydoxx</t>
  </si>
  <si>
    <t>RickMortyDoxx</t>
  </si>
  <si>
    <t>RCNT</t>
  </si>
  <si>
    <t>ricnatum</t>
  </si>
  <si>
    <t>Ricnatum</t>
  </si>
  <si>
    <t>ride_finance</t>
  </si>
  <si>
    <t>Rides Finance</t>
  </si>
  <si>
    <t>ride-my-car</t>
  </si>
  <si>
    <t>Ride My Car</t>
  </si>
  <si>
    <t>RIDGE</t>
  </si>
  <si>
    <t>ridge</t>
  </si>
  <si>
    <t>Ridge</t>
  </si>
  <si>
    <t>RDT</t>
  </si>
  <si>
    <t>ridotto</t>
  </si>
  <si>
    <t>Ridotto</t>
  </si>
  <si>
    <t>riecoin</t>
  </si>
  <si>
    <t>Riecoin</t>
  </si>
  <si>
    <t>RU</t>
  </si>
  <si>
    <t>rifi-united</t>
  </si>
  <si>
    <t>RIFI United</t>
  </si>
  <si>
    <t>RIF</t>
  </si>
  <si>
    <t>rif-token</t>
  </si>
  <si>
    <t>RSK Infrastructure Framework</t>
  </si>
  <si>
    <t>RIGEL</t>
  </si>
  <si>
    <t>rigel-finance</t>
  </si>
  <si>
    <t>Rigel Finance</t>
  </si>
  <si>
    <t>RGP</t>
  </si>
  <si>
    <t>rigel-protocol</t>
  </si>
  <si>
    <t>Rigel Protocol</t>
  </si>
  <si>
    <t>GRG</t>
  </si>
  <si>
    <t>rigoblock</t>
  </si>
  <si>
    <t>RigoBlock</t>
  </si>
  <si>
    <t>rijent-coin</t>
  </si>
  <si>
    <t>Rijent Coin</t>
  </si>
  <si>
    <t>RIFI</t>
  </si>
  <si>
    <t>rikkei-finance</t>
  </si>
  <si>
    <t>Rikkei Finance</t>
  </si>
  <si>
    <t>RIL</t>
  </si>
  <si>
    <t>rilcoin</t>
  </si>
  <si>
    <t>Rilcoin</t>
  </si>
  <si>
    <t>RIFICO</t>
  </si>
  <si>
    <t>rin-finance-coin</t>
  </si>
  <si>
    <t>Rin Finance Coin</t>
  </si>
  <si>
    <t>ring</t>
  </si>
  <si>
    <t>Ring</t>
  </si>
  <si>
    <t>ring-financial</t>
  </si>
  <si>
    <t>RING Financial</t>
  </si>
  <si>
    <t>RINGX</t>
  </si>
  <si>
    <t>ring-x-platform</t>
  </si>
  <si>
    <t>RING X PLATFORM</t>
  </si>
  <si>
    <t>RFUEL</t>
  </si>
  <si>
    <t>rio-defi</t>
  </si>
  <si>
    <t>RioDeFi</t>
  </si>
  <si>
    <t>RIOT</t>
  </si>
  <si>
    <t>riot-racers</t>
  </si>
  <si>
    <t>Riot Racers</t>
  </si>
  <si>
    <t>PAE</t>
  </si>
  <si>
    <t>ripae</t>
  </si>
  <si>
    <t>Ripae</t>
  </si>
  <si>
    <t>ripio-coin</t>
  </si>
  <si>
    <t>Ripio Coin</t>
  </si>
  <si>
    <t>RCN</t>
  </si>
  <si>
    <t>ripio-credit-network</t>
  </si>
  <si>
    <t>Ripio Credit Network</t>
  </si>
  <si>
    <t>ripple</t>
  </si>
  <si>
    <t>XLA</t>
  </si>
  <si>
    <t>ripple-alpha</t>
  </si>
  <si>
    <t>Ripple Alpha</t>
  </si>
  <si>
    <t>rise</t>
  </si>
  <si>
    <t>Rise</t>
  </si>
  <si>
    <t>RIPR</t>
  </si>
  <si>
    <t>rise2protocol</t>
  </si>
  <si>
    <t>RISE2PROTOCOL</t>
  </si>
  <si>
    <t>RSC</t>
  </si>
  <si>
    <t>risecity</t>
  </si>
  <si>
    <t>RiseCity</t>
  </si>
  <si>
    <t>risehero</t>
  </si>
  <si>
    <t>RiseHero</t>
  </si>
  <si>
    <t>RDR</t>
  </si>
  <si>
    <t>rise-of-defenders</t>
  </si>
  <si>
    <t>Rise of Defenders</t>
  </si>
  <si>
    <t>RON</t>
  </si>
  <si>
    <t>rise-of-nebula</t>
  </si>
  <si>
    <t>Rise Of Nebula</t>
  </si>
  <si>
    <t>RIV2</t>
  </si>
  <si>
    <t>riseupv2</t>
  </si>
  <si>
    <t>RiseUpV2</t>
  </si>
  <si>
    <t>RSUN</t>
  </si>
  <si>
    <t>risingsun</t>
  </si>
  <si>
    <t>RisingSun</t>
  </si>
  <si>
    <t>RISKMOON</t>
  </si>
  <si>
    <t>riskmoon</t>
  </si>
  <si>
    <t>Riskmoon</t>
  </si>
  <si>
    <t>RITE</t>
  </si>
  <si>
    <t>ritestream</t>
  </si>
  <si>
    <t>RITO</t>
  </si>
  <si>
    <t>rito</t>
  </si>
  <si>
    <t>Rito</t>
  </si>
  <si>
    <t>RI</t>
  </si>
  <si>
    <t>ri-token</t>
  </si>
  <si>
    <t>RIB</t>
  </si>
  <si>
    <t>riverboat</t>
  </si>
  <si>
    <t>RiverBoat</t>
  </si>
  <si>
    <t>RVT</t>
  </si>
  <si>
    <t>rivetz</t>
  </si>
  <si>
    <t>Rivetz</t>
  </si>
  <si>
    <t>RVX</t>
  </si>
  <si>
    <t>rivex-erc20</t>
  </si>
  <si>
    <t>Rivex</t>
  </si>
  <si>
    <t>RIVRDOGE</t>
  </si>
  <si>
    <t>rivrdoge</t>
  </si>
  <si>
    <t>RivrDoge</t>
  </si>
  <si>
    <t>RIVRFLOKI</t>
  </si>
  <si>
    <t>rivrfloki</t>
  </si>
  <si>
    <t>RivrFloki</t>
  </si>
  <si>
    <t>RZN</t>
  </si>
  <si>
    <t>rizen-coin</t>
  </si>
  <si>
    <t>Rizen Coin (Old)</t>
  </si>
  <si>
    <t>rizen-coin-2</t>
  </si>
  <si>
    <t>Rizen Coin</t>
  </si>
  <si>
    <t>RIZE</t>
  </si>
  <si>
    <t>rizespor-token</t>
  </si>
  <si>
    <t>Rizespor Token</t>
  </si>
  <si>
    <t>ATOLO</t>
  </si>
  <si>
    <t>rizon</t>
  </si>
  <si>
    <t>RIZON</t>
  </si>
  <si>
    <t>RLOOP</t>
  </si>
  <si>
    <t>rloop</t>
  </si>
  <si>
    <t>rLoop</t>
  </si>
  <si>
    <t>RMRK</t>
  </si>
  <si>
    <t>rmrk</t>
  </si>
  <si>
    <t>RNA</t>
  </si>
  <si>
    <t>rna-cash</t>
  </si>
  <si>
    <t>RNA Cash</t>
  </si>
  <si>
    <t>RSHARE</t>
  </si>
  <si>
    <t>rna-share</t>
  </si>
  <si>
    <t>RNA Share</t>
  </si>
  <si>
    <t>ROAD</t>
  </si>
  <si>
    <t>road</t>
  </si>
  <si>
    <t>roaring-twenties</t>
  </si>
  <si>
    <t>Roaring Twenties</t>
  </si>
  <si>
    <t>roar-token</t>
  </si>
  <si>
    <t>SOL Tigers Roar</t>
  </si>
  <si>
    <t>roarts</t>
  </si>
  <si>
    <t>RoArts</t>
  </si>
  <si>
    <t>RBC</t>
  </si>
  <si>
    <t>robbocoach</t>
  </si>
  <si>
    <t>RobboCoach</t>
  </si>
  <si>
    <t>ROBET</t>
  </si>
  <si>
    <t>robet-coin</t>
  </si>
  <si>
    <t>RoBet Coin</t>
  </si>
  <si>
    <t>RBH</t>
  </si>
  <si>
    <t>robinhoodswap</t>
  </si>
  <si>
    <t>RobinHoodSwap</t>
  </si>
  <si>
    <t>RBS</t>
  </si>
  <si>
    <t>robiniaswap-token</t>
  </si>
  <si>
    <t>RobiniaSwap</t>
  </si>
  <si>
    <t>robinos</t>
  </si>
  <si>
    <t>Robinos</t>
  </si>
  <si>
    <t>RC20</t>
  </si>
  <si>
    <t>robocalls</t>
  </si>
  <si>
    <t>RoboCalls</t>
  </si>
  <si>
    <t>ROBODOGE</t>
  </si>
  <si>
    <t>robodoge-coin</t>
  </si>
  <si>
    <t>RoboDoge Coin</t>
  </si>
  <si>
    <t>VICS</t>
  </si>
  <si>
    <t>robofi-token</t>
  </si>
  <si>
    <t>RoboFi</t>
  </si>
  <si>
    <t>ROBO</t>
  </si>
  <si>
    <t>robohero</t>
  </si>
  <si>
    <t>RoboHero</t>
  </si>
  <si>
    <t>RBIF</t>
  </si>
  <si>
    <t>robo-inu-finance</t>
  </si>
  <si>
    <t>Robo Inu Finance</t>
  </si>
  <si>
    <t>XRT</t>
  </si>
  <si>
    <t>robonomics-network</t>
  </si>
  <si>
    <t>Robonomics Network</t>
  </si>
  <si>
    <t>RWS</t>
  </si>
  <si>
    <t>robonomics-web-services</t>
  </si>
  <si>
    <t>Robonomics Web Services</t>
  </si>
  <si>
    <t>RBO</t>
  </si>
  <si>
    <t>roboots</t>
  </si>
  <si>
    <t>Roboots</t>
  </si>
  <si>
    <t>ROBOSHIB</t>
  </si>
  <si>
    <t>roboshib</t>
  </si>
  <si>
    <t>RoboShib</t>
  </si>
  <si>
    <t>ROST</t>
  </si>
  <si>
    <t>robo-step</t>
  </si>
  <si>
    <t>Robo Step</t>
  </si>
  <si>
    <t>ROBOT</t>
  </si>
  <si>
    <t>robot</t>
  </si>
  <si>
    <t>Robot</t>
  </si>
  <si>
    <t>ROX</t>
  </si>
  <si>
    <t>robotina</t>
  </si>
  <si>
    <t>Robotina</t>
  </si>
  <si>
    <t>robo-token</t>
  </si>
  <si>
    <t>Robo</t>
  </si>
  <si>
    <t>RSHIB</t>
  </si>
  <si>
    <t>robot-shib</t>
  </si>
  <si>
    <t>ROBOT SHIB</t>
  </si>
  <si>
    <t>METABOT</t>
  </si>
  <si>
    <t>robot-warriors</t>
  </si>
  <si>
    <t>Robot Warriors</t>
  </si>
  <si>
    <t>robust-token</t>
  </si>
  <si>
    <t>Robust</t>
  </si>
  <si>
    <t>ROKT</t>
  </si>
  <si>
    <t>rocket</t>
  </si>
  <si>
    <t>Rocket</t>
  </si>
  <si>
    <t>rocket-bunny</t>
  </si>
  <si>
    <t>Rocket Bunny</t>
  </si>
  <si>
    <t>ROCKETBUSD</t>
  </si>
  <si>
    <t>rocketbusd</t>
  </si>
  <si>
    <t>RocketBUSD</t>
  </si>
  <si>
    <t>ROCKET</t>
  </si>
  <si>
    <t>rocketcoin-2</t>
  </si>
  <si>
    <t>RocketCoin</t>
  </si>
  <si>
    <t>RD</t>
  </si>
  <si>
    <t>rocketdoge</t>
  </si>
  <si>
    <t>RocketDoge</t>
  </si>
  <si>
    <t>rocket-finance</t>
  </si>
  <si>
    <t>Rocket Finance</t>
  </si>
  <si>
    <t>RKT</t>
  </si>
  <si>
    <t>rocket-fund</t>
  </si>
  <si>
    <t>Rocket Fund</t>
  </si>
  <si>
    <t>RCKC</t>
  </si>
  <si>
    <t>rocket-global-coin</t>
  </si>
  <si>
    <t>Rocket Global Coin</t>
  </si>
  <si>
    <t>RPL</t>
  </si>
  <si>
    <t>rocket-pool</t>
  </si>
  <si>
    <t>Rocket Pool</t>
  </si>
  <si>
    <t>rocket-pool-eth</t>
  </si>
  <si>
    <t>Rocket Pool ETH</t>
  </si>
  <si>
    <t>rocket-pool-wormhole</t>
  </si>
  <si>
    <t>Rocket Pool (Wormhole)</t>
  </si>
  <si>
    <t>ROC</t>
  </si>
  <si>
    <t>rocket-raccoon</t>
  </si>
  <si>
    <t>Rocket Raccoon</t>
  </si>
  <si>
    <t>SROCKET</t>
  </si>
  <si>
    <t>rocket-share</t>
  </si>
  <si>
    <t>Rocket Share</t>
  </si>
  <si>
    <t>RKTN</t>
  </si>
  <si>
    <t>rockettoken</t>
  </si>
  <si>
    <t>RocketToken [OLD]</t>
  </si>
  <si>
    <t>rockettoken-2</t>
  </si>
  <si>
    <t>RocketToken</t>
  </si>
  <si>
    <t>RVF</t>
  </si>
  <si>
    <t>rocket-vault-rocketx</t>
  </si>
  <si>
    <t>RocketX exchange</t>
  </si>
  <si>
    <t>ROZ</t>
  </si>
  <si>
    <t>rocket-zilla</t>
  </si>
  <si>
    <t>Rocket Zilla</t>
  </si>
  <si>
    <t>ROCKI</t>
  </si>
  <si>
    <t>rocki</t>
  </si>
  <si>
    <t>Rocki</t>
  </si>
  <si>
    <t>RNRC</t>
  </si>
  <si>
    <t>rock-n-rain-coin</t>
  </si>
  <si>
    <t>Rock N Rain Coin</t>
  </si>
  <si>
    <t>ROCKS</t>
  </si>
  <si>
    <t>rocks-idle-game</t>
  </si>
  <si>
    <t>Rocks Idle Game</t>
  </si>
  <si>
    <t>ROCKSTAR</t>
  </si>
  <si>
    <t>rockstar-doge</t>
  </si>
  <si>
    <t>Rockstar Doge</t>
  </si>
  <si>
    <t>ROCKY</t>
  </si>
  <si>
    <t>rocky-inu</t>
  </si>
  <si>
    <t>Rocky Inu</t>
  </si>
  <si>
    <t>ROCO</t>
  </si>
  <si>
    <t>roco-finance</t>
  </si>
  <si>
    <t>Roco Finance</t>
  </si>
  <si>
    <t>ROGAN</t>
  </si>
  <si>
    <t>rogan</t>
  </si>
  <si>
    <t>Rogan</t>
  </si>
  <si>
    <t>ROGE</t>
  </si>
  <si>
    <t>roge</t>
  </si>
  <si>
    <t>Rogue Doge</t>
  </si>
  <si>
    <t>ROGUE</t>
  </si>
  <si>
    <t>rogue-coin</t>
  </si>
  <si>
    <t>Rogue Coin</t>
  </si>
  <si>
    <t>ROI</t>
  </si>
  <si>
    <t>roi</t>
  </si>
  <si>
    <t>5ROI</t>
  </si>
  <si>
    <t>roiyal-coin</t>
  </si>
  <si>
    <t>ROIyal Coin</t>
  </si>
  <si>
    <t>$ROKK</t>
  </si>
  <si>
    <t>rokkit-fuel</t>
  </si>
  <si>
    <t>Rokkit Fuel</t>
  </si>
  <si>
    <t>rollbit-coin</t>
  </si>
  <si>
    <t>Rollbit Coin</t>
  </si>
  <si>
    <t>RLM</t>
  </si>
  <si>
    <t>rollium</t>
  </si>
  <si>
    <t>MarbleVerse</t>
  </si>
  <si>
    <t>ROME</t>
  </si>
  <si>
    <t>rome</t>
  </si>
  <si>
    <t>Rome</t>
  </si>
  <si>
    <t>ROMEODOGE</t>
  </si>
  <si>
    <t>romeo-doge</t>
  </si>
  <si>
    <t>Romeo Doge</t>
  </si>
  <si>
    <t>ronin</t>
  </si>
  <si>
    <t>Ronin</t>
  </si>
  <si>
    <t>RONINGMZ</t>
  </si>
  <si>
    <t>ronin-gamez</t>
  </si>
  <si>
    <t>Ronin Gamez</t>
  </si>
  <si>
    <t>ronpaulcoin</t>
  </si>
  <si>
    <t>RonPaulCoin</t>
  </si>
  <si>
    <t>ROOBEE</t>
  </si>
  <si>
    <t>roobee</t>
  </si>
  <si>
    <t>Roobee</t>
  </si>
  <si>
    <t>ROOK</t>
  </si>
  <si>
    <t>rook</t>
  </si>
  <si>
    <t>Rook</t>
  </si>
  <si>
    <t>rooster-battle</t>
  </si>
  <si>
    <t>Rooster Battle</t>
  </si>
  <si>
    <t>ROOT</t>
  </si>
  <si>
    <t>rootkit</t>
  </si>
  <si>
    <t>Rootkit</t>
  </si>
  <si>
    <t>RBTC</t>
  </si>
  <si>
    <t>rootstock</t>
  </si>
  <si>
    <t>Rootstock RSK</t>
  </si>
  <si>
    <t>$ROPE</t>
  </si>
  <si>
    <t>rope</t>
  </si>
  <si>
    <t>Rope</t>
  </si>
  <si>
    <t>ROPE</t>
  </si>
  <si>
    <t>rope-token</t>
  </si>
  <si>
    <t>Rope Token</t>
  </si>
  <si>
    <t>ROR</t>
  </si>
  <si>
    <t>ror-universe</t>
  </si>
  <si>
    <t>ROR Universe</t>
  </si>
  <si>
    <t>rose</t>
  </si>
  <si>
    <t>Rose</t>
  </si>
  <si>
    <t>ROSN</t>
  </si>
  <si>
    <t>roseon-finance</t>
  </si>
  <si>
    <t>Roseon Finance</t>
  </si>
  <si>
    <t>rose-wormhole</t>
  </si>
  <si>
    <t>ROSE (Wormhole)</t>
  </si>
  <si>
    <t>SLYR</t>
  </si>
  <si>
    <t>ro-slayers</t>
  </si>
  <si>
    <t>RO Slayers</t>
  </si>
  <si>
    <t>RTH</t>
  </si>
  <si>
    <t>rotharium</t>
  </si>
  <si>
    <t>Rotharium</t>
  </si>
  <si>
    <t>ROT</t>
  </si>
  <si>
    <t>rotten</t>
  </si>
  <si>
    <t>Rotten</t>
  </si>
  <si>
    <t>ROTTT</t>
  </si>
  <si>
    <t>rottweiler-inu</t>
  </si>
  <si>
    <t>Rottweiler Inu</t>
  </si>
  <si>
    <t>XRGE</t>
  </si>
  <si>
    <t>rougecoin</t>
  </si>
  <si>
    <t>RougeCoin</t>
  </si>
  <si>
    <t>round-dollar</t>
  </si>
  <si>
    <t>Round Dollar</t>
  </si>
  <si>
    <t>roundrobin-protocol-token</t>
  </si>
  <si>
    <t>RoundRobin Protocol</t>
  </si>
  <si>
    <t>ROUSH</t>
  </si>
  <si>
    <t>roush-fenway-racing-fan-token</t>
  </si>
  <si>
    <t>Roush Fenway Racing Fan Token</t>
  </si>
  <si>
    <t>ROUTE</t>
  </si>
  <si>
    <t>route</t>
  </si>
  <si>
    <t>Router Protocol</t>
  </si>
  <si>
    <t>ROVER</t>
  </si>
  <si>
    <t>rover-inu</t>
  </si>
  <si>
    <t>Rover Inu</t>
  </si>
  <si>
    <t>RWN</t>
  </si>
  <si>
    <t>rowan-coin</t>
  </si>
  <si>
    <t>Rowan Coin</t>
  </si>
  <si>
    <t>roxe</t>
  </si>
  <si>
    <t>Roxe</t>
  </si>
  <si>
    <t>ROYALADA</t>
  </si>
  <si>
    <t>royalada</t>
  </si>
  <si>
    <t>RoyalADA</t>
  </si>
  <si>
    <t>RB</t>
  </si>
  <si>
    <t>royal-bnb</t>
  </si>
  <si>
    <t>Royal BNB</t>
  </si>
  <si>
    <t>RDOGE</t>
  </si>
  <si>
    <t>royal-doge</t>
  </si>
  <si>
    <t>Royal Doge</t>
  </si>
  <si>
    <t>ROYA</t>
  </si>
  <si>
    <t>royale</t>
  </si>
  <si>
    <t>Royale</t>
  </si>
  <si>
    <t>RGOLD</t>
  </si>
  <si>
    <t>royal-gold</t>
  </si>
  <si>
    <t>Royal Gold</t>
  </si>
  <si>
    <t>royal-protocol</t>
  </si>
  <si>
    <t>Royal Protocol</t>
  </si>
  <si>
    <t>RPS</t>
  </si>
  <si>
    <t>rps-league</t>
  </si>
  <si>
    <t>Rps League</t>
  </si>
  <si>
    <t>RSS3</t>
  </si>
  <si>
    <t>rss3</t>
  </si>
  <si>
    <t>rubic</t>
  </si>
  <si>
    <t>Rubic</t>
  </si>
  <si>
    <t>rubix</t>
  </si>
  <si>
    <t>Rubix</t>
  </si>
  <si>
    <t>ruby-currency</t>
  </si>
  <si>
    <t>Ruby Currency</t>
  </si>
  <si>
    <t>RUBY</t>
  </si>
  <si>
    <t>ruby-play-network</t>
  </si>
  <si>
    <t>Ruby Play Network</t>
  </si>
  <si>
    <t>RUFF</t>
  </si>
  <si>
    <t>ruff</t>
  </si>
  <si>
    <t>Ruff</t>
  </si>
  <si>
    <t>RUGBUST</t>
  </si>
  <si>
    <t>rug-busters</t>
  </si>
  <si>
    <t>Rug Busters</t>
  </si>
  <si>
    <t>RUG</t>
  </si>
  <si>
    <t>r-u-generous</t>
  </si>
  <si>
    <t>R U Generous</t>
  </si>
  <si>
    <t>RUGPULL</t>
  </si>
  <si>
    <t>rugpull-prevention</t>
  </si>
  <si>
    <t>Rugpull Prevention</t>
  </si>
  <si>
    <t>ZMBE</t>
  </si>
  <si>
    <t>rugzombie</t>
  </si>
  <si>
    <t>RugZombie</t>
  </si>
  <si>
    <t>RULER</t>
  </si>
  <si>
    <t>ruler-protocol</t>
  </si>
  <si>
    <t>Ruler Protocol</t>
  </si>
  <si>
    <t>RTK</t>
  </si>
  <si>
    <t>ruletka</t>
  </si>
  <si>
    <t>Ruletka</t>
  </si>
  <si>
    <t>RMBL</t>
  </si>
  <si>
    <t>rumble-gaming</t>
  </si>
  <si>
    <t>Rumble Gaming</t>
  </si>
  <si>
    <t>RUTC</t>
  </si>
  <si>
    <t>rumito</t>
  </si>
  <si>
    <t>Rumito</t>
  </si>
  <si>
    <t>RUN</t>
  </si>
  <si>
    <t>run</t>
  </si>
  <si>
    <t>Run</t>
  </si>
  <si>
    <t>RUNE</t>
  </si>
  <si>
    <t>rune</t>
  </si>
  <si>
    <t>Rune</t>
  </si>
  <si>
    <t>RXS</t>
  </si>
  <si>
    <t>rune-shards</t>
  </si>
  <si>
    <t>Rune Shards</t>
  </si>
  <si>
    <t>run-together</t>
  </si>
  <si>
    <t>Run Together</t>
  </si>
  <si>
    <t>RUPX</t>
  </si>
  <si>
    <t>rupaya</t>
  </si>
  <si>
    <t>Rupaya</t>
  </si>
  <si>
    <t>RUP</t>
  </si>
  <si>
    <t>rupee</t>
  </si>
  <si>
    <t>Rupee</t>
  </si>
  <si>
    <t>IDRT</t>
  </si>
  <si>
    <t>rupiah-token</t>
  </si>
  <si>
    <t>Rupiah Token</t>
  </si>
  <si>
    <t>RUSD</t>
  </si>
  <si>
    <t>rusd</t>
  </si>
  <si>
    <t>rUSD</t>
  </si>
  <si>
    <t>RUC</t>
  </si>
  <si>
    <t>rush</t>
  </si>
  <si>
    <t>Rush</t>
  </si>
  <si>
    <t>RUSH</t>
  </si>
  <si>
    <t>rushcoin</t>
  </si>
  <si>
    <t>RushCoin</t>
  </si>
  <si>
    <t>rush-technology</t>
  </si>
  <si>
    <t>Rush Technology</t>
  </si>
  <si>
    <t>russell-coin</t>
  </si>
  <si>
    <t>RussellCoin</t>
  </si>
  <si>
    <t>rutheneum</t>
  </si>
  <si>
    <t>Rutheneum</t>
  </si>
  <si>
    <t>RUUF</t>
  </si>
  <si>
    <t>ruufcoin</t>
  </si>
  <si>
    <t>RuufCoin</t>
  </si>
  <si>
    <t>RUYI</t>
  </si>
  <si>
    <t>ruyi</t>
  </si>
  <si>
    <t>Ruyi</t>
  </si>
  <si>
    <t>rxcdnatoken</t>
  </si>
  <si>
    <t>RxcDna</t>
  </si>
  <si>
    <t>RXCG</t>
  </si>
  <si>
    <t>rxcgames</t>
  </si>
  <si>
    <t>RXCGames</t>
  </si>
  <si>
    <t>WSOW</t>
  </si>
  <si>
    <t>rxseed-coin</t>
  </si>
  <si>
    <t>RxSeed Coin</t>
  </si>
  <si>
    <t>RYIU</t>
  </si>
  <si>
    <t>ryi-unity</t>
  </si>
  <si>
    <t>RYI Unity</t>
  </si>
  <si>
    <t>RYO</t>
  </si>
  <si>
    <t>ryo</t>
  </si>
  <si>
    <t>Ryo Currency</t>
  </si>
  <si>
    <t>RYOSHI</t>
  </si>
  <si>
    <t>ryoshis-vision</t>
  </si>
  <si>
    <t>Ryoshis Vision</t>
  </si>
  <si>
    <t>ryoshi-token</t>
  </si>
  <si>
    <t>Ryoshi</t>
  </si>
  <si>
    <t>S4F</t>
  </si>
  <si>
    <t>s4fe</t>
  </si>
  <si>
    <t>S4FE</t>
  </si>
  <si>
    <t>SAAVE</t>
  </si>
  <si>
    <t>saave</t>
  </si>
  <si>
    <t>sAAVE</t>
  </si>
  <si>
    <t>SW</t>
  </si>
  <si>
    <t>sabac-warrior</t>
  </si>
  <si>
    <t>Sabac Warrior</t>
  </si>
  <si>
    <t>SABAKA INU</t>
  </si>
  <si>
    <t>sabaka-inu</t>
  </si>
  <si>
    <t>Sabaka Inu</t>
  </si>
  <si>
    <t>SBR</t>
  </si>
  <si>
    <t>saber</t>
  </si>
  <si>
    <t>Saber</t>
  </si>
  <si>
    <t>saber-wormhole</t>
  </si>
  <si>
    <t>Saber (Wormhole)</t>
  </si>
  <si>
    <t>SUSDC-9</t>
  </si>
  <si>
    <t>saber-wrapped-usd-coin</t>
  </si>
  <si>
    <t>Saber Wrapped USD Coin</t>
  </si>
  <si>
    <t>SACKS</t>
  </si>
  <si>
    <t>sacks</t>
  </si>
  <si>
    <t>Sacks</t>
  </si>
  <si>
    <t>ST</t>
  </si>
  <si>
    <t>sacred-tails</t>
  </si>
  <si>
    <t>Sacred Tails</t>
  </si>
  <si>
    <t>SADA</t>
  </si>
  <si>
    <t>sada</t>
  </si>
  <si>
    <t>sADA</t>
  </si>
  <si>
    <t>SDBY</t>
  </si>
  <si>
    <t>sadbaby</t>
  </si>
  <si>
    <t>Sadbaby</t>
  </si>
  <si>
    <t>SAF</t>
  </si>
  <si>
    <t>safcoin</t>
  </si>
  <si>
    <t>SafCoin</t>
  </si>
  <si>
    <t>AFFINITY</t>
  </si>
  <si>
    <t>safeaffinity</t>
  </si>
  <si>
    <t>Affinity</t>
  </si>
  <si>
    <t>USDA</t>
  </si>
  <si>
    <t>safeape</t>
  </si>
  <si>
    <t>SafeApe</t>
  </si>
  <si>
    <t>SBSH</t>
  </si>
  <si>
    <t>safe-baby-shiba</t>
  </si>
  <si>
    <t>Safe Baby Shiba</t>
  </si>
  <si>
    <t>SAFEBANK</t>
  </si>
  <si>
    <t>safebank</t>
  </si>
  <si>
    <t>SafeBank</t>
  </si>
  <si>
    <t>SBANK</t>
  </si>
  <si>
    <t>safebank-token</t>
  </si>
  <si>
    <t>SafeBank BSC</t>
  </si>
  <si>
    <t>SAFEBTC</t>
  </si>
  <si>
    <t>safebitcoin</t>
  </si>
  <si>
    <t>SafeBitcoin</t>
  </si>
  <si>
    <t>safeblast</t>
  </si>
  <si>
    <t>SafeBlast</t>
  </si>
  <si>
    <t>SAFEBULL</t>
  </si>
  <si>
    <t>safebull</t>
  </si>
  <si>
    <t>SafeBull</t>
  </si>
  <si>
    <t>SBF</t>
  </si>
  <si>
    <t>safebuy</t>
  </si>
  <si>
    <t>SAfebuy</t>
  </si>
  <si>
    <t>SCAP</t>
  </si>
  <si>
    <t>safecapital</t>
  </si>
  <si>
    <t>SafeCapital</t>
  </si>
  <si>
    <t>SFC</t>
  </si>
  <si>
    <t>safecap-token</t>
  </si>
  <si>
    <t>SafeCap</t>
  </si>
  <si>
    <t>SCT</t>
  </si>
  <si>
    <t>safechaintoken</t>
  </si>
  <si>
    <t>Safechain</t>
  </si>
  <si>
    <t>SAFE</t>
  </si>
  <si>
    <t>safe-coin</t>
  </si>
  <si>
    <t>Safe</t>
  </si>
  <si>
    <t>safe-coin-2</t>
  </si>
  <si>
    <t>SafeCoin</t>
  </si>
  <si>
    <t>SAFECOOKIE</t>
  </si>
  <si>
    <t>safecookie</t>
  </si>
  <si>
    <t>SafeCookie</t>
  </si>
  <si>
    <t>SCO</t>
  </si>
  <si>
    <t>safecrypto</t>
  </si>
  <si>
    <t>SafeCrypto</t>
  </si>
  <si>
    <t>SFD</t>
  </si>
  <si>
    <t>safe-deal</t>
  </si>
  <si>
    <t>SafeDeal</t>
  </si>
  <si>
    <t>SAFEDOGE</t>
  </si>
  <si>
    <t>safedoge</t>
  </si>
  <si>
    <t>SafeDoge</t>
  </si>
  <si>
    <t>safedogecoin</t>
  </si>
  <si>
    <t>SafeDogecoin</t>
  </si>
  <si>
    <t>safedogecoin-v2</t>
  </si>
  <si>
    <t>SafeDogeCoin V2</t>
  </si>
  <si>
    <t>SAFEDOG</t>
  </si>
  <si>
    <t>safedog-protocol</t>
  </si>
  <si>
    <t>Safedog Protocol</t>
  </si>
  <si>
    <t>SDO</t>
  </si>
  <si>
    <t>safedollar</t>
  </si>
  <si>
    <t>SafeDollar</t>
  </si>
  <si>
    <t>DRIVE</t>
  </si>
  <si>
    <t>safe-drive</t>
  </si>
  <si>
    <t>Safe Drive</t>
  </si>
  <si>
    <t>SAFEARN</t>
  </si>
  <si>
    <t>safe-earn</t>
  </si>
  <si>
    <t>Safe Earn</t>
  </si>
  <si>
    <t>SAFEEARTH</t>
  </si>
  <si>
    <t>safeearth</t>
  </si>
  <si>
    <t>SafeEarth</t>
  </si>
  <si>
    <t>ENERGYX</t>
  </si>
  <si>
    <t>safe-energy</t>
  </si>
  <si>
    <t>Safe Energy</t>
  </si>
  <si>
    <t>safegem</t>
  </si>
  <si>
    <t>SafeGem</t>
  </si>
  <si>
    <t>SAFEHAMSTERS</t>
  </si>
  <si>
    <t>safehamsters</t>
  </si>
  <si>
    <t>SafeHamsters</t>
  </si>
  <si>
    <t>SHA</t>
  </si>
  <si>
    <t>safe-haven</t>
  </si>
  <si>
    <t>Safe Haven</t>
  </si>
  <si>
    <t>SAFEHOLD</t>
  </si>
  <si>
    <t>safehold</t>
  </si>
  <si>
    <t>SafeHold</t>
  </si>
  <si>
    <t>SINS</t>
  </si>
  <si>
    <t>safeinsure</t>
  </si>
  <si>
    <t>SafeInsure</t>
  </si>
  <si>
    <t>SFEX</t>
  </si>
  <si>
    <t>safelaunch</t>
  </si>
  <si>
    <t>SafeLaunch</t>
  </si>
  <si>
    <t>SAFEICARUS</t>
  </si>
  <si>
    <t>safelcarus</t>
  </si>
  <si>
    <t>SafeIcarus</t>
  </si>
  <si>
    <t>SAFELIGHT</t>
  </si>
  <si>
    <t>safelight</t>
  </si>
  <si>
    <t>SafeLight</t>
  </si>
  <si>
    <t>SAFEMARS</t>
  </si>
  <si>
    <t>safemars</t>
  </si>
  <si>
    <t>Safemars</t>
  </si>
  <si>
    <t>SMARS</t>
  </si>
  <si>
    <t>safemars-protocol</t>
  </si>
  <si>
    <t>Safemars Protocol</t>
  </si>
  <si>
    <t>SME</t>
  </si>
  <si>
    <t>safememe</t>
  </si>
  <si>
    <t>SafeMeme</t>
  </si>
  <si>
    <t>SAFEMONEY</t>
  </si>
  <si>
    <t>safemoneybsc</t>
  </si>
  <si>
    <t>SafeMoneyBSC</t>
  </si>
  <si>
    <t>SAFEMOON</t>
  </si>
  <si>
    <t>safemoon</t>
  </si>
  <si>
    <t>SafeMoon [OLD]</t>
  </si>
  <si>
    <t>SFM</t>
  </si>
  <si>
    <t>safemoon-2</t>
  </si>
  <si>
    <t>SafeMoon</t>
  </si>
  <si>
    <t>SAFEMOONA</t>
  </si>
  <si>
    <t>safemoonavax</t>
  </si>
  <si>
    <t>SafemoonAvax</t>
  </si>
  <si>
    <t>SAFEMOONCASH</t>
  </si>
  <si>
    <t>safemooncash</t>
  </si>
  <si>
    <t>SafeMoonCash</t>
  </si>
  <si>
    <t>SMI</t>
  </si>
  <si>
    <t>safemoon-inu</t>
  </si>
  <si>
    <t>SafeMoon Inu</t>
  </si>
  <si>
    <t>SFMS</t>
  </si>
  <si>
    <t>safemoon-swap</t>
  </si>
  <si>
    <t>SafeMoon Swap</t>
  </si>
  <si>
    <t>SFZ</t>
  </si>
  <si>
    <t>safemoon-zilla</t>
  </si>
  <si>
    <t>Safemoon Zilla</t>
  </si>
  <si>
    <t>SAFEMUSK</t>
  </si>
  <si>
    <t>safemusk</t>
  </si>
  <si>
    <t>SafeMusk</t>
  </si>
  <si>
    <t>SAFENAMI</t>
  </si>
  <si>
    <t>safenami</t>
  </si>
  <si>
    <t>SafeNami</t>
  </si>
  <si>
    <t>SNB</t>
  </si>
  <si>
    <t>safe-nebula</t>
  </si>
  <si>
    <t>Safe Nebula</t>
  </si>
  <si>
    <t>$SNM</t>
  </si>
  <si>
    <t>safenotmoon</t>
  </si>
  <si>
    <t>SafeNotMoon</t>
  </si>
  <si>
    <t>SFP</t>
  </si>
  <si>
    <t>safepal</t>
  </si>
  <si>
    <t>SafePal</t>
  </si>
  <si>
    <t>LOOX</t>
  </si>
  <si>
    <t>safepe</t>
  </si>
  <si>
    <t>SafePe</t>
  </si>
  <si>
    <t>$SPLUSV2</t>
  </si>
  <si>
    <t>safeplus</t>
  </si>
  <si>
    <t>SafePlus V2</t>
  </si>
  <si>
    <t>SAFEPLUTO</t>
  </si>
  <si>
    <t>safepluto</t>
  </si>
  <si>
    <t>SafePluto</t>
  </si>
  <si>
    <t>SAFERMOON</t>
  </si>
  <si>
    <t>safermoon</t>
  </si>
  <si>
    <t>SSF</t>
  </si>
  <si>
    <t>safe-seafood-coin</t>
  </si>
  <si>
    <t>Safe SeaFood Coin</t>
  </si>
  <si>
    <t>SAFESHIB</t>
  </si>
  <si>
    <t>safeshiba</t>
  </si>
  <si>
    <t>SafeShiba</t>
  </si>
  <si>
    <t>SFSHLD</t>
  </si>
  <si>
    <t>safe-shield</t>
  </si>
  <si>
    <t>Safe Shield</t>
  </si>
  <si>
    <t>SAFESPACE</t>
  </si>
  <si>
    <t>safespace</t>
  </si>
  <si>
    <t>SafeSpace</t>
  </si>
  <si>
    <t>SAFESTAR</t>
  </si>
  <si>
    <t>safestar</t>
  </si>
  <si>
    <t>Safestar</t>
  </si>
  <si>
    <t>SAFESUN</t>
  </si>
  <si>
    <t>safesun</t>
  </si>
  <si>
    <t>SafeSun</t>
  </si>
  <si>
    <t>SWAP</t>
  </si>
  <si>
    <t>safeswap-online</t>
  </si>
  <si>
    <t>SafeSwap Online</t>
  </si>
  <si>
    <t>SSGTX</t>
  </si>
  <si>
    <t>safeswap-token</t>
  </si>
  <si>
    <t>Safeswap SSGTX</t>
  </si>
  <si>
    <t>SAFETESLA</t>
  </si>
  <si>
    <t>safetesla</t>
  </si>
  <si>
    <t>SafeTesla</t>
  </si>
  <si>
    <t>safe-token</t>
  </si>
  <si>
    <t>Safe Token</t>
  </si>
  <si>
    <t>TREES</t>
  </si>
  <si>
    <t>safetrees</t>
  </si>
  <si>
    <t>Safetrees</t>
  </si>
  <si>
    <t>STF</t>
  </si>
  <si>
    <t>safe-trip-finance</t>
  </si>
  <si>
    <t>Safe Trip Finance</t>
  </si>
  <si>
    <t>SFT</t>
  </si>
  <si>
    <t>safety</t>
  </si>
  <si>
    <t>Safety</t>
  </si>
  <si>
    <t>SAFEW</t>
  </si>
  <si>
    <t>safewages</t>
  </si>
  <si>
    <t>SafeWages</t>
  </si>
  <si>
    <t>SWHAL</t>
  </si>
  <si>
    <t>safewhale</t>
  </si>
  <si>
    <t>SafeWhale</t>
  </si>
  <si>
    <t>safewolf</t>
  </si>
  <si>
    <t>SafeWolf</t>
  </si>
  <si>
    <t>SXI</t>
  </si>
  <si>
    <t>safexi</t>
  </si>
  <si>
    <t>SafeXI</t>
  </si>
  <si>
    <t>SAFEZONE</t>
  </si>
  <si>
    <t>safezone</t>
  </si>
  <si>
    <t>SafeZone</t>
  </si>
  <si>
    <t>SFI</t>
  </si>
  <si>
    <t>saffron-finance</t>
  </si>
  <si>
    <t>saffron.finance</t>
  </si>
  <si>
    <t>SAFLE</t>
  </si>
  <si>
    <t>safle</t>
  </si>
  <si>
    <t>Safle</t>
  </si>
  <si>
    <t>SAFEST</t>
  </si>
  <si>
    <t>safufide</t>
  </si>
  <si>
    <t>SafuFide</t>
  </si>
  <si>
    <t>SAFTI</t>
  </si>
  <si>
    <t>safutitano</t>
  </si>
  <si>
    <t>SafuTitano</t>
  </si>
  <si>
    <t>SAFUU</t>
  </si>
  <si>
    <t>safuu</t>
  </si>
  <si>
    <t>SAFUYIELD</t>
  </si>
  <si>
    <t>safuyield-protocol</t>
  </si>
  <si>
    <t>SafuYield Protocol</t>
  </si>
  <si>
    <t>SAI</t>
  </si>
  <si>
    <t>sai</t>
  </si>
  <si>
    <t>Sai</t>
  </si>
  <si>
    <t>SAIL</t>
  </si>
  <si>
    <t>sail</t>
  </si>
  <si>
    <t>SAINT</t>
  </si>
  <si>
    <t>saint-inu</t>
  </si>
  <si>
    <t>Saint Inu</t>
  </si>
  <si>
    <t>saint-token</t>
  </si>
  <si>
    <t>Saint</t>
  </si>
  <si>
    <t>SAITAMA</t>
  </si>
  <si>
    <t>saitama-inu</t>
  </si>
  <si>
    <t>Saitama Inu</t>
  </si>
  <si>
    <t>SAITAMURAI</t>
  </si>
  <si>
    <t>saitama-samurai</t>
  </si>
  <si>
    <t>Saitama Samurai</t>
  </si>
  <si>
    <t>SAITAX</t>
  </si>
  <si>
    <t>saitamax</t>
  </si>
  <si>
    <t>SaitamaX</t>
  </si>
  <si>
    <t>SAITANOBI</t>
  </si>
  <si>
    <t>saitanobi</t>
  </si>
  <si>
    <t>Saitanobi</t>
  </si>
  <si>
    <t>SAITO</t>
  </si>
  <si>
    <t>saito</t>
  </si>
  <si>
    <t>Saito</t>
  </si>
  <si>
    <t>SAITOKI</t>
  </si>
  <si>
    <t>saitoki-inu</t>
  </si>
  <si>
    <t>Saitoki Inu</t>
  </si>
  <si>
    <t>SAYAN</t>
  </si>
  <si>
    <t>saiyan-inu</t>
  </si>
  <si>
    <t>Saiyan Inu</t>
  </si>
  <si>
    <t>SJA</t>
  </si>
  <si>
    <t>saja</t>
  </si>
  <si>
    <t>Saja</t>
  </si>
  <si>
    <t>SAK3</t>
  </si>
  <si>
    <t>sak3</t>
  </si>
  <si>
    <t>SAKE</t>
  </si>
  <si>
    <t>SKRY</t>
  </si>
  <si>
    <t>sakaryaspor</t>
  </si>
  <si>
    <t>Sakaryaspor</t>
  </si>
  <si>
    <t>sake-token</t>
  </si>
  <si>
    <t>SAHU</t>
  </si>
  <si>
    <t>sakhalin-husky</t>
  </si>
  <si>
    <t>Sakhalin Husky</t>
  </si>
  <si>
    <t>SKU</t>
  </si>
  <si>
    <t>sakura</t>
  </si>
  <si>
    <t>Sakura</t>
  </si>
  <si>
    <t>SKB</t>
  </si>
  <si>
    <t>sakura-bloom</t>
  </si>
  <si>
    <t>Sakura Bloom</t>
  </si>
  <si>
    <t>SAKURA</t>
  </si>
  <si>
    <t>sakura-inu</t>
  </si>
  <si>
    <t>Sakura Inu</t>
  </si>
  <si>
    <t>sakura-neko</t>
  </si>
  <si>
    <t>Sakura Neko</t>
  </si>
  <si>
    <t>SLR</t>
  </si>
  <si>
    <t>salary</t>
  </si>
  <si>
    <t>Salary</t>
  </si>
  <si>
    <t>SLRM</t>
  </si>
  <si>
    <t>salary-mining</t>
  </si>
  <si>
    <t>Salary Mining</t>
  </si>
  <si>
    <t>SLM</t>
  </si>
  <si>
    <t>salmon</t>
  </si>
  <si>
    <t>Salmon</t>
  </si>
  <si>
    <t>SUI</t>
  </si>
  <si>
    <t>salmonation</t>
  </si>
  <si>
    <t>Salmonation</t>
  </si>
  <si>
    <t>SALT</t>
  </si>
  <si>
    <t>salt</t>
  </si>
  <si>
    <t>SLS</t>
  </si>
  <si>
    <t>salus</t>
  </si>
  <si>
    <t>SaluS</t>
  </si>
  <si>
    <t>SAME</t>
  </si>
  <si>
    <t>samecoin</t>
  </si>
  <si>
    <t>Samecoin</t>
  </si>
  <si>
    <t>SINU</t>
  </si>
  <si>
    <t>samo-inu</t>
  </si>
  <si>
    <t>Samo INU</t>
  </si>
  <si>
    <t>SAMO</t>
  </si>
  <si>
    <t>samoyedcoin</t>
  </si>
  <si>
    <t>Samoyedcoin</t>
  </si>
  <si>
    <t>SAM</t>
  </si>
  <si>
    <t>samsunspor-fan-token</t>
  </si>
  <si>
    <t>Samsunspor Fan Token</t>
  </si>
  <si>
    <t>SMG</t>
  </si>
  <si>
    <t>samurai-legends</t>
  </si>
  <si>
    <t>Samurai Legends</t>
  </si>
  <si>
    <t>SAMU</t>
  </si>
  <si>
    <t>samusky-token</t>
  </si>
  <si>
    <t>Samusky</t>
  </si>
  <si>
    <t>sandclock</t>
  </si>
  <si>
    <t>Sandclock</t>
  </si>
  <si>
    <t>SDGO</t>
  </si>
  <si>
    <t>sandego</t>
  </si>
  <si>
    <t>SanDeGo</t>
  </si>
  <si>
    <t>san-diego-coin</t>
  </si>
  <si>
    <t>San Diego Coin</t>
  </si>
  <si>
    <t>$SANDWICH</t>
  </si>
  <si>
    <t>sandwich-network</t>
  </si>
  <si>
    <t>Sandwich Network</t>
  </si>
  <si>
    <t>MISA</t>
  </si>
  <si>
    <t>sangkara</t>
  </si>
  <si>
    <t>Sangkara</t>
  </si>
  <si>
    <t>SANI</t>
  </si>
  <si>
    <t>sanin-inu</t>
  </si>
  <si>
    <t>Sanin Inu</t>
  </si>
  <si>
    <t>URFA</t>
  </si>
  <si>
    <t>sanliurfaspor-token</t>
  </si>
  <si>
    <t>Sanliurfaspor Token</t>
  </si>
  <si>
    <t>SANSHU</t>
  </si>
  <si>
    <t>sanshu-inu</t>
  </si>
  <si>
    <t>Sanshu Inu</t>
  </si>
  <si>
    <t>SANS</t>
  </si>
  <si>
    <t>sans-token</t>
  </si>
  <si>
    <t>Sans</t>
  </si>
  <si>
    <t>SC</t>
  </si>
  <si>
    <t>SANTA</t>
  </si>
  <si>
    <t>santaclaus</t>
  </si>
  <si>
    <t>Santaclaus</t>
  </si>
  <si>
    <t>santa-coin-2</t>
  </si>
  <si>
    <t>Santa Coin</t>
  </si>
  <si>
    <t>SANTADASH</t>
  </si>
  <si>
    <t>santa-dash</t>
  </si>
  <si>
    <t>Santa Dash</t>
  </si>
  <si>
    <t>santadoge</t>
  </si>
  <si>
    <t>SantaDoge</t>
  </si>
  <si>
    <t>HOHOHO</t>
  </si>
  <si>
    <t>santa-floki-v2</t>
  </si>
  <si>
    <t>Santa Floki v2.0</t>
  </si>
  <si>
    <t>SANINU</t>
  </si>
  <si>
    <t>santa-inu</t>
  </si>
  <si>
    <t>Santa Inu</t>
  </si>
  <si>
    <t>SANTAWAR</t>
  </si>
  <si>
    <t>santas-war-nft-epic</t>
  </si>
  <si>
    <t>Santas War NFT Epic</t>
  </si>
  <si>
    <t>SAN</t>
  </si>
  <si>
    <t>santiment-network-token</t>
  </si>
  <si>
    <t>SANTOS</t>
  </si>
  <si>
    <t>santos-fc-fan-token</t>
  </si>
  <si>
    <t>Santos FC Fan Token</t>
  </si>
  <si>
    <t>SNRW</t>
  </si>
  <si>
    <t>santrast</t>
  </si>
  <si>
    <t>Santrast</t>
  </si>
  <si>
    <t>SPFC</t>
  </si>
  <si>
    <t>sao-paulo-fc-fan-token</t>
  </si>
  <si>
    <t>Sao Paulo FC Fan Token</t>
  </si>
  <si>
    <t>SAP</t>
  </si>
  <si>
    <t>sapchain</t>
  </si>
  <si>
    <t>Sapchain</t>
  </si>
  <si>
    <t>SPN</t>
  </si>
  <si>
    <t>sapien</t>
  </si>
  <si>
    <t>Sapien</t>
  </si>
  <si>
    <t>sappchat</t>
  </si>
  <si>
    <t>SappChat</t>
  </si>
  <si>
    <t>SAPP</t>
  </si>
  <si>
    <t>sapphire</t>
  </si>
  <si>
    <t>Sapphire</t>
  </si>
  <si>
    <t>SARCO</t>
  </si>
  <si>
    <t>sarcophagus</t>
  </si>
  <si>
    <t>Sarcophagus</t>
  </si>
  <si>
    <t>SASHIMI</t>
  </si>
  <si>
    <t>sashimi</t>
  </si>
  <si>
    <t>Sashimi</t>
  </si>
  <si>
    <t>SAT</t>
  </si>
  <si>
    <t>satcoin</t>
  </si>
  <si>
    <t>Satcoin</t>
  </si>
  <si>
    <t>satisfinance</t>
  </si>
  <si>
    <t>SatisFinance</t>
  </si>
  <si>
    <t>SATX</t>
  </si>
  <si>
    <t>satoexchange-token</t>
  </si>
  <si>
    <t>SatoExchange Token</t>
  </si>
  <si>
    <t>STOP</t>
  </si>
  <si>
    <t>satopay</t>
  </si>
  <si>
    <t>SatoPay</t>
  </si>
  <si>
    <t>SPY</t>
  </si>
  <si>
    <t>satopay-yield-token</t>
  </si>
  <si>
    <t>SAO</t>
  </si>
  <si>
    <t>sator</t>
  </si>
  <si>
    <t>Sator</t>
  </si>
  <si>
    <t>satoshicity</t>
  </si>
  <si>
    <t>SatoshiCity</t>
  </si>
  <si>
    <t>SSM</t>
  </si>
  <si>
    <t>satoshi-monsters</t>
  </si>
  <si>
    <t>Satoshi Monsters</t>
  </si>
  <si>
    <t>SSB</t>
  </si>
  <si>
    <t>satoshistreetbets</t>
  </si>
  <si>
    <t>SatoshiStreetBets</t>
  </si>
  <si>
    <t>satoshiswap</t>
  </si>
  <si>
    <t>SatoshiSwap</t>
  </si>
  <si>
    <t>SATOZ</t>
  </si>
  <si>
    <t>satozhi</t>
  </si>
  <si>
    <t>Satozhi</t>
  </si>
  <si>
    <t>SATT</t>
  </si>
  <si>
    <t>satt</t>
  </si>
  <si>
    <t>SaTT</t>
  </si>
  <si>
    <t>saturna</t>
  </si>
  <si>
    <t>Saturna</t>
  </si>
  <si>
    <t>SAUD</t>
  </si>
  <si>
    <t>saud</t>
  </si>
  <si>
    <t>sAUD</t>
  </si>
  <si>
    <t>SAUNA</t>
  </si>
  <si>
    <t>saunafinance-token</t>
  </si>
  <si>
    <t>SaunaFinance</t>
  </si>
  <si>
    <t>SAV3</t>
  </si>
  <si>
    <t>sav3</t>
  </si>
  <si>
    <t>SAVG</t>
  </si>
  <si>
    <t>savage</t>
  </si>
  <si>
    <t>SAVAGE</t>
  </si>
  <si>
    <t>SVN</t>
  </si>
  <si>
    <t>savanna</t>
  </si>
  <si>
    <t>Savanna</t>
  </si>
  <si>
    <t>SAVEANIMAL</t>
  </si>
  <si>
    <t>saveanimal</t>
  </si>
  <si>
    <t>SaveAnimal</t>
  </si>
  <si>
    <t>save-baby-doge</t>
  </si>
  <si>
    <t>Save Baby Doge</t>
  </si>
  <si>
    <t>savebee-farm-honeycomb</t>
  </si>
  <si>
    <t>SAVEBEE FARM HONEYCOMB</t>
  </si>
  <si>
    <t>SBRT</t>
  </si>
  <si>
    <t>savebritney</t>
  </si>
  <si>
    <t>SaveBritney</t>
  </si>
  <si>
    <t>SPE</t>
  </si>
  <si>
    <t>saveplanetearth</t>
  </si>
  <si>
    <t>SavePlanetEarth</t>
  </si>
  <si>
    <t>RALPH</t>
  </si>
  <si>
    <t>save-ralph</t>
  </si>
  <si>
    <t>Save Ralph</t>
  </si>
  <si>
    <t>SAVE</t>
  </si>
  <si>
    <t>savetheworld</t>
  </si>
  <si>
    <t>SaveTheWorld</t>
  </si>
  <si>
    <t>save-token-us</t>
  </si>
  <si>
    <t>SaveToken</t>
  </si>
  <si>
    <t>SVX</t>
  </si>
  <si>
    <t>savix</t>
  </si>
  <si>
    <t>Savix</t>
  </si>
  <si>
    <t>SAX</t>
  </si>
  <si>
    <t>sax-token</t>
  </si>
  <si>
    <t>IdleStoneage SAX</t>
  </si>
  <si>
    <t>SMOON</t>
  </si>
  <si>
    <t>saylor-moon</t>
  </si>
  <si>
    <t>SaylorMoon</t>
  </si>
  <si>
    <t>STS</t>
  </si>
  <si>
    <t>sbank</t>
  </si>
  <si>
    <t>SBank</t>
  </si>
  <si>
    <t>SBET</t>
  </si>
  <si>
    <t>sbet</t>
  </si>
  <si>
    <t>SBFC</t>
  </si>
  <si>
    <t>sbf-coin</t>
  </si>
  <si>
    <t>SBF Coin</t>
  </si>
  <si>
    <t>SBLAND</t>
  </si>
  <si>
    <t>sbland-vault-nftx</t>
  </si>
  <si>
    <t>SBLAND Vault (NFTX)</t>
  </si>
  <si>
    <t>SBTC</t>
  </si>
  <si>
    <t>sbtc</t>
  </si>
  <si>
    <t>sBTC</t>
  </si>
  <si>
    <t>scalara-nft-index</t>
  </si>
  <si>
    <t>Scalara NFT Index</t>
  </si>
  <si>
    <t>SCA</t>
  </si>
  <si>
    <t>scaleswap-token</t>
  </si>
  <si>
    <t>Scaleswap</t>
  </si>
  <si>
    <t>SCLP</t>
  </si>
  <si>
    <t>scallop</t>
  </si>
  <si>
    <t>Scallop</t>
  </si>
  <si>
    <t>scan-defi</t>
  </si>
  <si>
    <t>Scan DeFi</t>
  </si>
  <si>
    <t>SWC</t>
  </si>
  <si>
    <t>scanetchain</t>
  </si>
  <si>
    <t>Scanetchain</t>
  </si>
  <si>
    <t>SCAR</t>
  </si>
  <si>
    <t>scar</t>
  </si>
  <si>
    <t>Scar</t>
  </si>
  <si>
    <t>SCARAB</t>
  </si>
  <si>
    <t>scarab-finance</t>
  </si>
  <si>
    <t>Scarab Finance</t>
  </si>
  <si>
    <t>SCX</t>
  </si>
  <si>
    <t>scarcity</t>
  </si>
  <si>
    <t>Scarcity</t>
  </si>
  <si>
    <t>SCARD</t>
  </si>
  <si>
    <t>scardust</t>
  </si>
  <si>
    <t>SCARDust</t>
  </si>
  <si>
    <t>scarface-finance</t>
  </si>
  <si>
    <t>Scarface Finance</t>
  </si>
  <si>
    <t>scary-chain-capital</t>
  </si>
  <si>
    <t>Scary Chain Capital</t>
  </si>
  <si>
    <t>SCY</t>
  </si>
  <si>
    <t>scary-games</t>
  </si>
  <si>
    <t>Scary Games</t>
  </si>
  <si>
    <t>SCARY</t>
  </si>
  <si>
    <t>scaryswap</t>
  </si>
  <si>
    <t>Scaryswap</t>
  </si>
  <si>
    <t>SCASH</t>
  </si>
  <si>
    <t>scash</t>
  </si>
  <si>
    <t>sCASH</t>
  </si>
  <si>
    <t>SCCP</t>
  </si>
  <si>
    <t>s-c-corinthians-fan-token</t>
  </si>
  <si>
    <t>S.C. Corinthians Fan Token</t>
  </si>
  <si>
    <t>SCHA</t>
  </si>
  <si>
    <t>schain-wallet</t>
  </si>
  <si>
    <t>Schain Wallet</t>
  </si>
  <si>
    <t>SCH</t>
  </si>
  <si>
    <t>schillingcoin</t>
  </si>
  <si>
    <t>Schilling-Coin</t>
  </si>
  <si>
    <t>SNOOD</t>
  </si>
  <si>
    <t>schnoodle</t>
  </si>
  <si>
    <t>Schnoodle</t>
  </si>
  <si>
    <t>SCHO</t>
  </si>
  <si>
    <t>scholarship-coin</t>
  </si>
  <si>
    <t>Scholarship Coin</t>
  </si>
  <si>
    <t>KITTY DINGER</t>
  </si>
  <si>
    <t>schrodinger</t>
  </si>
  <si>
    <t>Schrodinger</t>
  </si>
  <si>
    <t>science_chain</t>
  </si>
  <si>
    <t>Science Chain</t>
  </si>
  <si>
    <t>SCIE</t>
  </si>
  <si>
    <t>scientia</t>
  </si>
  <si>
    <t>Scientia</t>
  </si>
  <si>
    <t>SCIX</t>
  </si>
  <si>
    <t>scientix</t>
  </si>
  <si>
    <t>Scientix</t>
  </si>
  <si>
    <t>SCIFI</t>
  </si>
  <si>
    <t>scifi-index</t>
  </si>
  <si>
    <t>SCIFI Index</t>
  </si>
  <si>
    <t>SCOL</t>
  </si>
  <si>
    <t>scolcoin</t>
  </si>
  <si>
    <t>Scolcoin</t>
  </si>
  <si>
    <t>SCONEX</t>
  </si>
  <si>
    <t>sconex</t>
  </si>
  <si>
    <t>SCOneX</t>
  </si>
  <si>
    <t>SCOOBI</t>
  </si>
  <si>
    <t>scoobi-doge</t>
  </si>
  <si>
    <t>Scoobi Doge</t>
  </si>
  <si>
    <t>SCOOT</t>
  </si>
  <si>
    <t>scootercoin</t>
  </si>
  <si>
    <t>ScooterCoin</t>
  </si>
  <si>
    <t>SCP</t>
  </si>
  <si>
    <t>scope</t>
  </si>
  <si>
    <t>Scope</t>
  </si>
  <si>
    <t>XSCP</t>
  </si>
  <si>
    <t>scopecoin</t>
  </si>
  <si>
    <t>ScopeCoin</t>
  </si>
  <si>
    <t>SCOP</t>
  </si>
  <si>
    <t>scopuly-token</t>
  </si>
  <si>
    <t>scorefam</t>
  </si>
  <si>
    <t>Scorefam</t>
  </si>
  <si>
    <t>score-token</t>
  </si>
  <si>
    <t>Score</t>
  </si>
  <si>
    <t>SCORPFIN</t>
  </si>
  <si>
    <t>scorpion-finance</t>
  </si>
  <si>
    <t>Scorpion Finance</t>
  </si>
  <si>
    <t>SCR</t>
  </si>
  <si>
    <t>scorum</t>
  </si>
  <si>
    <t>Scorum</t>
  </si>
  <si>
    <t>SCOTTY</t>
  </si>
  <si>
    <t>scotty-beam</t>
  </si>
  <si>
    <t>Scotty Beam</t>
  </si>
  <si>
    <t>SCRAP</t>
  </si>
  <si>
    <t>scrap</t>
  </si>
  <si>
    <t>Scrap</t>
  </si>
  <si>
    <t>SCREAM</t>
  </si>
  <si>
    <t>scream</t>
  </si>
  <si>
    <t>Scream</t>
  </si>
  <si>
    <t>SCRIBE</t>
  </si>
  <si>
    <t>scribe</t>
  </si>
  <si>
    <t>Scribe</t>
  </si>
  <si>
    <t>SCRIV</t>
  </si>
  <si>
    <t>scriv</t>
  </si>
  <si>
    <t>XD</t>
  </si>
  <si>
    <t>scroll-token</t>
  </si>
  <si>
    <t>Data Transaction Token</t>
  </si>
  <si>
    <t>SCROOGE</t>
  </si>
  <si>
    <t>scrooge</t>
  </si>
  <si>
    <t>Scrooge</t>
  </si>
  <si>
    <t>scry-info</t>
  </si>
  <si>
    <t>Scry.info</t>
  </si>
  <si>
    <t>scrypta</t>
  </si>
  <si>
    <t>Scrypta</t>
  </si>
  <si>
    <t>SDEFI</t>
  </si>
  <si>
    <t>sdefi</t>
  </si>
  <si>
    <t>sDEFI</t>
  </si>
  <si>
    <t>SDOT</t>
  </si>
  <si>
    <t>sdot</t>
  </si>
  <si>
    <t>sDOT</t>
  </si>
  <si>
    <t>SDRACO</t>
  </si>
  <si>
    <t>sdraco</t>
  </si>
  <si>
    <t>SEA</t>
  </si>
  <si>
    <t>sea</t>
  </si>
  <si>
    <t>Sea</t>
  </si>
  <si>
    <t>SEACHAIN</t>
  </si>
  <si>
    <t>seachain</t>
  </si>
  <si>
    <t>SeaChain</t>
  </si>
  <si>
    <t>SEAD</t>
  </si>
  <si>
    <t>seadex</t>
  </si>
  <si>
    <t>SEADEX</t>
  </si>
  <si>
    <t>SEADOG</t>
  </si>
  <si>
    <t>seadog-metaverse</t>
  </si>
  <si>
    <t>Seadog Metaverse</t>
  </si>
  <si>
    <t>SEAMLESS</t>
  </si>
  <si>
    <t>seamlessswap-token</t>
  </si>
  <si>
    <t>SeamlessSwap</t>
  </si>
  <si>
    <t>SEANCE</t>
  </si>
  <si>
    <t>seancecircle</t>
  </si>
  <si>
    <t>SeanceCircle</t>
  </si>
  <si>
    <t>sea-oceanus</t>
  </si>
  <si>
    <t>Sea Oceanus</t>
  </si>
  <si>
    <t>SEBA</t>
  </si>
  <si>
    <t>seba</t>
  </si>
  <si>
    <t>Seba</t>
  </si>
  <si>
    <t>SNN</t>
  </si>
  <si>
    <t>sechain</t>
  </si>
  <si>
    <t>SeChain</t>
  </si>
  <si>
    <t>SCRT</t>
  </si>
  <si>
    <t>secret</t>
  </si>
  <si>
    <t>Secret</t>
  </si>
  <si>
    <t>WSCRT</t>
  </si>
  <si>
    <t>secret-erc20</t>
  </si>
  <si>
    <t>Secret (ERC20)</t>
  </si>
  <si>
    <t>SEFI</t>
  </si>
  <si>
    <t>secret-finance</t>
  </si>
  <si>
    <t>Secret Finance</t>
  </si>
  <si>
    <t>secretsky-finance</t>
  </si>
  <si>
    <t>SecretSky Finance</t>
  </si>
  <si>
    <t>SER</t>
  </si>
  <si>
    <t>secretum</t>
  </si>
  <si>
    <t>Secretum</t>
  </si>
  <si>
    <t>SSD</t>
  </si>
  <si>
    <t>secretworld</t>
  </si>
  <si>
    <t>SecretWorld</t>
  </si>
  <si>
    <t>SBYTE</t>
  </si>
  <si>
    <t>securabyte-protocol</t>
  </si>
  <si>
    <t>Securabyte Protocol</t>
  </si>
  <si>
    <t>secure</t>
  </si>
  <si>
    <t>Secure</t>
  </si>
  <si>
    <t>SCSX</t>
  </si>
  <si>
    <t>secure-cash</t>
  </si>
  <si>
    <t>Secure Cash</t>
  </si>
  <si>
    <t>SMRAT</t>
  </si>
  <si>
    <t>secured-moonrat-token</t>
  </si>
  <si>
    <t>Secured MoonRat</t>
  </si>
  <si>
    <t>SHIP</t>
  </si>
  <si>
    <t>secured-ship</t>
  </si>
  <si>
    <t>Secured Ship</t>
  </si>
  <si>
    <t>XSCR</t>
  </si>
  <si>
    <t>securus</t>
  </si>
  <si>
    <t>Securus</t>
  </si>
  <si>
    <t>SEDA</t>
  </si>
  <si>
    <t>seda</t>
  </si>
  <si>
    <t>SEDO</t>
  </si>
  <si>
    <t>sedo-pow-token</t>
  </si>
  <si>
    <t>SEDO POW TOKEN</t>
  </si>
  <si>
    <t>SILO</t>
  </si>
  <si>
    <t>seed2need</t>
  </si>
  <si>
    <t>Seed2Need</t>
  </si>
  <si>
    <t>SEEDED</t>
  </si>
  <si>
    <t>seeded-network</t>
  </si>
  <si>
    <t>Seeded Network</t>
  </si>
  <si>
    <t>seeder-finance</t>
  </si>
  <si>
    <t>Seeder Finance</t>
  </si>
  <si>
    <t>SFUND</t>
  </si>
  <si>
    <t>seedify-fund</t>
  </si>
  <si>
    <t>Seedify.fund</t>
  </si>
  <si>
    <t>SDLN</t>
  </si>
  <si>
    <t>seedling</t>
  </si>
  <si>
    <t>Seedling</t>
  </si>
  <si>
    <t>SEON</t>
  </si>
  <si>
    <t>seedon</t>
  </si>
  <si>
    <t>Seedon</t>
  </si>
  <si>
    <t>seeds</t>
  </si>
  <si>
    <t>Seeds</t>
  </si>
  <si>
    <t>SNFT</t>
  </si>
  <si>
    <t>seedswap</t>
  </si>
  <si>
    <t>SeedSwap</t>
  </si>
  <si>
    <t>seed-token</t>
  </si>
  <si>
    <t>HamstersLeague Seed</t>
  </si>
  <si>
    <t>seed-venture</t>
  </si>
  <si>
    <t>Seed Venture</t>
  </si>
  <si>
    <t>STI</t>
  </si>
  <si>
    <t>seek-tiger</t>
  </si>
  <si>
    <t>Seek Tiger</t>
  </si>
  <si>
    <t>SEELE</t>
  </si>
  <si>
    <t>seele</t>
  </si>
  <si>
    <t>Seele</t>
  </si>
  <si>
    <t>SEEN</t>
  </si>
  <si>
    <t>seen</t>
  </si>
  <si>
    <t>SSW</t>
  </si>
  <si>
    <t>seesaw</t>
  </si>
  <si>
    <t>Seesaw</t>
  </si>
  <si>
    <t>SHARE</t>
  </si>
  <si>
    <t>seigniorage-shares</t>
  </si>
  <si>
    <t>Seigniorage Shares</t>
  </si>
  <si>
    <t>SCB</t>
  </si>
  <si>
    <t>seismic</t>
  </si>
  <si>
    <t>Seismic</t>
  </si>
  <si>
    <t>SKRT</t>
  </si>
  <si>
    <t>sekuritance</t>
  </si>
  <si>
    <t>Sekuritance</t>
  </si>
  <si>
    <t>SKUY</t>
  </si>
  <si>
    <t>sekuya</t>
  </si>
  <si>
    <t>Sekuya</t>
  </si>
  <si>
    <t>SLC</t>
  </si>
  <si>
    <t>selenium</t>
  </si>
  <si>
    <t>Selenium</t>
  </si>
  <si>
    <t>SBAR</t>
  </si>
  <si>
    <t>selfbar</t>
  </si>
  <si>
    <t>Selfbar</t>
  </si>
  <si>
    <t>selfkey</t>
  </si>
  <si>
    <t>SelfKey</t>
  </si>
  <si>
    <t>SEMI</t>
  </si>
  <si>
    <t>semitoken</t>
  </si>
  <si>
    <t>SEM</t>
  </si>
  <si>
    <t>semux</t>
  </si>
  <si>
    <t>Semux</t>
  </si>
  <si>
    <t>SENATE</t>
  </si>
  <si>
    <t>senate</t>
  </si>
  <si>
    <t>senator-karen</t>
  </si>
  <si>
    <t>Senator Karen</t>
  </si>
  <si>
    <t>SENSE</t>
  </si>
  <si>
    <t>sense</t>
  </si>
  <si>
    <t>Sense</t>
  </si>
  <si>
    <t>SENSEI</t>
  </si>
  <si>
    <t>sensei</t>
  </si>
  <si>
    <t>Sensei</t>
  </si>
  <si>
    <t>$SENSEI</t>
  </si>
  <si>
    <t>sensei-shib</t>
  </si>
  <si>
    <t>Sensei Shib</t>
  </si>
  <si>
    <t>SENSI</t>
  </si>
  <si>
    <t>sensi</t>
  </si>
  <si>
    <t>Sensi</t>
  </si>
  <si>
    <t>sensible-finance</t>
  </si>
  <si>
    <t>Sensible Finance [OLD]</t>
  </si>
  <si>
    <t>SETS</t>
  </si>
  <si>
    <t>sensitrust</t>
  </si>
  <si>
    <t>Sensitrust</t>
  </si>
  <si>
    <t>SENSO</t>
  </si>
  <si>
    <t>senso</t>
  </si>
  <si>
    <t>SEN</t>
  </si>
  <si>
    <t>senspark</t>
  </si>
  <si>
    <t>Senspark</t>
  </si>
  <si>
    <t>SENT</t>
  </si>
  <si>
    <t>sentiment-token</t>
  </si>
  <si>
    <t>Sentiment</t>
  </si>
  <si>
    <t>DVPN</t>
  </si>
  <si>
    <t>sentinel</t>
  </si>
  <si>
    <t>Sentinel</t>
  </si>
  <si>
    <t>SENC</t>
  </si>
  <si>
    <t>sentinel-chain</t>
  </si>
  <si>
    <t>Sentinel Chain</t>
  </si>
  <si>
    <t>sentinel-group</t>
  </si>
  <si>
    <t>Sentinel [OLD]</t>
  </si>
  <si>
    <t>UPP</t>
  </si>
  <si>
    <t>sentinel-protocol</t>
  </si>
  <si>
    <t>Sentinel Protocol</t>
  </si>
  <si>
    <t>SNTVT</t>
  </si>
  <si>
    <t>sentivate</t>
  </si>
  <si>
    <t>Sentivate</t>
  </si>
  <si>
    <t>SNTR</t>
  </si>
  <si>
    <t>sentre</t>
  </si>
  <si>
    <t>Sentre</t>
  </si>
  <si>
    <t>SEOR</t>
  </si>
  <si>
    <t>seor-network</t>
  </si>
  <si>
    <t>SEOR Network</t>
  </si>
  <si>
    <t>SEQ</t>
  </si>
  <si>
    <t>sequence</t>
  </si>
  <si>
    <t>Sequence</t>
  </si>
  <si>
    <t>SEREN</t>
  </si>
  <si>
    <t>serenity</t>
  </si>
  <si>
    <t>Serenity</t>
  </si>
  <si>
    <t>SRNT</t>
  </si>
  <si>
    <t>serenity-financial</t>
  </si>
  <si>
    <t>Serenity Financial</t>
  </si>
  <si>
    <t>SRY</t>
  </si>
  <si>
    <t>serey-coin</t>
  </si>
  <si>
    <t>Serey Coin</t>
  </si>
  <si>
    <t>SSL</t>
  </si>
  <si>
    <t>sergey-save-link</t>
  </si>
  <si>
    <t>SERGS Governance</t>
  </si>
  <si>
    <t>SERGS</t>
  </si>
  <si>
    <t>sergs</t>
  </si>
  <si>
    <t>SRM</t>
  </si>
  <si>
    <t>serum</t>
  </si>
  <si>
    <t>Serum</t>
  </si>
  <si>
    <t>SECO</t>
  </si>
  <si>
    <t>serum-ecosystem-token</t>
  </si>
  <si>
    <t>SRMSO</t>
  </si>
  <si>
    <t>serum-wormhole</t>
  </si>
  <si>
    <t>Serum (Wormhole)</t>
  </si>
  <si>
    <t>SRMET</t>
  </si>
  <si>
    <t>serum-wormhole-from-ethereum</t>
  </si>
  <si>
    <t>Serum (Wormhole from Ethereum)</t>
  </si>
  <si>
    <t>SESCRT</t>
  </si>
  <si>
    <t>sescrt</t>
  </si>
  <si>
    <t>KICKS</t>
  </si>
  <si>
    <t>sessia</t>
  </si>
  <si>
    <t>SESSIA</t>
  </si>
  <si>
    <t>SETH</t>
  </si>
  <si>
    <t>seth</t>
  </si>
  <si>
    <t>sETH</t>
  </si>
  <si>
    <t>SETH2</t>
  </si>
  <si>
    <t>seth2</t>
  </si>
  <si>
    <t>sETH2</t>
  </si>
  <si>
    <t>sether</t>
  </si>
  <si>
    <t>Sether</t>
  </si>
  <si>
    <t>SEUR</t>
  </si>
  <si>
    <t>seur</t>
  </si>
  <si>
    <t>sEUR</t>
  </si>
  <si>
    <t>SRGT</t>
  </si>
  <si>
    <t>severe-rise-games</t>
  </si>
  <si>
    <t>Severe Rise Games</t>
  </si>
  <si>
    <t>CHIZ</t>
  </si>
  <si>
    <t>sewer-rat-social-club-chiz-token</t>
  </si>
  <si>
    <t>Sewer Rat Social Club CHIZ Token</t>
  </si>
  <si>
    <t>SXC</t>
  </si>
  <si>
    <t>sexcoin</t>
  </si>
  <si>
    <t>Sexcoin</t>
  </si>
  <si>
    <t>SFCP</t>
  </si>
  <si>
    <t>sf-capital</t>
  </si>
  <si>
    <t>SF Capital</t>
  </si>
  <si>
    <t>SFG</t>
  </si>
  <si>
    <t>s-finance</t>
  </si>
  <si>
    <t>S.Finance</t>
  </si>
  <si>
    <t>SG20</t>
  </si>
  <si>
    <t>sg20</t>
  </si>
  <si>
    <t>SGTS</t>
  </si>
  <si>
    <t>sgt-shib</t>
  </si>
  <si>
    <t>Sgt.SHIB</t>
  </si>
  <si>
    <t>KOBE</t>
  </si>
  <si>
    <t>shabu-shabu</t>
  </si>
  <si>
    <t>Shabu Shabu</t>
  </si>
  <si>
    <t>SHADE</t>
  </si>
  <si>
    <t>shade-cash</t>
  </si>
  <si>
    <t>Shade Cash</t>
  </si>
  <si>
    <t>SHD</t>
  </si>
  <si>
    <t>shade-protocol</t>
  </si>
  <si>
    <t>Shade Protocol</t>
  </si>
  <si>
    <t>DOWS</t>
  </si>
  <si>
    <t>shadows</t>
  </si>
  <si>
    <t>Shadows</t>
  </si>
  <si>
    <t>shadow-token</t>
  </si>
  <si>
    <t>SHAK</t>
  </si>
  <si>
    <t>shakita-inu</t>
  </si>
  <si>
    <t>Shakita Inu</t>
  </si>
  <si>
    <t>SHAMAN</t>
  </si>
  <si>
    <t>shaman</t>
  </si>
  <si>
    <t>Shaman</t>
  </si>
  <si>
    <t>shaman-king-inu</t>
  </si>
  <si>
    <t>Shaman King Inu [OLD]</t>
  </si>
  <si>
    <t>BALA</t>
  </si>
  <si>
    <t>shambala</t>
  </si>
  <si>
    <t>Shambala</t>
  </si>
  <si>
    <t>SPP</t>
  </si>
  <si>
    <t>shapepay</t>
  </si>
  <si>
    <t>ShapePay</t>
  </si>
  <si>
    <t>shapeshift-fox-token</t>
  </si>
  <si>
    <t>ShapeShift FOX Token</t>
  </si>
  <si>
    <t>SHARD</t>
  </si>
  <si>
    <t>shard</t>
  </si>
  <si>
    <t>Shard Coin</t>
  </si>
  <si>
    <t>shard-2</t>
  </si>
  <si>
    <t>Shard</t>
  </si>
  <si>
    <t>SS</t>
  </si>
  <si>
    <t>sharder-protocol</t>
  </si>
  <si>
    <t>Sharder protocol</t>
  </si>
  <si>
    <t>shardingdao</t>
  </si>
  <si>
    <t>ShardingDAO</t>
  </si>
  <si>
    <t>ULT</t>
  </si>
  <si>
    <t>shardus</t>
  </si>
  <si>
    <t>Shardus</t>
  </si>
  <si>
    <t>SNT</t>
  </si>
  <si>
    <t>share-nft</t>
  </si>
  <si>
    <t>Share NFT</t>
  </si>
  <si>
    <t>SHR</t>
  </si>
  <si>
    <t>sharering</t>
  </si>
  <si>
    <t>ShareToken</t>
  </si>
  <si>
    <t>$SHARI</t>
  </si>
  <si>
    <t>sharity</t>
  </si>
  <si>
    <t>Sharity</t>
  </si>
  <si>
    <t>SKN</t>
  </si>
  <si>
    <t>sharkcoin</t>
  </si>
  <si>
    <t>Sharkcoin</t>
  </si>
  <si>
    <t>SHRK</t>
  </si>
  <si>
    <t>sharkrace</t>
  </si>
  <si>
    <t>SharkRace</t>
  </si>
  <si>
    <t>SHARPEI</t>
  </si>
  <si>
    <t>shar-pei</t>
  </si>
  <si>
    <t>Shar Pei</t>
  </si>
  <si>
    <t>SHDC</t>
  </si>
  <si>
    <t>shd-cash</t>
  </si>
  <si>
    <t>SHD Cash</t>
  </si>
  <si>
    <t>SBECOM</t>
  </si>
  <si>
    <t>shebolleth-commerce</t>
  </si>
  <si>
    <t>SheBollETH Commerce</t>
  </si>
  <si>
    <t>SHEEBA</t>
  </si>
  <si>
    <t>sheeba</t>
  </si>
  <si>
    <t>AWOOL</t>
  </si>
  <si>
    <t>sheep-game</t>
  </si>
  <si>
    <t>Sheep Game</t>
  </si>
  <si>
    <t>SHEEP</t>
  </si>
  <si>
    <t>sheeptoken</t>
  </si>
  <si>
    <t>Sheep</t>
  </si>
  <si>
    <t>SHEESH</t>
  </si>
  <si>
    <t>sheesh</t>
  </si>
  <si>
    <t>Sheesh</t>
  </si>
  <si>
    <t>SHEESHA</t>
  </si>
  <si>
    <t>sheesha-finance</t>
  </si>
  <si>
    <t>Sheesha Finance (BEP20)</t>
  </si>
  <si>
    <t>sheesha-finance-erc20</t>
  </si>
  <si>
    <t>Sheesha Finance (ERC20)</t>
  </si>
  <si>
    <t>MSHEESHA</t>
  </si>
  <si>
    <t>sheesha-finance-polygon</t>
  </si>
  <si>
    <t>Sheesha Finance Polygon</t>
  </si>
  <si>
    <t>SMOO</t>
  </si>
  <si>
    <t>sheeshmoon</t>
  </si>
  <si>
    <t>SheeshMoon</t>
  </si>
  <si>
    <t>SHEIKH</t>
  </si>
  <si>
    <t>sheikh-coin</t>
  </si>
  <si>
    <t>Sheikh Coin</t>
  </si>
  <si>
    <t>SBY</t>
  </si>
  <si>
    <t>shelby-token</t>
  </si>
  <si>
    <t>Shelby</t>
  </si>
  <si>
    <t>SHL</t>
  </si>
  <si>
    <t>shelling</t>
  </si>
  <si>
    <t>Shelling</t>
  </si>
  <si>
    <t>shell-token</t>
  </si>
  <si>
    <t>Shell</t>
  </si>
  <si>
    <t>SHENG</t>
  </si>
  <si>
    <t>sheng</t>
  </si>
  <si>
    <t>SHENGWEIHU</t>
  </si>
  <si>
    <t>shengweihu</t>
  </si>
  <si>
    <t>Shengweihu</t>
  </si>
  <si>
    <t>shera</t>
  </si>
  <si>
    <t>shera [OLD]</t>
  </si>
  <si>
    <t>shera-2</t>
  </si>
  <si>
    <t>Shera</t>
  </si>
  <si>
    <t>sherlock365</t>
  </si>
  <si>
    <t>Sherlock365</t>
  </si>
  <si>
    <t>SHERPA</t>
  </si>
  <si>
    <t>sherpa</t>
  </si>
  <si>
    <t>Sherpa</t>
  </si>
  <si>
    <t>SHIBABANK</t>
  </si>
  <si>
    <t>shiba-bank</t>
  </si>
  <si>
    <t>Shiba Bank</t>
  </si>
  <si>
    <t>SHIBABNB</t>
  </si>
  <si>
    <t>shibabnb-org</t>
  </si>
  <si>
    <t>ShibaBNB.org</t>
  </si>
  <si>
    <t>SHIBSC</t>
  </si>
  <si>
    <t>shiba-bsc</t>
  </si>
  <si>
    <t>SHIBA BSC</t>
  </si>
  <si>
    <t>SHIBACASH</t>
  </si>
  <si>
    <t>shibacash</t>
  </si>
  <si>
    <t>ShibaCash</t>
  </si>
  <si>
    <t>COCK</t>
  </si>
  <si>
    <t>shibacock</t>
  </si>
  <si>
    <t>Shibacock</t>
  </si>
  <si>
    <t>SHICO</t>
  </si>
  <si>
    <t>shibacorgi</t>
  </si>
  <si>
    <t>ShibaCorgi</t>
  </si>
  <si>
    <t>SHIBDOGE</t>
  </si>
  <si>
    <t>shibadoge</t>
  </si>
  <si>
    <t>ShibaDoge</t>
  </si>
  <si>
    <t>SHIBADOLLARS</t>
  </si>
  <si>
    <t>shiba-dollars</t>
  </si>
  <si>
    <t>Shiba Dollars</t>
  </si>
  <si>
    <t>SHIBAD</t>
  </si>
  <si>
    <t>shiba-dragon</t>
  </si>
  <si>
    <t>Shiba Dragon</t>
  </si>
  <si>
    <t>ESHIB</t>
  </si>
  <si>
    <t>shiba-elon</t>
  </si>
  <si>
    <t>Shiba Elon</t>
  </si>
  <si>
    <t>SHIBEV</t>
  </si>
  <si>
    <t>shibaelonverse</t>
  </si>
  <si>
    <t>ShibaElonVerse</t>
  </si>
  <si>
    <t>shiba-fantom</t>
  </si>
  <si>
    <t>Shiba Fantom</t>
  </si>
  <si>
    <t>SHIBAFI</t>
  </si>
  <si>
    <t>shibafi</t>
  </si>
  <si>
    <t>Shiba Finance</t>
  </si>
  <si>
    <t>shiba-floki</t>
  </si>
  <si>
    <t>Shiba Floki Inu</t>
  </si>
  <si>
    <t>SHIBGX</t>
  </si>
  <si>
    <t>shibagalaxy</t>
  </si>
  <si>
    <t>ShibaGalaxy</t>
  </si>
  <si>
    <t>SHIBAGAMES</t>
  </si>
  <si>
    <t>shiba-games</t>
  </si>
  <si>
    <t>Shiba Games</t>
  </si>
  <si>
    <t>SHUNT</t>
  </si>
  <si>
    <t>shiba-hunter</t>
  </si>
  <si>
    <t>Shiba Hunter</t>
  </si>
  <si>
    <t>shiba-inu</t>
  </si>
  <si>
    <t>SHIBIB</t>
  </si>
  <si>
    <t>shiba-inu-billionaire</t>
  </si>
  <si>
    <t>Shiba Inu Billionaire</t>
  </si>
  <si>
    <t>SHIBIC</t>
  </si>
  <si>
    <t>shiba-inu-classic</t>
  </si>
  <si>
    <t>Shiba Inu Classic</t>
  </si>
  <si>
    <t>SHIBEMP</t>
  </si>
  <si>
    <t>shiba-inu-empire</t>
  </si>
  <si>
    <t>Shiba Inu Empire</t>
  </si>
  <si>
    <t>SHIBM</t>
  </si>
  <si>
    <t>shiba-inu-mother</t>
  </si>
  <si>
    <t>Shiba Inu Mother</t>
  </si>
  <si>
    <t>shiba-inu-wormhole</t>
  </si>
  <si>
    <t>Shiba Inu (Wormhole)</t>
  </si>
  <si>
    <t>SHIBAKEN</t>
  </si>
  <si>
    <t>shibaken-finance</t>
  </si>
  <si>
    <t>Shibaken Finance</t>
  </si>
  <si>
    <t>shibalana</t>
  </si>
  <si>
    <t>Shibalana</t>
  </si>
  <si>
    <t>SHIBT</t>
  </si>
  <si>
    <t>shiba-light</t>
  </si>
  <si>
    <t>Shiba Light</t>
  </si>
  <si>
    <t>SHIBLITE</t>
  </si>
  <si>
    <t>shibalite</t>
  </si>
  <si>
    <t>ShibaLite</t>
  </si>
  <si>
    <t>SHIBAMETA</t>
  </si>
  <si>
    <t>shibametaverse</t>
  </si>
  <si>
    <t>ShibaMetaverse</t>
  </si>
  <si>
    <t>SHIBMETA</t>
  </si>
  <si>
    <t>shiba-metaverse</t>
  </si>
  <si>
    <t>Shiba Metaverse</t>
  </si>
  <si>
    <t>SHIBAMON</t>
  </si>
  <si>
    <t>shibamon</t>
  </si>
  <si>
    <t>Shibamon</t>
  </si>
  <si>
    <t>SHIBMONG</t>
  </si>
  <si>
    <t>shiba-mongoose</t>
  </si>
  <si>
    <t>Shiba Mongoose</t>
  </si>
  <si>
    <t>shiba-moon</t>
  </si>
  <si>
    <t>Shiba Moon</t>
  </si>
  <si>
    <t>BANA</t>
  </si>
  <si>
    <t>shibana</t>
  </si>
  <si>
    <t>Shibana</t>
  </si>
  <si>
    <t>SHIBANFT</t>
  </si>
  <si>
    <t>shibanft</t>
  </si>
  <si>
    <t>ShibaNFT</t>
  </si>
  <si>
    <t>shibanova</t>
  </si>
  <si>
    <t>ShibaNova</t>
  </si>
  <si>
    <t>SBP</t>
  </si>
  <si>
    <t>shibapad</t>
  </si>
  <si>
    <t>ShibaPad</t>
  </si>
  <si>
    <t>QOM</t>
  </si>
  <si>
    <t>shiba-predator</t>
  </si>
  <si>
    <t>Shiba Predator</t>
  </si>
  <si>
    <t>SHIBAPUP</t>
  </si>
  <si>
    <t>shibapup</t>
  </si>
  <si>
    <t>ShibaPup</t>
  </si>
  <si>
    <t>SHIBARAMEN</t>
  </si>
  <si>
    <t>shiba-ramen</t>
  </si>
  <si>
    <t>Shiba Ramen</t>
  </si>
  <si>
    <t>SHIBARMY</t>
  </si>
  <si>
    <t>shib-army</t>
  </si>
  <si>
    <t>Shib Army</t>
  </si>
  <si>
    <t>SHIBAROCKET</t>
  </si>
  <si>
    <t>shibarocket</t>
  </si>
  <si>
    <t>ShibaRocket</t>
  </si>
  <si>
    <t>SHIBAGUN</t>
  </si>
  <si>
    <t>shiba-shogun</t>
  </si>
  <si>
    <t>Shiba Shogun</t>
  </si>
  <si>
    <t>SHBT</t>
  </si>
  <si>
    <t>shiba-toby</t>
  </si>
  <si>
    <t>Shiba Toby</t>
  </si>
  <si>
    <t>SHIBU</t>
  </si>
  <si>
    <t>shiba-universe</t>
  </si>
  <si>
    <t>Shiba Universe</t>
  </si>
  <si>
    <t>SHIBX</t>
  </si>
  <si>
    <t>shibavax</t>
  </si>
  <si>
    <t>Shibavax</t>
  </si>
  <si>
    <t>VERSE</t>
  </si>
  <si>
    <t>shibaverse</t>
  </si>
  <si>
    <t>Shibaverse</t>
  </si>
  <si>
    <t>SHIVER</t>
  </si>
  <si>
    <t>shibaverse-token</t>
  </si>
  <si>
    <t>Shibaverse SHIVER</t>
  </si>
  <si>
    <t>SHIBKING</t>
  </si>
  <si>
    <t>shiba-viking</t>
  </si>
  <si>
    <t>Shiba Viking</t>
  </si>
  <si>
    <t>SHIBAW</t>
  </si>
  <si>
    <t>shiba-watch</t>
  </si>
  <si>
    <t>Shiba Watch</t>
  </si>
  <si>
    <t>SHIBAX</t>
  </si>
  <si>
    <t>shiba-x</t>
  </si>
  <si>
    <t>Shiba X</t>
  </si>
  <si>
    <t>SHIBAZILLA</t>
  </si>
  <si>
    <t>shibazilla</t>
  </si>
  <si>
    <t>ShibaZilla</t>
  </si>
  <si>
    <t>SHIBBOO</t>
  </si>
  <si>
    <t>shibboo-inu</t>
  </si>
  <si>
    <t>Shibboo Inu</t>
  </si>
  <si>
    <t>SHIBCAKE</t>
  </si>
  <si>
    <t>shib-cake</t>
  </si>
  <si>
    <t>SHIB CAKE</t>
  </si>
  <si>
    <t>SHIBELON</t>
  </si>
  <si>
    <t>shibelon</t>
  </si>
  <si>
    <t>ShibElon</t>
  </si>
  <si>
    <t>SHIBGEKI</t>
  </si>
  <si>
    <t>shibgeki</t>
  </si>
  <si>
    <t>Shibgeki</t>
  </si>
  <si>
    <t>SHG</t>
  </si>
  <si>
    <t>shib-generating</t>
  </si>
  <si>
    <t>Shib Generating</t>
  </si>
  <si>
    <t>SHIBGF</t>
  </si>
  <si>
    <t>shibgf</t>
  </si>
  <si>
    <t>SHIBGOTCHI</t>
  </si>
  <si>
    <t>shibgotchi</t>
  </si>
  <si>
    <t>SHiBGOTCHi</t>
  </si>
  <si>
    <t>SHIBKILLER</t>
  </si>
  <si>
    <t>shibkiller</t>
  </si>
  <si>
    <t>ShibKiller</t>
  </si>
  <si>
    <t>SHIBMERICAN</t>
  </si>
  <si>
    <t>shibmerican</t>
  </si>
  <si>
    <t>Shibmerican</t>
  </si>
  <si>
    <t>SHAKI</t>
  </si>
  <si>
    <t>shibnaki</t>
  </si>
  <si>
    <t>SHIBNAKI</t>
  </si>
  <si>
    <t>SHINJA</t>
  </si>
  <si>
    <t>shibnobi</t>
  </si>
  <si>
    <t>Shibnobi</t>
  </si>
  <si>
    <t>SHIBOKI</t>
  </si>
  <si>
    <t>shiboki-2</t>
  </si>
  <si>
    <t>Shiboki</t>
  </si>
  <si>
    <t>SHIBO</t>
  </si>
  <si>
    <t>shibonk</t>
  </si>
  <si>
    <t>Shibonk</t>
  </si>
  <si>
    <t>SHIBOOST</t>
  </si>
  <si>
    <t>shibooster</t>
  </si>
  <si>
    <t>Shibooster</t>
  </si>
  <si>
    <t>SHIBORG</t>
  </si>
  <si>
    <t>shiborg-inu</t>
  </si>
  <si>
    <t>SHIBORG INU</t>
  </si>
  <si>
    <t>shibrobi</t>
  </si>
  <si>
    <t>ShibRobi</t>
  </si>
  <si>
    <t>SRWD</t>
  </si>
  <si>
    <t>shibrwd</t>
  </si>
  <si>
    <t>ShibRWD</t>
  </si>
  <si>
    <t>SHIBTAMA</t>
  </si>
  <si>
    <t>shibtama</t>
  </si>
  <si>
    <t>Shibtama</t>
  </si>
  <si>
    <t>SHIBTARO</t>
  </si>
  <si>
    <t>shibtaro</t>
  </si>
  <si>
    <t>ShibTaro</t>
  </si>
  <si>
    <t>SHIBUI</t>
  </si>
  <si>
    <t>shibui-dao</t>
  </si>
  <si>
    <t>Shibui DAO</t>
  </si>
  <si>
    <t>shibu-life</t>
  </si>
  <si>
    <t>Shibu Life</t>
  </si>
  <si>
    <t>SHIV</t>
  </si>
  <si>
    <t>shibvinci</t>
  </si>
  <si>
    <t>ShibVinci</t>
  </si>
  <si>
    <t>SDN</t>
  </si>
  <si>
    <t>shiden</t>
  </si>
  <si>
    <t>Shiden Network</t>
  </si>
  <si>
    <t>XSH</t>
  </si>
  <si>
    <t>shield</t>
  </si>
  <si>
    <t>SLD</t>
  </si>
  <si>
    <t>shield-dao</t>
  </si>
  <si>
    <t>ShieldEX</t>
  </si>
  <si>
    <t>COLI</t>
  </si>
  <si>
    <t>shield-finance</t>
  </si>
  <si>
    <t>Coliquidity</t>
  </si>
  <si>
    <t>SHIELDNET</t>
  </si>
  <si>
    <t>shield-network</t>
  </si>
  <si>
    <t>Shield Network</t>
  </si>
  <si>
    <t>shield-protocol</t>
  </si>
  <si>
    <t>Shield Protocol [OLD]</t>
  </si>
  <si>
    <t>shield-protocol-2</t>
  </si>
  <si>
    <t>Shield Protocol</t>
  </si>
  <si>
    <t>shield-protocol-token</t>
  </si>
  <si>
    <t>Shield Protocol Token</t>
  </si>
  <si>
    <t>SFL</t>
  </si>
  <si>
    <t>shiftal-coin</t>
  </si>
  <si>
    <t>Shiftal Coin</t>
  </si>
  <si>
    <t>SHIH</t>
  </si>
  <si>
    <t>shih-tzu</t>
  </si>
  <si>
    <t>Shih Tzu</t>
  </si>
  <si>
    <t>SHKG</t>
  </si>
  <si>
    <t>shikage</t>
  </si>
  <si>
    <t>Shikage</t>
  </si>
  <si>
    <t>SHIKO</t>
  </si>
  <si>
    <t>shikoku-inu</t>
  </si>
  <si>
    <t>Shikoku Inu</t>
  </si>
  <si>
    <t>SH</t>
  </si>
  <si>
    <t>shilling</t>
  </si>
  <si>
    <t>Shilling</t>
  </si>
  <si>
    <t>SHILL</t>
  </si>
  <si>
    <t>shillit-app</t>
  </si>
  <si>
    <t>Shillit App</t>
  </si>
  <si>
    <t>shill-token</t>
  </si>
  <si>
    <t>Project SEED SHILL</t>
  </si>
  <si>
    <t>SHBAR</t>
  </si>
  <si>
    <t>shilly-bar</t>
  </si>
  <si>
    <t>Shilly Bar</t>
  </si>
  <si>
    <t>SMR</t>
  </si>
  <si>
    <t>shimmer-network</t>
  </si>
  <si>
    <t>Shimmer Network</t>
  </si>
  <si>
    <t>SHI</t>
  </si>
  <si>
    <t>shina-inu</t>
  </si>
  <si>
    <t>Shina Inu</t>
  </si>
  <si>
    <t>SHINNOSUKE</t>
  </si>
  <si>
    <t>shinchan-token</t>
  </si>
  <si>
    <t>ShinChan</t>
  </si>
  <si>
    <t>SHE</t>
  </si>
  <si>
    <t>shinechain</t>
  </si>
  <si>
    <t>ShineChain</t>
  </si>
  <si>
    <t>SHN</t>
  </si>
  <si>
    <t>shinedao</t>
  </si>
  <si>
    <t>ShineDAO</t>
  </si>
  <si>
    <t>SHINE</t>
  </si>
  <si>
    <t>shinemine</t>
  </si>
  <si>
    <t>ShineMine</t>
  </si>
  <si>
    <t>SHINFLOKI</t>
  </si>
  <si>
    <t>shinfloki</t>
  </si>
  <si>
    <t>ShinFloki</t>
  </si>
  <si>
    <t>SCS</t>
  </si>
  <si>
    <t>shining-crystal-shard</t>
  </si>
  <si>
    <t>Shining Crystal Shard</t>
  </si>
  <si>
    <t>SHINJI</t>
  </si>
  <si>
    <t>shinji-inu</t>
  </si>
  <si>
    <t>Shinji Inu</t>
  </si>
  <si>
    <t>$SHINJI</t>
  </si>
  <si>
    <t>shinjirai</t>
  </si>
  <si>
    <t>ShinjiRai</t>
  </si>
  <si>
    <t>SHINJIRO</t>
  </si>
  <si>
    <t>shinjiro</t>
  </si>
  <si>
    <t>Shinjiro</t>
  </si>
  <si>
    <t>SHINJIZ</t>
  </si>
  <si>
    <t>shinji-the-zombie-slayer</t>
  </si>
  <si>
    <t>Shinji the Zombie Slayer</t>
  </si>
  <si>
    <t>SHINJURAI</t>
  </si>
  <si>
    <t>shinjurai</t>
  </si>
  <si>
    <t>Shinjurai</t>
  </si>
  <si>
    <t>SHINJUTSU</t>
  </si>
  <si>
    <t>shinjutsu</t>
  </si>
  <si>
    <t>Shinjutsu</t>
  </si>
  <si>
    <t>shinobi</t>
  </si>
  <si>
    <t>Shinobi</t>
  </si>
  <si>
    <t>SHIN</t>
  </si>
  <si>
    <t>shinobi-inu</t>
  </si>
  <si>
    <t>Shinobi Inu</t>
  </si>
  <si>
    <t>shinomics</t>
  </si>
  <si>
    <t>Shinomics</t>
  </si>
  <si>
    <t>SHINTAMA</t>
  </si>
  <si>
    <t>shintama</t>
  </si>
  <si>
    <t>Shintama</t>
  </si>
  <si>
    <t>SHINY</t>
  </si>
  <si>
    <t>shiny</t>
  </si>
  <si>
    <t>Shiny</t>
  </si>
  <si>
    <t>shipchain</t>
  </si>
  <si>
    <t>ShipChain</t>
  </si>
  <si>
    <t>SHPP</t>
  </si>
  <si>
    <t>shipitpro</t>
  </si>
  <si>
    <t>ShipItPro</t>
  </si>
  <si>
    <t>SPLY</t>
  </si>
  <si>
    <t>shiplay</t>
  </si>
  <si>
    <t>ShiPlay</t>
  </si>
  <si>
    <t>shirainu</t>
  </si>
  <si>
    <t>ShiraINU</t>
  </si>
  <si>
    <t>shirtum</t>
  </si>
  <si>
    <t>Shirtum</t>
  </si>
  <si>
    <t>SHIRYO-INU</t>
  </si>
  <si>
    <t>shiryo-inu</t>
  </si>
  <si>
    <t>Shiryo</t>
  </si>
  <si>
    <t>SHISH</t>
  </si>
  <si>
    <t>shisha</t>
  </si>
  <si>
    <t>Shisha</t>
  </si>
  <si>
    <t>SHIT</t>
  </si>
  <si>
    <t>shitcoin</t>
  </si>
  <si>
    <t>ShitCoin</t>
  </si>
  <si>
    <t>SHITZU</t>
  </si>
  <si>
    <t>shitzu</t>
  </si>
  <si>
    <t>Shitzu</t>
  </si>
  <si>
    <t>SHIBAWITCH</t>
  </si>
  <si>
    <t>shiwbawitch-token</t>
  </si>
  <si>
    <t>SHIWBAWITCH</t>
  </si>
  <si>
    <t>SHKOOBY</t>
  </si>
  <si>
    <t>shkooby-inu</t>
  </si>
  <si>
    <t>SHKOOBY INU</t>
  </si>
  <si>
    <t>SHBL</t>
  </si>
  <si>
    <t>shoebill-coin</t>
  </si>
  <si>
    <t>Shoebill Coin</t>
  </si>
  <si>
    <t>SHOE</t>
  </si>
  <si>
    <t>shoefy</t>
  </si>
  <si>
    <t>ShoeFy</t>
  </si>
  <si>
    <t>SHON</t>
  </si>
  <si>
    <t>shontoken</t>
  </si>
  <si>
    <t>Shon</t>
  </si>
  <si>
    <t>SHOO</t>
  </si>
  <si>
    <t>shoot</t>
  </si>
  <si>
    <t>SHOOT</t>
  </si>
  <si>
    <t>shopnext</t>
  </si>
  <si>
    <t>ShopNEXT</t>
  </si>
  <si>
    <t>SRO</t>
  </si>
  <si>
    <t>shopperoo</t>
  </si>
  <si>
    <t>Shopperoo</t>
  </si>
  <si>
    <t>SHOP</t>
  </si>
  <si>
    <t>shoppi-coin</t>
  </si>
  <si>
    <t>Shoppi Coin</t>
  </si>
  <si>
    <t>SPI</t>
  </si>
  <si>
    <t>shopping-io</t>
  </si>
  <si>
    <t>Shopping.io</t>
  </si>
  <si>
    <t>SHORTY</t>
  </si>
  <si>
    <t>shorty</t>
  </si>
  <si>
    <t>Shorty</t>
  </si>
  <si>
    <t>SHO</t>
  </si>
  <si>
    <t>showcase-token</t>
  </si>
  <si>
    <t>Showcase</t>
  </si>
  <si>
    <t>HAND</t>
  </si>
  <si>
    <t>showhand</t>
  </si>
  <si>
    <t>ShowHand</t>
  </si>
  <si>
    <t>SHPING</t>
  </si>
  <si>
    <t>shping</t>
  </si>
  <si>
    <t>Shping</t>
  </si>
  <si>
    <t>SHROOM</t>
  </si>
  <si>
    <t>shroom-finance</t>
  </si>
  <si>
    <t>Niftyx Protocol</t>
  </si>
  <si>
    <t>SHRM</t>
  </si>
  <si>
    <t>shrooms</t>
  </si>
  <si>
    <t>Shrooms</t>
  </si>
  <si>
    <t>SHUEY</t>
  </si>
  <si>
    <t>shuey-rhon-inu</t>
  </si>
  <si>
    <t>Shuey Rhon Inu</t>
  </si>
  <si>
    <t>SHUMO</t>
  </si>
  <si>
    <t>shumo</t>
  </si>
  <si>
    <t>Shumo</t>
  </si>
  <si>
    <t>SHUNAV2</t>
  </si>
  <si>
    <t>shuna-inuverse</t>
  </si>
  <si>
    <t>Shuna Inuverse</t>
  </si>
  <si>
    <t>SHFT</t>
  </si>
  <si>
    <t>shyft-network-2</t>
  </si>
  <si>
    <t>Shyft Network</t>
  </si>
  <si>
    <t>SI14</t>
  </si>
  <si>
    <t>si14bet</t>
  </si>
  <si>
    <t>Si14Bet</t>
  </si>
  <si>
    <t>siacashcoin</t>
  </si>
  <si>
    <t>SiaCashCoin</t>
  </si>
  <si>
    <t>siaclassic</t>
  </si>
  <si>
    <t>SiaClassic</t>
  </si>
  <si>
    <t>siacoin</t>
  </si>
  <si>
    <t>Siacoin</t>
  </si>
  <si>
    <t>siambitcoin</t>
  </si>
  <si>
    <t>SiamBitcoin</t>
  </si>
  <si>
    <t>siaprime-coin</t>
  </si>
  <si>
    <t>ScPrime</t>
  </si>
  <si>
    <t>SIB</t>
  </si>
  <si>
    <t>sibcoin</t>
  </si>
  <si>
    <t>SIBCoin</t>
  </si>
  <si>
    <t>SHUSKY</t>
  </si>
  <si>
    <t>siberian-husky</t>
  </si>
  <si>
    <t>Siberian Husky</t>
  </si>
  <si>
    <t>SIC</t>
  </si>
  <si>
    <t>sicash</t>
  </si>
  <si>
    <t>SICash</t>
  </si>
  <si>
    <t>SIDD</t>
  </si>
  <si>
    <t>siddcoin</t>
  </si>
  <si>
    <t>Siddcoin</t>
  </si>
  <si>
    <t>SK</t>
  </si>
  <si>
    <t>sidekick-token</t>
  </si>
  <si>
    <t>SideKick</t>
  </si>
  <si>
    <t>XAI</t>
  </si>
  <si>
    <t>sideshift-token</t>
  </si>
  <si>
    <t>SideShift</t>
  </si>
  <si>
    <t>SIDUS</t>
  </si>
  <si>
    <t>sidus</t>
  </si>
  <si>
    <t>Sidus</t>
  </si>
  <si>
    <t>SIENNA</t>
  </si>
  <si>
    <t>sienna</t>
  </si>
  <si>
    <t>Sienna</t>
  </si>
  <si>
    <t>WSIENNA</t>
  </si>
  <si>
    <t>sienna-erc20</t>
  </si>
  <si>
    <t>Sienna [ERC-20]</t>
  </si>
  <si>
    <t>SRA</t>
  </si>
  <si>
    <t>sierra</t>
  </si>
  <si>
    <t>Sierra</t>
  </si>
  <si>
    <t>SIF</t>
  </si>
  <si>
    <t>sif</t>
  </si>
  <si>
    <t>Sif</t>
  </si>
  <si>
    <t>EROWAN</t>
  </si>
  <si>
    <t>sifchain</t>
  </si>
  <si>
    <t>Sifchain</t>
  </si>
  <si>
    <t>SIFU</t>
  </si>
  <si>
    <t>sifu-vision</t>
  </si>
  <si>
    <t>Sifu Vision</t>
  </si>
  <si>
    <t>SGNL</t>
  </si>
  <si>
    <t>signal</t>
  </si>
  <si>
    <t>Signal</t>
  </si>
  <si>
    <t>SIG</t>
  </si>
  <si>
    <t>signal-token</t>
  </si>
  <si>
    <t>Signal Token</t>
  </si>
  <si>
    <t>SATA</t>
  </si>
  <si>
    <t>signata</t>
  </si>
  <si>
    <t>Signata</t>
  </si>
  <si>
    <t>SIGN</t>
  </si>
  <si>
    <t>signaturechain</t>
  </si>
  <si>
    <t>SignatureChain</t>
  </si>
  <si>
    <t>signed</t>
  </si>
  <si>
    <t>Signed</t>
  </si>
  <si>
    <t>SIGNA</t>
  </si>
  <si>
    <t>signum</t>
  </si>
  <si>
    <t>Signum</t>
  </si>
  <si>
    <t>UBSN</t>
  </si>
  <si>
    <t>silent-notary</t>
  </si>
  <si>
    <t>Silent Notary</t>
  </si>
  <si>
    <t>SIL</t>
  </si>
  <si>
    <t>sil-finance</t>
  </si>
  <si>
    <t>SIL Finance V2</t>
  </si>
  <si>
    <t>SILK</t>
  </si>
  <si>
    <t>silkchain</t>
  </si>
  <si>
    <t>SilkChain</t>
  </si>
  <si>
    <t>silo-finance</t>
  </si>
  <si>
    <t>Silo Finance</t>
  </si>
  <si>
    <t>SILVA</t>
  </si>
  <si>
    <t>silva-token</t>
  </si>
  <si>
    <t>Silva</t>
  </si>
  <si>
    <t>SVC</t>
  </si>
  <si>
    <t>silvercashs</t>
  </si>
  <si>
    <t>Silvercashs</t>
  </si>
  <si>
    <t>silvercoin</t>
  </si>
  <si>
    <t>SilverCoin</t>
  </si>
  <si>
    <t>SSTX</t>
  </si>
  <si>
    <t>silverstonks</t>
  </si>
  <si>
    <t>Silver Stonks</t>
  </si>
  <si>
    <t>SLVT</t>
  </si>
  <si>
    <t>silvertoken</t>
  </si>
  <si>
    <t>SilverToken</t>
  </si>
  <si>
    <t>DSLV</t>
  </si>
  <si>
    <t>silver-tokenized-stock-defichain</t>
  </si>
  <si>
    <t>iShares Silver Trust Defichain</t>
  </si>
  <si>
    <t>SLV</t>
  </si>
  <si>
    <t>silverway</t>
  </si>
  <si>
    <t>Silverway</t>
  </si>
  <si>
    <t>SIM</t>
  </si>
  <si>
    <t>simba-empire</t>
  </si>
  <si>
    <t>Simba Empire</t>
  </si>
  <si>
    <t>SIMBAINU</t>
  </si>
  <si>
    <t>simba-inu</t>
  </si>
  <si>
    <t>Simba Inu</t>
  </si>
  <si>
    <t>SST</t>
  </si>
  <si>
    <t>simba-storage-token</t>
  </si>
  <si>
    <t>SIMBA</t>
  </si>
  <si>
    <t>simba-token</t>
  </si>
  <si>
    <t>Simba</t>
  </si>
  <si>
    <t>SMBSWAP</t>
  </si>
  <si>
    <t>simbcoin-swap</t>
  </si>
  <si>
    <t>SimbCoin Swap</t>
  </si>
  <si>
    <t>SCAM</t>
  </si>
  <si>
    <t>simple-cool-automatic-money</t>
  </si>
  <si>
    <t>Simple Cool Automatic Money</t>
  </si>
  <si>
    <t>SMNC</t>
  </si>
  <si>
    <t>simple-masternode-coin</t>
  </si>
  <si>
    <t>Simple Masternode Coin</t>
  </si>
  <si>
    <t>OST</t>
  </si>
  <si>
    <t>simple-token</t>
  </si>
  <si>
    <t>simplexchain</t>
  </si>
  <si>
    <t>SimplexChain</t>
  </si>
  <si>
    <t>SPL</t>
  </si>
  <si>
    <t>simplicity-coin</t>
  </si>
  <si>
    <t>Simplicity Coin</t>
  </si>
  <si>
    <t>SIMPLI</t>
  </si>
  <si>
    <t>simpli-finance</t>
  </si>
  <si>
    <t>Simpli Finance</t>
  </si>
  <si>
    <t>SIMPLY</t>
  </si>
  <si>
    <t>simply</t>
  </si>
  <si>
    <t>Simply</t>
  </si>
  <si>
    <t>SIMP</t>
  </si>
  <si>
    <t>simp-token</t>
  </si>
  <si>
    <t>Simp</t>
  </si>
  <si>
    <t>SRC</t>
  </si>
  <si>
    <t>simracer-coin</t>
  </si>
  <si>
    <t>Simracer Coin</t>
  </si>
  <si>
    <t>SET</t>
  </si>
  <si>
    <t>sinan-energy</t>
  </si>
  <si>
    <t>Sinan Energy</t>
  </si>
  <si>
    <t>$SCATE</t>
  </si>
  <si>
    <t>sincere-cate</t>
  </si>
  <si>
    <t>Sincere Cate</t>
  </si>
  <si>
    <t>SDOGE</t>
  </si>
  <si>
    <t>sincere-doge</t>
  </si>
  <si>
    <t>Sincere Doge</t>
  </si>
  <si>
    <t>SIN</t>
  </si>
  <si>
    <t>sin-city</t>
  </si>
  <si>
    <t>Sinverse</t>
  </si>
  <si>
    <t>XNR</t>
  </si>
  <si>
    <t>sinerium</t>
  </si>
  <si>
    <t>Sinerium</t>
  </si>
  <si>
    <t>SINGER</t>
  </si>
  <si>
    <t>singer-community-coin</t>
  </si>
  <si>
    <t>Singer Community Coin</t>
  </si>
  <si>
    <t>SINGH</t>
  </si>
  <si>
    <t>singh</t>
  </si>
  <si>
    <t>Singh</t>
  </si>
  <si>
    <t>SINGLE</t>
  </si>
  <si>
    <t>single-finance</t>
  </si>
  <si>
    <t>Single Finance</t>
  </si>
  <si>
    <t>SING</t>
  </si>
  <si>
    <t>sing-token</t>
  </si>
  <si>
    <t>Sing</t>
  </si>
  <si>
    <t>sing-token-avalanche</t>
  </si>
  <si>
    <t>Sing (Avalanche)</t>
  </si>
  <si>
    <t>sing-token-bsc</t>
  </si>
  <si>
    <t>Sing (BSC)</t>
  </si>
  <si>
    <t>SNGLS</t>
  </si>
  <si>
    <t>singulardtv</t>
  </si>
  <si>
    <t>SingularDTV</t>
  </si>
  <si>
    <t>SGLY</t>
  </si>
  <si>
    <t>singularity</t>
  </si>
  <si>
    <t>Singularity</t>
  </si>
  <si>
    <t>SDAO</t>
  </si>
  <si>
    <t>singularitydao</t>
  </si>
  <si>
    <t>SingularityDAO</t>
  </si>
  <si>
    <t>AGIX</t>
  </si>
  <si>
    <t>singularitynet</t>
  </si>
  <si>
    <t>SingularityNET</t>
  </si>
  <si>
    <t>sins-finance</t>
  </si>
  <si>
    <t>Sins Finance</t>
  </si>
  <si>
    <t>STV</t>
  </si>
  <si>
    <t>sint-truidense-voetbalvereniging-fan-token</t>
  </si>
  <si>
    <t>Sint-Truidense Voetbalvereniging Fan Token</t>
  </si>
  <si>
    <t>SIPHER</t>
  </si>
  <si>
    <t>sipher</t>
  </si>
  <si>
    <t>Sipher</t>
  </si>
  <si>
    <t>SI</t>
  </si>
  <si>
    <t>siren</t>
  </si>
  <si>
    <t>Siren</t>
  </si>
  <si>
    <t>SRN</t>
  </si>
  <si>
    <t>sirin-labs-token</t>
  </si>
  <si>
    <t>SIR</t>
  </si>
  <si>
    <t>sirio</t>
  </si>
  <si>
    <t>Sirio</t>
  </si>
  <si>
    <t>SRS</t>
  </si>
  <si>
    <t>sirius-finance</t>
  </si>
  <si>
    <t>Sirius Finance</t>
  </si>
  <si>
    <t>SISHI</t>
  </si>
  <si>
    <t>sishi-finance</t>
  </si>
  <si>
    <t>Sishi Finance</t>
  </si>
  <si>
    <t>SIV</t>
  </si>
  <si>
    <t>sivasspor</t>
  </si>
  <si>
    <t>Sivasspor</t>
  </si>
  <si>
    <t>611</t>
  </si>
  <si>
    <t>sixeleven</t>
  </si>
  <si>
    <t>SixEleven</t>
  </si>
  <si>
    <t>SIX</t>
  </si>
  <si>
    <t>six-network</t>
  </si>
  <si>
    <t>SIX Network</t>
  </si>
  <si>
    <t>SJW</t>
  </si>
  <si>
    <t>sjwcoin</t>
  </si>
  <si>
    <t>SJWCoin</t>
  </si>
  <si>
    <t>SKL</t>
  </si>
  <si>
    <t>skale</t>
  </si>
  <si>
    <t>SKALE</t>
  </si>
  <si>
    <t>SKEY</t>
  </si>
  <si>
    <t>skey-network</t>
  </si>
  <si>
    <t>Skey Network</t>
  </si>
  <si>
    <t>SKI</t>
  </si>
  <si>
    <t>skillchain</t>
  </si>
  <si>
    <t>Skillchain</t>
  </si>
  <si>
    <t>SGK</t>
  </si>
  <si>
    <t>skill-guilds</t>
  </si>
  <si>
    <t>Skill Guilds</t>
  </si>
  <si>
    <t>SKC</t>
  </si>
  <si>
    <t>skinchain</t>
  </si>
  <si>
    <t>SKINCHAIN</t>
  </si>
  <si>
    <t>SKIN</t>
  </si>
  <si>
    <t>skincoin</t>
  </si>
  <si>
    <t>SkinCoin</t>
  </si>
  <si>
    <t>SKLAY</t>
  </si>
  <si>
    <t>sklay</t>
  </si>
  <si>
    <t>sKLAY</t>
  </si>
  <si>
    <t>SKRP</t>
  </si>
  <si>
    <t>skraps</t>
  </si>
  <si>
    <t>Skraps</t>
  </si>
  <si>
    <t>SKM</t>
  </si>
  <si>
    <t>skrumble-network</t>
  </si>
  <si>
    <t>Skrumble Network</t>
  </si>
  <si>
    <t>SKULL</t>
  </si>
  <si>
    <t>skull</t>
  </si>
  <si>
    <t>Skull</t>
  </si>
  <si>
    <t>SKBR</t>
  </si>
  <si>
    <t>skybridger</t>
  </si>
  <si>
    <t>SkyBridger</t>
  </si>
  <si>
    <t>skycoin</t>
  </si>
  <si>
    <t>Skycoin</t>
  </si>
  <si>
    <t>SDC</t>
  </si>
  <si>
    <t>skydos</t>
  </si>
  <si>
    <t>SkyDOS</t>
  </si>
  <si>
    <t>SKYLANDS</t>
  </si>
  <si>
    <t>skylands</t>
  </si>
  <si>
    <t>SkyLands</t>
  </si>
  <si>
    <t>SKYRIM</t>
  </si>
  <si>
    <t>skyrim-finance</t>
  </si>
  <si>
    <t>Skyrim Finance</t>
  </si>
  <si>
    <t>SKYROCKETING</t>
  </si>
  <si>
    <t>skyrocketing</t>
  </si>
  <si>
    <t>Skyrocketing</t>
  </si>
  <si>
    <t>sky-shiba</t>
  </si>
  <si>
    <t>Sky Shiba</t>
  </si>
  <si>
    <t>SKYWARD</t>
  </si>
  <si>
    <t>skyward-finance</t>
  </si>
  <si>
    <t>Skyward Finance</t>
  </si>
  <si>
    <t>SKYX</t>
  </si>
  <si>
    <t>skyx-token</t>
  </si>
  <si>
    <t>SkyX</t>
  </si>
  <si>
    <t>SL3</t>
  </si>
  <si>
    <t>sl3-token</t>
  </si>
  <si>
    <t>Mammoth</t>
  </si>
  <si>
    <t>SLAM</t>
  </si>
  <si>
    <t>slam-token</t>
  </si>
  <si>
    <t>Slam</t>
  </si>
  <si>
    <t>sleepearn-finance</t>
  </si>
  <si>
    <t>SleepEarn Finance</t>
  </si>
  <si>
    <t>SLEEPEE</t>
  </si>
  <si>
    <t>sleepfuture</t>
  </si>
  <si>
    <t>SleepFuture</t>
  </si>
  <si>
    <t>SLEEPY-SHIB</t>
  </si>
  <si>
    <t>sleepy-shib</t>
  </si>
  <si>
    <t>Sleepy-Shib</t>
  </si>
  <si>
    <t>SLEEPY</t>
  </si>
  <si>
    <t>sleepy-sloth</t>
  </si>
  <si>
    <t>Sleepy Sloth Finance</t>
  </si>
  <si>
    <t>slimcoin</t>
  </si>
  <si>
    <t>Slimcoin</t>
  </si>
  <si>
    <t>SLINK</t>
  </si>
  <si>
    <t>slink</t>
  </si>
  <si>
    <t>sLINK</t>
  </si>
  <si>
    <t>SLNV2</t>
  </si>
  <si>
    <t>slnv2</t>
  </si>
  <si>
    <t>SLOTH</t>
  </si>
  <si>
    <t>slothcoin</t>
  </si>
  <si>
    <t>SlothCoin</t>
  </si>
  <si>
    <t>SLT</t>
  </si>
  <si>
    <t>slt</t>
  </si>
  <si>
    <t>SDOG</t>
  </si>
  <si>
    <t>small-doge</t>
  </si>
  <si>
    <t>Small Doge</t>
  </si>
  <si>
    <t>small-fish-cookie</t>
  </si>
  <si>
    <t>Small Fish Cookie</t>
  </si>
  <si>
    <t>SBCC</t>
  </si>
  <si>
    <t>smart-block-chain-city</t>
  </si>
  <si>
    <t>Smart Block Chain City</t>
  </si>
  <si>
    <t>SBUSD</t>
  </si>
  <si>
    <t>smart-busd</t>
  </si>
  <si>
    <t>Smart BUSD</t>
  </si>
  <si>
    <t>SMART</t>
  </si>
  <si>
    <t>smartcash</t>
  </si>
  <si>
    <t>SmartCash</t>
  </si>
  <si>
    <t>SMAC</t>
  </si>
  <si>
    <t>smartchem</t>
  </si>
  <si>
    <t>Smartchem</t>
  </si>
  <si>
    <t>SMRT</t>
  </si>
  <si>
    <t>smartcoin-2</t>
  </si>
  <si>
    <t>SmartCoin</t>
  </si>
  <si>
    <t>SMRTR</t>
  </si>
  <si>
    <t>smart-coin-smrtr</t>
  </si>
  <si>
    <t>SmarterCoin</t>
  </si>
  <si>
    <t>SMARTCREDIT</t>
  </si>
  <si>
    <t>smartcredit-token</t>
  </si>
  <si>
    <t>smart-donation-coin</t>
  </si>
  <si>
    <t>Smart Donation Coin</t>
  </si>
  <si>
    <t>SELECT</t>
  </si>
  <si>
    <t>smart-electrum</t>
  </si>
  <si>
    <t>Smart Electrum</t>
  </si>
  <si>
    <t>SMTF</t>
  </si>
  <si>
    <t>smartfi</t>
  </si>
  <si>
    <t>SmartFi</t>
  </si>
  <si>
    <t>smartlands</t>
  </si>
  <si>
    <t>Smartlands Network</t>
  </si>
  <si>
    <t>SMARTLOX</t>
  </si>
  <si>
    <t>smartlox</t>
  </si>
  <si>
    <t>SmartLOX</t>
  </si>
  <si>
    <t>SMT</t>
  </si>
  <si>
    <t>smart-marketing-token</t>
  </si>
  <si>
    <t>Smart Marketing</t>
  </si>
  <si>
    <t>SMC</t>
  </si>
  <si>
    <t>smart-medical-coin</t>
  </si>
  <si>
    <t>Smart Medical Coin</t>
  </si>
  <si>
    <t>smartmesh</t>
  </si>
  <si>
    <t>SmartMesh</t>
  </si>
  <si>
    <t>MFG</t>
  </si>
  <si>
    <t>smart-mfg</t>
  </si>
  <si>
    <t>Smart MFG</t>
  </si>
  <si>
    <t>SMARTNFT</t>
  </si>
  <si>
    <t>smartnft</t>
  </si>
  <si>
    <t>SmartNFT</t>
  </si>
  <si>
    <t>smartnodes-finance</t>
  </si>
  <si>
    <t>Smart Finance</t>
  </si>
  <si>
    <t>smartofgiving</t>
  </si>
  <si>
    <t>smARTOFGIVING</t>
  </si>
  <si>
    <t>smartpad</t>
  </si>
  <si>
    <t>SmartPad</t>
  </si>
  <si>
    <t>SRT</t>
  </si>
  <si>
    <t>smart-reward-token</t>
  </si>
  <si>
    <t>Smart Reward Token</t>
  </si>
  <si>
    <t>SSP</t>
  </si>
  <si>
    <t>smartshare</t>
  </si>
  <si>
    <t>Smartshare</t>
  </si>
  <si>
    <t>SMARTSHIB</t>
  </si>
  <si>
    <t>smart-shiba</t>
  </si>
  <si>
    <t>Smart Shiba</t>
  </si>
  <si>
    <t>smart-token</t>
  </si>
  <si>
    <t>Smart</t>
  </si>
  <si>
    <t>VALOR</t>
  </si>
  <si>
    <t>smart-valor</t>
  </si>
  <si>
    <t>Smart Valor</t>
  </si>
  <si>
    <t>SWT</t>
  </si>
  <si>
    <t>smart-wallet-token</t>
  </si>
  <si>
    <t>Smart Wallet</t>
  </si>
  <si>
    <t>smartway-finance</t>
  </si>
  <si>
    <t>Smartway.Finance</t>
  </si>
  <si>
    <t>SMARTWORTH</t>
  </si>
  <si>
    <t>smartworth</t>
  </si>
  <si>
    <t>Smartworth</t>
  </si>
  <si>
    <t>smartx</t>
  </si>
  <si>
    <t>SmartX</t>
  </si>
  <si>
    <t>smarty-pay</t>
  </si>
  <si>
    <t>Smarty Pay</t>
  </si>
  <si>
    <t>SMASH</t>
  </si>
  <si>
    <t>smash-cash</t>
  </si>
  <si>
    <t>Smash Cash</t>
  </si>
  <si>
    <t>SAS</t>
  </si>
  <si>
    <t>smash-token</t>
  </si>
  <si>
    <t>Smashchain</t>
  </si>
  <si>
    <t>smaugs-nft</t>
  </si>
  <si>
    <t>Smaugs NFT</t>
  </si>
  <si>
    <t>SMD</t>
  </si>
  <si>
    <t>smd-coin</t>
  </si>
  <si>
    <t>SMD Coin</t>
  </si>
  <si>
    <t>SMGM</t>
  </si>
  <si>
    <t>smegmars</t>
  </si>
  <si>
    <t>SMEGMARS</t>
  </si>
  <si>
    <t>smg</t>
  </si>
  <si>
    <t>SEC</t>
  </si>
  <si>
    <t>smilecoin</t>
  </si>
  <si>
    <t>Smilecoin</t>
  </si>
  <si>
    <t>SMILE</t>
  </si>
  <si>
    <t>smile-coin</t>
  </si>
  <si>
    <t>Smile Coin</t>
  </si>
  <si>
    <t>smile-token</t>
  </si>
  <si>
    <t>Smile</t>
  </si>
  <si>
    <t>SMLY</t>
  </si>
  <si>
    <t>smileycoin</t>
  </si>
  <si>
    <t>Smileycoin</t>
  </si>
  <si>
    <t>SMOKE</t>
  </si>
  <si>
    <t>smoke</t>
  </si>
  <si>
    <t>Smoke</t>
  </si>
  <si>
    <t>smoke-high</t>
  </si>
  <si>
    <t>Smoke High</t>
  </si>
  <si>
    <t>SMOL</t>
  </si>
  <si>
    <t>smolting-inu</t>
  </si>
  <si>
    <t>Smolting Inu</t>
  </si>
  <si>
    <t>SLP</t>
  </si>
  <si>
    <t>smooth-love-potion</t>
  </si>
  <si>
    <t>Smooth Love Potion</t>
  </si>
  <si>
    <t>smooth-love-potion-wormhole</t>
  </si>
  <si>
    <t>Smooth Love Potion (Wormhole)</t>
  </si>
  <si>
    <t>SMTY</t>
  </si>
  <si>
    <t>smoothy</t>
  </si>
  <si>
    <t>Smoothy</t>
  </si>
  <si>
    <t>SMSCT</t>
  </si>
  <si>
    <t>smscodes</t>
  </si>
  <si>
    <t>SMSCodes</t>
  </si>
  <si>
    <t>SLIME</t>
  </si>
  <si>
    <t>snail-trail</t>
  </si>
  <si>
    <t>Snail Trail</t>
  </si>
  <si>
    <t>GSK</t>
  </si>
  <si>
    <t>snake</t>
  </si>
  <si>
    <t>SNAKE</t>
  </si>
  <si>
    <t>snake-rinium</t>
  </si>
  <si>
    <t>Snake Rinium</t>
  </si>
  <si>
    <t>SNK</t>
  </si>
  <si>
    <t>snake-token</t>
  </si>
  <si>
    <t>CryptoSnake</t>
  </si>
  <si>
    <t>SNAP</t>
  </si>
  <si>
    <t>snapex</t>
  </si>
  <si>
    <t>SnapEx</t>
  </si>
  <si>
    <t>RNO</t>
  </si>
  <si>
    <t>snapparazzi</t>
  </si>
  <si>
    <t>Earneo</t>
  </si>
  <si>
    <t>SNET</t>
  </si>
  <si>
    <t>snetwork</t>
  </si>
  <si>
    <t>Snetwork</t>
  </si>
  <si>
    <t>SGT</t>
  </si>
  <si>
    <t>snglsdao-governance-token</t>
  </si>
  <si>
    <t>snook</t>
  </si>
  <si>
    <t>Snook</t>
  </si>
  <si>
    <t>SNOOP</t>
  </si>
  <si>
    <t>snoopdao</t>
  </si>
  <si>
    <t>SnoopDAO</t>
  </si>
  <si>
    <t>snoopflokidog</t>
  </si>
  <si>
    <t>Snoop Floki Dog</t>
  </si>
  <si>
    <t>SNOSHARE</t>
  </si>
  <si>
    <t>snoshares</t>
  </si>
  <si>
    <t>Snoshares</t>
  </si>
  <si>
    <t>SNOV</t>
  </si>
  <si>
    <t>snovio</t>
  </si>
  <si>
    <t>Snovian.Space</t>
  </si>
  <si>
    <t>SNOWBALL</t>
  </si>
  <si>
    <t>snowballtoken</t>
  </si>
  <si>
    <t>Snowball Token</t>
  </si>
  <si>
    <t>SNOB</t>
  </si>
  <si>
    <t>snowball-token</t>
  </si>
  <si>
    <t>Snowball</t>
  </si>
  <si>
    <t>SNO</t>
  </si>
  <si>
    <t>snowbank</t>
  </si>
  <si>
    <t>Snowbank</t>
  </si>
  <si>
    <t>snowbear</t>
  </si>
  <si>
    <t>Snowbear</t>
  </si>
  <si>
    <t>SNOW</t>
  </si>
  <si>
    <t>snowblossom</t>
  </si>
  <si>
    <t>SnowBlossom</t>
  </si>
  <si>
    <t>snow-burn</t>
  </si>
  <si>
    <t>Snow Burn</t>
  </si>
  <si>
    <t>NORA</t>
  </si>
  <si>
    <t>snowcrash-token</t>
  </si>
  <si>
    <t>SnowCrash</t>
  </si>
  <si>
    <t>snowdog</t>
  </si>
  <si>
    <t>Snowdog</t>
  </si>
  <si>
    <t>TENT</t>
  </si>
  <si>
    <t>snowgem</t>
  </si>
  <si>
    <t>snowswap</t>
  </si>
  <si>
    <t>Snowswap</t>
  </si>
  <si>
    <t>STOMB</t>
  </si>
  <si>
    <t>snowtomb</t>
  </si>
  <si>
    <t>Snowtomb</t>
  </si>
  <si>
    <t>SLOT</t>
  </si>
  <si>
    <t>snowtomb-lot</t>
  </si>
  <si>
    <t>Snowtomb LOT</t>
  </si>
  <si>
    <t>snowy-owl</t>
  </si>
  <si>
    <t>Snowy Owl</t>
  </si>
  <si>
    <t>DSNX</t>
  </si>
  <si>
    <t>snx-debt-mirror</t>
  </si>
  <si>
    <t>SNX Debt Mirror</t>
  </si>
  <si>
    <t>soakmont</t>
  </si>
  <si>
    <t>Soakmont</t>
  </si>
  <si>
    <t>SOAR</t>
  </si>
  <si>
    <t>soar-2</t>
  </si>
  <si>
    <t>Soar</t>
  </si>
  <si>
    <t>SOBA</t>
  </si>
  <si>
    <t>soba-token</t>
  </si>
  <si>
    <t>SOCA</t>
  </si>
  <si>
    <t>socaverse</t>
  </si>
  <si>
    <t>Socaverse</t>
  </si>
  <si>
    <t>soccerhub</t>
  </si>
  <si>
    <t>SoccerHub</t>
  </si>
  <si>
    <t>SOCIN</t>
  </si>
  <si>
    <t>soccer-infinity</t>
  </si>
  <si>
    <t>Soccer Infinity</t>
  </si>
  <si>
    <t>SCNSOL</t>
  </si>
  <si>
    <t>socean-staked-sol</t>
  </si>
  <si>
    <t>Socean Staked Sol</t>
  </si>
  <si>
    <t>SBLX</t>
  </si>
  <si>
    <t>socialblox</t>
  </si>
  <si>
    <t>SocialBlox</t>
  </si>
  <si>
    <t>SG</t>
  </si>
  <si>
    <t>social-good-project</t>
  </si>
  <si>
    <t>SocialGood</t>
  </si>
  <si>
    <t>SCL</t>
  </si>
  <si>
    <t>sociall</t>
  </si>
  <si>
    <t>Sociall</t>
  </si>
  <si>
    <t>social-rocket</t>
  </si>
  <si>
    <t>Social Rocket</t>
  </si>
  <si>
    <t>SEND</t>
  </si>
  <si>
    <t>social-send</t>
  </si>
  <si>
    <t>Social Send</t>
  </si>
  <si>
    <t>SOSX</t>
  </si>
  <si>
    <t>socialx-2</t>
  </si>
  <si>
    <t>SocialX</t>
  </si>
  <si>
    <t>SGE</t>
  </si>
  <si>
    <t>society-of-galactic-exploration</t>
  </si>
  <si>
    <t>Society of Galactic Exploration</t>
  </si>
  <si>
    <t>socilink</t>
  </si>
  <si>
    <t>SociLink</t>
  </si>
  <si>
    <t>soda-coin</t>
  </si>
  <si>
    <t>SODA Coin</t>
  </si>
  <si>
    <t>softchain</t>
  </si>
  <si>
    <t>SoftChain</t>
  </si>
  <si>
    <t>SOGA</t>
  </si>
  <si>
    <t>soga-project</t>
  </si>
  <si>
    <t>SOGA Project</t>
  </si>
  <si>
    <t>SOKU</t>
  </si>
  <si>
    <t>sokuswap</t>
  </si>
  <si>
    <t>SokuSwap</t>
  </si>
  <si>
    <t>SOL1X</t>
  </si>
  <si>
    <t>sol-1x</t>
  </si>
  <si>
    <t>SOL 1x</t>
  </si>
  <si>
    <t>SOLAB</t>
  </si>
  <si>
    <t>solabrador</t>
  </si>
  <si>
    <t>Solabrador</t>
  </si>
  <si>
    <t>SOLACE</t>
  </si>
  <si>
    <t>solace</t>
  </si>
  <si>
    <t>solace-coin</t>
  </si>
  <si>
    <t>Solace Coin</t>
  </si>
  <si>
    <t>SOB</t>
  </si>
  <si>
    <t>solalambo</t>
  </si>
  <si>
    <t>SolaLambo</t>
  </si>
  <si>
    <t>solana</t>
  </si>
  <si>
    <t>SOLI</t>
  </si>
  <si>
    <t>solana-ecosystem-index</t>
  </si>
  <si>
    <t>Solana Ecosystem Index</t>
  </si>
  <si>
    <t>solana-inu</t>
  </si>
  <si>
    <t>Solana Inu</t>
  </si>
  <si>
    <t>SOLNUT</t>
  </si>
  <si>
    <t>solana-nut</t>
  </si>
  <si>
    <t>Solana Nut</t>
  </si>
  <si>
    <t>solana-paws</t>
  </si>
  <si>
    <t>Solana Paws</t>
  </si>
  <si>
    <t>GSAIL</t>
  </si>
  <si>
    <t>solanasail-governance-token</t>
  </si>
  <si>
    <t>SolanaSail Governance</t>
  </si>
  <si>
    <t>SOLD</t>
  </si>
  <si>
    <t>solanax</t>
  </si>
  <si>
    <t>Solanax</t>
  </si>
  <si>
    <t>SNJ</t>
  </si>
  <si>
    <t>sola-ninja</t>
  </si>
  <si>
    <t>Sola Ninja</t>
  </si>
  <si>
    <t>SLIM</t>
  </si>
  <si>
    <t>solanium</t>
  </si>
  <si>
    <t>Solanium</t>
  </si>
  <si>
    <t>SYX</t>
  </si>
  <si>
    <t>solanyx</t>
  </si>
  <si>
    <t>Solanyx</t>
  </si>
  <si>
    <t>SOLAPE</t>
  </si>
  <si>
    <t>solape-token</t>
  </si>
  <si>
    <t>SLPY</t>
  </si>
  <si>
    <t>solapoly</t>
  </si>
  <si>
    <t>Solapoly</t>
  </si>
  <si>
    <t>SOLAR</t>
  </si>
  <si>
    <t>solar</t>
  </si>
  <si>
    <t>Solar</t>
  </si>
  <si>
    <t>solarbeam</t>
  </si>
  <si>
    <t>Solarbeam</t>
  </si>
  <si>
    <t>SOLBEAR</t>
  </si>
  <si>
    <t>solar-bear</t>
  </si>
  <si>
    <t>Solar Bear</t>
  </si>
  <si>
    <t>SEG</t>
  </si>
  <si>
    <t>solar-energy</t>
  </si>
  <si>
    <t>Solar Energy</t>
  </si>
  <si>
    <t>XSB</t>
  </si>
  <si>
    <t>solareum-wallet</t>
  </si>
  <si>
    <t>Solareum Wallet</t>
  </si>
  <si>
    <t>SLF</t>
  </si>
  <si>
    <t>solarfare</t>
  </si>
  <si>
    <t>Solarfare</t>
  </si>
  <si>
    <t>FLARE</t>
  </si>
  <si>
    <t>solarflare</t>
  </si>
  <si>
    <t>Solarflare</t>
  </si>
  <si>
    <t>solar-full-cycle</t>
  </si>
  <si>
    <t>Solar Full Cycle</t>
  </si>
  <si>
    <t>XLR</t>
  </si>
  <si>
    <t>solaris</t>
  </si>
  <si>
    <t>Solaris</t>
  </si>
  <si>
    <t>SMX</t>
  </si>
  <si>
    <t>solarminex</t>
  </si>
  <si>
    <t>SolarMineX</t>
  </si>
  <si>
    <t>solarmoon</t>
  </si>
  <si>
    <t>Solarmoon</t>
  </si>
  <si>
    <t>SOLA</t>
  </si>
  <si>
    <t>sola-token</t>
  </si>
  <si>
    <t>SLH</t>
  </si>
  <si>
    <t>solaunch</t>
  </si>
  <si>
    <t>SoLaunch</t>
  </si>
  <si>
    <t>SBABYDOGE</t>
  </si>
  <si>
    <t>sol-baby-doge</t>
  </si>
  <si>
    <t>SOL Baby Doge</t>
  </si>
  <si>
    <t>SBNK</t>
  </si>
  <si>
    <t>solbank-token</t>
  </si>
  <si>
    <t>Solbank</t>
  </si>
  <si>
    <t>SLB</t>
  </si>
  <si>
    <t>solberg</t>
  </si>
  <si>
    <t>Solberg</t>
  </si>
  <si>
    <t>SOLBERRY</t>
  </si>
  <si>
    <t>solberry</t>
  </si>
  <si>
    <t>SolBerry</t>
  </si>
  <si>
    <t>SBT</t>
  </si>
  <si>
    <t>solbit</t>
  </si>
  <si>
    <t>SOLBIT</t>
  </si>
  <si>
    <t>SOLCASH</t>
  </si>
  <si>
    <t>solcash</t>
  </si>
  <si>
    <t>SOLCash</t>
  </si>
  <si>
    <t>solcats</t>
  </si>
  <si>
    <t>Solcats</t>
  </si>
  <si>
    <t>SHARDS</t>
  </si>
  <si>
    <t>solchicks-shards</t>
  </si>
  <si>
    <t>SolChicks Shards</t>
  </si>
  <si>
    <t>CHICKS</t>
  </si>
  <si>
    <t>solchicks-token</t>
  </si>
  <si>
    <t>SolChicks</t>
  </si>
  <si>
    <t>SLCL</t>
  </si>
  <si>
    <t>solcial</t>
  </si>
  <si>
    <t>Solcial</t>
  </si>
  <si>
    <t>solclout</t>
  </si>
  <si>
    <t>SolClout</t>
  </si>
  <si>
    <t>CONDOMS</t>
  </si>
  <si>
    <t>solcondoms</t>
  </si>
  <si>
    <t>SolCondoms</t>
  </si>
  <si>
    <t>SOLC</t>
  </si>
  <si>
    <t>solcubator</t>
  </si>
  <si>
    <t>Solcubator</t>
  </si>
  <si>
    <t>SIT</t>
  </si>
  <si>
    <t>soldait</t>
  </si>
  <si>
    <t>Soldait</t>
  </si>
  <si>
    <t>DATE</t>
  </si>
  <si>
    <t>soldate-token</t>
  </si>
  <si>
    <t>SolDate</t>
  </si>
  <si>
    <t>SLDR</t>
  </si>
  <si>
    <t>solderland</t>
  </si>
  <si>
    <t>Solderland</t>
  </si>
  <si>
    <t>SOLX</t>
  </si>
  <si>
    <t>soldex</t>
  </si>
  <si>
    <t>Soldex</t>
  </si>
  <si>
    <t>soldiernodes</t>
  </si>
  <si>
    <t>SoldierNodes</t>
  </si>
  <si>
    <t>soldo</t>
  </si>
  <si>
    <t>Soldo</t>
  </si>
  <si>
    <t>soldoge</t>
  </si>
  <si>
    <t>SolDoge</t>
  </si>
  <si>
    <t>SLND</t>
  </si>
  <si>
    <t>solend</t>
  </si>
  <si>
    <t>Solend</t>
  </si>
  <si>
    <t>SLX</t>
  </si>
  <si>
    <t>solex-finance</t>
  </si>
  <si>
    <t>Solex Finance</t>
  </si>
  <si>
    <t>TULIP</t>
  </si>
  <si>
    <t>solfarm</t>
  </si>
  <si>
    <t>Tulip Protocol</t>
  </si>
  <si>
    <t>SOLFI</t>
  </si>
  <si>
    <t>solfina</t>
  </si>
  <si>
    <t>Solfina</t>
  </si>
  <si>
    <t>solfire-finance</t>
  </si>
  <si>
    <t>Solfire Finance</t>
  </si>
  <si>
    <t>FLWR</t>
  </si>
  <si>
    <t>sol-flowers</t>
  </si>
  <si>
    <t>SOL Flowers</t>
  </si>
  <si>
    <t>SFOX</t>
  </si>
  <si>
    <t>sol-fox</t>
  </si>
  <si>
    <t>Sol Fox</t>
  </si>
  <si>
    <t>solhero</t>
  </si>
  <si>
    <t>SolHero</t>
  </si>
  <si>
    <t>solice</t>
  </si>
  <si>
    <t>Solice</t>
  </si>
  <si>
    <t>SOLIDETH</t>
  </si>
  <si>
    <t>solideth</t>
  </si>
  <si>
    <t>SolidETH</t>
  </si>
  <si>
    <t>SEX</t>
  </si>
  <si>
    <t>solidex</t>
  </si>
  <si>
    <t>Solidex</t>
  </si>
  <si>
    <t>SOLIDITYLABS</t>
  </si>
  <si>
    <t>soliditylabs</t>
  </si>
  <si>
    <t>SolidityLabs</t>
  </si>
  <si>
    <t>SOLID</t>
  </si>
  <si>
    <t>solidly</t>
  </si>
  <si>
    <t>Solidly</t>
  </si>
  <si>
    <t>solid-protocol</t>
  </si>
  <si>
    <t>Solid Protocol</t>
  </si>
  <si>
    <t>solidray-finance</t>
  </si>
  <si>
    <t>Solidray Finance</t>
  </si>
  <si>
    <t>SOLIDSEX</t>
  </si>
  <si>
    <t>solidsex-tokenized-vesolid</t>
  </si>
  <si>
    <t>SOLIDsex: Tokenized veSOLID</t>
  </si>
  <si>
    <t>AITECH</t>
  </si>
  <si>
    <t>solidus-aitech</t>
  </si>
  <si>
    <t>Solidus Ai Tech</t>
  </si>
  <si>
    <t>solit</t>
  </si>
  <si>
    <t>Solit</t>
  </si>
  <si>
    <t>solium-rise</t>
  </si>
  <si>
    <t>Solium Rise</t>
  </si>
  <si>
    <t>solminter</t>
  </si>
  <si>
    <t>Solminter</t>
  </si>
  <si>
    <t>SOLMO</t>
  </si>
  <si>
    <t>solmoon</t>
  </si>
  <si>
    <t>SolMoon</t>
  </si>
  <si>
    <t>SOLO</t>
  </si>
  <si>
    <t>solo-coin</t>
  </si>
  <si>
    <t>Sologenic</t>
  </si>
  <si>
    <t>solomon-defi</t>
  </si>
  <si>
    <t>Solomon Defi</t>
  </si>
  <si>
    <t>solootbox-dao</t>
  </si>
  <si>
    <t>Solootbox DAO</t>
  </si>
  <si>
    <t>solo-vault-nftx</t>
  </si>
  <si>
    <t>SOLO Vault (NFTX)</t>
  </si>
  <si>
    <t>SOLPAD</t>
  </si>
  <si>
    <t>solpad-finance</t>
  </si>
  <si>
    <t>Solpad Finance</t>
  </si>
  <si>
    <t>SOLPAY</t>
  </si>
  <si>
    <t>solpay-finance</t>
  </si>
  <si>
    <t>SolPay Finance</t>
  </si>
  <si>
    <t>SOLR</t>
  </si>
  <si>
    <t>solrazr</t>
  </si>
  <si>
    <t>SolRazr</t>
  </si>
  <si>
    <t>SRD</t>
  </si>
  <si>
    <t>solrider</t>
  </si>
  <si>
    <t>SolRider</t>
  </si>
  <si>
    <t>SLRS</t>
  </si>
  <si>
    <t>solrise-finance</t>
  </si>
  <si>
    <t>Solrise Finance</t>
  </si>
  <si>
    <t>STR</t>
  </si>
  <si>
    <t>solster</t>
  </si>
  <si>
    <t>Solster</t>
  </si>
  <si>
    <t>soltato-fries</t>
  </si>
  <si>
    <t>Soltato FRIES</t>
  </si>
  <si>
    <t>SOLUM</t>
  </si>
  <si>
    <t>solum</t>
  </si>
  <si>
    <t>Solum</t>
  </si>
  <si>
    <t>SLNA</t>
  </si>
  <si>
    <t>soluna</t>
  </si>
  <si>
    <t>Soluna</t>
  </si>
  <si>
    <t>SOLUNAVAX</t>
  </si>
  <si>
    <t>solunavax-index</t>
  </si>
  <si>
    <t>SOLUNAVAX Index</t>
  </si>
  <si>
    <t>SOLUST</t>
  </si>
  <si>
    <t>solust</t>
  </si>
  <si>
    <t>solUST</t>
  </si>
  <si>
    <t>SOLVE</t>
  </si>
  <si>
    <t>solve-care</t>
  </si>
  <si>
    <t>SVT</t>
  </si>
  <si>
    <t>solvent</t>
  </si>
  <si>
    <t>Solvent</t>
  </si>
  <si>
    <t>SOLV</t>
  </si>
  <si>
    <t>solview</t>
  </si>
  <si>
    <t>Solview</t>
  </si>
  <si>
    <t>sol-wormhole</t>
  </si>
  <si>
    <t>SOL (Wormhole)</t>
  </si>
  <si>
    <t>SGG</t>
  </si>
  <si>
    <t>solx-gaming-guild</t>
  </si>
  <si>
    <t>SolX Gaming Guild</t>
  </si>
  <si>
    <t>YARD</t>
  </si>
  <si>
    <t>solyard-finance</t>
  </si>
  <si>
    <t>Solyard Finance</t>
  </si>
  <si>
    <t>SBE</t>
  </si>
  <si>
    <t>sombe</t>
  </si>
  <si>
    <t>Sombe</t>
  </si>
  <si>
    <t>SMBR</t>
  </si>
  <si>
    <t>sombra-network</t>
  </si>
  <si>
    <t>Sombra</t>
  </si>
  <si>
    <t>somdej</t>
  </si>
  <si>
    <t>Somdej</t>
  </si>
  <si>
    <t>somee-advertising-token</t>
  </si>
  <si>
    <t>SoMee Advertising</t>
  </si>
  <si>
    <t>SOMEE</t>
  </si>
  <si>
    <t>somee-social</t>
  </si>
  <si>
    <t>SoMee.Social</t>
  </si>
  <si>
    <t>somee-social-old</t>
  </si>
  <si>
    <t>SoMee.Social [OLD]</t>
  </si>
  <si>
    <t>SSX</t>
  </si>
  <si>
    <t>somesing</t>
  </si>
  <si>
    <t>SOMESING</t>
  </si>
  <si>
    <t>SOMM</t>
  </si>
  <si>
    <t>sommelier</t>
  </si>
  <si>
    <t>Sommelier</t>
  </si>
  <si>
    <t>SOM</t>
  </si>
  <si>
    <t>somnium</t>
  </si>
  <si>
    <t>Somnium</t>
  </si>
  <si>
    <t>somnium-space-cubes</t>
  </si>
  <si>
    <t>Somnium Space CUBEs</t>
  </si>
  <si>
    <t>SONA</t>
  </si>
  <si>
    <t>sona-network</t>
  </si>
  <si>
    <t>Sona Network</t>
  </si>
  <si>
    <t>PING</t>
  </si>
  <si>
    <t>sonar</t>
  </si>
  <si>
    <t>Sonar</t>
  </si>
  <si>
    <t>SONAR</t>
  </si>
  <si>
    <t>sonarwatch</t>
  </si>
  <si>
    <t>SonarWatch</t>
  </si>
  <si>
    <t>SGB</t>
  </si>
  <si>
    <t>songbird</t>
  </si>
  <si>
    <t>Songbird</t>
  </si>
  <si>
    <t>SONG</t>
  </si>
  <si>
    <t>songcoin</t>
  </si>
  <si>
    <t>SongCoin</t>
  </si>
  <si>
    <t>SONIC</t>
  </si>
  <si>
    <t>sonic-token</t>
  </si>
  <si>
    <t>AVAXRush Sonic</t>
  </si>
  <si>
    <t>SNM</t>
  </si>
  <si>
    <t>sonm</t>
  </si>
  <si>
    <t>SONM</t>
  </si>
  <si>
    <t>SONO</t>
  </si>
  <si>
    <t>sono</t>
  </si>
  <si>
    <t>sonocoin</t>
  </si>
  <si>
    <t>SonoCoin</t>
  </si>
  <si>
    <t>SODV2</t>
  </si>
  <si>
    <t>son-of-doge-v2</t>
  </si>
  <si>
    <t>Son of Doge V2</t>
  </si>
  <si>
    <t>SOE</t>
  </si>
  <si>
    <t>son-of-elon</t>
  </si>
  <si>
    <t>Son of Elon</t>
  </si>
  <si>
    <t>sonofsaitama</t>
  </si>
  <si>
    <t>SonOfSaitama</t>
  </si>
  <si>
    <t>SON</t>
  </si>
  <si>
    <t>sonofshib</t>
  </si>
  <si>
    <t>SONofSHIB</t>
  </si>
  <si>
    <t>SOP</t>
  </si>
  <si>
    <t>sopay</t>
  </si>
  <si>
    <t>SoPay</t>
  </si>
  <si>
    <t>SPHTX</t>
  </si>
  <si>
    <t>sophiatx</t>
  </si>
  <si>
    <t>SophiaTX</t>
  </si>
  <si>
    <t>sora</t>
  </si>
  <si>
    <t>Sora</t>
  </si>
  <si>
    <t>SORA</t>
  </si>
  <si>
    <t>sorachancoin</t>
  </si>
  <si>
    <t>SorachanCoin</t>
  </si>
  <si>
    <t>XSTUSD</t>
  </si>
  <si>
    <t>sora-synthetic-usd</t>
  </si>
  <si>
    <t>SORA Synthetic USD</t>
  </si>
  <si>
    <t>sora-validator-token</t>
  </si>
  <si>
    <t>SOSAMZ</t>
  </si>
  <si>
    <t>sos-amazonia</t>
  </si>
  <si>
    <t>SOS AMAZÔNIA</t>
  </si>
  <si>
    <t>sos-foundation</t>
  </si>
  <si>
    <t>SOS Foundation</t>
  </si>
  <si>
    <t>SOTA</t>
  </si>
  <si>
    <t>sota-finance</t>
  </si>
  <si>
    <t>SOTA Finance</t>
  </si>
  <si>
    <t>soul-dog-city-bones</t>
  </si>
  <si>
    <t>Soul Dogs City Bones</t>
  </si>
  <si>
    <t>SOULO</t>
  </si>
  <si>
    <t>soulocoin</t>
  </si>
  <si>
    <t>SouloCoin</t>
  </si>
  <si>
    <t>souls-of-meta</t>
  </si>
  <si>
    <t>Souls of Meta</t>
  </si>
  <si>
    <t>soul-swap</t>
  </si>
  <si>
    <t>Soul Swap</t>
  </si>
  <si>
    <t>SOUND</t>
  </si>
  <si>
    <t>sound-coin</t>
  </si>
  <si>
    <t>Sound Coin</t>
  </si>
  <si>
    <t>souni-token</t>
  </si>
  <si>
    <t>Souni</t>
  </si>
  <si>
    <t>XZAR</t>
  </si>
  <si>
    <t>south-african-tether</t>
  </si>
  <si>
    <t>South African Tether</t>
  </si>
  <si>
    <t>SXCC</t>
  </si>
  <si>
    <t>southxchange-coin</t>
  </si>
  <si>
    <t>SouthXchange Coin</t>
  </si>
  <si>
    <t>SOV</t>
  </si>
  <si>
    <t>sov</t>
  </si>
  <si>
    <t>sovereign-coin</t>
  </si>
  <si>
    <t>Sovereign Coin</t>
  </si>
  <si>
    <t>SOVI</t>
  </si>
  <si>
    <t>sovi-token</t>
  </si>
  <si>
    <t>Sovi</t>
  </si>
  <si>
    <t>SVR</t>
  </si>
  <si>
    <t>sovranocoin</t>
  </si>
  <si>
    <t>SovranoCoin</t>
  </si>
  <si>
    <t>sovryn</t>
  </si>
  <si>
    <t>Sovryn</t>
  </si>
  <si>
    <t>SOXY</t>
  </si>
  <si>
    <t>soxycoin</t>
  </si>
  <si>
    <t>SOXYCOIN</t>
  </si>
  <si>
    <t>SOY</t>
  </si>
  <si>
    <t>soy-finance</t>
  </si>
  <si>
    <t>Soy Finance</t>
  </si>
  <si>
    <t>space</t>
  </si>
  <si>
    <t>Space</t>
  </si>
  <si>
    <t>SPC</t>
  </si>
  <si>
    <t>spacechain-erc-20</t>
  </si>
  <si>
    <t>SpaceChain (ERC-20)</t>
  </si>
  <si>
    <t>spacecoin</t>
  </si>
  <si>
    <t>Spacecoin</t>
  </si>
  <si>
    <t>SCORGI</t>
  </si>
  <si>
    <t>spacecorgi</t>
  </si>
  <si>
    <t>SpaceCorgi</t>
  </si>
  <si>
    <t>SCK</t>
  </si>
  <si>
    <t>space-corsair-key</t>
  </si>
  <si>
    <t>Space Corsair Key</t>
  </si>
  <si>
    <t>spacecowboy</t>
  </si>
  <si>
    <t>SpaceCowBoy</t>
  </si>
  <si>
    <t>SPG</t>
  </si>
  <si>
    <t>spacecrypto</t>
  </si>
  <si>
    <t>SpaceCrypto</t>
  </si>
  <si>
    <t>space-crypto</t>
  </si>
  <si>
    <t>Space Crypto</t>
  </si>
  <si>
    <t>DAWGS</t>
  </si>
  <si>
    <t>spacedawgs</t>
  </si>
  <si>
    <t>SpaceDawgs</t>
  </si>
  <si>
    <t>SPACE DOG</t>
  </si>
  <si>
    <t>space-dog</t>
  </si>
  <si>
    <t>Space dog</t>
  </si>
  <si>
    <t>FCON</t>
  </si>
  <si>
    <t>spacefalcon</t>
  </si>
  <si>
    <t>SpaceFalcon</t>
  </si>
  <si>
    <t>$KLAYE</t>
  </si>
  <si>
    <t>space-game-klaye</t>
  </si>
  <si>
    <t>Space Game KLAYE</t>
  </si>
  <si>
    <t>$ORES</t>
  </si>
  <si>
    <t>space-game-ores</t>
  </si>
  <si>
    <t>Space Game ORES</t>
  </si>
  <si>
    <t>spacegoat-token</t>
  </si>
  <si>
    <t>SpaceGoat</t>
  </si>
  <si>
    <t>GRIMEX</t>
  </si>
  <si>
    <t>spacegrime</t>
  </si>
  <si>
    <t>SpaceGrime</t>
  </si>
  <si>
    <t>HAMS</t>
  </si>
  <si>
    <t>space-hamster</t>
  </si>
  <si>
    <t>Space Hamster</t>
  </si>
  <si>
    <t>SPIZ</t>
  </si>
  <si>
    <t>space-iz</t>
  </si>
  <si>
    <t>SPACE-iZ</t>
  </si>
  <si>
    <t>spacelens</t>
  </si>
  <si>
    <t>Spacelens</t>
  </si>
  <si>
    <t>SPLINK</t>
  </si>
  <si>
    <t>space-link</t>
  </si>
  <si>
    <t>Space Link</t>
  </si>
  <si>
    <t>SPMETA</t>
  </si>
  <si>
    <t>spacemeta</t>
  </si>
  <si>
    <t>SpaceMeta</t>
  </si>
  <si>
    <t>spacemine</t>
  </si>
  <si>
    <t>SpaceMine</t>
  </si>
  <si>
    <t>SMCW</t>
  </si>
  <si>
    <t>space-misfits</t>
  </si>
  <si>
    <t>Space Misfits</t>
  </si>
  <si>
    <t>MONKE</t>
  </si>
  <si>
    <t>space-monkey-token</t>
  </si>
  <si>
    <t>Space Monkey MONKE</t>
  </si>
  <si>
    <t>SPO</t>
  </si>
  <si>
    <t>space-ore</t>
  </si>
  <si>
    <t>Space Ore</t>
  </si>
  <si>
    <t>SPACEPI</t>
  </si>
  <si>
    <t>spacepi</t>
  </si>
  <si>
    <t>SpacePi</t>
  </si>
  <si>
    <t>SPU</t>
  </si>
  <si>
    <t>spaceport-universe</t>
  </si>
  <si>
    <t>SpacePort Universe</t>
  </si>
  <si>
    <t>SPW</t>
  </si>
  <si>
    <t>spaceship-war</t>
  </si>
  <si>
    <t>Spaceship War</t>
  </si>
  <si>
    <t>SIP</t>
  </si>
  <si>
    <t>space-sip</t>
  </si>
  <si>
    <t>Space SIP</t>
  </si>
  <si>
    <t>SOLDIER</t>
  </si>
  <si>
    <t>space-soldier</t>
  </si>
  <si>
    <t>Space Soldier</t>
  </si>
  <si>
    <t>MILK2</t>
  </si>
  <si>
    <t>spaceswap-milk2</t>
  </si>
  <si>
    <t>Spaceswap MILK2</t>
  </si>
  <si>
    <t>SHAKE</t>
  </si>
  <si>
    <t>spaceswap-shake</t>
  </si>
  <si>
    <t>Spaceswap SHAKE</t>
  </si>
  <si>
    <t>SPACETOAST</t>
  </si>
  <si>
    <t>spacetoast</t>
  </si>
  <si>
    <t>SpaceToast</t>
  </si>
  <si>
    <t>space-token</t>
  </si>
  <si>
    <t>ApeRocket Space</t>
  </si>
  <si>
    <t>space-token-bsc</t>
  </si>
  <si>
    <t>Space Token BSC</t>
  </si>
  <si>
    <t>spacevikings</t>
  </si>
  <si>
    <t>SpaceVikings</t>
  </si>
  <si>
    <t>spacexlife</t>
  </si>
  <si>
    <t>SpaceXliFe</t>
  </si>
  <si>
    <t>SPAY</t>
  </si>
  <si>
    <t>spacey-2025</t>
  </si>
  <si>
    <t>SpaceY 2025</t>
  </si>
  <si>
    <t>spain-national-fan-token</t>
  </si>
  <si>
    <t>Spain National Fan Token</t>
  </si>
  <si>
    <t>SPANK</t>
  </si>
  <si>
    <t>spankchain</t>
  </si>
  <si>
    <t>SpankChain</t>
  </si>
  <si>
    <t>spantale</t>
  </si>
  <si>
    <t>Spantale</t>
  </si>
  <si>
    <t>SPARK</t>
  </si>
  <si>
    <t>spark-finance</t>
  </si>
  <si>
    <t>Spark Finance</t>
  </si>
  <si>
    <t>sparklab</t>
  </si>
  <si>
    <t>SparkLab</t>
  </si>
  <si>
    <t>SPRKL</t>
  </si>
  <si>
    <t>sparkle</t>
  </si>
  <si>
    <t>Sparkle Loyalty</t>
  </si>
  <si>
    <t>SCTK</t>
  </si>
  <si>
    <t>sparkle-coin</t>
  </si>
  <si>
    <t>Sparkle Coin</t>
  </si>
  <si>
    <t>SRK</t>
  </si>
  <si>
    <t>sparkpoint</t>
  </si>
  <si>
    <t>SparkPoint</t>
  </si>
  <si>
    <t>SFUEL</t>
  </si>
  <si>
    <t>sparkpoint-fuel</t>
  </si>
  <si>
    <t>SparkPoint Fuel</t>
  </si>
  <si>
    <t>SPK</t>
  </si>
  <si>
    <t>sparks</t>
  </si>
  <si>
    <t>SparksPay</t>
  </si>
  <si>
    <t>SPAR</t>
  </si>
  <si>
    <t>sparta</t>
  </si>
  <si>
    <t>Sparta</t>
  </si>
  <si>
    <t>SPA</t>
  </si>
  <si>
    <t>spartacus</t>
  </si>
  <si>
    <t>Spartacus</t>
  </si>
  <si>
    <t>300</t>
  </si>
  <si>
    <t>spartan</t>
  </si>
  <si>
    <t>Spartan</t>
  </si>
  <si>
    <t>spartancoin</t>
  </si>
  <si>
    <t>SpartanCoin</t>
  </si>
  <si>
    <t>spartan-index</t>
  </si>
  <si>
    <t>Spartan Index</t>
  </si>
  <si>
    <t>SPARTA</t>
  </si>
  <si>
    <t>spartan-protocol-token</t>
  </si>
  <si>
    <t>spartan-token</t>
  </si>
  <si>
    <t>Spartans</t>
  </si>
  <si>
    <t>SPDC</t>
  </si>
  <si>
    <t>spd-game</t>
  </si>
  <si>
    <t>SPD Game</t>
  </si>
  <si>
    <t>DSPY</t>
  </si>
  <si>
    <t>spdr-s-p-500-etf-trust-defichain</t>
  </si>
  <si>
    <t>SPDR S&amp;P 500 ETF Trust Defichain</t>
  </si>
  <si>
    <t>SPEAR</t>
  </si>
  <si>
    <t>spear-finance</t>
  </si>
  <si>
    <t>Spear Finance</t>
  </si>
  <si>
    <t>SPECTER</t>
  </si>
  <si>
    <t>specter-finance</t>
  </si>
  <si>
    <t>Specter Finance</t>
  </si>
  <si>
    <t>SSHARE</t>
  </si>
  <si>
    <t>specter-share</t>
  </si>
  <si>
    <t>Specter Share</t>
  </si>
  <si>
    <t>spectra</t>
  </si>
  <si>
    <t>Spectra</t>
  </si>
  <si>
    <t>ALIAS</t>
  </si>
  <si>
    <t>spectrecoin</t>
  </si>
  <si>
    <t>Alias</t>
  </si>
  <si>
    <t>SXDT</t>
  </si>
  <si>
    <t>spectre-dividend-token</t>
  </si>
  <si>
    <t>XSPC</t>
  </si>
  <si>
    <t>spectresecuritycoin</t>
  </si>
  <si>
    <t>SpectreSecurityCoin</t>
  </si>
  <si>
    <t>SXUT</t>
  </si>
  <si>
    <t>spectre-utility-token</t>
  </si>
  <si>
    <t>SPT</t>
  </si>
  <si>
    <t>spectrum</t>
  </si>
  <si>
    <t>SPECTRUM</t>
  </si>
  <si>
    <t>SPEC</t>
  </si>
  <si>
    <t>spectrum-token</t>
  </si>
  <si>
    <t>Spectrum Protocol</t>
  </si>
  <si>
    <t>speedcash</t>
  </si>
  <si>
    <t>Speedcash</t>
  </si>
  <si>
    <t>SPEED</t>
  </si>
  <si>
    <t>speed-coin</t>
  </si>
  <si>
    <t>Speed Coin</t>
  </si>
  <si>
    <t>SMS</t>
  </si>
  <si>
    <t>speed-mining-service</t>
  </si>
  <si>
    <t>Speed Mining Service</t>
  </si>
  <si>
    <t>JOC</t>
  </si>
  <si>
    <t>speed-star-joc</t>
  </si>
  <si>
    <t>Speed Star JOC</t>
  </si>
  <si>
    <t>speed-star-speed</t>
  </si>
  <si>
    <t>Speed Star SPEED</t>
  </si>
  <si>
    <t>speed-star-star</t>
  </si>
  <si>
    <t>Speed Star STAR</t>
  </si>
  <si>
    <t>SPELLFIRE</t>
  </si>
  <si>
    <t>spellfire</t>
  </si>
  <si>
    <t>Spellfire</t>
  </si>
  <si>
    <t>SPELLP</t>
  </si>
  <si>
    <t>spellprinter</t>
  </si>
  <si>
    <t>SpellPrinter</t>
  </si>
  <si>
    <t>SPELL</t>
  </si>
  <si>
    <t>spell-token</t>
  </si>
  <si>
    <t>Spell</t>
  </si>
  <si>
    <t>spell-token-wormhole</t>
  </si>
  <si>
    <t>Spell Token (Wormhole)</t>
  </si>
  <si>
    <t>SPND</t>
  </si>
  <si>
    <t>spendcoin</t>
  </si>
  <si>
    <t>Spendcoin</t>
  </si>
  <si>
    <t>SPDX</t>
  </si>
  <si>
    <t>spender-x</t>
  </si>
  <si>
    <t>SPENDER-X</t>
  </si>
  <si>
    <t>sperax</t>
  </si>
  <si>
    <t>Sperax</t>
  </si>
  <si>
    <t>USDS</t>
  </si>
  <si>
    <t>sperax-usd</t>
  </si>
  <si>
    <t>Sperax USD</t>
  </si>
  <si>
    <t>SPHR</t>
  </si>
  <si>
    <t>sphere</t>
  </si>
  <si>
    <t>Sphere</t>
  </si>
  <si>
    <t>sphere-finance</t>
  </si>
  <si>
    <t>Sphere Finance</t>
  </si>
  <si>
    <t>sphere-social</t>
  </si>
  <si>
    <t>SPHRI</t>
  </si>
  <si>
    <t>spherium</t>
  </si>
  <si>
    <t>Spherium</t>
  </si>
  <si>
    <t>SPH</t>
  </si>
  <si>
    <t>spheroid-universe</t>
  </si>
  <si>
    <t>Spheroid Universe</t>
  </si>
  <si>
    <t>SPX</t>
  </si>
  <si>
    <t>sphinxel</t>
  </si>
  <si>
    <t>Sphinxel</t>
  </si>
  <si>
    <t>SPHYNX</t>
  </si>
  <si>
    <t>sphynx</t>
  </si>
  <si>
    <t>Sphynx</t>
  </si>
  <si>
    <t>sphynx-eth</t>
  </si>
  <si>
    <t>Sphynx ETH</t>
  </si>
  <si>
    <t>sphynx-labs</t>
  </si>
  <si>
    <t>Sphynx Labs</t>
  </si>
  <si>
    <t>sphynx-network</t>
  </si>
  <si>
    <t>Sphynx Network</t>
  </si>
  <si>
    <t>spice</t>
  </si>
  <si>
    <t>Spice Token</t>
  </si>
  <si>
    <t>spice-dao</t>
  </si>
  <si>
    <t>Spice DAO</t>
  </si>
  <si>
    <t>spice-finance</t>
  </si>
  <si>
    <t>SPDR</t>
  </si>
  <si>
    <t>spiderdao</t>
  </si>
  <si>
    <t>SpiderDAO</t>
  </si>
  <si>
    <t>SPIDEYXMAS</t>
  </si>
  <si>
    <t>spideyfloki</t>
  </si>
  <si>
    <t>SpideyFloki</t>
  </si>
  <si>
    <t>SPIN</t>
  </si>
  <si>
    <t>spinada-cash</t>
  </si>
  <si>
    <t>Spinada Cash</t>
  </si>
  <si>
    <t>SPD</t>
  </si>
  <si>
    <t>spindle</t>
  </si>
  <si>
    <t>SPINDLE</t>
  </si>
  <si>
    <t>spintop</t>
  </si>
  <si>
    <t>Spintop</t>
  </si>
  <si>
    <t>SPR</t>
  </si>
  <si>
    <t>spiral</t>
  </si>
  <si>
    <t>Spiral</t>
  </si>
  <si>
    <t>spiritdao-ghost</t>
  </si>
  <si>
    <t>SpiritDAO Ghost</t>
  </si>
  <si>
    <t>SPIRIT</t>
  </si>
  <si>
    <t>spiritswap</t>
  </si>
  <si>
    <t>SpiritSwap</t>
  </si>
  <si>
    <t>splash</t>
  </si>
  <si>
    <t>Splash</t>
  </si>
  <si>
    <t>SPLAT</t>
  </si>
  <si>
    <t>splat</t>
  </si>
  <si>
    <t>SPS</t>
  </si>
  <si>
    <t>splinterlands</t>
  </si>
  <si>
    <t>Splinterlands</t>
  </si>
  <si>
    <t>SHOPX</t>
  </si>
  <si>
    <t>splyt</t>
  </si>
  <si>
    <t>SPONGS</t>
  </si>
  <si>
    <t>spongebob-square</t>
  </si>
  <si>
    <t>SpongeBob Square</t>
  </si>
  <si>
    <t>SPON</t>
  </si>
  <si>
    <t>sponsee</t>
  </si>
  <si>
    <t>Sponsee</t>
  </si>
  <si>
    <t>SPKL</t>
  </si>
  <si>
    <t>spookeletons-token</t>
  </si>
  <si>
    <t>Spookeletons</t>
  </si>
  <si>
    <t>SPK10K</t>
  </si>
  <si>
    <t>spooky10000</t>
  </si>
  <si>
    <t>Spooky10000</t>
  </si>
  <si>
    <t>SPOOKYSHIBA</t>
  </si>
  <si>
    <t>spookyshiba</t>
  </si>
  <si>
    <t>SpookyShiba</t>
  </si>
  <si>
    <t>spookyswap</t>
  </si>
  <si>
    <t>Spookyswap</t>
  </si>
  <si>
    <t>SPOOL</t>
  </si>
  <si>
    <t>spool-dao-token</t>
  </si>
  <si>
    <t>Spool DAO</t>
  </si>
  <si>
    <t>SPORE</t>
  </si>
  <si>
    <t>spore</t>
  </si>
  <si>
    <t>Spore</t>
  </si>
  <si>
    <t>spores-network</t>
  </si>
  <si>
    <t>Spores Network</t>
  </si>
  <si>
    <t>SPORK</t>
  </si>
  <si>
    <t>sporkdao</t>
  </si>
  <si>
    <t>SporkDAO</t>
  </si>
  <si>
    <t>SNL</t>
  </si>
  <si>
    <t>sport-and-leisure</t>
  </si>
  <si>
    <t>Sport and Leisure</t>
  </si>
  <si>
    <t>SGOX</t>
  </si>
  <si>
    <t>sportemon-go-x</t>
  </si>
  <si>
    <t>Sportemon-Go X</t>
  </si>
  <si>
    <t>SITX</t>
  </si>
  <si>
    <t>sport-investing</t>
  </si>
  <si>
    <t>Sport Investing</t>
  </si>
  <si>
    <t>SPRT</t>
  </si>
  <si>
    <t>sportium</t>
  </si>
  <si>
    <t>Sportium</t>
  </si>
  <si>
    <t>sportoken</t>
  </si>
  <si>
    <t>Sportoken</t>
  </si>
  <si>
    <t>sports-bet</t>
  </si>
  <si>
    <t>Sports Bet</t>
  </si>
  <si>
    <t>$ICONS</t>
  </si>
  <si>
    <t>sportsicon</t>
  </si>
  <si>
    <t>SportsIcon</t>
  </si>
  <si>
    <t>sportzchain</t>
  </si>
  <si>
    <t>Sportzchain</t>
  </si>
  <si>
    <t>spots</t>
  </si>
  <si>
    <t>Spots</t>
  </si>
  <si>
    <t>SPRING</t>
  </si>
  <si>
    <t>spring</t>
  </si>
  <si>
    <t>Spring</t>
  </si>
  <si>
    <t>SPRINK</t>
  </si>
  <si>
    <t>sprink</t>
  </si>
  <si>
    <t>Sprink</t>
  </si>
  <si>
    <t>SPRX</t>
  </si>
  <si>
    <t>sprint-coin</t>
  </si>
  <si>
    <t>Sprint Coin</t>
  </si>
  <si>
    <t>SPRITZMOON</t>
  </si>
  <si>
    <t>spritzmoon-crypto</t>
  </si>
  <si>
    <t>SpritzMoon Crypto</t>
  </si>
  <si>
    <t>SPRTS</t>
  </si>
  <si>
    <t>sprouts</t>
  </si>
  <si>
    <t>Sprouts</t>
  </si>
  <si>
    <t>SPEX</t>
  </si>
  <si>
    <t>sproutsextreme</t>
  </si>
  <si>
    <t>SproutsExtreme</t>
  </si>
  <si>
    <t>SPUNK</t>
  </si>
  <si>
    <t>spunk-vault-nftx</t>
  </si>
  <si>
    <t>SPUNK Vault (NFTX)</t>
  </si>
  <si>
    <t>SPYRIT</t>
  </si>
  <si>
    <t>spyritcoin</t>
  </si>
  <si>
    <t>SpyritCoin</t>
  </si>
  <si>
    <t>SQGL</t>
  </si>
  <si>
    <t>sqgl-vault-nftx</t>
  </si>
  <si>
    <t>SQGL Vault (NFTX)</t>
  </si>
  <si>
    <t>SQUA</t>
  </si>
  <si>
    <t>square-token</t>
  </si>
  <si>
    <t>Square</t>
  </si>
  <si>
    <t>SQUAWK</t>
  </si>
  <si>
    <t>squawk</t>
  </si>
  <si>
    <t>Squawk</t>
  </si>
  <si>
    <t>SQUEEZE</t>
  </si>
  <si>
    <t>squeeze-token</t>
  </si>
  <si>
    <t>Squeeze</t>
  </si>
  <si>
    <t>SQUID</t>
  </si>
  <si>
    <t>squid</t>
  </si>
  <si>
    <t>SquidDao</t>
  </si>
  <si>
    <t>squid-2</t>
  </si>
  <si>
    <t>SQUID Finance</t>
  </si>
  <si>
    <t>squid-game</t>
  </si>
  <si>
    <t>Squid Game</t>
  </si>
  <si>
    <t>squid-inu</t>
  </si>
  <si>
    <t>Squid Inu</t>
  </si>
  <si>
    <t>SQM</t>
  </si>
  <si>
    <t>squid-moon</t>
  </si>
  <si>
    <t>Squid Moon</t>
  </si>
  <si>
    <t>SVG</t>
  </si>
  <si>
    <t>squidverse3d</t>
  </si>
  <si>
    <t>SquidVerse3D</t>
  </si>
  <si>
    <t>NUTS</t>
  </si>
  <si>
    <t>squirrel-finance</t>
  </si>
  <si>
    <t>Squirrel Finance</t>
  </si>
  <si>
    <t>SQUIRT</t>
  </si>
  <si>
    <t>squirt-game</t>
  </si>
  <si>
    <t>Squirt Game</t>
  </si>
  <si>
    <t>squishiverse</t>
  </si>
  <si>
    <t>SquishiVerse</t>
  </si>
  <si>
    <t>SQC</t>
  </si>
  <si>
    <t>squoge-coin</t>
  </si>
  <si>
    <t>Squoge Coin</t>
  </si>
  <si>
    <t>SRH</t>
  </si>
  <si>
    <t>srcoin</t>
  </si>
  <si>
    <t>SRIRACHA</t>
  </si>
  <si>
    <t>sriracha-inu</t>
  </si>
  <si>
    <t>Sriracha Inu</t>
  </si>
  <si>
    <t>SACT</t>
  </si>
  <si>
    <t>srnartgallery</t>
  </si>
  <si>
    <t>srnArtGallery</t>
  </si>
  <si>
    <t>SISTA</t>
  </si>
  <si>
    <t>srnartgallery-tokenized-arts</t>
  </si>
  <si>
    <t>srnArtGallery Tokenized Arts</t>
  </si>
  <si>
    <t>SRUNE</t>
  </si>
  <si>
    <t>srune</t>
  </si>
  <si>
    <t>sRUNE</t>
  </si>
  <si>
    <t>SSV</t>
  </si>
  <si>
    <t>ssv-network</t>
  </si>
  <si>
    <t>SSV Network</t>
  </si>
  <si>
    <t>STBZ</t>
  </si>
  <si>
    <t>stabilize</t>
  </si>
  <si>
    <t>Stabilize</t>
  </si>
  <si>
    <t>STBB</t>
  </si>
  <si>
    <t>stabilize-bsc</t>
  </si>
  <si>
    <t>Stabilize BSC</t>
  </si>
  <si>
    <t>stabilize-token</t>
  </si>
  <si>
    <t>Stabilize SET</t>
  </si>
  <si>
    <t>stabilize-usd</t>
  </si>
  <si>
    <t>Stabilize USD</t>
  </si>
  <si>
    <t>stable-asset</t>
  </si>
  <si>
    <t>STABLE ASSET</t>
  </si>
  <si>
    <t>stable-btc</t>
  </si>
  <si>
    <t>Stable BTC</t>
  </si>
  <si>
    <t>SDT</t>
  </si>
  <si>
    <t>stabledoc-token</t>
  </si>
  <si>
    <t>Stabledoc</t>
  </si>
  <si>
    <t>ONEFOX</t>
  </si>
  <si>
    <t>stable-fox</t>
  </si>
  <si>
    <t>Stable FOX</t>
  </si>
  <si>
    <t>ONEUNI</t>
  </si>
  <si>
    <t>stable-uni</t>
  </si>
  <si>
    <t>Stable UNI</t>
  </si>
  <si>
    <t>stableusd</t>
  </si>
  <si>
    <t>Stably USD</t>
  </si>
  <si>
    <t>STACK</t>
  </si>
  <si>
    <t>stacker-ventures</t>
  </si>
  <si>
    <t>Stacker Ventures</t>
  </si>
  <si>
    <t>stackos</t>
  </si>
  <si>
    <t>StackOS</t>
  </si>
  <si>
    <t>DSLA</t>
  </si>
  <si>
    <t>stacktical</t>
  </si>
  <si>
    <t>DSLA Protocol</t>
  </si>
  <si>
    <t>STACKT</t>
  </si>
  <si>
    <t>stack-treasury</t>
  </si>
  <si>
    <t>Stack Treasury</t>
  </si>
  <si>
    <t>STACY</t>
  </si>
  <si>
    <t>stacy</t>
  </si>
  <si>
    <t>Stacy</t>
  </si>
  <si>
    <t>SD</t>
  </si>
  <si>
    <t>stader</t>
  </si>
  <si>
    <t>Stader</t>
  </si>
  <si>
    <t>LUNAX</t>
  </si>
  <si>
    <t>stader-lunax</t>
  </si>
  <si>
    <t>Stader LunaX</t>
  </si>
  <si>
    <t>MATICX</t>
  </si>
  <si>
    <t>stader-maticx</t>
  </si>
  <si>
    <t>Stader MaticX</t>
  </si>
  <si>
    <t>STD</t>
  </si>
  <si>
    <t>stadium</t>
  </si>
  <si>
    <t>Stadium</t>
  </si>
  <si>
    <t>SAPE</t>
  </si>
  <si>
    <t>stadium-ape</t>
  </si>
  <si>
    <t>Stadium Ape</t>
  </si>
  <si>
    <t>SPEP</t>
  </si>
  <si>
    <t>stadium-pepe</t>
  </si>
  <si>
    <t>Stadium Pepe</t>
  </si>
  <si>
    <t>FIS</t>
  </si>
  <si>
    <t>stafi</t>
  </si>
  <si>
    <t>Stafi</t>
  </si>
  <si>
    <t>RATOM</t>
  </si>
  <si>
    <t>stafi-ratom</t>
  </si>
  <si>
    <t>StaFi rATOM</t>
  </si>
  <si>
    <t>STKD</t>
  </si>
  <si>
    <t>stakd-token</t>
  </si>
  <si>
    <t>STANDARD</t>
  </si>
  <si>
    <t>stakeborg-dao</t>
  </si>
  <si>
    <t>Stakeborg DAO</t>
  </si>
  <si>
    <t>stakecube</t>
  </si>
  <si>
    <t>Stakecube</t>
  </si>
  <si>
    <t>STKABPT</t>
  </si>
  <si>
    <t>staked-aave-balancer-pool-token</t>
  </si>
  <si>
    <t>Staked Aave Balancer Pool Token</t>
  </si>
  <si>
    <t>stake-dao</t>
  </si>
  <si>
    <t>Stake DAO</t>
  </si>
  <si>
    <t>staked-ether</t>
  </si>
  <si>
    <t>SEXOD</t>
  </si>
  <si>
    <t>staked-exodia</t>
  </si>
  <si>
    <t>Staked Exodia</t>
  </si>
  <si>
    <t>SICX</t>
  </si>
  <si>
    <t>staked-icx</t>
  </si>
  <si>
    <t>Staked ICX</t>
  </si>
  <si>
    <t>SKLIMA</t>
  </si>
  <si>
    <t>staked-klima</t>
  </si>
  <si>
    <t>Staked Klima</t>
  </si>
  <si>
    <t>SKUJI</t>
  </si>
  <si>
    <t>staked_kuji</t>
  </si>
  <si>
    <t>Staked Kuji</t>
  </si>
  <si>
    <t>STLUNA</t>
  </si>
  <si>
    <t>staked-luna</t>
  </si>
  <si>
    <t>Staked Luna</t>
  </si>
  <si>
    <t>STNEAR</t>
  </si>
  <si>
    <t>staked-near</t>
  </si>
  <si>
    <t>Staked NEAR</t>
  </si>
  <si>
    <t>SNOTE</t>
  </si>
  <si>
    <t>staked-note</t>
  </si>
  <si>
    <t>Staked Note</t>
  </si>
  <si>
    <t>SOHM</t>
  </si>
  <si>
    <t>staked-olympus-v1</t>
  </si>
  <si>
    <t>Staked Olympus v1</t>
  </si>
  <si>
    <t>XTAROT</t>
  </si>
  <si>
    <t>staked-tarot</t>
  </si>
  <si>
    <t>Staked TAROT</t>
  </si>
  <si>
    <t>STHO</t>
  </si>
  <si>
    <t>stakedthorus</t>
  </si>
  <si>
    <t>StakedThorus</t>
  </si>
  <si>
    <t>SYETI</t>
  </si>
  <si>
    <t>staked-yeti</t>
  </si>
  <si>
    <t>Staked YETI</t>
  </si>
  <si>
    <t>STFIRO</t>
  </si>
  <si>
    <t>stakehound</t>
  </si>
  <si>
    <t>StakedFIRO</t>
  </si>
  <si>
    <t>stakehound-staked-ether</t>
  </si>
  <si>
    <t>StakeHound Staked Ether</t>
  </si>
  <si>
    <t>stakemoon</t>
  </si>
  <si>
    <t>Stakemoon</t>
  </si>
  <si>
    <t>XSN</t>
  </si>
  <si>
    <t>stakenet</t>
  </si>
  <si>
    <t>Stakenet</t>
  </si>
  <si>
    <t>staker</t>
  </si>
  <si>
    <t>STKR</t>
  </si>
  <si>
    <t>staker-dao</t>
  </si>
  <si>
    <t>Staker DAO</t>
  </si>
  <si>
    <t>SWISE</t>
  </si>
  <si>
    <t>stakewise</t>
  </si>
  <si>
    <t>StakeWise</t>
  </si>
  <si>
    <t>SGNO</t>
  </si>
  <si>
    <t>stakewise-staked-gno</t>
  </si>
  <si>
    <t>StakeWise Staked GNO</t>
  </si>
  <si>
    <t>stakholders</t>
  </si>
  <si>
    <t>StakHolders</t>
  </si>
  <si>
    <t>STT</t>
  </si>
  <si>
    <t>stamen-tellus-token</t>
  </si>
  <si>
    <t>Stamen Tellus</t>
  </si>
  <si>
    <t>STND</t>
  </si>
  <si>
    <t>standard-protocol</t>
  </si>
  <si>
    <t>Standard Protocol</t>
  </si>
  <si>
    <t>SAC</t>
  </si>
  <si>
    <t>stand-cash</t>
  </si>
  <si>
    <t>Stand Cash</t>
  </si>
  <si>
    <t>stand-share</t>
  </si>
  <si>
    <t>Stand Share</t>
  </si>
  <si>
    <t>star-atlas</t>
  </si>
  <si>
    <t>Star Atlas</t>
  </si>
  <si>
    <t>star-atlas-dao</t>
  </si>
  <si>
    <t>Star Atlas DAO</t>
  </si>
  <si>
    <t>star-atlas-wormhole</t>
  </si>
  <si>
    <t>Star Atlas (Wormhole)</t>
  </si>
  <si>
    <t>starbase</t>
  </si>
  <si>
    <t>Starbase</t>
  </si>
  <si>
    <t>SE</t>
  </si>
  <si>
    <t>starbase-huobi</t>
  </si>
  <si>
    <t>Starbase Huobi</t>
  </si>
  <si>
    <t>SUNI</t>
  </si>
  <si>
    <t>starbaseuniverse</t>
  </si>
  <si>
    <t>StarbaseUniverse</t>
  </si>
  <si>
    <t>starbots</t>
  </si>
  <si>
    <t>Starbots</t>
  </si>
  <si>
    <t>STC</t>
  </si>
  <si>
    <t>starchain</t>
  </si>
  <si>
    <t>StarChain</t>
  </si>
  <si>
    <t>STARCHAINDOGE</t>
  </si>
  <si>
    <t>starchaindoge</t>
  </si>
  <si>
    <t>StarChainDoge</t>
  </si>
  <si>
    <t>ELIXIR</t>
  </si>
  <si>
    <t>starchi</t>
  </si>
  <si>
    <t>Starchi</t>
  </si>
  <si>
    <t>starcoin</t>
  </si>
  <si>
    <t>Starcoin</t>
  </si>
  <si>
    <t>STG</t>
  </si>
  <si>
    <t>stargate-finance</t>
  </si>
  <si>
    <t>Stargate Finance</t>
  </si>
  <si>
    <t>stargaze</t>
  </si>
  <si>
    <t>Stargaze</t>
  </si>
  <si>
    <t>STARDUST</t>
  </si>
  <si>
    <t>stargazer-protocol</t>
  </si>
  <si>
    <t>Stargazer Protocol</t>
  </si>
  <si>
    <t>starlaunch</t>
  </si>
  <si>
    <t>StarLaunch</t>
  </si>
  <si>
    <t>STARL</t>
  </si>
  <si>
    <t>starlink</t>
  </si>
  <si>
    <t>StarLink</t>
  </si>
  <si>
    <t>STARLY</t>
  </si>
  <si>
    <t>starly</t>
  </si>
  <si>
    <t>Starly</t>
  </si>
  <si>
    <t>SMON</t>
  </si>
  <si>
    <t>starmon-token</t>
  </si>
  <si>
    <t>StarMon</t>
  </si>
  <si>
    <t>IOV</t>
  </si>
  <si>
    <t>starname</t>
  </si>
  <si>
    <t>Starname</t>
  </si>
  <si>
    <t>STRZ</t>
  </si>
  <si>
    <t>starnodes</t>
  </si>
  <si>
    <t>Starnodes</t>
  </si>
  <si>
    <t>SRP</t>
  </si>
  <si>
    <t>starpad</t>
  </si>
  <si>
    <t>Starpad</t>
  </si>
  <si>
    <t>STPC</t>
  </si>
  <si>
    <t>starplay</t>
  </si>
  <si>
    <t>StarPlay</t>
  </si>
  <si>
    <t>SSS</t>
  </si>
  <si>
    <t>starsharks</t>
  </si>
  <si>
    <t>StarSharks</t>
  </si>
  <si>
    <t>starsharks-sea</t>
  </si>
  <si>
    <t>StarSharks SEA</t>
  </si>
  <si>
    <t>STARSB</t>
  </si>
  <si>
    <t>star-shib</t>
  </si>
  <si>
    <t>Star Shib</t>
  </si>
  <si>
    <t>STARSHIP</t>
  </si>
  <si>
    <t>starship</t>
  </si>
  <si>
    <t>StarShip</t>
  </si>
  <si>
    <t>SSR</t>
  </si>
  <si>
    <t>star-ship-royal</t>
  </si>
  <si>
    <t>Star Ship Royal</t>
  </si>
  <si>
    <t>starship-token</t>
  </si>
  <si>
    <t>StarShip Stars</t>
  </si>
  <si>
    <t>starstream</t>
  </si>
  <si>
    <t>Starstream</t>
  </si>
  <si>
    <t>starterra</t>
  </si>
  <si>
    <t>StarTerra</t>
  </si>
  <si>
    <t>STFI</t>
  </si>
  <si>
    <t>startfi</t>
  </si>
  <si>
    <t>StartFi</t>
  </si>
  <si>
    <t>start-vesting</t>
  </si>
  <si>
    <t>START Vesting</t>
  </si>
  <si>
    <t>SWCAT</t>
  </si>
  <si>
    <t>star-wars-cat</t>
  </si>
  <si>
    <t>Star Wars Cat</t>
  </si>
  <si>
    <t>starwire</t>
  </si>
  <si>
    <t>Starwire</t>
  </si>
  <si>
    <t>STARX</t>
  </si>
  <si>
    <t>starworks-global-ecosystem</t>
  </si>
  <si>
    <t>EURS</t>
  </si>
  <si>
    <t>stasis-eurs</t>
  </si>
  <si>
    <t>STASIS EURO</t>
  </si>
  <si>
    <t>stater</t>
  </si>
  <si>
    <t>Stater</t>
  </si>
  <si>
    <t>statera</t>
  </si>
  <si>
    <t>Statera</t>
  </si>
  <si>
    <t>STATIK</t>
  </si>
  <si>
    <t>statik</t>
  </si>
  <si>
    <t>Statik</t>
  </si>
  <si>
    <t>status</t>
  </si>
  <si>
    <t>Status</t>
  </si>
  <si>
    <t>STAX</t>
  </si>
  <si>
    <t>stax-protocol</t>
  </si>
  <si>
    <t>Stax Protocol</t>
  </si>
  <si>
    <t>STAY</t>
  </si>
  <si>
    <t>stay</t>
  </si>
  <si>
    <t>SIW</t>
  </si>
  <si>
    <t>stay-in-destiny-world</t>
  </si>
  <si>
    <t>Stay In Destiny World</t>
  </si>
  <si>
    <t>staysafu</t>
  </si>
  <si>
    <t>StaySAFU</t>
  </si>
  <si>
    <t>steakbank-finance</t>
  </si>
  <si>
    <t>SteakBank Finance</t>
  </si>
  <si>
    <t>STEAK</t>
  </si>
  <si>
    <t>steaks-finance</t>
  </si>
  <si>
    <t>Steaks Finance</t>
  </si>
  <si>
    <t>steak-token</t>
  </si>
  <si>
    <t>Steak</t>
  </si>
  <si>
    <t>XST</t>
  </si>
  <si>
    <t>stealthcoin</t>
  </si>
  <si>
    <t>Stealth</t>
  </si>
  <si>
    <t>STEAMX</t>
  </si>
  <si>
    <t>steam-exchange</t>
  </si>
  <si>
    <t>Steam Exchange</t>
  </si>
  <si>
    <t>STEEL</t>
  </si>
  <si>
    <t>steel</t>
  </si>
  <si>
    <t>Steel</t>
  </si>
  <si>
    <t>STEEM</t>
  </si>
  <si>
    <t>steem</t>
  </si>
  <si>
    <t>Steem</t>
  </si>
  <si>
    <t>SBD</t>
  </si>
  <si>
    <t>steem-dollars</t>
  </si>
  <si>
    <t>Steem Dollars</t>
  </si>
  <si>
    <t>stellar</t>
  </si>
  <si>
    <t>XLD</t>
  </si>
  <si>
    <t>stellar-diamond</t>
  </si>
  <si>
    <t>Stellar Diamond</t>
  </si>
  <si>
    <t>STELLARINU</t>
  </si>
  <si>
    <t>stellarinu</t>
  </si>
  <si>
    <t>StellarInu</t>
  </si>
  <si>
    <t>TRYON</t>
  </si>
  <si>
    <t>stellar-invictus</t>
  </si>
  <si>
    <t>Stellar Invictus</t>
  </si>
  <si>
    <t>XLPG</t>
  </si>
  <si>
    <t>stellarpayglobal</t>
  </si>
  <si>
    <t>StellarPayGlobal</t>
  </si>
  <si>
    <t>STELLA</t>
  </si>
  <si>
    <t>stellaswap</t>
  </si>
  <si>
    <t>StellaSwap</t>
  </si>
  <si>
    <t>stellite</t>
  </si>
  <si>
    <t>Scala</t>
  </si>
  <si>
    <t>STEMX</t>
  </si>
  <si>
    <t>stemx</t>
  </si>
  <si>
    <t>STEP</t>
  </si>
  <si>
    <t>step</t>
  </si>
  <si>
    <t>Step</t>
  </si>
  <si>
    <t>FITFI</t>
  </si>
  <si>
    <t>step-app-fitfi</t>
  </si>
  <si>
    <t>Step App</t>
  </si>
  <si>
    <t>step-finance</t>
  </si>
  <si>
    <t>Step Finance</t>
  </si>
  <si>
    <t>STEPG</t>
  </si>
  <si>
    <t>stepg</t>
  </si>
  <si>
    <t>step-hero</t>
  </si>
  <si>
    <t>Step Hero</t>
  </si>
  <si>
    <t>step-hero-soul</t>
  </si>
  <si>
    <t>Step Hero Soul</t>
  </si>
  <si>
    <t>stepn</t>
  </si>
  <si>
    <t>STEPN</t>
  </si>
  <si>
    <t>stib-token</t>
  </si>
  <si>
    <t>StiB</t>
  </si>
  <si>
    <t>STMAN</t>
  </si>
  <si>
    <t>stickman-battleground</t>
  </si>
  <si>
    <t>Stickman Battleground</t>
  </si>
  <si>
    <t>STILTON</t>
  </si>
  <si>
    <t>stilton-musk</t>
  </si>
  <si>
    <t>Stilton Musk</t>
  </si>
  <si>
    <t>STIMMY</t>
  </si>
  <si>
    <t>stimmy</t>
  </si>
  <si>
    <t>$STIMMY</t>
  </si>
  <si>
    <t>STN</t>
  </si>
  <si>
    <t>sting</t>
  </si>
  <si>
    <t>Sting</t>
  </si>
  <si>
    <t>SDFI</t>
  </si>
  <si>
    <t>stingdefi</t>
  </si>
  <si>
    <t>StingDefi</t>
  </si>
  <si>
    <t>stipend</t>
  </si>
  <si>
    <t>Stipend</t>
  </si>
  <si>
    <t>stkd-scrt</t>
  </si>
  <si>
    <t>Stkd SCRT</t>
  </si>
  <si>
    <t>STBU</t>
  </si>
  <si>
    <t>stobox-token</t>
  </si>
  <si>
    <t>Stobox</t>
  </si>
  <si>
    <t>STON</t>
  </si>
  <si>
    <t>ston</t>
  </si>
  <si>
    <t>Ston</t>
  </si>
  <si>
    <t>GES</t>
  </si>
  <si>
    <t>stoneage-nft</t>
  </si>
  <si>
    <t>Stoneage NFT</t>
  </si>
  <si>
    <t>stoned-ape-crew-index</t>
  </si>
  <si>
    <t>Stoned Ape Crew Index</t>
  </si>
  <si>
    <t>STONED</t>
  </si>
  <si>
    <t>stoned-shiba</t>
  </si>
  <si>
    <t>Stoned Shiba</t>
  </si>
  <si>
    <t>stone-token</t>
  </si>
  <si>
    <t>Stone</t>
  </si>
  <si>
    <t>STONK</t>
  </si>
  <si>
    <t>stonk</t>
  </si>
  <si>
    <t>Stonk Swap</t>
  </si>
  <si>
    <t>stonk-2</t>
  </si>
  <si>
    <t>Stonk</t>
  </si>
  <si>
    <t>stonk-league</t>
  </si>
  <si>
    <t>STOPELON</t>
  </si>
  <si>
    <t>stopelon</t>
  </si>
  <si>
    <t>StopElon</t>
  </si>
  <si>
    <t>SANA</t>
  </si>
  <si>
    <t>storage-area-network-anywhere</t>
  </si>
  <si>
    <t>Storage Area Network Anywhere</t>
  </si>
  <si>
    <t>TORI</t>
  </si>
  <si>
    <t>storichain-token</t>
  </si>
  <si>
    <t>STQ</t>
  </si>
  <si>
    <t>storiqa</t>
  </si>
  <si>
    <t>Storiqa</t>
  </si>
  <si>
    <t>STORJ</t>
  </si>
  <si>
    <t>storj</t>
  </si>
  <si>
    <t>Storj</t>
  </si>
  <si>
    <t>STORKS</t>
  </si>
  <si>
    <t>storks-token</t>
  </si>
  <si>
    <t>Storks</t>
  </si>
  <si>
    <t>STMX</t>
  </si>
  <si>
    <t>storm</t>
  </si>
  <si>
    <t>StormX</t>
  </si>
  <si>
    <t>STB</t>
  </si>
  <si>
    <t>storm-bringer-token</t>
  </si>
  <si>
    <t>Storm Bringer</t>
  </si>
  <si>
    <t>STORM</t>
  </si>
  <si>
    <t>storm-token</t>
  </si>
  <si>
    <t>Storm</t>
  </si>
  <si>
    <t>SRX</t>
  </si>
  <si>
    <t>storx</t>
  </si>
  <si>
    <t>StorX</t>
  </si>
  <si>
    <t>STORY</t>
  </si>
  <si>
    <t>story</t>
  </si>
  <si>
    <t>Story</t>
  </si>
  <si>
    <t>stox</t>
  </si>
  <si>
    <t>Stox</t>
  </si>
  <si>
    <t>STPT</t>
  </si>
  <si>
    <t>stp-network</t>
  </si>
  <si>
    <t>STP Network</t>
  </si>
  <si>
    <t>SFN</t>
  </si>
  <si>
    <t>strains</t>
  </si>
  <si>
    <t>Strains</t>
  </si>
  <si>
    <t>XIDR</t>
  </si>
  <si>
    <t>straitsx-indonesia-rupiah</t>
  </si>
  <si>
    <t>STRAX</t>
  </si>
  <si>
    <t>stratis</t>
  </si>
  <si>
    <t>Stratis</t>
  </si>
  <si>
    <t>STOS</t>
  </si>
  <si>
    <t>stratos</t>
  </si>
  <si>
    <t>Stratos</t>
  </si>
  <si>
    <t>NAH</t>
  </si>
  <si>
    <t>strayacoin</t>
  </si>
  <si>
    <t>Strayacoin</t>
  </si>
  <si>
    <t>STRAYINU</t>
  </si>
  <si>
    <t>strayinu</t>
  </si>
  <si>
    <t>StrayInu</t>
  </si>
  <si>
    <t>streamcoin</t>
  </si>
  <si>
    <t>StreamCoin</t>
  </si>
  <si>
    <t>STPL</t>
  </si>
  <si>
    <t>stream-protocol</t>
  </si>
  <si>
    <t>Stream Protocol</t>
  </si>
  <si>
    <t>streamr</t>
  </si>
  <si>
    <t>Streamr</t>
  </si>
  <si>
    <t>XDATA</t>
  </si>
  <si>
    <t>streamr-xdata</t>
  </si>
  <si>
    <t>Streamr XDATA</t>
  </si>
  <si>
    <t>$SSB</t>
  </si>
  <si>
    <t>stream-smart-business</t>
  </si>
  <si>
    <t>Stream Smart Business</t>
  </si>
  <si>
    <t>STREETH</t>
  </si>
  <si>
    <t>streeth</t>
  </si>
  <si>
    <t>SRG</t>
  </si>
  <si>
    <t>street-runner</t>
  </si>
  <si>
    <t>Street Runner</t>
  </si>
  <si>
    <t>STRK</t>
  </si>
  <si>
    <t>strike</t>
  </si>
  <si>
    <t>Strike</t>
  </si>
  <si>
    <t>STRX</t>
  </si>
  <si>
    <t>strikecoin</t>
  </si>
  <si>
    <t>StrikeX</t>
  </si>
  <si>
    <t>STRIP</t>
  </si>
  <si>
    <t>stripcoin</t>
  </si>
  <si>
    <t>StripCoin</t>
  </si>
  <si>
    <t>strip-finance</t>
  </si>
  <si>
    <t>Strip Finance</t>
  </si>
  <si>
    <t>STRP</t>
  </si>
  <si>
    <t>strips-finance</t>
  </si>
  <si>
    <t>Strips Finance</t>
  </si>
  <si>
    <t>stripto</t>
  </si>
  <si>
    <t>Stripto</t>
  </si>
  <si>
    <t>STRI</t>
  </si>
  <si>
    <t>strite</t>
  </si>
  <si>
    <t>Strite</t>
  </si>
  <si>
    <t>STRONG</t>
  </si>
  <si>
    <t>strong</t>
  </si>
  <si>
    <t>Strong</t>
  </si>
  <si>
    <t>strong-bull</t>
  </si>
  <si>
    <t>Strong Bull</t>
  </si>
  <si>
    <t>STRNGR</t>
  </si>
  <si>
    <t>stronger</t>
  </si>
  <si>
    <t>Stronger</t>
  </si>
  <si>
    <t>SHND</t>
  </si>
  <si>
    <t>stronghands</t>
  </si>
  <si>
    <t>StrongHands</t>
  </si>
  <si>
    <t>ISHND</t>
  </si>
  <si>
    <t>stronghands-finance</t>
  </si>
  <si>
    <t>StrongHands Finance</t>
  </si>
  <si>
    <t>SHMN</t>
  </si>
  <si>
    <t>stronghands-masternode</t>
  </si>
  <si>
    <t>StrongHands Masternode</t>
  </si>
  <si>
    <t>SHX</t>
  </si>
  <si>
    <t>stronghold-token</t>
  </si>
  <si>
    <t>SNE</t>
  </si>
  <si>
    <t>strongnode</t>
  </si>
  <si>
    <t>StrongNode</t>
  </si>
  <si>
    <t>structure-finance</t>
  </si>
  <si>
    <t>Structure Finance</t>
  </si>
  <si>
    <t>TRDL</t>
  </si>
  <si>
    <t>strudel-finance</t>
  </si>
  <si>
    <t>Strudel Finance</t>
  </si>
  <si>
    <t>student-coin</t>
  </si>
  <si>
    <t>Student Coin</t>
  </si>
  <si>
    <t>SHIBLI</t>
  </si>
  <si>
    <t>studio-shibli</t>
  </si>
  <si>
    <t>Studio Shibli</t>
  </si>
  <si>
    <t>STUD</t>
  </si>
  <si>
    <t>studyum</t>
  </si>
  <si>
    <t>Studyum</t>
  </si>
  <si>
    <t>subgame</t>
  </si>
  <si>
    <t>SubGame</t>
  </si>
  <si>
    <t>SUB</t>
  </si>
  <si>
    <t>subme</t>
  </si>
  <si>
    <t>Subme</t>
  </si>
  <si>
    <t>SQT</t>
  </si>
  <si>
    <t>subquery-network</t>
  </si>
  <si>
    <t>SubQuery Network</t>
  </si>
  <si>
    <t>substratum</t>
  </si>
  <si>
    <t>Substratum</t>
  </si>
  <si>
    <t>SFX</t>
  </si>
  <si>
    <t>subx-finance</t>
  </si>
  <si>
    <t>SUBX FINANCE LAB</t>
  </si>
  <si>
    <t>SUCCESS</t>
  </si>
  <si>
    <t>success-inu</t>
  </si>
  <si>
    <t>SUCCESS INU</t>
  </si>
  <si>
    <t>SCCN</t>
  </si>
  <si>
    <t>succession</t>
  </si>
  <si>
    <t>Succession</t>
  </si>
  <si>
    <t>SUCH</t>
  </si>
  <si>
    <t>such-shiba</t>
  </si>
  <si>
    <t>Such Shiba</t>
  </si>
  <si>
    <t>XSR</t>
  </si>
  <si>
    <t>sucrecoin</t>
  </si>
  <si>
    <t>Sucrecoin</t>
  </si>
  <si>
    <t>TIP</t>
  </si>
  <si>
    <t>sugarbounce</t>
  </si>
  <si>
    <t>SugarBounce</t>
  </si>
  <si>
    <t>SUGAR</t>
  </si>
  <si>
    <t>sugarchain</t>
  </si>
  <si>
    <t>Sugarchain</t>
  </si>
  <si>
    <t>sugar-kingdom</t>
  </si>
  <si>
    <t>Sugar Kingdom</t>
  </si>
  <si>
    <t>SKT</t>
  </si>
  <si>
    <t>sukhavati-network</t>
  </si>
  <si>
    <t>Sukhavati Network</t>
  </si>
  <si>
    <t>SUKU</t>
  </si>
  <si>
    <t>suku</t>
  </si>
  <si>
    <t>SUM</t>
  </si>
  <si>
    <t>sumcoin</t>
  </si>
  <si>
    <t>Sumcoin</t>
  </si>
  <si>
    <t>SUMMER</t>
  </si>
  <si>
    <t>summer</t>
  </si>
  <si>
    <t>Summer</t>
  </si>
  <si>
    <t>SUMMIT</t>
  </si>
  <si>
    <t>summit-defi</t>
  </si>
  <si>
    <t>Summit DeFi [OLD]</t>
  </si>
  <si>
    <t>summit-defi-2</t>
  </si>
  <si>
    <t>Summit DeFi</t>
  </si>
  <si>
    <t>SUT</t>
  </si>
  <si>
    <t>summoner</t>
  </si>
  <si>
    <t>Summoner</t>
  </si>
  <si>
    <t>SUMO</t>
  </si>
  <si>
    <t>sumokoin</t>
  </si>
  <si>
    <t>Sumokoin</t>
  </si>
  <si>
    <t>sumswap</t>
  </si>
  <si>
    <t>SumSwap</t>
  </si>
  <si>
    <t>sun</t>
  </si>
  <si>
    <t>SNC</t>
  </si>
  <si>
    <t>suncontract</t>
  </si>
  <si>
    <t>SunContract</t>
  </si>
  <si>
    <t>SUNDAE</t>
  </si>
  <si>
    <t>sundaeswap</t>
  </si>
  <si>
    <t>SundaeSwap</t>
  </si>
  <si>
    <t>SUNDER</t>
  </si>
  <si>
    <t>sunder-goverance-token</t>
  </si>
  <si>
    <t>Sunder Goverance</t>
  </si>
  <si>
    <t>SFO</t>
  </si>
  <si>
    <t>sunflower-finance</t>
  </si>
  <si>
    <t>Sunflower Finance</t>
  </si>
  <si>
    <t>sunflower-land</t>
  </si>
  <si>
    <t>Sunflower Land</t>
  </si>
  <si>
    <t>SUNNY</t>
  </si>
  <si>
    <t>sunny-aggregator</t>
  </si>
  <si>
    <t>Sunny Aggregator</t>
  </si>
  <si>
    <t>SSU</t>
  </si>
  <si>
    <t>sunnysideup</t>
  </si>
  <si>
    <t>SunnySideUp</t>
  </si>
  <si>
    <t>SUNC</t>
  </si>
  <si>
    <t>sunrise</t>
  </si>
  <si>
    <t>Sunrise</t>
  </si>
  <si>
    <t>SSHLD</t>
  </si>
  <si>
    <t>sunshield</t>
  </si>
  <si>
    <t>SunShield</t>
  </si>
  <si>
    <t>sun-token</t>
  </si>
  <si>
    <t>Sun Token</t>
  </si>
  <si>
    <t>SUPA</t>
  </si>
  <si>
    <t>supa-foundation</t>
  </si>
  <si>
    <t>SUPA Foundation</t>
  </si>
  <si>
    <t>SUPE</t>
  </si>
  <si>
    <t>supe-infinity</t>
  </si>
  <si>
    <t>Supe Infinity</t>
  </si>
  <si>
    <t>S8</t>
  </si>
  <si>
    <t>super8</t>
  </si>
  <si>
    <t>Super8</t>
  </si>
  <si>
    <t>SA</t>
  </si>
  <si>
    <t>superalgos</t>
  </si>
  <si>
    <t>Superalgos</t>
  </si>
  <si>
    <t>SUPERBID</t>
  </si>
  <si>
    <t>superbid</t>
  </si>
  <si>
    <t>SuperBid</t>
  </si>
  <si>
    <t>SPB</t>
  </si>
  <si>
    <t>superbnb-finance</t>
  </si>
  <si>
    <t>SuperBNB.Finance [OLD]</t>
  </si>
  <si>
    <t>superbonds</t>
  </si>
  <si>
    <t>SuperBonds</t>
  </si>
  <si>
    <t>$SBC</t>
  </si>
  <si>
    <t>superbrain-capital-dao</t>
  </si>
  <si>
    <t>SuperBrain Capital Dao</t>
  </si>
  <si>
    <t>CAR</t>
  </si>
  <si>
    <t>supercars</t>
  </si>
  <si>
    <t>Supercars</t>
  </si>
  <si>
    <t>SUPER</t>
  </si>
  <si>
    <t>superciety</t>
  </si>
  <si>
    <t>Superciety</t>
  </si>
  <si>
    <t>supercoin</t>
  </si>
  <si>
    <t>SuperCoin</t>
  </si>
  <si>
    <t>SCV</t>
  </si>
  <si>
    <t>super-coinview-token</t>
  </si>
  <si>
    <t>Super CoinView Token</t>
  </si>
  <si>
    <t>SUPDOG</t>
  </si>
  <si>
    <t>superdoge</t>
  </si>
  <si>
    <t>SuperDoge</t>
  </si>
  <si>
    <t>superfarm</t>
  </si>
  <si>
    <t>SuperFarm</t>
  </si>
  <si>
    <t>SLOKI</t>
  </si>
  <si>
    <t>super-floki</t>
  </si>
  <si>
    <t>Super Floki</t>
  </si>
  <si>
    <t>superfuel</t>
  </si>
  <si>
    <t>SuperFuel</t>
  </si>
  <si>
    <t>super-hero</t>
  </si>
  <si>
    <t>Super Hero</t>
  </si>
  <si>
    <t>superinu</t>
  </si>
  <si>
    <t>SuperInu</t>
  </si>
  <si>
    <t>LAUNCH</t>
  </si>
  <si>
    <t>superlauncher-dao</t>
  </si>
  <si>
    <t>SuperLauncher DAO</t>
  </si>
  <si>
    <t>SMHDOGE</t>
  </si>
  <si>
    <t>supermegahyperdoge</t>
  </si>
  <si>
    <t>SuperMegaHyperDoge</t>
  </si>
  <si>
    <t>SM</t>
  </si>
  <si>
    <t>superminesweeper</t>
  </si>
  <si>
    <t>SuperMinesweeper</t>
  </si>
  <si>
    <t>supernova</t>
  </si>
  <si>
    <t>Supernova</t>
  </si>
  <si>
    <t>superplayer-world</t>
  </si>
  <si>
    <t>SuperPlayer World</t>
  </si>
  <si>
    <t>superrare</t>
  </si>
  <si>
    <t>SuperRare</t>
  </si>
  <si>
    <t>$SSHIBA</t>
  </si>
  <si>
    <t>super-shiba</t>
  </si>
  <si>
    <t>Super Shiba</t>
  </si>
  <si>
    <t>SSN</t>
  </si>
  <si>
    <t>superskynet</t>
  </si>
  <si>
    <t>SuperSkyNet</t>
  </si>
  <si>
    <t>supersonic-finance</t>
  </si>
  <si>
    <t>Supersonic Finance</t>
  </si>
  <si>
    <t>STK</t>
  </si>
  <si>
    <t>super-three-kingdoms</t>
  </si>
  <si>
    <t>Super Three Kingdoms</t>
  </si>
  <si>
    <t>STRO</t>
  </si>
  <si>
    <t>supertron</t>
  </si>
  <si>
    <t>Supertron</t>
  </si>
  <si>
    <t>SUP</t>
  </si>
  <si>
    <t>supertx-governance-token</t>
  </si>
  <si>
    <t>SWDAO</t>
  </si>
  <si>
    <t>super-whale-dao</t>
  </si>
  <si>
    <t>Super Whale DAO</t>
  </si>
  <si>
    <t>SERO</t>
  </si>
  <si>
    <t>super-zero</t>
  </si>
  <si>
    <t>SUPD</t>
  </si>
  <si>
    <t>support-doge</t>
  </si>
  <si>
    <t>Support Doge</t>
  </si>
  <si>
    <t>SUPRA</t>
  </si>
  <si>
    <t>supra-token</t>
  </si>
  <si>
    <t>Supra</t>
  </si>
  <si>
    <t>SUPS</t>
  </si>
  <si>
    <t>supremacy</t>
  </si>
  <si>
    <t>Supremacy</t>
  </si>
  <si>
    <t>HYPE</t>
  </si>
  <si>
    <t>supreme-finance</t>
  </si>
  <si>
    <t>Supreme Finance</t>
  </si>
  <si>
    <t>suprenft</t>
  </si>
  <si>
    <t>SupreNFT</t>
  </si>
  <si>
    <t>suqa</t>
  </si>
  <si>
    <t>SINOVATE</t>
  </si>
  <si>
    <t>RMT</t>
  </si>
  <si>
    <t>sureremit</t>
  </si>
  <si>
    <t>SureRemit</t>
  </si>
  <si>
    <t>SUR</t>
  </si>
  <si>
    <t>suretly</t>
  </si>
  <si>
    <t>Suretly</t>
  </si>
  <si>
    <t>SURF</t>
  </si>
  <si>
    <t>surfexutilitytoken</t>
  </si>
  <si>
    <t>SurfExUtilityToken</t>
  </si>
  <si>
    <t>surf-finance</t>
  </si>
  <si>
    <t>Surf.Finance</t>
  </si>
  <si>
    <t>SURFMOON</t>
  </si>
  <si>
    <t>surfmoon</t>
  </si>
  <si>
    <t>SurfMoon</t>
  </si>
  <si>
    <t>SURGE</t>
  </si>
  <si>
    <t>surge-inu</t>
  </si>
  <si>
    <t>Surge Inu</t>
  </si>
  <si>
    <t>SURV</t>
  </si>
  <si>
    <t>survival-game-online</t>
  </si>
  <si>
    <t>Survival Game Online</t>
  </si>
  <si>
    <t>SSG</t>
  </si>
  <si>
    <t>surviving-soldiers</t>
  </si>
  <si>
    <t>Surviving Soldiers</t>
  </si>
  <si>
    <t>SUV</t>
  </si>
  <si>
    <t>survivor-finance</t>
  </si>
  <si>
    <t>Survivor Finance</t>
  </si>
  <si>
    <t>SUSHI</t>
  </si>
  <si>
    <t>sushi</t>
  </si>
  <si>
    <t>Sushi</t>
  </si>
  <si>
    <t>SUSHIBA</t>
  </si>
  <si>
    <t>sushiba</t>
  </si>
  <si>
    <t>Sushiba</t>
  </si>
  <si>
    <t>sushi-wormhole</t>
  </si>
  <si>
    <t>Sushi (Wormhole)</t>
  </si>
  <si>
    <t>sustainable-energy-token</t>
  </si>
  <si>
    <t>Sustainable Energy</t>
  </si>
  <si>
    <t>SUTEKU</t>
  </si>
  <si>
    <t>suteku</t>
  </si>
  <si>
    <t>Suteku</t>
  </si>
  <si>
    <t>SUTER</t>
  </si>
  <si>
    <t>suterusu</t>
  </si>
  <si>
    <t>Suterusu</t>
  </si>
  <si>
    <t>suvereno</t>
  </si>
  <si>
    <t>Suvereno</t>
  </si>
  <si>
    <t>SWACE</t>
  </si>
  <si>
    <t>swace</t>
  </si>
  <si>
    <t>Swace</t>
  </si>
  <si>
    <t>swagbucks</t>
  </si>
  <si>
    <t>SwagBucks</t>
  </si>
  <si>
    <t>SWAG</t>
  </si>
  <si>
    <t>swag-finance</t>
  </si>
  <si>
    <t>SWAG Finance</t>
  </si>
  <si>
    <t>swag-finance-wormhole</t>
  </si>
  <si>
    <t>SWAG Finance (Wormhole)</t>
  </si>
  <si>
    <t>SWAK</t>
  </si>
  <si>
    <t>swak</t>
  </si>
  <si>
    <t>s-wallet-protocol</t>
  </si>
  <si>
    <t>S-Wallet Protocol</t>
  </si>
  <si>
    <t>SWAMP</t>
  </si>
  <si>
    <t>swamp-coin</t>
  </si>
  <si>
    <t>Swamp Coin</t>
  </si>
  <si>
    <t>swampy</t>
  </si>
  <si>
    <t>Swampy</t>
  </si>
  <si>
    <t>SWAN</t>
  </si>
  <si>
    <t>swanlana</t>
  </si>
  <si>
    <t>Swanlana</t>
  </si>
  <si>
    <t>XWP</t>
  </si>
  <si>
    <t>swap</t>
  </si>
  <si>
    <t>Swap</t>
  </si>
  <si>
    <t>swapall</t>
  </si>
  <si>
    <t>SwapAll</t>
  </si>
  <si>
    <t>SDX</t>
  </si>
  <si>
    <t>swapdex</t>
  </si>
  <si>
    <t>SwapDEX</t>
  </si>
  <si>
    <t>PERRY</t>
  </si>
  <si>
    <t>swaperry</t>
  </si>
  <si>
    <t>Swaperry</t>
  </si>
  <si>
    <t>SWFL</t>
  </si>
  <si>
    <t>swapfolio</t>
  </si>
  <si>
    <t>Swapfolio</t>
  </si>
  <si>
    <t>SWAM</t>
  </si>
  <si>
    <t>swapmatic</t>
  </si>
  <si>
    <t>SwapMatic</t>
  </si>
  <si>
    <t>SWAPP</t>
  </si>
  <si>
    <t>swapp</t>
  </si>
  <si>
    <t>SWAPP Protocol</t>
  </si>
  <si>
    <t>SWPR</t>
  </si>
  <si>
    <t>swappery-token</t>
  </si>
  <si>
    <t>The Swappery</t>
  </si>
  <si>
    <t>PPI</t>
  </si>
  <si>
    <t>swappi</t>
  </si>
  <si>
    <t>Swappi</t>
  </si>
  <si>
    <t>swapr</t>
  </si>
  <si>
    <t>Swapr</t>
  </si>
  <si>
    <t>SWPT</t>
  </si>
  <si>
    <t>swaptracker</t>
  </si>
  <si>
    <t>SwapTracker</t>
  </si>
  <si>
    <t>XWAP</t>
  </si>
  <si>
    <t>swapx</t>
  </si>
  <si>
    <t>SwapX</t>
  </si>
  <si>
    <t>SWAPXI</t>
  </si>
  <si>
    <t>swapxi-token</t>
  </si>
  <si>
    <t>SwapXI</t>
  </si>
  <si>
    <t>SWAPZ</t>
  </si>
  <si>
    <t>swapz-app</t>
  </si>
  <si>
    <t>SWAPZ.app</t>
  </si>
  <si>
    <t>SWM</t>
  </si>
  <si>
    <t>swarm</t>
  </si>
  <si>
    <t>Swarm Network</t>
  </si>
  <si>
    <t>BZZ</t>
  </si>
  <si>
    <t>swarm-bzz</t>
  </si>
  <si>
    <t>Swarm</t>
  </si>
  <si>
    <t>swarm-city</t>
  </si>
  <si>
    <t>Swarm City</t>
  </si>
  <si>
    <t>swarm-markets</t>
  </si>
  <si>
    <t>Swarm Markets</t>
  </si>
  <si>
    <t>SWASH</t>
  </si>
  <si>
    <t>swash</t>
  </si>
  <si>
    <t>Swash</t>
  </si>
  <si>
    <t>SWAY</t>
  </si>
  <si>
    <t>sway-social</t>
  </si>
  <si>
    <t>Sway Social</t>
  </si>
  <si>
    <t>sw-dao</t>
  </si>
  <si>
    <t>SW DAO</t>
  </si>
  <si>
    <t>SWEAT</t>
  </si>
  <si>
    <t>sweatcoin</t>
  </si>
  <si>
    <t>SweatCoin</t>
  </si>
  <si>
    <t>sweep-capital</t>
  </si>
  <si>
    <t>Sweep Capital</t>
  </si>
  <si>
    <t>sweet-btc</t>
  </si>
  <si>
    <t>Sweet BTC</t>
  </si>
  <si>
    <t>SWRV</t>
  </si>
  <si>
    <t>swerve-dao</t>
  </si>
  <si>
    <t>Swerve</t>
  </si>
  <si>
    <t>SWERVE</t>
  </si>
  <si>
    <t>swerve-protocol</t>
  </si>
  <si>
    <t>SWERVE Protocol</t>
  </si>
  <si>
    <t>SWFTC</t>
  </si>
  <si>
    <t>swftcoin</t>
  </si>
  <si>
    <t>SWFTCOIN</t>
  </si>
  <si>
    <t>SWG</t>
  </si>
  <si>
    <t>swgtoken</t>
  </si>
  <si>
    <t>SWIFT</t>
  </si>
  <si>
    <t>swiftcash</t>
  </si>
  <si>
    <t>SwiftCash</t>
  </si>
  <si>
    <t>SWL</t>
  </si>
  <si>
    <t>swiftlance-token</t>
  </si>
  <si>
    <t>Swiftlance Token</t>
  </si>
  <si>
    <t>SWI</t>
  </si>
  <si>
    <t>swinca-2</t>
  </si>
  <si>
    <t>Swinca</t>
  </si>
  <si>
    <t>SWIN</t>
  </si>
  <si>
    <t>swincoin</t>
  </si>
  <si>
    <t>SwinCoin</t>
  </si>
  <si>
    <t>SWING</t>
  </si>
  <si>
    <t>swing</t>
  </si>
  <si>
    <t>Swing</t>
  </si>
  <si>
    <t>SWINGBY</t>
  </si>
  <si>
    <t>swingby</t>
  </si>
  <si>
    <t>Swingby</t>
  </si>
  <si>
    <t>SXP</t>
  </si>
  <si>
    <t>swipe</t>
  </si>
  <si>
    <t>SWIPE</t>
  </si>
  <si>
    <t>swipe-network</t>
  </si>
  <si>
    <t>SWIPE Network</t>
  </si>
  <si>
    <t>swipe-wormhole</t>
  </si>
  <si>
    <t>Swipe (Wormhole)</t>
  </si>
  <si>
    <t>SWIPP</t>
  </si>
  <si>
    <t>swipp</t>
  </si>
  <si>
    <t>Swipp</t>
  </si>
  <si>
    <t>SWGB</t>
  </si>
  <si>
    <t>swirge</t>
  </si>
  <si>
    <t>Swirge</t>
  </si>
  <si>
    <t>SWIRL</t>
  </si>
  <si>
    <t>swirl-cash</t>
  </si>
  <si>
    <t>Swirl Cash</t>
  </si>
  <si>
    <t>swirltoken</t>
  </si>
  <si>
    <t>Swirl</t>
  </si>
  <si>
    <t>CHSB</t>
  </si>
  <si>
    <t>swissborg</t>
  </si>
  <si>
    <t>SwissBorg</t>
  </si>
  <si>
    <t>ESH</t>
  </si>
  <si>
    <t>switch</t>
  </si>
  <si>
    <t>Switch</t>
  </si>
  <si>
    <t>SWTH</t>
  </si>
  <si>
    <t>switcheo</t>
  </si>
  <si>
    <t>Carbon Protocol</t>
  </si>
  <si>
    <t>SWIV</t>
  </si>
  <si>
    <t>swivel-governance</t>
  </si>
  <si>
    <t>Swivel Governance</t>
  </si>
  <si>
    <t>SWOLE</t>
  </si>
  <si>
    <t>swole-doge</t>
  </si>
  <si>
    <t>Swole Doge</t>
  </si>
  <si>
    <t>SWOP</t>
  </si>
  <si>
    <t>swop</t>
  </si>
  <si>
    <t>Swop</t>
  </si>
  <si>
    <t>SWAT</t>
  </si>
  <si>
    <t>swtcoin</t>
  </si>
  <si>
    <t>SWTCoin</t>
  </si>
  <si>
    <t>SWUSD</t>
  </si>
  <si>
    <t>swusd</t>
  </si>
  <si>
    <t>Swerve.fi USD</t>
  </si>
  <si>
    <t>SWYFTT</t>
  </si>
  <si>
    <t>swyft</t>
  </si>
  <si>
    <t>SWYFT</t>
  </si>
  <si>
    <t>SX</t>
  </si>
  <si>
    <t>sx-network</t>
  </si>
  <si>
    <t>SX Network</t>
  </si>
  <si>
    <t>SYA</t>
  </si>
  <si>
    <t>sya-x-flooz</t>
  </si>
  <si>
    <t>SYA x Flooz</t>
  </si>
  <si>
    <t>SYBC</t>
  </si>
  <si>
    <t>sybc-coin</t>
  </si>
  <si>
    <t>SYBC Coin</t>
  </si>
  <si>
    <t>SYF</t>
  </si>
  <si>
    <t>syfin</t>
  </si>
  <si>
    <t>Syfin</t>
  </si>
  <si>
    <t>SYLO</t>
  </si>
  <si>
    <t>sylo</t>
  </si>
  <si>
    <t>Sylo</t>
  </si>
  <si>
    <t>SIS</t>
  </si>
  <si>
    <t>symbiosis-finance</t>
  </si>
  <si>
    <t>Symbiosis Finance</t>
  </si>
  <si>
    <t>XYM</t>
  </si>
  <si>
    <t>symbol</t>
  </si>
  <si>
    <t>SYMBULL</t>
  </si>
  <si>
    <t>symbull</t>
  </si>
  <si>
    <t>SymBULL</t>
  </si>
  <si>
    <t>SYMM</t>
  </si>
  <si>
    <t>symmetric</t>
  </si>
  <si>
    <t>Symmetric</t>
  </si>
  <si>
    <t>SYM</t>
  </si>
  <si>
    <t>symverse</t>
  </si>
  <si>
    <t>SymVerse</t>
  </si>
  <si>
    <t>SYN</t>
  </si>
  <si>
    <t>synapse-2</t>
  </si>
  <si>
    <t>Synapse</t>
  </si>
  <si>
    <t>SNP</t>
  </si>
  <si>
    <t>synapse-network</t>
  </si>
  <si>
    <t>Synapse Network</t>
  </si>
  <si>
    <t>SDG</t>
  </si>
  <si>
    <t>syncdao-governance</t>
  </si>
  <si>
    <t>SyncDAO Governance</t>
  </si>
  <si>
    <t>synchrobitcoin</t>
  </si>
  <si>
    <t>SynchroBitcoin</t>
  </si>
  <si>
    <t>SYC</t>
  </si>
  <si>
    <t>synchrolife</t>
  </si>
  <si>
    <t>SynchroLife</t>
  </si>
  <si>
    <t>synchrony</t>
  </si>
  <si>
    <t>Synchrony</t>
  </si>
  <si>
    <t>sync-network</t>
  </si>
  <si>
    <t>Sync Network</t>
  </si>
  <si>
    <t>SYNR</t>
  </si>
  <si>
    <t>syndicate-2</t>
  </si>
  <si>
    <t>MOBLAND</t>
  </si>
  <si>
    <t>SNS</t>
  </si>
  <si>
    <t>synesis-one</t>
  </si>
  <si>
    <t>Synesis One</t>
  </si>
  <si>
    <t>MINECRAFT</t>
  </si>
  <si>
    <t>synex-coin</t>
  </si>
  <si>
    <t>Synex Coin</t>
  </si>
  <si>
    <t>XFTT</t>
  </si>
  <si>
    <t>synthetic-ftt</t>
  </si>
  <si>
    <t>Synthetic FTT</t>
  </si>
  <si>
    <t>XSOL</t>
  </si>
  <si>
    <t>synthetic-sol</t>
  </si>
  <si>
    <t>Synthetic SOL</t>
  </si>
  <si>
    <t>XUSD</t>
  </si>
  <si>
    <t>synthetic-usd</t>
  </si>
  <si>
    <t>Synthetic USD</t>
  </si>
  <si>
    <t>synthetic-usd-fabric</t>
  </si>
  <si>
    <t>Synthetic USD (Fabric)</t>
  </si>
  <si>
    <t>SNY</t>
  </si>
  <si>
    <t>synthetify-token</t>
  </si>
  <si>
    <t>Synthetify</t>
  </si>
  <si>
    <t>synthetix-network-token-wormhole</t>
  </si>
  <si>
    <t>Synthetix Network Token (Wormhole)</t>
  </si>
  <si>
    <t>synth-ousd</t>
  </si>
  <si>
    <t>Synth oUSD</t>
  </si>
  <si>
    <t>SYP</t>
  </si>
  <si>
    <t>sypool</t>
  </si>
  <si>
    <t>Sypool</t>
  </si>
  <si>
    <t>syrex</t>
  </si>
  <si>
    <t>Syrex</t>
  </si>
  <si>
    <t>SYS</t>
  </si>
  <si>
    <t>syscoin</t>
  </si>
  <si>
    <t>Syscoin</t>
  </si>
  <si>
    <t>T99</t>
  </si>
  <si>
    <t>t99</t>
  </si>
  <si>
    <t>TAB</t>
  </si>
  <si>
    <t>tabank</t>
  </si>
  <si>
    <t>Tabank</t>
  </si>
  <si>
    <t>TABOO</t>
  </si>
  <si>
    <t>taboo-token</t>
  </si>
  <si>
    <t>Taboo Token</t>
  </si>
  <si>
    <t>TTT</t>
  </si>
  <si>
    <t>tabtrader</t>
  </si>
  <si>
    <t>TabTrader</t>
  </si>
  <si>
    <t>TACOE</t>
  </si>
  <si>
    <t>tacoenergy</t>
  </si>
  <si>
    <t>TacoEnergy</t>
  </si>
  <si>
    <t>TACO</t>
  </si>
  <si>
    <t>tacos</t>
  </si>
  <si>
    <t>Tacos</t>
  </si>
  <si>
    <t>TAD</t>
  </si>
  <si>
    <t>tadpole-finance</t>
  </si>
  <si>
    <t>Tadpole</t>
  </si>
  <si>
    <t>tadpole-token</t>
  </si>
  <si>
    <t>TAF</t>
  </si>
  <si>
    <t>taf-token</t>
  </si>
  <si>
    <t>TAG</t>
  </si>
  <si>
    <t>tagbond</t>
  </si>
  <si>
    <t>Tagbond</t>
  </si>
  <si>
    <t>tagcoin</t>
  </si>
  <si>
    <t>Tagcoin</t>
  </si>
  <si>
    <t>tag-protocol</t>
  </si>
  <si>
    <t>Tag Protocol</t>
  </si>
  <si>
    <t>TAGR</t>
  </si>
  <si>
    <t>tagrcoin</t>
  </si>
  <si>
    <t>TAGRcoin</t>
  </si>
  <si>
    <t>TAHU</t>
  </si>
  <si>
    <t>tahu</t>
  </si>
  <si>
    <t>TAI</t>
  </si>
  <si>
    <t>tai</t>
  </si>
  <si>
    <t>taiga</t>
  </si>
  <si>
    <t>Taiga</t>
  </si>
  <si>
    <t>TAILS</t>
  </si>
  <si>
    <t>tails</t>
  </si>
  <si>
    <t>Tails</t>
  </si>
  <si>
    <t>TAJ</t>
  </si>
  <si>
    <t>tajcoin</t>
  </si>
  <si>
    <t>TajCoin</t>
  </si>
  <si>
    <t>TKG</t>
  </si>
  <si>
    <t>takamaka-green-coin</t>
  </si>
  <si>
    <t>Takamaka Green Coin</t>
  </si>
  <si>
    <t>TAKEDA</t>
  </si>
  <si>
    <t>takeda-shin</t>
  </si>
  <si>
    <t>Takeda Shin</t>
  </si>
  <si>
    <t>TAKI</t>
  </si>
  <si>
    <t>taki</t>
  </si>
  <si>
    <t>Taki</t>
  </si>
  <si>
    <t>TAN</t>
  </si>
  <si>
    <t>taklimakan-network</t>
  </si>
  <si>
    <t>Taklimakan Network</t>
  </si>
  <si>
    <t>TAKO</t>
  </si>
  <si>
    <t>tako-token</t>
  </si>
  <si>
    <t>Tako</t>
  </si>
  <si>
    <t>TALAN</t>
  </si>
  <si>
    <t>talan</t>
  </si>
  <si>
    <t>Talan</t>
  </si>
  <si>
    <t>TALI</t>
  </si>
  <si>
    <t>talaria-inu</t>
  </si>
  <si>
    <t>Talaria Inu</t>
  </si>
  <si>
    <t>CRAFT</t>
  </si>
  <si>
    <t>talecraft</t>
  </si>
  <si>
    <t>TaleCraft</t>
  </si>
  <si>
    <t>TNT</t>
  </si>
  <si>
    <t>talent</t>
  </si>
  <si>
    <t>Talent</t>
  </si>
  <si>
    <t>TLNT</t>
  </si>
  <si>
    <t>talentcoin</t>
  </si>
  <si>
    <t>TalentCoin</t>
  </si>
  <si>
    <t>talent-coin</t>
  </si>
  <si>
    <t>Talent Coin</t>
  </si>
  <si>
    <t>TTX</t>
  </si>
  <si>
    <t>talent-token</t>
  </si>
  <si>
    <t>TALE</t>
  </si>
  <si>
    <t>tale-of-chain</t>
  </si>
  <si>
    <t>Tales Of Chain</t>
  </si>
  <si>
    <t>TLR</t>
  </si>
  <si>
    <t>taler</t>
  </si>
  <si>
    <t>Taler</t>
  </si>
  <si>
    <t>TALK</t>
  </si>
  <si>
    <t>talkado</t>
  </si>
  <si>
    <t>Talkado</t>
  </si>
  <si>
    <t>talken</t>
  </si>
  <si>
    <t>Talken</t>
  </si>
  <si>
    <t>TAMA</t>
  </si>
  <si>
    <t>tama-finance</t>
  </si>
  <si>
    <t>Tama Finance</t>
  </si>
  <si>
    <t>TNGBL</t>
  </si>
  <si>
    <t>tangible</t>
  </si>
  <si>
    <t>Tangible</t>
  </si>
  <si>
    <t>TNGL</t>
  </si>
  <si>
    <t>tangle</t>
  </si>
  <si>
    <t>Tangle</t>
  </si>
  <si>
    <t>tangoswap</t>
  </si>
  <si>
    <t>TangoSwap</t>
  </si>
  <si>
    <t>TBL</t>
  </si>
  <si>
    <t>tank-battle</t>
  </si>
  <si>
    <t>Tank Battle</t>
  </si>
  <si>
    <t>TGOLD</t>
  </si>
  <si>
    <t>tank-gold</t>
  </si>
  <si>
    <t>Tank Gold</t>
  </si>
  <si>
    <t>TNK</t>
  </si>
  <si>
    <t>tank-metaverse</t>
  </si>
  <si>
    <t>Tank Metaverse</t>
  </si>
  <si>
    <t>TANKS</t>
  </si>
  <si>
    <t>tanks</t>
  </si>
  <si>
    <t>Tanks</t>
  </si>
  <si>
    <t>TANUKI</t>
  </si>
  <si>
    <t>tanuki-token</t>
  </si>
  <si>
    <t>Tanuki</t>
  </si>
  <si>
    <t>XTP</t>
  </si>
  <si>
    <t>tap</t>
  </si>
  <si>
    <t>Tap</t>
  </si>
  <si>
    <t>TAP</t>
  </si>
  <si>
    <t>tap-fantasy</t>
  </si>
  <si>
    <t>Tap Fantasy</t>
  </si>
  <si>
    <t>Tapioca DAO</t>
  </si>
  <si>
    <t>tapme-token</t>
  </si>
  <si>
    <t>TAPME</t>
  </si>
  <si>
    <t>tapmydata</t>
  </si>
  <si>
    <t>TapX</t>
  </si>
  <si>
    <t>TARAL</t>
  </si>
  <si>
    <t>tarality</t>
  </si>
  <si>
    <t>Tarality</t>
  </si>
  <si>
    <t>TARA</t>
  </si>
  <si>
    <t>taraxa</t>
  </si>
  <si>
    <t>Taraxa</t>
  </si>
  <si>
    <t>TRDG</t>
  </si>
  <si>
    <t>tardigrades-finance</t>
  </si>
  <si>
    <t>Tardigrades Finance</t>
  </si>
  <si>
    <t>TAROT</t>
  </si>
  <si>
    <t>tarot</t>
  </si>
  <si>
    <t>Tarot</t>
  </si>
  <si>
    <t>taroverse</t>
  </si>
  <si>
    <t>Taroverse</t>
  </si>
  <si>
    <t>TART</t>
  </si>
  <si>
    <t>tart</t>
  </si>
  <si>
    <t>Tartarus Finance</t>
  </si>
  <si>
    <t>TAR</t>
  </si>
  <si>
    <t>tartarus</t>
  </si>
  <si>
    <t>Tartarus</t>
  </si>
  <si>
    <t>TASTE</t>
  </si>
  <si>
    <t>tastenft</t>
  </si>
  <si>
    <t>TasteNFT</t>
  </si>
  <si>
    <t>TAT2</t>
  </si>
  <si>
    <t>tattoomoney</t>
  </si>
  <si>
    <t>TattooMoney</t>
  </si>
  <si>
    <t>taunt-battleworld</t>
  </si>
  <si>
    <t>Taunt Battleworld</t>
  </si>
  <si>
    <t>TAVITT</t>
  </si>
  <si>
    <t>tavittcoin</t>
  </si>
  <si>
    <t>Tavittcoin</t>
  </si>
  <si>
    <t>TXT</t>
  </si>
  <si>
    <t>taxa-token</t>
  </si>
  <si>
    <t>Taxa Network</t>
  </si>
  <si>
    <t>TBCC</t>
  </si>
  <si>
    <t>tbcc</t>
  </si>
  <si>
    <t>TBTC</t>
  </si>
  <si>
    <t>t-bitcoin</t>
  </si>
  <si>
    <t>τBitcoin</t>
  </si>
  <si>
    <t>tbtc</t>
  </si>
  <si>
    <t>tBTC</t>
  </si>
  <si>
    <t>TCASH</t>
  </si>
  <si>
    <t>tcash</t>
  </si>
  <si>
    <t>TCGCOIN</t>
  </si>
  <si>
    <t>tcgcoin</t>
  </si>
  <si>
    <t>TCGCoin</t>
  </si>
  <si>
    <t>TCG2</t>
  </si>
  <si>
    <t>tcgcoin-2-0</t>
  </si>
  <si>
    <t>TCGCoin 2.0</t>
  </si>
  <si>
    <t>TCHA</t>
  </si>
  <si>
    <t>tchalla</t>
  </si>
  <si>
    <t>TCHALLA</t>
  </si>
  <si>
    <t>TCO</t>
  </si>
  <si>
    <t>tcoin-fun</t>
  </si>
  <si>
    <t>Tcoin.fun</t>
  </si>
  <si>
    <t>TCW</t>
  </si>
  <si>
    <t>tcw-token</t>
  </si>
  <si>
    <t>TDOGE</t>
  </si>
  <si>
    <t>tdoge</t>
  </si>
  <si>
    <t>τDoge</t>
  </si>
  <si>
    <t>TEAT</t>
  </si>
  <si>
    <t>teal</t>
  </si>
  <si>
    <t>TEAL</t>
  </si>
  <si>
    <t>TCS</t>
  </si>
  <si>
    <t>TH</t>
  </si>
  <si>
    <t>team-heretics-fan-token</t>
  </si>
  <si>
    <t>Team Heretics Fan Token</t>
  </si>
  <si>
    <t>VIT</t>
  </si>
  <si>
    <t>team-vitality-fan-token</t>
  </si>
  <si>
    <t>Team Vitality Fan Token</t>
  </si>
  <si>
    <t>TSA</t>
  </si>
  <si>
    <t>teaswap-art</t>
  </si>
  <si>
    <t>Teaswap Art</t>
  </si>
  <si>
    <t>TEA</t>
  </si>
  <si>
    <t>tea-token</t>
  </si>
  <si>
    <t>Tea</t>
  </si>
  <si>
    <t>TLC</t>
  </si>
  <si>
    <t>techcoin</t>
  </si>
  <si>
    <t>Techcoin</t>
  </si>
  <si>
    <t>TPC</t>
  </si>
  <si>
    <t>techpay</t>
  </si>
  <si>
    <t>Techpay</t>
  </si>
  <si>
    <t>TCL</t>
  </si>
  <si>
    <t>techshare-token</t>
  </si>
  <si>
    <t>Techshare</t>
  </si>
  <si>
    <t>TCR</t>
  </si>
  <si>
    <t>tecracoin</t>
  </si>
  <si>
    <t>TecraCoin ERC20</t>
  </si>
  <si>
    <t>TONIC</t>
  </si>
  <si>
    <t>tectonic</t>
  </si>
  <si>
    <t>Tectonic</t>
  </si>
  <si>
    <t>TEDDY</t>
  </si>
  <si>
    <t>teddy</t>
  </si>
  <si>
    <t>Teddy</t>
  </si>
  <si>
    <t>TDG</t>
  </si>
  <si>
    <t>teddy-dog</t>
  </si>
  <si>
    <t>Teddy Dog</t>
  </si>
  <si>
    <t>teddy-doge</t>
  </si>
  <si>
    <t>Teddy Doge</t>
  </si>
  <si>
    <t>TSD</t>
  </si>
  <si>
    <t>teddy-dollar</t>
  </si>
  <si>
    <t>Teddy Dollar</t>
  </si>
  <si>
    <t>te-food</t>
  </si>
  <si>
    <t>TE-FOOD</t>
  </si>
  <si>
    <t>TEK</t>
  </si>
  <si>
    <t>tekcoin</t>
  </si>
  <si>
    <t>TEKcoin</t>
  </si>
  <si>
    <t>TEL</t>
  </si>
  <si>
    <t>telcoin</t>
  </si>
  <si>
    <t>Telcoin</t>
  </si>
  <si>
    <t>TRB</t>
  </si>
  <si>
    <t>tellor</t>
  </si>
  <si>
    <t>Tellor</t>
  </si>
  <si>
    <t>TLOS</t>
  </si>
  <si>
    <t>telos</t>
  </si>
  <si>
    <t>Telos</t>
  </si>
  <si>
    <t>TELOS</t>
  </si>
  <si>
    <t>telos-coin</t>
  </si>
  <si>
    <t>Teloscoin</t>
  </si>
  <si>
    <t>TEMCO</t>
  </si>
  <si>
    <t>temco</t>
  </si>
  <si>
    <t>TEM</t>
  </si>
  <si>
    <t>templardao</t>
  </si>
  <si>
    <t>Templar DAO</t>
  </si>
  <si>
    <t>TEMPLE</t>
  </si>
  <si>
    <t>temple</t>
  </si>
  <si>
    <t>TempleDAO</t>
  </si>
  <si>
    <t>TEMPO</t>
  </si>
  <si>
    <t>tempo-dao</t>
  </si>
  <si>
    <t>Tempo DAO</t>
  </si>
  <si>
    <t>TEMP</t>
  </si>
  <si>
    <t>tempus</t>
  </si>
  <si>
    <t>Tempus</t>
  </si>
  <si>
    <t>temtem</t>
  </si>
  <si>
    <t>Temtum</t>
  </si>
  <si>
    <t>TENFI</t>
  </si>
  <si>
    <t>ten</t>
  </si>
  <si>
    <t>TEN</t>
  </si>
  <si>
    <t>TENA</t>
  </si>
  <si>
    <t>tena</t>
  </si>
  <si>
    <t>TEND</t>
  </si>
  <si>
    <t>tendies</t>
  </si>
  <si>
    <t>Tendies</t>
  </si>
  <si>
    <t>TENDIE</t>
  </si>
  <si>
    <t>tendieswap</t>
  </si>
  <si>
    <t>TendieSwap</t>
  </si>
  <si>
    <t>teneo</t>
  </si>
  <si>
    <t>Teneo</t>
  </si>
  <si>
    <t>tenet</t>
  </si>
  <si>
    <t>Tenet</t>
  </si>
  <si>
    <t>TENGU</t>
  </si>
  <si>
    <t>tengu</t>
  </si>
  <si>
    <t>Tengu</t>
  </si>
  <si>
    <t>10SET</t>
  </si>
  <si>
    <t>tenset</t>
  </si>
  <si>
    <t>Tenset</t>
  </si>
  <si>
    <t>TENSHI</t>
  </si>
  <si>
    <t>tenshi</t>
  </si>
  <si>
    <t>Tenshi v2</t>
  </si>
  <si>
    <t>TUP</t>
  </si>
  <si>
    <t>tenup</t>
  </si>
  <si>
    <t>Tenup</t>
  </si>
  <si>
    <t>TENW</t>
  </si>
  <si>
    <t>ten-wallet</t>
  </si>
  <si>
    <t>TEN Wallet</t>
  </si>
  <si>
    <t>tenx</t>
  </si>
  <si>
    <t>TenX</t>
  </si>
  <si>
    <t>TXC</t>
  </si>
  <si>
    <t>tenxcoin</t>
  </si>
  <si>
    <t>TenXCoin</t>
  </si>
  <si>
    <t>TEP</t>
  </si>
  <si>
    <t>tepleton</t>
  </si>
  <si>
    <t>Tepleton</t>
  </si>
  <si>
    <t>TBC</t>
  </si>
  <si>
    <t>terablock</t>
  </si>
  <si>
    <t>TeraBlock</t>
  </si>
  <si>
    <t>TERA</t>
  </si>
  <si>
    <t>terareum</t>
  </si>
  <si>
    <t>Terareum</t>
  </si>
  <si>
    <t>tera-smart-money</t>
  </si>
  <si>
    <t>TERN</t>
  </si>
  <si>
    <t>ternio</t>
  </si>
  <si>
    <t>Ternio</t>
  </si>
  <si>
    <t>AUT</t>
  </si>
  <si>
    <t>terra-aut</t>
  </si>
  <si>
    <t>Terra AUT</t>
  </si>
  <si>
    <t>terra-cat</t>
  </si>
  <si>
    <t>Terra CAT</t>
  </si>
  <si>
    <t>terra-cht</t>
  </si>
  <si>
    <t>Terra CHT</t>
  </si>
  <si>
    <t>terra-cnt</t>
  </si>
  <si>
    <t>Terra CNT</t>
  </si>
  <si>
    <t>TRC</t>
  </si>
  <si>
    <t>terracoin</t>
  </si>
  <si>
    <t>Terracoin</t>
  </si>
  <si>
    <t>terra-dkt</t>
  </si>
  <si>
    <t>Terra DKT</t>
  </si>
  <si>
    <t>terra-eut</t>
  </si>
  <si>
    <t>Terra EUT</t>
  </si>
  <si>
    <t>GBT</t>
  </si>
  <si>
    <t>terra-gbt</t>
  </si>
  <si>
    <t>Terra GBT</t>
  </si>
  <si>
    <t>HKT</t>
  </si>
  <si>
    <t>terra-hkt</t>
  </si>
  <si>
    <t>Terra HKT</t>
  </si>
  <si>
    <t>terra-idt</t>
  </si>
  <si>
    <t>Terra IDT</t>
  </si>
  <si>
    <t>terra-int</t>
  </si>
  <si>
    <t>Terra INT</t>
  </si>
  <si>
    <t>terra-jpt</t>
  </si>
  <si>
    <t>Terra JPT</t>
  </si>
  <si>
    <t>terra-krw</t>
  </si>
  <si>
    <t>TKUB</t>
  </si>
  <si>
    <t>terrakub</t>
  </si>
  <si>
    <t>TerraKub</t>
  </si>
  <si>
    <t>TLAND</t>
  </si>
  <si>
    <t>terraland-token</t>
  </si>
  <si>
    <t>TerraLand</t>
  </si>
  <si>
    <t>terra-luna</t>
  </si>
  <si>
    <t>Terra</t>
  </si>
  <si>
    <t>terramnt</t>
  </si>
  <si>
    <t>Terra MNT</t>
  </si>
  <si>
    <t>TNS</t>
  </si>
  <si>
    <t>terra-name-service</t>
  </si>
  <si>
    <t>Terra Name Service</t>
  </si>
  <si>
    <t>TRR</t>
  </si>
  <si>
    <t>terran-coin</t>
  </si>
  <si>
    <t>Terran Coin</t>
  </si>
  <si>
    <t>terra-pht</t>
  </si>
  <si>
    <t>Terra PHT</t>
  </si>
  <si>
    <t>terra-sdt</t>
  </si>
  <si>
    <t>Terra SDT</t>
  </si>
  <si>
    <t>terra-set</t>
  </si>
  <si>
    <t>Terra SET</t>
  </si>
  <si>
    <t>terra-sgt</t>
  </si>
  <si>
    <t>Terra SGT</t>
  </si>
  <si>
    <t>THT</t>
  </si>
  <si>
    <t>terra-tht</t>
  </si>
  <si>
    <t>Terra THT</t>
  </si>
  <si>
    <t>UST</t>
  </si>
  <si>
    <t>terrausd</t>
  </si>
  <si>
    <t>terrausd-wormhole</t>
  </si>
  <si>
    <t>TerraUSD (Wormhole)</t>
  </si>
  <si>
    <t>TVK</t>
  </si>
  <si>
    <t>terra-virtua-kolect</t>
  </si>
  <si>
    <t>Terra Virtua Kolect</t>
  </si>
  <si>
    <t>TWD</t>
  </si>
  <si>
    <t>terra-world-token</t>
  </si>
  <si>
    <t>Terra World</t>
  </si>
  <si>
    <t>TESLF</t>
  </si>
  <si>
    <t>teslafan</t>
  </si>
  <si>
    <t>Teslafan</t>
  </si>
  <si>
    <t>TSF</t>
  </si>
  <si>
    <t>teslafunds</t>
  </si>
  <si>
    <t>Transaction Service Fee</t>
  </si>
  <si>
    <t>TESINU</t>
  </si>
  <si>
    <t>tesla-inu</t>
  </si>
  <si>
    <t>Tesla Inu</t>
  </si>
  <si>
    <t>TSR</t>
  </si>
  <si>
    <t>tesra</t>
  </si>
  <si>
    <t>Tesra</t>
  </si>
  <si>
    <t>TSLA</t>
  </si>
  <si>
    <t>tessla-coin</t>
  </si>
  <si>
    <t>Tessla Coin</t>
  </si>
  <si>
    <t>tether</t>
  </si>
  <si>
    <t>EURT</t>
  </si>
  <si>
    <t>tether-eurt</t>
  </si>
  <si>
    <t>Euro Tether</t>
  </si>
  <si>
    <t>XAUT</t>
  </si>
  <si>
    <t>tether-gold</t>
  </si>
  <si>
    <t>Tether Gold</t>
  </si>
  <si>
    <t>TTR</t>
  </si>
  <si>
    <t>tetherino</t>
  </si>
  <si>
    <t>Tetherino</t>
  </si>
  <si>
    <t>CEUSDT</t>
  </si>
  <si>
    <t>tether-usd-celer</t>
  </si>
  <si>
    <t>Tether USD - Celer</t>
  </si>
  <si>
    <t>USDTPO</t>
  </si>
  <si>
    <t>tether-usd-pos-wormhole</t>
  </si>
  <si>
    <t>Tether USD (PoS) (Wormhole)</t>
  </si>
  <si>
    <t>USDTSO</t>
  </si>
  <si>
    <t>tether-usd-wormhole</t>
  </si>
  <si>
    <t>Tether USD (Wormhole)</t>
  </si>
  <si>
    <t>USDTBS</t>
  </si>
  <si>
    <t>tether-usd-wormhole-from-bsc</t>
  </si>
  <si>
    <t>Tether USD (Wormhole from BSC)</t>
  </si>
  <si>
    <t>USDTET</t>
  </si>
  <si>
    <t>tether-usd-wormhole-from-ethereum</t>
  </si>
  <si>
    <t>Tether USD (Wormhole from Ethereum)</t>
  </si>
  <si>
    <t>TETHYS</t>
  </si>
  <si>
    <t>tethys-finance</t>
  </si>
  <si>
    <t>Tethys Finance</t>
  </si>
  <si>
    <t>TPAY</t>
  </si>
  <si>
    <t>tetra-pay</t>
  </si>
  <si>
    <t>Tetra Pay</t>
  </si>
  <si>
    <t>TETU</t>
  </si>
  <si>
    <t>tetu</t>
  </si>
  <si>
    <t>TEZILLA</t>
  </si>
  <si>
    <t>tezilla</t>
  </si>
  <si>
    <t>Tezilla</t>
  </si>
  <si>
    <t>tezos</t>
  </si>
  <si>
    <t>TFS</t>
  </si>
  <si>
    <t>tfs-token</t>
  </si>
  <si>
    <t>TGDAO</t>
  </si>
  <si>
    <t>tg-dao</t>
  </si>
  <si>
    <t>TG DAO</t>
  </si>
  <si>
    <t>TAC</t>
  </si>
  <si>
    <t>thaicoin</t>
  </si>
  <si>
    <t>Thaicoin</t>
  </si>
  <si>
    <t>THALES</t>
  </si>
  <si>
    <t>thales</t>
  </si>
  <si>
    <t>Thales</t>
  </si>
  <si>
    <t>FOUR</t>
  </si>
  <si>
    <t>the-4th-pillar</t>
  </si>
  <si>
    <t>4thpillar technologies</t>
  </si>
  <si>
    <t>ABYSS</t>
  </si>
  <si>
    <t>the-abyss</t>
  </si>
  <si>
    <t>Abyss</t>
  </si>
  <si>
    <t>the-alliance-of-eragard</t>
  </si>
  <si>
    <t>The Alliance of Eragard</t>
  </si>
  <si>
    <t>AMZE</t>
  </si>
  <si>
    <t>the-amaze-world</t>
  </si>
  <si>
    <t>The Amaze World</t>
  </si>
  <si>
    <t>thebigcoin</t>
  </si>
  <si>
    <t>TheBigCoin</t>
  </si>
  <si>
    <t>FAMILY</t>
  </si>
  <si>
    <t>the-bitcoin-family</t>
  </si>
  <si>
    <t>The Bitcoin Family</t>
  </si>
  <si>
    <t>TBT</t>
  </si>
  <si>
    <t>theboringtoken</t>
  </si>
  <si>
    <t>TheBoring</t>
  </si>
  <si>
    <t>THECA</t>
  </si>
  <si>
    <t>theca</t>
  </si>
  <si>
    <t>Theca</t>
  </si>
  <si>
    <t>CANNA</t>
  </si>
  <si>
    <t>the-cancoin</t>
  </si>
  <si>
    <t>The CanCoin</t>
  </si>
  <si>
    <t>TCH</t>
  </si>
  <si>
    <t>thecash</t>
  </si>
  <si>
    <t>THECASH</t>
  </si>
  <si>
    <t>THECAT</t>
  </si>
  <si>
    <t>the-cat-inu</t>
  </si>
  <si>
    <t>The Cat Inu</t>
  </si>
  <si>
    <t>the-chad-token</t>
  </si>
  <si>
    <t>The Chad</t>
  </si>
  <si>
    <t>TCC</t>
  </si>
  <si>
    <t>the-champcoin</t>
  </si>
  <si>
    <t>The ChampCoin</t>
  </si>
  <si>
    <t>THECITADEL</t>
  </si>
  <si>
    <t>the-citadel</t>
  </si>
  <si>
    <t>The Citadel</t>
  </si>
  <si>
    <t>the-collective-coin</t>
  </si>
  <si>
    <t>The Collective Coin</t>
  </si>
  <si>
    <t>CMSN</t>
  </si>
  <si>
    <t>the-commission</t>
  </si>
  <si>
    <t>The Commission</t>
  </si>
  <si>
    <t>GMD</t>
  </si>
  <si>
    <t>the-coop-network</t>
  </si>
  <si>
    <t>The Coop Network</t>
  </si>
  <si>
    <t>CORGIB</t>
  </si>
  <si>
    <t>the-corgi-of-polkabridge</t>
  </si>
  <si>
    <t>The Corgi of PolkaBridge</t>
  </si>
  <si>
    <t>TCP</t>
  </si>
  <si>
    <t>the-crypto-prophecies</t>
  </si>
  <si>
    <t>The Crypto Prophecies</t>
  </si>
  <si>
    <t>the-crypto-you</t>
  </si>
  <si>
    <t>The Crypto You</t>
  </si>
  <si>
    <t>the-crypt-space</t>
  </si>
  <si>
    <t>The Crypt Space</t>
  </si>
  <si>
    <t>DAOX</t>
  </si>
  <si>
    <t>the-daox-index</t>
  </si>
  <si>
    <t>The DAOX Index</t>
  </si>
  <si>
    <t>TDLC</t>
  </si>
  <si>
    <t>the-davis-legacy-coin</t>
  </si>
  <si>
    <t>The Davis Legacy Coin</t>
  </si>
  <si>
    <t>the-doge-nft</t>
  </si>
  <si>
    <t>The Doge NFT</t>
  </si>
  <si>
    <t>the-dynasty</t>
  </si>
  <si>
    <t>The Dynasty</t>
  </si>
  <si>
    <t>WORK</t>
  </si>
  <si>
    <t>the-employment-commons-work-token</t>
  </si>
  <si>
    <t>The Employment Commons Work</t>
  </si>
  <si>
    <t>the-essential-coin</t>
  </si>
  <si>
    <t>The Essential Coin</t>
  </si>
  <si>
    <t>the-everlasting-parachain</t>
  </si>
  <si>
    <t>The Everlasting Parachain</t>
  </si>
  <si>
    <t>XFR</t>
  </si>
  <si>
    <t>the-fire-token</t>
  </si>
  <si>
    <t>The Fire</t>
  </si>
  <si>
    <t>TFC</t>
  </si>
  <si>
    <t>theflashcurrency</t>
  </si>
  <si>
    <t>TheFlashCurrency</t>
  </si>
  <si>
    <t>FORESTPLUS</t>
  </si>
  <si>
    <t>the-forbidden-forest</t>
  </si>
  <si>
    <t>The Forbidden Forest</t>
  </si>
  <si>
    <t>FOC</t>
  </si>
  <si>
    <t>theforce-trade</t>
  </si>
  <si>
    <t>TheForce Trade</t>
  </si>
  <si>
    <t>thefutbolcoin</t>
  </si>
  <si>
    <t>TheFutbolCoin</t>
  </si>
  <si>
    <t>TGC</t>
  </si>
  <si>
    <t>the-garden</t>
  </si>
  <si>
    <t>The Garden</t>
  </si>
  <si>
    <t>GCC</t>
  </si>
  <si>
    <t>thegcccoin</t>
  </si>
  <si>
    <t>Global Cryptocurrency</t>
  </si>
  <si>
    <t>thegems</t>
  </si>
  <si>
    <t>GEMS Esports 3.0 Platform</t>
  </si>
  <si>
    <t>GRAND</t>
  </si>
  <si>
    <t>the-grand-banks</t>
  </si>
  <si>
    <t>The Grand Banks</t>
  </si>
  <si>
    <t>the-graph</t>
  </si>
  <si>
    <t>The Graph</t>
  </si>
  <si>
    <t>the-graph-wormhole</t>
  </si>
  <si>
    <t>The Graph (Wormhole)</t>
  </si>
  <si>
    <t>THS</t>
  </si>
  <si>
    <t>the-hash-speed</t>
  </si>
  <si>
    <t>The Hash Speed</t>
  </si>
  <si>
    <t>ROGER</t>
  </si>
  <si>
    <t>theholyrogercoin</t>
  </si>
  <si>
    <t>TheHolyRogerCoin</t>
  </si>
  <si>
    <t>HUSL</t>
  </si>
  <si>
    <t>the-husl</t>
  </si>
  <si>
    <t>The HUSL</t>
  </si>
  <si>
    <t>the-idols-nft</t>
  </si>
  <si>
    <t>The Idols NFT</t>
  </si>
  <si>
    <t>TKY</t>
  </si>
  <si>
    <t>thekey</t>
  </si>
  <si>
    <t>THEKEY</t>
  </si>
  <si>
    <t>KBOX</t>
  </si>
  <si>
    <t>the-killbox-game</t>
  </si>
  <si>
    <t>The Killbox Game</t>
  </si>
  <si>
    <t>THEKING</t>
  </si>
  <si>
    <t>the-king</t>
  </si>
  <si>
    <t>The King</t>
  </si>
  <si>
    <t>LABO</t>
  </si>
  <si>
    <t>the-lab-finance</t>
  </si>
  <si>
    <t>The Lab Finance</t>
  </si>
  <si>
    <t>$LAB</t>
  </si>
  <si>
    <t>the-laboratory</t>
  </si>
  <si>
    <t>The Laboratory</t>
  </si>
  <si>
    <t>LNDLRD</t>
  </si>
  <si>
    <t>the-landlord</t>
  </si>
  <si>
    <t>The Landlord</t>
  </si>
  <si>
    <t>TLW</t>
  </si>
  <si>
    <t>the-last-war</t>
  </si>
  <si>
    <t>The Last War</t>
  </si>
  <si>
    <t>TLOD</t>
  </si>
  <si>
    <t>the-legend-of-deification</t>
  </si>
  <si>
    <t>The Legend of Deification</t>
  </si>
  <si>
    <t>MARSSHIB</t>
  </si>
  <si>
    <t>the-mars-shiba</t>
  </si>
  <si>
    <t>The Mars Shiba</t>
  </si>
  <si>
    <t>DMASK</t>
  </si>
  <si>
    <t>the-mask</t>
  </si>
  <si>
    <t>The Mask</t>
  </si>
  <si>
    <t>NMEEBITS</t>
  </si>
  <si>
    <t>the-meebits</t>
  </si>
  <si>
    <t>The Meebits</t>
  </si>
  <si>
    <t>TMTG</t>
  </si>
  <si>
    <t>the-midas-touch-gold</t>
  </si>
  <si>
    <t>The Midas Touch Gold</t>
  </si>
  <si>
    <t>themis</t>
  </si>
  <si>
    <t>Themis Network</t>
  </si>
  <si>
    <t>themis-2</t>
  </si>
  <si>
    <t>Themis</t>
  </si>
  <si>
    <t>TMS</t>
  </si>
  <si>
    <t>themis-protocol</t>
  </si>
  <si>
    <t>Themis Protocol</t>
  </si>
  <si>
    <t>the-monopolist</t>
  </si>
  <si>
    <t>The Monopolist</t>
  </si>
  <si>
    <t>MOONSHIB</t>
  </si>
  <si>
    <t>the-moon-shiba</t>
  </si>
  <si>
    <t>The Moon Shiba</t>
  </si>
  <si>
    <t>NATURE</t>
  </si>
  <si>
    <t>the-nature-token</t>
  </si>
  <si>
    <t>The Nature</t>
  </si>
  <si>
    <t>NEIBR</t>
  </si>
  <si>
    <t>the-neighbours</t>
  </si>
  <si>
    <t>The Neighbours</t>
  </si>
  <si>
    <t>the-neko</t>
  </si>
  <si>
    <t>The Neko</t>
  </si>
  <si>
    <t>THE</t>
  </si>
  <si>
    <t>the-node</t>
  </si>
  <si>
    <t>THENODE</t>
  </si>
  <si>
    <t>the-one-ring</t>
  </si>
  <si>
    <t>The One Ring</t>
  </si>
  <si>
    <t>TON</t>
  </si>
  <si>
    <t>the-open-network</t>
  </si>
  <si>
    <t>The Open Network</t>
  </si>
  <si>
    <t>THEOS</t>
  </si>
  <si>
    <t>theos</t>
  </si>
  <si>
    <t>Theos</t>
  </si>
  <si>
    <t>theoscoin</t>
  </si>
  <si>
    <t>Theoscoin</t>
  </si>
  <si>
    <t>PABLO</t>
  </si>
  <si>
    <t>the-pablo-token</t>
  </si>
  <si>
    <t>The Pablo</t>
  </si>
  <si>
    <t>PRL</t>
  </si>
  <si>
    <t>the-parallel</t>
  </si>
  <si>
    <t>The Parallel</t>
  </si>
  <si>
    <t>PEEPS</t>
  </si>
  <si>
    <t>the-people-coin</t>
  </si>
  <si>
    <t>The People’s Coin</t>
  </si>
  <si>
    <t>TPOS</t>
  </si>
  <si>
    <t>the-philosophers-stone</t>
  </si>
  <si>
    <t>The Philosophers Stone</t>
  </si>
  <si>
    <t>the-phoenix</t>
  </si>
  <si>
    <t>The Phoenix</t>
  </si>
  <si>
    <t>PIECE</t>
  </si>
  <si>
    <t>the-piece</t>
  </si>
  <si>
    <t>The Piece</t>
  </si>
  <si>
    <t>TPG</t>
  </si>
  <si>
    <t>thepiggygarden</t>
  </si>
  <si>
    <t>ThePiggyGarden</t>
  </si>
  <si>
    <t>SPROUT</t>
  </si>
  <si>
    <t>the-plant-dao</t>
  </si>
  <si>
    <t>The Plant Dao</t>
  </si>
  <si>
    <t>RND</t>
  </si>
  <si>
    <t>the-randomdao</t>
  </si>
  <si>
    <t>The RandomDAO</t>
  </si>
  <si>
    <t>RAT</t>
  </si>
  <si>
    <t>the-rare-antiquities-token-2</t>
  </si>
  <si>
    <t>The Rare Antiquities</t>
  </si>
  <si>
    <t>TRGI</t>
  </si>
  <si>
    <t>the-real-golden-inu</t>
  </si>
  <si>
    <t>The Real Golden Inu</t>
  </si>
  <si>
    <t>TRD</t>
  </si>
  <si>
    <t>the-realm-defenders</t>
  </si>
  <si>
    <t>The Realm Defenders</t>
  </si>
  <si>
    <t>RPR</t>
  </si>
  <si>
    <t>the-reaper</t>
  </si>
  <si>
    <t>The Reaper</t>
  </si>
  <si>
    <t>ORDR</t>
  </si>
  <si>
    <t>the-red-order</t>
  </si>
  <si>
    <t>The Red Order</t>
  </si>
  <si>
    <t>the-sandbox</t>
  </si>
  <si>
    <t>the-sandbox-wormhole</t>
  </si>
  <si>
    <t>The Sandbox (Wormhole)</t>
  </si>
  <si>
    <t>the-seed-farm</t>
  </si>
  <si>
    <t>The Seed Farm</t>
  </si>
  <si>
    <t>thesolandao</t>
  </si>
  <si>
    <t>TheSolanDAO</t>
  </si>
  <si>
    <t>TSG</t>
  </si>
  <si>
    <t>the-soldiers-gold</t>
  </si>
  <si>
    <t>The Soldiers Gold</t>
  </si>
  <si>
    <t>TSP</t>
  </si>
  <si>
    <t>the-spartans</t>
  </si>
  <si>
    <t>The Spartans</t>
  </si>
  <si>
    <t>the-starship-finance</t>
  </si>
  <si>
    <t>The Starship Finance</t>
  </si>
  <si>
    <t>SUNRISE</t>
  </si>
  <si>
    <t>the-sun-rises</t>
  </si>
  <si>
    <t>The Sun Rises</t>
  </si>
  <si>
    <t>TDROP</t>
  </si>
  <si>
    <t>thetadrop</t>
  </si>
  <si>
    <t>ThetaDrop</t>
  </si>
  <si>
    <t>theta-fuel</t>
  </si>
  <si>
    <t>THG</t>
  </si>
  <si>
    <t>thetan-arena</t>
  </si>
  <si>
    <t>Thetan Arena</t>
  </si>
  <si>
    <t>thetan-coin</t>
  </si>
  <si>
    <t>Thetan Coin</t>
  </si>
  <si>
    <t>THETA</t>
  </si>
  <si>
    <t>theta-token</t>
  </si>
  <si>
    <t>Theta Network</t>
  </si>
  <si>
    <t>TTK</t>
  </si>
  <si>
    <t>the-three-kingdoms</t>
  </si>
  <si>
    <t>The Three Kingdoms</t>
  </si>
  <si>
    <t>IMBTC</t>
  </si>
  <si>
    <t>the-tokenized-bitcoin</t>
  </si>
  <si>
    <t>The Tokenized Bitcoin</t>
  </si>
  <si>
    <t>the-transfer-token</t>
  </si>
  <si>
    <t>the-transplant-coin</t>
  </si>
  <si>
    <t>The Transplant Coin</t>
  </si>
  <si>
    <t>TROLLER</t>
  </si>
  <si>
    <t>the-troller-coin</t>
  </si>
  <si>
    <t>The Troller Coin</t>
  </si>
  <si>
    <t>WAL</t>
  </si>
  <si>
    <t>the-wasted-lands</t>
  </si>
  <si>
    <t>The Wasted Lands</t>
  </si>
  <si>
    <t>WEB3</t>
  </si>
  <si>
    <t>the-web3-project</t>
  </si>
  <si>
    <t>The Web3 Project</t>
  </si>
  <si>
    <t>WNK</t>
  </si>
  <si>
    <t>the-winkyverse</t>
  </si>
  <si>
    <t>The Winkyverse</t>
  </si>
  <si>
    <t>PACK</t>
  </si>
  <si>
    <t>the-wolf-pack</t>
  </si>
  <si>
    <t>The Wolf Pack</t>
  </si>
  <si>
    <t>XENO</t>
  </si>
  <si>
    <t>the-xenobots-project</t>
  </si>
  <si>
    <t>The Xenobots Project</t>
  </si>
  <si>
    <t>thingschain</t>
  </si>
  <si>
    <t>Thingschain</t>
  </si>
  <si>
    <t>TOS</t>
  </si>
  <si>
    <t>thingsoperatingsystem</t>
  </si>
  <si>
    <t>ThingsOperatingSystem</t>
  </si>
  <si>
    <t>TKM</t>
  </si>
  <si>
    <t>thinkium</t>
  </si>
  <si>
    <t>Thinkium</t>
  </si>
  <si>
    <t>THIS</t>
  </si>
  <si>
    <t>this</t>
  </si>
  <si>
    <t>TONS</t>
  </si>
  <si>
    <t>thisoption</t>
  </si>
  <si>
    <t>Thisoption</t>
  </si>
  <si>
    <t>THOL</t>
  </si>
  <si>
    <t>thol-token</t>
  </si>
  <si>
    <t>AngelBlock</t>
  </si>
  <si>
    <t>THOR</t>
  </si>
  <si>
    <t>thor</t>
  </si>
  <si>
    <t>Thor</t>
  </si>
  <si>
    <t>thorchain</t>
  </si>
  <si>
    <t>THORChain</t>
  </si>
  <si>
    <t>thorchain-erc20</t>
  </si>
  <si>
    <t>THORChain (ERC20)</t>
  </si>
  <si>
    <t>thorecash</t>
  </si>
  <si>
    <t>Thorecash (ERC-20)</t>
  </si>
  <si>
    <t>THR</t>
  </si>
  <si>
    <t>thorecoin</t>
  </si>
  <si>
    <t>Thorecoin</t>
  </si>
  <si>
    <t>THX</t>
  </si>
  <si>
    <t>thorenext</t>
  </si>
  <si>
    <t>Thorenext</t>
  </si>
  <si>
    <t>THOREUM</t>
  </si>
  <si>
    <t>thoreum-v2</t>
  </si>
  <si>
    <t>Thoreum V2</t>
  </si>
  <si>
    <t>THRN</t>
  </si>
  <si>
    <t>thorncoin</t>
  </si>
  <si>
    <t>Thorncoin</t>
  </si>
  <si>
    <t>thors-mead</t>
  </si>
  <si>
    <t>Thors Mead</t>
  </si>
  <si>
    <t>XRUNE</t>
  </si>
  <si>
    <t>thorstarter</t>
  </si>
  <si>
    <t>Thorstarter</t>
  </si>
  <si>
    <t>thorswap</t>
  </si>
  <si>
    <t>THORSwap</t>
  </si>
  <si>
    <t>THO</t>
  </si>
  <si>
    <t>thorus</t>
  </si>
  <si>
    <t>Thorus</t>
  </si>
  <si>
    <t>TGT</t>
  </si>
  <si>
    <t>thorwallet</t>
  </si>
  <si>
    <t>THORWallet DEX</t>
  </si>
  <si>
    <t>thought</t>
  </si>
  <si>
    <t>Thought</t>
  </si>
  <si>
    <t>TFT</t>
  </si>
  <si>
    <t>threefold-token</t>
  </si>
  <si>
    <t>T</t>
  </si>
  <si>
    <t>threshold-network-token</t>
  </si>
  <si>
    <t>Threshold Network</t>
  </si>
  <si>
    <t>THN</t>
  </si>
  <si>
    <t>throne</t>
  </si>
  <si>
    <t>Throne</t>
  </si>
  <si>
    <t>THROPIC</t>
  </si>
  <si>
    <t>thropic</t>
  </si>
  <si>
    <t>Thropic (OLD)</t>
  </si>
  <si>
    <t>THROPICV2</t>
  </si>
  <si>
    <t>thropic-v2</t>
  </si>
  <si>
    <t>Thropic</t>
  </si>
  <si>
    <t>THTF</t>
  </si>
  <si>
    <t>thtf</t>
  </si>
  <si>
    <t>THUNDERADA</t>
  </si>
  <si>
    <t>thunderada-app</t>
  </si>
  <si>
    <t>ThunderADA.app</t>
  </si>
  <si>
    <t>THUNDERBNB</t>
  </si>
  <si>
    <t>thunderbnb</t>
  </si>
  <si>
    <t>ThunderBNB</t>
  </si>
  <si>
    <t>THUNDERETH</t>
  </si>
  <si>
    <t>thundereth</t>
  </si>
  <si>
    <t>ThunderETH</t>
  </si>
  <si>
    <t>TT</t>
  </si>
  <si>
    <t>thunder-token</t>
  </si>
  <si>
    <t>ThunderCore</t>
  </si>
  <si>
    <t>THUNDER</t>
  </si>
  <si>
    <t>thunderverse</t>
  </si>
  <si>
    <t>ThunderVerse</t>
  </si>
  <si>
    <t>thx</t>
  </si>
  <si>
    <t>Thx!</t>
  </si>
  <si>
    <t>thx-network</t>
  </si>
  <si>
    <t>THX Network</t>
  </si>
  <si>
    <t>TIA</t>
  </si>
  <si>
    <t>tia</t>
  </si>
  <si>
    <t>TYT</t>
  </si>
  <si>
    <t>tianya-token</t>
  </si>
  <si>
    <t>Tianya Token</t>
  </si>
  <si>
    <t>TYC</t>
  </si>
  <si>
    <t>tianyu-finance</t>
  </si>
  <si>
    <t>Tianyu Finance</t>
  </si>
  <si>
    <t>TTI</t>
  </si>
  <si>
    <t>tiara</t>
  </si>
  <si>
    <t>Tiara</t>
  </si>
  <si>
    <t>TICKET</t>
  </si>
  <si>
    <t>ticket-finance</t>
  </si>
  <si>
    <t>Ticket Finance</t>
  </si>
  <si>
    <t>TICO</t>
  </si>
  <si>
    <t>ticoex-token</t>
  </si>
  <si>
    <t>TICOEX Token</t>
  </si>
  <si>
    <t>tictalk</t>
  </si>
  <si>
    <t>TicTalk</t>
  </si>
  <si>
    <t>TIDAL</t>
  </si>
  <si>
    <t>tidal-finance</t>
  </si>
  <si>
    <t>Tidal Finance</t>
  </si>
  <si>
    <t>tierion</t>
  </si>
  <si>
    <t>Tierion</t>
  </si>
  <si>
    <t>TRMT</t>
  </si>
  <si>
    <t>tierra-meta</t>
  </si>
  <si>
    <t>Tierra Meta</t>
  </si>
  <si>
    <t>TIE</t>
  </si>
  <si>
    <t>ties-network</t>
  </si>
  <si>
    <t>Ties.DB</t>
  </si>
  <si>
    <t>TIFI</t>
  </si>
  <si>
    <t>tifi-token</t>
  </si>
  <si>
    <t>TiFi</t>
  </si>
  <si>
    <t>tigercash</t>
  </si>
  <si>
    <t>TigerCash</t>
  </si>
  <si>
    <t>TIGER</t>
  </si>
  <si>
    <t>tiger-coin</t>
  </si>
  <si>
    <t>Tiger Coin</t>
  </si>
  <si>
    <t>tigercoin-2</t>
  </si>
  <si>
    <t>TigerCoin</t>
  </si>
  <si>
    <t>TCUB</t>
  </si>
  <si>
    <t>tiger-cub</t>
  </si>
  <si>
    <t>Tiger Cub</t>
  </si>
  <si>
    <t>TIGERINU2022</t>
  </si>
  <si>
    <t>tigerinu2022</t>
  </si>
  <si>
    <t>TigerInu2022</t>
  </si>
  <si>
    <t>TKING</t>
  </si>
  <si>
    <t>tiger-king</t>
  </si>
  <si>
    <t>Tiger King Coin</t>
  </si>
  <si>
    <t>TQUEEN</t>
  </si>
  <si>
    <t>tigerqueen</t>
  </si>
  <si>
    <t>TigerQueen</t>
  </si>
  <si>
    <t>tiger-shares</t>
  </si>
  <si>
    <t>Tiger Shares</t>
  </si>
  <si>
    <t>TGNB</t>
  </si>
  <si>
    <t>tiger-token</t>
  </si>
  <si>
    <t>Tiger</t>
  </si>
  <si>
    <t>TIKI</t>
  </si>
  <si>
    <t>tiki-token</t>
  </si>
  <si>
    <t>Tiki</t>
  </si>
  <si>
    <t>tilwiki</t>
  </si>
  <si>
    <t>TilWiki</t>
  </si>
  <si>
    <t>timechain-swap-token</t>
  </si>
  <si>
    <t>Timechain Swap</t>
  </si>
  <si>
    <t>TMCN</t>
  </si>
  <si>
    <t>timecoin-protocol</t>
  </si>
  <si>
    <t>Timecoin Protocol</t>
  </si>
  <si>
    <t>timeleap-finance</t>
  </si>
  <si>
    <t>Timeleap Finance</t>
  </si>
  <si>
    <t>TYM</t>
  </si>
  <si>
    <t>timelockcoin</t>
  </si>
  <si>
    <t>TimeLockCoin</t>
  </si>
  <si>
    <t>TNB</t>
  </si>
  <si>
    <t>time-new-bank</t>
  </si>
  <si>
    <t>Time New Bank</t>
  </si>
  <si>
    <t>TIMERR</t>
  </si>
  <si>
    <t>timerr</t>
  </si>
  <si>
    <t>Timerr</t>
  </si>
  <si>
    <t>IPM</t>
  </si>
  <si>
    <t>timers</t>
  </si>
  <si>
    <t>Timers</t>
  </si>
  <si>
    <t>TIMS</t>
  </si>
  <si>
    <t>timeshuffle</t>
  </si>
  <si>
    <t>TimeShuffle</t>
  </si>
  <si>
    <t>timeshuffle-gold</t>
  </si>
  <si>
    <t>TimeShuffle GOLD</t>
  </si>
  <si>
    <t>T1NY</t>
  </si>
  <si>
    <t>tiny-bonez</t>
  </si>
  <si>
    <t>Tiny Bonez</t>
  </si>
  <si>
    <t>TINC</t>
  </si>
  <si>
    <t>tiny-coin</t>
  </si>
  <si>
    <t>Tiny Coin</t>
  </si>
  <si>
    <t>TINY</t>
  </si>
  <si>
    <t>tiny-colony</t>
  </si>
  <si>
    <t>Tiny Colony</t>
  </si>
  <si>
    <t>tip-blue</t>
  </si>
  <si>
    <t>Tip.Blue</t>
  </si>
  <si>
    <t>TIPSY</t>
  </si>
  <si>
    <t>tipsy</t>
  </si>
  <si>
    <t>Tipsy</t>
  </si>
  <si>
    <t>$TIPSY</t>
  </si>
  <si>
    <t>tipsycoin</t>
  </si>
  <si>
    <t>TipsyCoin</t>
  </si>
  <si>
    <t>TVRS</t>
  </si>
  <si>
    <t>tiraverse</t>
  </si>
  <si>
    <t>TiraVerse</t>
  </si>
  <si>
    <t>TTN</t>
  </si>
  <si>
    <t>titan-coin</t>
  </si>
  <si>
    <t>Titan Coin</t>
  </si>
  <si>
    <t>TITA</t>
  </si>
  <si>
    <t>titan-hunters</t>
  </si>
  <si>
    <t>Titan Hunters</t>
  </si>
  <si>
    <t>TITANIA</t>
  </si>
  <si>
    <t>titania-token</t>
  </si>
  <si>
    <t>Titania</t>
  </si>
  <si>
    <t>TITANO</t>
  </si>
  <si>
    <t>titano</t>
  </si>
  <si>
    <t>Titano</t>
  </si>
  <si>
    <t>titanswap</t>
  </si>
  <si>
    <t>TitanSwap</t>
  </si>
  <si>
    <t>TITI</t>
  </si>
  <si>
    <t>titi-financial</t>
  </si>
  <si>
    <t>Titi Financial</t>
  </si>
  <si>
    <t>TNET</t>
  </si>
  <si>
    <t>title-network</t>
  </si>
  <si>
    <t>Bitcoin Clashic</t>
  </si>
  <si>
    <t>TITS</t>
  </si>
  <si>
    <t>titsv2</t>
  </si>
  <si>
    <t>TitsV2</t>
  </si>
  <si>
    <t>TV</t>
  </si>
  <si>
    <t>ti-value</t>
  </si>
  <si>
    <t>Ti-Value</t>
  </si>
  <si>
    <t>TKNT</t>
  </si>
  <si>
    <t>tkn-token</t>
  </si>
  <si>
    <t>TMC</t>
  </si>
  <si>
    <t>tmc</t>
  </si>
  <si>
    <t>TMT</t>
  </si>
  <si>
    <t>tmeta</t>
  </si>
  <si>
    <t>TMETA</t>
  </si>
  <si>
    <t>TNC</t>
  </si>
  <si>
    <t>tnc-coin</t>
  </si>
  <si>
    <t>TNC Coin</t>
  </si>
  <si>
    <t>TNNS</t>
  </si>
  <si>
    <t>tnns</t>
  </si>
  <si>
    <t>tokamak-network</t>
  </si>
  <si>
    <t>Tokamak Network</t>
  </si>
  <si>
    <t>TKL</t>
  </si>
  <si>
    <t>tokel</t>
  </si>
  <si>
    <t>Tokel</t>
  </si>
  <si>
    <t>tokemak</t>
  </si>
  <si>
    <t>Tokemak</t>
  </si>
  <si>
    <t>tokemak-wormhole</t>
  </si>
  <si>
    <t>Tokemak (Wormhole)</t>
  </si>
  <si>
    <t>TKMN</t>
  </si>
  <si>
    <t>tokemon</t>
  </si>
  <si>
    <t>Tokemon</t>
  </si>
  <si>
    <t>TOKE.N</t>
  </si>
  <si>
    <t>toke-n</t>
  </si>
  <si>
    <t>NTB</t>
  </si>
  <si>
    <t>tokenasset</t>
  </si>
  <si>
    <t>TokenAsset</t>
  </si>
  <si>
    <t>TBANK</t>
  </si>
  <si>
    <t>tokenbank</t>
  </si>
  <si>
    <t>Tokenbank</t>
  </si>
  <si>
    <t>TBK</t>
  </si>
  <si>
    <t>tokenbook</t>
  </si>
  <si>
    <t>TokenBook</t>
  </si>
  <si>
    <t>TBX</t>
  </si>
  <si>
    <t>tokenbox</t>
  </si>
  <si>
    <t>Tokenbox</t>
  </si>
  <si>
    <t>TKN</t>
  </si>
  <si>
    <t>tokencard</t>
  </si>
  <si>
    <t>Monolith</t>
  </si>
  <si>
    <t>token-cashpay</t>
  </si>
  <si>
    <t>Token CashPay</t>
  </si>
  <si>
    <t>CHTT</t>
  </si>
  <si>
    <t>token-cheetah</t>
  </si>
  <si>
    <t>Cheetah</t>
  </si>
  <si>
    <t>TCT</t>
  </si>
  <si>
    <t>tokenclub</t>
  </si>
  <si>
    <t>TokenClub</t>
  </si>
  <si>
    <t>TDS</t>
  </si>
  <si>
    <t>tokendesk</t>
  </si>
  <si>
    <t>TokenDesk</t>
  </si>
  <si>
    <t>USX</t>
  </si>
  <si>
    <t>token-dforce-usd</t>
  </si>
  <si>
    <t>dForce USD</t>
  </si>
  <si>
    <t>TEC</t>
  </si>
  <si>
    <t>token-engineering-commons</t>
  </si>
  <si>
    <t>Engineering Commons</t>
  </si>
  <si>
    <t>TKNFY</t>
  </si>
  <si>
    <t>tokenfy</t>
  </si>
  <si>
    <t>Tokenfy</t>
  </si>
  <si>
    <t>GPT</t>
  </si>
  <si>
    <t>tokengo</t>
  </si>
  <si>
    <t>GoPower</t>
  </si>
  <si>
    <t>TKX</t>
  </si>
  <si>
    <t>tokenize-xchange</t>
  </si>
  <si>
    <t>Tokenize Xchange</t>
  </si>
  <si>
    <t>JENN</t>
  </si>
  <si>
    <t>tokenjenny</t>
  </si>
  <si>
    <t>TokenJenny</t>
  </si>
  <si>
    <t>KENNEL</t>
  </si>
  <si>
    <t>token-kennel</t>
  </si>
  <si>
    <t>Token Kennel</t>
  </si>
  <si>
    <t>LON</t>
  </si>
  <si>
    <t>tokenlon</t>
  </si>
  <si>
    <t>Tokenlon</t>
  </si>
  <si>
    <t>NOID</t>
  </si>
  <si>
    <t>tokenoid</t>
  </si>
  <si>
    <t>Tokenoid</t>
  </si>
  <si>
    <t>tokenomy</t>
  </si>
  <si>
    <t>Tokenomy</t>
  </si>
  <si>
    <t>tokenpay</t>
  </si>
  <si>
    <t>TOK</t>
  </si>
  <si>
    <t>tokenplace</t>
  </si>
  <si>
    <t>Tokenplace</t>
  </si>
  <si>
    <t>TOP</t>
  </si>
  <si>
    <t>tokenplay</t>
  </si>
  <si>
    <t>Tokenplay</t>
  </si>
  <si>
    <t>TP3</t>
  </si>
  <si>
    <t>token-play</t>
  </si>
  <si>
    <t>Token Play</t>
  </si>
  <si>
    <t>TPT</t>
  </si>
  <si>
    <t>token-pocket</t>
  </si>
  <si>
    <t>Token Pocket</t>
  </si>
  <si>
    <t>TSY</t>
  </si>
  <si>
    <t>token-shelby</t>
  </si>
  <si>
    <t>Token Shelby</t>
  </si>
  <si>
    <t>STAND</t>
  </si>
  <si>
    <t>tokenstand-network</t>
  </si>
  <si>
    <t>TokenStand Network</t>
  </si>
  <si>
    <t>token-tkx</t>
  </si>
  <si>
    <t>Xixo TKX</t>
  </si>
  <si>
    <t>TUBER</t>
  </si>
  <si>
    <t>tokentuber</t>
  </si>
  <si>
    <t>TokenTuber</t>
  </si>
  <si>
    <t>TKS</t>
  </si>
  <si>
    <t>tokes</t>
  </si>
  <si>
    <t>Tokes</t>
  </si>
  <si>
    <t>TOKO</t>
  </si>
  <si>
    <t>toko</t>
  </si>
  <si>
    <t>Tokoin</t>
  </si>
  <si>
    <t>TKO</t>
  </si>
  <si>
    <t>tokocrypto</t>
  </si>
  <si>
    <t>Tokocrypto</t>
  </si>
  <si>
    <t>tokok</t>
  </si>
  <si>
    <t>Tokok</t>
  </si>
  <si>
    <t>tokonft</t>
  </si>
  <si>
    <t>TokoNFT</t>
  </si>
  <si>
    <t>TKP</t>
  </si>
  <si>
    <t>tokpie</t>
  </si>
  <si>
    <t>TOKPIE</t>
  </si>
  <si>
    <t>TOKC</t>
  </si>
  <si>
    <t>tokyo</t>
  </si>
  <si>
    <t>Tokyo Coin</t>
  </si>
  <si>
    <t>TOKAU</t>
  </si>
  <si>
    <t>tokyo-au</t>
  </si>
  <si>
    <t>Tokyo AU</t>
  </si>
  <si>
    <t>TOKI</t>
  </si>
  <si>
    <t>tokyo-inu</t>
  </si>
  <si>
    <t>Tokyo Inu</t>
  </si>
  <si>
    <t>TOL</t>
  </si>
  <si>
    <t>tolar</t>
  </si>
  <si>
    <t>Tolar</t>
  </si>
  <si>
    <t>TOMB</t>
  </si>
  <si>
    <t>tomb</t>
  </si>
  <si>
    <t>Tomb</t>
  </si>
  <si>
    <t>TOMBP</t>
  </si>
  <si>
    <t>tombprinter</t>
  </si>
  <si>
    <t>TombPrinter</t>
  </si>
  <si>
    <t>TSHARE</t>
  </si>
  <si>
    <t>tomb-shares</t>
  </si>
  <si>
    <t>Tomb Shares</t>
  </si>
  <si>
    <t>TOM</t>
  </si>
  <si>
    <t>tom-finance</t>
  </si>
  <si>
    <t>TOM Finance</t>
  </si>
  <si>
    <t>TOMO</t>
  </si>
  <si>
    <t>tomochain</t>
  </si>
  <si>
    <t>TomoChain</t>
  </si>
  <si>
    <t>TOMOE</t>
  </si>
  <si>
    <t>tomoe</t>
  </si>
  <si>
    <t>TomoChain ERC-20</t>
  </si>
  <si>
    <t>TOMS</t>
  </si>
  <si>
    <t>tomtomcoin</t>
  </si>
  <si>
    <t>TomTomCoin</t>
  </si>
  <si>
    <t>TNR</t>
  </si>
  <si>
    <t>tonestra</t>
  </si>
  <si>
    <t>Tonestra</t>
  </si>
  <si>
    <t>tonic-dex</t>
  </si>
  <si>
    <t>Tonic DEX</t>
  </si>
  <si>
    <t>tonstarter</t>
  </si>
  <si>
    <t>TONStarter</t>
  </si>
  <si>
    <t>tontoken</t>
  </si>
  <si>
    <t>TOOB</t>
  </si>
  <si>
    <t>toobcoin</t>
  </si>
  <si>
    <t>Toobcoin</t>
  </si>
  <si>
    <t>TAPE</t>
  </si>
  <si>
    <t>toolape</t>
  </si>
  <si>
    <t>ToolApe</t>
  </si>
  <si>
    <t>TOOLS</t>
  </si>
  <si>
    <t>tools</t>
  </si>
  <si>
    <t>TOO</t>
  </si>
  <si>
    <t>too-token</t>
  </si>
  <si>
    <t>topbidder</t>
  </si>
  <si>
    <t>TopBidder</t>
  </si>
  <si>
    <t>TOPC</t>
  </si>
  <si>
    <t>topchain</t>
  </si>
  <si>
    <t>TopChain</t>
  </si>
  <si>
    <t>top-coin-token</t>
  </si>
  <si>
    <t>Top Coin</t>
  </si>
  <si>
    <t>TPF</t>
  </si>
  <si>
    <t>topflower</t>
  </si>
  <si>
    <t>TopFlower</t>
  </si>
  <si>
    <t>topmanager</t>
  </si>
  <si>
    <t>TopManager</t>
  </si>
  <si>
    <t>top-network</t>
  </si>
  <si>
    <t>TOP Network</t>
  </si>
  <si>
    <t>LIQR</t>
  </si>
  <si>
    <t>topshelf-finance</t>
  </si>
  <si>
    <t>Topshelf Finance</t>
  </si>
  <si>
    <t>TOR</t>
  </si>
  <si>
    <t>tor</t>
  </si>
  <si>
    <t>torchain</t>
  </si>
  <si>
    <t>Torchain</t>
  </si>
  <si>
    <t>TRK</t>
  </si>
  <si>
    <t>torekko</t>
  </si>
  <si>
    <t>Torekko</t>
  </si>
  <si>
    <t>torex</t>
  </si>
  <si>
    <t>Torex</t>
  </si>
  <si>
    <t>TORG</t>
  </si>
  <si>
    <t>torg</t>
  </si>
  <si>
    <t>TORII</t>
  </si>
  <si>
    <t>torii-finance</t>
  </si>
  <si>
    <t>Torii Finance</t>
  </si>
  <si>
    <t>NADO</t>
  </si>
  <si>
    <t>tornadao</t>
  </si>
  <si>
    <t>Tornadao</t>
  </si>
  <si>
    <t>TORN</t>
  </si>
  <si>
    <t>tornado-cash</t>
  </si>
  <si>
    <t>Tornado Cash</t>
  </si>
  <si>
    <t>TOROCUS</t>
  </si>
  <si>
    <t>torocus-token</t>
  </si>
  <si>
    <t>TORPEDO</t>
  </si>
  <si>
    <t>torpedo</t>
  </si>
  <si>
    <t>Torpedo</t>
  </si>
  <si>
    <t>TORQ</t>
  </si>
  <si>
    <t>torq-coin</t>
  </si>
  <si>
    <t>TORQ Coin</t>
  </si>
  <si>
    <t>XTM</t>
  </si>
  <si>
    <t>torum</t>
  </si>
  <si>
    <t>Torum</t>
  </si>
  <si>
    <t>TOSC</t>
  </si>
  <si>
    <t>t-os</t>
  </si>
  <si>
    <t>T.OS</t>
  </si>
  <si>
    <t>DIS</t>
  </si>
  <si>
    <t>tosdis</t>
  </si>
  <si>
    <t>TosDis</t>
  </si>
  <si>
    <t>TOSHINORI</t>
  </si>
  <si>
    <t>toshinori-inu</t>
  </si>
  <si>
    <t>Toshinori Inu</t>
  </si>
  <si>
    <t>TOSHI</t>
  </si>
  <si>
    <t>toshi-token</t>
  </si>
  <si>
    <t>Toshimon</t>
  </si>
  <si>
    <t>TCAP</t>
  </si>
  <si>
    <t>total-crypto-market-cap-token</t>
  </si>
  <si>
    <t>Total Crypto Market Cap</t>
  </si>
  <si>
    <t>TARP</t>
  </si>
  <si>
    <t>totally-a-rug-pull</t>
  </si>
  <si>
    <t>Totally A Rug Pull</t>
  </si>
  <si>
    <t>CTZN</t>
  </si>
  <si>
    <t>totem-earth-systems</t>
  </si>
  <si>
    <t>Totem</t>
  </si>
  <si>
    <t>TOTM</t>
  </si>
  <si>
    <t>totemfi</t>
  </si>
  <si>
    <t>TotemFi</t>
  </si>
  <si>
    <t>totem-finance</t>
  </si>
  <si>
    <t>Totem Finance</t>
  </si>
  <si>
    <t>to-the-moon-token</t>
  </si>
  <si>
    <t>To The Moon Token</t>
  </si>
  <si>
    <t>TOTORO</t>
  </si>
  <si>
    <t>totoro-inu</t>
  </si>
  <si>
    <t>Totoro Inu</t>
  </si>
  <si>
    <t>toucan-protocol-base-carbon-tonne</t>
  </si>
  <si>
    <t>Toucan Protocol: Base Carbon Tonne</t>
  </si>
  <si>
    <t>toucan-protocol-nature-carbon-tonne</t>
  </si>
  <si>
    <t>Toucan Protocol: Nature Carbon Tonne</t>
  </si>
  <si>
    <t>TOC</t>
  </si>
  <si>
    <t>touchcon</t>
  </si>
  <si>
    <t>TouchCon</t>
  </si>
  <si>
    <t>TF</t>
  </si>
  <si>
    <t>touchfuture</t>
  </si>
  <si>
    <t>TouchFuture</t>
  </si>
  <si>
    <t>TOURISTS</t>
  </si>
  <si>
    <t>tourist-shiba-inu</t>
  </si>
  <si>
    <t>Tourist Shiba Inu</t>
  </si>
  <si>
    <t>TOTO</t>
  </si>
  <si>
    <t>tourist-token</t>
  </si>
  <si>
    <t>Tourist Token</t>
  </si>
  <si>
    <t>TOUR</t>
  </si>
  <si>
    <t>touriva</t>
  </si>
  <si>
    <t>Touriva</t>
  </si>
  <si>
    <t>toursim-coin</t>
  </si>
  <si>
    <t>Toursim Coin</t>
  </si>
  <si>
    <t>TOWER</t>
  </si>
  <si>
    <t>tower</t>
  </si>
  <si>
    <t>Tower</t>
  </si>
  <si>
    <t>TITANS</t>
  </si>
  <si>
    <t>tower-defense-titans</t>
  </si>
  <si>
    <t>Tower Defense Titans</t>
  </si>
  <si>
    <t>TWR</t>
  </si>
  <si>
    <t>tower-usd</t>
  </si>
  <si>
    <t>Tower USD</t>
  </si>
  <si>
    <t>TOWN</t>
  </si>
  <si>
    <t>town-star</t>
  </si>
  <si>
    <t>Town Star</t>
  </si>
  <si>
    <t>toxicgamenft</t>
  </si>
  <si>
    <t>ToxicGameNft</t>
  </si>
  <si>
    <t>NTXC</t>
  </si>
  <si>
    <t>toxic-game-nft</t>
  </si>
  <si>
    <t>Toxic Game NFT</t>
  </si>
  <si>
    <t>TOZ</t>
  </si>
  <si>
    <t>tozex</t>
  </si>
  <si>
    <t>Tozex</t>
  </si>
  <si>
    <t>TPIGGY</t>
  </si>
  <si>
    <t>tpiggy</t>
  </si>
  <si>
    <t>Tpiggy</t>
  </si>
  <si>
    <t>TP</t>
  </si>
  <si>
    <t>tp-swap</t>
  </si>
  <si>
    <t>Token Swap</t>
  </si>
  <si>
    <t>TR3</t>
  </si>
  <si>
    <t>tr3zor</t>
  </si>
  <si>
    <t>Tr3zor</t>
  </si>
  <si>
    <t>TRA</t>
  </si>
  <si>
    <t>trabzonspor-fan-token</t>
  </si>
  <si>
    <t>Trabzonspor Fan Token</t>
  </si>
  <si>
    <t>TRACE</t>
  </si>
  <si>
    <t>trace-network-labs</t>
  </si>
  <si>
    <t>Trace Network Labs</t>
  </si>
  <si>
    <t>tracer-dao</t>
  </si>
  <si>
    <t>Tracer DAO</t>
  </si>
  <si>
    <t>TRACTOR</t>
  </si>
  <si>
    <t>tractor-joe</t>
  </si>
  <si>
    <t>Tractor Joe</t>
  </si>
  <si>
    <t>TOD</t>
  </si>
  <si>
    <t>tradao</t>
  </si>
  <si>
    <t>TraDAO</t>
  </si>
  <si>
    <t>TRAD</t>
  </si>
  <si>
    <t>tradcoin</t>
  </si>
  <si>
    <t>Tradcoin</t>
  </si>
  <si>
    <t>TDF</t>
  </si>
  <si>
    <t>trade-fighter</t>
  </si>
  <si>
    <t>Trade Fighter</t>
  </si>
  <si>
    <t>TRDC</t>
  </si>
  <si>
    <t>traders-coin</t>
  </si>
  <si>
    <t>Traders Coin</t>
  </si>
  <si>
    <t>TGB</t>
  </si>
  <si>
    <t>traders-global-business</t>
  </si>
  <si>
    <t>Traders Global Business</t>
  </si>
  <si>
    <t>TSX</t>
  </si>
  <si>
    <t>tradestars</t>
  </si>
  <si>
    <t>TradeStars</t>
  </si>
  <si>
    <t>TWI</t>
  </si>
  <si>
    <t>trade-win</t>
  </si>
  <si>
    <t>Trade.win</t>
  </si>
  <si>
    <t>SLICE</t>
  </si>
  <si>
    <t>tranche-finance</t>
  </si>
  <si>
    <t>Tranche Finance</t>
  </si>
  <si>
    <t>tranchess</t>
  </si>
  <si>
    <t>Tranchess</t>
  </si>
  <si>
    <t>TRANQ</t>
  </si>
  <si>
    <t>tranquil-finance</t>
  </si>
  <si>
    <t>Tranquil Finance</t>
  </si>
  <si>
    <t>LUMEN</t>
  </si>
  <si>
    <t>tranquility-city</t>
  </si>
  <si>
    <t>Tranquility City</t>
  </si>
  <si>
    <t>STONE</t>
  </si>
  <si>
    <t>tranquil-staked-one</t>
  </si>
  <si>
    <t>Tranquil Staked ONE</t>
  </si>
  <si>
    <t>transcodium</t>
  </si>
  <si>
    <t>Transcodium</t>
  </si>
  <si>
    <t>transhuman-coin</t>
  </si>
  <si>
    <t>Transhuman Coin</t>
  </si>
  <si>
    <t>TSCT</t>
  </si>
  <si>
    <t>transient</t>
  </si>
  <si>
    <t>Transient</t>
  </si>
  <si>
    <t>FIDL</t>
  </si>
  <si>
    <t>trapeza-protocol</t>
  </si>
  <si>
    <t>Trapeza Protocol</t>
  </si>
  <si>
    <t>TRAT</t>
  </si>
  <si>
    <t>tratok</t>
  </si>
  <si>
    <t>Tratok</t>
  </si>
  <si>
    <t>TRAVA</t>
  </si>
  <si>
    <t>trava-finance</t>
  </si>
  <si>
    <t>Trava Finance</t>
  </si>
  <si>
    <t>TRAVEL</t>
  </si>
  <si>
    <t>travel-care-2</t>
  </si>
  <si>
    <t>Travel Care</t>
  </si>
  <si>
    <t>TCOIN</t>
  </si>
  <si>
    <t>travel-coin</t>
  </si>
  <si>
    <t>Travel Coin</t>
  </si>
  <si>
    <t>TVNT</t>
  </si>
  <si>
    <t>travelnote</t>
  </si>
  <si>
    <t>TravelNote</t>
  </si>
  <si>
    <t>traverse</t>
  </si>
  <si>
    <t>Traverse</t>
  </si>
  <si>
    <t>TPV</t>
  </si>
  <si>
    <t>travgopv</t>
  </si>
  <si>
    <t>TravGoPV</t>
  </si>
  <si>
    <t>traxia</t>
  </si>
  <si>
    <t>Traxia</t>
  </si>
  <si>
    <t>TRAXX</t>
  </si>
  <si>
    <t>traxx</t>
  </si>
  <si>
    <t>Traxx</t>
  </si>
  <si>
    <t>TRZ</t>
  </si>
  <si>
    <t>trazable</t>
  </si>
  <si>
    <t>Trazable</t>
  </si>
  <si>
    <t>TRE</t>
  </si>
  <si>
    <t>tre</t>
  </si>
  <si>
    <t>Green Land</t>
  </si>
  <si>
    <t>TREASURE</t>
  </si>
  <si>
    <t>treasure</t>
  </si>
  <si>
    <t>Treasure</t>
  </si>
  <si>
    <t>treasure-sl</t>
  </si>
  <si>
    <t>Treasure SL</t>
  </si>
  <si>
    <t>treasure-token-finance</t>
  </si>
  <si>
    <t>Treasure Finance</t>
  </si>
  <si>
    <t>TUS</t>
  </si>
  <si>
    <t>treasure-under-sea</t>
  </si>
  <si>
    <t>Treasure Under Sea</t>
  </si>
  <si>
    <t>DTLT</t>
  </si>
  <si>
    <t>treasury-bond-eth-tokenized-stock-defichain</t>
  </si>
  <si>
    <t>iShares 20+ Year Treasury Bond ETF Defichain</t>
  </si>
  <si>
    <t>TREAT</t>
  </si>
  <si>
    <t>treatdao</t>
  </si>
  <si>
    <t>TreatDAO [OLD]</t>
  </si>
  <si>
    <t>treatdao-v2</t>
  </si>
  <si>
    <t>TreatDAO</t>
  </si>
  <si>
    <t>TREEB</t>
  </si>
  <si>
    <t>treeb</t>
  </si>
  <si>
    <t>Retreeb</t>
  </si>
  <si>
    <t>TRCL</t>
  </si>
  <si>
    <t>treecle</t>
  </si>
  <si>
    <t>Treecle</t>
  </si>
  <si>
    <t>TREEP</t>
  </si>
  <si>
    <t>treep-token</t>
  </si>
  <si>
    <t>TMDS</t>
  </si>
  <si>
    <t>tremendous-coin</t>
  </si>
  <si>
    <t>Tremendous Coin</t>
  </si>
  <si>
    <t>TRND</t>
  </si>
  <si>
    <t>trendering</t>
  </si>
  <si>
    <t>Trendering</t>
  </si>
  <si>
    <t>TRNDZ</t>
  </si>
  <si>
    <t>trendsy</t>
  </si>
  <si>
    <t>Trendsy</t>
  </si>
  <si>
    <t>$TRESOR</t>
  </si>
  <si>
    <t>tresor-finance</t>
  </si>
  <si>
    <t>Tresor Finance</t>
  </si>
  <si>
    <t>TZC</t>
  </si>
  <si>
    <t>trezarcoin</t>
  </si>
  <si>
    <t>TrezarCoin</t>
  </si>
  <si>
    <t>TRL</t>
  </si>
  <si>
    <t>triall</t>
  </si>
  <si>
    <t>Triall</t>
  </si>
  <si>
    <t>TRIAS</t>
  </si>
  <si>
    <t>trias-token</t>
  </si>
  <si>
    <t>TriasLab</t>
  </si>
  <si>
    <t>TRIBL</t>
  </si>
  <si>
    <t>tribal</t>
  </si>
  <si>
    <t>Tribal</t>
  </si>
  <si>
    <t>XTRI</t>
  </si>
  <si>
    <t>tribar</t>
  </si>
  <si>
    <t>Tribar</t>
  </si>
  <si>
    <t>TRIBE</t>
  </si>
  <si>
    <t>tribe-2</t>
  </si>
  <si>
    <t>Tribe</t>
  </si>
  <si>
    <t>TRBL</t>
  </si>
  <si>
    <t>tribeland</t>
  </si>
  <si>
    <t>Tribeland</t>
  </si>
  <si>
    <t>HAKA</t>
  </si>
  <si>
    <t>tribeone</t>
  </si>
  <si>
    <t>TribeOne</t>
  </si>
  <si>
    <t>TRIBEX</t>
  </si>
  <si>
    <t>tribe-token</t>
  </si>
  <si>
    <t>Tribe Token</t>
  </si>
  <si>
    <t>tribe-wormhole</t>
  </si>
  <si>
    <t>Tribe (Wormhole)</t>
  </si>
  <si>
    <t>TRICK</t>
  </si>
  <si>
    <t>trick</t>
  </si>
  <si>
    <t>Trick</t>
  </si>
  <si>
    <t>trickle</t>
  </si>
  <si>
    <t>Trickle</t>
  </si>
  <si>
    <t>TIIM</t>
  </si>
  <si>
    <t>triipmiles</t>
  </si>
  <si>
    <t>TriipMiles</t>
  </si>
  <si>
    <t>trillion</t>
  </si>
  <si>
    <t>Trillion</t>
  </si>
  <si>
    <t>trillium</t>
  </si>
  <si>
    <t>Trillium</t>
  </si>
  <si>
    <t>TTY</t>
  </si>
  <si>
    <t>trinity</t>
  </si>
  <si>
    <t>Trinity</t>
  </si>
  <si>
    <t>TRIN</t>
  </si>
  <si>
    <t>trinity-defi</t>
  </si>
  <si>
    <t>Trinity Defi</t>
  </si>
  <si>
    <t>trinity-network-credit</t>
  </si>
  <si>
    <t>Trinity Network Credit</t>
  </si>
  <si>
    <t>tripcandy</t>
  </si>
  <si>
    <t>TripCandy</t>
  </si>
  <si>
    <t>TRIP</t>
  </si>
  <si>
    <t>tripedia</t>
  </si>
  <si>
    <t>Tripedia</t>
  </si>
  <si>
    <t>TRIO</t>
  </si>
  <si>
    <t>tripio</t>
  </si>
  <si>
    <t>Tripio</t>
  </si>
  <si>
    <t>TLT</t>
  </si>
  <si>
    <t>trip-leverage-token</t>
  </si>
  <si>
    <t>Trip Leverage</t>
  </si>
  <si>
    <t>TRIPOLAR</t>
  </si>
  <si>
    <t>tripolar</t>
  </si>
  <si>
    <t>Tripolar</t>
  </si>
  <si>
    <t>TRIPS</t>
  </si>
  <si>
    <t>trips-community</t>
  </si>
  <si>
    <t>Trips Community</t>
  </si>
  <si>
    <t>TRISM</t>
  </si>
  <si>
    <t>trism</t>
  </si>
  <si>
    <t>Trism</t>
  </si>
  <si>
    <t>TRI</t>
  </si>
  <si>
    <t>trisolaris</t>
  </si>
  <si>
    <t>Trisolaris</t>
  </si>
  <si>
    <t>XEQ</t>
  </si>
  <si>
    <t>triton</t>
  </si>
  <si>
    <t>Equilibria</t>
  </si>
  <si>
    <t>TRTT</t>
  </si>
  <si>
    <t>trittium</t>
  </si>
  <si>
    <t>Trittium</t>
  </si>
  <si>
    <t>TRIX</t>
  </si>
  <si>
    <t>triumphx</t>
  </si>
  <si>
    <t>TriumphX</t>
  </si>
  <si>
    <t>TRO</t>
  </si>
  <si>
    <t>trodl</t>
  </si>
  <si>
    <t>Trodl</t>
  </si>
  <si>
    <t>trolite</t>
  </si>
  <si>
    <t>Trolite</t>
  </si>
  <si>
    <t>TOX</t>
  </si>
  <si>
    <t>trollbox</t>
  </si>
  <si>
    <t>TROLL</t>
  </si>
  <si>
    <t>trollcoin</t>
  </si>
  <si>
    <t>Trollcoin</t>
  </si>
  <si>
    <t>tron</t>
  </si>
  <si>
    <t>tronbetdice</t>
  </si>
  <si>
    <t>TRONbetDice</t>
  </si>
  <si>
    <t>LIVE</t>
  </si>
  <si>
    <t>tronbetlive</t>
  </si>
  <si>
    <t>TRONbetLive</t>
  </si>
  <si>
    <t>tron-bsc</t>
  </si>
  <si>
    <t>TRON (BSC)</t>
  </si>
  <si>
    <t>TRXC</t>
  </si>
  <si>
    <t>tronclassic</t>
  </si>
  <si>
    <t>TronClassic</t>
  </si>
  <si>
    <t>TCX</t>
  </si>
  <si>
    <t>tron-connect</t>
  </si>
  <si>
    <t>Tron Connect</t>
  </si>
  <si>
    <t>TERC</t>
  </si>
  <si>
    <t>troneuroperewardcoin</t>
  </si>
  <si>
    <t>TronEuropeRewardCoin</t>
  </si>
  <si>
    <t>TRP</t>
  </si>
  <si>
    <t>tronipay</t>
  </si>
  <si>
    <t>Tronipay</t>
  </si>
  <si>
    <t>TRONPAD</t>
  </si>
  <si>
    <t>tronpad</t>
  </si>
  <si>
    <t>DAIQUIRI</t>
  </si>
  <si>
    <t>tropical-finance</t>
  </si>
  <si>
    <t>Tropical Finance</t>
  </si>
  <si>
    <t>TROY</t>
  </si>
  <si>
    <t>troy</t>
  </si>
  <si>
    <t>Troy</t>
  </si>
  <si>
    <t>TRUBGR</t>
  </si>
  <si>
    <t>trubadger</t>
  </si>
  <si>
    <t>TruBadger</t>
  </si>
  <si>
    <t>TAUD</t>
  </si>
  <si>
    <t>trueaud</t>
  </si>
  <si>
    <t>TrueAUD</t>
  </si>
  <si>
    <t>TRU</t>
  </si>
  <si>
    <t>truebit-protocol</t>
  </si>
  <si>
    <t>Truebit Protocol</t>
  </si>
  <si>
    <t>TRUE</t>
  </si>
  <si>
    <t>trueburn</t>
  </si>
  <si>
    <t>TrueBurn</t>
  </si>
  <si>
    <t>true-chain</t>
  </si>
  <si>
    <t>TrueChain</t>
  </si>
  <si>
    <t>TDP</t>
  </si>
  <si>
    <t>truedeck</t>
  </si>
  <si>
    <t>TrueDeck</t>
  </si>
  <si>
    <t>TFBX</t>
  </si>
  <si>
    <t>truefeedbackchain</t>
  </si>
  <si>
    <t>truefi</t>
  </si>
  <si>
    <t>TrueFi</t>
  </si>
  <si>
    <t>TFL</t>
  </si>
  <si>
    <t>trueflip</t>
  </si>
  <si>
    <t>TrueFlip</t>
  </si>
  <si>
    <t>TGAME</t>
  </si>
  <si>
    <t>truegame</t>
  </si>
  <si>
    <t>Truegame</t>
  </si>
  <si>
    <t>THKD</t>
  </si>
  <si>
    <t>truehkd</t>
  </si>
  <si>
    <t>TrueHKD</t>
  </si>
  <si>
    <t>PNL</t>
  </si>
  <si>
    <t>true-pnl</t>
  </si>
  <si>
    <t>True PNL</t>
  </si>
  <si>
    <t>TUSD</t>
  </si>
  <si>
    <t>true-usd</t>
  </si>
  <si>
    <t>TrueUSD</t>
  </si>
  <si>
    <t>TBE</t>
  </si>
  <si>
    <t>trustbase</t>
  </si>
  <si>
    <t>TrustBase</t>
  </si>
  <si>
    <t>TNODE</t>
  </si>
  <si>
    <t>trusted-node</t>
  </si>
  <si>
    <t>Trusted Node</t>
  </si>
  <si>
    <t>TSC</t>
  </si>
  <si>
    <t>trustercoin</t>
  </si>
  <si>
    <t>TrusterCoin</t>
  </si>
  <si>
    <t>TEO</t>
  </si>
  <si>
    <t>trust-ether-reorigin</t>
  </si>
  <si>
    <t>Trust Ether ReOrigin</t>
  </si>
  <si>
    <t>TFI</t>
  </si>
  <si>
    <t>trustfi-network-token</t>
  </si>
  <si>
    <t>TrustFi Network</t>
  </si>
  <si>
    <t>TRUSTK</t>
  </si>
  <si>
    <t>trustkeys-network</t>
  </si>
  <si>
    <t>TrustKeys Network</t>
  </si>
  <si>
    <t>TRUSTNFT</t>
  </si>
  <si>
    <t>trustnft</t>
  </si>
  <si>
    <t>TrustNFT</t>
  </si>
  <si>
    <t>TPAD</t>
  </si>
  <si>
    <t>trustpad</t>
  </si>
  <si>
    <t>TrustPad</t>
  </si>
  <si>
    <t>TPH</t>
  </si>
  <si>
    <t>trustpay</t>
  </si>
  <si>
    <t>Trustpay</t>
  </si>
  <si>
    <t>TRT</t>
  </si>
  <si>
    <t>trust-recruit</t>
  </si>
  <si>
    <t>Trust Recruit</t>
  </si>
  <si>
    <t>TRISE</t>
  </si>
  <si>
    <t>trustrise</t>
  </si>
  <si>
    <t>TrustRise</t>
  </si>
  <si>
    <t>trustswap</t>
  </si>
  <si>
    <t>Trustswap</t>
  </si>
  <si>
    <t>TRUSD</t>
  </si>
  <si>
    <t>trustusd</t>
  </si>
  <si>
    <t>TrustUSD</t>
  </si>
  <si>
    <t>TRV</t>
  </si>
  <si>
    <t>trustverse</t>
  </si>
  <si>
    <t>TrustVerse</t>
  </si>
  <si>
    <t>TWT</t>
  </si>
  <si>
    <t>trust-wallet-token</t>
  </si>
  <si>
    <t>TRUST</t>
  </si>
  <si>
    <t>trustworks</t>
  </si>
  <si>
    <t>Trustworks</t>
  </si>
  <si>
    <t>TRUTH</t>
  </si>
  <si>
    <t>truth-technology</t>
  </si>
  <si>
    <t>Truth Technology</t>
  </si>
  <si>
    <t>TRYC</t>
  </si>
  <si>
    <t>tryc</t>
  </si>
  <si>
    <t>TRY</t>
  </si>
  <si>
    <t>try-finance</t>
  </si>
  <si>
    <t>Try.Finance</t>
  </si>
  <si>
    <t>tryhards</t>
  </si>
  <si>
    <t>TryHards</t>
  </si>
  <si>
    <t>TSAR</t>
  </si>
  <si>
    <t>tsar-network</t>
  </si>
  <si>
    <t>Tsar Network</t>
  </si>
  <si>
    <t>TKINU</t>
  </si>
  <si>
    <t>tsuki-inu</t>
  </si>
  <si>
    <t>Tsuki Inu</t>
  </si>
  <si>
    <t>TSUGA</t>
  </si>
  <si>
    <t>tsukiverse-galactic-adventures</t>
  </si>
  <si>
    <t>Tsukiverse:Galactic Adventures</t>
  </si>
  <si>
    <t>TZKI</t>
  </si>
  <si>
    <t>tsuzuki-inu</t>
  </si>
  <si>
    <t>Tsuzuki Inu</t>
  </si>
  <si>
    <t>TMN</t>
  </si>
  <si>
    <t>ttanslateme-network-token</t>
  </si>
  <si>
    <t>TC</t>
  </si>
  <si>
    <t>ttcoin</t>
  </si>
  <si>
    <t>TTcoin</t>
  </si>
  <si>
    <t>MARO</t>
  </si>
  <si>
    <t>ttc-protocol</t>
  </si>
  <si>
    <t>Maro</t>
  </si>
  <si>
    <t>XMETA</t>
  </si>
  <si>
    <t>ttx-metaverse</t>
  </si>
  <si>
    <t>TTX Metaverse</t>
  </si>
  <si>
    <t>TUBE2</t>
  </si>
  <si>
    <t>tube2</t>
  </si>
  <si>
    <t>BURD</t>
  </si>
  <si>
    <t>tudabirds</t>
  </si>
  <si>
    <t>tudaBirds</t>
  </si>
  <si>
    <t>tulip</t>
  </si>
  <si>
    <t>Tulip</t>
  </si>
  <si>
    <t>TUNDRA</t>
  </si>
  <si>
    <t>tundra-token</t>
  </si>
  <si>
    <t>Tundra</t>
  </si>
  <si>
    <t>TUN</t>
  </si>
  <si>
    <t>tune</t>
  </si>
  <si>
    <t>TUNE</t>
  </si>
  <si>
    <t>tune-fm</t>
  </si>
  <si>
    <t>Tune.Fm</t>
  </si>
  <si>
    <t>tune-token</t>
  </si>
  <si>
    <t>TUNE TOKEN</t>
  </si>
  <si>
    <t>TUR</t>
  </si>
  <si>
    <t>turex</t>
  </si>
  <si>
    <t>Turex</t>
  </si>
  <si>
    <t>TBFT</t>
  </si>
  <si>
    <t>turkiye-basketbol-federasyonu-token</t>
  </si>
  <si>
    <t>Turkiye Basketbol Federasyonu Token</t>
  </si>
  <si>
    <t>TUT</t>
  </si>
  <si>
    <t>turnt-up-tikis</t>
  </si>
  <si>
    <t>Turnt Up Tikis</t>
  </si>
  <si>
    <t>TRTL</t>
  </si>
  <si>
    <t>turtlecoin</t>
  </si>
  <si>
    <t>TurtleCoin</t>
  </si>
  <si>
    <t>TURT</t>
  </si>
  <si>
    <t>turtle-racing</t>
  </si>
  <si>
    <t>Turtle Racing</t>
  </si>
  <si>
    <t>TRTLS</t>
  </si>
  <si>
    <t>turtles-token</t>
  </si>
  <si>
    <t>Turtles</t>
  </si>
  <si>
    <t>TURU</t>
  </si>
  <si>
    <t>turu</t>
  </si>
  <si>
    <t>Turu</t>
  </si>
  <si>
    <t>TUSK</t>
  </si>
  <si>
    <t>tusk-token</t>
  </si>
  <si>
    <t>Mammoth.Bet</t>
  </si>
  <si>
    <t>tutellus</t>
  </si>
  <si>
    <t>Tutellus</t>
  </si>
  <si>
    <t>TUDA</t>
  </si>
  <si>
    <t>tutors-diary</t>
  </si>
  <si>
    <t>Tutor's Diary</t>
  </si>
  <si>
    <t>TFF</t>
  </si>
  <si>
    <t>tutti-frutti-finance</t>
  </si>
  <si>
    <t>Tutti Frutti</t>
  </si>
  <si>
    <t>TUX</t>
  </si>
  <si>
    <t>tuxcoin</t>
  </si>
  <si>
    <t>Tuxcoin</t>
  </si>
  <si>
    <t>TUZLA</t>
  </si>
  <si>
    <t>tuzlaspor</t>
  </si>
  <si>
    <t>Tuzlaspor Token</t>
  </si>
  <si>
    <t>TVG</t>
  </si>
  <si>
    <t>tvgcoin</t>
  </si>
  <si>
    <t>TVGCOIN</t>
  </si>
  <si>
    <t>TVT</t>
  </si>
  <si>
    <t>tvt</t>
  </si>
  <si>
    <t>twelve-legions</t>
  </si>
  <si>
    <t>Twelve Legions</t>
  </si>
  <si>
    <t>TWIN</t>
  </si>
  <si>
    <t>twinci</t>
  </si>
  <si>
    <t>Twinci</t>
  </si>
  <si>
    <t>twin-finance</t>
  </si>
  <si>
    <t>Twin Finance</t>
  </si>
  <si>
    <t>TWINU</t>
  </si>
  <si>
    <t>twinu</t>
  </si>
  <si>
    <t>twirl-governance-token</t>
  </si>
  <si>
    <t>Twirl Governance</t>
  </si>
  <si>
    <t>TWIST</t>
  </si>
  <si>
    <t>twist</t>
  </si>
  <si>
    <t>TWTR</t>
  </si>
  <si>
    <t>twitter-tokenized-stock-zipmex</t>
  </si>
  <si>
    <t>Twitter Tokenized Stock Zipmex</t>
  </si>
  <si>
    <t>$TMON</t>
  </si>
  <si>
    <t>two-monkey-juice-bar</t>
  </si>
  <si>
    <t>Two Monkey Juice Bar</t>
  </si>
  <si>
    <t>TXA</t>
  </si>
  <si>
    <t>txa</t>
  </si>
  <si>
    <t>TXBIT</t>
  </si>
  <si>
    <t>txbit</t>
  </si>
  <si>
    <t>Txbit</t>
  </si>
  <si>
    <t>TYCHE</t>
  </si>
  <si>
    <t>tycheloto</t>
  </si>
  <si>
    <t>TycheLoto</t>
  </si>
  <si>
    <t>tycoon</t>
  </si>
  <si>
    <t>Tycoon</t>
  </si>
  <si>
    <t>tycoon-global</t>
  </si>
  <si>
    <t>Tycoon Global</t>
  </si>
  <si>
    <t>TYPE</t>
  </si>
  <si>
    <t>typerium</t>
  </si>
  <si>
    <t>Typerium</t>
  </si>
  <si>
    <t>PHOON</t>
  </si>
  <si>
    <t>typhoon-cash</t>
  </si>
  <si>
    <t>Typhoon Cash</t>
  </si>
  <si>
    <t>TYPH</t>
  </si>
  <si>
    <t>typhoon-network</t>
  </si>
  <si>
    <t>Typhoon Network</t>
  </si>
  <si>
    <t>TYV</t>
  </si>
  <si>
    <t>tyv</t>
  </si>
  <si>
    <t>UANG</t>
  </si>
  <si>
    <t>uangmarket</t>
  </si>
  <si>
    <t>UangMarket</t>
  </si>
  <si>
    <t>UBE</t>
  </si>
  <si>
    <t>ubeswap</t>
  </si>
  <si>
    <t>Ubeswap</t>
  </si>
  <si>
    <t>UBEX</t>
  </si>
  <si>
    <t>ubex</t>
  </si>
  <si>
    <t>Ubex</t>
  </si>
  <si>
    <t>UBG</t>
  </si>
  <si>
    <t>ubg-token</t>
  </si>
  <si>
    <t>UBIN</t>
  </si>
  <si>
    <t>ubiner</t>
  </si>
  <si>
    <t>Ubiner</t>
  </si>
  <si>
    <t>UBQ</t>
  </si>
  <si>
    <t>ubiq</t>
  </si>
  <si>
    <t>Ubiq</t>
  </si>
  <si>
    <t>UBX</t>
  </si>
  <si>
    <t>ubix-network</t>
  </si>
  <si>
    <t>UBIX Network</t>
  </si>
  <si>
    <t>UBU</t>
  </si>
  <si>
    <t>ubu</t>
  </si>
  <si>
    <t>ubu-finance</t>
  </si>
  <si>
    <t>UBU Finance</t>
  </si>
  <si>
    <t>UBXS</t>
  </si>
  <si>
    <t>ubxs-token</t>
  </si>
  <si>
    <t>UCA</t>
  </si>
  <si>
    <t>uca</t>
  </si>
  <si>
    <t>UCA Coin</t>
  </si>
  <si>
    <t>UCASH</t>
  </si>
  <si>
    <t>ucash</t>
  </si>
  <si>
    <t>U.CASH</t>
  </si>
  <si>
    <t>UCN</t>
  </si>
  <si>
    <t>uchain</t>
  </si>
  <si>
    <t>UChain</t>
  </si>
  <si>
    <t>U</t>
  </si>
  <si>
    <t>ucoin</t>
  </si>
  <si>
    <t>Ucoin</t>
  </si>
  <si>
    <t>UCM</t>
  </si>
  <si>
    <t>ucrowdme</t>
  </si>
  <si>
    <t>UCROWDME</t>
  </si>
  <si>
    <t>UCX</t>
  </si>
  <si>
    <t>ucx</t>
  </si>
  <si>
    <t>UFC</t>
  </si>
  <si>
    <t>ufc-fan-token</t>
  </si>
  <si>
    <t>UFC Fan Token</t>
  </si>
  <si>
    <t>UFO</t>
  </si>
  <si>
    <t>ufo</t>
  </si>
  <si>
    <t>ufocoin</t>
  </si>
  <si>
    <t>Uniform Fiscal Object</t>
  </si>
  <si>
    <t>ufo-gaming</t>
  </si>
  <si>
    <t>UFO Gaming</t>
  </si>
  <si>
    <t>ufo-gaming-wormhole</t>
  </si>
  <si>
    <t>UFO Gaming (Wormhole)</t>
  </si>
  <si>
    <t>HVE2</t>
  </si>
  <si>
    <t>uhive</t>
  </si>
  <si>
    <t>Uhive</t>
  </si>
  <si>
    <t>KISS</t>
  </si>
  <si>
    <t>ukiss</t>
  </si>
  <si>
    <t>UKISS</t>
  </si>
  <si>
    <t>ukrainedao-flag-nft</t>
  </si>
  <si>
    <t>UkraineDAO Flag NFT</t>
  </si>
  <si>
    <t>UAC</t>
  </si>
  <si>
    <t>ulanco</t>
  </si>
  <si>
    <t>Ulanco</t>
  </si>
  <si>
    <t>ULAND</t>
  </si>
  <si>
    <t>uland</t>
  </si>
  <si>
    <t>UHP</t>
  </si>
  <si>
    <t>ulgen-hash-power</t>
  </si>
  <si>
    <t>Ulgen Hash Power</t>
  </si>
  <si>
    <t>UT</t>
  </si>
  <si>
    <t>ulord</t>
  </si>
  <si>
    <t>Ulord</t>
  </si>
  <si>
    <t>ULTI</t>
  </si>
  <si>
    <t>ulti-arena</t>
  </si>
  <si>
    <t>Ulti Arena</t>
  </si>
  <si>
    <t>ultiledger</t>
  </si>
  <si>
    <t>Ultiledger</t>
  </si>
  <si>
    <t>ULTGG</t>
  </si>
  <si>
    <t>ultimogg</t>
  </si>
  <si>
    <t>UltimoGG</t>
  </si>
  <si>
    <t>UOS</t>
  </si>
  <si>
    <t>ultra</t>
  </si>
  <si>
    <t>Ultra</t>
  </si>
  <si>
    <t>UCHAD</t>
  </si>
  <si>
    <t>ultrachad</t>
  </si>
  <si>
    <t>UltraChad</t>
  </si>
  <si>
    <t>UCR</t>
  </si>
  <si>
    <t>ultra-clear</t>
  </si>
  <si>
    <t>Ultra Clear</t>
  </si>
  <si>
    <t>ULG</t>
  </si>
  <si>
    <t>ultragate</t>
  </si>
  <si>
    <t>Ultragate</t>
  </si>
  <si>
    <t>UGAS</t>
  </si>
  <si>
    <t>ultrain</t>
  </si>
  <si>
    <t>Ultrain</t>
  </si>
  <si>
    <t>UAT</t>
  </si>
  <si>
    <t>ultralpha</t>
  </si>
  <si>
    <t>UltrAlpha</t>
  </si>
  <si>
    <t>UNFT</t>
  </si>
  <si>
    <t>ultra-nft</t>
  </si>
  <si>
    <t>Ultra NFT</t>
  </si>
  <si>
    <t>ULTRA</t>
  </si>
  <si>
    <t>ultrasafe</t>
  </si>
  <si>
    <t>UltraSafe</t>
  </si>
  <si>
    <t>UMA</t>
  </si>
  <si>
    <t>uma</t>
  </si>
  <si>
    <t>UMAMI</t>
  </si>
  <si>
    <t>umami-finance</t>
  </si>
  <si>
    <t>Umami Finance</t>
  </si>
  <si>
    <t>UMBR</t>
  </si>
  <si>
    <t>umbra-network</t>
  </si>
  <si>
    <t>Umbria Network</t>
  </si>
  <si>
    <t>UMC</t>
  </si>
  <si>
    <t>umbrellacoin</t>
  </si>
  <si>
    <t>Umbrella Coin</t>
  </si>
  <si>
    <t>UMB</t>
  </si>
  <si>
    <t>umbrella-network</t>
  </si>
  <si>
    <t>Umbrella Network</t>
  </si>
  <si>
    <t>UMEE</t>
  </si>
  <si>
    <t>umee</t>
  </si>
  <si>
    <t>Umee</t>
  </si>
  <si>
    <t>UMW</t>
  </si>
  <si>
    <t>umetaworld</t>
  </si>
  <si>
    <t>UMetaWorld</t>
  </si>
  <si>
    <t>UME</t>
  </si>
  <si>
    <t>ume-token</t>
  </si>
  <si>
    <t>UMI</t>
  </si>
  <si>
    <t>umi</t>
  </si>
  <si>
    <t>umi-digital</t>
  </si>
  <si>
    <t>Umi Digital</t>
  </si>
  <si>
    <t>UDAI</t>
  </si>
  <si>
    <t>unagii-dai</t>
  </si>
  <si>
    <t>Unagii Dai</t>
  </si>
  <si>
    <t>UETH</t>
  </si>
  <si>
    <t>unagii-eth</t>
  </si>
  <si>
    <t>Unagii ETH</t>
  </si>
  <si>
    <t>UUSDT</t>
  </si>
  <si>
    <t>unagii-tether-usd</t>
  </si>
  <si>
    <t>Unagii Tether USD</t>
  </si>
  <si>
    <t>UUSDC</t>
  </si>
  <si>
    <t>unagii-usd-coin</t>
  </si>
  <si>
    <t>Unagii USD Coin</t>
  </si>
  <si>
    <t>UWBTC</t>
  </si>
  <si>
    <t>unagii-wrapped-bitcoin</t>
  </si>
  <si>
    <t>Unagii Wrapped Bitcoin</t>
  </si>
  <si>
    <t>UNBNK</t>
  </si>
  <si>
    <t>unbanked</t>
  </si>
  <si>
    <t>Unbanked</t>
  </si>
  <si>
    <t>UNB</t>
  </si>
  <si>
    <t>unbound-finance</t>
  </si>
  <si>
    <t>Unbound Finance</t>
  </si>
  <si>
    <t>UNCL</t>
  </si>
  <si>
    <t>uncl</t>
  </si>
  <si>
    <t>UDOGE</t>
  </si>
  <si>
    <t>uncle-doge</t>
  </si>
  <si>
    <t>Uncle Doge</t>
  </si>
  <si>
    <t>unclemine</t>
  </si>
  <si>
    <t>UncleMine</t>
  </si>
  <si>
    <t>CROOGE</t>
  </si>
  <si>
    <t>uncle-scrooge-finance</t>
  </si>
  <si>
    <t>Uncle Scrooge Finance</t>
  </si>
  <si>
    <t>UNDEAD</t>
  </si>
  <si>
    <t>undead-blocks</t>
  </si>
  <si>
    <t>Undead Blocks</t>
  </si>
  <si>
    <t>WP</t>
  </si>
  <si>
    <t>underground-warriors</t>
  </si>
  <si>
    <t>Underground Warriors</t>
  </si>
  <si>
    <t>UMG</t>
  </si>
  <si>
    <t>underminegold</t>
  </si>
  <si>
    <t>UnderMineGold</t>
  </si>
  <si>
    <t>UUU</t>
  </si>
  <si>
    <t>u-network</t>
  </si>
  <si>
    <t>U Network</t>
  </si>
  <si>
    <t>ERSDL</t>
  </si>
  <si>
    <t>unfederalreserve</t>
  </si>
  <si>
    <t>unFederalReserve</t>
  </si>
  <si>
    <t>UART</t>
  </si>
  <si>
    <t>uniarts</t>
  </si>
  <si>
    <t>UniArts</t>
  </si>
  <si>
    <t>UBT</t>
  </si>
  <si>
    <t>unibright</t>
  </si>
  <si>
    <t>Unibright</t>
  </si>
  <si>
    <t>UCT</t>
  </si>
  <si>
    <t>unicake</t>
  </si>
  <si>
    <t>UniCAKE</t>
  </si>
  <si>
    <t>UCD</t>
  </si>
  <si>
    <t>unicandy</t>
  </si>
  <si>
    <t>UniCandy</t>
  </si>
  <si>
    <t>UCAP</t>
  </si>
  <si>
    <t>unicap-finance</t>
  </si>
  <si>
    <t>Unicap.Finance</t>
  </si>
  <si>
    <t>UNIC</t>
  </si>
  <si>
    <t>unicly</t>
  </si>
  <si>
    <t>Unicly</t>
  </si>
  <si>
    <t>UGOTCHI</t>
  </si>
  <si>
    <t>unicly-aavegotchi-astronauts-collection</t>
  </si>
  <si>
    <t>Unicly Aavegotchi Astronauts Collection</t>
  </si>
  <si>
    <t>UAPE</t>
  </si>
  <si>
    <t>unicly-bored-ape-yacht-club-collection</t>
  </si>
  <si>
    <t>Unicly Bored Ape Yacht Club Collection</t>
  </si>
  <si>
    <t>unicly-chris-mccann-collection</t>
  </si>
  <si>
    <t>Unicly Chris McCann Collection</t>
  </si>
  <si>
    <t>UPUNK</t>
  </si>
  <si>
    <t>unicly-cryptopunks-collection</t>
  </si>
  <si>
    <t>Unicly CryptoPunks Collection</t>
  </si>
  <si>
    <t>UDOKI</t>
  </si>
  <si>
    <t>unicly-doki-doki-collection</t>
  </si>
  <si>
    <t>Unicly Doki Doki Collection</t>
  </si>
  <si>
    <t>UFEWO</t>
  </si>
  <si>
    <t>unicly-fewocious-collection</t>
  </si>
  <si>
    <t>Unicly Fewocious Collection</t>
  </si>
  <si>
    <t>UUNICLY</t>
  </si>
  <si>
    <t>unicly-genesis-collection</t>
  </si>
  <si>
    <t>Unicly Genesis Collection</t>
  </si>
  <si>
    <t>UGMC</t>
  </si>
  <si>
    <t>unicly-genesis-mooncats-collection</t>
  </si>
  <si>
    <t>Unicly Genesis MoonCats Collection</t>
  </si>
  <si>
    <t>UMOON</t>
  </si>
  <si>
    <t>unicly-mooncats-collection</t>
  </si>
  <si>
    <t>Unicly MoonCats Collection</t>
  </si>
  <si>
    <t>UAXIE</t>
  </si>
  <si>
    <t>unicly-mystic-axies-collection</t>
  </si>
  <si>
    <t>Unicly Mystic Axies Collection</t>
  </si>
  <si>
    <t>UWAIFU</t>
  </si>
  <si>
    <t>unicly-waifu-collection</t>
  </si>
  <si>
    <t>Unicly Waifu Collection</t>
  </si>
  <si>
    <t>unicorn-cake</t>
  </si>
  <si>
    <t>Unicorn Cake</t>
  </si>
  <si>
    <t>UNIM</t>
  </si>
  <si>
    <t>unicorn-milk</t>
  </si>
  <si>
    <t>Unicorn Milk</t>
  </si>
  <si>
    <t>unicorn-token</t>
  </si>
  <si>
    <t>UNCX</t>
  </si>
  <si>
    <t>unicrypt-2</t>
  </si>
  <si>
    <t>UniCrypt</t>
  </si>
  <si>
    <t>UNIDX</t>
  </si>
  <si>
    <t>unidex</t>
  </si>
  <si>
    <t>UniDex</t>
  </si>
  <si>
    <t>UDO</t>
  </si>
  <si>
    <t>unido-ep</t>
  </si>
  <si>
    <t>Unido</t>
  </si>
  <si>
    <t>UFARM</t>
  </si>
  <si>
    <t>unifarm</t>
  </si>
  <si>
    <t>UniFarm</t>
  </si>
  <si>
    <t>FEES</t>
  </si>
  <si>
    <t>unifees</t>
  </si>
  <si>
    <t>Unifees</t>
  </si>
  <si>
    <t>UNIFI</t>
  </si>
  <si>
    <t>unifi</t>
  </si>
  <si>
    <t>Covenants</t>
  </si>
  <si>
    <t>FUND</t>
  </si>
  <si>
    <t>unification</t>
  </si>
  <si>
    <t>Unification</t>
  </si>
  <si>
    <t>unifi-defi</t>
  </si>
  <si>
    <t>UNIFI DeFi</t>
  </si>
  <si>
    <t>UP</t>
  </si>
  <si>
    <t>unifi-protocol</t>
  </si>
  <si>
    <t>UniFi Protocol</t>
  </si>
  <si>
    <t>UNFI</t>
  </si>
  <si>
    <t>unifi-protocol-dao</t>
  </si>
  <si>
    <t>Unifi Protocol DAO</t>
  </si>
  <si>
    <t>NIF</t>
  </si>
  <si>
    <t>unifty</t>
  </si>
  <si>
    <t>Unifty</t>
  </si>
  <si>
    <t>IFUND</t>
  </si>
  <si>
    <t>unifund</t>
  </si>
  <si>
    <t>Unifund</t>
  </si>
  <si>
    <t>UKG</t>
  </si>
  <si>
    <t>unikoin-gold</t>
  </si>
  <si>
    <t>Unikoin Gold</t>
  </si>
  <si>
    <t>ULAB</t>
  </si>
  <si>
    <t>unilab-network</t>
  </si>
  <si>
    <t>Unilab</t>
  </si>
  <si>
    <t>LAYER</t>
  </si>
  <si>
    <t>unilayer</t>
  </si>
  <si>
    <t>UniLayer</t>
  </si>
  <si>
    <t>UNL</t>
  </si>
  <si>
    <t>unilock-network-2</t>
  </si>
  <si>
    <t>Unilock.Network</t>
  </si>
  <si>
    <t>UMAX</t>
  </si>
  <si>
    <t>unimaxpad</t>
  </si>
  <si>
    <t>Unimaxpad</t>
  </si>
  <si>
    <t>UMX</t>
  </si>
  <si>
    <t>unimex-network</t>
  </si>
  <si>
    <t>UniMex Network</t>
  </si>
  <si>
    <t>union-fair-coin</t>
  </si>
  <si>
    <t>Union Fair Coin</t>
  </si>
  <si>
    <t>UNN</t>
  </si>
  <si>
    <t>union-protocol-governance-token</t>
  </si>
  <si>
    <t>PILOT</t>
  </si>
  <si>
    <t>unipilot</t>
  </si>
  <si>
    <t>Unipilot</t>
  </si>
  <si>
    <t>unipower</t>
  </si>
  <si>
    <t>UniPower</t>
  </si>
  <si>
    <t>UNIQ</t>
  </si>
  <si>
    <t>uniqly</t>
  </si>
  <si>
    <t>Uniqly</t>
  </si>
  <si>
    <t>FANS</t>
  </si>
  <si>
    <t>unique-fans</t>
  </si>
  <si>
    <t>Unique Fans</t>
  </si>
  <si>
    <t>UNQM</t>
  </si>
  <si>
    <t>uniquemeta</t>
  </si>
  <si>
    <t>UniqueMeta</t>
  </si>
  <si>
    <t>unique-one</t>
  </si>
  <si>
    <t>Unique One</t>
  </si>
  <si>
    <t>FOTO</t>
  </si>
  <si>
    <t>uniqueone-photo</t>
  </si>
  <si>
    <t>UniqueOne Photo</t>
  </si>
  <si>
    <t>UNQT</t>
  </si>
  <si>
    <t>unique-utility-token</t>
  </si>
  <si>
    <t>Unique Utility</t>
  </si>
  <si>
    <t>UNR</t>
  </si>
  <si>
    <t>unirealchain</t>
  </si>
  <si>
    <t>Unirealchain</t>
  </si>
  <si>
    <t>SOCKS</t>
  </si>
  <si>
    <t>unisocks</t>
  </si>
  <si>
    <t>Unisocks</t>
  </si>
  <si>
    <t>UNISTAKE</t>
  </si>
  <si>
    <t>unistake</t>
  </si>
  <si>
    <t>Unistake</t>
  </si>
  <si>
    <t>uniswap</t>
  </si>
  <si>
    <t>USD</t>
  </si>
  <si>
    <t>uniswap-state-dollar</t>
  </si>
  <si>
    <t>unified Stable Dollar</t>
  </si>
  <si>
    <t>uniswap-wormhole</t>
  </si>
  <si>
    <t>Uniswap (Wormhole)</t>
  </si>
  <si>
    <t>UNITE</t>
  </si>
  <si>
    <t>unite</t>
  </si>
  <si>
    <t>Unite</t>
  </si>
  <si>
    <t>UTC</t>
  </si>
  <si>
    <t>unitech</t>
  </si>
  <si>
    <t>Unitech</t>
  </si>
  <si>
    <t>UBTC</t>
  </si>
  <si>
    <t>united-bitcoin</t>
  </si>
  <si>
    <t>United Bitcoin</t>
  </si>
  <si>
    <t>UNITS</t>
  </si>
  <si>
    <t>unitedcoins</t>
  </si>
  <si>
    <t>UnitedCoins</t>
  </si>
  <si>
    <t>unitedcrowd</t>
  </si>
  <si>
    <t>UnitedCrowd</t>
  </si>
  <si>
    <t>UTD</t>
  </si>
  <si>
    <t>united-dao</t>
  </si>
  <si>
    <t>United DAO</t>
  </si>
  <si>
    <t>UDOG</t>
  </si>
  <si>
    <t>united-doge-finance</t>
  </si>
  <si>
    <t>United Doge Finance</t>
  </si>
  <si>
    <t>UEC</t>
  </si>
  <si>
    <t>united-emirate</t>
  </si>
  <si>
    <t>United Emirate</t>
  </si>
  <si>
    <t>UEDC</t>
  </si>
  <si>
    <t>united-emirate-decentralized-coin</t>
  </si>
  <si>
    <t>United Emirate Decentralized Coin</t>
  </si>
  <si>
    <t>UTED</t>
  </si>
  <si>
    <t>united-token</t>
  </si>
  <si>
    <t>United</t>
  </si>
  <si>
    <t>UTT</t>
  </si>
  <si>
    <t>united-traders-token</t>
  </si>
  <si>
    <t>COL</t>
  </si>
  <si>
    <t>unit-protocol</t>
  </si>
  <si>
    <t>Unit Protocol</t>
  </si>
  <si>
    <t>unit-protocol-duck</t>
  </si>
  <si>
    <t>Unit Protocol New</t>
  </si>
  <si>
    <t>unitrade</t>
  </si>
  <si>
    <t>Unitrade</t>
  </si>
  <si>
    <t>UIS</t>
  </si>
  <si>
    <t>unitus</t>
  </si>
  <si>
    <t>Unitus</t>
  </si>
  <si>
    <t>UNITYCOM</t>
  </si>
  <si>
    <t>unitycom</t>
  </si>
  <si>
    <t>UnityCom</t>
  </si>
  <si>
    <t>UNT</t>
  </si>
  <si>
    <t>unity-network</t>
  </si>
  <si>
    <t>Unity Network</t>
  </si>
  <si>
    <t>UNITY</t>
  </si>
  <si>
    <t>unity-protocol</t>
  </si>
  <si>
    <t>Unity Protocol</t>
  </si>
  <si>
    <t>UV</t>
  </si>
  <si>
    <t>unityventures</t>
  </si>
  <si>
    <t>UnityVentures</t>
  </si>
  <si>
    <t>UNM</t>
  </si>
  <si>
    <t>unium</t>
  </si>
  <si>
    <t>UNIUM</t>
  </si>
  <si>
    <t>UBI</t>
  </si>
  <si>
    <t>universal-basic-income</t>
  </si>
  <si>
    <t>Universal Basic Income</t>
  </si>
  <si>
    <t>UCOIN</t>
  </si>
  <si>
    <t>universal-coin</t>
  </si>
  <si>
    <t>Universal Coin</t>
  </si>
  <si>
    <t>UNIT</t>
  </si>
  <si>
    <t>universal-currency</t>
  </si>
  <si>
    <t>Universal Currency</t>
  </si>
  <si>
    <t>UFLOKI</t>
  </si>
  <si>
    <t>universal-floki-coin</t>
  </si>
  <si>
    <t>Universal Floki Coin</t>
  </si>
  <si>
    <t>UPXAU</t>
  </si>
  <si>
    <t>universal-gold</t>
  </si>
  <si>
    <t>Universal Gold</t>
  </si>
  <si>
    <t>ULU</t>
  </si>
  <si>
    <t>universal-liquidity-union</t>
  </si>
  <si>
    <t>Universal Liquidity Union</t>
  </si>
  <si>
    <t>$UPL</t>
  </si>
  <si>
    <t>universal-pickle</t>
  </si>
  <si>
    <t>Universal Pickle</t>
  </si>
  <si>
    <t>UPT</t>
  </si>
  <si>
    <t>universal-protocol-token</t>
  </si>
  <si>
    <t>Universal Protocol Token</t>
  </si>
  <si>
    <t>UNIV</t>
  </si>
  <si>
    <t>universe-2</t>
  </si>
  <si>
    <t>Universe</t>
  </si>
  <si>
    <t>UNIS</t>
  </si>
  <si>
    <t>universe-coin</t>
  </si>
  <si>
    <t>Universe Coin</t>
  </si>
  <si>
    <t>UCG</t>
  </si>
  <si>
    <t>universe-crystal-gene</t>
  </si>
  <si>
    <t>Universe Crystal Gene</t>
  </si>
  <si>
    <t>universe-finance-token</t>
  </si>
  <si>
    <t>Universe Finance</t>
  </si>
  <si>
    <t>UIM</t>
  </si>
  <si>
    <t>universe-island</t>
  </si>
  <si>
    <t>Universe Island</t>
  </si>
  <si>
    <t>universe-token</t>
  </si>
  <si>
    <t>UNIVERSE Project</t>
  </si>
  <si>
    <t>UNIVERSE</t>
  </si>
  <si>
    <t>universe-token-2</t>
  </si>
  <si>
    <t>Universe Token</t>
  </si>
  <si>
    <t>XYZ</t>
  </si>
  <si>
    <t>universe-xyz</t>
  </si>
  <si>
    <t>Universe.XYZ</t>
  </si>
  <si>
    <t>UCH</t>
  </si>
  <si>
    <t>universidad-de-chile-fan-token</t>
  </si>
  <si>
    <t>Universidad de Chile Fan Token</t>
  </si>
  <si>
    <t>UNVX</t>
  </si>
  <si>
    <t>unive-x</t>
  </si>
  <si>
    <t>UNIVE X</t>
  </si>
  <si>
    <t>UWL</t>
  </si>
  <si>
    <t>uniwhales</t>
  </si>
  <si>
    <t>UniWhales</t>
  </si>
  <si>
    <t>UNW</t>
  </si>
  <si>
    <t>uniworld</t>
  </si>
  <si>
    <t>UniWorld</t>
  </si>
  <si>
    <t>UNIX</t>
  </si>
  <si>
    <t>unix</t>
  </si>
  <si>
    <t>UniX</t>
  </si>
  <si>
    <t>ZCX</t>
  </si>
  <si>
    <t>unizen</t>
  </si>
  <si>
    <t>Unizen</t>
  </si>
  <si>
    <t>unknown-fair-object</t>
  </si>
  <si>
    <t>Unknown Fair Object</t>
  </si>
  <si>
    <t>UFT</t>
  </si>
  <si>
    <t>unlend-finance</t>
  </si>
  <si>
    <t>UniLend Finance</t>
  </si>
  <si>
    <t>UIP</t>
  </si>
  <si>
    <t>unlimitedip</t>
  </si>
  <si>
    <t>UnlimitedIP</t>
  </si>
  <si>
    <t>UNLOCK</t>
  </si>
  <si>
    <t>unlock</t>
  </si>
  <si>
    <t>UDT</t>
  </si>
  <si>
    <t>unlock-protocol</t>
  </si>
  <si>
    <t>Unlock Protocol</t>
  </si>
  <si>
    <t>MARSH</t>
  </si>
  <si>
    <t>unmarshal</t>
  </si>
  <si>
    <t>Unmarshal</t>
  </si>
  <si>
    <t>UNO</t>
  </si>
  <si>
    <t>unobtanium</t>
  </si>
  <si>
    <t>Unobtanium</t>
  </si>
  <si>
    <t>uno-re</t>
  </si>
  <si>
    <t>Uno Re</t>
  </si>
  <si>
    <t>UNQ</t>
  </si>
  <si>
    <t>unq</t>
  </si>
  <si>
    <t>Unique Venture clubs</t>
  </si>
  <si>
    <t>UGT</t>
  </si>
  <si>
    <t>unreal-finance</t>
  </si>
  <si>
    <t>Unreal Finance</t>
  </si>
  <si>
    <t>USF</t>
  </si>
  <si>
    <t>unslashed-finance</t>
  </si>
  <si>
    <t>Unslashed Finance</t>
  </si>
  <si>
    <t>unus-dao</t>
  </si>
  <si>
    <t>Unus Dao</t>
  </si>
  <si>
    <t>UNV</t>
  </si>
  <si>
    <t>unvest</t>
  </si>
  <si>
    <t>Unvest</t>
  </si>
  <si>
    <t>UPBNB</t>
  </si>
  <si>
    <t>upbnb</t>
  </si>
  <si>
    <t>upBNB</t>
  </si>
  <si>
    <t>UBXT</t>
  </si>
  <si>
    <t>upbots</t>
  </si>
  <si>
    <t>UpBots</t>
  </si>
  <si>
    <t>upbots-wormhole</t>
  </si>
  <si>
    <t>UpBots (Wormhole)</t>
  </si>
  <si>
    <t>UPCOIN</t>
  </si>
  <si>
    <t>upcoin</t>
  </si>
  <si>
    <t>Upcoin</t>
  </si>
  <si>
    <t>updefi</t>
  </si>
  <si>
    <t>UpDeFi</t>
  </si>
  <si>
    <t>UPDOG</t>
  </si>
  <si>
    <t>updog</t>
  </si>
  <si>
    <t>UpDog</t>
  </si>
  <si>
    <t>UPS</t>
  </si>
  <si>
    <t>upfi-network</t>
  </si>
  <si>
    <t>UPFI Network</t>
  </si>
  <si>
    <t>UPF</t>
  </si>
  <si>
    <t>upfinity</t>
  </si>
  <si>
    <t>UpFinity</t>
  </si>
  <si>
    <t>UPR</t>
  </si>
  <si>
    <t>upfire</t>
  </si>
  <si>
    <t>Upfire</t>
  </si>
  <si>
    <t>UFR</t>
  </si>
  <si>
    <t>upfiring</t>
  </si>
  <si>
    <t>Upfiring</t>
  </si>
  <si>
    <t>upfund</t>
  </si>
  <si>
    <t>UPFUND</t>
  </si>
  <si>
    <t>UPX</t>
  </si>
  <si>
    <t>uplexa</t>
  </si>
  <si>
    <t>uPlexa</t>
  </si>
  <si>
    <t>LIFT</t>
  </si>
  <si>
    <t>uplift</t>
  </si>
  <si>
    <t>Uplift</t>
  </si>
  <si>
    <t>UPLINK</t>
  </si>
  <si>
    <t>uplink</t>
  </si>
  <si>
    <t>UpLink</t>
  </si>
  <si>
    <t>UPO</t>
  </si>
  <si>
    <t>uponly-token</t>
  </si>
  <si>
    <t>USDU</t>
  </si>
  <si>
    <t>upper-dollar</t>
  </si>
  <si>
    <t>Upper Dollar</t>
  </si>
  <si>
    <t>EURU</t>
  </si>
  <si>
    <t>upper-euro</t>
  </si>
  <si>
    <t>Upper Euro</t>
  </si>
  <si>
    <t>GBPU</t>
  </si>
  <si>
    <t>upper-pound</t>
  </si>
  <si>
    <t>Upper Pound</t>
  </si>
  <si>
    <t>CHFU</t>
  </si>
  <si>
    <t>upper-swiss-franc</t>
  </si>
  <si>
    <t>Upper Swiss Franc</t>
  </si>
  <si>
    <t>UPPS</t>
  </si>
  <si>
    <t>uppsme</t>
  </si>
  <si>
    <t>UppsMe</t>
  </si>
  <si>
    <t>UPSHIB</t>
  </si>
  <si>
    <t>upshib</t>
  </si>
  <si>
    <t>upShib</t>
  </si>
  <si>
    <t>uptoken</t>
  </si>
  <si>
    <t>UpToken</t>
  </si>
  <si>
    <t>up-token</t>
  </si>
  <si>
    <t>UP Token</t>
  </si>
  <si>
    <t>TREND</t>
  </si>
  <si>
    <t>uptrend</t>
  </si>
  <si>
    <t>UpTrend</t>
  </si>
  <si>
    <t>UQC</t>
  </si>
  <si>
    <t>uquid-coin</t>
  </si>
  <si>
    <t>Uquid Coin</t>
  </si>
  <si>
    <t>URX</t>
  </si>
  <si>
    <t>uraniumx</t>
  </si>
  <si>
    <t>UraniumX</t>
  </si>
  <si>
    <t>URAC</t>
  </si>
  <si>
    <t>uranus</t>
  </si>
  <si>
    <t>Uranus</t>
  </si>
  <si>
    <t>URQA</t>
  </si>
  <si>
    <t>ureeqa</t>
  </si>
  <si>
    <t>UREEQA</t>
  </si>
  <si>
    <t>URG</t>
  </si>
  <si>
    <t>urgaming</t>
  </si>
  <si>
    <t>UrGaming</t>
  </si>
  <si>
    <t>URG-U</t>
  </si>
  <si>
    <t>urg-university</t>
  </si>
  <si>
    <t>URG University</t>
  </si>
  <si>
    <t>URUB</t>
  </si>
  <si>
    <t>urubit</t>
  </si>
  <si>
    <t>Urubit</t>
  </si>
  <si>
    <t>URUS</t>
  </si>
  <si>
    <t>urus-token</t>
  </si>
  <si>
    <t>Aurox</t>
  </si>
  <si>
    <t>USDB</t>
  </si>
  <si>
    <t>usd-balance</t>
  </si>
  <si>
    <t>USD Balance</t>
  </si>
  <si>
    <t>usd-coin</t>
  </si>
  <si>
    <t>usd-coin-avalanche-bridged-usdc-e</t>
  </si>
  <si>
    <t>USD Coin Avalanche Bridged (USDC.e)</t>
  </si>
  <si>
    <t>CEUSDC</t>
  </si>
  <si>
    <t>usd-coin-celer</t>
  </si>
  <si>
    <t>USD Coin - Celer</t>
  </si>
  <si>
    <t>NOMADUSDC</t>
  </si>
  <si>
    <t>usd-coin-nomad</t>
  </si>
  <si>
    <t>USD Coin - Nomad</t>
  </si>
  <si>
    <t>USDCPO</t>
  </si>
  <si>
    <t>usd-coin-pos-wormhole</t>
  </si>
  <si>
    <t>USD Coin (PoS) (Wormhole)</t>
  </si>
  <si>
    <t>USDCSO</t>
  </si>
  <si>
    <t>usd-coin-wormhole</t>
  </si>
  <si>
    <t>USD Coin (Wormhole)</t>
  </si>
  <si>
    <t>USDCAV</t>
  </si>
  <si>
    <t>usd-coin-wormhole-from-avalanche</t>
  </si>
  <si>
    <t>USD Coin (Wormhole from Avalanche)</t>
  </si>
  <si>
    <t>USDCBS</t>
  </si>
  <si>
    <t>usd-coin-wormhole-from-bsc</t>
  </si>
  <si>
    <t>USD Coin (Wormhole from BSC)</t>
  </si>
  <si>
    <t>USDCET</t>
  </si>
  <si>
    <t>usd-coin-wormhole-from-ethereum</t>
  </si>
  <si>
    <t>USD Coin (Wormhole from Ethereum)</t>
  </si>
  <si>
    <t>USDD</t>
  </si>
  <si>
    <t>usdd</t>
  </si>
  <si>
    <t>USDG</t>
  </si>
  <si>
    <t>usd-gambit</t>
  </si>
  <si>
    <t>USD Gambit</t>
  </si>
  <si>
    <t>USDH</t>
  </si>
  <si>
    <t>usdh</t>
  </si>
  <si>
    <t>USDK</t>
  </si>
  <si>
    <t>usdk</t>
  </si>
  <si>
    <t>usdk-wormhole</t>
  </si>
  <si>
    <t>USDK (Wormhole)</t>
  </si>
  <si>
    <t>USDM</t>
  </si>
  <si>
    <t>usd-mars</t>
  </si>
  <si>
    <t>USD Mars</t>
  </si>
  <si>
    <t>USDO</t>
  </si>
  <si>
    <t>usd-open-dollar</t>
  </si>
  <si>
    <t>USD Open Dollar</t>
  </si>
  <si>
    <t>usdp</t>
  </si>
  <si>
    <t>USDP Stablecoin</t>
  </si>
  <si>
    <t>USDQ</t>
  </si>
  <si>
    <t>usdq</t>
  </si>
  <si>
    <t>USDR</t>
  </si>
  <si>
    <t>usd-reserve</t>
  </si>
  <si>
    <t>USD Reserve</t>
  </si>
  <si>
    <t>USDSP</t>
  </si>
  <si>
    <t>usd-sports</t>
  </si>
  <si>
    <t>USD Sports</t>
  </si>
  <si>
    <t>USDV</t>
  </si>
  <si>
    <t>usdv</t>
  </si>
  <si>
    <t>USD Velero Stablecoin</t>
  </si>
  <si>
    <t>usdx</t>
  </si>
  <si>
    <t>usdx-stablecoin</t>
  </si>
  <si>
    <t>USDx Stablecoin</t>
  </si>
  <si>
    <t>USDZ</t>
  </si>
  <si>
    <t>usd-zee</t>
  </si>
  <si>
    <t>USD ZEE</t>
  </si>
  <si>
    <t>USE</t>
  </si>
  <si>
    <t>usechain</t>
  </si>
  <si>
    <t>Usechain</t>
  </si>
  <si>
    <t>USELESS</t>
  </si>
  <si>
    <t>useless</t>
  </si>
  <si>
    <t>Useless [OLD]</t>
  </si>
  <si>
    <t>useless-2</t>
  </si>
  <si>
    <t>Useless</t>
  </si>
  <si>
    <t>USG</t>
  </si>
  <si>
    <t>usgold</t>
  </si>
  <si>
    <t>USGold</t>
  </si>
  <si>
    <t>USHARE</t>
  </si>
  <si>
    <t>ushare</t>
  </si>
  <si>
    <t>USN</t>
  </si>
  <si>
    <t>usn</t>
  </si>
  <si>
    <t>UNC</t>
  </si>
  <si>
    <t>utility-nft-coin</t>
  </si>
  <si>
    <t>Utility NFT Coin</t>
  </si>
  <si>
    <t>UTIP</t>
  </si>
  <si>
    <t>utip</t>
  </si>
  <si>
    <t>uTip</t>
  </si>
  <si>
    <t>utopia</t>
  </si>
  <si>
    <t>Crypton</t>
  </si>
  <si>
    <t>TOPIA</t>
  </si>
  <si>
    <t>utopia-2</t>
  </si>
  <si>
    <t>Utopia</t>
  </si>
  <si>
    <t>UOP</t>
  </si>
  <si>
    <t>utopia-genesis-foundation</t>
  </si>
  <si>
    <t>Utopia Genesis Foundation</t>
  </si>
  <si>
    <t>UTO</t>
  </si>
  <si>
    <t>utopia-token</t>
  </si>
  <si>
    <t>Secret Skellies Society Utopia</t>
  </si>
  <si>
    <t>UTK</t>
  </si>
  <si>
    <t>utrust</t>
  </si>
  <si>
    <t>Utrust</t>
  </si>
  <si>
    <t>UTU</t>
  </si>
  <si>
    <t>utu-coin</t>
  </si>
  <si>
    <t>UTU Coin</t>
  </si>
  <si>
    <t>UWU</t>
  </si>
  <si>
    <t>uwu-vault-nftx</t>
  </si>
  <si>
    <t>UWU Vault (NFTX)</t>
  </si>
  <si>
    <t>UXP</t>
  </si>
  <si>
    <t>uxd-protocol-token</t>
  </si>
  <si>
    <t>UXD Protocol</t>
  </si>
  <si>
    <t>UXD</t>
  </si>
  <si>
    <t>uxd-stablecoin</t>
  </si>
  <si>
    <t>UXD Stablecoin</t>
  </si>
  <si>
    <t>UZUMAKI</t>
  </si>
  <si>
    <t>uzumaki-inu</t>
  </si>
  <si>
    <t>Uzumaki Inu</t>
  </si>
  <si>
    <t>ZYTH</t>
  </si>
  <si>
    <t>uzyth</t>
  </si>
  <si>
    <t>Uzyth</t>
  </si>
  <si>
    <t>VSHARE</t>
  </si>
  <si>
    <t>v3s-share</t>
  </si>
  <si>
    <t>V3S Share</t>
  </si>
  <si>
    <t>VAB</t>
  </si>
  <si>
    <t>vabble</t>
  </si>
  <si>
    <t>Vabble</t>
  </si>
  <si>
    <t>VACAY</t>
  </si>
  <si>
    <t>vacay</t>
  </si>
  <si>
    <t>Vacay</t>
  </si>
  <si>
    <t>VADER</t>
  </si>
  <si>
    <t>vader-protocol</t>
  </si>
  <si>
    <t>Vader Protocol</t>
  </si>
  <si>
    <t>VGO</t>
  </si>
  <si>
    <t>vagabond</t>
  </si>
  <si>
    <t>Vagabond</t>
  </si>
  <si>
    <t>VAI</t>
  </si>
  <si>
    <t>vai</t>
  </si>
  <si>
    <t>Vai</t>
  </si>
  <si>
    <t>vaiot</t>
  </si>
  <si>
    <t>Vaiot</t>
  </si>
  <si>
    <t>VALAS</t>
  </si>
  <si>
    <t>valas-finance</t>
  </si>
  <si>
    <t>Valas Finance</t>
  </si>
  <si>
    <t>VCF</t>
  </si>
  <si>
    <t>valencia-cf-fan-token</t>
  </si>
  <si>
    <t>Valencia CF Fan Token</t>
  </si>
  <si>
    <t>FLOV</t>
  </si>
  <si>
    <t>valentine-floki</t>
  </si>
  <si>
    <t>Valentine Floki</t>
  </si>
  <si>
    <t>VLD</t>
  </si>
  <si>
    <t>valid</t>
  </si>
  <si>
    <t>Vetri</t>
  </si>
  <si>
    <t>VKR</t>
  </si>
  <si>
    <t>valkyrie-protocol</t>
  </si>
  <si>
    <t>Valkyrie Protocol</t>
  </si>
  <si>
    <t>VALK</t>
  </si>
  <si>
    <t>valkyrio-token</t>
  </si>
  <si>
    <t>Valkyrio</t>
  </si>
  <si>
    <t>VS</t>
  </si>
  <si>
    <t>valleyswap</t>
  </si>
  <si>
    <t>ValleySwap</t>
  </si>
  <si>
    <t>VBIT</t>
  </si>
  <si>
    <t>valobit</t>
  </si>
  <si>
    <t>VALOBIT</t>
  </si>
  <si>
    <t>V$</t>
  </si>
  <si>
    <t>valor</t>
  </si>
  <si>
    <t>Valor</t>
  </si>
  <si>
    <t>valorfoundation</t>
  </si>
  <si>
    <t>ValorFoundation</t>
  </si>
  <si>
    <t>VFT</t>
  </si>
  <si>
    <t>value-finance</t>
  </si>
  <si>
    <t>Value Finance</t>
  </si>
  <si>
    <t>VALUE</t>
  </si>
  <si>
    <t>value-liquidity</t>
  </si>
  <si>
    <t>Value DeFi</t>
  </si>
  <si>
    <t>VLU</t>
  </si>
  <si>
    <t>valuto</t>
  </si>
  <si>
    <t>Valuto</t>
  </si>
  <si>
    <t>VANCAT</t>
  </si>
  <si>
    <t>vancat</t>
  </si>
  <si>
    <t>Vancat [OLD]</t>
  </si>
  <si>
    <t>vancat-2</t>
  </si>
  <si>
    <t>Vancat</t>
  </si>
  <si>
    <t>VANCII</t>
  </si>
  <si>
    <t>vanci-finance</t>
  </si>
  <si>
    <t>Vanci Finance</t>
  </si>
  <si>
    <t>DVNQ</t>
  </si>
  <si>
    <t>vanguard-real-estate-tokenized-stock-defichain</t>
  </si>
  <si>
    <t>Vanguard Real Estate Tokenized Stock Defichain</t>
  </si>
  <si>
    <t>DVOO</t>
  </si>
  <si>
    <t>vanguard-sp-500-etf-tokenized-stock-defichain</t>
  </si>
  <si>
    <t>Vanguard S&amp;P 500 ETF Tokenized Stock Defichain</t>
  </si>
  <si>
    <t>VNL</t>
  </si>
  <si>
    <t>vanilla</t>
  </si>
  <si>
    <t>Vanilla</t>
  </si>
  <si>
    <t>VNLA</t>
  </si>
  <si>
    <t>vanilla-network</t>
  </si>
  <si>
    <t>Vanilla Network</t>
  </si>
  <si>
    <t>VNY</t>
  </si>
  <si>
    <t>vanity</t>
  </si>
  <si>
    <t>Vanity</t>
  </si>
  <si>
    <t>VKT</t>
  </si>
  <si>
    <t>vankia-chain</t>
  </si>
  <si>
    <t>Vankia Chain</t>
  </si>
  <si>
    <t>VAN</t>
  </si>
  <si>
    <t>vanspor-token</t>
  </si>
  <si>
    <t>Vanspor Token</t>
  </si>
  <si>
    <t>VTAR</t>
  </si>
  <si>
    <t>vantaur</t>
  </si>
  <si>
    <t>Vantaur</t>
  </si>
  <si>
    <t>VANY</t>
  </si>
  <si>
    <t>vanywhere</t>
  </si>
  <si>
    <t>Vanywhere</t>
  </si>
  <si>
    <t>VPRC</t>
  </si>
  <si>
    <t>vaperscoin</t>
  </si>
  <si>
    <t>VapersCoin</t>
  </si>
  <si>
    <t>VPND</t>
  </si>
  <si>
    <t>vapornodes</t>
  </si>
  <si>
    <t>VaporNodes</t>
  </si>
  <si>
    <t>VRN</t>
  </si>
  <si>
    <t>varen</t>
  </si>
  <si>
    <t>Varen</t>
  </si>
  <si>
    <t>VAULT</t>
  </si>
  <si>
    <t>vault</t>
  </si>
  <si>
    <t>vaultdefi</t>
  </si>
  <si>
    <t>Vault-X</t>
  </si>
  <si>
    <t>VHC</t>
  </si>
  <si>
    <t>vault-hill-city</t>
  </si>
  <si>
    <t>Vault Hill City</t>
  </si>
  <si>
    <t>VAULT-S</t>
  </si>
  <si>
    <t>vault-s</t>
  </si>
  <si>
    <t>Vault-S</t>
  </si>
  <si>
    <t>VLTY</t>
  </si>
  <si>
    <t>vaulty-token</t>
  </si>
  <si>
    <t>Vaulty</t>
  </si>
  <si>
    <t>VBSWAP</t>
  </si>
  <si>
    <t>vbswap</t>
  </si>
  <si>
    <t>vBSWAP</t>
  </si>
  <si>
    <t>XVC</t>
  </si>
  <si>
    <t>vcash</t>
  </si>
  <si>
    <t>Vcash</t>
  </si>
  <si>
    <t>VCG</t>
  </si>
  <si>
    <t>vcgamers</t>
  </si>
  <si>
    <t>VCGamers</t>
  </si>
  <si>
    <t>vechain</t>
  </si>
  <si>
    <t>VECO</t>
  </si>
  <si>
    <t>veco</t>
  </si>
  <si>
    <t>Veco</t>
  </si>
  <si>
    <t>YVE-CRVDAO</t>
  </si>
  <si>
    <t>vecrv-dao-yvault</t>
  </si>
  <si>
    <t>veCRV-DAO yVault</t>
  </si>
  <si>
    <t>VTX</t>
  </si>
  <si>
    <t>vector-finance</t>
  </si>
  <si>
    <t>Vector Finance</t>
  </si>
  <si>
    <t>VECT</t>
  </si>
  <si>
    <t>vectorium</t>
  </si>
  <si>
    <t>Vectorium</t>
  </si>
  <si>
    <t>VXV</t>
  </si>
  <si>
    <t>vectorspace</t>
  </si>
  <si>
    <t>Vectorspace AI</t>
  </si>
  <si>
    <t>WEVE</t>
  </si>
  <si>
    <t>vedao</t>
  </si>
  <si>
    <t>veDAO</t>
  </si>
  <si>
    <t>VEED</t>
  </si>
  <si>
    <t>veed</t>
  </si>
  <si>
    <t>vee-finance</t>
  </si>
  <si>
    <t>Vee Finance</t>
  </si>
  <si>
    <t>SLBZ</t>
  </si>
  <si>
    <t>veelancing</t>
  </si>
  <si>
    <t>Veelancing</t>
  </si>
  <si>
    <t>VEF</t>
  </si>
  <si>
    <t>vefi</t>
  </si>
  <si>
    <t>Vefi</t>
  </si>
  <si>
    <t>GRNC</t>
  </si>
  <si>
    <t>vegannation-greencoin</t>
  </si>
  <si>
    <t>VeganNation GreenCoin</t>
  </si>
  <si>
    <t>VEGA</t>
  </si>
  <si>
    <t>vega-protocol</t>
  </si>
  <si>
    <t>Vega Protocol</t>
  </si>
  <si>
    <t>VGW</t>
  </si>
  <si>
    <t>vegawallet-token</t>
  </si>
  <si>
    <t>VegaWallet Token</t>
  </si>
  <si>
    <t>VEGI</t>
  </si>
  <si>
    <t>veggiecoin</t>
  </si>
  <si>
    <t>VeggieCoin</t>
  </si>
  <si>
    <t>VEIL</t>
  </si>
  <si>
    <t>veil</t>
  </si>
  <si>
    <t>VEKTOR</t>
  </si>
  <si>
    <t>vektor</t>
  </si>
  <si>
    <t>VLX</t>
  </si>
  <si>
    <t>velas</t>
  </si>
  <si>
    <t>Velas</t>
  </si>
  <si>
    <t>VLXPAD</t>
  </si>
  <si>
    <t>velaspad</t>
  </si>
  <si>
    <t>VelasPad</t>
  </si>
  <si>
    <t>VDORA</t>
  </si>
  <si>
    <t>veldorabsc</t>
  </si>
  <si>
    <t>VeldoraBSC</t>
  </si>
  <si>
    <t>VDGT</t>
  </si>
  <si>
    <t>velerodao</t>
  </si>
  <si>
    <t>VeleroDAO</t>
  </si>
  <si>
    <t>VLS</t>
  </si>
  <si>
    <t>veles</t>
  </si>
  <si>
    <t>Veles</t>
  </si>
  <si>
    <t>velhalla</t>
  </si>
  <si>
    <t>Velhalla</t>
  </si>
  <si>
    <t>VELO</t>
  </si>
  <si>
    <t>velo</t>
  </si>
  <si>
    <t>Velo</t>
  </si>
  <si>
    <t>VEX</t>
  </si>
  <si>
    <t>velorex</t>
  </si>
  <si>
    <t>Velorex</t>
  </si>
  <si>
    <t>VEMP</t>
  </si>
  <si>
    <t>vempire-ddao</t>
  </si>
  <si>
    <t>vEmpire DDAO</t>
  </si>
  <si>
    <t>VNDT</t>
  </si>
  <si>
    <t>vendit</t>
  </si>
  <si>
    <t>Vendit</t>
  </si>
  <si>
    <t>VENI</t>
  </si>
  <si>
    <t>venice</t>
  </si>
  <si>
    <t>Venice</t>
  </si>
  <si>
    <t>VJC</t>
  </si>
  <si>
    <t>venjocoin</t>
  </si>
  <si>
    <t>VENJOCOIN</t>
  </si>
  <si>
    <t>VNX</t>
  </si>
  <si>
    <t>venox</t>
  </si>
  <si>
    <t>Venox</t>
  </si>
  <si>
    <t>VENT</t>
  </si>
  <si>
    <t>vent-finance</t>
  </si>
  <si>
    <t>Vent Finance</t>
  </si>
  <si>
    <t>VENTION</t>
  </si>
  <si>
    <t>vention</t>
  </si>
  <si>
    <t>Vention</t>
  </si>
  <si>
    <t>VST</t>
  </si>
  <si>
    <t>ventiswap</t>
  </si>
  <si>
    <t>VentiSwap</t>
  </si>
  <si>
    <t>XVS</t>
  </si>
  <si>
    <t>venus</t>
  </si>
  <si>
    <t>Venus</t>
  </si>
  <si>
    <t>VBCH</t>
  </si>
  <si>
    <t>venus-bch</t>
  </si>
  <si>
    <t>Venus BCH</t>
  </si>
  <si>
    <t>VBETH</t>
  </si>
  <si>
    <t>venus-beth</t>
  </si>
  <si>
    <t>Venus BETH</t>
  </si>
  <si>
    <t>VBTC</t>
  </si>
  <si>
    <t>venus-btc</t>
  </si>
  <si>
    <t>Venus BTC</t>
  </si>
  <si>
    <t>VBUSD</t>
  </si>
  <si>
    <t>venus-busd</t>
  </si>
  <si>
    <t>Venus BUSD</t>
  </si>
  <si>
    <t>VDAI</t>
  </si>
  <si>
    <t>venus-dai</t>
  </si>
  <si>
    <t>Venus DAI</t>
  </si>
  <si>
    <t>VDOGE</t>
  </si>
  <si>
    <t>venus-doge</t>
  </si>
  <si>
    <t>Venus DOGE</t>
  </si>
  <si>
    <t>VDOT</t>
  </si>
  <si>
    <t>venus-dot</t>
  </si>
  <si>
    <t>Venus DOT</t>
  </si>
  <si>
    <t>VETH</t>
  </si>
  <si>
    <t>venus-eth</t>
  </si>
  <si>
    <t>Venus ETH</t>
  </si>
  <si>
    <t>VFIL</t>
  </si>
  <si>
    <t>venus-fil</t>
  </si>
  <si>
    <t>Venus FIL</t>
  </si>
  <si>
    <t>VLINK</t>
  </si>
  <si>
    <t>venus-link</t>
  </si>
  <si>
    <t>Venus LINK</t>
  </si>
  <si>
    <t>VLTC</t>
  </si>
  <si>
    <t>venus-ltc</t>
  </si>
  <si>
    <t>Venus LTC</t>
  </si>
  <si>
    <t>VRT</t>
  </si>
  <si>
    <t>venus-reward-token</t>
  </si>
  <si>
    <t>Venus Reward</t>
  </si>
  <si>
    <t>VSXP</t>
  </si>
  <si>
    <t>venus-sxp</t>
  </si>
  <si>
    <t>Venus SXP</t>
  </si>
  <si>
    <t>VUSDC</t>
  </si>
  <si>
    <t>venus-usdc</t>
  </si>
  <si>
    <t>Venus USDC</t>
  </si>
  <si>
    <t>VUSDT</t>
  </si>
  <si>
    <t>venus-usdt</t>
  </si>
  <si>
    <t>Venus USDT</t>
  </si>
  <si>
    <t>VXRP</t>
  </si>
  <si>
    <t>venus-xrp</t>
  </si>
  <si>
    <t>Venus XRP</t>
  </si>
  <si>
    <t>VXVS</t>
  </si>
  <si>
    <t>venus-xvs</t>
  </si>
  <si>
    <t>Venus XVS</t>
  </si>
  <si>
    <t>VERA</t>
  </si>
  <si>
    <t>vera</t>
  </si>
  <si>
    <t>Vera</t>
  </si>
  <si>
    <t>VCCO</t>
  </si>
  <si>
    <t>vera-cruz-coin</t>
  </si>
  <si>
    <t>Vera Cruz Coin</t>
  </si>
  <si>
    <t>vera-exchange</t>
  </si>
  <si>
    <t>VERA Exchange</t>
  </si>
  <si>
    <t>VRO</t>
  </si>
  <si>
    <t>veraone</t>
  </si>
  <si>
    <t>VeraOne</t>
  </si>
  <si>
    <t>VRA</t>
  </si>
  <si>
    <t>verasity</t>
  </si>
  <si>
    <t>Verasity</t>
  </si>
  <si>
    <t>VRAP</t>
  </si>
  <si>
    <t>veraswap</t>
  </si>
  <si>
    <t>VeraSwap</t>
  </si>
  <si>
    <t>XVG</t>
  </si>
  <si>
    <t>verge</t>
  </si>
  <si>
    <t>Verge</t>
  </si>
  <si>
    <t>VBK</t>
  </si>
  <si>
    <t>veriblock</t>
  </si>
  <si>
    <t>VeriBlock</t>
  </si>
  <si>
    <t>VRC</t>
  </si>
  <si>
    <t>vericoin</t>
  </si>
  <si>
    <t>VeriCoin</t>
  </si>
  <si>
    <t>VDG</t>
  </si>
  <si>
    <t>veridocglobal</t>
  </si>
  <si>
    <t>VeriDocGlobal</t>
  </si>
  <si>
    <t>CRED</t>
  </si>
  <si>
    <t>verify</t>
  </si>
  <si>
    <t>Verify</t>
  </si>
  <si>
    <t>VRFY</t>
  </si>
  <si>
    <t>verify-token</t>
  </si>
  <si>
    <t>Verify VRFY</t>
  </si>
  <si>
    <t>VSF</t>
  </si>
  <si>
    <t>verisafe</t>
  </si>
  <si>
    <t>VeriSafe</t>
  </si>
  <si>
    <t>VERI</t>
  </si>
  <si>
    <t>veritaseum</t>
  </si>
  <si>
    <t>Veritaseum</t>
  </si>
  <si>
    <t>VERO</t>
  </si>
  <si>
    <t>vero-farm</t>
  </si>
  <si>
    <t>Vero Farm</t>
  </si>
  <si>
    <t>VRX</t>
  </si>
  <si>
    <t>verox</t>
  </si>
  <si>
    <t>Verox</t>
  </si>
  <si>
    <t>VERSA</t>
  </si>
  <si>
    <t>versa</t>
  </si>
  <si>
    <t>Versa</t>
  </si>
  <si>
    <t>versagames</t>
  </si>
  <si>
    <t>VersaGames</t>
  </si>
  <si>
    <t>VER</t>
  </si>
  <si>
    <t>versal-token</t>
  </si>
  <si>
    <t>VersalNFT</t>
  </si>
  <si>
    <t>verse</t>
  </si>
  <si>
    <t>Verse</t>
  </si>
  <si>
    <t>V</t>
  </si>
  <si>
    <t>version</t>
  </si>
  <si>
    <t>Version</t>
  </si>
  <si>
    <t>VSO</t>
  </si>
  <si>
    <t>verso</t>
  </si>
  <si>
    <t>Verso</t>
  </si>
  <si>
    <t>VVT</t>
  </si>
  <si>
    <t>versoview</t>
  </si>
  <si>
    <t>VersoView</t>
  </si>
  <si>
    <t>VERSUS</t>
  </si>
  <si>
    <t>versus-farm</t>
  </si>
  <si>
    <t>Versus Farm</t>
  </si>
  <si>
    <t>VTC</t>
  </si>
  <si>
    <t>vertcoin</t>
  </si>
  <si>
    <t>Vertcoin</t>
  </si>
  <si>
    <t>VRSC</t>
  </si>
  <si>
    <t>verus-coin</t>
  </si>
  <si>
    <t>Verus Coin</t>
  </si>
  <si>
    <t>VERVE</t>
  </si>
  <si>
    <t>verve</t>
  </si>
  <si>
    <t>Verve</t>
  </si>
  <si>
    <t>VSP</t>
  </si>
  <si>
    <t>vesper-finance</t>
  </si>
  <si>
    <t>Vesper Finance</t>
  </si>
  <si>
    <t>VUSD</t>
  </si>
  <si>
    <t>vesper-vdollar</t>
  </si>
  <si>
    <t>Vesper V-Dollar</t>
  </si>
  <si>
    <t>VSQ</t>
  </si>
  <si>
    <t>vesq</t>
  </si>
  <si>
    <t>VESQ</t>
  </si>
  <si>
    <t>VSTA</t>
  </si>
  <si>
    <t>vesta-finance</t>
  </si>
  <si>
    <t>Vesta Finance</t>
  </si>
  <si>
    <t>VTT</t>
  </si>
  <si>
    <t>vestallytoken</t>
  </si>
  <si>
    <t>VesTally</t>
  </si>
  <si>
    <t>vesta-stable</t>
  </si>
  <si>
    <t>Vesta Stable</t>
  </si>
  <si>
    <t>vestchain</t>
  </si>
  <si>
    <t>VestChain</t>
  </si>
  <si>
    <t>VESOLAR</t>
  </si>
  <si>
    <t>vested-solarbeam</t>
  </si>
  <si>
    <t>Vested SolarBeam</t>
  </si>
  <si>
    <t>vether</t>
  </si>
  <si>
    <t>Vether</t>
  </si>
  <si>
    <t>VTHO</t>
  </si>
  <si>
    <t>vethor-token</t>
  </si>
  <si>
    <t>VeThor Token</t>
  </si>
  <si>
    <t>VETTER</t>
  </si>
  <si>
    <t>vetter-token</t>
  </si>
  <si>
    <t>Vetter</t>
  </si>
  <si>
    <t>VEUSD</t>
  </si>
  <si>
    <t>veusd</t>
  </si>
  <si>
    <t>VeUSD</t>
  </si>
  <si>
    <t>vexanium</t>
  </si>
  <si>
    <t>Vexanium</t>
  </si>
  <si>
    <t>vexchange</t>
  </si>
  <si>
    <t>Vexchange</t>
  </si>
  <si>
    <t>VFOX</t>
  </si>
  <si>
    <t>vfox</t>
  </si>
  <si>
    <t>VIA</t>
  </si>
  <si>
    <t>viacoin</t>
  </si>
  <si>
    <t>Viacoin</t>
  </si>
  <si>
    <t>VIAGRA</t>
  </si>
  <si>
    <t>viagra-token</t>
  </si>
  <si>
    <t>Viagra</t>
  </si>
  <si>
    <t>VIBE</t>
  </si>
  <si>
    <t>vibe</t>
  </si>
  <si>
    <t>VIB</t>
  </si>
  <si>
    <t>viberate</t>
  </si>
  <si>
    <t>Viberate</t>
  </si>
  <si>
    <t>VIBLO</t>
  </si>
  <si>
    <t>viblo</t>
  </si>
  <si>
    <t>VBN</t>
  </si>
  <si>
    <t>vibranium</t>
  </si>
  <si>
    <t>Vibranium</t>
  </si>
  <si>
    <t>VICA</t>
  </si>
  <si>
    <t>vica-token</t>
  </si>
  <si>
    <t>ViCA</t>
  </si>
  <si>
    <t>VICE</t>
  </si>
  <si>
    <t>vicewrld</t>
  </si>
  <si>
    <t>Vicewrld</t>
  </si>
  <si>
    <t>VIM</t>
  </si>
  <si>
    <t>vicmove</t>
  </si>
  <si>
    <t>VicMove</t>
  </si>
  <si>
    <t>VR</t>
  </si>
  <si>
    <t>victoria-vr</t>
  </si>
  <si>
    <t>Victoria VR</t>
  </si>
  <si>
    <t>VCC</t>
  </si>
  <si>
    <t>victorum</t>
  </si>
  <si>
    <t>Victorum</t>
  </si>
  <si>
    <t>VTG</t>
  </si>
  <si>
    <t>victory-gem</t>
  </si>
  <si>
    <t>Victory Gem</t>
  </si>
  <si>
    <t>VIDT</t>
  </si>
  <si>
    <t>v-id-blockchain</t>
  </si>
  <si>
    <t>VIDT Datalink</t>
  </si>
  <si>
    <t>VID</t>
  </si>
  <si>
    <t>videocoin</t>
  </si>
  <si>
    <t>Vivid Labs</t>
  </si>
  <si>
    <t>VIDA</t>
  </si>
  <si>
    <t>vidiachange</t>
  </si>
  <si>
    <t>Vidiachange</t>
  </si>
  <si>
    <t>VDL</t>
  </si>
  <si>
    <t>vidulum</t>
  </si>
  <si>
    <t>Vidulum</t>
  </si>
  <si>
    <t>VIDY</t>
  </si>
  <si>
    <t>vidy</t>
  </si>
  <si>
    <t>VIDYA</t>
  </si>
  <si>
    <t>vidya</t>
  </si>
  <si>
    <t>Vidya</t>
  </si>
  <si>
    <t>VIDYX</t>
  </si>
  <si>
    <t>vidyx</t>
  </si>
  <si>
    <t>VidyX</t>
  </si>
  <si>
    <t>VIG</t>
  </si>
  <si>
    <t>vig</t>
  </si>
  <si>
    <t>vigorus</t>
  </si>
  <si>
    <t>Vigorus</t>
  </si>
  <si>
    <t>AUV</t>
  </si>
  <si>
    <t>viiida-gold</t>
  </si>
  <si>
    <t>VIIIDA Gold</t>
  </si>
  <si>
    <t>VELON</t>
  </si>
  <si>
    <t>viking-elon</t>
  </si>
  <si>
    <t>Viking Elon</t>
  </si>
  <si>
    <t>vikings-finance</t>
  </si>
  <si>
    <t>Vikings Finance</t>
  </si>
  <si>
    <t>VV</t>
  </si>
  <si>
    <t>vikings-valhalla</t>
  </si>
  <si>
    <t>Vikings Valhalla</t>
  </si>
  <si>
    <t>VIKING</t>
  </si>
  <si>
    <t>viking-swap</t>
  </si>
  <si>
    <t>Viking Swap</t>
  </si>
  <si>
    <t>VIKKY</t>
  </si>
  <si>
    <t>vikkytoken</t>
  </si>
  <si>
    <t>VikkyToken</t>
  </si>
  <si>
    <t>VCE</t>
  </si>
  <si>
    <t>vince-chain</t>
  </si>
  <si>
    <t>Vince Chain</t>
  </si>
  <si>
    <t>VZN</t>
  </si>
  <si>
    <t>vincenzo-network</t>
  </si>
  <si>
    <t>Vincenzo Network</t>
  </si>
  <si>
    <t>vinci</t>
  </si>
  <si>
    <t>Vinci</t>
  </si>
  <si>
    <t>VD</t>
  </si>
  <si>
    <t>vindax-coin</t>
  </si>
  <si>
    <t>VinDax Coin</t>
  </si>
  <si>
    <t>VIP</t>
  </si>
  <si>
    <t>vip-coin</t>
  </si>
  <si>
    <t>Vip Coin</t>
  </si>
  <si>
    <t>vipcoin-gold</t>
  </si>
  <si>
    <t>VipCoin.Gold</t>
  </si>
  <si>
    <t>VIPER</t>
  </si>
  <si>
    <t>viper</t>
  </si>
  <si>
    <t>Viper</t>
  </si>
  <si>
    <t>VPL</t>
  </si>
  <si>
    <t>viplus</t>
  </si>
  <si>
    <t>Viplus</t>
  </si>
  <si>
    <t>VIPS</t>
  </si>
  <si>
    <t>vipstarcoin</t>
  </si>
  <si>
    <t>VIPSTARCOIN</t>
  </si>
  <si>
    <t>vip-token</t>
  </si>
  <si>
    <t>VIRAL</t>
  </si>
  <si>
    <t>viral</t>
  </si>
  <si>
    <t>Viral</t>
  </si>
  <si>
    <t>REAU</t>
  </si>
  <si>
    <t>vira-lata-finance</t>
  </si>
  <si>
    <t>Vira-Lata Finance</t>
  </si>
  <si>
    <t>EVIRAL</t>
  </si>
  <si>
    <t>viral-ethereum</t>
  </si>
  <si>
    <t>Viral Ethereum</t>
  </si>
  <si>
    <t>VINU</t>
  </si>
  <si>
    <t>viral-inu</t>
  </si>
  <si>
    <t>Viral Inu</t>
  </si>
  <si>
    <t>VIRES</t>
  </si>
  <si>
    <t>vires-finance</t>
  </si>
  <si>
    <t>Vires Finance</t>
  </si>
  <si>
    <t>virgo</t>
  </si>
  <si>
    <t>Virgo</t>
  </si>
  <si>
    <t>VGM</t>
  </si>
  <si>
    <t>virtual-gamer</t>
  </si>
  <si>
    <t>Virtual Gamer</t>
  </si>
  <si>
    <t>virtual-goods-token</t>
  </si>
  <si>
    <t>Virtual Goods Token</t>
  </si>
  <si>
    <t>VT</t>
  </si>
  <si>
    <t>virtual-tourist</t>
  </si>
  <si>
    <t>Virtual Tourist</t>
  </si>
  <si>
    <t>VPP</t>
  </si>
  <si>
    <t>virtue-poker</t>
  </si>
  <si>
    <t>Virtue Poker Points</t>
  </si>
  <si>
    <t>VAP</t>
  </si>
  <si>
    <t>virtus-finance</t>
  </si>
  <si>
    <t>Virtus Finance</t>
  </si>
  <si>
    <t>VEFI</t>
  </si>
  <si>
    <t>viserion-finance</t>
  </si>
  <si>
    <t>Viserion Finance</t>
  </si>
  <si>
    <t>VISIO</t>
  </si>
  <si>
    <t>visio</t>
  </si>
  <si>
    <t>Visio</t>
  </si>
  <si>
    <t>VSN</t>
  </si>
  <si>
    <t>vision</t>
  </si>
  <si>
    <t>Vision</t>
  </si>
  <si>
    <t>vision-fi</t>
  </si>
  <si>
    <t>Vision Fi</t>
  </si>
  <si>
    <t>visiongame</t>
  </si>
  <si>
    <t>VisionGame</t>
  </si>
  <si>
    <t>vision-metaverse</t>
  </si>
  <si>
    <t>Vision Metaverse</t>
  </si>
  <si>
    <t>vision-network</t>
  </si>
  <si>
    <t>Vision Network</t>
  </si>
  <si>
    <t>VISR</t>
  </si>
  <si>
    <t>visor</t>
  </si>
  <si>
    <t>Visor</t>
  </si>
  <si>
    <t>VITA</t>
  </si>
  <si>
    <t>vitadao</t>
  </si>
  <si>
    <t>VitaDAO</t>
  </si>
  <si>
    <t>vita-inu</t>
  </si>
  <si>
    <t>Vita Inu</t>
  </si>
  <si>
    <t>vitality</t>
  </si>
  <si>
    <t>Vitality</t>
  </si>
  <si>
    <t>VITAL</t>
  </si>
  <si>
    <t>vitall-markets</t>
  </si>
  <si>
    <t>Vitall Markets</t>
  </si>
  <si>
    <t>VITC</t>
  </si>
  <si>
    <t>vitamin-coin</t>
  </si>
  <si>
    <t>Vitamin Coin</t>
  </si>
  <si>
    <t>VITE</t>
  </si>
  <si>
    <t>vite</t>
  </si>
  <si>
    <t>Vite</t>
  </si>
  <si>
    <t>VX</t>
  </si>
  <si>
    <t>vitex</t>
  </si>
  <si>
    <t>ViteX Coin</t>
  </si>
  <si>
    <t>VITOGE</t>
  </si>
  <si>
    <t>vitoge</t>
  </si>
  <si>
    <t>Vitoge</t>
  </si>
  <si>
    <t>VITY</t>
  </si>
  <si>
    <t>vitteey</t>
  </si>
  <si>
    <t>Vitteey</t>
  </si>
  <si>
    <t>VIVA</t>
  </si>
  <si>
    <t>viva</t>
  </si>
  <si>
    <t>Viva</t>
  </si>
  <si>
    <t>viva-classic</t>
  </si>
  <si>
    <t>Viva Classic [OLD]</t>
  </si>
  <si>
    <t>viva-classic-2</t>
  </si>
  <si>
    <t>Viva Classic</t>
  </si>
  <si>
    <t>VIVAION</t>
  </si>
  <si>
    <t>vivaion</t>
  </si>
  <si>
    <t>Vivaion</t>
  </si>
  <si>
    <t>VIV</t>
  </si>
  <si>
    <t>vival</t>
  </si>
  <si>
    <t>Vival</t>
  </si>
  <si>
    <t>VIVE</t>
  </si>
  <si>
    <t>vive-la-bouje</t>
  </si>
  <si>
    <t>Vive La Bouje</t>
  </si>
  <si>
    <t>VIX</t>
  </si>
  <si>
    <t>vixco</t>
  </si>
  <si>
    <t>Vixco</t>
  </si>
  <si>
    <t>VPAD</t>
  </si>
  <si>
    <t>vlaunch</t>
  </si>
  <si>
    <t>VLaunch</t>
  </si>
  <si>
    <t>vmates</t>
  </si>
  <si>
    <t>Vmates</t>
  </si>
  <si>
    <t>BUSINESSES</t>
  </si>
  <si>
    <t>vm-tycoons-businesses</t>
  </si>
  <si>
    <t>VM Tycoons Businesses</t>
  </si>
  <si>
    <t>VNDC</t>
  </si>
  <si>
    <t>vndc</t>
  </si>
  <si>
    <t>vntchain</t>
  </si>
  <si>
    <t>VNT Chain</t>
  </si>
  <si>
    <t>VN</t>
  </si>
  <si>
    <t>vn-token</t>
  </si>
  <si>
    <t>VNXLU</t>
  </si>
  <si>
    <t>vnx-exchange</t>
  </si>
  <si>
    <t>VNX Exchange</t>
  </si>
  <si>
    <t>VDX</t>
  </si>
  <si>
    <t>vodi-x</t>
  </si>
  <si>
    <t>Vodi X</t>
  </si>
  <si>
    <t>VODKA</t>
  </si>
  <si>
    <t>vodka-token</t>
  </si>
  <si>
    <t>Vodka</t>
  </si>
  <si>
    <t>VDR</t>
  </si>
  <si>
    <t>vodra</t>
  </si>
  <si>
    <t>Vodra</t>
  </si>
  <si>
    <t>voice-street</t>
  </si>
  <si>
    <t>Voice Street</t>
  </si>
  <si>
    <t>void-games</t>
  </si>
  <si>
    <t>Void Games</t>
  </si>
  <si>
    <t>VOL</t>
  </si>
  <si>
    <t>volatility-protocol-token</t>
  </si>
  <si>
    <t>Volatility Protocol</t>
  </si>
  <si>
    <t>volentix-vtx</t>
  </si>
  <si>
    <t>Volentix</t>
  </si>
  <si>
    <t>VOLLAR</t>
  </si>
  <si>
    <t>vollar</t>
  </si>
  <si>
    <t>V-Dimension</t>
  </si>
  <si>
    <t>ACDC</t>
  </si>
  <si>
    <t>volt</t>
  </si>
  <si>
    <t>Volt</t>
  </si>
  <si>
    <t>voltage</t>
  </si>
  <si>
    <t>Voltage</t>
  </si>
  <si>
    <t>volt-inu</t>
  </si>
  <si>
    <t>Volt Inu [OLD]</t>
  </si>
  <si>
    <t>volt-inu-2</t>
  </si>
  <si>
    <t>Volt Inu</t>
  </si>
  <si>
    <t>volt-protocol</t>
  </si>
  <si>
    <t>Volt Protocol</t>
  </si>
  <si>
    <t>VOLTS</t>
  </si>
  <si>
    <t>volts-finance</t>
  </si>
  <si>
    <t>Volts.Finance</t>
  </si>
  <si>
    <t>voltswap</t>
  </si>
  <si>
    <t>VoltSwap</t>
  </si>
  <si>
    <t>VOO</t>
  </si>
  <si>
    <t>voovoo</t>
  </si>
  <si>
    <t>VooVoo</t>
  </si>
  <si>
    <t>vortex-dao</t>
  </si>
  <si>
    <t>Vortex DAO</t>
  </si>
  <si>
    <t>vortex-defi</t>
  </si>
  <si>
    <t>Vortex DeFi</t>
  </si>
  <si>
    <t>vortex-network</t>
  </si>
  <si>
    <t>VorteX Network</t>
  </si>
  <si>
    <t>VBSC</t>
  </si>
  <si>
    <t>votechain</t>
  </si>
  <si>
    <t>Votechain</t>
  </si>
  <si>
    <t>voucher-eth</t>
  </si>
  <si>
    <t>Voucher ETH</t>
  </si>
  <si>
    <t>VOW</t>
  </si>
  <si>
    <t>vow</t>
  </si>
  <si>
    <t>Vow</t>
  </si>
  <si>
    <t>VXL</t>
  </si>
  <si>
    <t>voxel-x-network</t>
  </si>
  <si>
    <t>Voxel X Network</t>
  </si>
  <si>
    <t>VOX</t>
  </si>
  <si>
    <t>vox-finance</t>
  </si>
  <si>
    <t>Vox.Finance</t>
  </si>
  <si>
    <t>VOXEL</t>
  </si>
  <si>
    <t>voxies</t>
  </si>
  <si>
    <t>Voxies</t>
  </si>
  <si>
    <t>VGR</t>
  </si>
  <si>
    <t>voyager</t>
  </si>
  <si>
    <t>Voyager</t>
  </si>
  <si>
    <t>VOYCE</t>
  </si>
  <si>
    <t>voyce</t>
  </si>
  <si>
    <t>Voyce</t>
  </si>
  <si>
    <t>VOYRME</t>
  </si>
  <si>
    <t>voyr</t>
  </si>
  <si>
    <t>VOYR</t>
  </si>
  <si>
    <t>voytek-bear-coin</t>
  </si>
  <si>
    <t>BEAR Coin</t>
  </si>
  <si>
    <t>VPX</t>
  </si>
  <si>
    <t>vpex-exchange</t>
  </si>
  <si>
    <t>VPEX Exchange</t>
  </si>
  <si>
    <t>VASH</t>
  </si>
  <si>
    <t>vpncoin</t>
  </si>
  <si>
    <t>VPNCoin</t>
  </si>
  <si>
    <t>VRBLOCKS</t>
  </si>
  <si>
    <t>vr-blocks</t>
  </si>
  <si>
    <t>VR Blocks</t>
  </si>
  <si>
    <t>VSOL</t>
  </si>
  <si>
    <t>vsolidus</t>
  </si>
  <si>
    <t>VSolidus</t>
  </si>
  <si>
    <t>VSX</t>
  </si>
  <si>
    <t>vsync</t>
  </si>
  <si>
    <t>Vsync</t>
  </si>
  <si>
    <t>VSYS</t>
  </si>
  <si>
    <t>v-systems</t>
  </si>
  <si>
    <t>V.SYSTEMS</t>
  </si>
  <si>
    <t>PYR</t>
  </si>
  <si>
    <t>vulcan-forged</t>
  </si>
  <si>
    <t>Vulcan Forged</t>
  </si>
  <si>
    <t>VULC</t>
  </si>
  <si>
    <t>vulcano-2</t>
  </si>
  <si>
    <t>Vulcano</t>
  </si>
  <si>
    <t>VLK</t>
  </si>
  <si>
    <t>vulkania</t>
  </si>
  <si>
    <t>Vulkania [OLD]</t>
  </si>
  <si>
    <t>vulkania-2</t>
  </si>
  <si>
    <t>Vulkania</t>
  </si>
  <si>
    <t>VPK</t>
  </si>
  <si>
    <t>vulture-peak</t>
  </si>
  <si>
    <t>Vulture Peak</t>
  </si>
  <si>
    <t>VVS</t>
  </si>
  <si>
    <t>vvs-finance</t>
  </si>
  <si>
    <t>VVS Finance</t>
  </si>
  <si>
    <t>VVSP</t>
  </si>
  <si>
    <t>vvsp</t>
  </si>
  <si>
    <t>vVSP</t>
  </si>
  <si>
    <t>VI</t>
  </si>
  <si>
    <t>vybit</t>
  </si>
  <si>
    <t>Vybit</t>
  </si>
  <si>
    <t>VYFI</t>
  </si>
  <si>
    <t>vyfinance</t>
  </si>
  <si>
    <t>VyFinance</t>
  </si>
  <si>
    <t>VYN</t>
  </si>
  <si>
    <t>vyndao</t>
  </si>
  <si>
    <t>Vyndao</t>
  </si>
  <si>
    <t>VYNC</t>
  </si>
  <si>
    <t>vynk-chain</t>
  </si>
  <si>
    <t>VYNK Chain</t>
  </si>
  <si>
    <t>WABI</t>
  </si>
  <si>
    <t>wabi</t>
  </si>
  <si>
    <t>Wabi</t>
  </si>
  <si>
    <t>BAW</t>
  </si>
  <si>
    <t>wab-network</t>
  </si>
  <si>
    <t>BAW Network</t>
  </si>
  <si>
    <t>WTK</t>
  </si>
  <si>
    <t>wadzpay-token</t>
  </si>
  <si>
    <t>WGR</t>
  </si>
  <si>
    <t>wagerr</t>
  </si>
  <si>
    <t>Wagerr</t>
  </si>
  <si>
    <t>WAG</t>
  </si>
  <si>
    <t>waggle-network</t>
  </si>
  <si>
    <t>Waggle Network</t>
  </si>
  <si>
    <t>wagmi</t>
  </si>
  <si>
    <t>wagmi-game</t>
  </si>
  <si>
    <t>WAGMI Game</t>
  </si>
  <si>
    <t>wagmi-on-solana</t>
  </si>
  <si>
    <t>WAGMI On Solana</t>
  </si>
  <si>
    <t>wagyuswap</t>
  </si>
  <si>
    <t>WagyuSwap</t>
  </si>
  <si>
    <t>WAIF</t>
  </si>
  <si>
    <t>waifer</t>
  </si>
  <si>
    <t>Waifer</t>
  </si>
  <si>
    <t>waifu-token</t>
  </si>
  <si>
    <t>WAIFU</t>
  </si>
  <si>
    <t>waifu-vault-nftx</t>
  </si>
  <si>
    <t>WAIFU Vault (NFTX)</t>
  </si>
  <si>
    <t>WKD</t>
  </si>
  <si>
    <t>wakanda-inu</t>
  </si>
  <si>
    <t>Wakanda Inu</t>
  </si>
  <si>
    <t>WTN</t>
  </si>
  <si>
    <t>waletoken</t>
  </si>
  <si>
    <t>Waletoken</t>
  </si>
  <si>
    <t>WLKN</t>
  </si>
  <si>
    <t>walken</t>
  </si>
  <si>
    <t>Walken</t>
  </si>
  <si>
    <t>WNOW</t>
  </si>
  <si>
    <t>walletnow</t>
  </si>
  <si>
    <t>WalletNow</t>
  </si>
  <si>
    <t>XPAY</t>
  </si>
  <si>
    <t>wallet-pay</t>
  </si>
  <si>
    <t>Wallet Pay</t>
  </si>
  <si>
    <t>WPX</t>
  </si>
  <si>
    <t>wallet-plus-x</t>
  </si>
  <si>
    <t>Wallet Plus X</t>
  </si>
  <si>
    <t>WSWAP</t>
  </si>
  <si>
    <t>wallet-swap</t>
  </si>
  <si>
    <t>Wallet Swap</t>
  </si>
  <si>
    <t>WFAIR</t>
  </si>
  <si>
    <t>wallfair</t>
  </si>
  <si>
    <t>Wallfair</t>
  </si>
  <si>
    <t>WSB</t>
  </si>
  <si>
    <t>wallstreetbets-com</t>
  </si>
  <si>
    <t>Wallstreetbets.com</t>
  </si>
  <si>
    <t>wall-street-bets-dapp</t>
  </si>
  <si>
    <t>WallStreetBets DApp</t>
  </si>
  <si>
    <t>WSC</t>
  </si>
  <si>
    <t>wall-street-capital</t>
  </si>
  <si>
    <t>Wall Street Capital</t>
  </si>
  <si>
    <t>WSG</t>
  </si>
  <si>
    <t>wall-street-games</t>
  </si>
  <si>
    <t>Wall Street Games</t>
  </si>
  <si>
    <t>WALLSTREETINU</t>
  </si>
  <si>
    <t>wall-street-inu</t>
  </si>
  <si>
    <t>Wall Street Inu</t>
  </si>
  <si>
    <t>WSN</t>
  </si>
  <si>
    <t>wallstreetninja</t>
  </si>
  <si>
    <t>WallStreetNinja</t>
  </si>
  <si>
    <t>$WINU</t>
  </si>
  <si>
    <t>walter-inu</t>
  </si>
  <si>
    <t>Walter Inu</t>
  </si>
  <si>
    <t>WTC</t>
  </si>
  <si>
    <t>waltonchain</t>
  </si>
  <si>
    <t>Waltonchain</t>
  </si>
  <si>
    <t>WAM</t>
  </si>
  <si>
    <t>wam</t>
  </si>
  <si>
    <t>Wam</t>
  </si>
  <si>
    <t>WAMO</t>
  </si>
  <si>
    <t>wamo</t>
  </si>
  <si>
    <t>WANA</t>
  </si>
  <si>
    <t>wanaka-farm</t>
  </si>
  <si>
    <t>Wanaka Farm</t>
  </si>
  <si>
    <t>WAI</t>
  </si>
  <si>
    <t>wanaka-farm-wairere-token</t>
  </si>
  <si>
    <t>Wanaka Farm WAIRERE</t>
  </si>
  <si>
    <t>WANAVAX</t>
  </si>
  <si>
    <t>wanavax</t>
  </si>
  <si>
    <t>wanAVAX</t>
  </si>
  <si>
    <t>WANBTC</t>
  </si>
  <si>
    <t>wanbtc</t>
  </si>
  <si>
    <t>wanBTC</t>
  </si>
  <si>
    <t>WAN</t>
  </si>
  <si>
    <t>wanchain</t>
  </si>
  <si>
    <t>Wanchain</t>
  </si>
  <si>
    <t>WE</t>
  </si>
  <si>
    <t>wanda-exchange</t>
  </si>
  <si>
    <t>Wanda Exchange</t>
  </si>
  <si>
    <t>WANETH</t>
  </si>
  <si>
    <t>waneth</t>
  </si>
  <si>
    <t>wanETH</t>
  </si>
  <si>
    <t>WANNA</t>
  </si>
  <si>
    <t>wannaswap</t>
  </si>
  <si>
    <t>WannaSwap</t>
  </si>
  <si>
    <t>WASP</t>
  </si>
  <si>
    <t>wanswap</t>
  </si>
  <si>
    <t>WanSwap</t>
  </si>
  <si>
    <t>WANUSDC</t>
  </si>
  <si>
    <t>wanusdc</t>
  </si>
  <si>
    <t>wanUSDC</t>
  </si>
  <si>
    <t>WANUSDT</t>
  </si>
  <si>
    <t>wanusdt</t>
  </si>
  <si>
    <t>wanUSDT</t>
  </si>
  <si>
    <t>WANXRP</t>
  </si>
  <si>
    <t>wanxrp</t>
  </si>
  <si>
    <t>wanXRP</t>
  </si>
  <si>
    <t>WAP</t>
  </si>
  <si>
    <t>wapswap-finance</t>
  </si>
  <si>
    <t>WapSwap Finance</t>
  </si>
  <si>
    <t>WBOND</t>
  </si>
  <si>
    <t>war-bond</t>
  </si>
  <si>
    <t>War Bond</t>
  </si>
  <si>
    <t>WAD</t>
  </si>
  <si>
    <t>warden</t>
  </si>
  <si>
    <t>Warden</t>
  </si>
  <si>
    <t>warena</t>
  </si>
  <si>
    <t>Warena</t>
  </si>
  <si>
    <t>WOTG</t>
  </si>
  <si>
    <t>war-of-tribes</t>
  </si>
  <si>
    <t>War of Tribes</t>
  </si>
  <si>
    <t>WARP</t>
  </si>
  <si>
    <t>warp-bond</t>
  </si>
  <si>
    <t>Warp Bond</t>
  </si>
  <si>
    <t>warp-finance</t>
  </si>
  <si>
    <t>Warp Finance</t>
  </si>
  <si>
    <t>WARE</t>
  </si>
  <si>
    <t>warrior-rare-essentials</t>
  </si>
  <si>
    <t>Warrior Rare Essentials</t>
  </si>
  <si>
    <t>WLF</t>
  </si>
  <si>
    <t>warriors-land-fuel</t>
  </si>
  <si>
    <t>Warriors Land Fuel</t>
  </si>
  <si>
    <t>WAR</t>
  </si>
  <si>
    <t>warrior-token</t>
  </si>
  <si>
    <t>Warrior</t>
  </si>
  <si>
    <t>$OIL</t>
  </si>
  <si>
    <t>warship-battles</t>
  </si>
  <si>
    <t>Warship Battles</t>
  </si>
  <si>
    <t>WASABI</t>
  </si>
  <si>
    <t>wasabix</t>
  </si>
  <si>
    <t>WasabiX</t>
  </si>
  <si>
    <t>WSDQ</t>
  </si>
  <si>
    <t>wasdaq-finance</t>
  </si>
  <si>
    <t>Wasdaq Finance</t>
  </si>
  <si>
    <t>WAS</t>
  </si>
  <si>
    <t>wasder</t>
  </si>
  <si>
    <t>Wasder</t>
  </si>
  <si>
    <t>WACO</t>
  </si>
  <si>
    <t>waste-coin</t>
  </si>
  <si>
    <t>Waste Digital Coin</t>
  </si>
  <si>
    <t>WDO</t>
  </si>
  <si>
    <t>watchdo</t>
  </si>
  <si>
    <t>WatchDO</t>
  </si>
  <si>
    <t>WTM</t>
  </si>
  <si>
    <t>watchmen</t>
  </si>
  <si>
    <t>WATCHMEN</t>
  </si>
  <si>
    <t>WTW</t>
  </si>
  <si>
    <t>watchtower-2</t>
  </si>
  <si>
    <t>Watchtower</t>
  </si>
  <si>
    <t>WATERFALL</t>
  </si>
  <si>
    <t>waterfall-finance</t>
  </si>
  <si>
    <t>Waterfall Finance</t>
  </si>
  <si>
    <t>WTF</t>
  </si>
  <si>
    <t>waterfall-governance-token</t>
  </si>
  <si>
    <t>Waterfall Governance</t>
  </si>
  <si>
    <t>WAULTX</t>
  </si>
  <si>
    <t>wault</t>
  </si>
  <si>
    <t>Wault</t>
  </si>
  <si>
    <t>WEX</t>
  </si>
  <si>
    <t>waultswap</t>
  </si>
  <si>
    <t>WaultSwap</t>
  </si>
  <si>
    <t>WEXPOLY</t>
  </si>
  <si>
    <t>waultswap-polygon</t>
  </si>
  <si>
    <t>WaultSwap Polygon</t>
  </si>
  <si>
    <t>WUSD</t>
  </si>
  <si>
    <t>wault-usd</t>
  </si>
  <si>
    <t>Wault USD</t>
  </si>
  <si>
    <t>WPC</t>
  </si>
  <si>
    <t>wave-pay-coin</t>
  </si>
  <si>
    <t>Wave Pay Coin</t>
  </si>
  <si>
    <t>waves</t>
  </si>
  <si>
    <t>Waves</t>
  </si>
  <si>
    <t>WCT</t>
  </si>
  <si>
    <t>waves-community-token</t>
  </si>
  <si>
    <t>waves-ducks</t>
  </si>
  <si>
    <t>Waves Ducks</t>
  </si>
  <si>
    <t>WEST</t>
  </si>
  <si>
    <t>waves-enterprise</t>
  </si>
  <si>
    <t>Waves Enterprise</t>
  </si>
  <si>
    <t>WX</t>
  </si>
  <si>
    <t>waves-exchange</t>
  </si>
  <si>
    <t>Waves Exchange</t>
  </si>
  <si>
    <t>WGO</t>
  </si>
  <si>
    <t>wavesgo</t>
  </si>
  <si>
    <t>WavesGo</t>
  </si>
  <si>
    <t>WAXP</t>
  </si>
  <si>
    <t>wax</t>
  </si>
  <si>
    <t>WAX</t>
  </si>
  <si>
    <t>WAXE</t>
  </si>
  <si>
    <t>waxe</t>
  </si>
  <si>
    <t>WW</t>
  </si>
  <si>
    <t>wayawolfcoin</t>
  </si>
  <si>
    <t>WayaWolfCoin</t>
  </si>
  <si>
    <t>WICC</t>
  </si>
  <si>
    <t>waykichain</t>
  </si>
  <si>
    <t>WaykiChain</t>
  </si>
  <si>
    <t>WGRT</t>
  </si>
  <si>
    <t>waykichain-governance-coin</t>
  </si>
  <si>
    <t>WaykiChain Governance Coin</t>
  </si>
  <si>
    <t>WRX</t>
  </si>
  <si>
    <t>wazirx</t>
  </si>
  <si>
    <t>WazirX</t>
  </si>
  <si>
    <t>WBNB</t>
  </si>
  <si>
    <t>wbnb</t>
  </si>
  <si>
    <t>Wrapped BNB</t>
  </si>
  <si>
    <t>wealthsecrets</t>
  </si>
  <si>
    <t>WealthSecrets</t>
  </si>
  <si>
    <t>WHB</t>
  </si>
  <si>
    <t>wealthy-habits</t>
  </si>
  <si>
    <t>Wealthy Habits</t>
  </si>
  <si>
    <t>N8V</t>
  </si>
  <si>
    <t>wearesatoshi</t>
  </si>
  <si>
    <t>NativeCoin</t>
  </si>
  <si>
    <t>WEAVE</t>
  </si>
  <si>
    <t>weave</t>
  </si>
  <si>
    <t>Weave</t>
  </si>
  <si>
    <t>WEB3ALLBI</t>
  </si>
  <si>
    <t>web3-all-best-ico</t>
  </si>
  <si>
    <t>Web3 ALL BEST ICO</t>
  </si>
  <si>
    <t>web3-dev</t>
  </si>
  <si>
    <t>Web3 Dev</t>
  </si>
  <si>
    <t>3WEB</t>
  </si>
  <si>
    <t>web-3-development</t>
  </si>
  <si>
    <t>Web 3 Development</t>
  </si>
  <si>
    <t>web3-doge</t>
  </si>
  <si>
    <t>Web3 Doge</t>
  </si>
  <si>
    <t>W3G</t>
  </si>
  <si>
    <t>web3games</t>
  </si>
  <si>
    <t>Web3Games</t>
  </si>
  <si>
    <t>web3-inu</t>
  </si>
  <si>
    <t>WEB3 Inu</t>
  </si>
  <si>
    <t>web3land</t>
  </si>
  <si>
    <t>WEB3Land</t>
  </si>
  <si>
    <t>MINTME</t>
  </si>
  <si>
    <t>webchain</t>
  </si>
  <si>
    <t>MintMe.com Coin</t>
  </si>
  <si>
    <t>WEB</t>
  </si>
  <si>
    <t>webcoin</t>
  </si>
  <si>
    <t>Webcoin</t>
  </si>
  <si>
    <t>WEC</t>
  </si>
  <si>
    <t>web-coin-pay</t>
  </si>
  <si>
    <t>Web Coin Pay</t>
  </si>
  <si>
    <t>WEBD</t>
  </si>
  <si>
    <t>webdollar</t>
  </si>
  <si>
    <t>WFX</t>
  </si>
  <si>
    <t>webflix</t>
  </si>
  <si>
    <t>WebFlix</t>
  </si>
  <si>
    <t>WEBFOUR</t>
  </si>
  <si>
    <t>web-four</t>
  </si>
  <si>
    <t>WEBN</t>
  </si>
  <si>
    <t>web-innovation-ph</t>
  </si>
  <si>
    <t>WEBN token</t>
  </si>
  <si>
    <t>WET</t>
  </si>
  <si>
    <t>weble-ecosystem-token</t>
  </si>
  <si>
    <t>Weble Ecosystem</t>
  </si>
  <si>
    <t>WEBOO</t>
  </si>
  <si>
    <t>webooswap</t>
  </si>
  <si>
    <t>WebooSwap</t>
  </si>
  <si>
    <t>WXTC</t>
  </si>
  <si>
    <t>wechain-coin</t>
  </si>
  <si>
    <t>WeChain Coin</t>
  </si>
  <si>
    <t>WCX</t>
  </si>
  <si>
    <t>wecoown</t>
  </si>
  <si>
    <t>WeCoOwn</t>
  </si>
  <si>
    <t>WNTR</t>
  </si>
  <si>
    <t>weentar</t>
  </si>
  <si>
    <t>Weentar</t>
  </si>
  <si>
    <t>WEENS</t>
  </si>
  <si>
    <t>ween-token</t>
  </si>
  <si>
    <t>Ween</t>
  </si>
  <si>
    <t>WEGRO</t>
  </si>
  <si>
    <t>wegro</t>
  </si>
  <si>
    <t>WeGro</t>
  </si>
  <si>
    <t>WEIRD</t>
  </si>
  <si>
    <t>weird-dao</t>
  </si>
  <si>
    <t>Weird Dao</t>
  </si>
  <si>
    <t>WEIUP</t>
  </si>
  <si>
    <t>weiup</t>
  </si>
  <si>
    <t>WeiUp</t>
  </si>
  <si>
    <t>WELD</t>
  </si>
  <si>
    <t>weld</t>
  </si>
  <si>
    <t>Weld</t>
  </si>
  <si>
    <t>WCV</t>
  </si>
  <si>
    <t>wellness-convertible</t>
  </si>
  <si>
    <t>Wellness Convertible</t>
  </si>
  <si>
    <t>WTL</t>
  </si>
  <si>
    <t>welltrado</t>
  </si>
  <si>
    <t>Welltrado</t>
  </si>
  <si>
    <t>WEL</t>
  </si>
  <si>
    <t>welnance-finance</t>
  </si>
  <si>
    <t>Welnance Finance</t>
  </si>
  <si>
    <t>we-love-gm</t>
  </si>
  <si>
    <t>we love gm</t>
  </si>
  <si>
    <t>WELUPS</t>
  </si>
  <si>
    <t>welups-blockchain</t>
  </si>
  <si>
    <t>Welups Blockchain</t>
  </si>
  <si>
    <t>WEMIX</t>
  </si>
  <si>
    <t>wemix-token</t>
  </si>
  <si>
    <t>WENLAMBO</t>
  </si>
  <si>
    <t>wenlambo</t>
  </si>
  <si>
    <t>Wenlambo</t>
  </si>
  <si>
    <t>wen-lambo</t>
  </si>
  <si>
    <t>Wen Lambo</t>
  </si>
  <si>
    <t>WM</t>
  </si>
  <si>
    <t>wenmoon</t>
  </si>
  <si>
    <t>WenMoon</t>
  </si>
  <si>
    <t>wepiggy-coin</t>
  </si>
  <si>
    <t>WePiggy Coin</t>
  </si>
  <si>
    <t>WPR</t>
  </si>
  <si>
    <t>wepower</t>
  </si>
  <si>
    <t>WePower</t>
  </si>
  <si>
    <t>WRC</t>
  </si>
  <si>
    <t>werenode</t>
  </si>
  <si>
    <t>Werenode</t>
  </si>
  <si>
    <t>WWC</t>
  </si>
  <si>
    <t>werewolf-coin</t>
  </si>
  <si>
    <t>Werewolf Coin</t>
  </si>
  <si>
    <t>werewolves-game</t>
  </si>
  <si>
    <t>Werewolves Game</t>
  </si>
  <si>
    <t>westarter</t>
  </si>
  <si>
    <t>WeStarter</t>
  </si>
  <si>
    <t>WETA</t>
  </si>
  <si>
    <t>weta-vr</t>
  </si>
  <si>
    <t>WETA VR</t>
  </si>
  <si>
    <t>WETH</t>
  </si>
  <si>
    <t>weth</t>
  </si>
  <si>
    <t>TRST</t>
  </si>
  <si>
    <t>wetrust</t>
  </si>
  <si>
    <t>WeTrust</t>
  </si>
  <si>
    <t>WWY</t>
  </si>
  <si>
    <t>weway</t>
  </si>
  <si>
    <t>WeWay</t>
  </si>
  <si>
    <t>WEYU</t>
  </si>
  <si>
    <t>weyu</t>
  </si>
  <si>
    <t>WFDP</t>
  </si>
  <si>
    <t>wfdp</t>
  </si>
  <si>
    <t>WGMI</t>
  </si>
  <si>
    <t>wgmi</t>
  </si>
  <si>
    <t>WHALE</t>
  </si>
  <si>
    <t>whale</t>
  </si>
  <si>
    <t>whale-coin</t>
  </si>
  <si>
    <t>Whale Coin</t>
  </si>
  <si>
    <t>whale-fall</t>
  </si>
  <si>
    <t>Whale Fall</t>
  </si>
  <si>
    <t>WGIRL</t>
  </si>
  <si>
    <t>whalegirl</t>
  </si>
  <si>
    <t>WhaleGirl</t>
  </si>
  <si>
    <t>WMP</t>
  </si>
  <si>
    <t>whalemap</t>
  </si>
  <si>
    <t>Whalemap</t>
  </si>
  <si>
    <t>WHA</t>
  </si>
  <si>
    <t>whaler</t>
  </si>
  <si>
    <t>Whaler</t>
  </si>
  <si>
    <t>WHL</t>
  </si>
  <si>
    <t>whaleroom</t>
  </si>
  <si>
    <t>WhaleRoom</t>
  </si>
  <si>
    <t>$HRIMP</t>
  </si>
  <si>
    <t>whalestreet-shrimp-token</t>
  </si>
  <si>
    <t>WhaleStreet $hrimp</t>
  </si>
  <si>
    <t>whale-vault-nftx</t>
  </si>
  <si>
    <t>WHALE Vault (NFTX)</t>
  </si>
  <si>
    <t>WHEAT</t>
  </si>
  <si>
    <t>wheat-token</t>
  </si>
  <si>
    <t>Wheat (BSC)</t>
  </si>
  <si>
    <t>WHEEL</t>
  </si>
  <si>
    <t>wheelers</t>
  </si>
  <si>
    <t>Wheelers</t>
  </si>
  <si>
    <t>LMBO</t>
  </si>
  <si>
    <t>when-lambo</t>
  </si>
  <si>
    <t>When Lambo</t>
  </si>
  <si>
    <t>WHEN</t>
  </si>
  <si>
    <t>when-token</t>
  </si>
  <si>
    <t>WHEN Token</t>
  </si>
  <si>
    <t>WHEY</t>
  </si>
  <si>
    <t>whey</t>
  </si>
  <si>
    <t>whey-token</t>
  </si>
  <si>
    <t>Shredded Apes Whey</t>
  </si>
  <si>
    <t>whirl-finance</t>
  </si>
  <si>
    <t>Whirl Finance</t>
  </si>
  <si>
    <t>XWC</t>
  </si>
  <si>
    <t>whitecoin</t>
  </si>
  <si>
    <t>Whitecoin</t>
  </si>
  <si>
    <t>WHITE</t>
  </si>
  <si>
    <t>whiteheart</t>
  </si>
  <si>
    <t>Whiteheart</t>
  </si>
  <si>
    <t>whiterockcasino</t>
  </si>
  <si>
    <t>WhiteRockCasino</t>
  </si>
  <si>
    <t>white-whale</t>
  </si>
  <si>
    <t>White Whale</t>
  </si>
  <si>
    <t>WHX</t>
  </si>
  <si>
    <t>whitex</t>
  </si>
  <si>
    <t>WhiteX</t>
  </si>
  <si>
    <t>WHXC</t>
  </si>
  <si>
    <t>whitex-community</t>
  </si>
  <si>
    <t>WhiteX Community</t>
  </si>
  <si>
    <t>WHIVE</t>
  </si>
  <si>
    <t>whive</t>
  </si>
  <si>
    <t>Whive</t>
  </si>
  <si>
    <t>whole-earth-coin</t>
  </si>
  <si>
    <t>Whole Earth Coin</t>
  </si>
  <si>
    <t>whole-network</t>
  </si>
  <si>
    <t>Whole Network</t>
  </si>
  <si>
    <t>WBX</t>
  </si>
  <si>
    <t>wibx</t>
  </si>
  <si>
    <t>WiBX</t>
  </si>
  <si>
    <t>WNT</t>
  </si>
  <si>
    <t>wicrypt</t>
  </si>
  <si>
    <t>Wicrypt</t>
  </si>
  <si>
    <t>WDR</t>
  </si>
  <si>
    <t>wider-coin</t>
  </si>
  <si>
    <t>Wider Coin</t>
  </si>
  <si>
    <t>WIDI</t>
  </si>
  <si>
    <t>widiland</t>
  </si>
  <si>
    <t>WidiLand</t>
  </si>
  <si>
    <t>WSO</t>
  </si>
  <si>
    <t>widi-soul</t>
  </si>
  <si>
    <t>Widi Soul</t>
  </si>
  <si>
    <t>WIFEDOGE</t>
  </si>
  <si>
    <t>wifedoge</t>
  </si>
  <si>
    <t>Wifedoge</t>
  </si>
  <si>
    <t>WIFI</t>
  </si>
  <si>
    <t>wifi-coin</t>
  </si>
  <si>
    <t>Wifi Coin</t>
  </si>
  <si>
    <t>WGL</t>
  </si>
  <si>
    <t>wiggly-finance</t>
  </si>
  <si>
    <t>Wiggly Finance</t>
  </si>
  <si>
    <t>WIGO</t>
  </si>
  <si>
    <t>wigoswap</t>
  </si>
  <si>
    <t>WigoSwap</t>
  </si>
  <si>
    <t>WXC</t>
  </si>
  <si>
    <t>wiix-coin</t>
  </si>
  <si>
    <t>WIIX Coin</t>
  </si>
  <si>
    <t>WIKI</t>
  </si>
  <si>
    <t>wiki-token</t>
  </si>
  <si>
    <t>Wiki Token</t>
  </si>
  <si>
    <t>WBB</t>
  </si>
  <si>
    <t>wild-beast-block</t>
  </si>
  <si>
    <t>Wild Beast Block</t>
  </si>
  <si>
    <t>WILD</t>
  </si>
  <si>
    <t>wild-credit</t>
  </si>
  <si>
    <t>Wild Credit</t>
  </si>
  <si>
    <t>wilder-world</t>
  </si>
  <si>
    <t>Wilder World</t>
  </si>
  <si>
    <t>wild-island-game</t>
  </si>
  <si>
    <t>Wild Island Game</t>
  </si>
  <si>
    <t>wild-ride</t>
  </si>
  <si>
    <t>Wild Ride</t>
  </si>
  <si>
    <t>WCO</t>
  </si>
  <si>
    <t>winco</t>
  </si>
  <si>
    <t>Winco</t>
  </si>
  <si>
    <t>WFT</t>
  </si>
  <si>
    <t>windfall-token</t>
  </si>
  <si>
    <t>Windfall</t>
  </si>
  <si>
    <t>LIF</t>
  </si>
  <si>
    <t>winding-tree</t>
  </si>
  <si>
    <t>Lif</t>
  </si>
  <si>
    <t>WNDG95</t>
  </si>
  <si>
    <t>windoge95</t>
  </si>
  <si>
    <t>Windoge95</t>
  </si>
  <si>
    <t>$WNZ</t>
  </si>
  <si>
    <t>winerz</t>
  </si>
  <si>
    <t>Winerz</t>
  </si>
  <si>
    <t>WINE</t>
  </si>
  <si>
    <t>wine-shares</t>
  </si>
  <si>
    <t>Wine Shares</t>
  </si>
  <si>
    <t>WING</t>
  </si>
  <si>
    <t>wing-finance</t>
  </si>
  <si>
    <t>Wing Finance</t>
  </si>
  <si>
    <t>wings</t>
  </si>
  <si>
    <t>Wings</t>
  </si>
  <si>
    <t>XWIP</t>
  </si>
  <si>
    <t>wings-protocol</t>
  </si>
  <si>
    <t>Wings Protocol</t>
  </si>
  <si>
    <t>wingswap</t>
  </si>
  <si>
    <t>WingSwap</t>
  </si>
  <si>
    <t>WIN</t>
  </si>
  <si>
    <t>wink</t>
  </si>
  <si>
    <t>WINkLink</t>
  </si>
  <si>
    <t>winklink-bsc</t>
  </si>
  <si>
    <t>WINkLink BSC</t>
  </si>
  <si>
    <t>WNNW</t>
  </si>
  <si>
    <t>winnow</t>
  </si>
  <si>
    <t>WinNow</t>
  </si>
  <si>
    <t>WINRY</t>
  </si>
  <si>
    <t>winry-inu</t>
  </si>
  <si>
    <t>Winry Inu</t>
  </si>
  <si>
    <t>WNL</t>
  </si>
  <si>
    <t>winstars</t>
  </si>
  <si>
    <t>WinStars Live</t>
  </si>
  <si>
    <t>WINTER</t>
  </si>
  <si>
    <t>winter</t>
  </si>
  <si>
    <t>Winter</t>
  </si>
  <si>
    <t>WIPE</t>
  </si>
  <si>
    <t>wipemyass</t>
  </si>
  <si>
    <t>WipeMyAss</t>
  </si>
  <si>
    <t>WXT</t>
  </si>
  <si>
    <t>wirex</t>
  </si>
  <si>
    <t>Wirex</t>
  </si>
  <si>
    <t>WIRTUAL</t>
  </si>
  <si>
    <t>wirtual</t>
  </si>
  <si>
    <t>Wirtual</t>
  </si>
  <si>
    <t>WISEAVAX</t>
  </si>
  <si>
    <t>wiseavax</t>
  </si>
  <si>
    <t>WiseAvax</t>
  </si>
  <si>
    <t>WISE</t>
  </si>
  <si>
    <t>wise-token11</t>
  </si>
  <si>
    <t>Wise</t>
  </si>
  <si>
    <t>wish-finance-2</t>
  </si>
  <si>
    <t>Wish Finance</t>
  </si>
  <si>
    <t>WST</t>
  </si>
  <si>
    <t>wisteria-swap</t>
  </si>
  <si>
    <t>Wisteria Swap</t>
  </si>
  <si>
    <t>WIT</t>
  </si>
  <si>
    <t>witchain</t>
  </si>
  <si>
    <t>WITChain</t>
  </si>
  <si>
    <t>WINU</t>
  </si>
  <si>
    <t>witcher-inu</t>
  </si>
  <si>
    <t>Witcher Inu</t>
  </si>
  <si>
    <t>WCH</t>
  </si>
  <si>
    <t>witcherverse</t>
  </si>
  <si>
    <t>WitcherVerse</t>
  </si>
  <si>
    <t>WITCH</t>
  </si>
  <si>
    <t>witch-token</t>
  </si>
  <si>
    <t>Witch</t>
  </si>
  <si>
    <t>witnet</t>
  </si>
  <si>
    <t>Witnet</t>
  </si>
  <si>
    <t>WIVA</t>
  </si>
  <si>
    <t>wiva</t>
  </si>
  <si>
    <t>WIX</t>
  </si>
  <si>
    <t>wixlar</t>
  </si>
  <si>
    <t>Wixlar</t>
  </si>
  <si>
    <t>WZRD</t>
  </si>
  <si>
    <t>wizardia</t>
  </si>
  <si>
    <t>Wizardia</t>
  </si>
  <si>
    <t>WIZZY</t>
  </si>
  <si>
    <t>wizardium</t>
  </si>
  <si>
    <t>Wizardium</t>
  </si>
  <si>
    <t>wizards-and-dragons</t>
  </si>
  <si>
    <t>Wizards And Dragons</t>
  </si>
  <si>
    <t>WIZARD</t>
  </si>
  <si>
    <t>wizard-token</t>
  </si>
  <si>
    <t>Wizard BSC</t>
  </si>
  <si>
    <t>wizard-vault-nftx</t>
  </si>
  <si>
    <t>WIZARD Vault (NFTX)</t>
  </si>
  <si>
    <t>SCRL</t>
  </si>
  <si>
    <t>wizarre-scroll</t>
  </si>
  <si>
    <t>Wizarre Scroll</t>
  </si>
  <si>
    <t>WJEWEL</t>
  </si>
  <si>
    <t>wjewel</t>
  </si>
  <si>
    <t>WLITI</t>
  </si>
  <si>
    <t>wliti</t>
  </si>
  <si>
    <t>wLITI</t>
  </si>
  <si>
    <t>WLD</t>
  </si>
  <si>
    <t>wlitidao</t>
  </si>
  <si>
    <t>wLitiDAO</t>
  </si>
  <si>
    <t>WMATIC</t>
  </si>
  <si>
    <t>wmatic</t>
  </si>
  <si>
    <t>Wrapped Matic</t>
  </si>
  <si>
    <t>WMT</t>
  </si>
  <si>
    <t>wodex</t>
  </si>
  <si>
    <t>Wodex</t>
  </si>
  <si>
    <t>WT</t>
  </si>
  <si>
    <t>wohlstand-token</t>
  </si>
  <si>
    <t>Wohlstand</t>
  </si>
  <si>
    <t>wohpedao</t>
  </si>
  <si>
    <t>WohpeDao</t>
  </si>
  <si>
    <t>WOJ</t>
  </si>
  <si>
    <t>wojak-finance</t>
  </si>
  <si>
    <t>Wojak Finance</t>
  </si>
  <si>
    <t>wolfcoin</t>
  </si>
  <si>
    <t>WOLFCOIN</t>
  </si>
  <si>
    <t>WOLFE</t>
  </si>
  <si>
    <t>wolfecoin</t>
  </si>
  <si>
    <t>Wolfecoin</t>
  </si>
  <si>
    <t>WOOL</t>
  </si>
  <si>
    <t>wolf-game-wool</t>
  </si>
  <si>
    <t>Wolf Game Wool</t>
  </si>
  <si>
    <t>WLFGRL</t>
  </si>
  <si>
    <t>wolfgirl</t>
  </si>
  <si>
    <t>Wolfgirl</t>
  </si>
  <si>
    <t>WOLFGIRL</t>
  </si>
  <si>
    <t>wolf-girl</t>
  </si>
  <si>
    <t>Wolf Girl</t>
  </si>
  <si>
    <t>WOLFI</t>
  </si>
  <si>
    <t>wolfi</t>
  </si>
  <si>
    <t>wolf_king</t>
  </si>
  <si>
    <t>Wolf King</t>
  </si>
  <si>
    <t>WOLFIES</t>
  </si>
  <si>
    <t>wolf-pups</t>
  </si>
  <si>
    <t>WOLF PUPS [OLD]</t>
  </si>
  <si>
    <t>wolf-pups-2</t>
  </si>
  <si>
    <t>WOLF PUPS</t>
  </si>
  <si>
    <t>WSPP</t>
  </si>
  <si>
    <t>wolfsafepoorpeople</t>
  </si>
  <si>
    <t>WolfSafePoorPeople</t>
  </si>
  <si>
    <t>wolfsafepoorpeople-polygon</t>
  </si>
  <si>
    <t>WolfSafePoorPeople Polygon</t>
  </si>
  <si>
    <t>WTWOOL</t>
  </si>
  <si>
    <t>wolf-town-wool</t>
  </si>
  <si>
    <t>Wolf Town Wool</t>
  </si>
  <si>
    <t>WOLFY</t>
  </si>
  <si>
    <t>wolfy</t>
  </si>
  <si>
    <t>WOLVERINU</t>
  </si>
  <si>
    <t>wolverinu</t>
  </si>
  <si>
    <t>WOWS</t>
  </si>
  <si>
    <t>wolves-of-wall-street</t>
  </si>
  <si>
    <t>Wolves of Wall Street</t>
  </si>
  <si>
    <t>WEMP</t>
  </si>
  <si>
    <t>women-empowerment-token</t>
  </si>
  <si>
    <t>Women Empowerment</t>
  </si>
  <si>
    <t>WOM</t>
  </si>
  <si>
    <t>wom-token</t>
  </si>
  <si>
    <t>WOM Protocol</t>
  </si>
  <si>
    <t>WNDR</t>
  </si>
  <si>
    <t>wonderfi-tokenized-stock</t>
  </si>
  <si>
    <t>WonderFi Tokenized Stock</t>
  </si>
  <si>
    <t>WND</t>
  </si>
  <si>
    <t>wonderhero</t>
  </si>
  <si>
    <t>WonderHero [OLD]</t>
  </si>
  <si>
    <t>wonderhero-2</t>
  </si>
  <si>
    <t>WonderHero</t>
  </si>
  <si>
    <t>wonderhero-hon</t>
  </si>
  <si>
    <t>WonderHero HON</t>
  </si>
  <si>
    <t>wonderland</t>
  </si>
  <si>
    <t>Wonderland</t>
  </si>
  <si>
    <t>wonderman-nation</t>
  </si>
  <si>
    <t>Wonderman Nation</t>
  </si>
  <si>
    <t>LOG</t>
  </si>
  <si>
    <t>woodcoin</t>
  </si>
  <si>
    <t>Woodcoin</t>
  </si>
  <si>
    <t>WOOF</t>
  </si>
  <si>
    <t>woof-token</t>
  </si>
  <si>
    <t>woof-token-2</t>
  </si>
  <si>
    <t>Woof Token</t>
  </si>
  <si>
    <t>WOOFY</t>
  </si>
  <si>
    <t>woofy</t>
  </si>
  <si>
    <t>Woofy</t>
  </si>
  <si>
    <t>wool-token</t>
  </si>
  <si>
    <t>Wool</t>
  </si>
  <si>
    <t>WOO</t>
  </si>
  <si>
    <t>woo-network</t>
  </si>
  <si>
    <t>WOO Network</t>
  </si>
  <si>
    <t>WOOP</t>
  </si>
  <si>
    <t>woonkly-power</t>
  </si>
  <si>
    <t>Woonkly Power</t>
  </si>
  <si>
    <t>woop</t>
  </si>
  <si>
    <t>WZM</t>
  </si>
  <si>
    <t>woozoo-music</t>
  </si>
  <si>
    <t>Woozoo Music</t>
  </si>
  <si>
    <t>WORDL</t>
  </si>
  <si>
    <t>wordl-defi</t>
  </si>
  <si>
    <t>Wordl DeFi</t>
  </si>
  <si>
    <t>WDX</t>
  </si>
  <si>
    <t>wordlex</t>
  </si>
  <si>
    <t>Wordlex</t>
  </si>
  <si>
    <t>workertown</t>
  </si>
  <si>
    <t>WorkerTown</t>
  </si>
  <si>
    <t>WQT</t>
  </si>
  <si>
    <t>work-quest</t>
  </si>
  <si>
    <t>Work Quest</t>
  </si>
  <si>
    <t>WTIP</t>
  </si>
  <si>
    <t>worktips</t>
  </si>
  <si>
    <t>Worktips</t>
  </si>
  <si>
    <t>WDC</t>
  </si>
  <si>
    <t>worldcoin</t>
  </si>
  <si>
    <t>WorldCoin</t>
  </si>
  <si>
    <t>worldcore</t>
  </si>
  <si>
    <t>Worldcore</t>
  </si>
  <si>
    <t>world-mobile-token</t>
  </si>
  <si>
    <t>WOD</t>
  </si>
  <si>
    <t>world-of-defish</t>
  </si>
  <si>
    <t>World of Defish</t>
  </si>
  <si>
    <t>WOV</t>
  </si>
  <si>
    <t>world-of-v</t>
  </si>
  <si>
    <t>World of V</t>
  </si>
  <si>
    <t>WOW</t>
  </si>
  <si>
    <t>world-of-waves</t>
  </si>
  <si>
    <t>World of Waves</t>
  </si>
  <si>
    <t>WPT</t>
  </si>
  <si>
    <t>worldpet</t>
  </si>
  <si>
    <t>WORLDPET</t>
  </si>
  <si>
    <t>WPL</t>
  </si>
  <si>
    <t>worldplus</t>
  </si>
  <si>
    <t>WorldPlus</t>
  </si>
  <si>
    <t>$TREAM</t>
  </si>
  <si>
    <t>world-stream-finance</t>
  </si>
  <si>
    <t>World Stream Finance</t>
  </si>
  <si>
    <t>WORLD</t>
  </si>
  <si>
    <t>world-token</t>
  </si>
  <si>
    <t>WORM</t>
  </si>
  <si>
    <t>wormfi</t>
  </si>
  <si>
    <t>WormFi</t>
  </si>
  <si>
    <t>WORTH</t>
  </si>
  <si>
    <t>worthpad</t>
  </si>
  <si>
    <t>Worthpad</t>
  </si>
  <si>
    <t>WHE</t>
  </si>
  <si>
    <t>worthwhile</t>
  </si>
  <si>
    <t>Worthwhile</t>
  </si>
  <si>
    <t>wownero</t>
  </si>
  <si>
    <t>Wownero</t>
  </si>
  <si>
    <t>WOWP</t>
  </si>
  <si>
    <t>wowperson</t>
  </si>
  <si>
    <t>WowPerson</t>
  </si>
  <si>
    <t>wowswap</t>
  </si>
  <si>
    <t>WOWswap</t>
  </si>
  <si>
    <t>wow-token</t>
  </si>
  <si>
    <t>WOWNFT</t>
  </si>
  <si>
    <t>WOZX</t>
  </si>
  <si>
    <t>wozx</t>
  </si>
  <si>
    <t>Efforce</t>
  </si>
  <si>
    <t>WPP</t>
  </si>
  <si>
    <t>wpp-token</t>
  </si>
  <si>
    <t>WPP Token</t>
  </si>
  <si>
    <t>WRAITH</t>
  </si>
  <si>
    <t>wraith</t>
  </si>
  <si>
    <t>Wraith</t>
  </si>
  <si>
    <t>WADA</t>
  </si>
  <si>
    <t>wrapped-ada</t>
  </si>
  <si>
    <t>Wrapped ADA</t>
  </si>
  <si>
    <t>WAMPL</t>
  </si>
  <si>
    <t>wrapped-ampleforth</t>
  </si>
  <si>
    <t>Wrapped Ampleforth</t>
  </si>
  <si>
    <t>WANATHA</t>
  </si>
  <si>
    <t>wrapped-anatha</t>
  </si>
  <si>
    <t>Wrapped ANATHA</t>
  </si>
  <si>
    <t>WAG8</t>
  </si>
  <si>
    <t>wrapped-atromg8</t>
  </si>
  <si>
    <t>Wrapped ATROMG8</t>
  </si>
  <si>
    <t>WAVAX</t>
  </si>
  <si>
    <t>wrapped-avax</t>
  </si>
  <si>
    <t>Wrapped AVAX</t>
  </si>
  <si>
    <t>WBCH</t>
  </si>
  <si>
    <t>wrapped-bch</t>
  </si>
  <si>
    <t>Wrapped BCH</t>
  </si>
  <si>
    <t>WBIND</t>
  </si>
  <si>
    <t>wrapped-bind</t>
  </si>
  <si>
    <t>Wrapped BIND</t>
  </si>
  <si>
    <t>wrapped-bitcoin</t>
  </si>
  <si>
    <t>CEWBTC</t>
  </si>
  <si>
    <t>wrapped-bitcoin-celer</t>
  </si>
  <si>
    <t>Wrapped Bitcoin - Celer</t>
  </si>
  <si>
    <t>SOBTC</t>
  </si>
  <si>
    <t>wrapped-bitcoin-sollet</t>
  </si>
  <si>
    <t>Wrapped Bitcoin (Sollet)</t>
  </si>
  <si>
    <t>XBTC</t>
  </si>
  <si>
    <t>wrapped-bitcoin-stacks</t>
  </si>
  <si>
    <t>Wrapped Bitcoin-Stacks</t>
  </si>
  <si>
    <t>CEWBNB</t>
  </si>
  <si>
    <t>wrapped-bnb-celer</t>
  </si>
  <si>
    <t>Wrapped BNB - Celer</t>
  </si>
  <si>
    <t>wrapped-btc-wormhole</t>
  </si>
  <si>
    <t>Wrapped BTC (Wormhole)</t>
  </si>
  <si>
    <t>WBTT</t>
  </si>
  <si>
    <t>wrapped-btt</t>
  </si>
  <si>
    <t>Wrapped BTT</t>
  </si>
  <si>
    <t>WBUSD</t>
  </si>
  <si>
    <t>wrapped-busd</t>
  </si>
  <si>
    <t>Wrapped BUSD</t>
  </si>
  <si>
    <t>ABBUSD</t>
  </si>
  <si>
    <t>wrapped-busd-allbridge-from-bsc</t>
  </si>
  <si>
    <t>Wrapped BUSD (Allbridge from BSC)</t>
  </si>
  <si>
    <t>WCENNZ</t>
  </si>
  <si>
    <t>wrapped-cennz</t>
  </si>
  <si>
    <t>Wrapped CENNZ</t>
  </si>
  <si>
    <t>WCFG</t>
  </si>
  <si>
    <t>wrapped-centrifuge</t>
  </si>
  <si>
    <t>Wrapped Centrifuge</t>
  </si>
  <si>
    <t>SOLINK</t>
  </si>
  <si>
    <t>wrapped-chainlink-sollet</t>
  </si>
  <si>
    <t>Wrapped Chainlink (Sollet)</t>
  </si>
  <si>
    <t>WCCX</t>
  </si>
  <si>
    <t>wrapped-conceal</t>
  </si>
  <si>
    <t>Wrapped Conceal</t>
  </si>
  <si>
    <t>WCFX</t>
  </si>
  <si>
    <t>wrapped-conflux</t>
  </si>
  <si>
    <t>Wrapped Conflux</t>
  </si>
  <si>
    <t>WCRO</t>
  </si>
  <si>
    <t>wrapped-cro</t>
  </si>
  <si>
    <t>Wrapped CRO</t>
  </si>
  <si>
    <t>WCK</t>
  </si>
  <si>
    <t>wrapped-cryptokitties</t>
  </si>
  <si>
    <t>Wrapped CryptoKitties</t>
  </si>
  <si>
    <t>ACUSD</t>
  </si>
  <si>
    <t>wrapped-cusd-allbridge-from-celo</t>
  </si>
  <si>
    <t>Wrapped CUSD (Allbridge from Celo)</t>
  </si>
  <si>
    <t>WDGLD</t>
  </si>
  <si>
    <t>wrapped-dgld</t>
  </si>
  <si>
    <t>Wrapped-DGLD</t>
  </si>
  <si>
    <t>WDUCX</t>
  </si>
  <si>
    <t>wrapped-ducatusx</t>
  </si>
  <si>
    <t>Wrapped DucatusX</t>
  </si>
  <si>
    <t>WOMI</t>
  </si>
  <si>
    <t>wrapped-ecomi</t>
  </si>
  <si>
    <t>Wrapped ECOMI</t>
  </si>
  <si>
    <t>WELA</t>
  </si>
  <si>
    <t>wrapped-elastos</t>
  </si>
  <si>
    <t>Wrapped Elastos</t>
  </si>
  <si>
    <t>WEGLD</t>
  </si>
  <si>
    <t>wrapped-elrond</t>
  </si>
  <si>
    <t>Wrapped Elrond</t>
  </si>
  <si>
    <t>WNRG</t>
  </si>
  <si>
    <t>wrapped-energi</t>
  </si>
  <si>
    <t>Wrapped Energi</t>
  </si>
  <si>
    <t>CEWETH</t>
  </si>
  <si>
    <t>wrapped-ether-celer</t>
  </si>
  <si>
    <t>Wrapped Ether - Celer</t>
  </si>
  <si>
    <t>SOETH</t>
  </si>
  <si>
    <t>wrapped-ethereum-sollet</t>
  </si>
  <si>
    <t>Wrapped Ethereum (Sollet)</t>
  </si>
  <si>
    <t>WFTM</t>
  </si>
  <si>
    <t>wrapped-fantom</t>
  </si>
  <si>
    <t>Wrapped Fantom</t>
  </si>
  <si>
    <t>CEWFTM</t>
  </si>
  <si>
    <t>wrapped-fantom-celer</t>
  </si>
  <si>
    <t>Wrapped Fantom - Celer</t>
  </si>
  <si>
    <t>WFIL</t>
  </si>
  <si>
    <t>wrapped-filecoin</t>
  </si>
  <si>
    <t>Wrapped Filecoin</t>
  </si>
  <si>
    <t>WANTS</t>
  </si>
  <si>
    <t>wrapped-fireants</t>
  </si>
  <si>
    <t>Wrapped FireAnts</t>
  </si>
  <si>
    <t>WFLOW</t>
  </si>
  <si>
    <t>wrapped-flow</t>
  </si>
  <si>
    <t>Wrapped Flow</t>
  </si>
  <si>
    <t>WG0</t>
  </si>
  <si>
    <t>wrapped-gen-0-cryptokitties</t>
  </si>
  <si>
    <t>Wrapped Gen-0 CryptoKitties</t>
  </si>
  <si>
    <t>WSHEC</t>
  </si>
  <si>
    <t>wrapped-hec</t>
  </si>
  <si>
    <t>Wrapped HEC</t>
  </si>
  <si>
    <t>WHOO</t>
  </si>
  <si>
    <t>wrapped-hoo</t>
  </si>
  <si>
    <t>Wrapped HOO</t>
  </si>
  <si>
    <t>WHT</t>
  </si>
  <si>
    <t>wrapped-huobi-token</t>
  </si>
  <si>
    <t>Wrapped Huobi</t>
  </si>
  <si>
    <t>WIOTX</t>
  </si>
  <si>
    <t>wrapped-iotex</t>
  </si>
  <si>
    <t>Wrapped IoTex</t>
  </si>
  <si>
    <t>WKDA</t>
  </si>
  <si>
    <t>wrapped-kadena</t>
  </si>
  <si>
    <t>Wrapped Kadena</t>
  </si>
  <si>
    <t>WKCS</t>
  </si>
  <si>
    <t>wrapped-kcs</t>
  </si>
  <si>
    <t>Wrapped KCS</t>
  </si>
  <si>
    <t>WLEO</t>
  </si>
  <si>
    <t>wrapped-leo</t>
  </si>
  <si>
    <t>Wrapped LEO</t>
  </si>
  <si>
    <t>WMEMO</t>
  </si>
  <si>
    <t>wrapped-memory</t>
  </si>
  <si>
    <t>Wonderful Memories</t>
  </si>
  <si>
    <t>MRXB</t>
  </si>
  <si>
    <t>wrapped-metrix</t>
  </si>
  <si>
    <t>Wrapped Metrix</t>
  </si>
  <si>
    <t>WGLMR</t>
  </si>
  <si>
    <t>wrapped-moonbeam</t>
  </si>
  <si>
    <t>Wrapped Moonbeam</t>
  </si>
  <si>
    <t>MCAT20</t>
  </si>
  <si>
    <t>wrapped-moon-cats</t>
  </si>
  <si>
    <t>Wrapped Moon Cats</t>
  </si>
  <si>
    <t>WNCE</t>
  </si>
  <si>
    <t>wrapped-nce</t>
  </si>
  <si>
    <t>Wrapped NCE</t>
  </si>
  <si>
    <t>WNCG</t>
  </si>
  <si>
    <t>wrapped-ncg</t>
  </si>
  <si>
    <t>Wrapped NCG</t>
  </si>
  <si>
    <t>WNEAR</t>
  </si>
  <si>
    <t>wrapped-near</t>
  </si>
  <si>
    <t>Wrapped Near</t>
  </si>
  <si>
    <t>WNYC</t>
  </si>
  <si>
    <t>wrapped-newyorkcoin</t>
  </si>
  <si>
    <t>Wrapped NewYorkCoin</t>
  </si>
  <si>
    <t>WNXM</t>
  </si>
  <si>
    <t>wrapped-nxm</t>
  </si>
  <si>
    <t>Wrapped NXM</t>
  </si>
  <si>
    <t>WOKT</t>
  </si>
  <si>
    <t>wrapped-okt</t>
  </si>
  <si>
    <t>Wrapped OKT</t>
  </si>
  <si>
    <t>WONE</t>
  </si>
  <si>
    <t>wrapped-one</t>
  </si>
  <si>
    <t>Wrapped One</t>
  </si>
  <si>
    <t>WPCI</t>
  </si>
  <si>
    <t>wrapped-paycoin</t>
  </si>
  <si>
    <t>Wrapped Paycoin</t>
  </si>
  <si>
    <t>WPKT</t>
  </si>
  <si>
    <t>wrapped-pkt</t>
  </si>
  <si>
    <t>Wrapped PKT</t>
  </si>
  <si>
    <t>wrapped-police</t>
  </si>
  <si>
    <t>Wrapped Police</t>
  </si>
  <si>
    <t>WROSE</t>
  </si>
  <si>
    <t>wrapped-rose</t>
  </si>
  <si>
    <t>Wrapped Rose</t>
  </si>
  <si>
    <t>WSEXOD</t>
  </si>
  <si>
    <t>wrapped-sexod</t>
  </si>
  <si>
    <t>Wrapped sEXOD</t>
  </si>
  <si>
    <t>wrapped-shiden-network</t>
  </si>
  <si>
    <t>Wrapped Shiden Network</t>
  </si>
  <si>
    <t>wrapped-solana</t>
  </si>
  <si>
    <t>Wrapped Solana</t>
  </si>
  <si>
    <t>WSMETA</t>
  </si>
  <si>
    <t>wrapped-staked-metaversepro</t>
  </si>
  <si>
    <t>Wrapped Staked MetaversePro</t>
  </si>
  <si>
    <t>NNECC</t>
  </si>
  <si>
    <t>wrapped-staked-necc</t>
  </si>
  <si>
    <t>Wrapped Staked Necc</t>
  </si>
  <si>
    <t>WSOHM</t>
  </si>
  <si>
    <t>wrapped-staked-olympus</t>
  </si>
  <si>
    <t>Wrapped Staked Olympus</t>
  </si>
  <si>
    <t>WSSCR</t>
  </si>
  <si>
    <t>wrapped-staked-scr</t>
  </si>
  <si>
    <t>Wrapped Staked SCR</t>
  </si>
  <si>
    <t>WSTR</t>
  </si>
  <si>
    <t>wrapped-star</t>
  </si>
  <si>
    <t>Wrapped Star</t>
  </si>
  <si>
    <t>WSTA</t>
  </si>
  <si>
    <t>wrapped-statera</t>
  </si>
  <si>
    <t>Wrapped Statera</t>
  </si>
  <si>
    <t>WSTETH</t>
  </si>
  <si>
    <t>wrapped-steth</t>
  </si>
  <si>
    <t>Wrapped stETH</t>
  </si>
  <si>
    <t>WSYS</t>
  </si>
  <si>
    <t>wrapped-syscoin</t>
  </si>
  <si>
    <t>Wrapped Syscoin</t>
  </si>
  <si>
    <t>WTLOS</t>
  </si>
  <si>
    <t>wrapped-telos</t>
  </si>
  <si>
    <t>Wrapped Telos</t>
  </si>
  <si>
    <t>wrapped-terra</t>
  </si>
  <si>
    <t>wrapped-tfuel</t>
  </si>
  <si>
    <t>Wrapped Theta Fuel</t>
  </si>
  <si>
    <t>WTPOKT</t>
  </si>
  <si>
    <t>wrapped-thunderpokt</t>
  </si>
  <si>
    <t>Wrapped ThunderPOKT</t>
  </si>
  <si>
    <t>WTON</t>
  </si>
  <si>
    <t>wrapped-ton-crystal</t>
  </si>
  <si>
    <t>Wrapped TON Crystal</t>
  </si>
  <si>
    <t>WTRX</t>
  </si>
  <si>
    <t>wrapped-tron</t>
  </si>
  <si>
    <t>Wrapped Tron</t>
  </si>
  <si>
    <t>WTRTL</t>
  </si>
  <si>
    <t>wrapped-turtlecoin</t>
  </si>
  <si>
    <t>Wrapped TurtleCoin</t>
  </si>
  <si>
    <t>WUSDC</t>
  </si>
  <si>
    <t>wrapped-usdc</t>
  </si>
  <si>
    <t>Wrapped USDC</t>
  </si>
  <si>
    <t>APUSDT</t>
  </si>
  <si>
    <t>wrapped-usdt-allbridge-from-polygon</t>
  </si>
  <si>
    <t>Wrapped USDT (Allbridge from Polygon)</t>
  </si>
  <si>
    <t>wrapped-ust</t>
  </si>
  <si>
    <t>WVET</t>
  </si>
  <si>
    <t>wrapped-vechain</t>
  </si>
  <si>
    <t>Wrapped VeChain</t>
  </si>
  <si>
    <t>WVLX</t>
  </si>
  <si>
    <t>wrapped-velas</t>
  </si>
  <si>
    <t>Wrapped Velas</t>
  </si>
  <si>
    <t>WVG0</t>
  </si>
  <si>
    <t>wrapped-virgin-gen-0-cryptokitties</t>
  </si>
  <si>
    <t>Wrapped Virgin Gen-0 CryptoKittties</t>
  </si>
  <si>
    <t>WVSOL</t>
  </si>
  <si>
    <t>wrapped-vsolidus</t>
  </si>
  <si>
    <t>Wrapped VSolidus</t>
  </si>
  <si>
    <t>WWAN</t>
  </si>
  <si>
    <t>wrapped-wan</t>
  </si>
  <si>
    <t>Wrapped Wan</t>
  </si>
  <si>
    <t>WWCN</t>
  </si>
  <si>
    <t>wrapped-widecoin</t>
  </si>
  <si>
    <t>Wrapped Widecoin</t>
  </si>
  <si>
    <t>WXBTC</t>
  </si>
  <si>
    <t>wrapped-xbtc</t>
  </si>
  <si>
    <t>Wrapped xBTC</t>
  </si>
  <si>
    <t>WXDAI</t>
  </si>
  <si>
    <t>wrapped-xdai</t>
  </si>
  <si>
    <t>Wrapped XDAI</t>
  </si>
  <si>
    <t>WXMR</t>
  </si>
  <si>
    <t>wrapped-xmr-btse</t>
  </si>
  <si>
    <t>Wrapped XMR by BTSE</t>
  </si>
  <si>
    <t>WXRP</t>
  </si>
  <si>
    <t>wrapped-xrp</t>
  </si>
  <si>
    <t>Wrapped XRP</t>
  </si>
  <si>
    <t>SOYFI</t>
  </si>
  <si>
    <t>wrapped-yfi-sollet</t>
  </si>
  <si>
    <t>Wrapped YFI (Sollet)</t>
  </si>
  <si>
    <t>WSBT</t>
  </si>
  <si>
    <t>wsb-sh</t>
  </si>
  <si>
    <t>WSB.sh</t>
  </si>
  <si>
    <t>wtf-token</t>
  </si>
  <si>
    <t>Fees.wtf</t>
  </si>
  <si>
    <t>wxcoin</t>
  </si>
  <si>
    <t>WXCOINS</t>
  </si>
  <si>
    <t>x</t>
  </si>
  <si>
    <t>SpaceGrime X</t>
  </si>
  <si>
    <t>X2</t>
  </si>
  <si>
    <t>x2</t>
  </si>
  <si>
    <t>x-2</t>
  </si>
  <si>
    <t>X22</t>
  </si>
  <si>
    <t>x22</t>
  </si>
  <si>
    <t>X2Y2</t>
  </si>
  <si>
    <t>x2y2</t>
  </si>
  <si>
    <t>X42</t>
  </si>
  <si>
    <t>x42-protocol</t>
  </si>
  <si>
    <t>X42 Protocol</t>
  </si>
  <si>
    <t>X8X</t>
  </si>
  <si>
    <t>x8-project</t>
  </si>
  <si>
    <t>X99</t>
  </si>
  <si>
    <t>x99token</t>
  </si>
  <si>
    <t>x99</t>
  </si>
  <si>
    <t>XAEA-XII</t>
  </si>
  <si>
    <t>xaea-xii-token</t>
  </si>
  <si>
    <t>XAEA-Xii</t>
  </si>
  <si>
    <t>XETA</t>
  </si>
  <si>
    <t>xana</t>
  </si>
  <si>
    <t>Xana</t>
  </si>
  <si>
    <t>xape</t>
  </si>
  <si>
    <t>xApe</t>
  </si>
  <si>
    <t>XAUR</t>
  </si>
  <si>
    <t>xaurum</t>
  </si>
  <si>
    <t>Xaurum</t>
  </si>
  <si>
    <t>xave-coin</t>
  </si>
  <si>
    <t>Xave Coin</t>
  </si>
  <si>
    <t>XTS</t>
  </si>
  <si>
    <t>xaviera-techno-solutions</t>
  </si>
  <si>
    <t>Xaviera Techno Solutions</t>
  </si>
  <si>
    <t>XBE</t>
  </si>
  <si>
    <t>xbe-token</t>
  </si>
  <si>
    <t>XBT</t>
  </si>
  <si>
    <t>xbit</t>
  </si>
  <si>
    <t>Xbit</t>
  </si>
  <si>
    <t>x-block</t>
  </si>
  <si>
    <t>X-Block</t>
  </si>
  <si>
    <t>xbn</t>
  </si>
  <si>
    <t>Elastic BNB</t>
  </si>
  <si>
    <t>xbn-community-token</t>
  </si>
  <si>
    <t>XBN Community</t>
  </si>
  <si>
    <t>xbullion</t>
  </si>
  <si>
    <t>XBullion</t>
  </si>
  <si>
    <t>SILV</t>
  </si>
  <si>
    <t>xbullion_silver</t>
  </si>
  <si>
    <t>XBullion Silver</t>
  </si>
  <si>
    <t>XBX</t>
  </si>
  <si>
    <t>xbx</t>
  </si>
  <si>
    <t>XCAD</t>
  </si>
  <si>
    <t>xcad-network</t>
  </si>
  <si>
    <t>XCAD Network</t>
  </si>
  <si>
    <t>XCV</t>
  </si>
  <si>
    <t>xcarnival</t>
  </si>
  <si>
    <t>XCarnival</t>
  </si>
  <si>
    <t>XCASH</t>
  </si>
  <si>
    <t>x-cash</t>
  </si>
  <si>
    <t>X-CASH</t>
  </si>
  <si>
    <t>xcel-swap</t>
  </si>
  <si>
    <t>Xcel Defi</t>
  </si>
  <si>
    <t>XLAB</t>
  </si>
  <si>
    <t>xceltoken-plus</t>
  </si>
  <si>
    <t>XCELTOKEN PLUS</t>
  </si>
  <si>
    <t>XCF</t>
  </si>
  <si>
    <t>xcf-token</t>
  </si>
  <si>
    <t>XCF Token</t>
  </si>
  <si>
    <t>XCZ</t>
  </si>
  <si>
    <t>xchainz</t>
  </si>
  <si>
    <t>XChainZ</t>
  </si>
  <si>
    <t>XC</t>
  </si>
  <si>
    <t>xcom</t>
  </si>
  <si>
    <t>XCOM</t>
  </si>
  <si>
    <t>x-consoles</t>
  </si>
  <si>
    <t>X-Consoles</t>
  </si>
  <si>
    <t>XDAI</t>
  </si>
  <si>
    <t>xdai</t>
  </si>
  <si>
    <t>XCOMB</t>
  </si>
  <si>
    <t>xdai-native-comb</t>
  </si>
  <si>
    <t>xDai Native Comb</t>
  </si>
  <si>
    <t>STAKE</t>
  </si>
  <si>
    <t>xdai-stake</t>
  </si>
  <si>
    <t>XDC</t>
  </si>
  <si>
    <t>xdce-crowd-sale</t>
  </si>
  <si>
    <t>XDC Network</t>
  </si>
  <si>
    <t>XDEFI</t>
  </si>
  <si>
    <t>xdefi</t>
  </si>
  <si>
    <t>XDEX</t>
  </si>
  <si>
    <t>xdefi-governance-token</t>
  </si>
  <si>
    <t>XDEFI Governance</t>
  </si>
  <si>
    <t>xdoge</t>
  </si>
  <si>
    <t>Xdoge</t>
  </si>
  <si>
    <t>XDO</t>
  </si>
  <si>
    <t>xdollar</t>
  </si>
  <si>
    <t>xDollar</t>
  </si>
  <si>
    <t>XIM</t>
  </si>
  <si>
    <t>xdollar-interverse-money</t>
  </si>
  <si>
    <t>xDollar Interverse Money</t>
  </si>
  <si>
    <t>xdollar-stablecoin</t>
  </si>
  <si>
    <t>xDollar Stablecoin</t>
  </si>
  <si>
    <t>XDR</t>
  </si>
  <si>
    <t>xdrake</t>
  </si>
  <si>
    <t>XDrake</t>
  </si>
  <si>
    <t>XEEB</t>
  </si>
  <si>
    <t>xeebster</t>
  </si>
  <si>
    <t>Xeebster</t>
  </si>
  <si>
    <t>XELS</t>
  </si>
  <si>
    <t>xels</t>
  </si>
  <si>
    <t>XEND</t>
  </si>
  <si>
    <t>xend-finance</t>
  </si>
  <si>
    <t>Xend Finance</t>
  </si>
  <si>
    <t>XNC</t>
  </si>
  <si>
    <t>xenios</t>
  </si>
  <si>
    <t>Xenios</t>
  </si>
  <si>
    <t>XEMX</t>
  </si>
  <si>
    <t>xeniumx</t>
  </si>
  <si>
    <t>Xeniumx</t>
  </si>
  <si>
    <t>X2P</t>
  </si>
  <si>
    <t>xenon-pay</t>
  </si>
  <si>
    <t>Xenon Pay</t>
  </si>
  <si>
    <t>xenon-pay-old</t>
  </si>
  <si>
    <t>Xenon Pay [Old]</t>
  </si>
  <si>
    <t>XPLAY</t>
  </si>
  <si>
    <t>xenon-play</t>
  </si>
  <si>
    <t>Xenon Play</t>
  </si>
  <si>
    <t>XPH</t>
  </si>
  <si>
    <t>xenophondao</t>
  </si>
  <si>
    <t>XenophonDAO</t>
  </si>
  <si>
    <t>xeno-token</t>
  </si>
  <si>
    <t>XENOX</t>
  </si>
  <si>
    <t>xenoverse-crypto</t>
  </si>
  <si>
    <t>Xenoverse Crypto</t>
  </si>
  <si>
    <t>xensor</t>
  </si>
  <si>
    <t>Xensor</t>
  </si>
  <si>
    <t>XNB</t>
  </si>
  <si>
    <t>xeonbit</t>
  </si>
  <si>
    <t>Xeonbit</t>
  </si>
  <si>
    <t>XNS</t>
  </si>
  <si>
    <t>xeonbit-token</t>
  </si>
  <si>
    <t>Xeonbit Token</t>
  </si>
  <si>
    <t>xeta-reality</t>
  </si>
  <si>
    <t>Xeta Reality</t>
  </si>
  <si>
    <t>XEUS</t>
  </si>
  <si>
    <t>xeus</t>
  </si>
  <si>
    <t>XF</t>
  </si>
  <si>
    <t>xfarmer</t>
  </si>
  <si>
    <t>xFarmer</t>
  </si>
  <si>
    <t>xfinance</t>
  </si>
  <si>
    <t>Xfinance</t>
  </si>
  <si>
    <t>XET</t>
  </si>
  <si>
    <t>xfinite-entertainment-token</t>
  </si>
  <si>
    <t>Xfinite Entertainment</t>
  </si>
  <si>
    <t>XFIT</t>
  </si>
  <si>
    <t>xfit</t>
  </si>
  <si>
    <t>Xfit</t>
  </si>
  <si>
    <t>XFUND</t>
  </si>
  <si>
    <t>xfund</t>
  </si>
  <si>
    <t>xFund</t>
  </si>
  <si>
    <t>XGOLD</t>
  </si>
  <si>
    <t>xgold-coin</t>
  </si>
  <si>
    <t>Xgold Coin</t>
  </si>
  <si>
    <t>x-hash</t>
  </si>
  <si>
    <t>X-HASH</t>
  </si>
  <si>
    <t>XTAG</t>
  </si>
  <si>
    <t>xhashtag</t>
  </si>
  <si>
    <t>xHashtag</t>
  </si>
  <si>
    <t>XMPT</t>
  </si>
  <si>
    <t>xiamipool</t>
  </si>
  <si>
    <t>XiamiPool</t>
  </si>
  <si>
    <t>XIASI</t>
  </si>
  <si>
    <t>xiasi-inu</t>
  </si>
  <si>
    <t>Xiasi Inu</t>
  </si>
  <si>
    <t>XDEN</t>
  </si>
  <si>
    <t>xiden</t>
  </si>
  <si>
    <t>Xiden</t>
  </si>
  <si>
    <t>XID</t>
  </si>
  <si>
    <t>xid-network</t>
  </si>
  <si>
    <t>Xid Network</t>
  </si>
  <si>
    <t>XIDO</t>
  </si>
  <si>
    <t>xido-finance</t>
  </si>
  <si>
    <t>Xido Finance</t>
  </si>
  <si>
    <t>XGC</t>
  </si>
  <si>
    <t>xiglute-coin</t>
  </si>
  <si>
    <t>Xiglute Coin</t>
  </si>
  <si>
    <t>XPLUS</t>
  </si>
  <si>
    <t>xigua-finance</t>
  </si>
  <si>
    <t>Xigua Finance</t>
  </si>
  <si>
    <t>XIO</t>
  </si>
  <si>
    <t>xio</t>
  </si>
  <si>
    <t>Blockzero Labs</t>
  </si>
  <si>
    <t>XGT</t>
  </si>
  <si>
    <t>xion-finance</t>
  </si>
  <si>
    <t>Xion Finance</t>
  </si>
  <si>
    <t>XIOT</t>
  </si>
  <si>
    <t>xiotri</t>
  </si>
  <si>
    <t>Xiotri</t>
  </si>
  <si>
    <t>XIRCUS</t>
  </si>
  <si>
    <t>xircus</t>
  </si>
  <si>
    <t>Xircus</t>
  </si>
  <si>
    <t>XI</t>
  </si>
  <si>
    <t>xi-token</t>
  </si>
  <si>
    <t>Xi</t>
  </si>
  <si>
    <t>XJEWEL</t>
  </si>
  <si>
    <t>xjewel</t>
  </si>
  <si>
    <t>xJEWEL</t>
  </si>
  <si>
    <t>XLMN</t>
  </si>
  <si>
    <t>xl-moon</t>
  </si>
  <si>
    <t>XL-Moon</t>
  </si>
  <si>
    <t>XMARK</t>
  </si>
  <si>
    <t>xmark</t>
  </si>
  <si>
    <t>xMARK</t>
  </si>
  <si>
    <t>XMX</t>
  </si>
  <si>
    <t>xmax</t>
  </si>
  <si>
    <t>XMax</t>
  </si>
  <si>
    <t>xmetaversal</t>
  </si>
  <si>
    <t>XMetaversal</t>
  </si>
  <si>
    <t>XMN</t>
  </si>
  <si>
    <t>xmine</t>
  </si>
  <si>
    <t>Xmine</t>
  </si>
  <si>
    <t>XMON</t>
  </si>
  <si>
    <t>xmon</t>
  </si>
  <si>
    <t>XM</t>
  </si>
  <si>
    <t>xmooney</t>
  </si>
  <si>
    <t>xMooney</t>
  </si>
  <si>
    <t>XNFT</t>
  </si>
  <si>
    <t>xnft</t>
  </si>
  <si>
    <t>xNFT Protocol</t>
  </si>
  <si>
    <t>XODEX</t>
  </si>
  <si>
    <t>xodex</t>
  </si>
  <si>
    <t>Xodex</t>
  </si>
  <si>
    <t>XL</t>
  </si>
  <si>
    <t>xolo-inu</t>
  </si>
  <si>
    <t>Xolo Inu</t>
  </si>
  <si>
    <t>XOV</t>
  </si>
  <si>
    <t>xov</t>
  </si>
  <si>
    <t>XOVBank</t>
  </si>
  <si>
    <t>xp</t>
  </si>
  <si>
    <t>XPAD</t>
  </si>
  <si>
    <t>xpad</t>
  </si>
  <si>
    <t>xPAD</t>
  </si>
  <si>
    <t>XPS</t>
  </si>
  <si>
    <t>xpansion-game</t>
  </si>
  <si>
    <t>Xpansion Game</t>
  </si>
  <si>
    <t>XPND</t>
  </si>
  <si>
    <t>xpendium</t>
  </si>
  <si>
    <t>Xpendium</t>
  </si>
  <si>
    <t>XPNET</t>
  </si>
  <si>
    <t>xp-network</t>
  </si>
  <si>
    <t>XP Network</t>
  </si>
  <si>
    <t>XPO</t>
  </si>
  <si>
    <t>xpool</t>
  </si>
  <si>
    <t>Xpool</t>
  </si>
  <si>
    <t>xpose-protocol</t>
  </si>
  <si>
    <t>Xpose Protocol</t>
  </si>
  <si>
    <t>x-power-chain</t>
  </si>
  <si>
    <t>X-power Chain</t>
  </si>
  <si>
    <t>x-protocol</t>
  </si>
  <si>
    <t>X Protocol</t>
  </si>
  <si>
    <t>XPTP</t>
  </si>
  <si>
    <t>xptp</t>
  </si>
  <si>
    <t>xPTP</t>
  </si>
  <si>
    <t>XQK</t>
  </si>
  <si>
    <t>xquake</t>
  </si>
  <si>
    <t>XQuake</t>
  </si>
  <si>
    <t>XRDOGE</t>
  </si>
  <si>
    <t>xrdoge</t>
  </si>
  <si>
    <t>XRdoge</t>
  </si>
  <si>
    <t>XRE</t>
  </si>
  <si>
    <t>xre-global</t>
  </si>
  <si>
    <t>XRE Global</t>
  </si>
  <si>
    <t>xriba</t>
  </si>
  <si>
    <t>Xriba</t>
  </si>
  <si>
    <t>XAG</t>
  </si>
  <si>
    <t>xrpalike-gene</t>
  </si>
  <si>
    <t>Xrpalike Gene</t>
  </si>
  <si>
    <t>XRPAYNET</t>
  </si>
  <si>
    <t>xrpaynet</t>
  </si>
  <si>
    <t>XRPayNet</t>
  </si>
  <si>
    <t>XRP-BF2</t>
  </si>
  <si>
    <t>xrp-bep2</t>
  </si>
  <si>
    <t>XRP BEP2</t>
  </si>
  <si>
    <t>XRPC</t>
  </si>
  <si>
    <t>xrp-classic</t>
  </si>
  <si>
    <t>XRP Classic</t>
  </si>
  <si>
    <t>XRSHIB</t>
  </si>
  <si>
    <t>xr-shiba-inu</t>
  </si>
  <si>
    <t>XR Shiba Inu</t>
  </si>
  <si>
    <t>XRUN</t>
  </si>
  <si>
    <t>xrun</t>
  </si>
  <si>
    <t>XRun</t>
  </si>
  <si>
    <t>XSGD</t>
  </si>
  <si>
    <t>xsgd</t>
  </si>
  <si>
    <t>xsigma</t>
  </si>
  <si>
    <t>xSigma</t>
  </si>
  <si>
    <t>SYL</t>
  </si>
  <si>
    <t>xsl-labs</t>
  </si>
  <si>
    <t>XSL Labs</t>
  </si>
  <si>
    <t>XSTX</t>
  </si>
  <si>
    <t>xstorage</t>
  </si>
  <si>
    <t>XStorage</t>
  </si>
  <si>
    <t>XSUSHI</t>
  </si>
  <si>
    <t>xsushi</t>
  </si>
  <si>
    <t>xSUSHI</t>
  </si>
  <si>
    <t>XSP</t>
  </si>
  <si>
    <t>xswap</t>
  </si>
  <si>
    <t>XSwap</t>
  </si>
  <si>
    <t>xswap-protocol</t>
  </si>
  <si>
    <t>XSwap Protocol</t>
  </si>
  <si>
    <t>XTT-B20</t>
  </si>
  <si>
    <t>xtblock-token</t>
  </si>
  <si>
    <t>XTblock</t>
  </si>
  <si>
    <t>XT</t>
  </si>
  <si>
    <t>xtcom-token</t>
  </si>
  <si>
    <t>XT.com Token</t>
  </si>
  <si>
    <t>XTNC</t>
  </si>
  <si>
    <t>xtendcash</t>
  </si>
  <si>
    <t>XtendCash</t>
  </si>
  <si>
    <t>xtime</t>
  </si>
  <si>
    <t>XTime</t>
  </si>
  <si>
    <t>XTK</t>
  </si>
  <si>
    <t>xtoken</t>
  </si>
  <si>
    <t>xToken</t>
  </si>
  <si>
    <t>XBY</t>
  </si>
  <si>
    <t>xtrabytes</t>
  </si>
  <si>
    <t>XTRABYTES</t>
  </si>
  <si>
    <t>XTRA</t>
  </si>
  <si>
    <t>xtra-fund</t>
  </si>
  <si>
    <t>Xtra Fund</t>
  </si>
  <si>
    <t>xtra-token</t>
  </si>
  <si>
    <t>XTR</t>
  </si>
  <si>
    <t>xtremcoin</t>
  </si>
  <si>
    <t>Xtremcoin</t>
  </si>
  <si>
    <t>XTRM</t>
  </si>
  <si>
    <t>xtrm</t>
  </si>
  <si>
    <t>XUEZ</t>
  </si>
  <si>
    <t>xuez</t>
  </si>
  <si>
    <t>Xuez Coin</t>
  </si>
  <si>
    <t>xusd</t>
  </si>
  <si>
    <t>xUSD</t>
  </si>
  <si>
    <t>xusd-token</t>
  </si>
  <si>
    <t>xUSD Token</t>
  </si>
  <si>
    <t>xverse</t>
  </si>
  <si>
    <t>Xverse</t>
  </si>
  <si>
    <t>XWIN</t>
  </si>
  <si>
    <t>xwin-finance</t>
  </si>
  <si>
    <t>xWIN Finance</t>
  </si>
  <si>
    <t>XWG</t>
  </si>
  <si>
    <t>x-world-games</t>
  </si>
  <si>
    <t>X World Games</t>
  </si>
  <si>
    <t>XXP</t>
  </si>
  <si>
    <t>xx-platform</t>
  </si>
  <si>
    <t>XX Platform</t>
  </si>
  <si>
    <t>XY</t>
  </si>
  <si>
    <t>xy-finance</t>
  </si>
  <si>
    <t>XY Finance</t>
  </si>
  <si>
    <t>XYO</t>
  </si>
  <si>
    <t>xyo-network</t>
  </si>
  <si>
    <t>XYO Network</t>
  </si>
  <si>
    <t>XYSL</t>
  </si>
  <si>
    <t>xysl</t>
  </si>
  <si>
    <t>xYSL</t>
  </si>
  <si>
    <t>Y-5</t>
  </si>
  <si>
    <t>y-5-finance</t>
  </si>
  <si>
    <t>Y-5 FINANCE</t>
  </si>
  <si>
    <t>YACHTX</t>
  </si>
  <si>
    <t>yachtx</t>
  </si>
  <si>
    <t>YachtX</t>
  </si>
  <si>
    <t>YAC</t>
  </si>
  <si>
    <t>yacoin</t>
  </si>
  <si>
    <t>YACoin</t>
  </si>
  <si>
    <t>YDA</t>
  </si>
  <si>
    <t>yadacoin</t>
  </si>
  <si>
    <t>YadaCoin</t>
  </si>
  <si>
    <t>YAG</t>
  </si>
  <si>
    <t>yaki-gold</t>
  </si>
  <si>
    <t>Yaki Gold</t>
  </si>
  <si>
    <t>YAM</t>
  </si>
  <si>
    <t>yam-2</t>
  </si>
  <si>
    <t>YAMP</t>
  </si>
  <si>
    <t>yamp-finance</t>
  </si>
  <si>
    <t>Yamp Finance</t>
  </si>
  <si>
    <t>YAMV2</t>
  </si>
  <si>
    <t>yam-v2</t>
  </si>
  <si>
    <t>YAM v2</t>
  </si>
  <si>
    <t>YAP</t>
  </si>
  <si>
    <t>yap-stone</t>
  </si>
  <si>
    <t>Yap Stone</t>
  </si>
  <si>
    <t>YARL</t>
  </si>
  <si>
    <t>yarloo</t>
  </si>
  <si>
    <t>Yarloo</t>
  </si>
  <si>
    <t>YAS</t>
  </si>
  <si>
    <t>yas</t>
  </si>
  <si>
    <t>YASHA</t>
  </si>
  <si>
    <t>yasha-dao</t>
  </si>
  <si>
    <t>Yasha Dao</t>
  </si>
  <si>
    <t>YAW</t>
  </si>
  <si>
    <t>yawww</t>
  </si>
  <si>
    <t>Yawww</t>
  </si>
  <si>
    <t>YAXIS</t>
  </si>
  <si>
    <t>yaxis</t>
  </si>
  <si>
    <t>yAxis</t>
  </si>
  <si>
    <t>YAY</t>
  </si>
  <si>
    <t>yay-games</t>
  </si>
  <si>
    <t>YAY Games</t>
  </si>
  <si>
    <t>YAYO</t>
  </si>
  <si>
    <t>yayo-coin</t>
  </si>
  <si>
    <t>Yayo Coin</t>
  </si>
  <si>
    <t>yayswap</t>
  </si>
  <si>
    <t>YaySwap</t>
  </si>
  <si>
    <t>YEC</t>
  </si>
  <si>
    <t>ycash</t>
  </si>
  <si>
    <t>Ycash</t>
  </si>
  <si>
    <t>YCO</t>
  </si>
  <si>
    <t>y-coin</t>
  </si>
  <si>
    <t>Y Coin</t>
  </si>
  <si>
    <t>YDR</t>
  </si>
  <si>
    <t>ydragon</t>
  </si>
  <si>
    <t>YDragon</t>
  </si>
  <si>
    <t>SBEAR</t>
  </si>
  <si>
    <t>yeabrswap</t>
  </si>
  <si>
    <t>yBEARSwap</t>
  </si>
  <si>
    <t>YEA</t>
  </si>
  <si>
    <t>yeafinance</t>
  </si>
  <si>
    <t>YeaFinance</t>
  </si>
  <si>
    <t>YEAGER</t>
  </si>
  <si>
    <t>yeager-inu</t>
  </si>
  <si>
    <t>Yeager Inu</t>
  </si>
  <si>
    <t>YFIC</t>
  </si>
  <si>
    <t>yearn-cash</t>
  </si>
  <si>
    <t>Yearn Cash</t>
  </si>
  <si>
    <t>yearn-classic-finance</t>
  </si>
  <si>
    <t>Yearn Classic Finance</t>
  </si>
  <si>
    <t>YETI</t>
  </si>
  <si>
    <t>yearn-ecosystem-token-index</t>
  </si>
  <si>
    <t>YEFI</t>
  </si>
  <si>
    <t>yearn-ethereum-finance</t>
  </si>
  <si>
    <t>Yearn Ethereum Finance</t>
  </si>
  <si>
    <t>YFI</t>
  </si>
  <si>
    <t>yearn-finance</t>
  </si>
  <si>
    <t>yearn.finance</t>
  </si>
  <si>
    <t>YFBT</t>
  </si>
  <si>
    <t>yearn-finance-bit</t>
  </si>
  <si>
    <t>Yearn Finance Bit</t>
  </si>
  <si>
    <t>YFB2</t>
  </si>
  <si>
    <t>yearn-finance-bit2</t>
  </si>
  <si>
    <t>Yearn Finance Bit2</t>
  </si>
  <si>
    <t>YFDT</t>
  </si>
  <si>
    <t>yearn-finance-diamond-token</t>
  </si>
  <si>
    <t>YFDOT</t>
  </si>
  <si>
    <t>yearn-finance-dot</t>
  </si>
  <si>
    <t>Yearn Finance DOT</t>
  </si>
  <si>
    <t>YLAB</t>
  </si>
  <si>
    <t>yearn-finance-infrastructure-labs</t>
  </si>
  <si>
    <t>Yearn-finance Infrastructure Labs</t>
  </si>
  <si>
    <t>YEFIM</t>
  </si>
  <si>
    <t>yearn-finance-management</t>
  </si>
  <si>
    <t>Yearn Finance Management</t>
  </si>
  <si>
    <t>YFN</t>
  </si>
  <si>
    <t>yearn-finance-network</t>
  </si>
  <si>
    <t>Yearn Finance Network</t>
  </si>
  <si>
    <t>YFPI</t>
  </si>
  <si>
    <t>yearn-finance-passive-income</t>
  </si>
  <si>
    <t>Yearn Finance Passive Income</t>
  </si>
  <si>
    <t>YFRM</t>
  </si>
  <si>
    <t>yearn-finance-red-moon</t>
  </si>
  <si>
    <t>Yearn Finance Red Moon</t>
  </si>
  <si>
    <t>YFIV</t>
  </si>
  <si>
    <t>yearn-finance-value</t>
  </si>
  <si>
    <t>Yearn Finance Value</t>
  </si>
  <si>
    <t>yearn-finance-wormhole</t>
  </si>
  <si>
    <t>yearn.finance (Wormhole)</t>
  </si>
  <si>
    <t>YLB</t>
  </si>
  <si>
    <t>yearnlab</t>
  </si>
  <si>
    <t>Yearnlab</t>
  </si>
  <si>
    <t>YLA</t>
  </si>
  <si>
    <t>yearn-lazy-ape</t>
  </si>
  <si>
    <t>Yearn Lazy Ape</t>
  </si>
  <si>
    <t>YSEC</t>
  </si>
  <si>
    <t>yearn-secure</t>
  </si>
  <si>
    <t>Yearn Secure</t>
  </si>
  <si>
    <t>YEE</t>
  </si>
  <si>
    <t>yee</t>
  </si>
  <si>
    <t>Yee</t>
  </si>
  <si>
    <t>yefi</t>
  </si>
  <si>
    <t>YeFi</t>
  </si>
  <si>
    <t>yeld-finance</t>
  </si>
  <si>
    <t>Yeld Finance</t>
  </si>
  <si>
    <t>YEL</t>
  </si>
  <si>
    <t>yel-finance</t>
  </si>
  <si>
    <t>Yel.Finance</t>
  </si>
  <si>
    <t>HRTS</t>
  </si>
  <si>
    <t>yellowheart-protocol</t>
  </si>
  <si>
    <t>YellowHeart Protocol</t>
  </si>
  <si>
    <t>yellow-road</t>
  </si>
  <si>
    <t>Yellow Road</t>
  </si>
  <si>
    <t>YMS</t>
  </si>
  <si>
    <t>yeni-malatyaspor-token</t>
  </si>
  <si>
    <t>Yeni Malatyaspor Token</t>
  </si>
  <si>
    <t>YTN</t>
  </si>
  <si>
    <t>yenten</t>
  </si>
  <si>
    <t>YENTEN</t>
  </si>
  <si>
    <t>YON</t>
  </si>
  <si>
    <t>yesorno</t>
  </si>
  <si>
    <t>YESorNO</t>
  </si>
  <si>
    <t>YETIC</t>
  </si>
  <si>
    <t>yeticoin</t>
  </si>
  <si>
    <t>YetiCoin</t>
  </si>
  <si>
    <t>yeti-finance</t>
  </si>
  <si>
    <t>Yeti Finance</t>
  </si>
  <si>
    <t>YTS</t>
  </si>
  <si>
    <t>yetiswap</t>
  </si>
  <si>
    <t>YetiSwap</t>
  </si>
  <si>
    <t>YFBETA</t>
  </si>
  <si>
    <t>yfbeta</t>
  </si>
  <si>
    <t>yfBeta</t>
  </si>
  <si>
    <t>YF-DAI</t>
  </si>
  <si>
    <t>yfdai-finance</t>
  </si>
  <si>
    <t>YfDAI.finance</t>
  </si>
  <si>
    <t>YFD</t>
  </si>
  <si>
    <t>yfdfi-finance</t>
  </si>
  <si>
    <t>Your Finance Decentralized</t>
  </si>
  <si>
    <t>YFE</t>
  </si>
  <si>
    <t>yfe-money</t>
  </si>
  <si>
    <t>YFE Money</t>
  </si>
  <si>
    <t>YFF</t>
  </si>
  <si>
    <t>yff-finance</t>
  </si>
  <si>
    <t>YFF.Finance</t>
  </si>
  <si>
    <t>YFFI</t>
  </si>
  <si>
    <t>yffi-finance</t>
  </si>
  <si>
    <t>yffi finance</t>
  </si>
  <si>
    <t>YFFII</t>
  </si>
  <si>
    <t>yffii-finance</t>
  </si>
  <si>
    <t>YFFII Finance</t>
  </si>
  <si>
    <t>YFFS</t>
  </si>
  <si>
    <t>yffs</t>
  </si>
  <si>
    <t>YFFS Finance</t>
  </si>
  <si>
    <t>YFII</t>
  </si>
  <si>
    <t>yfii-finance</t>
  </si>
  <si>
    <t>DFI.money</t>
  </si>
  <si>
    <t>YFIIG</t>
  </si>
  <si>
    <t>yfii-gold</t>
  </si>
  <si>
    <t>YFII Gold</t>
  </si>
  <si>
    <t>YFILD</t>
  </si>
  <si>
    <t>yfilend-finance</t>
  </si>
  <si>
    <t>YFILEND.FINANCE</t>
  </si>
  <si>
    <t>YFO</t>
  </si>
  <si>
    <t>yfione</t>
  </si>
  <si>
    <t>YFIONE</t>
  </si>
  <si>
    <t>YFIX</t>
  </si>
  <si>
    <t>yfix-finance</t>
  </si>
  <si>
    <t>YFIX.finance</t>
  </si>
  <si>
    <t>YFL</t>
  </si>
  <si>
    <t>yflink</t>
  </si>
  <si>
    <t>YF Link</t>
  </si>
  <si>
    <t>YFOS</t>
  </si>
  <si>
    <t>yfos-finance</t>
  </si>
  <si>
    <t>YFOS.finance</t>
  </si>
  <si>
    <t>YFOX</t>
  </si>
  <si>
    <t>yfox-finance</t>
  </si>
  <si>
    <t>YFOX Finance</t>
  </si>
  <si>
    <t>YFPRO</t>
  </si>
  <si>
    <t>yfpro-finance</t>
  </si>
  <si>
    <t>YFPRO Finance</t>
  </si>
  <si>
    <t>YFSI</t>
  </si>
  <si>
    <t>yfscience</t>
  </si>
  <si>
    <t>Yfscience</t>
  </si>
  <si>
    <t>YFTE</t>
  </si>
  <si>
    <t>yftether</t>
  </si>
  <si>
    <t>YFTether</t>
  </si>
  <si>
    <t>YFU</t>
  </si>
  <si>
    <t>yfu-finance</t>
  </si>
  <si>
    <t>yfu.finance</t>
  </si>
  <si>
    <t>YFX</t>
  </si>
  <si>
    <t>yfx</t>
  </si>
  <si>
    <t>Your Futures Exchange</t>
  </si>
  <si>
    <t>YI12</t>
  </si>
  <si>
    <t>yi12-stfinance</t>
  </si>
  <si>
    <t>Yield Stake Finance</t>
  </si>
  <si>
    <t>YLD</t>
  </si>
  <si>
    <t>yield-app</t>
  </si>
  <si>
    <t>YIELD App</t>
  </si>
  <si>
    <t>YBX</t>
  </si>
  <si>
    <t>yieldblox</t>
  </si>
  <si>
    <t>YieldBlox</t>
  </si>
  <si>
    <t>YGG</t>
  </si>
  <si>
    <t>yield-guild-games</t>
  </si>
  <si>
    <t>Yield Guild Games</t>
  </si>
  <si>
    <t>yield-guild-games-south-east-asia</t>
  </si>
  <si>
    <t>Yield Guild Games South East Asia</t>
  </si>
  <si>
    <t>yield-guild-games-wormhole</t>
  </si>
  <si>
    <t>Yield Guild Games (Wormhole)</t>
  </si>
  <si>
    <t>yield-hunt</t>
  </si>
  <si>
    <t>Yield Hunt</t>
  </si>
  <si>
    <t>YLDY</t>
  </si>
  <si>
    <t>yieldly</t>
  </si>
  <si>
    <t>Yieldly</t>
  </si>
  <si>
    <t>YOP</t>
  </si>
  <si>
    <t>yield-optimization-platform</t>
  </si>
  <si>
    <t>Yield Optimization Platform &amp; Protocol</t>
  </si>
  <si>
    <t>LORY</t>
  </si>
  <si>
    <t>yield-parrot</t>
  </si>
  <si>
    <t>Yield Parrot</t>
  </si>
  <si>
    <t>yield-protocol</t>
  </si>
  <si>
    <t>Yield Protocol</t>
  </si>
  <si>
    <t>yieldwars-com</t>
  </si>
  <si>
    <t>YieldWars</t>
  </si>
  <si>
    <t>WATCH</t>
  </si>
  <si>
    <t>yieldwatch</t>
  </si>
  <si>
    <t>Yieldwatch</t>
  </si>
  <si>
    <t>YAK</t>
  </si>
  <si>
    <t>yield-yak</t>
  </si>
  <si>
    <t>Yield Yak</t>
  </si>
  <si>
    <t>YINBI</t>
  </si>
  <si>
    <t>yinbi</t>
  </si>
  <si>
    <t>Yinbi</t>
  </si>
  <si>
    <t>YIN</t>
  </si>
  <si>
    <t>yin-finance</t>
  </si>
  <si>
    <t>YIN Finance</t>
  </si>
  <si>
    <t>YMPA</t>
  </si>
  <si>
    <t>ymplepay</t>
  </si>
  <si>
    <t>YmplePay</t>
  </si>
  <si>
    <t>YO</t>
  </si>
  <si>
    <t>yobit-token</t>
  </si>
  <si>
    <t>Yobit Token</t>
  </si>
  <si>
    <t>YOC</t>
  </si>
  <si>
    <t>yocoin</t>
  </si>
  <si>
    <t>Yocoin</t>
  </si>
  <si>
    <t>YOCO</t>
  </si>
  <si>
    <t>yocoinyoco</t>
  </si>
  <si>
    <t>YocoinYOCO</t>
  </si>
  <si>
    <t>YOGO</t>
  </si>
  <si>
    <t>yogo</t>
  </si>
  <si>
    <t>Yogo</t>
  </si>
  <si>
    <t>yohero</t>
  </si>
  <si>
    <t>YoHero</t>
  </si>
  <si>
    <t>YHC</t>
  </si>
  <si>
    <t>yohero-yhc</t>
  </si>
  <si>
    <t>YoHero (YHC)</t>
  </si>
  <si>
    <t>YOSI</t>
  </si>
  <si>
    <t>yoi-shiba-inu</t>
  </si>
  <si>
    <t>Yoi Shiba Inu</t>
  </si>
  <si>
    <t>YOK</t>
  </si>
  <si>
    <t>yokcoin</t>
  </si>
  <si>
    <t>YOKcoin</t>
  </si>
  <si>
    <t>YLC</t>
  </si>
  <si>
    <t>yolo-cash</t>
  </si>
  <si>
    <t>YOLOCash</t>
  </si>
  <si>
    <t>YOOSHI</t>
  </si>
  <si>
    <t>yooshi</t>
  </si>
  <si>
    <t>YooShi</t>
  </si>
  <si>
    <t>YSHIBAINU</t>
  </si>
  <si>
    <t>yooshiba-inu</t>
  </si>
  <si>
    <t>Yooshiba Inu</t>
  </si>
  <si>
    <t>YPLX</t>
  </si>
  <si>
    <t>yoplex</t>
  </si>
  <si>
    <t>Yoplex</t>
  </si>
  <si>
    <t>YOSHI</t>
  </si>
  <si>
    <t>yoshi-exchange</t>
  </si>
  <si>
    <t>Yoshi.exchange</t>
  </si>
  <si>
    <t>YOUC</t>
  </si>
  <si>
    <t>youcash</t>
  </si>
  <si>
    <t>YOUcash</t>
  </si>
  <si>
    <t>YOU</t>
  </si>
  <si>
    <t>you-chain</t>
  </si>
  <si>
    <t>YOU Chain</t>
  </si>
  <si>
    <t>YCT</t>
  </si>
  <si>
    <t>youclout</t>
  </si>
  <si>
    <t>Youclout</t>
  </si>
  <si>
    <t>UC</t>
  </si>
  <si>
    <t>youlive-coin</t>
  </si>
  <si>
    <t>YouLive Coin</t>
  </si>
  <si>
    <t>UMINT</t>
  </si>
  <si>
    <t>youminter</t>
  </si>
  <si>
    <t>YouMinter</t>
  </si>
  <si>
    <t>YBO</t>
  </si>
  <si>
    <t>young-boys-fan-token</t>
  </si>
  <si>
    <t>Young Boys Fan Token</t>
  </si>
  <si>
    <t>YPC</t>
  </si>
  <si>
    <t>youngparrot</t>
  </si>
  <si>
    <t>YoungParrot</t>
  </si>
  <si>
    <t>YOUR</t>
  </si>
  <si>
    <t>your</t>
  </si>
  <si>
    <t>Your</t>
  </si>
  <si>
    <t>YKS</t>
  </si>
  <si>
    <t>yourkiss</t>
  </si>
  <si>
    <t>YourKiss</t>
  </si>
  <si>
    <t>YOM</t>
  </si>
  <si>
    <t>your-open-metaverse</t>
  </si>
  <si>
    <t>Your Open Metaverse</t>
  </si>
  <si>
    <t>youswap</t>
  </si>
  <si>
    <t>YouSwap</t>
  </si>
  <si>
    <t>UUSD</t>
  </si>
  <si>
    <t>youves-uusd</t>
  </si>
  <si>
    <t>Youves uUSD</t>
  </si>
  <si>
    <t>youves-you-governance</t>
  </si>
  <si>
    <t>Youves YOU Governance</t>
  </si>
  <si>
    <t>youwho</t>
  </si>
  <si>
    <t>Youwho</t>
  </si>
  <si>
    <t>YOYOW</t>
  </si>
  <si>
    <t>yoyow</t>
  </si>
  <si>
    <t>YRISE</t>
  </si>
  <si>
    <t>yrise-finance</t>
  </si>
  <si>
    <t>yRise Finance</t>
  </si>
  <si>
    <t>YSL</t>
  </si>
  <si>
    <t>ysl</t>
  </si>
  <si>
    <t>YSOY</t>
  </si>
  <si>
    <t>ysoy-chain</t>
  </si>
  <si>
    <t>YSOY Chain</t>
  </si>
  <si>
    <t>YSR</t>
  </si>
  <si>
    <t>ystar</t>
  </si>
  <si>
    <t>Ystar</t>
  </si>
  <si>
    <t>YTOFU</t>
  </si>
  <si>
    <t>ytofu</t>
  </si>
  <si>
    <t>yTOFU</t>
  </si>
  <si>
    <t>YTV</t>
  </si>
  <si>
    <t>ytv-coin</t>
  </si>
  <si>
    <t>YTV Coin</t>
  </si>
  <si>
    <t>YCC</t>
  </si>
  <si>
    <t>yuan-chain-coin</t>
  </si>
  <si>
    <t>Yuan Chain Coin</t>
  </si>
  <si>
    <t>YUCT</t>
  </si>
  <si>
    <t>yucreat</t>
  </si>
  <si>
    <t>Yucreat</t>
  </si>
  <si>
    <t>YUGI</t>
  </si>
  <si>
    <t>yugi</t>
  </si>
  <si>
    <t>Yugi</t>
  </si>
  <si>
    <t>YUMMY</t>
  </si>
  <si>
    <t>yummy</t>
  </si>
  <si>
    <t>Yummy</t>
  </si>
  <si>
    <t>YUN</t>
  </si>
  <si>
    <t>yunex</t>
  </si>
  <si>
    <t>YunEx Yun Token</t>
  </si>
  <si>
    <t>YUP</t>
  </si>
  <si>
    <t>yup</t>
  </si>
  <si>
    <t>Yup</t>
  </si>
  <si>
    <t>YUSD</t>
  </si>
  <si>
    <t>yusd-stablecoin</t>
  </si>
  <si>
    <t>YUSD Stablecoin</t>
  </si>
  <si>
    <t>YUSE</t>
  </si>
  <si>
    <t>yuse</t>
  </si>
  <si>
    <t>Yuse</t>
  </si>
  <si>
    <t>YUSRA</t>
  </si>
  <si>
    <t>yusra</t>
  </si>
  <si>
    <t>YUZU</t>
  </si>
  <si>
    <t>yuzuswap</t>
  </si>
  <si>
    <t>YuzuSwap</t>
  </si>
  <si>
    <t>YVAULT-LP-YCURVE</t>
  </si>
  <si>
    <t>yvault-lp-ycurve</t>
  </si>
  <si>
    <t>yUSD</t>
  </si>
  <si>
    <t>YVBOOST</t>
  </si>
  <si>
    <t>yvboost</t>
  </si>
  <si>
    <t>Yearn Compounding veCRV yVault</t>
  </si>
  <si>
    <t>YVS</t>
  </si>
  <si>
    <t>yvs-finance</t>
  </si>
  <si>
    <t>YVS Finance</t>
  </si>
  <si>
    <t>YYE</t>
  </si>
  <si>
    <t>yye-energy</t>
  </si>
  <si>
    <t>YYE Energy</t>
  </si>
  <si>
    <t>ZABAKU</t>
  </si>
  <si>
    <t>zabaku-inu</t>
  </si>
  <si>
    <t>Zabaku Inu</t>
  </si>
  <si>
    <t>ZABU</t>
  </si>
  <si>
    <t>zabu-token</t>
  </si>
  <si>
    <t>Zabu</t>
  </si>
  <si>
    <t>ZAC</t>
  </si>
  <si>
    <t>zac</t>
  </si>
  <si>
    <t>ZADA</t>
  </si>
  <si>
    <t>zada</t>
  </si>
  <si>
    <t>Zada</t>
  </si>
  <si>
    <t>ZFAI</t>
  </si>
  <si>
    <t>zafira</t>
  </si>
  <si>
    <t>Zafira</t>
  </si>
  <si>
    <t>ZEG</t>
  </si>
  <si>
    <t>zagent-gem</t>
  </si>
  <si>
    <t>Zagent Gem</t>
  </si>
  <si>
    <t>ZAIF</t>
  </si>
  <si>
    <t>zaif-token</t>
  </si>
  <si>
    <t>Zaif Token</t>
  </si>
  <si>
    <t>zaigar-finance</t>
  </si>
  <si>
    <t>Zaigar Finance</t>
  </si>
  <si>
    <t>ZGD</t>
  </si>
  <si>
    <t>zambesigold</t>
  </si>
  <si>
    <t>ZambesiGold</t>
  </si>
  <si>
    <t>ZAM</t>
  </si>
  <si>
    <t>zam-io</t>
  </si>
  <si>
    <t>Zam.io</t>
  </si>
  <si>
    <t>ZAMZAM</t>
  </si>
  <si>
    <t>zamzam</t>
  </si>
  <si>
    <t>ZANO</t>
  </si>
  <si>
    <t>zano</t>
  </si>
  <si>
    <t>Zano</t>
  </si>
  <si>
    <t>ZANTEPAY</t>
  </si>
  <si>
    <t>zantepay</t>
  </si>
  <si>
    <t>Zantepay</t>
  </si>
  <si>
    <t>ZAP</t>
  </si>
  <si>
    <t>zap</t>
  </si>
  <si>
    <t>Zap</t>
  </si>
  <si>
    <t>zappy</t>
  </si>
  <si>
    <t>Zappy</t>
  </si>
  <si>
    <t>ZARH</t>
  </si>
  <si>
    <t>zarcash</t>
  </si>
  <si>
    <t>Zarhexcash</t>
  </si>
  <si>
    <t>ZUSD</t>
  </si>
  <si>
    <t>zasset-zusd</t>
  </si>
  <si>
    <t>Zasset zUSD</t>
  </si>
  <si>
    <t>ZATCOIN</t>
  </si>
  <si>
    <t>zatcoin</t>
  </si>
  <si>
    <t>ZatCoin</t>
  </si>
  <si>
    <t>ZB</t>
  </si>
  <si>
    <t>zb-token</t>
  </si>
  <si>
    <t>ZB Token</t>
  </si>
  <si>
    <t>ZEC</t>
  </si>
  <si>
    <t>zcash</t>
  </si>
  <si>
    <t>Zcash</t>
  </si>
  <si>
    <t>ZCC</t>
  </si>
  <si>
    <t>zccoin</t>
  </si>
  <si>
    <t>ZcCoin</t>
  </si>
  <si>
    <t>ZCL</t>
  </si>
  <si>
    <t>zclassic</t>
  </si>
  <si>
    <t>Zclassic</t>
  </si>
  <si>
    <t>FIRO</t>
  </si>
  <si>
    <t>zcoin</t>
  </si>
  <si>
    <t>Firo</t>
  </si>
  <si>
    <t>ZCON</t>
  </si>
  <si>
    <t>zcon-protocol</t>
  </si>
  <si>
    <t>Zcon Protocol</t>
  </si>
  <si>
    <t>ZCR</t>
  </si>
  <si>
    <t>zcore</t>
  </si>
  <si>
    <t>ZCore</t>
  </si>
  <si>
    <t>ZEFI</t>
  </si>
  <si>
    <t>zcore-finance</t>
  </si>
  <si>
    <t>ZCore Finance</t>
  </si>
  <si>
    <t>NZL</t>
  </si>
  <si>
    <t>zealium</t>
  </si>
  <si>
    <t>Zealium</t>
  </si>
  <si>
    <t>ZBC</t>
  </si>
  <si>
    <t>zebec-protocol</t>
  </si>
  <si>
    <t>Zebec Protocol</t>
  </si>
  <si>
    <t>ZCO</t>
  </si>
  <si>
    <t>zebi</t>
  </si>
  <si>
    <t>Zebi</t>
  </si>
  <si>
    <t>ZEDXION</t>
  </si>
  <si>
    <t>zedxion</t>
  </si>
  <si>
    <t>Zedxion</t>
  </si>
  <si>
    <t>ZDEX</t>
  </si>
  <si>
    <t>zeedex</t>
  </si>
  <si>
    <t>Zeedex</t>
  </si>
  <si>
    <t>ZPT</t>
  </si>
  <si>
    <t>zeepin</t>
  </si>
  <si>
    <t>Zeepin</t>
  </si>
  <si>
    <t>ZEIT</t>
  </si>
  <si>
    <t>zeitcoin</t>
  </si>
  <si>
    <t>Zeitcoin</t>
  </si>
  <si>
    <t>ZPAE</t>
  </si>
  <si>
    <t>zelaapayae</t>
  </si>
  <si>
    <t>ZelaaPayAE</t>
  </si>
  <si>
    <t>zelcash</t>
  </si>
  <si>
    <t>Flux</t>
  </si>
  <si>
    <t>ZLDA</t>
  </si>
  <si>
    <t>zelda-inu</t>
  </si>
  <si>
    <t>Zelda Inu</t>
  </si>
  <si>
    <t>ERW</t>
  </si>
  <si>
    <t>zeloop-eco-reward</t>
  </si>
  <si>
    <t>ZeLoop Eco Reward</t>
  </si>
  <si>
    <t>ZLW</t>
  </si>
  <si>
    <t>zelwin</t>
  </si>
  <si>
    <t>Zelwin</t>
  </si>
  <si>
    <t>ZND</t>
  </si>
  <si>
    <t>zenad</t>
  </si>
  <si>
    <t>Zenad</t>
  </si>
  <si>
    <t>ZEN</t>
  </si>
  <si>
    <t>zencash</t>
  </si>
  <si>
    <t>Horizen</t>
  </si>
  <si>
    <t>ZENC</t>
  </si>
  <si>
    <t>zenc-coin</t>
  </si>
  <si>
    <t>Zenc Coin</t>
  </si>
  <si>
    <t>ZENFI</t>
  </si>
  <si>
    <t>zenfi-ai</t>
  </si>
  <si>
    <t>ZenFi AI</t>
  </si>
  <si>
    <t>ZEFU</t>
  </si>
  <si>
    <t>zenfuse</t>
  </si>
  <si>
    <t>Zenfuse</t>
  </si>
  <si>
    <t>ZENITH</t>
  </si>
  <si>
    <t>zenith-chain</t>
  </si>
  <si>
    <t>Zenith Chain</t>
  </si>
  <si>
    <t>ZENX</t>
  </si>
  <si>
    <t>zenith-token</t>
  </si>
  <si>
    <t>ZenithX</t>
  </si>
  <si>
    <t>ZLK</t>
  </si>
  <si>
    <t>zenlink-network-token</t>
  </si>
  <si>
    <t>Zenlink Network</t>
  </si>
  <si>
    <t>ZENI</t>
  </si>
  <si>
    <t>zennies</t>
  </si>
  <si>
    <t>Zennies</t>
  </si>
  <si>
    <t>ZENO</t>
  </si>
  <si>
    <t>zeno-inu</t>
  </si>
  <si>
    <t>Zeno Inu</t>
  </si>
  <si>
    <t>ZNN</t>
  </si>
  <si>
    <t>zenon</t>
  </si>
  <si>
    <t>Zenon</t>
  </si>
  <si>
    <t>SPORTS</t>
  </si>
  <si>
    <t>zensports</t>
  </si>
  <si>
    <t>ZenSports</t>
  </si>
  <si>
    <t>ZNT</t>
  </si>
  <si>
    <t>zenswap-network-token</t>
  </si>
  <si>
    <t>Zenswap Network Token</t>
  </si>
  <si>
    <t>ZTC</t>
  </si>
  <si>
    <t>zent-cash</t>
  </si>
  <si>
    <t>Zent Cash</t>
  </si>
  <si>
    <t>ZNZ</t>
  </si>
  <si>
    <t>zenzo</t>
  </si>
  <si>
    <t>ZENZO</t>
  </si>
  <si>
    <t>ZEON</t>
  </si>
  <si>
    <t>zeon</t>
  </si>
  <si>
    <t>ZEON Network</t>
  </si>
  <si>
    <t>ZEOS</t>
  </si>
  <si>
    <t>zeos</t>
  </si>
  <si>
    <t>ZPTC</t>
  </si>
  <si>
    <t>zeptagram</t>
  </si>
  <si>
    <t>Zeptacoin</t>
  </si>
  <si>
    <t>ZDX</t>
  </si>
  <si>
    <t>zer-dex</t>
  </si>
  <si>
    <t>Zer-Dex</t>
  </si>
  <si>
    <t>ZER</t>
  </si>
  <si>
    <t>zero</t>
  </si>
  <si>
    <t>Zero</t>
  </si>
  <si>
    <t>ZERO</t>
  </si>
  <si>
    <t>zero-exchange</t>
  </si>
  <si>
    <t>0.exchange</t>
  </si>
  <si>
    <t>zerogoki</t>
  </si>
  <si>
    <t>Zerogoki</t>
  </si>
  <si>
    <t>ZHT</t>
  </si>
  <si>
    <t>zerohybrid</t>
  </si>
  <si>
    <t>ZeroHybrid Network</t>
  </si>
  <si>
    <t>ZNS</t>
  </si>
  <si>
    <t>zeronauts</t>
  </si>
  <si>
    <t>Zeronauts</t>
  </si>
  <si>
    <t>ZEE</t>
  </si>
  <si>
    <t>zeroswap</t>
  </si>
  <si>
    <t>ZeroSwap</t>
  </si>
  <si>
    <t>zero-tech</t>
  </si>
  <si>
    <t>Zero Tech</t>
  </si>
  <si>
    <t>Z2O</t>
  </si>
  <si>
    <t>zerotwohm</t>
  </si>
  <si>
    <t>ZeroTwOhm</t>
  </si>
  <si>
    <t>X0Z</t>
  </si>
  <si>
    <t>zerozed</t>
  </si>
  <si>
    <t>Zerozed</t>
  </si>
  <si>
    <t>ZET</t>
  </si>
  <si>
    <t>zetacoin</t>
  </si>
  <si>
    <t>Zetacoin</t>
  </si>
  <si>
    <t>zeto</t>
  </si>
  <si>
    <t>ZeTo</t>
  </si>
  <si>
    <t>ZBTC</t>
  </si>
  <si>
    <t>zetta-bitcoin-hashrate-token</t>
  </si>
  <si>
    <t>Zetta Bitcoin Hashrate</t>
  </si>
  <si>
    <t>ZEUS10000</t>
  </si>
  <si>
    <t>zeus10000</t>
  </si>
  <si>
    <t>ZEUS</t>
  </si>
  <si>
    <t>zeus-node-finance</t>
  </si>
  <si>
    <t>Zeus Node Finance</t>
  </si>
  <si>
    <t>ZSC</t>
  </si>
  <si>
    <t>zeusshield</t>
  </si>
  <si>
    <t>Zeusshield</t>
  </si>
  <si>
    <t>ZUC</t>
  </si>
  <si>
    <t>zeuxcoin</t>
  </si>
  <si>
    <t>ZeuxCoin</t>
  </si>
  <si>
    <t>ZFARM</t>
  </si>
  <si>
    <t>zfarm</t>
  </si>
  <si>
    <t>ZFarm</t>
  </si>
  <si>
    <t>ZIG</t>
  </si>
  <si>
    <t>zignaly</t>
  </si>
  <si>
    <t>Zignaly</t>
  </si>
  <si>
    <t>ZIK</t>
  </si>
  <si>
    <t>zik-token</t>
  </si>
  <si>
    <t>Ziktalk</t>
  </si>
  <si>
    <t>zilchess</t>
  </si>
  <si>
    <t>ZilChess</t>
  </si>
  <si>
    <t>ZLA</t>
  </si>
  <si>
    <t>zilla</t>
  </si>
  <si>
    <t>Zilla</t>
  </si>
  <si>
    <t>ZD</t>
  </si>
  <si>
    <t>zilla-dao</t>
  </si>
  <si>
    <t>Zilla DAO</t>
  </si>
  <si>
    <t>ZILLA</t>
  </si>
  <si>
    <t>zilla-finance-2-0</t>
  </si>
  <si>
    <t>Zilla Finance 2.0</t>
  </si>
  <si>
    <t>ZSHARE</t>
  </si>
  <si>
    <t>zilla-shares</t>
  </si>
  <si>
    <t>Zilla Shares</t>
  </si>
  <si>
    <t>zilla-shares-2-0</t>
  </si>
  <si>
    <t>Zilla Shares 2.0</t>
  </si>
  <si>
    <t>ZLN</t>
  </si>
  <si>
    <t>zillioncoin</t>
  </si>
  <si>
    <t>ZillionCoin</t>
  </si>
  <si>
    <t>ZIL</t>
  </si>
  <si>
    <t>zilliqa</t>
  </si>
  <si>
    <t>Zilliqa</t>
  </si>
  <si>
    <t>ZLP</t>
  </si>
  <si>
    <t>zilpay-wallet</t>
  </si>
  <si>
    <t>ZilPay Wallet</t>
  </si>
  <si>
    <t>STREAM</t>
  </si>
  <si>
    <t>zilstream</t>
  </si>
  <si>
    <t>ZilStream</t>
  </si>
  <si>
    <t>SRV</t>
  </si>
  <si>
    <t>zilsurvey</t>
  </si>
  <si>
    <t>zilSurvey</t>
  </si>
  <si>
    <t>ZWAP</t>
  </si>
  <si>
    <t>zilswap</t>
  </si>
  <si>
    <t>ZilSwap</t>
  </si>
  <si>
    <t>ZWALL</t>
  </si>
  <si>
    <t>zilwall</t>
  </si>
  <si>
    <t>ZilWall</t>
  </si>
  <si>
    <t>ZPAINT</t>
  </si>
  <si>
    <t>zilwall-paint</t>
  </si>
  <si>
    <t>ZilWall Paint</t>
  </si>
  <si>
    <t>ZASH</t>
  </si>
  <si>
    <t>zimbocash</t>
  </si>
  <si>
    <t>ZIMBOCASH</t>
  </si>
  <si>
    <t>ZIN</t>
  </si>
  <si>
    <t>zin</t>
  </si>
  <si>
    <t>Zin</t>
  </si>
  <si>
    <t>ZINA</t>
  </si>
  <si>
    <t>zinari</t>
  </si>
  <si>
    <t>ZINARI</t>
  </si>
  <si>
    <t>Z</t>
  </si>
  <si>
    <t>zinja</t>
  </si>
  <si>
    <t>Zinja</t>
  </si>
  <si>
    <t>ZION</t>
  </si>
  <si>
    <t>zion</t>
  </si>
  <si>
    <t>Zion</t>
  </si>
  <si>
    <t>ZNC</t>
  </si>
  <si>
    <t>zioncoin</t>
  </si>
  <si>
    <t>ZionCoin</t>
  </si>
  <si>
    <t>ZIOX</t>
  </si>
  <si>
    <t>zionomics</t>
  </si>
  <si>
    <t>Zionomics</t>
  </si>
  <si>
    <t>ZIOT</t>
  </si>
  <si>
    <t>ziot</t>
  </si>
  <si>
    <t>Ziot</t>
  </si>
  <si>
    <t>ZIP</t>
  </si>
  <si>
    <t>zip</t>
  </si>
  <si>
    <t>Zipper Network</t>
  </si>
  <si>
    <t>ZMT</t>
  </si>
  <si>
    <t>zipmex-token</t>
  </si>
  <si>
    <t>Zipmex</t>
  </si>
  <si>
    <t>ZIPT</t>
  </si>
  <si>
    <t>zippie</t>
  </si>
  <si>
    <t>Zippie</t>
  </si>
  <si>
    <t>zipswap</t>
  </si>
  <si>
    <t>ZipSwap</t>
  </si>
  <si>
    <t>ZIRVE</t>
  </si>
  <si>
    <t>zirve-coin</t>
  </si>
  <si>
    <t>Zirve Coin</t>
  </si>
  <si>
    <t>ZITI</t>
  </si>
  <si>
    <t>ziticoin</t>
  </si>
  <si>
    <t>Ziticoin</t>
  </si>
  <si>
    <t>ZJLT</t>
  </si>
  <si>
    <t>zjlt-distributed-factoring-network</t>
  </si>
  <si>
    <t>ZJLT Distributed Factoring Network</t>
  </si>
  <si>
    <t>ZJOE</t>
  </si>
  <si>
    <t>zjoe</t>
  </si>
  <si>
    <t>zJOE</t>
  </si>
  <si>
    <t>ZKS</t>
  </si>
  <si>
    <t>zkspace</t>
  </si>
  <si>
    <t>ZKSpace</t>
  </si>
  <si>
    <t>ZKT</t>
  </si>
  <si>
    <t>zktube</t>
  </si>
  <si>
    <t>zkTube</t>
  </si>
  <si>
    <t>ZLOT</t>
  </si>
  <si>
    <t>zlot</t>
  </si>
  <si>
    <t>zLOT</t>
  </si>
  <si>
    <t>ZMN</t>
  </si>
  <si>
    <t>zmine</t>
  </si>
  <si>
    <t>ZMINE</t>
  </si>
  <si>
    <t>ZDC</t>
  </si>
  <si>
    <t>zodiac</t>
  </si>
  <si>
    <t>Zodiac</t>
  </si>
  <si>
    <t>zodiacdao</t>
  </si>
  <si>
    <t>ZodiacDAO</t>
  </si>
  <si>
    <t>zodiacs</t>
  </si>
  <si>
    <t>Zodiacs</t>
  </si>
  <si>
    <t>ZDCV2</t>
  </si>
  <si>
    <t>zodiacsv2</t>
  </si>
  <si>
    <t>ZodiacsV2</t>
  </si>
  <si>
    <t>ZODI</t>
  </si>
  <si>
    <t>zodium</t>
  </si>
  <si>
    <t>Zodium</t>
  </si>
  <si>
    <t>ZOE</t>
  </si>
  <si>
    <t>zoe-cash</t>
  </si>
  <si>
    <t>Zoe Cash</t>
  </si>
  <si>
    <t>ZPAY</t>
  </si>
  <si>
    <t>zoid-pay</t>
  </si>
  <si>
    <t>ZoidPay</t>
  </si>
  <si>
    <t>zoints</t>
  </si>
  <si>
    <t>Zoints</t>
  </si>
  <si>
    <t>ZC</t>
  </si>
  <si>
    <t>zombiecake</t>
  </si>
  <si>
    <t>ZombieCake</t>
  </si>
  <si>
    <t>ZINU</t>
  </si>
  <si>
    <t>zombie-inu</t>
  </si>
  <si>
    <t>Zombie Inu</t>
  </si>
  <si>
    <t>zombie-network-blood</t>
  </si>
  <si>
    <t>Zombie Network Blood</t>
  </si>
  <si>
    <t>ZWZ</t>
  </si>
  <si>
    <t>zombie-world-z</t>
  </si>
  <si>
    <t>Zombie World Z</t>
  </si>
  <si>
    <t>ZOMFI</t>
  </si>
  <si>
    <t>zomfi</t>
  </si>
  <si>
    <t>Zomfi</t>
  </si>
  <si>
    <t>ZOMI</t>
  </si>
  <si>
    <t>zomi</t>
  </si>
  <si>
    <t>zone</t>
  </si>
  <si>
    <t>Zone</t>
  </si>
  <si>
    <t>ZNE</t>
  </si>
  <si>
    <t>zonecoin</t>
  </si>
  <si>
    <t>Zonecoin</t>
  </si>
  <si>
    <t>ZOA</t>
  </si>
  <si>
    <t>zone-of-avoidance</t>
  </si>
  <si>
    <t>Zone of Avoidance</t>
  </si>
  <si>
    <t>ZONO</t>
  </si>
  <si>
    <t>zonoswap</t>
  </si>
  <si>
    <t>Zonoswap</t>
  </si>
  <si>
    <t>ZBT</t>
  </si>
  <si>
    <t>zoobit</t>
  </si>
  <si>
    <t>Zoobit</t>
  </si>
  <si>
    <t>zoo-coin</t>
  </si>
  <si>
    <t>ZooCoin</t>
  </si>
  <si>
    <t>zoo-crypto-world</t>
  </si>
  <si>
    <t>ZOO Crypto World</t>
  </si>
  <si>
    <t>zoodao</t>
  </si>
  <si>
    <t>ZooDAO</t>
  </si>
  <si>
    <t>zookeeper</t>
  </si>
  <si>
    <t>ZooKeeper</t>
  </si>
  <si>
    <t>zoo-labs</t>
  </si>
  <si>
    <t>Zoo Labs</t>
  </si>
  <si>
    <t>ZM</t>
  </si>
  <si>
    <t>zoomswap</t>
  </si>
  <si>
    <t>ZoomSwap</t>
  </si>
  <si>
    <t>ZOOSHI</t>
  </si>
  <si>
    <t>zooshi</t>
  </si>
  <si>
    <t>Zooshi</t>
  </si>
  <si>
    <t>ZOOT</t>
  </si>
  <si>
    <t>zoo-token</t>
  </si>
  <si>
    <t>Zoo</t>
  </si>
  <si>
    <t>ZORA</t>
  </si>
  <si>
    <t>zoracles</t>
  </si>
  <si>
    <t>Zoracles</t>
  </si>
  <si>
    <t>ZORO</t>
  </si>
  <si>
    <t>zoro-inu</t>
  </si>
  <si>
    <t>Zoro Inu</t>
  </si>
  <si>
    <t>ZPR</t>
  </si>
  <si>
    <t>zper</t>
  </si>
  <si>
    <t>ZPER</t>
  </si>
  <si>
    <t>ZRC</t>
  </si>
  <si>
    <t>zrcoin</t>
  </si>
  <si>
    <t>ZrCoin</t>
  </si>
  <si>
    <t>ZRO</t>
  </si>
  <si>
    <t>zro</t>
  </si>
  <si>
    <t>Carb0n.fi</t>
  </si>
  <si>
    <t>ZCOR</t>
  </si>
  <si>
    <t>zrocor</t>
  </si>
  <si>
    <t>Zrocor</t>
  </si>
  <si>
    <t>ZT</t>
  </si>
  <si>
    <t>ztcoin</t>
  </si>
  <si>
    <t>ZBG Token</t>
  </si>
  <si>
    <t>zuescrowdfunding</t>
  </si>
  <si>
    <t>ZeusNetwork</t>
  </si>
  <si>
    <t>ZUF</t>
  </si>
  <si>
    <t>zufinance</t>
  </si>
  <si>
    <t>ZuFinance</t>
  </si>
  <si>
    <t>ZUG</t>
  </si>
  <si>
    <t>zug</t>
  </si>
  <si>
    <t>EtherOrcs</t>
  </si>
  <si>
    <t>ZUKI</t>
  </si>
  <si>
    <t>zuki-moba</t>
  </si>
  <si>
    <t>Zuki Moba</t>
  </si>
  <si>
    <t>ZUM</t>
  </si>
  <si>
    <t>zumcoin</t>
  </si>
  <si>
    <t>ZumCoin</t>
  </si>
  <si>
    <t>zum-token</t>
  </si>
  <si>
    <t>ZUM TOKEN</t>
  </si>
  <si>
    <t>ZUNA</t>
  </si>
  <si>
    <t>zuna</t>
  </si>
  <si>
    <t>Zuna</t>
  </si>
  <si>
    <t>ZUPI</t>
  </si>
  <si>
    <t>zupi-coin</t>
  </si>
  <si>
    <t>Zupi Coin</t>
  </si>
  <si>
    <t>zuplo</t>
  </si>
  <si>
    <t>Zuplo</t>
  </si>
  <si>
    <t>ZURR</t>
  </si>
  <si>
    <t>zurrency</t>
  </si>
  <si>
    <t>ZURRENCY</t>
  </si>
  <si>
    <t>zusd</t>
  </si>
  <si>
    <t>ZUZ</t>
  </si>
  <si>
    <t>zuz-protocol</t>
  </si>
  <si>
    <t>ZUZ Protocol</t>
  </si>
  <si>
    <t>ZYN</t>
  </si>
  <si>
    <t>zynecoin</t>
  </si>
  <si>
    <t>Zynecoin</t>
  </si>
  <si>
    <t>ZYRO</t>
  </si>
  <si>
    <t>zyro</t>
  </si>
  <si>
    <t>Zyro</t>
  </si>
  <si>
    <t>ZYR</t>
  </si>
  <si>
    <t>zyrri</t>
  </si>
  <si>
    <t>Zyrri</t>
  </si>
  <si>
    <t>zytara-dollar</t>
  </si>
  <si>
    <t>Zytara Dollar</t>
  </si>
  <si>
    <t>ZYX</t>
  </si>
  <si>
    <t>zyx</t>
  </si>
  <si>
    <t>Coin List</t>
  </si>
  <si>
    <t># of Days:</t>
  </si>
  <si>
    <t>hourly</t>
  </si>
  <si>
    <t>daily</t>
  </si>
  <si>
    <t>Index</t>
  </si>
  <si>
    <t>Date</t>
  </si>
  <si>
    <t>JumpToken</t>
  </si>
  <si>
    <t>LILY</t>
  </si>
  <si>
    <t>solily-protocol</t>
  </si>
  <si>
    <t>Solily Protocol</t>
  </si>
  <si>
    <t>Do Not Delete</t>
  </si>
  <si>
    <t>Coin Name:</t>
  </si>
  <si>
    <t>Intervail:</t>
  </si>
  <si>
    <t>Description</t>
  </si>
  <si>
    <t>Horizon</t>
  </si>
  <si>
    <t>BNBDRAGON</t>
  </si>
  <si>
    <t>bnb-dragon</t>
  </si>
  <si>
    <t>BnB Dragon</t>
  </si>
  <si>
    <t>bullshit-inu</t>
  </si>
  <si>
    <t>Bullshit Inu</t>
  </si>
  <si>
    <t>luckychip</t>
  </si>
  <si>
    <t>LuckyChip</t>
  </si>
  <si>
    <t>MBD</t>
  </si>
  <si>
    <t>mbd-financials</t>
  </si>
  <si>
    <t>MBD Financials</t>
  </si>
  <si>
    <t>meshswap-protocol</t>
  </si>
  <si>
    <t>Meshswap Protocol</t>
  </si>
  <si>
    <t>MYV</t>
  </si>
  <si>
    <t>money-versum</t>
  </si>
  <si>
    <t>Money Versum</t>
  </si>
  <si>
    <t>MCA</t>
  </si>
  <si>
    <t>movecash</t>
  </si>
  <si>
    <t>MoveCash</t>
  </si>
  <si>
    <t>MOVON</t>
  </si>
  <si>
    <t>movingon-finance</t>
  </si>
  <si>
    <t>MovingOn Finance</t>
  </si>
  <si>
    <t>MINU</t>
  </si>
  <si>
    <t>muu-inu</t>
  </si>
  <si>
    <t>Muu Inu</t>
  </si>
  <si>
    <t>the-bend</t>
  </si>
  <si>
    <t>The Bend</t>
  </si>
  <si>
    <t>triveum</t>
  </si>
  <si>
    <t>Triveum</t>
  </si>
  <si>
    <t>APEFI</t>
  </si>
  <si>
    <t>ape-finance</t>
  </si>
  <si>
    <t>Ape Finance</t>
  </si>
  <si>
    <t>APEUSD</t>
  </si>
  <si>
    <t>apeusd</t>
  </si>
  <si>
    <t>ApeUSD</t>
  </si>
  <si>
    <t>bee-capital</t>
  </si>
  <si>
    <t>Bee Capital</t>
  </si>
  <si>
    <t>COKE</t>
  </si>
  <si>
    <t>bitcoke</t>
  </si>
  <si>
    <t>BitCoke</t>
  </si>
  <si>
    <t>fox-financev2</t>
  </si>
  <si>
    <t>Fox Finance V2</t>
  </si>
  <si>
    <t>luna-inu</t>
  </si>
  <si>
    <t>Luna Inu</t>
  </si>
  <si>
    <t>SLRR</t>
  </si>
  <si>
    <t>solarr</t>
  </si>
  <si>
    <t>Solarr</t>
  </si>
  <si>
    <t>Around Network [OLD]</t>
  </si>
  <si>
    <t>around-network-2</t>
  </si>
  <si>
    <t>All Sports [OLD]</t>
  </si>
  <si>
    <t>all-sports-2</t>
  </si>
  <si>
    <t>Chart Ranges</t>
  </si>
  <si>
    <t>Min</t>
  </si>
  <si>
    <t>Max</t>
  </si>
  <si>
    <t>Chart Title</t>
  </si>
  <si>
    <t>3X Long Stellar</t>
  </si>
  <si>
    <t>3X Short Stellar</t>
  </si>
  <si>
    <t>99DEFI</t>
  </si>
  <si>
    <t>99defi</t>
  </si>
  <si>
    <t>99Defi</t>
  </si>
  <si>
    <t>ACDX Exchange</t>
  </si>
  <si>
    <t>Adventure</t>
  </si>
  <si>
    <t>Anime</t>
  </si>
  <si>
    <t>Baby</t>
  </si>
  <si>
    <t>Bafi Finance</t>
  </si>
  <si>
    <t>BXS</t>
  </si>
  <si>
    <t>bancambios-ax</t>
  </si>
  <si>
    <t>Bancambios AX</t>
  </si>
  <si>
    <t>BHAT</t>
  </si>
  <si>
    <t>bhnetwork</t>
  </si>
  <si>
    <t>BHNetwork</t>
  </si>
  <si>
    <t>Bitberry</t>
  </si>
  <si>
    <t>BitOnyx</t>
  </si>
  <si>
    <t>BlackDragon</t>
  </si>
  <si>
    <t>BNB48 Club</t>
  </si>
  <si>
    <t>Forj</t>
  </si>
  <si>
    <t>BBI</t>
  </si>
  <si>
    <t>bridgesplit-brand-index</t>
  </si>
  <si>
    <t>Bridgesplit Brand Index</t>
  </si>
  <si>
    <t>CLXY</t>
  </si>
  <si>
    <t>calaxy</t>
  </si>
  <si>
    <t>Calaxy</t>
  </si>
  <si>
    <t>Cobak</t>
  </si>
  <si>
    <t>COSG</t>
  </si>
  <si>
    <t>cosmic-champs</t>
  </si>
  <si>
    <t>Cosmic Champs</t>
  </si>
  <si>
    <t>GOLDY</t>
  </si>
  <si>
    <t>defi-land-gold</t>
  </si>
  <si>
    <t>DeFi Land Gold</t>
  </si>
  <si>
    <t>DigiCol</t>
  </si>
  <si>
    <t>DLP Duck</t>
  </si>
  <si>
    <t>Elynet</t>
  </si>
  <si>
    <t>Escoin</t>
  </si>
  <si>
    <t>europa</t>
  </si>
  <si>
    <t>Europa</t>
  </si>
  <si>
    <t>gecoin</t>
  </si>
  <si>
    <t>Gecoin</t>
  </si>
  <si>
    <t>GRBT</t>
  </si>
  <si>
    <t>grinbit</t>
  </si>
  <si>
    <t>Grinbit</t>
  </si>
  <si>
    <t>Global Utility Smart Digital</t>
  </si>
  <si>
    <t>HLand</t>
  </si>
  <si>
    <t>Hub</t>
  </si>
  <si>
    <t>Kebab</t>
  </si>
  <si>
    <t>KRIPTO</t>
  </si>
  <si>
    <t>kripto</t>
  </si>
  <si>
    <t>Kripto</t>
  </si>
  <si>
    <t>LABS Group</t>
  </si>
  <si>
    <t>LWD</t>
  </si>
  <si>
    <t>landworld</t>
  </si>
  <si>
    <t>Landworld</t>
  </si>
  <si>
    <t>Mandala Exchange</t>
  </si>
  <si>
    <t>marbledao-block</t>
  </si>
  <si>
    <t>MarbleDao Block</t>
  </si>
  <si>
    <t>MetaPlay [OLD]</t>
  </si>
  <si>
    <t>MOSS</t>
  </si>
  <si>
    <t>moss-governance</t>
  </si>
  <si>
    <t>Moss Governance</t>
  </si>
  <si>
    <t>Name Change</t>
  </si>
  <si>
    <t>Nami Corporation</t>
  </si>
  <si>
    <t>Neutrino System Base</t>
  </si>
  <si>
    <t>NFCR</t>
  </si>
  <si>
    <t>nfcore</t>
  </si>
  <si>
    <t>NFCore</t>
  </si>
  <si>
    <t>NOIR</t>
  </si>
  <si>
    <t>OKC</t>
  </si>
  <si>
    <t>Power Index Pool</t>
  </si>
  <si>
    <t>Gangster Legends Cash</t>
  </si>
  <si>
    <t>SafeShiba [OLD]</t>
  </si>
  <si>
    <t>safeshiba-2</t>
  </si>
  <si>
    <t>Serum Ecosystem</t>
  </si>
  <si>
    <t>StakeEasy Secret Derivative Token</t>
  </si>
  <si>
    <t>SKMT</t>
  </si>
  <si>
    <t>Sora Validator</t>
  </si>
  <si>
    <t>spacefi</t>
  </si>
  <si>
    <t>SpaceFi</t>
  </si>
  <si>
    <t>UNION Protocol Governance</t>
  </si>
  <si>
    <t>World</t>
  </si>
  <si>
    <t>Xeno</t>
  </si>
  <si>
    <t>x-metaverse</t>
  </si>
  <si>
    <t>X-Metaverse</t>
  </si>
  <si>
    <t>XGBL</t>
  </si>
  <si>
    <t>xungible</t>
  </si>
  <si>
    <t>Xungible</t>
  </si>
  <si>
    <t>Yearn Ecosystem Index</t>
  </si>
  <si>
    <t>ZatCoin [OLD]</t>
  </si>
  <si>
    <t>ZPRO</t>
  </si>
  <si>
    <t>zatcoin-2</t>
  </si>
  <si>
    <t>https://assets.coingecko.com/coins/images/12645/large/AAVE.png?1601374110</t>
  </si>
  <si>
    <t>1X Short BNB</t>
  </si>
  <si>
    <t>1X Short TRX</t>
  </si>
  <si>
    <t>3X Long Balancer</t>
  </si>
  <si>
    <t>3X Long Compound</t>
  </si>
  <si>
    <t>3X Long Compound USDT</t>
  </si>
  <si>
    <t>3X Long Kyber Network</t>
  </si>
  <si>
    <t>3X Long Maker</t>
  </si>
  <si>
    <t>3X Long Sushi</t>
  </si>
  <si>
    <t>3X Short Balancer</t>
  </si>
  <si>
    <t>3X Short Compound</t>
  </si>
  <si>
    <t>3X Short Compound USDT</t>
  </si>
  <si>
    <t>3X Short Kyber Network</t>
  </si>
  <si>
    <t>3X Short Maker</t>
  </si>
  <si>
    <t>3X Short Sushi</t>
  </si>
  <si>
    <t>Aha</t>
  </si>
  <si>
    <t>AKIHIKO</t>
  </si>
  <si>
    <t>akihiko-inu</t>
  </si>
  <si>
    <t>Akihiko Inu</t>
  </si>
  <si>
    <t>GORA</t>
  </si>
  <si>
    <t>algoracle</t>
  </si>
  <si>
    <t>Goracle</t>
  </si>
  <si>
    <t>Alpha Quark</t>
  </si>
  <si>
    <t>Archer DAO Governance</t>
  </si>
  <si>
    <t>ARM</t>
  </si>
  <si>
    <t>armours</t>
  </si>
  <si>
    <t>Armours</t>
  </si>
  <si>
    <t>Atlantis ATIS</t>
  </si>
  <si>
    <t>Bankroll Extended</t>
  </si>
  <si>
    <t>bgt</t>
  </si>
  <si>
    <t>bitcoin-free-cash</t>
  </si>
  <si>
    <t>Bitcoin Free Cash</t>
  </si>
  <si>
    <t>bitcoin-trc20</t>
  </si>
  <si>
    <t>Bitcoin TRC20</t>
  </si>
  <si>
    <t>BitHash</t>
  </si>
  <si>
    <t>BTMC</t>
  </si>
  <si>
    <t>bit-miner-chain</t>
  </si>
  <si>
    <t>Bit Miner Chain</t>
  </si>
  <si>
    <t>Cannabis Seed</t>
  </si>
  <si>
    <t>Mooncat CAT</t>
  </si>
  <si>
    <t>cca</t>
  </si>
  <si>
    <t>Chemix Ecology Governance</t>
  </si>
  <si>
    <t>Curve DAO</t>
  </si>
  <si>
    <t>dengba-planet</t>
  </si>
  <si>
    <t>Dengba Planet</t>
  </si>
  <si>
    <t>DEONEX</t>
  </si>
  <si>
    <t>DigiDinar Stable</t>
  </si>
  <si>
    <t>drep</t>
  </si>
  <si>
    <t>Drep</t>
  </si>
  <si>
    <t>ducato-finance</t>
  </si>
  <si>
    <t>Ducato Finance</t>
  </si>
  <si>
    <t>ExNetwork</t>
  </si>
  <si>
    <t>Experty Wisdom</t>
  </si>
  <si>
    <t>FINANCIAL INVESTMENT</t>
  </si>
  <si>
    <t>first-bitcoin</t>
  </si>
  <si>
    <t>First Bitcoin</t>
  </si>
  <si>
    <t>FOLK</t>
  </si>
  <si>
    <t>folk</t>
  </si>
  <si>
    <t>$FOLK</t>
  </si>
  <si>
    <t>freeway</t>
  </si>
  <si>
    <t>Freeway</t>
  </si>
  <si>
    <t>FRMx</t>
  </si>
  <si>
    <t>GARD Governance</t>
  </si>
  <si>
    <t>global-gold-token</t>
  </si>
  <si>
    <t>Global Gold Token</t>
  </si>
  <si>
    <t>globaltrustfund</t>
  </si>
  <si>
    <t>GLOBALTRUSTFUND</t>
  </si>
  <si>
    <t>hakuna-matata-finance</t>
  </si>
  <si>
    <t>Hakuna Matata Finance</t>
  </si>
  <si>
    <t>HBTC Captain</t>
  </si>
  <si>
    <t>Hoo</t>
  </si>
  <si>
    <t>iK Coin [OLD]</t>
  </si>
  <si>
    <t>ik-coin-2</t>
  </si>
  <si>
    <t>Lattice</t>
  </si>
  <si>
    <t>Lead</t>
  </si>
  <si>
    <t>Libartyshare</t>
  </si>
  <si>
    <t>WMARC</t>
  </si>
  <si>
    <t>market-arbitrage-coin</t>
  </si>
  <si>
    <t>Wrapped Market Arbitrage Coin</t>
  </si>
  <si>
    <t>mecro-coin</t>
  </si>
  <si>
    <t>Mecro Coin</t>
  </si>
  <si>
    <t>MINIMA</t>
  </si>
  <si>
    <t>minima</t>
  </si>
  <si>
    <t>Minima</t>
  </si>
  <si>
    <t>MVIXY</t>
  </si>
  <si>
    <t>mirrored-proshares-vix</t>
  </si>
  <si>
    <t>Mirrored ProShares VIX</t>
  </si>
  <si>
    <t>Mirror World</t>
  </si>
  <si>
    <t>MOVEZ</t>
  </si>
  <si>
    <t>movez</t>
  </si>
  <si>
    <t>MoveZ</t>
  </si>
  <si>
    <t>Voice</t>
  </si>
  <si>
    <t>OneSwap DAO</t>
  </si>
  <si>
    <t>OPEN Governance</t>
  </si>
  <si>
    <t>Oraichain</t>
  </si>
  <si>
    <t>Galactic Quadrant</t>
  </si>
  <si>
    <t>Paypolitan</t>
  </si>
  <si>
    <t>pikaster</t>
  </si>
  <si>
    <t>Pikaster</t>
  </si>
  <si>
    <t>pine</t>
  </si>
  <si>
    <t>Pine</t>
  </si>
  <si>
    <t>Polyient Games Governance</t>
  </si>
  <si>
    <t>pulsechain</t>
  </si>
  <si>
    <t>Pulsechain</t>
  </si>
  <si>
    <t>Rari Governance</t>
  </si>
  <si>
    <t>REUCOIN [OLD]</t>
  </si>
  <si>
    <t>reucoin-2</t>
  </si>
  <si>
    <t>Xiotri RI</t>
  </si>
  <si>
    <t>safemoney</t>
  </si>
  <si>
    <t>SafeMoney</t>
  </si>
  <si>
    <t>SakeSwap</t>
  </si>
  <si>
    <t>Satopay Yield</t>
  </si>
  <si>
    <t>Semi</t>
  </si>
  <si>
    <t>SmartCredit</t>
  </si>
  <si>
    <t>SETH-H</t>
  </si>
  <si>
    <t>staked-eth-harbour</t>
  </si>
  <si>
    <t>Staked ETH Harbour</t>
  </si>
  <si>
    <t>SuperTx Governance</t>
  </si>
  <si>
    <t>tBridge</t>
  </si>
  <si>
    <t>Talent TTX</t>
  </si>
  <si>
    <t>TARO</t>
  </si>
  <si>
    <t>Treep</t>
  </si>
  <si>
    <t>TRX3L</t>
  </si>
  <si>
    <t>trx3l</t>
  </si>
  <si>
    <t>UTG</t>
  </si>
  <si>
    <t>ultronglow</t>
  </si>
  <si>
    <t>UltronGlow</t>
  </si>
  <si>
    <t>VC</t>
  </si>
  <si>
    <t>valuablecoins</t>
  </si>
  <si>
    <t>ValuableCoins</t>
  </si>
  <si>
    <t>vega-coin</t>
  </si>
  <si>
    <t>Vega Coin</t>
  </si>
  <si>
    <t>VIN</t>
  </si>
  <si>
    <t>vinchain</t>
  </si>
  <si>
    <t>VINchain</t>
  </si>
  <si>
    <t>WadzPay</t>
  </si>
  <si>
    <t>Waifu</t>
  </si>
  <si>
    <t>World Mobile Token</t>
  </si>
  <si>
    <t>W0XETH</t>
  </si>
  <si>
    <t>wrapped-0xethereum-token</t>
  </si>
  <si>
    <t>Wrapped 0xEthereum Token</t>
  </si>
  <si>
    <t>WMC</t>
  </si>
  <si>
    <t>wrapped-marblecards</t>
  </si>
  <si>
    <t>Wrapped MarbleCards</t>
  </si>
  <si>
    <t>EWIT</t>
  </si>
  <si>
    <t>wrapped-wit</t>
  </si>
  <si>
    <t>Wrapped Wit</t>
  </si>
  <si>
    <t>BWRX</t>
  </si>
  <si>
    <t>wrapped-wrx</t>
  </si>
  <si>
    <t>Wrapped WRX</t>
  </si>
  <si>
    <t>WZEC</t>
  </si>
  <si>
    <t>wrapped-zcash</t>
  </si>
  <si>
    <t>Wrapped Zcash</t>
  </si>
  <si>
    <t>yaapoo</t>
  </si>
  <si>
    <t>Yaapoo</t>
  </si>
  <si>
    <t>Yearn Finance Diamond</t>
  </si>
  <si>
    <t>Chart Time Horizon</t>
  </si>
  <si>
    <t>Interval</t>
  </si>
  <si>
    <t>https://assets.coingecko.com/coins/images/738/large/eos-eos-logo.png?1547034481</t>
  </si>
  <si>
    <t>0.5X Long Algorand</t>
  </si>
  <si>
    <t>0.5X Long Altcoin Index</t>
  </si>
  <si>
    <t>0.5X Long AscendEx</t>
  </si>
  <si>
    <t>0.5X Long Bitcoin Cash</t>
  </si>
  <si>
    <t>0.5X Long Bitcoin</t>
  </si>
  <si>
    <t>0.5X Long Cardano</t>
  </si>
  <si>
    <t>0.5X Long Chainlink</t>
  </si>
  <si>
    <t>0.5X Long Cosmos</t>
  </si>
  <si>
    <t>0.5X Long Dogecoin</t>
  </si>
  <si>
    <t>0.5X Long EOS</t>
  </si>
  <si>
    <t>0.5X Long Ethereum Classic</t>
  </si>
  <si>
    <t>0.5X Long Ethereum</t>
  </si>
  <si>
    <t>0.5X Long Kyber Network</t>
  </si>
  <si>
    <t>0.5X Long Privacy Index</t>
  </si>
  <si>
    <t>0.5X Long Swipe</t>
  </si>
  <si>
    <t>0.5X Long Theta Network</t>
  </si>
  <si>
    <t>1X Short Cardano</t>
  </si>
  <si>
    <t>1X Short Chainlink</t>
  </si>
  <si>
    <t>1X Short Compound</t>
  </si>
  <si>
    <t>1X Short Cosmos</t>
  </si>
  <si>
    <t>1X Short DeFi Index</t>
  </si>
  <si>
    <t>1X Short Dogecoin</t>
  </si>
  <si>
    <t>1X Short Matic</t>
  </si>
  <si>
    <t>1X Short OKB</t>
  </si>
  <si>
    <t>1X Short Privacy Index</t>
  </si>
  <si>
    <t>1X Short Swipe</t>
  </si>
  <si>
    <t>1X Short Tezos</t>
  </si>
  <si>
    <t>1X Short Theta Network</t>
  </si>
  <si>
    <t>1X Short TomoChain</t>
  </si>
  <si>
    <t>1X Short VeChain</t>
  </si>
  <si>
    <t>1X Short XRP</t>
  </si>
  <si>
    <t>3X Long DeFi Index</t>
  </si>
  <si>
    <t>3X Long Privacy Index</t>
  </si>
  <si>
    <t>3X Long Theta Network</t>
  </si>
  <si>
    <t>3X Long VeChain</t>
  </si>
  <si>
    <t>3X Short DeFi Index</t>
  </si>
  <si>
    <t>3X Short Privacy Index</t>
  </si>
  <si>
    <t>3X Short VeChain</t>
  </si>
  <si>
    <t>afkdao</t>
  </si>
  <si>
    <t>AFKDAO</t>
  </si>
  <si>
    <t>AMATICC</t>
  </si>
  <si>
    <t>ankr-reward-earning-matic</t>
  </si>
  <si>
    <t>Ankr Reward Earning MATIC</t>
  </si>
  <si>
    <t>BFTM</t>
  </si>
  <si>
    <t>batasm-protocol-bftm</t>
  </si>
  <si>
    <t>Batasm Protocol BFTM</t>
  </si>
  <si>
    <t>BSM</t>
  </si>
  <si>
    <t>batasm-protocol-bsm</t>
  </si>
  <si>
    <t>Batasm Protocol BSM</t>
  </si>
  <si>
    <t>bikerush</t>
  </si>
  <si>
    <t>Bikerush</t>
  </si>
  <si>
    <t>block-forest</t>
  </si>
  <si>
    <t>Block Forest</t>
  </si>
  <si>
    <t>BLOCKIFY</t>
  </si>
  <si>
    <t>blockify-games</t>
  </si>
  <si>
    <t>Blockify.Games</t>
  </si>
  <si>
    <t>CatCoin.com</t>
  </si>
  <si>
    <t>O</t>
  </si>
  <si>
    <t>childhoods-end</t>
  </si>
  <si>
    <t>Childhoods End</t>
  </si>
  <si>
    <t>CGO</t>
  </si>
  <si>
    <t>comtech-gold</t>
  </si>
  <si>
    <t>Comtech Gold</t>
  </si>
  <si>
    <t>Darwinia Commitment</t>
  </si>
  <si>
    <t>Darwinia Crab Network Native</t>
  </si>
  <si>
    <t>DEXSHARE</t>
  </si>
  <si>
    <t>dexshare</t>
  </si>
  <si>
    <t>dexSHARE</t>
  </si>
  <si>
    <t>DNS</t>
  </si>
  <si>
    <t>dinostep</t>
  </si>
  <si>
    <t>DinoStep</t>
  </si>
  <si>
    <t>DRIFT</t>
  </si>
  <si>
    <t>driftdelivery-cc</t>
  </si>
  <si>
    <t>DriftDelivery.CC</t>
  </si>
  <si>
    <t>FON</t>
  </si>
  <si>
    <t>force-of-nature</t>
  </si>
  <si>
    <t>Force of Nature</t>
  </si>
  <si>
    <t>GXE</t>
  </si>
  <si>
    <t>galaxy-essential</t>
  </si>
  <si>
    <t>Galaxy Essential</t>
  </si>
  <si>
    <t>Gem Exchange and Trading</t>
  </si>
  <si>
    <t>genesis-particle</t>
  </si>
  <si>
    <t>Genesis Particle</t>
  </si>
  <si>
    <t>HDL</t>
  </si>
  <si>
    <t>headline</t>
  </si>
  <si>
    <t>Headline</t>
  </si>
  <si>
    <t>hubcoin-2</t>
  </si>
  <si>
    <t>HubCoin</t>
  </si>
  <si>
    <t>IUSDS</t>
  </si>
  <si>
    <t>inflation-adjusted-usds</t>
  </si>
  <si>
    <t>Inflation Adjusted USDS</t>
  </si>
  <si>
    <t>IBT</t>
  </si>
  <si>
    <t>international-blockchain-technology</t>
  </si>
  <si>
    <t>International Blockchain Technology</t>
  </si>
  <si>
    <t>JCG</t>
  </si>
  <si>
    <t>justcarbon-governance</t>
  </si>
  <si>
    <t>JustCarbon Governance</t>
  </si>
  <si>
    <t>KAS</t>
  </si>
  <si>
    <t>kaspa</t>
  </si>
  <si>
    <t>Kaspa</t>
  </si>
  <si>
    <t>Mandi</t>
  </si>
  <si>
    <t>mStable Governance: Meta</t>
  </si>
  <si>
    <t>NICHO</t>
  </si>
  <si>
    <t>nichonft</t>
  </si>
  <si>
    <t>Nichonft</t>
  </si>
  <si>
    <t>PCASH</t>
  </si>
  <si>
    <t>pandora-cash</t>
  </si>
  <si>
    <t>Pandora Cash</t>
  </si>
  <si>
    <t>PASHA</t>
  </si>
  <si>
    <t>pasha</t>
  </si>
  <si>
    <t>Pasha</t>
  </si>
  <si>
    <t>pet-alliance</t>
  </si>
  <si>
    <t>Pet Alliance</t>
  </si>
  <si>
    <t>pollen-coin</t>
  </si>
  <si>
    <t>Pollen Coin</t>
  </si>
  <si>
    <t>FFOOD</t>
  </si>
  <si>
    <t>ratalert-fastfood</t>
  </si>
  <si>
    <t>RatAlert FastFood</t>
  </si>
  <si>
    <t>Render</t>
  </si>
  <si>
    <t>RENS</t>
  </si>
  <si>
    <t>rens</t>
  </si>
  <si>
    <t>Rens</t>
  </si>
  <si>
    <t>Reu</t>
  </si>
  <si>
    <t>RD2E</t>
  </si>
  <si>
    <t>ride-to-earn</t>
  </si>
  <si>
    <t>Ride To Earn</t>
  </si>
  <si>
    <t>Sadbaby [OLD]</t>
  </si>
  <si>
    <t>sadbaby-2</t>
  </si>
  <si>
    <t>saga-2</t>
  </si>
  <si>
    <t>Saga</t>
  </si>
  <si>
    <t>SAGAW</t>
  </si>
  <si>
    <t>sagaworld</t>
  </si>
  <si>
    <t>SagaWorld</t>
  </si>
  <si>
    <t>SHACK</t>
  </si>
  <si>
    <t>shack</t>
  </si>
  <si>
    <t>Shack</t>
  </si>
  <si>
    <t>SIMBA Storage</t>
  </si>
  <si>
    <t>snglsDAO Governance</t>
  </si>
  <si>
    <t>SL</t>
  </si>
  <si>
    <t>soloxcoin</t>
  </si>
  <si>
    <t>SoloxCoin</t>
  </si>
  <si>
    <t>spiceusd</t>
  </si>
  <si>
    <t>SpiceUSD</t>
  </si>
  <si>
    <t>steakhut-finance</t>
  </si>
  <si>
    <t>SteakHut Finance</t>
  </si>
  <si>
    <t>step-c</t>
  </si>
  <si>
    <t>Step C</t>
  </si>
  <si>
    <t>TKNRM</t>
  </si>
  <si>
    <t>tokenarium</t>
  </si>
  <si>
    <t>Tokenarium</t>
  </si>
  <si>
    <t>uka-doge-coin</t>
  </si>
  <si>
    <t>Uka Doge Coin</t>
  </si>
  <si>
    <t>USDEX</t>
  </si>
  <si>
    <t>usdex-stablecoin</t>
  </si>
  <si>
    <t>xreators</t>
  </si>
  <si>
    <t>XREATORS</t>
  </si>
  <si>
    <t>Column_Names</t>
  </si>
  <si>
    <t>TTTT</t>
  </si>
  <si>
    <t>KuCoin</t>
  </si>
  <si>
    <t>Inverse Bitcoin Volatility</t>
  </si>
  <si>
    <t>AAX</t>
  </si>
  <si>
    <t>acala-dollar</t>
  </si>
  <si>
    <t>Acala Dollar</t>
  </si>
  <si>
    <t>Ad Flex</t>
  </si>
  <si>
    <t>adChain</t>
  </si>
  <si>
    <t>AiLink</t>
  </si>
  <si>
    <t>ALNR</t>
  </si>
  <si>
    <t>alnair-finance</t>
  </si>
  <si>
    <t>Alnair Finance</t>
  </si>
  <si>
    <t>NIKA</t>
  </si>
  <si>
    <t>alnair-finance-nika</t>
  </si>
  <si>
    <t>Alnair Finance NIKA</t>
  </si>
  <si>
    <t>XALNR</t>
  </si>
  <si>
    <t>alnair-finance-xalnr</t>
  </si>
  <si>
    <t>Alnair Finance xALNR</t>
  </si>
  <si>
    <t>Anchor Neural World</t>
  </si>
  <si>
    <t>APAY</t>
  </si>
  <si>
    <t>anonpay</t>
  </si>
  <si>
    <t>AnonPay</t>
  </si>
  <si>
    <t>Apple Protocol</t>
  </si>
  <si>
    <t>AQDC</t>
  </si>
  <si>
    <t>aquanee</t>
  </si>
  <si>
    <t>Aquanee</t>
  </si>
  <si>
    <t>Artfinity</t>
  </si>
  <si>
    <t>astronos</t>
  </si>
  <si>
    <t>Astronos</t>
  </si>
  <si>
    <t>ASTROC</t>
  </si>
  <si>
    <t>Astroport Classic</t>
  </si>
  <si>
    <t>aura-network</t>
  </si>
  <si>
    <t>Aura Network</t>
  </si>
  <si>
    <t>AZY</t>
  </si>
  <si>
    <t>azuray</t>
  </si>
  <si>
    <t>Azuray</t>
  </si>
  <si>
    <t>BB-A-USDC</t>
  </si>
  <si>
    <t>balancer-boosted-aave-usdc</t>
  </si>
  <si>
    <t>Balancer Boosted Aave USDC</t>
  </si>
  <si>
    <t>BB-A-USDT</t>
  </si>
  <si>
    <t>balancer-boosted-aave-usdt</t>
  </si>
  <si>
    <t>Balancer Boosted Aave USDT</t>
  </si>
  <si>
    <t>BB-A-USD</t>
  </si>
  <si>
    <t>balancer-booster-aave-usd</t>
  </si>
  <si>
    <t>Balancer Boosted Aave USD</t>
  </si>
  <si>
    <t>BAM</t>
  </si>
  <si>
    <t>bamboo</t>
  </si>
  <si>
    <t>Bancor Network</t>
  </si>
  <si>
    <t>Basic Attention</t>
  </si>
  <si>
    <t>BWO</t>
  </si>
  <si>
    <t>battle-world</t>
  </si>
  <si>
    <t>Battle World</t>
  </si>
  <si>
    <t>Bibox</t>
  </si>
  <si>
    <t>bicyclefi</t>
  </si>
  <si>
    <t>BicycleFi</t>
  </si>
  <si>
    <t>Bitget</t>
  </si>
  <si>
    <t>Bitsonic</t>
  </si>
  <si>
    <t>BLUECHIPS</t>
  </si>
  <si>
    <t>BMCHAIN</t>
  </si>
  <si>
    <t>Boom</t>
  </si>
  <si>
    <t>BuyUCoin</t>
  </si>
  <si>
    <t>calaswap</t>
  </si>
  <si>
    <t>Calaswap</t>
  </si>
  <si>
    <t>CEEK Smart VR</t>
  </si>
  <si>
    <t>Shentu</t>
  </si>
  <si>
    <t>Chi Gas</t>
  </si>
  <si>
    <t>Cosplay (OLD)</t>
  </si>
  <si>
    <t>cricket-star-manager</t>
  </si>
  <si>
    <t>Cricket Star Manager</t>
  </si>
  <si>
    <t>Crypto Application</t>
  </si>
  <si>
    <t>Cryptobuyer</t>
  </si>
  <si>
    <t>crypto-chip</t>
  </si>
  <si>
    <t>Crypto Chip</t>
  </si>
  <si>
    <t>Crypto Holding Frank</t>
  </si>
  <si>
    <t>CKU</t>
  </si>
  <si>
    <t>cryptoku</t>
  </si>
  <si>
    <t>Cryptoku</t>
  </si>
  <si>
    <t>Cryptorg</t>
  </si>
  <si>
    <t>Darwinia Network</t>
  </si>
  <si>
    <t>DAFT</t>
  </si>
  <si>
    <t>deportivo-alaves-fan-token</t>
  </si>
  <si>
    <t>Deportivo Alavés Fan Token</t>
  </si>
  <si>
    <t>dForce</t>
  </si>
  <si>
    <t>Digitex</t>
  </si>
  <si>
    <t>dragon</t>
  </si>
  <si>
    <t>Dragon</t>
  </si>
  <si>
    <t>Frost Finance Dune</t>
  </si>
  <si>
    <t>Dynamite</t>
  </si>
  <si>
    <t>DYST</t>
  </si>
  <si>
    <t>dystopia</t>
  </si>
  <si>
    <t>Dystopia</t>
  </si>
  <si>
    <t>Endor Protocol</t>
  </si>
  <si>
    <t>Tesla TSL</t>
  </si>
  <si>
    <t>Energy Web</t>
  </si>
  <si>
    <t>Era Swap</t>
  </si>
  <si>
    <t>Eristica</t>
  </si>
  <si>
    <t>Etherisc DIP</t>
  </si>
  <si>
    <t>Voyager VGX</t>
  </si>
  <si>
    <t>evmoswap</t>
  </si>
  <si>
    <t>EvmoSwap</t>
  </si>
  <si>
    <t>Fire</t>
  </si>
  <si>
    <t>Flash</t>
  </si>
  <si>
    <t>Fox Trading</t>
  </si>
  <si>
    <t>fujidao</t>
  </si>
  <si>
    <t>FujiDAO</t>
  </si>
  <si>
    <t>galaxy-finance</t>
  </si>
  <si>
    <t>Galaxy Finance</t>
  </si>
  <si>
    <t>GLTR</t>
  </si>
  <si>
    <t>gax-liquidity-token-reward</t>
  </si>
  <si>
    <t>GAX Liquidity Token Reward</t>
  </si>
  <si>
    <t>Giga Watt</t>
  </si>
  <si>
    <t>gin-finance</t>
  </si>
  <si>
    <t>Gin Finance</t>
  </si>
  <si>
    <t>Glosfer</t>
  </si>
  <si>
    <t>GMINES</t>
  </si>
  <si>
    <t>gnome-mines</t>
  </si>
  <si>
    <t>Gnome Mines</t>
  </si>
  <si>
    <t>GOO</t>
  </si>
  <si>
    <t>gooeys</t>
  </si>
  <si>
    <t>Gooeys</t>
  </si>
  <si>
    <t>ARTG</t>
  </si>
  <si>
    <t>goya-giant-token</t>
  </si>
  <si>
    <t>Goya Giant</t>
  </si>
  <si>
    <t>GST-SOL</t>
  </si>
  <si>
    <t>STEPN Green Satoshi Token on Solana</t>
  </si>
  <si>
    <t>GST-BSC</t>
  </si>
  <si>
    <t>Green Satoshi Token on BSC</t>
  </si>
  <si>
    <t>Hacken HAI</t>
  </si>
  <si>
    <t>Raise</t>
  </si>
  <si>
    <t>hesman-shard</t>
  </si>
  <si>
    <t>Hesman Shard</t>
  </si>
  <si>
    <t>Hiveterminal</t>
  </si>
  <si>
    <t>Hope</t>
  </si>
  <si>
    <t>Last Horde</t>
  </si>
  <si>
    <t>HotDollars</t>
  </si>
  <si>
    <t>Huobi</t>
  </si>
  <si>
    <t>Infinite Metaverse</t>
  </si>
  <si>
    <t>IDAI</t>
  </si>
  <si>
    <t>instadapp-dai</t>
  </si>
  <si>
    <t>Instadapp DAI</t>
  </si>
  <si>
    <t>instadapp-eth</t>
  </si>
  <si>
    <t>Instadapp ETH</t>
  </si>
  <si>
    <t>instadapp-usdc</t>
  </si>
  <si>
    <t>Instadapp USDC</t>
  </si>
  <si>
    <t>IWBTC</t>
  </si>
  <si>
    <t>instadapp-wbtc</t>
  </si>
  <si>
    <t>Instadapp WBTC</t>
  </si>
  <si>
    <t>IPV</t>
  </si>
  <si>
    <t>ipverse</t>
  </si>
  <si>
    <t>IPVERSE</t>
  </si>
  <si>
    <t>Jarvis Reward</t>
  </si>
  <si>
    <t>JavaScript</t>
  </si>
  <si>
    <t>KGL</t>
  </si>
  <si>
    <t>kagla-finance</t>
  </si>
  <si>
    <t>Kagla Finance</t>
  </si>
  <si>
    <t>Kind Ads</t>
  </si>
  <si>
    <t>KBTC</t>
  </si>
  <si>
    <t>kintsugi-btc</t>
  </si>
  <si>
    <t>Kintsugi BTC</t>
  </si>
  <si>
    <t>KCT</t>
  </si>
  <si>
    <t>konnect</t>
  </si>
  <si>
    <t>Konnect</t>
  </si>
  <si>
    <t>KYO</t>
  </si>
  <si>
    <t>koyo</t>
  </si>
  <si>
    <t>Kōyō</t>
  </si>
  <si>
    <t>LM</t>
  </si>
  <si>
    <t>leisuremeta</t>
  </si>
  <si>
    <t>LeisureMeta</t>
  </si>
  <si>
    <t>LLVERSE</t>
  </si>
  <si>
    <t>LKSM</t>
  </si>
  <si>
    <t>liquid-ksm</t>
  </si>
  <si>
    <t>Liquid KSM</t>
  </si>
  <si>
    <t>LUKSO</t>
  </si>
  <si>
    <t>LUNC</t>
  </si>
  <si>
    <t>Terra Classic (Wormhole)</t>
  </si>
  <si>
    <t>LUNCH</t>
  </si>
  <si>
    <t>lunchdao</t>
  </si>
  <si>
    <t>LunchDAO</t>
  </si>
  <si>
    <t>MAGUS</t>
  </si>
  <si>
    <t>magus-nodes</t>
  </si>
  <si>
    <t>Magus Nodes</t>
  </si>
  <si>
    <t>MD3</t>
  </si>
  <si>
    <t>MaskDogeV3</t>
  </si>
  <si>
    <t>Measurable Data</t>
  </si>
  <si>
    <t>MEGADAO</t>
  </si>
  <si>
    <t>megadao</t>
  </si>
  <si>
    <t>MegaDAO</t>
  </si>
  <si>
    <t>metfi</t>
  </si>
  <si>
    <t>MetFi</t>
  </si>
  <si>
    <t>mimas-finance</t>
  </si>
  <si>
    <t>Mimas Finance</t>
  </si>
  <si>
    <t>MinerGate</t>
  </si>
  <si>
    <t>Mirror mDOT</t>
  </si>
  <si>
    <t>MUNDO</t>
  </si>
  <si>
    <t>MyBit</t>
  </si>
  <si>
    <t>noir-phygital</t>
  </si>
  <si>
    <t>Noir Phygital</t>
  </si>
  <si>
    <t>OCAVU</t>
  </si>
  <si>
    <t>ocavu-network</t>
  </si>
  <si>
    <t>Ocavu Network</t>
  </si>
  <si>
    <t>OLYMPUS Token</t>
  </si>
  <si>
    <t>onLEXpa</t>
  </si>
  <si>
    <t>Expo</t>
  </si>
  <si>
    <t>OXP</t>
  </si>
  <si>
    <t>onxrp</t>
  </si>
  <si>
    <t>onXRP</t>
  </si>
  <si>
    <t>orbit-2</t>
  </si>
  <si>
    <t>Orbit</t>
  </si>
  <si>
    <t>PalletOne</t>
  </si>
  <si>
    <t>payb</t>
  </si>
  <si>
    <t>PayB</t>
  </si>
  <si>
    <t>Paycon</t>
  </si>
  <si>
    <t>petsneaker</t>
  </si>
  <si>
    <t>Petsneaker</t>
  </si>
  <si>
    <t>PDI</t>
  </si>
  <si>
    <t>phuture-defi-index</t>
  </si>
  <si>
    <t>Phuture DeFi Index</t>
  </si>
  <si>
    <t>Peak Finance Prometheus</t>
  </si>
  <si>
    <t>STKETH</t>
  </si>
  <si>
    <t>pstake-staked-eth</t>
  </si>
  <si>
    <t>pSTAKE Staked ETH</t>
  </si>
  <si>
    <t>QUROZ</t>
  </si>
  <si>
    <t>qfora</t>
  </si>
  <si>
    <t>Qfora</t>
  </si>
  <si>
    <t>Quras</t>
  </si>
  <si>
    <t>Raiden Network</t>
  </si>
  <si>
    <t>rare-ball-shares</t>
  </si>
  <si>
    <t>Rare Ball Shares</t>
  </si>
  <si>
    <t>Reserve Rights</t>
  </si>
  <si>
    <t>PBNB</t>
  </si>
  <si>
    <t>ripae-pbnb</t>
  </si>
  <si>
    <t>Ripae pBNB</t>
  </si>
  <si>
    <t>RLT</t>
  </si>
  <si>
    <t>runner-land</t>
  </si>
  <si>
    <t>Runner Land</t>
  </si>
  <si>
    <t>Santiment Network</t>
  </si>
  <si>
    <t>Scopuly</t>
  </si>
  <si>
    <t>Shadow</t>
  </si>
  <si>
    <t>SHAZU</t>
  </si>
  <si>
    <t>shazu</t>
  </si>
  <si>
    <t>shibmoon</t>
  </si>
  <si>
    <t>ShibMoon</t>
  </si>
  <si>
    <t>Sirin Labs</t>
  </si>
  <si>
    <t>BAIL</t>
  </si>
  <si>
    <t>solpatrol-bail</t>
  </si>
  <si>
    <t>SolPatrol Bail</t>
  </si>
  <si>
    <t>Spartan Protocol</t>
  </si>
  <si>
    <t>Spectre.ai Dividend</t>
  </si>
  <si>
    <t>Spectre.ai Utility</t>
  </si>
  <si>
    <t>Social Activity</t>
  </si>
  <si>
    <t>spice-trade</t>
  </si>
  <si>
    <t>Spice Trade</t>
  </si>
  <si>
    <t>SPORT</t>
  </si>
  <si>
    <t>sport</t>
  </si>
  <si>
    <t>S2K</t>
  </si>
  <si>
    <t>sports-2k75</t>
  </si>
  <si>
    <t>Sports 2K75</t>
  </si>
  <si>
    <t>Stakd</t>
  </si>
  <si>
    <t>Staker</t>
  </si>
  <si>
    <t>starlay-finance</t>
  </si>
  <si>
    <t>Starlay Finance</t>
  </si>
  <si>
    <t>Stonk League Aegis</t>
  </si>
  <si>
    <t>Storichain</t>
  </si>
  <si>
    <t>STE</t>
  </si>
  <si>
    <t>stretch-to-earn</t>
  </si>
  <si>
    <t>Stretch To Earn</t>
  </si>
  <si>
    <t>Stronghold</t>
  </si>
  <si>
    <t>SRBS</t>
  </si>
  <si>
    <t>super-rare-ball-shares</t>
  </si>
  <si>
    <t>Super Rare Ball Shares</t>
  </si>
  <si>
    <t>Frog Tadpole</t>
  </si>
  <si>
    <t>tamago</t>
  </si>
  <si>
    <t>Tamago</t>
  </si>
  <si>
    <t>tapioca</t>
  </si>
  <si>
    <t>KRTC</t>
  </si>
  <si>
    <t>TerraClassicKRW</t>
  </si>
  <si>
    <t>Terra Luna Classic</t>
  </si>
  <si>
    <t>terra-luna-2</t>
  </si>
  <si>
    <t>USTC</t>
  </si>
  <si>
    <t>TerraClassicUSD</t>
  </si>
  <si>
    <t>The Transfer</t>
  </si>
  <si>
    <t>ThreeFold</t>
  </si>
  <si>
    <t>toonft</t>
  </si>
  <si>
    <t>TooNFT</t>
  </si>
  <si>
    <t>Truefeedback</t>
  </si>
  <si>
    <t>Trust Wallet</t>
  </si>
  <si>
    <t>TRYV</t>
  </si>
  <si>
    <t>tryvium-2</t>
  </si>
  <si>
    <t>Tryvium</t>
  </si>
  <si>
    <t>TranslateMe Network</t>
  </si>
  <si>
    <t>UNICORN</t>
  </si>
  <si>
    <t>United Traders</t>
  </si>
  <si>
    <t>UpOnly</t>
  </si>
  <si>
    <t>USD+</t>
  </si>
  <si>
    <t>usd</t>
  </si>
  <si>
    <t>velodrome-finance</t>
  </si>
  <si>
    <t>Velodrome Finance</t>
  </si>
  <si>
    <t>verlux</t>
  </si>
  <si>
    <t>Verlux</t>
  </si>
  <si>
    <t>VIZSLASWAP</t>
  </si>
  <si>
    <t>vizslaswap</t>
  </si>
  <si>
    <t>VizslaSwap</t>
  </si>
  <si>
    <t>Waves Community</t>
  </si>
  <si>
    <t>Wrapped Terra Classic</t>
  </si>
  <si>
    <t>Wrapped USTC</t>
  </si>
  <si>
    <t>COURSE</t>
  </si>
  <si>
    <t>meta-course</t>
  </si>
  <si>
    <t>Meta Course</t>
  </si>
  <si>
    <t>PEM</t>
  </si>
  <si>
    <t>pembrock</t>
  </si>
  <si>
    <t>Pembrock</t>
  </si>
  <si>
    <t>SEKO</t>
  </si>
  <si>
    <t>sekopay-2</t>
  </si>
  <si>
    <t>SekoPay</t>
  </si>
  <si>
    <t>alexgo</t>
  </si>
  <si>
    <t>Alexgo</t>
  </si>
  <si>
    <t>BCE</t>
  </si>
  <si>
    <t>bitfex-2</t>
  </si>
  <si>
    <t>Bitfex</t>
  </si>
  <si>
    <t>FMC</t>
  </si>
  <si>
    <t>fidometa</t>
  </si>
  <si>
    <t>FidoMeta</t>
  </si>
  <si>
    <t>KPLAY</t>
  </si>
  <si>
    <t>koraplay</t>
  </si>
  <si>
    <t>Koraplay</t>
  </si>
  <si>
    <t>LOCO</t>
  </si>
  <si>
    <t>locometa</t>
  </si>
  <si>
    <t>LocoMeta</t>
  </si>
  <si>
    <t>MLAND</t>
  </si>
  <si>
    <t>mland</t>
  </si>
  <si>
    <t>Mland</t>
  </si>
  <si>
    <t>pinkpea-finance</t>
  </si>
  <si>
    <t>PinkPea.Finance</t>
  </si>
  <si>
    <t>Shazu</t>
  </si>
  <si>
    <t>ANTA</t>
  </si>
  <si>
    <t>tribalpunk-cryptoverse</t>
  </si>
  <si>
    <t>Tribalpunk Cryptoverse</t>
  </si>
  <si>
    <t>VIRTUE</t>
  </si>
  <si>
    <t>virtue</t>
  </si>
  <si>
    <t>Virtue</t>
  </si>
  <si>
    <t>WEVER</t>
  </si>
  <si>
    <t>wrapped-ever</t>
  </si>
  <si>
    <t>Wrapped Ever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</si>
</sst>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;;;"/>
    <numFmt numFmtId="167" formatCode="_(* #,##0.00#####_)"/>
    <numFmt numFmtId="168" formatCode="[$-409]m/d/yy\ h:mm\ AM/PM;@"/>
    <numFmt numFmtId="169" formatCode="_(&quot;$&quot;* #,##0_);_(&quot;$&quot;* \(#,##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-0.249977111117893"/>
        <bgColor theme="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9" tint="0.39997558519241921"/>
      </bottom>
      <diagonal/>
    </border>
    <border>
      <left/>
      <right/>
      <top style="thin">
        <color indexed="64"/>
      </top>
      <bottom style="thin">
        <color theme="9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9" tint="0.3999755851924192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10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10" fontId="0" fillId="0" borderId="0" xfId="2" applyNumberFormat="1" applyFon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 indent="2"/>
    </xf>
    <xf numFmtId="166" fontId="3" fillId="0" borderId="0" xfId="3" applyNumberFormat="1" applyAlignment="1">
      <alignment horizontal="left" indent="2"/>
    </xf>
    <xf numFmtId="0" fontId="0" fillId="0" borderId="2" xfId="0" applyBorder="1"/>
    <xf numFmtId="0" fontId="0" fillId="0" borderId="4" xfId="0" applyBorder="1"/>
    <xf numFmtId="0" fontId="2" fillId="2" borderId="1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0" fillId="0" borderId="11" xfId="0" applyBorder="1"/>
    <xf numFmtId="10" fontId="0" fillId="0" borderId="12" xfId="2" applyNumberFormat="1" applyFont="1" applyBorder="1"/>
    <xf numFmtId="0" fontId="0" fillId="0" borderId="13" xfId="0" applyBorder="1"/>
    <xf numFmtId="10" fontId="0" fillId="0" borderId="14" xfId="2" applyNumberFormat="1" applyFont="1" applyBorder="1"/>
    <xf numFmtId="0" fontId="0" fillId="0" borderId="15" xfId="0" applyBorder="1"/>
    <xf numFmtId="10" fontId="0" fillId="0" borderId="16" xfId="2" applyNumberFormat="1" applyFont="1" applyBorder="1"/>
    <xf numFmtId="9" fontId="0" fillId="0" borderId="0" xfId="2" applyFont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10" fontId="0" fillId="0" borderId="0" xfId="2" applyNumberFormat="1" applyFont="1" applyBorder="1"/>
    <xf numFmtId="10" fontId="0" fillId="0" borderId="20" xfId="2" applyNumberFormat="1" applyFont="1" applyBorder="1"/>
    <xf numFmtId="0" fontId="2" fillId="0" borderId="0" xfId="0" applyFont="1" applyFill="1" applyBorder="1" applyAlignment="1">
      <alignment vertical="center"/>
    </xf>
    <xf numFmtId="0" fontId="2" fillId="2" borderId="21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164" fontId="0" fillId="0" borderId="14" xfId="2" applyNumberFormat="1" applyFont="1" applyBorder="1"/>
    <xf numFmtId="164" fontId="0" fillId="0" borderId="16" xfId="2" applyNumberFormat="1" applyFont="1" applyBorder="1"/>
    <xf numFmtId="167" fontId="0" fillId="0" borderId="0" xfId="1" applyNumberFormat="1" applyFont="1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0" fontId="0" fillId="0" borderId="0" xfId="0" applyBorder="1"/>
    <xf numFmtId="0" fontId="0" fillId="0" borderId="0" xfId="0" applyNumberFormat="1" applyBorder="1"/>
    <xf numFmtId="166" fontId="0" fillId="0" borderId="0" xfId="0" applyNumberFormat="1"/>
    <xf numFmtId="0" fontId="0" fillId="5" borderId="9" xfId="0" applyFill="1" applyBorder="1" applyAlignment="1">
      <alignment horizontal="right"/>
    </xf>
    <xf numFmtId="0" fontId="7" fillId="5" borderId="7" xfId="0" applyFont="1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5" fillId="4" borderId="16" xfId="0" applyFont="1" applyFill="1" applyBorder="1" applyAlignment="1">
      <alignment horizontal="right"/>
    </xf>
    <xf numFmtId="0" fontId="5" fillId="4" borderId="15" xfId="0" applyFont="1" applyFill="1" applyBorder="1" applyAlignment="1">
      <alignment horizontal="center"/>
    </xf>
    <xf numFmtId="0" fontId="0" fillId="5" borderId="12" xfId="0" applyFill="1" applyBorder="1" applyAlignment="1">
      <alignment horizontal="right"/>
    </xf>
    <xf numFmtId="0" fontId="0" fillId="5" borderId="11" xfId="0" applyFill="1" applyBorder="1" applyAlignment="1">
      <alignment horizontal="center"/>
    </xf>
    <xf numFmtId="43" fontId="0" fillId="0" borderId="14" xfId="0" applyNumberFormat="1" applyBorder="1"/>
    <xf numFmtId="43" fontId="0" fillId="0" borderId="16" xfId="0" applyNumberFormat="1" applyBorder="1"/>
    <xf numFmtId="0" fontId="5" fillId="0" borderId="13" xfId="0" applyFont="1" applyBorder="1"/>
    <xf numFmtId="0" fontId="5" fillId="0" borderId="15" xfId="0" applyFont="1" applyBorder="1"/>
    <xf numFmtId="0" fontId="0" fillId="0" borderId="21" xfId="0" applyBorder="1"/>
    <xf numFmtId="0" fontId="0" fillId="0" borderId="22" xfId="0" applyBorder="1"/>
    <xf numFmtId="0" fontId="5" fillId="0" borderId="1" xfId="0" applyFont="1" applyBorder="1" applyAlignment="1">
      <alignment horizontal="center"/>
    </xf>
    <xf numFmtId="0" fontId="0" fillId="6" borderId="27" xfId="0" applyNumberFormat="1" applyFont="1" applyFill="1" applyBorder="1" applyAlignment="1">
      <alignment horizontal="center"/>
    </xf>
    <xf numFmtId="0" fontId="0" fillId="0" borderId="27" xfId="0" applyNumberFormat="1" applyFont="1" applyBorder="1" applyAlignment="1">
      <alignment horizontal="center"/>
    </xf>
    <xf numFmtId="44" fontId="0" fillId="6" borderId="27" xfId="4" applyNumberFormat="1" applyFont="1" applyFill="1" applyBorder="1" applyAlignment="1">
      <alignment horizontal="center"/>
    </xf>
    <xf numFmtId="44" fontId="0" fillId="0" borderId="27" xfId="4" applyNumberFormat="1" applyFont="1" applyBorder="1" applyAlignment="1">
      <alignment horizontal="center"/>
    </xf>
    <xf numFmtId="169" fontId="0" fillId="6" borderId="27" xfId="4" applyNumberFormat="1" applyFont="1" applyFill="1" applyBorder="1" applyAlignment="1">
      <alignment horizontal="center"/>
    </xf>
    <xf numFmtId="169" fontId="0" fillId="0" borderId="27" xfId="4" applyNumberFormat="1" applyFont="1" applyBorder="1" applyAlignment="1">
      <alignment horizont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10" fontId="0" fillId="0" borderId="23" xfId="2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10" fontId="0" fillId="6" borderId="27" xfId="2" applyNumberFormat="1" applyFont="1" applyFill="1" applyBorder="1" applyAlignment="1">
      <alignment horizontal="center"/>
    </xf>
    <xf numFmtId="10" fontId="0" fillId="0" borderId="27" xfId="2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168" fontId="0" fillId="6" borderId="27" xfId="0" applyNumberFormat="1" applyFont="1" applyFill="1" applyBorder="1"/>
    <xf numFmtId="168" fontId="0" fillId="0" borderId="27" xfId="0" applyNumberFormat="1" applyFont="1" applyBorder="1"/>
    <xf numFmtId="168" fontId="0" fillId="0" borderId="0" xfId="0" applyNumberFormat="1" applyBorder="1"/>
    <xf numFmtId="43" fontId="0" fillId="0" borderId="0" xfId="1" applyFont="1" applyBorder="1"/>
    <xf numFmtId="0" fontId="0" fillId="0" borderId="31" xfId="0" applyBorder="1"/>
    <xf numFmtId="0" fontId="0" fillId="0" borderId="32" xfId="0" applyBorder="1"/>
    <xf numFmtId="10" fontId="0" fillId="6" borderId="0" xfId="2" applyNumberFormat="1" applyFont="1" applyFill="1" applyBorder="1"/>
    <xf numFmtId="168" fontId="0" fillId="0" borderId="0" xfId="0" applyNumberFormat="1"/>
    <xf numFmtId="10" fontId="0" fillId="0" borderId="0" xfId="2" applyNumberFormat="1" applyFont="1"/>
    <xf numFmtId="10" fontId="0" fillId="6" borderId="10" xfId="2" applyNumberFormat="1" applyFont="1" applyFill="1" applyBorder="1"/>
    <xf numFmtId="10" fontId="0" fillId="6" borderId="28" xfId="2" applyNumberFormat="1" applyFont="1" applyFill="1" applyBorder="1"/>
    <xf numFmtId="10" fontId="0" fillId="0" borderId="27" xfId="2" applyNumberFormat="1" applyFont="1" applyBorder="1"/>
    <xf numFmtId="10" fontId="0" fillId="6" borderId="27" xfId="2" applyNumberFormat="1" applyFont="1" applyFill="1" applyBorder="1"/>
    <xf numFmtId="43" fontId="0" fillId="0" borderId="0" xfId="1" applyFont="1"/>
    <xf numFmtId="0" fontId="2" fillId="0" borderId="0" xfId="0" applyFont="1" applyFill="1" applyBorder="1"/>
    <xf numFmtId="10" fontId="8" fillId="0" borderId="0" xfId="2" applyNumberFormat="1" applyFont="1" applyFill="1" applyBorder="1"/>
    <xf numFmtId="10" fontId="8" fillId="0" borderId="0" xfId="1" applyNumberFormat="1" applyFont="1" applyFill="1" applyBorder="1"/>
    <xf numFmtId="0" fontId="2" fillId="0" borderId="0" xfId="0" applyFont="1" applyFill="1" applyBorder="1" applyAlignment="1"/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6" fillId="3" borderId="24" xfId="0" applyFont="1" applyFill="1" applyBorder="1" applyAlignment="1">
      <alignment horizontal="center"/>
    </xf>
    <xf numFmtId="0" fontId="6" fillId="3" borderId="25" xfId="0" applyFont="1" applyFill="1" applyBorder="1" applyAlignment="1">
      <alignment horizontal="center"/>
    </xf>
    <xf numFmtId="0" fontId="6" fillId="3" borderId="26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0" fillId="0" borderId="11" xfId="0" applyBorder="1" applyAlignment="1">
      <alignment horizontal="right"/>
    </xf>
    <xf numFmtId="0" fontId="0" fillId="0" borderId="13" xfId="0" applyBorder="1" applyAlignment="1">
      <alignment horizontal="right"/>
    </xf>
    <xf numFmtId="0" fontId="7" fillId="0" borderId="14" xfId="0" applyFont="1" applyBorder="1" applyAlignment="1">
      <alignment horizontal="center"/>
    </xf>
    <xf numFmtId="0" fontId="0" fillId="0" borderId="15" xfId="0" applyBorder="1" applyAlignment="1">
      <alignment horizontal="right"/>
    </xf>
    <xf numFmtId="168" fontId="2" fillId="2" borderId="1" xfId="0" applyNumberFormat="1" applyFont="1" applyFill="1" applyBorder="1" applyAlignment="1">
      <alignment horizontal="center"/>
    </xf>
  </cellXfs>
  <cellStyles count="5">
    <cellStyle name="Comma" xfId="1" builtinId="3"/>
    <cellStyle name="Currency" xfId="4" builtinId="4"/>
    <cellStyle name="Hyperlink" xfId="3" builtinId="8"/>
    <cellStyle name="Normal" xfId="0" builtinId="0"/>
    <cellStyle name="Percent" xfId="2" builtinId="5"/>
  </cellStyles>
  <dxfs count="50"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8" formatCode="[$-409]m/d/yy\ h:mm\ AM/PM;@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0#####_)"/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;;;"/>
      <alignment horizontal="left" vertical="bottom" textRotation="0" wrapText="0" indent="2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</dxf>
    <dxf>
      <fill>
        <patternFill patternType="solid">
          <fgColor indexed="64"/>
          <bgColor theme="9" tint="0.59999389629810485"/>
        </patternFill>
      </fill>
      <alignment horizontal="righ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(&quot;$&quot;* #,##0_);_(&quot;$&quot;* \(#,##0\);_(&quot;$&quot;* &quot;-&quot;??_);_(@_)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top style="thin">
          <color theme="9" tint="0.39997558519241921"/>
        </top>
      </border>
    </dxf>
    <dxf>
      <border outline="0"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heetMetadata" Target="metadata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Crypto 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'Hist prices'!$H$9</c:f>
              <c:strCache>
                <c:ptCount val="1"/>
                <c:pt idx="0">
                  <c:v>BTC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BTC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ADC3-4BAC-B992-8FAADE732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'Hist prices'!$G$10:$G$130</c:f>
              <c:numCache>
                <c:formatCode>[$-409]m/d/yy\ h:mm\ AM/PM;@</c:formatCode>
                <c:ptCount val="121"/>
                <c:pt idx="0">
                  <c:v>44713.714884259258</c:v>
                </c:pt>
                <c:pt idx="1">
                  <c:v>44713.710080509256</c:v>
                </c:pt>
                <c:pt idx="2">
                  <c:v>44713.667659004626</c:v>
                </c:pt>
                <c:pt idx="3">
                  <c:v>44713.627241898146</c:v>
                </c:pt>
                <c:pt idx="4">
                  <c:v>44713.584309560189</c:v>
                </c:pt>
                <c:pt idx="5">
                  <c:v>44713.543640219905</c:v>
                </c:pt>
                <c:pt idx="6">
                  <c:v>44713.50164253472</c:v>
                </c:pt>
                <c:pt idx="7">
                  <c:v>44713.459885127311</c:v>
                </c:pt>
                <c:pt idx="8">
                  <c:v>44713.41726681713</c:v>
                </c:pt>
                <c:pt idx="9">
                  <c:v>44713.38033295139</c:v>
                </c:pt>
                <c:pt idx="10">
                  <c:v>44713.333608171299</c:v>
                </c:pt>
                <c:pt idx="11">
                  <c:v>44713.293959178241</c:v>
                </c:pt>
                <c:pt idx="12">
                  <c:v>44713.251158935185</c:v>
                </c:pt>
                <c:pt idx="13">
                  <c:v>44713.21036287037</c:v>
                </c:pt>
                <c:pt idx="14">
                  <c:v>44713.167989409725</c:v>
                </c:pt>
                <c:pt idx="15">
                  <c:v>44713.1257974537</c:v>
                </c:pt>
                <c:pt idx="16">
                  <c:v>44713.08455013889</c:v>
                </c:pt>
                <c:pt idx="17">
                  <c:v>44713.043044745369</c:v>
                </c:pt>
                <c:pt idx="18">
                  <c:v>44713.001626377314</c:v>
                </c:pt>
                <c:pt idx="19">
                  <c:v>44712.959451261573</c:v>
                </c:pt>
                <c:pt idx="20">
                  <c:v>44712.918911550929</c:v>
                </c:pt>
                <c:pt idx="21">
                  <c:v>44712.877353634256</c:v>
                </c:pt>
                <c:pt idx="22">
                  <c:v>44712.83363940972</c:v>
                </c:pt>
                <c:pt idx="23">
                  <c:v>44712.792568252313</c:v>
                </c:pt>
                <c:pt idx="24">
                  <c:v>44712.752508124999</c:v>
                </c:pt>
                <c:pt idx="25">
                  <c:v>44712.710225000003</c:v>
                </c:pt>
                <c:pt idx="26">
                  <c:v>44712.668994120373</c:v>
                </c:pt>
                <c:pt idx="27">
                  <c:v>44712.626174305558</c:v>
                </c:pt>
                <c:pt idx="28">
                  <c:v>44712.584559641204</c:v>
                </c:pt>
                <c:pt idx="29">
                  <c:v>44712.542923483794</c:v>
                </c:pt>
                <c:pt idx="30">
                  <c:v>44712.502526469907</c:v>
                </c:pt>
                <c:pt idx="31">
                  <c:v>44712.460236412036</c:v>
                </c:pt>
                <c:pt idx="32">
                  <c:v>44712.41858759259</c:v>
                </c:pt>
                <c:pt idx="33">
                  <c:v>44712.376310694446</c:v>
                </c:pt>
                <c:pt idx="34">
                  <c:v>44712.33524148148</c:v>
                </c:pt>
                <c:pt idx="35">
                  <c:v>44712.292517291666</c:v>
                </c:pt>
                <c:pt idx="36">
                  <c:v>44712.251281863428</c:v>
                </c:pt>
                <c:pt idx="37">
                  <c:v>44712.210052986113</c:v>
                </c:pt>
                <c:pt idx="38">
                  <c:v>44712.168390312501</c:v>
                </c:pt>
                <c:pt idx="39">
                  <c:v>44712.126698657405</c:v>
                </c:pt>
                <c:pt idx="40">
                  <c:v>44712.085551643519</c:v>
                </c:pt>
                <c:pt idx="41">
                  <c:v>44712.045020439815</c:v>
                </c:pt>
                <c:pt idx="42">
                  <c:v>44712.002025208334</c:v>
                </c:pt>
                <c:pt idx="43">
                  <c:v>44711.959506840278</c:v>
                </c:pt>
                <c:pt idx="44">
                  <c:v>44711.917002164351</c:v>
                </c:pt>
                <c:pt idx="45">
                  <c:v>44711.876116053238</c:v>
                </c:pt>
                <c:pt idx="46">
                  <c:v>44711.834584131946</c:v>
                </c:pt>
                <c:pt idx="47">
                  <c:v>44711.79444528935</c:v>
                </c:pt>
                <c:pt idx="48">
                  <c:v>44711.751887465274</c:v>
                </c:pt>
                <c:pt idx="49">
                  <c:v>44711.709744375003</c:v>
                </c:pt>
                <c:pt idx="50">
                  <c:v>44711.667513564818</c:v>
                </c:pt>
                <c:pt idx="51">
                  <c:v>44711.625593391203</c:v>
                </c:pt>
                <c:pt idx="52">
                  <c:v>44711.58444766204</c:v>
                </c:pt>
                <c:pt idx="53">
                  <c:v>44711.54422596065</c:v>
                </c:pt>
                <c:pt idx="54">
                  <c:v>44711.502032893521</c:v>
                </c:pt>
                <c:pt idx="55">
                  <c:v>44711.460498217595</c:v>
                </c:pt>
                <c:pt idx="56">
                  <c:v>44711.419574074076</c:v>
                </c:pt>
                <c:pt idx="57">
                  <c:v>44711.378516087963</c:v>
                </c:pt>
                <c:pt idx="58">
                  <c:v>44711.335019293983</c:v>
                </c:pt>
                <c:pt idx="59">
                  <c:v>44711.292519409719</c:v>
                </c:pt>
                <c:pt idx="60">
                  <c:v>44711.25100207176</c:v>
                </c:pt>
                <c:pt idx="61">
                  <c:v>44711.209144768516</c:v>
                </c:pt>
                <c:pt idx="62">
                  <c:v>44711.168392604166</c:v>
                </c:pt>
                <c:pt idx="63">
                  <c:v>44711.126823541665</c:v>
                </c:pt>
                <c:pt idx="64">
                  <c:v>44711.085680439814</c:v>
                </c:pt>
                <c:pt idx="65">
                  <c:v>44711.043305925923</c:v>
                </c:pt>
                <c:pt idx="66">
                  <c:v>44711.00258763889</c:v>
                </c:pt>
                <c:pt idx="67">
                  <c:v>44710.958720266201</c:v>
                </c:pt>
                <c:pt idx="68">
                  <c:v>44710.917072719909</c:v>
                </c:pt>
                <c:pt idx="69">
                  <c:v>44710.875985254628</c:v>
                </c:pt>
                <c:pt idx="70">
                  <c:v>44710.834938414351</c:v>
                </c:pt>
                <c:pt idx="71">
                  <c:v>44710.794689050927</c:v>
                </c:pt>
                <c:pt idx="72">
                  <c:v>44710.750652349539</c:v>
                </c:pt>
                <c:pt idx="73">
                  <c:v>44710.710095659721</c:v>
                </c:pt>
                <c:pt idx="74">
                  <c:v>44710.66855736111</c:v>
                </c:pt>
                <c:pt idx="75">
                  <c:v>44710.626899675925</c:v>
                </c:pt>
                <c:pt idx="76">
                  <c:v>44710.584955636572</c:v>
                </c:pt>
                <c:pt idx="77">
                  <c:v>44710.542140543985</c:v>
                </c:pt>
                <c:pt idx="78">
                  <c:v>44710.500337013887</c:v>
                </c:pt>
                <c:pt idx="79">
                  <c:v>44710.460543854169</c:v>
                </c:pt>
                <c:pt idx="80">
                  <c:v>44710.417141874997</c:v>
                </c:pt>
                <c:pt idx="81">
                  <c:v>44710.376426168979</c:v>
                </c:pt>
                <c:pt idx="82">
                  <c:v>44710.334313946762</c:v>
                </c:pt>
                <c:pt idx="83">
                  <c:v>44710.294285706019</c:v>
                </c:pt>
                <c:pt idx="84">
                  <c:v>44710.25095159722</c:v>
                </c:pt>
                <c:pt idx="85">
                  <c:v>44710.2094300463</c:v>
                </c:pt>
                <c:pt idx="86">
                  <c:v>44710.166782256943</c:v>
                </c:pt>
                <c:pt idx="87">
                  <c:v>44710.126497349534</c:v>
                </c:pt>
                <c:pt idx="88">
                  <c:v>44710.083924583334</c:v>
                </c:pt>
                <c:pt idx="89">
                  <c:v>44710.047424548611</c:v>
                </c:pt>
                <c:pt idx="90">
                  <c:v>44710.001210335649</c:v>
                </c:pt>
                <c:pt idx="91">
                  <c:v>44709.960327997687</c:v>
                </c:pt>
                <c:pt idx="92">
                  <c:v>44709.918714131942</c:v>
                </c:pt>
                <c:pt idx="93">
                  <c:v>44709.875583356479</c:v>
                </c:pt>
                <c:pt idx="94">
                  <c:v>44709.835246516202</c:v>
                </c:pt>
                <c:pt idx="95">
                  <c:v>44709.792750624998</c:v>
                </c:pt>
                <c:pt idx="96">
                  <c:v>44709.752531516206</c:v>
                </c:pt>
                <c:pt idx="97">
                  <c:v>44709.710525659721</c:v>
                </c:pt>
                <c:pt idx="98">
                  <c:v>44709.667585694442</c:v>
                </c:pt>
                <c:pt idx="99">
                  <c:v>44709.626843634258</c:v>
                </c:pt>
                <c:pt idx="100">
                  <c:v>44709.585927766202</c:v>
                </c:pt>
                <c:pt idx="101">
                  <c:v>44709.541945497687</c:v>
                </c:pt>
                <c:pt idx="102">
                  <c:v>44709.501135069448</c:v>
                </c:pt>
                <c:pt idx="103">
                  <c:v>44709.460050671296</c:v>
                </c:pt>
                <c:pt idx="104">
                  <c:v>44709.417074999998</c:v>
                </c:pt>
                <c:pt idx="105">
                  <c:v>44709.377482071759</c:v>
                </c:pt>
                <c:pt idx="106">
                  <c:v>44709.334706307869</c:v>
                </c:pt>
                <c:pt idx="107">
                  <c:v>44709.292821909723</c:v>
                </c:pt>
                <c:pt idx="108">
                  <c:v>44709.251242754632</c:v>
                </c:pt>
                <c:pt idx="109">
                  <c:v>44709.209182280094</c:v>
                </c:pt>
                <c:pt idx="110">
                  <c:v>44709.16796111111</c:v>
                </c:pt>
                <c:pt idx="111">
                  <c:v>44709.125441377313</c:v>
                </c:pt>
                <c:pt idx="112">
                  <c:v>44709.084990462965</c:v>
                </c:pt>
                <c:pt idx="113">
                  <c:v>44709.04521546296</c:v>
                </c:pt>
                <c:pt idx="114">
                  <c:v>44709.00152056713</c:v>
                </c:pt>
                <c:pt idx="115">
                  <c:v>44708.959050983794</c:v>
                </c:pt>
                <c:pt idx="116">
                  <c:v>44708.91724696759</c:v>
                </c:pt>
                <c:pt idx="117">
                  <c:v>44708.87613034722</c:v>
                </c:pt>
                <c:pt idx="118">
                  <c:v>44708.835478020832</c:v>
                </c:pt>
                <c:pt idx="119">
                  <c:v>44708.79364585648</c:v>
                </c:pt>
                <c:pt idx="120">
                  <c:v>44708.750676631942</c:v>
                </c:pt>
              </c:numCache>
            </c:numRef>
          </c:cat>
          <c:val>
            <c:numRef>
              <c:f>'Hist prices'!$H$10:$H$130</c:f>
              <c:numCache>
                <c:formatCode>0.00%</c:formatCode>
                <c:ptCount val="121"/>
                <c:pt idx="0">
                  <c:v>6.6282955244965941E-2</c:v>
                </c:pt>
                <c:pt idx="1">
                  <c:v>7.0063788729390564E-2</c:v>
                </c:pt>
                <c:pt idx="2">
                  <c:v>8.3180247769051252E-2</c:v>
                </c:pt>
                <c:pt idx="3">
                  <c:v>9.7860331421962071E-2</c:v>
                </c:pt>
                <c:pt idx="4">
                  <c:v>0.11802212287368212</c:v>
                </c:pt>
                <c:pt idx="5">
                  <c:v>0.11618619981247437</c:v>
                </c:pt>
                <c:pt idx="6">
                  <c:v>0.10987212731181455</c:v>
                </c:pt>
                <c:pt idx="7">
                  <c:v>0.10997873981955153</c:v>
                </c:pt>
                <c:pt idx="8">
                  <c:v>0.1141470389493294</c:v>
                </c:pt>
                <c:pt idx="9">
                  <c:v>0.11239995324162916</c:v>
                </c:pt>
                <c:pt idx="10">
                  <c:v>0.10831415081165191</c:v>
                </c:pt>
                <c:pt idx="11">
                  <c:v>0.11117196238399889</c:v>
                </c:pt>
                <c:pt idx="12">
                  <c:v>0.11136752637561292</c:v>
                </c:pt>
                <c:pt idx="13">
                  <c:v>0.11010374514381646</c:v>
                </c:pt>
                <c:pt idx="14">
                  <c:v>0.11171126659849535</c:v>
                </c:pt>
                <c:pt idx="15">
                  <c:v>0.1186944182132617</c:v>
                </c:pt>
                <c:pt idx="16">
                  <c:v>0.12242725956102135</c:v>
                </c:pt>
                <c:pt idx="17">
                  <c:v>0.12352077157596127</c:v>
                </c:pt>
                <c:pt idx="18">
                  <c:v>0.11828372760591267</c:v>
                </c:pt>
                <c:pt idx="19">
                  <c:v>0.11984372890908085</c:v>
                </c:pt>
                <c:pt idx="20">
                  <c:v>0.1161516036479347</c:v>
                </c:pt>
                <c:pt idx="21">
                  <c:v>0.11710744105611481</c:v>
                </c:pt>
                <c:pt idx="22">
                  <c:v>0.11280854778089476</c:v>
                </c:pt>
                <c:pt idx="23">
                  <c:v>0.11294758564817443</c:v>
                </c:pt>
                <c:pt idx="24">
                  <c:v>0.12700376381934386</c:v>
                </c:pt>
                <c:pt idx="25">
                  <c:v>0.13207801579238132</c:v>
                </c:pt>
                <c:pt idx="26">
                  <c:v>0.12514583727732184</c:v>
                </c:pt>
                <c:pt idx="27">
                  <c:v>0.11361412340247244</c:v>
                </c:pt>
                <c:pt idx="28">
                  <c:v>0.10671619235437227</c:v>
                </c:pt>
                <c:pt idx="29">
                  <c:v>0.10994172045545891</c:v>
                </c:pt>
                <c:pt idx="30">
                  <c:v>0.11728453848234703</c:v>
                </c:pt>
                <c:pt idx="31">
                  <c:v>0.112554409444498</c:v>
                </c:pt>
                <c:pt idx="32">
                  <c:v>0.10885344835354524</c:v>
                </c:pt>
                <c:pt idx="33">
                  <c:v>0.11300045247965483</c:v>
                </c:pt>
                <c:pt idx="34">
                  <c:v>0.11026362994086604</c:v>
                </c:pt>
                <c:pt idx="35">
                  <c:v>0.10765819868321129</c:v>
                </c:pt>
                <c:pt idx="36">
                  <c:v>0.11436821656434304</c:v>
                </c:pt>
                <c:pt idx="37">
                  <c:v>0.11496712090774955</c:v>
                </c:pt>
                <c:pt idx="38">
                  <c:v>0.11526135666944363</c:v>
                </c:pt>
                <c:pt idx="39">
                  <c:v>0.1134600144069829</c:v>
                </c:pt>
                <c:pt idx="40">
                  <c:v>0.10954733337282627</c:v>
                </c:pt>
                <c:pt idx="41">
                  <c:v>0.1104403455024878</c:v>
                </c:pt>
                <c:pt idx="42">
                  <c:v>0.1157215852390934</c:v>
                </c:pt>
                <c:pt idx="43">
                  <c:v>0.11501944129406759</c:v>
                </c:pt>
                <c:pt idx="44">
                  <c:v>0.11551841461040541</c:v>
                </c:pt>
                <c:pt idx="45">
                  <c:v>9.7870682201976283E-2</c:v>
                </c:pt>
                <c:pt idx="46">
                  <c:v>7.8255345746416169E-2</c:v>
                </c:pt>
                <c:pt idx="47">
                  <c:v>7.9526284074611597E-2</c:v>
                </c:pt>
                <c:pt idx="48">
                  <c:v>8.0086022106447316E-2</c:v>
                </c:pt>
                <c:pt idx="49">
                  <c:v>7.6574998149468859E-2</c:v>
                </c:pt>
                <c:pt idx="50">
                  <c:v>7.7080357826104756E-2</c:v>
                </c:pt>
                <c:pt idx="51">
                  <c:v>7.1027461853287913E-2</c:v>
                </c:pt>
                <c:pt idx="52">
                  <c:v>7.1814609053050815E-2</c:v>
                </c:pt>
                <c:pt idx="53">
                  <c:v>7.3632534204667005E-2</c:v>
                </c:pt>
                <c:pt idx="54">
                  <c:v>7.8757765988527906E-2</c:v>
                </c:pt>
                <c:pt idx="55">
                  <c:v>7.6346905561971656E-2</c:v>
                </c:pt>
                <c:pt idx="56">
                  <c:v>7.9928568514076953E-2</c:v>
                </c:pt>
                <c:pt idx="57">
                  <c:v>8.1100440187870659E-2</c:v>
                </c:pt>
                <c:pt idx="58">
                  <c:v>7.7821160089840621E-2</c:v>
                </c:pt>
                <c:pt idx="59">
                  <c:v>7.9419016458756306E-2</c:v>
                </c:pt>
                <c:pt idx="60">
                  <c:v>6.9803226105429647E-2</c:v>
                </c:pt>
                <c:pt idx="61">
                  <c:v>6.6478348833584444E-2</c:v>
                </c:pt>
                <c:pt idx="62">
                  <c:v>6.7113846084675438E-2</c:v>
                </c:pt>
                <c:pt idx="63">
                  <c:v>6.2366151823119456E-2</c:v>
                </c:pt>
                <c:pt idx="64">
                  <c:v>4.3649182585897846E-2</c:v>
                </c:pt>
                <c:pt idx="65">
                  <c:v>3.2044808089608016E-2</c:v>
                </c:pt>
                <c:pt idx="66">
                  <c:v>3.6687057405544496E-2</c:v>
                </c:pt>
                <c:pt idx="67">
                  <c:v>3.6095398694655251E-2</c:v>
                </c:pt>
                <c:pt idx="68">
                  <c:v>2.864157763834909E-2</c:v>
                </c:pt>
                <c:pt idx="69">
                  <c:v>2.5792724636334627E-2</c:v>
                </c:pt>
                <c:pt idx="70">
                  <c:v>2.4586030905450407E-2</c:v>
                </c:pt>
                <c:pt idx="71">
                  <c:v>2.7058995531598257E-2</c:v>
                </c:pt>
                <c:pt idx="72">
                  <c:v>2.9379734676320698E-2</c:v>
                </c:pt>
                <c:pt idx="73">
                  <c:v>3.026545880480213E-2</c:v>
                </c:pt>
                <c:pt idx="74">
                  <c:v>2.8487607510081777E-2</c:v>
                </c:pt>
                <c:pt idx="75">
                  <c:v>3.1938252715524876E-2</c:v>
                </c:pt>
                <c:pt idx="76">
                  <c:v>3.2829595369210117E-2</c:v>
                </c:pt>
                <c:pt idx="77">
                  <c:v>3.2551660817945673E-2</c:v>
                </c:pt>
                <c:pt idx="78">
                  <c:v>2.8267268723557747E-2</c:v>
                </c:pt>
                <c:pt idx="79">
                  <c:v>2.5462585857356855E-2</c:v>
                </c:pt>
                <c:pt idx="80">
                  <c:v>2.0460018399181955E-2</c:v>
                </c:pt>
                <c:pt idx="81">
                  <c:v>2.3902176009744015E-2</c:v>
                </c:pt>
                <c:pt idx="82">
                  <c:v>2.0562803855470071E-2</c:v>
                </c:pt>
                <c:pt idx="83">
                  <c:v>2.2312747980378161E-2</c:v>
                </c:pt>
                <c:pt idx="84">
                  <c:v>2.1409508787643541E-2</c:v>
                </c:pt>
                <c:pt idx="85">
                  <c:v>1.9391803335757962E-2</c:v>
                </c:pt>
                <c:pt idx="86">
                  <c:v>1.9786967332465405E-2</c:v>
                </c:pt>
                <c:pt idx="87">
                  <c:v>1.7378754154837715E-2</c:v>
                </c:pt>
                <c:pt idx="88">
                  <c:v>1.8162086020779029E-2</c:v>
                </c:pt>
                <c:pt idx="89">
                  <c:v>2.0813563990306917E-2</c:v>
                </c:pt>
                <c:pt idx="90">
                  <c:v>2.2476730225396136E-2</c:v>
                </c:pt>
                <c:pt idx="91">
                  <c:v>2.0033676934829846E-2</c:v>
                </c:pt>
                <c:pt idx="92">
                  <c:v>2.1550565026679843E-2</c:v>
                </c:pt>
                <c:pt idx="93">
                  <c:v>1.9773657822500422E-2</c:v>
                </c:pt>
                <c:pt idx="94">
                  <c:v>2.074376147186351E-2</c:v>
                </c:pt>
                <c:pt idx="95">
                  <c:v>1.9509259408538388E-2</c:v>
                </c:pt>
                <c:pt idx="96">
                  <c:v>1.5805219395664035E-2</c:v>
                </c:pt>
                <c:pt idx="97">
                  <c:v>1.8730558758131219E-2</c:v>
                </c:pt>
                <c:pt idx="98">
                  <c:v>2.0678344681784352E-2</c:v>
                </c:pt>
                <c:pt idx="99">
                  <c:v>1.9604167077463309E-2</c:v>
                </c:pt>
                <c:pt idx="100">
                  <c:v>2.2699759778755324E-2</c:v>
                </c:pt>
                <c:pt idx="101">
                  <c:v>1.9162919584644882E-2</c:v>
                </c:pt>
                <c:pt idx="102">
                  <c:v>1.5083773168937741E-2</c:v>
                </c:pt>
                <c:pt idx="103">
                  <c:v>1.3523096339620453E-2</c:v>
                </c:pt>
                <c:pt idx="104">
                  <c:v>1.336922136110168E-2</c:v>
                </c:pt>
                <c:pt idx="105">
                  <c:v>1.4547335914910397E-2</c:v>
                </c:pt>
                <c:pt idx="106">
                  <c:v>1.5697622014006329E-2</c:v>
                </c:pt>
                <c:pt idx="107">
                  <c:v>1.5441913826924083E-2</c:v>
                </c:pt>
                <c:pt idx="108">
                  <c:v>1.5414842741673141E-2</c:v>
                </c:pt>
                <c:pt idx="109">
                  <c:v>1.437807623677702E-2</c:v>
                </c:pt>
                <c:pt idx="110">
                  <c:v>1.3700093356486196E-2</c:v>
                </c:pt>
                <c:pt idx="111">
                  <c:v>9.7199158822161794E-3</c:v>
                </c:pt>
                <c:pt idx="112">
                  <c:v>6.2546877537201931E-3</c:v>
                </c:pt>
                <c:pt idx="113">
                  <c:v>1.3476546040338086E-2</c:v>
                </c:pt>
                <c:pt idx="114">
                  <c:v>6.9546602592225728E-3</c:v>
                </c:pt>
                <c:pt idx="115">
                  <c:v>1.465442720716869E-2</c:v>
                </c:pt>
                <c:pt idx="116">
                  <c:v>1.1623722795804363E-2</c:v>
                </c:pt>
                <c:pt idx="117">
                  <c:v>1.3117728662182226E-2</c:v>
                </c:pt>
                <c:pt idx="118">
                  <c:v>1.510905180399077E-2</c:v>
                </c:pt>
                <c:pt idx="119">
                  <c:v>1.308498078459877E-3</c:v>
                </c:pt>
                <c:pt idx="1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C3-4BAC-B992-8FAADE7321FE}"/>
            </c:ext>
          </c:extLst>
        </c:ser>
        <c:ser>
          <c:idx val="1"/>
          <c:order val="1"/>
          <c:tx>
            <c:strRef>
              <c:f>'Hist prices'!$I$9</c:f>
              <c:strCache>
                <c:ptCount val="1"/>
                <c:pt idx="0">
                  <c:v>ETH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ETH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DC3-4BAC-B992-8FAADE732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'Hist prices'!$G$10:$G$130</c:f>
              <c:numCache>
                <c:formatCode>[$-409]m/d/yy\ h:mm\ AM/PM;@</c:formatCode>
                <c:ptCount val="121"/>
                <c:pt idx="0">
                  <c:v>44713.714884259258</c:v>
                </c:pt>
                <c:pt idx="1">
                  <c:v>44713.710080509256</c:v>
                </c:pt>
                <c:pt idx="2">
                  <c:v>44713.667659004626</c:v>
                </c:pt>
                <c:pt idx="3">
                  <c:v>44713.627241898146</c:v>
                </c:pt>
                <c:pt idx="4">
                  <c:v>44713.584309560189</c:v>
                </c:pt>
                <c:pt idx="5">
                  <c:v>44713.543640219905</c:v>
                </c:pt>
                <c:pt idx="6">
                  <c:v>44713.50164253472</c:v>
                </c:pt>
                <c:pt idx="7">
                  <c:v>44713.459885127311</c:v>
                </c:pt>
                <c:pt idx="8">
                  <c:v>44713.41726681713</c:v>
                </c:pt>
                <c:pt idx="9">
                  <c:v>44713.38033295139</c:v>
                </c:pt>
                <c:pt idx="10">
                  <c:v>44713.333608171299</c:v>
                </c:pt>
                <c:pt idx="11">
                  <c:v>44713.293959178241</c:v>
                </c:pt>
                <c:pt idx="12">
                  <c:v>44713.251158935185</c:v>
                </c:pt>
                <c:pt idx="13">
                  <c:v>44713.21036287037</c:v>
                </c:pt>
                <c:pt idx="14">
                  <c:v>44713.167989409725</c:v>
                </c:pt>
                <c:pt idx="15">
                  <c:v>44713.1257974537</c:v>
                </c:pt>
                <c:pt idx="16">
                  <c:v>44713.08455013889</c:v>
                </c:pt>
                <c:pt idx="17">
                  <c:v>44713.043044745369</c:v>
                </c:pt>
                <c:pt idx="18">
                  <c:v>44713.001626377314</c:v>
                </c:pt>
                <c:pt idx="19">
                  <c:v>44712.959451261573</c:v>
                </c:pt>
                <c:pt idx="20">
                  <c:v>44712.918911550929</c:v>
                </c:pt>
                <c:pt idx="21">
                  <c:v>44712.877353634256</c:v>
                </c:pt>
                <c:pt idx="22">
                  <c:v>44712.83363940972</c:v>
                </c:pt>
                <c:pt idx="23">
                  <c:v>44712.792568252313</c:v>
                </c:pt>
                <c:pt idx="24">
                  <c:v>44712.752508124999</c:v>
                </c:pt>
                <c:pt idx="25">
                  <c:v>44712.710225000003</c:v>
                </c:pt>
                <c:pt idx="26">
                  <c:v>44712.668994120373</c:v>
                </c:pt>
                <c:pt idx="27">
                  <c:v>44712.626174305558</c:v>
                </c:pt>
                <c:pt idx="28">
                  <c:v>44712.584559641204</c:v>
                </c:pt>
                <c:pt idx="29">
                  <c:v>44712.542923483794</c:v>
                </c:pt>
                <c:pt idx="30">
                  <c:v>44712.502526469907</c:v>
                </c:pt>
                <c:pt idx="31">
                  <c:v>44712.460236412036</c:v>
                </c:pt>
                <c:pt idx="32">
                  <c:v>44712.41858759259</c:v>
                </c:pt>
                <c:pt idx="33">
                  <c:v>44712.376310694446</c:v>
                </c:pt>
                <c:pt idx="34">
                  <c:v>44712.33524148148</c:v>
                </c:pt>
                <c:pt idx="35">
                  <c:v>44712.292517291666</c:v>
                </c:pt>
                <c:pt idx="36">
                  <c:v>44712.251281863428</c:v>
                </c:pt>
                <c:pt idx="37">
                  <c:v>44712.210052986113</c:v>
                </c:pt>
                <c:pt idx="38">
                  <c:v>44712.168390312501</c:v>
                </c:pt>
                <c:pt idx="39">
                  <c:v>44712.126698657405</c:v>
                </c:pt>
                <c:pt idx="40">
                  <c:v>44712.085551643519</c:v>
                </c:pt>
                <c:pt idx="41">
                  <c:v>44712.045020439815</c:v>
                </c:pt>
                <c:pt idx="42">
                  <c:v>44712.002025208334</c:v>
                </c:pt>
                <c:pt idx="43">
                  <c:v>44711.959506840278</c:v>
                </c:pt>
                <c:pt idx="44">
                  <c:v>44711.917002164351</c:v>
                </c:pt>
                <c:pt idx="45">
                  <c:v>44711.876116053238</c:v>
                </c:pt>
                <c:pt idx="46">
                  <c:v>44711.834584131946</c:v>
                </c:pt>
                <c:pt idx="47">
                  <c:v>44711.79444528935</c:v>
                </c:pt>
                <c:pt idx="48">
                  <c:v>44711.751887465274</c:v>
                </c:pt>
                <c:pt idx="49">
                  <c:v>44711.709744375003</c:v>
                </c:pt>
                <c:pt idx="50">
                  <c:v>44711.667513564818</c:v>
                </c:pt>
                <c:pt idx="51">
                  <c:v>44711.625593391203</c:v>
                </c:pt>
                <c:pt idx="52">
                  <c:v>44711.58444766204</c:v>
                </c:pt>
                <c:pt idx="53">
                  <c:v>44711.54422596065</c:v>
                </c:pt>
                <c:pt idx="54">
                  <c:v>44711.502032893521</c:v>
                </c:pt>
                <c:pt idx="55">
                  <c:v>44711.460498217595</c:v>
                </c:pt>
                <c:pt idx="56">
                  <c:v>44711.419574074076</c:v>
                </c:pt>
                <c:pt idx="57">
                  <c:v>44711.378516087963</c:v>
                </c:pt>
                <c:pt idx="58">
                  <c:v>44711.335019293983</c:v>
                </c:pt>
                <c:pt idx="59">
                  <c:v>44711.292519409719</c:v>
                </c:pt>
                <c:pt idx="60">
                  <c:v>44711.25100207176</c:v>
                </c:pt>
                <c:pt idx="61">
                  <c:v>44711.209144768516</c:v>
                </c:pt>
                <c:pt idx="62">
                  <c:v>44711.168392604166</c:v>
                </c:pt>
                <c:pt idx="63">
                  <c:v>44711.126823541665</c:v>
                </c:pt>
                <c:pt idx="64">
                  <c:v>44711.085680439814</c:v>
                </c:pt>
                <c:pt idx="65">
                  <c:v>44711.043305925923</c:v>
                </c:pt>
                <c:pt idx="66">
                  <c:v>44711.00258763889</c:v>
                </c:pt>
                <c:pt idx="67">
                  <c:v>44710.958720266201</c:v>
                </c:pt>
                <c:pt idx="68">
                  <c:v>44710.917072719909</c:v>
                </c:pt>
                <c:pt idx="69">
                  <c:v>44710.875985254628</c:v>
                </c:pt>
                <c:pt idx="70">
                  <c:v>44710.834938414351</c:v>
                </c:pt>
                <c:pt idx="71">
                  <c:v>44710.794689050927</c:v>
                </c:pt>
                <c:pt idx="72">
                  <c:v>44710.750652349539</c:v>
                </c:pt>
                <c:pt idx="73">
                  <c:v>44710.710095659721</c:v>
                </c:pt>
                <c:pt idx="74">
                  <c:v>44710.66855736111</c:v>
                </c:pt>
                <c:pt idx="75">
                  <c:v>44710.626899675925</c:v>
                </c:pt>
                <c:pt idx="76">
                  <c:v>44710.584955636572</c:v>
                </c:pt>
                <c:pt idx="77">
                  <c:v>44710.542140543985</c:v>
                </c:pt>
                <c:pt idx="78">
                  <c:v>44710.500337013887</c:v>
                </c:pt>
                <c:pt idx="79">
                  <c:v>44710.460543854169</c:v>
                </c:pt>
                <c:pt idx="80">
                  <c:v>44710.417141874997</c:v>
                </c:pt>
                <c:pt idx="81">
                  <c:v>44710.376426168979</c:v>
                </c:pt>
                <c:pt idx="82">
                  <c:v>44710.334313946762</c:v>
                </c:pt>
                <c:pt idx="83">
                  <c:v>44710.294285706019</c:v>
                </c:pt>
                <c:pt idx="84">
                  <c:v>44710.25095159722</c:v>
                </c:pt>
                <c:pt idx="85">
                  <c:v>44710.2094300463</c:v>
                </c:pt>
                <c:pt idx="86">
                  <c:v>44710.166782256943</c:v>
                </c:pt>
                <c:pt idx="87">
                  <c:v>44710.126497349534</c:v>
                </c:pt>
                <c:pt idx="88">
                  <c:v>44710.083924583334</c:v>
                </c:pt>
                <c:pt idx="89">
                  <c:v>44710.047424548611</c:v>
                </c:pt>
                <c:pt idx="90">
                  <c:v>44710.001210335649</c:v>
                </c:pt>
                <c:pt idx="91">
                  <c:v>44709.960327997687</c:v>
                </c:pt>
                <c:pt idx="92">
                  <c:v>44709.918714131942</c:v>
                </c:pt>
                <c:pt idx="93">
                  <c:v>44709.875583356479</c:v>
                </c:pt>
                <c:pt idx="94">
                  <c:v>44709.835246516202</c:v>
                </c:pt>
                <c:pt idx="95">
                  <c:v>44709.792750624998</c:v>
                </c:pt>
                <c:pt idx="96">
                  <c:v>44709.752531516206</c:v>
                </c:pt>
                <c:pt idx="97">
                  <c:v>44709.710525659721</c:v>
                </c:pt>
                <c:pt idx="98">
                  <c:v>44709.667585694442</c:v>
                </c:pt>
                <c:pt idx="99">
                  <c:v>44709.626843634258</c:v>
                </c:pt>
                <c:pt idx="100">
                  <c:v>44709.585927766202</c:v>
                </c:pt>
                <c:pt idx="101">
                  <c:v>44709.541945497687</c:v>
                </c:pt>
                <c:pt idx="102">
                  <c:v>44709.501135069448</c:v>
                </c:pt>
                <c:pt idx="103">
                  <c:v>44709.460050671296</c:v>
                </c:pt>
                <c:pt idx="104">
                  <c:v>44709.417074999998</c:v>
                </c:pt>
                <c:pt idx="105">
                  <c:v>44709.377482071759</c:v>
                </c:pt>
                <c:pt idx="106">
                  <c:v>44709.334706307869</c:v>
                </c:pt>
                <c:pt idx="107">
                  <c:v>44709.292821909723</c:v>
                </c:pt>
                <c:pt idx="108">
                  <c:v>44709.251242754632</c:v>
                </c:pt>
                <c:pt idx="109">
                  <c:v>44709.209182280094</c:v>
                </c:pt>
                <c:pt idx="110">
                  <c:v>44709.16796111111</c:v>
                </c:pt>
                <c:pt idx="111">
                  <c:v>44709.125441377313</c:v>
                </c:pt>
                <c:pt idx="112">
                  <c:v>44709.084990462965</c:v>
                </c:pt>
                <c:pt idx="113">
                  <c:v>44709.04521546296</c:v>
                </c:pt>
                <c:pt idx="114">
                  <c:v>44709.00152056713</c:v>
                </c:pt>
                <c:pt idx="115">
                  <c:v>44708.959050983794</c:v>
                </c:pt>
                <c:pt idx="116">
                  <c:v>44708.91724696759</c:v>
                </c:pt>
                <c:pt idx="117">
                  <c:v>44708.87613034722</c:v>
                </c:pt>
                <c:pt idx="118">
                  <c:v>44708.835478020832</c:v>
                </c:pt>
                <c:pt idx="119">
                  <c:v>44708.79364585648</c:v>
                </c:pt>
                <c:pt idx="120">
                  <c:v>44708.750676631942</c:v>
                </c:pt>
              </c:numCache>
            </c:numRef>
          </c:cat>
          <c:val>
            <c:numRef>
              <c:f>'Hist prices'!$I$10:$I$130</c:f>
              <c:numCache>
                <c:formatCode>0.00%</c:formatCode>
                <c:ptCount val="121"/>
                <c:pt idx="0">
                  <c:v>6.646864660198859E-2</c:v>
                </c:pt>
                <c:pt idx="1">
                  <c:v>7.243746621390118E-2</c:v>
                </c:pt>
                <c:pt idx="2">
                  <c:v>8.7769650072208813E-2</c:v>
                </c:pt>
                <c:pt idx="3">
                  <c:v>0.10205310234502757</c:v>
                </c:pt>
                <c:pt idx="4">
                  <c:v>0.13284317119401121</c:v>
                </c:pt>
                <c:pt idx="5">
                  <c:v>0.12626297286412036</c:v>
                </c:pt>
                <c:pt idx="6">
                  <c:v>0.11635508310147429</c:v>
                </c:pt>
                <c:pt idx="7">
                  <c:v>0.11638394600732613</c:v>
                </c:pt>
                <c:pt idx="8">
                  <c:v>0.1196893255276905</c:v>
                </c:pt>
                <c:pt idx="9">
                  <c:v>0.11686407231806253</c:v>
                </c:pt>
                <c:pt idx="10">
                  <c:v>0.11497238285272746</c:v>
                </c:pt>
                <c:pt idx="11">
                  <c:v>0.11682726640590808</c:v>
                </c:pt>
                <c:pt idx="12">
                  <c:v>0.11412426429135676</c:v>
                </c:pt>
                <c:pt idx="13">
                  <c:v>0.11397304233926639</c:v>
                </c:pt>
                <c:pt idx="14">
                  <c:v>0.1124991997922281</c:v>
                </c:pt>
                <c:pt idx="15">
                  <c:v>0.11800229994600522</c:v>
                </c:pt>
                <c:pt idx="16">
                  <c:v>0.12290009730595544</c:v>
                </c:pt>
                <c:pt idx="17">
                  <c:v>0.1265421307456818</c:v>
                </c:pt>
                <c:pt idx="18">
                  <c:v>0.12042450991720981</c:v>
                </c:pt>
                <c:pt idx="19">
                  <c:v>0.12685703084129946</c:v>
                </c:pt>
                <c:pt idx="20">
                  <c:v>0.12272154394159784</c:v>
                </c:pt>
                <c:pt idx="21">
                  <c:v>0.1231400470040305</c:v>
                </c:pt>
                <c:pt idx="22">
                  <c:v>0.11486555163305009</c:v>
                </c:pt>
                <c:pt idx="23">
                  <c:v>0.11893309447743673</c:v>
                </c:pt>
                <c:pt idx="24">
                  <c:v>0.13162690827532411</c:v>
                </c:pt>
                <c:pt idx="25">
                  <c:v>0.13977310524425976</c:v>
                </c:pt>
                <c:pt idx="26">
                  <c:v>0.14240578652442884</c:v>
                </c:pt>
                <c:pt idx="27">
                  <c:v>0.12962265701435799</c:v>
                </c:pt>
                <c:pt idx="28">
                  <c:v>0.12355224852967542</c:v>
                </c:pt>
                <c:pt idx="29">
                  <c:v>0.13066129642552171</c:v>
                </c:pt>
                <c:pt idx="30">
                  <c:v>0.14087563823080121</c:v>
                </c:pt>
                <c:pt idx="31">
                  <c:v>0.13630100226118441</c:v>
                </c:pt>
                <c:pt idx="32">
                  <c:v>0.13256976915362489</c:v>
                </c:pt>
                <c:pt idx="33">
                  <c:v>0.13913202717453377</c:v>
                </c:pt>
                <c:pt idx="34">
                  <c:v>0.136378855417117</c:v>
                </c:pt>
                <c:pt idx="35">
                  <c:v>0.13355030243500854</c:v>
                </c:pt>
                <c:pt idx="36">
                  <c:v>0.14248857099027659</c:v>
                </c:pt>
                <c:pt idx="37">
                  <c:v>0.1457184453873083</c:v>
                </c:pt>
                <c:pt idx="38">
                  <c:v>0.14761392156456876</c:v>
                </c:pt>
                <c:pt idx="39">
                  <c:v>0.15058024677048412</c:v>
                </c:pt>
                <c:pt idx="40">
                  <c:v>0.14448242401001063</c:v>
                </c:pt>
                <c:pt idx="41">
                  <c:v>0.14836761844184956</c:v>
                </c:pt>
                <c:pt idx="42">
                  <c:v>0.15031149726761686</c:v>
                </c:pt>
                <c:pt idx="43">
                  <c:v>0.15080791963378135</c:v>
                </c:pt>
                <c:pt idx="44">
                  <c:v>0.14492281472318252</c:v>
                </c:pt>
                <c:pt idx="45">
                  <c:v>0.12137604361948111</c:v>
                </c:pt>
                <c:pt idx="46">
                  <c:v>0.10613257767960402</c:v>
                </c:pt>
                <c:pt idx="47">
                  <c:v>0.10824033324534259</c:v>
                </c:pt>
                <c:pt idx="48">
                  <c:v>0.11154215588685676</c:v>
                </c:pt>
                <c:pt idx="49">
                  <c:v>0.10639336244792019</c:v>
                </c:pt>
                <c:pt idx="50">
                  <c:v>0.10239294356880586</c:v>
                </c:pt>
                <c:pt idx="51">
                  <c:v>9.367866449187269E-2</c:v>
                </c:pt>
                <c:pt idx="52">
                  <c:v>8.9827561225082106E-2</c:v>
                </c:pt>
                <c:pt idx="53">
                  <c:v>8.9038729957097773E-2</c:v>
                </c:pt>
                <c:pt idx="54">
                  <c:v>9.7405713206377365E-2</c:v>
                </c:pt>
                <c:pt idx="55">
                  <c:v>9.2239002117067384E-2</c:v>
                </c:pt>
                <c:pt idx="56">
                  <c:v>9.8889730199514275E-2</c:v>
                </c:pt>
                <c:pt idx="57">
                  <c:v>0.10034030225005047</c:v>
                </c:pt>
                <c:pt idx="58">
                  <c:v>0.10089640990740689</c:v>
                </c:pt>
                <c:pt idx="59">
                  <c:v>0.10008661834416029</c:v>
                </c:pt>
                <c:pt idx="60">
                  <c:v>9.1452677716607034E-2</c:v>
                </c:pt>
                <c:pt idx="61">
                  <c:v>8.0645935652164477E-2</c:v>
                </c:pt>
                <c:pt idx="62">
                  <c:v>8.3917470588117576E-2</c:v>
                </c:pt>
                <c:pt idx="63">
                  <c:v>8.1623502150039426E-2</c:v>
                </c:pt>
                <c:pt idx="64">
                  <c:v>6.1415276273560152E-2</c:v>
                </c:pt>
                <c:pt idx="65">
                  <c:v>4.156703839189952E-2</c:v>
                </c:pt>
                <c:pt idx="66">
                  <c:v>4.6023264087823083E-2</c:v>
                </c:pt>
                <c:pt idx="67">
                  <c:v>4.6400694905906668E-2</c:v>
                </c:pt>
                <c:pt idx="68">
                  <c:v>4.0912665878083863E-2</c:v>
                </c:pt>
                <c:pt idx="69">
                  <c:v>3.5221009356211336E-2</c:v>
                </c:pt>
                <c:pt idx="70">
                  <c:v>3.1260272026591741E-2</c:v>
                </c:pt>
                <c:pt idx="71">
                  <c:v>3.639681568228241E-2</c:v>
                </c:pt>
                <c:pt idx="72">
                  <c:v>3.9013884833378455E-2</c:v>
                </c:pt>
                <c:pt idx="73">
                  <c:v>4.0660175680811698E-2</c:v>
                </c:pt>
                <c:pt idx="74">
                  <c:v>3.7146378818503585E-2</c:v>
                </c:pt>
                <c:pt idx="75">
                  <c:v>4.3334436764206334E-2</c:v>
                </c:pt>
                <c:pt idx="76">
                  <c:v>4.5408957268835544E-2</c:v>
                </c:pt>
                <c:pt idx="77">
                  <c:v>4.4899097501365982E-2</c:v>
                </c:pt>
                <c:pt idx="78">
                  <c:v>3.8401895922180629E-2</c:v>
                </c:pt>
                <c:pt idx="79">
                  <c:v>3.4658999450494013E-2</c:v>
                </c:pt>
                <c:pt idx="80">
                  <c:v>2.645931977078789E-2</c:v>
                </c:pt>
                <c:pt idx="81">
                  <c:v>3.113288725438268E-2</c:v>
                </c:pt>
                <c:pt idx="82">
                  <c:v>2.9003767726173482E-2</c:v>
                </c:pt>
                <c:pt idx="83">
                  <c:v>2.8981781257921155E-2</c:v>
                </c:pt>
                <c:pt idx="84">
                  <c:v>2.8302523191789986E-2</c:v>
                </c:pt>
                <c:pt idx="85">
                  <c:v>2.4955894789107969E-2</c:v>
                </c:pt>
                <c:pt idx="86">
                  <c:v>2.5335015552170922E-2</c:v>
                </c:pt>
                <c:pt idx="87">
                  <c:v>2.097181111565679E-2</c:v>
                </c:pt>
                <c:pt idx="88">
                  <c:v>2.5250666000311835E-2</c:v>
                </c:pt>
                <c:pt idx="89">
                  <c:v>3.3476437709103579E-2</c:v>
                </c:pt>
                <c:pt idx="90">
                  <c:v>3.5666977324203666E-2</c:v>
                </c:pt>
                <c:pt idx="91">
                  <c:v>2.9890324055644811E-2</c:v>
                </c:pt>
                <c:pt idx="92">
                  <c:v>3.040910849376624E-2</c:v>
                </c:pt>
                <c:pt idx="93">
                  <c:v>3.2619315762923394E-2</c:v>
                </c:pt>
                <c:pt idx="94">
                  <c:v>3.4678485414208253E-2</c:v>
                </c:pt>
                <c:pt idx="95">
                  <c:v>3.064421024910095E-2</c:v>
                </c:pt>
                <c:pt idx="96">
                  <c:v>2.3110831163659799E-2</c:v>
                </c:pt>
                <c:pt idx="97">
                  <c:v>3.1436146173636201E-2</c:v>
                </c:pt>
                <c:pt idx="98">
                  <c:v>3.5992115712666764E-2</c:v>
                </c:pt>
                <c:pt idx="99">
                  <c:v>2.8260872406734281E-2</c:v>
                </c:pt>
                <c:pt idx="100">
                  <c:v>3.106951730454071E-2</c:v>
                </c:pt>
                <c:pt idx="101">
                  <c:v>3.1429300089083345E-2</c:v>
                </c:pt>
                <c:pt idx="102">
                  <c:v>2.3571761499135355E-2</c:v>
                </c:pt>
                <c:pt idx="103">
                  <c:v>1.531919135170241E-2</c:v>
                </c:pt>
                <c:pt idx="104">
                  <c:v>1.3152538205331866E-2</c:v>
                </c:pt>
                <c:pt idx="105">
                  <c:v>1.5433263799172167E-2</c:v>
                </c:pt>
                <c:pt idx="106">
                  <c:v>1.8077428914920108E-2</c:v>
                </c:pt>
                <c:pt idx="107">
                  <c:v>1.9725702961881492E-2</c:v>
                </c:pt>
                <c:pt idx="108">
                  <c:v>2.1730954622440058E-2</c:v>
                </c:pt>
                <c:pt idx="109">
                  <c:v>1.6837994832061852E-2</c:v>
                </c:pt>
                <c:pt idx="110">
                  <c:v>1.412836862292971E-2</c:v>
                </c:pt>
                <c:pt idx="111">
                  <c:v>-1.6269148941915853E-3</c:v>
                </c:pt>
                <c:pt idx="112">
                  <c:v>-1.7478642806964685E-3</c:v>
                </c:pt>
                <c:pt idx="113">
                  <c:v>7.5594219491417793E-3</c:v>
                </c:pt>
                <c:pt idx="114">
                  <c:v>-5.9080517008033313E-3</c:v>
                </c:pt>
                <c:pt idx="115">
                  <c:v>7.261262852469229E-3</c:v>
                </c:pt>
                <c:pt idx="116">
                  <c:v>5.5205086025396271E-3</c:v>
                </c:pt>
                <c:pt idx="117">
                  <c:v>1.1479615642299381E-2</c:v>
                </c:pt>
                <c:pt idx="118">
                  <c:v>1.1660945387334958E-2</c:v>
                </c:pt>
                <c:pt idx="119">
                  <c:v>-2.5993775586449141E-3</c:v>
                </c:pt>
                <c:pt idx="1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C3-4BAC-B992-8FAADE7321FE}"/>
            </c:ext>
          </c:extLst>
        </c:ser>
        <c:ser>
          <c:idx val="2"/>
          <c:order val="2"/>
          <c:tx>
            <c:strRef>
              <c:f>'Hist prices'!$J$9</c:f>
              <c:strCache>
                <c:ptCount val="1"/>
                <c:pt idx="0">
                  <c:v>TTTT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TTTT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DC3-4BAC-B992-8FAADE732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'Hist prices'!$G$10:$G$130</c:f>
              <c:numCache>
                <c:formatCode>[$-409]m/d/yy\ h:mm\ AM/PM;@</c:formatCode>
                <c:ptCount val="121"/>
                <c:pt idx="0">
                  <c:v>44713.714884259258</c:v>
                </c:pt>
                <c:pt idx="1">
                  <c:v>44713.710080509256</c:v>
                </c:pt>
                <c:pt idx="2">
                  <c:v>44713.667659004626</c:v>
                </c:pt>
                <c:pt idx="3">
                  <c:v>44713.627241898146</c:v>
                </c:pt>
                <c:pt idx="4">
                  <c:v>44713.584309560189</c:v>
                </c:pt>
                <c:pt idx="5">
                  <c:v>44713.543640219905</c:v>
                </c:pt>
                <c:pt idx="6">
                  <c:v>44713.50164253472</c:v>
                </c:pt>
                <c:pt idx="7">
                  <c:v>44713.459885127311</c:v>
                </c:pt>
                <c:pt idx="8">
                  <c:v>44713.41726681713</c:v>
                </c:pt>
                <c:pt idx="9">
                  <c:v>44713.38033295139</c:v>
                </c:pt>
                <c:pt idx="10">
                  <c:v>44713.333608171299</c:v>
                </c:pt>
                <c:pt idx="11">
                  <c:v>44713.293959178241</c:v>
                </c:pt>
                <c:pt idx="12">
                  <c:v>44713.251158935185</c:v>
                </c:pt>
                <c:pt idx="13">
                  <c:v>44713.21036287037</c:v>
                </c:pt>
                <c:pt idx="14">
                  <c:v>44713.167989409725</c:v>
                </c:pt>
                <c:pt idx="15">
                  <c:v>44713.1257974537</c:v>
                </c:pt>
                <c:pt idx="16">
                  <c:v>44713.08455013889</c:v>
                </c:pt>
                <c:pt idx="17">
                  <c:v>44713.043044745369</c:v>
                </c:pt>
                <c:pt idx="18">
                  <c:v>44713.001626377314</c:v>
                </c:pt>
                <c:pt idx="19">
                  <c:v>44712.959451261573</c:v>
                </c:pt>
                <c:pt idx="20">
                  <c:v>44712.918911550929</c:v>
                </c:pt>
                <c:pt idx="21">
                  <c:v>44712.877353634256</c:v>
                </c:pt>
                <c:pt idx="22">
                  <c:v>44712.83363940972</c:v>
                </c:pt>
                <c:pt idx="23">
                  <c:v>44712.792568252313</c:v>
                </c:pt>
                <c:pt idx="24">
                  <c:v>44712.752508124999</c:v>
                </c:pt>
                <c:pt idx="25">
                  <c:v>44712.710225000003</c:v>
                </c:pt>
                <c:pt idx="26">
                  <c:v>44712.668994120373</c:v>
                </c:pt>
                <c:pt idx="27">
                  <c:v>44712.626174305558</c:v>
                </c:pt>
                <c:pt idx="28">
                  <c:v>44712.584559641204</c:v>
                </c:pt>
                <c:pt idx="29">
                  <c:v>44712.542923483794</c:v>
                </c:pt>
                <c:pt idx="30">
                  <c:v>44712.502526469907</c:v>
                </c:pt>
                <c:pt idx="31">
                  <c:v>44712.460236412036</c:v>
                </c:pt>
                <c:pt idx="32">
                  <c:v>44712.41858759259</c:v>
                </c:pt>
                <c:pt idx="33">
                  <c:v>44712.376310694446</c:v>
                </c:pt>
                <c:pt idx="34">
                  <c:v>44712.33524148148</c:v>
                </c:pt>
                <c:pt idx="35">
                  <c:v>44712.292517291666</c:v>
                </c:pt>
                <c:pt idx="36">
                  <c:v>44712.251281863428</c:v>
                </c:pt>
                <c:pt idx="37">
                  <c:v>44712.210052986113</c:v>
                </c:pt>
                <c:pt idx="38">
                  <c:v>44712.168390312501</c:v>
                </c:pt>
                <c:pt idx="39">
                  <c:v>44712.126698657405</c:v>
                </c:pt>
                <c:pt idx="40">
                  <c:v>44712.085551643519</c:v>
                </c:pt>
                <c:pt idx="41">
                  <c:v>44712.045020439815</c:v>
                </c:pt>
                <c:pt idx="42">
                  <c:v>44712.002025208334</c:v>
                </c:pt>
                <c:pt idx="43">
                  <c:v>44711.959506840278</c:v>
                </c:pt>
                <c:pt idx="44">
                  <c:v>44711.917002164351</c:v>
                </c:pt>
                <c:pt idx="45">
                  <c:v>44711.876116053238</c:v>
                </c:pt>
                <c:pt idx="46">
                  <c:v>44711.834584131946</c:v>
                </c:pt>
                <c:pt idx="47">
                  <c:v>44711.79444528935</c:v>
                </c:pt>
                <c:pt idx="48">
                  <c:v>44711.751887465274</c:v>
                </c:pt>
                <c:pt idx="49">
                  <c:v>44711.709744375003</c:v>
                </c:pt>
                <c:pt idx="50">
                  <c:v>44711.667513564818</c:v>
                </c:pt>
                <c:pt idx="51">
                  <c:v>44711.625593391203</c:v>
                </c:pt>
                <c:pt idx="52">
                  <c:v>44711.58444766204</c:v>
                </c:pt>
                <c:pt idx="53">
                  <c:v>44711.54422596065</c:v>
                </c:pt>
                <c:pt idx="54">
                  <c:v>44711.502032893521</c:v>
                </c:pt>
                <c:pt idx="55">
                  <c:v>44711.460498217595</c:v>
                </c:pt>
                <c:pt idx="56">
                  <c:v>44711.419574074076</c:v>
                </c:pt>
                <c:pt idx="57">
                  <c:v>44711.378516087963</c:v>
                </c:pt>
                <c:pt idx="58">
                  <c:v>44711.335019293983</c:v>
                </c:pt>
                <c:pt idx="59">
                  <c:v>44711.292519409719</c:v>
                </c:pt>
                <c:pt idx="60">
                  <c:v>44711.25100207176</c:v>
                </c:pt>
                <c:pt idx="61">
                  <c:v>44711.209144768516</c:v>
                </c:pt>
                <c:pt idx="62">
                  <c:v>44711.168392604166</c:v>
                </c:pt>
                <c:pt idx="63">
                  <c:v>44711.126823541665</c:v>
                </c:pt>
                <c:pt idx="64">
                  <c:v>44711.085680439814</c:v>
                </c:pt>
                <c:pt idx="65">
                  <c:v>44711.043305925923</c:v>
                </c:pt>
                <c:pt idx="66">
                  <c:v>44711.00258763889</c:v>
                </c:pt>
                <c:pt idx="67">
                  <c:v>44710.958720266201</c:v>
                </c:pt>
                <c:pt idx="68">
                  <c:v>44710.917072719909</c:v>
                </c:pt>
                <c:pt idx="69">
                  <c:v>44710.875985254628</c:v>
                </c:pt>
                <c:pt idx="70">
                  <c:v>44710.834938414351</c:v>
                </c:pt>
                <c:pt idx="71">
                  <c:v>44710.794689050927</c:v>
                </c:pt>
                <c:pt idx="72">
                  <c:v>44710.750652349539</c:v>
                </c:pt>
                <c:pt idx="73">
                  <c:v>44710.710095659721</c:v>
                </c:pt>
                <c:pt idx="74">
                  <c:v>44710.66855736111</c:v>
                </c:pt>
                <c:pt idx="75">
                  <c:v>44710.626899675925</c:v>
                </c:pt>
                <c:pt idx="76">
                  <c:v>44710.584955636572</c:v>
                </c:pt>
                <c:pt idx="77">
                  <c:v>44710.542140543985</c:v>
                </c:pt>
                <c:pt idx="78">
                  <c:v>44710.500337013887</c:v>
                </c:pt>
                <c:pt idx="79">
                  <c:v>44710.460543854169</c:v>
                </c:pt>
                <c:pt idx="80">
                  <c:v>44710.417141874997</c:v>
                </c:pt>
                <c:pt idx="81">
                  <c:v>44710.376426168979</c:v>
                </c:pt>
                <c:pt idx="82">
                  <c:v>44710.334313946762</c:v>
                </c:pt>
                <c:pt idx="83">
                  <c:v>44710.294285706019</c:v>
                </c:pt>
                <c:pt idx="84">
                  <c:v>44710.25095159722</c:v>
                </c:pt>
                <c:pt idx="85">
                  <c:v>44710.2094300463</c:v>
                </c:pt>
                <c:pt idx="86">
                  <c:v>44710.166782256943</c:v>
                </c:pt>
                <c:pt idx="87">
                  <c:v>44710.126497349534</c:v>
                </c:pt>
                <c:pt idx="88">
                  <c:v>44710.083924583334</c:v>
                </c:pt>
                <c:pt idx="89">
                  <c:v>44710.047424548611</c:v>
                </c:pt>
                <c:pt idx="90">
                  <c:v>44710.001210335649</c:v>
                </c:pt>
                <c:pt idx="91">
                  <c:v>44709.960327997687</c:v>
                </c:pt>
                <c:pt idx="92">
                  <c:v>44709.918714131942</c:v>
                </c:pt>
                <c:pt idx="93">
                  <c:v>44709.875583356479</c:v>
                </c:pt>
                <c:pt idx="94">
                  <c:v>44709.835246516202</c:v>
                </c:pt>
                <c:pt idx="95">
                  <c:v>44709.792750624998</c:v>
                </c:pt>
                <c:pt idx="96">
                  <c:v>44709.752531516206</c:v>
                </c:pt>
                <c:pt idx="97">
                  <c:v>44709.710525659721</c:v>
                </c:pt>
                <c:pt idx="98">
                  <c:v>44709.667585694442</c:v>
                </c:pt>
                <c:pt idx="99">
                  <c:v>44709.626843634258</c:v>
                </c:pt>
                <c:pt idx="100">
                  <c:v>44709.585927766202</c:v>
                </c:pt>
                <c:pt idx="101">
                  <c:v>44709.541945497687</c:v>
                </c:pt>
                <c:pt idx="102">
                  <c:v>44709.501135069448</c:v>
                </c:pt>
                <c:pt idx="103">
                  <c:v>44709.460050671296</c:v>
                </c:pt>
                <c:pt idx="104">
                  <c:v>44709.417074999998</c:v>
                </c:pt>
                <c:pt idx="105">
                  <c:v>44709.377482071759</c:v>
                </c:pt>
                <c:pt idx="106">
                  <c:v>44709.334706307869</c:v>
                </c:pt>
                <c:pt idx="107">
                  <c:v>44709.292821909723</c:v>
                </c:pt>
                <c:pt idx="108">
                  <c:v>44709.251242754632</c:v>
                </c:pt>
                <c:pt idx="109">
                  <c:v>44709.209182280094</c:v>
                </c:pt>
                <c:pt idx="110">
                  <c:v>44709.16796111111</c:v>
                </c:pt>
                <c:pt idx="111">
                  <c:v>44709.125441377313</c:v>
                </c:pt>
                <c:pt idx="112">
                  <c:v>44709.084990462965</c:v>
                </c:pt>
                <c:pt idx="113">
                  <c:v>44709.04521546296</c:v>
                </c:pt>
                <c:pt idx="114">
                  <c:v>44709.00152056713</c:v>
                </c:pt>
                <c:pt idx="115">
                  <c:v>44708.959050983794</c:v>
                </c:pt>
                <c:pt idx="116">
                  <c:v>44708.91724696759</c:v>
                </c:pt>
                <c:pt idx="117">
                  <c:v>44708.87613034722</c:v>
                </c:pt>
                <c:pt idx="118">
                  <c:v>44708.835478020832</c:v>
                </c:pt>
                <c:pt idx="119">
                  <c:v>44708.79364585648</c:v>
                </c:pt>
                <c:pt idx="120">
                  <c:v>44708.750676631942</c:v>
                </c:pt>
              </c:numCache>
            </c:numRef>
          </c:cat>
          <c:val>
            <c:numRef>
              <c:f>'Hist prices'!$J$10:$J$130</c:f>
              <c:numCache>
                <c:formatCode>0.00%</c:formatCode>
                <c:ptCount val="12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DC3-4BAC-B992-8FAADE7321FE}"/>
            </c:ext>
          </c:extLst>
        </c:ser>
        <c:ser>
          <c:idx val="3"/>
          <c:order val="3"/>
          <c:tx>
            <c:strRef>
              <c:f>'Hist prices'!$K$9</c:f>
              <c:strCache>
                <c:ptCount val="1"/>
                <c:pt idx="0">
                  <c:v>SOL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SOL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ADC3-4BAC-B992-8FAADE732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'Hist prices'!$G$10:$G$130</c:f>
              <c:numCache>
                <c:formatCode>[$-409]m/d/yy\ h:mm\ AM/PM;@</c:formatCode>
                <c:ptCount val="121"/>
                <c:pt idx="0">
                  <c:v>44713.714884259258</c:v>
                </c:pt>
                <c:pt idx="1">
                  <c:v>44713.710080509256</c:v>
                </c:pt>
                <c:pt idx="2">
                  <c:v>44713.667659004626</c:v>
                </c:pt>
                <c:pt idx="3">
                  <c:v>44713.627241898146</c:v>
                </c:pt>
                <c:pt idx="4">
                  <c:v>44713.584309560189</c:v>
                </c:pt>
                <c:pt idx="5">
                  <c:v>44713.543640219905</c:v>
                </c:pt>
                <c:pt idx="6">
                  <c:v>44713.50164253472</c:v>
                </c:pt>
                <c:pt idx="7">
                  <c:v>44713.459885127311</c:v>
                </c:pt>
                <c:pt idx="8">
                  <c:v>44713.41726681713</c:v>
                </c:pt>
                <c:pt idx="9">
                  <c:v>44713.38033295139</c:v>
                </c:pt>
                <c:pt idx="10">
                  <c:v>44713.333608171299</c:v>
                </c:pt>
                <c:pt idx="11">
                  <c:v>44713.293959178241</c:v>
                </c:pt>
                <c:pt idx="12">
                  <c:v>44713.251158935185</c:v>
                </c:pt>
                <c:pt idx="13">
                  <c:v>44713.21036287037</c:v>
                </c:pt>
                <c:pt idx="14">
                  <c:v>44713.167989409725</c:v>
                </c:pt>
                <c:pt idx="15">
                  <c:v>44713.1257974537</c:v>
                </c:pt>
                <c:pt idx="16">
                  <c:v>44713.08455013889</c:v>
                </c:pt>
                <c:pt idx="17">
                  <c:v>44713.043044745369</c:v>
                </c:pt>
                <c:pt idx="18">
                  <c:v>44713.001626377314</c:v>
                </c:pt>
                <c:pt idx="19">
                  <c:v>44712.959451261573</c:v>
                </c:pt>
                <c:pt idx="20">
                  <c:v>44712.918911550929</c:v>
                </c:pt>
                <c:pt idx="21">
                  <c:v>44712.877353634256</c:v>
                </c:pt>
                <c:pt idx="22">
                  <c:v>44712.83363940972</c:v>
                </c:pt>
                <c:pt idx="23">
                  <c:v>44712.792568252313</c:v>
                </c:pt>
                <c:pt idx="24">
                  <c:v>44712.752508124999</c:v>
                </c:pt>
                <c:pt idx="25">
                  <c:v>44712.710225000003</c:v>
                </c:pt>
                <c:pt idx="26">
                  <c:v>44712.668994120373</c:v>
                </c:pt>
                <c:pt idx="27">
                  <c:v>44712.626174305558</c:v>
                </c:pt>
                <c:pt idx="28">
                  <c:v>44712.584559641204</c:v>
                </c:pt>
                <c:pt idx="29">
                  <c:v>44712.542923483794</c:v>
                </c:pt>
                <c:pt idx="30">
                  <c:v>44712.502526469907</c:v>
                </c:pt>
                <c:pt idx="31">
                  <c:v>44712.460236412036</c:v>
                </c:pt>
                <c:pt idx="32">
                  <c:v>44712.41858759259</c:v>
                </c:pt>
                <c:pt idx="33">
                  <c:v>44712.376310694446</c:v>
                </c:pt>
                <c:pt idx="34">
                  <c:v>44712.33524148148</c:v>
                </c:pt>
                <c:pt idx="35">
                  <c:v>44712.292517291666</c:v>
                </c:pt>
                <c:pt idx="36">
                  <c:v>44712.251281863428</c:v>
                </c:pt>
                <c:pt idx="37">
                  <c:v>44712.210052986113</c:v>
                </c:pt>
                <c:pt idx="38">
                  <c:v>44712.168390312501</c:v>
                </c:pt>
                <c:pt idx="39">
                  <c:v>44712.126698657405</c:v>
                </c:pt>
                <c:pt idx="40">
                  <c:v>44712.085551643519</c:v>
                </c:pt>
                <c:pt idx="41">
                  <c:v>44712.045020439815</c:v>
                </c:pt>
                <c:pt idx="42">
                  <c:v>44712.002025208334</c:v>
                </c:pt>
                <c:pt idx="43">
                  <c:v>44711.959506840278</c:v>
                </c:pt>
                <c:pt idx="44">
                  <c:v>44711.917002164351</c:v>
                </c:pt>
                <c:pt idx="45">
                  <c:v>44711.876116053238</c:v>
                </c:pt>
                <c:pt idx="46">
                  <c:v>44711.834584131946</c:v>
                </c:pt>
                <c:pt idx="47">
                  <c:v>44711.79444528935</c:v>
                </c:pt>
                <c:pt idx="48">
                  <c:v>44711.751887465274</c:v>
                </c:pt>
                <c:pt idx="49">
                  <c:v>44711.709744375003</c:v>
                </c:pt>
                <c:pt idx="50">
                  <c:v>44711.667513564818</c:v>
                </c:pt>
                <c:pt idx="51">
                  <c:v>44711.625593391203</c:v>
                </c:pt>
                <c:pt idx="52">
                  <c:v>44711.58444766204</c:v>
                </c:pt>
                <c:pt idx="53">
                  <c:v>44711.54422596065</c:v>
                </c:pt>
                <c:pt idx="54">
                  <c:v>44711.502032893521</c:v>
                </c:pt>
                <c:pt idx="55">
                  <c:v>44711.460498217595</c:v>
                </c:pt>
                <c:pt idx="56">
                  <c:v>44711.419574074076</c:v>
                </c:pt>
                <c:pt idx="57">
                  <c:v>44711.378516087963</c:v>
                </c:pt>
                <c:pt idx="58">
                  <c:v>44711.335019293983</c:v>
                </c:pt>
                <c:pt idx="59">
                  <c:v>44711.292519409719</c:v>
                </c:pt>
                <c:pt idx="60">
                  <c:v>44711.25100207176</c:v>
                </c:pt>
                <c:pt idx="61">
                  <c:v>44711.209144768516</c:v>
                </c:pt>
                <c:pt idx="62">
                  <c:v>44711.168392604166</c:v>
                </c:pt>
                <c:pt idx="63">
                  <c:v>44711.126823541665</c:v>
                </c:pt>
                <c:pt idx="64">
                  <c:v>44711.085680439814</c:v>
                </c:pt>
                <c:pt idx="65">
                  <c:v>44711.043305925923</c:v>
                </c:pt>
                <c:pt idx="66">
                  <c:v>44711.00258763889</c:v>
                </c:pt>
                <c:pt idx="67">
                  <c:v>44710.958720266201</c:v>
                </c:pt>
                <c:pt idx="68">
                  <c:v>44710.917072719909</c:v>
                </c:pt>
                <c:pt idx="69">
                  <c:v>44710.875985254628</c:v>
                </c:pt>
                <c:pt idx="70">
                  <c:v>44710.834938414351</c:v>
                </c:pt>
                <c:pt idx="71">
                  <c:v>44710.794689050927</c:v>
                </c:pt>
                <c:pt idx="72">
                  <c:v>44710.750652349539</c:v>
                </c:pt>
                <c:pt idx="73">
                  <c:v>44710.710095659721</c:v>
                </c:pt>
                <c:pt idx="74">
                  <c:v>44710.66855736111</c:v>
                </c:pt>
                <c:pt idx="75">
                  <c:v>44710.626899675925</c:v>
                </c:pt>
                <c:pt idx="76">
                  <c:v>44710.584955636572</c:v>
                </c:pt>
                <c:pt idx="77">
                  <c:v>44710.542140543985</c:v>
                </c:pt>
                <c:pt idx="78">
                  <c:v>44710.500337013887</c:v>
                </c:pt>
                <c:pt idx="79">
                  <c:v>44710.460543854169</c:v>
                </c:pt>
                <c:pt idx="80">
                  <c:v>44710.417141874997</c:v>
                </c:pt>
                <c:pt idx="81">
                  <c:v>44710.376426168979</c:v>
                </c:pt>
                <c:pt idx="82">
                  <c:v>44710.334313946762</c:v>
                </c:pt>
                <c:pt idx="83">
                  <c:v>44710.294285706019</c:v>
                </c:pt>
                <c:pt idx="84">
                  <c:v>44710.25095159722</c:v>
                </c:pt>
                <c:pt idx="85">
                  <c:v>44710.2094300463</c:v>
                </c:pt>
                <c:pt idx="86">
                  <c:v>44710.166782256943</c:v>
                </c:pt>
                <c:pt idx="87">
                  <c:v>44710.126497349534</c:v>
                </c:pt>
                <c:pt idx="88">
                  <c:v>44710.083924583334</c:v>
                </c:pt>
                <c:pt idx="89">
                  <c:v>44710.047424548611</c:v>
                </c:pt>
                <c:pt idx="90">
                  <c:v>44710.001210335649</c:v>
                </c:pt>
                <c:pt idx="91">
                  <c:v>44709.960327997687</c:v>
                </c:pt>
                <c:pt idx="92">
                  <c:v>44709.918714131942</c:v>
                </c:pt>
                <c:pt idx="93">
                  <c:v>44709.875583356479</c:v>
                </c:pt>
                <c:pt idx="94">
                  <c:v>44709.835246516202</c:v>
                </c:pt>
                <c:pt idx="95">
                  <c:v>44709.792750624998</c:v>
                </c:pt>
                <c:pt idx="96">
                  <c:v>44709.752531516206</c:v>
                </c:pt>
                <c:pt idx="97">
                  <c:v>44709.710525659721</c:v>
                </c:pt>
                <c:pt idx="98">
                  <c:v>44709.667585694442</c:v>
                </c:pt>
                <c:pt idx="99">
                  <c:v>44709.626843634258</c:v>
                </c:pt>
                <c:pt idx="100">
                  <c:v>44709.585927766202</c:v>
                </c:pt>
                <c:pt idx="101">
                  <c:v>44709.541945497687</c:v>
                </c:pt>
                <c:pt idx="102">
                  <c:v>44709.501135069448</c:v>
                </c:pt>
                <c:pt idx="103">
                  <c:v>44709.460050671296</c:v>
                </c:pt>
                <c:pt idx="104">
                  <c:v>44709.417074999998</c:v>
                </c:pt>
                <c:pt idx="105">
                  <c:v>44709.377482071759</c:v>
                </c:pt>
                <c:pt idx="106">
                  <c:v>44709.334706307869</c:v>
                </c:pt>
                <c:pt idx="107">
                  <c:v>44709.292821909723</c:v>
                </c:pt>
                <c:pt idx="108">
                  <c:v>44709.251242754632</c:v>
                </c:pt>
                <c:pt idx="109">
                  <c:v>44709.209182280094</c:v>
                </c:pt>
                <c:pt idx="110">
                  <c:v>44709.16796111111</c:v>
                </c:pt>
                <c:pt idx="111">
                  <c:v>44709.125441377313</c:v>
                </c:pt>
                <c:pt idx="112">
                  <c:v>44709.084990462965</c:v>
                </c:pt>
                <c:pt idx="113">
                  <c:v>44709.04521546296</c:v>
                </c:pt>
                <c:pt idx="114">
                  <c:v>44709.00152056713</c:v>
                </c:pt>
                <c:pt idx="115">
                  <c:v>44708.959050983794</c:v>
                </c:pt>
                <c:pt idx="116">
                  <c:v>44708.91724696759</c:v>
                </c:pt>
                <c:pt idx="117">
                  <c:v>44708.87613034722</c:v>
                </c:pt>
                <c:pt idx="118">
                  <c:v>44708.835478020832</c:v>
                </c:pt>
                <c:pt idx="119">
                  <c:v>44708.79364585648</c:v>
                </c:pt>
                <c:pt idx="120">
                  <c:v>44708.750676631942</c:v>
                </c:pt>
              </c:numCache>
            </c:numRef>
          </c:cat>
          <c:val>
            <c:numRef>
              <c:f>'Hist prices'!$K$10:$K$130</c:f>
              <c:numCache>
                <c:formatCode>0.00%</c:formatCode>
                <c:ptCount val="121"/>
                <c:pt idx="0">
                  <c:v>3.2075036266555508E-2</c:v>
                </c:pt>
                <c:pt idx="1">
                  <c:v>3.9370651847057188E-2</c:v>
                </c:pt>
                <c:pt idx="2">
                  <c:v>4.7407041727160627E-2</c:v>
                </c:pt>
                <c:pt idx="3">
                  <c:v>6.793537353232125E-2</c:v>
                </c:pt>
                <c:pt idx="4">
                  <c:v>0.10493938050639127</c:v>
                </c:pt>
                <c:pt idx="5">
                  <c:v>9.3816525519589591E-2</c:v>
                </c:pt>
                <c:pt idx="6">
                  <c:v>8.2939747846396392E-2</c:v>
                </c:pt>
                <c:pt idx="7">
                  <c:v>9.0537705363935433E-2</c:v>
                </c:pt>
                <c:pt idx="8">
                  <c:v>9.9038673156360058E-2</c:v>
                </c:pt>
                <c:pt idx="9">
                  <c:v>9.1129554806835766E-2</c:v>
                </c:pt>
                <c:pt idx="10">
                  <c:v>8.8266222661847527E-2</c:v>
                </c:pt>
                <c:pt idx="11">
                  <c:v>9.319865385743846E-2</c:v>
                </c:pt>
                <c:pt idx="12">
                  <c:v>8.7553165493117355E-2</c:v>
                </c:pt>
                <c:pt idx="13">
                  <c:v>8.894462054765595E-2</c:v>
                </c:pt>
                <c:pt idx="14">
                  <c:v>8.8692604632510372E-2</c:v>
                </c:pt>
                <c:pt idx="15">
                  <c:v>0.10589282573628381</c:v>
                </c:pt>
                <c:pt idx="16">
                  <c:v>0.11540276753528463</c:v>
                </c:pt>
                <c:pt idx="17">
                  <c:v>0.11480932825031609</c:v>
                </c:pt>
                <c:pt idx="18">
                  <c:v>0.11245499742775472</c:v>
                </c:pt>
                <c:pt idx="19">
                  <c:v>0.11952570587166751</c:v>
                </c:pt>
                <c:pt idx="20">
                  <c:v>0.10630353589292804</c:v>
                </c:pt>
                <c:pt idx="21">
                  <c:v>0.11130064173337062</c:v>
                </c:pt>
                <c:pt idx="22">
                  <c:v>0.10476556626033814</c:v>
                </c:pt>
                <c:pt idx="23">
                  <c:v>0.10312683578821737</c:v>
                </c:pt>
                <c:pt idx="24">
                  <c:v>0.11877344725551467</c:v>
                </c:pt>
                <c:pt idx="25">
                  <c:v>0.125503757692037</c:v>
                </c:pt>
                <c:pt idx="26">
                  <c:v>0.12539362159795478</c:v>
                </c:pt>
                <c:pt idx="27">
                  <c:v>0.10921732545706854</c:v>
                </c:pt>
                <c:pt idx="28">
                  <c:v>9.9242691415715123E-2</c:v>
                </c:pt>
                <c:pt idx="29">
                  <c:v>0.11911358159009613</c:v>
                </c:pt>
                <c:pt idx="30">
                  <c:v>0.13363353710448667</c:v>
                </c:pt>
                <c:pt idx="31">
                  <c:v>0.12881934036592455</c:v>
                </c:pt>
                <c:pt idx="32">
                  <c:v>0.12345544750561548</c:v>
                </c:pt>
                <c:pt idx="33">
                  <c:v>0.13509970566538251</c:v>
                </c:pt>
                <c:pt idx="34">
                  <c:v>0.12585634170752588</c:v>
                </c:pt>
                <c:pt idx="35">
                  <c:v>0.12569432379771625</c:v>
                </c:pt>
                <c:pt idx="36">
                  <c:v>0.15645457352071412</c:v>
                </c:pt>
                <c:pt idx="37">
                  <c:v>0.15252723227848244</c:v>
                </c:pt>
                <c:pt idx="38">
                  <c:v>0.15677223635459281</c:v>
                </c:pt>
                <c:pt idx="39">
                  <c:v>0.16399348440605233</c:v>
                </c:pt>
                <c:pt idx="40">
                  <c:v>0.13715401216017067</c:v>
                </c:pt>
                <c:pt idx="41">
                  <c:v>0.13868335296720968</c:v>
                </c:pt>
                <c:pt idx="42">
                  <c:v>0.1468600772564207</c:v>
                </c:pt>
                <c:pt idx="43">
                  <c:v>0.15314416670883424</c:v>
                </c:pt>
                <c:pt idx="44">
                  <c:v>0.14926925289802609</c:v>
                </c:pt>
                <c:pt idx="45">
                  <c:v>0.13698120876306902</c:v>
                </c:pt>
                <c:pt idx="46">
                  <c:v>0.11139970846407762</c:v>
                </c:pt>
                <c:pt idx="47">
                  <c:v>0.11751223997863054</c:v>
                </c:pt>
                <c:pt idx="48">
                  <c:v>0.12098917292092032</c:v>
                </c:pt>
                <c:pt idx="49">
                  <c:v>0.11725224631301348</c:v>
                </c:pt>
                <c:pt idx="50">
                  <c:v>0.11480880465399954</c:v>
                </c:pt>
                <c:pt idx="51">
                  <c:v>0.10303279260005606</c:v>
                </c:pt>
                <c:pt idx="52">
                  <c:v>0.1055918003667331</c:v>
                </c:pt>
                <c:pt idx="53">
                  <c:v>0.1071549888838589</c:v>
                </c:pt>
                <c:pt idx="54">
                  <c:v>0.11995797823386603</c:v>
                </c:pt>
                <c:pt idx="55">
                  <c:v>0.12203470997014178</c:v>
                </c:pt>
                <c:pt idx="56">
                  <c:v>0.13180303011787181</c:v>
                </c:pt>
                <c:pt idx="57">
                  <c:v>0.1374500434828673</c:v>
                </c:pt>
                <c:pt idx="58">
                  <c:v>0.14509165093533014</c:v>
                </c:pt>
                <c:pt idx="59">
                  <c:v>0.13353333748305191</c:v>
                </c:pt>
                <c:pt idx="60">
                  <c:v>0.12446182744917755</c:v>
                </c:pt>
                <c:pt idx="61">
                  <c:v>0.1099772641319593</c:v>
                </c:pt>
                <c:pt idx="62">
                  <c:v>0.11576112996637507</c:v>
                </c:pt>
                <c:pt idx="63">
                  <c:v>0.12578934675597914</c:v>
                </c:pt>
                <c:pt idx="64">
                  <c:v>0.11040481051610315</c:v>
                </c:pt>
                <c:pt idx="65">
                  <c:v>8.046058378101005E-2</c:v>
                </c:pt>
                <c:pt idx="66">
                  <c:v>9.182564812773128E-2</c:v>
                </c:pt>
                <c:pt idx="67">
                  <c:v>9.1920769000355618E-2</c:v>
                </c:pt>
                <c:pt idx="68">
                  <c:v>8.667773357347211E-2</c:v>
                </c:pt>
                <c:pt idx="69">
                  <c:v>7.596063493114695E-2</c:v>
                </c:pt>
                <c:pt idx="70">
                  <c:v>7.5545017710724374E-2</c:v>
                </c:pt>
                <c:pt idx="71">
                  <c:v>8.4561396035429989E-2</c:v>
                </c:pt>
                <c:pt idx="72">
                  <c:v>8.4199043735127668E-2</c:v>
                </c:pt>
                <c:pt idx="73">
                  <c:v>9.2153885528114599E-2</c:v>
                </c:pt>
                <c:pt idx="74">
                  <c:v>8.794168532673359E-2</c:v>
                </c:pt>
                <c:pt idx="75">
                  <c:v>9.0866034422936864E-2</c:v>
                </c:pt>
                <c:pt idx="76">
                  <c:v>9.2443602600570773E-2</c:v>
                </c:pt>
                <c:pt idx="77">
                  <c:v>9.2154326201527303E-2</c:v>
                </c:pt>
                <c:pt idx="78">
                  <c:v>6.9772925980291195E-2</c:v>
                </c:pt>
                <c:pt idx="79">
                  <c:v>5.3292264640750021E-2</c:v>
                </c:pt>
                <c:pt idx="80">
                  <c:v>3.3105356544352385E-2</c:v>
                </c:pt>
                <c:pt idx="81">
                  <c:v>4.4989051266048012E-2</c:v>
                </c:pt>
                <c:pt idx="82">
                  <c:v>3.0669113890134315E-2</c:v>
                </c:pt>
                <c:pt idx="83">
                  <c:v>3.4370035931023113E-2</c:v>
                </c:pt>
                <c:pt idx="84">
                  <c:v>3.0210190733063171E-2</c:v>
                </c:pt>
                <c:pt idx="85">
                  <c:v>2.1920174975877928E-2</c:v>
                </c:pt>
                <c:pt idx="86">
                  <c:v>3.2448459623517625E-2</c:v>
                </c:pt>
                <c:pt idx="87">
                  <c:v>3.1475077888368008E-2</c:v>
                </c:pt>
                <c:pt idx="88">
                  <c:v>5.0520260447937643E-2</c:v>
                </c:pt>
                <c:pt idx="89">
                  <c:v>7.1748292685788154E-2</c:v>
                </c:pt>
                <c:pt idx="90">
                  <c:v>7.9305426749059452E-2</c:v>
                </c:pt>
                <c:pt idx="91">
                  <c:v>7.3499435387012479E-2</c:v>
                </c:pt>
                <c:pt idx="92">
                  <c:v>7.0545783617003241E-2</c:v>
                </c:pt>
                <c:pt idx="93">
                  <c:v>7.4380037084809308E-2</c:v>
                </c:pt>
                <c:pt idx="94">
                  <c:v>7.9152230300110635E-2</c:v>
                </c:pt>
                <c:pt idx="95">
                  <c:v>5.9279222290450212E-2</c:v>
                </c:pt>
                <c:pt idx="96">
                  <c:v>4.2923294711917748E-2</c:v>
                </c:pt>
                <c:pt idx="97">
                  <c:v>4.6884558438592343E-2</c:v>
                </c:pt>
                <c:pt idx="98">
                  <c:v>4.6081325599165696E-2</c:v>
                </c:pt>
                <c:pt idx="99">
                  <c:v>2.1272686447468658E-2</c:v>
                </c:pt>
                <c:pt idx="100">
                  <c:v>2.6103068365891952E-2</c:v>
                </c:pt>
                <c:pt idx="101">
                  <c:v>2.3152598542147816E-2</c:v>
                </c:pt>
                <c:pt idx="102">
                  <c:v>1.1457664251058685E-2</c:v>
                </c:pt>
                <c:pt idx="103">
                  <c:v>7.169417979126136E-3</c:v>
                </c:pt>
                <c:pt idx="104">
                  <c:v>6.5561255940902339E-3</c:v>
                </c:pt>
                <c:pt idx="105">
                  <c:v>1.0113823563301698E-2</c:v>
                </c:pt>
                <c:pt idx="106">
                  <c:v>1.5217783045867711E-2</c:v>
                </c:pt>
                <c:pt idx="107">
                  <c:v>1.878494591323706E-2</c:v>
                </c:pt>
                <c:pt idx="108">
                  <c:v>2.1007227607610375E-2</c:v>
                </c:pt>
                <c:pt idx="109">
                  <c:v>7.6835541354165829E-3</c:v>
                </c:pt>
                <c:pt idx="110">
                  <c:v>3.8395798383949057E-3</c:v>
                </c:pt>
                <c:pt idx="111">
                  <c:v>-8.9359662814484323E-3</c:v>
                </c:pt>
                <c:pt idx="112">
                  <c:v>3.8238597455076447E-4</c:v>
                </c:pt>
                <c:pt idx="113">
                  <c:v>1.7959165165084601E-2</c:v>
                </c:pt>
                <c:pt idx="114">
                  <c:v>-3.7174469735338114E-3</c:v>
                </c:pt>
                <c:pt idx="115">
                  <c:v>5.6843292618137991E-3</c:v>
                </c:pt>
                <c:pt idx="116">
                  <c:v>1.4714174561034712E-2</c:v>
                </c:pt>
                <c:pt idx="117">
                  <c:v>2.4256053429169821E-2</c:v>
                </c:pt>
                <c:pt idx="118">
                  <c:v>1.6212416609437202E-2</c:v>
                </c:pt>
                <c:pt idx="119">
                  <c:v>-3.1314658981219565E-3</c:v>
                </c:pt>
                <c:pt idx="1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DC3-4BAC-B992-8FAADE7321FE}"/>
            </c:ext>
          </c:extLst>
        </c:ser>
        <c:ser>
          <c:idx val="4"/>
          <c:order val="4"/>
          <c:tx>
            <c:strRef>
              <c:f>'Hist prices'!$L$9</c:f>
              <c:strCache>
                <c:ptCount val="1"/>
                <c:pt idx="0">
                  <c:v>WBTC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WBTC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DC3-4BAC-B992-8FAADE732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'Hist prices'!$G$10:$G$130</c:f>
              <c:numCache>
                <c:formatCode>[$-409]m/d/yy\ h:mm\ AM/PM;@</c:formatCode>
                <c:ptCount val="121"/>
                <c:pt idx="0">
                  <c:v>44713.714884259258</c:v>
                </c:pt>
                <c:pt idx="1">
                  <c:v>44713.710080509256</c:v>
                </c:pt>
                <c:pt idx="2">
                  <c:v>44713.667659004626</c:v>
                </c:pt>
                <c:pt idx="3">
                  <c:v>44713.627241898146</c:v>
                </c:pt>
                <c:pt idx="4">
                  <c:v>44713.584309560189</c:v>
                </c:pt>
                <c:pt idx="5">
                  <c:v>44713.543640219905</c:v>
                </c:pt>
                <c:pt idx="6">
                  <c:v>44713.50164253472</c:v>
                </c:pt>
                <c:pt idx="7">
                  <c:v>44713.459885127311</c:v>
                </c:pt>
                <c:pt idx="8">
                  <c:v>44713.41726681713</c:v>
                </c:pt>
                <c:pt idx="9">
                  <c:v>44713.38033295139</c:v>
                </c:pt>
                <c:pt idx="10">
                  <c:v>44713.333608171299</c:v>
                </c:pt>
                <c:pt idx="11">
                  <c:v>44713.293959178241</c:v>
                </c:pt>
                <c:pt idx="12">
                  <c:v>44713.251158935185</c:v>
                </c:pt>
                <c:pt idx="13">
                  <c:v>44713.21036287037</c:v>
                </c:pt>
                <c:pt idx="14">
                  <c:v>44713.167989409725</c:v>
                </c:pt>
                <c:pt idx="15">
                  <c:v>44713.1257974537</c:v>
                </c:pt>
                <c:pt idx="16">
                  <c:v>44713.08455013889</c:v>
                </c:pt>
                <c:pt idx="17">
                  <c:v>44713.043044745369</c:v>
                </c:pt>
                <c:pt idx="18">
                  <c:v>44713.001626377314</c:v>
                </c:pt>
                <c:pt idx="19">
                  <c:v>44712.959451261573</c:v>
                </c:pt>
                <c:pt idx="20">
                  <c:v>44712.918911550929</c:v>
                </c:pt>
                <c:pt idx="21">
                  <c:v>44712.877353634256</c:v>
                </c:pt>
                <c:pt idx="22">
                  <c:v>44712.83363940972</c:v>
                </c:pt>
                <c:pt idx="23">
                  <c:v>44712.792568252313</c:v>
                </c:pt>
                <c:pt idx="24">
                  <c:v>44712.752508124999</c:v>
                </c:pt>
                <c:pt idx="25">
                  <c:v>44712.710225000003</c:v>
                </c:pt>
                <c:pt idx="26">
                  <c:v>44712.668994120373</c:v>
                </c:pt>
                <c:pt idx="27">
                  <c:v>44712.626174305558</c:v>
                </c:pt>
                <c:pt idx="28">
                  <c:v>44712.584559641204</c:v>
                </c:pt>
                <c:pt idx="29">
                  <c:v>44712.542923483794</c:v>
                </c:pt>
                <c:pt idx="30">
                  <c:v>44712.502526469907</c:v>
                </c:pt>
                <c:pt idx="31">
                  <c:v>44712.460236412036</c:v>
                </c:pt>
                <c:pt idx="32">
                  <c:v>44712.41858759259</c:v>
                </c:pt>
                <c:pt idx="33">
                  <c:v>44712.376310694446</c:v>
                </c:pt>
                <c:pt idx="34">
                  <c:v>44712.33524148148</c:v>
                </c:pt>
                <c:pt idx="35">
                  <c:v>44712.292517291666</c:v>
                </c:pt>
                <c:pt idx="36">
                  <c:v>44712.251281863428</c:v>
                </c:pt>
                <c:pt idx="37">
                  <c:v>44712.210052986113</c:v>
                </c:pt>
                <c:pt idx="38">
                  <c:v>44712.168390312501</c:v>
                </c:pt>
                <c:pt idx="39">
                  <c:v>44712.126698657405</c:v>
                </c:pt>
                <c:pt idx="40">
                  <c:v>44712.085551643519</c:v>
                </c:pt>
                <c:pt idx="41">
                  <c:v>44712.045020439815</c:v>
                </c:pt>
                <c:pt idx="42">
                  <c:v>44712.002025208334</c:v>
                </c:pt>
                <c:pt idx="43">
                  <c:v>44711.959506840278</c:v>
                </c:pt>
                <c:pt idx="44">
                  <c:v>44711.917002164351</c:v>
                </c:pt>
                <c:pt idx="45">
                  <c:v>44711.876116053238</c:v>
                </c:pt>
                <c:pt idx="46">
                  <c:v>44711.834584131946</c:v>
                </c:pt>
                <c:pt idx="47">
                  <c:v>44711.79444528935</c:v>
                </c:pt>
                <c:pt idx="48">
                  <c:v>44711.751887465274</c:v>
                </c:pt>
                <c:pt idx="49">
                  <c:v>44711.709744375003</c:v>
                </c:pt>
                <c:pt idx="50">
                  <c:v>44711.667513564818</c:v>
                </c:pt>
                <c:pt idx="51">
                  <c:v>44711.625593391203</c:v>
                </c:pt>
                <c:pt idx="52">
                  <c:v>44711.58444766204</c:v>
                </c:pt>
                <c:pt idx="53">
                  <c:v>44711.54422596065</c:v>
                </c:pt>
                <c:pt idx="54">
                  <c:v>44711.502032893521</c:v>
                </c:pt>
                <c:pt idx="55">
                  <c:v>44711.460498217595</c:v>
                </c:pt>
                <c:pt idx="56">
                  <c:v>44711.419574074076</c:v>
                </c:pt>
                <c:pt idx="57">
                  <c:v>44711.378516087963</c:v>
                </c:pt>
                <c:pt idx="58">
                  <c:v>44711.335019293983</c:v>
                </c:pt>
                <c:pt idx="59">
                  <c:v>44711.292519409719</c:v>
                </c:pt>
                <c:pt idx="60">
                  <c:v>44711.25100207176</c:v>
                </c:pt>
                <c:pt idx="61">
                  <c:v>44711.209144768516</c:v>
                </c:pt>
                <c:pt idx="62">
                  <c:v>44711.168392604166</c:v>
                </c:pt>
                <c:pt idx="63">
                  <c:v>44711.126823541665</c:v>
                </c:pt>
                <c:pt idx="64">
                  <c:v>44711.085680439814</c:v>
                </c:pt>
                <c:pt idx="65">
                  <c:v>44711.043305925923</c:v>
                </c:pt>
                <c:pt idx="66">
                  <c:v>44711.00258763889</c:v>
                </c:pt>
                <c:pt idx="67">
                  <c:v>44710.958720266201</c:v>
                </c:pt>
                <c:pt idx="68">
                  <c:v>44710.917072719909</c:v>
                </c:pt>
                <c:pt idx="69">
                  <c:v>44710.875985254628</c:v>
                </c:pt>
                <c:pt idx="70">
                  <c:v>44710.834938414351</c:v>
                </c:pt>
                <c:pt idx="71">
                  <c:v>44710.794689050927</c:v>
                </c:pt>
                <c:pt idx="72">
                  <c:v>44710.750652349539</c:v>
                </c:pt>
                <c:pt idx="73">
                  <c:v>44710.710095659721</c:v>
                </c:pt>
                <c:pt idx="74">
                  <c:v>44710.66855736111</c:v>
                </c:pt>
                <c:pt idx="75">
                  <c:v>44710.626899675925</c:v>
                </c:pt>
                <c:pt idx="76">
                  <c:v>44710.584955636572</c:v>
                </c:pt>
                <c:pt idx="77">
                  <c:v>44710.542140543985</c:v>
                </c:pt>
                <c:pt idx="78">
                  <c:v>44710.500337013887</c:v>
                </c:pt>
                <c:pt idx="79">
                  <c:v>44710.460543854169</c:v>
                </c:pt>
                <c:pt idx="80">
                  <c:v>44710.417141874997</c:v>
                </c:pt>
                <c:pt idx="81">
                  <c:v>44710.376426168979</c:v>
                </c:pt>
                <c:pt idx="82">
                  <c:v>44710.334313946762</c:v>
                </c:pt>
                <c:pt idx="83">
                  <c:v>44710.294285706019</c:v>
                </c:pt>
                <c:pt idx="84">
                  <c:v>44710.25095159722</c:v>
                </c:pt>
                <c:pt idx="85">
                  <c:v>44710.2094300463</c:v>
                </c:pt>
                <c:pt idx="86">
                  <c:v>44710.166782256943</c:v>
                </c:pt>
                <c:pt idx="87">
                  <c:v>44710.126497349534</c:v>
                </c:pt>
                <c:pt idx="88">
                  <c:v>44710.083924583334</c:v>
                </c:pt>
                <c:pt idx="89">
                  <c:v>44710.047424548611</c:v>
                </c:pt>
                <c:pt idx="90">
                  <c:v>44710.001210335649</c:v>
                </c:pt>
                <c:pt idx="91">
                  <c:v>44709.960327997687</c:v>
                </c:pt>
                <c:pt idx="92">
                  <c:v>44709.918714131942</c:v>
                </c:pt>
                <c:pt idx="93">
                  <c:v>44709.875583356479</c:v>
                </c:pt>
                <c:pt idx="94">
                  <c:v>44709.835246516202</c:v>
                </c:pt>
                <c:pt idx="95">
                  <c:v>44709.792750624998</c:v>
                </c:pt>
                <c:pt idx="96">
                  <c:v>44709.752531516206</c:v>
                </c:pt>
                <c:pt idx="97">
                  <c:v>44709.710525659721</c:v>
                </c:pt>
                <c:pt idx="98">
                  <c:v>44709.667585694442</c:v>
                </c:pt>
                <c:pt idx="99">
                  <c:v>44709.626843634258</c:v>
                </c:pt>
                <c:pt idx="100">
                  <c:v>44709.585927766202</c:v>
                </c:pt>
                <c:pt idx="101">
                  <c:v>44709.541945497687</c:v>
                </c:pt>
                <c:pt idx="102">
                  <c:v>44709.501135069448</c:v>
                </c:pt>
                <c:pt idx="103">
                  <c:v>44709.460050671296</c:v>
                </c:pt>
                <c:pt idx="104">
                  <c:v>44709.417074999998</c:v>
                </c:pt>
                <c:pt idx="105">
                  <c:v>44709.377482071759</c:v>
                </c:pt>
                <c:pt idx="106">
                  <c:v>44709.334706307869</c:v>
                </c:pt>
                <c:pt idx="107">
                  <c:v>44709.292821909723</c:v>
                </c:pt>
                <c:pt idx="108">
                  <c:v>44709.251242754632</c:v>
                </c:pt>
                <c:pt idx="109">
                  <c:v>44709.209182280094</c:v>
                </c:pt>
                <c:pt idx="110">
                  <c:v>44709.16796111111</c:v>
                </c:pt>
                <c:pt idx="111">
                  <c:v>44709.125441377313</c:v>
                </c:pt>
                <c:pt idx="112">
                  <c:v>44709.084990462965</c:v>
                </c:pt>
                <c:pt idx="113">
                  <c:v>44709.04521546296</c:v>
                </c:pt>
                <c:pt idx="114">
                  <c:v>44709.00152056713</c:v>
                </c:pt>
                <c:pt idx="115">
                  <c:v>44708.959050983794</c:v>
                </c:pt>
                <c:pt idx="116">
                  <c:v>44708.91724696759</c:v>
                </c:pt>
                <c:pt idx="117">
                  <c:v>44708.87613034722</c:v>
                </c:pt>
                <c:pt idx="118">
                  <c:v>44708.835478020832</c:v>
                </c:pt>
                <c:pt idx="119">
                  <c:v>44708.79364585648</c:v>
                </c:pt>
                <c:pt idx="120">
                  <c:v>44708.750676631942</c:v>
                </c:pt>
              </c:numCache>
            </c:numRef>
          </c:cat>
          <c:val>
            <c:numRef>
              <c:f>'Hist prices'!$L$10:$L$130</c:f>
              <c:numCache>
                <c:formatCode>0.00%</c:formatCode>
                <c:ptCount val="121"/>
                <c:pt idx="0">
                  <c:v>7.0297217638695508E-2</c:v>
                </c:pt>
                <c:pt idx="1">
                  <c:v>7.2959168325999843E-2</c:v>
                </c:pt>
                <c:pt idx="2">
                  <c:v>8.6882294974569271E-2</c:v>
                </c:pt>
                <c:pt idx="3">
                  <c:v>0.10091250146995934</c:v>
                </c:pt>
                <c:pt idx="4">
                  <c:v>0.12001279026102041</c:v>
                </c:pt>
                <c:pt idx="5">
                  <c:v>0.11934209089565648</c:v>
                </c:pt>
                <c:pt idx="6">
                  <c:v>0.11421504232462856</c:v>
                </c:pt>
                <c:pt idx="7">
                  <c:v>0.11306404084961016</c:v>
                </c:pt>
                <c:pt idx="8">
                  <c:v>0.11717735657653287</c:v>
                </c:pt>
                <c:pt idx="9">
                  <c:v>0.11550367824853294</c:v>
                </c:pt>
                <c:pt idx="10">
                  <c:v>0.11126787852719001</c:v>
                </c:pt>
                <c:pt idx="11">
                  <c:v>0.1163907267093186</c:v>
                </c:pt>
                <c:pt idx="12">
                  <c:v>0.11465078806705876</c:v>
                </c:pt>
                <c:pt idx="13">
                  <c:v>0.11417149774572069</c:v>
                </c:pt>
                <c:pt idx="14">
                  <c:v>0.11511683374144775</c:v>
                </c:pt>
                <c:pt idx="15">
                  <c:v>0.12177691176531212</c:v>
                </c:pt>
                <c:pt idx="16">
                  <c:v>0.12623985982223901</c:v>
                </c:pt>
                <c:pt idx="17">
                  <c:v>0.12668672179642276</c:v>
                </c:pt>
                <c:pt idx="18">
                  <c:v>0.12145095866796969</c:v>
                </c:pt>
                <c:pt idx="19">
                  <c:v>0.12340782547005107</c:v>
                </c:pt>
                <c:pt idx="20">
                  <c:v>0.11859699862017911</c:v>
                </c:pt>
                <c:pt idx="21">
                  <c:v>0.120649786703716</c:v>
                </c:pt>
                <c:pt idx="22">
                  <c:v>0.11418076486633262</c:v>
                </c:pt>
                <c:pt idx="23">
                  <c:v>0.11920074138912617</c:v>
                </c:pt>
                <c:pt idx="24">
                  <c:v>0.12944433058452171</c:v>
                </c:pt>
                <c:pt idx="25">
                  <c:v>0.13482405598576255</c:v>
                </c:pt>
                <c:pt idx="26">
                  <c:v>0.12616776608710797</c:v>
                </c:pt>
                <c:pt idx="27">
                  <c:v>0.11681855447411493</c:v>
                </c:pt>
                <c:pt idx="28">
                  <c:v>0.1081564099914324</c:v>
                </c:pt>
                <c:pt idx="29">
                  <c:v>0.11385211689130838</c:v>
                </c:pt>
                <c:pt idx="30">
                  <c:v>0.1211557263438902</c:v>
                </c:pt>
                <c:pt idx="31">
                  <c:v>0.11691721937743083</c:v>
                </c:pt>
                <c:pt idx="32">
                  <c:v>0.11172834556825183</c:v>
                </c:pt>
                <c:pt idx="33">
                  <c:v>0.1153672073650553</c:v>
                </c:pt>
                <c:pt idx="34">
                  <c:v>0.11266371471874589</c:v>
                </c:pt>
                <c:pt idx="35">
                  <c:v>0.10918736110126709</c:v>
                </c:pt>
                <c:pt idx="36">
                  <c:v>0.11654384941113781</c:v>
                </c:pt>
                <c:pt idx="37">
                  <c:v>0.11710700023202589</c:v>
                </c:pt>
                <c:pt idx="38">
                  <c:v>0.11818446547596086</c:v>
                </c:pt>
                <c:pt idx="39">
                  <c:v>0.11527935753773726</c:v>
                </c:pt>
                <c:pt idx="40">
                  <c:v>0.11157808651789848</c:v>
                </c:pt>
                <c:pt idx="41">
                  <c:v>0.11467387929186111</c:v>
                </c:pt>
                <c:pt idx="42">
                  <c:v>0.11888486027374744</c:v>
                </c:pt>
                <c:pt idx="43">
                  <c:v>0.1194421225362292</c:v>
                </c:pt>
                <c:pt idx="44">
                  <c:v>0.11348114633202738</c:v>
                </c:pt>
                <c:pt idx="45">
                  <c:v>9.9260234113707546E-2</c:v>
                </c:pt>
                <c:pt idx="46">
                  <c:v>8.0205239010575718E-2</c:v>
                </c:pt>
                <c:pt idx="47">
                  <c:v>8.1548151502674165E-2</c:v>
                </c:pt>
                <c:pt idx="48">
                  <c:v>8.2652310154000416E-2</c:v>
                </c:pt>
                <c:pt idx="49">
                  <c:v>8.0397847169821082E-2</c:v>
                </c:pt>
                <c:pt idx="50">
                  <c:v>8.0768479303438084E-2</c:v>
                </c:pt>
                <c:pt idx="51">
                  <c:v>7.5115091581743537E-2</c:v>
                </c:pt>
                <c:pt idx="52">
                  <c:v>7.4802302616778088E-2</c:v>
                </c:pt>
                <c:pt idx="53">
                  <c:v>7.6250287675395295E-2</c:v>
                </c:pt>
                <c:pt idx="54">
                  <c:v>8.1498632078517722E-2</c:v>
                </c:pt>
                <c:pt idx="55">
                  <c:v>7.9802329490996776E-2</c:v>
                </c:pt>
                <c:pt idx="56">
                  <c:v>8.1337519533068212E-2</c:v>
                </c:pt>
                <c:pt idx="57">
                  <c:v>8.2757577349500178E-2</c:v>
                </c:pt>
                <c:pt idx="58">
                  <c:v>8.1438580928249377E-2</c:v>
                </c:pt>
                <c:pt idx="59">
                  <c:v>8.389262151026812E-2</c:v>
                </c:pt>
                <c:pt idx="60">
                  <c:v>6.6720127236088042E-2</c:v>
                </c:pt>
                <c:pt idx="61">
                  <c:v>6.8652919435715165E-2</c:v>
                </c:pt>
                <c:pt idx="62">
                  <c:v>6.9198404750193149E-2</c:v>
                </c:pt>
                <c:pt idx="63">
                  <c:v>6.4033705797201509E-2</c:v>
                </c:pt>
                <c:pt idx="64">
                  <c:v>4.6406984793317965E-2</c:v>
                </c:pt>
                <c:pt idx="65">
                  <c:v>3.460089995111245E-2</c:v>
                </c:pt>
                <c:pt idx="66">
                  <c:v>3.9509593837856065E-2</c:v>
                </c:pt>
                <c:pt idx="67">
                  <c:v>3.777586558840592E-2</c:v>
                </c:pt>
                <c:pt idx="68">
                  <c:v>3.1116643034055435E-2</c:v>
                </c:pt>
                <c:pt idx="69">
                  <c:v>2.9524062647744643E-2</c:v>
                </c:pt>
                <c:pt idx="70">
                  <c:v>2.7340232372706417E-2</c:v>
                </c:pt>
                <c:pt idx="71">
                  <c:v>3.0071941719447975E-2</c:v>
                </c:pt>
                <c:pt idx="72">
                  <c:v>3.1447067399636985E-2</c:v>
                </c:pt>
                <c:pt idx="73">
                  <c:v>3.246754025469073E-2</c:v>
                </c:pt>
                <c:pt idx="74">
                  <c:v>3.1316735460769726E-2</c:v>
                </c:pt>
                <c:pt idx="75">
                  <c:v>3.4736071445000898E-2</c:v>
                </c:pt>
                <c:pt idx="76">
                  <c:v>3.5246068835280454E-2</c:v>
                </c:pt>
                <c:pt idx="77">
                  <c:v>3.6213310976516991E-2</c:v>
                </c:pt>
                <c:pt idx="78">
                  <c:v>3.2153177852266394E-2</c:v>
                </c:pt>
                <c:pt idx="79">
                  <c:v>2.8338938505261941E-2</c:v>
                </c:pt>
                <c:pt idx="80">
                  <c:v>2.4122066022457703E-2</c:v>
                </c:pt>
                <c:pt idx="81">
                  <c:v>2.5774871709724319E-2</c:v>
                </c:pt>
                <c:pt idx="82">
                  <c:v>2.4230466414852641E-2</c:v>
                </c:pt>
                <c:pt idx="83">
                  <c:v>2.5433943829422045E-2</c:v>
                </c:pt>
                <c:pt idx="84">
                  <c:v>2.4203754945593996E-2</c:v>
                </c:pt>
                <c:pt idx="85">
                  <c:v>2.1699018097059972E-2</c:v>
                </c:pt>
                <c:pt idx="86">
                  <c:v>2.3331195316268219E-2</c:v>
                </c:pt>
                <c:pt idx="87">
                  <c:v>2.030176069719496E-2</c:v>
                </c:pt>
                <c:pt idx="88">
                  <c:v>2.0183998780536838E-2</c:v>
                </c:pt>
                <c:pt idx="89">
                  <c:v>2.2697278603456991E-2</c:v>
                </c:pt>
                <c:pt idx="90">
                  <c:v>2.5577013001285242E-2</c:v>
                </c:pt>
                <c:pt idx="91">
                  <c:v>2.3602460880383175E-2</c:v>
                </c:pt>
                <c:pt idx="92">
                  <c:v>2.4066758353965559E-2</c:v>
                </c:pt>
                <c:pt idx="93">
                  <c:v>2.4124172391479327E-2</c:v>
                </c:pt>
                <c:pt idx="94">
                  <c:v>2.4645601036816227E-2</c:v>
                </c:pt>
                <c:pt idx="95">
                  <c:v>2.2693819123880622E-2</c:v>
                </c:pt>
                <c:pt idx="96">
                  <c:v>1.9451377613767466E-2</c:v>
                </c:pt>
                <c:pt idx="97">
                  <c:v>1.3256883270879673E-2</c:v>
                </c:pt>
                <c:pt idx="98">
                  <c:v>2.3664949988247964E-2</c:v>
                </c:pt>
                <c:pt idx="99">
                  <c:v>2.2389487773367189E-2</c:v>
                </c:pt>
                <c:pt idx="100">
                  <c:v>2.3414347775872559E-2</c:v>
                </c:pt>
                <c:pt idx="101">
                  <c:v>2.16396830685225E-2</c:v>
                </c:pt>
                <c:pt idx="102">
                  <c:v>1.7204784386668007E-2</c:v>
                </c:pt>
                <c:pt idx="103">
                  <c:v>1.741221320487283E-2</c:v>
                </c:pt>
                <c:pt idx="104">
                  <c:v>1.5604512661797782E-2</c:v>
                </c:pt>
                <c:pt idx="105">
                  <c:v>1.7711141734382586E-2</c:v>
                </c:pt>
                <c:pt idx="106">
                  <c:v>1.8109671800365813E-2</c:v>
                </c:pt>
                <c:pt idx="107">
                  <c:v>1.6974403794341439E-2</c:v>
                </c:pt>
                <c:pt idx="108">
                  <c:v>1.7916158090938415E-2</c:v>
                </c:pt>
                <c:pt idx="109">
                  <c:v>1.7202249375394416E-2</c:v>
                </c:pt>
                <c:pt idx="110">
                  <c:v>1.7298334214692641E-2</c:v>
                </c:pt>
                <c:pt idx="111">
                  <c:v>1.1424844189014851E-2</c:v>
                </c:pt>
                <c:pt idx="112">
                  <c:v>7.9431635422111697E-3</c:v>
                </c:pt>
                <c:pt idx="113">
                  <c:v>1.7579049785708397E-2</c:v>
                </c:pt>
                <c:pt idx="114">
                  <c:v>8.5612092540582625E-3</c:v>
                </c:pt>
                <c:pt idx="115">
                  <c:v>1.5522950610357024E-2</c:v>
                </c:pt>
                <c:pt idx="116">
                  <c:v>1.3757987322826645E-2</c:v>
                </c:pt>
                <c:pt idx="117">
                  <c:v>1.4592884779446634E-2</c:v>
                </c:pt>
                <c:pt idx="118">
                  <c:v>1.5663824487688612E-2</c:v>
                </c:pt>
                <c:pt idx="119">
                  <c:v>3.9781376688203807E-3</c:v>
                </c:pt>
                <c:pt idx="1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DC3-4BAC-B992-8FAADE7321FE}"/>
            </c:ext>
          </c:extLst>
        </c:ser>
        <c:ser>
          <c:idx val="5"/>
          <c:order val="5"/>
          <c:tx>
            <c:strRef>
              <c:f>'Hist prices'!$M$9</c:f>
              <c:strCache>
                <c:ptCount val="1"/>
                <c:pt idx="0">
                  <c:v>USDT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USDT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DC3-4BAC-B992-8FAADE732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'Hist prices'!$G$10:$G$130</c:f>
              <c:numCache>
                <c:formatCode>[$-409]m/d/yy\ h:mm\ AM/PM;@</c:formatCode>
                <c:ptCount val="121"/>
                <c:pt idx="0">
                  <c:v>44713.714884259258</c:v>
                </c:pt>
                <c:pt idx="1">
                  <c:v>44713.710080509256</c:v>
                </c:pt>
                <c:pt idx="2">
                  <c:v>44713.667659004626</c:v>
                </c:pt>
                <c:pt idx="3">
                  <c:v>44713.627241898146</c:v>
                </c:pt>
                <c:pt idx="4">
                  <c:v>44713.584309560189</c:v>
                </c:pt>
                <c:pt idx="5">
                  <c:v>44713.543640219905</c:v>
                </c:pt>
                <c:pt idx="6">
                  <c:v>44713.50164253472</c:v>
                </c:pt>
                <c:pt idx="7">
                  <c:v>44713.459885127311</c:v>
                </c:pt>
                <c:pt idx="8">
                  <c:v>44713.41726681713</c:v>
                </c:pt>
                <c:pt idx="9">
                  <c:v>44713.38033295139</c:v>
                </c:pt>
                <c:pt idx="10">
                  <c:v>44713.333608171299</c:v>
                </c:pt>
                <c:pt idx="11">
                  <c:v>44713.293959178241</c:v>
                </c:pt>
                <c:pt idx="12">
                  <c:v>44713.251158935185</c:v>
                </c:pt>
                <c:pt idx="13">
                  <c:v>44713.21036287037</c:v>
                </c:pt>
                <c:pt idx="14">
                  <c:v>44713.167989409725</c:v>
                </c:pt>
                <c:pt idx="15">
                  <c:v>44713.1257974537</c:v>
                </c:pt>
                <c:pt idx="16">
                  <c:v>44713.08455013889</c:v>
                </c:pt>
                <c:pt idx="17">
                  <c:v>44713.043044745369</c:v>
                </c:pt>
                <c:pt idx="18">
                  <c:v>44713.001626377314</c:v>
                </c:pt>
                <c:pt idx="19">
                  <c:v>44712.959451261573</c:v>
                </c:pt>
                <c:pt idx="20">
                  <c:v>44712.918911550929</c:v>
                </c:pt>
                <c:pt idx="21">
                  <c:v>44712.877353634256</c:v>
                </c:pt>
                <c:pt idx="22">
                  <c:v>44712.83363940972</c:v>
                </c:pt>
                <c:pt idx="23">
                  <c:v>44712.792568252313</c:v>
                </c:pt>
                <c:pt idx="24">
                  <c:v>44712.752508124999</c:v>
                </c:pt>
                <c:pt idx="25">
                  <c:v>44712.710225000003</c:v>
                </c:pt>
                <c:pt idx="26">
                  <c:v>44712.668994120373</c:v>
                </c:pt>
                <c:pt idx="27">
                  <c:v>44712.626174305558</c:v>
                </c:pt>
                <c:pt idx="28">
                  <c:v>44712.584559641204</c:v>
                </c:pt>
                <c:pt idx="29">
                  <c:v>44712.542923483794</c:v>
                </c:pt>
                <c:pt idx="30">
                  <c:v>44712.502526469907</c:v>
                </c:pt>
                <c:pt idx="31">
                  <c:v>44712.460236412036</c:v>
                </c:pt>
                <c:pt idx="32">
                  <c:v>44712.41858759259</c:v>
                </c:pt>
                <c:pt idx="33">
                  <c:v>44712.376310694446</c:v>
                </c:pt>
                <c:pt idx="34">
                  <c:v>44712.33524148148</c:v>
                </c:pt>
                <c:pt idx="35">
                  <c:v>44712.292517291666</c:v>
                </c:pt>
                <c:pt idx="36">
                  <c:v>44712.251281863428</c:v>
                </c:pt>
                <c:pt idx="37">
                  <c:v>44712.210052986113</c:v>
                </c:pt>
                <c:pt idx="38">
                  <c:v>44712.168390312501</c:v>
                </c:pt>
                <c:pt idx="39">
                  <c:v>44712.126698657405</c:v>
                </c:pt>
                <c:pt idx="40">
                  <c:v>44712.085551643519</c:v>
                </c:pt>
                <c:pt idx="41">
                  <c:v>44712.045020439815</c:v>
                </c:pt>
                <c:pt idx="42">
                  <c:v>44712.002025208334</c:v>
                </c:pt>
                <c:pt idx="43">
                  <c:v>44711.959506840278</c:v>
                </c:pt>
                <c:pt idx="44">
                  <c:v>44711.917002164351</c:v>
                </c:pt>
                <c:pt idx="45">
                  <c:v>44711.876116053238</c:v>
                </c:pt>
                <c:pt idx="46">
                  <c:v>44711.834584131946</c:v>
                </c:pt>
                <c:pt idx="47">
                  <c:v>44711.79444528935</c:v>
                </c:pt>
                <c:pt idx="48">
                  <c:v>44711.751887465274</c:v>
                </c:pt>
                <c:pt idx="49">
                  <c:v>44711.709744375003</c:v>
                </c:pt>
                <c:pt idx="50">
                  <c:v>44711.667513564818</c:v>
                </c:pt>
                <c:pt idx="51">
                  <c:v>44711.625593391203</c:v>
                </c:pt>
                <c:pt idx="52">
                  <c:v>44711.58444766204</c:v>
                </c:pt>
                <c:pt idx="53">
                  <c:v>44711.54422596065</c:v>
                </c:pt>
                <c:pt idx="54">
                  <c:v>44711.502032893521</c:v>
                </c:pt>
                <c:pt idx="55">
                  <c:v>44711.460498217595</c:v>
                </c:pt>
                <c:pt idx="56">
                  <c:v>44711.419574074076</c:v>
                </c:pt>
                <c:pt idx="57">
                  <c:v>44711.378516087963</c:v>
                </c:pt>
                <c:pt idx="58">
                  <c:v>44711.335019293983</c:v>
                </c:pt>
                <c:pt idx="59">
                  <c:v>44711.292519409719</c:v>
                </c:pt>
                <c:pt idx="60">
                  <c:v>44711.25100207176</c:v>
                </c:pt>
                <c:pt idx="61">
                  <c:v>44711.209144768516</c:v>
                </c:pt>
                <c:pt idx="62">
                  <c:v>44711.168392604166</c:v>
                </c:pt>
                <c:pt idx="63">
                  <c:v>44711.126823541665</c:v>
                </c:pt>
                <c:pt idx="64">
                  <c:v>44711.085680439814</c:v>
                </c:pt>
                <c:pt idx="65">
                  <c:v>44711.043305925923</c:v>
                </c:pt>
                <c:pt idx="66">
                  <c:v>44711.00258763889</c:v>
                </c:pt>
                <c:pt idx="67">
                  <c:v>44710.958720266201</c:v>
                </c:pt>
                <c:pt idx="68">
                  <c:v>44710.917072719909</c:v>
                </c:pt>
                <c:pt idx="69">
                  <c:v>44710.875985254628</c:v>
                </c:pt>
                <c:pt idx="70">
                  <c:v>44710.834938414351</c:v>
                </c:pt>
                <c:pt idx="71">
                  <c:v>44710.794689050927</c:v>
                </c:pt>
                <c:pt idx="72">
                  <c:v>44710.750652349539</c:v>
                </c:pt>
                <c:pt idx="73">
                  <c:v>44710.710095659721</c:v>
                </c:pt>
                <c:pt idx="74">
                  <c:v>44710.66855736111</c:v>
                </c:pt>
                <c:pt idx="75">
                  <c:v>44710.626899675925</c:v>
                </c:pt>
                <c:pt idx="76">
                  <c:v>44710.584955636572</c:v>
                </c:pt>
                <c:pt idx="77">
                  <c:v>44710.542140543985</c:v>
                </c:pt>
                <c:pt idx="78">
                  <c:v>44710.500337013887</c:v>
                </c:pt>
                <c:pt idx="79">
                  <c:v>44710.460543854169</c:v>
                </c:pt>
                <c:pt idx="80">
                  <c:v>44710.417141874997</c:v>
                </c:pt>
                <c:pt idx="81">
                  <c:v>44710.376426168979</c:v>
                </c:pt>
                <c:pt idx="82">
                  <c:v>44710.334313946762</c:v>
                </c:pt>
                <c:pt idx="83">
                  <c:v>44710.294285706019</c:v>
                </c:pt>
                <c:pt idx="84">
                  <c:v>44710.25095159722</c:v>
                </c:pt>
                <c:pt idx="85">
                  <c:v>44710.2094300463</c:v>
                </c:pt>
                <c:pt idx="86">
                  <c:v>44710.166782256943</c:v>
                </c:pt>
                <c:pt idx="87">
                  <c:v>44710.126497349534</c:v>
                </c:pt>
                <c:pt idx="88">
                  <c:v>44710.083924583334</c:v>
                </c:pt>
                <c:pt idx="89">
                  <c:v>44710.047424548611</c:v>
                </c:pt>
                <c:pt idx="90">
                  <c:v>44710.001210335649</c:v>
                </c:pt>
                <c:pt idx="91">
                  <c:v>44709.960327997687</c:v>
                </c:pt>
                <c:pt idx="92">
                  <c:v>44709.918714131942</c:v>
                </c:pt>
                <c:pt idx="93">
                  <c:v>44709.875583356479</c:v>
                </c:pt>
                <c:pt idx="94">
                  <c:v>44709.835246516202</c:v>
                </c:pt>
                <c:pt idx="95">
                  <c:v>44709.792750624998</c:v>
                </c:pt>
                <c:pt idx="96">
                  <c:v>44709.752531516206</c:v>
                </c:pt>
                <c:pt idx="97">
                  <c:v>44709.710525659721</c:v>
                </c:pt>
                <c:pt idx="98">
                  <c:v>44709.667585694442</c:v>
                </c:pt>
                <c:pt idx="99">
                  <c:v>44709.626843634258</c:v>
                </c:pt>
                <c:pt idx="100">
                  <c:v>44709.585927766202</c:v>
                </c:pt>
                <c:pt idx="101">
                  <c:v>44709.541945497687</c:v>
                </c:pt>
                <c:pt idx="102">
                  <c:v>44709.501135069448</c:v>
                </c:pt>
                <c:pt idx="103">
                  <c:v>44709.460050671296</c:v>
                </c:pt>
                <c:pt idx="104">
                  <c:v>44709.417074999998</c:v>
                </c:pt>
                <c:pt idx="105">
                  <c:v>44709.377482071759</c:v>
                </c:pt>
                <c:pt idx="106">
                  <c:v>44709.334706307869</c:v>
                </c:pt>
                <c:pt idx="107">
                  <c:v>44709.292821909723</c:v>
                </c:pt>
                <c:pt idx="108">
                  <c:v>44709.251242754632</c:v>
                </c:pt>
                <c:pt idx="109">
                  <c:v>44709.209182280094</c:v>
                </c:pt>
                <c:pt idx="110">
                  <c:v>44709.16796111111</c:v>
                </c:pt>
                <c:pt idx="111">
                  <c:v>44709.125441377313</c:v>
                </c:pt>
                <c:pt idx="112">
                  <c:v>44709.084990462965</c:v>
                </c:pt>
                <c:pt idx="113">
                  <c:v>44709.04521546296</c:v>
                </c:pt>
                <c:pt idx="114">
                  <c:v>44709.00152056713</c:v>
                </c:pt>
                <c:pt idx="115">
                  <c:v>44708.959050983794</c:v>
                </c:pt>
                <c:pt idx="116">
                  <c:v>44708.91724696759</c:v>
                </c:pt>
                <c:pt idx="117">
                  <c:v>44708.87613034722</c:v>
                </c:pt>
                <c:pt idx="118">
                  <c:v>44708.835478020832</c:v>
                </c:pt>
                <c:pt idx="119">
                  <c:v>44708.79364585648</c:v>
                </c:pt>
                <c:pt idx="120">
                  <c:v>44708.750676631942</c:v>
                </c:pt>
              </c:numCache>
            </c:numRef>
          </c:cat>
          <c:val>
            <c:numRef>
              <c:f>'Hist prices'!$M$10:$M$130</c:f>
              <c:numCache>
                <c:formatCode>0.00%</c:formatCode>
                <c:ptCount val="121"/>
                <c:pt idx="0">
                  <c:v>-1.0042619813194057E-3</c:v>
                </c:pt>
                <c:pt idx="1">
                  <c:v>4.8358352375438073E-4</c:v>
                </c:pt>
                <c:pt idx="2">
                  <c:v>4.6817347452283059E-4</c:v>
                </c:pt>
                <c:pt idx="3">
                  <c:v>8.6538099871954989E-5</c:v>
                </c:pt>
                <c:pt idx="4">
                  <c:v>1.1398446584910784E-3</c:v>
                </c:pt>
                <c:pt idx="5">
                  <c:v>-1.8706282702759341E-3</c:v>
                </c:pt>
                <c:pt idx="6">
                  <c:v>-1.3617083036328273E-3</c:v>
                </c:pt>
                <c:pt idx="7">
                  <c:v>-1.5463645492585934E-3</c:v>
                </c:pt>
                <c:pt idx="8">
                  <c:v>-1.2203679278594737E-3</c:v>
                </c:pt>
                <c:pt idx="9">
                  <c:v>-7.0154081674717874E-4</c:v>
                </c:pt>
                <c:pt idx="10">
                  <c:v>-5.9635597866574753E-4</c:v>
                </c:pt>
                <c:pt idx="11">
                  <c:v>-1.1663820274967233E-3</c:v>
                </c:pt>
                <c:pt idx="12">
                  <c:v>-4.5723605546504718E-4</c:v>
                </c:pt>
                <c:pt idx="13">
                  <c:v>-1.2993709753876456E-3</c:v>
                </c:pt>
                <c:pt idx="14">
                  <c:v>-8.5441204016749436E-4</c:v>
                </c:pt>
                <c:pt idx="15">
                  <c:v>-2.7127083202488762E-4</c:v>
                </c:pt>
                <c:pt idx="16">
                  <c:v>9.0321218656942099E-5</c:v>
                </c:pt>
                <c:pt idx="17">
                  <c:v>-3.2567714232712596E-4</c:v>
                </c:pt>
                <c:pt idx="18">
                  <c:v>-1.8603629200033595E-3</c:v>
                </c:pt>
                <c:pt idx="19">
                  <c:v>-6.5919711960950832E-4</c:v>
                </c:pt>
                <c:pt idx="20">
                  <c:v>-9.5949155836978902E-4</c:v>
                </c:pt>
                <c:pt idx="21">
                  <c:v>-3.7587935775608509E-4</c:v>
                </c:pt>
                <c:pt idx="22">
                  <c:v>-1.5741736646301934E-3</c:v>
                </c:pt>
                <c:pt idx="23">
                  <c:v>9.4835713481985844E-4</c:v>
                </c:pt>
                <c:pt idx="24">
                  <c:v>-1.3556142496412363E-3</c:v>
                </c:pt>
                <c:pt idx="25">
                  <c:v>-1.2890230689066161E-3</c:v>
                </c:pt>
                <c:pt idx="26">
                  <c:v>-1.9461583105012366E-3</c:v>
                </c:pt>
                <c:pt idx="27">
                  <c:v>-9.3019322913062209E-4</c:v>
                </c:pt>
                <c:pt idx="28">
                  <c:v>1.5539254316569383E-3</c:v>
                </c:pt>
                <c:pt idx="29">
                  <c:v>-2.0202587501705286E-3</c:v>
                </c:pt>
                <c:pt idx="30">
                  <c:v>-6.193652680720733E-4</c:v>
                </c:pt>
                <c:pt idx="31">
                  <c:v>-1.3876418605782484E-3</c:v>
                </c:pt>
                <c:pt idx="32">
                  <c:v>-1.0623392737133144E-3</c:v>
                </c:pt>
                <c:pt idx="33">
                  <c:v>-6.9613300332645167E-4</c:v>
                </c:pt>
                <c:pt idx="34">
                  <c:v>-6.3623938583110668E-4</c:v>
                </c:pt>
                <c:pt idx="35">
                  <c:v>-7.1063230457478921E-4</c:v>
                </c:pt>
                <c:pt idx="36">
                  <c:v>-6.8792215030891244E-4</c:v>
                </c:pt>
                <c:pt idx="37">
                  <c:v>-1.0455998666667207E-3</c:v>
                </c:pt>
                <c:pt idx="38">
                  <c:v>-2.4314967814604324E-3</c:v>
                </c:pt>
                <c:pt idx="39">
                  <c:v>-1.0475405110846642E-3</c:v>
                </c:pt>
                <c:pt idx="40">
                  <c:v>-9.7063328667384757E-4</c:v>
                </c:pt>
                <c:pt idx="41">
                  <c:v>-2.121286255536594E-4</c:v>
                </c:pt>
                <c:pt idx="42">
                  <c:v>-6.9420175127158626E-4</c:v>
                </c:pt>
                <c:pt idx="43">
                  <c:v>-6.8780034773633248E-4</c:v>
                </c:pt>
                <c:pt idx="44">
                  <c:v>-9.8913035298970968E-4</c:v>
                </c:pt>
                <c:pt idx="45">
                  <c:v>-3.7965027981610685E-4</c:v>
                </c:pt>
                <c:pt idx="46">
                  <c:v>-2.35646159877034E-4</c:v>
                </c:pt>
                <c:pt idx="47">
                  <c:v>-7.5902902363580158E-4</c:v>
                </c:pt>
                <c:pt idx="48">
                  <c:v>-1.6919191771202946E-3</c:v>
                </c:pt>
                <c:pt idx="49">
                  <c:v>-1.4016399457062463E-3</c:v>
                </c:pt>
                <c:pt idx="50">
                  <c:v>-4.0956291366442096E-4</c:v>
                </c:pt>
                <c:pt idx="51">
                  <c:v>-1.4337147532391472E-4</c:v>
                </c:pt>
                <c:pt idx="52">
                  <c:v>-1.5830020286253666E-4</c:v>
                </c:pt>
                <c:pt idx="53">
                  <c:v>-1.2507409536746092E-4</c:v>
                </c:pt>
                <c:pt idx="54">
                  <c:v>1.8049984882118303E-4</c:v>
                </c:pt>
                <c:pt idx="55">
                  <c:v>-1.4381296947284462E-3</c:v>
                </c:pt>
                <c:pt idx="56">
                  <c:v>-5.1135037856135125E-4</c:v>
                </c:pt>
                <c:pt idx="57">
                  <c:v>-2.5528020617923523E-4</c:v>
                </c:pt>
                <c:pt idx="58">
                  <c:v>-4.85762472318659E-4</c:v>
                </c:pt>
                <c:pt idx="59">
                  <c:v>-1.2690844064126101E-3</c:v>
                </c:pt>
                <c:pt idx="60">
                  <c:v>-5.732071334671684E-5</c:v>
                </c:pt>
                <c:pt idx="61">
                  <c:v>-5.2269273180828189E-4</c:v>
                </c:pt>
                <c:pt idx="62">
                  <c:v>-1.0774609598340388E-3</c:v>
                </c:pt>
                <c:pt idx="63">
                  <c:v>-3.0938924394128642E-4</c:v>
                </c:pt>
                <c:pt idx="64">
                  <c:v>-5.2100847594854414E-4</c:v>
                </c:pt>
                <c:pt idx="65">
                  <c:v>7.736757062998942E-5</c:v>
                </c:pt>
                <c:pt idx="66">
                  <c:v>-8.1822914475325741E-4</c:v>
                </c:pt>
                <c:pt idx="67">
                  <c:v>4.171487388609838E-5</c:v>
                </c:pt>
                <c:pt idx="68">
                  <c:v>5.0048783668751385E-4</c:v>
                </c:pt>
                <c:pt idx="69">
                  <c:v>-6.0101954204354823E-4</c:v>
                </c:pt>
                <c:pt idx="70">
                  <c:v>4.5037098412352123E-5</c:v>
                </c:pt>
                <c:pt idx="71">
                  <c:v>-3.0254345359043405E-4</c:v>
                </c:pt>
                <c:pt idx="72">
                  <c:v>1.1810410882953904E-3</c:v>
                </c:pt>
                <c:pt idx="73">
                  <c:v>-2.2785709751020213E-4</c:v>
                </c:pt>
                <c:pt idx="74">
                  <c:v>3.9504481018752633E-4</c:v>
                </c:pt>
                <c:pt idx="75">
                  <c:v>-2.4950241604978921E-4</c:v>
                </c:pt>
                <c:pt idx="76">
                  <c:v>3.0369328273045228E-4</c:v>
                </c:pt>
                <c:pt idx="77">
                  <c:v>-1.1992113526166669E-3</c:v>
                </c:pt>
                <c:pt idx="78">
                  <c:v>3.7713115215291614E-4</c:v>
                </c:pt>
                <c:pt idx="79">
                  <c:v>2.6274392775819689E-4</c:v>
                </c:pt>
                <c:pt idx="80">
                  <c:v>-5.9483937251832251E-4</c:v>
                </c:pt>
                <c:pt idx="81">
                  <c:v>3.4097691890332398E-4</c:v>
                </c:pt>
                <c:pt idx="82">
                  <c:v>1.0055572332799787E-4</c:v>
                </c:pt>
                <c:pt idx="83">
                  <c:v>5.9259052806947589E-4</c:v>
                </c:pt>
                <c:pt idx="84">
                  <c:v>4.0223012311593753E-4</c:v>
                </c:pt>
                <c:pt idx="85">
                  <c:v>4.262069868104929E-4</c:v>
                </c:pt>
                <c:pt idx="86">
                  <c:v>1.138841403355208E-4</c:v>
                </c:pt>
                <c:pt idx="87">
                  <c:v>9.0422075286008261E-4</c:v>
                </c:pt>
                <c:pt idx="88">
                  <c:v>4.2870836078867533E-4</c:v>
                </c:pt>
                <c:pt idx="89">
                  <c:v>-4.9164262457009977E-4</c:v>
                </c:pt>
                <c:pt idx="90">
                  <c:v>3.6881206058589377E-4</c:v>
                </c:pt>
                <c:pt idx="91">
                  <c:v>-8.4528932731214943E-4</c:v>
                </c:pt>
                <c:pt idx="92">
                  <c:v>2.5355113738776233E-4</c:v>
                </c:pt>
                <c:pt idx="93">
                  <c:v>-8.8522869327241447E-4</c:v>
                </c:pt>
                <c:pt idx="94">
                  <c:v>-5.9051422206883749E-4</c:v>
                </c:pt>
                <c:pt idx="95">
                  <c:v>-9.9373295766848362E-5</c:v>
                </c:pt>
                <c:pt idx="96">
                  <c:v>-3.9474374536806731E-4</c:v>
                </c:pt>
                <c:pt idx="97">
                  <c:v>-3.176023734003407E-4</c:v>
                </c:pt>
                <c:pt idx="98">
                  <c:v>-2.8235368079341952E-4</c:v>
                </c:pt>
                <c:pt idx="99">
                  <c:v>1.0521472384200173E-3</c:v>
                </c:pt>
                <c:pt idx="100">
                  <c:v>-3.4128121850297778E-4</c:v>
                </c:pt>
                <c:pt idx="101">
                  <c:v>-2.3558148115538724E-4</c:v>
                </c:pt>
                <c:pt idx="102">
                  <c:v>-1.3627643127541437E-4</c:v>
                </c:pt>
                <c:pt idx="103">
                  <c:v>-1.7706732607166825E-4</c:v>
                </c:pt>
                <c:pt idx="104">
                  <c:v>-4.4328757306369247E-4</c:v>
                </c:pt>
                <c:pt idx="105">
                  <c:v>-6.6269078633761239E-4</c:v>
                </c:pt>
                <c:pt idx="106">
                  <c:v>-3.9683158427046436E-4</c:v>
                </c:pt>
                <c:pt idx="107">
                  <c:v>-1.8821693941636504E-4</c:v>
                </c:pt>
                <c:pt idx="108">
                  <c:v>-6.377352309855413E-4</c:v>
                </c:pt>
                <c:pt idx="109">
                  <c:v>-6.1687592134448659E-5</c:v>
                </c:pt>
                <c:pt idx="110">
                  <c:v>1.5765567211589227E-5</c:v>
                </c:pt>
                <c:pt idx="111">
                  <c:v>2.2918518923433536E-4</c:v>
                </c:pt>
                <c:pt idx="112">
                  <c:v>-1.0707828054228746E-3</c:v>
                </c:pt>
                <c:pt idx="113">
                  <c:v>5.023435626572148E-4</c:v>
                </c:pt>
                <c:pt idx="114">
                  <c:v>-5.3354538863436369E-4</c:v>
                </c:pt>
                <c:pt idx="115">
                  <c:v>-3.6243851316441583E-4</c:v>
                </c:pt>
                <c:pt idx="116">
                  <c:v>-1.9224563354602758E-4</c:v>
                </c:pt>
                <c:pt idx="117">
                  <c:v>-2.5174928415461553E-4</c:v>
                </c:pt>
                <c:pt idx="118">
                  <c:v>-2.1114599115124176E-3</c:v>
                </c:pt>
                <c:pt idx="119">
                  <c:v>1.0699650991810865E-3</c:v>
                </c:pt>
                <c:pt idx="1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DC3-4BAC-B992-8FAADE7321FE}"/>
            </c:ext>
          </c:extLst>
        </c:ser>
        <c:ser>
          <c:idx val="6"/>
          <c:order val="6"/>
          <c:tx>
            <c:strRef>
              <c:f>'Hist prices'!$N$9</c:f>
              <c:strCache>
                <c:ptCount val="1"/>
                <c:pt idx="0">
                  <c:v>LTC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LTC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DC3-4BAC-B992-8FAADE732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'Hist prices'!$G$10:$G$130</c:f>
              <c:numCache>
                <c:formatCode>[$-409]m/d/yy\ h:mm\ AM/PM;@</c:formatCode>
                <c:ptCount val="121"/>
                <c:pt idx="0">
                  <c:v>44713.714884259258</c:v>
                </c:pt>
                <c:pt idx="1">
                  <c:v>44713.710080509256</c:v>
                </c:pt>
                <c:pt idx="2">
                  <c:v>44713.667659004626</c:v>
                </c:pt>
                <c:pt idx="3">
                  <c:v>44713.627241898146</c:v>
                </c:pt>
                <c:pt idx="4">
                  <c:v>44713.584309560189</c:v>
                </c:pt>
                <c:pt idx="5">
                  <c:v>44713.543640219905</c:v>
                </c:pt>
                <c:pt idx="6">
                  <c:v>44713.50164253472</c:v>
                </c:pt>
                <c:pt idx="7">
                  <c:v>44713.459885127311</c:v>
                </c:pt>
                <c:pt idx="8">
                  <c:v>44713.41726681713</c:v>
                </c:pt>
                <c:pt idx="9">
                  <c:v>44713.38033295139</c:v>
                </c:pt>
                <c:pt idx="10">
                  <c:v>44713.333608171299</c:v>
                </c:pt>
                <c:pt idx="11">
                  <c:v>44713.293959178241</c:v>
                </c:pt>
                <c:pt idx="12">
                  <c:v>44713.251158935185</c:v>
                </c:pt>
                <c:pt idx="13">
                  <c:v>44713.21036287037</c:v>
                </c:pt>
                <c:pt idx="14">
                  <c:v>44713.167989409725</c:v>
                </c:pt>
                <c:pt idx="15">
                  <c:v>44713.1257974537</c:v>
                </c:pt>
                <c:pt idx="16">
                  <c:v>44713.08455013889</c:v>
                </c:pt>
                <c:pt idx="17">
                  <c:v>44713.043044745369</c:v>
                </c:pt>
                <c:pt idx="18">
                  <c:v>44713.001626377314</c:v>
                </c:pt>
                <c:pt idx="19">
                  <c:v>44712.959451261573</c:v>
                </c:pt>
                <c:pt idx="20">
                  <c:v>44712.918911550929</c:v>
                </c:pt>
                <c:pt idx="21">
                  <c:v>44712.877353634256</c:v>
                </c:pt>
                <c:pt idx="22">
                  <c:v>44712.83363940972</c:v>
                </c:pt>
                <c:pt idx="23">
                  <c:v>44712.792568252313</c:v>
                </c:pt>
                <c:pt idx="24">
                  <c:v>44712.752508124999</c:v>
                </c:pt>
                <c:pt idx="25">
                  <c:v>44712.710225000003</c:v>
                </c:pt>
                <c:pt idx="26">
                  <c:v>44712.668994120373</c:v>
                </c:pt>
                <c:pt idx="27">
                  <c:v>44712.626174305558</c:v>
                </c:pt>
                <c:pt idx="28">
                  <c:v>44712.584559641204</c:v>
                </c:pt>
                <c:pt idx="29">
                  <c:v>44712.542923483794</c:v>
                </c:pt>
                <c:pt idx="30">
                  <c:v>44712.502526469907</c:v>
                </c:pt>
                <c:pt idx="31">
                  <c:v>44712.460236412036</c:v>
                </c:pt>
                <c:pt idx="32">
                  <c:v>44712.41858759259</c:v>
                </c:pt>
                <c:pt idx="33">
                  <c:v>44712.376310694446</c:v>
                </c:pt>
                <c:pt idx="34">
                  <c:v>44712.33524148148</c:v>
                </c:pt>
                <c:pt idx="35">
                  <c:v>44712.292517291666</c:v>
                </c:pt>
                <c:pt idx="36">
                  <c:v>44712.251281863428</c:v>
                </c:pt>
                <c:pt idx="37">
                  <c:v>44712.210052986113</c:v>
                </c:pt>
                <c:pt idx="38">
                  <c:v>44712.168390312501</c:v>
                </c:pt>
                <c:pt idx="39">
                  <c:v>44712.126698657405</c:v>
                </c:pt>
                <c:pt idx="40">
                  <c:v>44712.085551643519</c:v>
                </c:pt>
                <c:pt idx="41">
                  <c:v>44712.045020439815</c:v>
                </c:pt>
                <c:pt idx="42">
                  <c:v>44712.002025208334</c:v>
                </c:pt>
                <c:pt idx="43">
                  <c:v>44711.959506840278</c:v>
                </c:pt>
                <c:pt idx="44">
                  <c:v>44711.917002164351</c:v>
                </c:pt>
                <c:pt idx="45">
                  <c:v>44711.876116053238</c:v>
                </c:pt>
                <c:pt idx="46">
                  <c:v>44711.834584131946</c:v>
                </c:pt>
                <c:pt idx="47">
                  <c:v>44711.79444528935</c:v>
                </c:pt>
                <c:pt idx="48">
                  <c:v>44711.751887465274</c:v>
                </c:pt>
                <c:pt idx="49">
                  <c:v>44711.709744375003</c:v>
                </c:pt>
                <c:pt idx="50">
                  <c:v>44711.667513564818</c:v>
                </c:pt>
                <c:pt idx="51">
                  <c:v>44711.625593391203</c:v>
                </c:pt>
                <c:pt idx="52">
                  <c:v>44711.58444766204</c:v>
                </c:pt>
                <c:pt idx="53">
                  <c:v>44711.54422596065</c:v>
                </c:pt>
                <c:pt idx="54">
                  <c:v>44711.502032893521</c:v>
                </c:pt>
                <c:pt idx="55">
                  <c:v>44711.460498217595</c:v>
                </c:pt>
                <c:pt idx="56">
                  <c:v>44711.419574074076</c:v>
                </c:pt>
                <c:pt idx="57">
                  <c:v>44711.378516087963</c:v>
                </c:pt>
                <c:pt idx="58">
                  <c:v>44711.335019293983</c:v>
                </c:pt>
                <c:pt idx="59">
                  <c:v>44711.292519409719</c:v>
                </c:pt>
                <c:pt idx="60">
                  <c:v>44711.25100207176</c:v>
                </c:pt>
                <c:pt idx="61">
                  <c:v>44711.209144768516</c:v>
                </c:pt>
                <c:pt idx="62">
                  <c:v>44711.168392604166</c:v>
                </c:pt>
                <c:pt idx="63">
                  <c:v>44711.126823541665</c:v>
                </c:pt>
                <c:pt idx="64">
                  <c:v>44711.085680439814</c:v>
                </c:pt>
                <c:pt idx="65">
                  <c:v>44711.043305925923</c:v>
                </c:pt>
                <c:pt idx="66">
                  <c:v>44711.00258763889</c:v>
                </c:pt>
                <c:pt idx="67">
                  <c:v>44710.958720266201</c:v>
                </c:pt>
                <c:pt idx="68">
                  <c:v>44710.917072719909</c:v>
                </c:pt>
                <c:pt idx="69">
                  <c:v>44710.875985254628</c:v>
                </c:pt>
                <c:pt idx="70">
                  <c:v>44710.834938414351</c:v>
                </c:pt>
                <c:pt idx="71">
                  <c:v>44710.794689050927</c:v>
                </c:pt>
                <c:pt idx="72">
                  <c:v>44710.750652349539</c:v>
                </c:pt>
                <c:pt idx="73">
                  <c:v>44710.710095659721</c:v>
                </c:pt>
                <c:pt idx="74">
                  <c:v>44710.66855736111</c:v>
                </c:pt>
                <c:pt idx="75">
                  <c:v>44710.626899675925</c:v>
                </c:pt>
                <c:pt idx="76">
                  <c:v>44710.584955636572</c:v>
                </c:pt>
                <c:pt idx="77">
                  <c:v>44710.542140543985</c:v>
                </c:pt>
                <c:pt idx="78">
                  <c:v>44710.500337013887</c:v>
                </c:pt>
                <c:pt idx="79">
                  <c:v>44710.460543854169</c:v>
                </c:pt>
                <c:pt idx="80">
                  <c:v>44710.417141874997</c:v>
                </c:pt>
                <c:pt idx="81">
                  <c:v>44710.376426168979</c:v>
                </c:pt>
                <c:pt idx="82">
                  <c:v>44710.334313946762</c:v>
                </c:pt>
                <c:pt idx="83">
                  <c:v>44710.294285706019</c:v>
                </c:pt>
                <c:pt idx="84">
                  <c:v>44710.25095159722</c:v>
                </c:pt>
                <c:pt idx="85">
                  <c:v>44710.2094300463</c:v>
                </c:pt>
                <c:pt idx="86">
                  <c:v>44710.166782256943</c:v>
                </c:pt>
                <c:pt idx="87">
                  <c:v>44710.126497349534</c:v>
                </c:pt>
                <c:pt idx="88">
                  <c:v>44710.083924583334</c:v>
                </c:pt>
                <c:pt idx="89">
                  <c:v>44710.047424548611</c:v>
                </c:pt>
                <c:pt idx="90">
                  <c:v>44710.001210335649</c:v>
                </c:pt>
                <c:pt idx="91">
                  <c:v>44709.960327997687</c:v>
                </c:pt>
                <c:pt idx="92">
                  <c:v>44709.918714131942</c:v>
                </c:pt>
                <c:pt idx="93">
                  <c:v>44709.875583356479</c:v>
                </c:pt>
                <c:pt idx="94">
                  <c:v>44709.835246516202</c:v>
                </c:pt>
                <c:pt idx="95">
                  <c:v>44709.792750624998</c:v>
                </c:pt>
                <c:pt idx="96">
                  <c:v>44709.752531516206</c:v>
                </c:pt>
                <c:pt idx="97">
                  <c:v>44709.710525659721</c:v>
                </c:pt>
                <c:pt idx="98">
                  <c:v>44709.667585694442</c:v>
                </c:pt>
                <c:pt idx="99">
                  <c:v>44709.626843634258</c:v>
                </c:pt>
                <c:pt idx="100">
                  <c:v>44709.585927766202</c:v>
                </c:pt>
                <c:pt idx="101">
                  <c:v>44709.541945497687</c:v>
                </c:pt>
                <c:pt idx="102">
                  <c:v>44709.501135069448</c:v>
                </c:pt>
                <c:pt idx="103">
                  <c:v>44709.460050671296</c:v>
                </c:pt>
                <c:pt idx="104">
                  <c:v>44709.417074999998</c:v>
                </c:pt>
                <c:pt idx="105">
                  <c:v>44709.377482071759</c:v>
                </c:pt>
                <c:pt idx="106">
                  <c:v>44709.334706307869</c:v>
                </c:pt>
                <c:pt idx="107">
                  <c:v>44709.292821909723</c:v>
                </c:pt>
                <c:pt idx="108">
                  <c:v>44709.251242754632</c:v>
                </c:pt>
                <c:pt idx="109">
                  <c:v>44709.209182280094</c:v>
                </c:pt>
                <c:pt idx="110">
                  <c:v>44709.16796111111</c:v>
                </c:pt>
                <c:pt idx="111">
                  <c:v>44709.125441377313</c:v>
                </c:pt>
                <c:pt idx="112">
                  <c:v>44709.084990462965</c:v>
                </c:pt>
                <c:pt idx="113">
                  <c:v>44709.04521546296</c:v>
                </c:pt>
                <c:pt idx="114">
                  <c:v>44709.00152056713</c:v>
                </c:pt>
                <c:pt idx="115">
                  <c:v>44708.959050983794</c:v>
                </c:pt>
                <c:pt idx="116">
                  <c:v>44708.91724696759</c:v>
                </c:pt>
                <c:pt idx="117">
                  <c:v>44708.87613034722</c:v>
                </c:pt>
                <c:pt idx="118">
                  <c:v>44708.835478020832</c:v>
                </c:pt>
                <c:pt idx="119">
                  <c:v>44708.79364585648</c:v>
                </c:pt>
                <c:pt idx="120">
                  <c:v>44708.750676631942</c:v>
                </c:pt>
              </c:numCache>
            </c:numRef>
          </c:cat>
          <c:val>
            <c:numRef>
              <c:f>'Hist prices'!$N$10:$N$130</c:f>
              <c:numCache>
                <c:formatCode>0.00%</c:formatCode>
                <c:ptCount val="121"/>
                <c:pt idx="0">
                  <c:v>5.4076687134021292E-2</c:v>
                </c:pt>
                <c:pt idx="1">
                  <c:v>5.7556332519268033E-2</c:v>
                </c:pt>
                <c:pt idx="2">
                  <c:v>7.4148332313242471E-2</c:v>
                </c:pt>
                <c:pt idx="3">
                  <c:v>9.0969148789757454E-2</c:v>
                </c:pt>
                <c:pt idx="4">
                  <c:v>0.11373595565495512</c:v>
                </c:pt>
                <c:pt idx="5">
                  <c:v>0.11723018206102567</c:v>
                </c:pt>
                <c:pt idx="6">
                  <c:v>0.1093575300099337</c:v>
                </c:pt>
                <c:pt idx="7">
                  <c:v>0.11084767305520157</c:v>
                </c:pt>
                <c:pt idx="8">
                  <c:v>0.11452953458728272</c:v>
                </c:pt>
                <c:pt idx="9">
                  <c:v>0.11022380624023632</c:v>
                </c:pt>
                <c:pt idx="10">
                  <c:v>0.11133146571980491</c:v>
                </c:pt>
                <c:pt idx="11">
                  <c:v>0.11772338335547787</c:v>
                </c:pt>
                <c:pt idx="12">
                  <c:v>0.10601773888804963</c:v>
                </c:pt>
                <c:pt idx="13">
                  <c:v>0.12341006683910857</c:v>
                </c:pt>
                <c:pt idx="14">
                  <c:v>0.11748640431229088</c:v>
                </c:pt>
                <c:pt idx="15">
                  <c:v>0.12680004434879222</c:v>
                </c:pt>
                <c:pt idx="16">
                  <c:v>0.1304559982825024</c:v>
                </c:pt>
                <c:pt idx="17">
                  <c:v>0.1422485952189125</c:v>
                </c:pt>
                <c:pt idx="18">
                  <c:v>0.11104704389207622</c:v>
                </c:pt>
                <c:pt idx="19">
                  <c:v>0.12085812355948909</c:v>
                </c:pt>
                <c:pt idx="20">
                  <c:v>0.10740150861841587</c:v>
                </c:pt>
                <c:pt idx="21">
                  <c:v>0.10849473336426693</c:v>
                </c:pt>
                <c:pt idx="22">
                  <c:v>9.9668763045451997E-2</c:v>
                </c:pt>
                <c:pt idx="23">
                  <c:v>9.9354683588397774E-2</c:v>
                </c:pt>
                <c:pt idx="24">
                  <c:v>0.11111751884731498</c:v>
                </c:pt>
                <c:pt idx="25">
                  <c:v>0.11307967282675632</c:v>
                </c:pt>
                <c:pt idx="26">
                  <c:v>0.11502176294561949</c:v>
                </c:pt>
                <c:pt idx="27">
                  <c:v>0.10109113185707261</c:v>
                </c:pt>
                <c:pt idx="28">
                  <c:v>9.5747334813179402E-2</c:v>
                </c:pt>
                <c:pt idx="29">
                  <c:v>0.10138467344062838</c:v>
                </c:pt>
                <c:pt idx="30">
                  <c:v>0.11424839280402058</c:v>
                </c:pt>
                <c:pt idx="31">
                  <c:v>0.11112151561969362</c:v>
                </c:pt>
                <c:pt idx="32">
                  <c:v>0.10442912985709368</c:v>
                </c:pt>
                <c:pt idx="33">
                  <c:v>0.11806327480982995</c:v>
                </c:pt>
                <c:pt idx="34">
                  <c:v>0.11461644378767225</c:v>
                </c:pt>
                <c:pt idx="35">
                  <c:v>0.11430869353770692</c:v>
                </c:pt>
                <c:pt idx="36">
                  <c:v>0.12443463355323942</c:v>
                </c:pt>
                <c:pt idx="37">
                  <c:v>0.12461151555047582</c:v>
                </c:pt>
                <c:pt idx="38">
                  <c:v>0.12272715282058402</c:v>
                </c:pt>
                <c:pt idx="39">
                  <c:v>0.12491351174051823</c:v>
                </c:pt>
                <c:pt idx="40">
                  <c:v>0.1163573841897141</c:v>
                </c:pt>
                <c:pt idx="41">
                  <c:v>0.12125388511590014</c:v>
                </c:pt>
                <c:pt idx="42">
                  <c:v>0.12103445681102738</c:v>
                </c:pt>
                <c:pt idx="43">
                  <c:v>0.12103745426338294</c:v>
                </c:pt>
                <c:pt idx="44">
                  <c:v>0.11703166816073304</c:v>
                </c:pt>
                <c:pt idx="45">
                  <c:v>0.10273671923637297</c:v>
                </c:pt>
                <c:pt idx="46">
                  <c:v>8.57108869108614E-2</c:v>
                </c:pt>
                <c:pt idx="47">
                  <c:v>8.7100765464782445E-2</c:v>
                </c:pt>
                <c:pt idx="48">
                  <c:v>8.7321530994107985E-2</c:v>
                </c:pt>
                <c:pt idx="49">
                  <c:v>8.1263693465068648E-2</c:v>
                </c:pt>
                <c:pt idx="50">
                  <c:v>7.7024820668953164E-2</c:v>
                </c:pt>
                <c:pt idx="51">
                  <c:v>7.6114849463139275E-2</c:v>
                </c:pt>
                <c:pt idx="52">
                  <c:v>7.4613102820563035E-2</c:v>
                </c:pt>
                <c:pt idx="53">
                  <c:v>7.4463932646520292E-2</c:v>
                </c:pt>
                <c:pt idx="54">
                  <c:v>7.0032601214842616E-2</c:v>
                </c:pt>
                <c:pt idx="55">
                  <c:v>6.8122430462539241E-2</c:v>
                </c:pt>
                <c:pt idx="56">
                  <c:v>7.8525273423391204E-2</c:v>
                </c:pt>
                <c:pt idx="57">
                  <c:v>8.2215558456777915E-2</c:v>
                </c:pt>
                <c:pt idx="58">
                  <c:v>8.4424722681016362E-2</c:v>
                </c:pt>
                <c:pt idx="59">
                  <c:v>8.4248296885297197E-2</c:v>
                </c:pt>
                <c:pt idx="60">
                  <c:v>7.4083025172513875E-2</c:v>
                </c:pt>
                <c:pt idx="61">
                  <c:v>6.2494970163875424E-2</c:v>
                </c:pt>
                <c:pt idx="62">
                  <c:v>6.524561116001526E-2</c:v>
                </c:pt>
                <c:pt idx="63">
                  <c:v>7.3479160417413883E-2</c:v>
                </c:pt>
                <c:pt idx="64">
                  <c:v>5.1634014583860625E-2</c:v>
                </c:pt>
                <c:pt idx="65">
                  <c:v>2.8934351336544106E-2</c:v>
                </c:pt>
                <c:pt idx="66">
                  <c:v>3.4876613215560619E-2</c:v>
                </c:pt>
                <c:pt idx="67">
                  <c:v>3.4538108608917241E-2</c:v>
                </c:pt>
                <c:pt idx="68">
                  <c:v>2.4245572045979758E-2</c:v>
                </c:pt>
                <c:pt idx="69">
                  <c:v>2.3164938723420996E-2</c:v>
                </c:pt>
                <c:pt idx="70">
                  <c:v>2.1562825406533152E-2</c:v>
                </c:pt>
                <c:pt idx="71">
                  <c:v>1.977342422478431E-2</c:v>
                </c:pt>
                <c:pt idx="72">
                  <c:v>3.5245348662960412E-2</c:v>
                </c:pt>
                <c:pt idx="73">
                  <c:v>3.4520609673110804E-2</c:v>
                </c:pt>
                <c:pt idx="74">
                  <c:v>3.0230104504491113E-2</c:v>
                </c:pt>
                <c:pt idx="75">
                  <c:v>3.7318481026784582E-2</c:v>
                </c:pt>
                <c:pt idx="76">
                  <c:v>4.1702865222572758E-2</c:v>
                </c:pt>
                <c:pt idx="77">
                  <c:v>3.9636422147499399E-2</c:v>
                </c:pt>
                <c:pt idx="78">
                  <c:v>2.940927033535895E-2</c:v>
                </c:pt>
                <c:pt idx="79">
                  <c:v>2.3224955367369769E-2</c:v>
                </c:pt>
                <c:pt idx="80">
                  <c:v>1.7154255141345727E-2</c:v>
                </c:pt>
                <c:pt idx="81">
                  <c:v>1.9250592818755612E-2</c:v>
                </c:pt>
                <c:pt idx="82">
                  <c:v>1.6333416113663062E-2</c:v>
                </c:pt>
                <c:pt idx="83">
                  <c:v>1.6355227655884121E-2</c:v>
                </c:pt>
                <c:pt idx="84">
                  <c:v>1.4415203897655854E-2</c:v>
                </c:pt>
                <c:pt idx="85">
                  <c:v>9.618065374233568E-3</c:v>
                </c:pt>
                <c:pt idx="86">
                  <c:v>1.0761808494551564E-2</c:v>
                </c:pt>
                <c:pt idx="87">
                  <c:v>9.390450831940466E-3</c:v>
                </c:pt>
                <c:pt idx="88">
                  <c:v>1.4883705344547901E-2</c:v>
                </c:pt>
                <c:pt idx="89">
                  <c:v>2.4730643523946362E-2</c:v>
                </c:pt>
                <c:pt idx="90">
                  <c:v>2.4413273998678285E-2</c:v>
                </c:pt>
                <c:pt idx="91">
                  <c:v>1.7131489142747387E-2</c:v>
                </c:pt>
                <c:pt idx="92">
                  <c:v>2.2910407138941463E-2</c:v>
                </c:pt>
                <c:pt idx="93">
                  <c:v>2.3249276957702129E-2</c:v>
                </c:pt>
                <c:pt idx="94">
                  <c:v>2.7567182187386928E-2</c:v>
                </c:pt>
                <c:pt idx="95">
                  <c:v>2.7759502179143202E-2</c:v>
                </c:pt>
                <c:pt idx="96">
                  <c:v>2.0521800207000826E-2</c:v>
                </c:pt>
                <c:pt idx="97">
                  <c:v>2.7873435155382313E-2</c:v>
                </c:pt>
                <c:pt idx="98">
                  <c:v>2.8473085033908822E-2</c:v>
                </c:pt>
                <c:pt idx="99">
                  <c:v>2.7095975085060175E-2</c:v>
                </c:pt>
                <c:pt idx="100">
                  <c:v>3.3075242978418233E-2</c:v>
                </c:pt>
                <c:pt idx="101">
                  <c:v>3.2595340181836976E-2</c:v>
                </c:pt>
                <c:pt idx="102">
                  <c:v>2.4447387067727595E-2</c:v>
                </c:pt>
                <c:pt idx="103">
                  <c:v>1.5573810680189606E-2</c:v>
                </c:pt>
                <c:pt idx="104">
                  <c:v>1.4429739367774549E-2</c:v>
                </c:pt>
                <c:pt idx="105">
                  <c:v>1.2229946217416519E-2</c:v>
                </c:pt>
                <c:pt idx="106">
                  <c:v>1.2352667280102703E-2</c:v>
                </c:pt>
                <c:pt idx="107">
                  <c:v>1.5694599086176961E-2</c:v>
                </c:pt>
                <c:pt idx="108">
                  <c:v>1.8047681597612449E-2</c:v>
                </c:pt>
                <c:pt idx="109">
                  <c:v>1.5973939026786569E-2</c:v>
                </c:pt>
                <c:pt idx="110">
                  <c:v>1.1270025124727648E-2</c:v>
                </c:pt>
                <c:pt idx="111">
                  <c:v>2.4190070221964881E-3</c:v>
                </c:pt>
                <c:pt idx="112">
                  <c:v>-2.0102012372060242E-4</c:v>
                </c:pt>
                <c:pt idx="113">
                  <c:v>1.7773734514627684E-2</c:v>
                </c:pt>
                <c:pt idx="114">
                  <c:v>-2.9300382129872045E-3</c:v>
                </c:pt>
                <c:pt idx="115">
                  <c:v>8.5575541520145158E-3</c:v>
                </c:pt>
                <c:pt idx="116">
                  <c:v>5.7453716996421237E-3</c:v>
                </c:pt>
                <c:pt idx="117">
                  <c:v>9.2289489320715838E-3</c:v>
                </c:pt>
                <c:pt idx="118">
                  <c:v>9.7004883406366753E-3</c:v>
                </c:pt>
                <c:pt idx="119">
                  <c:v>-1.5269619993376247E-3</c:v>
                </c:pt>
                <c:pt idx="1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DC3-4BAC-B992-8FAADE7321FE}"/>
            </c:ext>
          </c:extLst>
        </c:ser>
        <c:ser>
          <c:idx val="7"/>
          <c:order val="7"/>
          <c:tx>
            <c:strRef>
              <c:f>'Hist prices'!$O$9</c:f>
              <c:strCache>
                <c:ptCount val="1"/>
                <c:pt idx="0">
                  <c:v>BCH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BCH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DC3-4BAC-B992-8FAADE732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'Hist prices'!$G$10:$G$130</c:f>
              <c:numCache>
                <c:formatCode>[$-409]m/d/yy\ h:mm\ AM/PM;@</c:formatCode>
                <c:ptCount val="121"/>
                <c:pt idx="0">
                  <c:v>44713.714884259258</c:v>
                </c:pt>
                <c:pt idx="1">
                  <c:v>44713.710080509256</c:v>
                </c:pt>
                <c:pt idx="2">
                  <c:v>44713.667659004626</c:v>
                </c:pt>
                <c:pt idx="3">
                  <c:v>44713.627241898146</c:v>
                </c:pt>
                <c:pt idx="4">
                  <c:v>44713.584309560189</c:v>
                </c:pt>
                <c:pt idx="5">
                  <c:v>44713.543640219905</c:v>
                </c:pt>
                <c:pt idx="6">
                  <c:v>44713.50164253472</c:v>
                </c:pt>
                <c:pt idx="7">
                  <c:v>44713.459885127311</c:v>
                </c:pt>
                <c:pt idx="8">
                  <c:v>44713.41726681713</c:v>
                </c:pt>
                <c:pt idx="9">
                  <c:v>44713.38033295139</c:v>
                </c:pt>
                <c:pt idx="10">
                  <c:v>44713.333608171299</c:v>
                </c:pt>
                <c:pt idx="11">
                  <c:v>44713.293959178241</c:v>
                </c:pt>
                <c:pt idx="12">
                  <c:v>44713.251158935185</c:v>
                </c:pt>
                <c:pt idx="13">
                  <c:v>44713.21036287037</c:v>
                </c:pt>
                <c:pt idx="14">
                  <c:v>44713.167989409725</c:v>
                </c:pt>
                <c:pt idx="15">
                  <c:v>44713.1257974537</c:v>
                </c:pt>
                <c:pt idx="16">
                  <c:v>44713.08455013889</c:v>
                </c:pt>
                <c:pt idx="17">
                  <c:v>44713.043044745369</c:v>
                </c:pt>
                <c:pt idx="18">
                  <c:v>44713.001626377314</c:v>
                </c:pt>
                <c:pt idx="19">
                  <c:v>44712.959451261573</c:v>
                </c:pt>
                <c:pt idx="20">
                  <c:v>44712.918911550929</c:v>
                </c:pt>
                <c:pt idx="21">
                  <c:v>44712.877353634256</c:v>
                </c:pt>
                <c:pt idx="22">
                  <c:v>44712.83363940972</c:v>
                </c:pt>
                <c:pt idx="23">
                  <c:v>44712.792568252313</c:v>
                </c:pt>
                <c:pt idx="24">
                  <c:v>44712.752508124999</c:v>
                </c:pt>
                <c:pt idx="25">
                  <c:v>44712.710225000003</c:v>
                </c:pt>
                <c:pt idx="26">
                  <c:v>44712.668994120373</c:v>
                </c:pt>
                <c:pt idx="27">
                  <c:v>44712.626174305558</c:v>
                </c:pt>
                <c:pt idx="28">
                  <c:v>44712.584559641204</c:v>
                </c:pt>
                <c:pt idx="29">
                  <c:v>44712.542923483794</c:v>
                </c:pt>
                <c:pt idx="30">
                  <c:v>44712.502526469907</c:v>
                </c:pt>
                <c:pt idx="31">
                  <c:v>44712.460236412036</c:v>
                </c:pt>
                <c:pt idx="32">
                  <c:v>44712.41858759259</c:v>
                </c:pt>
                <c:pt idx="33">
                  <c:v>44712.376310694446</c:v>
                </c:pt>
                <c:pt idx="34">
                  <c:v>44712.33524148148</c:v>
                </c:pt>
                <c:pt idx="35">
                  <c:v>44712.292517291666</c:v>
                </c:pt>
                <c:pt idx="36">
                  <c:v>44712.251281863428</c:v>
                </c:pt>
                <c:pt idx="37">
                  <c:v>44712.210052986113</c:v>
                </c:pt>
                <c:pt idx="38">
                  <c:v>44712.168390312501</c:v>
                </c:pt>
                <c:pt idx="39">
                  <c:v>44712.126698657405</c:v>
                </c:pt>
                <c:pt idx="40">
                  <c:v>44712.085551643519</c:v>
                </c:pt>
                <c:pt idx="41">
                  <c:v>44712.045020439815</c:v>
                </c:pt>
                <c:pt idx="42">
                  <c:v>44712.002025208334</c:v>
                </c:pt>
                <c:pt idx="43">
                  <c:v>44711.959506840278</c:v>
                </c:pt>
                <c:pt idx="44">
                  <c:v>44711.917002164351</c:v>
                </c:pt>
                <c:pt idx="45">
                  <c:v>44711.876116053238</c:v>
                </c:pt>
                <c:pt idx="46">
                  <c:v>44711.834584131946</c:v>
                </c:pt>
                <c:pt idx="47">
                  <c:v>44711.79444528935</c:v>
                </c:pt>
                <c:pt idx="48">
                  <c:v>44711.751887465274</c:v>
                </c:pt>
                <c:pt idx="49">
                  <c:v>44711.709744375003</c:v>
                </c:pt>
                <c:pt idx="50">
                  <c:v>44711.667513564818</c:v>
                </c:pt>
                <c:pt idx="51">
                  <c:v>44711.625593391203</c:v>
                </c:pt>
                <c:pt idx="52">
                  <c:v>44711.58444766204</c:v>
                </c:pt>
                <c:pt idx="53">
                  <c:v>44711.54422596065</c:v>
                </c:pt>
                <c:pt idx="54">
                  <c:v>44711.502032893521</c:v>
                </c:pt>
                <c:pt idx="55">
                  <c:v>44711.460498217595</c:v>
                </c:pt>
                <c:pt idx="56">
                  <c:v>44711.419574074076</c:v>
                </c:pt>
                <c:pt idx="57">
                  <c:v>44711.378516087963</c:v>
                </c:pt>
                <c:pt idx="58">
                  <c:v>44711.335019293983</c:v>
                </c:pt>
                <c:pt idx="59">
                  <c:v>44711.292519409719</c:v>
                </c:pt>
                <c:pt idx="60">
                  <c:v>44711.25100207176</c:v>
                </c:pt>
                <c:pt idx="61">
                  <c:v>44711.209144768516</c:v>
                </c:pt>
                <c:pt idx="62">
                  <c:v>44711.168392604166</c:v>
                </c:pt>
                <c:pt idx="63">
                  <c:v>44711.126823541665</c:v>
                </c:pt>
                <c:pt idx="64">
                  <c:v>44711.085680439814</c:v>
                </c:pt>
                <c:pt idx="65">
                  <c:v>44711.043305925923</c:v>
                </c:pt>
                <c:pt idx="66">
                  <c:v>44711.00258763889</c:v>
                </c:pt>
                <c:pt idx="67">
                  <c:v>44710.958720266201</c:v>
                </c:pt>
                <c:pt idx="68">
                  <c:v>44710.917072719909</c:v>
                </c:pt>
                <c:pt idx="69">
                  <c:v>44710.875985254628</c:v>
                </c:pt>
                <c:pt idx="70">
                  <c:v>44710.834938414351</c:v>
                </c:pt>
                <c:pt idx="71">
                  <c:v>44710.794689050927</c:v>
                </c:pt>
                <c:pt idx="72">
                  <c:v>44710.750652349539</c:v>
                </c:pt>
                <c:pt idx="73">
                  <c:v>44710.710095659721</c:v>
                </c:pt>
                <c:pt idx="74">
                  <c:v>44710.66855736111</c:v>
                </c:pt>
                <c:pt idx="75">
                  <c:v>44710.626899675925</c:v>
                </c:pt>
                <c:pt idx="76">
                  <c:v>44710.584955636572</c:v>
                </c:pt>
                <c:pt idx="77">
                  <c:v>44710.542140543985</c:v>
                </c:pt>
                <c:pt idx="78">
                  <c:v>44710.500337013887</c:v>
                </c:pt>
                <c:pt idx="79">
                  <c:v>44710.460543854169</c:v>
                </c:pt>
                <c:pt idx="80">
                  <c:v>44710.417141874997</c:v>
                </c:pt>
                <c:pt idx="81">
                  <c:v>44710.376426168979</c:v>
                </c:pt>
                <c:pt idx="82">
                  <c:v>44710.334313946762</c:v>
                </c:pt>
                <c:pt idx="83">
                  <c:v>44710.294285706019</c:v>
                </c:pt>
                <c:pt idx="84">
                  <c:v>44710.25095159722</c:v>
                </c:pt>
                <c:pt idx="85">
                  <c:v>44710.2094300463</c:v>
                </c:pt>
                <c:pt idx="86">
                  <c:v>44710.166782256943</c:v>
                </c:pt>
                <c:pt idx="87">
                  <c:v>44710.126497349534</c:v>
                </c:pt>
                <c:pt idx="88">
                  <c:v>44710.083924583334</c:v>
                </c:pt>
                <c:pt idx="89">
                  <c:v>44710.047424548611</c:v>
                </c:pt>
                <c:pt idx="90">
                  <c:v>44710.001210335649</c:v>
                </c:pt>
                <c:pt idx="91">
                  <c:v>44709.960327997687</c:v>
                </c:pt>
                <c:pt idx="92">
                  <c:v>44709.918714131942</c:v>
                </c:pt>
                <c:pt idx="93">
                  <c:v>44709.875583356479</c:v>
                </c:pt>
                <c:pt idx="94">
                  <c:v>44709.835246516202</c:v>
                </c:pt>
                <c:pt idx="95">
                  <c:v>44709.792750624998</c:v>
                </c:pt>
                <c:pt idx="96">
                  <c:v>44709.752531516206</c:v>
                </c:pt>
                <c:pt idx="97">
                  <c:v>44709.710525659721</c:v>
                </c:pt>
                <c:pt idx="98">
                  <c:v>44709.667585694442</c:v>
                </c:pt>
                <c:pt idx="99">
                  <c:v>44709.626843634258</c:v>
                </c:pt>
                <c:pt idx="100">
                  <c:v>44709.585927766202</c:v>
                </c:pt>
                <c:pt idx="101">
                  <c:v>44709.541945497687</c:v>
                </c:pt>
                <c:pt idx="102">
                  <c:v>44709.501135069448</c:v>
                </c:pt>
                <c:pt idx="103">
                  <c:v>44709.460050671296</c:v>
                </c:pt>
                <c:pt idx="104">
                  <c:v>44709.417074999998</c:v>
                </c:pt>
                <c:pt idx="105">
                  <c:v>44709.377482071759</c:v>
                </c:pt>
                <c:pt idx="106">
                  <c:v>44709.334706307869</c:v>
                </c:pt>
                <c:pt idx="107">
                  <c:v>44709.292821909723</c:v>
                </c:pt>
                <c:pt idx="108">
                  <c:v>44709.251242754632</c:v>
                </c:pt>
                <c:pt idx="109">
                  <c:v>44709.209182280094</c:v>
                </c:pt>
                <c:pt idx="110">
                  <c:v>44709.16796111111</c:v>
                </c:pt>
                <c:pt idx="111">
                  <c:v>44709.125441377313</c:v>
                </c:pt>
                <c:pt idx="112">
                  <c:v>44709.084990462965</c:v>
                </c:pt>
                <c:pt idx="113">
                  <c:v>44709.04521546296</c:v>
                </c:pt>
                <c:pt idx="114">
                  <c:v>44709.00152056713</c:v>
                </c:pt>
                <c:pt idx="115">
                  <c:v>44708.959050983794</c:v>
                </c:pt>
                <c:pt idx="116">
                  <c:v>44708.91724696759</c:v>
                </c:pt>
                <c:pt idx="117">
                  <c:v>44708.87613034722</c:v>
                </c:pt>
                <c:pt idx="118">
                  <c:v>44708.835478020832</c:v>
                </c:pt>
                <c:pt idx="119">
                  <c:v>44708.79364585648</c:v>
                </c:pt>
                <c:pt idx="120">
                  <c:v>44708.750676631942</c:v>
                </c:pt>
              </c:numCache>
            </c:numRef>
          </c:cat>
          <c:val>
            <c:numRef>
              <c:f>'Hist prices'!$O$10:$O$130</c:f>
              <c:numCache>
                <c:formatCode>0.00%</c:formatCode>
                <c:ptCount val="121"/>
                <c:pt idx="0">
                  <c:v>0.11755301765101137</c:v>
                </c:pt>
                <c:pt idx="1">
                  <c:v>0.11666370376958052</c:v>
                </c:pt>
                <c:pt idx="2">
                  <c:v>0.12497292581747961</c:v>
                </c:pt>
                <c:pt idx="3">
                  <c:v>0.13913394608283086</c:v>
                </c:pt>
                <c:pt idx="4">
                  <c:v>0.18276070063963928</c:v>
                </c:pt>
                <c:pt idx="5">
                  <c:v>0.1691326174621374</c:v>
                </c:pt>
                <c:pt idx="6">
                  <c:v>0.15599590704428709</c:v>
                </c:pt>
                <c:pt idx="7">
                  <c:v>0.16128318275394557</c:v>
                </c:pt>
                <c:pt idx="8">
                  <c:v>0.16183753332142145</c:v>
                </c:pt>
                <c:pt idx="9">
                  <c:v>0.16001712494767981</c:v>
                </c:pt>
                <c:pt idx="10">
                  <c:v>0.1567099789341484</c:v>
                </c:pt>
                <c:pt idx="11">
                  <c:v>0.16130381496674115</c:v>
                </c:pt>
                <c:pt idx="12">
                  <c:v>0.15371796071238084</c:v>
                </c:pt>
                <c:pt idx="13">
                  <c:v>0.1588100912665277</c:v>
                </c:pt>
                <c:pt idx="14">
                  <c:v>0.16205625892873407</c:v>
                </c:pt>
                <c:pt idx="15">
                  <c:v>0.16914853460593196</c:v>
                </c:pt>
                <c:pt idx="16">
                  <c:v>0.18581522558228714</c:v>
                </c:pt>
                <c:pt idx="17">
                  <c:v>0.20741794933359289</c:v>
                </c:pt>
                <c:pt idx="18">
                  <c:v>0.17843847424830461</c:v>
                </c:pt>
                <c:pt idx="19">
                  <c:v>0.18945374060578349</c:v>
                </c:pt>
                <c:pt idx="20">
                  <c:v>0.16864967285990889</c:v>
                </c:pt>
                <c:pt idx="21">
                  <c:v>0.16053256490184936</c:v>
                </c:pt>
                <c:pt idx="22">
                  <c:v>0.13906614753878083</c:v>
                </c:pt>
                <c:pt idx="23">
                  <c:v>0.1389069118965566</c:v>
                </c:pt>
                <c:pt idx="24">
                  <c:v>0.13788243392126059</c:v>
                </c:pt>
                <c:pt idx="25">
                  <c:v>0.14287391773354496</c:v>
                </c:pt>
                <c:pt idx="26">
                  <c:v>0.14246570265273131</c:v>
                </c:pt>
                <c:pt idx="27">
                  <c:v>0.1317617193162412</c:v>
                </c:pt>
                <c:pt idx="28">
                  <c:v>0.12190270010564416</c:v>
                </c:pt>
                <c:pt idx="29">
                  <c:v>0.13304379622873494</c:v>
                </c:pt>
                <c:pt idx="30">
                  <c:v>0.15465326516803288</c:v>
                </c:pt>
                <c:pt idx="31">
                  <c:v>0.1513543796064972</c:v>
                </c:pt>
                <c:pt idx="32">
                  <c:v>0.15088229241843049</c:v>
                </c:pt>
                <c:pt idx="33">
                  <c:v>0.16212740266040368</c:v>
                </c:pt>
                <c:pt idx="34">
                  <c:v>0.14838076168598929</c:v>
                </c:pt>
                <c:pt idx="35">
                  <c:v>0.1422094508756451</c:v>
                </c:pt>
                <c:pt idx="36">
                  <c:v>0.15361857437889259</c:v>
                </c:pt>
                <c:pt idx="37">
                  <c:v>0.14748174620804227</c:v>
                </c:pt>
                <c:pt idx="38">
                  <c:v>0.14973109798616249</c:v>
                </c:pt>
                <c:pt idx="39">
                  <c:v>0.1388313820338781</c:v>
                </c:pt>
                <c:pt idx="40">
                  <c:v>0.13114386932353089</c:v>
                </c:pt>
                <c:pt idx="41">
                  <c:v>0.14024799303363414</c:v>
                </c:pt>
                <c:pt idx="42">
                  <c:v>0.13488980033408515</c:v>
                </c:pt>
                <c:pt idx="43">
                  <c:v>0.13230434909887029</c:v>
                </c:pt>
                <c:pt idx="44">
                  <c:v>0.13167815803634922</c:v>
                </c:pt>
                <c:pt idx="45">
                  <c:v>0.10817285251678069</c:v>
                </c:pt>
                <c:pt idx="46">
                  <c:v>9.7195041535855384E-2</c:v>
                </c:pt>
                <c:pt idx="47">
                  <c:v>9.8857065516524012E-2</c:v>
                </c:pt>
                <c:pt idx="48">
                  <c:v>9.9995354578193418E-2</c:v>
                </c:pt>
                <c:pt idx="49">
                  <c:v>9.702476280450037E-2</c:v>
                </c:pt>
                <c:pt idx="50">
                  <c:v>9.2349795842181975E-2</c:v>
                </c:pt>
                <c:pt idx="51">
                  <c:v>8.76117913556404E-2</c:v>
                </c:pt>
                <c:pt idx="52">
                  <c:v>8.4983107953990653E-2</c:v>
                </c:pt>
                <c:pt idx="53">
                  <c:v>8.2474830362866763E-2</c:v>
                </c:pt>
                <c:pt idx="54">
                  <c:v>9.37859522637738E-2</c:v>
                </c:pt>
                <c:pt idx="55">
                  <c:v>8.8138269761412674E-2</c:v>
                </c:pt>
                <c:pt idx="56">
                  <c:v>9.5861892577146002E-2</c:v>
                </c:pt>
                <c:pt idx="57">
                  <c:v>0.10073203781844049</c:v>
                </c:pt>
                <c:pt idx="58">
                  <c:v>9.8525715102804154E-2</c:v>
                </c:pt>
                <c:pt idx="59">
                  <c:v>9.7899503966725671E-2</c:v>
                </c:pt>
                <c:pt idx="60">
                  <c:v>8.7140356998128915E-2</c:v>
                </c:pt>
                <c:pt idx="61">
                  <c:v>8.2271652837025824E-2</c:v>
                </c:pt>
                <c:pt idx="62">
                  <c:v>8.5258170623281782E-2</c:v>
                </c:pt>
                <c:pt idx="63">
                  <c:v>9.6045267975573737E-2</c:v>
                </c:pt>
                <c:pt idx="64">
                  <c:v>8.6175182531699673E-2</c:v>
                </c:pt>
                <c:pt idx="65">
                  <c:v>7.142890768689121E-2</c:v>
                </c:pt>
                <c:pt idx="66">
                  <c:v>7.5533203437335661E-2</c:v>
                </c:pt>
                <c:pt idx="67">
                  <c:v>7.1591455265879067E-2</c:v>
                </c:pt>
                <c:pt idx="68">
                  <c:v>6.4315095069490791E-2</c:v>
                </c:pt>
                <c:pt idx="69">
                  <c:v>6.3784037921084474E-2</c:v>
                </c:pt>
                <c:pt idx="70">
                  <c:v>6.0667533100517805E-2</c:v>
                </c:pt>
                <c:pt idx="71">
                  <c:v>6.3712159556668965E-2</c:v>
                </c:pt>
                <c:pt idx="72">
                  <c:v>5.4829765514223236E-2</c:v>
                </c:pt>
                <c:pt idx="73">
                  <c:v>5.1596297593008995E-2</c:v>
                </c:pt>
                <c:pt idx="74">
                  <c:v>4.8720556404651338E-2</c:v>
                </c:pt>
                <c:pt idx="75">
                  <c:v>5.2801169998626073E-2</c:v>
                </c:pt>
                <c:pt idx="76">
                  <c:v>5.1605283553597441E-2</c:v>
                </c:pt>
                <c:pt idx="77">
                  <c:v>5.6258595027531499E-2</c:v>
                </c:pt>
                <c:pt idx="78">
                  <c:v>4.2574405565701648E-2</c:v>
                </c:pt>
                <c:pt idx="79">
                  <c:v>4.1543069148465769E-2</c:v>
                </c:pt>
                <c:pt idx="80">
                  <c:v>3.609428445752217E-2</c:v>
                </c:pt>
                <c:pt idx="81">
                  <c:v>4.4227565994190414E-2</c:v>
                </c:pt>
                <c:pt idx="82">
                  <c:v>3.9750206842414017E-2</c:v>
                </c:pt>
                <c:pt idx="83">
                  <c:v>3.8083531220189724E-2</c:v>
                </c:pt>
                <c:pt idx="84">
                  <c:v>2.8697235859048067E-2</c:v>
                </c:pt>
                <c:pt idx="85">
                  <c:v>2.7755537191534754E-2</c:v>
                </c:pt>
                <c:pt idx="86">
                  <c:v>2.5004158554766166E-2</c:v>
                </c:pt>
                <c:pt idx="87">
                  <c:v>2.185361545156847E-2</c:v>
                </c:pt>
                <c:pt idx="88">
                  <c:v>3.6690712386252801E-2</c:v>
                </c:pt>
                <c:pt idx="89">
                  <c:v>3.8605321745578423E-2</c:v>
                </c:pt>
                <c:pt idx="90">
                  <c:v>3.8381554762118721E-2</c:v>
                </c:pt>
                <c:pt idx="91">
                  <c:v>3.262855778881199E-2</c:v>
                </c:pt>
                <c:pt idx="92">
                  <c:v>3.1790803824248447E-2</c:v>
                </c:pt>
                <c:pt idx="93">
                  <c:v>3.2054743238123698E-2</c:v>
                </c:pt>
                <c:pt idx="94">
                  <c:v>3.8215529447074716E-2</c:v>
                </c:pt>
                <c:pt idx="95">
                  <c:v>3.3846958849829904E-2</c:v>
                </c:pt>
                <c:pt idx="96">
                  <c:v>2.9456547934432455E-2</c:v>
                </c:pt>
                <c:pt idx="97">
                  <c:v>3.0731937827603559E-2</c:v>
                </c:pt>
                <c:pt idx="98">
                  <c:v>3.6493989062025466E-2</c:v>
                </c:pt>
                <c:pt idx="99">
                  <c:v>2.7957381284353603E-2</c:v>
                </c:pt>
                <c:pt idx="100">
                  <c:v>3.317349642466072E-2</c:v>
                </c:pt>
                <c:pt idx="101">
                  <c:v>2.8599276547572747E-2</c:v>
                </c:pt>
                <c:pt idx="102">
                  <c:v>2.3827482681153481E-2</c:v>
                </c:pt>
                <c:pt idx="103">
                  <c:v>2.3593960022804204E-2</c:v>
                </c:pt>
                <c:pt idx="104">
                  <c:v>2.1932309046954823E-2</c:v>
                </c:pt>
                <c:pt idx="105">
                  <c:v>2.1656054639267914E-2</c:v>
                </c:pt>
                <c:pt idx="106">
                  <c:v>2.1940423448522556E-2</c:v>
                </c:pt>
                <c:pt idx="107">
                  <c:v>2.3170124389374904E-2</c:v>
                </c:pt>
                <c:pt idx="108">
                  <c:v>2.4459938019358557E-2</c:v>
                </c:pt>
                <c:pt idx="109">
                  <c:v>2.0560695454185748E-2</c:v>
                </c:pt>
                <c:pt idx="110">
                  <c:v>1.4049325714972048E-2</c:v>
                </c:pt>
                <c:pt idx="111">
                  <c:v>1.0892321318505939E-2</c:v>
                </c:pt>
                <c:pt idx="112">
                  <c:v>1.1784987009921543E-2</c:v>
                </c:pt>
                <c:pt idx="113">
                  <c:v>2.3337297525247887E-2</c:v>
                </c:pt>
                <c:pt idx="114">
                  <c:v>5.6703542947514731E-3</c:v>
                </c:pt>
                <c:pt idx="115">
                  <c:v>1.6243240005283408E-2</c:v>
                </c:pt>
                <c:pt idx="116">
                  <c:v>1.4657138417043667E-2</c:v>
                </c:pt>
                <c:pt idx="117">
                  <c:v>2.1654642464963729E-2</c:v>
                </c:pt>
                <c:pt idx="118">
                  <c:v>1.9650326127272626E-2</c:v>
                </c:pt>
                <c:pt idx="119">
                  <c:v>4.5092926243229317E-3</c:v>
                </c:pt>
                <c:pt idx="1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DC3-4BAC-B992-8FAADE7321FE}"/>
            </c:ext>
          </c:extLst>
        </c:ser>
        <c:ser>
          <c:idx val="8"/>
          <c:order val="8"/>
          <c:tx>
            <c:strRef>
              <c:f>'Hist prices'!$P$9</c:f>
              <c:strCache>
                <c:ptCount val="1"/>
                <c:pt idx="0">
                  <c:v>OKB</c:v>
                </c:pt>
              </c:strCache>
            </c:strRef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OKB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ADC3-4BAC-B992-8FAADE732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'Hist prices'!$G$10:$G$130</c:f>
              <c:numCache>
                <c:formatCode>[$-409]m/d/yy\ h:mm\ AM/PM;@</c:formatCode>
                <c:ptCount val="121"/>
                <c:pt idx="0">
                  <c:v>44713.714884259258</c:v>
                </c:pt>
                <c:pt idx="1">
                  <c:v>44713.710080509256</c:v>
                </c:pt>
                <c:pt idx="2">
                  <c:v>44713.667659004626</c:v>
                </c:pt>
                <c:pt idx="3">
                  <c:v>44713.627241898146</c:v>
                </c:pt>
                <c:pt idx="4">
                  <c:v>44713.584309560189</c:v>
                </c:pt>
                <c:pt idx="5">
                  <c:v>44713.543640219905</c:v>
                </c:pt>
                <c:pt idx="6">
                  <c:v>44713.50164253472</c:v>
                </c:pt>
                <c:pt idx="7">
                  <c:v>44713.459885127311</c:v>
                </c:pt>
                <c:pt idx="8">
                  <c:v>44713.41726681713</c:v>
                </c:pt>
                <c:pt idx="9">
                  <c:v>44713.38033295139</c:v>
                </c:pt>
                <c:pt idx="10">
                  <c:v>44713.333608171299</c:v>
                </c:pt>
                <c:pt idx="11">
                  <c:v>44713.293959178241</c:v>
                </c:pt>
                <c:pt idx="12">
                  <c:v>44713.251158935185</c:v>
                </c:pt>
                <c:pt idx="13">
                  <c:v>44713.21036287037</c:v>
                </c:pt>
                <c:pt idx="14">
                  <c:v>44713.167989409725</c:v>
                </c:pt>
                <c:pt idx="15">
                  <c:v>44713.1257974537</c:v>
                </c:pt>
                <c:pt idx="16">
                  <c:v>44713.08455013889</c:v>
                </c:pt>
                <c:pt idx="17">
                  <c:v>44713.043044745369</c:v>
                </c:pt>
                <c:pt idx="18">
                  <c:v>44713.001626377314</c:v>
                </c:pt>
                <c:pt idx="19">
                  <c:v>44712.959451261573</c:v>
                </c:pt>
                <c:pt idx="20">
                  <c:v>44712.918911550929</c:v>
                </c:pt>
                <c:pt idx="21">
                  <c:v>44712.877353634256</c:v>
                </c:pt>
                <c:pt idx="22">
                  <c:v>44712.83363940972</c:v>
                </c:pt>
                <c:pt idx="23">
                  <c:v>44712.792568252313</c:v>
                </c:pt>
                <c:pt idx="24">
                  <c:v>44712.752508124999</c:v>
                </c:pt>
                <c:pt idx="25">
                  <c:v>44712.710225000003</c:v>
                </c:pt>
                <c:pt idx="26">
                  <c:v>44712.668994120373</c:v>
                </c:pt>
                <c:pt idx="27">
                  <c:v>44712.626174305558</c:v>
                </c:pt>
                <c:pt idx="28">
                  <c:v>44712.584559641204</c:v>
                </c:pt>
                <c:pt idx="29">
                  <c:v>44712.542923483794</c:v>
                </c:pt>
                <c:pt idx="30">
                  <c:v>44712.502526469907</c:v>
                </c:pt>
                <c:pt idx="31">
                  <c:v>44712.460236412036</c:v>
                </c:pt>
                <c:pt idx="32">
                  <c:v>44712.41858759259</c:v>
                </c:pt>
                <c:pt idx="33">
                  <c:v>44712.376310694446</c:v>
                </c:pt>
                <c:pt idx="34">
                  <c:v>44712.33524148148</c:v>
                </c:pt>
                <c:pt idx="35">
                  <c:v>44712.292517291666</c:v>
                </c:pt>
                <c:pt idx="36">
                  <c:v>44712.251281863428</c:v>
                </c:pt>
                <c:pt idx="37">
                  <c:v>44712.210052986113</c:v>
                </c:pt>
                <c:pt idx="38">
                  <c:v>44712.168390312501</c:v>
                </c:pt>
                <c:pt idx="39">
                  <c:v>44712.126698657405</c:v>
                </c:pt>
                <c:pt idx="40">
                  <c:v>44712.085551643519</c:v>
                </c:pt>
                <c:pt idx="41">
                  <c:v>44712.045020439815</c:v>
                </c:pt>
                <c:pt idx="42">
                  <c:v>44712.002025208334</c:v>
                </c:pt>
                <c:pt idx="43">
                  <c:v>44711.959506840278</c:v>
                </c:pt>
                <c:pt idx="44">
                  <c:v>44711.917002164351</c:v>
                </c:pt>
                <c:pt idx="45">
                  <c:v>44711.876116053238</c:v>
                </c:pt>
                <c:pt idx="46">
                  <c:v>44711.834584131946</c:v>
                </c:pt>
                <c:pt idx="47">
                  <c:v>44711.79444528935</c:v>
                </c:pt>
                <c:pt idx="48">
                  <c:v>44711.751887465274</c:v>
                </c:pt>
                <c:pt idx="49">
                  <c:v>44711.709744375003</c:v>
                </c:pt>
                <c:pt idx="50">
                  <c:v>44711.667513564818</c:v>
                </c:pt>
                <c:pt idx="51">
                  <c:v>44711.625593391203</c:v>
                </c:pt>
                <c:pt idx="52">
                  <c:v>44711.58444766204</c:v>
                </c:pt>
                <c:pt idx="53">
                  <c:v>44711.54422596065</c:v>
                </c:pt>
                <c:pt idx="54">
                  <c:v>44711.502032893521</c:v>
                </c:pt>
                <c:pt idx="55">
                  <c:v>44711.460498217595</c:v>
                </c:pt>
                <c:pt idx="56">
                  <c:v>44711.419574074076</c:v>
                </c:pt>
                <c:pt idx="57">
                  <c:v>44711.378516087963</c:v>
                </c:pt>
                <c:pt idx="58">
                  <c:v>44711.335019293983</c:v>
                </c:pt>
                <c:pt idx="59">
                  <c:v>44711.292519409719</c:v>
                </c:pt>
                <c:pt idx="60">
                  <c:v>44711.25100207176</c:v>
                </c:pt>
                <c:pt idx="61">
                  <c:v>44711.209144768516</c:v>
                </c:pt>
                <c:pt idx="62">
                  <c:v>44711.168392604166</c:v>
                </c:pt>
                <c:pt idx="63">
                  <c:v>44711.126823541665</c:v>
                </c:pt>
                <c:pt idx="64">
                  <c:v>44711.085680439814</c:v>
                </c:pt>
                <c:pt idx="65">
                  <c:v>44711.043305925923</c:v>
                </c:pt>
                <c:pt idx="66">
                  <c:v>44711.00258763889</c:v>
                </c:pt>
                <c:pt idx="67">
                  <c:v>44710.958720266201</c:v>
                </c:pt>
                <c:pt idx="68">
                  <c:v>44710.917072719909</c:v>
                </c:pt>
                <c:pt idx="69">
                  <c:v>44710.875985254628</c:v>
                </c:pt>
                <c:pt idx="70">
                  <c:v>44710.834938414351</c:v>
                </c:pt>
                <c:pt idx="71">
                  <c:v>44710.794689050927</c:v>
                </c:pt>
                <c:pt idx="72">
                  <c:v>44710.750652349539</c:v>
                </c:pt>
                <c:pt idx="73">
                  <c:v>44710.710095659721</c:v>
                </c:pt>
                <c:pt idx="74">
                  <c:v>44710.66855736111</c:v>
                </c:pt>
                <c:pt idx="75">
                  <c:v>44710.626899675925</c:v>
                </c:pt>
                <c:pt idx="76">
                  <c:v>44710.584955636572</c:v>
                </c:pt>
                <c:pt idx="77">
                  <c:v>44710.542140543985</c:v>
                </c:pt>
                <c:pt idx="78">
                  <c:v>44710.500337013887</c:v>
                </c:pt>
                <c:pt idx="79">
                  <c:v>44710.460543854169</c:v>
                </c:pt>
                <c:pt idx="80">
                  <c:v>44710.417141874997</c:v>
                </c:pt>
                <c:pt idx="81">
                  <c:v>44710.376426168979</c:v>
                </c:pt>
                <c:pt idx="82">
                  <c:v>44710.334313946762</c:v>
                </c:pt>
                <c:pt idx="83">
                  <c:v>44710.294285706019</c:v>
                </c:pt>
                <c:pt idx="84">
                  <c:v>44710.25095159722</c:v>
                </c:pt>
                <c:pt idx="85">
                  <c:v>44710.2094300463</c:v>
                </c:pt>
                <c:pt idx="86">
                  <c:v>44710.166782256943</c:v>
                </c:pt>
                <c:pt idx="87">
                  <c:v>44710.126497349534</c:v>
                </c:pt>
                <c:pt idx="88">
                  <c:v>44710.083924583334</c:v>
                </c:pt>
                <c:pt idx="89">
                  <c:v>44710.047424548611</c:v>
                </c:pt>
                <c:pt idx="90">
                  <c:v>44710.001210335649</c:v>
                </c:pt>
                <c:pt idx="91">
                  <c:v>44709.960327997687</c:v>
                </c:pt>
                <c:pt idx="92">
                  <c:v>44709.918714131942</c:v>
                </c:pt>
                <c:pt idx="93">
                  <c:v>44709.875583356479</c:v>
                </c:pt>
                <c:pt idx="94">
                  <c:v>44709.835246516202</c:v>
                </c:pt>
                <c:pt idx="95">
                  <c:v>44709.792750624998</c:v>
                </c:pt>
                <c:pt idx="96">
                  <c:v>44709.752531516206</c:v>
                </c:pt>
                <c:pt idx="97">
                  <c:v>44709.710525659721</c:v>
                </c:pt>
                <c:pt idx="98">
                  <c:v>44709.667585694442</c:v>
                </c:pt>
                <c:pt idx="99">
                  <c:v>44709.626843634258</c:v>
                </c:pt>
                <c:pt idx="100">
                  <c:v>44709.585927766202</c:v>
                </c:pt>
                <c:pt idx="101">
                  <c:v>44709.541945497687</c:v>
                </c:pt>
                <c:pt idx="102">
                  <c:v>44709.501135069448</c:v>
                </c:pt>
                <c:pt idx="103">
                  <c:v>44709.460050671296</c:v>
                </c:pt>
                <c:pt idx="104">
                  <c:v>44709.417074999998</c:v>
                </c:pt>
                <c:pt idx="105">
                  <c:v>44709.377482071759</c:v>
                </c:pt>
                <c:pt idx="106">
                  <c:v>44709.334706307869</c:v>
                </c:pt>
                <c:pt idx="107">
                  <c:v>44709.292821909723</c:v>
                </c:pt>
                <c:pt idx="108">
                  <c:v>44709.251242754632</c:v>
                </c:pt>
                <c:pt idx="109">
                  <c:v>44709.209182280094</c:v>
                </c:pt>
                <c:pt idx="110">
                  <c:v>44709.16796111111</c:v>
                </c:pt>
                <c:pt idx="111">
                  <c:v>44709.125441377313</c:v>
                </c:pt>
                <c:pt idx="112">
                  <c:v>44709.084990462965</c:v>
                </c:pt>
                <c:pt idx="113">
                  <c:v>44709.04521546296</c:v>
                </c:pt>
                <c:pt idx="114">
                  <c:v>44709.00152056713</c:v>
                </c:pt>
                <c:pt idx="115">
                  <c:v>44708.959050983794</c:v>
                </c:pt>
                <c:pt idx="116">
                  <c:v>44708.91724696759</c:v>
                </c:pt>
                <c:pt idx="117">
                  <c:v>44708.87613034722</c:v>
                </c:pt>
                <c:pt idx="118">
                  <c:v>44708.835478020832</c:v>
                </c:pt>
                <c:pt idx="119">
                  <c:v>44708.79364585648</c:v>
                </c:pt>
                <c:pt idx="120">
                  <c:v>44708.750676631942</c:v>
                </c:pt>
              </c:numCache>
            </c:numRef>
          </c:cat>
          <c:val>
            <c:numRef>
              <c:f>'Hist prices'!$P$10:$P$130</c:f>
              <c:numCache>
                <c:formatCode>0.00%</c:formatCode>
                <c:ptCount val="121"/>
                <c:pt idx="0">
                  <c:v>2.5935124533190603E-2</c:v>
                </c:pt>
                <c:pt idx="1">
                  <c:v>2.4449829425453765E-2</c:v>
                </c:pt>
                <c:pt idx="2">
                  <c:v>3.9202504350805328E-2</c:v>
                </c:pt>
                <c:pt idx="3">
                  <c:v>5.7799084906444038E-2</c:v>
                </c:pt>
                <c:pt idx="4">
                  <c:v>7.3439073441129293E-2</c:v>
                </c:pt>
                <c:pt idx="5">
                  <c:v>6.6551562499043745E-2</c:v>
                </c:pt>
                <c:pt idx="6">
                  <c:v>5.4172526338525068E-2</c:v>
                </c:pt>
                <c:pt idx="7">
                  <c:v>6.0960374825407233E-2</c:v>
                </c:pt>
                <c:pt idx="8">
                  <c:v>6.435190747256439E-2</c:v>
                </c:pt>
                <c:pt idx="9">
                  <c:v>6.4455273622420581E-2</c:v>
                </c:pt>
                <c:pt idx="10">
                  <c:v>6.696203472622328E-2</c:v>
                </c:pt>
                <c:pt idx="11">
                  <c:v>6.9604889655596733E-2</c:v>
                </c:pt>
                <c:pt idx="12">
                  <c:v>6.8691221078359468E-2</c:v>
                </c:pt>
                <c:pt idx="13">
                  <c:v>6.9510042873439717E-2</c:v>
                </c:pt>
                <c:pt idx="14">
                  <c:v>6.8740609825508503E-2</c:v>
                </c:pt>
                <c:pt idx="15">
                  <c:v>7.6092736945209113E-2</c:v>
                </c:pt>
                <c:pt idx="16">
                  <c:v>8.8549855546645184E-2</c:v>
                </c:pt>
                <c:pt idx="17">
                  <c:v>9.1662887772537227E-2</c:v>
                </c:pt>
                <c:pt idx="18">
                  <c:v>7.3007633308066269E-2</c:v>
                </c:pt>
                <c:pt idx="19">
                  <c:v>7.6008684736184426E-2</c:v>
                </c:pt>
                <c:pt idx="20">
                  <c:v>6.4705997788577635E-2</c:v>
                </c:pt>
                <c:pt idx="21">
                  <c:v>6.47480522577326E-2</c:v>
                </c:pt>
                <c:pt idx="22">
                  <c:v>6.1899116065297591E-2</c:v>
                </c:pt>
                <c:pt idx="23">
                  <c:v>6.0317767228303364E-2</c:v>
                </c:pt>
                <c:pt idx="24">
                  <c:v>7.53879946000999E-2</c:v>
                </c:pt>
                <c:pt idx="25">
                  <c:v>7.9112290331298935E-2</c:v>
                </c:pt>
                <c:pt idx="26">
                  <c:v>7.2345992728861983E-2</c:v>
                </c:pt>
                <c:pt idx="27">
                  <c:v>6.2737718196996639E-2</c:v>
                </c:pt>
                <c:pt idx="28">
                  <c:v>5.2882961026829094E-2</c:v>
                </c:pt>
                <c:pt idx="29">
                  <c:v>6.1712083921055053E-2</c:v>
                </c:pt>
                <c:pt idx="30">
                  <c:v>7.1886905169388393E-2</c:v>
                </c:pt>
                <c:pt idx="31">
                  <c:v>6.9427614252431477E-2</c:v>
                </c:pt>
                <c:pt idx="32">
                  <c:v>6.7389207127836498E-2</c:v>
                </c:pt>
                <c:pt idx="33">
                  <c:v>7.7975181697760576E-2</c:v>
                </c:pt>
                <c:pt idx="34">
                  <c:v>7.1538293839947947E-2</c:v>
                </c:pt>
                <c:pt idx="35">
                  <c:v>6.9983025553161965E-2</c:v>
                </c:pt>
                <c:pt idx="36">
                  <c:v>8.0989244474807695E-2</c:v>
                </c:pt>
                <c:pt idx="37">
                  <c:v>8.1930388957292113E-2</c:v>
                </c:pt>
                <c:pt idx="38">
                  <c:v>8.5858682722396953E-2</c:v>
                </c:pt>
                <c:pt idx="39">
                  <c:v>8.1074575614725627E-2</c:v>
                </c:pt>
                <c:pt idx="40">
                  <c:v>7.8448013967845912E-2</c:v>
                </c:pt>
                <c:pt idx="41">
                  <c:v>8.0422341036997635E-2</c:v>
                </c:pt>
                <c:pt idx="42">
                  <c:v>8.915689769843177E-2</c:v>
                </c:pt>
                <c:pt idx="43">
                  <c:v>8.9936062679052339E-2</c:v>
                </c:pt>
                <c:pt idx="44">
                  <c:v>8.5288052522140126E-2</c:v>
                </c:pt>
                <c:pt idx="45">
                  <c:v>7.0859223820667352E-2</c:v>
                </c:pt>
                <c:pt idx="46">
                  <c:v>5.8137254970811514E-2</c:v>
                </c:pt>
                <c:pt idx="47">
                  <c:v>5.5741179909091797E-2</c:v>
                </c:pt>
                <c:pt idx="48">
                  <c:v>5.7200283387792678E-2</c:v>
                </c:pt>
                <c:pt idx="49">
                  <c:v>5.9132614231906369E-2</c:v>
                </c:pt>
                <c:pt idx="50">
                  <c:v>5.5936671547791084E-2</c:v>
                </c:pt>
                <c:pt idx="51">
                  <c:v>4.9945827079005883E-2</c:v>
                </c:pt>
                <c:pt idx="52">
                  <c:v>4.9021844729493398E-2</c:v>
                </c:pt>
                <c:pt idx="53">
                  <c:v>4.8693278530677349E-2</c:v>
                </c:pt>
                <c:pt idx="54">
                  <c:v>5.257901305446358E-2</c:v>
                </c:pt>
                <c:pt idx="55">
                  <c:v>4.9694359412666513E-2</c:v>
                </c:pt>
                <c:pt idx="56">
                  <c:v>5.3672869266829654E-2</c:v>
                </c:pt>
                <c:pt idx="57">
                  <c:v>6.0100026791745205E-2</c:v>
                </c:pt>
                <c:pt idx="58">
                  <c:v>5.8753396449809543E-2</c:v>
                </c:pt>
                <c:pt idx="59">
                  <c:v>5.8212709232419606E-2</c:v>
                </c:pt>
                <c:pt idx="60">
                  <c:v>4.9712705853090698E-2</c:v>
                </c:pt>
                <c:pt idx="61">
                  <c:v>4.4634162262528546E-2</c:v>
                </c:pt>
                <c:pt idx="62">
                  <c:v>5.5402496557801308E-2</c:v>
                </c:pt>
                <c:pt idx="63">
                  <c:v>5.2221355839184663E-2</c:v>
                </c:pt>
                <c:pt idx="64">
                  <c:v>4.848204996302382E-2</c:v>
                </c:pt>
                <c:pt idx="65">
                  <c:v>2.0408283479684958E-2</c:v>
                </c:pt>
                <c:pt idx="66">
                  <c:v>2.5070257335380267E-2</c:v>
                </c:pt>
                <c:pt idx="67">
                  <c:v>2.2259343888079264E-2</c:v>
                </c:pt>
                <c:pt idx="68">
                  <c:v>1.7218043192695483E-2</c:v>
                </c:pt>
                <c:pt idx="69">
                  <c:v>1.5355790462208984E-2</c:v>
                </c:pt>
                <c:pt idx="70">
                  <c:v>9.4315967827507292E-3</c:v>
                </c:pt>
                <c:pt idx="71">
                  <c:v>1.0261879304845001E-2</c:v>
                </c:pt>
                <c:pt idx="72">
                  <c:v>1.2872040938954204E-2</c:v>
                </c:pt>
                <c:pt idx="73">
                  <c:v>1.3737606050410958E-2</c:v>
                </c:pt>
                <c:pt idx="74">
                  <c:v>9.7018013385643479E-3</c:v>
                </c:pt>
                <c:pt idx="75">
                  <c:v>1.8510461510598143E-2</c:v>
                </c:pt>
                <c:pt idx="76">
                  <c:v>1.7764266247263003E-2</c:v>
                </c:pt>
                <c:pt idx="77">
                  <c:v>1.9815387991759463E-2</c:v>
                </c:pt>
                <c:pt idx="78">
                  <c:v>1.0429404575630203E-2</c:v>
                </c:pt>
                <c:pt idx="79">
                  <c:v>6.5182607339826833E-3</c:v>
                </c:pt>
                <c:pt idx="80">
                  <c:v>7.4962754939876498E-4</c:v>
                </c:pt>
                <c:pt idx="81">
                  <c:v>5.582995147710333E-3</c:v>
                </c:pt>
                <c:pt idx="82">
                  <c:v>1.0369157050313701E-3</c:v>
                </c:pt>
                <c:pt idx="83">
                  <c:v>5.0462793593527688E-3</c:v>
                </c:pt>
                <c:pt idx="84">
                  <c:v>5.869424405619157E-3</c:v>
                </c:pt>
                <c:pt idx="85">
                  <c:v>-2.0158887325121581E-3</c:v>
                </c:pt>
                <c:pt idx="86">
                  <c:v>1.8148333986329952E-3</c:v>
                </c:pt>
                <c:pt idx="87">
                  <c:v>-4.4778819843895095E-3</c:v>
                </c:pt>
                <c:pt idx="88">
                  <c:v>-1.4884133419155777E-3</c:v>
                </c:pt>
                <c:pt idx="89">
                  <c:v>9.94515164909026E-3</c:v>
                </c:pt>
                <c:pt idx="90">
                  <c:v>1.0753118722655016E-2</c:v>
                </c:pt>
                <c:pt idx="91">
                  <c:v>7.473583575436241E-3</c:v>
                </c:pt>
                <c:pt idx="92">
                  <c:v>9.5212958631043128E-3</c:v>
                </c:pt>
                <c:pt idx="93">
                  <c:v>1.2078311781251934E-2</c:v>
                </c:pt>
                <c:pt idx="94">
                  <c:v>1.3635114539332169E-2</c:v>
                </c:pt>
                <c:pt idx="95">
                  <c:v>1.2719622376957201E-2</c:v>
                </c:pt>
                <c:pt idx="96">
                  <c:v>6.8439886431180775E-3</c:v>
                </c:pt>
                <c:pt idx="97">
                  <c:v>9.6752419221817626E-3</c:v>
                </c:pt>
                <c:pt idx="98">
                  <c:v>1.4793114580151812E-2</c:v>
                </c:pt>
                <c:pt idx="99">
                  <c:v>1.3322760589669878E-2</c:v>
                </c:pt>
                <c:pt idx="100">
                  <c:v>2.0405622638449097E-2</c:v>
                </c:pt>
                <c:pt idx="101">
                  <c:v>1.5202213628578288E-2</c:v>
                </c:pt>
                <c:pt idx="102">
                  <c:v>7.5298489147690899E-3</c:v>
                </c:pt>
                <c:pt idx="103">
                  <c:v>4.43214393533874E-3</c:v>
                </c:pt>
                <c:pt idx="104">
                  <c:v>7.8737855368861218E-3</c:v>
                </c:pt>
                <c:pt idx="105">
                  <c:v>7.6799476874971316E-3</c:v>
                </c:pt>
                <c:pt idx="106">
                  <c:v>8.144636954991567E-3</c:v>
                </c:pt>
                <c:pt idx="107">
                  <c:v>1.251249458101274E-2</c:v>
                </c:pt>
                <c:pt idx="108">
                  <c:v>8.3933831237943644E-3</c:v>
                </c:pt>
                <c:pt idx="109">
                  <c:v>8.8641152455091396E-3</c:v>
                </c:pt>
                <c:pt idx="110">
                  <c:v>3.8079307166730405E-3</c:v>
                </c:pt>
                <c:pt idx="111">
                  <c:v>-8.0062929089161679E-3</c:v>
                </c:pt>
                <c:pt idx="112">
                  <c:v>-6.9325851549926357E-3</c:v>
                </c:pt>
                <c:pt idx="113">
                  <c:v>1.9071984161323811E-4</c:v>
                </c:pt>
                <c:pt idx="114">
                  <c:v>-1.5897236678492733E-2</c:v>
                </c:pt>
                <c:pt idx="115">
                  <c:v>-5.2854670214625768E-3</c:v>
                </c:pt>
                <c:pt idx="116">
                  <c:v>-1.3627684279462857E-2</c:v>
                </c:pt>
                <c:pt idx="117">
                  <c:v>-1.4646817625340845E-2</c:v>
                </c:pt>
                <c:pt idx="118">
                  <c:v>-2.0427728518718529E-2</c:v>
                </c:pt>
                <c:pt idx="119">
                  <c:v>-1.7752972718733995E-2</c:v>
                </c:pt>
                <c:pt idx="1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DC3-4BAC-B992-8FAADE7321FE}"/>
            </c:ext>
          </c:extLst>
        </c:ser>
        <c:ser>
          <c:idx val="9"/>
          <c:order val="9"/>
          <c:tx>
            <c:strRef>
              <c:f>'Hist prices'!$Q$9</c:f>
              <c:strCache>
                <c:ptCount val="1"/>
                <c:pt idx="0">
                  <c:v>XMR</c:v>
                </c:pt>
              </c:strCache>
            </c:strRef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XMR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ADC3-4BAC-B992-8FAADE732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'Hist prices'!$G$10:$G$130</c:f>
              <c:numCache>
                <c:formatCode>[$-409]m/d/yy\ h:mm\ AM/PM;@</c:formatCode>
                <c:ptCount val="121"/>
                <c:pt idx="0">
                  <c:v>44713.714884259258</c:v>
                </c:pt>
                <c:pt idx="1">
                  <c:v>44713.710080509256</c:v>
                </c:pt>
                <c:pt idx="2">
                  <c:v>44713.667659004626</c:v>
                </c:pt>
                <c:pt idx="3">
                  <c:v>44713.627241898146</c:v>
                </c:pt>
                <c:pt idx="4">
                  <c:v>44713.584309560189</c:v>
                </c:pt>
                <c:pt idx="5">
                  <c:v>44713.543640219905</c:v>
                </c:pt>
                <c:pt idx="6">
                  <c:v>44713.50164253472</c:v>
                </c:pt>
                <c:pt idx="7">
                  <c:v>44713.459885127311</c:v>
                </c:pt>
                <c:pt idx="8">
                  <c:v>44713.41726681713</c:v>
                </c:pt>
                <c:pt idx="9">
                  <c:v>44713.38033295139</c:v>
                </c:pt>
                <c:pt idx="10">
                  <c:v>44713.333608171299</c:v>
                </c:pt>
                <c:pt idx="11">
                  <c:v>44713.293959178241</c:v>
                </c:pt>
                <c:pt idx="12">
                  <c:v>44713.251158935185</c:v>
                </c:pt>
                <c:pt idx="13">
                  <c:v>44713.21036287037</c:v>
                </c:pt>
                <c:pt idx="14">
                  <c:v>44713.167989409725</c:v>
                </c:pt>
                <c:pt idx="15">
                  <c:v>44713.1257974537</c:v>
                </c:pt>
                <c:pt idx="16">
                  <c:v>44713.08455013889</c:v>
                </c:pt>
                <c:pt idx="17">
                  <c:v>44713.043044745369</c:v>
                </c:pt>
                <c:pt idx="18">
                  <c:v>44713.001626377314</c:v>
                </c:pt>
                <c:pt idx="19">
                  <c:v>44712.959451261573</c:v>
                </c:pt>
                <c:pt idx="20">
                  <c:v>44712.918911550929</c:v>
                </c:pt>
                <c:pt idx="21">
                  <c:v>44712.877353634256</c:v>
                </c:pt>
                <c:pt idx="22">
                  <c:v>44712.83363940972</c:v>
                </c:pt>
                <c:pt idx="23">
                  <c:v>44712.792568252313</c:v>
                </c:pt>
                <c:pt idx="24">
                  <c:v>44712.752508124999</c:v>
                </c:pt>
                <c:pt idx="25">
                  <c:v>44712.710225000003</c:v>
                </c:pt>
                <c:pt idx="26">
                  <c:v>44712.668994120373</c:v>
                </c:pt>
                <c:pt idx="27">
                  <c:v>44712.626174305558</c:v>
                </c:pt>
                <c:pt idx="28">
                  <c:v>44712.584559641204</c:v>
                </c:pt>
                <c:pt idx="29">
                  <c:v>44712.542923483794</c:v>
                </c:pt>
                <c:pt idx="30">
                  <c:v>44712.502526469907</c:v>
                </c:pt>
                <c:pt idx="31">
                  <c:v>44712.460236412036</c:v>
                </c:pt>
                <c:pt idx="32">
                  <c:v>44712.41858759259</c:v>
                </c:pt>
                <c:pt idx="33">
                  <c:v>44712.376310694446</c:v>
                </c:pt>
                <c:pt idx="34">
                  <c:v>44712.33524148148</c:v>
                </c:pt>
                <c:pt idx="35">
                  <c:v>44712.292517291666</c:v>
                </c:pt>
                <c:pt idx="36">
                  <c:v>44712.251281863428</c:v>
                </c:pt>
                <c:pt idx="37">
                  <c:v>44712.210052986113</c:v>
                </c:pt>
                <c:pt idx="38">
                  <c:v>44712.168390312501</c:v>
                </c:pt>
                <c:pt idx="39">
                  <c:v>44712.126698657405</c:v>
                </c:pt>
                <c:pt idx="40">
                  <c:v>44712.085551643519</c:v>
                </c:pt>
                <c:pt idx="41">
                  <c:v>44712.045020439815</c:v>
                </c:pt>
                <c:pt idx="42">
                  <c:v>44712.002025208334</c:v>
                </c:pt>
                <c:pt idx="43">
                  <c:v>44711.959506840278</c:v>
                </c:pt>
                <c:pt idx="44">
                  <c:v>44711.917002164351</c:v>
                </c:pt>
                <c:pt idx="45">
                  <c:v>44711.876116053238</c:v>
                </c:pt>
                <c:pt idx="46">
                  <c:v>44711.834584131946</c:v>
                </c:pt>
                <c:pt idx="47">
                  <c:v>44711.79444528935</c:v>
                </c:pt>
                <c:pt idx="48">
                  <c:v>44711.751887465274</c:v>
                </c:pt>
                <c:pt idx="49">
                  <c:v>44711.709744375003</c:v>
                </c:pt>
                <c:pt idx="50">
                  <c:v>44711.667513564818</c:v>
                </c:pt>
                <c:pt idx="51">
                  <c:v>44711.625593391203</c:v>
                </c:pt>
                <c:pt idx="52">
                  <c:v>44711.58444766204</c:v>
                </c:pt>
                <c:pt idx="53">
                  <c:v>44711.54422596065</c:v>
                </c:pt>
                <c:pt idx="54">
                  <c:v>44711.502032893521</c:v>
                </c:pt>
                <c:pt idx="55">
                  <c:v>44711.460498217595</c:v>
                </c:pt>
                <c:pt idx="56">
                  <c:v>44711.419574074076</c:v>
                </c:pt>
                <c:pt idx="57">
                  <c:v>44711.378516087963</c:v>
                </c:pt>
                <c:pt idx="58">
                  <c:v>44711.335019293983</c:v>
                </c:pt>
                <c:pt idx="59">
                  <c:v>44711.292519409719</c:v>
                </c:pt>
                <c:pt idx="60">
                  <c:v>44711.25100207176</c:v>
                </c:pt>
                <c:pt idx="61">
                  <c:v>44711.209144768516</c:v>
                </c:pt>
                <c:pt idx="62">
                  <c:v>44711.168392604166</c:v>
                </c:pt>
                <c:pt idx="63">
                  <c:v>44711.126823541665</c:v>
                </c:pt>
                <c:pt idx="64">
                  <c:v>44711.085680439814</c:v>
                </c:pt>
                <c:pt idx="65">
                  <c:v>44711.043305925923</c:v>
                </c:pt>
                <c:pt idx="66">
                  <c:v>44711.00258763889</c:v>
                </c:pt>
                <c:pt idx="67">
                  <c:v>44710.958720266201</c:v>
                </c:pt>
                <c:pt idx="68">
                  <c:v>44710.917072719909</c:v>
                </c:pt>
                <c:pt idx="69">
                  <c:v>44710.875985254628</c:v>
                </c:pt>
                <c:pt idx="70">
                  <c:v>44710.834938414351</c:v>
                </c:pt>
                <c:pt idx="71">
                  <c:v>44710.794689050927</c:v>
                </c:pt>
                <c:pt idx="72">
                  <c:v>44710.750652349539</c:v>
                </c:pt>
                <c:pt idx="73">
                  <c:v>44710.710095659721</c:v>
                </c:pt>
                <c:pt idx="74">
                  <c:v>44710.66855736111</c:v>
                </c:pt>
                <c:pt idx="75">
                  <c:v>44710.626899675925</c:v>
                </c:pt>
                <c:pt idx="76">
                  <c:v>44710.584955636572</c:v>
                </c:pt>
                <c:pt idx="77">
                  <c:v>44710.542140543985</c:v>
                </c:pt>
                <c:pt idx="78">
                  <c:v>44710.500337013887</c:v>
                </c:pt>
                <c:pt idx="79">
                  <c:v>44710.460543854169</c:v>
                </c:pt>
                <c:pt idx="80">
                  <c:v>44710.417141874997</c:v>
                </c:pt>
                <c:pt idx="81">
                  <c:v>44710.376426168979</c:v>
                </c:pt>
                <c:pt idx="82">
                  <c:v>44710.334313946762</c:v>
                </c:pt>
                <c:pt idx="83">
                  <c:v>44710.294285706019</c:v>
                </c:pt>
                <c:pt idx="84">
                  <c:v>44710.25095159722</c:v>
                </c:pt>
                <c:pt idx="85">
                  <c:v>44710.2094300463</c:v>
                </c:pt>
                <c:pt idx="86">
                  <c:v>44710.166782256943</c:v>
                </c:pt>
                <c:pt idx="87">
                  <c:v>44710.126497349534</c:v>
                </c:pt>
                <c:pt idx="88">
                  <c:v>44710.083924583334</c:v>
                </c:pt>
                <c:pt idx="89">
                  <c:v>44710.047424548611</c:v>
                </c:pt>
                <c:pt idx="90">
                  <c:v>44710.001210335649</c:v>
                </c:pt>
                <c:pt idx="91">
                  <c:v>44709.960327997687</c:v>
                </c:pt>
                <c:pt idx="92">
                  <c:v>44709.918714131942</c:v>
                </c:pt>
                <c:pt idx="93">
                  <c:v>44709.875583356479</c:v>
                </c:pt>
                <c:pt idx="94">
                  <c:v>44709.835246516202</c:v>
                </c:pt>
                <c:pt idx="95">
                  <c:v>44709.792750624998</c:v>
                </c:pt>
                <c:pt idx="96">
                  <c:v>44709.752531516206</c:v>
                </c:pt>
                <c:pt idx="97">
                  <c:v>44709.710525659721</c:v>
                </c:pt>
                <c:pt idx="98">
                  <c:v>44709.667585694442</c:v>
                </c:pt>
                <c:pt idx="99">
                  <c:v>44709.626843634258</c:v>
                </c:pt>
                <c:pt idx="100">
                  <c:v>44709.585927766202</c:v>
                </c:pt>
                <c:pt idx="101">
                  <c:v>44709.541945497687</c:v>
                </c:pt>
                <c:pt idx="102">
                  <c:v>44709.501135069448</c:v>
                </c:pt>
                <c:pt idx="103">
                  <c:v>44709.460050671296</c:v>
                </c:pt>
                <c:pt idx="104">
                  <c:v>44709.417074999998</c:v>
                </c:pt>
                <c:pt idx="105">
                  <c:v>44709.377482071759</c:v>
                </c:pt>
                <c:pt idx="106">
                  <c:v>44709.334706307869</c:v>
                </c:pt>
                <c:pt idx="107">
                  <c:v>44709.292821909723</c:v>
                </c:pt>
                <c:pt idx="108">
                  <c:v>44709.251242754632</c:v>
                </c:pt>
                <c:pt idx="109">
                  <c:v>44709.209182280094</c:v>
                </c:pt>
                <c:pt idx="110">
                  <c:v>44709.16796111111</c:v>
                </c:pt>
                <c:pt idx="111">
                  <c:v>44709.125441377313</c:v>
                </c:pt>
                <c:pt idx="112">
                  <c:v>44709.084990462965</c:v>
                </c:pt>
                <c:pt idx="113">
                  <c:v>44709.04521546296</c:v>
                </c:pt>
                <c:pt idx="114">
                  <c:v>44709.00152056713</c:v>
                </c:pt>
                <c:pt idx="115">
                  <c:v>44708.959050983794</c:v>
                </c:pt>
                <c:pt idx="116">
                  <c:v>44708.91724696759</c:v>
                </c:pt>
                <c:pt idx="117">
                  <c:v>44708.87613034722</c:v>
                </c:pt>
                <c:pt idx="118">
                  <c:v>44708.835478020832</c:v>
                </c:pt>
                <c:pt idx="119">
                  <c:v>44708.79364585648</c:v>
                </c:pt>
                <c:pt idx="120">
                  <c:v>44708.750676631942</c:v>
                </c:pt>
              </c:numCache>
            </c:numRef>
          </c:cat>
          <c:val>
            <c:numRef>
              <c:f>'Hist prices'!$Q$10:$Q$130</c:f>
              <c:numCache>
                <c:formatCode>0.00%</c:formatCode>
                <c:ptCount val="121"/>
                <c:pt idx="0">
                  <c:v>6.1120824840007512E-2</c:v>
                </c:pt>
                <c:pt idx="1">
                  <c:v>6.4435238899112221E-2</c:v>
                </c:pt>
                <c:pt idx="2">
                  <c:v>7.0965791397179109E-2</c:v>
                </c:pt>
                <c:pt idx="3">
                  <c:v>6.8301358983694341E-2</c:v>
                </c:pt>
                <c:pt idx="4">
                  <c:v>7.6473677683667779E-2</c:v>
                </c:pt>
                <c:pt idx="5">
                  <c:v>6.6901057030231706E-2</c:v>
                </c:pt>
                <c:pt idx="6">
                  <c:v>4.7922375538029416E-2</c:v>
                </c:pt>
                <c:pt idx="7">
                  <c:v>6.0048508558092663E-2</c:v>
                </c:pt>
                <c:pt idx="8">
                  <c:v>6.9114630327583526E-2</c:v>
                </c:pt>
                <c:pt idx="9">
                  <c:v>7.1068879407074764E-2</c:v>
                </c:pt>
                <c:pt idx="10">
                  <c:v>5.3367608181371505E-2</c:v>
                </c:pt>
                <c:pt idx="11">
                  <c:v>6.4829127825970015E-2</c:v>
                </c:pt>
                <c:pt idx="12">
                  <c:v>6.0554119794522257E-2</c:v>
                </c:pt>
                <c:pt idx="13">
                  <c:v>5.8265907046216099E-2</c:v>
                </c:pt>
                <c:pt idx="14">
                  <c:v>5.5907292845322545E-2</c:v>
                </c:pt>
                <c:pt idx="15">
                  <c:v>6.1436350572584487E-2</c:v>
                </c:pt>
                <c:pt idx="16">
                  <c:v>6.4633893876146764E-2</c:v>
                </c:pt>
                <c:pt idx="17">
                  <c:v>7.8213870533074659E-2</c:v>
                </c:pt>
                <c:pt idx="18">
                  <c:v>7.6585894906716884E-2</c:v>
                </c:pt>
                <c:pt idx="19">
                  <c:v>8.1639717176182597E-2</c:v>
                </c:pt>
                <c:pt idx="20">
                  <c:v>6.670611616057831E-2</c:v>
                </c:pt>
                <c:pt idx="21">
                  <c:v>5.6614518184271254E-2</c:v>
                </c:pt>
                <c:pt idx="22">
                  <c:v>4.1538981227549163E-2</c:v>
                </c:pt>
                <c:pt idx="23">
                  <c:v>4.2053809322199119E-2</c:v>
                </c:pt>
                <c:pt idx="24">
                  <c:v>4.8461432852891173E-2</c:v>
                </c:pt>
                <c:pt idx="25">
                  <c:v>5.208993526079661E-2</c:v>
                </c:pt>
                <c:pt idx="26">
                  <c:v>5.387822169864373E-2</c:v>
                </c:pt>
                <c:pt idx="27">
                  <c:v>4.6044536214481499E-2</c:v>
                </c:pt>
                <c:pt idx="28">
                  <c:v>5.7880530170348006E-2</c:v>
                </c:pt>
                <c:pt idx="29">
                  <c:v>6.6230197911390579E-2</c:v>
                </c:pt>
                <c:pt idx="30">
                  <c:v>8.1146348958825845E-2</c:v>
                </c:pt>
                <c:pt idx="31">
                  <c:v>8.2958609955348914E-2</c:v>
                </c:pt>
                <c:pt idx="32">
                  <c:v>9.9584124679499328E-2</c:v>
                </c:pt>
                <c:pt idx="33">
                  <c:v>0.10100703326541915</c:v>
                </c:pt>
                <c:pt idx="34">
                  <c:v>0.10667305107318498</c:v>
                </c:pt>
                <c:pt idx="35">
                  <c:v>9.7656065023070879E-2</c:v>
                </c:pt>
                <c:pt idx="36">
                  <c:v>0.11231636286458625</c:v>
                </c:pt>
                <c:pt idx="37">
                  <c:v>0.10938947546915784</c:v>
                </c:pt>
                <c:pt idx="38">
                  <c:v>9.182455568117559E-2</c:v>
                </c:pt>
                <c:pt idx="39">
                  <c:v>0.10020072580550142</c:v>
                </c:pt>
                <c:pt idx="40">
                  <c:v>9.4646851630131021E-2</c:v>
                </c:pt>
                <c:pt idx="41">
                  <c:v>9.9260716915738637E-2</c:v>
                </c:pt>
                <c:pt idx="42">
                  <c:v>0.10323089889416534</c:v>
                </c:pt>
                <c:pt idx="43">
                  <c:v>0.1085171290805228</c:v>
                </c:pt>
                <c:pt idx="44">
                  <c:v>0.11653389682741683</c:v>
                </c:pt>
                <c:pt idx="45">
                  <c:v>0.10728223737929034</c:v>
                </c:pt>
                <c:pt idx="46">
                  <c:v>7.7202249777638676E-2</c:v>
                </c:pt>
                <c:pt idx="47">
                  <c:v>8.8788546081786698E-2</c:v>
                </c:pt>
                <c:pt idx="48">
                  <c:v>9.437072546188581E-2</c:v>
                </c:pt>
                <c:pt idx="49">
                  <c:v>7.7836466271658564E-2</c:v>
                </c:pt>
                <c:pt idx="50">
                  <c:v>7.5513952042947016E-2</c:v>
                </c:pt>
                <c:pt idx="51">
                  <c:v>5.70704965968079E-2</c:v>
                </c:pt>
                <c:pt idx="52">
                  <c:v>5.2045251177679774E-2</c:v>
                </c:pt>
                <c:pt idx="53">
                  <c:v>3.8037389438433669E-2</c:v>
                </c:pt>
                <c:pt idx="54">
                  <c:v>3.3490316432059117E-2</c:v>
                </c:pt>
                <c:pt idx="55">
                  <c:v>2.4174969936983811E-2</c:v>
                </c:pt>
                <c:pt idx="56">
                  <c:v>3.5074274198273053E-2</c:v>
                </c:pt>
                <c:pt idx="57">
                  <c:v>4.0356876773205784E-2</c:v>
                </c:pt>
                <c:pt idx="58">
                  <c:v>4.3984413968143447E-2</c:v>
                </c:pt>
                <c:pt idx="59">
                  <c:v>4.8217682471408445E-2</c:v>
                </c:pt>
                <c:pt idx="60">
                  <c:v>2.898781114422247E-2</c:v>
                </c:pt>
                <c:pt idx="61">
                  <c:v>1.5365888872154317E-2</c:v>
                </c:pt>
                <c:pt idx="62">
                  <c:v>2.6887014444116054E-2</c:v>
                </c:pt>
                <c:pt idx="63">
                  <c:v>2.7384107555757698E-2</c:v>
                </c:pt>
                <c:pt idx="64">
                  <c:v>1.0269031799294778E-2</c:v>
                </c:pt>
                <c:pt idx="65">
                  <c:v>-5.1549121552116276E-3</c:v>
                </c:pt>
                <c:pt idx="66">
                  <c:v>5.7626474515442491E-3</c:v>
                </c:pt>
                <c:pt idx="67">
                  <c:v>1.2630901160346784E-2</c:v>
                </c:pt>
                <c:pt idx="68">
                  <c:v>5.3301341931402367E-3</c:v>
                </c:pt>
                <c:pt idx="69">
                  <c:v>-1.8471730534607531E-3</c:v>
                </c:pt>
                <c:pt idx="70">
                  <c:v>-1.9029764099253516E-2</c:v>
                </c:pt>
                <c:pt idx="71">
                  <c:v>-1.093442636826083E-2</c:v>
                </c:pt>
                <c:pt idx="72">
                  <c:v>-2.2267565943032276E-3</c:v>
                </c:pt>
                <c:pt idx="73">
                  <c:v>-4.2978014719222031E-3</c:v>
                </c:pt>
                <c:pt idx="74">
                  <c:v>-3.4584665885785473E-2</c:v>
                </c:pt>
                <c:pt idx="75">
                  <c:v>-4.1696689976271531E-2</c:v>
                </c:pt>
                <c:pt idx="76">
                  <c:v>-4.5845161529134863E-2</c:v>
                </c:pt>
                <c:pt idx="77">
                  <c:v>-5.2024074368366882E-2</c:v>
                </c:pt>
                <c:pt idx="78">
                  <c:v>-4.9405059868734773E-2</c:v>
                </c:pt>
                <c:pt idx="79">
                  <c:v>-5.7124902768868682E-2</c:v>
                </c:pt>
                <c:pt idx="80">
                  <c:v>-6.5204855829925773E-2</c:v>
                </c:pt>
                <c:pt idx="81">
                  <c:v>-6.1940513182588489E-2</c:v>
                </c:pt>
                <c:pt idx="82">
                  <c:v>-7.1494490707746106E-2</c:v>
                </c:pt>
                <c:pt idx="83">
                  <c:v>-7.2768463950026452E-2</c:v>
                </c:pt>
                <c:pt idx="84">
                  <c:v>-7.3953040609388468E-2</c:v>
                </c:pt>
                <c:pt idx="85">
                  <c:v>-7.5177592574423385E-2</c:v>
                </c:pt>
                <c:pt idx="86">
                  <c:v>-7.4178338221639828E-2</c:v>
                </c:pt>
                <c:pt idx="87">
                  <c:v>-8.4018147248682298E-2</c:v>
                </c:pt>
                <c:pt idx="88">
                  <c:v>-7.3131357266256983E-2</c:v>
                </c:pt>
                <c:pt idx="89">
                  <c:v>-5.4999377634447219E-2</c:v>
                </c:pt>
                <c:pt idx="90">
                  <c:v>-4.8131081358917568E-2</c:v>
                </c:pt>
                <c:pt idx="91">
                  <c:v>-5.3944677105938948E-2</c:v>
                </c:pt>
                <c:pt idx="92">
                  <c:v>-5.0511843082900583E-2</c:v>
                </c:pt>
                <c:pt idx="93">
                  <c:v>-4.204763499312178E-2</c:v>
                </c:pt>
                <c:pt idx="94">
                  <c:v>-3.6722556182019118E-2</c:v>
                </c:pt>
                <c:pt idx="95">
                  <c:v>-3.1362551858391943E-2</c:v>
                </c:pt>
                <c:pt idx="96">
                  <c:v>-3.6853540438122841E-2</c:v>
                </c:pt>
                <c:pt idx="97">
                  <c:v>-3.1909998343691237E-2</c:v>
                </c:pt>
                <c:pt idx="98">
                  <c:v>-2.9939982843287121E-2</c:v>
                </c:pt>
                <c:pt idx="99">
                  <c:v>-4.3462855447459391E-2</c:v>
                </c:pt>
                <c:pt idx="100">
                  <c:v>-3.4072818166680348E-2</c:v>
                </c:pt>
                <c:pt idx="101">
                  <c:v>-4.287861039797921E-2</c:v>
                </c:pt>
                <c:pt idx="102">
                  <c:v>-4.1872121624337531E-2</c:v>
                </c:pt>
                <c:pt idx="103">
                  <c:v>-3.6066192174919222E-2</c:v>
                </c:pt>
                <c:pt idx="104">
                  <c:v>-3.6658961268774548E-2</c:v>
                </c:pt>
                <c:pt idx="105">
                  <c:v>-3.4268737437066245E-2</c:v>
                </c:pt>
                <c:pt idx="106">
                  <c:v>-2.7927774878052977E-2</c:v>
                </c:pt>
                <c:pt idx="107">
                  <c:v>-2.6778058226614908E-2</c:v>
                </c:pt>
                <c:pt idx="108">
                  <c:v>-2.5976875723303355E-2</c:v>
                </c:pt>
                <c:pt idx="109">
                  <c:v>-2.5291563141755482E-2</c:v>
                </c:pt>
                <c:pt idx="110">
                  <c:v>-2.5916591564993333E-2</c:v>
                </c:pt>
                <c:pt idx="111">
                  <c:v>-3.4814806557858541E-2</c:v>
                </c:pt>
                <c:pt idx="112">
                  <c:v>-2.438844953976603E-2</c:v>
                </c:pt>
                <c:pt idx="113">
                  <c:v>-8.2677418956580775E-3</c:v>
                </c:pt>
                <c:pt idx="114">
                  <c:v>-2.5294597547168708E-2</c:v>
                </c:pt>
                <c:pt idx="115">
                  <c:v>-1.2452960697235187E-2</c:v>
                </c:pt>
                <c:pt idx="116">
                  <c:v>-1.742402346725052E-2</c:v>
                </c:pt>
                <c:pt idx="117">
                  <c:v>-1.1045392177536445E-2</c:v>
                </c:pt>
                <c:pt idx="118">
                  <c:v>-2.5533955958419553E-2</c:v>
                </c:pt>
                <c:pt idx="119">
                  <c:v>-2.0844480163358544E-2</c:v>
                </c:pt>
                <c:pt idx="1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DC3-4BAC-B992-8FAADE732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5826623"/>
        <c:axId val="1255827871"/>
      </c:lineChart>
      <c:catAx>
        <c:axId val="1255826623"/>
        <c:scaling>
          <c:orientation val="maxMin"/>
        </c:scaling>
        <c:delete val="0"/>
        <c:axPos val="b"/>
        <c:numFmt formatCode="[$-409]m/d/yy\ h:mm\ AM/PM;@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5827871"/>
        <c:crosses val="autoZero"/>
        <c:auto val="0"/>
        <c:lblAlgn val="ctr"/>
        <c:lblOffset val="100"/>
        <c:noMultiLvlLbl val="0"/>
      </c:catAx>
      <c:valAx>
        <c:axId val="125582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5826623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Historical</a:t>
            </a:r>
            <a:r>
              <a:rPr lang="en-US" baseline="0"/>
              <a:t> Crypto Currency 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988689971918449E-2"/>
          <c:y val="1.4530475357247011E-2"/>
          <c:w val="0.95910105868608231"/>
          <c:h val="0.9041911764705882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'Coin Returns'!$S$5:$S$54</c:f>
              <c:strCache>
                <c:ptCount val="50"/>
                <c:pt idx="0">
                  <c:v>Axie Infinity</c:v>
                </c:pt>
                <c:pt idx="1">
                  <c:v>Flow</c:v>
                </c:pt>
                <c:pt idx="2">
                  <c:v>NEAR Protocol</c:v>
                </c:pt>
                <c:pt idx="3">
                  <c:v>Chain</c:v>
                </c:pt>
                <c:pt idx="4">
                  <c:v>Binance USD</c:v>
                </c:pt>
                <c:pt idx="5">
                  <c:v>OKB</c:v>
                </c:pt>
                <c:pt idx="6">
                  <c:v>Cardano</c:v>
                </c:pt>
                <c:pt idx="7">
                  <c:v>KuCoin</c:v>
                </c:pt>
                <c:pt idx="8">
                  <c:v>Monero</c:v>
                </c:pt>
                <c:pt idx="9">
                  <c:v>Decentraland</c:v>
                </c:pt>
                <c:pt idx="10">
                  <c:v>Tether</c:v>
                </c:pt>
                <c:pt idx="11">
                  <c:v>USD Coin</c:v>
                </c:pt>
                <c:pt idx="12">
                  <c:v>Frax</c:v>
                </c:pt>
                <c:pt idx="13">
                  <c:v>Dai</c:v>
                </c:pt>
                <c:pt idx="14">
                  <c:v>LEO Token</c:v>
                </c:pt>
                <c:pt idx="15">
                  <c:v>Ethereum Classic</c:v>
                </c:pt>
                <c:pt idx="16">
                  <c:v>Elrond</c:v>
                </c:pt>
                <c:pt idx="17">
                  <c:v>XRP</c:v>
                </c:pt>
                <c:pt idx="18">
                  <c:v>BNB</c:v>
                </c:pt>
                <c:pt idx="19">
                  <c:v>Uniswap</c:v>
                </c:pt>
                <c:pt idx="20">
                  <c:v>TRON</c:v>
                </c:pt>
                <c:pt idx="21">
                  <c:v>Avalanche</c:v>
                </c:pt>
                <c:pt idx="22">
                  <c:v>cETH</c:v>
                </c:pt>
                <c:pt idx="23">
                  <c:v>Filecoin</c:v>
                </c:pt>
                <c:pt idx="24">
                  <c:v>EOS</c:v>
                </c:pt>
                <c:pt idx="25">
                  <c:v>The Sandbox</c:v>
                </c:pt>
                <c:pt idx="26">
                  <c:v>Hedera</c:v>
                </c:pt>
                <c:pt idx="27">
                  <c:v>FTX Token</c:v>
                </c:pt>
                <c:pt idx="28">
                  <c:v>Chainlink</c:v>
                </c:pt>
                <c:pt idx="29">
                  <c:v>Shiba Inu</c:v>
                </c:pt>
                <c:pt idx="30">
                  <c:v>Stellar</c:v>
                </c:pt>
                <c:pt idx="31">
                  <c:v>Polygon</c:v>
                </c:pt>
                <c:pt idx="32">
                  <c:v>Theta Fuel</c:v>
                </c:pt>
                <c:pt idx="33">
                  <c:v>Bitcoin Cash</c:v>
                </c:pt>
                <c:pt idx="34">
                  <c:v>Polkadot</c:v>
                </c:pt>
                <c:pt idx="35">
                  <c:v>VeChain</c:v>
                </c:pt>
                <c:pt idx="36">
                  <c:v>Ethereum</c:v>
                </c:pt>
                <c:pt idx="37">
                  <c:v>Wrapped Bitcoin</c:v>
                </c:pt>
                <c:pt idx="38">
                  <c:v>Litecoin</c:v>
                </c:pt>
                <c:pt idx="39">
                  <c:v>Bitcoin</c:v>
                </c:pt>
                <c:pt idx="40">
                  <c:v>Dogecoin</c:v>
                </c:pt>
                <c:pt idx="41">
                  <c:v>Algorand</c:v>
                </c:pt>
                <c:pt idx="42">
                  <c:v>Lido Staked Ether</c:v>
                </c:pt>
                <c:pt idx="43">
                  <c:v>Tezos</c:v>
                </c:pt>
                <c:pt idx="44">
                  <c:v>Cronos</c:v>
                </c:pt>
                <c:pt idx="45">
                  <c:v>Solana</c:v>
                </c:pt>
                <c:pt idx="46">
                  <c:v>Cosmos Hub</c:v>
                </c:pt>
                <c:pt idx="47">
                  <c:v>ApeCoin</c:v>
                </c:pt>
                <c:pt idx="48">
                  <c:v>Aave</c:v>
                </c:pt>
                <c:pt idx="49">
                  <c:v>Internet Computer</c:v>
                </c:pt>
              </c:strCache>
            </c:strRef>
          </c:cat>
          <c:val>
            <c:numRef>
              <c:f>'Coin Returns'!$T$5:$T$54</c:f>
              <c:numCache>
                <c:formatCode>0.00%</c:formatCode>
                <c:ptCount val="50"/>
                <c:pt idx="0">
                  <c:v>6.7268262368093803E-3</c:v>
                </c:pt>
                <c:pt idx="1">
                  <c:v>4.8206281719218999E-3</c:v>
                </c:pt>
                <c:pt idx="2">
                  <c:v>4.7077976658728999E-3</c:v>
                </c:pt>
                <c:pt idx="3">
                  <c:v>1.3373962320434201E-3</c:v>
                </c:pt>
                <c:pt idx="4">
                  <c:v>9.18460190898674E-4</c:v>
                </c:pt>
                <c:pt idx="5">
                  <c:v>8.3304157568233001E-4</c:v>
                </c:pt>
                <c:pt idx="6">
                  <c:v>1.4663062745766099E-4</c:v>
                </c:pt>
                <c:pt idx="7">
                  <c:v>-1.16809522419606E-3</c:v>
                </c:pt>
                <c:pt idx="8">
                  <c:v>-1.19820682979923E-3</c:v>
                </c:pt>
                <c:pt idx="9">
                  <c:v>-1.28379266911035E-3</c:v>
                </c:pt>
                <c:pt idx="10">
                  <c:v>-1.7394978880735099E-3</c:v>
                </c:pt>
                <c:pt idx="11">
                  <c:v>-2.1575365598796698E-3</c:v>
                </c:pt>
                <c:pt idx="12">
                  <c:v>-2.3933705889536598E-3</c:v>
                </c:pt>
                <c:pt idx="13">
                  <c:v>-2.5751135925896501E-3</c:v>
                </c:pt>
                <c:pt idx="14">
                  <c:v>-2.7691842966099502E-3</c:v>
                </c:pt>
                <c:pt idx="15">
                  <c:v>-3.1320554791779E-3</c:v>
                </c:pt>
                <c:pt idx="16">
                  <c:v>-3.6732844577313101E-3</c:v>
                </c:pt>
                <c:pt idx="17">
                  <c:v>-3.6784583455241201E-3</c:v>
                </c:pt>
                <c:pt idx="18">
                  <c:v>-3.9676458479585E-3</c:v>
                </c:pt>
                <c:pt idx="19">
                  <c:v>-4.4343589473831704E-3</c:v>
                </c:pt>
                <c:pt idx="20">
                  <c:v>-4.5414655342719303E-3</c:v>
                </c:pt>
                <c:pt idx="21">
                  <c:v>-4.6266282354307797E-3</c:v>
                </c:pt>
                <c:pt idx="22">
                  <c:v>-4.6512799411433997E-3</c:v>
                </c:pt>
                <c:pt idx="23">
                  <c:v>-5.7070307331490398E-3</c:v>
                </c:pt>
                <c:pt idx="24">
                  <c:v>-5.9595897927890596E-3</c:v>
                </c:pt>
                <c:pt idx="25">
                  <c:v>-6.0210741759099398E-3</c:v>
                </c:pt>
                <c:pt idx="26">
                  <c:v>-6.5012160329351804E-3</c:v>
                </c:pt>
                <c:pt idx="27">
                  <c:v>-6.5316738180145502E-3</c:v>
                </c:pt>
                <c:pt idx="28">
                  <c:v>-6.9120160750587396E-3</c:v>
                </c:pt>
                <c:pt idx="29">
                  <c:v>-6.9440047719077098E-3</c:v>
                </c:pt>
                <c:pt idx="30">
                  <c:v>-7.0964445657572903E-3</c:v>
                </c:pt>
                <c:pt idx="31">
                  <c:v>-7.8368086149576202E-3</c:v>
                </c:pt>
                <c:pt idx="32">
                  <c:v>-8.3902502231909207E-3</c:v>
                </c:pt>
                <c:pt idx="33">
                  <c:v>-9.1376591919266701E-3</c:v>
                </c:pt>
                <c:pt idx="34">
                  <c:v>-9.8186826923036298E-3</c:v>
                </c:pt>
                <c:pt idx="35">
                  <c:v>-1.07792718985697E-2</c:v>
                </c:pt>
                <c:pt idx="36">
                  <c:v>-1.1273923285580099E-2</c:v>
                </c:pt>
                <c:pt idx="37">
                  <c:v>-1.14709997286624E-2</c:v>
                </c:pt>
                <c:pt idx="38">
                  <c:v>-1.2278793878047801E-2</c:v>
                </c:pt>
                <c:pt idx="39">
                  <c:v>-1.25653387016942E-2</c:v>
                </c:pt>
                <c:pt idx="40">
                  <c:v>-1.31689708229725E-2</c:v>
                </c:pt>
                <c:pt idx="41">
                  <c:v>-1.3303551206589499E-2</c:v>
                </c:pt>
                <c:pt idx="42">
                  <c:v>-1.3632791813117801E-2</c:v>
                </c:pt>
                <c:pt idx="43">
                  <c:v>-1.47510817285255E-2</c:v>
                </c:pt>
                <c:pt idx="44">
                  <c:v>-1.49221442550728E-2</c:v>
                </c:pt>
                <c:pt idx="45">
                  <c:v>-1.5279114814292E-2</c:v>
                </c:pt>
                <c:pt idx="46">
                  <c:v>-1.57189824617016E-2</c:v>
                </c:pt>
                <c:pt idx="47">
                  <c:v>-1.8441487322737302E-2</c:v>
                </c:pt>
                <c:pt idx="48">
                  <c:v>-2.6494917140781098E-2</c:v>
                </c:pt>
                <c:pt idx="49">
                  <c:v>-2.66250009203222E-2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32-43B8-9B3C-CE63E10E7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25"/>
        <c:axId val="1888432304"/>
        <c:axId val="1888432720"/>
      </c:barChart>
      <c:barChart>
        <c:barDir val="col"/>
        <c:grouping val="clustered"/>
        <c:varyColors val="0"/>
        <c:ser>
          <c:idx val="1"/>
          <c:order val="1"/>
          <c:tx>
            <c:strRef>
              <c:f>'Alt Season'!$F$3</c:f>
              <c:strCache>
                <c:ptCount val="1"/>
                <c:pt idx="0">
                  <c:v>Bitcoin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'Coin Returns'!$U$5:$U$54</c:f>
              <c:numCache>
                <c:formatCode>0.0%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-1.25653387016942E-2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32-43B8-9B3C-CE63E10E7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07283296"/>
        <c:axId val="2019498288"/>
      </c:barChart>
      <c:catAx>
        <c:axId val="188843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b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8432720"/>
        <c:crosses val="autoZero"/>
        <c:auto val="0"/>
        <c:lblAlgn val="ctr"/>
        <c:lblOffset val="0"/>
        <c:noMultiLvlLbl val="0"/>
      </c:catAx>
      <c:valAx>
        <c:axId val="18884327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8432304"/>
        <c:crosses val="autoZero"/>
        <c:crossBetween val="between"/>
      </c:valAx>
      <c:valAx>
        <c:axId val="2019498288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1007283296"/>
        <c:crosses val="max"/>
        <c:crossBetween val="between"/>
      </c:valAx>
      <c:catAx>
        <c:axId val="1007283296"/>
        <c:scaling>
          <c:orientation val="minMax"/>
        </c:scaling>
        <c:delete val="1"/>
        <c:axPos val="t"/>
        <c:majorTickMark val="out"/>
        <c:minorTickMark val="none"/>
        <c:tickLblPos val="nextTo"/>
        <c:crossAx val="2019498288"/>
        <c:crosses val="max"/>
        <c:auto val="1"/>
        <c:lblAlgn val="ctr"/>
        <c:lblOffset val="100"/>
        <c:noMultiLvlLbl val="0"/>
      </c:catAx>
      <c:spPr>
        <a:noFill/>
        <a:ln>
          <a:solidFill>
            <a:schemeClr val="tx1">
              <a:lumMod val="15000"/>
              <a:lumOff val="85000"/>
            </a:schemeClr>
          </a:solidFill>
          <a:round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'Hist prices'!$AE$7</c:f>
          <c:strCache>
            <c:ptCount val="1"/>
            <c:pt idx="0">
              <c:v>Historical Prices based upon 5 days with an Hourly Price Interval</c:v>
            </c:pt>
          </c:strCache>
        </c:strRef>
      </c:tx>
      <c:layout>
        <c:manualLayout>
          <c:xMode val="edge"/>
          <c:yMode val="edge"/>
          <c:x val="0.10836906380736124"/>
          <c:y val="3.3825338253382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3434425514823992E-2"/>
          <c:y val="0.1294280442804428"/>
          <c:w val="0.91640936585214883"/>
          <c:h val="0.64121025462223125"/>
        </c:manualLayout>
      </c:layout>
      <c:lineChart>
        <c:grouping val="standard"/>
        <c:varyColors val="0"/>
        <c:ser>
          <c:idx val="0"/>
          <c:order val="0"/>
          <c:tx>
            <c:strRef>
              <c:f>'Hist prices'!$C$4</c:f>
              <c:strCache>
                <c:ptCount val="1"/>
                <c:pt idx="0">
                  <c:v>XMR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20"/>
              <c:tx>
                <c:rich>
                  <a:bodyPr/>
                  <a:lstStyle/>
                  <a:p>
                    <a:r>
                      <a:rPr lang="en-US"/>
                      <a:t>XMR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479E-44ED-AFC6-9DFBB9F393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'Hist prices'!$C$10:$C$130</c:f>
              <c:numCache>
                <c:formatCode>[$-409]m/d/yy\ h:mm\ AM/PM;@</c:formatCode>
                <c:ptCount val="121"/>
                <c:pt idx="0">
                  <c:v>44713.714884259258</c:v>
                </c:pt>
                <c:pt idx="1">
                  <c:v>44713.710080509256</c:v>
                </c:pt>
                <c:pt idx="2">
                  <c:v>44713.667659004626</c:v>
                </c:pt>
                <c:pt idx="3">
                  <c:v>44713.627241898146</c:v>
                </c:pt>
                <c:pt idx="4">
                  <c:v>44713.584309560189</c:v>
                </c:pt>
                <c:pt idx="5">
                  <c:v>44713.543640219905</c:v>
                </c:pt>
                <c:pt idx="6">
                  <c:v>44713.50164253472</c:v>
                </c:pt>
                <c:pt idx="7">
                  <c:v>44713.459885127311</c:v>
                </c:pt>
                <c:pt idx="8">
                  <c:v>44713.41726681713</c:v>
                </c:pt>
                <c:pt idx="9">
                  <c:v>44713.38033295139</c:v>
                </c:pt>
                <c:pt idx="10">
                  <c:v>44713.333608171299</c:v>
                </c:pt>
                <c:pt idx="11">
                  <c:v>44713.293959178241</c:v>
                </c:pt>
                <c:pt idx="12">
                  <c:v>44713.251158935185</c:v>
                </c:pt>
                <c:pt idx="13">
                  <c:v>44713.21036287037</c:v>
                </c:pt>
                <c:pt idx="14">
                  <c:v>44713.167989409725</c:v>
                </c:pt>
                <c:pt idx="15">
                  <c:v>44713.1257974537</c:v>
                </c:pt>
                <c:pt idx="16">
                  <c:v>44713.08455013889</c:v>
                </c:pt>
                <c:pt idx="17">
                  <c:v>44713.043044745369</c:v>
                </c:pt>
                <c:pt idx="18">
                  <c:v>44713.001626377314</c:v>
                </c:pt>
                <c:pt idx="19">
                  <c:v>44712.959451261573</c:v>
                </c:pt>
                <c:pt idx="20">
                  <c:v>44712.918911550929</c:v>
                </c:pt>
                <c:pt idx="21">
                  <c:v>44712.877353634256</c:v>
                </c:pt>
                <c:pt idx="22">
                  <c:v>44712.83363940972</c:v>
                </c:pt>
                <c:pt idx="23">
                  <c:v>44712.792568252313</c:v>
                </c:pt>
                <c:pt idx="24">
                  <c:v>44712.752508124999</c:v>
                </c:pt>
                <c:pt idx="25">
                  <c:v>44712.710225000003</c:v>
                </c:pt>
                <c:pt idx="26">
                  <c:v>44712.668994120373</c:v>
                </c:pt>
                <c:pt idx="27">
                  <c:v>44712.626174305558</c:v>
                </c:pt>
                <c:pt idx="28">
                  <c:v>44712.584559641204</c:v>
                </c:pt>
                <c:pt idx="29">
                  <c:v>44712.542923483794</c:v>
                </c:pt>
                <c:pt idx="30">
                  <c:v>44712.502526469907</c:v>
                </c:pt>
                <c:pt idx="31">
                  <c:v>44712.460236412036</c:v>
                </c:pt>
                <c:pt idx="32">
                  <c:v>44712.41858759259</c:v>
                </c:pt>
                <c:pt idx="33">
                  <c:v>44712.376310694446</c:v>
                </c:pt>
                <c:pt idx="34">
                  <c:v>44712.33524148148</c:v>
                </c:pt>
                <c:pt idx="35">
                  <c:v>44712.292517291666</c:v>
                </c:pt>
                <c:pt idx="36">
                  <c:v>44712.251281863428</c:v>
                </c:pt>
                <c:pt idx="37">
                  <c:v>44712.210052986113</c:v>
                </c:pt>
                <c:pt idx="38">
                  <c:v>44712.168390312501</c:v>
                </c:pt>
                <c:pt idx="39">
                  <c:v>44712.126698657405</c:v>
                </c:pt>
                <c:pt idx="40">
                  <c:v>44712.085551643519</c:v>
                </c:pt>
                <c:pt idx="41">
                  <c:v>44712.045020439815</c:v>
                </c:pt>
                <c:pt idx="42">
                  <c:v>44712.002025208334</c:v>
                </c:pt>
                <c:pt idx="43">
                  <c:v>44711.959506840278</c:v>
                </c:pt>
                <c:pt idx="44">
                  <c:v>44711.917002164351</c:v>
                </c:pt>
                <c:pt idx="45">
                  <c:v>44711.876116053238</c:v>
                </c:pt>
                <c:pt idx="46">
                  <c:v>44711.834584131946</c:v>
                </c:pt>
                <c:pt idx="47">
                  <c:v>44711.79444528935</c:v>
                </c:pt>
                <c:pt idx="48">
                  <c:v>44711.751887465274</c:v>
                </c:pt>
                <c:pt idx="49">
                  <c:v>44711.709744375003</c:v>
                </c:pt>
                <c:pt idx="50">
                  <c:v>44711.667513564818</c:v>
                </c:pt>
                <c:pt idx="51">
                  <c:v>44711.625593391203</c:v>
                </c:pt>
                <c:pt idx="52">
                  <c:v>44711.58444766204</c:v>
                </c:pt>
                <c:pt idx="53">
                  <c:v>44711.54422596065</c:v>
                </c:pt>
                <c:pt idx="54">
                  <c:v>44711.502032893521</c:v>
                </c:pt>
                <c:pt idx="55">
                  <c:v>44711.460498217595</c:v>
                </c:pt>
                <c:pt idx="56">
                  <c:v>44711.419574074076</c:v>
                </c:pt>
                <c:pt idx="57">
                  <c:v>44711.378516087963</c:v>
                </c:pt>
                <c:pt idx="58">
                  <c:v>44711.335019293983</c:v>
                </c:pt>
                <c:pt idx="59">
                  <c:v>44711.292519409719</c:v>
                </c:pt>
                <c:pt idx="60">
                  <c:v>44711.25100207176</c:v>
                </c:pt>
                <c:pt idx="61">
                  <c:v>44711.209144768516</c:v>
                </c:pt>
                <c:pt idx="62">
                  <c:v>44711.168392604166</c:v>
                </c:pt>
                <c:pt idx="63">
                  <c:v>44711.126823541665</c:v>
                </c:pt>
                <c:pt idx="64">
                  <c:v>44711.085680439814</c:v>
                </c:pt>
                <c:pt idx="65">
                  <c:v>44711.043305925923</c:v>
                </c:pt>
                <c:pt idx="66">
                  <c:v>44711.00258763889</c:v>
                </c:pt>
                <c:pt idx="67">
                  <c:v>44710.958720266201</c:v>
                </c:pt>
                <c:pt idx="68">
                  <c:v>44710.917072719909</c:v>
                </c:pt>
                <c:pt idx="69">
                  <c:v>44710.875985254628</c:v>
                </c:pt>
                <c:pt idx="70">
                  <c:v>44710.834938414351</c:v>
                </c:pt>
                <c:pt idx="71">
                  <c:v>44710.794689050927</c:v>
                </c:pt>
                <c:pt idx="72">
                  <c:v>44710.750652349539</c:v>
                </c:pt>
                <c:pt idx="73">
                  <c:v>44710.710095659721</c:v>
                </c:pt>
                <c:pt idx="74">
                  <c:v>44710.66855736111</c:v>
                </c:pt>
                <c:pt idx="75">
                  <c:v>44710.626899675925</c:v>
                </c:pt>
                <c:pt idx="76">
                  <c:v>44710.584955636572</c:v>
                </c:pt>
                <c:pt idx="77">
                  <c:v>44710.542140543985</c:v>
                </c:pt>
                <c:pt idx="78">
                  <c:v>44710.500337013887</c:v>
                </c:pt>
                <c:pt idx="79">
                  <c:v>44710.460543854169</c:v>
                </c:pt>
                <c:pt idx="80">
                  <c:v>44710.417141874997</c:v>
                </c:pt>
                <c:pt idx="81">
                  <c:v>44710.376426168979</c:v>
                </c:pt>
                <c:pt idx="82">
                  <c:v>44710.334313946762</c:v>
                </c:pt>
                <c:pt idx="83">
                  <c:v>44710.294285706019</c:v>
                </c:pt>
                <c:pt idx="84">
                  <c:v>44710.25095159722</c:v>
                </c:pt>
                <c:pt idx="85">
                  <c:v>44710.2094300463</c:v>
                </c:pt>
                <c:pt idx="86">
                  <c:v>44710.166782256943</c:v>
                </c:pt>
                <c:pt idx="87">
                  <c:v>44710.126497349534</c:v>
                </c:pt>
                <c:pt idx="88">
                  <c:v>44710.083924583334</c:v>
                </c:pt>
                <c:pt idx="89">
                  <c:v>44710.047424548611</c:v>
                </c:pt>
                <c:pt idx="90">
                  <c:v>44710.001210335649</c:v>
                </c:pt>
                <c:pt idx="91">
                  <c:v>44709.960327997687</c:v>
                </c:pt>
                <c:pt idx="92">
                  <c:v>44709.918714131942</c:v>
                </c:pt>
                <c:pt idx="93">
                  <c:v>44709.875583356479</c:v>
                </c:pt>
                <c:pt idx="94">
                  <c:v>44709.835246516202</c:v>
                </c:pt>
                <c:pt idx="95">
                  <c:v>44709.792750624998</c:v>
                </c:pt>
                <c:pt idx="96">
                  <c:v>44709.752531516206</c:v>
                </c:pt>
                <c:pt idx="97">
                  <c:v>44709.710525659721</c:v>
                </c:pt>
                <c:pt idx="98">
                  <c:v>44709.667585694442</c:v>
                </c:pt>
                <c:pt idx="99">
                  <c:v>44709.626843634258</c:v>
                </c:pt>
                <c:pt idx="100">
                  <c:v>44709.585927766202</c:v>
                </c:pt>
                <c:pt idx="101">
                  <c:v>44709.541945497687</c:v>
                </c:pt>
                <c:pt idx="102">
                  <c:v>44709.501135069448</c:v>
                </c:pt>
                <c:pt idx="103">
                  <c:v>44709.460050671296</c:v>
                </c:pt>
                <c:pt idx="104">
                  <c:v>44709.417074999998</c:v>
                </c:pt>
                <c:pt idx="105">
                  <c:v>44709.377482071759</c:v>
                </c:pt>
                <c:pt idx="106">
                  <c:v>44709.334706307869</c:v>
                </c:pt>
                <c:pt idx="107">
                  <c:v>44709.292821909723</c:v>
                </c:pt>
                <c:pt idx="108">
                  <c:v>44709.251242754632</c:v>
                </c:pt>
                <c:pt idx="109">
                  <c:v>44709.209182280094</c:v>
                </c:pt>
                <c:pt idx="110">
                  <c:v>44709.16796111111</c:v>
                </c:pt>
                <c:pt idx="111">
                  <c:v>44709.125441377313</c:v>
                </c:pt>
                <c:pt idx="112">
                  <c:v>44709.084990462965</c:v>
                </c:pt>
                <c:pt idx="113">
                  <c:v>44709.04521546296</c:v>
                </c:pt>
                <c:pt idx="114">
                  <c:v>44709.00152056713</c:v>
                </c:pt>
                <c:pt idx="115">
                  <c:v>44708.959050983794</c:v>
                </c:pt>
                <c:pt idx="116">
                  <c:v>44708.91724696759</c:v>
                </c:pt>
                <c:pt idx="117">
                  <c:v>44708.87613034722</c:v>
                </c:pt>
                <c:pt idx="118">
                  <c:v>44708.835478020832</c:v>
                </c:pt>
                <c:pt idx="119">
                  <c:v>44708.79364585648</c:v>
                </c:pt>
                <c:pt idx="120">
                  <c:v>44708.750676631942</c:v>
                </c:pt>
              </c:numCache>
            </c:numRef>
          </c:cat>
          <c:val>
            <c:numRef>
              <c:f>'Hist prices'!$D$10:$D$130</c:f>
              <c:numCache>
                <c:formatCode>_(* #,##0.00_);_(* \(#,##0.00\);_(* "-"??_);_(@_)</c:formatCode>
                <c:ptCount val="121"/>
                <c:pt idx="0">
                  <c:v>196.56148264912829</c:v>
                </c:pt>
                <c:pt idx="1">
                  <c:v>197.17544302604293</c:v>
                </c:pt>
                <c:pt idx="2">
                  <c:v>198.38515925391127</c:v>
                </c:pt>
                <c:pt idx="3">
                  <c:v>197.891601146905</c:v>
                </c:pt>
                <c:pt idx="4">
                  <c:v>199.40543731215996</c:v>
                </c:pt>
                <c:pt idx="5">
                  <c:v>197.63220992426022</c:v>
                </c:pt>
                <c:pt idx="6">
                  <c:v>194.11660860393431</c:v>
                </c:pt>
                <c:pt idx="7">
                  <c:v>196.36284732569681</c:v>
                </c:pt>
                <c:pt idx="8">
                  <c:v>198.04225111758578</c:v>
                </c:pt>
                <c:pt idx="9">
                  <c:v>198.40425522450585</c:v>
                </c:pt>
                <c:pt idx="10">
                  <c:v>195.12528073314837</c:v>
                </c:pt>
                <c:pt idx="11">
                  <c:v>197.24840681079752</c:v>
                </c:pt>
                <c:pt idx="12">
                  <c:v>196.45650649433261</c:v>
                </c:pt>
                <c:pt idx="13">
                  <c:v>196.03263912702172</c:v>
                </c:pt>
                <c:pt idx="14">
                  <c:v>195.59573063039051</c:v>
                </c:pt>
                <c:pt idx="15">
                  <c:v>196.61993047557505</c:v>
                </c:pt>
                <c:pt idx="16">
                  <c:v>197.21224177309176</c:v>
                </c:pt>
                <c:pt idx="17">
                  <c:v>199.72778975173856</c:v>
                </c:pt>
                <c:pt idx="18">
                  <c:v>199.42622437356235</c:v>
                </c:pt>
                <c:pt idx="19">
                  <c:v>200.36239184391724</c:v>
                </c:pt>
                <c:pt idx="20">
                  <c:v>197.59609917657627</c:v>
                </c:pt>
                <c:pt idx="21">
                  <c:v>195.72673669297697</c:v>
                </c:pt>
                <c:pt idx="22">
                  <c:v>192.93415188399274</c:v>
                </c:pt>
                <c:pt idx="23">
                  <c:v>193.02951837876404</c:v>
                </c:pt>
                <c:pt idx="24">
                  <c:v>194.2164633071516</c:v>
                </c:pt>
                <c:pt idx="25">
                  <c:v>194.88860525027232</c:v>
                </c:pt>
                <c:pt idx="26">
                  <c:v>195.21986652174681</c:v>
                </c:pt>
                <c:pt idx="27">
                  <c:v>193.7687586013966</c:v>
                </c:pt>
                <c:pt idx="28">
                  <c:v>195.96125211026919</c:v>
                </c:pt>
                <c:pt idx="29">
                  <c:v>197.50794032181605</c:v>
                </c:pt>
                <c:pt idx="30">
                  <c:v>200.27100056591624</c:v>
                </c:pt>
                <c:pt idx="31">
                  <c:v>200.60670287246316</c:v>
                </c:pt>
                <c:pt idx="32">
                  <c:v>203.68640477585069</c:v>
                </c:pt>
                <c:pt idx="33">
                  <c:v>203.94998363960991</c:v>
                </c:pt>
                <c:pt idx="34">
                  <c:v>204.99955390054484</c:v>
                </c:pt>
                <c:pt idx="35">
                  <c:v>203.32925198435714</c:v>
                </c:pt>
                <c:pt idx="36">
                  <c:v>206.04491811054081</c:v>
                </c:pt>
                <c:pt idx="37">
                  <c:v>205.50274297598042</c:v>
                </c:pt>
                <c:pt idx="38">
                  <c:v>202.24902615569337</c:v>
                </c:pt>
                <c:pt idx="39">
                  <c:v>203.80062365525905</c:v>
                </c:pt>
                <c:pt idx="40">
                  <c:v>202.77182682383119</c:v>
                </c:pt>
                <c:pt idx="41">
                  <c:v>203.62649688595076</c:v>
                </c:pt>
                <c:pt idx="42">
                  <c:v>204.36193137917547</c:v>
                </c:pt>
                <c:pt idx="43">
                  <c:v>205.3411499740152</c:v>
                </c:pt>
                <c:pt idx="44">
                  <c:v>206.8261719597262</c:v>
                </c:pt>
                <c:pt idx="45">
                  <c:v>205.11239926248152</c:v>
                </c:pt>
                <c:pt idx="46">
                  <c:v>199.5403976368047</c:v>
                </c:pt>
                <c:pt idx="47">
                  <c:v>201.68663727949462</c:v>
                </c:pt>
                <c:pt idx="48">
                  <c:v>202.72067735267018</c:v>
                </c:pt>
                <c:pt idx="49">
                  <c:v>199.65787957803781</c:v>
                </c:pt>
                <c:pt idx="50">
                  <c:v>199.22765822191838</c:v>
                </c:pt>
                <c:pt idx="51">
                  <c:v>195.81120190252341</c:v>
                </c:pt>
                <c:pt idx="52">
                  <c:v>194.88032799341084</c:v>
                </c:pt>
                <c:pt idx="53">
                  <c:v>192.28551879943865</c:v>
                </c:pt>
                <c:pt idx="54">
                  <c:v>191.44322130520035</c:v>
                </c:pt>
                <c:pt idx="55">
                  <c:v>189.71765125172558</c:v>
                </c:pt>
                <c:pt idx="56">
                  <c:v>191.73663283732023</c:v>
                </c:pt>
                <c:pt idx="57">
                  <c:v>192.7151794552621</c:v>
                </c:pt>
                <c:pt idx="58">
                  <c:v>193.38714260282291</c:v>
                </c:pt>
                <c:pt idx="59">
                  <c:v>194.17131111028678</c:v>
                </c:pt>
                <c:pt idx="60">
                  <c:v>190.60917951250804</c:v>
                </c:pt>
                <c:pt idx="61">
                  <c:v>188.08586154941688</c:v>
                </c:pt>
                <c:pt idx="62">
                  <c:v>190.22002899877688</c:v>
                </c:pt>
                <c:pt idx="63">
                  <c:v>190.31211027430334</c:v>
                </c:pt>
                <c:pt idx="64">
                  <c:v>187.14172233393873</c:v>
                </c:pt>
                <c:pt idx="65">
                  <c:v>184.28459878964117</c:v>
                </c:pt>
                <c:pt idx="66">
                  <c:v>186.30696198615814</c:v>
                </c:pt>
                <c:pt idx="67">
                  <c:v>187.5792338147844</c:v>
                </c:pt>
                <c:pt idx="68">
                  <c:v>186.22684344984526</c:v>
                </c:pt>
                <c:pt idx="69">
                  <c:v>184.89732270084579</c:v>
                </c:pt>
                <c:pt idx="70">
                  <c:v>181.7144282625768</c:v>
                </c:pt>
                <c:pt idx="71">
                  <c:v>183.21400451223647</c:v>
                </c:pt>
                <c:pt idx="72">
                  <c:v>184.82700883853096</c:v>
                </c:pt>
                <c:pt idx="73">
                  <c:v>184.4433695372864</c:v>
                </c:pt>
                <c:pt idx="74">
                  <c:v>178.83304615598843</c:v>
                </c:pt>
                <c:pt idx="75">
                  <c:v>177.51561842567031</c:v>
                </c:pt>
                <c:pt idx="76">
                  <c:v>176.74715766223039</c:v>
                </c:pt>
                <c:pt idx="77">
                  <c:v>175.60257898616652</c:v>
                </c:pt>
                <c:pt idx="78">
                  <c:v>176.08772390187852</c:v>
                </c:pt>
                <c:pt idx="79">
                  <c:v>174.65770412397296</c:v>
                </c:pt>
                <c:pt idx="80">
                  <c:v>173.16097772275828</c:v>
                </c:pt>
                <c:pt idx="81">
                  <c:v>173.76566289678843</c:v>
                </c:pt>
                <c:pt idx="82">
                  <c:v>171.99588895250213</c:v>
                </c:pt>
                <c:pt idx="83">
                  <c:v>171.75989879615429</c:v>
                </c:pt>
                <c:pt idx="84">
                  <c:v>171.54046841742164</c:v>
                </c:pt>
                <c:pt idx="85">
                  <c:v>171.31363303336963</c:v>
                </c:pt>
                <c:pt idx="86">
                  <c:v>171.49873440215706</c:v>
                </c:pt>
                <c:pt idx="87">
                  <c:v>169.67601317563569</c:v>
                </c:pt>
                <c:pt idx="88">
                  <c:v>171.69267662256959</c:v>
                </c:pt>
                <c:pt idx="89">
                  <c:v>175.05143532031704</c:v>
                </c:pt>
                <c:pt idx="90">
                  <c:v>176.32371503398221</c:v>
                </c:pt>
                <c:pt idx="91">
                  <c:v>175.24680751053455</c:v>
                </c:pt>
                <c:pt idx="92">
                  <c:v>175.88270394142265</c:v>
                </c:pt>
                <c:pt idx="93">
                  <c:v>177.45060954899427</c:v>
                </c:pt>
                <c:pt idx="94">
                  <c:v>178.43702444335054</c:v>
                </c:pt>
                <c:pt idx="95">
                  <c:v>179.42990892190815</c:v>
                </c:pt>
                <c:pt idx="96">
                  <c:v>178.41276098627691</c:v>
                </c:pt>
                <c:pt idx="97">
                  <c:v>179.32850021301988</c:v>
                </c:pt>
                <c:pt idx="98">
                  <c:v>179.69342488374207</c:v>
                </c:pt>
                <c:pt idx="99">
                  <c:v>177.18845483082453</c:v>
                </c:pt>
                <c:pt idx="100">
                  <c:v>178.92786056750754</c:v>
                </c:pt>
                <c:pt idx="101">
                  <c:v>177.29668008705164</c:v>
                </c:pt>
                <c:pt idx="102">
                  <c:v>177.48312155628446</c:v>
                </c:pt>
                <c:pt idx="103">
                  <c:v>178.55860897865784</c:v>
                </c:pt>
                <c:pt idx="104">
                  <c:v>178.44880473278005</c:v>
                </c:pt>
                <c:pt idx="105">
                  <c:v>178.89156858136883</c:v>
                </c:pt>
                <c:pt idx="106">
                  <c:v>180.06616526521978</c:v>
                </c:pt>
                <c:pt idx="107">
                  <c:v>180.27913819379003</c:v>
                </c:pt>
                <c:pt idx="108">
                  <c:v>180.42754883378214</c:v>
                </c:pt>
                <c:pt idx="109">
                  <c:v>180.55449578831718</c:v>
                </c:pt>
                <c:pt idx="110">
                  <c:v>180.43871584064911</c:v>
                </c:pt>
                <c:pt idx="111">
                  <c:v>178.79041501478227</c:v>
                </c:pt>
                <c:pt idx="112">
                  <c:v>180.72178809325749</c:v>
                </c:pt>
                <c:pt idx="113">
                  <c:v>183.70797978952993</c:v>
                </c:pt>
                <c:pt idx="114">
                  <c:v>180.55393369659961</c:v>
                </c:pt>
                <c:pt idx="115">
                  <c:v>182.93271198440223</c:v>
                </c:pt>
                <c:pt idx="116">
                  <c:v>182.01187484169191</c:v>
                </c:pt>
                <c:pt idx="117">
                  <c:v>183.19344926208589</c:v>
                </c:pt>
                <c:pt idx="118">
                  <c:v>180.50959506606986</c:v>
                </c:pt>
                <c:pt idx="119">
                  <c:v>181.37827118055793</c:v>
                </c:pt>
                <c:pt idx="120">
                  <c:v>185.23949209908798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9B-48F5-B65B-3BADFEF53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6705263"/>
        <c:axId val="416709423"/>
      </c:lineChart>
      <c:catAx>
        <c:axId val="416705263"/>
        <c:scaling>
          <c:orientation val="maxMin"/>
        </c:scaling>
        <c:delete val="0"/>
        <c:axPos val="b"/>
        <c:numFmt formatCode="[$-409]m/d/yy\ h:mm\ AM/P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709423"/>
        <c:crosses val="autoZero"/>
        <c:auto val="0"/>
        <c:lblAlgn val="ctr"/>
        <c:lblOffset val="100"/>
        <c:noMultiLvlLbl val="0"/>
      </c:catAx>
      <c:valAx>
        <c:axId val="416709423"/>
        <c:scaling>
          <c:orientation val="minMax"/>
          <c:max val="204.86055713323492"/>
          <c:min val="167.7103983491444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705263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'Hist prices'!$AE$8</c:f>
          <c:strCache>
            <c:ptCount val="1"/>
            <c:pt idx="0">
              <c:v>Historical Prices based upon 5 days with an Hourly Return Interval</c:v>
            </c:pt>
          </c:strCache>
        </c:strRef>
      </c:tx>
      <c:layout>
        <c:manualLayout>
          <c:xMode val="edge"/>
          <c:yMode val="edge"/>
          <c:x val="0.15759549620262822"/>
          <c:y val="2.46002460024600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3434425514823992E-2"/>
          <c:y val="0.1294280442804428"/>
          <c:w val="0.91640936585214883"/>
          <c:h val="0.64121025462223125"/>
        </c:manualLayout>
      </c:layout>
      <c:lineChart>
        <c:grouping val="standard"/>
        <c:varyColors val="0"/>
        <c:ser>
          <c:idx val="0"/>
          <c:order val="0"/>
          <c:tx>
            <c:strRef>
              <c:f>'Hist prices'!$C$4</c:f>
              <c:strCache>
                <c:ptCount val="1"/>
                <c:pt idx="0">
                  <c:v>XMR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20"/>
              <c:tx>
                <c:rich>
                  <a:bodyPr/>
                  <a:lstStyle/>
                  <a:p>
                    <a:r>
                      <a:rPr lang="en-US"/>
                      <a:t>XMR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8F9-4954-B607-0B76E3A23A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'Hist prices'!$C$10:$C$130</c:f>
              <c:numCache>
                <c:formatCode>[$-409]m/d/yy\ h:mm\ AM/PM;@</c:formatCode>
                <c:ptCount val="121"/>
                <c:pt idx="0">
                  <c:v>44713.714884259258</c:v>
                </c:pt>
                <c:pt idx="1">
                  <c:v>44713.710080509256</c:v>
                </c:pt>
                <c:pt idx="2">
                  <c:v>44713.667659004626</c:v>
                </c:pt>
                <c:pt idx="3">
                  <c:v>44713.627241898146</c:v>
                </c:pt>
                <c:pt idx="4">
                  <c:v>44713.584309560189</c:v>
                </c:pt>
                <c:pt idx="5">
                  <c:v>44713.543640219905</c:v>
                </c:pt>
                <c:pt idx="6">
                  <c:v>44713.50164253472</c:v>
                </c:pt>
                <c:pt idx="7">
                  <c:v>44713.459885127311</c:v>
                </c:pt>
                <c:pt idx="8">
                  <c:v>44713.41726681713</c:v>
                </c:pt>
                <c:pt idx="9">
                  <c:v>44713.38033295139</c:v>
                </c:pt>
                <c:pt idx="10">
                  <c:v>44713.333608171299</c:v>
                </c:pt>
                <c:pt idx="11">
                  <c:v>44713.293959178241</c:v>
                </c:pt>
                <c:pt idx="12">
                  <c:v>44713.251158935185</c:v>
                </c:pt>
                <c:pt idx="13">
                  <c:v>44713.21036287037</c:v>
                </c:pt>
                <c:pt idx="14">
                  <c:v>44713.167989409725</c:v>
                </c:pt>
                <c:pt idx="15">
                  <c:v>44713.1257974537</c:v>
                </c:pt>
                <c:pt idx="16">
                  <c:v>44713.08455013889</c:v>
                </c:pt>
                <c:pt idx="17">
                  <c:v>44713.043044745369</c:v>
                </c:pt>
                <c:pt idx="18">
                  <c:v>44713.001626377314</c:v>
                </c:pt>
                <c:pt idx="19">
                  <c:v>44712.959451261573</c:v>
                </c:pt>
                <c:pt idx="20">
                  <c:v>44712.918911550929</c:v>
                </c:pt>
                <c:pt idx="21">
                  <c:v>44712.877353634256</c:v>
                </c:pt>
                <c:pt idx="22">
                  <c:v>44712.83363940972</c:v>
                </c:pt>
                <c:pt idx="23">
                  <c:v>44712.792568252313</c:v>
                </c:pt>
                <c:pt idx="24">
                  <c:v>44712.752508124999</c:v>
                </c:pt>
                <c:pt idx="25">
                  <c:v>44712.710225000003</c:v>
                </c:pt>
                <c:pt idx="26">
                  <c:v>44712.668994120373</c:v>
                </c:pt>
                <c:pt idx="27">
                  <c:v>44712.626174305558</c:v>
                </c:pt>
                <c:pt idx="28">
                  <c:v>44712.584559641204</c:v>
                </c:pt>
                <c:pt idx="29">
                  <c:v>44712.542923483794</c:v>
                </c:pt>
                <c:pt idx="30">
                  <c:v>44712.502526469907</c:v>
                </c:pt>
                <c:pt idx="31">
                  <c:v>44712.460236412036</c:v>
                </c:pt>
                <c:pt idx="32">
                  <c:v>44712.41858759259</c:v>
                </c:pt>
                <c:pt idx="33">
                  <c:v>44712.376310694446</c:v>
                </c:pt>
                <c:pt idx="34">
                  <c:v>44712.33524148148</c:v>
                </c:pt>
                <c:pt idx="35">
                  <c:v>44712.292517291666</c:v>
                </c:pt>
                <c:pt idx="36">
                  <c:v>44712.251281863428</c:v>
                </c:pt>
                <c:pt idx="37">
                  <c:v>44712.210052986113</c:v>
                </c:pt>
                <c:pt idx="38">
                  <c:v>44712.168390312501</c:v>
                </c:pt>
                <c:pt idx="39">
                  <c:v>44712.126698657405</c:v>
                </c:pt>
                <c:pt idx="40">
                  <c:v>44712.085551643519</c:v>
                </c:pt>
                <c:pt idx="41">
                  <c:v>44712.045020439815</c:v>
                </c:pt>
                <c:pt idx="42">
                  <c:v>44712.002025208334</c:v>
                </c:pt>
                <c:pt idx="43">
                  <c:v>44711.959506840278</c:v>
                </c:pt>
                <c:pt idx="44">
                  <c:v>44711.917002164351</c:v>
                </c:pt>
                <c:pt idx="45">
                  <c:v>44711.876116053238</c:v>
                </c:pt>
                <c:pt idx="46">
                  <c:v>44711.834584131946</c:v>
                </c:pt>
                <c:pt idx="47">
                  <c:v>44711.79444528935</c:v>
                </c:pt>
                <c:pt idx="48">
                  <c:v>44711.751887465274</c:v>
                </c:pt>
                <c:pt idx="49">
                  <c:v>44711.709744375003</c:v>
                </c:pt>
                <c:pt idx="50">
                  <c:v>44711.667513564818</c:v>
                </c:pt>
                <c:pt idx="51">
                  <c:v>44711.625593391203</c:v>
                </c:pt>
                <c:pt idx="52">
                  <c:v>44711.58444766204</c:v>
                </c:pt>
                <c:pt idx="53">
                  <c:v>44711.54422596065</c:v>
                </c:pt>
                <c:pt idx="54">
                  <c:v>44711.502032893521</c:v>
                </c:pt>
                <c:pt idx="55">
                  <c:v>44711.460498217595</c:v>
                </c:pt>
                <c:pt idx="56">
                  <c:v>44711.419574074076</c:v>
                </c:pt>
                <c:pt idx="57">
                  <c:v>44711.378516087963</c:v>
                </c:pt>
                <c:pt idx="58">
                  <c:v>44711.335019293983</c:v>
                </c:pt>
                <c:pt idx="59">
                  <c:v>44711.292519409719</c:v>
                </c:pt>
                <c:pt idx="60">
                  <c:v>44711.25100207176</c:v>
                </c:pt>
                <c:pt idx="61">
                  <c:v>44711.209144768516</c:v>
                </c:pt>
                <c:pt idx="62">
                  <c:v>44711.168392604166</c:v>
                </c:pt>
                <c:pt idx="63">
                  <c:v>44711.126823541665</c:v>
                </c:pt>
                <c:pt idx="64">
                  <c:v>44711.085680439814</c:v>
                </c:pt>
                <c:pt idx="65">
                  <c:v>44711.043305925923</c:v>
                </c:pt>
                <c:pt idx="66">
                  <c:v>44711.00258763889</c:v>
                </c:pt>
                <c:pt idx="67">
                  <c:v>44710.958720266201</c:v>
                </c:pt>
                <c:pt idx="68">
                  <c:v>44710.917072719909</c:v>
                </c:pt>
                <c:pt idx="69">
                  <c:v>44710.875985254628</c:v>
                </c:pt>
                <c:pt idx="70">
                  <c:v>44710.834938414351</c:v>
                </c:pt>
                <c:pt idx="71">
                  <c:v>44710.794689050927</c:v>
                </c:pt>
                <c:pt idx="72">
                  <c:v>44710.750652349539</c:v>
                </c:pt>
                <c:pt idx="73">
                  <c:v>44710.710095659721</c:v>
                </c:pt>
                <c:pt idx="74">
                  <c:v>44710.66855736111</c:v>
                </c:pt>
                <c:pt idx="75">
                  <c:v>44710.626899675925</c:v>
                </c:pt>
                <c:pt idx="76">
                  <c:v>44710.584955636572</c:v>
                </c:pt>
                <c:pt idx="77">
                  <c:v>44710.542140543985</c:v>
                </c:pt>
                <c:pt idx="78">
                  <c:v>44710.500337013887</c:v>
                </c:pt>
                <c:pt idx="79">
                  <c:v>44710.460543854169</c:v>
                </c:pt>
                <c:pt idx="80">
                  <c:v>44710.417141874997</c:v>
                </c:pt>
                <c:pt idx="81">
                  <c:v>44710.376426168979</c:v>
                </c:pt>
                <c:pt idx="82">
                  <c:v>44710.334313946762</c:v>
                </c:pt>
                <c:pt idx="83">
                  <c:v>44710.294285706019</c:v>
                </c:pt>
                <c:pt idx="84">
                  <c:v>44710.25095159722</c:v>
                </c:pt>
                <c:pt idx="85">
                  <c:v>44710.2094300463</c:v>
                </c:pt>
                <c:pt idx="86">
                  <c:v>44710.166782256943</c:v>
                </c:pt>
                <c:pt idx="87">
                  <c:v>44710.126497349534</c:v>
                </c:pt>
                <c:pt idx="88">
                  <c:v>44710.083924583334</c:v>
                </c:pt>
                <c:pt idx="89">
                  <c:v>44710.047424548611</c:v>
                </c:pt>
                <c:pt idx="90">
                  <c:v>44710.001210335649</c:v>
                </c:pt>
                <c:pt idx="91">
                  <c:v>44709.960327997687</c:v>
                </c:pt>
                <c:pt idx="92">
                  <c:v>44709.918714131942</c:v>
                </c:pt>
                <c:pt idx="93">
                  <c:v>44709.875583356479</c:v>
                </c:pt>
                <c:pt idx="94">
                  <c:v>44709.835246516202</c:v>
                </c:pt>
                <c:pt idx="95">
                  <c:v>44709.792750624998</c:v>
                </c:pt>
                <c:pt idx="96">
                  <c:v>44709.752531516206</c:v>
                </c:pt>
                <c:pt idx="97">
                  <c:v>44709.710525659721</c:v>
                </c:pt>
                <c:pt idx="98">
                  <c:v>44709.667585694442</c:v>
                </c:pt>
                <c:pt idx="99">
                  <c:v>44709.626843634258</c:v>
                </c:pt>
                <c:pt idx="100">
                  <c:v>44709.585927766202</c:v>
                </c:pt>
                <c:pt idx="101">
                  <c:v>44709.541945497687</c:v>
                </c:pt>
                <c:pt idx="102">
                  <c:v>44709.501135069448</c:v>
                </c:pt>
                <c:pt idx="103">
                  <c:v>44709.460050671296</c:v>
                </c:pt>
                <c:pt idx="104">
                  <c:v>44709.417074999998</c:v>
                </c:pt>
                <c:pt idx="105">
                  <c:v>44709.377482071759</c:v>
                </c:pt>
                <c:pt idx="106">
                  <c:v>44709.334706307869</c:v>
                </c:pt>
                <c:pt idx="107">
                  <c:v>44709.292821909723</c:v>
                </c:pt>
                <c:pt idx="108">
                  <c:v>44709.251242754632</c:v>
                </c:pt>
                <c:pt idx="109">
                  <c:v>44709.209182280094</c:v>
                </c:pt>
                <c:pt idx="110">
                  <c:v>44709.16796111111</c:v>
                </c:pt>
                <c:pt idx="111">
                  <c:v>44709.125441377313</c:v>
                </c:pt>
                <c:pt idx="112">
                  <c:v>44709.084990462965</c:v>
                </c:pt>
                <c:pt idx="113">
                  <c:v>44709.04521546296</c:v>
                </c:pt>
                <c:pt idx="114">
                  <c:v>44709.00152056713</c:v>
                </c:pt>
                <c:pt idx="115">
                  <c:v>44708.959050983794</c:v>
                </c:pt>
                <c:pt idx="116">
                  <c:v>44708.91724696759</c:v>
                </c:pt>
                <c:pt idx="117">
                  <c:v>44708.87613034722</c:v>
                </c:pt>
                <c:pt idx="118">
                  <c:v>44708.835478020832</c:v>
                </c:pt>
                <c:pt idx="119">
                  <c:v>44708.79364585648</c:v>
                </c:pt>
                <c:pt idx="120">
                  <c:v>44708.750676631942</c:v>
                </c:pt>
              </c:numCache>
            </c:numRef>
          </c:cat>
          <c:val>
            <c:numRef>
              <c:f>'Hist prices'!$E$10:$E$130</c:f>
              <c:numCache>
                <c:formatCode>0.00%</c:formatCode>
                <c:ptCount val="121"/>
                <c:pt idx="0">
                  <c:v>6.1120824840007512E-2</c:v>
                </c:pt>
                <c:pt idx="1">
                  <c:v>6.4435238899112221E-2</c:v>
                </c:pt>
                <c:pt idx="2">
                  <c:v>7.0965791397179109E-2</c:v>
                </c:pt>
                <c:pt idx="3">
                  <c:v>6.8301358983694341E-2</c:v>
                </c:pt>
                <c:pt idx="4">
                  <c:v>7.6473677683667779E-2</c:v>
                </c:pt>
                <c:pt idx="5">
                  <c:v>6.6901057030231706E-2</c:v>
                </c:pt>
                <c:pt idx="6">
                  <c:v>4.7922375538029416E-2</c:v>
                </c:pt>
                <c:pt idx="7">
                  <c:v>6.0048508558092663E-2</c:v>
                </c:pt>
                <c:pt idx="8">
                  <c:v>6.9114630327583526E-2</c:v>
                </c:pt>
                <c:pt idx="9">
                  <c:v>7.1068879407074764E-2</c:v>
                </c:pt>
                <c:pt idx="10">
                  <c:v>5.3367608181371505E-2</c:v>
                </c:pt>
                <c:pt idx="11">
                  <c:v>6.4829127825970015E-2</c:v>
                </c:pt>
                <c:pt idx="12">
                  <c:v>6.0554119794522257E-2</c:v>
                </c:pt>
                <c:pt idx="13">
                  <c:v>5.8265907046216099E-2</c:v>
                </c:pt>
                <c:pt idx="14">
                  <c:v>5.5907292845322545E-2</c:v>
                </c:pt>
                <c:pt idx="15">
                  <c:v>6.1436350572584487E-2</c:v>
                </c:pt>
                <c:pt idx="16">
                  <c:v>6.4633893876146764E-2</c:v>
                </c:pt>
                <c:pt idx="17">
                  <c:v>7.8213870533074659E-2</c:v>
                </c:pt>
                <c:pt idx="18">
                  <c:v>7.6585894906716884E-2</c:v>
                </c:pt>
                <c:pt idx="19">
                  <c:v>8.1639717176182597E-2</c:v>
                </c:pt>
                <c:pt idx="20">
                  <c:v>6.670611616057831E-2</c:v>
                </c:pt>
                <c:pt idx="21">
                  <c:v>5.6614518184271254E-2</c:v>
                </c:pt>
                <c:pt idx="22">
                  <c:v>4.1538981227549163E-2</c:v>
                </c:pt>
                <c:pt idx="23">
                  <c:v>4.2053809322199119E-2</c:v>
                </c:pt>
                <c:pt idx="24">
                  <c:v>4.8461432852891173E-2</c:v>
                </c:pt>
                <c:pt idx="25">
                  <c:v>5.208993526079661E-2</c:v>
                </c:pt>
                <c:pt idx="26">
                  <c:v>5.387822169864373E-2</c:v>
                </c:pt>
                <c:pt idx="27">
                  <c:v>4.6044536214481499E-2</c:v>
                </c:pt>
                <c:pt idx="28">
                  <c:v>5.7880530170348006E-2</c:v>
                </c:pt>
                <c:pt idx="29">
                  <c:v>6.6230197911390579E-2</c:v>
                </c:pt>
                <c:pt idx="30">
                  <c:v>8.1146348958825845E-2</c:v>
                </c:pt>
                <c:pt idx="31">
                  <c:v>8.2958609955348914E-2</c:v>
                </c:pt>
                <c:pt idx="32">
                  <c:v>9.9584124679499328E-2</c:v>
                </c:pt>
                <c:pt idx="33">
                  <c:v>0.10100703326541915</c:v>
                </c:pt>
                <c:pt idx="34">
                  <c:v>0.10667305107318498</c:v>
                </c:pt>
                <c:pt idx="35">
                  <c:v>9.7656065023070879E-2</c:v>
                </c:pt>
                <c:pt idx="36">
                  <c:v>0.11231636286458625</c:v>
                </c:pt>
                <c:pt idx="37">
                  <c:v>0.10938947546915784</c:v>
                </c:pt>
                <c:pt idx="38">
                  <c:v>9.182455568117559E-2</c:v>
                </c:pt>
                <c:pt idx="39">
                  <c:v>0.10020072580550142</c:v>
                </c:pt>
                <c:pt idx="40">
                  <c:v>9.4646851630131021E-2</c:v>
                </c:pt>
                <c:pt idx="41">
                  <c:v>9.9260716915738637E-2</c:v>
                </c:pt>
                <c:pt idx="42">
                  <c:v>0.10323089889416534</c:v>
                </c:pt>
                <c:pt idx="43">
                  <c:v>0.1085171290805228</c:v>
                </c:pt>
                <c:pt idx="44">
                  <c:v>0.11653389682741683</c:v>
                </c:pt>
                <c:pt idx="45">
                  <c:v>0.10728223737929034</c:v>
                </c:pt>
                <c:pt idx="46">
                  <c:v>7.7202249777638676E-2</c:v>
                </c:pt>
                <c:pt idx="47">
                  <c:v>8.8788546081786698E-2</c:v>
                </c:pt>
                <c:pt idx="48">
                  <c:v>9.437072546188581E-2</c:v>
                </c:pt>
                <c:pt idx="49">
                  <c:v>7.7836466271658564E-2</c:v>
                </c:pt>
                <c:pt idx="50">
                  <c:v>7.5513952042947016E-2</c:v>
                </c:pt>
                <c:pt idx="51">
                  <c:v>5.70704965968079E-2</c:v>
                </c:pt>
                <c:pt idx="52">
                  <c:v>5.2045251177679774E-2</c:v>
                </c:pt>
                <c:pt idx="53">
                  <c:v>3.8037389438433669E-2</c:v>
                </c:pt>
                <c:pt idx="54">
                  <c:v>3.3490316432059117E-2</c:v>
                </c:pt>
                <c:pt idx="55">
                  <c:v>2.4174969936983811E-2</c:v>
                </c:pt>
                <c:pt idx="56">
                  <c:v>3.5074274198273053E-2</c:v>
                </c:pt>
                <c:pt idx="57">
                  <c:v>4.0356876773205784E-2</c:v>
                </c:pt>
                <c:pt idx="58">
                  <c:v>4.3984413968143447E-2</c:v>
                </c:pt>
                <c:pt idx="59">
                  <c:v>4.8217682471408445E-2</c:v>
                </c:pt>
                <c:pt idx="60">
                  <c:v>2.898781114422247E-2</c:v>
                </c:pt>
                <c:pt idx="61">
                  <c:v>1.5365888872154317E-2</c:v>
                </c:pt>
                <c:pt idx="62">
                  <c:v>2.6887014444116054E-2</c:v>
                </c:pt>
                <c:pt idx="63">
                  <c:v>2.7384107555757698E-2</c:v>
                </c:pt>
                <c:pt idx="64">
                  <c:v>1.0269031799294778E-2</c:v>
                </c:pt>
                <c:pt idx="65">
                  <c:v>-5.1549121552116276E-3</c:v>
                </c:pt>
                <c:pt idx="66">
                  <c:v>5.7626474515442491E-3</c:v>
                </c:pt>
                <c:pt idx="67">
                  <c:v>1.2630901160346784E-2</c:v>
                </c:pt>
                <c:pt idx="68">
                  <c:v>5.3301341931402367E-3</c:v>
                </c:pt>
                <c:pt idx="69">
                  <c:v>-1.8471730534607531E-3</c:v>
                </c:pt>
                <c:pt idx="70">
                  <c:v>-1.9029764099253516E-2</c:v>
                </c:pt>
                <c:pt idx="71">
                  <c:v>-1.093442636826083E-2</c:v>
                </c:pt>
                <c:pt idx="72">
                  <c:v>-2.2267565943032276E-3</c:v>
                </c:pt>
                <c:pt idx="73">
                  <c:v>-4.2978014719222031E-3</c:v>
                </c:pt>
                <c:pt idx="74">
                  <c:v>-3.4584665885785473E-2</c:v>
                </c:pt>
                <c:pt idx="75">
                  <c:v>-4.1696689976271531E-2</c:v>
                </c:pt>
                <c:pt idx="76">
                  <c:v>-4.5845161529134863E-2</c:v>
                </c:pt>
                <c:pt idx="77">
                  <c:v>-5.2024074368366882E-2</c:v>
                </c:pt>
                <c:pt idx="78">
                  <c:v>-4.9405059868734773E-2</c:v>
                </c:pt>
                <c:pt idx="79">
                  <c:v>-5.7124902768868682E-2</c:v>
                </c:pt>
                <c:pt idx="80">
                  <c:v>-6.5204855829925773E-2</c:v>
                </c:pt>
                <c:pt idx="81">
                  <c:v>-6.1940513182588489E-2</c:v>
                </c:pt>
                <c:pt idx="82">
                  <c:v>-7.1494490707746106E-2</c:v>
                </c:pt>
                <c:pt idx="83">
                  <c:v>-7.2768463950026452E-2</c:v>
                </c:pt>
                <c:pt idx="84">
                  <c:v>-7.3953040609388468E-2</c:v>
                </c:pt>
                <c:pt idx="85">
                  <c:v>-7.5177592574423385E-2</c:v>
                </c:pt>
                <c:pt idx="86">
                  <c:v>-7.4178338221639828E-2</c:v>
                </c:pt>
                <c:pt idx="87">
                  <c:v>-8.4018147248682298E-2</c:v>
                </c:pt>
                <c:pt idx="88">
                  <c:v>-7.3131357266256983E-2</c:v>
                </c:pt>
                <c:pt idx="89">
                  <c:v>-5.4999377634447219E-2</c:v>
                </c:pt>
                <c:pt idx="90">
                  <c:v>-4.8131081358917568E-2</c:v>
                </c:pt>
                <c:pt idx="91">
                  <c:v>-5.3944677105938948E-2</c:v>
                </c:pt>
                <c:pt idx="92">
                  <c:v>-5.0511843082900583E-2</c:v>
                </c:pt>
                <c:pt idx="93">
                  <c:v>-4.204763499312178E-2</c:v>
                </c:pt>
                <c:pt idx="94">
                  <c:v>-3.6722556182019118E-2</c:v>
                </c:pt>
                <c:pt idx="95">
                  <c:v>-3.1362551858391943E-2</c:v>
                </c:pt>
                <c:pt idx="96">
                  <c:v>-3.6853540438122841E-2</c:v>
                </c:pt>
                <c:pt idx="97">
                  <c:v>-3.1909998343691237E-2</c:v>
                </c:pt>
                <c:pt idx="98">
                  <c:v>-2.9939982843287121E-2</c:v>
                </c:pt>
                <c:pt idx="99">
                  <c:v>-4.3462855447459391E-2</c:v>
                </c:pt>
                <c:pt idx="100">
                  <c:v>-3.4072818166680348E-2</c:v>
                </c:pt>
                <c:pt idx="101">
                  <c:v>-4.287861039797921E-2</c:v>
                </c:pt>
                <c:pt idx="102">
                  <c:v>-4.1872121624337531E-2</c:v>
                </c:pt>
                <c:pt idx="103">
                  <c:v>-3.6066192174919222E-2</c:v>
                </c:pt>
                <c:pt idx="104">
                  <c:v>-3.6658961268774548E-2</c:v>
                </c:pt>
                <c:pt idx="105">
                  <c:v>-3.4268737437066245E-2</c:v>
                </c:pt>
                <c:pt idx="106">
                  <c:v>-2.7927774878052977E-2</c:v>
                </c:pt>
                <c:pt idx="107">
                  <c:v>-2.6778058226614908E-2</c:v>
                </c:pt>
                <c:pt idx="108">
                  <c:v>-2.5976875723303355E-2</c:v>
                </c:pt>
                <c:pt idx="109">
                  <c:v>-2.5291563141755482E-2</c:v>
                </c:pt>
                <c:pt idx="110">
                  <c:v>-2.5916591564993333E-2</c:v>
                </c:pt>
                <c:pt idx="111">
                  <c:v>-3.4814806557858541E-2</c:v>
                </c:pt>
                <c:pt idx="112">
                  <c:v>-2.438844953976603E-2</c:v>
                </c:pt>
                <c:pt idx="113">
                  <c:v>-8.2677418956580775E-3</c:v>
                </c:pt>
                <c:pt idx="114">
                  <c:v>-2.5294597547168708E-2</c:v>
                </c:pt>
                <c:pt idx="115">
                  <c:v>-1.2452960697235187E-2</c:v>
                </c:pt>
                <c:pt idx="116">
                  <c:v>-1.742402346725052E-2</c:v>
                </c:pt>
                <c:pt idx="117">
                  <c:v>-1.1045392177536445E-2</c:v>
                </c:pt>
                <c:pt idx="118">
                  <c:v>-2.5533955958419553E-2</c:v>
                </c:pt>
                <c:pt idx="119">
                  <c:v>-2.0844480163358544E-2</c:v>
                </c:pt>
                <c:pt idx="1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94-4785-A60B-33BDFFAE4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6705263"/>
        <c:axId val="416709423"/>
      </c:lineChart>
      <c:catAx>
        <c:axId val="416705263"/>
        <c:scaling>
          <c:orientation val="maxMin"/>
        </c:scaling>
        <c:delete val="0"/>
        <c:axPos val="b"/>
        <c:numFmt formatCode="[$-409]m/d/yy\ h:mm\ AM/PM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709423"/>
        <c:crosses val="autoZero"/>
        <c:auto val="0"/>
        <c:lblAlgn val="ctr"/>
        <c:lblOffset val="100"/>
        <c:noMultiLvlLbl val="0"/>
      </c:catAx>
      <c:valAx>
        <c:axId val="416709423"/>
        <c:scaling>
          <c:orientation val="minMax"/>
          <c:max val="0.11592268857901675"/>
          <c:min val="-8.4629355497082379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705263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D0EAA66-36AE-4D55-9577-065D07DFC98E}">
  <sheetPr codeName="Chart2">
    <tabColor theme="5" tint="0.39994506668294322"/>
  </sheetPr>
  <sheetViews>
    <sheetView zoomScale="8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https://assets.coingecko.com/coins/images/7598/large/wrapped_bitcoin_wbtc.png?1548822744" TargetMode="External"/><Relationship Id="rId18" Type="http://schemas.openxmlformats.org/officeDocument/2006/relationships/image" Target="https://assets.coingecko.com/coins/images/2/large/litecoin.png?1547033580" TargetMode="External"/><Relationship Id="rId26" Type="http://schemas.openxmlformats.org/officeDocument/2006/relationships/image" Target="https://assets.coingecko.com/coins/images/1481/large/cosmos_hub.png?1555657960" TargetMode="External"/><Relationship Id="rId39" Type="http://schemas.openxmlformats.org/officeDocument/2006/relationships/image" Target="https://assets.coingecko.com/coins/images/878/large/decentraland-mana.png?1550108745" TargetMode="External"/><Relationship Id="rId21" Type="http://schemas.openxmlformats.org/officeDocument/2006/relationships/image" Target="https://assets.coingecko.com/coins/images/10365/large/near_icon.png?1601359077" TargetMode="External"/><Relationship Id="rId34" Type="http://schemas.openxmlformats.org/officeDocument/2006/relationships/image" Target="https://assets.coingecko.com/coins/images/3688/large/hbar.png?1637045634" TargetMode="External"/><Relationship Id="rId42" Type="http://schemas.openxmlformats.org/officeDocument/2006/relationships/image" Target="https://assets.coingecko.com/coins/images/976/large/Tezos-logo.png?1547034862" TargetMode="External"/><Relationship Id="rId7" Type="http://schemas.openxmlformats.org/officeDocument/2006/relationships/image" Target="https://assets.coingecko.com/coins/images/975/large/cardano.png?1547034860" TargetMode="External"/><Relationship Id="rId2" Type="http://schemas.openxmlformats.org/officeDocument/2006/relationships/image" Target="https://assets.coingecko.com/coins/images/279/large/ethereum.png?1595348880" TargetMode="External"/><Relationship Id="rId16" Type="http://schemas.openxmlformats.org/officeDocument/2006/relationships/image" Target="https://assets.coingecko.com/coins/images/11939/large/shiba.png?1622619446" TargetMode="External"/><Relationship Id="rId29" Type="http://schemas.openxmlformats.org/officeDocument/2006/relationships/image" Target="https://assets.coingecko.com/coins/images/69/large/monero_logo.png?1547033729" TargetMode="External"/><Relationship Id="rId1" Type="http://schemas.openxmlformats.org/officeDocument/2006/relationships/image" Target="https://assets.coingecko.com/coins/images/1/large/bitcoin.png?1547033579" TargetMode="External"/><Relationship Id="rId6" Type="http://schemas.openxmlformats.org/officeDocument/2006/relationships/image" Target="https://assets.coingecko.com/coins/images/44/large/xrp-symbol-white-128.png?1605778731" TargetMode="External"/><Relationship Id="rId11" Type="http://schemas.openxmlformats.org/officeDocument/2006/relationships/image" Target="https://assets.coingecko.com/coins/images/5/large/dogecoin.png?1547792256" TargetMode="External"/><Relationship Id="rId24" Type="http://schemas.openxmlformats.org/officeDocument/2006/relationships/image" Target="https://assets.coingecko.com/coins/images/877/large/chainlink-new-logo.png?1547034700" TargetMode="External"/><Relationship Id="rId32" Type="http://schemas.openxmlformats.org/officeDocument/2006/relationships/image" Target="https://assets.coingecko.com/coins/images/12504/large/uniswap-uni.png?1600306604" TargetMode="External"/><Relationship Id="rId37" Type="http://schemas.openxmlformats.org/officeDocument/2006/relationships/image" Target="https://assets.coingecko.com/coins/images/8029/large/1_0YusgngOrriVg4ZYx4wOFQ.png?1553483622" TargetMode="External"/><Relationship Id="rId40" Type="http://schemas.openxmlformats.org/officeDocument/2006/relationships/image" Target="https://assets.coingecko.com/coins/images/12817/large/filecoin.png?1602753933" TargetMode="External"/><Relationship Id="rId45" Type="http://schemas.openxmlformats.org/officeDocument/2006/relationships/image" Target="https://assets.coingecko.com/coins/images/13422/large/frax_logo.png?1608476506" TargetMode="External"/><Relationship Id="rId5" Type="http://schemas.openxmlformats.org/officeDocument/2006/relationships/image" Target="https://assets.coingecko.com/coins/images/825/large/bnb-icon2_2x.png?1644979850" TargetMode="External"/><Relationship Id="rId15" Type="http://schemas.openxmlformats.org/officeDocument/2006/relationships/image" Target="https://assets.coingecko.com/coins/images/1094/large/tron-logo.png?1547035066" TargetMode="External"/><Relationship Id="rId23" Type="http://schemas.openxmlformats.org/officeDocument/2006/relationships/image" Target="https://assets.coingecko.com/coins/images/780/large/bitcoin-cash-circle.png?1594689492" TargetMode="External"/><Relationship Id="rId28" Type="http://schemas.openxmlformats.org/officeDocument/2006/relationships/image" Target="https://assets.coingecko.com/coins/images/4380/large/download.png?1547039725" TargetMode="External"/><Relationship Id="rId36" Type="http://schemas.openxmlformats.org/officeDocument/2006/relationships/image" Target="https://assets.coingecko.com/coins/images/14495/large/Internet_Computer_logo.png?1620703073" TargetMode="External"/><Relationship Id="rId10" Type="http://schemas.openxmlformats.org/officeDocument/2006/relationships/image" Target="https://assets.coingecko.com/coins/images/12171/large/polkadot.png?1639712644" TargetMode="External"/><Relationship Id="rId19" Type="http://schemas.openxmlformats.org/officeDocument/2006/relationships/image" Target="https://assets.coingecko.com/coins/images/4713/large/matic-token-icon.png?1624446912" TargetMode="External"/><Relationship Id="rId31" Type="http://schemas.openxmlformats.org/officeDocument/2006/relationships/image" Target="https://assets.coingecko.com/coins/images/453/large/ethereum-classic-logo.png?1547034169" TargetMode="External"/><Relationship Id="rId44" Type="http://schemas.openxmlformats.org/officeDocument/2006/relationships/image" Target="https://assets.coingecko.com/coins/images/24210/large/Chain_icon_200x200.png?1646895054" TargetMode="External"/><Relationship Id="rId4" Type="http://schemas.openxmlformats.org/officeDocument/2006/relationships/image" Target="https://assets.coingecko.com/coins/images/6319/large/USD_Coin_icon.png?1547042389" TargetMode="External"/><Relationship Id="rId9" Type="http://schemas.openxmlformats.org/officeDocument/2006/relationships/image" Target="https://assets.coingecko.com/coins/images/9576/large/BUSD.png?1568947766" TargetMode="External"/><Relationship Id="rId14" Type="http://schemas.openxmlformats.org/officeDocument/2006/relationships/image" Target="https://assets.coingecko.com/coins/images/13442/large/steth_logo.png?1608607546" TargetMode="External"/><Relationship Id="rId22" Type="http://schemas.openxmlformats.org/officeDocument/2006/relationships/image" Target="https://assets.coingecko.com/coins/images/9026/large/F.png?1609051564" TargetMode="External"/><Relationship Id="rId27" Type="http://schemas.openxmlformats.org/officeDocument/2006/relationships/image" Target="https://assets.coingecko.com/coins/images/4463/large/WeChat_Image_20220118095654.png?1642471050" TargetMode="External"/><Relationship Id="rId30" Type="http://schemas.openxmlformats.org/officeDocument/2006/relationships/image" Target="https://assets.coingecko.com/coins/images/13446/large/5f6294c0c7a8cda55cb1c936_Flow_Wordmark.png?1631696776" TargetMode="External"/><Relationship Id="rId35" Type="http://schemas.openxmlformats.org/officeDocument/2006/relationships/image" Target="https://assets.coingecko.com/coins/images/1167/large/VeChain-Logo-768x725.png?1547035194" TargetMode="External"/><Relationship Id="rId43" Type="http://schemas.openxmlformats.org/officeDocument/2006/relationships/image" Target="https://assets.coingecko.com/coins/images/11757/large/symbol-defi-blockchain_200.png?1597306538" TargetMode="External"/><Relationship Id="rId8" Type="http://schemas.openxmlformats.org/officeDocument/2006/relationships/image" Target="https://assets.coingecko.com/coins/images/4128/large/solana.png?1640133422" TargetMode="External"/><Relationship Id="rId3" Type="http://schemas.openxmlformats.org/officeDocument/2006/relationships/image" Target="https://assets.coingecko.com/coins/images/325/large/Tether-logo.png?1598003707" TargetMode="External"/><Relationship Id="rId12" Type="http://schemas.openxmlformats.org/officeDocument/2006/relationships/image" Target="https://assets.coingecko.com/coins/images/12559/large/coin-round-red.png?1604021818" TargetMode="External"/><Relationship Id="rId17" Type="http://schemas.openxmlformats.org/officeDocument/2006/relationships/image" Target="https://assets.coingecko.com/coins/images/9956/large/4943.png?1636636734" TargetMode="External"/><Relationship Id="rId25" Type="http://schemas.openxmlformats.org/officeDocument/2006/relationships/image" Target="https://assets.coingecko.com/coins/images/100/large/Stellar_symbol_black_RGB.png?1552356157" TargetMode="External"/><Relationship Id="rId33" Type="http://schemas.openxmlformats.org/officeDocument/2006/relationships/image" Target="https://assets.coingecko.com/coins/images/12335/large/elrond3_360.png?1626341589" TargetMode="External"/><Relationship Id="rId38" Type="http://schemas.openxmlformats.org/officeDocument/2006/relationships/image" Target="https://assets.coingecko.com/coins/images/16786/large/mimlogopng.png?1624979612" TargetMode="External"/><Relationship Id="rId46" Type="http://schemas.openxmlformats.org/officeDocument/2006/relationships/image" Target="https://assets.coingecko.com/coins/images/1047/large/sa9z79.png?1610678720" TargetMode="External"/><Relationship Id="rId20" Type="http://schemas.openxmlformats.org/officeDocument/2006/relationships/image" Target="https://assets.coingecko.com/coins/images/8418/large/leo-token.png?1558326215" TargetMode="External"/><Relationship Id="rId41" Type="http://schemas.openxmlformats.org/officeDocument/2006/relationships/image" Target="https://assets.coingecko.com/coins/images/13029/large/axie_infinity_logo.png?1604471082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121920</xdr:colOff>
      <xdr:row>2</xdr:row>
      <xdr:rowOff>137160</xdr:rowOff>
    </xdr:from>
    <xdr:to>
      <xdr:col>2</xdr:col>
      <xdr:colOff>754380</xdr:colOff>
      <xdr:row>4</xdr:row>
      <xdr:rowOff>60960</xdr:rowOff>
    </xdr:to>
    <xdr:sp macro="[0]!Update_Tab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30862EF-8BC1-7828-7B8E-96276260F93E}"/>
            </a:ext>
          </a:extLst>
        </xdr:cNvPr>
        <xdr:cNvSpPr/>
      </xdr:nvSpPr>
      <xdr:spPr>
        <a:xfrm>
          <a:off x="731520" y="502920"/>
          <a:ext cx="1386840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      Update Chart</a:t>
          </a:r>
        </a:p>
      </xdr:txBody>
    </xdr:sp>
    <xdr:clientData/>
  </xdr:twoCellAnchor>
  <xdr:twoCellAnchor>
    <xdr:from>
      <xdr:col>1</xdr:col>
      <xdr:colOff>7620</xdr:colOff>
      <xdr:row>0</xdr:row>
      <xdr:rowOff>137160</xdr:rowOff>
    </xdr:from>
    <xdr:to>
      <xdr:col>2</xdr:col>
      <xdr:colOff>891540</xdr:colOff>
      <xdr:row>2</xdr:row>
      <xdr:rowOff>53340</xdr:rowOff>
    </xdr:to>
    <xdr:sp macro="[0]!Refresh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970A692-3DE4-420A-902E-7828D1294BF4}"/>
            </a:ext>
          </a:extLst>
        </xdr:cNvPr>
        <xdr:cNvSpPr/>
      </xdr:nvSpPr>
      <xdr:spPr>
        <a:xfrm>
          <a:off x="617220" y="137160"/>
          <a:ext cx="1638300" cy="2819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      Refresh</a:t>
          </a:r>
          <a:r>
            <a:rPr lang="en-US" sz="1100" baseline="0"/>
            <a:t> Dashboard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674" cy="62820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DD3E28-72AE-7A5D-4C69-56282223D7E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</xdr:colOff>
      <xdr:row>3</xdr:row>
      <xdr:rowOff>68580</xdr:rowOff>
    </xdr:from>
    <xdr:to>
      <xdr:col>2</xdr:col>
      <xdr:colOff>152400</xdr:colOff>
      <xdr:row>3</xdr:row>
      <xdr:rowOff>160020</xdr:rowOff>
    </xdr:to>
    <xdr:sp macro="[0]!URLPictureInsert" textlink="">
      <xdr:nvSpPr>
        <xdr:cNvPr id="1148" name="Star: 7 Points 1147">
          <a:extLst>
            <a:ext uri="{FF2B5EF4-FFF2-40B4-BE49-F238E27FC236}">
              <a16:creationId xmlns:a16="http://schemas.microsoft.com/office/drawing/2014/main" id="{00000000-0008-0000-0200-00007C040000}"/>
            </a:ext>
          </a:extLst>
        </xdr:cNvPr>
        <xdr:cNvSpPr/>
      </xdr:nvSpPr>
      <xdr:spPr>
        <a:xfrm>
          <a:off x="1478280" y="617220"/>
          <a:ext cx="121920" cy="91440"/>
        </a:xfrm>
        <a:prstGeom prst="star7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200025</xdr:colOff>
      <xdr:row>4</xdr:row>
      <xdr:rowOff>27940</xdr:rowOff>
    </xdr:from>
    <xdr:to>
      <xdr:col>2</xdr:col>
      <xdr:colOff>333375</xdr:colOff>
      <xdr:row>4</xdr:row>
      <xdr:rowOff>154940</xdr:rowOff>
    </xdr:to>
    <xdr:pic>
      <xdr:nvPicPr>
        <xdr:cNvPr id="1056" name="Picture 1055">
          <a:extLst>
            <a:ext uri="{FF2B5EF4-FFF2-40B4-BE49-F238E27FC236}">
              <a16:creationId xmlns:a16="http://schemas.microsoft.com/office/drawing/2014/main" id="{00000000-0008-0000-02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64005" y="75946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5</xdr:row>
      <xdr:rowOff>27940</xdr:rowOff>
    </xdr:from>
    <xdr:to>
      <xdr:col>2</xdr:col>
      <xdr:colOff>333375</xdr:colOff>
      <xdr:row>5</xdr:row>
      <xdr:rowOff>154940</xdr:rowOff>
    </xdr:to>
    <xdr:pic>
      <xdr:nvPicPr>
        <xdr:cNvPr id="1058" name="Picture 1057">
          <a:extLst>
            <a:ext uri="{FF2B5EF4-FFF2-40B4-BE49-F238E27FC236}">
              <a16:creationId xmlns:a16="http://schemas.microsoft.com/office/drawing/2014/main" id="{00000000-0008-0000-02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564005" y="94234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6</xdr:row>
      <xdr:rowOff>27940</xdr:rowOff>
    </xdr:from>
    <xdr:to>
      <xdr:col>2</xdr:col>
      <xdr:colOff>333375</xdr:colOff>
      <xdr:row>6</xdr:row>
      <xdr:rowOff>154940</xdr:rowOff>
    </xdr:to>
    <xdr:pic>
      <xdr:nvPicPr>
        <xdr:cNvPr id="1060" name="Picture 1059">
          <a:extLst>
            <a:ext uri="{FF2B5EF4-FFF2-40B4-BE49-F238E27FC236}">
              <a16:creationId xmlns:a16="http://schemas.microsoft.com/office/drawing/2014/main" id="{00000000-0008-0000-02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64005" y="112522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7</xdr:row>
      <xdr:rowOff>27940</xdr:rowOff>
    </xdr:from>
    <xdr:to>
      <xdr:col>2</xdr:col>
      <xdr:colOff>333375</xdr:colOff>
      <xdr:row>7</xdr:row>
      <xdr:rowOff>154940</xdr:rowOff>
    </xdr:to>
    <xdr:pic>
      <xdr:nvPicPr>
        <xdr:cNvPr id="1062" name="Picture 1061">
          <a:extLst>
            <a:ext uri="{FF2B5EF4-FFF2-40B4-BE49-F238E27FC236}">
              <a16:creationId xmlns:a16="http://schemas.microsoft.com/office/drawing/2014/main" id="{00000000-0008-0000-02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564005" y="130810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8</xdr:row>
      <xdr:rowOff>27940</xdr:rowOff>
    </xdr:from>
    <xdr:to>
      <xdr:col>2</xdr:col>
      <xdr:colOff>333375</xdr:colOff>
      <xdr:row>8</xdr:row>
      <xdr:rowOff>154940</xdr:rowOff>
    </xdr:to>
    <xdr:pic>
      <xdr:nvPicPr>
        <xdr:cNvPr id="1064" name="Picture 1063">
          <a:extLst>
            <a:ext uri="{FF2B5EF4-FFF2-40B4-BE49-F238E27FC236}">
              <a16:creationId xmlns:a16="http://schemas.microsoft.com/office/drawing/2014/main" id="{00000000-0008-0000-02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564005" y="149098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9</xdr:row>
      <xdr:rowOff>27940</xdr:rowOff>
    </xdr:from>
    <xdr:to>
      <xdr:col>2</xdr:col>
      <xdr:colOff>333375</xdr:colOff>
      <xdr:row>9</xdr:row>
      <xdr:rowOff>154940</xdr:rowOff>
    </xdr:to>
    <xdr:pic>
      <xdr:nvPicPr>
        <xdr:cNvPr id="1066" name="Picture 1065">
          <a:extLst>
            <a:ext uri="{FF2B5EF4-FFF2-40B4-BE49-F238E27FC236}">
              <a16:creationId xmlns:a16="http://schemas.microsoft.com/office/drawing/2014/main" id="{00000000-0008-0000-02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564005" y="167386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10</xdr:row>
      <xdr:rowOff>27940</xdr:rowOff>
    </xdr:from>
    <xdr:to>
      <xdr:col>2</xdr:col>
      <xdr:colOff>333375</xdr:colOff>
      <xdr:row>10</xdr:row>
      <xdr:rowOff>154940</xdr:rowOff>
    </xdr:to>
    <xdr:pic>
      <xdr:nvPicPr>
        <xdr:cNvPr id="1068" name="Picture 1067">
          <a:extLst>
            <a:ext uri="{FF2B5EF4-FFF2-40B4-BE49-F238E27FC236}">
              <a16:creationId xmlns:a16="http://schemas.microsoft.com/office/drawing/2014/main" id="{00000000-0008-0000-02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564005" y="185674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11</xdr:row>
      <xdr:rowOff>27940</xdr:rowOff>
    </xdr:from>
    <xdr:to>
      <xdr:col>2</xdr:col>
      <xdr:colOff>333375</xdr:colOff>
      <xdr:row>11</xdr:row>
      <xdr:rowOff>154940</xdr:rowOff>
    </xdr:to>
    <xdr:pic>
      <xdr:nvPicPr>
        <xdr:cNvPr id="1070" name="Picture 1069">
          <a:extLst>
            <a:ext uri="{FF2B5EF4-FFF2-40B4-BE49-F238E27FC236}">
              <a16:creationId xmlns:a16="http://schemas.microsoft.com/office/drawing/2014/main" id="{00000000-0008-0000-02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564005" y="203962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12</xdr:row>
      <xdr:rowOff>27940</xdr:rowOff>
    </xdr:from>
    <xdr:to>
      <xdr:col>2</xdr:col>
      <xdr:colOff>333375</xdr:colOff>
      <xdr:row>12</xdr:row>
      <xdr:rowOff>154940</xdr:rowOff>
    </xdr:to>
    <xdr:pic>
      <xdr:nvPicPr>
        <xdr:cNvPr id="1072" name="Picture 1071">
          <a:extLst>
            <a:ext uri="{FF2B5EF4-FFF2-40B4-BE49-F238E27FC236}">
              <a16:creationId xmlns:a16="http://schemas.microsoft.com/office/drawing/2014/main" id="{00000000-0008-0000-02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564005" y="222250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13</xdr:row>
      <xdr:rowOff>27940</xdr:rowOff>
    </xdr:from>
    <xdr:to>
      <xdr:col>2</xdr:col>
      <xdr:colOff>333375</xdr:colOff>
      <xdr:row>13</xdr:row>
      <xdr:rowOff>154940</xdr:rowOff>
    </xdr:to>
    <xdr:pic>
      <xdr:nvPicPr>
        <xdr:cNvPr id="1074" name="Picture 1073">
          <a:extLst>
            <a:ext uri="{FF2B5EF4-FFF2-40B4-BE49-F238E27FC236}">
              <a16:creationId xmlns:a16="http://schemas.microsoft.com/office/drawing/2014/main" id="{00000000-0008-0000-02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1564005" y="240538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14</xdr:row>
      <xdr:rowOff>27940</xdr:rowOff>
    </xdr:from>
    <xdr:to>
      <xdr:col>2</xdr:col>
      <xdr:colOff>333375</xdr:colOff>
      <xdr:row>14</xdr:row>
      <xdr:rowOff>154940</xdr:rowOff>
    </xdr:to>
    <xdr:pic>
      <xdr:nvPicPr>
        <xdr:cNvPr id="1076" name="Picture 1075">
          <a:extLst>
            <a:ext uri="{FF2B5EF4-FFF2-40B4-BE49-F238E27FC236}">
              <a16:creationId xmlns:a16="http://schemas.microsoft.com/office/drawing/2014/main" id="{00000000-0008-0000-02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1564005" y="258826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15</xdr:row>
      <xdr:rowOff>27940</xdr:rowOff>
    </xdr:from>
    <xdr:to>
      <xdr:col>2</xdr:col>
      <xdr:colOff>333375</xdr:colOff>
      <xdr:row>15</xdr:row>
      <xdr:rowOff>154940</xdr:rowOff>
    </xdr:to>
    <xdr:pic>
      <xdr:nvPicPr>
        <xdr:cNvPr id="1078" name="Picture 1077">
          <a:extLst>
            <a:ext uri="{FF2B5EF4-FFF2-40B4-BE49-F238E27FC236}">
              <a16:creationId xmlns:a16="http://schemas.microsoft.com/office/drawing/2014/main" id="{00000000-0008-0000-02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1564005" y="277114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16</xdr:row>
      <xdr:rowOff>27940</xdr:rowOff>
    </xdr:from>
    <xdr:to>
      <xdr:col>2</xdr:col>
      <xdr:colOff>333375</xdr:colOff>
      <xdr:row>16</xdr:row>
      <xdr:rowOff>154940</xdr:rowOff>
    </xdr:to>
    <xdr:pic>
      <xdr:nvPicPr>
        <xdr:cNvPr id="1080" name="Picture 1079">
          <a:extLst>
            <a:ext uri="{FF2B5EF4-FFF2-40B4-BE49-F238E27FC236}">
              <a16:creationId xmlns:a16="http://schemas.microsoft.com/office/drawing/2014/main" id="{00000000-0008-0000-02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1564005" y="295402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17</xdr:row>
      <xdr:rowOff>27940</xdr:rowOff>
    </xdr:from>
    <xdr:to>
      <xdr:col>2</xdr:col>
      <xdr:colOff>333375</xdr:colOff>
      <xdr:row>17</xdr:row>
      <xdr:rowOff>154940</xdr:rowOff>
    </xdr:to>
    <xdr:pic>
      <xdr:nvPicPr>
        <xdr:cNvPr id="1082" name="Picture 1081">
          <a:extLst>
            <a:ext uri="{FF2B5EF4-FFF2-40B4-BE49-F238E27FC236}">
              <a16:creationId xmlns:a16="http://schemas.microsoft.com/office/drawing/2014/main" id="{00000000-0008-0000-02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1564005" y="313690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18</xdr:row>
      <xdr:rowOff>27940</xdr:rowOff>
    </xdr:from>
    <xdr:to>
      <xdr:col>2</xdr:col>
      <xdr:colOff>333375</xdr:colOff>
      <xdr:row>18</xdr:row>
      <xdr:rowOff>154940</xdr:rowOff>
    </xdr:to>
    <xdr:pic>
      <xdr:nvPicPr>
        <xdr:cNvPr id="1084" name="Picture 1083">
          <a:extLst>
            <a:ext uri="{FF2B5EF4-FFF2-40B4-BE49-F238E27FC236}">
              <a16:creationId xmlns:a16="http://schemas.microsoft.com/office/drawing/2014/main" id="{00000000-0008-0000-02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1564005" y="331978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19</xdr:row>
      <xdr:rowOff>27940</xdr:rowOff>
    </xdr:from>
    <xdr:to>
      <xdr:col>2</xdr:col>
      <xdr:colOff>333375</xdr:colOff>
      <xdr:row>19</xdr:row>
      <xdr:rowOff>154940</xdr:rowOff>
    </xdr:to>
    <xdr:pic>
      <xdr:nvPicPr>
        <xdr:cNvPr id="1086" name="Picture 1085">
          <a:extLst>
            <a:ext uri="{FF2B5EF4-FFF2-40B4-BE49-F238E27FC236}">
              <a16:creationId xmlns:a16="http://schemas.microsoft.com/office/drawing/2014/main" id="{00000000-0008-0000-02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1564005" y="350266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20</xdr:row>
      <xdr:rowOff>27940</xdr:rowOff>
    </xdr:from>
    <xdr:to>
      <xdr:col>2</xdr:col>
      <xdr:colOff>333375</xdr:colOff>
      <xdr:row>20</xdr:row>
      <xdr:rowOff>154940</xdr:rowOff>
    </xdr:to>
    <xdr:pic>
      <xdr:nvPicPr>
        <xdr:cNvPr id="1088" name="Picture 1087">
          <a:extLst>
            <a:ext uri="{FF2B5EF4-FFF2-40B4-BE49-F238E27FC236}">
              <a16:creationId xmlns:a16="http://schemas.microsoft.com/office/drawing/2014/main" id="{00000000-0008-0000-0200-00004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1564005" y="368554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21</xdr:row>
      <xdr:rowOff>27940</xdr:rowOff>
    </xdr:from>
    <xdr:to>
      <xdr:col>2</xdr:col>
      <xdr:colOff>333375</xdr:colOff>
      <xdr:row>21</xdr:row>
      <xdr:rowOff>154940</xdr:rowOff>
    </xdr:to>
    <xdr:pic>
      <xdr:nvPicPr>
        <xdr:cNvPr id="1090" name="Picture 1089">
          <a:extLst>
            <a:ext uri="{FF2B5EF4-FFF2-40B4-BE49-F238E27FC236}">
              <a16:creationId xmlns:a16="http://schemas.microsoft.com/office/drawing/2014/main" id="{00000000-0008-0000-0200-00004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1564005" y="386842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23</xdr:row>
      <xdr:rowOff>27940</xdr:rowOff>
    </xdr:from>
    <xdr:to>
      <xdr:col>2</xdr:col>
      <xdr:colOff>333375</xdr:colOff>
      <xdr:row>23</xdr:row>
      <xdr:rowOff>154940</xdr:rowOff>
    </xdr:to>
    <xdr:pic>
      <xdr:nvPicPr>
        <xdr:cNvPr id="1092" name="Picture 1091">
          <a:extLst>
            <a:ext uri="{FF2B5EF4-FFF2-40B4-BE49-F238E27FC236}">
              <a16:creationId xmlns:a16="http://schemas.microsoft.com/office/drawing/2014/main" id="{00000000-0008-0000-0200-00004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1564005" y="423418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24</xdr:row>
      <xdr:rowOff>27940</xdr:rowOff>
    </xdr:from>
    <xdr:to>
      <xdr:col>2</xdr:col>
      <xdr:colOff>333375</xdr:colOff>
      <xdr:row>24</xdr:row>
      <xdr:rowOff>154940</xdr:rowOff>
    </xdr:to>
    <xdr:pic>
      <xdr:nvPicPr>
        <xdr:cNvPr id="1094" name="Picture 1093">
          <a:extLst>
            <a:ext uri="{FF2B5EF4-FFF2-40B4-BE49-F238E27FC236}">
              <a16:creationId xmlns:a16="http://schemas.microsoft.com/office/drawing/2014/main" id="{00000000-0008-0000-0200-00004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1564005" y="441706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25</xdr:row>
      <xdr:rowOff>27940</xdr:rowOff>
    </xdr:from>
    <xdr:to>
      <xdr:col>2</xdr:col>
      <xdr:colOff>333375</xdr:colOff>
      <xdr:row>25</xdr:row>
      <xdr:rowOff>154940</xdr:rowOff>
    </xdr:to>
    <xdr:pic>
      <xdr:nvPicPr>
        <xdr:cNvPr id="1096" name="Picture 1095">
          <a:extLst>
            <a:ext uri="{FF2B5EF4-FFF2-40B4-BE49-F238E27FC236}">
              <a16:creationId xmlns:a16="http://schemas.microsoft.com/office/drawing/2014/main" id="{00000000-0008-0000-0200-00004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1564005" y="459994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26</xdr:row>
      <xdr:rowOff>27940</xdr:rowOff>
    </xdr:from>
    <xdr:to>
      <xdr:col>2</xdr:col>
      <xdr:colOff>333375</xdr:colOff>
      <xdr:row>26</xdr:row>
      <xdr:rowOff>154940</xdr:rowOff>
    </xdr:to>
    <xdr:pic>
      <xdr:nvPicPr>
        <xdr:cNvPr id="1098" name="Picture 1097">
          <a:extLst>
            <a:ext uri="{FF2B5EF4-FFF2-40B4-BE49-F238E27FC236}">
              <a16:creationId xmlns:a16="http://schemas.microsoft.com/office/drawing/2014/main" id="{00000000-0008-0000-0200-00004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1564005" y="478282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27</xdr:row>
      <xdr:rowOff>27940</xdr:rowOff>
    </xdr:from>
    <xdr:to>
      <xdr:col>2</xdr:col>
      <xdr:colOff>333375</xdr:colOff>
      <xdr:row>27</xdr:row>
      <xdr:rowOff>154940</xdr:rowOff>
    </xdr:to>
    <xdr:pic>
      <xdr:nvPicPr>
        <xdr:cNvPr id="1100" name="Picture 1099">
          <a:extLst>
            <a:ext uri="{FF2B5EF4-FFF2-40B4-BE49-F238E27FC236}">
              <a16:creationId xmlns:a16="http://schemas.microsoft.com/office/drawing/2014/main" id="{00000000-0008-0000-0200-00004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564005" y="496570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28</xdr:row>
      <xdr:rowOff>27940</xdr:rowOff>
    </xdr:from>
    <xdr:to>
      <xdr:col>2</xdr:col>
      <xdr:colOff>333375</xdr:colOff>
      <xdr:row>28</xdr:row>
      <xdr:rowOff>154940</xdr:rowOff>
    </xdr:to>
    <xdr:pic>
      <xdr:nvPicPr>
        <xdr:cNvPr id="1102" name="Picture 1101">
          <a:extLst>
            <a:ext uri="{FF2B5EF4-FFF2-40B4-BE49-F238E27FC236}">
              <a16:creationId xmlns:a16="http://schemas.microsoft.com/office/drawing/2014/main" id="{00000000-0008-0000-0200-00004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1564005" y="514858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29</xdr:row>
      <xdr:rowOff>27940</xdr:rowOff>
    </xdr:from>
    <xdr:to>
      <xdr:col>2</xdr:col>
      <xdr:colOff>333375</xdr:colOff>
      <xdr:row>29</xdr:row>
      <xdr:rowOff>154940</xdr:rowOff>
    </xdr:to>
    <xdr:pic>
      <xdr:nvPicPr>
        <xdr:cNvPr id="1104" name="Picture 1103">
          <a:extLst>
            <a:ext uri="{FF2B5EF4-FFF2-40B4-BE49-F238E27FC236}">
              <a16:creationId xmlns:a16="http://schemas.microsoft.com/office/drawing/2014/main" id="{00000000-0008-0000-0200-00005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564005" y="533146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30</xdr:row>
      <xdr:rowOff>27940</xdr:rowOff>
    </xdr:from>
    <xdr:to>
      <xdr:col>2</xdr:col>
      <xdr:colOff>333375</xdr:colOff>
      <xdr:row>30</xdr:row>
      <xdr:rowOff>154940</xdr:rowOff>
    </xdr:to>
    <xdr:pic>
      <xdr:nvPicPr>
        <xdr:cNvPr id="1106" name="Picture 1105">
          <a:extLst>
            <a:ext uri="{FF2B5EF4-FFF2-40B4-BE49-F238E27FC236}">
              <a16:creationId xmlns:a16="http://schemas.microsoft.com/office/drawing/2014/main" id="{00000000-0008-0000-0200-00005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1564005" y="551434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31</xdr:row>
      <xdr:rowOff>27940</xdr:rowOff>
    </xdr:from>
    <xdr:to>
      <xdr:col>2</xdr:col>
      <xdr:colOff>333375</xdr:colOff>
      <xdr:row>31</xdr:row>
      <xdr:rowOff>154940</xdr:rowOff>
    </xdr:to>
    <xdr:pic>
      <xdr:nvPicPr>
        <xdr:cNvPr id="1108" name="Picture 1107">
          <a:extLst>
            <a:ext uri="{FF2B5EF4-FFF2-40B4-BE49-F238E27FC236}">
              <a16:creationId xmlns:a16="http://schemas.microsoft.com/office/drawing/2014/main" id="{00000000-0008-0000-0200-00005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1564005" y="569722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32</xdr:row>
      <xdr:rowOff>27940</xdr:rowOff>
    </xdr:from>
    <xdr:to>
      <xdr:col>2</xdr:col>
      <xdr:colOff>333375</xdr:colOff>
      <xdr:row>32</xdr:row>
      <xdr:rowOff>154940</xdr:rowOff>
    </xdr:to>
    <xdr:pic>
      <xdr:nvPicPr>
        <xdr:cNvPr id="1110" name="Picture 1109">
          <a:extLst>
            <a:ext uri="{FF2B5EF4-FFF2-40B4-BE49-F238E27FC236}">
              <a16:creationId xmlns:a16="http://schemas.microsoft.com/office/drawing/2014/main" id="{00000000-0008-0000-0200-00005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1564005" y="588010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33</xdr:row>
      <xdr:rowOff>27940</xdr:rowOff>
    </xdr:from>
    <xdr:to>
      <xdr:col>2</xdr:col>
      <xdr:colOff>333375</xdr:colOff>
      <xdr:row>33</xdr:row>
      <xdr:rowOff>154940</xdr:rowOff>
    </xdr:to>
    <xdr:pic>
      <xdr:nvPicPr>
        <xdr:cNvPr id="1112" name="Picture 1111">
          <a:extLst>
            <a:ext uri="{FF2B5EF4-FFF2-40B4-BE49-F238E27FC236}">
              <a16:creationId xmlns:a16="http://schemas.microsoft.com/office/drawing/2014/main" id="{00000000-0008-0000-0200-00005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564005" y="606298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34</xdr:row>
      <xdr:rowOff>27940</xdr:rowOff>
    </xdr:from>
    <xdr:to>
      <xdr:col>2</xdr:col>
      <xdr:colOff>333375</xdr:colOff>
      <xdr:row>34</xdr:row>
      <xdr:rowOff>154940</xdr:rowOff>
    </xdr:to>
    <xdr:pic>
      <xdr:nvPicPr>
        <xdr:cNvPr id="1114" name="Picture 1113">
          <a:extLst>
            <a:ext uri="{FF2B5EF4-FFF2-40B4-BE49-F238E27FC236}">
              <a16:creationId xmlns:a16="http://schemas.microsoft.com/office/drawing/2014/main" id="{00000000-0008-0000-0200-00005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1564005" y="624586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35</xdr:row>
      <xdr:rowOff>27940</xdr:rowOff>
    </xdr:from>
    <xdr:to>
      <xdr:col>2</xdr:col>
      <xdr:colOff>333375</xdr:colOff>
      <xdr:row>35</xdr:row>
      <xdr:rowOff>154940</xdr:rowOff>
    </xdr:to>
    <xdr:pic>
      <xdr:nvPicPr>
        <xdr:cNvPr id="1116" name="Picture 1115">
          <a:extLst>
            <a:ext uri="{FF2B5EF4-FFF2-40B4-BE49-F238E27FC236}">
              <a16:creationId xmlns:a16="http://schemas.microsoft.com/office/drawing/2014/main" id="{00000000-0008-0000-0200-00005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1564005" y="642874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37</xdr:row>
      <xdr:rowOff>27940</xdr:rowOff>
    </xdr:from>
    <xdr:to>
      <xdr:col>2</xdr:col>
      <xdr:colOff>333375</xdr:colOff>
      <xdr:row>37</xdr:row>
      <xdr:rowOff>154940</xdr:rowOff>
    </xdr:to>
    <xdr:pic>
      <xdr:nvPicPr>
        <xdr:cNvPr id="1118" name="Picture 1117">
          <a:extLst>
            <a:ext uri="{FF2B5EF4-FFF2-40B4-BE49-F238E27FC236}">
              <a16:creationId xmlns:a16="http://schemas.microsoft.com/office/drawing/2014/main" id="{00000000-0008-0000-0200-00005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1564005" y="679450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38</xdr:row>
      <xdr:rowOff>27940</xdr:rowOff>
    </xdr:from>
    <xdr:to>
      <xdr:col>2</xdr:col>
      <xdr:colOff>333375</xdr:colOff>
      <xdr:row>38</xdr:row>
      <xdr:rowOff>154940</xdr:rowOff>
    </xdr:to>
    <xdr:pic>
      <xdr:nvPicPr>
        <xdr:cNvPr id="1120" name="Picture 1119">
          <a:extLst>
            <a:ext uri="{FF2B5EF4-FFF2-40B4-BE49-F238E27FC236}">
              <a16:creationId xmlns:a16="http://schemas.microsoft.com/office/drawing/2014/main" id="{00000000-0008-0000-0200-00006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1564005" y="697738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39</xdr:row>
      <xdr:rowOff>27940</xdr:rowOff>
    </xdr:from>
    <xdr:to>
      <xdr:col>2</xdr:col>
      <xdr:colOff>333375</xdr:colOff>
      <xdr:row>39</xdr:row>
      <xdr:rowOff>154940</xdr:rowOff>
    </xdr:to>
    <xdr:pic>
      <xdr:nvPicPr>
        <xdr:cNvPr id="1122" name="Picture 1121">
          <a:extLst>
            <a:ext uri="{FF2B5EF4-FFF2-40B4-BE49-F238E27FC236}">
              <a16:creationId xmlns:a16="http://schemas.microsoft.com/office/drawing/2014/main" id="{00000000-0008-0000-0200-00006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1564005" y="716026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40</xdr:row>
      <xdr:rowOff>27940</xdr:rowOff>
    </xdr:from>
    <xdr:to>
      <xdr:col>2</xdr:col>
      <xdr:colOff>333375</xdr:colOff>
      <xdr:row>40</xdr:row>
      <xdr:rowOff>154940</xdr:rowOff>
    </xdr:to>
    <xdr:pic>
      <xdr:nvPicPr>
        <xdr:cNvPr id="1124" name="Picture 1123">
          <a:extLst>
            <a:ext uri="{FF2B5EF4-FFF2-40B4-BE49-F238E27FC236}">
              <a16:creationId xmlns:a16="http://schemas.microsoft.com/office/drawing/2014/main" id="{00000000-0008-0000-0200-00006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1564005" y="734314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41</xdr:row>
      <xdr:rowOff>27940</xdr:rowOff>
    </xdr:from>
    <xdr:to>
      <xdr:col>2</xdr:col>
      <xdr:colOff>333375</xdr:colOff>
      <xdr:row>41</xdr:row>
      <xdr:rowOff>154940</xdr:rowOff>
    </xdr:to>
    <xdr:pic>
      <xdr:nvPicPr>
        <xdr:cNvPr id="1126" name="Picture 1125">
          <a:extLst>
            <a:ext uri="{FF2B5EF4-FFF2-40B4-BE49-F238E27FC236}">
              <a16:creationId xmlns:a16="http://schemas.microsoft.com/office/drawing/2014/main" id="{00000000-0008-0000-0200-00006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1564005" y="752602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42</xdr:row>
      <xdr:rowOff>27940</xdr:rowOff>
    </xdr:from>
    <xdr:to>
      <xdr:col>2</xdr:col>
      <xdr:colOff>333375</xdr:colOff>
      <xdr:row>42</xdr:row>
      <xdr:rowOff>154940</xdr:rowOff>
    </xdr:to>
    <xdr:pic>
      <xdr:nvPicPr>
        <xdr:cNvPr id="1128" name="Picture 1127">
          <a:extLst>
            <a:ext uri="{FF2B5EF4-FFF2-40B4-BE49-F238E27FC236}">
              <a16:creationId xmlns:a16="http://schemas.microsoft.com/office/drawing/2014/main" id="{00000000-0008-0000-0200-00006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1564005" y="770890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43</xdr:row>
      <xdr:rowOff>27940</xdr:rowOff>
    </xdr:from>
    <xdr:to>
      <xdr:col>2</xdr:col>
      <xdr:colOff>333375</xdr:colOff>
      <xdr:row>43</xdr:row>
      <xdr:rowOff>154940</xdr:rowOff>
    </xdr:to>
    <xdr:pic>
      <xdr:nvPicPr>
        <xdr:cNvPr id="1130" name="Picture 1129">
          <a:extLst>
            <a:ext uri="{FF2B5EF4-FFF2-40B4-BE49-F238E27FC236}">
              <a16:creationId xmlns:a16="http://schemas.microsoft.com/office/drawing/2014/main" id="{00000000-0008-0000-0200-00006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1564005" y="789178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44</xdr:row>
      <xdr:rowOff>27940</xdr:rowOff>
    </xdr:from>
    <xdr:to>
      <xdr:col>2</xdr:col>
      <xdr:colOff>333375</xdr:colOff>
      <xdr:row>44</xdr:row>
      <xdr:rowOff>154940</xdr:rowOff>
    </xdr:to>
    <xdr:pic>
      <xdr:nvPicPr>
        <xdr:cNvPr id="1132" name="Picture 1131">
          <a:extLst>
            <a:ext uri="{FF2B5EF4-FFF2-40B4-BE49-F238E27FC236}">
              <a16:creationId xmlns:a16="http://schemas.microsoft.com/office/drawing/2014/main" id="{00000000-0008-0000-0200-00006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1564005" y="807466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45</xdr:row>
      <xdr:rowOff>27940</xdr:rowOff>
    </xdr:from>
    <xdr:to>
      <xdr:col>2</xdr:col>
      <xdr:colOff>333375</xdr:colOff>
      <xdr:row>45</xdr:row>
      <xdr:rowOff>154940</xdr:rowOff>
    </xdr:to>
    <xdr:pic>
      <xdr:nvPicPr>
        <xdr:cNvPr id="1134" name="Picture 1133">
          <a:extLst>
            <a:ext uri="{FF2B5EF4-FFF2-40B4-BE49-F238E27FC236}">
              <a16:creationId xmlns:a16="http://schemas.microsoft.com/office/drawing/2014/main" id="{00000000-0008-0000-0200-00006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1564005" y="825754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46</xdr:row>
      <xdr:rowOff>27940</xdr:rowOff>
    </xdr:from>
    <xdr:to>
      <xdr:col>2</xdr:col>
      <xdr:colOff>333375</xdr:colOff>
      <xdr:row>46</xdr:row>
      <xdr:rowOff>154940</xdr:rowOff>
    </xdr:to>
    <xdr:pic>
      <xdr:nvPicPr>
        <xdr:cNvPr id="1136" name="Picture 1135">
          <a:extLst>
            <a:ext uri="{FF2B5EF4-FFF2-40B4-BE49-F238E27FC236}">
              <a16:creationId xmlns:a16="http://schemas.microsoft.com/office/drawing/2014/main" id="{00000000-0008-0000-0200-00007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1564005" y="844042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49</xdr:row>
      <xdr:rowOff>27940</xdr:rowOff>
    </xdr:from>
    <xdr:to>
      <xdr:col>2</xdr:col>
      <xdr:colOff>333375</xdr:colOff>
      <xdr:row>49</xdr:row>
      <xdr:rowOff>154940</xdr:rowOff>
    </xdr:to>
    <xdr:pic>
      <xdr:nvPicPr>
        <xdr:cNvPr id="1138" name="Picture 1137">
          <a:extLst>
            <a:ext uri="{FF2B5EF4-FFF2-40B4-BE49-F238E27FC236}">
              <a16:creationId xmlns:a16="http://schemas.microsoft.com/office/drawing/2014/main" id="{00000000-0008-0000-0200-00007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1564005" y="898906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50</xdr:row>
      <xdr:rowOff>27940</xdr:rowOff>
    </xdr:from>
    <xdr:to>
      <xdr:col>2</xdr:col>
      <xdr:colOff>333375</xdr:colOff>
      <xdr:row>50</xdr:row>
      <xdr:rowOff>154940</xdr:rowOff>
    </xdr:to>
    <xdr:pic>
      <xdr:nvPicPr>
        <xdr:cNvPr id="1140" name="Picture 1139">
          <a:extLst>
            <a:ext uri="{FF2B5EF4-FFF2-40B4-BE49-F238E27FC236}">
              <a16:creationId xmlns:a16="http://schemas.microsoft.com/office/drawing/2014/main" id="{00000000-0008-0000-0200-00007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1564005" y="917194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51</xdr:row>
      <xdr:rowOff>27940</xdr:rowOff>
    </xdr:from>
    <xdr:to>
      <xdr:col>2</xdr:col>
      <xdr:colOff>333375</xdr:colOff>
      <xdr:row>51</xdr:row>
      <xdr:rowOff>154940</xdr:rowOff>
    </xdr:to>
    <xdr:pic>
      <xdr:nvPicPr>
        <xdr:cNvPr id="1142" name="Picture 1141">
          <a:extLst>
            <a:ext uri="{FF2B5EF4-FFF2-40B4-BE49-F238E27FC236}">
              <a16:creationId xmlns:a16="http://schemas.microsoft.com/office/drawing/2014/main" id="{00000000-0008-0000-0200-00007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1564005" y="935482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52</xdr:row>
      <xdr:rowOff>27940</xdr:rowOff>
    </xdr:from>
    <xdr:to>
      <xdr:col>2</xdr:col>
      <xdr:colOff>333375</xdr:colOff>
      <xdr:row>52</xdr:row>
      <xdr:rowOff>154940</xdr:rowOff>
    </xdr:to>
    <xdr:pic>
      <xdr:nvPicPr>
        <xdr:cNvPr id="1144" name="Picture 1143">
          <a:extLst>
            <a:ext uri="{FF2B5EF4-FFF2-40B4-BE49-F238E27FC236}">
              <a16:creationId xmlns:a16="http://schemas.microsoft.com/office/drawing/2014/main" id="{00000000-0008-0000-0200-00007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1564005" y="953770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53</xdr:row>
      <xdr:rowOff>27940</xdr:rowOff>
    </xdr:from>
    <xdr:to>
      <xdr:col>2</xdr:col>
      <xdr:colOff>333375</xdr:colOff>
      <xdr:row>53</xdr:row>
      <xdr:rowOff>154940</xdr:rowOff>
    </xdr:to>
    <xdr:pic>
      <xdr:nvPicPr>
        <xdr:cNvPr id="1146" name="Picture 1145">
          <a:extLst>
            <a:ext uri="{FF2B5EF4-FFF2-40B4-BE49-F238E27FC236}">
              <a16:creationId xmlns:a16="http://schemas.microsoft.com/office/drawing/2014/main" id="{00000000-0008-0000-0200-00007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1564005" y="9720580"/>
          <a:ext cx="133350" cy="127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152399</xdr:rowOff>
    </xdr:from>
    <xdr:to>
      <xdr:col>2</xdr:col>
      <xdr:colOff>209550</xdr:colOff>
      <xdr:row>2</xdr:row>
      <xdr:rowOff>76200</xdr:rowOff>
    </xdr:to>
    <xdr:sp macro="[0]!Refresh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28A3840C-D16A-48AB-B272-8766148A9EDD}"/>
            </a:ext>
          </a:extLst>
        </xdr:cNvPr>
        <xdr:cNvSpPr/>
      </xdr:nvSpPr>
      <xdr:spPr>
        <a:xfrm>
          <a:off x="609600" y="152399"/>
          <a:ext cx="962025" cy="2857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Refresh Data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</xdr:row>
      <xdr:rowOff>144780</xdr:rowOff>
    </xdr:from>
    <xdr:to>
      <xdr:col>13</xdr:col>
      <xdr:colOff>960120</xdr:colOff>
      <xdr:row>33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15240</xdr:rowOff>
        </xdr:from>
        <xdr:to>
          <xdr:col>1</xdr:col>
          <xdr:colOff>754380</xdr:colOff>
          <xdr:row>5</xdr:row>
          <xdr:rowOff>30480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0</xdr:row>
      <xdr:rowOff>152400</xdr:rowOff>
    </xdr:from>
    <xdr:to>
      <xdr:col>2</xdr:col>
      <xdr:colOff>960120</xdr:colOff>
      <xdr:row>2</xdr:row>
      <xdr:rowOff>68580</xdr:rowOff>
    </xdr:to>
    <xdr:sp macro="[0]!Refresh_Hist_Pric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FB5971B-41DF-46F6-8A8E-7409A9C60CE4}"/>
            </a:ext>
          </a:extLst>
        </xdr:cNvPr>
        <xdr:cNvSpPr/>
      </xdr:nvSpPr>
      <xdr:spPr>
        <a:xfrm>
          <a:off x="685800" y="152400"/>
          <a:ext cx="1638300" cy="2819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      Refresh</a:t>
          </a:r>
          <a:r>
            <a:rPr lang="en-US" sz="1100" baseline="0"/>
            <a:t> Prices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167641</xdr:colOff>
      <xdr:row>1</xdr:row>
      <xdr:rowOff>175260</xdr:rowOff>
    </xdr:from>
    <xdr:to>
      <xdr:col>12</xdr:col>
      <xdr:colOff>91440</xdr:colOff>
      <xdr:row>27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0</xdr:row>
          <xdr:rowOff>99060</xdr:rowOff>
        </xdr:from>
        <xdr:to>
          <xdr:col>1</xdr:col>
          <xdr:colOff>312420</xdr:colOff>
          <xdr:row>1</xdr:row>
          <xdr:rowOff>83820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312420</xdr:colOff>
      <xdr:row>1</xdr:row>
      <xdr:rowOff>167640</xdr:rowOff>
    </xdr:from>
    <xdr:to>
      <xdr:col>24</xdr:col>
      <xdr:colOff>541020</xdr:colOff>
      <xdr:row>27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3C9CD127-8A93-466D-A00C-96C543C48E0C}" autoFormatId="16" applyNumberFormats="0" applyBorderFormats="0" applyFontFormats="0" applyPatternFormats="0" applyAlignmentFormats="0" applyWidthHeightFormats="0">
  <queryTableRefresh nextId="16">
    <queryTableFields count="13">
      <queryTableField id="1" name="Rank" tableColumnId="1"/>
      <queryTableField id="4" name="Logo" tableColumnId="4"/>
      <queryTableField id="3" name="Name" tableColumnId="3"/>
      <queryTableField id="2" name="Symbol" tableColumnId="2"/>
      <queryTableField id="5" name="Price" tableColumnId="5"/>
      <queryTableField id="6" name="1 hour" tableColumnId="6"/>
      <queryTableField id="7" name="24 hour" tableColumnId="7"/>
      <queryTableField id="8" name="7 days" tableColumnId="8"/>
      <queryTableField id="9" name="14 days" tableColumnId="9"/>
      <queryTableField id="10" name="30 days" tableColumnId="10"/>
      <queryTableField id="11" name="200 days" tableColumnId="11"/>
      <queryTableField id="12" name="1 year" tableColumnId="12"/>
      <queryTableField id="13" name="Market Cap" tableColumnId="1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3" xr16:uid="{757808D5-5F5F-43E0-A2A2-1466410007EE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Index" tableColumnId="1"/>
      <queryTableField id="2" name="Date" tableColumnId="2"/>
      <queryTableField id="3" name="Price" tableColumnId="3"/>
      <queryTableField id="4" dataBound="0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D99DE49-A49D-4581-A0B2-7CB9233080BA}" autoFormatId="16" applyNumberFormats="0" applyBorderFormats="0" applyFontFormats="0" applyPatternFormats="0" applyAlignmentFormats="0" applyWidthHeightFormats="0">
  <queryTableRefresh nextId="4">
    <queryTableFields count="3">
      <queryTableField id="1" name="Symbol" tableColumnId="1"/>
      <queryTableField id="2" name="Coin ID" tableColumnId="2"/>
      <queryTableField id="3" name="Coin Name" tableColumnId="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4C7E6E9-3695-4E42-88E6-A60C251F3708}" name="Table5" displayName="Table5" ref="B11:M21" totalsRowShown="0" headerRowDxfId="49" dataDxfId="47" headerRowBorderDxfId="48" tableBorderDxfId="46" totalsRowBorderDxfId="45" dataCellStyle="Percent">
  <autoFilter ref="B11:M21" xr:uid="{54C7E6E9-3695-4E42-88E6-A60C251F370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F1E92DA5-B9B2-4D0F-85F6-FC54E5B45FED}" name="Symbol" dataDxfId="44"/>
    <tableColumn id="2" xr3:uid="{6F3418BE-73D4-447E-885F-CD3471E87D4F}" name="Name" dataDxfId="43">
      <calculatedColumnFormula>IFERROR(_xlfn.XLOOKUP($B12,Alt_Season[Symbol],Alt_Season[Name],"-",0,1),"-")</calculatedColumnFormula>
    </tableColumn>
    <tableColumn id="3" xr3:uid="{7FDDC5FB-B4D2-4119-B01D-975831A0231A}" name="Price" dataDxfId="42" dataCellStyle="Currency">
      <calculatedColumnFormula>IFERROR(_xlfn.XLOOKUP($B12,Alt_Season[Symbol],Alt_Season[Price],"-",0,1),"-")</calculatedColumnFormula>
    </tableColumn>
    <tableColumn id="4" xr3:uid="{79B6FD62-A725-451F-9BC7-D2BF5066CC3F}" name="1 hour" dataDxfId="41" dataCellStyle="Percent">
      <calculatedColumnFormula>IFERROR(_xlfn.XLOOKUP($B12,Alt_Season[Symbol],Alt_Season[1 hour],"-",0,1),"-")</calculatedColumnFormula>
    </tableColumn>
    <tableColumn id="5" xr3:uid="{C845E556-11DD-417F-87C1-84F61B379C5F}" name="24 hour" dataDxfId="40" dataCellStyle="Percent">
      <calculatedColumnFormula>IFERROR(_xlfn.XLOOKUP($B12,Alt_Season[Symbol],Alt_Season[24 hour],"-",0,1),"-")</calculatedColumnFormula>
    </tableColumn>
    <tableColumn id="6" xr3:uid="{3AB10652-64D5-4D07-945F-161AF7C059EB}" name="7 days" dataDxfId="39" dataCellStyle="Percent">
      <calculatedColumnFormula>IFERROR(_xlfn.XLOOKUP($B12,Alt_Season[Symbol],Alt_Season[7 days],"-",0,1),"-")</calculatedColumnFormula>
    </tableColumn>
    <tableColumn id="7" xr3:uid="{F0A0F78C-DF16-468A-8515-4C0E538C2C01}" name="14 days" dataDxfId="38" dataCellStyle="Percent">
      <calculatedColumnFormula>IFERROR(_xlfn.XLOOKUP($B12,Alt_Season[Symbol],Alt_Season[14 days],"-",0,1),"-")</calculatedColumnFormula>
    </tableColumn>
    <tableColumn id="8" xr3:uid="{6C409A0E-2C2B-4322-9A5F-01A08B8BC9E0}" name="30 days" dataDxfId="37" dataCellStyle="Percent">
      <calculatedColumnFormula>IFERROR(_xlfn.XLOOKUP($B12,Alt_Season[Symbol],Alt_Season[30 days],"-",0,1),"-")</calculatedColumnFormula>
    </tableColumn>
    <tableColumn id="9" xr3:uid="{C2ED86F2-12C3-4D58-A7CE-0E8746DB1E25}" name="200 days" dataDxfId="36" dataCellStyle="Percent">
      <calculatedColumnFormula>IFERROR(_xlfn.XLOOKUP($B12,Alt_Season[Symbol],Alt_Season[200 days],"-",0,1),"-")</calculatedColumnFormula>
    </tableColumn>
    <tableColumn id="10" xr3:uid="{A7BCBAB8-4A52-440F-B60F-5A1DD5C8A9C3}" name="1 year" dataDxfId="35" dataCellStyle="Percent">
      <calculatedColumnFormula>IFERROR(_xlfn.XLOOKUP($B12,Alt_Season[Symbol],Alt_Season[1 year],"-",0,1),"-")</calculatedColumnFormula>
    </tableColumn>
    <tableColumn id="11" xr3:uid="{D0A34114-5E27-46DD-BD59-524929E3C3E8}" name="Rank" dataDxfId="34">
      <calculatedColumnFormula>IFERROR(_xlfn.XLOOKUP($B12,Alt_Season[Symbol],Alt_Season[Rank],"-",0,1),"-")</calculatedColumnFormula>
    </tableColumn>
    <tableColumn id="12" xr3:uid="{EC81C33C-11AD-4207-A799-A679B0C597B6}" name="Market Cap" dataDxfId="33" dataCellStyle="Currency">
      <calculatedColumnFormula>IFERROR(_xlfn.XLOOKUP($B12,Alt_Season[Symbol],Alt_Season[Market Cap],"-",0,1),"-")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AB1558-8DC2-4F69-979D-A5E24B78BD77}" name="Alt_Season" displayName="Alt_Season" ref="B4:N54" tableType="queryTable" totalsRowShown="0" headerRowDxfId="32" dataDxfId="31">
  <tableColumns count="13">
    <tableColumn id="1" xr3:uid="{48E81100-4407-4B0D-9B5F-746CDA48D3B3}" uniqueName="1" name="Rank" queryTableFieldId="1" dataDxfId="24"/>
    <tableColumn id="4" xr3:uid="{822F4E64-EFF8-44A7-BAD5-98E0C458698D}" uniqueName="4" name="Logo" queryTableFieldId="4" dataDxfId="23"/>
    <tableColumn id="3" xr3:uid="{21B726BA-2DB9-49AD-9F6D-A7812D28C8B1}" uniqueName="3" name="Name" queryTableFieldId="3" dataDxfId="22"/>
    <tableColumn id="2" xr3:uid="{C91EDA42-2A61-4AAF-BA8A-63FD744AD465}" uniqueName="2" name="Symbol" queryTableFieldId="2" dataDxfId="21"/>
    <tableColumn id="5" xr3:uid="{E21A09F0-E65E-4C94-A103-579C7746A040}" uniqueName="5" name="Price" queryTableFieldId="5" dataDxfId="20" dataCellStyle="Comma"/>
    <tableColumn id="6" xr3:uid="{BA894AE9-A3E2-4541-A254-16E4068A07C4}" uniqueName="6" name="1 hour" queryTableFieldId="6" dataDxfId="19" dataCellStyle="Percent"/>
    <tableColumn id="7" xr3:uid="{82217DA3-4DCA-4FAF-AD9D-14946A2044DE}" uniqueName="7" name="24 hour" queryTableFieldId="7" dataDxfId="18" dataCellStyle="Percent"/>
    <tableColumn id="8" xr3:uid="{C8228936-36C2-4370-8593-87F3DCFA4AC3}" uniqueName="8" name="7 days" queryTableFieldId="8" dataDxfId="17" dataCellStyle="Percent"/>
    <tableColumn id="9" xr3:uid="{70405B52-AC74-4AD9-A171-20DB9E5A0460}" uniqueName="9" name="14 days" queryTableFieldId="9" dataDxfId="16" dataCellStyle="Percent"/>
    <tableColumn id="10" xr3:uid="{34F37983-D42F-4D37-B2BD-E7EDE6262B9D}" uniqueName="10" name="30 days" queryTableFieldId="10" dataDxfId="15" dataCellStyle="Percent"/>
    <tableColumn id="11" xr3:uid="{0EB57CAF-23C0-4BDC-81FA-F5A613E03630}" uniqueName="11" name="200 days" queryTableFieldId="11" dataDxfId="14" dataCellStyle="Percent"/>
    <tableColumn id="12" xr3:uid="{DC350BC6-60C0-4DB4-9576-7F167CCEDE7B}" uniqueName="12" name="1 year" queryTableFieldId="12" dataDxfId="13" dataCellStyle="Percent"/>
    <tableColumn id="13" xr3:uid="{E78226A0-7BA5-4FE3-8D5D-D1AC216129BA}" uniqueName="13" name="Market Cap" queryTableFieldId="13" dataDxfId="12" dataCellStyle="Comma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164C76-014D-4482-8579-6F3D82B27083}" name="Crypto_Prices" displayName="Crypto_Prices" ref="B9:E130" tableType="queryTable" totalsRowShown="0">
  <autoFilter ref="B9:E130" xr:uid="{00164C76-014D-4482-8579-6F3D82B27083}">
    <filterColumn colId="0" hiddenButton="1"/>
    <filterColumn colId="1" hiddenButton="1"/>
    <filterColumn colId="2" hiddenButton="1"/>
    <filterColumn colId="3" hiddenButton="1"/>
  </autoFilter>
  <tableColumns count="4">
    <tableColumn id="1" xr3:uid="{CB81053E-915A-40D2-8664-C0D3B5697E99}" uniqueName="1" name="Index" queryTableFieldId="1"/>
    <tableColumn id="2" xr3:uid="{271828A6-7E3E-4E40-A6EC-B0837536DEA5}" uniqueName="2" name="Date" queryTableFieldId="2" dataDxfId="2"/>
    <tableColumn id="3" xr3:uid="{C9B1AF58-D2A0-4FBF-81E4-43B08E439E58}" uniqueName="3" name="Price" queryTableFieldId="3" dataDxfId="1" dataCellStyle="Comma"/>
    <tableColumn id="4" xr3:uid="{50A99F6F-9215-4157-A4DA-E0D7CD4CAA37}" uniqueName="4" name="Return" queryTableFieldId="4" dataDxfId="0" dataCellStyle="Percent">
      <calculatedColumnFormula>(Crypto_Prices[[#This Row],[Price]]-$D$130)/$D$130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D5D44E-19AD-474E-AEBD-5751C25B9F85}" name="Time_Hzn_Table" displayName="Time_Hzn_Table" ref="Y6:Z9" totalsRowShown="0" headerRowBorderDxfId="30" tableBorderDxfId="29" totalsRowBorderDxfId="28">
  <autoFilter ref="Y6:Z9" xr:uid="{9BD5D44E-19AD-474E-AEBD-5751C25B9F85}">
    <filterColumn colId="0" hiddenButton="1"/>
    <filterColumn colId="1" hiddenButton="1"/>
  </autoFilter>
  <tableColumns count="2">
    <tableColumn id="1" xr3:uid="{422286B9-2CBE-4A6C-8101-9D827033BA59}" name="Description" dataDxfId="27"/>
    <tableColumn id="2" xr3:uid="{3C536974-C08E-44E7-986F-E1113DA0A882}" name="Horizon" dataDxfId="26">
      <calculatedColumnFormula>TEXT(C5,"#")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9AE030-F59D-49D8-A54F-3DAC244B2C57}" name="Coin_List" displayName="Coin_List" ref="B4:D13465" tableType="queryTable" totalsRowShown="0" tableBorderDxfId="25">
  <tableColumns count="3">
    <tableColumn id="1" xr3:uid="{6E9DEB2C-77F1-4B52-9625-5BA2061D0045}" uniqueName="1" name="Symbol" queryTableFieldId="1" dataDxfId="3"/>
    <tableColumn id="2" xr3:uid="{F8A0C91D-6546-43A0-8025-4FF9DED56058}" uniqueName="2" name="Coin ID" queryTableFieldId="2"/>
    <tableColumn id="3" xr3:uid="{65888B12-5EB4-4C0F-8ACF-12DE802D79D8}" uniqueName="3" name="Coin Name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F0849-DBB4-40FE-B0A7-3094B7FDE2EB}">
  <sheetPr codeName="Sheet6">
    <tabColor theme="5" tint="0.39997558519241921"/>
  </sheetPr>
  <dimension ref="B6:M21"/>
  <sheetViews>
    <sheetView showGridLines="0" tabSelected="1" workbookViewId="0">
      <selection activeCell="B12" sqref="B12:B21"/>
    </sheetView>
  </sheetViews>
  <sheetFormatPr defaultRowHeight="14.4" x14ac:dyDescent="0.3"/>
  <cols>
    <col min="2" max="2" width="11" customWidth="1"/>
    <col min="3" max="3" width="16.77734375" customWidth="1"/>
    <col min="4" max="5" width="14" customWidth="1"/>
    <col min="6" max="14" width="17.6640625" customWidth="1"/>
  </cols>
  <sheetData>
    <row r="6" spans="2:13" x14ac:dyDescent="0.3">
      <c r="B6" s="98" t="s">
        <v>36931</v>
      </c>
      <c r="C6" s="99"/>
    </row>
    <row r="7" spans="2:13" x14ac:dyDescent="0.3">
      <c r="B7" s="94" t="s">
        <v>36614</v>
      </c>
      <c r="C7" s="95">
        <v>5</v>
      </c>
    </row>
    <row r="8" spans="2:13" x14ac:dyDescent="0.3">
      <c r="B8" s="96" t="s">
        <v>36932</v>
      </c>
      <c r="C8" s="97" t="s">
        <v>36615</v>
      </c>
    </row>
    <row r="11" spans="2:13" x14ac:dyDescent="0.3">
      <c r="B11" s="55" t="s">
        <v>1</v>
      </c>
      <c r="C11" s="55" t="s">
        <v>2</v>
      </c>
      <c r="D11" s="55" t="s">
        <v>4</v>
      </c>
      <c r="E11" s="55" t="s">
        <v>5</v>
      </c>
      <c r="F11" s="55" t="s">
        <v>6</v>
      </c>
      <c r="G11" s="55" t="s">
        <v>7</v>
      </c>
      <c r="H11" s="55" t="s">
        <v>8</v>
      </c>
      <c r="I11" s="55" t="s">
        <v>9</v>
      </c>
      <c r="J11" s="55" t="s">
        <v>10</v>
      </c>
      <c r="K11" s="55" t="s">
        <v>11</v>
      </c>
      <c r="L11" s="56" t="s">
        <v>0</v>
      </c>
      <c r="M11" s="57" t="s">
        <v>12</v>
      </c>
    </row>
    <row r="12" spans="2:13" x14ac:dyDescent="0.3">
      <c r="B12" s="49" t="s">
        <v>13</v>
      </c>
      <c r="C12" s="49" t="str">
        <f>IFERROR(_xlfn.XLOOKUP($B12,Alt_Season[Symbol],Alt_Season[Name],"-",0,1),"-")</f>
        <v>Bitcoin</v>
      </c>
      <c r="D12" s="51">
        <f>IFERROR(_xlfn.XLOOKUP($B12,Alt_Season[Symbol],Alt_Season[Price],"-",0,1),"-")</f>
        <v>30334</v>
      </c>
      <c r="E12" s="62">
        <f>IFERROR(_xlfn.XLOOKUP($B12,Alt_Season[Symbol],Alt_Season[1 hour],"-",0,1),"-")</f>
        <v>-1.25653387016942E-2</v>
      </c>
      <c r="F12" s="62">
        <f>IFERROR(_xlfn.XLOOKUP($B12,Alt_Season[Symbol],Alt_Season[24 hour],"-",0,1),"-")</f>
        <v>-5.7642980066510398E-2</v>
      </c>
      <c r="G12" s="62">
        <f>IFERROR(_xlfn.XLOOKUP($B12,Alt_Season[Symbol],Alt_Season[7 days],"-",0,1),"-")</f>
        <v>2.29116262336596E-2</v>
      </c>
      <c r="H12" s="62">
        <f>IFERROR(_xlfn.XLOOKUP($B12,Alt_Season[Symbol],Alt_Season[14 days],"-",0,1),"-")</f>
        <v>-5.4986955299614797E-3</v>
      </c>
      <c r="I12" s="62">
        <f>IFERROR(_xlfn.XLOOKUP($B12,Alt_Season[Symbol],Alt_Season[30 days],"-",0,1),"-")</f>
        <v>-0.212861519724652</v>
      </c>
      <c r="J12" s="62">
        <f>IFERROR(_xlfn.XLOOKUP($B12,Alt_Season[Symbol],Alt_Season[200 days],"-",0,1),"-")</f>
        <v>-0.52920212886571005</v>
      </c>
      <c r="K12" s="62">
        <f>IFERROR(_xlfn.XLOOKUP($B12,Alt_Season[Symbol],Alt_Season[1 year],"-",0,1),"-")</f>
        <v>-0.187629373574354</v>
      </c>
      <c r="L12" s="49">
        <f>IFERROR(_xlfn.XLOOKUP($B12,Alt_Season[Symbol],Alt_Season[Rank],"-",0,1),"-")</f>
        <v>1</v>
      </c>
      <c r="M12" s="53">
        <f>IFERROR(_xlfn.XLOOKUP($B12,Alt_Season[Symbol],Alt_Season[Market Cap],"-",0,1),"-")</f>
        <v>578039634639</v>
      </c>
    </row>
    <row r="13" spans="2:13" x14ac:dyDescent="0.3">
      <c r="B13" s="50" t="s">
        <v>16</v>
      </c>
      <c r="C13" s="50" t="str">
        <f>IFERROR(_xlfn.XLOOKUP($B13,Alt_Season[Symbol],Alt_Season[Name],"-",0,1),"-")</f>
        <v>Ethereum</v>
      </c>
      <c r="D13" s="52">
        <f>IFERROR(_xlfn.XLOOKUP($B13,Alt_Season[Symbol],Alt_Season[Price],"-",0,1),"-")</f>
        <v>1850.45</v>
      </c>
      <c r="E13" s="63">
        <f>IFERROR(_xlfn.XLOOKUP($B13,Alt_Season[Symbol],Alt_Season[1 hour],"-",0,1),"-")</f>
        <v>-1.1273923285580099E-2</v>
      </c>
      <c r="F13" s="63">
        <f>IFERROR(_xlfn.XLOOKUP($B13,Alt_Season[Symbol],Alt_Season[24 hour],"-",0,1),"-")</f>
        <v>-6.4831265916238098E-2</v>
      </c>
      <c r="G13" s="63">
        <f>IFERROR(_xlfn.XLOOKUP($B13,Alt_Season[Symbol],Alt_Season[7 days],"-",0,1),"-")</f>
        <v>-6.5323056954621206E-2</v>
      </c>
      <c r="H13" s="63">
        <f>IFERROR(_xlfn.XLOOKUP($B13,Alt_Season[Symbol],Alt_Season[14 days],"-",0,1),"-")</f>
        <v>-0.116807689135592</v>
      </c>
      <c r="I13" s="63">
        <f>IFERROR(_xlfn.XLOOKUP($B13,Alt_Season[Symbol],Alt_Season[30 days],"-",0,1),"-")</f>
        <v>-0.34671233243959798</v>
      </c>
      <c r="J13" s="63">
        <f>IFERROR(_xlfn.XLOOKUP($B13,Alt_Season[Symbol],Alt_Season[200 days],"-",0,1),"-")</f>
        <v>-0.60503652627676396</v>
      </c>
      <c r="K13" s="63">
        <f>IFERROR(_xlfn.XLOOKUP($B13,Alt_Season[Symbol],Alt_Season[1 year],"-",0,1),"-")</f>
        <v>-0.316782795704597</v>
      </c>
      <c r="L13" s="50">
        <f>IFERROR(_xlfn.XLOOKUP($B13,Alt_Season[Symbol],Alt_Season[Rank],"-",0,1),"-")</f>
        <v>2</v>
      </c>
      <c r="M13" s="54">
        <f>IFERROR(_xlfn.XLOOKUP($B13,Alt_Season[Symbol],Alt_Season[Market Cap],"-",0,1),"-")</f>
        <v>223922597610</v>
      </c>
    </row>
    <row r="14" spans="2:13" x14ac:dyDescent="0.3">
      <c r="B14" s="49" t="s">
        <v>37091</v>
      </c>
      <c r="C14" s="49" t="str">
        <f>IFERROR(_xlfn.XLOOKUP($B14,Alt_Season[Symbol],Alt_Season[Name],"-",0,1),"-")</f>
        <v>-</v>
      </c>
      <c r="D14" s="51" t="str">
        <f>IFERROR(_xlfn.XLOOKUP($B14,Alt_Season[Symbol],Alt_Season[Price],"-",0,1),"-")</f>
        <v>-</v>
      </c>
      <c r="E14" s="62" t="str">
        <f>IFERROR(_xlfn.XLOOKUP($B14,Alt_Season[Symbol],Alt_Season[1 hour],"-",0,1),"-")</f>
        <v>-</v>
      </c>
      <c r="F14" s="62" t="str">
        <f>IFERROR(_xlfn.XLOOKUP($B14,Alt_Season[Symbol],Alt_Season[24 hour],"-",0,1),"-")</f>
        <v>-</v>
      </c>
      <c r="G14" s="62" t="str">
        <f>IFERROR(_xlfn.XLOOKUP($B14,Alt_Season[Symbol],Alt_Season[7 days],"-",0,1),"-")</f>
        <v>-</v>
      </c>
      <c r="H14" s="62" t="str">
        <f>IFERROR(_xlfn.XLOOKUP($B14,Alt_Season[Symbol],Alt_Season[14 days],"-",0,1),"-")</f>
        <v>-</v>
      </c>
      <c r="I14" s="62" t="str">
        <f>IFERROR(_xlfn.XLOOKUP($B14,Alt_Season[Symbol],Alt_Season[30 days],"-",0,1),"-")</f>
        <v>-</v>
      </c>
      <c r="J14" s="62" t="str">
        <f>IFERROR(_xlfn.XLOOKUP($B14,Alt_Season[Symbol],Alt_Season[200 days],"-",0,1),"-")</f>
        <v>-</v>
      </c>
      <c r="K14" s="62" t="str">
        <f>IFERROR(_xlfn.XLOOKUP($B14,Alt_Season[Symbol],Alt_Season[1 year],"-",0,1),"-")</f>
        <v>-</v>
      </c>
      <c r="L14" s="49" t="str">
        <f>IFERROR(_xlfn.XLOOKUP($B14,Alt_Season[Symbol],Alt_Season[Rank],"-",0,1),"-")</f>
        <v>-</v>
      </c>
      <c r="M14" s="53" t="str">
        <f>IFERROR(_xlfn.XLOOKUP($B14,Alt_Season[Symbol],Alt_Season[Market Cap],"-",0,1),"-")</f>
        <v>-</v>
      </c>
    </row>
    <row r="15" spans="2:13" x14ac:dyDescent="0.3">
      <c r="B15" s="50" t="s">
        <v>32</v>
      </c>
      <c r="C15" s="50" t="str">
        <f>IFERROR(_xlfn.XLOOKUP($B15,Alt_Season[Symbol],Alt_Season[Name],"-",0,1),"-")</f>
        <v>Solana</v>
      </c>
      <c r="D15" s="52">
        <f>IFERROR(_xlfn.XLOOKUP($B15,Alt_Season[Symbol],Alt_Season[Price],"-",0,1),"-")</f>
        <v>42.34</v>
      </c>
      <c r="E15" s="63">
        <f>IFERROR(_xlfn.XLOOKUP($B15,Alt_Season[Symbol],Alt_Season[1 hour],"-",0,1),"-")</f>
        <v>-1.5279114814292E-2</v>
      </c>
      <c r="F15" s="63">
        <f>IFERROR(_xlfn.XLOOKUP($B15,Alt_Season[Symbol],Alt_Season[24 hour],"-",0,1),"-")</f>
        <v>-8.7301368739872903E-2</v>
      </c>
      <c r="G15" s="63">
        <f>IFERROR(_xlfn.XLOOKUP($B15,Alt_Season[Symbol],Alt_Season[7 days],"-",0,1),"-")</f>
        <v>-0.147096859259609</v>
      </c>
      <c r="H15" s="63">
        <f>IFERROR(_xlfn.XLOOKUP($B15,Alt_Season[Symbol],Alt_Season[14 days],"-",0,1),"-")</f>
        <v>-0.26270369336990201</v>
      </c>
      <c r="I15" s="63">
        <f>IFERROR(_xlfn.XLOOKUP($B15,Alt_Season[Symbol],Alt_Season[30 days],"-",0,1),"-")</f>
        <v>-0.52823532473118096</v>
      </c>
      <c r="J15" s="63">
        <f>IFERROR(_xlfn.XLOOKUP($B15,Alt_Season[Symbol],Alt_Season[200 days],"-",0,1),"-")</f>
        <v>-0.81545053186848304</v>
      </c>
      <c r="K15" s="63">
        <f>IFERROR(_xlfn.XLOOKUP($B15,Alt_Season[Symbol],Alt_Season[1 year],"-",0,1),"-")</f>
        <v>0.29616137515545399</v>
      </c>
      <c r="L15" s="50">
        <f>IFERROR(_xlfn.XLOOKUP($B15,Alt_Season[Symbol],Alt_Season[Rank],"-",0,1),"-")</f>
        <v>9</v>
      </c>
      <c r="M15" s="54">
        <f>IFERROR(_xlfn.XLOOKUP($B15,Alt_Season[Symbol],Alt_Season[Market Cap],"-",0,1),"-")</f>
        <v>14392481591</v>
      </c>
    </row>
    <row r="16" spans="2:13" x14ac:dyDescent="0.3">
      <c r="B16" s="49" t="s">
        <v>47</v>
      </c>
      <c r="C16" s="49" t="str">
        <f>IFERROR(_xlfn.XLOOKUP($B16,Alt_Season[Symbol],Alt_Season[Name],"-",0,1),"-")</f>
        <v>Wrapped Bitcoin</v>
      </c>
      <c r="D16" s="51">
        <f>IFERROR(_xlfn.XLOOKUP($B16,Alt_Season[Symbol],Alt_Season[Price],"-",0,1),"-")</f>
        <v>30410</v>
      </c>
      <c r="E16" s="62">
        <f>IFERROR(_xlfn.XLOOKUP($B16,Alt_Season[Symbol],Alt_Season[1 hour],"-",0,1),"-")</f>
        <v>-1.14709997286624E-2</v>
      </c>
      <c r="F16" s="62">
        <f>IFERROR(_xlfn.XLOOKUP($B16,Alt_Season[Symbol],Alt_Season[24 hour],"-",0,1),"-")</f>
        <v>-5.4228764793183303E-2</v>
      </c>
      <c r="G16" s="62">
        <f>IFERROR(_xlfn.XLOOKUP($B16,Alt_Season[Symbol],Alt_Season[7 days],"-",0,1),"-")</f>
        <v>2.59752915956327E-2</v>
      </c>
      <c r="H16" s="62">
        <f>IFERROR(_xlfn.XLOOKUP($B16,Alt_Season[Symbol],Alt_Season[14 days],"-",0,1),"-")</f>
        <v>-4.6481277547403997E-3</v>
      </c>
      <c r="I16" s="62">
        <f>IFERROR(_xlfn.XLOOKUP($B16,Alt_Season[Symbol],Alt_Season[30 days],"-",0,1),"-")</f>
        <v>-0.21150547205782799</v>
      </c>
      <c r="J16" s="62">
        <f>IFERROR(_xlfn.XLOOKUP($B16,Alt_Season[Symbol],Alt_Season[200 days],"-",0,1),"-")</f>
        <v>-0.52779234067152503</v>
      </c>
      <c r="K16" s="62">
        <f>IFERROR(_xlfn.XLOOKUP($B16,Alt_Season[Symbol],Alt_Season[1 year],"-",0,1),"-")</f>
        <v>-0.187468838413135</v>
      </c>
      <c r="L16" s="49">
        <f>IFERROR(_xlfn.XLOOKUP($B16,Alt_Season[Symbol],Alt_Season[Rank],"-",0,1),"-")</f>
        <v>12</v>
      </c>
      <c r="M16" s="53">
        <f>IFERROR(_xlfn.XLOOKUP($B16,Alt_Season[Symbol],Alt_Season[Market Cap],"-",0,1),"-")</f>
        <v>8323275624</v>
      </c>
    </row>
    <row r="17" spans="2:13" x14ac:dyDescent="0.3">
      <c r="B17" s="50" t="s">
        <v>19</v>
      </c>
      <c r="C17" s="50" t="str">
        <f>IFERROR(_xlfn.XLOOKUP($B17,Alt_Season[Symbol],Alt_Season[Name],"-",0,1),"-")</f>
        <v>Tether</v>
      </c>
      <c r="D17" s="52">
        <f>IFERROR(_xlfn.XLOOKUP($B17,Alt_Season[Symbol],Alt_Season[Price],"-",0,1),"-")</f>
        <v>1</v>
      </c>
      <c r="E17" s="63">
        <f>IFERROR(_xlfn.XLOOKUP($B17,Alt_Season[Symbol],Alt_Season[1 hour],"-",0,1),"-")</f>
        <v>-1.7394978880735099E-3</v>
      </c>
      <c r="F17" s="63">
        <f>IFERROR(_xlfn.XLOOKUP($B17,Alt_Season[Symbol],Alt_Season[24 hour],"-",0,1),"-")</f>
        <v>-1.5336767529002199E-3</v>
      </c>
      <c r="G17" s="63">
        <f>IFERROR(_xlfn.XLOOKUP($B17,Alt_Season[Symbol],Alt_Season[7 days],"-",0,1),"-")</f>
        <v>1.8026988896145299E-5</v>
      </c>
      <c r="H17" s="63">
        <f>IFERROR(_xlfn.XLOOKUP($B17,Alt_Season[Symbol],Alt_Season[14 days],"-",0,1),"-")</f>
        <v>-4.8464351736640399E-4</v>
      </c>
      <c r="I17" s="63">
        <f>IFERROR(_xlfn.XLOOKUP($B17,Alt_Season[Symbol],Alt_Season[30 days],"-",0,1),"-")</f>
        <v>-1.2764863965612301E-3</v>
      </c>
      <c r="J17" s="63">
        <f>IFERROR(_xlfn.XLOOKUP($B17,Alt_Season[Symbol],Alt_Season[200 days],"-",0,1),"-")</f>
        <v>-5.3672473167967003E-3</v>
      </c>
      <c r="K17" s="63">
        <f>IFERROR(_xlfn.XLOOKUP($B17,Alt_Season[Symbol],Alt_Season[1 year],"-",0,1),"-")</f>
        <v>2.5567036639213502E-3</v>
      </c>
      <c r="L17" s="50">
        <f>IFERROR(_xlfn.XLOOKUP($B17,Alt_Season[Symbol],Alt_Season[Rank],"-",0,1),"-")</f>
        <v>3</v>
      </c>
      <c r="M17" s="54">
        <f>IFERROR(_xlfn.XLOOKUP($B17,Alt_Season[Symbol],Alt_Season[Market Cap],"-",0,1),"-")</f>
        <v>72545762535</v>
      </c>
    </row>
    <row r="18" spans="2:13" x14ac:dyDescent="0.3">
      <c r="B18" s="49" t="s">
        <v>68</v>
      </c>
      <c r="C18" s="49" t="str">
        <f>IFERROR(_xlfn.XLOOKUP($B18,Alt_Season[Symbol],Alt_Season[Name],"-",0,1),"-")</f>
        <v>Litecoin</v>
      </c>
      <c r="D18" s="51">
        <f>IFERROR(_xlfn.XLOOKUP($B18,Alt_Season[Symbol],Alt_Season[Price],"-",0,1),"-")</f>
        <v>64.989999999999995</v>
      </c>
      <c r="E18" s="62">
        <f>IFERROR(_xlfn.XLOOKUP($B18,Alt_Season[Symbol],Alt_Season[1 hour],"-",0,1),"-")</f>
        <v>-1.2278793878047801E-2</v>
      </c>
      <c r="F18" s="62">
        <f>IFERROR(_xlfn.XLOOKUP($B18,Alt_Season[Symbol],Alt_Season[24 hour],"-",0,1),"-")</f>
        <v>-5.37439155220856E-2</v>
      </c>
      <c r="G18" s="62">
        <f>IFERROR(_xlfn.XLOOKUP($B18,Alt_Season[Symbol],Alt_Season[7 days],"-",0,1),"-")</f>
        <v>-7.6525836297602401E-2</v>
      </c>
      <c r="H18" s="62">
        <f>IFERROR(_xlfn.XLOOKUP($B18,Alt_Season[Symbol],Alt_Season[14 days],"-",0,1),"-")</f>
        <v>-0.10921677941737599</v>
      </c>
      <c r="I18" s="62">
        <f>IFERROR(_xlfn.XLOOKUP($B18,Alt_Season[Symbol],Alt_Season[30 days],"-",0,1),"-")</f>
        <v>-0.34720496025907299</v>
      </c>
      <c r="J18" s="62">
        <f>IFERROR(_xlfn.XLOOKUP($B18,Alt_Season[Symbol],Alt_Season[200 days],"-",0,1),"-")</f>
        <v>-0.74286014462955996</v>
      </c>
      <c r="K18" s="62">
        <f>IFERROR(_xlfn.XLOOKUP($B18,Alt_Season[Symbol],Alt_Season[1 year],"-",0,1),"-")</f>
        <v>-0.65330379971403596</v>
      </c>
      <c r="L18" s="49">
        <f>IFERROR(_xlfn.XLOOKUP($B18,Alt_Season[Symbol],Alt_Season[Rank],"-",0,1),"-")</f>
        <v>20</v>
      </c>
      <c r="M18" s="53">
        <f>IFERROR(_xlfn.XLOOKUP($B18,Alt_Season[Symbol],Alt_Season[Market Cap],"-",0,1),"-")</f>
        <v>4576370141</v>
      </c>
    </row>
    <row r="19" spans="2:13" x14ac:dyDescent="0.3">
      <c r="B19" s="50" t="s">
        <v>80</v>
      </c>
      <c r="C19" s="50" t="str">
        <f>IFERROR(_xlfn.XLOOKUP($B19,Alt_Season[Symbol],Alt_Season[Name],"-",0,1),"-")</f>
        <v>Bitcoin Cash</v>
      </c>
      <c r="D19" s="52">
        <f>IFERROR(_xlfn.XLOOKUP($B19,Alt_Season[Symbol],Alt_Season[Price],"-",0,1),"-")</f>
        <v>192.92</v>
      </c>
      <c r="E19" s="63">
        <f>IFERROR(_xlfn.XLOOKUP($B19,Alt_Season[Symbol],Alt_Season[1 hour],"-",0,1),"-")</f>
        <v>-9.1376591919266701E-3</v>
      </c>
      <c r="F19" s="63">
        <f>IFERROR(_xlfn.XLOOKUP($B19,Alt_Season[Symbol],Alt_Season[24 hour],"-",0,1),"-")</f>
        <v>-2.3018840206894799E-2</v>
      </c>
      <c r="G19" s="63">
        <f>IFERROR(_xlfn.XLOOKUP($B19,Alt_Season[Symbol],Alt_Season[7 days],"-",0,1),"-")</f>
        <v>-1.40351767995231E-2</v>
      </c>
      <c r="H19" s="63">
        <f>IFERROR(_xlfn.XLOOKUP($B19,Alt_Season[Symbol],Alt_Season[14 days],"-",0,1),"-")</f>
        <v>-6.6558912976660903E-2</v>
      </c>
      <c r="I19" s="63">
        <f>IFERROR(_xlfn.XLOOKUP($B19,Alt_Season[Symbol],Alt_Season[30 days],"-",0,1),"-")</f>
        <v>-0.32222054194315602</v>
      </c>
      <c r="J19" s="63">
        <f>IFERROR(_xlfn.XLOOKUP($B19,Alt_Season[Symbol],Alt_Season[200 days],"-",0,1),"-")</f>
        <v>-0.71162617912977799</v>
      </c>
      <c r="K19" s="63">
        <f>IFERROR(_xlfn.XLOOKUP($B19,Alt_Season[Symbol],Alt_Season[1 year],"-",0,1),"-")</f>
        <v>-0.726615927966905</v>
      </c>
      <c r="L19" s="50">
        <f>IFERROR(_xlfn.XLOOKUP($B19,Alt_Season[Symbol],Alt_Season[Rank],"-",0,1),"-")</f>
        <v>24</v>
      </c>
      <c r="M19" s="54">
        <f>IFERROR(_xlfn.XLOOKUP($B19,Alt_Season[Symbol],Alt_Season[Market Cap],"-",0,1),"-")</f>
        <v>3680829437</v>
      </c>
    </row>
    <row r="20" spans="2:13" x14ac:dyDescent="0.3">
      <c r="B20" s="49" t="s">
        <v>92</v>
      </c>
      <c r="C20" s="49" t="str">
        <f>IFERROR(_xlfn.XLOOKUP($B20,Alt_Season[Symbol],Alt_Season[Name],"-",0,1),"-")</f>
        <v>OKB</v>
      </c>
      <c r="D20" s="51">
        <f>IFERROR(_xlfn.XLOOKUP($B20,Alt_Season[Symbol],Alt_Season[Price],"-",0,1),"-")</f>
        <v>11.8</v>
      </c>
      <c r="E20" s="62">
        <f>IFERROR(_xlfn.XLOOKUP($B20,Alt_Season[Symbol],Alt_Season[1 hour],"-",0,1),"-")</f>
        <v>8.3304157568233001E-4</v>
      </c>
      <c r="F20" s="62">
        <f>IFERROR(_xlfn.XLOOKUP($B20,Alt_Season[Symbol],Alt_Season[24 hour],"-",0,1),"-")</f>
        <v>-3.7430650345239402E-2</v>
      </c>
      <c r="G20" s="62">
        <f>IFERROR(_xlfn.XLOOKUP($B20,Alt_Season[Symbol],Alt_Season[7 days],"-",0,1),"-")</f>
        <v>-7.6325166235395203E-2</v>
      </c>
      <c r="H20" s="62">
        <f>IFERROR(_xlfn.XLOOKUP($B20,Alt_Season[Symbol],Alt_Season[14 days],"-",0,1),"-")</f>
        <v>-8.5895329325009803E-2</v>
      </c>
      <c r="I20" s="62">
        <f>IFERROR(_xlfn.XLOOKUP($B20,Alt_Season[Symbol],Alt_Season[30 days],"-",0,1),"-")</f>
        <v>-0.35302194152880501</v>
      </c>
      <c r="J20" s="62">
        <f>IFERROR(_xlfn.XLOOKUP($B20,Alt_Season[Symbol],Alt_Season[200 days],"-",0,1),"-")</f>
        <v>-0.560668583271557</v>
      </c>
      <c r="K20" s="62">
        <f>IFERROR(_xlfn.XLOOKUP($B20,Alt_Season[Symbol],Alt_Season[1 year],"-",0,1),"-")</f>
        <v>-0.14077482510609199</v>
      </c>
      <c r="L20" s="49">
        <f>IFERROR(_xlfn.XLOOKUP($B20,Alt_Season[Symbol],Alt_Season[Rank],"-",0,1),"-")</f>
        <v>30</v>
      </c>
      <c r="M20" s="53">
        <f>IFERROR(_xlfn.XLOOKUP($B20,Alt_Season[Symbol],Alt_Season[Market Cap],"-",0,1),"-")</f>
        <v>3042236896</v>
      </c>
    </row>
    <row r="21" spans="2:13" x14ac:dyDescent="0.3">
      <c r="B21" s="50" t="s">
        <v>97</v>
      </c>
      <c r="C21" s="50" t="str">
        <f>IFERROR(_xlfn.XLOOKUP($B21,Alt_Season[Symbol],Alt_Season[Name],"-",0,1),"-")</f>
        <v>Monero</v>
      </c>
      <c r="D21" s="52">
        <f>IFERROR(_xlfn.XLOOKUP($B21,Alt_Season[Symbol],Alt_Season[Price],"-",0,1),"-")</f>
        <v>196.56</v>
      </c>
      <c r="E21" s="63">
        <f>IFERROR(_xlfn.XLOOKUP($B21,Alt_Season[Symbol],Alt_Season[1 hour],"-",0,1),"-")</f>
        <v>-1.19820682979923E-3</v>
      </c>
      <c r="F21" s="63">
        <f>IFERROR(_xlfn.XLOOKUP($B21,Alt_Season[Symbol],Alt_Season[24 hour],"-",0,1),"-")</f>
        <v>3.2602433149587699E-3</v>
      </c>
      <c r="G21" s="63">
        <f>IFERROR(_xlfn.XLOOKUP($B21,Alt_Season[Symbol],Alt_Season[7 days],"-",0,1),"-")</f>
        <v>1.9343093759948901E-2</v>
      </c>
      <c r="H21" s="63">
        <f>IFERROR(_xlfn.XLOOKUP($B21,Alt_Season[Symbol],Alt_Season[14 days],"-",0,1),"-")</f>
        <v>0.13440086385857999</v>
      </c>
      <c r="I21" s="63">
        <f>IFERROR(_xlfn.XLOOKUP($B21,Alt_Season[Symbol],Alt_Season[30 days],"-",0,1),"-")</f>
        <v>-7.71480550522671E-2</v>
      </c>
      <c r="J21" s="63">
        <f>IFERROR(_xlfn.XLOOKUP($B21,Alt_Season[Symbol],Alt_Season[200 days],"-",0,1),"-")</f>
        <v>-0.24748681727949401</v>
      </c>
      <c r="K21" s="63">
        <f>IFERROR(_xlfn.XLOOKUP($B21,Alt_Season[Symbol],Alt_Season[1 year],"-",0,1),"-")</f>
        <v>-0.27984491338596501</v>
      </c>
      <c r="L21" s="50">
        <f>IFERROR(_xlfn.XLOOKUP($B21,Alt_Season[Symbol],Alt_Season[Rank],"-",0,1),"-")</f>
        <v>25</v>
      </c>
      <c r="M21" s="54">
        <f>IFERROR(_xlfn.XLOOKUP($B21,Alt_Season[Symbol],Alt_Season[Market Cap],"-",0,1),"-")</f>
        <v>3563461912</v>
      </c>
    </row>
  </sheetData>
  <mergeCells count="1">
    <mergeCell ref="B6:C6"/>
  </mergeCell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CCFB1FA-349B-4C2A-93D7-4C0071E01441}">
          <x14:formula1>
            <xm:f>'Hist prices'!$E$5:$E$6</xm:f>
          </x14:formula1>
          <xm:sqref>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AB4C4-6C03-4C47-802C-EB52A9A203A6}">
  <sheetPr codeName="Sheet1">
    <tabColor theme="4" tint="0.39997558519241921"/>
  </sheetPr>
  <dimension ref="B1:Y54"/>
  <sheetViews>
    <sheetView showGridLines="0" zoomScale="80" zoomScaleNormal="80" workbookViewId="0">
      <selection activeCell="E3" sqref="E3"/>
    </sheetView>
  </sheetViews>
  <sheetFormatPr defaultRowHeight="14.4" x14ac:dyDescent="0.3"/>
  <cols>
    <col min="2" max="2" width="11" customWidth="1"/>
    <col min="3" max="3" width="7.77734375" bestFit="1" customWidth="1"/>
    <col min="4" max="4" width="20.109375" bestFit="1" customWidth="1"/>
    <col min="5" max="5" width="7.33203125" bestFit="1" customWidth="1"/>
    <col min="6" max="14" width="17.6640625" style="1" customWidth="1"/>
    <col min="16" max="16" width="20.109375" bestFit="1" customWidth="1"/>
    <col min="17" max="17" width="12.77734375" customWidth="1"/>
    <col min="19" max="21" width="19.5546875" customWidth="1"/>
    <col min="23" max="23" width="24.5546875" customWidth="1"/>
  </cols>
  <sheetData>
    <row r="1" spans="2:25" x14ac:dyDescent="0.3">
      <c r="F1" s="4"/>
    </row>
    <row r="2" spans="2:25" x14ac:dyDescent="0.3">
      <c r="F2" s="31"/>
      <c r="G2" s="31"/>
    </row>
    <row r="3" spans="2:25" x14ac:dyDescent="0.3">
      <c r="S3" s="84" t="s">
        <v>155</v>
      </c>
      <c r="T3" s="85"/>
      <c r="U3" s="86"/>
      <c r="W3" s="10" t="s">
        <v>157</v>
      </c>
      <c r="X3" s="24"/>
      <c r="Y3" s="24"/>
    </row>
    <row r="4" spans="2:25" x14ac:dyDescent="0.3">
      <c r="B4" s="1" t="s">
        <v>0</v>
      </c>
      <c r="C4" s="2" t="s">
        <v>3</v>
      </c>
      <c r="D4" s="1" t="s">
        <v>2</v>
      </c>
      <c r="E4" s="1" t="s">
        <v>1</v>
      </c>
      <c r="F4" s="1" t="s">
        <v>4</v>
      </c>
      <c r="G4" s="1" t="s">
        <v>5</v>
      </c>
      <c r="H4" s="1" t="s">
        <v>6</v>
      </c>
      <c r="I4" s="1" t="s">
        <v>7</v>
      </c>
      <c r="J4" s="1" t="s">
        <v>8</v>
      </c>
      <c r="K4" s="1" t="s">
        <v>9</v>
      </c>
      <c r="L4" s="1" t="s">
        <v>10</v>
      </c>
      <c r="M4" s="1" t="s">
        <v>11</v>
      </c>
      <c r="N4" s="1" t="s">
        <v>12</v>
      </c>
      <c r="P4" s="11" t="s">
        <v>2</v>
      </c>
      <c r="Q4" s="11" t="str">
        <f>HLOOKUP('Alt Season'!$C$3,Alt_Season[[#Headers],[1 hour]:[1 year]],1,FALSE)</f>
        <v>1 hour</v>
      </c>
      <c r="S4" s="19" t="s">
        <v>2</v>
      </c>
      <c r="T4" s="20" t="str">
        <f>HLOOKUP('Alt Season'!$C$3,Alt_Season[[#Headers],[1 hour]:[1 year]],1,FALSE)</f>
        <v>1 hour</v>
      </c>
      <c r="U4" s="21" t="s">
        <v>156</v>
      </c>
      <c r="W4" s="25" t="s">
        <v>158</v>
      </c>
    </row>
    <row r="5" spans="2:25" x14ac:dyDescent="0.3">
      <c r="B5" s="64">
        <v>1</v>
      </c>
      <c r="C5" s="6" t="s">
        <v>15</v>
      </c>
      <c r="D5" s="64" t="s">
        <v>14</v>
      </c>
      <c r="E5" s="5" t="s">
        <v>13</v>
      </c>
      <c r="F5" s="30">
        <v>30334</v>
      </c>
      <c r="G5" s="3">
        <v>-1.25653387016942E-2</v>
      </c>
      <c r="H5" s="3">
        <v>-5.7642980066510398E-2</v>
      </c>
      <c r="I5" s="3">
        <v>2.29116262336596E-2</v>
      </c>
      <c r="J5" s="3">
        <v>-5.4986955299614797E-3</v>
      </c>
      <c r="K5" s="18">
        <v>-0.212861519724652</v>
      </c>
      <c r="L5" s="3">
        <v>-0.52920212886571005</v>
      </c>
      <c r="M5" s="3">
        <v>-0.187629373574354</v>
      </c>
      <c r="N5" s="4">
        <v>578039634639</v>
      </c>
      <c r="P5" s="12" t="str">
        <f>Alt_Season[[#This Row],[Name]]</f>
        <v>Bitcoin</v>
      </c>
      <c r="Q5" s="13">
        <f>HLOOKUP($Q$4,Alt_Season[[#All],[1 hour]:[1 year]],ROW(A2),FALSE)</f>
        <v>-1.25653387016942E-2</v>
      </c>
      <c r="S5" s="14" t="str" cm="1">
        <f t="array" ref="S5:S54">_xlfn.SORTBY($P$5:$P$54,$Q$5:$Q$54,-1)</f>
        <v>Axie Infinity</v>
      </c>
      <c r="T5" s="22">
        <f>_xlfn.XLOOKUP(S5,$P$5:$P$54,$Q$5:$Q$54,,0)</f>
        <v>6.7268262368093803E-3</v>
      </c>
      <c r="U5" s="28" t="str">
        <f>IF(S5='Alt Season'!$F$3,'Coin Returns'!T5,"")</f>
        <v/>
      </c>
      <c r="W5" s="26" t="str" cm="1">
        <f t="array" ref="W5:W54">_xlfn.SORTBY(_xlfn.ANCHORARRAY(S5),_xlfn.ANCHORARRAY(S5),1)</f>
        <v>Aave</v>
      </c>
    </row>
    <row r="6" spans="2:25" x14ac:dyDescent="0.3">
      <c r="B6" s="64">
        <v>2</v>
      </c>
      <c r="C6" s="6" t="s">
        <v>18</v>
      </c>
      <c r="D6" s="64" t="s">
        <v>17</v>
      </c>
      <c r="E6" s="5" t="s">
        <v>16</v>
      </c>
      <c r="F6" s="30">
        <v>1850.45</v>
      </c>
      <c r="G6" s="3">
        <v>-1.1273923285580099E-2</v>
      </c>
      <c r="H6" s="3">
        <v>-6.4831265916238098E-2</v>
      </c>
      <c r="I6" s="3">
        <v>-6.5323056954621206E-2</v>
      </c>
      <c r="J6" s="3">
        <v>-0.116807689135592</v>
      </c>
      <c r="K6" s="3">
        <v>-0.34671233243959798</v>
      </c>
      <c r="L6" s="3">
        <v>-0.60503652627676396</v>
      </c>
      <c r="M6" s="3">
        <v>-0.316782795704597</v>
      </c>
      <c r="N6" s="4">
        <v>223922597610</v>
      </c>
      <c r="P6" s="14" t="str">
        <f>Alt_Season[[#This Row],[Name]]</f>
        <v>Ethereum</v>
      </c>
      <c r="Q6" s="15">
        <f>HLOOKUP($Q$4,Alt_Season[[#All],[1 hour]:[1 year]],ROW(A3),FALSE)</f>
        <v>-1.1273923285580099E-2</v>
      </c>
      <c r="S6" s="14" t="str">
        <v>Flow</v>
      </c>
      <c r="T6" s="22">
        <f t="shared" ref="T6:T54" si="0">_xlfn.XLOOKUP(S6,$P$5:$P$54,$Q$5:$Q$54,,0)</f>
        <v>4.8206281719218999E-3</v>
      </c>
      <c r="U6" s="28" t="str">
        <f>IF(S6='Alt Season'!$F$3,'Coin Returns'!T6,"")</f>
        <v/>
      </c>
      <c r="W6" s="26" t="str">
        <v>Algorand</v>
      </c>
    </row>
    <row r="7" spans="2:25" x14ac:dyDescent="0.3">
      <c r="B7" s="64">
        <v>3</v>
      </c>
      <c r="C7" s="6" t="s">
        <v>21</v>
      </c>
      <c r="D7" s="64" t="s">
        <v>20</v>
      </c>
      <c r="E7" s="5" t="s">
        <v>19</v>
      </c>
      <c r="F7" s="30">
        <v>1</v>
      </c>
      <c r="G7" s="3">
        <v>-1.7394978880735099E-3</v>
      </c>
      <c r="H7" s="3">
        <v>-1.5336767529002199E-3</v>
      </c>
      <c r="I7" s="3">
        <v>1.8026988896145299E-5</v>
      </c>
      <c r="J7" s="3">
        <v>-4.8464351736640399E-4</v>
      </c>
      <c r="K7" s="3">
        <v>-1.2764863965612301E-3</v>
      </c>
      <c r="L7" s="3">
        <v>-5.3672473167967003E-3</v>
      </c>
      <c r="M7" s="3">
        <v>2.5567036639213502E-3</v>
      </c>
      <c r="N7" s="4">
        <v>72545762535</v>
      </c>
      <c r="P7" s="14" t="str">
        <f>Alt_Season[[#This Row],[Name]]</f>
        <v>Tether</v>
      </c>
      <c r="Q7" s="15">
        <f>HLOOKUP($Q$4,Alt_Season[[#All],[1 hour]:[1 year]],ROW(A4),FALSE)</f>
        <v>-1.7394978880735099E-3</v>
      </c>
      <c r="S7" s="14" t="str">
        <v>NEAR Protocol</v>
      </c>
      <c r="T7" s="22">
        <f t="shared" si="0"/>
        <v>4.7077976658728999E-3</v>
      </c>
      <c r="U7" s="28" t="str">
        <f>IF(S7='Alt Season'!$F$3,'Coin Returns'!T7,"")</f>
        <v/>
      </c>
      <c r="W7" s="26" t="str">
        <v>ApeCoin</v>
      </c>
    </row>
    <row r="8" spans="2:25" x14ac:dyDescent="0.3">
      <c r="B8" s="64">
        <v>4</v>
      </c>
      <c r="C8" s="6" t="s">
        <v>24</v>
      </c>
      <c r="D8" s="64" t="s">
        <v>23</v>
      </c>
      <c r="E8" s="5" t="s">
        <v>22</v>
      </c>
      <c r="F8" s="30">
        <v>1.0009999999999999</v>
      </c>
      <c r="G8" s="3">
        <v>-2.1575365598796698E-3</v>
      </c>
      <c r="H8" s="3">
        <v>-9.2090648560865299E-4</v>
      </c>
      <c r="I8" s="3">
        <v>6.2630324567875505E-4</v>
      </c>
      <c r="J8" s="3">
        <v>-1.3903271589905E-3</v>
      </c>
      <c r="K8" s="3">
        <v>3.0298476620544898E-3</v>
      </c>
      <c r="L8" s="3">
        <v>-4.6754225168965796E-3</v>
      </c>
      <c r="M8" s="3">
        <v>-4.5980264519335798E-4</v>
      </c>
      <c r="N8" s="4">
        <v>54001320827</v>
      </c>
      <c r="P8" s="14" t="str">
        <f>Alt_Season[[#This Row],[Name]]</f>
        <v>USD Coin</v>
      </c>
      <c r="Q8" s="15">
        <f>HLOOKUP($Q$4,Alt_Season[[#All],[1 hour]:[1 year]],ROW(A5),FALSE)</f>
        <v>-2.1575365598796698E-3</v>
      </c>
      <c r="S8" s="14" t="str">
        <v>Chain</v>
      </c>
      <c r="T8" s="22">
        <f t="shared" si="0"/>
        <v>1.3373962320434201E-3</v>
      </c>
      <c r="U8" s="28" t="str">
        <f>IF(S8='Alt Season'!$F$3,'Coin Returns'!T8,"")</f>
        <v/>
      </c>
      <c r="W8" s="26" t="str">
        <v>Avalanche</v>
      </c>
    </row>
    <row r="9" spans="2:25" x14ac:dyDescent="0.3">
      <c r="B9" s="64">
        <v>5</v>
      </c>
      <c r="C9" s="6" t="s">
        <v>26</v>
      </c>
      <c r="D9" s="64" t="s">
        <v>25</v>
      </c>
      <c r="E9" s="5" t="s">
        <v>25</v>
      </c>
      <c r="F9" s="30">
        <v>303.77999999999997</v>
      </c>
      <c r="G9" s="3">
        <v>-3.9676458479585E-3</v>
      </c>
      <c r="H9" s="3">
        <v>-6.1358575147832398E-2</v>
      </c>
      <c r="I9" s="3">
        <v>-7.4697683501721304E-2</v>
      </c>
      <c r="J9" s="3">
        <v>-9.0021278680418506E-3</v>
      </c>
      <c r="K9" s="3">
        <v>-0.22281029154705601</v>
      </c>
      <c r="L9" s="3">
        <v>-0.51712171007787899</v>
      </c>
      <c r="M9" s="3">
        <v>-0.13964156305832401</v>
      </c>
      <c r="N9" s="4">
        <v>51076058191</v>
      </c>
      <c r="P9" s="14" t="str">
        <f>Alt_Season[[#This Row],[Name]]</f>
        <v>BNB</v>
      </c>
      <c r="Q9" s="15">
        <f>HLOOKUP($Q$4,Alt_Season[[#All],[1 hour]:[1 year]],ROW(A6),FALSE)</f>
        <v>-3.9676458479585E-3</v>
      </c>
      <c r="S9" s="14" t="str">
        <v>Binance USD</v>
      </c>
      <c r="T9" s="22">
        <f t="shared" si="0"/>
        <v>9.18460190898674E-4</v>
      </c>
      <c r="U9" s="28" t="str">
        <f>IF(S9='Alt Season'!$F$3,'Coin Returns'!T9,"")</f>
        <v/>
      </c>
      <c r="W9" s="26" t="str">
        <v>Axie Infinity</v>
      </c>
    </row>
    <row r="10" spans="2:25" x14ac:dyDescent="0.3">
      <c r="B10" s="64">
        <v>6</v>
      </c>
      <c r="C10" s="6" t="s">
        <v>28</v>
      </c>
      <c r="D10" s="64" t="s">
        <v>27</v>
      </c>
      <c r="E10" s="5" t="s">
        <v>27</v>
      </c>
      <c r="F10" s="30">
        <v>0.405055</v>
      </c>
      <c r="G10" s="3">
        <v>-3.6784583455241201E-3</v>
      </c>
      <c r="H10" s="3">
        <v>-2.8987380468901699E-2</v>
      </c>
      <c r="I10" s="3">
        <v>-1.01346333196435E-2</v>
      </c>
      <c r="J10" s="3">
        <v>-7.7647011891219503E-2</v>
      </c>
      <c r="K10" s="3">
        <v>-0.33512127005339198</v>
      </c>
      <c r="L10" s="3">
        <v>-0.66081831936217605</v>
      </c>
      <c r="M10" s="3">
        <v>-0.61105234260997099</v>
      </c>
      <c r="N10" s="4">
        <v>19581624510</v>
      </c>
      <c r="P10" s="14" t="str">
        <f>Alt_Season[[#This Row],[Name]]</f>
        <v>XRP</v>
      </c>
      <c r="Q10" s="15">
        <f>HLOOKUP($Q$4,Alt_Season[[#All],[1 hour]:[1 year]],ROW(A7),FALSE)</f>
        <v>-3.6784583455241201E-3</v>
      </c>
      <c r="S10" s="14" t="str">
        <v>OKB</v>
      </c>
      <c r="T10" s="22">
        <f t="shared" si="0"/>
        <v>8.3304157568233001E-4</v>
      </c>
      <c r="U10" s="28" t="str">
        <f>IF(S10='Alt Season'!$F$3,'Coin Returns'!T10,"")</f>
        <v/>
      </c>
      <c r="W10" s="26" t="str">
        <v>Binance USD</v>
      </c>
    </row>
    <row r="11" spans="2:25" x14ac:dyDescent="0.3">
      <c r="B11" s="64">
        <v>7</v>
      </c>
      <c r="C11" s="6" t="s">
        <v>31</v>
      </c>
      <c r="D11" s="64" t="s">
        <v>30</v>
      </c>
      <c r="E11" s="5" t="s">
        <v>29</v>
      </c>
      <c r="F11" s="30">
        <v>0.56564099999999995</v>
      </c>
      <c r="G11" s="3">
        <v>1.4663062745766099E-4</v>
      </c>
      <c r="H11" s="3">
        <v>-0.104585865320854</v>
      </c>
      <c r="I11" s="3">
        <v>8.4850461633654395E-2</v>
      </c>
      <c r="J11" s="3">
        <v>-2.3692439425682499E-2</v>
      </c>
      <c r="K11" s="3">
        <v>-0.28422845378065997</v>
      </c>
      <c r="L11" s="3">
        <v>-0.72498838757368</v>
      </c>
      <c r="M11" s="3">
        <v>-0.67563196401200298</v>
      </c>
      <c r="N11" s="4">
        <v>19130114415</v>
      </c>
      <c r="P11" s="14" t="str">
        <f>Alt_Season[[#This Row],[Name]]</f>
        <v>Cardano</v>
      </c>
      <c r="Q11" s="15">
        <f>HLOOKUP($Q$4,Alt_Season[[#All],[1 hour]:[1 year]],ROW(A8),FALSE)</f>
        <v>1.4663062745766099E-4</v>
      </c>
      <c r="S11" s="14" t="str">
        <v>Cardano</v>
      </c>
      <c r="T11" s="22">
        <f t="shared" si="0"/>
        <v>1.4663062745766099E-4</v>
      </c>
      <c r="U11" s="28" t="str">
        <f>IF(S11='Alt Season'!$F$3,'Coin Returns'!T11,"")</f>
        <v/>
      </c>
      <c r="W11" s="26" t="str">
        <v>Bitcoin</v>
      </c>
    </row>
    <row r="12" spans="2:25" x14ac:dyDescent="0.3">
      <c r="B12" s="64">
        <v>8</v>
      </c>
      <c r="C12" s="6" t="s">
        <v>37</v>
      </c>
      <c r="D12" s="64" t="s">
        <v>36</v>
      </c>
      <c r="E12" s="5" t="s">
        <v>35</v>
      </c>
      <c r="F12" s="30">
        <v>1</v>
      </c>
      <c r="G12" s="3">
        <v>9.18460190898674E-4</v>
      </c>
      <c r="H12" s="3">
        <v>-1.5085431510306201E-3</v>
      </c>
      <c r="I12" s="3">
        <v>-9.2220442476187404E-4</v>
      </c>
      <c r="J12" s="3">
        <v>-1.07082457150232E-3</v>
      </c>
      <c r="K12" s="3">
        <v>2.8487380324179799E-4</v>
      </c>
      <c r="L12" s="3">
        <v>-4.3270138488631102E-3</v>
      </c>
      <c r="M12" s="3">
        <v>-8.88543188812734E-4</v>
      </c>
      <c r="N12" s="4">
        <v>18188021414</v>
      </c>
      <c r="P12" s="14" t="str">
        <f>Alt_Season[[#This Row],[Name]]</f>
        <v>Binance USD</v>
      </c>
      <c r="Q12" s="15">
        <f>HLOOKUP($Q$4,Alt_Season[[#All],[1 hour]:[1 year]],ROW(A9),FALSE)</f>
        <v>9.18460190898674E-4</v>
      </c>
      <c r="S12" s="14" t="str">
        <v>KuCoin</v>
      </c>
      <c r="T12" s="22">
        <f t="shared" si="0"/>
        <v>-1.16809522419606E-3</v>
      </c>
      <c r="U12" s="28" t="str">
        <f>IF(S12='Alt Season'!$F$3,'Coin Returns'!T12,"")</f>
        <v/>
      </c>
      <c r="W12" s="26" t="str">
        <v>Bitcoin Cash</v>
      </c>
    </row>
    <row r="13" spans="2:25" x14ac:dyDescent="0.3">
      <c r="B13" s="64">
        <v>9</v>
      </c>
      <c r="C13" s="6" t="s">
        <v>34</v>
      </c>
      <c r="D13" s="64" t="s">
        <v>33</v>
      </c>
      <c r="E13" s="5" t="s">
        <v>32</v>
      </c>
      <c r="F13" s="30">
        <v>42.34</v>
      </c>
      <c r="G13" s="3">
        <v>-1.5279114814292E-2</v>
      </c>
      <c r="H13" s="3">
        <v>-8.7301368739872903E-2</v>
      </c>
      <c r="I13" s="3">
        <v>-0.147096859259609</v>
      </c>
      <c r="J13" s="3">
        <v>-0.26270369336990201</v>
      </c>
      <c r="K13" s="3">
        <v>-0.52823532473118096</v>
      </c>
      <c r="L13" s="3">
        <v>-0.81545053186848304</v>
      </c>
      <c r="M13" s="3">
        <v>0.29616137515545399</v>
      </c>
      <c r="N13" s="4">
        <v>14392481591</v>
      </c>
      <c r="P13" s="14" t="str">
        <f>Alt_Season[[#This Row],[Name]]</f>
        <v>Solana</v>
      </c>
      <c r="Q13" s="15">
        <f>HLOOKUP($Q$4,Alt_Season[[#All],[1 hour]:[1 year]],ROW(A10),FALSE)</f>
        <v>-1.5279114814292E-2</v>
      </c>
      <c r="S13" s="14" t="str">
        <v>Monero</v>
      </c>
      <c r="T13" s="22">
        <f t="shared" si="0"/>
        <v>-1.19820682979923E-3</v>
      </c>
      <c r="U13" s="28" t="str">
        <f>IF(S13='Alt Season'!$F$3,'Coin Returns'!T13,"")</f>
        <v/>
      </c>
      <c r="W13" s="26" t="str">
        <v>BNB</v>
      </c>
    </row>
    <row r="14" spans="2:25" x14ac:dyDescent="0.3">
      <c r="B14" s="64">
        <v>10</v>
      </c>
      <c r="C14" s="6" t="s">
        <v>43</v>
      </c>
      <c r="D14" s="64" t="s">
        <v>42</v>
      </c>
      <c r="E14" s="5" t="s">
        <v>41</v>
      </c>
      <c r="F14" s="30">
        <v>8.3333000000000004E-2</v>
      </c>
      <c r="G14" s="3">
        <v>-1.31689708229725E-2</v>
      </c>
      <c r="H14" s="3">
        <v>-3.4009277025407701E-2</v>
      </c>
      <c r="I14" s="3">
        <v>-4.9312662399978403E-3</v>
      </c>
      <c r="J14" s="3">
        <v>-7.8375277928294795E-2</v>
      </c>
      <c r="K14" s="3">
        <v>-0.37360181497510903</v>
      </c>
      <c r="L14" s="3">
        <v>-0.67868716447004296</v>
      </c>
      <c r="M14" s="3">
        <v>-0.74479426770218904</v>
      </c>
      <c r="N14" s="4">
        <v>11055787737</v>
      </c>
      <c r="P14" s="14" t="str">
        <f>Alt_Season[[#This Row],[Name]]</f>
        <v>Dogecoin</v>
      </c>
      <c r="Q14" s="15">
        <f>HLOOKUP($Q$4,Alt_Season[[#All],[1 hour]:[1 year]],ROW(A11),FALSE)</f>
        <v>-1.31689708229725E-2</v>
      </c>
      <c r="S14" s="14" t="str">
        <v>Decentraland</v>
      </c>
      <c r="T14" s="22">
        <f t="shared" si="0"/>
        <v>-1.28379266911035E-3</v>
      </c>
      <c r="U14" s="28" t="str">
        <f>IF(S14='Alt Season'!$F$3,'Coin Returns'!T14,"")</f>
        <v/>
      </c>
      <c r="W14" s="26" t="str">
        <v>Cardano</v>
      </c>
    </row>
    <row r="15" spans="2:25" x14ac:dyDescent="0.3">
      <c r="B15" s="64">
        <v>11</v>
      </c>
      <c r="C15" s="6" t="s">
        <v>40</v>
      </c>
      <c r="D15" s="64" t="s">
        <v>39</v>
      </c>
      <c r="E15" s="5" t="s">
        <v>38</v>
      </c>
      <c r="F15" s="30">
        <v>9.86</v>
      </c>
      <c r="G15" s="3">
        <v>-9.8186826923036298E-3</v>
      </c>
      <c r="H15" s="3">
        <v>-5.32416163915852E-2</v>
      </c>
      <c r="I15" s="3">
        <v>-3.3094551908598398E-2</v>
      </c>
      <c r="J15" s="3">
        <v>-0.108041950294076</v>
      </c>
      <c r="K15" s="3">
        <v>-0.36054946195735099</v>
      </c>
      <c r="L15" s="3">
        <v>-0.78619835530883897</v>
      </c>
      <c r="M15" s="3">
        <v>-0.57735311111945897</v>
      </c>
      <c r="N15" s="4">
        <v>11021273588</v>
      </c>
      <c r="P15" s="14" t="str">
        <f>Alt_Season[[#This Row],[Name]]</f>
        <v>Polkadot</v>
      </c>
      <c r="Q15" s="15">
        <f>HLOOKUP($Q$4,Alt_Season[[#All],[1 hour]:[1 year]],ROW(A12),FALSE)</f>
        <v>-9.8186826923036298E-3</v>
      </c>
      <c r="S15" s="14" t="str">
        <v>Tether</v>
      </c>
      <c r="T15" s="22">
        <f t="shared" si="0"/>
        <v>-1.7394978880735099E-3</v>
      </c>
      <c r="U15" s="28" t="str">
        <f>IF(S15='Alt Season'!$F$3,'Coin Returns'!T15,"")</f>
        <v/>
      </c>
      <c r="W15" s="26" t="str">
        <v>cETH</v>
      </c>
    </row>
    <row r="16" spans="2:25" x14ac:dyDescent="0.3">
      <c r="B16" s="64">
        <v>12</v>
      </c>
      <c r="C16" s="6" t="s">
        <v>49</v>
      </c>
      <c r="D16" s="64" t="s">
        <v>48</v>
      </c>
      <c r="E16" s="5" t="s">
        <v>47</v>
      </c>
      <c r="F16" s="30">
        <v>30410</v>
      </c>
      <c r="G16" s="3">
        <v>-1.14709997286624E-2</v>
      </c>
      <c r="H16" s="3">
        <v>-5.4228764793183303E-2</v>
      </c>
      <c r="I16" s="3">
        <v>2.59752915956327E-2</v>
      </c>
      <c r="J16" s="3">
        <v>-4.6481277547403997E-3</v>
      </c>
      <c r="K16" s="3">
        <v>-0.21150547205782799</v>
      </c>
      <c r="L16" s="3">
        <v>-0.52779234067152503</v>
      </c>
      <c r="M16" s="3">
        <v>-0.187468838413135</v>
      </c>
      <c r="N16" s="4">
        <v>8323275624</v>
      </c>
      <c r="P16" s="14" t="str">
        <f>Alt_Season[[#This Row],[Name]]</f>
        <v>Wrapped Bitcoin</v>
      </c>
      <c r="Q16" s="15">
        <f>HLOOKUP($Q$4,Alt_Season[[#All],[1 hour]:[1 year]],ROW(A13),FALSE)</f>
        <v>-1.14709997286624E-2</v>
      </c>
      <c r="S16" s="14" t="str">
        <v>USD Coin</v>
      </c>
      <c r="T16" s="22">
        <f t="shared" si="0"/>
        <v>-2.1575365598796698E-3</v>
      </c>
      <c r="U16" s="28" t="str">
        <f>IF(S16='Alt Season'!$F$3,'Coin Returns'!T16,"")</f>
        <v/>
      </c>
      <c r="W16" s="26" t="str">
        <v>Chain</v>
      </c>
    </row>
    <row r="17" spans="2:23" x14ac:dyDescent="0.3">
      <c r="B17" s="64">
        <v>13</v>
      </c>
      <c r="C17" s="6" t="s">
        <v>55</v>
      </c>
      <c r="D17" s="64" t="s">
        <v>54</v>
      </c>
      <c r="E17" s="5" t="s">
        <v>53</v>
      </c>
      <c r="F17" s="30">
        <v>8.7946999999999997E-2</v>
      </c>
      <c r="G17" s="3">
        <v>-4.5414655342719303E-3</v>
      </c>
      <c r="H17" s="3">
        <v>8.65606903647934E-2</v>
      </c>
      <c r="I17" s="3">
        <v>9.1367805222871801E-2</v>
      </c>
      <c r="J17" s="3">
        <v>0.21313436226080201</v>
      </c>
      <c r="K17" s="3">
        <v>0.23793162125800099</v>
      </c>
      <c r="L17" s="3">
        <v>-0.18759842630693099</v>
      </c>
      <c r="M17" s="3">
        <v>0.14658086869117301</v>
      </c>
      <c r="N17" s="4">
        <v>8212332272</v>
      </c>
      <c r="P17" s="14" t="str">
        <f>Alt_Season[[#This Row],[Name]]</f>
        <v>TRON</v>
      </c>
      <c r="Q17" s="15">
        <f>HLOOKUP($Q$4,Alt_Season[[#All],[1 hour]:[1 year]],ROW(A14),FALSE)</f>
        <v>-4.5414655342719303E-3</v>
      </c>
      <c r="S17" s="14" t="str">
        <v>Frax</v>
      </c>
      <c r="T17" s="22">
        <f t="shared" si="0"/>
        <v>-2.3933705889536598E-3</v>
      </c>
      <c r="U17" s="28" t="str">
        <f>IF(S17='Alt Season'!$F$3,'Coin Returns'!T17,"")</f>
        <v/>
      </c>
      <c r="W17" s="26" t="str">
        <v>Chainlink</v>
      </c>
    </row>
    <row r="18" spans="2:23" x14ac:dyDescent="0.3">
      <c r="B18" s="64">
        <v>14</v>
      </c>
      <c r="C18" s="6" t="s">
        <v>52</v>
      </c>
      <c r="D18" s="64" t="s">
        <v>51</v>
      </c>
      <c r="E18" s="5" t="s">
        <v>50</v>
      </c>
      <c r="F18" s="30">
        <v>1816.83</v>
      </c>
      <c r="G18" s="3">
        <v>-1.3632791813117801E-2</v>
      </c>
      <c r="H18" s="3">
        <v>-6.1654752427986903E-2</v>
      </c>
      <c r="I18" s="3">
        <v>-6.2562610532317001E-2</v>
      </c>
      <c r="J18" s="3">
        <v>-0.119772295233856</v>
      </c>
      <c r="K18" s="3">
        <v>-0.357928501962686</v>
      </c>
      <c r="L18" s="3">
        <v>-0.60818036918398599</v>
      </c>
      <c r="M18" s="3">
        <v>-0.32374102950859601</v>
      </c>
      <c r="N18" s="4">
        <v>7644396729</v>
      </c>
      <c r="P18" s="14" t="str">
        <f>Alt_Season[[#This Row],[Name]]</f>
        <v>Lido Staked Ether</v>
      </c>
      <c r="Q18" s="15">
        <f>HLOOKUP($Q$4,Alt_Season[[#All],[1 hour]:[1 year]],ROW(A15),FALSE)</f>
        <v>-1.3632791813117801E-2</v>
      </c>
      <c r="S18" s="14" t="str">
        <v>Dai</v>
      </c>
      <c r="T18" s="22">
        <f t="shared" si="0"/>
        <v>-2.5751135925896501E-3</v>
      </c>
      <c r="U18" s="28" t="str">
        <f>IF(S18='Alt Season'!$F$3,'Coin Returns'!T18,"")</f>
        <v/>
      </c>
      <c r="W18" s="26" t="str">
        <v>Cosmos Hub</v>
      </c>
    </row>
    <row r="19" spans="2:23" x14ac:dyDescent="0.3">
      <c r="B19" s="64">
        <v>15</v>
      </c>
      <c r="C19" s="6" t="s">
        <v>46</v>
      </c>
      <c r="D19" s="64" t="s">
        <v>45</v>
      </c>
      <c r="E19" s="5" t="s">
        <v>44</v>
      </c>
      <c r="F19" s="30">
        <v>24.7</v>
      </c>
      <c r="G19" s="3">
        <v>-4.6266282354307797E-3</v>
      </c>
      <c r="H19" s="3">
        <v>-7.8886193357063095E-2</v>
      </c>
      <c r="I19" s="3">
        <v>-0.14723232435577099</v>
      </c>
      <c r="J19" s="3">
        <v>-0.28439131964249398</v>
      </c>
      <c r="K19" s="3">
        <v>-0.58062873322258801</v>
      </c>
      <c r="L19" s="3">
        <v>-0.70873748638559197</v>
      </c>
      <c r="M19" s="3">
        <v>0.36691444088389702</v>
      </c>
      <c r="N19" s="4">
        <v>6704908566</v>
      </c>
      <c r="P19" s="14" t="str">
        <f>Alt_Season[[#This Row],[Name]]</f>
        <v>Avalanche</v>
      </c>
      <c r="Q19" s="15">
        <f>HLOOKUP($Q$4,Alt_Season[[#All],[1 hour]:[1 year]],ROW(A16),FALSE)</f>
        <v>-4.6266282354307797E-3</v>
      </c>
      <c r="S19" s="14" t="str">
        <v>LEO Token</v>
      </c>
      <c r="T19" s="22">
        <f t="shared" si="0"/>
        <v>-2.7691842966099502E-3</v>
      </c>
      <c r="U19" s="28" t="str">
        <f>IF(S19='Alt Season'!$F$3,'Coin Returns'!T19,"")</f>
        <v/>
      </c>
      <c r="W19" s="26" t="str">
        <v>Cronos</v>
      </c>
    </row>
    <row r="20" spans="2:23" x14ac:dyDescent="0.3">
      <c r="B20" s="64">
        <v>16</v>
      </c>
      <c r="C20" s="6" t="s">
        <v>61</v>
      </c>
      <c r="D20" s="64" t="s">
        <v>60</v>
      </c>
      <c r="E20" s="5" t="s">
        <v>59</v>
      </c>
      <c r="F20" s="30">
        <v>1.0009999999999999</v>
      </c>
      <c r="G20" s="3">
        <v>-2.5751135925896501E-3</v>
      </c>
      <c r="H20" s="3">
        <v>-1.80436081139365E-3</v>
      </c>
      <c r="I20" s="3">
        <v>-1.6243584539556201E-5</v>
      </c>
      <c r="J20" s="3">
        <v>-1.23880250750401E-3</v>
      </c>
      <c r="K20" s="3">
        <v>-8.6227313131620898E-4</v>
      </c>
      <c r="L20" s="3">
        <v>-6.9317587939557801E-3</v>
      </c>
      <c r="M20" s="3">
        <v>7.5863446917187204E-4</v>
      </c>
      <c r="N20" s="4">
        <v>6390887376</v>
      </c>
      <c r="P20" s="14" t="str">
        <f>Alt_Season[[#This Row],[Name]]</f>
        <v>Dai</v>
      </c>
      <c r="Q20" s="15">
        <f>HLOOKUP($Q$4,Alt_Season[[#All],[1 hour]:[1 year]],ROW(A17),FALSE)</f>
        <v>-2.5751135925896501E-3</v>
      </c>
      <c r="S20" s="14" t="str">
        <v>Ethereum Classic</v>
      </c>
      <c r="T20" s="22">
        <f t="shared" si="0"/>
        <v>-3.1320554791779E-3</v>
      </c>
      <c r="U20" s="28" t="str">
        <f>IF(S20='Alt Season'!$F$3,'Coin Returns'!T20,"")</f>
        <v/>
      </c>
      <c r="W20" s="26" t="str">
        <v>Dai</v>
      </c>
    </row>
    <row r="21" spans="2:23" x14ac:dyDescent="0.3">
      <c r="B21" s="64">
        <v>17</v>
      </c>
      <c r="C21" s="6" t="s">
        <v>58</v>
      </c>
      <c r="D21" s="64" t="s">
        <v>57</v>
      </c>
      <c r="E21" s="5" t="s">
        <v>56</v>
      </c>
      <c r="F21" s="30">
        <v>1.118E-5</v>
      </c>
      <c r="G21" s="3">
        <v>-6.9440047719077098E-3</v>
      </c>
      <c r="H21" s="3">
        <v>-6.00990665418571E-2</v>
      </c>
      <c r="I21" s="3">
        <v>-4.6684172470020803E-2</v>
      </c>
      <c r="J21" s="3">
        <v>-0.11099649240027</v>
      </c>
      <c r="K21" s="3">
        <v>-0.482329626579316</v>
      </c>
      <c r="L21" s="3">
        <v>-0.78611464168733802</v>
      </c>
      <c r="M21" s="3">
        <v>0.18631595070506399</v>
      </c>
      <c r="N21" s="4">
        <v>6141096633</v>
      </c>
      <c r="P21" s="14" t="str">
        <f>Alt_Season[[#This Row],[Name]]</f>
        <v>Shiba Inu</v>
      </c>
      <c r="Q21" s="15">
        <f>HLOOKUP($Q$4,Alt_Season[[#All],[1 hour]:[1 year]],ROW(A18),FALSE)</f>
        <v>-6.9440047719077098E-3</v>
      </c>
      <c r="S21" s="14" t="str">
        <v>Elrond</v>
      </c>
      <c r="T21" s="22">
        <f t="shared" si="0"/>
        <v>-3.6732844577313101E-3</v>
      </c>
      <c r="U21" s="28" t="str">
        <f>IF(S21='Alt Season'!$F$3,'Coin Returns'!T21,"")</f>
        <v/>
      </c>
      <c r="W21" s="26" t="str">
        <v>Decentraland</v>
      </c>
    </row>
    <row r="22" spans="2:23" x14ac:dyDescent="0.3">
      <c r="B22" s="64">
        <v>18</v>
      </c>
      <c r="C22" s="6" t="s">
        <v>76</v>
      </c>
      <c r="D22" s="64" t="s">
        <v>75</v>
      </c>
      <c r="E22" s="5" t="s">
        <v>74</v>
      </c>
      <c r="F22" s="30">
        <v>4.9400000000000004</v>
      </c>
      <c r="G22" s="3">
        <v>-2.7691842966099502E-3</v>
      </c>
      <c r="H22" s="3">
        <v>-7.3016593102478294E-2</v>
      </c>
      <c r="I22" s="3">
        <v>1.3549804951027601E-2</v>
      </c>
      <c r="J22" s="3">
        <v>-4.0827327691837396E-3</v>
      </c>
      <c r="K22" s="3">
        <v>-0.11303507108493099</v>
      </c>
      <c r="L22" s="3">
        <v>0.58167341439193998</v>
      </c>
      <c r="M22" s="3">
        <v>1.0505488690174001</v>
      </c>
      <c r="N22" s="4">
        <v>4623439980</v>
      </c>
      <c r="P22" s="14" t="str">
        <f>Alt_Season[[#This Row],[Name]]</f>
        <v>LEO Token</v>
      </c>
      <c r="Q22" s="15">
        <f>HLOOKUP($Q$4,Alt_Season[[#All],[1 hour]:[1 year]],ROW(A19),FALSE)</f>
        <v>-2.7691842966099502E-3</v>
      </c>
      <c r="S22" s="14" t="str">
        <v>XRP</v>
      </c>
      <c r="T22" s="22">
        <f t="shared" si="0"/>
        <v>-3.6784583455241201E-3</v>
      </c>
      <c r="U22" s="28" t="str">
        <f>IF(S22='Alt Season'!$F$3,'Coin Returns'!T22,"")</f>
        <v/>
      </c>
      <c r="W22" s="26" t="str">
        <v>Dogecoin</v>
      </c>
    </row>
    <row r="23" spans="2:23" x14ac:dyDescent="0.3">
      <c r="B23" s="64">
        <v>19</v>
      </c>
      <c r="C23" s="6" t="s">
        <v>64</v>
      </c>
      <c r="D23" s="64" t="s">
        <v>63</v>
      </c>
      <c r="E23" s="5" t="s">
        <v>62</v>
      </c>
      <c r="F23" s="30">
        <v>0.18126200000000001</v>
      </c>
      <c r="G23" s="3">
        <v>-1.49221442550728E-2</v>
      </c>
      <c r="H23" s="3">
        <v>-5.1662782617907098E-2</v>
      </c>
      <c r="I23" s="3">
        <v>-4.6174675254915303E-2</v>
      </c>
      <c r="J23" s="3">
        <v>-0.10543398874054399</v>
      </c>
      <c r="K23" s="3">
        <v>-0.42226206170262898</v>
      </c>
      <c r="L23" s="3">
        <v>-0.49585888772381598</v>
      </c>
      <c r="M23" s="3">
        <v>0.43310129560848998</v>
      </c>
      <c r="N23" s="4">
        <v>4579234014</v>
      </c>
      <c r="P23" s="14" t="str">
        <f>Alt_Season[[#This Row],[Name]]</f>
        <v>Cronos</v>
      </c>
      <c r="Q23" s="15">
        <f>HLOOKUP($Q$4,Alt_Season[[#All],[1 hour]:[1 year]],ROW(A20),FALSE)</f>
        <v>-1.49221442550728E-2</v>
      </c>
      <c r="S23" s="14" t="str">
        <v>BNB</v>
      </c>
      <c r="T23" s="22">
        <f t="shared" si="0"/>
        <v>-3.9676458479585E-3</v>
      </c>
      <c r="U23" s="28" t="str">
        <f>IF(S23='Alt Season'!$F$3,'Coin Returns'!T23,"")</f>
        <v/>
      </c>
      <c r="W23" s="26" t="str">
        <v>Elrond</v>
      </c>
    </row>
    <row r="24" spans="2:23" x14ac:dyDescent="0.3">
      <c r="B24" s="64">
        <v>20</v>
      </c>
      <c r="C24" s="6" t="s">
        <v>70</v>
      </c>
      <c r="D24" s="64" t="s">
        <v>69</v>
      </c>
      <c r="E24" s="5" t="s">
        <v>68</v>
      </c>
      <c r="F24" s="30">
        <v>64.989999999999995</v>
      </c>
      <c r="G24" s="3">
        <v>-1.2278793878047801E-2</v>
      </c>
      <c r="H24" s="3">
        <v>-5.37439155220856E-2</v>
      </c>
      <c r="I24" s="3">
        <v>-7.6525836297602401E-2</v>
      </c>
      <c r="J24" s="3">
        <v>-0.10921677941737599</v>
      </c>
      <c r="K24" s="3">
        <v>-0.34720496025907299</v>
      </c>
      <c r="L24" s="3">
        <v>-0.74286014462955996</v>
      </c>
      <c r="M24" s="3">
        <v>-0.65330379971403596</v>
      </c>
      <c r="N24" s="4">
        <v>4576370141</v>
      </c>
      <c r="P24" s="14" t="str">
        <f>Alt_Season[[#This Row],[Name]]</f>
        <v>Litecoin</v>
      </c>
      <c r="Q24" s="15">
        <f>HLOOKUP($Q$4,Alt_Season[[#All],[1 hour]:[1 year]],ROW(A21),FALSE)</f>
        <v>-1.2278793878047801E-2</v>
      </c>
      <c r="S24" s="14" t="str">
        <v>Uniswap</v>
      </c>
      <c r="T24" s="22">
        <f t="shared" si="0"/>
        <v>-4.4343589473831704E-3</v>
      </c>
      <c r="U24" s="28" t="str">
        <f>IF(S24='Alt Season'!$F$3,'Coin Returns'!T24,"")</f>
        <v/>
      </c>
      <c r="W24" s="26" t="str">
        <v>EOS</v>
      </c>
    </row>
    <row r="25" spans="2:23" x14ac:dyDescent="0.3">
      <c r="B25" s="64">
        <v>21</v>
      </c>
      <c r="C25" s="6" t="s">
        <v>67</v>
      </c>
      <c r="D25" s="64" t="s">
        <v>66</v>
      </c>
      <c r="E25" s="5" t="s">
        <v>65</v>
      </c>
      <c r="F25" s="30">
        <v>0.61538499999999996</v>
      </c>
      <c r="G25" s="3">
        <v>-7.8368086149576202E-3</v>
      </c>
      <c r="H25" s="3">
        <v>-7.9886376582943605E-2</v>
      </c>
      <c r="I25" s="3">
        <v>-6.88349924871966E-2</v>
      </c>
      <c r="J25" s="3">
        <v>-0.15588872170226201</v>
      </c>
      <c r="K25" s="3">
        <v>-0.44152051832493699</v>
      </c>
      <c r="L25" s="3">
        <v>-0.64290348286533106</v>
      </c>
      <c r="M25" s="3">
        <v>-0.67232859396687505</v>
      </c>
      <c r="N25" s="4">
        <v>4229474106</v>
      </c>
      <c r="P25" s="14" t="str">
        <f>Alt_Season[[#This Row],[Name]]</f>
        <v>Polygon</v>
      </c>
      <c r="Q25" s="15">
        <f>HLOOKUP($Q$4,Alt_Season[[#All],[1 hour]:[1 year]],ROW(A22),FALSE)</f>
        <v>-7.8368086149576202E-3</v>
      </c>
      <c r="S25" s="14" t="str">
        <v>TRON</v>
      </c>
      <c r="T25" s="22">
        <f t="shared" si="0"/>
        <v>-4.5414655342719303E-3</v>
      </c>
      <c r="U25" s="28" t="str">
        <f>IF(S25='Alt Season'!$F$3,'Coin Returns'!T25,"")</f>
        <v/>
      </c>
      <c r="W25" s="26" t="str">
        <v>Ethereum</v>
      </c>
    </row>
    <row r="26" spans="2:23" x14ac:dyDescent="0.3">
      <c r="B26" s="64">
        <v>22</v>
      </c>
      <c r="C26" s="6" t="s">
        <v>73</v>
      </c>
      <c r="D26" s="64" t="s">
        <v>72</v>
      </c>
      <c r="E26" s="5" t="s">
        <v>71</v>
      </c>
      <c r="F26" s="30">
        <v>5.65</v>
      </c>
      <c r="G26" s="3">
        <v>4.7077976658728999E-3</v>
      </c>
      <c r="H26" s="3">
        <v>-6.5153823012003897E-2</v>
      </c>
      <c r="I26" s="3">
        <v>-5.4913977815763702E-2</v>
      </c>
      <c r="J26" s="3">
        <v>-0.15462421813194899</v>
      </c>
      <c r="K26" s="3">
        <v>-0.52369073889955098</v>
      </c>
      <c r="L26" s="3">
        <v>-0.49963108572958997</v>
      </c>
      <c r="M26" s="3">
        <v>0.68869584088296598</v>
      </c>
      <c r="N26" s="4">
        <v>3959514232</v>
      </c>
      <c r="P26" s="14" t="str">
        <f>Alt_Season[[#This Row],[Name]]</f>
        <v>NEAR Protocol</v>
      </c>
      <c r="Q26" s="15">
        <f>HLOOKUP($Q$4,Alt_Season[[#All],[1 hour]:[1 year]],ROW(A23),FALSE)</f>
        <v>4.7077976658728999E-3</v>
      </c>
      <c r="S26" s="14" t="str">
        <v>Avalanche</v>
      </c>
      <c r="T26" s="22">
        <f t="shared" si="0"/>
        <v>-4.6266282354307797E-3</v>
      </c>
      <c r="U26" s="28" t="str">
        <f>IF(S26='Alt Season'!$F$3,'Coin Returns'!T26,"")</f>
        <v/>
      </c>
      <c r="W26" s="26" t="str">
        <v>Ethereum Classic</v>
      </c>
    </row>
    <row r="27" spans="2:23" x14ac:dyDescent="0.3">
      <c r="B27" s="64">
        <v>23</v>
      </c>
      <c r="C27" s="6" t="s">
        <v>79</v>
      </c>
      <c r="D27" s="64" t="s">
        <v>78</v>
      </c>
      <c r="E27" s="5" t="s">
        <v>77</v>
      </c>
      <c r="F27" s="30">
        <v>27.32</v>
      </c>
      <c r="G27" s="3">
        <v>-6.5316738180145502E-3</v>
      </c>
      <c r="H27" s="3">
        <v>-6.8500979678289095E-2</v>
      </c>
      <c r="I27" s="3">
        <v>-8.3518336621980702E-2</v>
      </c>
      <c r="J27" s="3">
        <v>-0.14814094530348501</v>
      </c>
      <c r="K27" s="3">
        <v>-0.30235550238082698</v>
      </c>
      <c r="L27" s="3">
        <v>-0.52928062605447401</v>
      </c>
      <c r="M27" s="3">
        <v>-0.19818270917300501</v>
      </c>
      <c r="N27" s="4">
        <v>3716688410</v>
      </c>
      <c r="P27" s="14" t="str">
        <f>Alt_Season[[#This Row],[Name]]</f>
        <v>FTX Token</v>
      </c>
      <c r="Q27" s="15">
        <f>HLOOKUP($Q$4,Alt_Season[[#All],[1 hour]:[1 year]],ROW(A24),FALSE)</f>
        <v>-6.5316738180145502E-3</v>
      </c>
      <c r="S27" s="14" t="str">
        <v>cETH</v>
      </c>
      <c r="T27" s="22">
        <f t="shared" si="0"/>
        <v>-4.6512799411433997E-3</v>
      </c>
      <c r="U27" s="28" t="str">
        <f>IF(S27='Alt Season'!$F$3,'Coin Returns'!T27,"")</f>
        <v/>
      </c>
      <c r="W27" s="26" t="str">
        <v>Filecoin</v>
      </c>
    </row>
    <row r="28" spans="2:23" x14ac:dyDescent="0.3">
      <c r="B28" s="64">
        <v>24</v>
      </c>
      <c r="C28" s="6" t="s">
        <v>82</v>
      </c>
      <c r="D28" s="64" t="s">
        <v>81</v>
      </c>
      <c r="E28" s="5" t="s">
        <v>80</v>
      </c>
      <c r="F28" s="30">
        <v>192.92</v>
      </c>
      <c r="G28" s="3">
        <v>-9.1376591919266701E-3</v>
      </c>
      <c r="H28" s="3">
        <v>-2.3018840206894799E-2</v>
      </c>
      <c r="I28" s="3">
        <v>-1.40351767995231E-2</v>
      </c>
      <c r="J28" s="3">
        <v>-6.6558912976660903E-2</v>
      </c>
      <c r="K28" s="3">
        <v>-0.32222054194315602</v>
      </c>
      <c r="L28" s="3">
        <v>-0.71162617912977799</v>
      </c>
      <c r="M28" s="3">
        <v>-0.726615927966905</v>
      </c>
      <c r="N28" s="4">
        <v>3680829437</v>
      </c>
      <c r="P28" s="14" t="str">
        <f>Alt_Season[[#This Row],[Name]]</f>
        <v>Bitcoin Cash</v>
      </c>
      <c r="Q28" s="15">
        <f>HLOOKUP($Q$4,Alt_Season[[#All],[1 hour]:[1 year]],ROW(A25),FALSE)</f>
        <v>-9.1376591919266701E-3</v>
      </c>
      <c r="S28" s="14" t="str">
        <v>Filecoin</v>
      </c>
      <c r="T28" s="22">
        <f t="shared" si="0"/>
        <v>-5.7070307331490398E-3</v>
      </c>
      <c r="U28" s="28" t="str">
        <f>IF(S28='Alt Season'!$F$3,'Coin Returns'!T28,"")</f>
        <v/>
      </c>
      <c r="W28" s="26" t="str">
        <v>Flow</v>
      </c>
    </row>
    <row r="29" spans="2:23" x14ac:dyDescent="0.3">
      <c r="B29" s="64">
        <v>25</v>
      </c>
      <c r="C29" s="6" t="s">
        <v>99</v>
      </c>
      <c r="D29" s="64" t="s">
        <v>98</v>
      </c>
      <c r="E29" s="5" t="s">
        <v>97</v>
      </c>
      <c r="F29" s="30">
        <v>196.56</v>
      </c>
      <c r="G29" s="3">
        <v>-1.19820682979923E-3</v>
      </c>
      <c r="H29" s="3">
        <v>3.2602433149587699E-3</v>
      </c>
      <c r="I29" s="3">
        <v>1.9343093759948901E-2</v>
      </c>
      <c r="J29" s="3">
        <v>0.13440086385857999</v>
      </c>
      <c r="K29" s="3">
        <v>-7.71480550522671E-2</v>
      </c>
      <c r="L29" s="3">
        <v>-0.24748681727949401</v>
      </c>
      <c r="M29" s="3">
        <v>-0.27984491338596501</v>
      </c>
      <c r="N29" s="4">
        <v>3563461912</v>
      </c>
      <c r="P29" s="14" t="str">
        <f>Alt_Season[[#This Row],[Name]]</f>
        <v>Monero</v>
      </c>
      <c r="Q29" s="15">
        <f>HLOOKUP($Q$4,Alt_Season[[#All],[1 hour]:[1 year]],ROW(A26),FALSE)</f>
        <v>-1.19820682979923E-3</v>
      </c>
      <c r="S29" s="14" t="str">
        <v>EOS</v>
      </c>
      <c r="T29" s="22">
        <f t="shared" si="0"/>
        <v>-5.9595897927890596E-3</v>
      </c>
      <c r="U29" s="28" t="str">
        <f>IF(S29='Alt Season'!$F$3,'Coin Returns'!T29,"")</f>
        <v/>
      </c>
      <c r="W29" s="26" t="str">
        <v>Frax</v>
      </c>
    </row>
    <row r="30" spans="2:23" x14ac:dyDescent="0.3">
      <c r="B30" s="64">
        <v>26</v>
      </c>
      <c r="C30" s="6" t="s">
        <v>88</v>
      </c>
      <c r="D30" s="64" t="s">
        <v>87</v>
      </c>
      <c r="E30" s="5" t="s">
        <v>86</v>
      </c>
      <c r="F30" s="30">
        <v>0.139154</v>
      </c>
      <c r="G30" s="3">
        <v>-7.0964445657572903E-3</v>
      </c>
      <c r="H30" s="3">
        <v>-6.3246895592099894E-2</v>
      </c>
      <c r="I30" s="3">
        <v>4.5513846274587502E-2</v>
      </c>
      <c r="J30" s="3">
        <v>-2.10938460661847E-2</v>
      </c>
      <c r="K30" s="3">
        <v>-0.209459885245698</v>
      </c>
      <c r="L30" s="3">
        <v>-0.63573207641266105</v>
      </c>
      <c r="M30" s="3">
        <v>-0.65364139282400802</v>
      </c>
      <c r="N30" s="4">
        <v>3468668806</v>
      </c>
      <c r="P30" s="14" t="str">
        <f>Alt_Season[[#This Row],[Name]]</f>
        <v>Stellar</v>
      </c>
      <c r="Q30" s="15">
        <f>HLOOKUP($Q$4,Alt_Season[[#All],[1 hour]:[1 year]],ROW(A27),FALSE)</f>
        <v>-7.0964445657572903E-3</v>
      </c>
      <c r="S30" s="14" t="str">
        <v>The Sandbox</v>
      </c>
      <c r="T30" s="22">
        <f t="shared" si="0"/>
        <v>-6.0210741759099398E-3</v>
      </c>
      <c r="U30" s="28" t="str">
        <f>IF(S30='Alt Season'!$F$3,'Coin Returns'!T30,"")</f>
        <v/>
      </c>
      <c r="W30" s="26" t="str">
        <v>FTX Token</v>
      </c>
    </row>
    <row r="31" spans="2:23" x14ac:dyDescent="0.3">
      <c r="B31" s="64">
        <v>27</v>
      </c>
      <c r="C31" s="6" t="s">
        <v>85</v>
      </c>
      <c r="D31" s="64" t="s">
        <v>84</v>
      </c>
      <c r="E31" s="5" t="s">
        <v>83</v>
      </c>
      <c r="F31" s="30">
        <v>7.13</v>
      </c>
      <c r="G31" s="3">
        <v>-6.9120160750587396E-3</v>
      </c>
      <c r="H31" s="3">
        <v>-5.0090019897542797E-2</v>
      </c>
      <c r="I31" s="3">
        <v>-1.4160312625889701E-2</v>
      </c>
      <c r="J31" s="3">
        <v>-7.8847597892606106E-2</v>
      </c>
      <c r="K31" s="3">
        <v>-0.37019599809037101</v>
      </c>
      <c r="L31" s="3">
        <v>-0.79270884791391405</v>
      </c>
      <c r="M31" s="3">
        <v>-0.77688397401751497</v>
      </c>
      <c r="N31" s="4">
        <v>3331422917</v>
      </c>
      <c r="P31" s="14" t="str">
        <f>Alt_Season[[#This Row],[Name]]</f>
        <v>Chainlink</v>
      </c>
      <c r="Q31" s="15">
        <f>HLOOKUP($Q$4,Alt_Season[[#All],[1 hour]:[1 year]],ROW(A28),FALSE)</f>
        <v>-6.9120160750587396E-3</v>
      </c>
      <c r="S31" s="14" t="str">
        <v>Hedera</v>
      </c>
      <c r="T31" s="22">
        <f t="shared" si="0"/>
        <v>-6.5012160329351804E-3</v>
      </c>
      <c r="U31" s="28" t="str">
        <f>IF(S31='Alt Season'!$F$3,'Coin Returns'!T31,"")</f>
        <v/>
      </c>
      <c r="W31" s="26" t="str">
        <v>Hedera</v>
      </c>
    </row>
    <row r="32" spans="2:23" x14ac:dyDescent="0.3">
      <c r="B32" s="64">
        <v>28</v>
      </c>
      <c r="C32" s="6" t="s">
        <v>137</v>
      </c>
      <c r="D32" s="64" t="s">
        <v>136</v>
      </c>
      <c r="E32" s="5" t="s">
        <v>135</v>
      </c>
      <c r="F32" s="30">
        <v>0.183035</v>
      </c>
      <c r="G32" s="3">
        <v>1.3373962320434201E-3</v>
      </c>
      <c r="H32" s="3">
        <v>3.7995391925558702E-2</v>
      </c>
      <c r="I32" s="3">
        <v>0.86241005215614297</v>
      </c>
      <c r="J32" s="3">
        <v>0.98972950809527604</v>
      </c>
      <c r="K32" s="3">
        <v>1.28778642406683</v>
      </c>
      <c r="L32" s="3"/>
      <c r="M32" s="3"/>
      <c r="N32" s="4">
        <v>3094192359</v>
      </c>
      <c r="P32" s="14" t="str">
        <f>Alt_Season[[#This Row],[Name]]</f>
        <v>Chain</v>
      </c>
      <c r="Q32" s="15">
        <f>HLOOKUP($Q$4,Alt_Season[[#All],[1 hour]:[1 year]],ROW(A29),FALSE)</f>
        <v>1.3373962320434201E-3</v>
      </c>
      <c r="S32" s="14" t="str">
        <v>FTX Token</v>
      </c>
      <c r="T32" s="22">
        <f t="shared" si="0"/>
        <v>-6.5316738180145502E-3</v>
      </c>
      <c r="U32" s="28" t="str">
        <f>IF(S32='Alt Season'!$F$3,'Coin Returns'!T32,"")</f>
        <v/>
      </c>
      <c r="W32" s="26" t="str">
        <v>Internet Computer</v>
      </c>
    </row>
    <row r="33" spans="2:23" x14ac:dyDescent="0.3">
      <c r="B33" s="64">
        <v>29</v>
      </c>
      <c r="C33" s="6" t="s">
        <v>105</v>
      </c>
      <c r="D33" s="64" t="s">
        <v>104</v>
      </c>
      <c r="E33" s="5" t="s">
        <v>103</v>
      </c>
      <c r="F33" s="30">
        <v>22.76</v>
      </c>
      <c r="G33" s="3">
        <v>-3.1320554791779E-3</v>
      </c>
      <c r="H33" s="3">
        <v>-4.3528092816796503E-2</v>
      </c>
      <c r="I33" s="3">
        <v>-6.65762510885273E-2</v>
      </c>
      <c r="J33" s="3">
        <v>4.1428626405333499E-2</v>
      </c>
      <c r="K33" s="3">
        <v>-0.17962259301432401</v>
      </c>
      <c r="L33" s="3">
        <v>-0.591140346437662</v>
      </c>
      <c r="M33" s="3">
        <v>-0.67490540816040501</v>
      </c>
      <c r="N33" s="4">
        <v>3069552631</v>
      </c>
      <c r="P33" s="14" t="str">
        <f>Alt_Season[[#This Row],[Name]]</f>
        <v>Ethereum Classic</v>
      </c>
      <c r="Q33" s="15">
        <f>HLOOKUP($Q$4,Alt_Season[[#All],[1 hour]:[1 year]],ROW(A30),FALSE)</f>
        <v>-3.1320554791779E-3</v>
      </c>
      <c r="S33" s="14" t="str">
        <v>Chainlink</v>
      </c>
      <c r="T33" s="22">
        <f t="shared" si="0"/>
        <v>-6.9120160750587396E-3</v>
      </c>
      <c r="U33" s="28" t="str">
        <f>IF(S33='Alt Season'!$F$3,'Coin Returns'!T33,"")</f>
        <v/>
      </c>
      <c r="W33" s="26" t="str">
        <v>KuCoin</v>
      </c>
    </row>
    <row r="34" spans="2:23" x14ac:dyDescent="0.3">
      <c r="B34" s="64">
        <v>30</v>
      </c>
      <c r="C34" s="6" t="s">
        <v>93</v>
      </c>
      <c r="D34" s="64" t="s">
        <v>92</v>
      </c>
      <c r="E34" s="5" t="s">
        <v>92</v>
      </c>
      <c r="F34" s="30">
        <v>11.8</v>
      </c>
      <c r="G34" s="3">
        <v>8.3304157568233001E-4</v>
      </c>
      <c r="H34" s="3">
        <v>-3.7430650345239402E-2</v>
      </c>
      <c r="I34" s="3">
        <v>-7.6325166235395203E-2</v>
      </c>
      <c r="J34" s="3">
        <v>-8.5895329325009803E-2</v>
      </c>
      <c r="K34" s="3">
        <v>-0.35302194152880501</v>
      </c>
      <c r="L34" s="3">
        <v>-0.560668583271557</v>
      </c>
      <c r="M34" s="3">
        <v>-0.14077482510609199</v>
      </c>
      <c r="N34" s="4">
        <v>3042236896</v>
      </c>
      <c r="P34" s="14" t="str">
        <f>Alt_Season[[#This Row],[Name]]</f>
        <v>OKB</v>
      </c>
      <c r="Q34" s="15">
        <f>HLOOKUP($Q$4,Alt_Season[[#All],[1 hour]:[1 year]],ROW(A31),FALSE)</f>
        <v>8.3304157568233001E-4</v>
      </c>
      <c r="S34" s="14" t="str">
        <v>Shiba Inu</v>
      </c>
      <c r="T34" s="22">
        <f t="shared" si="0"/>
        <v>-6.9440047719077098E-3</v>
      </c>
      <c r="U34" s="28" t="str">
        <f>IF(S34='Alt Season'!$F$3,'Coin Returns'!T34,"")</f>
        <v/>
      </c>
      <c r="W34" s="26" t="str">
        <v>LEO Token</v>
      </c>
    </row>
    <row r="35" spans="2:23" x14ac:dyDescent="0.3">
      <c r="B35" s="64">
        <v>31</v>
      </c>
      <c r="C35" s="6" t="s">
        <v>91</v>
      </c>
      <c r="D35" s="64" t="s">
        <v>90</v>
      </c>
      <c r="E35" s="5" t="s">
        <v>89</v>
      </c>
      <c r="F35" s="30">
        <v>9.75</v>
      </c>
      <c r="G35" s="3">
        <v>-1.57189824617016E-2</v>
      </c>
      <c r="H35" s="3">
        <v>-6.62774278514527E-2</v>
      </c>
      <c r="I35" s="3">
        <v>-0.12043120639201001</v>
      </c>
      <c r="J35" s="3">
        <v>-0.152874310277024</v>
      </c>
      <c r="K35" s="3">
        <v>-0.45924047339806301</v>
      </c>
      <c r="L35" s="3">
        <v>-0.69642810339197103</v>
      </c>
      <c r="M35" s="3">
        <v>-0.29940279450819501</v>
      </c>
      <c r="N35" s="4">
        <v>2853464088</v>
      </c>
      <c r="P35" s="14" t="str">
        <f>Alt_Season[[#This Row],[Name]]</f>
        <v>Cosmos Hub</v>
      </c>
      <c r="Q35" s="15">
        <f>HLOOKUP($Q$4,Alt_Season[[#All],[1 hour]:[1 year]],ROW(A32),FALSE)</f>
        <v>-1.57189824617016E-2</v>
      </c>
      <c r="S35" s="14" t="str">
        <v>Stellar</v>
      </c>
      <c r="T35" s="22">
        <f t="shared" si="0"/>
        <v>-7.0964445657572903E-3</v>
      </c>
      <c r="U35" s="28" t="str">
        <f>IF(S35='Alt Season'!$F$3,'Coin Returns'!T35,"")</f>
        <v/>
      </c>
      <c r="W35" s="26" t="str">
        <v>Lido Staked Ether</v>
      </c>
    </row>
    <row r="36" spans="2:23" x14ac:dyDescent="0.3">
      <c r="B36" s="64">
        <v>32</v>
      </c>
      <c r="C36" s="6" t="s">
        <v>96</v>
      </c>
      <c r="D36" s="64" t="s">
        <v>95</v>
      </c>
      <c r="E36" s="5" t="s">
        <v>94</v>
      </c>
      <c r="F36" s="30">
        <v>0.39264500000000002</v>
      </c>
      <c r="G36" s="3">
        <v>-1.3303551206589499E-2</v>
      </c>
      <c r="H36" s="3">
        <v>-4.7996229643907498E-2</v>
      </c>
      <c r="I36" s="3">
        <v>-6.0305678802715E-2</v>
      </c>
      <c r="J36" s="3">
        <v>-0.210215658974053</v>
      </c>
      <c r="K36" s="3">
        <v>-0.35173819893776798</v>
      </c>
      <c r="L36" s="3">
        <v>-0.81722204001847798</v>
      </c>
      <c r="M36" s="3">
        <v>-0.57918814931213103</v>
      </c>
      <c r="N36" s="4">
        <v>2696357578</v>
      </c>
      <c r="P36" s="14" t="str">
        <f>Alt_Season[[#This Row],[Name]]</f>
        <v>Algorand</v>
      </c>
      <c r="Q36" s="15">
        <f>HLOOKUP($Q$4,Alt_Season[[#All],[1 hour]:[1 year]],ROW(A33),FALSE)</f>
        <v>-1.3303551206589499E-2</v>
      </c>
      <c r="S36" s="14" t="str">
        <v>Polygon</v>
      </c>
      <c r="T36" s="22">
        <f t="shared" si="0"/>
        <v>-7.8368086149576202E-3</v>
      </c>
      <c r="U36" s="28" t="str">
        <f>IF(S36='Alt Season'!$F$3,'Coin Returns'!T36,"")</f>
        <v/>
      </c>
      <c r="W36" s="26" t="str">
        <v>Litecoin</v>
      </c>
    </row>
    <row r="37" spans="2:23" x14ac:dyDescent="0.3">
      <c r="B37" s="64">
        <v>33</v>
      </c>
      <c r="C37" s="7" t="s">
        <v>102</v>
      </c>
      <c r="D37" s="64" t="s">
        <v>101</v>
      </c>
      <c r="E37" s="5" t="s">
        <v>100</v>
      </c>
      <c r="F37" s="30">
        <v>2.58</v>
      </c>
      <c r="G37" s="3">
        <v>4.8206281719218999E-3</v>
      </c>
      <c r="H37" s="3">
        <v>-5.6253590830879899E-2</v>
      </c>
      <c r="I37" s="3">
        <v>-6.7936366092426106E-2</v>
      </c>
      <c r="J37" s="3">
        <v>-0.14096751774097399</v>
      </c>
      <c r="K37" s="3">
        <v>-0.460303808117563</v>
      </c>
      <c r="L37" s="3">
        <v>-0.79956447141666998</v>
      </c>
      <c r="M37" s="3">
        <v>-0.81438512066517299</v>
      </c>
      <c r="N37" s="4">
        <v>2675878872</v>
      </c>
      <c r="P37" s="14" t="str">
        <f>Alt_Season[[#This Row],[Name]]</f>
        <v>Flow</v>
      </c>
      <c r="Q37" s="15">
        <f>HLOOKUP($Q$4,Alt_Season[[#All],[1 hour]:[1 year]],ROW(A34),FALSE)</f>
        <v>4.8206281719218999E-3</v>
      </c>
      <c r="S37" s="14" t="str">
        <v>Theta Fuel</v>
      </c>
      <c r="T37" s="22">
        <f t="shared" si="0"/>
        <v>-8.3902502231909207E-3</v>
      </c>
      <c r="U37" s="28" t="str">
        <f>IF(S37='Alt Season'!$F$3,'Coin Returns'!T37,"")</f>
        <v/>
      </c>
      <c r="W37" s="26" t="str">
        <v>Monero</v>
      </c>
    </row>
    <row r="38" spans="2:23" x14ac:dyDescent="0.3">
      <c r="B38" s="64">
        <v>34</v>
      </c>
      <c r="C38" s="6" t="s">
        <v>111</v>
      </c>
      <c r="D38" s="64" t="s">
        <v>110</v>
      </c>
      <c r="E38" s="5" t="s">
        <v>109</v>
      </c>
      <c r="F38" s="30">
        <v>5.36</v>
      </c>
      <c r="G38" s="3">
        <v>-4.4343589473831704E-3</v>
      </c>
      <c r="H38" s="3">
        <v>-7.1075594809101403E-2</v>
      </c>
      <c r="I38" s="3">
        <v>-4.2848480630397201E-2</v>
      </c>
      <c r="J38" s="3">
        <v>-2.3882571096612699E-2</v>
      </c>
      <c r="K38" s="3">
        <v>-0.24840955355411001</v>
      </c>
      <c r="L38" s="3">
        <v>-0.78284480303608805</v>
      </c>
      <c r="M38" s="3">
        <v>-0.81054896668337095</v>
      </c>
      <c r="N38" s="4">
        <v>2446819828</v>
      </c>
      <c r="P38" s="14" t="str">
        <f>Alt_Season[[#This Row],[Name]]</f>
        <v>Uniswap</v>
      </c>
      <c r="Q38" s="15">
        <f>HLOOKUP($Q$4,Alt_Season[[#All],[1 hour]:[1 year]],ROW(A35),FALSE)</f>
        <v>-4.4343589473831704E-3</v>
      </c>
      <c r="S38" s="14" t="str">
        <v>Bitcoin Cash</v>
      </c>
      <c r="T38" s="22">
        <f t="shared" si="0"/>
        <v>-9.1376591919266701E-3</v>
      </c>
      <c r="U38" s="28" t="str">
        <f>IF(S38='Alt Season'!$F$3,'Coin Returns'!T38,"")</f>
        <v/>
      </c>
      <c r="W38" s="26" t="str">
        <v>NEAR Protocol</v>
      </c>
    </row>
    <row r="39" spans="2:23" x14ac:dyDescent="0.3">
      <c r="B39" s="64">
        <v>35</v>
      </c>
      <c r="C39" s="6" t="s">
        <v>114</v>
      </c>
      <c r="D39" s="64" t="s">
        <v>113</v>
      </c>
      <c r="E39" s="5" t="s">
        <v>112</v>
      </c>
      <c r="F39" s="30">
        <v>3.1638520000000003E-2</v>
      </c>
      <c r="G39" s="3">
        <v>-1.07792718985697E-2</v>
      </c>
      <c r="H39" s="3">
        <v>-4.9185980496059101E-2</v>
      </c>
      <c r="I39" s="3">
        <v>-1.5272360510179899E-3</v>
      </c>
      <c r="J39" s="3">
        <v>-3.9586010416429097E-2</v>
      </c>
      <c r="K39" s="3">
        <v>-0.34859997497517697</v>
      </c>
      <c r="L39" s="3">
        <v>-0.80268116672064405</v>
      </c>
      <c r="M39" s="3">
        <v>-0.74984956142738102</v>
      </c>
      <c r="N39" s="4">
        <v>2112210741</v>
      </c>
      <c r="P39" s="14" t="str">
        <f>Alt_Season[[#This Row],[Name]]</f>
        <v>VeChain</v>
      </c>
      <c r="Q39" s="15">
        <f>HLOOKUP($Q$4,Alt_Season[[#All],[1 hour]:[1 year]],ROW(A36),FALSE)</f>
        <v>-1.07792718985697E-2</v>
      </c>
      <c r="S39" s="14" t="str">
        <v>Polkadot</v>
      </c>
      <c r="T39" s="22">
        <f t="shared" si="0"/>
        <v>-9.8186826923036298E-3</v>
      </c>
      <c r="U39" s="28" t="str">
        <f>IF(S39='Alt Season'!$F$3,'Coin Returns'!T39,"")</f>
        <v/>
      </c>
      <c r="W39" s="26" t="str">
        <v>OKB</v>
      </c>
    </row>
    <row r="40" spans="2:23" x14ac:dyDescent="0.3">
      <c r="B40" s="64">
        <v>36</v>
      </c>
      <c r="C40" s="6" t="s">
        <v>117</v>
      </c>
      <c r="D40" s="64" t="s">
        <v>116</v>
      </c>
      <c r="E40" s="5" t="s">
        <v>115</v>
      </c>
      <c r="F40" s="30">
        <v>9.2540999999999998E-2</v>
      </c>
      <c r="G40" s="3">
        <v>-6.5012160329351804E-3</v>
      </c>
      <c r="H40" s="3">
        <v>-3.7041439357582397E-2</v>
      </c>
      <c r="I40" s="3">
        <v>-6.9131640645349005E-2</v>
      </c>
      <c r="J40" s="3">
        <v>-0.150424951876203</v>
      </c>
      <c r="K40" s="3">
        <v>-0.36747911239288</v>
      </c>
      <c r="L40" s="3">
        <v>-0.79848199324136104</v>
      </c>
      <c r="M40" s="3">
        <v>-0.60511190703857198</v>
      </c>
      <c r="N40" s="4">
        <v>1951184601</v>
      </c>
      <c r="P40" s="14" t="str">
        <f>Alt_Season[[#This Row],[Name]]</f>
        <v>Hedera</v>
      </c>
      <c r="Q40" s="15">
        <f>HLOOKUP($Q$4,Alt_Season[[#All],[1 hour]:[1 year]],ROW(A37),FALSE)</f>
        <v>-6.5012160329351804E-3</v>
      </c>
      <c r="S40" s="14" t="str">
        <v>VeChain</v>
      </c>
      <c r="T40" s="22">
        <f t="shared" si="0"/>
        <v>-1.07792718985697E-2</v>
      </c>
      <c r="U40" s="28" t="str">
        <f>IF(S40='Alt Season'!$F$3,'Coin Returns'!T40,"")</f>
        <v/>
      </c>
      <c r="W40" s="26" t="str">
        <v>Polkadot</v>
      </c>
    </row>
    <row r="41" spans="2:23" x14ac:dyDescent="0.3">
      <c r="B41" s="64">
        <v>37</v>
      </c>
      <c r="C41" s="6" t="s">
        <v>126</v>
      </c>
      <c r="D41" s="64" t="s">
        <v>125</v>
      </c>
      <c r="E41" s="5" t="s">
        <v>124</v>
      </c>
      <c r="F41" s="30">
        <v>6.3604999999999995E-2</v>
      </c>
      <c r="G41" s="3">
        <v>-8.3902502231909207E-3</v>
      </c>
      <c r="H41" s="3">
        <v>-8.4898077790369394E-3</v>
      </c>
      <c r="I41" s="3">
        <v>-4.0848392792528901E-2</v>
      </c>
      <c r="J41" s="3">
        <v>-0.10970277858262301</v>
      </c>
      <c r="K41" s="3">
        <v>-0.52427432806114904</v>
      </c>
      <c r="L41" s="3">
        <v>-0.81710763228915595</v>
      </c>
      <c r="M41" s="3">
        <v>-0.81603190812832904</v>
      </c>
      <c r="N41" s="4">
        <v>1886178774</v>
      </c>
      <c r="P41" s="14" t="str">
        <f>Alt_Season[[#This Row],[Name]]</f>
        <v>Theta Fuel</v>
      </c>
      <c r="Q41" s="15">
        <f>HLOOKUP($Q$4,Alt_Season[[#All],[1 hour]:[1 year]],ROW(A38),FALSE)</f>
        <v>-8.3902502231909207E-3</v>
      </c>
      <c r="S41" s="14" t="str">
        <v>Ethereum</v>
      </c>
      <c r="T41" s="22">
        <f t="shared" si="0"/>
        <v>-1.1273923285580099E-2</v>
      </c>
      <c r="U41" s="28" t="str">
        <f>IF(S41='Alt Season'!$F$3,'Coin Returns'!T41,"")</f>
        <v/>
      </c>
      <c r="W41" s="26" t="str">
        <v>Polygon</v>
      </c>
    </row>
    <row r="42" spans="2:23" x14ac:dyDescent="0.3">
      <c r="B42" s="64">
        <v>38</v>
      </c>
      <c r="C42" s="6" t="s">
        <v>108</v>
      </c>
      <c r="D42" s="64" t="s">
        <v>107</v>
      </c>
      <c r="E42" s="5" t="s">
        <v>106</v>
      </c>
      <c r="F42" s="30">
        <v>6.35</v>
      </c>
      <c r="G42" s="3">
        <v>-1.8441487322737302E-2</v>
      </c>
      <c r="H42" s="3">
        <v>-7.8763181876553401E-2</v>
      </c>
      <c r="I42" s="3">
        <v>-0.15354720817902101</v>
      </c>
      <c r="J42" s="3">
        <v>-0.28755025350840202</v>
      </c>
      <c r="K42" s="3">
        <v>-0.60218166906040405</v>
      </c>
      <c r="L42" s="3"/>
      <c r="M42" s="3"/>
      <c r="N42" s="4">
        <v>1872534679</v>
      </c>
      <c r="P42" s="14" t="str">
        <f>Alt_Season[[#This Row],[Name]]</f>
        <v>ApeCoin</v>
      </c>
      <c r="Q42" s="15">
        <f>HLOOKUP($Q$4,Alt_Season[[#All],[1 hour]:[1 year]],ROW(A39),FALSE)</f>
        <v>-1.8441487322737302E-2</v>
      </c>
      <c r="S42" s="14" t="str">
        <v>Wrapped Bitcoin</v>
      </c>
      <c r="T42" s="22">
        <f t="shared" si="0"/>
        <v>-1.14709997286624E-2</v>
      </c>
      <c r="U42" s="28" t="str">
        <f>IF(S42='Alt Season'!$F$3,'Coin Returns'!T42,"")</f>
        <v/>
      </c>
      <c r="W42" s="26" t="str">
        <v>Shiba Inu</v>
      </c>
    </row>
    <row r="43" spans="2:23" x14ac:dyDescent="0.3">
      <c r="B43" s="64">
        <v>39</v>
      </c>
      <c r="C43" s="6" t="s">
        <v>123</v>
      </c>
      <c r="D43" s="64" t="s">
        <v>122</v>
      </c>
      <c r="E43" s="5" t="s">
        <v>121</v>
      </c>
      <c r="F43" s="30">
        <v>7.72</v>
      </c>
      <c r="G43" s="3">
        <v>-2.66250009203222E-2</v>
      </c>
      <c r="H43" s="3">
        <v>-6.0813299812238403E-2</v>
      </c>
      <c r="I43" s="3">
        <v>-2.1759666705737701E-2</v>
      </c>
      <c r="J43" s="3">
        <v>-0.10854082640003899</v>
      </c>
      <c r="K43" s="3">
        <v>-0.40854605600085803</v>
      </c>
      <c r="L43" s="3">
        <v>-0.83412246162173997</v>
      </c>
      <c r="M43" s="3">
        <v>-0.93263327035587995</v>
      </c>
      <c r="N43" s="4">
        <v>1807537436</v>
      </c>
      <c r="P43" s="14" t="str">
        <f>Alt_Season[[#This Row],[Name]]</f>
        <v>Internet Computer</v>
      </c>
      <c r="Q43" s="15">
        <f>HLOOKUP($Q$4,Alt_Season[[#All],[1 hour]:[1 year]],ROW(A40),FALSE)</f>
        <v>-2.66250009203222E-2</v>
      </c>
      <c r="S43" s="14" t="str">
        <v>Litecoin</v>
      </c>
      <c r="T43" s="22">
        <f t="shared" si="0"/>
        <v>-1.2278793878047801E-2</v>
      </c>
      <c r="U43" s="28" t="str">
        <f>IF(S43='Alt Season'!$F$3,'Coin Returns'!T43,"")</f>
        <v/>
      </c>
      <c r="W43" s="26" t="str">
        <v>Solana</v>
      </c>
    </row>
    <row r="44" spans="2:23" x14ac:dyDescent="0.3">
      <c r="B44" s="64">
        <v>40</v>
      </c>
      <c r="C44" s="6" t="s">
        <v>149</v>
      </c>
      <c r="D44" s="64" t="s">
        <v>148</v>
      </c>
      <c r="E44" s="5" t="s">
        <v>147</v>
      </c>
      <c r="F44" s="30">
        <v>1.99</v>
      </c>
      <c r="G44" s="3">
        <v>-1.47510817285255E-2</v>
      </c>
      <c r="H44" s="3">
        <v>-5.6738261142533997E-2</v>
      </c>
      <c r="I44" s="3">
        <v>-5.8702749406715202E-2</v>
      </c>
      <c r="J44" s="3">
        <v>6.9613191080483194E-2</v>
      </c>
      <c r="K44" s="3">
        <v>-0.22903622582798699</v>
      </c>
      <c r="L44" s="3">
        <v>-0.65503475573804604</v>
      </c>
      <c r="M44" s="3">
        <v>-0.44698356758935098</v>
      </c>
      <c r="N44" s="4">
        <v>1769765759</v>
      </c>
      <c r="P44" s="14" t="str">
        <f>Alt_Season[[#This Row],[Name]]</f>
        <v>Tezos</v>
      </c>
      <c r="Q44" s="15">
        <f>HLOOKUP($Q$4,Alt_Season[[#All],[1 hour]:[1 year]],ROW(A41),FALSE)</f>
        <v>-1.47510817285255E-2</v>
      </c>
      <c r="S44" s="14" t="str">
        <v>Bitcoin</v>
      </c>
      <c r="T44" s="22">
        <f t="shared" si="0"/>
        <v>-1.25653387016942E-2</v>
      </c>
      <c r="U44" s="28">
        <f>IF(S44='Alt Season'!$F$3,'Coin Returns'!T44,"")</f>
        <v>-1.25653387016942E-2</v>
      </c>
      <c r="W44" s="26" t="str">
        <v>Stellar</v>
      </c>
    </row>
    <row r="45" spans="2:23" x14ac:dyDescent="0.3">
      <c r="B45" s="64">
        <v>41</v>
      </c>
      <c r="C45" s="6" t="s">
        <v>120</v>
      </c>
      <c r="D45" s="64" t="s">
        <v>119</v>
      </c>
      <c r="E45" s="5" t="s">
        <v>118</v>
      </c>
      <c r="F45" s="30">
        <v>78.510000000000005</v>
      </c>
      <c r="G45" s="3">
        <v>-3.6732844577313101E-3</v>
      </c>
      <c r="H45" s="3">
        <v>-4.6729427969219799E-2</v>
      </c>
      <c r="I45" s="3">
        <v>-0.134428374854138</v>
      </c>
      <c r="J45" s="3">
        <v>-0.217712022471821</v>
      </c>
      <c r="K45" s="3">
        <v>-0.38541013923788597</v>
      </c>
      <c r="L45" s="3">
        <v>-0.75907653951551701</v>
      </c>
      <c r="M45" s="3">
        <v>-0.244661888884007</v>
      </c>
      <c r="N45" s="4">
        <v>1761516099</v>
      </c>
      <c r="P45" s="14" t="str">
        <f>Alt_Season[[#This Row],[Name]]</f>
        <v>Elrond</v>
      </c>
      <c r="Q45" s="15">
        <f>HLOOKUP($Q$4,Alt_Season[[#All],[1 hour]:[1 year]],ROW(A42),FALSE)</f>
        <v>-3.6732844577313101E-3</v>
      </c>
      <c r="S45" s="14" t="str">
        <v>Dogecoin</v>
      </c>
      <c r="T45" s="22">
        <f t="shared" si="0"/>
        <v>-1.31689708229725E-2</v>
      </c>
      <c r="U45" s="28" t="str">
        <f>IF(S45='Alt Season'!$F$3,'Coin Returns'!T45,"")</f>
        <v/>
      </c>
      <c r="W45" s="26" t="str">
        <v>Tether</v>
      </c>
    </row>
    <row r="46" spans="2:23" x14ac:dyDescent="0.3">
      <c r="B46" s="64">
        <v>42</v>
      </c>
      <c r="C46" s="6" t="s">
        <v>140</v>
      </c>
      <c r="D46" s="64" t="s">
        <v>139</v>
      </c>
      <c r="E46" s="5" t="s">
        <v>138</v>
      </c>
      <c r="F46" s="30">
        <v>21.93</v>
      </c>
      <c r="G46" s="3">
        <v>6.7268262368093803E-3</v>
      </c>
      <c r="H46" s="3">
        <v>-9.8863410641252106E-2</v>
      </c>
      <c r="I46" s="3">
        <v>2.9865495935941701E-2</v>
      </c>
      <c r="J46" s="3">
        <v>1.7334510703770699E-2</v>
      </c>
      <c r="K46" s="3">
        <v>-0.31213600088614302</v>
      </c>
      <c r="L46" s="3">
        <v>-0.84774360509829805</v>
      </c>
      <c r="M46" s="3">
        <v>3.42685226339781</v>
      </c>
      <c r="N46" s="4">
        <v>1755882684</v>
      </c>
      <c r="P46" s="14" t="str">
        <f>Alt_Season[[#This Row],[Name]]</f>
        <v>Axie Infinity</v>
      </c>
      <c r="Q46" s="15">
        <f>HLOOKUP($Q$4,Alt_Season[[#All],[1 hour]:[1 year]],ROW(A43),FALSE)</f>
        <v>6.7268262368093803E-3</v>
      </c>
      <c r="S46" s="14" t="str">
        <v>Algorand</v>
      </c>
      <c r="T46" s="22">
        <f t="shared" si="0"/>
        <v>-1.3303551206589499E-2</v>
      </c>
      <c r="U46" s="28" t="str">
        <f>IF(S46='Alt Season'!$F$3,'Coin Returns'!T46,"")</f>
        <v/>
      </c>
      <c r="W46" s="26" t="str">
        <v>Tezos</v>
      </c>
    </row>
    <row r="47" spans="2:23" x14ac:dyDescent="0.3">
      <c r="B47" s="64">
        <v>43</v>
      </c>
      <c r="C47" s="6" t="s">
        <v>146</v>
      </c>
      <c r="D47" s="64" t="s">
        <v>145</v>
      </c>
      <c r="E47" s="5" t="s">
        <v>144</v>
      </c>
      <c r="F47" s="30">
        <v>1.36</v>
      </c>
      <c r="G47" s="3">
        <v>-6.0210741759099398E-3</v>
      </c>
      <c r="H47" s="3">
        <v>-5.6737400890879003E-2</v>
      </c>
      <c r="I47" s="3">
        <v>3.5058267195299399E-2</v>
      </c>
      <c r="J47" s="3">
        <v>-1.8586484372094599E-2</v>
      </c>
      <c r="K47" s="3">
        <v>-0.370752813980958</v>
      </c>
      <c r="L47" s="3">
        <v>-0.48588885344927801</v>
      </c>
      <c r="M47" s="3">
        <v>3.0129680805105199</v>
      </c>
      <c r="N47" s="4">
        <v>1671451147</v>
      </c>
      <c r="P47" s="14" t="str">
        <f>Alt_Season[[#This Row],[Name]]</f>
        <v>The Sandbox</v>
      </c>
      <c r="Q47" s="15">
        <f>HLOOKUP($Q$4,Alt_Season[[#All],[1 hour]:[1 year]],ROW(A44),FALSE)</f>
        <v>-6.0210741759099398E-3</v>
      </c>
      <c r="S47" s="14" t="str">
        <v>Lido Staked Ether</v>
      </c>
      <c r="T47" s="22">
        <f t="shared" si="0"/>
        <v>-1.3632791813117801E-2</v>
      </c>
      <c r="U47" s="28" t="str">
        <f>IF(S47='Alt Season'!$F$3,'Coin Returns'!T47,"")</f>
        <v/>
      </c>
      <c r="W47" s="26" t="str">
        <v>The Sandbox</v>
      </c>
    </row>
    <row r="48" spans="2:23" x14ac:dyDescent="0.3">
      <c r="B48" s="64">
        <v>44</v>
      </c>
      <c r="C48" s="6" t="s">
        <v>164</v>
      </c>
      <c r="D48" s="64" t="s">
        <v>37092</v>
      </c>
      <c r="E48" s="5" t="s">
        <v>165</v>
      </c>
      <c r="F48" s="30">
        <v>17.12</v>
      </c>
      <c r="G48" s="3">
        <v>-1.16809522419606E-3</v>
      </c>
      <c r="H48" s="3">
        <v>-2.7067381293851601E-2</v>
      </c>
      <c r="I48" s="3">
        <v>6.6626571552741307E-2</v>
      </c>
      <c r="J48" s="3">
        <v>0.14626209812872801</v>
      </c>
      <c r="K48" s="3">
        <v>-4.2398948180253901E-2</v>
      </c>
      <c r="L48" s="3">
        <v>-0.237405696776532</v>
      </c>
      <c r="M48" s="3">
        <v>1.26751371457655</v>
      </c>
      <c r="N48" s="4">
        <v>1673354412</v>
      </c>
      <c r="P48" s="14" t="str">
        <f>Alt_Season[[#This Row],[Name]]</f>
        <v>KuCoin</v>
      </c>
      <c r="Q48" s="15">
        <f>HLOOKUP($Q$4,Alt_Season[[#All],[1 hour]:[1 year]],ROW(A45),FALSE)</f>
        <v>-1.16809522419606E-3</v>
      </c>
      <c r="S48" s="14" t="str">
        <v>Tezos</v>
      </c>
      <c r="T48" s="22">
        <f t="shared" si="0"/>
        <v>-1.47510817285255E-2</v>
      </c>
      <c r="U48" s="28" t="str">
        <f>IF(S48='Alt Season'!$F$3,'Coin Returns'!T48,"")</f>
        <v/>
      </c>
      <c r="W48" s="26" t="str">
        <v>Theta Fuel</v>
      </c>
    </row>
    <row r="49" spans="2:23" x14ac:dyDescent="0.3">
      <c r="B49" s="64">
        <v>45</v>
      </c>
      <c r="C49" s="6" t="s">
        <v>134</v>
      </c>
      <c r="D49" s="64" t="s">
        <v>133</v>
      </c>
      <c r="E49" s="5" t="s">
        <v>132</v>
      </c>
      <c r="F49" s="30">
        <v>7.61</v>
      </c>
      <c r="G49" s="3">
        <v>-5.7070307331490398E-3</v>
      </c>
      <c r="H49" s="3">
        <v>-5.8951867459465498E-2</v>
      </c>
      <c r="I49" s="3">
        <v>-9.4601776746398594E-2</v>
      </c>
      <c r="J49" s="3">
        <v>-0.115716322912589</v>
      </c>
      <c r="K49" s="3">
        <v>-0.49719648398320798</v>
      </c>
      <c r="L49" s="3">
        <v>-0.87942849098873899</v>
      </c>
      <c r="M49" s="3">
        <v>-0.89519353353892706</v>
      </c>
      <c r="N49" s="4">
        <v>1617116846</v>
      </c>
      <c r="P49" s="14" t="str">
        <f>Alt_Season[[#This Row],[Name]]</f>
        <v>Filecoin</v>
      </c>
      <c r="Q49" s="15">
        <f>HLOOKUP($Q$4,Alt_Season[[#All],[1 hour]:[1 year]],ROW(A46),FALSE)</f>
        <v>-5.7070307331490398E-3</v>
      </c>
      <c r="S49" s="14" t="str">
        <v>Cronos</v>
      </c>
      <c r="T49" s="22">
        <f t="shared" si="0"/>
        <v>-1.49221442550728E-2</v>
      </c>
      <c r="U49" s="28" t="str">
        <f>IF(S49='Alt Season'!$F$3,'Coin Returns'!T49,"")</f>
        <v/>
      </c>
      <c r="W49" s="26" t="str">
        <v>TRON</v>
      </c>
    </row>
    <row r="50" spans="2:23" x14ac:dyDescent="0.3">
      <c r="B50" s="64">
        <v>46</v>
      </c>
      <c r="C50" s="6" t="s">
        <v>36775</v>
      </c>
      <c r="D50" s="64" t="s">
        <v>1007</v>
      </c>
      <c r="E50" s="5" t="s">
        <v>1005</v>
      </c>
      <c r="F50" s="30">
        <v>110.57</v>
      </c>
      <c r="G50" s="3">
        <v>-2.6494917140781098E-2</v>
      </c>
      <c r="H50" s="3">
        <v>-5.2684800245153499E-2</v>
      </c>
      <c r="I50" s="3">
        <v>3.5893775805577198E-2</v>
      </c>
      <c r="J50" s="3">
        <v>0.19019612444397699</v>
      </c>
      <c r="K50" s="3">
        <v>-0.245741006426627</v>
      </c>
      <c r="L50" s="3">
        <v>-0.64249393237139996</v>
      </c>
      <c r="M50" s="3">
        <v>-0.71148424323068604</v>
      </c>
      <c r="N50" s="4">
        <v>1534823562</v>
      </c>
      <c r="P50" s="14" t="str">
        <f>Alt_Season[[#This Row],[Name]]</f>
        <v>Aave</v>
      </c>
      <c r="Q50" s="15">
        <f>HLOOKUP($Q$4,Alt_Season[[#All],[1 hour]:[1 year]],ROW(A47),FALSE)</f>
        <v>-2.6494917140781098E-2</v>
      </c>
      <c r="S50" s="14" t="str">
        <v>Solana</v>
      </c>
      <c r="T50" s="22">
        <f t="shared" si="0"/>
        <v>-1.5279114814292E-2</v>
      </c>
      <c r="U50" s="28" t="str">
        <f>IF(S50='Alt Season'!$F$3,'Coin Returns'!T50,"")</f>
        <v/>
      </c>
      <c r="W50" s="26" t="str">
        <v>Uniswap</v>
      </c>
    </row>
    <row r="51" spans="2:23" x14ac:dyDescent="0.3">
      <c r="B51" s="64">
        <v>47</v>
      </c>
      <c r="C51" s="6" t="s">
        <v>129</v>
      </c>
      <c r="D51" s="64" t="s">
        <v>128</v>
      </c>
      <c r="E51" s="5" t="s">
        <v>127</v>
      </c>
      <c r="F51" s="30">
        <v>1.008</v>
      </c>
      <c r="G51" s="3">
        <v>-1.28379266911035E-3</v>
      </c>
      <c r="H51" s="3">
        <v>-6.9984747231034497E-2</v>
      </c>
      <c r="I51" s="3">
        <v>-3.1611983535956803E-2</v>
      </c>
      <c r="J51" s="3">
        <v>-0.17583911909454</v>
      </c>
      <c r="K51" s="3">
        <v>-0.343627582080892</v>
      </c>
      <c r="L51" s="3">
        <v>-0.69143434426631001</v>
      </c>
      <c r="M51" s="3">
        <v>0.18347646792990799</v>
      </c>
      <c r="N51" s="4">
        <v>1508015800</v>
      </c>
      <c r="P51" s="14" t="str">
        <f>Alt_Season[[#This Row],[Name]]</f>
        <v>Decentraland</v>
      </c>
      <c r="Q51" s="15">
        <f>HLOOKUP($Q$4,Alt_Season[[#All],[1 hour]:[1 year]],ROW(A48),FALSE)</f>
        <v>-1.28379266911035E-3</v>
      </c>
      <c r="S51" s="14" t="str">
        <v>Cosmos Hub</v>
      </c>
      <c r="T51" s="22">
        <f t="shared" si="0"/>
        <v>-1.57189824617016E-2</v>
      </c>
      <c r="U51" s="28" t="str">
        <f>IF(S51='Alt Season'!$F$3,'Coin Returns'!T51,"")</f>
        <v/>
      </c>
      <c r="W51" s="26" t="str">
        <v>USD Coin</v>
      </c>
    </row>
    <row r="52" spans="2:23" x14ac:dyDescent="0.3">
      <c r="B52" s="64">
        <v>48</v>
      </c>
      <c r="C52" s="6" t="s">
        <v>159</v>
      </c>
      <c r="D52" s="64" t="s">
        <v>160</v>
      </c>
      <c r="E52" s="5" t="s">
        <v>161</v>
      </c>
      <c r="F52" s="30">
        <v>1.0009999999999999</v>
      </c>
      <c r="G52" s="3">
        <v>-2.3933705889536598E-3</v>
      </c>
      <c r="H52" s="3">
        <v>-9.4613233299013604E-4</v>
      </c>
      <c r="I52" s="3">
        <v>1.25524832173704E-3</v>
      </c>
      <c r="J52" s="3">
        <v>1.44080118838759E-4</v>
      </c>
      <c r="K52" s="3">
        <v>3.97165810452179E-4</v>
      </c>
      <c r="L52" s="3">
        <v>-5.6918853938487798E-3</v>
      </c>
      <c r="M52" s="3">
        <v>-5.8584728809430702E-3</v>
      </c>
      <c r="N52" s="4">
        <v>1428441652</v>
      </c>
      <c r="P52" s="14" t="str">
        <f>Alt_Season[[#This Row],[Name]]</f>
        <v>Frax</v>
      </c>
      <c r="Q52" s="15">
        <f>HLOOKUP($Q$4,Alt_Season[[#All],[1 hour]:[1 year]],ROW(A49),FALSE)</f>
        <v>-2.3933705889536598E-3</v>
      </c>
      <c r="S52" s="14" t="str">
        <v>ApeCoin</v>
      </c>
      <c r="T52" s="22">
        <f t="shared" si="0"/>
        <v>-1.8441487322737302E-2</v>
      </c>
      <c r="U52" s="28" t="str">
        <f>IF(S52='Alt Season'!$F$3,'Coin Returns'!T52,"")</f>
        <v/>
      </c>
      <c r="W52" s="26" t="str">
        <v>VeChain</v>
      </c>
    </row>
    <row r="53" spans="2:23" x14ac:dyDescent="0.3">
      <c r="B53" s="64">
        <v>49</v>
      </c>
      <c r="C53" s="6" t="s">
        <v>143</v>
      </c>
      <c r="D53" s="64" t="s">
        <v>142</v>
      </c>
      <c r="E53" s="5" t="s">
        <v>141</v>
      </c>
      <c r="F53" s="30">
        <v>37.159999999999997</v>
      </c>
      <c r="G53" s="3">
        <v>-4.6512799411433997E-3</v>
      </c>
      <c r="H53" s="3">
        <v>-6.17239950550411E-2</v>
      </c>
      <c r="I53" s="3">
        <v>-6.5591725836802395E-2</v>
      </c>
      <c r="J53" s="3">
        <v>-0.117458689171746</v>
      </c>
      <c r="K53" s="3">
        <v>-0.34173952645348199</v>
      </c>
      <c r="L53" s="3">
        <v>-0.60426566066579201</v>
      </c>
      <c r="M53" s="3">
        <v>-0.31516654197709698</v>
      </c>
      <c r="N53" s="4">
        <v>1385612187</v>
      </c>
      <c r="P53" s="14" t="str">
        <f>Alt_Season[[#This Row],[Name]]</f>
        <v>cETH</v>
      </c>
      <c r="Q53" s="15">
        <f>HLOOKUP($Q$4,Alt_Season[[#All],[1 hour]:[1 year]],ROW(A50),FALSE)</f>
        <v>-4.6512799411433997E-3</v>
      </c>
      <c r="S53" s="14" t="str">
        <v>Aave</v>
      </c>
      <c r="T53" s="22">
        <f t="shared" si="0"/>
        <v>-2.6494917140781098E-2</v>
      </c>
      <c r="U53" s="28" t="str">
        <f>IF(S53='Alt Season'!$F$3,'Coin Returns'!T53,"")</f>
        <v/>
      </c>
      <c r="W53" s="26" t="str">
        <v>Wrapped Bitcoin</v>
      </c>
    </row>
    <row r="54" spans="2:23" x14ac:dyDescent="0.3">
      <c r="B54" s="64">
        <v>50</v>
      </c>
      <c r="C54" s="6" t="s">
        <v>36933</v>
      </c>
      <c r="D54" s="64" t="s">
        <v>11687</v>
      </c>
      <c r="E54" s="5" t="s">
        <v>11687</v>
      </c>
      <c r="F54" s="30">
        <v>1.3</v>
      </c>
      <c r="G54" s="3">
        <v>-5.9595897927890596E-3</v>
      </c>
      <c r="H54" s="3">
        <v>-4.5029537252558802E-2</v>
      </c>
      <c r="I54" s="3">
        <v>-3.3188894869173598E-2</v>
      </c>
      <c r="J54" s="3">
        <v>-5.6334820832903899E-2</v>
      </c>
      <c r="K54" s="3">
        <v>-0.38256276711473503</v>
      </c>
      <c r="L54" s="3">
        <v>-0.73274347840927001</v>
      </c>
      <c r="M54" s="3">
        <v>-0.80238660375471804</v>
      </c>
      <c r="N54" s="4">
        <v>1295338632</v>
      </c>
      <c r="P54" s="16" t="str">
        <f>Alt_Season[[#This Row],[Name]]</f>
        <v>EOS</v>
      </c>
      <c r="Q54" s="17">
        <f>HLOOKUP($Q$4,Alt_Season[[#All],[1 hour]:[1 year]],ROW(A51),FALSE)</f>
        <v>-5.9595897927890596E-3</v>
      </c>
      <c r="S54" s="16" t="str">
        <v>Internet Computer</v>
      </c>
      <c r="T54" s="23">
        <f t="shared" si="0"/>
        <v>-2.66250009203222E-2</v>
      </c>
      <c r="U54" s="29" t="str">
        <f>IF(S54='Alt Season'!$F$3,'Coin Returns'!T54,"")</f>
        <v/>
      </c>
      <c r="W54" s="27" t="str">
        <v>XRP</v>
      </c>
    </row>
  </sheetData>
  <mergeCells count="1">
    <mergeCell ref="S3:U3"/>
  </mergeCells>
  <conditionalFormatting sqref="G5:G54">
    <cfRule type="top10" dxfId="11" priority="1" rank="20"/>
    <cfRule type="top10" dxfId="10" priority="8" rank="20"/>
  </conditionalFormatting>
  <conditionalFormatting sqref="H5:H54">
    <cfRule type="top10" dxfId="9" priority="7" rank="20"/>
  </conditionalFormatting>
  <conditionalFormatting sqref="I5:I54">
    <cfRule type="top10" dxfId="8" priority="6" rank="20"/>
  </conditionalFormatting>
  <conditionalFormatting sqref="J5:J54">
    <cfRule type="top10" dxfId="7" priority="5" rank="20"/>
  </conditionalFormatting>
  <conditionalFormatting sqref="K5:K54">
    <cfRule type="top10" dxfId="6" priority="4" rank="20"/>
  </conditionalFormatting>
  <conditionalFormatting sqref="L5:L36">
    <cfRule type="top10" dxfId="5" priority="3" rank="20"/>
  </conditionalFormatting>
  <conditionalFormatting sqref="M5:M36">
    <cfRule type="top10" dxfId="4" priority="2" rank="2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635DB-449F-4BDB-89FE-7CD6AC03C21F}">
  <sheetPr codeName="Sheet2">
    <tabColor theme="9" tint="0.39997558519241921"/>
  </sheetPr>
  <dimension ref="B2:F4"/>
  <sheetViews>
    <sheetView showGridLines="0" workbookViewId="0">
      <selection activeCell="G2" sqref="G2"/>
    </sheetView>
  </sheetViews>
  <sheetFormatPr defaultRowHeight="14.4" x14ac:dyDescent="0.3"/>
  <cols>
    <col min="2" max="2" width="12.5546875" customWidth="1"/>
    <col min="6" max="14" width="17.6640625" customWidth="1"/>
  </cols>
  <sheetData>
    <row r="2" spans="2:6" ht="15" thickBot="1" x14ac:dyDescent="0.35"/>
    <row r="3" spans="2:6" ht="15" thickBot="1" x14ac:dyDescent="0.35">
      <c r="B3" s="61" t="s">
        <v>153</v>
      </c>
      <c r="C3" s="60" t="s">
        <v>5</v>
      </c>
      <c r="E3" s="8" t="s">
        <v>152</v>
      </c>
      <c r="F3" s="58" t="s">
        <v>14</v>
      </c>
    </row>
    <row r="4" spans="2:6" ht="15" thickBot="1" x14ac:dyDescent="0.35">
      <c r="E4" s="9" t="s">
        <v>154</v>
      </c>
      <c r="F4" s="59">
        <f>_xlfn.XLOOKUP($F$3,'Coin Returns'!$P$5:$P$54,'Coin Returns'!$Q$5:$Q$54,,0)</f>
        <v>-1.25653387016942E-2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3" name="Button 10">
              <controlPr defaultSize="0" print="0" autoFill="0" autoPict="0" macro="[0]!Refresh">
                <anchor moveWithCells="1" sizeWithCells="1">
                  <from>
                    <xdr:col>1</xdr:col>
                    <xdr:colOff>0</xdr:colOff>
                    <xdr:row>4</xdr:row>
                    <xdr:rowOff>15240</xdr:rowOff>
                  </from>
                  <to>
                    <xdr:col>1</xdr:col>
                    <xdr:colOff>754380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77476C-ED86-4BB7-8C39-0ECA7DA87BEE}">
          <x14:formula1>
            <xm:f>'Coin Returns'!$G$4:$M$4</xm:f>
          </x14:formula1>
          <xm:sqref>C3</xm:sqref>
        </x14:dataValidation>
        <x14:dataValidation type="list" allowBlank="1" showInputMessage="1" showErrorMessage="1" xr:uid="{EF13C5A9-8912-4EDB-9483-C3F2D30578B6}">
          <x14:formula1>
            <xm:f>'Coin Returns'!$W$5:$W$54</xm:f>
          </x14:formula1>
          <xm:sqref>F3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683B9-2B97-473D-BDD3-320A42CB8B91}">
  <sheetPr codeName="Sheet3">
    <tabColor theme="5" tint="-0.249977111117893"/>
  </sheetPr>
  <dimension ref="B4:AE1422"/>
  <sheetViews>
    <sheetView showGridLines="0" topLeftCell="A6" zoomScaleNormal="100" workbookViewId="0">
      <selection activeCell="G9" sqref="G9:Q130"/>
    </sheetView>
  </sheetViews>
  <sheetFormatPr defaultRowHeight="14.4" x14ac:dyDescent="0.3"/>
  <cols>
    <col min="2" max="2" width="11" customWidth="1"/>
    <col min="3" max="4" width="17" customWidth="1"/>
    <col min="5" max="5" width="10.21875" bestFit="1" customWidth="1"/>
    <col min="6" max="6" width="17.6640625" customWidth="1"/>
    <col min="7" max="7" width="17.6640625" style="73" customWidth="1"/>
    <col min="8" max="8" width="18.109375" style="74" customWidth="1"/>
    <col min="9" max="17" width="8.44140625" style="74" customWidth="1"/>
    <col min="18" max="20" width="8.44140625" customWidth="1"/>
    <col min="21" max="21" width="24.5546875" customWidth="1"/>
    <col min="22" max="22" width="15.77734375" customWidth="1"/>
    <col min="23" max="23" width="8.88671875" customWidth="1"/>
    <col min="25" max="25" width="15.6640625" customWidth="1"/>
    <col min="26" max="26" width="16.21875" customWidth="1"/>
    <col min="28" max="28" width="12" bestFit="1" customWidth="1"/>
    <col min="29" max="29" width="11.5546875" customWidth="1"/>
    <col min="31" max="31" width="62.33203125" customWidth="1"/>
  </cols>
  <sheetData>
    <row r="4" spans="2:31" x14ac:dyDescent="0.3">
      <c r="B4" s="100" t="s">
        <v>166</v>
      </c>
      <c r="C4" s="104" t="s">
        <v>97</v>
      </c>
      <c r="Y4" s="87" t="s">
        <v>36623</v>
      </c>
      <c r="Z4" s="88"/>
    </row>
    <row r="5" spans="2:31" x14ac:dyDescent="0.3">
      <c r="B5" s="101" t="s">
        <v>167</v>
      </c>
      <c r="C5" s="102" t="str">
        <f>_xlfn.XLOOKUP(Hist_Price_Symbol,Coin_List[Symbol],Coin_List[Coin ID],,0,1)</f>
        <v>monero</v>
      </c>
      <c r="E5" s="34" t="s">
        <v>36615</v>
      </c>
    </row>
    <row r="6" spans="2:31" x14ac:dyDescent="0.3">
      <c r="B6" s="101" t="s">
        <v>36614</v>
      </c>
      <c r="C6" s="95">
        <v>5</v>
      </c>
      <c r="E6" s="34" t="s">
        <v>36616</v>
      </c>
      <c r="Y6" s="38" t="s">
        <v>36626</v>
      </c>
      <c r="Z6" s="39" t="s">
        <v>36627</v>
      </c>
      <c r="AB6" s="89" t="s">
        <v>36678</v>
      </c>
      <c r="AC6" s="90"/>
      <c r="AE6" s="48" t="s">
        <v>36681</v>
      </c>
    </row>
    <row r="7" spans="2:31" x14ac:dyDescent="0.3">
      <c r="B7" s="103" t="s">
        <v>168</v>
      </c>
      <c r="C7" s="97" t="s">
        <v>36615</v>
      </c>
      <c r="Y7" s="35" t="s">
        <v>36624</v>
      </c>
      <c r="Z7" s="36" t="str">
        <f t="shared" ref="Z7:Z9" si="0">TEXT(C5,"#")</f>
        <v>monero</v>
      </c>
      <c r="AB7" s="44" t="s">
        <v>36679</v>
      </c>
      <c r="AC7" s="42">
        <f ca="1">MIN(Crypto_Prices[Price])-OFFSET(Crypto_Prices[[#Headers],[Price]],1,0)/100</f>
        <v>167.71039834914441</v>
      </c>
      <c r="AE7" s="46" t="str">
        <f>"Historical Prices based upon "&amp;TEXT($C$6,"#")&amp;" days with an "&amp;PROPER(TEXT($C$7,"#"))&amp;" Price Interval"</f>
        <v>Historical Prices based upon 5 days with an Hourly Price Interval</v>
      </c>
    </row>
    <row r="8" spans="2:31" x14ac:dyDescent="0.3">
      <c r="Y8" s="35" t="s">
        <v>36614</v>
      </c>
      <c r="Z8" s="37" t="str">
        <f t="shared" si="0"/>
        <v>5</v>
      </c>
      <c r="AB8" s="45" t="s">
        <v>36680</v>
      </c>
      <c r="AC8" s="43">
        <f ca="1">MAX(Crypto_Prices[Price])-OFFSET(Crypto_Prices[[#Headers],[Price]],1,0)/100</f>
        <v>204.86055713323492</v>
      </c>
      <c r="AE8" s="47" t="str">
        <f>"Historical Prices based upon "&amp;TEXT($C$6,"#")&amp;" days with an "&amp;PROPER(TEXT($C$7,"#"))&amp;" Return Interval"</f>
        <v>Historical Prices based upon 5 days with an Hourly Return Interval</v>
      </c>
    </row>
    <row r="9" spans="2:31" x14ac:dyDescent="0.3">
      <c r="B9" s="32" t="s">
        <v>36617</v>
      </c>
      <c r="C9" s="32" t="s">
        <v>36618</v>
      </c>
      <c r="D9" s="32" t="s">
        <v>4</v>
      </c>
      <c r="E9" s="32" t="s">
        <v>154</v>
      </c>
      <c r="G9" s="104" t="s">
        <v>36618</v>
      </c>
      <c r="H9" s="104" t="s">
        <v>13</v>
      </c>
      <c r="I9" s="104" t="s">
        <v>16</v>
      </c>
      <c r="J9" s="104" t="s">
        <v>37091</v>
      </c>
      <c r="K9" s="104" t="s">
        <v>32</v>
      </c>
      <c r="L9" s="104" t="s">
        <v>47</v>
      </c>
      <c r="M9" s="104" t="s">
        <v>19</v>
      </c>
      <c r="N9" s="104" t="s">
        <v>68</v>
      </c>
      <c r="O9" s="104" t="s">
        <v>80</v>
      </c>
      <c r="P9" s="104" t="s">
        <v>92</v>
      </c>
      <c r="Q9" s="104" t="s">
        <v>97</v>
      </c>
      <c r="Y9" s="40" t="s">
        <v>36625</v>
      </c>
      <c r="Z9" s="41" t="str">
        <f t="shared" si="0"/>
        <v>hourly</v>
      </c>
    </row>
    <row r="10" spans="2:31" ht="15" thickBot="1" x14ac:dyDescent="0.35">
      <c r="B10" s="32">
        <v>0</v>
      </c>
      <c r="C10" s="68">
        <v>44713.714884259258</v>
      </c>
      <c r="D10" s="69">
        <v>196.56148264912829</v>
      </c>
      <c r="E10" s="22">
        <f>(Crypto_Prices[[#This Row],[Price]]-$D$130)/$D$130</f>
        <v>6.1120824840007512E-2</v>
      </c>
      <c r="G10" s="66">
        <v>44713.714884259258</v>
      </c>
      <c r="H10" s="72">
        <v>6.6282955244965941E-2</v>
      </c>
      <c r="I10" s="72">
        <v>6.646864660198859E-2</v>
      </c>
      <c r="J10" s="72">
        <v>0</v>
      </c>
      <c r="K10" s="72">
        <v>3.2075036266555508E-2</v>
      </c>
      <c r="L10" s="72">
        <v>7.0297217638695508E-2</v>
      </c>
      <c r="M10" s="72">
        <v>-1.0042619813194057E-3</v>
      </c>
      <c r="N10" s="72">
        <v>5.4076687134021292E-2</v>
      </c>
      <c r="O10" s="72">
        <v>0.11755301765101137</v>
      </c>
      <c r="P10" s="72">
        <v>2.5935124533190603E-2</v>
      </c>
      <c r="Q10" s="72">
        <v>6.1120824840007512E-2</v>
      </c>
      <c r="AB10" s="83" t="s">
        <v>36678</v>
      </c>
      <c r="AC10" s="83"/>
    </row>
    <row r="11" spans="2:31" x14ac:dyDescent="0.3">
      <c r="B11" s="32">
        <v>1</v>
      </c>
      <c r="C11" s="68">
        <v>44713.710080509256</v>
      </c>
      <c r="D11" s="69">
        <v>197.17544302604293</v>
      </c>
      <c r="E11" s="22">
        <f>(Crypto_Prices[[#This Row],[Price]]-$D$130)/$D$130</f>
        <v>6.4435238899112221E-2</v>
      </c>
      <c r="G11" s="67">
        <v>44713.710080509256</v>
      </c>
      <c r="H11" s="22">
        <v>7.0063788729390564E-2</v>
      </c>
      <c r="I11" s="22">
        <v>7.243746621390118E-2</v>
      </c>
      <c r="J11" s="22"/>
      <c r="K11" s="22">
        <v>3.9370651847057188E-2</v>
      </c>
      <c r="L11" s="22">
        <v>7.2959168325999843E-2</v>
      </c>
      <c r="M11" s="22">
        <v>4.8358352375438073E-4</v>
      </c>
      <c r="N11" s="22">
        <v>5.7556332519268033E-2</v>
      </c>
      <c r="O11" s="22">
        <v>0.11666370376958052</v>
      </c>
      <c r="P11" s="22">
        <v>2.4449829425453765E-2</v>
      </c>
      <c r="Q11" s="22">
        <v>6.4435238899112221E-2</v>
      </c>
      <c r="Y11" s="34"/>
      <c r="Z11" s="70" t="s">
        <v>37090</v>
      </c>
      <c r="AB11" s="80" t="s">
        <v>36679</v>
      </c>
      <c r="AC11" s="81">
        <f ca="1">MIN(Crypto_Prices[Return])-OFFSET(Crypto_Prices[[#Headers],[Return]],1,0)/100</f>
        <v>-8.4629355497082379E-2</v>
      </c>
    </row>
    <row r="12" spans="2:31" ht="15" thickBot="1" x14ac:dyDescent="0.35">
      <c r="B12" s="32">
        <v>2</v>
      </c>
      <c r="C12" s="68">
        <v>44713.667659004626</v>
      </c>
      <c r="D12" s="69">
        <v>198.38515925391127</v>
      </c>
      <c r="E12" s="22">
        <f>(Crypto_Prices[[#This Row],[Price]]-$D$130)/$D$130</f>
        <v>7.0965791397179109E-2</v>
      </c>
      <c r="G12" s="66">
        <v>44713.667659004626</v>
      </c>
      <c r="H12" s="72">
        <v>8.3180247769051252E-2</v>
      </c>
      <c r="I12" s="72">
        <v>8.7769650072208813E-2</v>
      </c>
      <c r="J12" s="72"/>
      <c r="K12" s="72">
        <v>4.7407041727160627E-2</v>
      </c>
      <c r="L12" s="72">
        <v>8.6882294974569271E-2</v>
      </c>
      <c r="M12" s="72">
        <v>4.6817347452283059E-4</v>
      </c>
      <c r="N12" s="72">
        <v>7.4148332313242471E-2</v>
      </c>
      <c r="O12" s="72">
        <v>0.12497292581747961</v>
      </c>
      <c r="P12" s="72">
        <v>3.9202504350805328E-2</v>
      </c>
      <c r="Q12" s="72">
        <v>7.0965791397179109E-2</v>
      </c>
      <c r="Z12" s="71">
        <f>COUNTA(Column_Name)</f>
        <v>10</v>
      </c>
      <c r="AB12" s="80" t="s">
        <v>36680</v>
      </c>
      <c r="AC12" s="82">
        <f ca="1">MAX(Crypto_Prices[Return])-OFFSET(Crypto_Prices[[#Headers],[Return]],1,0)/100</f>
        <v>0.11592268857901675</v>
      </c>
    </row>
    <row r="13" spans="2:31" x14ac:dyDescent="0.3">
      <c r="B13" s="32">
        <v>3</v>
      </c>
      <c r="C13" s="68">
        <v>44713.627241898146</v>
      </c>
      <c r="D13" s="69">
        <v>197.891601146905</v>
      </c>
      <c r="E13" s="22">
        <f>(Crypto_Prices[[#This Row],[Price]]-$D$130)/$D$130</f>
        <v>6.8301358983694341E-2</v>
      </c>
      <c r="G13" s="67">
        <v>44713.627241898146</v>
      </c>
      <c r="H13" s="22">
        <v>9.7860331421962071E-2</v>
      </c>
      <c r="I13" s="22">
        <v>0.10205310234502757</v>
      </c>
      <c r="J13" s="22"/>
      <c r="K13" s="22">
        <v>6.793537353232125E-2</v>
      </c>
      <c r="L13" s="22">
        <v>0.10091250146995934</v>
      </c>
      <c r="M13" s="22">
        <v>8.6538099871954989E-5</v>
      </c>
      <c r="N13" s="22">
        <v>9.0969148789757454E-2</v>
      </c>
      <c r="O13" s="22">
        <v>0.13913394608283086</v>
      </c>
      <c r="P13" s="22">
        <v>5.7799084906444038E-2</v>
      </c>
      <c r="Q13" s="22">
        <v>6.8301358983694341E-2</v>
      </c>
      <c r="AB13" s="32"/>
      <c r="AC13" s="32"/>
    </row>
    <row r="14" spans="2:31" x14ac:dyDescent="0.3">
      <c r="B14" s="32">
        <v>4</v>
      </c>
      <c r="C14" s="68">
        <v>44713.584309560189</v>
      </c>
      <c r="D14" s="69">
        <v>199.40543731215996</v>
      </c>
      <c r="E14" s="22">
        <f>(Crypto_Prices[[#This Row],[Price]]-$D$130)/$D$130</f>
        <v>7.6473677683667779E-2</v>
      </c>
      <c r="G14" s="66">
        <v>44713.584309560189</v>
      </c>
      <c r="H14" s="72">
        <v>0.11802212287368212</v>
      </c>
      <c r="I14" s="72">
        <v>0.13284317119401121</v>
      </c>
      <c r="J14" s="72"/>
      <c r="K14" s="72">
        <v>0.10493938050639127</v>
      </c>
      <c r="L14" s="72">
        <v>0.12001279026102041</v>
      </c>
      <c r="M14" s="72">
        <v>1.1398446584910784E-3</v>
      </c>
      <c r="N14" s="72">
        <v>0.11373595565495512</v>
      </c>
      <c r="O14" s="72">
        <v>0.18276070063963928</v>
      </c>
      <c r="P14" s="72">
        <v>7.3439073441129293E-2</v>
      </c>
      <c r="Q14" s="72">
        <v>7.6473677683667779E-2</v>
      </c>
    </row>
    <row r="15" spans="2:31" x14ac:dyDescent="0.3">
      <c r="B15" s="32">
        <v>5</v>
      </c>
      <c r="C15" s="68">
        <v>44713.543640219905</v>
      </c>
      <c r="D15" s="69">
        <v>197.63220992426022</v>
      </c>
      <c r="E15" s="22">
        <f>(Crypto_Prices[[#This Row],[Price]]-$D$130)/$D$130</f>
        <v>6.6901057030231706E-2</v>
      </c>
      <c r="G15" s="67">
        <v>44713.543640219905</v>
      </c>
      <c r="H15" s="22">
        <v>0.11618619981247437</v>
      </c>
      <c r="I15" s="22">
        <v>0.12626297286412036</v>
      </c>
      <c r="J15" s="22"/>
      <c r="K15" s="22">
        <v>9.3816525519589591E-2</v>
      </c>
      <c r="L15" s="22">
        <v>0.11934209089565648</v>
      </c>
      <c r="M15" s="22">
        <v>-1.8706282702759341E-3</v>
      </c>
      <c r="N15" s="22">
        <v>0.11723018206102567</v>
      </c>
      <c r="O15" s="22">
        <v>0.1691326174621374</v>
      </c>
      <c r="P15" s="22">
        <v>6.6551562499043745E-2</v>
      </c>
      <c r="Q15" s="22">
        <v>6.6901057030231706E-2</v>
      </c>
    </row>
    <row r="16" spans="2:31" x14ac:dyDescent="0.3">
      <c r="B16" s="32">
        <v>6</v>
      </c>
      <c r="C16" s="68">
        <v>44713.50164253472</v>
      </c>
      <c r="D16" s="69">
        <v>194.11660860393431</v>
      </c>
      <c r="E16" s="22">
        <f>(Crypto_Prices[[#This Row],[Price]]-$D$130)/$D$130</f>
        <v>4.7922375538029416E-2</v>
      </c>
      <c r="G16" s="66">
        <v>44713.50164253472</v>
      </c>
      <c r="H16" s="75">
        <v>0.10987212731181455</v>
      </c>
      <c r="I16" s="75">
        <v>0.11635508310147429</v>
      </c>
      <c r="J16" s="75"/>
      <c r="K16" s="75">
        <v>8.2939747846396392E-2</v>
      </c>
      <c r="L16" s="75">
        <v>0.11421504232462856</v>
      </c>
      <c r="M16" s="75">
        <v>-1.3617083036328273E-3</v>
      </c>
      <c r="N16" s="75">
        <v>0.1093575300099337</v>
      </c>
      <c r="O16" s="75">
        <v>0.15599590704428709</v>
      </c>
      <c r="P16" s="75">
        <v>5.4172526338525068E-2</v>
      </c>
      <c r="Q16" s="75">
        <v>4.7922375538029416E-2</v>
      </c>
      <c r="T16" s="32"/>
    </row>
    <row r="17" spans="2:17" x14ac:dyDescent="0.3">
      <c r="B17" s="32">
        <v>7</v>
      </c>
      <c r="C17" s="68">
        <v>44713.459885127311</v>
      </c>
      <c r="D17" s="69">
        <v>196.36284732569681</v>
      </c>
      <c r="E17" s="22">
        <f>(Crypto_Prices[[#This Row],[Price]]-$D$130)/$D$130</f>
        <v>6.0048508558092663E-2</v>
      </c>
      <c r="G17" s="67">
        <v>44713.459885127311</v>
      </c>
      <c r="H17" s="22">
        <v>0.10997873981955153</v>
      </c>
      <c r="I17" s="22">
        <v>0.11638394600732613</v>
      </c>
      <c r="J17" s="22"/>
      <c r="K17" s="22">
        <v>9.0537705363935433E-2</v>
      </c>
      <c r="L17" s="22">
        <v>0.11306404084961016</v>
      </c>
      <c r="M17" s="22">
        <v>-1.5463645492585934E-3</v>
      </c>
      <c r="N17" s="22">
        <v>0.11084767305520157</v>
      </c>
      <c r="O17" s="22">
        <v>0.16128318275394557</v>
      </c>
      <c r="P17" s="22">
        <v>6.0960374825407233E-2</v>
      </c>
      <c r="Q17" s="22">
        <v>6.0048508558092663E-2</v>
      </c>
    </row>
    <row r="18" spans="2:17" x14ac:dyDescent="0.3">
      <c r="B18" s="32">
        <v>8</v>
      </c>
      <c r="C18" s="68">
        <v>44713.41726681713</v>
      </c>
      <c r="D18" s="69">
        <v>198.04225111758578</v>
      </c>
      <c r="E18" s="22">
        <f>(Crypto_Prices[[#This Row],[Price]]-$D$130)/$D$130</f>
        <v>6.9114630327583526E-2</v>
      </c>
      <c r="G18" s="66">
        <v>44713.41726681713</v>
      </c>
      <c r="H18" s="76">
        <v>0.1141470389493294</v>
      </c>
      <c r="I18" s="76">
        <v>0.1196893255276905</v>
      </c>
      <c r="J18" s="76"/>
      <c r="K18" s="76">
        <v>9.9038673156360058E-2</v>
      </c>
      <c r="L18" s="76">
        <v>0.11717735657653287</v>
      </c>
      <c r="M18" s="76">
        <v>-1.2203679278594737E-3</v>
      </c>
      <c r="N18" s="76">
        <v>0.11452953458728272</v>
      </c>
      <c r="O18" s="76">
        <v>0.16183753332142145</v>
      </c>
      <c r="P18" s="76">
        <v>6.435190747256439E-2</v>
      </c>
      <c r="Q18" s="76">
        <v>6.9114630327583526E-2</v>
      </c>
    </row>
    <row r="19" spans="2:17" x14ac:dyDescent="0.3">
      <c r="B19" s="32">
        <v>9</v>
      </c>
      <c r="C19" s="68">
        <v>44713.38033295139</v>
      </c>
      <c r="D19" s="69">
        <v>198.40425522450585</v>
      </c>
      <c r="E19" s="22">
        <f>(Crypto_Prices[[#This Row],[Price]]-$D$130)/$D$130</f>
        <v>7.1068879407074764E-2</v>
      </c>
      <c r="G19" s="67">
        <v>44713.38033295139</v>
      </c>
      <c r="H19" s="77">
        <v>0.11239995324162916</v>
      </c>
      <c r="I19" s="77">
        <v>0.11686407231806253</v>
      </c>
      <c r="J19" s="77"/>
      <c r="K19" s="77">
        <v>9.1129554806835766E-2</v>
      </c>
      <c r="L19" s="77">
        <v>0.11550367824853294</v>
      </c>
      <c r="M19" s="77">
        <v>-7.0154081674717874E-4</v>
      </c>
      <c r="N19" s="77">
        <v>0.11022380624023632</v>
      </c>
      <c r="O19" s="77">
        <v>0.16001712494767981</v>
      </c>
      <c r="P19" s="77">
        <v>6.4455273622420581E-2</v>
      </c>
      <c r="Q19" s="77">
        <v>7.1068879407074764E-2</v>
      </c>
    </row>
    <row r="20" spans="2:17" x14ac:dyDescent="0.3">
      <c r="B20" s="32">
        <v>10</v>
      </c>
      <c r="C20" s="68">
        <v>44713.333608171299</v>
      </c>
      <c r="D20" s="69">
        <v>195.12528073314837</v>
      </c>
      <c r="E20" s="22">
        <f>(Crypto_Prices[[#This Row],[Price]]-$D$130)/$D$130</f>
        <v>5.3367608181371505E-2</v>
      </c>
      <c r="G20" s="66">
        <v>44713.333608171299</v>
      </c>
      <c r="H20" s="78">
        <v>0.10831415081165191</v>
      </c>
      <c r="I20" s="78">
        <v>0.11497238285272746</v>
      </c>
      <c r="J20" s="78"/>
      <c r="K20" s="78">
        <v>8.8266222661847527E-2</v>
      </c>
      <c r="L20" s="78">
        <v>0.11126787852719001</v>
      </c>
      <c r="M20" s="78">
        <v>-5.9635597866574753E-4</v>
      </c>
      <c r="N20" s="78">
        <v>0.11133146571980491</v>
      </c>
      <c r="O20" s="78">
        <v>0.1567099789341484</v>
      </c>
      <c r="P20" s="78">
        <v>6.696203472622328E-2</v>
      </c>
      <c r="Q20" s="78">
        <v>5.3367608181371505E-2</v>
      </c>
    </row>
    <row r="21" spans="2:17" x14ac:dyDescent="0.3">
      <c r="B21">
        <v>11</v>
      </c>
      <c r="C21" s="73">
        <v>44713.293959178241</v>
      </c>
      <c r="D21" s="79">
        <v>197.24840681079752</v>
      </c>
      <c r="E21" s="74">
        <f>(Crypto_Prices[[#This Row],[Price]]-$D$130)/$D$130</f>
        <v>6.4829127825970015E-2</v>
      </c>
      <c r="G21" s="67">
        <v>44713.293959178241</v>
      </c>
      <c r="H21" s="77">
        <v>0.11117196238399889</v>
      </c>
      <c r="I21" s="77">
        <v>0.11682726640590808</v>
      </c>
      <c r="J21" s="77"/>
      <c r="K21" s="77">
        <v>9.319865385743846E-2</v>
      </c>
      <c r="L21" s="77">
        <v>0.1163907267093186</v>
      </c>
      <c r="M21" s="77">
        <v>-1.1663820274967233E-3</v>
      </c>
      <c r="N21" s="77">
        <v>0.11772338335547787</v>
      </c>
      <c r="O21" s="77">
        <v>0.16130381496674115</v>
      </c>
      <c r="P21" s="77">
        <v>6.9604889655596733E-2</v>
      </c>
      <c r="Q21" s="77">
        <v>6.4829127825970015E-2</v>
      </c>
    </row>
    <row r="22" spans="2:17" x14ac:dyDescent="0.3">
      <c r="B22">
        <v>12</v>
      </c>
      <c r="C22" s="73">
        <v>44713.251158935185</v>
      </c>
      <c r="D22" s="79">
        <v>196.45650649433261</v>
      </c>
      <c r="E22" s="74">
        <f>(Crypto_Prices[[#This Row],[Price]]-$D$130)/$D$130</f>
        <v>6.0554119794522257E-2</v>
      </c>
      <c r="G22" s="66">
        <v>44713.251158935185</v>
      </c>
      <c r="H22" s="78">
        <v>0.11136752637561292</v>
      </c>
      <c r="I22" s="78">
        <v>0.11412426429135676</v>
      </c>
      <c r="J22" s="78"/>
      <c r="K22" s="78">
        <v>8.7553165493117355E-2</v>
      </c>
      <c r="L22" s="78">
        <v>0.11465078806705876</v>
      </c>
      <c r="M22" s="78">
        <v>-4.5723605546504718E-4</v>
      </c>
      <c r="N22" s="78">
        <v>0.10601773888804963</v>
      </c>
      <c r="O22" s="78">
        <v>0.15371796071238084</v>
      </c>
      <c r="P22" s="78">
        <v>6.8691221078359468E-2</v>
      </c>
      <c r="Q22" s="78">
        <v>6.0554119794522257E-2</v>
      </c>
    </row>
    <row r="23" spans="2:17" x14ac:dyDescent="0.3">
      <c r="B23">
        <v>13</v>
      </c>
      <c r="C23" s="73">
        <v>44713.21036287037</v>
      </c>
      <c r="D23" s="79">
        <v>196.03263912702172</v>
      </c>
      <c r="E23" s="74">
        <f>(Crypto_Prices[[#This Row],[Price]]-$D$130)/$D$130</f>
        <v>5.8265907046216099E-2</v>
      </c>
      <c r="G23" s="67">
        <v>44713.21036287037</v>
      </c>
      <c r="H23" s="77">
        <v>0.11010374514381646</v>
      </c>
      <c r="I23" s="77">
        <v>0.11397304233926639</v>
      </c>
      <c r="J23" s="77"/>
      <c r="K23" s="77">
        <v>8.894462054765595E-2</v>
      </c>
      <c r="L23" s="77">
        <v>0.11417149774572069</v>
      </c>
      <c r="M23" s="77">
        <v>-1.2993709753876456E-3</v>
      </c>
      <c r="N23" s="77">
        <v>0.12341006683910857</v>
      </c>
      <c r="O23" s="77">
        <v>0.1588100912665277</v>
      </c>
      <c r="P23" s="77">
        <v>6.9510042873439717E-2</v>
      </c>
      <c r="Q23" s="77">
        <v>5.8265907046216099E-2</v>
      </c>
    </row>
    <row r="24" spans="2:17" x14ac:dyDescent="0.3">
      <c r="B24">
        <v>14</v>
      </c>
      <c r="C24" s="73">
        <v>44713.167989409725</v>
      </c>
      <c r="D24" s="79">
        <v>195.59573063039051</v>
      </c>
      <c r="E24" s="74">
        <f>(Crypto_Prices[[#This Row],[Price]]-$D$130)/$D$130</f>
        <v>5.5907292845322545E-2</v>
      </c>
      <c r="G24" s="66">
        <v>44713.167989409725</v>
      </c>
      <c r="H24" s="78">
        <v>0.11171126659849535</v>
      </c>
      <c r="I24" s="78">
        <v>0.1124991997922281</v>
      </c>
      <c r="J24" s="78"/>
      <c r="K24" s="78">
        <v>8.8692604632510372E-2</v>
      </c>
      <c r="L24" s="78">
        <v>0.11511683374144775</v>
      </c>
      <c r="M24" s="78">
        <v>-8.5441204016749436E-4</v>
      </c>
      <c r="N24" s="78">
        <v>0.11748640431229088</v>
      </c>
      <c r="O24" s="78">
        <v>0.16205625892873407</v>
      </c>
      <c r="P24" s="78">
        <v>6.8740609825508503E-2</v>
      </c>
      <c r="Q24" s="78">
        <v>5.5907292845322545E-2</v>
      </c>
    </row>
    <row r="25" spans="2:17" x14ac:dyDescent="0.3">
      <c r="B25">
        <v>15</v>
      </c>
      <c r="C25" s="73">
        <v>44713.1257974537</v>
      </c>
      <c r="D25" s="79">
        <v>196.61993047557505</v>
      </c>
      <c r="E25" s="74">
        <f>(Crypto_Prices[[#This Row],[Price]]-$D$130)/$D$130</f>
        <v>6.1436350572584487E-2</v>
      </c>
      <c r="G25" s="67">
        <v>44713.1257974537</v>
      </c>
      <c r="H25" s="77">
        <v>0.1186944182132617</v>
      </c>
      <c r="I25" s="77">
        <v>0.11800229994600522</v>
      </c>
      <c r="J25" s="77"/>
      <c r="K25" s="77">
        <v>0.10589282573628381</v>
      </c>
      <c r="L25" s="77">
        <v>0.12177691176531212</v>
      </c>
      <c r="M25" s="77">
        <v>-2.7127083202488762E-4</v>
      </c>
      <c r="N25" s="77">
        <v>0.12680004434879222</v>
      </c>
      <c r="O25" s="77">
        <v>0.16914853460593196</v>
      </c>
      <c r="P25" s="77">
        <v>7.6092736945209113E-2</v>
      </c>
      <c r="Q25" s="77">
        <v>6.1436350572584487E-2</v>
      </c>
    </row>
    <row r="26" spans="2:17" x14ac:dyDescent="0.3">
      <c r="B26">
        <v>16</v>
      </c>
      <c r="C26" s="73">
        <v>44713.08455013889</v>
      </c>
      <c r="D26" s="79">
        <v>197.21224177309176</v>
      </c>
      <c r="E26" s="74">
        <f>(Crypto_Prices[[#This Row],[Price]]-$D$130)/$D$130</f>
        <v>6.4633893876146764E-2</v>
      </c>
      <c r="G26" s="66">
        <v>44713.08455013889</v>
      </c>
      <c r="H26" s="78">
        <v>0.12242725956102135</v>
      </c>
      <c r="I26" s="78">
        <v>0.12290009730595544</v>
      </c>
      <c r="J26" s="78"/>
      <c r="K26" s="78">
        <v>0.11540276753528463</v>
      </c>
      <c r="L26" s="78">
        <v>0.12623985982223901</v>
      </c>
      <c r="M26" s="78">
        <v>9.0321218656942099E-5</v>
      </c>
      <c r="N26" s="78">
        <v>0.1304559982825024</v>
      </c>
      <c r="O26" s="78">
        <v>0.18581522558228714</v>
      </c>
      <c r="P26" s="78">
        <v>8.8549855546645184E-2</v>
      </c>
      <c r="Q26" s="78">
        <v>6.4633893876146764E-2</v>
      </c>
    </row>
    <row r="27" spans="2:17" x14ac:dyDescent="0.3">
      <c r="B27">
        <v>17</v>
      </c>
      <c r="C27" s="73">
        <v>44713.043044745369</v>
      </c>
      <c r="D27" s="79">
        <v>199.72778975173856</v>
      </c>
      <c r="E27" s="74">
        <f>(Crypto_Prices[[#This Row],[Price]]-$D$130)/$D$130</f>
        <v>7.8213870533074659E-2</v>
      </c>
      <c r="G27" s="67">
        <v>44713.043044745369</v>
      </c>
      <c r="H27" s="77">
        <v>0.12352077157596127</v>
      </c>
      <c r="I27" s="77">
        <v>0.1265421307456818</v>
      </c>
      <c r="J27" s="77"/>
      <c r="K27" s="77">
        <v>0.11480932825031609</v>
      </c>
      <c r="L27" s="77">
        <v>0.12668672179642276</v>
      </c>
      <c r="M27" s="77">
        <v>-3.2567714232712596E-4</v>
      </c>
      <c r="N27" s="77">
        <v>0.1422485952189125</v>
      </c>
      <c r="O27" s="77">
        <v>0.20741794933359289</v>
      </c>
      <c r="P27" s="77">
        <v>9.1662887772537227E-2</v>
      </c>
      <c r="Q27" s="77">
        <v>7.8213870533074659E-2</v>
      </c>
    </row>
    <row r="28" spans="2:17" x14ac:dyDescent="0.3">
      <c r="B28">
        <v>18</v>
      </c>
      <c r="C28" s="73">
        <v>44713.001626377314</v>
      </c>
      <c r="D28" s="79">
        <v>199.42622437356235</v>
      </c>
      <c r="E28" s="74">
        <f>(Crypto_Prices[[#This Row],[Price]]-$D$130)/$D$130</f>
        <v>7.6585894906716884E-2</v>
      </c>
      <c r="G28" s="66">
        <v>44713.001626377314</v>
      </c>
      <c r="H28" s="78">
        <v>0.11828372760591267</v>
      </c>
      <c r="I28" s="78">
        <v>0.12042450991720981</v>
      </c>
      <c r="J28" s="78"/>
      <c r="K28" s="78">
        <v>0.11245499742775472</v>
      </c>
      <c r="L28" s="78">
        <v>0.12145095866796969</v>
      </c>
      <c r="M28" s="78">
        <v>-1.8603629200033595E-3</v>
      </c>
      <c r="N28" s="78">
        <v>0.11104704389207622</v>
      </c>
      <c r="O28" s="78">
        <v>0.17843847424830461</v>
      </c>
      <c r="P28" s="78">
        <v>7.3007633308066269E-2</v>
      </c>
      <c r="Q28" s="78">
        <v>7.6585894906716884E-2</v>
      </c>
    </row>
    <row r="29" spans="2:17" x14ac:dyDescent="0.3">
      <c r="B29">
        <v>19</v>
      </c>
      <c r="C29" s="73">
        <v>44712.959451261573</v>
      </c>
      <c r="D29" s="79">
        <v>200.36239184391724</v>
      </c>
      <c r="E29" s="74">
        <f>(Crypto_Prices[[#This Row],[Price]]-$D$130)/$D$130</f>
        <v>8.1639717176182597E-2</v>
      </c>
      <c r="G29" s="67">
        <v>44712.959451261573</v>
      </c>
      <c r="H29" s="77">
        <v>0.11984372890908085</v>
      </c>
      <c r="I29" s="77">
        <v>0.12685703084129946</v>
      </c>
      <c r="J29" s="77"/>
      <c r="K29" s="77">
        <v>0.11952570587166751</v>
      </c>
      <c r="L29" s="77">
        <v>0.12340782547005107</v>
      </c>
      <c r="M29" s="77">
        <v>-6.5919711960950832E-4</v>
      </c>
      <c r="N29" s="77">
        <v>0.12085812355948909</v>
      </c>
      <c r="O29" s="77">
        <v>0.18945374060578349</v>
      </c>
      <c r="P29" s="77">
        <v>7.6008684736184426E-2</v>
      </c>
      <c r="Q29" s="77">
        <v>8.1639717176182597E-2</v>
      </c>
    </row>
    <row r="30" spans="2:17" x14ac:dyDescent="0.3">
      <c r="B30">
        <v>20</v>
      </c>
      <c r="C30" s="73">
        <v>44712.918911550929</v>
      </c>
      <c r="D30" s="79">
        <v>197.59609917657627</v>
      </c>
      <c r="E30" s="74">
        <f>(Crypto_Prices[[#This Row],[Price]]-$D$130)/$D$130</f>
        <v>6.670611616057831E-2</v>
      </c>
      <c r="G30" s="66">
        <v>44712.918911550929</v>
      </c>
      <c r="H30" s="78">
        <v>0.1161516036479347</v>
      </c>
      <c r="I30" s="78">
        <v>0.12272154394159784</v>
      </c>
      <c r="J30" s="78"/>
      <c r="K30" s="78">
        <v>0.10630353589292804</v>
      </c>
      <c r="L30" s="78">
        <v>0.11859699862017911</v>
      </c>
      <c r="M30" s="78">
        <v>-9.5949155836978902E-4</v>
      </c>
      <c r="N30" s="78">
        <v>0.10740150861841587</v>
      </c>
      <c r="O30" s="78">
        <v>0.16864967285990889</v>
      </c>
      <c r="P30" s="78">
        <v>6.4705997788577635E-2</v>
      </c>
      <c r="Q30" s="78">
        <v>6.670611616057831E-2</v>
      </c>
    </row>
    <row r="31" spans="2:17" x14ac:dyDescent="0.3">
      <c r="B31">
        <v>21</v>
      </c>
      <c r="C31" s="73">
        <v>44712.877353634256</v>
      </c>
      <c r="D31" s="79">
        <v>195.72673669297697</v>
      </c>
      <c r="E31" s="74">
        <f>(Crypto_Prices[[#This Row],[Price]]-$D$130)/$D$130</f>
        <v>5.6614518184271254E-2</v>
      </c>
      <c r="G31" s="67">
        <v>44712.877353634256</v>
      </c>
      <c r="H31" s="77">
        <v>0.11710744105611481</v>
      </c>
      <c r="I31" s="77">
        <v>0.1231400470040305</v>
      </c>
      <c r="J31" s="77"/>
      <c r="K31" s="77">
        <v>0.11130064173337062</v>
      </c>
      <c r="L31" s="77">
        <v>0.120649786703716</v>
      </c>
      <c r="M31" s="77">
        <v>-3.7587935775608509E-4</v>
      </c>
      <c r="N31" s="77">
        <v>0.10849473336426693</v>
      </c>
      <c r="O31" s="77">
        <v>0.16053256490184936</v>
      </c>
      <c r="P31" s="77">
        <v>6.47480522577326E-2</v>
      </c>
      <c r="Q31" s="77">
        <v>5.6614518184271254E-2</v>
      </c>
    </row>
    <row r="32" spans="2:17" x14ac:dyDescent="0.3">
      <c r="B32">
        <v>22</v>
      </c>
      <c r="C32" s="73">
        <v>44712.83363940972</v>
      </c>
      <c r="D32" s="79">
        <v>192.93415188399274</v>
      </c>
      <c r="E32" s="74">
        <f>(Crypto_Prices[[#This Row],[Price]]-$D$130)/$D$130</f>
        <v>4.1538981227549163E-2</v>
      </c>
      <c r="G32" s="66">
        <v>44712.83363940972</v>
      </c>
      <c r="H32" s="78">
        <v>0.11280854778089476</v>
      </c>
      <c r="I32" s="78">
        <v>0.11486555163305009</v>
      </c>
      <c r="J32" s="78"/>
      <c r="K32" s="78">
        <v>0.10476556626033814</v>
      </c>
      <c r="L32" s="78">
        <v>0.11418076486633262</v>
      </c>
      <c r="M32" s="78">
        <v>-1.5741736646301934E-3</v>
      </c>
      <c r="N32" s="78">
        <v>9.9668763045451997E-2</v>
      </c>
      <c r="O32" s="78">
        <v>0.13906614753878083</v>
      </c>
      <c r="P32" s="78">
        <v>6.1899116065297591E-2</v>
      </c>
      <c r="Q32" s="78">
        <v>4.1538981227549163E-2</v>
      </c>
    </row>
    <row r="33" spans="2:17" x14ac:dyDescent="0.3">
      <c r="B33">
        <v>23</v>
      </c>
      <c r="C33" s="73">
        <v>44712.792568252313</v>
      </c>
      <c r="D33" s="79">
        <v>193.02951837876404</v>
      </c>
      <c r="E33" s="74">
        <f>(Crypto_Prices[[#This Row],[Price]]-$D$130)/$D$130</f>
        <v>4.2053809322199119E-2</v>
      </c>
      <c r="G33" s="67">
        <v>44712.792568252313</v>
      </c>
      <c r="H33" s="77">
        <v>0.11294758564817443</v>
      </c>
      <c r="I33" s="77">
        <v>0.11893309447743673</v>
      </c>
      <c r="J33" s="77"/>
      <c r="K33" s="77">
        <v>0.10312683578821737</v>
      </c>
      <c r="L33" s="77">
        <v>0.11920074138912617</v>
      </c>
      <c r="M33" s="77">
        <v>9.4835713481985844E-4</v>
      </c>
      <c r="N33" s="77">
        <v>9.9354683588397774E-2</v>
      </c>
      <c r="O33" s="77">
        <v>0.1389069118965566</v>
      </c>
      <c r="P33" s="77">
        <v>6.0317767228303364E-2</v>
      </c>
      <c r="Q33" s="77">
        <v>4.2053809322199119E-2</v>
      </c>
    </row>
    <row r="34" spans="2:17" x14ac:dyDescent="0.3">
      <c r="B34">
        <v>24</v>
      </c>
      <c r="C34" s="73">
        <v>44712.752508124999</v>
      </c>
      <c r="D34" s="79">
        <v>194.2164633071516</v>
      </c>
      <c r="E34" s="74">
        <f>(Crypto_Prices[[#This Row],[Price]]-$D$130)/$D$130</f>
        <v>4.8461432852891173E-2</v>
      </c>
      <c r="G34" s="66">
        <v>44712.752508124999</v>
      </c>
      <c r="H34" s="78">
        <v>0.12700376381934386</v>
      </c>
      <c r="I34" s="78">
        <v>0.13162690827532411</v>
      </c>
      <c r="J34" s="78"/>
      <c r="K34" s="78">
        <v>0.11877344725551467</v>
      </c>
      <c r="L34" s="78">
        <v>0.12944433058452171</v>
      </c>
      <c r="M34" s="78">
        <v>-1.3556142496412363E-3</v>
      </c>
      <c r="N34" s="78">
        <v>0.11111751884731498</v>
      </c>
      <c r="O34" s="78">
        <v>0.13788243392126059</v>
      </c>
      <c r="P34" s="78">
        <v>7.53879946000999E-2</v>
      </c>
      <c r="Q34" s="78">
        <v>4.8461432852891173E-2</v>
      </c>
    </row>
    <row r="35" spans="2:17" x14ac:dyDescent="0.3">
      <c r="B35">
        <v>25</v>
      </c>
      <c r="C35" s="73">
        <v>44712.710225000003</v>
      </c>
      <c r="D35" s="79">
        <v>194.88860525027232</v>
      </c>
      <c r="E35" s="74">
        <f>(Crypto_Prices[[#This Row],[Price]]-$D$130)/$D$130</f>
        <v>5.208993526079661E-2</v>
      </c>
      <c r="G35" s="67">
        <v>44712.710225000003</v>
      </c>
      <c r="H35" s="77">
        <v>0.13207801579238132</v>
      </c>
      <c r="I35" s="77">
        <v>0.13977310524425976</v>
      </c>
      <c r="J35" s="77"/>
      <c r="K35" s="77">
        <v>0.125503757692037</v>
      </c>
      <c r="L35" s="77">
        <v>0.13482405598576255</v>
      </c>
      <c r="M35" s="77">
        <v>-1.2890230689066161E-3</v>
      </c>
      <c r="N35" s="77">
        <v>0.11307967282675632</v>
      </c>
      <c r="O35" s="77">
        <v>0.14287391773354496</v>
      </c>
      <c r="P35" s="77">
        <v>7.9112290331298935E-2</v>
      </c>
      <c r="Q35" s="77">
        <v>5.208993526079661E-2</v>
      </c>
    </row>
    <row r="36" spans="2:17" x14ac:dyDescent="0.3">
      <c r="B36">
        <v>26</v>
      </c>
      <c r="C36" s="73">
        <v>44712.668994120373</v>
      </c>
      <c r="D36" s="79">
        <v>195.21986652174681</v>
      </c>
      <c r="E36" s="74">
        <f>(Crypto_Prices[[#This Row],[Price]]-$D$130)/$D$130</f>
        <v>5.387822169864373E-2</v>
      </c>
      <c r="G36" s="66">
        <v>44712.668994120373</v>
      </c>
      <c r="H36" s="78">
        <v>0.12514583727732184</v>
      </c>
      <c r="I36" s="78">
        <v>0.14240578652442884</v>
      </c>
      <c r="J36" s="78"/>
      <c r="K36" s="78">
        <v>0.12539362159795478</v>
      </c>
      <c r="L36" s="78">
        <v>0.12616776608710797</v>
      </c>
      <c r="M36" s="78">
        <v>-1.9461583105012366E-3</v>
      </c>
      <c r="N36" s="78">
        <v>0.11502176294561949</v>
      </c>
      <c r="O36" s="78">
        <v>0.14246570265273131</v>
      </c>
      <c r="P36" s="78">
        <v>7.2345992728861983E-2</v>
      </c>
      <c r="Q36" s="78">
        <v>5.387822169864373E-2</v>
      </c>
    </row>
    <row r="37" spans="2:17" x14ac:dyDescent="0.3">
      <c r="B37">
        <v>27</v>
      </c>
      <c r="C37" s="73">
        <v>44712.626174305558</v>
      </c>
      <c r="D37" s="79">
        <v>193.7687586013966</v>
      </c>
      <c r="E37" s="74">
        <f>(Crypto_Prices[[#This Row],[Price]]-$D$130)/$D$130</f>
        <v>4.6044536214481499E-2</v>
      </c>
      <c r="G37" s="67">
        <v>44712.626174305558</v>
      </c>
      <c r="H37" s="77">
        <v>0.11361412340247244</v>
      </c>
      <c r="I37" s="77">
        <v>0.12962265701435799</v>
      </c>
      <c r="J37" s="77"/>
      <c r="K37" s="77">
        <v>0.10921732545706854</v>
      </c>
      <c r="L37" s="77">
        <v>0.11681855447411493</v>
      </c>
      <c r="M37" s="77">
        <v>-9.3019322913062209E-4</v>
      </c>
      <c r="N37" s="77">
        <v>0.10109113185707261</v>
      </c>
      <c r="O37" s="77">
        <v>0.1317617193162412</v>
      </c>
      <c r="P37" s="77">
        <v>6.2737718196996639E-2</v>
      </c>
      <c r="Q37" s="77">
        <v>4.6044536214481499E-2</v>
      </c>
    </row>
    <row r="38" spans="2:17" x14ac:dyDescent="0.3">
      <c r="B38">
        <v>28</v>
      </c>
      <c r="C38" s="73">
        <v>44712.584559641204</v>
      </c>
      <c r="D38" s="79">
        <v>195.96125211026919</v>
      </c>
      <c r="E38" s="74">
        <f>(Crypto_Prices[[#This Row],[Price]]-$D$130)/$D$130</f>
        <v>5.7880530170348006E-2</v>
      </c>
      <c r="G38" s="66">
        <v>44712.584559641204</v>
      </c>
      <c r="H38" s="78">
        <v>0.10671619235437227</v>
      </c>
      <c r="I38" s="78">
        <v>0.12355224852967542</v>
      </c>
      <c r="J38" s="78"/>
      <c r="K38" s="78">
        <v>9.9242691415715123E-2</v>
      </c>
      <c r="L38" s="78">
        <v>0.1081564099914324</v>
      </c>
      <c r="M38" s="78">
        <v>1.5539254316569383E-3</v>
      </c>
      <c r="N38" s="78">
        <v>9.5747334813179402E-2</v>
      </c>
      <c r="O38" s="78">
        <v>0.12190270010564416</v>
      </c>
      <c r="P38" s="78">
        <v>5.2882961026829094E-2</v>
      </c>
      <c r="Q38" s="78">
        <v>5.7880530170348006E-2</v>
      </c>
    </row>
    <row r="39" spans="2:17" x14ac:dyDescent="0.3">
      <c r="B39">
        <v>29</v>
      </c>
      <c r="C39" s="73">
        <v>44712.542923483794</v>
      </c>
      <c r="D39" s="79">
        <v>197.50794032181605</v>
      </c>
      <c r="E39" s="74">
        <f>(Crypto_Prices[[#This Row],[Price]]-$D$130)/$D$130</f>
        <v>6.6230197911390579E-2</v>
      </c>
      <c r="G39" s="67">
        <v>44712.542923483794</v>
      </c>
      <c r="H39" s="77">
        <v>0.10994172045545891</v>
      </c>
      <c r="I39" s="77">
        <v>0.13066129642552171</v>
      </c>
      <c r="J39" s="77"/>
      <c r="K39" s="77">
        <v>0.11911358159009613</v>
      </c>
      <c r="L39" s="77">
        <v>0.11385211689130838</v>
      </c>
      <c r="M39" s="77">
        <v>-2.0202587501705286E-3</v>
      </c>
      <c r="N39" s="77">
        <v>0.10138467344062838</v>
      </c>
      <c r="O39" s="77">
        <v>0.13304379622873494</v>
      </c>
      <c r="P39" s="77">
        <v>6.1712083921055053E-2</v>
      </c>
      <c r="Q39" s="77">
        <v>6.6230197911390579E-2</v>
      </c>
    </row>
    <row r="40" spans="2:17" x14ac:dyDescent="0.3">
      <c r="B40">
        <v>30</v>
      </c>
      <c r="C40" s="73">
        <v>44712.502526469907</v>
      </c>
      <c r="D40" s="79">
        <v>200.27100056591624</v>
      </c>
      <c r="E40" s="74">
        <f>(Crypto_Prices[[#This Row],[Price]]-$D$130)/$D$130</f>
        <v>8.1146348958825845E-2</v>
      </c>
      <c r="G40" s="66">
        <v>44712.502526469907</v>
      </c>
      <c r="H40" s="78">
        <v>0.11728453848234703</v>
      </c>
      <c r="I40" s="78">
        <v>0.14087563823080121</v>
      </c>
      <c r="J40" s="78"/>
      <c r="K40" s="78">
        <v>0.13363353710448667</v>
      </c>
      <c r="L40" s="78">
        <v>0.1211557263438902</v>
      </c>
      <c r="M40" s="78">
        <v>-6.193652680720733E-4</v>
      </c>
      <c r="N40" s="78">
        <v>0.11424839280402058</v>
      </c>
      <c r="O40" s="78">
        <v>0.15465326516803288</v>
      </c>
      <c r="P40" s="78">
        <v>7.1886905169388393E-2</v>
      </c>
      <c r="Q40" s="78">
        <v>8.1146348958825845E-2</v>
      </c>
    </row>
    <row r="41" spans="2:17" x14ac:dyDescent="0.3">
      <c r="B41">
        <v>31</v>
      </c>
      <c r="C41" s="73">
        <v>44712.460236412036</v>
      </c>
      <c r="D41" s="79">
        <v>200.60670287246316</v>
      </c>
      <c r="E41" s="74">
        <f>(Crypto_Prices[[#This Row],[Price]]-$D$130)/$D$130</f>
        <v>8.2958609955348914E-2</v>
      </c>
      <c r="G41" s="67">
        <v>44712.460236412036</v>
      </c>
      <c r="H41" s="77">
        <v>0.112554409444498</v>
      </c>
      <c r="I41" s="77">
        <v>0.13630100226118441</v>
      </c>
      <c r="J41" s="77"/>
      <c r="K41" s="77">
        <v>0.12881934036592455</v>
      </c>
      <c r="L41" s="77">
        <v>0.11691721937743083</v>
      </c>
      <c r="M41" s="77">
        <v>-1.3876418605782484E-3</v>
      </c>
      <c r="N41" s="77">
        <v>0.11112151561969362</v>
      </c>
      <c r="O41" s="77">
        <v>0.1513543796064972</v>
      </c>
      <c r="P41" s="77">
        <v>6.9427614252431477E-2</v>
      </c>
      <c r="Q41" s="77">
        <v>8.2958609955348914E-2</v>
      </c>
    </row>
    <row r="42" spans="2:17" x14ac:dyDescent="0.3">
      <c r="B42">
        <v>32</v>
      </c>
      <c r="C42" s="73">
        <v>44712.41858759259</v>
      </c>
      <c r="D42" s="79">
        <v>203.68640477585069</v>
      </c>
      <c r="E42" s="74">
        <f>(Crypto_Prices[[#This Row],[Price]]-$D$130)/$D$130</f>
        <v>9.9584124679499328E-2</v>
      </c>
      <c r="G42" s="66">
        <v>44712.41858759259</v>
      </c>
      <c r="H42" s="78">
        <v>0.10885344835354524</v>
      </c>
      <c r="I42" s="78">
        <v>0.13256976915362489</v>
      </c>
      <c r="J42" s="78"/>
      <c r="K42" s="78">
        <v>0.12345544750561548</v>
      </c>
      <c r="L42" s="78">
        <v>0.11172834556825183</v>
      </c>
      <c r="M42" s="78">
        <v>-1.0623392737133144E-3</v>
      </c>
      <c r="N42" s="78">
        <v>0.10442912985709368</v>
      </c>
      <c r="O42" s="78">
        <v>0.15088229241843049</v>
      </c>
      <c r="P42" s="78">
        <v>6.7389207127836498E-2</v>
      </c>
      <c r="Q42" s="78">
        <v>9.9584124679499328E-2</v>
      </c>
    </row>
    <row r="43" spans="2:17" x14ac:dyDescent="0.3">
      <c r="B43">
        <v>33</v>
      </c>
      <c r="C43" s="73">
        <v>44712.376310694446</v>
      </c>
      <c r="D43" s="79">
        <v>203.94998363960991</v>
      </c>
      <c r="E43" s="74">
        <f>(Crypto_Prices[[#This Row],[Price]]-$D$130)/$D$130</f>
        <v>0.10100703326541915</v>
      </c>
      <c r="G43" s="67">
        <v>44712.376310694446</v>
      </c>
      <c r="H43" s="77">
        <v>0.11300045247965483</v>
      </c>
      <c r="I43" s="77">
        <v>0.13913202717453377</v>
      </c>
      <c r="J43" s="77"/>
      <c r="K43" s="77">
        <v>0.13509970566538251</v>
      </c>
      <c r="L43" s="77">
        <v>0.1153672073650553</v>
      </c>
      <c r="M43" s="77">
        <v>-6.9613300332645167E-4</v>
      </c>
      <c r="N43" s="77">
        <v>0.11806327480982995</v>
      </c>
      <c r="O43" s="77">
        <v>0.16212740266040368</v>
      </c>
      <c r="P43" s="77">
        <v>7.7975181697760576E-2</v>
      </c>
      <c r="Q43" s="77">
        <v>0.10100703326541915</v>
      </c>
    </row>
    <row r="44" spans="2:17" x14ac:dyDescent="0.3">
      <c r="B44">
        <v>34</v>
      </c>
      <c r="C44" s="73">
        <v>44712.33524148148</v>
      </c>
      <c r="D44" s="79">
        <v>204.99955390054484</v>
      </c>
      <c r="E44" s="74">
        <f>(Crypto_Prices[[#This Row],[Price]]-$D$130)/$D$130</f>
        <v>0.10667305107318498</v>
      </c>
      <c r="G44" s="66">
        <v>44712.33524148148</v>
      </c>
      <c r="H44" s="78">
        <v>0.11026362994086604</v>
      </c>
      <c r="I44" s="78">
        <v>0.136378855417117</v>
      </c>
      <c r="J44" s="78"/>
      <c r="K44" s="78">
        <v>0.12585634170752588</v>
      </c>
      <c r="L44" s="78">
        <v>0.11266371471874589</v>
      </c>
      <c r="M44" s="78">
        <v>-6.3623938583110668E-4</v>
      </c>
      <c r="N44" s="78">
        <v>0.11461644378767225</v>
      </c>
      <c r="O44" s="78">
        <v>0.14838076168598929</v>
      </c>
      <c r="P44" s="78">
        <v>7.1538293839947947E-2</v>
      </c>
      <c r="Q44" s="78">
        <v>0.10667305107318498</v>
      </c>
    </row>
    <row r="45" spans="2:17" x14ac:dyDescent="0.3">
      <c r="B45">
        <v>35</v>
      </c>
      <c r="C45" s="73">
        <v>44712.292517291666</v>
      </c>
      <c r="D45" s="79">
        <v>203.32925198435714</v>
      </c>
      <c r="E45" s="74">
        <f>(Crypto_Prices[[#This Row],[Price]]-$D$130)/$D$130</f>
        <v>9.7656065023070879E-2</v>
      </c>
      <c r="G45" s="67">
        <v>44712.292517291666</v>
      </c>
      <c r="H45" s="77">
        <v>0.10765819868321129</v>
      </c>
      <c r="I45" s="77">
        <v>0.13355030243500854</v>
      </c>
      <c r="J45" s="77"/>
      <c r="K45" s="77">
        <v>0.12569432379771625</v>
      </c>
      <c r="L45" s="77">
        <v>0.10918736110126709</v>
      </c>
      <c r="M45" s="77">
        <v>-7.1063230457478921E-4</v>
      </c>
      <c r="N45" s="77">
        <v>0.11430869353770692</v>
      </c>
      <c r="O45" s="77">
        <v>0.1422094508756451</v>
      </c>
      <c r="P45" s="77">
        <v>6.9983025553161965E-2</v>
      </c>
      <c r="Q45" s="77">
        <v>9.7656065023070879E-2</v>
      </c>
    </row>
    <row r="46" spans="2:17" x14ac:dyDescent="0.3">
      <c r="B46">
        <v>36</v>
      </c>
      <c r="C46" s="73">
        <v>44712.251281863428</v>
      </c>
      <c r="D46" s="79">
        <v>206.04491811054081</v>
      </c>
      <c r="E46" s="74">
        <f>(Crypto_Prices[[#This Row],[Price]]-$D$130)/$D$130</f>
        <v>0.11231636286458625</v>
      </c>
      <c r="G46" s="66">
        <v>44712.251281863428</v>
      </c>
      <c r="H46" s="78">
        <v>0.11436821656434304</v>
      </c>
      <c r="I46" s="78">
        <v>0.14248857099027659</v>
      </c>
      <c r="J46" s="78"/>
      <c r="K46" s="78">
        <v>0.15645457352071412</v>
      </c>
      <c r="L46" s="78">
        <v>0.11654384941113781</v>
      </c>
      <c r="M46" s="78">
        <v>-6.8792215030891244E-4</v>
      </c>
      <c r="N46" s="78">
        <v>0.12443463355323942</v>
      </c>
      <c r="O46" s="78">
        <v>0.15361857437889259</v>
      </c>
      <c r="P46" s="78">
        <v>8.0989244474807695E-2</v>
      </c>
      <c r="Q46" s="78">
        <v>0.11231636286458625</v>
      </c>
    </row>
    <row r="47" spans="2:17" x14ac:dyDescent="0.3">
      <c r="B47">
        <v>37</v>
      </c>
      <c r="C47" s="73">
        <v>44712.210052986113</v>
      </c>
      <c r="D47" s="79">
        <v>205.50274297598042</v>
      </c>
      <c r="E47" s="74">
        <f>(Crypto_Prices[[#This Row],[Price]]-$D$130)/$D$130</f>
        <v>0.10938947546915784</v>
      </c>
      <c r="G47" s="67">
        <v>44712.210052986113</v>
      </c>
      <c r="H47" s="77">
        <v>0.11496712090774955</v>
      </c>
      <c r="I47" s="77">
        <v>0.1457184453873083</v>
      </c>
      <c r="J47" s="77"/>
      <c r="K47" s="77">
        <v>0.15252723227848244</v>
      </c>
      <c r="L47" s="77">
        <v>0.11710700023202589</v>
      </c>
      <c r="M47" s="77">
        <v>-1.0455998666667207E-3</v>
      </c>
      <c r="N47" s="77">
        <v>0.12461151555047582</v>
      </c>
      <c r="O47" s="77">
        <v>0.14748174620804227</v>
      </c>
      <c r="P47" s="77">
        <v>8.1930388957292113E-2</v>
      </c>
      <c r="Q47" s="77">
        <v>0.10938947546915784</v>
      </c>
    </row>
    <row r="48" spans="2:17" x14ac:dyDescent="0.3">
      <c r="B48">
        <v>38</v>
      </c>
      <c r="C48" s="73">
        <v>44712.168390312501</v>
      </c>
      <c r="D48" s="79">
        <v>202.24902615569337</v>
      </c>
      <c r="E48" s="74">
        <f>(Crypto_Prices[[#This Row],[Price]]-$D$130)/$D$130</f>
        <v>9.182455568117559E-2</v>
      </c>
      <c r="G48" s="66">
        <v>44712.168390312501</v>
      </c>
      <c r="H48" s="78">
        <v>0.11526135666944363</v>
      </c>
      <c r="I48" s="78">
        <v>0.14761392156456876</v>
      </c>
      <c r="J48" s="78"/>
      <c r="K48" s="78">
        <v>0.15677223635459281</v>
      </c>
      <c r="L48" s="78">
        <v>0.11818446547596086</v>
      </c>
      <c r="M48" s="78">
        <v>-2.4314967814604324E-3</v>
      </c>
      <c r="N48" s="78">
        <v>0.12272715282058402</v>
      </c>
      <c r="O48" s="78">
        <v>0.14973109798616249</v>
      </c>
      <c r="P48" s="78">
        <v>8.5858682722396953E-2</v>
      </c>
      <c r="Q48" s="78">
        <v>9.182455568117559E-2</v>
      </c>
    </row>
    <row r="49" spans="2:17" x14ac:dyDescent="0.3">
      <c r="B49">
        <v>39</v>
      </c>
      <c r="C49" s="73">
        <v>44712.126698657405</v>
      </c>
      <c r="D49" s="79">
        <v>203.80062365525905</v>
      </c>
      <c r="E49" s="74">
        <f>(Crypto_Prices[[#This Row],[Price]]-$D$130)/$D$130</f>
        <v>0.10020072580550142</v>
      </c>
      <c r="G49" s="67">
        <v>44712.126698657405</v>
      </c>
      <c r="H49" s="77">
        <v>0.1134600144069829</v>
      </c>
      <c r="I49" s="77">
        <v>0.15058024677048412</v>
      </c>
      <c r="J49" s="77"/>
      <c r="K49" s="77">
        <v>0.16399348440605233</v>
      </c>
      <c r="L49" s="77">
        <v>0.11527935753773726</v>
      </c>
      <c r="M49" s="77">
        <v>-1.0475405110846642E-3</v>
      </c>
      <c r="N49" s="77">
        <v>0.12491351174051823</v>
      </c>
      <c r="O49" s="77">
        <v>0.1388313820338781</v>
      </c>
      <c r="P49" s="77">
        <v>8.1074575614725627E-2</v>
      </c>
      <c r="Q49" s="77">
        <v>0.10020072580550142</v>
      </c>
    </row>
    <row r="50" spans="2:17" x14ac:dyDescent="0.3">
      <c r="B50">
        <v>40</v>
      </c>
      <c r="C50" s="73">
        <v>44712.085551643519</v>
      </c>
      <c r="D50" s="79">
        <v>202.77182682383119</v>
      </c>
      <c r="E50" s="74">
        <f>(Crypto_Prices[[#This Row],[Price]]-$D$130)/$D$130</f>
        <v>9.4646851630131021E-2</v>
      </c>
      <c r="G50" s="66">
        <v>44712.085551643519</v>
      </c>
      <c r="H50" s="78">
        <v>0.10954733337282627</v>
      </c>
      <c r="I50" s="78">
        <v>0.14448242401001063</v>
      </c>
      <c r="J50" s="78"/>
      <c r="K50" s="78">
        <v>0.13715401216017067</v>
      </c>
      <c r="L50" s="78">
        <v>0.11157808651789848</v>
      </c>
      <c r="M50" s="78">
        <v>-9.7063328667384757E-4</v>
      </c>
      <c r="N50" s="78">
        <v>0.1163573841897141</v>
      </c>
      <c r="O50" s="78">
        <v>0.13114386932353089</v>
      </c>
      <c r="P50" s="78">
        <v>7.8448013967845912E-2</v>
      </c>
      <c r="Q50" s="78">
        <v>9.4646851630131021E-2</v>
      </c>
    </row>
    <row r="51" spans="2:17" x14ac:dyDescent="0.3">
      <c r="B51">
        <v>41</v>
      </c>
      <c r="C51" s="73">
        <v>44712.045020439815</v>
      </c>
      <c r="D51" s="79">
        <v>203.62649688595076</v>
      </c>
      <c r="E51" s="74">
        <f>(Crypto_Prices[[#This Row],[Price]]-$D$130)/$D$130</f>
        <v>9.9260716915738637E-2</v>
      </c>
      <c r="G51" s="67">
        <v>44712.045020439815</v>
      </c>
      <c r="H51" s="77">
        <v>0.1104403455024878</v>
      </c>
      <c r="I51" s="77">
        <v>0.14836761844184956</v>
      </c>
      <c r="J51" s="77"/>
      <c r="K51" s="77">
        <v>0.13868335296720968</v>
      </c>
      <c r="L51" s="77">
        <v>0.11467387929186111</v>
      </c>
      <c r="M51" s="77">
        <v>-2.121286255536594E-4</v>
      </c>
      <c r="N51" s="77">
        <v>0.12125388511590014</v>
      </c>
      <c r="O51" s="77">
        <v>0.14024799303363414</v>
      </c>
      <c r="P51" s="77">
        <v>8.0422341036997635E-2</v>
      </c>
      <c r="Q51" s="77">
        <v>9.9260716915738637E-2</v>
      </c>
    </row>
    <row r="52" spans="2:17" x14ac:dyDescent="0.3">
      <c r="B52">
        <v>42</v>
      </c>
      <c r="C52" s="73">
        <v>44712.002025208334</v>
      </c>
      <c r="D52" s="79">
        <v>204.36193137917547</v>
      </c>
      <c r="E52" s="74">
        <f>(Crypto_Prices[[#This Row],[Price]]-$D$130)/$D$130</f>
        <v>0.10323089889416534</v>
      </c>
      <c r="G52" s="66">
        <v>44712.002025208334</v>
      </c>
      <c r="H52" s="78">
        <v>0.1157215852390934</v>
      </c>
      <c r="I52" s="78">
        <v>0.15031149726761686</v>
      </c>
      <c r="J52" s="78"/>
      <c r="K52" s="78">
        <v>0.1468600772564207</v>
      </c>
      <c r="L52" s="78">
        <v>0.11888486027374744</v>
      </c>
      <c r="M52" s="78">
        <v>-6.9420175127158626E-4</v>
      </c>
      <c r="N52" s="78">
        <v>0.12103445681102738</v>
      </c>
      <c r="O52" s="78">
        <v>0.13488980033408515</v>
      </c>
      <c r="P52" s="78">
        <v>8.915689769843177E-2</v>
      </c>
      <c r="Q52" s="78">
        <v>0.10323089889416534</v>
      </c>
    </row>
    <row r="53" spans="2:17" x14ac:dyDescent="0.3">
      <c r="B53">
        <v>43</v>
      </c>
      <c r="C53" s="73">
        <v>44711.959506840278</v>
      </c>
      <c r="D53" s="79">
        <v>205.3411499740152</v>
      </c>
      <c r="E53" s="74">
        <f>(Crypto_Prices[[#This Row],[Price]]-$D$130)/$D$130</f>
        <v>0.1085171290805228</v>
      </c>
      <c r="G53" s="67">
        <v>44711.959506840278</v>
      </c>
      <c r="H53" s="77">
        <v>0.11501944129406759</v>
      </c>
      <c r="I53" s="77">
        <v>0.15080791963378135</v>
      </c>
      <c r="J53" s="77"/>
      <c r="K53" s="77">
        <v>0.15314416670883424</v>
      </c>
      <c r="L53" s="77">
        <v>0.1194421225362292</v>
      </c>
      <c r="M53" s="77">
        <v>-6.8780034773633248E-4</v>
      </c>
      <c r="N53" s="77">
        <v>0.12103745426338294</v>
      </c>
      <c r="O53" s="77">
        <v>0.13230434909887029</v>
      </c>
      <c r="P53" s="77">
        <v>8.9936062679052339E-2</v>
      </c>
      <c r="Q53" s="77">
        <v>0.1085171290805228</v>
      </c>
    </row>
    <row r="54" spans="2:17" x14ac:dyDescent="0.3">
      <c r="B54">
        <v>44</v>
      </c>
      <c r="C54" s="73">
        <v>44711.917002164351</v>
      </c>
      <c r="D54" s="79">
        <v>206.8261719597262</v>
      </c>
      <c r="E54" s="74">
        <f>(Crypto_Prices[[#This Row],[Price]]-$D$130)/$D$130</f>
        <v>0.11653389682741683</v>
      </c>
      <c r="G54" s="66">
        <v>44711.917002164351</v>
      </c>
      <c r="H54" s="78">
        <v>0.11551841461040541</v>
      </c>
      <c r="I54" s="78">
        <v>0.14492281472318252</v>
      </c>
      <c r="J54" s="78"/>
      <c r="K54" s="78">
        <v>0.14926925289802609</v>
      </c>
      <c r="L54" s="78">
        <v>0.11348114633202738</v>
      </c>
      <c r="M54" s="78">
        <v>-9.8913035298970968E-4</v>
      </c>
      <c r="N54" s="78">
        <v>0.11703166816073304</v>
      </c>
      <c r="O54" s="78">
        <v>0.13167815803634922</v>
      </c>
      <c r="P54" s="78">
        <v>8.5288052522140126E-2</v>
      </c>
      <c r="Q54" s="78">
        <v>0.11653389682741683</v>
      </c>
    </row>
    <row r="55" spans="2:17" x14ac:dyDescent="0.3">
      <c r="B55">
        <v>45</v>
      </c>
      <c r="C55" s="73">
        <v>44711.876116053238</v>
      </c>
      <c r="D55" s="79">
        <v>205.11239926248152</v>
      </c>
      <c r="E55" s="74">
        <f>(Crypto_Prices[[#This Row],[Price]]-$D$130)/$D$130</f>
        <v>0.10728223737929034</v>
      </c>
      <c r="G55" s="67">
        <v>44711.876116053238</v>
      </c>
      <c r="H55" s="77">
        <v>9.7870682201976283E-2</v>
      </c>
      <c r="I55" s="77">
        <v>0.12137604361948111</v>
      </c>
      <c r="J55" s="77"/>
      <c r="K55" s="77">
        <v>0.13698120876306902</v>
      </c>
      <c r="L55" s="77">
        <v>9.9260234113707546E-2</v>
      </c>
      <c r="M55" s="77">
        <v>-3.7965027981610685E-4</v>
      </c>
      <c r="N55" s="77">
        <v>0.10273671923637297</v>
      </c>
      <c r="O55" s="77">
        <v>0.10817285251678069</v>
      </c>
      <c r="P55" s="77">
        <v>7.0859223820667352E-2</v>
      </c>
      <c r="Q55" s="77">
        <v>0.10728223737929034</v>
      </c>
    </row>
    <row r="56" spans="2:17" x14ac:dyDescent="0.3">
      <c r="B56">
        <v>46</v>
      </c>
      <c r="C56" s="73">
        <v>44711.834584131946</v>
      </c>
      <c r="D56" s="79">
        <v>199.5403976368047</v>
      </c>
      <c r="E56" s="74">
        <f>(Crypto_Prices[[#This Row],[Price]]-$D$130)/$D$130</f>
        <v>7.7202249777638676E-2</v>
      </c>
      <c r="G56" s="66">
        <v>44711.834584131946</v>
      </c>
      <c r="H56" s="78">
        <v>7.8255345746416169E-2</v>
      </c>
      <c r="I56" s="78">
        <v>0.10613257767960402</v>
      </c>
      <c r="J56" s="78"/>
      <c r="K56" s="78">
        <v>0.11139970846407762</v>
      </c>
      <c r="L56" s="78">
        <v>8.0205239010575718E-2</v>
      </c>
      <c r="M56" s="78">
        <v>-2.35646159877034E-4</v>
      </c>
      <c r="N56" s="78">
        <v>8.57108869108614E-2</v>
      </c>
      <c r="O56" s="78">
        <v>9.7195041535855384E-2</v>
      </c>
      <c r="P56" s="78">
        <v>5.8137254970811514E-2</v>
      </c>
      <c r="Q56" s="78">
        <v>7.7202249777638676E-2</v>
      </c>
    </row>
    <row r="57" spans="2:17" x14ac:dyDescent="0.3">
      <c r="B57">
        <v>47</v>
      </c>
      <c r="C57" s="73">
        <v>44711.79444528935</v>
      </c>
      <c r="D57" s="79">
        <v>201.68663727949462</v>
      </c>
      <c r="E57" s="74">
        <f>(Crypto_Prices[[#This Row],[Price]]-$D$130)/$D$130</f>
        <v>8.8788546081786698E-2</v>
      </c>
      <c r="G57" s="67">
        <v>44711.79444528935</v>
      </c>
      <c r="H57" s="77">
        <v>7.9526284074611597E-2</v>
      </c>
      <c r="I57" s="77">
        <v>0.10824033324534259</v>
      </c>
      <c r="J57" s="77"/>
      <c r="K57" s="77">
        <v>0.11751223997863054</v>
      </c>
      <c r="L57" s="77">
        <v>8.1548151502674165E-2</v>
      </c>
      <c r="M57" s="77">
        <v>-7.5902902363580158E-4</v>
      </c>
      <c r="N57" s="77">
        <v>8.7100765464782445E-2</v>
      </c>
      <c r="O57" s="77">
        <v>9.8857065516524012E-2</v>
      </c>
      <c r="P57" s="77">
        <v>5.5741179909091797E-2</v>
      </c>
      <c r="Q57" s="77">
        <v>8.8788546081786698E-2</v>
      </c>
    </row>
    <row r="58" spans="2:17" x14ac:dyDescent="0.3">
      <c r="B58">
        <v>48</v>
      </c>
      <c r="C58" s="73">
        <v>44711.751887465274</v>
      </c>
      <c r="D58" s="79">
        <v>202.72067735267018</v>
      </c>
      <c r="E58" s="74">
        <f>(Crypto_Prices[[#This Row],[Price]]-$D$130)/$D$130</f>
        <v>9.437072546188581E-2</v>
      </c>
      <c r="G58" s="66">
        <v>44711.751887465274</v>
      </c>
      <c r="H58" s="78">
        <v>8.0086022106447316E-2</v>
      </c>
      <c r="I58" s="78">
        <v>0.11154215588685676</v>
      </c>
      <c r="J58" s="78"/>
      <c r="K58" s="78">
        <v>0.12098917292092032</v>
      </c>
      <c r="L58" s="78">
        <v>8.2652310154000416E-2</v>
      </c>
      <c r="M58" s="78">
        <v>-1.6919191771202946E-3</v>
      </c>
      <c r="N58" s="78">
        <v>8.7321530994107985E-2</v>
      </c>
      <c r="O58" s="78">
        <v>9.9995354578193418E-2</v>
      </c>
      <c r="P58" s="78">
        <v>5.7200283387792678E-2</v>
      </c>
      <c r="Q58" s="78">
        <v>9.437072546188581E-2</v>
      </c>
    </row>
    <row r="59" spans="2:17" x14ac:dyDescent="0.3">
      <c r="B59">
        <v>49</v>
      </c>
      <c r="C59" s="73">
        <v>44711.709744375003</v>
      </c>
      <c r="D59" s="79">
        <v>199.65787957803781</v>
      </c>
      <c r="E59" s="74">
        <f>(Crypto_Prices[[#This Row],[Price]]-$D$130)/$D$130</f>
        <v>7.7836466271658564E-2</v>
      </c>
      <c r="G59" s="67">
        <v>44711.709744375003</v>
      </c>
      <c r="H59" s="77">
        <v>7.6574998149468859E-2</v>
      </c>
      <c r="I59" s="77">
        <v>0.10639336244792019</v>
      </c>
      <c r="J59" s="77"/>
      <c r="K59" s="77">
        <v>0.11725224631301348</v>
      </c>
      <c r="L59" s="77">
        <v>8.0397847169821082E-2</v>
      </c>
      <c r="M59" s="77">
        <v>-1.4016399457062463E-3</v>
      </c>
      <c r="N59" s="77">
        <v>8.1263693465068648E-2</v>
      </c>
      <c r="O59" s="77">
        <v>9.702476280450037E-2</v>
      </c>
      <c r="P59" s="77">
        <v>5.9132614231906369E-2</v>
      </c>
      <c r="Q59" s="77">
        <v>7.7836466271658564E-2</v>
      </c>
    </row>
    <row r="60" spans="2:17" x14ac:dyDescent="0.3">
      <c r="B60">
        <v>50</v>
      </c>
      <c r="C60" s="73">
        <v>44711.667513564818</v>
      </c>
      <c r="D60" s="79">
        <v>199.22765822191838</v>
      </c>
      <c r="E60" s="74">
        <f>(Crypto_Prices[[#This Row],[Price]]-$D$130)/$D$130</f>
        <v>7.5513952042947016E-2</v>
      </c>
      <c r="G60" s="66">
        <v>44711.667513564818</v>
      </c>
      <c r="H60" s="78">
        <v>7.7080357826104756E-2</v>
      </c>
      <c r="I60" s="78">
        <v>0.10239294356880586</v>
      </c>
      <c r="J60" s="78"/>
      <c r="K60" s="78">
        <v>0.11480880465399954</v>
      </c>
      <c r="L60" s="78">
        <v>8.0768479303438084E-2</v>
      </c>
      <c r="M60" s="78">
        <v>-4.0956291366442096E-4</v>
      </c>
      <c r="N60" s="78">
        <v>7.7024820668953164E-2</v>
      </c>
      <c r="O60" s="78">
        <v>9.2349795842181975E-2</v>
      </c>
      <c r="P60" s="78">
        <v>5.5936671547791084E-2</v>
      </c>
      <c r="Q60" s="78">
        <v>7.5513952042947016E-2</v>
      </c>
    </row>
    <row r="61" spans="2:17" x14ac:dyDescent="0.3">
      <c r="B61">
        <v>51</v>
      </c>
      <c r="C61" s="73">
        <v>44711.625593391203</v>
      </c>
      <c r="D61" s="79">
        <v>195.81120190252341</v>
      </c>
      <c r="E61" s="74">
        <f>(Crypto_Prices[[#This Row],[Price]]-$D$130)/$D$130</f>
        <v>5.70704965968079E-2</v>
      </c>
      <c r="G61" s="67">
        <v>44711.625593391203</v>
      </c>
      <c r="H61" s="77">
        <v>7.1027461853287913E-2</v>
      </c>
      <c r="I61" s="77">
        <v>9.367866449187269E-2</v>
      </c>
      <c r="J61" s="77"/>
      <c r="K61" s="77">
        <v>0.10303279260005606</v>
      </c>
      <c r="L61" s="77">
        <v>7.5115091581743537E-2</v>
      </c>
      <c r="M61" s="77">
        <v>-1.4337147532391472E-4</v>
      </c>
      <c r="N61" s="77">
        <v>7.6114849463139275E-2</v>
      </c>
      <c r="O61" s="77">
        <v>8.76117913556404E-2</v>
      </c>
      <c r="P61" s="77">
        <v>4.9945827079005883E-2</v>
      </c>
      <c r="Q61" s="77">
        <v>5.70704965968079E-2</v>
      </c>
    </row>
    <row r="62" spans="2:17" x14ac:dyDescent="0.3">
      <c r="B62">
        <v>52</v>
      </c>
      <c r="C62" s="73">
        <v>44711.58444766204</v>
      </c>
      <c r="D62" s="79">
        <v>194.88032799341084</v>
      </c>
      <c r="E62" s="74">
        <f>(Crypto_Prices[[#This Row],[Price]]-$D$130)/$D$130</f>
        <v>5.2045251177679774E-2</v>
      </c>
      <c r="G62" s="66">
        <v>44711.58444766204</v>
      </c>
      <c r="H62" s="78">
        <v>7.1814609053050815E-2</v>
      </c>
      <c r="I62" s="78">
        <v>8.9827561225082106E-2</v>
      </c>
      <c r="J62" s="78"/>
      <c r="K62" s="78">
        <v>0.1055918003667331</v>
      </c>
      <c r="L62" s="78">
        <v>7.4802302616778088E-2</v>
      </c>
      <c r="M62" s="78">
        <v>-1.5830020286253666E-4</v>
      </c>
      <c r="N62" s="78">
        <v>7.4613102820563035E-2</v>
      </c>
      <c r="O62" s="78">
        <v>8.4983107953990653E-2</v>
      </c>
      <c r="P62" s="78">
        <v>4.9021844729493398E-2</v>
      </c>
      <c r="Q62" s="78">
        <v>5.2045251177679774E-2</v>
      </c>
    </row>
    <row r="63" spans="2:17" x14ac:dyDescent="0.3">
      <c r="B63">
        <v>53</v>
      </c>
      <c r="C63" s="73">
        <v>44711.54422596065</v>
      </c>
      <c r="D63" s="79">
        <v>192.28551879943865</v>
      </c>
      <c r="E63" s="74">
        <f>(Crypto_Prices[[#This Row],[Price]]-$D$130)/$D$130</f>
        <v>3.8037389438433669E-2</v>
      </c>
      <c r="G63" s="67">
        <v>44711.54422596065</v>
      </c>
      <c r="H63" s="77">
        <v>7.3632534204667005E-2</v>
      </c>
      <c r="I63" s="77">
        <v>8.9038729957097773E-2</v>
      </c>
      <c r="J63" s="77"/>
      <c r="K63" s="77">
        <v>0.1071549888838589</v>
      </c>
      <c r="L63" s="77">
        <v>7.6250287675395295E-2</v>
      </c>
      <c r="M63" s="77">
        <v>-1.2507409536746092E-4</v>
      </c>
      <c r="N63" s="77">
        <v>7.4463932646520292E-2</v>
      </c>
      <c r="O63" s="77">
        <v>8.2474830362866763E-2</v>
      </c>
      <c r="P63" s="77">
        <v>4.8693278530677349E-2</v>
      </c>
      <c r="Q63" s="77">
        <v>3.8037389438433669E-2</v>
      </c>
    </row>
    <row r="64" spans="2:17" x14ac:dyDescent="0.3">
      <c r="B64">
        <v>54</v>
      </c>
      <c r="C64" s="73">
        <v>44711.502032893521</v>
      </c>
      <c r="D64" s="79">
        <v>191.44322130520035</v>
      </c>
      <c r="E64" s="74">
        <f>(Crypto_Prices[[#This Row],[Price]]-$D$130)/$D$130</f>
        <v>3.3490316432059117E-2</v>
      </c>
      <c r="G64" s="66">
        <v>44711.502032893521</v>
      </c>
      <c r="H64" s="78">
        <v>7.8757765988527906E-2</v>
      </c>
      <c r="I64" s="78">
        <v>9.7405713206377365E-2</v>
      </c>
      <c r="J64" s="78"/>
      <c r="K64" s="78">
        <v>0.11995797823386603</v>
      </c>
      <c r="L64" s="78">
        <v>8.1498632078517722E-2</v>
      </c>
      <c r="M64" s="78">
        <v>1.8049984882118303E-4</v>
      </c>
      <c r="N64" s="78">
        <v>7.0032601214842616E-2</v>
      </c>
      <c r="O64" s="78">
        <v>9.37859522637738E-2</v>
      </c>
      <c r="P64" s="78">
        <v>5.257901305446358E-2</v>
      </c>
      <c r="Q64" s="78">
        <v>3.3490316432059117E-2</v>
      </c>
    </row>
    <row r="65" spans="2:17" x14ac:dyDescent="0.3">
      <c r="B65">
        <v>55</v>
      </c>
      <c r="C65" s="73">
        <v>44711.460498217595</v>
      </c>
      <c r="D65" s="79">
        <v>189.71765125172558</v>
      </c>
      <c r="E65" s="74">
        <f>(Crypto_Prices[[#This Row],[Price]]-$D$130)/$D$130</f>
        <v>2.4174969936983811E-2</v>
      </c>
      <c r="G65" s="67">
        <v>44711.460498217595</v>
      </c>
      <c r="H65" s="77">
        <v>7.6346905561971656E-2</v>
      </c>
      <c r="I65" s="77">
        <v>9.2239002117067384E-2</v>
      </c>
      <c r="J65" s="77"/>
      <c r="K65" s="77">
        <v>0.12203470997014178</v>
      </c>
      <c r="L65" s="77">
        <v>7.9802329490996776E-2</v>
      </c>
      <c r="M65" s="77">
        <v>-1.4381296947284462E-3</v>
      </c>
      <c r="N65" s="77">
        <v>6.8122430462539241E-2</v>
      </c>
      <c r="O65" s="77">
        <v>8.8138269761412674E-2</v>
      </c>
      <c r="P65" s="77">
        <v>4.9694359412666513E-2</v>
      </c>
      <c r="Q65" s="77">
        <v>2.4174969936983811E-2</v>
      </c>
    </row>
    <row r="66" spans="2:17" x14ac:dyDescent="0.3">
      <c r="B66">
        <v>56</v>
      </c>
      <c r="C66" s="73">
        <v>44711.419574074076</v>
      </c>
      <c r="D66" s="79">
        <v>191.73663283732023</v>
      </c>
      <c r="E66" s="74">
        <f>(Crypto_Prices[[#This Row],[Price]]-$D$130)/$D$130</f>
        <v>3.5074274198273053E-2</v>
      </c>
      <c r="G66" s="66">
        <v>44711.419574074076</v>
      </c>
      <c r="H66" s="78">
        <v>7.9928568514076953E-2</v>
      </c>
      <c r="I66" s="78">
        <v>9.8889730199514275E-2</v>
      </c>
      <c r="J66" s="78"/>
      <c r="K66" s="78">
        <v>0.13180303011787181</v>
      </c>
      <c r="L66" s="78">
        <v>8.1337519533068212E-2</v>
      </c>
      <c r="M66" s="78">
        <v>-5.1135037856135125E-4</v>
      </c>
      <c r="N66" s="78">
        <v>7.8525273423391204E-2</v>
      </c>
      <c r="O66" s="78">
        <v>9.5861892577146002E-2</v>
      </c>
      <c r="P66" s="78">
        <v>5.3672869266829654E-2</v>
      </c>
      <c r="Q66" s="78">
        <v>3.5074274198273053E-2</v>
      </c>
    </row>
    <row r="67" spans="2:17" x14ac:dyDescent="0.3">
      <c r="B67">
        <v>57</v>
      </c>
      <c r="C67" s="73">
        <v>44711.378516087963</v>
      </c>
      <c r="D67" s="79">
        <v>192.7151794552621</v>
      </c>
      <c r="E67" s="74">
        <f>(Crypto_Prices[[#This Row],[Price]]-$D$130)/$D$130</f>
        <v>4.0356876773205784E-2</v>
      </c>
      <c r="G67" s="67">
        <v>44711.378516087963</v>
      </c>
      <c r="H67" s="77">
        <v>8.1100440187870659E-2</v>
      </c>
      <c r="I67" s="77">
        <v>0.10034030225005047</v>
      </c>
      <c r="J67" s="77"/>
      <c r="K67" s="77">
        <v>0.1374500434828673</v>
      </c>
      <c r="L67" s="77">
        <v>8.2757577349500178E-2</v>
      </c>
      <c r="M67" s="77">
        <v>-2.5528020617923523E-4</v>
      </c>
      <c r="N67" s="77">
        <v>8.2215558456777915E-2</v>
      </c>
      <c r="O67" s="77">
        <v>0.10073203781844049</v>
      </c>
      <c r="P67" s="77">
        <v>6.0100026791745205E-2</v>
      </c>
      <c r="Q67" s="77">
        <v>4.0356876773205784E-2</v>
      </c>
    </row>
    <row r="68" spans="2:17" x14ac:dyDescent="0.3">
      <c r="B68">
        <v>58</v>
      </c>
      <c r="C68" s="73">
        <v>44711.335019293983</v>
      </c>
      <c r="D68" s="79">
        <v>193.38714260282291</v>
      </c>
      <c r="E68" s="74">
        <f>(Crypto_Prices[[#This Row],[Price]]-$D$130)/$D$130</f>
        <v>4.3984413968143447E-2</v>
      </c>
      <c r="G68" s="66">
        <v>44711.335019293983</v>
      </c>
      <c r="H68" s="78">
        <v>7.7821160089840621E-2</v>
      </c>
      <c r="I68" s="78">
        <v>0.10089640990740689</v>
      </c>
      <c r="J68" s="78"/>
      <c r="K68" s="78">
        <v>0.14509165093533014</v>
      </c>
      <c r="L68" s="78">
        <v>8.1438580928249377E-2</v>
      </c>
      <c r="M68" s="78">
        <v>-4.85762472318659E-4</v>
      </c>
      <c r="N68" s="78">
        <v>8.4424722681016362E-2</v>
      </c>
      <c r="O68" s="78">
        <v>9.8525715102804154E-2</v>
      </c>
      <c r="P68" s="78">
        <v>5.8753396449809543E-2</v>
      </c>
      <c r="Q68" s="78">
        <v>4.3984413968143447E-2</v>
      </c>
    </row>
    <row r="69" spans="2:17" x14ac:dyDescent="0.3">
      <c r="B69">
        <v>59</v>
      </c>
      <c r="C69" s="73">
        <v>44711.292519409719</v>
      </c>
      <c r="D69" s="79">
        <v>194.17131111028678</v>
      </c>
      <c r="E69" s="74">
        <f>(Crypto_Prices[[#This Row],[Price]]-$D$130)/$D$130</f>
        <v>4.8217682471408445E-2</v>
      </c>
      <c r="G69" s="67">
        <v>44711.292519409719</v>
      </c>
      <c r="H69" s="77">
        <v>7.9419016458756306E-2</v>
      </c>
      <c r="I69" s="77">
        <v>0.10008661834416029</v>
      </c>
      <c r="J69" s="77"/>
      <c r="K69" s="77">
        <v>0.13353333748305191</v>
      </c>
      <c r="L69" s="77">
        <v>8.389262151026812E-2</v>
      </c>
      <c r="M69" s="77">
        <v>-1.2690844064126101E-3</v>
      </c>
      <c r="N69" s="77">
        <v>8.4248296885297197E-2</v>
      </c>
      <c r="O69" s="77">
        <v>9.7899503966725671E-2</v>
      </c>
      <c r="P69" s="77">
        <v>5.8212709232419606E-2</v>
      </c>
      <c r="Q69" s="77">
        <v>4.8217682471408445E-2</v>
      </c>
    </row>
    <row r="70" spans="2:17" x14ac:dyDescent="0.3">
      <c r="B70">
        <v>60</v>
      </c>
      <c r="C70" s="73">
        <v>44711.25100207176</v>
      </c>
      <c r="D70" s="79">
        <v>190.60917951250804</v>
      </c>
      <c r="E70" s="74">
        <f>(Crypto_Prices[[#This Row],[Price]]-$D$130)/$D$130</f>
        <v>2.898781114422247E-2</v>
      </c>
      <c r="G70" s="66">
        <v>44711.25100207176</v>
      </c>
      <c r="H70" s="78">
        <v>6.9803226105429647E-2</v>
      </c>
      <c r="I70" s="78">
        <v>9.1452677716607034E-2</v>
      </c>
      <c r="J70" s="78"/>
      <c r="K70" s="78">
        <v>0.12446182744917755</v>
      </c>
      <c r="L70" s="78">
        <v>6.6720127236088042E-2</v>
      </c>
      <c r="M70" s="78">
        <v>-5.732071334671684E-5</v>
      </c>
      <c r="N70" s="78">
        <v>7.4083025172513875E-2</v>
      </c>
      <c r="O70" s="78">
        <v>8.7140356998128915E-2</v>
      </c>
      <c r="P70" s="78">
        <v>4.9712705853090698E-2</v>
      </c>
      <c r="Q70" s="78">
        <v>2.898781114422247E-2</v>
      </c>
    </row>
    <row r="71" spans="2:17" x14ac:dyDescent="0.3">
      <c r="B71">
        <v>61</v>
      </c>
      <c r="C71" s="73">
        <v>44711.209144768516</v>
      </c>
      <c r="D71" s="79">
        <v>188.08586154941688</v>
      </c>
      <c r="E71" s="74">
        <f>(Crypto_Prices[[#This Row],[Price]]-$D$130)/$D$130</f>
        <v>1.5365888872154317E-2</v>
      </c>
      <c r="G71" s="67">
        <v>44711.209144768516</v>
      </c>
      <c r="H71" s="77">
        <v>6.6478348833584444E-2</v>
      </c>
      <c r="I71" s="77">
        <v>8.0645935652164477E-2</v>
      </c>
      <c r="J71" s="77"/>
      <c r="K71" s="77">
        <v>0.1099772641319593</v>
      </c>
      <c r="L71" s="77">
        <v>6.8652919435715165E-2</v>
      </c>
      <c r="M71" s="77">
        <v>-5.2269273180828189E-4</v>
      </c>
      <c r="N71" s="77">
        <v>6.2494970163875424E-2</v>
      </c>
      <c r="O71" s="77">
        <v>8.2271652837025824E-2</v>
      </c>
      <c r="P71" s="77">
        <v>4.4634162262528546E-2</v>
      </c>
      <c r="Q71" s="77">
        <v>1.5365888872154317E-2</v>
      </c>
    </row>
    <row r="72" spans="2:17" x14ac:dyDescent="0.3">
      <c r="B72">
        <v>62</v>
      </c>
      <c r="C72" s="73">
        <v>44711.168392604166</v>
      </c>
      <c r="D72" s="79">
        <v>190.22002899877688</v>
      </c>
      <c r="E72" s="74">
        <f>(Crypto_Prices[[#This Row],[Price]]-$D$130)/$D$130</f>
        <v>2.6887014444116054E-2</v>
      </c>
      <c r="G72" s="66">
        <v>44711.168392604166</v>
      </c>
      <c r="H72" s="78">
        <v>6.7113846084675438E-2</v>
      </c>
      <c r="I72" s="78">
        <v>8.3917470588117576E-2</v>
      </c>
      <c r="J72" s="78"/>
      <c r="K72" s="78">
        <v>0.11576112996637507</v>
      </c>
      <c r="L72" s="78">
        <v>6.9198404750193149E-2</v>
      </c>
      <c r="M72" s="78">
        <v>-1.0774609598340388E-3</v>
      </c>
      <c r="N72" s="78">
        <v>6.524561116001526E-2</v>
      </c>
      <c r="O72" s="78">
        <v>8.5258170623281782E-2</v>
      </c>
      <c r="P72" s="78">
        <v>5.5402496557801308E-2</v>
      </c>
      <c r="Q72" s="78">
        <v>2.6887014444116054E-2</v>
      </c>
    </row>
    <row r="73" spans="2:17" x14ac:dyDescent="0.3">
      <c r="B73">
        <v>63</v>
      </c>
      <c r="C73" s="73">
        <v>44711.126823541665</v>
      </c>
      <c r="D73" s="79">
        <v>190.31211027430334</v>
      </c>
      <c r="E73" s="74">
        <f>(Crypto_Prices[[#This Row],[Price]]-$D$130)/$D$130</f>
        <v>2.7384107555757698E-2</v>
      </c>
      <c r="G73" s="67">
        <v>44711.126823541665</v>
      </c>
      <c r="H73" s="77">
        <v>6.2366151823119456E-2</v>
      </c>
      <c r="I73" s="77">
        <v>8.1623502150039426E-2</v>
      </c>
      <c r="J73" s="77"/>
      <c r="K73" s="77">
        <v>0.12578934675597914</v>
      </c>
      <c r="L73" s="77">
        <v>6.4033705797201509E-2</v>
      </c>
      <c r="M73" s="77">
        <v>-3.0938924394128642E-4</v>
      </c>
      <c r="N73" s="77">
        <v>7.3479160417413883E-2</v>
      </c>
      <c r="O73" s="77">
        <v>9.6045267975573737E-2</v>
      </c>
      <c r="P73" s="77">
        <v>5.2221355839184663E-2</v>
      </c>
      <c r="Q73" s="77">
        <v>2.7384107555757698E-2</v>
      </c>
    </row>
    <row r="74" spans="2:17" x14ac:dyDescent="0.3">
      <c r="B74">
        <v>64</v>
      </c>
      <c r="C74" s="73">
        <v>44711.085680439814</v>
      </c>
      <c r="D74" s="79">
        <v>187.14172233393873</v>
      </c>
      <c r="E74" s="74">
        <f>(Crypto_Prices[[#This Row],[Price]]-$D$130)/$D$130</f>
        <v>1.0269031799294778E-2</v>
      </c>
      <c r="G74" s="66">
        <v>44711.085680439814</v>
      </c>
      <c r="H74" s="78">
        <v>4.3649182585897846E-2</v>
      </c>
      <c r="I74" s="78">
        <v>6.1415276273560152E-2</v>
      </c>
      <c r="J74" s="78"/>
      <c r="K74" s="78">
        <v>0.11040481051610315</v>
      </c>
      <c r="L74" s="78">
        <v>4.6406984793317965E-2</v>
      </c>
      <c r="M74" s="78">
        <v>-5.2100847594854414E-4</v>
      </c>
      <c r="N74" s="78">
        <v>5.1634014583860625E-2</v>
      </c>
      <c r="O74" s="78">
        <v>8.6175182531699673E-2</v>
      </c>
      <c r="P74" s="78">
        <v>4.848204996302382E-2</v>
      </c>
      <c r="Q74" s="78">
        <v>1.0269031799294778E-2</v>
      </c>
    </row>
    <row r="75" spans="2:17" x14ac:dyDescent="0.3">
      <c r="B75">
        <v>65</v>
      </c>
      <c r="C75" s="73">
        <v>44711.043305925923</v>
      </c>
      <c r="D75" s="79">
        <v>184.28459878964117</v>
      </c>
      <c r="E75" s="74">
        <f>(Crypto_Prices[[#This Row],[Price]]-$D$130)/$D$130</f>
        <v>-5.1549121552116276E-3</v>
      </c>
      <c r="G75" s="67">
        <v>44711.043305925923</v>
      </c>
      <c r="H75" s="77">
        <v>3.2044808089608016E-2</v>
      </c>
      <c r="I75" s="77">
        <v>4.156703839189952E-2</v>
      </c>
      <c r="J75" s="77"/>
      <c r="K75" s="77">
        <v>8.046058378101005E-2</v>
      </c>
      <c r="L75" s="77">
        <v>3.460089995111245E-2</v>
      </c>
      <c r="M75" s="77">
        <v>7.736757062998942E-5</v>
      </c>
      <c r="N75" s="77">
        <v>2.8934351336544106E-2</v>
      </c>
      <c r="O75" s="77">
        <v>7.142890768689121E-2</v>
      </c>
      <c r="P75" s="77">
        <v>2.0408283479684958E-2</v>
      </c>
      <c r="Q75" s="77">
        <v>-5.1549121552116276E-3</v>
      </c>
    </row>
    <row r="76" spans="2:17" x14ac:dyDescent="0.3">
      <c r="B76">
        <v>66</v>
      </c>
      <c r="C76" s="73">
        <v>44711.00258763889</v>
      </c>
      <c r="D76" s="79">
        <v>186.30696198615814</v>
      </c>
      <c r="E76" s="74">
        <f>(Crypto_Prices[[#This Row],[Price]]-$D$130)/$D$130</f>
        <v>5.7626474515442491E-3</v>
      </c>
      <c r="G76" s="66">
        <v>44711.00258763889</v>
      </c>
      <c r="H76" s="78">
        <v>3.6687057405544496E-2</v>
      </c>
      <c r="I76" s="78">
        <v>4.6023264087823083E-2</v>
      </c>
      <c r="J76" s="78"/>
      <c r="K76" s="78">
        <v>9.182564812773128E-2</v>
      </c>
      <c r="L76" s="78">
        <v>3.9509593837856065E-2</v>
      </c>
      <c r="M76" s="78">
        <v>-8.1822914475325741E-4</v>
      </c>
      <c r="N76" s="78">
        <v>3.4876613215560619E-2</v>
      </c>
      <c r="O76" s="78">
        <v>7.5533203437335661E-2</v>
      </c>
      <c r="P76" s="78">
        <v>2.5070257335380267E-2</v>
      </c>
      <c r="Q76" s="78">
        <v>5.7626474515442491E-3</v>
      </c>
    </row>
    <row r="77" spans="2:17" x14ac:dyDescent="0.3">
      <c r="B77">
        <v>67</v>
      </c>
      <c r="C77" s="73">
        <v>44710.958720266201</v>
      </c>
      <c r="D77" s="79">
        <v>187.5792338147844</v>
      </c>
      <c r="E77" s="74">
        <f>(Crypto_Prices[[#This Row],[Price]]-$D$130)/$D$130</f>
        <v>1.2630901160346784E-2</v>
      </c>
      <c r="G77" s="67">
        <v>44710.958720266201</v>
      </c>
      <c r="H77" s="77">
        <v>3.6095398694655251E-2</v>
      </c>
      <c r="I77" s="77">
        <v>4.6400694905906668E-2</v>
      </c>
      <c r="J77" s="77"/>
      <c r="K77" s="77">
        <v>9.1920769000355618E-2</v>
      </c>
      <c r="L77" s="77">
        <v>3.777586558840592E-2</v>
      </c>
      <c r="M77" s="77">
        <v>4.171487388609838E-5</v>
      </c>
      <c r="N77" s="77">
        <v>3.4538108608917241E-2</v>
      </c>
      <c r="O77" s="77">
        <v>7.1591455265879067E-2</v>
      </c>
      <c r="P77" s="77">
        <v>2.2259343888079264E-2</v>
      </c>
      <c r="Q77" s="77">
        <v>1.2630901160346784E-2</v>
      </c>
    </row>
    <row r="78" spans="2:17" x14ac:dyDescent="0.3">
      <c r="B78">
        <v>68</v>
      </c>
      <c r="C78" s="73">
        <v>44710.917072719909</v>
      </c>
      <c r="D78" s="79">
        <v>186.22684344984526</v>
      </c>
      <c r="E78" s="74">
        <f>(Crypto_Prices[[#This Row],[Price]]-$D$130)/$D$130</f>
        <v>5.3301341931402367E-3</v>
      </c>
      <c r="G78" s="66">
        <v>44710.917072719909</v>
      </c>
      <c r="H78" s="78">
        <v>2.864157763834909E-2</v>
      </c>
      <c r="I78" s="78">
        <v>4.0912665878083863E-2</v>
      </c>
      <c r="J78" s="78"/>
      <c r="K78" s="78">
        <v>8.667773357347211E-2</v>
      </c>
      <c r="L78" s="78">
        <v>3.1116643034055435E-2</v>
      </c>
      <c r="M78" s="78">
        <v>5.0048783668751385E-4</v>
      </c>
      <c r="N78" s="78">
        <v>2.4245572045979758E-2</v>
      </c>
      <c r="O78" s="78">
        <v>6.4315095069490791E-2</v>
      </c>
      <c r="P78" s="78">
        <v>1.7218043192695483E-2</v>
      </c>
      <c r="Q78" s="78">
        <v>5.3301341931402367E-3</v>
      </c>
    </row>
    <row r="79" spans="2:17" x14ac:dyDescent="0.3">
      <c r="B79">
        <v>69</v>
      </c>
      <c r="C79" s="73">
        <v>44710.875985254628</v>
      </c>
      <c r="D79" s="79">
        <v>184.89732270084579</v>
      </c>
      <c r="E79" s="74">
        <f>(Crypto_Prices[[#This Row],[Price]]-$D$130)/$D$130</f>
        <v>-1.8471730534607531E-3</v>
      </c>
      <c r="G79" s="67">
        <v>44710.875985254628</v>
      </c>
      <c r="H79" s="77">
        <v>2.5792724636334627E-2</v>
      </c>
      <c r="I79" s="77">
        <v>3.5221009356211336E-2</v>
      </c>
      <c r="J79" s="77"/>
      <c r="K79" s="77">
        <v>7.596063493114695E-2</v>
      </c>
      <c r="L79" s="77">
        <v>2.9524062647744643E-2</v>
      </c>
      <c r="M79" s="77">
        <v>-6.0101954204354823E-4</v>
      </c>
      <c r="N79" s="77">
        <v>2.3164938723420996E-2</v>
      </c>
      <c r="O79" s="77">
        <v>6.3784037921084474E-2</v>
      </c>
      <c r="P79" s="77">
        <v>1.5355790462208984E-2</v>
      </c>
      <c r="Q79" s="77">
        <v>-1.8471730534607531E-3</v>
      </c>
    </row>
    <row r="80" spans="2:17" x14ac:dyDescent="0.3">
      <c r="B80">
        <v>70</v>
      </c>
      <c r="C80" s="73">
        <v>44710.834938414351</v>
      </c>
      <c r="D80" s="79">
        <v>181.7144282625768</v>
      </c>
      <c r="E80" s="74">
        <f>(Crypto_Prices[[#This Row],[Price]]-$D$130)/$D$130</f>
        <v>-1.9029764099253516E-2</v>
      </c>
      <c r="G80" s="66">
        <v>44710.834938414351</v>
      </c>
      <c r="H80" s="78">
        <v>2.4586030905450407E-2</v>
      </c>
      <c r="I80" s="78">
        <v>3.1260272026591741E-2</v>
      </c>
      <c r="J80" s="78"/>
      <c r="K80" s="78">
        <v>7.5545017710724374E-2</v>
      </c>
      <c r="L80" s="78">
        <v>2.7340232372706417E-2</v>
      </c>
      <c r="M80" s="78">
        <v>4.5037098412352123E-5</v>
      </c>
      <c r="N80" s="78">
        <v>2.1562825406533152E-2</v>
      </c>
      <c r="O80" s="78">
        <v>6.0667533100517805E-2</v>
      </c>
      <c r="P80" s="78">
        <v>9.4315967827507292E-3</v>
      </c>
      <c r="Q80" s="78">
        <v>-1.9029764099253516E-2</v>
      </c>
    </row>
    <row r="81" spans="2:17" x14ac:dyDescent="0.3">
      <c r="B81">
        <v>71</v>
      </c>
      <c r="C81" s="73">
        <v>44710.794689050927</v>
      </c>
      <c r="D81" s="79">
        <v>183.21400451223647</v>
      </c>
      <c r="E81" s="74">
        <f>(Crypto_Prices[[#This Row],[Price]]-$D$130)/$D$130</f>
        <v>-1.093442636826083E-2</v>
      </c>
      <c r="G81" s="67">
        <v>44710.794689050927</v>
      </c>
      <c r="H81" s="77">
        <v>2.7058995531598257E-2</v>
      </c>
      <c r="I81" s="77">
        <v>3.639681568228241E-2</v>
      </c>
      <c r="J81" s="77"/>
      <c r="K81" s="77">
        <v>8.4561396035429989E-2</v>
      </c>
      <c r="L81" s="77">
        <v>3.0071941719447975E-2</v>
      </c>
      <c r="M81" s="77">
        <v>-3.0254345359043405E-4</v>
      </c>
      <c r="N81" s="77">
        <v>1.977342422478431E-2</v>
      </c>
      <c r="O81" s="77">
        <v>6.3712159556668965E-2</v>
      </c>
      <c r="P81" s="77">
        <v>1.0261879304845001E-2</v>
      </c>
      <c r="Q81" s="77">
        <v>-1.093442636826083E-2</v>
      </c>
    </row>
    <row r="82" spans="2:17" x14ac:dyDescent="0.3">
      <c r="B82">
        <v>72</v>
      </c>
      <c r="C82" s="73">
        <v>44710.750652349539</v>
      </c>
      <c r="D82" s="79">
        <v>184.82700883853096</v>
      </c>
      <c r="E82" s="74">
        <f>(Crypto_Prices[[#This Row],[Price]]-$D$130)/$D$130</f>
        <v>-2.2267565943032276E-3</v>
      </c>
      <c r="G82" s="66">
        <v>44710.750652349539</v>
      </c>
      <c r="H82" s="78">
        <v>2.9379734676320698E-2</v>
      </c>
      <c r="I82" s="78">
        <v>3.9013884833378455E-2</v>
      </c>
      <c r="J82" s="78"/>
      <c r="K82" s="78">
        <v>8.4199043735127668E-2</v>
      </c>
      <c r="L82" s="78">
        <v>3.1447067399636985E-2</v>
      </c>
      <c r="M82" s="78">
        <v>1.1810410882953904E-3</v>
      </c>
      <c r="N82" s="78">
        <v>3.5245348662960412E-2</v>
      </c>
      <c r="O82" s="78">
        <v>5.4829765514223236E-2</v>
      </c>
      <c r="P82" s="78">
        <v>1.2872040938954204E-2</v>
      </c>
      <c r="Q82" s="78">
        <v>-2.2267565943032276E-3</v>
      </c>
    </row>
    <row r="83" spans="2:17" x14ac:dyDescent="0.3">
      <c r="B83">
        <v>73</v>
      </c>
      <c r="C83" s="73">
        <v>44710.710095659721</v>
      </c>
      <c r="D83" s="79">
        <v>184.4433695372864</v>
      </c>
      <c r="E83" s="74">
        <f>(Crypto_Prices[[#This Row],[Price]]-$D$130)/$D$130</f>
        <v>-4.2978014719222031E-3</v>
      </c>
      <c r="G83" s="67">
        <v>44710.710095659721</v>
      </c>
      <c r="H83" s="77">
        <v>3.026545880480213E-2</v>
      </c>
      <c r="I83" s="77">
        <v>4.0660175680811698E-2</v>
      </c>
      <c r="J83" s="77"/>
      <c r="K83" s="77">
        <v>9.2153885528114599E-2</v>
      </c>
      <c r="L83" s="77">
        <v>3.246754025469073E-2</v>
      </c>
      <c r="M83" s="77">
        <v>-2.2785709751020213E-4</v>
      </c>
      <c r="N83" s="77">
        <v>3.4520609673110804E-2</v>
      </c>
      <c r="O83" s="77">
        <v>5.1596297593008995E-2</v>
      </c>
      <c r="P83" s="77">
        <v>1.3737606050410958E-2</v>
      </c>
      <c r="Q83" s="77">
        <v>-4.2978014719222031E-3</v>
      </c>
    </row>
    <row r="84" spans="2:17" x14ac:dyDescent="0.3">
      <c r="B84">
        <v>74</v>
      </c>
      <c r="C84" s="73">
        <v>44710.66855736111</v>
      </c>
      <c r="D84" s="79">
        <v>178.83304615598843</v>
      </c>
      <c r="E84" s="74">
        <f>(Crypto_Prices[[#This Row],[Price]]-$D$130)/$D$130</f>
        <v>-3.4584665885785473E-2</v>
      </c>
      <c r="G84" s="66">
        <v>44710.66855736111</v>
      </c>
      <c r="H84" s="78">
        <v>2.8487607510081777E-2</v>
      </c>
      <c r="I84" s="78">
        <v>3.7146378818503585E-2</v>
      </c>
      <c r="J84" s="78"/>
      <c r="K84" s="78">
        <v>8.794168532673359E-2</v>
      </c>
      <c r="L84" s="78">
        <v>3.1316735460769726E-2</v>
      </c>
      <c r="M84" s="78">
        <v>3.9504481018752633E-4</v>
      </c>
      <c r="N84" s="78">
        <v>3.0230104504491113E-2</v>
      </c>
      <c r="O84" s="78">
        <v>4.8720556404651338E-2</v>
      </c>
      <c r="P84" s="78">
        <v>9.7018013385643479E-3</v>
      </c>
      <c r="Q84" s="78">
        <v>-3.4584665885785473E-2</v>
      </c>
    </row>
    <row r="85" spans="2:17" x14ac:dyDescent="0.3">
      <c r="B85">
        <v>75</v>
      </c>
      <c r="C85" s="73">
        <v>44710.626899675925</v>
      </c>
      <c r="D85" s="79">
        <v>177.51561842567031</v>
      </c>
      <c r="E85" s="74">
        <f>(Crypto_Prices[[#This Row],[Price]]-$D$130)/$D$130</f>
        <v>-4.1696689976271531E-2</v>
      </c>
      <c r="G85" s="67">
        <v>44710.626899675925</v>
      </c>
      <c r="H85" s="77">
        <v>3.1938252715524876E-2</v>
      </c>
      <c r="I85" s="77">
        <v>4.3334436764206334E-2</v>
      </c>
      <c r="J85" s="77"/>
      <c r="K85" s="77">
        <v>9.0866034422936864E-2</v>
      </c>
      <c r="L85" s="77">
        <v>3.4736071445000898E-2</v>
      </c>
      <c r="M85" s="77">
        <v>-2.4950241604978921E-4</v>
      </c>
      <c r="N85" s="77">
        <v>3.7318481026784582E-2</v>
      </c>
      <c r="O85" s="77">
        <v>5.2801169998626073E-2</v>
      </c>
      <c r="P85" s="77">
        <v>1.8510461510598143E-2</v>
      </c>
      <c r="Q85" s="77">
        <v>-4.1696689976271531E-2</v>
      </c>
    </row>
    <row r="86" spans="2:17" x14ac:dyDescent="0.3">
      <c r="B86">
        <v>76</v>
      </c>
      <c r="C86" s="73">
        <v>44710.584955636572</v>
      </c>
      <c r="D86" s="79">
        <v>176.74715766223039</v>
      </c>
      <c r="E86" s="74">
        <f>(Crypto_Prices[[#This Row],[Price]]-$D$130)/$D$130</f>
        <v>-4.5845161529134863E-2</v>
      </c>
      <c r="G86" s="66">
        <v>44710.584955636572</v>
      </c>
      <c r="H86" s="78">
        <v>3.2829595369210117E-2</v>
      </c>
      <c r="I86" s="78">
        <v>4.5408957268835544E-2</v>
      </c>
      <c r="J86" s="78"/>
      <c r="K86" s="78">
        <v>9.2443602600570773E-2</v>
      </c>
      <c r="L86" s="78">
        <v>3.5246068835280454E-2</v>
      </c>
      <c r="M86" s="78">
        <v>3.0369328273045228E-4</v>
      </c>
      <c r="N86" s="78">
        <v>4.1702865222572758E-2</v>
      </c>
      <c r="O86" s="78">
        <v>5.1605283553597441E-2</v>
      </c>
      <c r="P86" s="78">
        <v>1.7764266247263003E-2</v>
      </c>
      <c r="Q86" s="78">
        <v>-4.5845161529134863E-2</v>
      </c>
    </row>
    <row r="87" spans="2:17" x14ac:dyDescent="0.3">
      <c r="B87">
        <v>77</v>
      </c>
      <c r="C87" s="73">
        <v>44710.542140543985</v>
      </c>
      <c r="D87" s="79">
        <v>175.60257898616652</v>
      </c>
      <c r="E87" s="74">
        <f>(Crypto_Prices[[#This Row],[Price]]-$D$130)/$D$130</f>
        <v>-5.2024074368366882E-2</v>
      </c>
      <c r="G87" s="67">
        <v>44710.542140543985</v>
      </c>
      <c r="H87" s="77">
        <v>3.2551660817945673E-2</v>
      </c>
      <c r="I87" s="77">
        <v>4.4899097501365982E-2</v>
      </c>
      <c r="J87" s="77"/>
      <c r="K87" s="77">
        <v>9.2154326201527303E-2</v>
      </c>
      <c r="L87" s="77">
        <v>3.6213310976516991E-2</v>
      </c>
      <c r="M87" s="77">
        <v>-1.1992113526166669E-3</v>
      </c>
      <c r="N87" s="77">
        <v>3.9636422147499399E-2</v>
      </c>
      <c r="O87" s="77">
        <v>5.6258595027531499E-2</v>
      </c>
      <c r="P87" s="77">
        <v>1.9815387991759463E-2</v>
      </c>
      <c r="Q87" s="77">
        <v>-5.2024074368366882E-2</v>
      </c>
    </row>
    <row r="88" spans="2:17" x14ac:dyDescent="0.3">
      <c r="B88">
        <v>78</v>
      </c>
      <c r="C88" s="73">
        <v>44710.500337013887</v>
      </c>
      <c r="D88" s="79">
        <v>176.08772390187852</v>
      </c>
      <c r="E88" s="74">
        <f>(Crypto_Prices[[#This Row],[Price]]-$D$130)/$D$130</f>
        <v>-4.9405059868734773E-2</v>
      </c>
      <c r="G88" s="66">
        <v>44710.500337013887</v>
      </c>
      <c r="H88" s="78">
        <v>2.8267268723557747E-2</v>
      </c>
      <c r="I88" s="78">
        <v>3.8401895922180629E-2</v>
      </c>
      <c r="J88" s="78"/>
      <c r="K88" s="78">
        <v>6.9772925980291195E-2</v>
      </c>
      <c r="L88" s="78">
        <v>3.2153177852266394E-2</v>
      </c>
      <c r="M88" s="78">
        <v>3.7713115215291614E-4</v>
      </c>
      <c r="N88" s="78">
        <v>2.940927033535895E-2</v>
      </c>
      <c r="O88" s="78">
        <v>4.2574405565701648E-2</v>
      </c>
      <c r="P88" s="78">
        <v>1.0429404575630203E-2</v>
      </c>
      <c r="Q88" s="78">
        <v>-4.9405059868734773E-2</v>
      </c>
    </row>
    <row r="89" spans="2:17" x14ac:dyDescent="0.3">
      <c r="B89">
        <v>79</v>
      </c>
      <c r="C89" s="73">
        <v>44710.460543854169</v>
      </c>
      <c r="D89" s="79">
        <v>174.65770412397296</v>
      </c>
      <c r="E89" s="74">
        <f>(Crypto_Prices[[#This Row],[Price]]-$D$130)/$D$130</f>
        <v>-5.7124902768868682E-2</v>
      </c>
      <c r="G89" s="67">
        <v>44710.460543854169</v>
      </c>
      <c r="H89" s="77">
        <v>2.5462585857356855E-2</v>
      </c>
      <c r="I89" s="77">
        <v>3.4658999450494013E-2</v>
      </c>
      <c r="J89" s="77"/>
      <c r="K89" s="77">
        <v>5.3292264640750021E-2</v>
      </c>
      <c r="L89" s="77">
        <v>2.8338938505261941E-2</v>
      </c>
      <c r="M89" s="77">
        <v>2.6274392775819689E-4</v>
      </c>
      <c r="N89" s="77">
        <v>2.3224955367369769E-2</v>
      </c>
      <c r="O89" s="77">
        <v>4.1543069148465769E-2</v>
      </c>
      <c r="P89" s="77">
        <v>6.5182607339826833E-3</v>
      </c>
      <c r="Q89" s="77">
        <v>-5.7124902768868682E-2</v>
      </c>
    </row>
    <row r="90" spans="2:17" x14ac:dyDescent="0.3">
      <c r="B90">
        <v>80</v>
      </c>
      <c r="C90" s="73">
        <v>44710.417141874997</v>
      </c>
      <c r="D90" s="79">
        <v>173.16097772275828</v>
      </c>
      <c r="E90" s="74">
        <f>(Crypto_Prices[[#This Row],[Price]]-$D$130)/$D$130</f>
        <v>-6.5204855829925773E-2</v>
      </c>
      <c r="G90" s="66">
        <v>44710.417141874997</v>
      </c>
      <c r="H90" s="78">
        <v>2.0460018399181955E-2</v>
      </c>
      <c r="I90" s="78">
        <v>2.645931977078789E-2</v>
      </c>
      <c r="J90" s="78"/>
      <c r="K90" s="78">
        <v>3.3105356544352385E-2</v>
      </c>
      <c r="L90" s="78">
        <v>2.4122066022457703E-2</v>
      </c>
      <c r="M90" s="78">
        <v>-5.9483937251832251E-4</v>
      </c>
      <c r="N90" s="78">
        <v>1.7154255141345727E-2</v>
      </c>
      <c r="O90" s="78">
        <v>3.609428445752217E-2</v>
      </c>
      <c r="P90" s="78">
        <v>7.4962754939876498E-4</v>
      </c>
      <c r="Q90" s="78">
        <v>-6.5204855829925773E-2</v>
      </c>
    </row>
    <row r="91" spans="2:17" x14ac:dyDescent="0.3">
      <c r="B91">
        <v>81</v>
      </c>
      <c r="C91" s="73">
        <v>44710.376426168979</v>
      </c>
      <c r="D91" s="79">
        <v>173.76566289678843</v>
      </c>
      <c r="E91" s="74">
        <f>(Crypto_Prices[[#This Row],[Price]]-$D$130)/$D$130</f>
        <v>-6.1940513182588489E-2</v>
      </c>
      <c r="G91" s="67">
        <v>44710.376426168979</v>
      </c>
      <c r="H91" s="77">
        <v>2.3902176009744015E-2</v>
      </c>
      <c r="I91" s="77">
        <v>3.113288725438268E-2</v>
      </c>
      <c r="J91" s="77"/>
      <c r="K91" s="77">
        <v>4.4989051266048012E-2</v>
      </c>
      <c r="L91" s="77">
        <v>2.5774871709724319E-2</v>
      </c>
      <c r="M91" s="77">
        <v>3.4097691890332398E-4</v>
      </c>
      <c r="N91" s="77">
        <v>1.9250592818755612E-2</v>
      </c>
      <c r="O91" s="77">
        <v>4.4227565994190414E-2</v>
      </c>
      <c r="P91" s="77">
        <v>5.582995147710333E-3</v>
      </c>
      <c r="Q91" s="77">
        <v>-6.1940513182588489E-2</v>
      </c>
    </row>
    <row r="92" spans="2:17" x14ac:dyDescent="0.3">
      <c r="B92">
        <v>82</v>
      </c>
      <c r="C92" s="73">
        <v>44710.334313946762</v>
      </c>
      <c r="D92" s="79">
        <v>171.99588895250213</v>
      </c>
      <c r="E92" s="74">
        <f>(Crypto_Prices[[#This Row],[Price]]-$D$130)/$D$130</f>
        <v>-7.1494490707746106E-2</v>
      </c>
      <c r="G92" s="66">
        <v>44710.334313946762</v>
      </c>
      <c r="H92" s="78">
        <v>2.0562803855470071E-2</v>
      </c>
      <c r="I92" s="78">
        <v>2.9003767726173482E-2</v>
      </c>
      <c r="J92" s="78"/>
      <c r="K92" s="78">
        <v>3.0669113890134315E-2</v>
      </c>
      <c r="L92" s="78">
        <v>2.4230466414852641E-2</v>
      </c>
      <c r="M92" s="78">
        <v>1.0055572332799787E-4</v>
      </c>
      <c r="N92" s="78">
        <v>1.6333416113663062E-2</v>
      </c>
      <c r="O92" s="78">
        <v>3.9750206842414017E-2</v>
      </c>
      <c r="P92" s="78">
        <v>1.0369157050313701E-3</v>
      </c>
      <c r="Q92" s="78">
        <v>-7.1494490707746106E-2</v>
      </c>
    </row>
    <row r="93" spans="2:17" x14ac:dyDescent="0.3">
      <c r="B93">
        <v>83</v>
      </c>
      <c r="C93" s="73">
        <v>44710.294285706019</v>
      </c>
      <c r="D93" s="79">
        <v>171.75989879615429</v>
      </c>
      <c r="E93" s="74">
        <f>(Crypto_Prices[[#This Row],[Price]]-$D$130)/$D$130</f>
        <v>-7.2768463950026452E-2</v>
      </c>
      <c r="G93" s="67">
        <v>44710.294285706019</v>
      </c>
      <c r="H93" s="77">
        <v>2.2312747980378161E-2</v>
      </c>
      <c r="I93" s="77">
        <v>2.8981781257921155E-2</v>
      </c>
      <c r="J93" s="77"/>
      <c r="K93" s="77">
        <v>3.4370035931023113E-2</v>
      </c>
      <c r="L93" s="77">
        <v>2.5433943829422045E-2</v>
      </c>
      <c r="M93" s="77">
        <v>5.9259052806947589E-4</v>
      </c>
      <c r="N93" s="77">
        <v>1.6355227655884121E-2</v>
      </c>
      <c r="O93" s="77">
        <v>3.8083531220189724E-2</v>
      </c>
      <c r="P93" s="77">
        <v>5.0462793593527688E-3</v>
      </c>
      <c r="Q93" s="77">
        <v>-7.2768463950026452E-2</v>
      </c>
    </row>
    <row r="94" spans="2:17" x14ac:dyDescent="0.3">
      <c r="B94">
        <v>84</v>
      </c>
      <c r="C94" s="73">
        <v>44710.25095159722</v>
      </c>
      <c r="D94" s="79">
        <v>171.54046841742164</v>
      </c>
      <c r="E94" s="74">
        <f>(Crypto_Prices[[#This Row],[Price]]-$D$130)/$D$130</f>
        <v>-7.3953040609388468E-2</v>
      </c>
      <c r="G94" s="66">
        <v>44710.25095159722</v>
      </c>
      <c r="H94" s="78">
        <v>2.1409508787643541E-2</v>
      </c>
      <c r="I94" s="78">
        <v>2.8302523191789986E-2</v>
      </c>
      <c r="J94" s="78"/>
      <c r="K94" s="78">
        <v>3.0210190733063171E-2</v>
      </c>
      <c r="L94" s="78">
        <v>2.4203754945593996E-2</v>
      </c>
      <c r="M94" s="78">
        <v>4.0223012311593753E-4</v>
      </c>
      <c r="N94" s="78">
        <v>1.4415203897655854E-2</v>
      </c>
      <c r="O94" s="78">
        <v>2.8697235859048067E-2</v>
      </c>
      <c r="P94" s="78">
        <v>5.869424405619157E-3</v>
      </c>
      <c r="Q94" s="78">
        <v>-7.3953040609388468E-2</v>
      </c>
    </row>
    <row r="95" spans="2:17" x14ac:dyDescent="0.3">
      <c r="B95">
        <v>85</v>
      </c>
      <c r="C95" s="73">
        <v>44710.2094300463</v>
      </c>
      <c r="D95" s="79">
        <v>171.31363303336963</v>
      </c>
      <c r="E95" s="74">
        <f>(Crypto_Prices[[#This Row],[Price]]-$D$130)/$D$130</f>
        <v>-7.5177592574423385E-2</v>
      </c>
      <c r="G95" s="67">
        <v>44710.2094300463</v>
      </c>
      <c r="H95" s="77">
        <v>1.9391803335757962E-2</v>
      </c>
      <c r="I95" s="77">
        <v>2.4955894789107969E-2</v>
      </c>
      <c r="J95" s="77"/>
      <c r="K95" s="77">
        <v>2.1920174975877928E-2</v>
      </c>
      <c r="L95" s="77">
        <v>2.1699018097059972E-2</v>
      </c>
      <c r="M95" s="77">
        <v>4.262069868104929E-4</v>
      </c>
      <c r="N95" s="77">
        <v>9.618065374233568E-3</v>
      </c>
      <c r="O95" s="77">
        <v>2.7755537191534754E-2</v>
      </c>
      <c r="P95" s="77">
        <v>-2.0158887325121581E-3</v>
      </c>
      <c r="Q95" s="77">
        <v>-7.5177592574423385E-2</v>
      </c>
    </row>
    <row r="96" spans="2:17" x14ac:dyDescent="0.3">
      <c r="B96">
        <v>86</v>
      </c>
      <c r="C96" s="73">
        <v>44710.166782256943</v>
      </c>
      <c r="D96" s="79">
        <v>171.49873440215706</v>
      </c>
      <c r="E96" s="74">
        <f>(Crypto_Prices[[#This Row],[Price]]-$D$130)/$D$130</f>
        <v>-7.4178338221639828E-2</v>
      </c>
      <c r="G96" s="66">
        <v>44710.166782256943</v>
      </c>
      <c r="H96" s="78">
        <v>1.9786967332465405E-2</v>
      </c>
      <c r="I96" s="78">
        <v>2.5335015552170922E-2</v>
      </c>
      <c r="J96" s="78"/>
      <c r="K96" s="78">
        <v>3.2448459623517625E-2</v>
      </c>
      <c r="L96" s="78">
        <v>2.3331195316268219E-2</v>
      </c>
      <c r="M96" s="78">
        <v>1.138841403355208E-4</v>
      </c>
      <c r="N96" s="78">
        <v>1.0761808494551564E-2</v>
      </c>
      <c r="O96" s="78">
        <v>2.5004158554766166E-2</v>
      </c>
      <c r="P96" s="78">
        <v>1.8148333986329952E-3</v>
      </c>
      <c r="Q96" s="78">
        <v>-7.4178338221639828E-2</v>
      </c>
    </row>
    <row r="97" spans="2:17" x14ac:dyDescent="0.3">
      <c r="B97">
        <v>87</v>
      </c>
      <c r="C97" s="73">
        <v>44710.126497349534</v>
      </c>
      <c r="D97" s="79">
        <v>169.67601317563569</v>
      </c>
      <c r="E97" s="74">
        <f>(Crypto_Prices[[#This Row],[Price]]-$D$130)/$D$130</f>
        <v>-8.4018147248682298E-2</v>
      </c>
      <c r="G97" s="67">
        <v>44710.126497349534</v>
      </c>
      <c r="H97" s="77">
        <v>1.7378754154837715E-2</v>
      </c>
      <c r="I97" s="77">
        <v>2.097181111565679E-2</v>
      </c>
      <c r="J97" s="77"/>
      <c r="K97" s="77">
        <v>3.1475077888368008E-2</v>
      </c>
      <c r="L97" s="77">
        <v>2.030176069719496E-2</v>
      </c>
      <c r="M97" s="77">
        <v>9.0422075286008261E-4</v>
      </c>
      <c r="N97" s="77">
        <v>9.390450831940466E-3</v>
      </c>
      <c r="O97" s="77">
        <v>2.185361545156847E-2</v>
      </c>
      <c r="P97" s="77">
        <v>-4.4778819843895095E-3</v>
      </c>
      <c r="Q97" s="77">
        <v>-8.4018147248682298E-2</v>
      </c>
    </row>
    <row r="98" spans="2:17" x14ac:dyDescent="0.3">
      <c r="B98">
        <v>88</v>
      </c>
      <c r="C98" s="73">
        <v>44710.083924583334</v>
      </c>
      <c r="D98" s="79">
        <v>171.69267662256959</v>
      </c>
      <c r="E98" s="74">
        <f>(Crypto_Prices[[#This Row],[Price]]-$D$130)/$D$130</f>
        <v>-7.3131357266256983E-2</v>
      </c>
      <c r="G98" s="66">
        <v>44710.083924583334</v>
      </c>
      <c r="H98" s="78">
        <v>1.8162086020779029E-2</v>
      </c>
      <c r="I98" s="78">
        <v>2.5250666000311835E-2</v>
      </c>
      <c r="J98" s="78"/>
      <c r="K98" s="78">
        <v>5.0520260447937643E-2</v>
      </c>
      <c r="L98" s="78">
        <v>2.0183998780536838E-2</v>
      </c>
      <c r="M98" s="78">
        <v>4.2870836078867533E-4</v>
      </c>
      <c r="N98" s="78">
        <v>1.4883705344547901E-2</v>
      </c>
      <c r="O98" s="78">
        <v>3.6690712386252801E-2</v>
      </c>
      <c r="P98" s="78">
        <v>-1.4884133419155777E-3</v>
      </c>
      <c r="Q98" s="78">
        <v>-7.3131357266256983E-2</v>
      </c>
    </row>
    <row r="99" spans="2:17" x14ac:dyDescent="0.3">
      <c r="B99">
        <v>89</v>
      </c>
      <c r="C99" s="73">
        <v>44710.047424548611</v>
      </c>
      <c r="D99" s="79">
        <v>175.05143532031704</v>
      </c>
      <c r="E99" s="74">
        <f>(Crypto_Prices[[#This Row],[Price]]-$D$130)/$D$130</f>
        <v>-5.4999377634447219E-2</v>
      </c>
      <c r="G99" s="67">
        <v>44710.047424548611</v>
      </c>
      <c r="H99" s="77">
        <v>2.0813563990306917E-2</v>
      </c>
      <c r="I99" s="77">
        <v>3.3476437709103579E-2</v>
      </c>
      <c r="J99" s="77"/>
      <c r="K99" s="77">
        <v>7.1748292685788154E-2</v>
      </c>
      <c r="L99" s="77">
        <v>2.2697278603456991E-2</v>
      </c>
      <c r="M99" s="77">
        <v>-4.9164262457009977E-4</v>
      </c>
      <c r="N99" s="77">
        <v>2.4730643523946362E-2</v>
      </c>
      <c r="O99" s="77">
        <v>3.8605321745578423E-2</v>
      </c>
      <c r="P99" s="77">
        <v>9.94515164909026E-3</v>
      </c>
      <c r="Q99" s="77">
        <v>-5.4999377634447219E-2</v>
      </c>
    </row>
    <row r="100" spans="2:17" x14ac:dyDescent="0.3">
      <c r="B100">
        <v>90</v>
      </c>
      <c r="C100" s="73">
        <v>44710.001210335649</v>
      </c>
      <c r="D100" s="79">
        <v>176.32371503398221</v>
      </c>
      <c r="E100" s="74">
        <f>(Crypto_Prices[[#This Row],[Price]]-$D$130)/$D$130</f>
        <v>-4.8131081358917568E-2</v>
      </c>
      <c r="G100" s="66">
        <v>44710.001210335649</v>
      </c>
      <c r="H100" s="78">
        <v>2.2476730225396136E-2</v>
      </c>
      <c r="I100" s="78">
        <v>3.5666977324203666E-2</v>
      </c>
      <c r="J100" s="78"/>
      <c r="K100" s="78">
        <v>7.9305426749059452E-2</v>
      </c>
      <c r="L100" s="78">
        <v>2.5577013001285242E-2</v>
      </c>
      <c r="M100" s="78">
        <v>3.6881206058589377E-4</v>
      </c>
      <c r="N100" s="78">
        <v>2.4413273998678285E-2</v>
      </c>
      <c r="O100" s="78">
        <v>3.8381554762118721E-2</v>
      </c>
      <c r="P100" s="78">
        <v>1.0753118722655016E-2</v>
      </c>
      <c r="Q100" s="78">
        <v>-4.8131081358917568E-2</v>
      </c>
    </row>
    <row r="101" spans="2:17" x14ac:dyDescent="0.3">
      <c r="B101">
        <v>91</v>
      </c>
      <c r="C101" s="73">
        <v>44709.960327997687</v>
      </c>
      <c r="D101" s="79">
        <v>175.24680751053455</v>
      </c>
      <c r="E101" s="74">
        <f>(Crypto_Prices[[#This Row],[Price]]-$D$130)/$D$130</f>
        <v>-5.3944677105938948E-2</v>
      </c>
      <c r="G101" s="67">
        <v>44709.960327997687</v>
      </c>
      <c r="H101" s="77">
        <v>2.0033676934829846E-2</v>
      </c>
      <c r="I101" s="77">
        <v>2.9890324055644811E-2</v>
      </c>
      <c r="J101" s="77"/>
      <c r="K101" s="77">
        <v>7.3499435387012479E-2</v>
      </c>
      <c r="L101" s="77">
        <v>2.3602460880383175E-2</v>
      </c>
      <c r="M101" s="77">
        <v>-8.4528932731214943E-4</v>
      </c>
      <c r="N101" s="77">
        <v>1.7131489142747387E-2</v>
      </c>
      <c r="O101" s="77">
        <v>3.262855778881199E-2</v>
      </c>
      <c r="P101" s="77">
        <v>7.473583575436241E-3</v>
      </c>
      <c r="Q101" s="77">
        <v>-5.3944677105938948E-2</v>
      </c>
    </row>
    <row r="102" spans="2:17" x14ac:dyDescent="0.3">
      <c r="B102">
        <v>92</v>
      </c>
      <c r="C102" s="73">
        <v>44709.918714131942</v>
      </c>
      <c r="D102" s="79">
        <v>175.88270394142265</v>
      </c>
      <c r="E102" s="74">
        <f>(Crypto_Prices[[#This Row],[Price]]-$D$130)/$D$130</f>
        <v>-5.0511843082900583E-2</v>
      </c>
      <c r="G102" s="66">
        <v>44709.918714131942</v>
      </c>
      <c r="H102" s="78">
        <v>2.1550565026679843E-2</v>
      </c>
      <c r="I102" s="78">
        <v>3.040910849376624E-2</v>
      </c>
      <c r="J102" s="78"/>
      <c r="K102" s="78">
        <v>7.0545783617003241E-2</v>
      </c>
      <c r="L102" s="78">
        <v>2.4066758353965559E-2</v>
      </c>
      <c r="M102" s="78">
        <v>2.5355113738776233E-4</v>
      </c>
      <c r="N102" s="78">
        <v>2.2910407138941463E-2</v>
      </c>
      <c r="O102" s="78">
        <v>3.1790803824248447E-2</v>
      </c>
      <c r="P102" s="78">
        <v>9.5212958631043128E-3</v>
      </c>
      <c r="Q102" s="78">
        <v>-5.0511843082900583E-2</v>
      </c>
    </row>
    <row r="103" spans="2:17" x14ac:dyDescent="0.3">
      <c r="B103">
        <v>93</v>
      </c>
      <c r="C103" s="73">
        <v>44709.875583356479</v>
      </c>
      <c r="D103" s="79">
        <v>177.45060954899427</v>
      </c>
      <c r="E103" s="74">
        <f>(Crypto_Prices[[#This Row],[Price]]-$D$130)/$D$130</f>
        <v>-4.204763499312178E-2</v>
      </c>
      <c r="G103" s="67">
        <v>44709.875583356479</v>
      </c>
      <c r="H103" s="77">
        <v>1.9773657822500422E-2</v>
      </c>
      <c r="I103" s="77">
        <v>3.2619315762923394E-2</v>
      </c>
      <c r="J103" s="77"/>
      <c r="K103" s="77">
        <v>7.4380037084809308E-2</v>
      </c>
      <c r="L103" s="77">
        <v>2.4124172391479327E-2</v>
      </c>
      <c r="M103" s="77">
        <v>-8.8522869327241447E-4</v>
      </c>
      <c r="N103" s="77">
        <v>2.3249276957702129E-2</v>
      </c>
      <c r="O103" s="77">
        <v>3.2054743238123698E-2</v>
      </c>
      <c r="P103" s="77">
        <v>1.2078311781251934E-2</v>
      </c>
      <c r="Q103" s="77">
        <v>-4.204763499312178E-2</v>
      </c>
    </row>
    <row r="104" spans="2:17" x14ac:dyDescent="0.3">
      <c r="B104">
        <v>94</v>
      </c>
      <c r="C104" s="73">
        <v>44709.835246516202</v>
      </c>
      <c r="D104" s="79">
        <v>178.43702444335054</v>
      </c>
      <c r="E104" s="74">
        <f>(Crypto_Prices[[#This Row],[Price]]-$D$130)/$D$130</f>
        <v>-3.6722556182019118E-2</v>
      </c>
      <c r="G104" s="66">
        <v>44709.835246516202</v>
      </c>
      <c r="H104" s="78">
        <v>2.074376147186351E-2</v>
      </c>
      <c r="I104" s="78">
        <v>3.4678485414208253E-2</v>
      </c>
      <c r="J104" s="78"/>
      <c r="K104" s="78">
        <v>7.9152230300110635E-2</v>
      </c>
      <c r="L104" s="78">
        <v>2.4645601036816227E-2</v>
      </c>
      <c r="M104" s="78">
        <v>-5.9051422206883749E-4</v>
      </c>
      <c r="N104" s="78">
        <v>2.7567182187386928E-2</v>
      </c>
      <c r="O104" s="78">
        <v>3.8215529447074716E-2</v>
      </c>
      <c r="P104" s="78">
        <v>1.3635114539332169E-2</v>
      </c>
      <c r="Q104" s="78">
        <v>-3.6722556182019118E-2</v>
      </c>
    </row>
    <row r="105" spans="2:17" x14ac:dyDescent="0.3">
      <c r="B105">
        <v>95</v>
      </c>
      <c r="C105" s="73">
        <v>44709.792750624998</v>
      </c>
      <c r="D105" s="79">
        <v>179.42990892190815</v>
      </c>
      <c r="E105" s="74">
        <f>(Crypto_Prices[[#This Row],[Price]]-$D$130)/$D$130</f>
        <v>-3.1362551858391943E-2</v>
      </c>
      <c r="G105" s="67">
        <v>44709.792750624998</v>
      </c>
      <c r="H105" s="77">
        <v>1.9509259408538388E-2</v>
      </c>
      <c r="I105" s="77">
        <v>3.064421024910095E-2</v>
      </c>
      <c r="J105" s="77"/>
      <c r="K105" s="77">
        <v>5.9279222290450212E-2</v>
      </c>
      <c r="L105" s="77">
        <v>2.2693819123880622E-2</v>
      </c>
      <c r="M105" s="77">
        <v>-9.9373295766848362E-5</v>
      </c>
      <c r="N105" s="77">
        <v>2.7759502179143202E-2</v>
      </c>
      <c r="O105" s="77">
        <v>3.3846958849829904E-2</v>
      </c>
      <c r="P105" s="77">
        <v>1.2719622376957201E-2</v>
      </c>
      <c r="Q105" s="77">
        <v>-3.1362551858391943E-2</v>
      </c>
    </row>
    <row r="106" spans="2:17" x14ac:dyDescent="0.3">
      <c r="B106">
        <v>96</v>
      </c>
      <c r="C106" s="73">
        <v>44709.752531516206</v>
      </c>
      <c r="D106" s="79">
        <v>178.41276098627691</v>
      </c>
      <c r="E106" s="74">
        <f>(Crypto_Prices[[#This Row],[Price]]-$D$130)/$D$130</f>
        <v>-3.6853540438122841E-2</v>
      </c>
      <c r="G106" s="66">
        <v>44709.752531516206</v>
      </c>
      <c r="H106" s="78">
        <v>1.5805219395664035E-2</v>
      </c>
      <c r="I106" s="78">
        <v>2.3110831163659799E-2</v>
      </c>
      <c r="J106" s="78"/>
      <c r="K106" s="78">
        <v>4.2923294711917748E-2</v>
      </c>
      <c r="L106" s="78">
        <v>1.9451377613767466E-2</v>
      </c>
      <c r="M106" s="78">
        <v>-3.9474374536806731E-4</v>
      </c>
      <c r="N106" s="78">
        <v>2.0521800207000826E-2</v>
      </c>
      <c r="O106" s="78">
        <v>2.9456547934432455E-2</v>
      </c>
      <c r="P106" s="78">
        <v>6.8439886431180775E-3</v>
      </c>
      <c r="Q106" s="78">
        <v>-3.6853540438122841E-2</v>
      </c>
    </row>
    <row r="107" spans="2:17" x14ac:dyDescent="0.3">
      <c r="B107">
        <v>97</v>
      </c>
      <c r="C107" s="73">
        <v>44709.710525659721</v>
      </c>
      <c r="D107" s="79">
        <v>179.32850021301988</v>
      </c>
      <c r="E107" s="74">
        <f>(Crypto_Prices[[#This Row],[Price]]-$D$130)/$D$130</f>
        <v>-3.1909998343691237E-2</v>
      </c>
      <c r="G107" s="67">
        <v>44709.710525659721</v>
      </c>
      <c r="H107" s="77">
        <v>1.8730558758131219E-2</v>
      </c>
      <c r="I107" s="77">
        <v>3.1436146173636201E-2</v>
      </c>
      <c r="J107" s="77"/>
      <c r="K107" s="77">
        <v>4.6884558438592343E-2</v>
      </c>
      <c r="L107" s="77">
        <v>1.3256883270879673E-2</v>
      </c>
      <c r="M107" s="77">
        <v>-3.176023734003407E-4</v>
      </c>
      <c r="N107" s="77">
        <v>2.7873435155382313E-2</v>
      </c>
      <c r="O107" s="77">
        <v>3.0731937827603559E-2</v>
      </c>
      <c r="P107" s="77">
        <v>9.6752419221817626E-3</v>
      </c>
      <c r="Q107" s="77">
        <v>-3.1909998343691237E-2</v>
      </c>
    </row>
    <row r="108" spans="2:17" x14ac:dyDescent="0.3">
      <c r="B108">
        <v>98</v>
      </c>
      <c r="C108" s="73">
        <v>44709.667585694442</v>
      </c>
      <c r="D108" s="79">
        <v>179.69342488374207</v>
      </c>
      <c r="E108" s="74">
        <f>(Crypto_Prices[[#This Row],[Price]]-$D$130)/$D$130</f>
        <v>-2.9939982843287121E-2</v>
      </c>
      <c r="G108" s="66">
        <v>44709.667585694442</v>
      </c>
      <c r="H108" s="78">
        <v>2.0678344681784352E-2</v>
      </c>
      <c r="I108" s="78">
        <v>3.5992115712666764E-2</v>
      </c>
      <c r="J108" s="78"/>
      <c r="K108" s="78">
        <v>4.6081325599165696E-2</v>
      </c>
      <c r="L108" s="78">
        <v>2.3664949988247964E-2</v>
      </c>
      <c r="M108" s="78">
        <v>-2.8235368079341952E-4</v>
      </c>
      <c r="N108" s="78">
        <v>2.8473085033908822E-2</v>
      </c>
      <c r="O108" s="78">
        <v>3.6493989062025466E-2</v>
      </c>
      <c r="P108" s="78">
        <v>1.4793114580151812E-2</v>
      </c>
      <c r="Q108" s="78">
        <v>-2.9939982843287121E-2</v>
      </c>
    </row>
    <row r="109" spans="2:17" x14ac:dyDescent="0.3">
      <c r="B109">
        <v>99</v>
      </c>
      <c r="C109" s="73">
        <v>44709.626843634258</v>
      </c>
      <c r="D109" s="79">
        <v>177.18845483082453</v>
      </c>
      <c r="E109" s="74">
        <f>(Crypto_Prices[[#This Row],[Price]]-$D$130)/$D$130</f>
        <v>-4.3462855447459391E-2</v>
      </c>
      <c r="G109" s="67">
        <v>44709.626843634258</v>
      </c>
      <c r="H109" s="77">
        <v>1.9604167077463309E-2</v>
      </c>
      <c r="I109" s="77">
        <v>2.8260872406734281E-2</v>
      </c>
      <c r="J109" s="77"/>
      <c r="K109" s="77">
        <v>2.1272686447468658E-2</v>
      </c>
      <c r="L109" s="77">
        <v>2.2389487773367189E-2</v>
      </c>
      <c r="M109" s="77">
        <v>1.0521472384200173E-3</v>
      </c>
      <c r="N109" s="77">
        <v>2.7095975085060175E-2</v>
      </c>
      <c r="O109" s="77">
        <v>2.7957381284353603E-2</v>
      </c>
      <c r="P109" s="77">
        <v>1.3322760589669878E-2</v>
      </c>
      <c r="Q109" s="77">
        <v>-4.3462855447459391E-2</v>
      </c>
    </row>
    <row r="110" spans="2:17" x14ac:dyDescent="0.3">
      <c r="B110">
        <v>100</v>
      </c>
      <c r="C110" s="73">
        <v>44709.585927766202</v>
      </c>
      <c r="D110" s="79">
        <v>178.92786056750754</v>
      </c>
      <c r="E110" s="74">
        <f>(Crypto_Prices[[#This Row],[Price]]-$D$130)/$D$130</f>
        <v>-3.4072818166680348E-2</v>
      </c>
      <c r="G110" s="66">
        <v>44709.585927766202</v>
      </c>
      <c r="H110" s="78">
        <v>2.2699759778755324E-2</v>
      </c>
      <c r="I110" s="78">
        <v>3.106951730454071E-2</v>
      </c>
      <c r="J110" s="78"/>
      <c r="K110" s="78">
        <v>2.6103068365891952E-2</v>
      </c>
      <c r="L110" s="78">
        <v>2.3414347775872559E-2</v>
      </c>
      <c r="M110" s="78">
        <v>-3.4128121850297778E-4</v>
      </c>
      <c r="N110" s="78">
        <v>3.3075242978418233E-2</v>
      </c>
      <c r="O110" s="78">
        <v>3.317349642466072E-2</v>
      </c>
      <c r="P110" s="78">
        <v>2.0405622638449097E-2</v>
      </c>
      <c r="Q110" s="78">
        <v>-3.4072818166680348E-2</v>
      </c>
    </row>
    <row r="111" spans="2:17" x14ac:dyDescent="0.3">
      <c r="B111">
        <v>101</v>
      </c>
      <c r="C111" s="73">
        <v>44709.541945497687</v>
      </c>
      <c r="D111" s="79">
        <v>177.29668008705164</v>
      </c>
      <c r="E111" s="74">
        <f>(Crypto_Prices[[#This Row],[Price]]-$D$130)/$D$130</f>
        <v>-4.287861039797921E-2</v>
      </c>
      <c r="G111" s="67">
        <v>44709.541945497687</v>
      </c>
      <c r="H111" s="77">
        <v>1.9162919584644882E-2</v>
      </c>
      <c r="I111" s="77">
        <v>3.1429300089083345E-2</v>
      </c>
      <c r="J111" s="77"/>
      <c r="K111" s="77">
        <v>2.3152598542147816E-2</v>
      </c>
      <c r="L111" s="77">
        <v>2.16396830685225E-2</v>
      </c>
      <c r="M111" s="77">
        <v>-2.3558148115538724E-4</v>
      </c>
      <c r="N111" s="77">
        <v>3.2595340181836976E-2</v>
      </c>
      <c r="O111" s="77">
        <v>2.8599276547572747E-2</v>
      </c>
      <c r="P111" s="77">
        <v>1.5202213628578288E-2</v>
      </c>
      <c r="Q111" s="77">
        <v>-4.287861039797921E-2</v>
      </c>
    </row>
    <row r="112" spans="2:17" x14ac:dyDescent="0.3">
      <c r="B112">
        <v>102</v>
      </c>
      <c r="C112" s="73">
        <v>44709.501135069448</v>
      </c>
      <c r="D112" s="79">
        <v>177.48312155628446</v>
      </c>
      <c r="E112" s="74">
        <f>(Crypto_Prices[[#This Row],[Price]]-$D$130)/$D$130</f>
        <v>-4.1872121624337531E-2</v>
      </c>
      <c r="G112" s="66">
        <v>44709.501135069448</v>
      </c>
      <c r="H112" s="78">
        <v>1.5083773168937741E-2</v>
      </c>
      <c r="I112" s="78">
        <v>2.3571761499135355E-2</v>
      </c>
      <c r="J112" s="78"/>
      <c r="K112" s="78">
        <v>1.1457664251058685E-2</v>
      </c>
      <c r="L112" s="78">
        <v>1.7204784386668007E-2</v>
      </c>
      <c r="M112" s="78">
        <v>-1.3627643127541437E-4</v>
      </c>
      <c r="N112" s="78">
        <v>2.4447387067727595E-2</v>
      </c>
      <c r="O112" s="78">
        <v>2.3827482681153481E-2</v>
      </c>
      <c r="P112" s="78">
        <v>7.5298489147690899E-3</v>
      </c>
      <c r="Q112" s="78">
        <v>-4.1872121624337531E-2</v>
      </c>
    </row>
    <row r="113" spans="2:17" x14ac:dyDescent="0.3">
      <c r="B113">
        <v>103</v>
      </c>
      <c r="C113" s="73">
        <v>44709.460050671296</v>
      </c>
      <c r="D113" s="79">
        <v>178.55860897865784</v>
      </c>
      <c r="E113" s="74">
        <f>(Crypto_Prices[[#This Row],[Price]]-$D$130)/$D$130</f>
        <v>-3.6066192174919222E-2</v>
      </c>
      <c r="G113" s="67">
        <v>44709.460050671296</v>
      </c>
      <c r="H113" s="77">
        <v>1.3523096339620453E-2</v>
      </c>
      <c r="I113" s="77">
        <v>1.531919135170241E-2</v>
      </c>
      <c r="J113" s="77"/>
      <c r="K113" s="77">
        <v>7.169417979126136E-3</v>
      </c>
      <c r="L113" s="77">
        <v>1.741221320487283E-2</v>
      </c>
      <c r="M113" s="77">
        <v>-1.7706732607166825E-4</v>
      </c>
      <c r="N113" s="77">
        <v>1.5573810680189606E-2</v>
      </c>
      <c r="O113" s="77">
        <v>2.3593960022804204E-2</v>
      </c>
      <c r="P113" s="77">
        <v>4.43214393533874E-3</v>
      </c>
      <c r="Q113" s="77">
        <v>-3.6066192174919222E-2</v>
      </c>
    </row>
    <row r="114" spans="2:17" x14ac:dyDescent="0.3">
      <c r="B114">
        <v>104</v>
      </c>
      <c r="C114" s="73">
        <v>44709.417074999998</v>
      </c>
      <c r="D114" s="79">
        <v>178.44880473278005</v>
      </c>
      <c r="E114" s="74">
        <f>(Crypto_Prices[[#This Row],[Price]]-$D$130)/$D$130</f>
        <v>-3.6658961268774548E-2</v>
      </c>
      <c r="G114" s="66">
        <v>44709.417074999998</v>
      </c>
      <c r="H114" s="78">
        <v>1.336922136110168E-2</v>
      </c>
      <c r="I114" s="78">
        <v>1.3152538205331866E-2</v>
      </c>
      <c r="J114" s="78"/>
      <c r="K114" s="78">
        <v>6.5561255940902339E-3</v>
      </c>
      <c r="L114" s="78">
        <v>1.5604512661797782E-2</v>
      </c>
      <c r="M114" s="78">
        <v>-4.4328757306369247E-4</v>
      </c>
      <c r="N114" s="78">
        <v>1.4429739367774549E-2</v>
      </c>
      <c r="O114" s="78">
        <v>2.1932309046954823E-2</v>
      </c>
      <c r="P114" s="78">
        <v>7.8737855368861218E-3</v>
      </c>
      <c r="Q114" s="78">
        <v>-3.6658961268774548E-2</v>
      </c>
    </row>
    <row r="115" spans="2:17" x14ac:dyDescent="0.3">
      <c r="B115">
        <v>105</v>
      </c>
      <c r="C115" s="73">
        <v>44709.377482071759</v>
      </c>
      <c r="D115" s="79">
        <v>178.89156858136883</v>
      </c>
      <c r="E115" s="74">
        <f>(Crypto_Prices[[#This Row],[Price]]-$D$130)/$D$130</f>
        <v>-3.4268737437066245E-2</v>
      </c>
      <c r="G115" s="67">
        <v>44709.377482071759</v>
      </c>
      <c r="H115" s="77">
        <v>1.4547335914910397E-2</v>
      </c>
      <c r="I115" s="77">
        <v>1.5433263799172167E-2</v>
      </c>
      <c r="J115" s="77"/>
      <c r="K115" s="77">
        <v>1.0113823563301698E-2</v>
      </c>
      <c r="L115" s="77">
        <v>1.7711141734382586E-2</v>
      </c>
      <c r="M115" s="77">
        <v>-6.6269078633761239E-4</v>
      </c>
      <c r="N115" s="77">
        <v>1.2229946217416519E-2</v>
      </c>
      <c r="O115" s="77">
        <v>2.1656054639267914E-2</v>
      </c>
      <c r="P115" s="77">
        <v>7.6799476874971316E-3</v>
      </c>
      <c r="Q115" s="77">
        <v>-3.4268737437066245E-2</v>
      </c>
    </row>
    <row r="116" spans="2:17" x14ac:dyDescent="0.3">
      <c r="B116">
        <v>106</v>
      </c>
      <c r="C116" s="73">
        <v>44709.334706307869</v>
      </c>
      <c r="D116" s="79">
        <v>180.06616526521978</v>
      </c>
      <c r="E116" s="74">
        <f>(Crypto_Prices[[#This Row],[Price]]-$D$130)/$D$130</f>
        <v>-2.7927774878052977E-2</v>
      </c>
      <c r="G116" s="66">
        <v>44709.334706307869</v>
      </c>
      <c r="H116" s="78">
        <v>1.5697622014006329E-2</v>
      </c>
      <c r="I116" s="78">
        <v>1.8077428914920108E-2</v>
      </c>
      <c r="J116" s="78"/>
      <c r="K116" s="78">
        <v>1.5217783045867711E-2</v>
      </c>
      <c r="L116" s="78">
        <v>1.8109671800365813E-2</v>
      </c>
      <c r="M116" s="78">
        <v>-3.9683158427046436E-4</v>
      </c>
      <c r="N116" s="78">
        <v>1.2352667280102703E-2</v>
      </c>
      <c r="O116" s="78">
        <v>2.1940423448522556E-2</v>
      </c>
      <c r="P116" s="78">
        <v>8.144636954991567E-3</v>
      </c>
      <c r="Q116" s="78">
        <v>-2.7927774878052977E-2</v>
      </c>
    </row>
    <row r="117" spans="2:17" x14ac:dyDescent="0.3">
      <c r="B117">
        <v>107</v>
      </c>
      <c r="C117" s="73">
        <v>44709.292821909723</v>
      </c>
      <c r="D117" s="79">
        <v>180.27913819379003</v>
      </c>
      <c r="E117" s="74">
        <f>(Crypto_Prices[[#This Row],[Price]]-$D$130)/$D$130</f>
        <v>-2.6778058226614908E-2</v>
      </c>
      <c r="G117" s="67">
        <v>44709.292821909723</v>
      </c>
      <c r="H117" s="77">
        <v>1.5441913826924083E-2</v>
      </c>
      <c r="I117" s="77">
        <v>1.9725702961881492E-2</v>
      </c>
      <c r="J117" s="77"/>
      <c r="K117" s="77">
        <v>1.878494591323706E-2</v>
      </c>
      <c r="L117" s="77">
        <v>1.6974403794341439E-2</v>
      </c>
      <c r="M117" s="77">
        <v>-1.8821693941636504E-4</v>
      </c>
      <c r="N117" s="77">
        <v>1.5694599086176961E-2</v>
      </c>
      <c r="O117" s="77">
        <v>2.3170124389374904E-2</v>
      </c>
      <c r="P117" s="77">
        <v>1.251249458101274E-2</v>
      </c>
      <c r="Q117" s="77">
        <v>-2.6778058226614908E-2</v>
      </c>
    </row>
    <row r="118" spans="2:17" x14ac:dyDescent="0.3">
      <c r="B118">
        <v>108</v>
      </c>
      <c r="C118" s="73">
        <v>44709.251242754632</v>
      </c>
      <c r="D118" s="79">
        <v>180.42754883378214</v>
      </c>
      <c r="E118" s="74">
        <f>(Crypto_Prices[[#This Row],[Price]]-$D$130)/$D$130</f>
        <v>-2.5976875723303355E-2</v>
      </c>
      <c r="G118" s="66">
        <v>44709.251242754632</v>
      </c>
      <c r="H118" s="78">
        <v>1.5414842741673141E-2</v>
      </c>
      <c r="I118" s="78">
        <v>2.1730954622440058E-2</v>
      </c>
      <c r="J118" s="78"/>
      <c r="K118" s="78">
        <v>2.1007227607610375E-2</v>
      </c>
      <c r="L118" s="78">
        <v>1.7916158090938415E-2</v>
      </c>
      <c r="M118" s="78">
        <v>-6.377352309855413E-4</v>
      </c>
      <c r="N118" s="78">
        <v>1.8047681597612449E-2</v>
      </c>
      <c r="O118" s="78">
        <v>2.4459938019358557E-2</v>
      </c>
      <c r="P118" s="78">
        <v>8.3933831237943644E-3</v>
      </c>
      <c r="Q118" s="78">
        <v>-2.5976875723303355E-2</v>
      </c>
    </row>
    <row r="119" spans="2:17" x14ac:dyDescent="0.3">
      <c r="B119">
        <v>109</v>
      </c>
      <c r="C119" s="73">
        <v>44709.209182280094</v>
      </c>
      <c r="D119" s="79">
        <v>180.55449578831718</v>
      </c>
      <c r="E119" s="74">
        <f>(Crypto_Prices[[#This Row],[Price]]-$D$130)/$D$130</f>
        <v>-2.5291563141755482E-2</v>
      </c>
      <c r="G119" s="67">
        <v>44709.209182280094</v>
      </c>
      <c r="H119" s="77">
        <v>1.437807623677702E-2</v>
      </c>
      <c r="I119" s="77">
        <v>1.6837994832061852E-2</v>
      </c>
      <c r="J119" s="77"/>
      <c r="K119" s="77">
        <v>7.6835541354165829E-3</v>
      </c>
      <c r="L119" s="77">
        <v>1.7202249375394416E-2</v>
      </c>
      <c r="M119" s="77">
        <v>-6.1687592134448659E-5</v>
      </c>
      <c r="N119" s="77">
        <v>1.5973939026786569E-2</v>
      </c>
      <c r="O119" s="77">
        <v>2.0560695454185748E-2</v>
      </c>
      <c r="P119" s="77">
        <v>8.8641152455091396E-3</v>
      </c>
      <c r="Q119" s="77">
        <v>-2.5291563141755482E-2</v>
      </c>
    </row>
    <row r="120" spans="2:17" x14ac:dyDescent="0.3">
      <c r="B120">
        <v>110</v>
      </c>
      <c r="C120" s="73">
        <v>44709.16796111111</v>
      </c>
      <c r="D120" s="79">
        <v>180.43871584064911</v>
      </c>
      <c r="E120" s="74">
        <f>(Crypto_Prices[[#This Row],[Price]]-$D$130)/$D$130</f>
        <v>-2.5916591564993333E-2</v>
      </c>
      <c r="G120" s="66">
        <v>44709.16796111111</v>
      </c>
      <c r="H120" s="78">
        <v>1.3700093356486196E-2</v>
      </c>
      <c r="I120" s="78">
        <v>1.412836862292971E-2</v>
      </c>
      <c r="J120" s="78"/>
      <c r="K120" s="78">
        <v>3.8395798383949057E-3</v>
      </c>
      <c r="L120" s="78">
        <v>1.7298334214692641E-2</v>
      </c>
      <c r="M120" s="78">
        <v>1.5765567211589227E-5</v>
      </c>
      <c r="N120" s="78">
        <v>1.1270025124727648E-2</v>
      </c>
      <c r="O120" s="78">
        <v>1.4049325714972048E-2</v>
      </c>
      <c r="P120" s="78">
        <v>3.8079307166730405E-3</v>
      </c>
      <c r="Q120" s="78">
        <v>-2.5916591564993333E-2</v>
      </c>
    </row>
    <row r="121" spans="2:17" x14ac:dyDescent="0.3">
      <c r="B121">
        <v>111</v>
      </c>
      <c r="C121" s="73">
        <v>44709.125441377313</v>
      </c>
      <c r="D121" s="79">
        <v>178.79041501478227</v>
      </c>
      <c r="E121" s="74">
        <f>(Crypto_Prices[[#This Row],[Price]]-$D$130)/$D$130</f>
        <v>-3.4814806557858541E-2</v>
      </c>
      <c r="G121" s="67">
        <v>44709.125441377313</v>
      </c>
      <c r="H121" s="77">
        <v>9.7199158822161794E-3</v>
      </c>
      <c r="I121" s="77">
        <v>-1.6269148941915853E-3</v>
      </c>
      <c r="J121" s="77"/>
      <c r="K121" s="77">
        <v>-8.9359662814484323E-3</v>
      </c>
      <c r="L121" s="77">
        <v>1.1424844189014851E-2</v>
      </c>
      <c r="M121" s="77">
        <v>2.2918518923433536E-4</v>
      </c>
      <c r="N121" s="77">
        <v>2.4190070221964881E-3</v>
      </c>
      <c r="O121" s="77">
        <v>1.0892321318505939E-2</v>
      </c>
      <c r="P121" s="77">
        <v>-8.0062929089161679E-3</v>
      </c>
      <c r="Q121" s="77">
        <v>-3.4814806557858541E-2</v>
      </c>
    </row>
    <row r="122" spans="2:17" x14ac:dyDescent="0.3">
      <c r="B122">
        <v>112</v>
      </c>
      <c r="C122" s="73">
        <v>44709.084990462965</v>
      </c>
      <c r="D122" s="79">
        <v>180.72178809325749</v>
      </c>
      <c r="E122" s="74">
        <f>(Crypto_Prices[[#This Row],[Price]]-$D$130)/$D$130</f>
        <v>-2.438844953976603E-2</v>
      </c>
      <c r="G122" s="66">
        <v>44709.084990462965</v>
      </c>
      <c r="H122" s="78">
        <v>6.2546877537201931E-3</v>
      </c>
      <c r="I122" s="78">
        <v>-1.7478642806964685E-3</v>
      </c>
      <c r="J122" s="78"/>
      <c r="K122" s="78">
        <v>3.8238597455076447E-4</v>
      </c>
      <c r="L122" s="78">
        <v>7.9431635422111697E-3</v>
      </c>
      <c r="M122" s="78">
        <v>-1.0707828054228746E-3</v>
      </c>
      <c r="N122" s="78">
        <v>-2.0102012372060242E-4</v>
      </c>
      <c r="O122" s="78">
        <v>1.1784987009921543E-2</v>
      </c>
      <c r="P122" s="78">
        <v>-6.9325851549926357E-3</v>
      </c>
      <c r="Q122" s="78">
        <v>-2.438844953976603E-2</v>
      </c>
    </row>
    <row r="123" spans="2:17" x14ac:dyDescent="0.3">
      <c r="B123">
        <v>113</v>
      </c>
      <c r="C123" s="73">
        <v>44709.04521546296</v>
      </c>
      <c r="D123" s="79">
        <v>183.70797978952993</v>
      </c>
      <c r="E123" s="74">
        <f>(Crypto_Prices[[#This Row],[Price]]-$D$130)/$D$130</f>
        <v>-8.2677418956580775E-3</v>
      </c>
      <c r="G123" s="67">
        <v>44709.04521546296</v>
      </c>
      <c r="H123" s="77">
        <v>1.3476546040338086E-2</v>
      </c>
      <c r="I123" s="77">
        <v>7.5594219491417793E-3</v>
      </c>
      <c r="J123" s="77"/>
      <c r="K123" s="77">
        <v>1.7959165165084601E-2</v>
      </c>
      <c r="L123" s="77">
        <v>1.7579049785708397E-2</v>
      </c>
      <c r="M123" s="77">
        <v>5.023435626572148E-4</v>
      </c>
      <c r="N123" s="77">
        <v>1.7773734514627684E-2</v>
      </c>
      <c r="O123" s="77">
        <v>2.3337297525247887E-2</v>
      </c>
      <c r="P123" s="77">
        <v>1.9071984161323811E-4</v>
      </c>
      <c r="Q123" s="77">
        <v>-8.2677418956580775E-3</v>
      </c>
    </row>
    <row r="124" spans="2:17" x14ac:dyDescent="0.3">
      <c r="B124">
        <v>114</v>
      </c>
      <c r="C124" s="73">
        <v>44709.00152056713</v>
      </c>
      <c r="D124" s="79">
        <v>180.55393369659961</v>
      </c>
      <c r="E124" s="74">
        <f>(Crypto_Prices[[#This Row],[Price]]-$D$130)/$D$130</f>
        <v>-2.5294597547168708E-2</v>
      </c>
      <c r="G124" s="66">
        <v>44709.00152056713</v>
      </c>
      <c r="H124" s="78">
        <v>6.9546602592225728E-3</v>
      </c>
      <c r="I124" s="78">
        <v>-5.9080517008033313E-3</v>
      </c>
      <c r="J124" s="78"/>
      <c r="K124" s="78">
        <v>-3.7174469735338114E-3</v>
      </c>
      <c r="L124" s="78">
        <v>8.5612092540582625E-3</v>
      </c>
      <c r="M124" s="78">
        <v>-5.3354538863436369E-4</v>
      </c>
      <c r="N124" s="78">
        <v>-2.9300382129872045E-3</v>
      </c>
      <c r="O124" s="78">
        <v>5.6703542947514731E-3</v>
      </c>
      <c r="P124" s="78">
        <v>-1.5897236678492733E-2</v>
      </c>
      <c r="Q124" s="78">
        <v>-2.5294597547168708E-2</v>
      </c>
    </row>
    <row r="125" spans="2:17" x14ac:dyDescent="0.3">
      <c r="B125">
        <v>115</v>
      </c>
      <c r="C125" s="73">
        <v>44708.959050983794</v>
      </c>
      <c r="D125" s="79">
        <v>182.93271198440223</v>
      </c>
      <c r="E125" s="74">
        <f>(Crypto_Prices[[#This Row],[Price]]-$D$130)/$D$130</f>
        <v>-1.2452960697235187E-2</v>
      </c>
      <c r="G125" s="67">
        <v>44708.959050983794</v>
      </c>
      <c r="H125" s="77">
        <v>1.465442720716869E-2</v>
      </c>
      <c r="I125" s="77">
        <v>7.261262852469229E-3</v>
      </c>
      <c r="J125" s="77"/>
      <c r="K125" s="77">
        <v>5.6843292618137991E-3</v>
      </c>
      <c r="L125" s="77">
        <v>1.5522950610357024E-2</v>
      </c>
      <c r="M125" s="77">
        <v>-3.6243851316441583E-4</v>
      </c>
      <c r="N125" s="77">
        <v>8.5575541520145158E-3</v>
      </c>
      <c r="O125" s="77">
        <v>1.6243240005283408E-2</v>
      </c>
      <c r="P125" s="77">
        <v>-5.2854670214625768E-3</v>
      </c>
      <c r="Q125" s="77">
        <v>-1.2452960697235187E-2</v>
      </c>
    </row>
    <row r="126" spans="2:17" x14ac:dyDescent="0.3">
      <c r="B126">
        <v>116</v>
      </c>
      <c r="C126" s="73">
        <v>44708.91724696759</v>
      </c>
      <c r="D126" s="79">
        <v>182.01187484169191</v>
      </c>
      <c r="E126" s="74">
        <f>(Crypto_Prices[[#This Row],[Price]]-$D$130)/$D$130</f>
        <v>-1.742402346725052E-2</v>
      </c>
      <c r="G126" s="66">
        <v>44708.91724696759</v>
      </c>
      <c r="H126" s="78">
        <v>1.1623722795804363E-2</v>
      </c>
      <c r="I126" s="78">
        <v>5.5205086025396271E-3</v>
      </c>
      <c r="J126" s="78"/>
      <c r="K126" s="78">
        <v>1.4714174561034712E-2</v>
      </c>
      <c r="L126" s="78">
        <v>1.3757987322826645E-2</v>
      </c>
      <c r="M126" s="78">
        <v>-1.9224563354602758E-4</v>
      </c>
      <c r="N126" s="78">
        <v>5.7453716996421237E-3</v>
      </c>
      <c r="O126" s="78">
        <v>1.4657138417043667E-2</v>
      </c>
      <c r="P126" s="78">
        <v>-1.3627684279462857E-2</v>
      </c>
      <c r="Q126" s="78">
        <v>-1.742402346725052E-2</v>
      </c>
    </row>
    <row r="127" spans="2:17" x14ac:dyDescent="0.3">
      <c r="B127">
        <v>117</v>
      </c>
      <c r="C127" s="73">
        <v>44708.87613034722</v>
      </c>
      <c r="D127" s="79">
        <v>183.19344926208589</v>
      </c>
      <c r="E127" s="74">
        <f>(Crypto_Prices[[#This Row],[Price]]-$D$130)/$D$130</f>
        <v>-1.1045392177536445E-2</v>
      </c>
      <c r="G127" s="67">
        <v>44708.87613034722</v>
      </c>
      <c r="H127" s="77">
        <v>1.3117728662182226E-2</v>
      </c>
      <c r="I127" s="77">
        <v>1.1479615642299381E-2</v>
      </c>
      <c r="J127" s="77"/>
      <c r="K127" s="77">
        <v>2.4256053429169821E-2</v>
      </c>
      <c r="L127" s="77">
        <v>1.4592884779446634E-2</v>
      </c>
      <c r="M127" s="77">
        <v>-2.5174928415461553E-4</v>
      </c>
      <c r="N127" s="77">
        <v>9.2289489320715838E-3</v>
      </c>
      <c r="O127" s="77">
        <v>2.1654642464963729E-2</v>
      </c>
      <c r="P127" s="77">
        <v>-1.4646817625340845E-2</v>
      </c>
      <c r="Q127" s="77">
        <v>-1.1045392177536445E-2</v>
      </c>
    </row>
    <row r="128" spans="2:17" x14ac:dyDescent="0.3">
      <c r="B128">
        <v>118</v>
      </c>
      <c r="C128" s="73">
        <v>44708.835478020832</v>
      </c>
      <c r="D128" s="79">
        <v>180.50959506606986</v>
      </c>
      <c r="E128" s="74">
        <f>(Crypto_Prices[[#This Row],[Price]]-$D$130)/$D$130</f>
        <v>-2.5533955958419553E-2</v>
      </c>
      <c r="G128" s="66">
        <v>44708.835478020832</v>
      </c>
      <c r="H128" s="78">
        <v>1.510905180399077E-2</v>
      </c>
      <c r="I128" s="78">
        <v>1.1660945387334958E-2</v>
      </c>
      <c r="J128" s="78"/>
      <c r="K128" s="78">
        <v>1.6212416609437202E-2</v>
      </c>
      <c r="L128" s="78">
        <v>1.5663824487688612E-2</v>
      </c>
      <c r="M128" s="78">
        <v>-2.1114599115124176E-3</v>
      </c>
      <c r="N128" s="78">
        <v>9.7004883406366753E-3</v>
      </c>
      <c r="O128" s="78">
        <v>1.9650326127272626E-2</v>
      </c>
      <c r="P128" s="78">
        <v>-2.0427728518718529E-2</v>
      </c>
      <c r="Q128" s="78">
        <v>-2.5533955958419553E-2</v>
      </c>
    </row>
    <row r="129" spans="2:17" x14ac:dyDescent="0.3">
      <c r="B129">
        <v>119</v>
      </c>
      <c r="C129" s="73">
        <v>44708.79364585648</v>
      </c>
      <c r="D129" s="79">
        <v>181.37827118055793</v>
      </c>
      <c r="E129" s="74">
        <f>(Crypto_Prices[[#This Row],[Price]]-$D$130)/$D$130</f>
        <v>-2.0844480163358544E-2</v>
      </c>
      <c r="G129" s="67">
        <v>44708.79364585648</v>
      </c>
      <c r="H129" s="77">
        <v>1.308498078459877E-3</v>
      </c>
      <c r="I129" s="77">
        <v>-2.5993775586449141E-3</v>
      </c>
      <c r="J129" s="77"/>
      <c r="K129" s="77">
        <v>-3.1314658981219565E-3</v>
      </c>
      <c r="L129" s="77">
        <v>3.9781376688203807E-3</v>
      </c>
      <c r="M129" s="77">
        <v>1.0699650991810865E-3</v>
      </c>
      <c r="N129" s="77">
        <v>-1.5269619993376247E-3</v>
      </c>
      <c r="O129" s="77">
        <v>4.5092926243229317E-3</v>
      </c>
      <c r="P129" s="77">
        <v>-1.7752972718733995E-2</v>
      </c>
      <c r="Q129" s="77">
        <v>-2.0844480163358544E-2</v>
      </c>
    </row>
    <row r="130" spans="2:17" x14ac:dyDescent="0.3">
      <c r="B130">
        <v>120</v>
      </c>
      <c r="C130" s="73">
        <v>44708.750676631942</v>
      </c>
      <c r="D130" s="79">
        <v>185.23949209908798</v>
      </c>
      <c r="E130" s="74">
        <f>(Crypto_Prices[[#This Row],[Price]]-$D$130)/$D$130</f>
        <v>0</v>
      </c>
      <c r="G130" s="66">
        <v>44708.750676631942</v>
      </c>
      <c r="H130" s="78">
        <v>0</v>
      </c>
      <c r="I130" s="78">
        <v>0</v>
      </c>
      <c r="J130" s="78"/>
      <c r="K130" s="78">
        <v>0</v>
      </c>
      <c r="L130" s="78">
        <v>0</v>
      </c>
      <c r="M130" s="78">
        <v>0</v>
      </c>
      <c r="N130" s="78">
        <v>0</v>
      </c>
      <c r="O130" s="78">
        <v>0</v>
      </c>
      <c r="P130" s="78">
        <v>0</v>
      </c>
      <c r="Q130" s="78">
        <v>0</v>
      </c>
    </row>
    <row r="131" spans="2:17" x14ac:dyDescent="0.3">
      <c r="G131" s="67"/>
      <c r="H131" s="77"/>
      <c r="I131" s="77"/>
      <c r="J131" s="77"/>
      <c r="K131" s="77"/>
      <c r="L131" s="77"/>
      <c r="M131" s="77"/>
      <c r="N131" s="77"/>
      <c r="O131" s="77"/>
      <c r="P131" s="77"/>
      <c r="Q131" s="77"/>
    </row>
    <row r="132" spans="2:17" x14ac:dyDescent="0.3">
      <c r="G132" s="66"/>
      <c r="H132" s="78"/>
      <c r="I132" s="78"/>
      <c r="J132" s="78"/>
      <c r="K132" s="78"/>
      <c r="L132" s="78"/>
      <c r="M132" s="78"/>
      <c r="N132" s="78"/>
      <c r="O132" s="78"/>
      <c r="P132" s="78"/>
      <c r="Q132" s="78"/>
    </row>
    <row r="133" spans="2:17" x14ac:dyDescent="0.3">
      <c r="G133" s="67"/>
      <c r="H133" s="77"/>
      <c r="I133" s="77"/>
      <c r="J133" s="77"/>
      <c r="K133" s="77"/>
      <c r="L133" s="77"/>
      <c r="M133" s="77"/>
      <c r="N133" s="77"/>
      <c r="O133" s="77"/>
      <c r="P133" s="77"/>
      <c r="Q133" s="77"/>
    </row>
    <row r="134" spans="2:17" x14ac:dyDescent="0.3">
      <c r="G134" s="66"/>
      <c r="H134" s="78"/>
      <c r="I134" s="78"/>
      <c r="J134" s="78"/>
      <c r="K134" s="78"/>
      <c r="L134" s="78"/>
      <c r="M134" s="78"/>
      <c r="N134" s="78"/>
      <c r="O134" s="78"/>
      <c r="P134" s="78"/>
      <c r="Q134" s="78"/>
    </row>
    <row r="135" spans="2:17" x14ac:dyDescent="0.3">
      <c r="G135" s="67"/>
      <c r="H135" s="77"/>
      <c r="I135" s="77"/>
      <c r="J135" s="77"/>
      <c r="K135" s="77"/>
      <c r="L135" s="77"/>
      <c r="M135" s="77"/>
      <c r="N135" s="77"/>
      <c r="O135" s="77"/>
      <c r="P135" s="77"/>
      <c r="Q135" s="77"/>
    </row>
    <row r="136" spans="2:17" x14ac:dyDescent="0.3">
      <c r="G136" s="66"/>
      <c r="H136" s="78"/>
      <c r="I136" s="78"/>
      <c r="J136" s="78"/>
      <c r="K136" s="78"/>
      <c r="L136" s="78"/>
      <c r="M136" s="78"/>
      <c r="N136" s="78"/>
      <c r="O136" s="78"/>
      <c r="P136" s="78"/>
      <c r="Q136" s="78"/>
    </row>
    <row r="137" spans="2:17" x14ac:dyDescent="0.3">
      <c r="G137" s="67"/>
      <c r="H137" s="77"/>
      <c r="I137" s="77"/>
      <c r="J137" s="77"/>
      <c r="K137" s="77"/>
      <c r="L137" s="77"/>
      <c r="M137" s="77"/>
      <c r="N137" s="77"/>
      <c r="O137" s="77"/>
      <c r="P137" s="77"/>
      <c r="Q137" s="77"/>
    </row>
    <row r="138" spans="2:17" x14ac:dyDescent="0.3">
      <c r="G138" s="66"/>
      <c r="H138" s="78"/>
      <c r="I138" s="78"/>
      <c r="J138" s="78"/>
      <c r="K138" s="78"/>
      <c r="L138" s="78"/>
      <c r="M138" s="78"/>
      <c r="N138" s="78"/>
      <c r="O138" s="78"/>
      <c r="P138" s="78"/>
      <c r="Q138" s="78"/>
    </row>
    <row r="139" spans="2:17" x14ac:dyDescent="0.3">
      <c r="G139" s="67"/>
      <c r="H139" s="77"/>
      <c r="I139" s="77"/>
      <c r="J139" s="77"/>
      <c r="K139" s="77"/>
      <c r="L139" s="77"/>
      <c r="M139" s="77"/>
      <c r="N139" s="77"/>
      <c r="O139" s="77"/>
      <c r="P139" s="77"/>
      <c r="Q139" s="77"/>
    </row>
    <row r="140" spans="2:17" x14ac:dyDescent="0.3">
      <c r="G140" s="66"/>
      <c r="H140" s="78"/>
      <c r="I140" s="78"/>
      <c r="J140" s="78"/>
      <c r="K140" s="78"/>
      <c r="L140" s="78"/>
      <c r="M140" s="78"/>
      <c r="N140" s="78"/>
      <c r="O140" s="78"/>
      <c r="P140" s="78"/>
      <c r="Q140" s="78"/>
    </row>
    <row r="141" spans="2:17" x14ac:dyDescent="0.3">
      <c r="G141" s="67"/>
      <c r="H141" s="77"/>
      <c r="I141" s="77"/>
      <c r="J141" s="77"/>
      <c r="K141" s="77"/>
      <c r="L141" s="77"/>
      <c r="M141" s="77"/>
      <c r="N141" s="77"/>
      <c r="O141" s="77"/>
      <c r="P141" s="77"/>
      <c r="Q141" s="77"/>
    </row>
    <row r="142" spans="2:17" x14ac:dyDescent="0.3">
      <c r="G142" s="66"/>
      <c r="H142" s="78"/>
      <c r="I142" s="78"/>
      <c r="J142" s="78"/>
      <c r="K142" s="78"/>
      <c r="L142" s="78"/>
      <c r="M142" s="78"/>
      <c r="N142" s="78"/>
      <c r="O142" s="78"/>
      <c r="P142" s="78"/>
      <c r="Q142" s="78"/>
    </row>
    <row r="143" spans="2:17" x14ac:dyDescent="0.3">
      <c r="G143" s="67"/>
      <c r="H143" s="77"/>
      <c r="I143" s="77"/>
      <c r="J143" s="77"/>
      <c r="K143" s="77"/>
      <c r="L143" s="77"/>
      <c r="M143" s="77"/>
      <c r="N143" s="77"/>
      <c r="O143" s="77"/>
      <c r="P143" s="77"/>
      <c r="Q143" s="77"/>
    </row>
    <row r="144" spans="2:17" x14ac:dyDescent="0.3">
      <c r="G144" s="66"/>
      <c r="H144" s="78"/>
      <c r="I144" s="78"/>
      <c r="J144" s="78"/>
      <c r="K144" s="78"/>
      <c r="L144" s="78"/>
      <c r="M144" s="78"/>
      <c r="N144" s="78"/>
      <c r="O144" s="78"/>
      <c r="P144" s="78"/>
      <c r="Q144" s="78"/>
    </row>
    <row r="145" spans="7:17" x14ac:dyDescent="0.3">
      <c r="G145" s="67"/>
      <c r="H145" s="77"/>
      <c r="I145" s="77"/>
      <c r="J145" s="77"/>
      <c r="K145" s="77"/>
      <c r="L145" s="77"/>
      <c r="M145" s="77"/>
      <c r="N145" s="77"/>
      <c r="O145" s="77"/>
      <c r="P145" s="77"/>
      <c r="Q145" s="77"/>
    </row>
    <row r="146" spans="7:17" x14ac:dyDescent="0.3">
      <c r="G146" s="66"/>
      <c r="H146" s="78"/>
      <c r="I146" s="78"/>
      <c r="J146" s="78"/>
      <c r="K146" s="78"/>
      <c r="L146" s="78"/>
      <c r="M146" s="78"/>
      <c r="N146" s="78"/>
      <c r="O146" s="78"/>
      <c r="P146" s="78"/>
      <c r="Q146" s="78"/>
    </row>
    <row r="147" spans="7:17" x14ac:dyDescent="0.3">
      <c r="G147" s="67"/>
      <c r="H147" s="77"/>
      <c r="I147" s="77"/>
      <c r="J147" s="77"/>
      <c r="K147" s="77"/>
      <c r="L147" s="77"/>
      <c r="M147" s="77"/>
      <c r="N147" s="77"/>
      <c r="O147" s="77"/>
      <c r="P147" s="77"/>
      <c r="Q147" s="77"/>
    </row>
    <row r="148" spans="7:17" x14ac:dyDescent="0.3">
      <c r="G148" s="66"/>
      <c r="H148" s="78"/>
      <c r="I148" s="78"/>
      <c r="J148" s="78"/>
      <c r="K148" s="78"/>
      <c r="L148" s="78"/>
      <c r="M148" s="78"/>
      <c r="N148" s="78"/>
      <c r="O148" s="78"/>
      <c r="P148" s="78"/>
      <c r="Q148" s="78"/>
    </row>
    <row r="149" spans="7:17" x14ac:dyDescent="0.3">
      <c r="G149" s="67"/>
      <c r="H149" s="77"/>
      <c r="I149" s="77"/>
      <c r="J149" s="77"/>
      <c r="K149" s="77"/>
      <c r="L149" s="77"/>
      <c r="M149" s="77"/>
      <c r="N149" s="77"/>
      <c r="O149" s="77"/>
      <c r="P149" s="77"/>
      <c r="Q149" s="77"/>
    </row>
    <row r="150" spans="7:17" x14ac:dyDescent="0.3">
      <c r="G150" s="66"/>
      <c r="H150" s="78"/>
      <c r="I150" s="78"/>
      <c r="J150" s="78"/>
      <c r="K150" s="78"/>
      <c r="L150" s="78"/>
      <c r="M150" s="78"/>
      <c r="N150" s="78"/>
      <c r="O150" s="78"/>
      <c r="P150" s="78"/>
      <c r="Q150" s="78"/>
    </row>
    <row r="151" spans="7:17" x14ac:dyDescent="0.3">
      <c r="G151" s="67"/>
      <c r="H151" s="77"/>
      <c r="I151" s="77"/>
      <c r="J151" s="77"/>
      <c r="K151" s="77"/>
      <c r="L151" s="77"/>
      <c r="M151" s="77"/>
      <c r="N151" s="77"/>
      <c r="O151" s="77"/>
      <c r="P151" s="77"/>
      <c r="Q151" s="77"/>
    </row>
    <row r="152" spans="7:17" x14ac:dyDescent="0.3">
      <c r="G152" s="66"/>
      <c r="H152" s="78"/>
      <c r="I152" s="78"/>
      <c r="J152" s="78"/>
      <c r="K152" s="78"/>
      <c r="L152" s="78"/>
      <c r="M152" s="78"/>
      <c r="N152" s="78"/>
      <c r="O152" s="78"/>
      <c r="P152" s="78"/>
      <c r="Q152" s="78"/>
    </row>
    <row r="153" spans="7:17" x14ac:dyDescent="0.3">
      <c r="G153" s="67"/>
      <c r="H153" s="77"/>
      <c r="I153" s="77"/>
      <c r="J153" s="77"/>
      <c r="K153" s="77"/>
      <c r="L153" s="77"/>
      <c r="M153" s="77"/>
      <c r="N153" s="77"/>
      <c r="O153" s="77"/>
      <c r="P153" s="77"/>
      <c r="Q153" s="77"/>
    </row>
    <row r="154" spans="7:17" x14ac:dyDescent="0.3">
      <c r="G154" s="66"/>
      <c r="H154" s="78"/>
      <c r="I154" s="78"/>
      <c r="J154" s="78"/>
      <c r="K154" s="78"/>
      <c r="L154" s="78"/>
      <c r="M154" s="78"/>
      <c r="N154" s="78"/>
      <c r="O154" s="78"/>
      <c r="P154" s="78"/>
      <c r="Q154" s="78"/>
    </row>
    <row r="155" spans="7:17" x14ac:dyDescent="0.3">
      <c r="G155" s="67"/>
      <c r="H155" s="77"/>
      <c r="I155" s="77"/>
      <c r="J155" s="77"/>
      <c r="K155" s="77"/>
      <c r="L155" s="77"/>
      <c r="M155" s="77"/>
      <c r="N155" s="77"/>
      <c r="O155" s="77"/>
      <c r="P155" s="77"/>
      <c r="Q155" s="77"/>
    </row>
    <row r="156" spans="7:17" x14ac:dyDescent="0.3">
      <c r="G156" s="66"/>
      <c r="H156" s="78"/>
      <c r="I156" s="78"/>
      <c r="J156" s="78"/>
      <c r="K156" s="78"/>
      <c r="L156" s="78"/>
      <c r="M156" s="78"/>
      <c r="N156" s="78"/>
      <c r="O156" s="78"/>
      <c r="P156" s="78"/>
      <c r="Q156" s="78"/>
    </row>
    <row r="157" spans="7:17" x14ac:dyDescent="0.3">
      <c r="G157" s="67"/>
      <c r="H157" s="77"/>
      <c r="I157" s="77"/>
      <c r="J157" s="77"/>
      <c r="K157" s="77"/>
      <c r="L157" s="77"/>
      <c r="M157" s="77"/>
      <c r="N157" s="77"/>
      <c r="O157" s="77"/>
      <c r="P157" s="77"/>
      <c r="Q157" s="77"/>
    </row>
    <row r="158" spans="7:17" x14ac:dyDescent="0.3">
      <c r="G158" s="66"/>
      <c r="H158" s="78"/>
      <c r="I158" s="78"/>
      <c r="J158" s="78"/>
      <c r="K158" s="78"/>
      <c r="L158" s="78"/>
      <c r="M158" s="78"/>
      <c r="N158" s="78"/>
      <c r="O158" s="78"/>
      <c r="P158" s="78"/>
      <c r="Q158" s="78"/>
    </row>
    <row r="159" spans="7:17" x14ac:dyDescent="0.3">
      <c r="G159" s="67"/>
      <c r="H159" s="77"/>
      <c r="I159" s="77"/>
      <c r="J159" s="77"/>
      <c r="K159" s="77"/>
      <c r="L159" s="77"/>
      <c r="M159" s="77"/>
      <c r="N159" s="77"/>
      <c r="O159" s="77"/>
      <c r="P159" s="77"/>
      <c r="Q159" s="77"/>
    </row>
    <row r="160" spans="7:17" x14ac:dyDescent="0.3">
      <c r="G160" s="66"/>
      <c r="H160" s="78"/>
      <c r="I160" s="78"/>
      <c r="J160" s="78"/>
      <c r="K160" s="78"/>
      <c r="L160" s="78"/>
      <c r="M160" s="78"/>
      <c r="N160" s="78"/>
      <c r="O160" s="78"/>
      <c r="P160" s="78"/>
      <c r="Q160" s="78"/>
    </row>
    <row r="161" spans="7:17" x14ac:dyDescent="0.3">
      <c r="G161" s="67"/>
      <c r="H161" s="77"/>
      <c r="I161" s="77"/>
      <c r="J161" s="77"/>
      <c r="K161" s="77"/>
      <c r="L161" s="77"/>
      <c r="M161" s="77"/>
      <c r="N161" s="77"/>
      <c r="O161" s="77"/>
      <c r="P161" s="77"/>
      <c r="Q161" s="77"/>
    </row>
    <row r="162" spans="7:17" x14ac:dyDescent="0.3">
      <c r="G162" s="66"/>
      <c r="H162" s="78"/>
      <c r="I162" s="78"/>
      <c r="J162" s="78"/>
      <c r="K162" s="78"/>
      <c r="L162" s="78"/>
      <c r="M162" s="78"/>
      <c r="N162" s="78"/>
      <c r="O162" s="78"/>
      <c r="P162" s="78"/>
      <c r="Q162" s="78"/>
    </row>
    <row r="163" spans="7:17" x14ac:dyDescent="0.3">
      <c r="G163" s="67"/>
      <c r="H163" s="77"/>
      <c r="I163" s="77"/>
      <c r="J163" s="77"/>
      <c r="K163" s="77"/>
      <c r="L163" s="77"/>
      <c r="M163" s="77"/>
      <c r="N163" s="77"/>
      <c r="O163" s="77"/>
      <c r="P163" s="77"/>
      <c r="Q163" s="77"/>
    </row>
    <row r="164" spans="7:17" x14ac:dyDescent="0.3">
      <c r="G164" s="66"/>
      <c r="H164" s="78"/>
      <c r="I164" s="78"/>
      <c r="J164" s="78"/>
      <c r="K164" s="78"/>
      <c r="L164" s="78"/>
      <c r="M164" s="78"/>
      <c r="N164" s="78"/>
      <c r="O164" s="78"/>
      <c r="P164" s="78"/>
      <c r="Q164" s="78"/>
    </row>
    <row r="165" spans="7:17" x14ac:dyDescent="0.3">
      <c r="G165" s="67"/>
      <c r="H165" s="77"/>
      <c r="I165" s="77"/>
      <c r="J165" s="77"/>
      <c r="K165" s="77"/>
      <c r="L165" s="77"/>
      <c r="M165" s="77"/>
      <c r="N165" s="77"/>
      <c r="O165" s="77"/>
      <c r="P165" s="77"/>
      <c r="Q165" s="77"/>
    </row>
    <row r="166" spans="7:17" x14ac:dyDescent="0.3">
      <c r="G166" s="66"/>
      <c r="H166" s="78"/>
      <c r="I166" s="78"/>
      <c r="J166" s="78"/>
      <c r="K166" s="78"/>
      <c r="L166" s="78"/>
      <c r="M166" s="78"/>
      <c r="N166" s="78"/>
      <c r="O166" s="78"/>
      <c r="P166" s="78"/>
      <c r="Q166" s="78"/>
    </row>
    <row r="167" spans="7:17" x14ac:dyDescent="0.3">
      <c r="G167" s="67"/>
      <c r="H167" s="77"/>
      <c r="I167" s="77"/>
      <c r="J167" s="77"/>
      <c r="K167" s="77"/>
      <c r="L167" s="77"/>
      <c r="M167" s="77"/>
      <c r="N167" s="77"/>
      <c r="O167" s="77"/>
      <c r="P167" s="77"/>
      <c r="Q167" s="77"/>
    </row>
    <row r="168" spans="7:17" x14ac:dyDescent="0.3">
      <c r="G168" s="66"/>
      <c r="H168" s="78"/>
      <c r="I168" s="78"/>
      <c r="J168" s="78"/>
      <c r="K168" s="78"/>
      <c r="L168" s="78"/>
      <c r="M168" s="78"/>
      <c r="N168" s="78"/>
      <c r="O168" s="78"/>
      <c r="P168" s="78"/>
      <c r="Q168" s="78"/>
    </row>
    <row r="169" spans="7:17" x14ac:dyDescent="0.3">
      <c r="G169" s="67"/>
      <c r="H169" s="77"/>
      <c r="I169" s="77"/>
      <c r="J169" s="77"/>
      <c r="K169" s="77"/>
      <c r="L169" s="77"/>
      <c r="M169" s="77"/>
      <c r="N169" s="77"/>
      <c r="O169" s="77"/>
      <c r="P169" s="77"/>
      <c r="Q169" s="77"/>
    </row>
    <row r="170" spans="7:17" x14ac:dyDescent="0.3">
      <c r="G170" s="66"/>
      <c r="H170" s="78"/>
      <c r="I170" s="78"/>
      <c r="J170" s="78"/>
      <c r="K170" s="78"/>
      <c r="L170" s="78"/>
      <c r="M170" s="78"/>
      <c r="N170" s="78"/>
      <c r="O170" s="78"/>
      <c r="P170" s="78"/>
      <c r="Q170" s="78"/>
    </row>
    <row r="171" spans="7:17" x14ac:dyDescent="0.3">
      <c r="G171" s="67"/>
      <c r="H171" s="77"/>
      <c r="I171" s="77"/>
      <c r="J171" s="77"/>
      <c r="K171" s="77"/>
      <c r="L171" s="77"/>
      <c r="M171" s="77"/>
      <c r="N171" s="77"/>
      <c r="O171" s="77"/>
      <c r="P171" s="77"/>
      <c r="Q171" s="77"/>
    </row>
    <row r="172" spans="7:17" x14ac:dyDescent="0.3">
      <c r="G172" s="66"/>
      <c r="H172" s="78"/>
      <c r="I172" s="78"/>
      <c r="J172" s="78"/>
      <c r="K172" s="78"/>
      <c r="L172" s="78"/>
      <c r="M172" s="78"/>
      <c r="N172" s="78"/>
      <c r="O172" s="78"/>
      <c r="P172" s="78"/>
      <c r="Q172" s="78"/>
    </row>
    <row r="173" spans="7:17" x14ac:dyDescent="0.3">
      <c r="G173" s="67"/>
      <c r="H173" s="77"/>
      <c r="I173" s="77"/>
      <c r="J173" s="77"/>
      <c r="K173" s="77"/>
      <c r="L173" s="77"/>
      <c r="M173" s="77"/>
      <c r="N173" s="77"/>
      <c r="O173" s="77"/>
      <c r="P173" s="77"/>
      <c r="Q173" s="77"/>
    </row>
    <row r="174" spans="7:17" x14ac:dyDescent="0.3">
      <c r="G174" s="66"/>
      <c r="H174" s="78"/>
      <c r="I174" s="78"/>
      <c r="J174" s="78"/>
      <c r="K174" s="78"/>
      <c r="L174" s="78"/>
      <c r="M174" s="78"/>
      <c r="N174" s="78"/>
      <c r="O174" s="78"/>
      <c r="P174" s="78"/>
      <c r="Q174" s="78"/>
    </row>
    <row r="175" spans="7:17" x14ac:dyDescent="0.3">
      <c r="G175" s="67"/>
      <c r="H175" s="77"/>
      <c r="I175" s="77"/>
      <c r="J175" s="77"/>
      <c r="K175" s="77"/>
      <c r="L175" s="77"/>
      <c r="M175" s="77"/>
      <c r="N175" s="77"/>
      <c r="O175" s="77"/>
      <c r="P175" s="77"/>
      <c r="Q175" s="77"/>
    </row>
    <row r="176" spans="7:17" x14ac:dyDescent="0.3">
      <c r="G176" s="66"/>
      <c r="H176" s="78"/>
      <c r="I176" s="78"/>
      <c r="J176" s="78"/>
      <c r="K176" s="78"/>
      <c r="L176" s="78"/>
      <c r="M176" s="78"/>
      <c r="N176" s="78"/>
      <c r="O176" s="78"/>
      <c r="P176" s="78"/>
      <c r="Q176" s="78"/>
    </row>
    <row r="177" spans="7:17" x14ac:dyDescent="0.3">
      <c r="G177" s="67"/>
      <c r="H177" s="77"/>
      <c r="I177" s="77"/>
      <c r="J177" s="77"/>
      <c r="K177" s="77"/>
      <c r="L177" s="77"/>
      <c r="M177" s="77"/>
      <c r="N177" s="77"/>
      <c r="O177" s="77"/>
      <c r="P177" s="77"/>
      <c r="Q177" s="77"/>
    </row>
    <row r="178" spans="7:17" x14ac:dyDescent="0.3">
      <c r="G178" s="66"/>
      <c r="H178" s="78"/>
      <c r="I178" s="78"/>
      <c r="J178" s="78"/>
      <c r="K178" s="78"/>
      <c r="L178" s="78"/>
      <c r="M178" s="78"/>
      <c r="N178" s="78"/>
      <c r="O178" s="78"/>
      <c r="P178" s="78"/>
      <c r="Q178" s="78"/>
    </row>
    <row r="179" spans="7:17" x14ac:dyDescent="0.3">
      <c r="G179" s="67"/>
      <c r="H179" s="77"/>
      <c r="I179" s="77"/>
      <c r="J179" s="77"/>
      <c r="K179" s="77"/>
      <c r="L179" s="77"/>
      <c r="M179" s="77"/>
      <c r="N179" s="77"/>
      <c r="O179" s="77"/>
      <c r="P179" s="77"/>
      <c r="Q179" s="77"/>
    </row>
    <row r="180" spans="7:17" x14ac:dyDescent="0.3">
      <c r="G180" s="66"/>
      <c r="H180" s="78"/>
      <c r="I180" s="78"/>
      <c r="J180" s="78"/>
      <c r="K180" s="78"/>
      <c r="L180" s="78"/>
      <c r="M180" s="78"/>
      <c r="N180" s="78"/>
      <c r="O180" s="78"/>
      <c r="P180" s="78"/>
      <c r="Q180" s="78"/>
    </row>
    <row r="181" spans="7:17" x14ac:dyDescent="0.3">
      <c r="G181" s="67"/>
      <c r="H181" s="77"/>
      <c r="I181" s="77"/>
      <c r="J181" s="77"/>
      <c r="K181" s="77"/>
      <c r="L181" s="77"/>
      <c r="M181" s="77"/>
      <c r="N181" s="77"/>
      <c r="O181" s="77"/>
      <c r="P181" s="77"/>
      <c r="Q181" s="77"/>
    </row>
    <row r="182" spans="7:17" x14ac:dyDescent="0.3">
      <c r="G182" s="66"/>
      <c r="H182" s="78"/>
      <c r="I182" s="78"/>
      <c r="J182" s="78"/>
      <c r="K182" s="78"/>
      <c r="L182" s="78"/>
      <c r="M182" s="78"/>
      <c r="N182" s="78"/>
      <c r="O182" s="78"/>
      <c r="P182" s="78"/>
      <c r="Q182" s="78"/>
    </row>
    <row r="183" spans="7:17" x14ac:dyDescent="0.3">
      <c r="G183" s="67"/>
      <c r="H183" s="77"/>
      <c r="I183" s="77"/>
      <c r="J183" s="77"/>
      <c r="K183" s="77"/>
      <c r="L183" s="77"/>
      <c r="M183" s="77"/>
      <c r="N183" s="77"/>
      <c r="O183" s="77"/>
      <c r="P183" s="77"/>
      <c r="Q183" s="77"/>
    </row>
    <row r="184" spans="7:17" x14ac:dyDescent="0.3">
      <c r="G184" s="66"/>
      <c r="H184" s="78"/>
      <c r="I184" s="78"/>
      <c r="J184" s="78"/>
      <c r="K184" s="78"/>
      <c r="L184" s="78"/>
      <c r="M184" s="78"/>
      <c r="N184" s="78"/>
      <c r="O184" s="78"/>
      <c r="P184" s="78"/>
      <c r="Q184" s="78"/>
    </row>
    <row r="185" spans="7:17" x14ac:dyDescent="0.3">
      <c r="G185" s="67"/>
      <c r="H185" s="77"/>
      <c r="I185" s="77"/>
      <c r="J185" s="77"/>
      <c r="K185" s="77"/>
      <c r="L185" s="77"/>
      <c r="M185" s="77"/>
      <c r="N185" s="77"/>
      <c r="O185" s="77"/>
      <c r="P185" s="77"/>
      <c r="Q185" s="77"/>
    </row>
    <row r="186" spans="7:17" x14ac:dyDescent="0.3">
      <c r="G186" s="66"/>
      <c r="H186" s="78"/>
      <c r="I186" s="78"/>
      <c r="J186" s="78"/>
      <c r="K186" s="78"/>
      <c r="L186" s="78"/>
      <c r="M186" s="78"/>
      <c r="N186" s="78"/>
      <c r="O186" s="78"/>
      <c r="P186" s="78"/>
      <c r="Q186" s="78"/>
    </row>
    <row r="187" spans="7:17" x14ac:dyDescent="0.3">
      <c r="G187" s="67"/>
      <c r="H187" s="77"/>
      <c r="I187" s="77"/>
      <c r="J187" s="77"/>
      <c r="K187" s="77"/>
      <c r="L187" s="77"/>
      <c r="M187" s="77"/>
      <c r="N187" s="77"/>
      <c r="O187" s="77"/>
      <c r="P187" s="77"/>
      <c r="Q187" s="77"/>
    </row>
    <row r="188" spans="7:17" x14ac:dyDescent="0.3">
      <c r="G188" s="66"/>
      <c r="H188" s="78"/>
      <c r="I188" s="78"/>
      <c r="J188" s="78"/>
      <c r="K188" s="78"/>
      <c r="L188" s="78"/>
      <c r="M188" s="78"/>
      <c r="N188" s="78"/>
      <c r="O188" s="78"/>
      <c r="P188" s="78"/>
      <c r="Q188" s="78"/>
    </row>
    <row r="189" spans="7:17" x14ac:dyDescent="0.3">
      <c r="G189" s="67"/>
      <c r="H189" s="77"/>
      <c r="I189" s="77"/>
      <c r="J189" s="77"/>
      <c r="K189" s="77"/>
      <c r="L189" s="77"/>
      <c r="M189" s="77"/>
      <c r="N189" s="77"/>
      <c r="O189" s="77"/>
      <c r="P189" s="77"/>
      <c r="Q189" s="77"/>
    </row>
    <row r="190" spans="7:17" x14ac:dyDescent="0.3">
      <c r="G190" s="66"/>
      <c r="H190" s="78"/>
      <c r="I190" s="78"/>
      <c r="J190" s="78"/>
      <c r="K190" s="78"/>
      <c r="L190" s="78"/>
      <c r="M190" s="78"/>
      <c r="N190" s="78"/>
      <c r="O190" s="78"/>
      <c r="P190" s="78"/>
      <c r="Q190" s="78"/>
    </row>
    <row r="191" spans="7:17" x14ac:dyDescent="0.3">
      <c r="G191" s="67"/>
      <c r="H191" s="77"/>
      <c r="I191" s="77"/>
      <c r="J191" s="77"/>
      <c r="K191" s="77"/>
      <c r="L191" s="77"/>
      <c r="M191" s="77"/>
      <c r="N191" s="77"/>
      <c r="O191" s="77"/>
      <c r="P191" s="77"/>
      <c r="Q191" s="77"/>
    </row>
    <row r="192" spans="7:17" x14ac:dyDescent="0.3">
      <c r="G192" s="66"/>
      <c r="H192" s="78"/>
      <c r="I192" s="78"/>
      <c r="J192" s="78"/>
      <c r="K192" s="78"/>
      <c r="L192" s="78"/>
      <c r="M192" s="78"/>
      <c r="N192" s="78"/>
      <c r="O192" s="78"/>
      <c r="P192" s="78"/>
      <c r="Q192" s="78"/>
    </row>
    <row r="193" spans="7:17" x14ac:dyDescent="0.3">
      <c r="G193" s="67"/>
      <c r="H193" s="77"/>
      <c r="I193" s="77"/>
      <c r="J193" s="77"/>
      <c r="K193" s="77"/>
      <c r="L193" s="77"/>
      <c r="M193" s="77"/>
      <c r="N193" s="77"/>
      <c r="O193" s="77"/>
      <c r="P193" s="77"/>
      <c r="Q193" s="77"/>
    </row>
    <row r="194" spans="7:17" x14ac:dyDescent="0.3">
      <c r="G194" s="66"/>
      <c r="H194" s="78"/>
      <c r="I194" s="78"/>
      <c r="J194" s="78"/>
      <c r="K194" s="78"/>
      <c r="L194" s="78"/>
      <c r="M194" s="78"/>
      <c r="N194" s="78"/>
      <c r="O194" s="78"/>
      <c r="P194" s="78"/>
      <c r="Q194" s="78"/>
    </row>
    <row r="195" spans="7:17" x14ac:dyDescent="0.3">
      <c r="G195" s="67"/>
      <c r="H195" s="77"/>
      <c r="I195" s="77"/>
      <c r="J195" s="77"/>
      <c r="K195" s="77"/>
      <c r="L195" s="77"/>
      <c r="M195" s="77"/>
      <c r="N195" s="77"/>
      <c r="O195" s="77"/>
      <c r="P195" s="77"/>
      <c r="Q195" s="77"/>
    </row>
    <row r="196" spans="7:17" x14ac:dyDescent="0.3">
      <c r="G196" s="66"/>
      <c r="H196" s="78"/>
      <c r="I196" s="78"/>
      <c r="J196" s="78"/>
      <c r="K196" s="78"/>
      <c r="L196" s="78"/>
      <c r="M196" s="78"/>
      <c r="N196" s="78"/>
      <c r="O196" s="78"/>
      <c r="P196" s="78"/>
      <c r="Q196" s="78"/>
    </row>
    <row r="197" spans="7:17" x14ac:dyDescent="0.3">
      <c r="G197" s="67"/>
      <c r="H197" s="77"/>
      <c r="I197" s="77"/>
      <c r="J197" s="77"/>
      <c r="K197" s="77"/>
      <c r="L197" s="77"/>
      <c r="M197" s="77"/>
      <c r="N197" s="77"/>
      <c r="O197" s="77"/>
      <c r="P197" s="77"/>
      <c r="Q197" s="77"/>
    </row>
    <row r="198" spans="7:17" x14ac:dyDescent="0.3">
      <c r="G198" s="66"/>
      <c r="H198" s="78"/>
      <c r="I198" s="78"/>
      <c r="J198" s="78"/>
      <c r="K198" s="78"/>
      <c r="L198" s="78"/>
      <c r="M198" s="78"/>
      <c r="N198" s="78"/>
      <c r="O198" s="78"/>
      <c r="P198" s="78"/>
      <c r="Q198" s="78"/>
    </row>
    <row r="199" spans="7:17" x14ac:dyDescent="0.3">
      <c r="G199" s="67"/>
      <c r="H199" s="77"/>
      <c r="I199" s="77"/>
      <c r="J199" s="77"/>
      <c r="K199" s="77"/>
      <c r="L199" s="77"/>
      <c r="M199" s="77"/>
      <c r="N199" s="77"/>
      <c r="O199" s="77"/>
      <c r="P199" s="77"/>
      <c r="Q199" s="77"/>
    </row>
    <row r="200" spans="7:17" x14ac:dyDescent="0.3">
      <c r="G200" s="66"/>
      <c r="H200" s="78"/>
      <c r="I200" s="78"/>
      <c r="J200" s="78"/>
      <c r="K200" s="78"/>
      <c r="L200" s="78"/>
      <c r="M200" s="78"/>
      <c r="N200" s="78"/>
      <c r="O200" s="78"/>
      <c r="P200" s="78"/>
      <c r="Q200" s="78"/>
    </row>
    <row r="201" spans="7:17" x14ac:dyDescent="0.3">
      <c r="G201" s="67"/>
      <c r="H201" s="77"/>
      <c r="I201" s="77"/>
      <c r="J201" s="77"/>
      <c r="K201" s="77"/>
      <c r="L201" s="77"/>
      <c r="M201" s="77"/>
      <c r="N201" s="77"/>
      <c r="O201" s="77"/>
      <c r="P201" s="77"/>
      <c r="Q201" s="77"/>
    </row>
    <row r="202" spans="7:17" x14ac:dyDescent="0.3">
      <c r="G202" s="66"/>
      <c r="H202" s="78"/>
      <c r="I202" s="78"/>
      <c r="J202" s="78"/>
      <c r="K202" s="78"/>
      <c r="L202" s="78"/>
      <c r="M202" s="78"/>
      <c r="N202" s="78"/>
      <c r="O202" s="78"/>
      <c r="P202" s="78"/>
      <c r="Q202" s="78"/>
    </row>
    <row r="203" spans="7:17" x14ac:dyDescent="0.3">
      <c r="G203" s="67"/>
      <c r="H203" s="77"/>
      <c r="I203" s="77"/>
      <c r="J203" s="77"/>
      <c r="K203" s="77"/>
      <c r="L203" s="77"/>
      <c r="M203" s="77"/>
      <c r="N203" s="77"/>
      <c r="O203" s="77"/>
      <c r="P203" s="77"/>
      <c r="Q203" s="77"/>
    </row>
    <row r="204" spans="7:17" x14ac:dyDescent="0.3">
      <c r="G204" s="66"/>
      <c r="H204" s="78"/>
      <c r="I204" s="78"/>
      <c r="J204" s="78"/>
      <c r="K204" s="78"/>
      <c r="L204" s="78"/>
      <c r="M204" s="78"/>
      <c r="N204" s="78"/>
      <c r="O204" s="78"/>
      <c r="P204" s="78"/>
      <c r="Q204" s="78"/>
    </row>
    <row r="205" spans="7:17" x14ac:dyDescent="0.3">
      <c r="G205" s="67"/>
      <c r="H205" s="77"/>
      <c r="I205" s="77"/>
      <c r="J205" s="77"/>
      <c r="K205" s="77"/>
      <c r="L205" s="77"/>
      <c r="M205" s="77"/>
      <c r="N205" s="77"/>
      <c r="O205" s="77"/>
      <c r="P205" s="77"/>
      <c r="Q205" s="77"/>
    </row>
    <row r="206" spans="7:17" x14ac:dyDescent="0.3">
      <c r="G206" s="66"/>
      <c r="H206" s="78"/>
      <c r="I206" s="78"/>
      <c r="J206" s="78"/>
      <c r="K206" s="78"/>
      <c r="L206" s="78"/>
      <c r="M206" s="78"/>
      <c r="N206" s="78"/>
      <c r="O206" s="78"/>
      <c r="P206" s="78"/>
      <c r="Q206" s="78"/>
    </row>
    <row r="207" spans="7:17" x14ac:dyDescent="0.3">
      <c r="G207" s="67"/>
      <c r="H207" s="77"/>
      <c r="I207" s="77"/>
      <c r="J207" s="77"/>
      <c r="K207" s="77"/>
      <c r="L207" s="77"/>
      <c r="M207" s="77"/>
      <c r="N207" s="77"/>
      <c r="O207" s="77"/>
      <c r="P207" s="77"/>
      <c r="Q207" s="77"/>
    </row>
    <row r="208" spans="7:17" x14ac:dyDescent="0.3">
      <c r="G208" s="66"/>
      <c r="H208" s="78"/>
      <c r="I208" s="78"/>
      <c r="J208" s="78"/>
      <c r="K208" s="78"/>
      <c r="L208" s="78"/>
      <c r="M208" s="78"/>
      <c r="N208" s="78"/>
      <c r="O208" s="78"/>
      <c r="P208" s="78"/>
      <c r="Q208" s="78"/>
    </row>
    <row r="209" spans="7:17" x14ac:dyDescent="0.3">
      <c r="G209" s="67"/>
      <c r="H209" s="77"/>
      <c r="I209" s="77"/>
      <c r="J209" s="77"/>
      <c r="K209" s="77"/>
      <c r="L209" s="77"/>
      <c r="M209" s="77"/>
      <c r="N209" s="77"/>
      <c r="O209" s="77"/>
      <c r="P209" s="77"/>
      <c r="Q209" s="77"/>
    </row>
    <row r="210" spans="7:17" x14ac:dyDescent="0.3">
      <c r="G210" s="66"/>
      <c r="H210" s="78"/>
      <c r="I210" s="78"/>
      <c r="J210" s="78"/>
      <c r="K210" s="78"/>
      <c r="L210" s="78"/>
      <c r="M210" s="78"/>
      <c r="N210" s="78"/>
      <c r="O210" s="78"/>
      <c r="P210" s="78"/>
      <c r="Q210" s="78"/>
    </row>
    <row r="211" spans="7:17" x14ac:dyDescent="0.3">
      <c r="G211" s="67"/>
      <c r="H211" s="77"/>
      <c r="I211" s="77"/>
      <c r="J211" s="77"/>
      <c r="K211" s="77"/>
      <c r="L211" s="77"/>
      <c r="M211" s="77"/>
      <c r="N211" s="77"/>
      <c r="O211" s="77"/>
      <c r="P211" s="77"/>
      <c r="Q211" s="77"/>
    </row>
    <row r="212" spans="7:17" x14ac:dyDescent="0.3">
      <c r="G212" s="66"/>
      <c r="H212" s="78"/>
      <c r="I212" s="78"/>
      <c r="J212" s="78"/>
      <c r="K212" s="78"/>
      <c r="L212" s="78"/>
      <c r="M212" s="78"/>
      <c r="N212" s="78"/>
      <c r="O212" s="78"/>
      <c r="P212" s="78"/>
      <c r="Q212" s="78"/>
    </row>
    <row r="213" spans="7:17" x14ac:dyDescent="0.3">
      <c r="G213" s="67"/>
      <c r="H213" s="77"/>
      <c r="I213" s="77"/>
      <c r="J213" s="77"/>
      <c r="K213" s="77"/>
      <c r="L213" s="77"/>
      <c r="M213" s="77"/>
      <c r="N213" s="77"/>
      <c r="O213" s="77"/>
      <c r="P213" s="77"/>
      <c r="Q213" s="77"/>
    </row>
    <row r="214" spans="7:17" x14ac:dyDescent="0.3">
      <c r="G214" s="66"/>
      <c r="H214" s="78"/>
      <c r="I214" s="78"/>
      <c r="J214" s="78"/>
      <c r="K214" s="78"/>
      <c r="L214" s="78"/>
      <c r="M214" s="78"/>
      <c r="N214" s="78"/>
      <c r="O214" s="78"/>
      <c r="P214" s="78"/>
      <c r="Q214" s="78"/>
    </row>
    <row r="215" spans="7:17" x14ac:dyDescent="0.3">
      <c r="G215" s="67"/>
      <c r="H215" s="77"/>
      <c r="I215" s="77"/>
      <c r="J215" s="77"/>
      <c r="K215" s="77"/>
      <c r="L215" s="77"/>
      <c r="M215" s="77"/>
      <c r="N215" s="77"/>
      <c r="O215" s="77"/>
      <c r="P215" s="77"/>
      <c r="Q215" s="77"/>
    </row>
    <row r="216" spans="7:17" x14ac:dyDescent="0.3">
      <c r="G216" s="66"/>
      <c r="H216" s="78"/>
      <c r="I216" s="78"/>
      <c r="J216" s="78"/>
      <c r="K216" s="78"/>
      <c r="L216" s="78"/>
      <c r="M216" s="78"/>
      <c r="N216" s="78"/>
      <c r="O216" s="78"/>
      <c r="P216" s="78"/>
      <c r="Q216" s="78"/>
    </row>
    <row r="217" spans="7:17" x14ac:dyDescent="0.3">
      <c r="G217" s="67"/>
      <c r="H217" s="77"/>
      <c r="I217" s="77"/>
      <c r="J217" s="77"/>
      <c r="K217" s="77"/>
      <c r="L217" s="77"/>
      <c r="M217" s="77"/>
      <c r="N217" s="77"/>
      <c r="O217" s="77"/>
      <c r="P217" s="77"/>
      <c r="Q217" s="77"/>
    </row>
    <row r="218" spans="7:17" x14ac:dyDescent="0.3">
      <c r="G218" s="66"/>
      <c r="H218" s="78"/>
      <c r="I218" s="78"/>
      <c r="J218" s="78"/>
      <c r="K218" s="78"/>
      <c r="L218" s="78"/>
      <c r="M218" s="78"/>
      <c r="N218" s="78"/>
      <c r="O218" s="78"/>
      <c r="P218" s="78"/>
      <c r="Q218" s="78"/>
    </row>
    <row r="219" spans="7:17" x14ac:dyDescent="0.3">
      <c r="G219" s="67"/>
      <c r="H219" s="77"/>
      <c r="I219" s="77"/>
      <c r="J219" s="77"/>
      <c r="K219" s="77"/>
      <c r="L219" s="77"/>
      <c r="M219" s="77"/>
      <c r="N219" s="77"/>
      <c r="O219" s="77"/>
      <c r="P219" s="77"/>
      <c r="Q219" s="77"/>
    </row>
    <row r="220" spans="7:17" x14ac:dyDescent="0.3">
      <c r="G220" s="66"/>
      <c r="H220" s="78"/>
      <c r="I220" s="78"/>
      <c r="J220" s="78"/>
      <c r="K220" s="78"/>
      <c r="L220" s="78"/>
      <c r="M220" s="78"/>
      <c r="N220" s="78"/>
      <c r="O220" s="78"/>
      <c r="P220" s="78"/>
      <c r="Q220" s="78"/>
    </row>
    <row r="221" spans="7:17" x14ac:dyDescent="0.3">
      <c r="G221" s="67"/>
      <c r="H221" s="77"/>
      <c r="I221" s="77"/>
      <c r="J221" s="77"/>
      <c r="K221" s="77"/>
      <c r="L221" s="77"/>
      <c r="M221" s="77"/>
      <c r="N221" s="77"/>
      <c r="O221" s="77"/>
      <c r="P221" s="77"/>
      <c r="Q221" s="77"/>
    </row>
    <row r="222" spans="7:17" x14ac:dyDescent="0.3">
      <c r="G222" s="66"/>
      <c r="H222" s="78"/>
      <c r="I222" s="78"/>
      <c r="J222" s="78"/>
      <c r="K222" s="78"/>
      <c r="L222" s="78"/>
      <c r="M222" s="78"/>
      <c r="N222" s="78"/>
      <c r="O222" s="78"/>
      <c r="P222" s="78"/>
      <c r="Q222" s="78"/>
    </row>
    <row r="223" spans="7:17" x14ac:dyDescent="0.3">
      <c r="G223" s="67"/>
      <c r="H223" s="77"/>
      <c r="I223" s="77"/>
      <c r="J223" s="77"/>
      <c r="K223" s="77"/>
      <c r="L223" s="77"/>
      <c r="M223" s="77"/>
      <c r="N223" s="77"/>
      <c r="O223" s="77"/>
      <c r="P223" s="77"/>
      <c r="Q223" s="77"/>
    </row>
    <row r="224" spans="7:17" x14ac:dyDescent="0.3">
      <c r="G224" s="66"/>
      <c r="H224" s="78"/>
      <c r="I224" s="78"/>
      <c r="J224" s="78"/>
      <c r="K224" s="78"/>
      <c r="L224" s="78"/>
      <c r="M224" s="78"/>
      <c r="N224" s="78"/>
      <c r="O224" s="78"/>
      <c r="P224" s="78"/>
      <c r="Q224" s="78"/>
    </row>
    <row r="225" spans="7:17" x14ac:dyDescent="0.3">
      <c r="G225" s="67"/>
      <c r="H225" s="77"/>
      <c r="I225" s="77"/>
      <c r="J225" s="77"/>
      <c r="K225" s="77"/>
      <c r="L225" s="77"/>
      <c r="M225" s="77"/>
      <c r="N225" s="77"/>
      <c r="O225" s="77"/>
      <c r="P225" s="77"/>
      <c r="Q225" s="77"/>
    </row>
    <row r="226" spans="7:17" x14ac:dyDescent="0.3">
      <c r="G226" s="66"/>
      <c r="H226" s="78"/>
      <c r="I226" s="78"/>
      <c r="J226" s="78"/>
      <c r="K226" s="78"/>
      <c r="L226" s="78"/>
      <c r="M226" s="78"/>
      <c r="N226" s="78"/>
      <c r="O226" s="78"/>
      <c r="P226" s="78"/>
      <c r="Q226" s="78"/>
    </row>
    <row r="227" spans="7:17" x14ac:dyDescent="0.3">
      <c r="G227" s="67"/>
      <c r="H227" s="77"/>
      <c r="I227" s="77"/>
      <c r="J227" s="77"/>
      <c r="K227" s="77"/>
      <c r="L227" s="77"/>
      <c r="M227" s="77"/>
      <c r="N227" s="77"/>
      <c r="O227" s="77"/>
      <c r="P227" s="77"/>
      <c r="Q227" s="77"/>
    </row>
    <row r="228" spans="7:17" x14ac:dyDescent="0.3">
      <c r="G228" s="66"/>
      <c r="H228" s="78"/>
      <c r="I228" s="78"/>
      <c r="J228" s="78"/>
      <c r="K228" s="78"/>
      <c r="L228" s="78"/>
      <c r="M228" s="78"/>
      <c r="N228" s="78"/>
      <c r="O228" s="78"/>
      <c r="P228" s="78"/>
      <c r="Q228" s="78"/>
    </row>
    <row r="229" spans="7:17" x14ac:dyDescent="0.3">
      <c r="G229" s="67"/>
      <c r="H229" s="77"/>
      <c r="I229" s="77"/>
      <c r="J229" s="77"/>
      <c r="K229" s="77"/>
      <c r="L229" s="77"/>
      <c r="M229" s="77"/>
      <c r="N229" s="77"/>
      <c r="O229" s="77"/>
      <c r="P229" s="77"/>
      <c r="Q229" s="77"/>
    </row>
    <row r="230" spans="7:17" x14ac:dyDescent="0.3">
      <c r="G230" s="66"/>
      <c r="H230" s="78"/>
      <c r="I230" s="78"/>
      <c r="J230" s="78"/>
      <c r="K230" s="78"/>
      <c r="L230" s="78"/>
      <c r="M230" s="78"/>
      <c r="N230" s="78"/>
      <c r="O230" s="78"/>
      <c r="P230" s="78"/>
      <c r="Q230" s="78"/>
    </row>
    <row r="231" spans="7:17" x14ac:dyDescent="0.3">
      <c r="G231" s="67"/>
      <c r="H231" s="77"/>
      <c r="I231" s="77"/>
      <c r="J231" s="77"/>
      <c r="K231" s="77"/>
      <c r="L231" s="77"/>
      <c r="M231" s="77"/>
      <c r="N231" s="77"/>
      <c r="O231" s="77"/>
      <c r="P231" s="77"/>
      <c r="Q231" s="77"/>
    </row>
    <row r="232" spans="7:17" x14ac:dyDescent="0.3">
      <c r="G232" s="66"/>
      <c r="H232" s="78"/>
      <c r="I232" s="78"/>
      <c r="J232" s="78"/>
      <c r="K232" s="78"/>
      <c r="L232" s="78"/>
      <c r="M232" s="78"/>
      <c r="N232" s="78"/>
      <c r="O232" s="78"/>
      <c r="P232" s="78"/>
      <c r="Q232" s="78"/>
    </row>
    <row r="233" spans="7:17" x14ac:dyDescent="0.3">
      <c r="G233" s="67"/>
      <c r="H233" s="77"/>
      <c r="I233" s="77"/>
      <c r="J233" s="77"/>
      <c r="K233" s="77"/>
      <c r="L233" s="77"/>
      <c r="M233" s="77"/>
      <c r="N233" s="77"/>
      <c r="O233" s="77"/>
      <c r="P233" s="77"/>
      <c r="Q233" s="77"/>
    </row>
    <row r="234" spans="7:17" x14ac:dyDescent="0.3">
      <c r="G234" s="66"/>
      <c r="H234" s="78"/>
      <c r="I234" s="78"/>
      <c r="J234" s="78"/>
      <c r="K234" s="78"/>
      <c r="L234" s="78"/>
      <c r="M234" s="78"/>
      <c r="N234" s="78"/>
      <c r="O234" s="78"/>
      <c r="P234" s="78"/>
      <c r="Q234" s="78"/>
    </row>
    <row r="235" spans="7:17" x14ac:dyDescent="0.3">
      <c r="G235" s="67"/>
      <c r="H235" s="77"/>
      <c r="I235" s="77"/>
      <c r="J235" s="77"/>
      <c r="K235" s="77"/>
      <c r="L235" s="77"/>
      <c r="M235" s="77"/>
      <c r="N235" s="77"/>
      <c r="O235" s="77"/>
      <c r="P235" s="77"/>
      <c r="Q235" s="77"/>
    </row>
    <row r="236" spans="7:17" x14ac:dyDescent="0.3">
      <c r="G236" s="66"/>
      <c r="H236" s="78"/>
      <c r="I236" s="78"/>
      <c r="J236" s="78"/>
      <c r="K236" s="78"/>
      <c r="L236" s="78"/>
      <c r="M236" s="78"/>
      <c r="N236" s="78"/>
      <c r="O236" s="78"/>
      <c r="P236" s="78"/>
      <c r="Q236" s="78"/>
    </row>
    <row r="237" spans="7:17" x14ac:dyDescent="0.3">
      <c r="G237" s="67"/>
      <c r="H237" s="77"/>
      <c r="I237" s="77"/>
      <c r="J237" s="77"/>
      <c r="K237" s="77"/>
      <c r="L237" s="77"/>
      <c r="M237" s="77"/>
      <c r="N237" s="77"/>
      <c r="O237" s="77"/>
      <c r="P237" s="77"/>
      <c r="Q237" s="77"/>
    </row>
    <row r="238" spans="7:17" x14ac:dyDescent="0.3">
      <c r="G238" s="66"/>
      <c r="H238" s="78"/>
      <c r="I238" s="78"/>
      <c r="J238" s="78"/>
      <c r="K238" s="78"/>
      <c r="L238" s="78"/>
      <c r="M238" s="78"/>
      <c r="N238" s="78"/>
      <c r="O238" s="78"/>
      <c r="P238" s="78"/>
      <c r="Q238" s="78"/>
    </row>
    <row r="239" spans="7:17" x14ac:dyDescent="0.3">
      <c r="G239" s="67"/>
      <c r="H239" s="77"/>
      <c r="I239" s="77"/>
      <c r="J239" s="77"/>
      <c r="K239" s="77"/>
      <c r="L239" s="77"/>
      <c r="M239" s="77"/>
      <c r="N239" s="77"/>
      <c r="O239" s="77"/>
      <c r="P239" s="77"/>
      <c r="Q239" s="77"/>
    </row>
    <row r="240" spans="7:17" x14ac:dyDescent="0.3">
      <c r="G240" s="66"/>
      <c r="H240" s="78"/>
      <c r="I240" s="78"/>
      <c r="J240" s="78"/>
      <c r="K240" s="78"/>
      <c r="L240" s="78"/>
      <c r="M240" s="78"/>
      <c r="N240" s="78"/>
      <c r="O240" s="78"/>
      <c r="P240" s="78"/>
      <c r="Q240" s="78"/>
    </row>
    <row r="241" spans="7:17" x14ac:dyDescent="0.3">
      <c r="G241" s="67"/>
      <c r="H241" s="77"/>
      <c r="I241" s="77"/>
      <c r="J241" s="77"/>
      <c r="K241" s="77"/>
      <c r="L241" s="77"/>
      <c r="M241" s="77"/>
      <c r="N241" s="77"/>
      <c r="O241" s="77"/>
      <c r="P241" s="77"/>
      <c r="Q241" s="77"/>
    </row>
    <row r="242" spans="7:17" x14ac:dyDescent="0.3">
      <c r="G242" s="66"/>
      <c r="H242" s="78"/>
      <c r="I242" s="78"/>
      <c r="J242" s="78"/>
      <c r="K242" s="78"/>
      <c r="L242" s="78"/>
      <c r="M242" s="78"/>
      <c r="N242" s="78"/>
      <c r="O242" s="78"/>
      <c r="P242" s="78"/>
      <c r="Q242" s="78"/>
    </row>
    <row r="243" spans="7:17" x14ac:dyDescent="0.3">
      <c r="G243" s="67"/>
      <c r="H243" s="77"/>
      <c r="I243" s="77"/>
      <c r="J243" s="77"/>
      <c r="K243" s="77"/>
      <c r="L243" s="77"/>
      <c r="M243" s="77"/>
      <c r="N243" s="77"/>
      <c r="O243" s="77"/>
      <c r="P243" s="77"/>
      <c r="Q243" s="77"/>
    </row>
    <row r="244" spans="7:17" x14ac:dyDescent="0.3">
      <c r="G244" s="66"/>
      <c r="H244" s="78"/>
      <c r="I244" s="78"/>
      <c r="J244" s="78"/>
      <c r="K244" s="78"/>
      <c r="L244" s="78"/>
      <c r="M244" s="78"/>
      <c r="N244" s="78"/>
      <c r="O244" s="78"/>
      <c r="P244" s="78"/>
      <c r="Q244" s="78"/>
    </row>
    <row r="245" spans="7:17" x14ac:dyDescent="0.3">
      <c r="G245" s="67"/>
      <c r="H245" s="77"/>
      <c r="I245" s="77"/>
      <c r="J245" s="77"/>
      <c r="K245" s="77"/>
      <c r="L245" s="77"/>
      <c r="M245" s="77"/>
      <c r="N245" s="77"/>
      <c r="O245" s="77"/>
      <c r="P245" s="77"/>
      <c r="Q245" s="77"/>
    </row>
    <row r="246" spans="7:17" x14ac:dyDescent="0.3">
      <c r="G246" s="66"/>
      <c r="H246" s="78"/>
      <c r="I246" s="78"/>
      <c r="J246" s="78"/>
      <c r="K246" s="78"/>
      <c r="L246" s="78"/>
      <c r="M246" s="78"/>
      <c r="N246" s="78"/>
      <c r="O246" s="78"/>
      <c r="P246" s="78"/>
      <c r="Q246" s="78"/>
    </row>
    <row r="247" spans="7:17" x14ac:dyDescent="0.3">
      <c r="G247" s="67"/>
      <c r="H247" s="77"/>
      <c r="I247" s="77"/>
      <c r="J247" s="77"/>
      <c r="K247" s="77"/>
      <c r="L247" s="77"/>
      <c r="M247" s="77"/>
      <c r="N247" s="77"/>
      <c r="O247" s="77"/>
      <c r="P247" s="77"/>
      <c r="Q247" s="77"/>
    </row>
    <row r="248" spans="7:17" x14ac:dyDescent="0.3">
      <c r="G248" s="66"/>
      <c r="H248" s="78"/>
      <c r="I248" s="78"/>
      <c r="J248" s="78"/>
      <c r="K248" s="78"/>
      <c r="L248" s="78"/>
      <c r="M248" s="78"/>
      <c r="N248" s="78"/>
      <c r="O248" s="78"/>
      <c r="P248" s="78"/>
      <c r="Q248" s="78"/>
    </row>
    <row r="249" spans="7:17" x14ac:dyDescent="0.3">
      <c r="G249" s="67"/>
      <c r="H249" s="77"/>
      <c r="I249" s="77"/>
      <c r="J249" s="77"/>
      <c r="K249" s="77"/>
      <c r="L249" s="77"/>
      <c r="M249" s="77"/>
      <c r="N249" s="77"/>
      <c r="O249" s="77"/>
      <c r="P249" s="77"/>
      <c r="Q249" s="77"/>
    </row>
    <row r="250" spans="7:17" x14ac:dyDescent="0.3">
      <c r="G250" s="66"/>
      <c r="H250" s="78"/>
      <c r="I250" s="78"/>
      <c r="J250" s="78"/>
      <c r="K250" s="78"/>
      <c r="L250" s="78"/>
      <c r="M250" s="78"/>
      <c r="N250" s="78"/>
      <c r="O250" s="78"/>
      <c r="P250" s="78"/>
      <c r="Q250" s="78"/>
    </row>
    <row r="251" spans="7:17" x14ac:dyDescent="0.3">
      <c r="G251" s="67"/>
      <c r="H251" s="77"/>
      <c r="I251" s="77"/>
      <c r="J251" s="77"/>
      <c r="K251" s="77"/>
      <c r="L251" s="77"/>
      <c r="M251" s="77"/>
      <c r="N251" s="77"/>
      <c r="O251" s="77"/>
      <c r="P251" s="77"/>
      <c r="Q251" s="77"/>
    </row>
    <row r="252" spans="7:17" x14ac:dyDescent="0.3">
      <c r="G252" s="66"/>
      <c r="H252" s="78"/>
      <c r="I252" s="78"/>
      <c r="J252" s="78"/>
      <c r="K252" s="78"/>
      <c r="L252" s="78"/>
      <c r="M252" s="78"/>
      <c r="N252" s="78"/>
      <c r="O252" s="78"/>
      <c r="P252" s="78"/>
      <c r="Q252" s="78"/>
    </row>
    <row r="253" spans="7:17" x14ac:dyDescent="0.3">
      <c r="G253" s="67"/>
      <c r="H253" s="77"/>
      <c r="I253" s="77"/>
      <c r="J253" s="77"/>
      <c r="K253" s="77"/>
      <c r="L253" s="77"/>
      <c r="M253" s="77"/>
      <c r="N253" s="77"/>
      <c r="O253" s="77"/>
      <c r="P253" s="77"/>
      <c r="Q253" s="77"/>
    </row>
    <row r="254" spans="7:17" x14ac:dyDescent="0.3">
      <c r="G254" s="66"/>
      <c r="H254" s="78"/>
      <c r="I254" s="78"/>
      <c r="J254" s="78"/>
      <c r="K254" s="78"/>
      <c r="L254" s="78"/>
      <c r="M254" s="78"/>
      <c r="N254" s="78"/>
      <c r="O254" s="78"/>
      <c r="P254" s="78"/>
      <c r="Q254" s="78"/>
    </row>
    <row r="255" spans="7:17" x14ac:dyDescent="0.3">
      <c r="G255" s="67"/>
      <c r="H255" s="77"/>
      <c r="I255" s="77"/>
      <c r="J255" s="77"/>
      <c r="K255" s="77"/>
      <c r="L255" s="77"/>
      <c r="M255" s="77"/>
      <c r="N255" s="77"/>
      <c r="O255" s="77"/>
      <c r="P255" s="77"/>
      <c r="Q255" s="77"/>
    </row>
    <row r="256" spans="7:17" x14ac:dyDescent="0.3">
      <c r="G256" s="66"/>
      <c r="H256" s="78"/>
      <c r="I256" s="78"/>
      <c r="J256" s="78"/>
      <c r="K256" s="78"/>
      <c r="L256" s="78"/>
      <c r="M256" s="78"/>
      <c r="N256" s="78"/>
      <c r="O256" s="78"/>
      <c r="P256" s="78"/>
      <c r="Q256" s="78"/>
    </row>
    <row r="257" spans="7:17" x14ac:dyDescent="0.3">
      <c r="G257" s="67"/>
      <c r="H257" s="77"/>
      <c r="I257" s="77"/>
      <c r="J257" s="77"/>
      <c r="K257" s="77"/>
      <c r="L257" s="77"/>
      <c r="M257" s="77"/>
      <c r="N257" s="77"/>
      <c r="O257" s="77"/>
      <c r="P257" s="77"/>
      <c r="Q257" s="77"/>
    </row>
    <row r="258" spans="7:17" x14ac:dyDescent="0.3">
      <c r="G258" s="66"/>
      <c r="H258" s="78"/>
      <c r="I258" s="78"/>
      <c r="J258" s="78"/>
      <c r="K258" s="78"/>
      <c r="L258" s="78"/>
      <c r="M258" s="78"/>
      <c r="N258" s="78"/>
      <c r="O258" s="78"/>
      <c r="P258" s="78"/>
      <c r="Q258" s="78"/>
    </row>
    <row r="259" spans="7:17" x14ac:dyDescent="0.3">
      <c r="G259" s="67"/>
      <c r="H259" s="77"/>
      <c r="I259" s="77"/>
      <c r="J259" s="77"/>
      <c r="K259" s="77"/>
      <c r="L259" s="77"/>
      <c r="M259" s="77"/>
      <c r="N259" s="77"/>
      <c r="O259" s="77"/>
      <c r="P259" s="77"/>
      <c r="Q259" s="77"/>
    </row>
    <row r="260" spans="7:17" x14ac:dyDescent="0.3">
      <c r="G260" s="66"/>
      <c r="H260" s="78"/>
      <c r="I260" s="78"/>
      <c r="J260" s="78"/>
      <c r="K260" s="78"/>
      <c r="L260" s="78"/>
      <c r="M260" s="78"/>
      <c r="N260" s="78"/>
      <c r="O260" s="78"/>
      <c r="P260" s="78"/>
      <c r="Q260" s="78"/>
    </row>
    <row r="261" spans="7:17" x14ac:dyDescent="0.3">
      <c r="G261" s="67"/>
      <c r="H261" s="77"/>
      <c r="I261" s="77"/>
      <c r="J261" s="77"/>
      <c r="K261" s="77"/>
      <c r="L261" s="77"/>
      <c r="M261" s="77"/>
      <c r="N261" s="77"/>
      <c r="O261" s="77"/>
      <c r="P261" s="77"/>
      <c r="Q261" s="77"/>
    </row>
    <row r="262" spans="7:17" x14ac:dyDescent="0.3">
      <c r="G262" s="66"/>
      <c r="H262" s="78"/>
      <c r="I262" s="78"/>
      <c r="J262" s="78"/>
      <c r="K262" s="78"/>
      <c r="L262" s="78"/>
      <c r="M262" s="78"/>
      <c r="N262" s="78"/>
      <c r="O262" s="78"/>
      <c r="P262" s="78"/>
      <c r="Q262" s="78"/>
    </row>
    <row r="263" spans="7:17" x14ac:dyDescent="0.3">
      <c r="G263" s="67"/>
      <c r="H263" s="77"/>
      <c r="I263" s="77"/>
      <c r="J263" s="77"/>
      <c r="K263" s="77"/>
      <c r="L263" s="77"/>
      <c r="M263" s="77"/>
      <c r="N263" s="77"/>
      <c r="O263" s="77"/>
      <c r="P263" s="77"/>
      <c r="Q263" s="77"/>
    </row>
    <row r="264" spans="7:17" x14ac:dyDescent="0.3">
      <c r="G264" s="66"/>
      <c r="H264" s="78"/>
      <c r="I264" s="78"/>
      <c r="J264" s="78"/>
      <c r="K264" s="78"/>
      <c r="L264" s="78"/>
      <c r="M264" s="78"/>
      <c r="N264" s="78"/>
      <c r="O264" s="78"/>
      <c r="P264" s="78"/>
      <c r="Q264" s="78"/>
    </row>
    <row r="265" spans="7:17" x14ac:dyDescent="0.3">
      <c r="G265" s="67"/>
      <c r="H265" s="77"/>
      <c r="I265" s="77"/>
      <c r="J265" s="77"/>
      <c r="K265" s="77"/>
      <c r="L265" s="77"/>
      <c r="M265" s="77"/>
      <c r="N265" s="77"/>
      <c r="O265" s="77"/>
      <c r="P265" s="77"/>
      <c r="Q265" s="77"/>
    </row>
    <row r="266" spans="7:17" x14ac:dyDescent="0.3">
      <c r="G266" s="66"/>
      <c r="H266" s="78"/>
      <c r="I266" s="78"/>
      <c r="J266" s="78"/>
      <c r="K266" s="78"/>
      <c r="L266" s="78"/>
      <c r="M266" s="78"/>
      <c r="N266" s="78"/>
      <c r="O266" s="78"/>
      <c r="P266" s="78"/>
      <c r="Q266" s="78"/>
    </row>
    <row r="267" spans="7:17" x14ac:dyDescent="0.3">
      <c r="G267" s="67"/>
      <c r="H267" s="77"/>
      <c r="I267" s="77"/>
      <c r="J267" s="77"/>
      <c r="K267" s="77"/>
      <c r="L267" s="77"/>
      <c r="M267" s="77"/>
      <c r="N267" s="77"/>
      <c r="O267" s="77"/>
      <c r="P267" s="77"/>
      <c r="Q267" s="77"/>
    </row>
    <row r="268" spans="7:17" x14ac:dyDescent="0.3">
      <c r="G268" s="66"/>
      <c r="H268" s="78"/>
      <c r="I268" s="78"/>
      <c r="J268" s="78"/>
      <c r="K268" s="78"/>
      <c r="L268" s="78"/>
      <c r="M268" s="78"/>
      <c r="N268" s="78"/>
      <c r="O268" s="78"/>
      <c r="P268" s="78"/>
      <c r="Q268" s="78"/>
    </row>
    <row r="269" spans="7:17" x14ac:dyDescent="0.3">
      <c r="G269" s="67"/>
      <c r="H269" s="77"/>
      <c r="I269" s="77"/>
      <c r="J269" s="77"/>
      <c r="K269" s="77"/>
      <c r="L269" s="77"/>
      <c r="M269" s="77"/>
      <c r="N269" s="77"/>
      <c r="O269" s="77"/>
      <c r="P269" s="77"/>
      <c r="Q269" s="77"/>
    </row>
    <row r="270" spans="7:17" x14ac:dyDescent="0.3">
      <c r="G270" s="66"/>
      <c r="H270" s="78"/>
      <c r="I270" s="78"/>
      <c r="J270" s="78"/>
      <c r="K270" s="78"/>
      <c r="L270" s="78"/>
      <c r="M270" s="78"/>
      <c r="N270" s="78"/>
      <c r="O270" s="78"/>
      <c r="P270" s="78"/>
      <c r="Q270" s="78"/>
    </row>
    <row r="271" spans="7:17" x14ac:dyDescent="0.3">
      <c r="G271" s="67"/>
      <c r="H271" s="77"/>
      <c r="I271" s="77"/>
      <c r="J271" s="77"/>
      <c r="K271" s="77"/>
      <c r="L271" s="77"/>
      <c r="M271" s="77"/>
      <c r="N271" s="77"/>
      <c r="O271" s="77"/>
      <c r="P271" s="77"/>
      <c r="Q271" s="77"/>
    </row>
    <row r="272" spans="7:17" x14ac:dyDescent="0.3">
      <c r="G272" s="66"/>
      <c r="H272" s="78"/>
      <c r="I272" s="78"/>
      <c r="J272" s="78"/>
      <c r="K272" s="78"/>
      <c r="L272" s="78"/>
      <c r="M272" s="78"/>
      <c r="N272" s="78"/>
      <c r="O272" s="78"/>
      <c r="P272" s="78"/>
      <c r="Q272" s="78"/>
    </row>
    <row r="273" spans="7:17" x14ac:dyDescent="0.3">
      <c r="G273" s="67"/>
      <c r="H273" s="77"/>
      <c r="I273" s="77"/>
      <c r="J273" s="77"/>
      <c r="K273" s="77"/>
      <c r="L273" s="77"/>
      <c r="M273" s="77"/>
      <c r="N273" s="77"/>
      <c r="O273" s="77"/>
      <c r="P273" s="77"/>
      <c r="Q273" s="77"/>
    </row>
    <row r="274" spans="7:17" x14ac:dyDescent="0.3">
      <c r="G274" s="66"/>
      <c r="H274" s="78"/>
      <c r="I274" s="78"/>
      <c r="J274" s="78"/>
      <c r="K274" s="78"/>
      <c r="L274" s="78"/>
      <c r="M274" s="78"/>
      <c r="N274" s="78"/>
      <c r="O274" s="78"/>
      <c r="P274" s="78"/>
      <c r="Q274" s="78"/>
    </row>
    <row r="275" spans="7:17" x14ac:dyDescent="0.3">
      <c r="G275" s="67"/>
      <c r="H275" s="77"/>
      <c r="I275" s="77"/>
      <c r="J275" s="77"/>
      <c r="K275" s="77"/>
      <c r="L275" s="77"/>
      <c r="M275" s="77"/>
      <c r="N275" s="77"/>
      <c r="O275" s="77"/>
      <c r="P275" s="77"/>
      <c r="Q275" s="77"/>
    </row>
    <row r="276" spans="7:17" x14ac:dyDescent="0.3">
      <c r="G276" s="66"/>
      <c r="H276" s="78"/>
      <c r="I276" s="78"/>
      <c r="J276" s="78"/>
      <c r="K276" s="78"/>
      <c r="L276" s="78"/>
      <c r="M276" s="78"/>
      <c r="N276" s="78"/>
      <c r="O276" s="78"/>
      <c r="P276" s="78"/>
      <c r="Q276" s="78"/>
    </row>
    <row r="277" spans="7:17" x14ac:dyDescent="0.3">
      <c r="G277" s="67"/>
      <c r="H277" s="77"/>
      <c r="I277" s="77"/>
      <c r="J277" s="77"/>
      <c r="K277" s="77"/>
      <c r="L277" s="77"/>
      <c r="M277" s="77"/>
      <c r="N277" s="77"/>
      <c r="O277" s="77"/>
      <c r="P277" s="77"/>
      <c r="Q277" s="77"/>
    </row>
    <row r="278" spans="7:17" x14ac:dyDescent="0.3">
      <c r="G278" s="66"/>
      <c r="H278" s="78"/>
      <c r="I278" s="78"/>
      <c r="J278" s="78"/>
      <c r="K278" s="78"/>
      <c r="L278" s="78"/>
      <c r="M278" s="78"/>
      <c r="N278" s="78"/>
      <c r="O278" s="78"/>
      <c r="P278" s="78"/>
      <c r="Q278" s="78"/>
    </row>
    <row r="279" spans="7:17" x14ac:dyDescent="0.3">
      <c r="G279" s="67"/>
      <c r="H279" s="77"/>
      <c r="I279" s="77"/>
      <c r="J279" s="77"/>
      <c r="K279" s="77"/>
      <c r="L279" s="77"/>
      <c r="M279" s="77"/>
      <c r="N279" s="77"/>
      <c r="O279" s="77"/>
      <c r="P279" s="77"/>
      <c r="Q279" s="77"/>
    </row>
    <row r="280" spans="7:17" x14ac:dyDescent="0.3">
      <c r="G280" s="66"/>
      <c r="H280" s="78"/>
      <c r="I280" s="78"/>
      <c r="J280" s="78"/>
      <c r="K280" s="78"/>
      <c r="L280" s="78"/>
      <c r="M280" s="78"/>
      <c r="N280" s="78"/>
      <c r="O280" s="78"/>
      <c r="P280" s="78"/>
      <c r="Q280" s="78"/>
    </row>
    <row r="281" spans="7:17" x14ac:dyDescent="0.3">
      <c r="G281" s="67"/>
      <c r="H281" s="77"/>
      <c r="I281" s="77"/>
      <c r="J281" s="77"/>
      <c r="K281" s="77"/>
      <c r="L281" s="77"/>
      <c r="M281" s="77"/>
      <c r="N281" s="77"/>
      <c r="O281" s="77"/>
      <c r="P281" s="77"/>
      <c r="Q281" s="77"/>
    </row>
    <row r="282" spans="7:17" x14ac:dyDescent="0.3">
      <c r="G282" s="66"/>
      <c r="H282" s="78"/>
      <c r="I282" s="78"/>
      <c r="J282" s="78"/>
      <c r="K282" s="78"/>
      <c r="L282" s="78"/>
      <c r="M282" s="78"/>
      <c r="N282" s="78"/>
      <c r="O282" s="78"/>
      <c r="P282" s="78"/>
      <c r="Q282" s="78"/>
    </row>
    <row r="283" spans="7:17" x14ac:dyDescent="0.3">
      <c r="G283" s="67"/>
      <c r="H283" s="77"/>
      <c r="I283" s="77"/>
      <c r="J283" s="77"/>
      <c r="K283" s="77"/>
      <c r="L283" s="77"/>
      <c r="M283" s="77"/>
      <c r="N283" s="77"/>
      <c r="O283" s="77"/>
      <c r="P283" s="77"/>
      <c r="Q283" s="77"/>
    </row>
    <row r="284" spans="7:17" x14ac:dyDescent="0.3">
      <c r="G284" s="66"/>
      <c r="H284" s="78"/>
      <c r="I284" s="78"/>
      <c r="J284" s="78"/>
      <c r="K284" s="78"/>
      <c r="L284" s="78"/>
      <c r="M284" s="78"/>
      <c r="N284" s="78"/>
      <c r="O284" s="78"/>
      <c r="P284" s="78"/>
      <c r="Q284" s="78"/>
    </row>
    <row r="285" spans="7:17" x14ac:dyDescent="0.3">
      <c r="G285" s="67"/>
      <c r="H285" s="77"/>
      <c r="I285" s="77"/>
      <c r="J285" s="77"/>
      <c r="K285" s="77"/>
      <c r="L285" s="77"/>
      <c r="M285" s="77"/>
      <c r="N285" s="77"/>
      <c r="O285" s="77"/>
      <c r="P285" s="77"/>
      <c r="Q285" s="77"/>
    </row>
    <row r="286" spans="7:17" x14ac:dyDescent="0.3">
      <c r="G286" s="66"/>
      <c r="H286" s="78"/>
      <c r="I286" s="78"/>
      <c r="J286" s="78"/>
      <c r="K286" s="78"/>
      <c r="L286" s="78"/>
      <c r="M286" s="78"/>
      <c r="N286" s="78"/>
      <c r="O286" s="78"/>
      <c r="P286" s="78"/>
      <c r="Q286" s="78"/>
    </row>
    <row r="287" spans="7:17" x14ac:dyDescent="0.3">
      <c r="G287" s="67"/>
      <c r="H287" s="77"/>
      <c r="I287" s="77"/>
      <c r="J287" s="77"/>
      <c r="K287" s="77"/>
      <c r="L287" s="77"/>
      <c r="M287" s="77"/>
      <c r="N287" s="77"/>
      <c r="O287" s="77"/>
      <c r="P287" s="77"/>
      <c r="Q287" s="77"/>
    </row>
    <row r="288" spans="7:17" x14ac:dyDescent="0.3">
      <c r="G288" s="66"/>
      <c r="H288" s="78"/>
      <c r="I288" s="78"/>
      <c r="J288" s="78"/>
      <c r="K288" s="78"/>
      <c r="L288" s="78"/>
      <c r="M288" s="78"/>
      <c r="N288" s="78"/>
      <c r="O288" s="78"/>
      <c r="P288" s="78"/>
      <c r="Q288" s="78"/>
    </row>
    <row r="289" spans="7:17" x14ac:dyDescent="0.3">
      <c r="G289" s="67"/>
      <c r="H289" s="77"/>
      <c r="I289" s="77"/>
      <c r="J289" s="77"/>
      <c r="K289" s="77"/>
      <c r="L289" s="77"/>
      <c r="M289" s="77"/>
      <c r="N289" s="77"/>
      <c r="O289" s="77"/>
      <c r="P289" s="77"/>
      <c r="Q289" s="77"/>
    </row>
    <row r="290" spans="7:17" x14ac:dyDescent="0.3">
      <c r="G290" s="66"/>
      <c r="H290" s="78"/>
      <c r="I290" s="78"/>
      <c r="J290" s="78"/>
      <c r="K290" s="78"/>
      <c r="L290" s="78"/>
      <c r="M290" s="78"/>
      <c r="N290" s="78"/>
      <c r="O290" s="78"/>
      <c r="P290" s="78"/>
      <c r="Q290" s="78"/>
    </row>
    <row r="291" spans="7:17" x14ac:dyDescent="0.3">
      <c r="G291" s="67"/>
      <c r="H291" s="77"/>
      <c r="I291" s="77"/>
      <c r="J291" s="77"/>
      <c r="K291" s="77"/>
      <c r="L291" s="77"/>
      <c r="M291" s="77"/>
      <c r="N291" s="77"/>
      <c r="O291" s="77"/>
      <c r="P291" s="77"/>
      <c r="Q291" s="77"/>
    </row>
    <row r="292" spans="7:17" x14ac:dyDescent="0.3">
      <c r="G292" s="66"/>
      <c r="H292" s="78"/>
      <c r="I292" s="78"/>
      <c r="J292" s="78"/>
      <c r="K292" s="78"/>
      <c r="L292" s="78"/>
      <c r="M292" s="78"/>
      <c r="N292" s="78"/>
      <c r="O292" s="78"/>
      <c r="P292" s="78"/>
      <c r="Q292" s="78"/>
    </row>
    <row r="293" spans="7:17" x14ac:dyDescent="0.3">
      <c r="G293" s="67"/>
      <c r="H293" s="77"/>
      <c r="I293" s="77"/>
      <c r="J293" s="77"/>
      <c r="K293" s="77"/>
      <c r="L293" s="77"/>
      <c r="M293" s="77"/>
      <c r="N293" s="77"/>
      <c r="O293" s="77"/>
      <c r="P293" s="77"/>
      <c r="Q293" s="77"/>
    </row>
    <row r="294" spans="7:17" x14ac:dyDescent="0.3">
      <c r="G294" s="66"/>
      <c r="H294" s="78"/>
      <c r="I294" s="78"/>
      <c r="J294" s="78"/>
      <c r="K294" s="78"/>
      <c r="L294" s="78"/>
      <c r="M294" s="78"/>
      <c r="N294" s="78"/>
      <c r="O294" s="78"/>
      <c r="P294" s="78"/>
      <c r="Q294" s="78"/>
    </row>
    <row r="295" spans="7:17" x14ac:dyDescent="0.3">
      <c r="G295" s="67"/>
      <c r="H295" s="77"/>
      <c r="I295" s="77"/>
      <c r="J295" s="77"/>
      <c r="K295" s="77"/>
      <c r="L295" s="77"/>
      <c r="M295" s="77"/>
      <c r="N295" s="77"/>
      <c r="O295" s="77"/>
      <c r="P295" s="77"/>
      <c r="Q295" s="77"/>
    </row>
    <row r="296" spans="7:17" x14ac:dyDescent="0.3">
      <c r="G296" s="66"/>
      <c r="H296" s="78"/>
      <c r="I296" s="78"/>
      <c r="J296" s="78"/>
      <c r="K296" s="78"/>
      <c r="L296" s="78"/>
      <c r="M296" s="78"/>
      <c r="N296" s="78"/>
      <c r="O296" s="78"/>
      <c r="P296" s="78"/>
      <c r="Q296" s="78"/>
    </row>
    <row r="297" spans="7:17" x14ac:dyDescent="0.3">
      <c r="G297" s="67"/>
      <c r="H297" s="77"/>
      <c r="I297" s="77"/>
      <c r="J297" s="77"/>
      <c r="K297" s="77"/>
      <c r="L297" s="77"/>
      <c r="M297" s="77"/>
      <c r="N297" s="77"/>
      <c r="O297" s="77"/>
      <c r="P297" s="77"/>
      <c r="Q297" s="77"/>
    </row>
    <row r="298" spans="7:17" x14ac:dyDescent="0.3">
      <c r="G298" s="66"/>
      <c r="H298" s="78"/>
      <c r="I298" s="78"/>
      <c r="J298" s="78"/>
      <c r="K298" s="78"/>
      <c r="L298" s="78"/>
      <c r="M298" s="78"/>
      <c r="N298" s="78"/>
      <c r="O298" s="78"/>
      <c r="P298" s="78"/>
      <c r="Q298" s="78"/>
    </row>
    <row r="299" spans="7:17" x14ac:dyDescent="0.3">
      <c r="G299" s="67"/>
      <c r="H299" s="77"/>
      <c r="I299" s="77"/>
      <c r="J299" s="77"/>
      <c r="K299" s="77"/>
      <c r="L299" s="77"/>
      <c r="M299" s="77"/>
      <c r="N299" s="77"/>
      <c r="O299" s="77"/>
      <c r="P299" s="77"/>
      <c r="Q299" s="77"/>
    </row>
    <row r="300" spans="7:17" x14ac:dyDescent="0.3">
      <c r="G300" s="66"/>
      <c r="H300" s="78"/>
      <c r="I300" s="78"/>
      <c r="J300" s="78"/>
      <c r="K300" s="78"/>
      <c r="L300" s="78"/>
      <c r="M300" s="78"/>
      <c r="N300" s="78"/>
      <c r="O300" s="78"/>
      <c r="P300" s="78"/>
      <c r="Q300" s="78"/>
    </row>
    <row r="301" spans="7:17" x14ac:dyDescent="0.3">
      <c r="G301" s="67"/>
      <c r="H301" s="77"/>
      <c r="I301" s="77"/>
      <c r="J301" s="77"/>
      <c r="K301" s="77"/>
      <c r="L301" s="77"/>
      <c r="M301" s="77"/>
      <c r="N301" s="77"/>
      <c r="O301" s="77"/>
      <c r="P301" s="77"/>
      <c r="Q301" s="77"/>
    </row>
    <row r="302" spans="7:17" x14ac:dyDescent="0.3">
      <c r="G302" s="66"/>
      <c r="H302" s="78"/>
      <c r="I302" s="78"/>
      <c r="J302" s="78"/>
      <c r="K302" s="78"/>
      <c r="L302" s="78"/>
      <c r="M302" s="78"/>
      <c r="N302" s="78"/>
      <c r="O302" s="78"/>
      <c r="P302" s="78"/>
      <c r="Q302" s="78"/>
    </row>
    <row r="303" spans="7:17" x14ac:dyDescent="0.3">
      <c r="G303" s="67"/>
      <c r="H303" s="77"/>
      <c r="I303" s="77"/>
      <c r="J303" s="77"/>
      <c r="K303" s="77"/>
      <c r="L303" s="77"/>
      <c r="M303" s="77"/>
      <c r="N303" s="77"/>
      <c r="O303" s="77"/>
      <c r="P303" s="77"/>
      <c r="Q303" s="77"/>
    </row>
    <row r="304" spans="7:17" x14ac:dyDescent="0.3">
      <c r="G304" s="66"/>
      <c r="H304" s="78"/>
      <c r="I304" s="78"/>
      <c r="J304" s="78"/>
      <c r="K304" s="78"/>
      <c r="L304" s="78"/>
      <c r="M304" s="78"/>
      <c r="N304" s="78"/>
      <c r="O304" s="78"/>
      <c r="P304" s="78"/>
      <c r="Q304" s="78"/>
    </row>
    <row r="305" spans="7:17" x14ac:dyDescent="0.3">
      <c r="G305" s="67"/>
      <c r="H305" s="77"/>
      <c r="I305" s="77"/>
      <c r="J305" s="77"/>
      <c r="K305" s="77"/>
      <c r="L305" s="77"/>
      <c r="M305" s="77"/>
      <c r="N305" s="77"/>
      <c r="O305" s="77"/>
      <c r="P305" s="77"/>
      <c r="Q305" s="77"/>
    </row>
    <row r="306" spans="7:17" x14ac:dyDescent="0.3">
      <c r="G306" s="66"/>
      <c r="H306" s="78"/>
      <c r="I306" s="78"/>
      <c r="J306" s="78"/>
      <c r="K306" s="78"/>
      <c r="L306" s="78"/>
      <c r="M306" s="78"/>
      <c r="N306" s="78"/>
      <c r="O306" s="78"/>
      <c r="P306" s="78"/>
      <c r="Q306" s="78"/>
    </row>
    <row r="307" spans="7:17" x14ac:dyDescent="0.3">
      <c r="G307" s="67"/>
      <c r="H307" s="77"/>
      <c r="I307" s="77"/>
      <c r="J307" s="77"/>
      <c r="K307" s="77"/>
      <c r="L307" s="77"/>
      <c r="M307" s="77"/>
      <c r="N307" s="77"/>
      <c r="O307" s="77"/>
      <c r="P307" s="77"/>
      <c r="Q307" s="77"/>
    </row>
    <row r="308" spans="7:17" x14ac:dyDescent="0.3">
      <c r="G308" s="66"/>
      <c r="H308" s="78"/>
      <c r="I308" s="78"/>
      <c r="J308" s="78"/>
      <c r="K308" s="78"/>
      <c r="L308" s="78"/>
      <c r="M308" s="78"/>
      <c r="N308" s="78"/>
      <c r="O308" s="78"/>
      <c r="P308" s="78"/>
      <c r="Q308" s="78"/>
    </row>
    <row r="309" spans="7:17" x14ac:dyDescent="0.3">
      <c r="G309" s="67"/>
      <c r="H309" s="77"/>
      <c r="I309" s="77"/>
      <c r="J309" s="77"/>
      <c r="K309" s="77"/>
      <c r="L309" s="77"/>
      <c r="M309" s="77"/>
      <c r="N309" s="77"/>
      <c r="O309" s="77"/>
      <c r="P309" s="77"/>
      <c r="Q309" s="77"/>
    </row>
    <row r="310" spans="7:17" x14ac:dyDescent="0.3">
      <c r="G310" s="66"/>
      <c r="H310" s="78"/>
      <c r="I310" s="78"/>
      <c r="J310" s="78"/>
      <c r="K310" s="78"/>
      <c r="L310" s="78"/>
      <c r="M310" s="78"/>
      <c r="N310" s="78"/>
      <c r="O310" s="78"/>
      <c r="P310" s="78"/>
      <c r="Q310" s="78"/>
    </row>
    <row r="311" spans="7:17" x14ac:dyDescent="0.3">
      <c r="G311" s="67"/>
      <c r="H311" s="77"/>
      <c r="I311" s="77"/>
      <c r="J311" s="77"/>
      <c r="K311" s="77"/>
      <c r="L311" s="77"/>
      <c r="M311" s="77"/>
      <c r="N311" s="77"/>
      <c r="O311" s="77"/>
      <c r="P311" s="77"/>
      <c r="Q311" s="77"/>
    </row>
    <row r="312" spans="7:17" x14ac:dyDescent="0.3">
      <c r="G312" s="66"/>
      <c r="H312" s="78"/>
      <c r="I312" s="78"/>
      <c r="J312" s="78"/>
      <c r="K312" s="78"/>
      <c r="L312" s="78"/>
      <c r="M312" s="78"/>
      <c r="N312" s="78"/>
      <c r="O312" s="78"/>
      <c r="P312" s="78"/>
      <c r="Q312" s="78"/>
    </row>
    <row r="313" spans="7:17" x14ac:dyDescent="0.3">
      <c r="G313" s="67"/>
      <c r="H313" s="77"/>
      <c r="I313" s="77"/>
      <c r="J313" s="77"/>
      <c r="K313" s="77"/>
      <c r="L313" s="77"/>
      <c r="M313" s="77"/>
      <c r="N313" s="77"/>
      <c r="O313" s="77"/>
      <c r="P313" s="77"/>
      <c r="Q313" s="77"/>
    </row>
    <row r="314" spans="7:17" x14ac:dyDescent="0.3">
      <c r="G314" s="66"/>
      <c r="H314" s="78"/>
      <c r="I314" s="78"/>
      <c r="J314" s="78"/>
      <c r="K314" s="78"/>
      <c r="L314" s="78"/>
      <c r="M314" s="78"/>
      <c r="N314" s="78"/>
      <c r="O314" s="78"/>
      <c r="P314" s="78"/>
      <c r="Q314" s="78"/>
    </row>
    <row r="315" spans="7:17" x14ac:dyDescent="0.3">
      <c r="G315" s="67"/>
      <c r="H315" s="77"/>
      <c r="I315" s="77"/>
      <c r="J315" s="77"/>
      <c r="K315" s="77"/>
      <c r="L315" s="77"/>
      <c r="M315" s="77"/>
      <c r="N315" s="77"/>
      <c r="O315" s="77"/>
      <c r="P315" s="77"/>
      <c r="Q315" s="77"/>
    </row>
    <row r="316" spans="7:17" x14ac:dyDescent="0.3">
      <c r="G316" s="66"/>
      <c r="H316" s="78"/>
      <c r="I316" s="78"/>
      <c r="J316" s="78"/>
      <c r="K316" s="78"/>
      <c r="L316" s="78"/>
      <c r="M316" s="78"/>
      <c r="N316" s="78"/>
      <c r="O316" s="78"/>
      <c r="P316" s="78"/>
      <c r="Q316" s="78"/>
    </row>
    <row r="317" spans="7:17" x14ac:dyDescent="0.3">
      <c r="G317" s="67"/>
      <c r="H317" s="77"/>
      <c r="I317" s="77"/>
      <c r="J317" s="77"/>
      <c r="K317" s="77"/>
      <c r="L317" s="77"/>
      <c r="M317" s="77"/>
      <c r="N317" s="77"/>
      <c r="O317" s="77"/>
      <c r="P317" s="77"/>
      <c r="Q317" s="77"/>
    </row>
    <row r="318" spans="7:17" x14ac:dyDescent="0.3">
      <c r="G318" s="66"/>
      <c r="H318" s="78"/>
      <c r="I318" s="78"/>
      <c r="J318" s="78"/>
      <c r="K318" s="78"/>
      <c r="L318" s="78"/>
      <c r="M318" s="78"/>
      <c r="N318" s="78"/>
      <c r="O318" s="78"/>
      <c r="P318" s="78"/>
      <c r="Q318" s="78"/>
    </row>
    <row r="319" spans="7:17" x14ac:dyDescent="0.3">
      <c r="G319" s="67"/>
      <c r="H319" s="77"/>
      <c r="I319" s="77"/>
      <c r="J319" s="77"/>
      <c r="K319" s="77"/>
      <c r="L319" s="77"/>
      <c r="M319" s="77"/>
      <c r="N319" s="77"/>
      <c r="O319" s="77"/>
      <c r="P319" s="77"/>
      <c r="Q319" s="77"/>
    </row>
    <row r="320" spans="7:17" x14ac:dyDescent="0.3">
      <c r="G320" s="66"/>
      <c r="H320" s="78"/>
      <c r="I320" s="78"/>
      <c r="J320" s="78"/>
      <c r="K320" s="78"/>
      <c r="L320" s="78"/>
      <c r="M320" s="78"/>
      <c r="N320" s="78"/>
      <c r="O320" s="78"/>
      <c r="P320" s="78"/>
      <c r="Q320" s="78"/>
    </row>
    <row r="321" spans="7:17" x14ac:dyDescent="0.3">
      <c r="G321" s="67"/>
      <c r="H321" s="77"/>
      <c r="I321" s="77"/>
      <c r="J321" s="77"/>
      <c r="K321" s="77"/>
      <c r="L321" s="77"/>
      <c r="M321" s="77"/>
      <c r="N321" s="77"/>
      <c r="O321" s="77"/>
      <c r="P321" s="77"/>
      <c r="Q321" s="77"/>
    </row>
    <row r="322" spans="7:17" x14ac:dyDescent="0.3">
      <c r="G322" s="66"/>
      <c r="H322" s="78"/>
      <c r="I322" s="78"/>
      <c r="J322" s="78"/>
      <c r="K322" s="78"/>
      <c r="L322" s="78"/>
      <c r="M322" s="78"/>
      <c r="N322" s="78"/>
      <c r="O322" s="78"/>
      <c r="P322" s="78"/>
      <c r="Q322" s="78"/>
    </row>
    <row r="323" spans="7:17" x14ac:dyDescent="0.3">
      <c r="G323" s="67"/>
      <c r="H323" s="77"/>
      <c r="I323" s="77"/>
      <c r="J323" s="77"/>
      <c r="K323" s="77"/>
      <c r="L323" s="77"/>
      <c r="M323" s="77"/>
      <c r="N323" s="77"/>
      <c r="O323" s="77"/>
      <c r="P323" s="77"/>
      <c r="Q323" s="77"/>
    </row>
    <row r="324" spans="7:17" x14ac:dyDescent="0.3">
      <c r="G324" s="66"/>
      <c r="H324" s="78"/>
      <c r="I324" s="78"/>
      <c r="J324" s="78"/>
      <c r="K324" s="78"/>
      <c r="L324" s="78"/>
      <c r="M324" s="78"/>
      <c r="N324" s="78"/>
      <c r="O324" s="78"/>
      <c r="P324" s="78"/>
      <c r="Q324" s="78"/>
    </row>
    <row r="325" spans="7:17" x14ac:dyDescent="0.3">
      <c r="G325" s="67"/>
      <c r="H325" s="77"/>
      <c r="I325" s="77"/>
      <c r="J325" s="77"/>
      <c r="K325" s="77"/>
      <c r="L325" s="77"/>
      <c r="M325" s="77"/>
      <c r="N325" s="77"/>
      <c r="O325" s="77"/>
      <c r="P325" s="77"/>
      <c r="Q325" s="77"/>
    </row>
    <row r="326" spans="7:17" x14ac:dyDescent="0.3">
      <c r="G326" s="66"/>
      <c r="H326" s="78"/>
      <c r="I326" s="78"/>
      <c r="J326" s="78"/>
      <c r="K326" s="78"/>
      <c r="L326" s="78"/>
      <c r="M326" s="78"/>
      <c r="N326" s="78"/>
      <c r="O326" s="78"/>
      <c r="P326" s="78"/>
      <c r="Q326" s="78"/>
    </row>
    <row r="327" spans="7:17" x14ac:dyDescent="0.3">
      <c r="G327" s="67"/>
      <c r="H327" s="77"/>
      <c r="I327" s="77"/>
      <c r="J327" s="77"/>
      <c r="K327" s="77"/>
      <c r="L327" s="77"/>
      <c r="M327" s="77"/>
      <c r="N327" s="77"/>
      <c r="O327" s="77"/>
      <c r="P327" s="77"/>
      <c r="Q327" s="77"/>
    </row>
    <row r="328" spans="7:17" x14ac:dyDescent="0.3">
      <c r="G328" s="66"/>
      <c r="H328" s="78"/>
      <c r="I328" s="78"/>
      <c r="J328" s="78"/>
      <c r="K328" s="78"/>
      <c r="L328" s="78"/>
      <c r="M328" s="78"/>
      <c r="N328" s="78"/>
      <c r="O328" s="78"/>
      <c r="P328" s="78"/>
      <c r="Q328" s="78"/>
    </row>
    <row r="329" spans="7:17" x14ac:dyDescent="0.3">
      <c r="G329" s="67"/>
      <c r="H329" s="77"/>
      <c r="I329" s="77"/>
      <c r="J329" s="77"/>
      <c r="K329" s="77"/>
      <c r="L329" s="77"/>
      <c r="M329" s="77"/>
      <c r="N329" s="77"/>
      <c r="O329" s="77"/>
      <c r="P329" s="77"/>
      <c r="Q329" s="77"/>
    </row>
    <row r="330" spans="7:17" x14ac:dyDescent="0.3">
      <c r="G330" s="66"/>
      <c r="H330" s="78"/>
      <c r="I330" s="78"/>
      <c r="J330" s="78"/>
      <c r="K330" s="78"/>
      <c r="L330" s="78"/>
      <c r="M330" s="78"/>
      <c r="N330" s="78"/>
      <c r="O330" s="78"/>
      <c r="P330" s="78"/>
      <c r="Q330" s="78"/>
    </row>
    <row r="331" spans="7:17" x14ac:dyDescent="0.3">
      <c r="G331" s="67"/>
      <c r="H331" s="77"/>
      <c r="I331" s="77"/>
      <c r="J331" s="77"/>
      <c r="K331" s="77"/>
      <c r="L331" s="77"/>
      <c r="M331" s="77"/>
      <c r="N331" s="77"/>
      <c r="O331" s="77"/>
      <c r="P331" s="77"/>
      <c r="Q331" s="77"/>
    </row>
    <row r="332" spans="7:17" x14ac:dyDescent="0.3">
      <c r="G332" s="66"/>
      <c r="H332" s="78"/>
      <c r="I332" s="78"/>
      <c r="J332" s="78"/>
      <c r="K332" s="78"/>
      <c r="L332" s="78"/>
      <c r="M332" s="78"/>
      <c r="N332" s="78"/>
      <c r="O332" s="78"/>
      <c r="P332" s="78"/>
      <c r="Q332" s="78"/>
    </row>
    <row r="333" spans="7:17" x14ac:dyDescent="0.3">
      <c r="G333" s="67"/>
      <c r="H333" s="77"/>
      <c r="I333" s="77"/>
      <c r="J333" s="77"/>
      <c r="K333" s="77"/>
      <c r="L333" s="77"/>
      <c r="M333" s="77"/>
      <c r="N333" s="77"/>
      <c r="O333" s="77"/>
      <c r="P333" s="77"/>
      <c r="Q333" s="77"/>
    </row>
    <row r="334" spans="7:17" x14ac:dyDescent="0.3">
      <c r="G334" s="66"/>
      <c r="H334" s="78"/>
      <c r="I334" s="78"/>
      <c r="J334" s="78"/>
      <c r="K334" s="78"/>
      <c r="L334" s="78"/>
      <c r="M334" s="78"/>
      <c r="N334" s="78"/>
      <c r="O334" s="78"/>
      <c r="P334" s="78"/>
      <c r="Q334" s="78"/>
    </row>
    <row r="335" spans="7:17" x14ac:dyDescent="0.3">
      <c r="G335" s="67"/>
      <c r="H335" s="77"/>
      <c r="I335" s="77"/>
      <c r="J335" s="77"/>
      <c r="K335" s="77"/>
      <c r="L335" s="77"/>
      <c r="M335" s="77"/>
      <c r="N335" s="77"/>
      <c r="O335" s="77"/>
      <c r="P335" s="77"/>
      <c r="Q335" s="77"/>
    </row>
    <row r="336" spans="7:17" x14ac:dyDescent="0.3">
      <c r="G336" s="66"/>
      <c r="H336" s="78"/>
      <c r="I336" s="78"/>
      <c r="J336" s="78"/>
      <c r="K336" s="78"/>
      <c r="L336" s="78"/>
      <c r="M336" s="78"/>
      <c r="N336" s="78"/>
      <c r="O336" s="78"/>
      <c r="P336" s="78"/>
      <c r="Q336" s="78"/>
    </row>
    <row r="337" spans="7:17" x14ac:dyDescent="0.3">
      <c r="G337" s="67"/>
      <c r="H337" s="77"/>
      <c r="I337" s="77"/>
      <c r="J337" s="77"/>
      <c r="K337" s="77"/>
      <c r="L337" s="77"/>
      <c r="M337" s="77"/>
      <c r="N337" s="77"/>
      <c r="O337" s="77"/>
      <c r="P337" s="77"/>
      <c r="Q337" s="77"/>
    </row>
    <row r="338" spans="7:17" x14ac:dyDescent="0.3">
      <c r="G338" s="66"/>
      <c r="H338" s="78"/>
      <c r="I338" s="78"/>
      <c r="J338" s="78"/>
      <c r="K338" s="78"/>
      <c r="L338" s="78"/>
      <c r="M338" s="78"/>
      <c r="N338" s="78"/>
      <c r="O338" s="78"/>
      <c r="P338" s="78"/>
      <c r="Q338" s="78"/>
    </row>
    <row r="339" spans="7:17" x14ac:dyDescent="0.3">
      <c r="G339" s="67"/>
      <c r="H339" s="77"/>
      <c r="I339" s="77"/>
      <c r="J339" s="77"/>
      <c r="K339" s="77"/>
      <c r="L339" s="77"/>
      <c r="M339" s="77"/>
      <c r="N339" s="77"/>
      <c r="O339" s="77"/>
      <c r="P339" s="77"/>
      <c r="Q339" s="77"/>
    </row>
    <row r="340" spans="7:17" x14ac:dyDescent="0.3">
      <c r="G340" s="66"/>
      <c r="H340" s="78"/>
      <c r="I340" s="78"/>
      <c r="J340" s="78"/>
      <c r="K340" s="78"/>
      <c r="L340" s="78"/>
      <c r="M340" s="78"/>
      <c r="N340" s="78"/>
      <c r="O340" s="78"/>
      <c r="P340" s="78"/>
      <c r="Q340" s="78"/>
    </row>
    <row r="341" spans="7:17" x14ac:dyDescent="0.3">
      <c r="G341" s="67"/>
      <c r="H341" s="77"/>
      <c r="I341" s="77"/>
      <c r="J341" s="77"/>
      <c r="K341" s="77"/>
      <c r="L341" s="77"/>
      <c r="M341" s="77"/>
      <c r="N341" s="77"/>
      <c r="O341" s="77"/>
      <c r="P341" s="77"/>
      <c r="Q341" s="77"/>
    </row>
    <row r="342" spans="7:17" x14ac:dyDescent="0.3">
      <c r="G342" s="66"/>
      <c r="H342" s="78"/>
      <c r="I342" s="78"/>
      <c r="J342" s="78"/>
      <c r="K342" s="78"/>
      <c r="L342" s="78"/>
      <c r="M342" s="78"/>
      <c r="N342" s="78"/>
      <c r="O342" s="78"/>
      <c r="P342" s="78"/>
      <c r="Q342" s="78"/>
    </row>
    <row r="343" spans="7:17" x14ac:dyDescent="0.3">
      <c r="G343" s="67"/>
      <c r="H343" s="77"/>
      <c r="I343" s="77"/>
      <c r="J343" s="77"/>
      <c r="K343" s="77"/>
      <c r="L343" s="77"/>
      <c r="M343" s="77"/>
      <c r="N343" s="77"/>
      <c r="O343" s="77"/>
      <c r="P343" s="77"/>
      <c r="Q343" s="77"/>
    </row>
    <row r="344" spans="7:17" x14ac:dyDescent="0.3">
      <c r="G344" s="66"/>
      <c r="H344" s="78"/>
      <c r="I344" s="78"/>
      <c r="J344" s="78"/>
      <c r="K344" s="78"/>
      <c r="L344" s="78"/>
      <c r="M344" s="78"/>
      <c r="N344" s="78"/>
      <c r="O344" s="78"/>
      <c r="P344" s="78"/>
      <c r="Q344" s="78"/>
    </row>
    <row r="345" spans="7:17" x14ac:dyDescent="0.3">
      <c r="G345" s="67"/>
      <c r="H345" s="77"/>
      <c r="I345" s="77"/>
      <c r="J345" s="77"/>
      <c r="K345" s="77"/>
      <c r="L345" s="77"/>
      <c r="M345" s="77"/>
      <c r="N345" s="77"/>
      <c r="O345" s="77"/>
      <c r="P345" s="77"/>
      <c r="Q345" s="77"/>
    </row>
    <row r="346" spans="7:17" x14ac:dyDescent="0.3">
      <c r="G346" s="66"/>
      <c r="H346" s="78"/>
      <c r="I346" s="78"/>
      <c r="J346" s="78"/>
      <c r="K346" s="78"/>
      <c r="L346" s="78"/>
      <c r="M346" s="78"/>
      <c r="N346" s="78"/>
      <c r="O346" s="78"/>
      <c r="P346" s="78"/>
      <c r="Q346" s="78"/>
    </row>
    <row r="347" spans="7:17" x14ac:dyDescent="0.3">
      <c r="G347" s="67"/>
      <c r="H347" s="77"/>
      <c r="I347" s="77"/>
      <c r="J347" s="77"/>
      <c r="K347" s="77"/>
      <c r="L347" s="77"/>
      <c r="M347" s="77"/>
      <c r="N347" s="77"/>
      <c r="O347" s="77"/>
      <c r="P347" s="77"/>
      <c r="Q347" s="77"/>
    </row>
    <row r="348" spans="7:17" x14ac:dyDescent="0.3">
      <c r="G348" s="66"/>
      <c r="H348" s="78"/>
      <c r="I348" s="78"/>
      <c r="J348" s="78"/>
      <c r="K348" s="78"/>
      <c r="L348" s="78"/>
      <c r="M348" s="78"/>
      <c r="N348" s="78"/>
      <c r="O348" s="78"/>
      <c r="P348" s="78"/>
      <c r="Q348" s="78"/>
    </row>
    <row r="349" spans="7:17" x14ac:dyDescent="0.3">
      <c r="G349" s="67"/>
      <c r="H349" s="77"/>
      <c r="I349" s="77"/>
      <c r="J349" s="77"/>
      <c r="K349" s="77"/>
      <c r="L349" s="77"/>
      <c r="M349" s="77"/>
      <c r="N349" s="77"/>
      <c r="O349" s="77"/>
      <c r="P349" s="77"/>
      <c r="Q349" s="77"/>
    </row>
    <row r="350" spans="7:17" x14ac:dyDescent="0.3">
      <c r="G350" s="66"/>
      <c r="H350" s="78"/>
      <c r="I350" s="78"/>
      <c r="J350" s="78"/>
      <c r="K350" s="78"/>
      <c r="L350" s="78"/>
      <c r="M350" s="78"/>
      <c r="N350" s="78"/>
      <c r="O350" s="78"/>
      <c r="P350" s="78"/>
      <c r="Q350" s="78"/>
    </row>
    <row r="351" spans="7:17" x14ac:dyDescent="0.3">
      <c r="G351" s="67"/>
      <c r="H351" s="77"/>
      <c r="I351" s="77"/>
      <c r="J351" s="77"/>
      <c r="K351" s="77"/>
      <c r="L351" s="77"/>
      <c r="M351" s="77"/>
      <c r="N351" s="77"/>
      <c r="O351" s="77"/>
      <c r="P351" s="77"/>
      <c r="Q351" s="77"/>
    </row>
    <row r="352" spans="7:17" x14ac:dyDescent="0.3">
      <c r="G352" s="66"/>
      <c r="H352" s="78"/>
      <c r="I352" s="78"/>
      <c r="J352" s="78"/>
      <c r="K352" s="78"/>
      <c r="L352" s="78"/>
      <c r="M352" s="78"/>
      <c r="N352" s="78"/>
      <c r="O352" s="78"/>
      <c r="P352" s="78"/>
      <c r="Q352" s="78"/>
    </row>
    <row r="353" spans="7:17" x14ac:dyDescent="0.3">
      <c r="G353" s="67"/>
      <c r="H353" s="77"/>
      <c r="I353" s="77"/>
      <c r="J353" s="77"/>
      <c r="K353" s="77"/>
      <c r="L353" s="77"/>
      <c r="M353" s="77"/>
      <c r="N353" s="77"/>
      <c r="O353" s="77"/>
      <c r="P353" s="77"/>
      <c r="Q353" s="77"/>
    </row>
    <row r="354" spans="7:17" x14ac:dyDescent="0.3">
      <c r="G354" s="66"/>
      <c r="H354" s="78"/>
      <c r="I354" s="78"/>
      <c r="J354" s="78"/>
      <c r="K354" s="78"/>
      <c r="L354" s="78"/>
      <c r="M354" s="78"/>
      <c r="N354" s="78"/>
      <c r="O354" s="78"/>
      <c r="P354" s="78"/>
      <c r="Q354" s="78"/>
    </row>
    <row r="355" spans="7:17" x14ac:dyDescent="0.3">
      <c r="G355" s="67"/>
      <c r="H355" s="77"/>
      <c r="I355" s="77"/>
      <c r="J355" s="77"/>
      <c r="K355" s="77"/>
      <c r="L355" s="77"/>
      <c r="M355" s="77"/>
      <c r="N355" s="77"/>
      <c r="O355" s="77"/>
      <c r="P355" s="77"/>
      <c r="Q355" s="77"/>
    </row>
    <row r="356" spans="7:17" x14ac:dyDescent="0.3">
      <c r="G356" s="66"/>
      <c r="H356" s="78"/>
      <c r="I356" s="78"/>
      <c r="J356" s="78"/>
      <c r="K356" s="78"/>
      <c r="L356" s="78"/>
      <c r="M356" s="78"/>
      <c r="N356" s="78"/>
      <c r="O356" s="78"/>
      <c r="P356" s="78"/>
      <c r="Q356" s="78"/>
    </row>
    <row r="357" spans="7:17" x14ac:dyDescent="0.3">
      <c r="G357" s="67"/>
      <c r="H357" s="77"/>
      <c r="I357" s="77"/>
      <c r="J357" s="77"/>
      <c r="K357" s="77"/>
      <c r="L357" s="77"/>
      <c r="M357" s="77"/>
      <c r="N357" s="77"/>
      <c r="O357" s="77"/>
      <c r="P357" s="77"/>
      <c r="Q357" s="77"/>
    </row>
    <row r="358" spans="7:17" x14ac:dyDescent="0.3">
      <c r="G358" s="66"/>
      <c r="H358" s="78"/>
      <c r="I358" s="78"/>
      <c r="J358" s="78"/>
      <c r="K358" s="78"/>
      <c r="L358" s="78"/>
      <c r="M358" s="78"/>
      <c r="N358" s="78"/>
      <c r="O358" s="78"/>
      <c r="P358" s="78"/>
      <c r="Q358" s="78"/>
    </row>
    <row r="359" spans="7:17" x14ac:dyDescent="0.3">
      <c r="G359" s="67"/>
      <c r="H359" s="77"/>
      <c r="I359" s="77"/>
      <c r="J359" s="77"/>
      <c r="K359" s="77"/>
      <c r="L359" s="77"/>
      <c r="M359" s="77"/>
      <c r="N359" s="77"/>
      <c r="O359" s="77"/>
      <c r="P359" s="77"/>
      <c r="Q359" s="77"/>
    </row>
    <row r="360" spans="7:17" x14ac:dyDescent="0.3">
      <c r="G360" s="66"/>
      <c r="H360" s="78"/>
      <c r="I360" s="78"/>
      <c r="J360" s="78"/>
      <c r="K360" s="78"/>
      <c r="L360" s="78"/>
      <c r="M360" s="78"/>
      <c r="N360" s="78"/>
      <c r="O360" s="78"/>
      <c r="P360" s="78"/>
      <c r="Q360" s="78"/>
    </row>
    <row r="361" spans="7:17" x14ac:dyDescent="0.3">
      <c r="G361" s="67"/>
      <c r="H361" s="77"/>
      <c r="I361" s="77"/>
      <c r="J361" s="77"/>
      <c r="K361" s="77"/>
      <c r="L361" s="77"/>
      <c r="M361" s="77"/>
      <c r="N361" s="77"/>
      <c r="O361" s="77"/>
      <c r="P361" s="77"/>
      <c r="Q361" s="77"/>
    </row>
    <row r="362" spans="7:17" x14ac:dyDescent="0.3">
      <c r="G362" s="66"/>
      <c r="H362" s="78"/>
      <c r="I362" s="78"/>
      <c r="J362" s="78"/>
      <c r="K362" s="78"/>
      <c r="L362" s="78"/>
      <c r="M362" s="78"/>
      <c r="N362" s="78"/>
      <c r="O362" s="78"/>
      <c r="P362" s="78"/>
      <c r="Q362" s="78"/>
    </row>
    <row r="363" spans="7:17" x14ac:dyDescent="0.3">
      <c r="G363" s="67"/>
      <c r="H363" s="77"/>
      <c r="I363" s="77"/>
      <c r="J363" s="77"/>
      <c r="K363" s="77"/>
      <c r="L363" s="77"/>
      <c r="M363" s="77"/>
      <c r="N363" s="77"/>
      <c r="O363" s="77"/>
      <c r="P363" s="77"/>
      <c r="Q363" s="77"/>
    </row>
    <row r="364" spans="7:17" x14ac:dyDescent="0.3">
      <c r="G364" s="66"/>
      <c r="H364" s="78"/>
      <c r="I364" s="78"/>
      <c r="J364" s="78"/>
      <c r="K364" s="78"/>
      <c r="L364" s="78"/>
      <c r="M364" s="78"/>
      <c r="N364" s="78"/>
      <c r="O364" s="78"/>
      <c r="P364" s="78"/>
      <c r="Q364" s="78"/>
    </row>
    <row r="365" spans="7:17" x14ac:dyDescent="0.3">
      <c r="G365" s="67"/>
      <c r="H365" s="77"/>
      <c r="I365" s="77"/>
      <c r="J365" s="77"/>
      <c r="K365" s="77"/>
      <c r="L365" s="77"/>
      <c r="M365" s="77"/>
      <c r="N365" s="77"/>
      <c r="O365" s="77"/>
      <c r="P365" s="77"/>
      <c r="Q365" s="77"/>
    </row>
    <row r="366" spans="7:17" x14ac:dyDescent="0.3">
      <c r="G366" s="66"/>
      <c r="H366" s="78"/>
      <c r="I366" s="78"/>
      <c r="J366" s="78"/>
      <c r="K366" s="78"/>
      <c r="L366" s="78"/>
      <c r="M366" s="78"/>
      <c r="N366" s="78"/>
      <c r="O366" s="78"/>
      <c r="P366" s="78"/>
      <c r="Q366" s="78"/>
    </row>
    <row r="367" spans="7:17" x14ac:dyDescent="0.3">
      <c r="G367" s="67"/>
      <c r="H367" s="77"/>
      <c r="I367" s="77"/>
      <c r="J367" s="77"/>
      <c r="K367" s="77"/>
      <c r="L367" s="77"/>
      <c r="M367" s="77"/>
      <c r="N367" s="77"/>
      <c r="O367" s="77"/>
      <c r="P367" s="77"/>
      <c r="Q367" s="77"/>
    </row>
    <row r="368" spans="7:17" x14ac:dyDescent="0.3">
      <c r="G368" s="66"/>
      <c r="H368" s="78"/>
      <c r="I368" s="78"/>
      <c r="J368" s="78"/>
      <c r="K368" s="78"/>
      <c r="L368" s="78"/>
      <c r="M368" s="78"/>
      <c r="N368" s="78"/>
      <c r="O368" s="78"/>
      <c r="P368" s="78"/>
      <c r="Q368" s="78"/>
    </row>
    <row r="369" spans="7:17" x14ac:dyDescent="0.3">
      <c r="G369" s="67"/>
      <c r="H369" s="77"/>
      <c r="I369" s="77"/>
      <c r="J369" s="77"/>
      <c r="K369" s="77"/>
      <c r="L369" s="77"/>
      <c r="M369" s="77"/>
      <c r="N369" s="77"/>
      <c r="O369" s="77"/>
      <c r="P369" s="77"/>
      <c r="Q369" s="77"/>
    </row>
    <row r="370" spans="7:17" x14ac:dyDescent="0.3">
      <c r="G370" s="66"/>
      <c r="H370" s="78"/>
      <c r="I370" s="78"/>
      <c r="J370" s="78"/>
      <c r="K370" s="78"/>
      <c r="L370" s="78"/>
      <c r="M370" s="78"/>
      <c r="N370" s="78"/>
      <c r="O370" s="78"/>
      <c r="P370" s="78"/>
      <c r="Q370" s="78"/>
    </row>
    <row r="371" spans="7:17" x14ac:dyDescent="0.3">
      <c r="G371" s="67"/>
      <c r="H371" s="77"/>
      <c r="I371" s="77"/>
      <c r="J371" s="77"/>
      <c r="K371" s="77"/>
      <c r="L371" s="77"/>
      <c r="M371" s="77"/>
      <c r="N371" s="77"/>
      <c r="O371" s="77"/>
      <c r="P371" s="77"/>
      <c r="Q371" s="77"/>
    </row>
    <row r="372" spans="7:17" x14ac:dyDescent="0.3">
      <c r="G372" s="66"/>
      <c r="H372" s="78"/>
      <c r="I372" s="78"/>
      <c r="J372" s="78"/>
      <c r="K372" s="78"/>
      <c r="L372" s="78"/>
      <c r="M372" s="78"/>
      <c r="N372" s="78"/>
      <c r="O372" s="78"/>
      <c r="P372" s="78"/>
      <c r="Q372" s="78"/>
    </row>
    <row r="373" spans="7:17" x14ac:dyDescent="0.3">
      <c r="G373" s="67"/>
      <c r="H373" s="77"/>
      <c r="I373" s="77"/>
      <c r="J373" s="77"/>
      <c r="K373" s="77"/>
      <c r="L373" s="77"/>
      <c r="M373" s="77"/>
      <c r="N373" s="77"/>
      <c r="O373" s="77"/>
      <c r="P373" s="77"/>
      <c r="Q373" s="77"/>
    </row>
    <row r="374" spans="7:17" x14ac:dyDescent="0.3">
      <c r="G374" s="66"/>
      <c r="H374" s="78"/>
      <c r="I374" s="78"/>
      <c r="J374" s="78"/>
      <c r="K374" s="78"/>
      <c r="L374" s="78"/>
      <c r="M374" s="78"/>
      <c r="N374" s="78"/>
      <c r="O374" s="78"/>
      <c r="P374" s="78"/>
      <c r="Q374" s="78"/>
    </row>
    <row r="375" spans="7:17" x14ac:dyDescent="0.3">
      <c r="G375" s="67"/>
      <c r="H375" s="77"/>
      <c r="I375" s="77"/>
      <c r="J375" s="77"/>
      <c r="K375" s="77"/>
      <c r="L375" s="77"/>
      <c r="M375" s="77"/>
      <c r="N375" s="77"/>
      <c r="O375" s="77"/>
      <c r="P375" s="77"/>
      <c r="Q375" s="77"/>
    </row>
    <row r="376" spans="7:17" x14ac:dyDescent="0.3">
      <c r="G376" s="66"/>
      <c r="H376" s="78"/>
      <c r="I376" s="78"/>
      <c r="J376" s="78"/>
      <c r="K376" s="78"/>
      <c r="L376" s="78"/>
      <c r="M376" s="78"/>
      <c r="N376" s="78"/>
      <c r="O376" s="78"/>
      <c r="P376" s="78"/>
      <c r="Q376" s="78"/>
    </row>
    <row r="377" spans="7:17" x14ac:dyDescent="0.3">
      <c r="G377" s="67"/>
      <c r="H377" s="77"/>
      <c r="I377" s="77"/>
      <c r="J377" s="77"/>
      <c r="K377" s="77"/>
      <c r="L377" s="77"/>
      <c r="M377" s="77"/>
      <c r="N377" s="77"/>
      <c r="O377" s="77"/>
      <c r="P377" s="77"/>
      <c r="Q377" s="77"/>
    </row>
    <row r="378" spans="7:17" x14ac:dyDescent="0.3">
      <c r="G378" s="66"/>
      <c r="H378" s="78"/>
      <c r="I378" s="78"/>
      <c r="J378" s="78"/>
      <c r="K378" s="78"/>
      <c r="L378" s="78"/>
      <c r="M378" s="78"/>
      <c r="N378" s="78"/>
      <c r="O378" s="78"/>
      <c r="P378" s="78"/>
      <c r="Q378" s="78"/>
    </row>
    <row r="379" spans="7:17" x14ac:dyDescent="0.3">
      <c r="G379" s="67"/>
      <c r="H379" s="77"/>
      <c r="I379" s="77"/>
      <c r="J379" s="77"/>
      <c r="K379" s="77"/>
      <c r="L379" s="77"/>
      <c r="M379" s="77"/>
      <c r="N379" s="77"/>
      <c r="O379" s="77"/>
      <c r="P379" s="77"/>
      <c r="Q379" s="77"/>
    </row>
    <row r="380" spans="7:17" x14ac:dyDescent="0.3">
      <c r="G380" s="66"/>
      <c r="H380" s="78"/>
      <c r="I380" s="78"/>
      <c r="J380" s="78"/>
      <c r="K380" s="78"/>
      <c r="L380" s="78"/>
      <c r="M380" s="78"/>
      <c r="N380" s="78"/>
      <c r="O380" s="78"/>
      <c r="P380" s="78"/>
      <c r="Q380" s="78"/>
    </row>
    <row r="381" spans="7:17" x14ac:dyDescent="0.3">
      <c r="G381" s="67"/>
      <c r="H381" s="77"/>
      <c r="I381" s="77"/>
      <c r="J381" s="77"/>
      <c r="K381" s="77"/>
      <c r="L381" s="77"/>
      <c r="M381" s="77"/>
      <c r="N381" s="77"/>
      <c r="O381" s="77"/>
      <c r="P381" s="77"/>
      <c r="Q381" s="77"/>
    </row>
    <row r="382" spans="7:17" x14ac:dyDescent="0.3">
      <c r="G382" s="66"/>
      <c r="H382" s="78"/>
      <c r="I382" s="78"/>
      <c r="J382" s="78"/>
      <c r="K382" s="78"/>
      <c r="L382" s="78"/>
      <c r="M382" s="78"/>
      <c r="N382" s="78"/>
      <c r="O382" s="78"/>
      <c r="P382" s="78"/>
      <c r="Q382" s="78"/>
    </row>
    <row r="383" spans="7:17" x14ac:dyDescent="0.3">
      <c r="G383" s="67"/>
      <c r="H383" s="77"/>
      <c r="I383" s="77"/>
      <c r="J383" s="77"/>
      <c r="K383" s="77"/>
      <c r="L383" s="77"/>
      <c r="M383" s="77"/>
      <c r="N383" s="77"/>
      <c r="O383" s="77"/>
      <c r="P383" s="77"/>
      <c r="Q383" s="77"/>
    </row>
    <row r="384" spans="7:17" x14ac:dyDescent="0.3">
      <c r="G384" s="66"/>
      <c r="H384" s="78"/>
      <c r="I384" s="78"/>
      <c r="J384" s="78"/>
      <c r="K384" s="78"/>
      <c r="L384" s="78"/>
      <c r="M384" s="78"/>
      <c r="N384" s="78"/>
      <c r="O384" s="78"/>
      <c r="P384" s="78"/>
      <c r="Q384" s="78"/>
    </row>
    <row r="385" spans="7:17" x14ac:dyDescent="0.3">
      <c r="G385" s="67"/>
      <c r="H385" s="77"/>
      <c r="I385" s="77"/>
      <c r="J385" s="77"/>
      <c r="K385" s="77"/>
      <c r="L385" s="77"/>
      <c r="M385" s="77"/>
      <c r="N385" s="77"/>
      <c r="O385" s="77"/>
      <c r="P385" s="77"/>
      <c r="Q385" s="77"/>
    </row>
    <row r="386" spans="7:17" x14ac:dyDescent="0.3">
      <c r="G386" s="66"/>
      <c r="H386" s="78"/>
      <c r="I386" s="78"/>
      <c r="J386" s="78"/>
      <c r="K386" s="78"/>
      <c r="L386" s="78"/>
      <c r="M386" s="78"/>
      <c r="N386" s="78"/>
      <c r="O386" s="78"/>
      <c r="P386" s="78"/>
      <c r="Q386" s="78"/>
    </row>
    <row r="387" spans="7:17" x14ac:dyDescent="0.3">
      <c r="G387" s="67"/>
      <c r="H387" s="77"/>
      <c r="I387" s="77"/>
      <c r="J387" s="77"/>
      <c r="K387" s="77"/>
      <c r="L387" s="77"/>
      <c r="M387" s="77"/>
      <c r="N387" s="77"/>
      <c r="O387" s="77"/>
      <c r="P387" s="77"/>
      <c r="Q387" s="77"/>
    </row>
    <row r="388" spans="7:17" x14ac:dyDescent="0.3">
      <c r="G388" s="66"/>
      <c r="H388" s="78"/>
      <c r="I388" s="78"/>
      <c r="J388" s="78"/>
      <c r="K388" s="78"/>
      <c r="L388" s="78"/>
      <c r="M388" s="78"/>
      <c r="N388" s="78"/>
      <c r="O388" s="78"/>
      <c r="P388" s="78"/>
      <c r="Q388" s="78"/>
    </row>
    <row r="389" spans="7:17" x14ac:dyDescent="0.3">
      <c r="G389" s="67"/>
      <c r="H389" s="77"/>
      <c r="I389" s="77"/>
      <c r="J389" s="77"/>
      <c r="K389" s="77"/>
      <c r="L389" s="77"/>
      <c r="M389" s="77"/>
      <c r="N389" s="77"/>
      <c r="O389" s="77"/>
      <c r="P389" s="77"/>
      <c r="Q389" s="77"/>
    </row>
    <row r="390" spans="7:17" x14ac:dyDescent="0.3">
      <c r="G390" s="66"/>
      <c r="H390" s="78"/>
      <c r="I390" s="78"/>
      <c r="J390" s="78"/>
      <c r="K390" s="78"/>
      <c r="L390" s="78"/>
      <c r="M390" s="78"/>
      <c r="N390" s="78"/>
      <c r="O390" s="78"/>
      <c r="P390" s="78"/>
      <c r="Q390" s="78"/>
    </row>
    <row r="391" spans="7:17" x14ac:dyDescent="0.3">
      <c r="G391" s="67"/>
      <c r="H391" s="77"/>
      <c r="I391" s="77"/>
      <c r="J391" s="77"/>
      <c r="K391" s="77"/>
      <c r="L391" s="77"/>
      <c r="M391" s="77"/>
      <c r="N391" s="77"/>
      <c r="O391" s="77"/>
      <c r="P391" s="77"/>
      <c r="Q391" s="77"/>
    </row>
    <row r="392" spans="7:17" x14ac:dyDescent="0.3">
      <c r="G392" s="66"/>
      <c r="H392" s="78"/>
      <c r="I392" s="78"/>
      <c r="J392" s="78"/>
      <c r="K392" s="78"/>
      <c r="L392" s="78"/>
      <c r="M392" s="78"/>
      <c r="N392" s="78"/>
      <c r="O392" s="78"/>
      <c r="P392" s="78"/>
      <c r="Q392" s="78"/>
    </row>
    <row r="393" spans="7:17" x14ac:dyDescent="0.3">
      <c r="G393" s="67"/>
      <c r="H393" s="77"/>
      <c r="I393" s="77"/>
      <c r="J393" s="77"/>
      <c r="K393" s="77"/>
      <c r="L393" s="77"/>
      <c r="M393" s="77"/>
      <c r="N393" s="77"/>
      <c r="O393" s="77"/>
      <c r="P393" s="77"/>
      <c r="Q393" s="77"/>
    </row>
    <row r="394" spans="7:17" x14ac:dyDescent="0.3">
      <c r="G394" s="66"/>
      <c r="H394" s="78"/>
      <c r="I394" s="78"/>
      <c r="J394" s="78"/>
      <c r="K394" s="78"/>
      <c r="L394" s="78"/>
      <c r="M394" s="78"/>
      <c r="N394" s="78"/>
      <c r="O394" s="78"/>
      <c r="P394" s="78"/>
      <c r="Q394" s="78"/>
    </row>
    <row r="395" spans="7:17" x14ac:dyDescent="0.3">
      <c r="G395" s="67"/>
      <c r="H395" s="77"/>
      <c r="I395" s="77"/>
      <c r="J395" s="77"/>
      <c r="K395" s="77"/>
      <c r="L395" s="77"/>
      <c r="M395" s="77"/>
      <c r="N395" s="77"/>
      <c r="O395" s="77"/>
      <c r="P395" s="77"/>
      <c r="Q395" s="77"/>
    </row>
    <row r="396" spans="7:17" x14ac:dyDescent="0.3">
      <c r="G396" s="66"/>
      <c r="H396" s="78"/>
      <c r="I396" s="78"/>
      <c r="J396" s="78"/>
      <c r="K396" s="78"/>
      <c r="L396" s="78"/>
      <c r="M396" s="78"/>
      <c r="N396" s="78"/>
      <c r="O396" s="78"/>
      <c r="P396" s="78"/>
      <c r="Q396" s="78"/>
    </row>
    <row r="397" spans="7:17" x14ac:dyDescent="0.3">
      <c r="G397" s="67"/>
      <c r="H397" s="77"/>
      <c r="I397" s="77"/>
      <c r="J397" s="77"/>
      <c r="K397" s="77"/>
      <c r="L397" s="77"/>
      <c r="M397" s="77"/>
      <c r="N397" s="77"/>
      <c r="O397" s="77"/>
      <c r="P397" s="77"/>
      <c r="Q397" s="77"/>
    </row>
    <row r="398" spans="7:17" x14ac:dyDescent="0.3">
      <c r="G398" s="66"/>
      <c r="H398" s="78"/>
      <c r="I398" s="78"/>
      <c r="J398" s="78"/>
      <c r="K398" s="78"/>
      <c r="L398" s="78"/>
      <c r="M398" s="78"/>
      <c r="N398" s="78"/>
      <c r="O398" s="78"/>
      <c r="P398" s="78"/>
      <c r="Q398" s="78"/>
    </row>
    <row r="399" spans="7:17" x14ac:dyDescent="0.3">
      <c r="G399" s="67"/>
      <c r="H399" s="77"/>
      <c r="I399" s="77"/>
      <c r="J399" s="77"/>
      <c r="K399" s="77"/>
      <c r="L399" s="77"/>
      <c r="M399" s="77"/>
      <c r="N399" s="77"/>
      <c r="O399" s="77"/>
      <c r="P399" s="77"/>
      <c r="Q399" s="77"/>
    </row>
    <row r="400" spans="7:17" x14ac:dyDescent="0.3">
      <c r="G400" s="66"/>
      <c r="H400" s="78"/>
      <c r="I400" s="78"/>
      <c r="J400" s="78"/>
      <c r="K400" s="78"/>
      <c r="L400" s="78"/>
      <c r="M400" s="78"/>
      <c r="N400" s="78"/>
      <c r="O400" s="78"/>
      <c r="P400" s="78"/>
      <c r="Q400" s="78"/>
    </row>
    <row r="401" spans="7:17" x14ac:dyDescent="0.3">
      <c r="G401" s="67"/>
      <c r="H401" s="77"/>
      <c r="I401" s="77"/>
      <c r="J401" s="77"/>
      <c r="K401" s="77"/>
      <c r="L401" s="77"/>
      <c r="M401" s="77"/>
      <c r="N401" s="77"/>
      <c r="O401" s="77"/>
      <c r="P401" s="77"/>
      <c r="Q401" s="77"/>
    </row>
    <row r="402" spans="7:17" x14ac:dyDescent="0.3">
      <c r="G402" s="66"/>
      <c r="H402" s="78"/>
      <c r="I402" s="78"/>
      <c r="J402" s="78"/>
      <c r="K402" s="78"/>
      <c r="L402" s="78"/>
      <c r="M402" s="78"/>
      <c r="N402" s="78"/>
      <c r="O402" s="78"/>
      <c r="P402" s="78"/>
      <c r="Q402" s="78"/>
    </row>
    <row r="403" spans="7:17" x14ac:dyDescent="0.3">
      <c r="G403" s="67"/>
      <c r="H403" s="77"/>
      <c r="I403" s="77"/>
      <c r="J403" s="77"/>
      <c r="K403" s="77"/>
      <c r="L403" s="77"/>
      <c r="M403" s="77"/>
      <c r="N403" s="77"/>
      <c r="O403" s="77"/>
      <c r="P403" s="77"/>
      <c r="Q403" s="77"/>
    </row>
    <row r="404" spans="7:17" x14ac:dyDescent="0.3">
      <c r="G404" s="66"/>
      <c r="H404" s="78"/>
      <c r="I404" s="78"/>
      <c r="J404" s="78"/>
      <c r="K404" s="78"/>
      <c r="L404" s="78"/>
      <c r="M404" s="78"/>
      <c r="N404" s="78"/>
      <c r="O404" s="78"/>
      <c r="P404" s="78"/>
      <c r="Q404" s="78"/>
    </row>
    <row r="405" spans="7:17" x14ac:dyDescent="0.3">
      <c r="G405" s="67"/>
      <c r="H405" s="77"/>
      <c r="I405" s="77"/>
      <c r="J405" s="77"/>
      <c r="K405" s="77"/>
      <c r="L405" s="77"/>
      <c r="M405" s="77"/>
      <c r="N405" s="77"/>
      <c r="O405" s="77"/>
      <c r="P405" s="77"/>
      <c r="Q405" s="77"/>
    </row>
    <row r="406" spans="7:17" x14ac:dyDescent="0.3">
      <c r="G406" s="66"/>
      <c r="H406" s="78"/>
      <c r="I406" s="78"/>
      <c r="J406" s="78"/>
      <c r="K406" s="78"/>
      <c r="L406" s="78"/>
      <c r="M406" s="78"/>
      <c r="N406" s="78"/>
      <c r="O406" s="78"/>
      <c r="P406" s="78"/>
      <c r="Q406" s="78"/>
    </row>
    <row r="407" spans="7:17" x14ac:dyDescent="0.3">
      <c r="G407" s="67"/>
      <c r="H407" s="77"/>
      <c r="I407" s="77"/>
      <c r="J407" s="77"/>
      <c r="K407" s="77"/>
      <c r="L407" s="77"/>
      <c r="M407" s="77"/>
      <c r="N407" s="77"/>
      <c r="O407" s="77"/>
      <c r="P407" s="77"/>
      <c r="Q407" s="77"/>
    </row>
    <row r="408" spans="7:17" x14ac:dyDescent="0.3">
      <c r="G408" s="66"/>
      <c r="H408" s="78"/>
      <c r="I408" s="78"/>
      <c r="J408" s="78"/>
      <c r="K408" s="78"/>
      <c r="L408" s="78"/>
      <c r="M408" s="78"/>
      <c r="N408" s="78"/>
      <c r="O408" s="78"/>
      <c r="P408" s="78"/>
      <c r="Q408" s="78"/>
    </row>
    <row r="409" spans="7:17" x14ac:dyDescent="0.3">
      <c r="G409" s="67"/>
      <c r="H409" s="77"/>
      <c r="I409" s="77"/>
      <c r="J409" s="77"/>
      <c r="K409" s="77"/>
      <c r="L409" s="77"/>
      <c r="M409" s="77"/>
      <c r="N409" s="77"/>
      <c r="O409" s="77"/>
      <c r="P409" s="77"/>
      <c r="Q409" s="77"/>
    </row>
    <row r="410" spans="7:17" x14ac:dyDescent="0.3">
      <c r="G410" s="66"/>
      <c r="H410" s="78"/>
      <c r="I410" s="78"/>
      <c r="J410" s="78"/>
      <c r="K410" s="78"/>
      <c r="L410" s="78"/>
      <c r="M410" s="78"/>
      <c r="N410" s="78"/>
      <c r="O410" s="78"/>
      <c r="P410" s="78"/>
      <c r="Q410" s="78"/>
    </row>
    <row r="411" spans="7:17" x14ac:dyDescent="0.3">
      <c r="G411" s="67"/>
      <c r="H411" s="77"/>
      <c r="I411" s="77"/>
      <c r="J411" s="77"/>
      <c r="K411" s="77"/>
      <c r="L411" s="77"/>
      <c r="M411" s="77"/>
      <c r="N411" s="77"/>
      <c r="O411" s="77"/>
      <c r="P411" s="77"/>
      <c r="Q411" s="77"/>
    </row>
    <row r="412" spans="7:17" x14ac:dyDescent="0.3">
      <c r="G412" s="66"/>
      <c r="H412" s="78"/>
      <c r="I412" s="78"/>
      <c r="J412" s="78"/>
      <c r="K412" s="78"/>
      <c r="L412" s="78"/>
      <c r="M412" s="78"/>
      <c r="N412" s="78"/>
      <c r="O412" s="78"/>
      <c r="P412" s="78"/>
      <c r="Q412" s="78"/>
    </row>
    <row r="413" spans="7:17" x14ac:dyDescent="0.3">
      <c r="G413" s="67"/>
      <c r="H413" s="77"/>
      <c r="I413" s="77"/>
      <c r="J413" s="77"/>
      <c r="K413" s="77"/>
      <c r="L413" s="77"/>
      <c r="M413" s="77"/>
      <c r="N413" s="77"/>
      <c r="O413" s="77"/>
      <c r="P413" s="77"/>
      <c r="Q413" s="77"/>
    </row>
    <row r="414" spans="7:17" x14ac:dyDescent="0.3">
      <c r="G414" s="66"/>
      <c r="H414" s="78"/>
      <c r="I414" s="78"/>
      <c r="J414" s="78"/>
      <c r="K414" s="78"/>
      <c r="L414" s="78"/>
      <c r="M414" s="78"/>
      <c r="N414" s="78"/>
      <c r="O414" s="78"/>
      <c r="P414" s="78"/>
      <c r="Q414" s="78"/>
    </row>
    <row r="415" spans="7:17" x14ac:dyDescent="0.3">
      <c r="G415" s="67"/>
      <c r="H415" s="77"/>
      <c r="I415" s="77"/>
      <c r="J415" s="77"/>
      <c r="K415" s="77"/>
      <c r="L415" s="77"/>
      <c r="M415" s="77"/>
      <c r="N415" s="77"/>
      <c r="O415" s="77"/>
      <c r="P415" s="77"/>
      <c r="Q415" s="77"/>
    </row>
    <row r="416" spans="7:17" x14ac:dyDescent="0.3">
      <c r="G416" s="66"/>
      <c r="H416" s="78"/>
      <c r="I416" s="78"/>
      <c r="J416" s="78"/>
      <c r="K416" s="78"/>
      <c r="L416" s="78"/>
      <c r="M416" s="78"/>
      <c r="N416" s="78"/>
      <c r="O416" s="78"/>
      <c r="P416" s="78"/>
      <c r="Q416" s="78"/>
    </row>
    <row r="417" spans="7:17" x14ac:dyDescent="0.3">
      <c r="G417" s="67"/>
      <c r="H417" s="77"/>
      <c r="I417" s="77"/>
      <c r="J417" s="77"/>
      <c r="K417" s="77"/>
      <c r="L417" s="77"/>
      <c r="M417" s="77"/>
      <c r="N417" s="77"/>
      <c r="O417" s="77"/>
      <c r="P417" s="77"/>
      <c r="Q417" s="77"/>
    </row>
    <row r="418" spans="7:17" x14ac:dyDescent="0.3">
      <c r="G418" s="66"/>
      <c r="H418" s="78"/>
      <c r="I418" s="78"/>
      <c r="J418" s="78"/>
      <c r="K418" s="78"/>
      <c r="L418" s="78"/>
      <c r="M418" s="78"/>
      <c r="N418" s="78"/>
      <c r="O418" s="78"/>
      <c r="P418" s="78"/>
      <c r="Q418" s="78"/>
    </row>
    <row r="419" spans="7:17" x14ac:dyDescent="0.3">
      <c r="G419" s="67"/>
      <c r="H419" s="77"/>
      <c r="I419" s="77"/>
      <c r="J419" s="77"/>
      <c r="K419" s="77"/>
      <c r="L419" s="77"/>
      <c r="M419" s="77"/>
      <c r="N419" s="77"/>
      <c r="O419" s="77"/>
      <c r="P419" s="77"/>
      <c r="Q419" s="77"/>
    </row>
    <row r="420" spans="7:17" x14ac:dyDescent="0.3">
      <c r="G420" s="66"/>
      <c r="H420" s="78"/>
      <c r="I420" s="78"/>
      <c r="J420" s="78"/>
      <c r="K420" s="78"/>
      <c r="L420" s="78"/>
      <c r="M420" s="78"/>
      <c r="N420" s="78"/>
      <c r="O420" s="78"/>
      <c r="P420" s="78"/>
      <c r="Q420" s="78"/>
    </row>
    <row r="421" spans="7:17" x14ac:dyDescent="0.3">
      <c r="G421" s="67"/>
      <c r="H421" s="77"/>
      <c r="I421" s="77"/>
      <c r="J421" s="77"/>
      <c r="K421" s="77"/>
      <c r="L421" s="77"/>
      <c r="M421" s="77"/>
      <c r="N421" s="77"/>
      <c r="O421" s="77"/>
      <c r="P421" s="77"/>
      <c r="Q421" s="77"/>
    </row>
    <row r="422" spans="7:17" x14ac:dyDescent="0.3">
      <c r="G422" s="66"/>
      <c r="H422" s="78"/>
      <c r="I422" s="78"/>
      <c r="J422" s="78"/>
      <c r="K422" s="78"/>
      <c r="L422" s="78"/>
      <c r="M422" s="78"/>
      <c r="N422" s="78"/>
      <c r="O422" s="78"/>
      <c r="P422" s="78"/>
      <c r="Q422" s="78"/>
    </row>
    <row r="423" spans="7:17" x14ac:dyDescent="0.3">
      <c r="G423" s="67"/>
      <c r="H423" s="77"/>
      <c r="I423" s="77"/>
      <c r="J423" s="77"/>
      <c r="K423" s="77"/>
      <c r="L423" s="77"/>
      <c r="M423" s="77"/>
      <c r="N423" s="77"/>
      <c r="O423" s="77"/>
      <c r="P423" s="77"/>
      <c r="Q423" s="77"/>
    </row>
    <row r="424" spans="7:17" x14ac:dyDescent="0.3">
      <c r="G424" s="66"/>
      <c r="H424" s="78"/>
      <c r="I424" s="78"/>
      <c r="J424" s="78"/>
      <c r="K424" s="78"/>
      <c r="L424" s="78"/>
      <c r="M424" s="78"/>
      <c r="N424" s="78"/>
      <c r="O424" s="78"/>
      <c r="P424" s="78"/>
      <c r="Q424" s="78"/>
    </row>
    <row r="425" spans="7:17" x14ac:dyDescent="0.3">
      <c r="G425" s="67"/>
      <c r="H425" s="77"/>
      <c r="I425" s="77"/>
      <c r="J425" s="77"/>
      <c r="K425" s="77"/>
      <c r="L425" s="77"/>
      <c r="M425" s="77"/>
      <c r="N425" s="77"/>
      <c r="O425" s="77"/>
      <c r="P425" s="77"/>
      <c r="Q425" s="77"/>
    </row>
    <row r="426" spans="7:17" x14ac:dyDescent="0.3">
      <c r="G426" s="66"/>
      <c r="H426" s="78"/>
      <c r="I426" s="78"/>
      <c r="J426" s="78"/>
      <c r="K426" s="78"/>
      <c r="L426" s="78"/>
      <c r="M426" s="78"/>
      <c r="N426" s="78"/>
      <c r="O426" s="78"/>
      <c r="P426" s="78"/>
      <c r="Q426" s="78"/>
    </row>
    <row r="427" spans="7:17" x14ac:dyDescent="0.3">
      <c r="G427" s="67"/>
      <c r="H427" s="77"/>
      <c r="I427" s="77"/>
      <c r="J427" s="77"/>
      <c r="K427" s="77"/>
      <c r="L427" s="77"/>
      <c r="M427" s="77"/>
      <c r="N427" s="77"/>
      <c r="O427" s="77"/>
      <c r="P427" s="77"/>
      <c r="Q427" s="77"/>
    </row>
    <row r="428" spans="7:17" x14ac:dyDescent="0.3">
      <c r="G428" s="66"/>
      <c r="H428" s="78"/>
      <c r="I428" s="78"/>
      <c r="J428" s="78"/>
      <c r="K428" s="78"/>
      <c r="L428" s="78"/>
      <c r="M428" s="78"/>
      <c r="N428" s="78"/>
      <c r="O428" s="78"/>
      <c r="P428" s="78"/>
      <c r="Q428" s="78"/>
    </row>
    <row r="429" spans="7:17" x14ac:dyDescent="0.3">
      <c r="G429" s="67"/>
      <c r="H429" s="77"/>
      <c r="I429" s="77"/>
      <c r="J429" s="77"/>
      <c r="K429" s="77"/>
      <c r="L429" s="77"/>
      <c r="M429" s="77"/>
      <c r="N429" s="77"/>
      <c r="O429" s="77"/>
      <c r="P429" s="77"/>
      <c r="Q429" s="77"/>
    </row>
    <row r="430" spans="7:17" x14ac:dyDescent="0.3">
      <c r="G430" s="66"/>
      <c r="H430" s="78"/>
      <c r="I430" s="78"/>
      <c r="J430" s="78"/>
      <c r="K430" s="78"/>
      <c r="L430" s="78"/>
      <c r="M430" s="78"/>
      <c r="N430" s="78"/>
      <c r="O430" s="78"/>
      <c r="P430" s="78"/>
      <c r="Q430" s="78"/>
    </row>
    <row r="431" spans="7:17" x14ac:dyDescent="0.3">
      <c r="G431" s="67"/>
      <c r="H431" s="77"/>
      <c r="I431" s="77"/>
      <c r="J431" s="77"/>
      <c r="K431" s="77"/>
      <c r="L431" s="77"/>
      <c r="M431" s="77"/>
      <c r="N431" s="77"/>
      <c r="O431" s="77"/>
      <c r="P431" s="77"/>
      <c r="Q431" s="77"/>
    </row>
    <row r="432" spans="7:17" x14ac:dyDescent="0.3">
      <c r="G432" s="66"/>
      <c r="H432" s="78"/>
      <c r="I432" s="78"/>
      <c r="J432" s="78"/>
      <c r="K432" s="78"/>
      <c r="L432" s="78"/>
      <c r="M432" s="78"/>
      <c r="N432" s="78"/>
      <c r="O432" s="78"/>
      <c r="P432" s="78"/>
      <c r="Q432" s="78"/>
    </row>
    <row r="433" spans="7:17" x14ac:dyDescent="0.3">
      <c r="G433" s="67"/>
      <c r="H433" s="77"/>
      <c r="I433" s="77"/>
      <c r="J433" s="77"/>
      <c r="K433" s="77"/>
      <c r="L433" s="77"/>
      <c r="M433" s="77"/>
      <c r="N433" s="77"/>
      <c r="O433" s="77"/>
      <c r="P433" s="77"/>
      <c r="Q433" s="77"/>
    </row>
    <row r="434" spans="7:17" x14ac:dyDescent="0.3">
      <c r="G434" s="66"/>
      <c r="H434" s="78"/>
      <c r="I434" s="78"/>
      <c r="J434" s="78"/>
      <c r="K434" s="78"/>
      <c r="L434" s="78"/>
      <c r="M434" s="78"/>
      <c r="N434" s="78"/>
      <c r="O434" s="78"/>
      <c r="P434" s="78"/>
      <c r="Q434" s="78"/>
    </row>
    <row r="435" spans="7:17" x14ac:dyDescent="0.3">
      <c r="G435" s="67"/>
      <c r="H435" s="77"/>
      <c r="I435" s="77"/>
      <c r="J435" s="77"/>
      <c r="K435" s="77"/>
      <c r="L435" s="77"/>
      <c r="M435" s="77"/>
      <c r="N435" s="77"/>
      <c r="O435" s="77"/>
      <c r="P435" s="77"/>
      <c r="Q435" s="77"/>
    </row>
    <row r="436" spans="7:17" x14ac:dyDescent="0.3">
      <c r="G436" s="66"/>
      <c r="H436" s="78"/>
      <c r="I436" s="78"/>
      <c r="J436" s="78"/>
      <c r="K436" s="78"/>
      <c r="L436" s="78"/>
      <c r="M436" s="78"/>
      <c r="N436" s="78"/>
      <c r="O436" s="78"/>
      <c r="P436" s="78"/>
      <c r="Q436" s="78"/>
    </row>
    <row r="437" spans="7:17" x14ac:dyDescent="0.3">
      <c r="G437" s="67"/>
      <c r="H437" s="77"/>
      <c r="I437" s="77"/>
      <c r="J437" s="77"/>
      <c r="K437" s="77"/>
      <c r="L437" s="77"/>
      <c r="M437" s="77"/>
      <c r="N437" s="77"/>
      <c r="O437" s="77"/>
      <c r="P437" s="77"/>
      <c r="Q437" s="77"/>
    </row>
    <row r="438" spans="7:17" x14ac:dyDescent="0.3">
      <c r="G438" s="66"/>
      <c r="H438" s="78"/>
      <c r="I438" s="78"/>
      <c r="J438" s="78"/>
      <c r="K438" s="78"/>
      <c r="L438" s="78"/>
      <c r="M438" s="78"/>
      <c r="N438" s="78"/>
      <c r="O438" s="78"/>
      <c r="P438" s="78"/>
      <c r="Q438" s="78"/>
    </row>
    <row r="439" spans="7:17" x14ac:dyDescent="0.3">
      <c r="G439" s="67"/>
      <c r="H439" s="77"/>
      <c r="I439" s="77"/>
      <c r="J439" s="77"/>
      <c r="K439" s="77"/>
      <c r="L439" s="77"/>
      <c r="M439" s="77"/>
      <c r="N439" s="77"/>
      <c r="O439" s="77"/>
      <c r="P439" s="77"/>
      <c r="Q439" s="77"/>
    </row>
    <row r="440" spans="7:17" x14ac:dyDescent="0.3">
      <c r="G440" s="66"/>
      <c r="H440" s="78"/>
      <c r="I440" s="78"/>
      <c r="J440" s="78"/>
      <c r="K440" s="78"/>
      <c r="L440" s="78"/>
      <c r="M440" s="78"/>
      <c r="N440" s="78"/>
      <c r="O440" s="78"/>
      <c r="P440" s="78"/>
      <c r="Q440" s="78"/>
    </row>
    <row r="441" spans="7:17" x14ac:dyDescent="0.3">
      <c r="G441" s="67"/>
      <c r="H441" s="77"/>
      <c r="I441" s="77"/>
      <c r="J441" s="77"/>
      <c r="K441" s="77"/>
      <c r="L441" s="77"/>
      <c r="M441" s="77"/>
      <c r="N441" s="77"/>
      <c r="O441" s="77"/>
      <c r="P441" s="77"/>
      <c r="Q441" s="77"/>
    </row>
    <row r="442" spans="7:17" x14ac:dyDescent="0.3">
      <c r="G442" s="66"/>
      <c r="H442" s="78"/>
      <c r="I442" s="78"/>
      <c r="J442" s="78"/>
      <c r="K442" s="78"/>
      <c r="L442" s="78"/>
      <c r="M442" s="78"/>
      <c r="N442" s="78"/>
      <c r="O442" s="78"/>
      <c r="P442" s="78"/>
      <c r="Q442" s="78"/>
    </row>
    <row r="443" spans="7:17" x14ac:dyDescent="0.3">
      <c r="G443" s="67"/>
      <c r="H443" s="77"/>
      <c r="I443" s="77"/>
      <c r="J443" s="77"/>
      <c r="K443" s="77"/>
      <c r="L443" s="77"/>
      <c r="M443" s="77"/>
      <c r="N443" s="77"/>
      <c r="O443" s="77"/>
      <c r="P443" s="77"/>
      <c r="Q443" s="77"/>
    </row>
    <row r="444" spans="7:17" x14ac:dyDescent="0.3">
      <c r="G444" s="66"/>
      <c r="H444" s="78"/>
      <c r="I444" s="78"/>
      <c r="J444" s="78"/>
      <c r="K444" s="78"/>
      <c r="L444" s="78"/>
      <c r="M444" s="78"/>
      <c r="N444" s="78"/>
      <c r="O444" s="78"/>
      <c r="P444" s="78"/>
      <c r="Q444" s="78"/>
    </row>
    <row r="445" spans="7:17" x14ac:dyDescent="0.3">
      <c r="G445" s="67"/>
      <c r="H445" s="77"/>
      <c r="I445" s="77"/>
      <c r="J445" s="77"/>
      <c r="K445" s="77"/>
      <c r="L445" s="77"/>
      <c r="M445" s="77"/>
      <c r="N445" s="77"/>
      <c r="O445" s="77"/>
      <c r="P445" s="77"/>
      <c r="Q445" s="77"/>
    </row>
    <row r="446" spans="7:17" x14ac:dyDescent="0.3">
      <c r="G446" s="66"/>
      <c r="H446" s="78"/>
      <c r="I446" s="78"/>
      <c r="J446" s="78"/>
      <c r="K446" s="78"/>
      <c r="L446" s="78"/>
      <c r="M446" s="78"/>
      <c r="N446" s="78"/>
      <c r="O446" s="78"/>
      <c r="P446" s="78"/>
      <c r="Q446" s="78"/>
    </row>
    <row r="447" spans="7:17" x14ac:dyDescent="0.3">
      <c r="G447" s="67"/>
      <c r="H447" s="77"/>
      <c r="I447" s="77"/>
      <c r="J447" s="77"/>
      <c r="K447" s="77"/>
      <c r="L447" s="77"/>
      <c r="M447" s="77"/>
      <c r="N447" s="77"/>
      <c r="O447" s="77"/>
      <c r="P447" s="77"/>
      <c r="Q447" s="77"/>
    </row>
    <row r="448" spans="7:17" x14ac:dyDescent="0.3">
      <c r="G448" s="66"/>
      <c r="H448" s="78"/>
      <c r="I448" s="78"/>
      <c r="J448" s="78"/>
      <c r="K448" s="78"/>
      <c r="L448" s="78"/>
      <c r="M448" s="78"/>
      <c r="N448" s="78"/>
      <c r="O448" s="78"/>
      <c r="P448" s="78"/>
      <c r="Q448" s="78"/>
    </row>
    <row r="449" spans="7:17" x14ac:dyDescent="0.3">
      <c r="G449" s="67"/>
      <c r="H449" s="77"/>
      <c r="I449" s="77"/>
      <c r="J449" s="77"/>
      <c r="K449" s="77"/>
      <c r="L449" s="77"/>
      <c r="M449" s="77"/>
      <c r="N449" s="77"/>
      <c r="O449" s="77"/>
      <c r="P449" s="77"/>
      <c r="Q449" s="77"/>
    </row>
    <row r="450" spans="7:17" x14ac:dyDescent="0.3">
      <c r="G450" s="66"/>
      <c r="H450" s="78"/>
      <c r="I450" s="78"/>
      <c r="J450" s="78"/>
      <c r="K450" s="78"/>
      <c r="L450" s="78"/>
      <c r="M450" s="78"/>
      <c r="N450" s="78"/>
      <c r="O450" s="78"/>
      <c r="P450" s="78"/>
      <c r="Q450" s="78"/>
    </row>
    <row r="451" spans="7:17" x14ac:dyDescent="0.3">
      <c r="G451" s="67"/>
      <c r="H451" s="77"/>
      <c r="I451" s="77"/>
      <c r="J451" s="77"/>
      <c r="K451" s="77"/>
      <c r="L451" s="77"/>
      <c r="M451" s="77"/>
      <c r="N451" s="77"/>
      <c r="O451" s="77"/>
      <c r="P451" s="77"/>
      <c r="Q451" s="77"/>
    </row>
    <row r="452" spans="7:17" x14ac:dyDescent="0.3">
      <c r="G452" s="66"/>
      <c r="H452" s="78"/>
      <c r="I452" s="78"/>
      <c r="J452" s="78"/>
      <c r="K452" s="78"/>
      <c r="L452" s="78"/>
      <c r="M452" s="78"/>
      <c r="N452" s="78"/>
      <c r="O452" s="78"/>
      <c r="P452" s="78"/>
      <c r="Q452" s="78"/>
    </row>
    <row r="453" spans="7:17" x14ac:dyDescent="0.3">
      <c r="G453" s="67"/>
      <c r="H453" s="77"/>
      <c r="I453" s="77"/>
      <c r="J453" s="77"/>
      <c r="K453" s="77"/>
      <c r="L453" s="77"/>
      <c r="M453" s="77"/>
      <c r="N453" s="77"/>
      <c r="O453" s="77"/>
      <c r="P453" s="77"/>
      <c r="Q453" s="77"/>
    </row>
    <row r="454" spans="7:17" x14ac:dyDescent="0.3">
      <c r="G454" s="66"/>
      <c r="H454" s="78"/>
      <c r="I454" s="78"/>
      <c r="J454" s="78"/>
      <c r="K454" s="78"/>
      <c r="L454" s="78"/>
      <c r="M454" s="78"/>
      <c r="N454" s="78"/>
      <c r="O454" s="78"/>
      <c r="P454" s="78"/>
      <c r="Q454" s="78"/>
    </row>
    <row r="455" spans="7:17" x14ac:dyDescent="0.3">
      <c r="G455" s="67"/>
      <c r="H455" s="77"/>
      <c r="I455" s="77"/>
      <c r="J455" s="77"/>
      <c r="K455" s="77"/>
      <c r="L455" s="77"/>
      <c r="M455" s="77"/>
      <c r="N455" s="77"/>
      <c r="O455" s="77"/>
      <c r="P455" s="77"/>
      <c r="Q455" s="77"/>
    </row>
    <row r="456" spans="7:17" x14ac:dyDescent="0.3">
      <c r="G456" s="66"/>
      <c r="H456" s="78"/>
      <c r="I456" s="78"/>
      <c r="J456" s="78"/>
      <c r="K456" s="78"/>
      <c r="L456" s="78"/>
      <c r="M456" s="78"/>
      <c r="N456" s="78"/>
      <c r="O456" s="78"/>
      <c r="P456" s="78"/>
      <c r="Q456" s="78"/>
    </row>
    <row r="457" spans="7:17" x14ac:dyDescent="0.3">
      <c r="G457" s="67"/>
      <c r="H457" s="77"/>
      <c r="I457" s="77"/>
      <c r="J457" s="77"/>
      <c r="K457" s="77"/>
      <c r="L457" s="77"/>
      <c r="M457" s="77"/>
      <c r="N457" s="77"/>
      <c r="O457" s="77"/>
      <c r="P457" s="77"/>
      <c r="Q457" s="77"/>
    </row>
    <row r="458" spans="7:17" x14ac:dyDescent="0.3">
      <c r="G458" s="66"/>
      <c r="H458" s="78"/>
      <c r="I458" s="78"/>
      <c r="J458" s="78"/>
      <c r="K458" s="78"/>
      <c r="L458" s="78"/>
      <c r="M458" s="78"/>
      <c r="N458" s="78"/>
      <c r="O458" s="78"/>
      <c r="P458" s="78"/>
      <c r="Q458" s="78"/>
    </row>
    <row r="459" spans="7:17" x14ac:dyDescent="0.3">
      <c r="G459" s="67"/>
      <c r="H459" s="77"/>
      <c r="I459" s="77"/>
      <c r="J459" s="77"/>
      <c r="K459" s="77"/>
      <c r="L459" s="77"/>
      <c r="M459" s="77"/>
      <c r="N459" s="77"/>
      <c r="O459" s="77"/>
      <c r="P459" s="77"/>
      <c r="Q459" s="77"/>
    </row>
    <row r="460" spans="7:17" x14ac:dyDescent="0.3">
      <c r="G460" s="66"/>
      <c r="H460" s="78"/>
      <c r="I460" s="78"/>
      <c r="J460" s="78"/>
      <c r="K460" s="78"/>
      <c r="L460" s="78"/>
      <c r="M460" s="78"/>
      <c r="N460" s="78"/>
      <c r="O460" s="78"/>
      <c r="P460" s="78"/>
      <c r="Q460" s="78"/>
    </row>
    <row r="461" spans="7:17" x14ac:dyDescent="0.3">
      <c r="G461" s="67"/>
      <c r="H461" s="77"/>
      <c r="I461" s="77"/>
      <c r="J461" s="77"/>
      <c r="K461" s="77"/>
      <c r="L461" s="77"/>
      <c r="M461" s="77"/>
      <c r="N461" s="77"/>
      <c r="O461" s="77"/>
      <c r="P461" s="77"/>
      <c r="Q461" s="77"/>
    </row>
    <row r="462" spans="7:17" x14ac:dyDescent="0.3">
      <c r="G462" s="66"/>
      <c r="H462" s="78"/>
      <c r="I462" s="78"/>
      <c r="J462" s="78"/>
      <c r="K462" s="78"/>
      <c r="L462" s="78"/>
      <c r="M462" s="78"/>
      <c r="N462" s="78"/>
      <c r="O462" s="78"/>
      <c r="P462" s="78"/>
      <c r="Q462" s="78"/>
    </row>
    <row r="463" spans="7:17" x14ac:dyDescent="0.3">
      <c r="G463" s="67"/>
      <c r="H463" s="77"/>
      <c r="I463" s="77"/>
      <c r="J463" s="77"/>
      <c r="K463" s="77"/>
      <c r="L463" s="77"/>
      <c r="M463" s="77"/>
      <c r="N463" s="77"/>
      <c r="O463" s="77"/>
      <c r="P463" s="77"/>
      <c r="Q463" s="77"/>
    </row>
    <row r="464" spans="7:17" x14ac:dyDescent="0.3">
      <c r="G464" s="66"/>
      <c r="H464" s="78"/>
      <c r="I464" s="78"/>
      <c r="J464" s="78"/>
      <c r="K464" s="78"/>
      <c r="L464" s="78"/>
      <c r="M464" s="78"/>
      <c r="N464" s="78"/>
      <c r="O464" s="78"/>
      <c r="P464" s="78"/>
      <c r="Q464" s="78"/>
    </row>
    <row r="465" spans="7:17" x14ac:dyDescent="0.3">
      <c r="G465" s="67"/>
      <c r="H465" s="77"/>
      <c r="I465" s="77"/>
      <c r="J465" s="77"/>
      <c r="K465" s="77"/>
      <c r="L465" s="77"/>
      <c r="M465" s="77"/>
      <c r="N465" s="77"/>
      <c r="O465" s="77"/>
      <c r="P465" s="77"/>
      <c r="Q465" s="77"/>
    </row>
    <row r="466" spans="7:17" x14ac:dyDescent="0.3">
      <c r="G466" s="66"/>
      <c r="H466" s="78"/>
      <c r="I466" s="78"/>
      <c r="J466" s="78"/>
      <c r="K466" s="78"/>
      <c r="L466" s="78"/>
      <c r="M466" s="78"/>
      <c r="N466" s="78"/>
      <c r="O466" s="78"/>
      <c r="P466" s="78"/>
      <c r="Q466" s="78"/>
    </row>
    <row r="467" spans="7:17" x14ac:dyDescent="0.3">
      <c r="G467" s="67"/>
      <c r="H467" s="77"/>
      <c r="I467" s="77"/>
      <c r="J467" s="77"/>
      <c r="K467" s="77"/>
      <c r="L467" s="77"/>
      <c r="M467" s="77"/>
      <c r="N467" s="77"/>
      <c r="O467" s="77"/>
      <c r="P467" s="77"/>
      <c r="Q467" s="77"/>
    </row>
    <row r="468" spans="7:17" x14ac:dyDescent="0.3">
      <c r="G468" s="66"/>
      <c r="H468" s="78"/>
      <c r="I468" s="78"/>
      <c r="J468" s="78"/>
      <c r="K468" s="78"/>
      <c r="L468" s="78"/>
      <c r="M468" s="78"/>
      <c r="N468" s="78"/>
      <c r="O468" s="78"/>
      <c r="P468" s="78"/>
      <c r="Q468" s="78"/>
    </row>
    <row r="469" spans="7:17" x14ac:dyDescent="0.3">
      <c r="G469" s="67"/>
      <c r="H469" s="77"/>
      <c r="I469" s="77"/>
      <c r="J469" s="77"/>
      <c r="K469" s="77"/>
      <c r="L469" s="77"/>
      <c r="M469" s="77"/>
      <c r="N469" s="77"/>
      <c r="O469" s="77"/>
      <c r="P469" s="77"/>
      <c r="Q469" s="77"/>
    </row>
    <row r="470" spans="7:17" x14ac:dyDescent="0.3">
      <c r="G470" s="66"/>
      <c r="H470" s="78"/>
      <c r="I470" s="78"/>
      <c r="J470" s="78"/>
      <c r="K470" s="78"/>
      <c r="L470" s="78"/>
      <c r="M470" s="78"/>
      <c r="N470" s="78"/>
      <c r="O470" s="78"/>
      <c r="P470" s="78"/>
      <c r="Q470" s="78"/>
    </row>
    <row r="471" spans="7:17" x14ac:dyDescent="0.3">
      <c r="G471" s="67"/>
      <c r="H471" s="77"/>
      <c r="I471" s="77"/>
      <c r="J471" s="77"/>
      <c r="K471" s="77"/>
      <c r="L471" s="77"/>
      <c r="M471" s="77"/>
      <c r="N471" s="77"/>
      <c r="O471" s="77"/>
      <c r="P471" s="77"/>
      <c r="Q471" s="77"/>
    </row>
    <row r="472" spans="7:17" x14ac:dyDescent="0.3">
      <c r="G472" s="66"/>
      <c r="H472" s="78"/>
      <c r="I472" s="78"/>
      <c r="J472" s="78"/>
      <c r="K472" s="78"/>
      <c r="L472" s="78"/>
      <c r="M472" s="78"/>
      <c r="N472" s="78"/>
      <c r="O472" s="78"/>
      <c r="P472" s="78"/>
      <c r="Q472" s="78"/>
    </row>
    <row r="473" spans="7:17" x14ac:dyDescent="0.3">
      <c r="G473" s="67"/>
      <c r="H473" s="77"/>
      <c r="I473" s="77"/>
      <c r="J473" s="77"/>
      <c r="K473" s="77"/>
      <c r="L473" s="77"/>
      <c r="M473" s="77"/>
      <c r="N473" s="77"/>
      <c r="O473" s="77"/>
      <c r="P473" s="77"/>
      <c r="Q473" s="77"/>
    </row>
    <row r="474" spans="7:17" x14ac:dyDescent="0.3">
      <c r="G474" s="66"/>
      <c r="H474" s="78"/>
      <c r="I474" s="78"/>
      <c r="J474" s="78"/>
      <c r="K474" s="78"/>
      <c r="L474" s="78"/>
      <c r="M474" s="78"/>
      <c r="N474" s="78"/>
      <c r="O474" s="78"/>
      <c r="P474" s="78"/>
      <c r="Q474" s="78"/>
    </row>
    <row r="475" spans="7:17" x14ac:dyDescent="0.3">
      <c r="G475" s="67"/>
      <c r="H475" s="77"/>
      <c r="I475" s="77"/>
      <c r="J475" s="77"/>
      <c r="K475" s="77"/>
      <c r="L475" s="77"/>
      <c r="M475" s="77"/>
      <c r="N475" s="77"/>
      <c r="O475" s="77"/>
      <c r="P475" s="77"/>
      <c r="Q475" s="77"/>
    </row>
    <row r="476" spans="7:17" x14ac:dyDescent="0.3">
      <c r="G476" s="66"/>
      <c r="H476" s="78"/>
      <c r="I476" s="78"/>
      <c r="J476" s="78"/>
      <c r="K476" s="78"/>
      <c r="L476" s="78"/>
      <c r="M476" s="78"/>
      <c r="N476" s="78"/>
      <c r="O476" s="78"/>
      <c r="P476" s="78"/>
      <c r="Q476" s="78"/>
    </row>
    <row r="477" spans="7:17" x14ac:dyDescent="0.3">
      <c r="G477" s="67"/>
      <c r="H477" s="77"/>
      <c r="I477" s="77"/>
      <c r="J477" s="77"/>
      <c r="K477" s="77"/>
      <c r="L477" s="77"/>
      <c r="M477" s="77"/>
      <c r="N477" s="77"/>
      <c r="O477" s="77"/>
      <c r="P477" s="77"/>
      <c r="Q477" s="77"/>
    </row>
    <row r="478" spans="7:17" x14ac:dyDescent="0.3">
      <c r="G478" s="66"/>
      <c r="H478" s="78"/>
      <c r="I478" s="78"/>
      <c r="J478" s="78"/>
      <c r="K478" s="78"/>
      <c r="L478" s="78"/>
      <c r="M478" s="78"/>
      <c r="N478" s="78"/>
      <c r="O478" s="78"/>
      <c r="P478" s="78"/>
      <c r="Q478" s="78"/>
    </row>
    <row r="479" spans="7:17" x14ac:dyDescent="0.3">
      <c r="G479" s="67"/>
      <c r="H479" s="77"/>
      <c r="I479" s="77"/>
      <c r="J479" s="77"/>
      <c r="K479" s="77"/>
      <c r="L479" s="77"/>
      <c r="M479" s="77"/>
      <c r="N479" s="77"/>
      <c r="O479" s="77"/>
      <c r="P479" s="77"/>
      <c r="Q479" s="77"/>
    </row>
    <row r="480" spans="7:17" x14ac:dyDescent="0.3">
      <c r="G480" s="66"/>
      <c r="H480" s="78"/>
      <c r="I480" s="78"/>
      <c r="J480" s="78"/>
      <c r="K480" s="78"/>
      <c r="L480" s="78"/>
      <c r="M480" s="78"/>
      <c r="N480" s="78"/>
      <c r="O480" s="78"/>
      <c r="P480" s="78"/>
      <c r="Q480" s="78"/>
    </row>
    <row r="481" spans="7:17" x14ac:dyDescent="0.3">
      <c r="G481" s="67"/>
      <c r="H481" s="77"/>
      <c r="I481" s="77"/>
      <c r="J481" s="77"/>
      <c r="K481" s="77"/>
      <c r="L481" s="77"/>
      <c r="M481" s="77"/>
      <c r="N481" s="77"/>
      <c r="O481" s="77"/>
      <c r="P481" s="77"/>
      <c r="Q481" s="77"/>
    </row>
    <row r="482" spans="7:17" x14ac:dyDescent="0.3">
      <c r="G482" s="66"/>
      <c r="H482" s="78"/>
      <c r="I482" s="78"/>
      <c r="J482" s="78"/>
      <c r="K482" s="78"/>
      <c r="L482" s="78"/>
      <c r="M482" s="78"/>
      <c r="N482" s="78"/>
      <c r="O482" s="78"/>
      <c r="P482" s="78"/>
      <c r="Q482" s="78"/>
    </row>
    <row r="483" spans="7:17" x14ac:dyDescent="0.3">
      <c r="G483" s="67"/>
      <c r="H483" s="77"/>
      <c r="I483" s="77"/>
      <c r="J483" s="77"/>
      <c r="K483" s="77"/>
      <c r="L483" s="77"/>
      <c r="M483" s="77"/>
      <c r="N483" s="77"/>
      <c r="O483" s="77"/>
      <c r="P483" s="77"/>
      <c r="Q483" s="77"/>
    </row>
    <row r="484" spans="7:17" x14ac:dyDescent="0.3">
      <c r="G484" s="66"/>
      <c r="H484" s="78"/>
      <c r="I484" s="78"/>
      <c r="J484" s="78"/>
      <c r="K484" s="78"/>
      <c r="L484" s="78"/>
      <c r="M484" s="78"/>
      <c r="N484" s="78"/>
      <c r="O484" s="78"/>
      <c r="P484" s="78"/>
      <c r="Q484" s="78"/>
    </row>
    <row r="485" spans="7:17" x14ac:dyDescent="0.3">
      <c r="G485" s="67"/>
      <c r="H485" s="77"/>
      <c r="I485" s="77"/>
      <c r="J485" s="77"/>
      <c r="K485" s="77"/>
      <c r="L485" s="77"/>
      <c r="M485" s="77"/>
      <c r="N485" s="77"/>
      <c r="O485" s="77"/>
      <c r="P485" s="77"/>
      <c r="Q485" s="77"/>
    </row>
    <row r="486" spans="7:17" x14ac:dyDescent="0.3">
      <c r="G486" s="66"/>
      <c r="H486" s="78"/>
      <c r="I486" s="78"/>
      <c r="J486" s="78"/>
      <c r="K486" s="78"/>
      <c r="L486" s="78"/>
      <c r="M486" s="78"/>
      <c r="N486" s="78"/>
      <c r="O486" s="78"/>
      <c r="P486" s="78"/>
      <c r="Q486" s="78"/>
    </row>
    <row r="487" spans="7:17" x14ac:dyDescent="0.3">
      <c r="G487" s="67"/>
      <c r="H487" s="77"/>
      <c r="I487" s="77"/>
      <c r="J487" s="77"/>
      <c r="K487" s="77"/>
      <c r="L487" s="77"/>
      <c r="M487" s="77"/>
      <c r="N487" s="77"/>
      <c r="O487" s="77"/>
      <c r="P487" s="77"/>
      <c r="Q487" s="77"/>
    </row>
    <row r="488" spans="7:17" x14ac:dyDescent="0.3">
      <c r="G488" s="66"/>
      <c r="H488" s="78"/>
      <c r="I488" s="78"/>
      <c r="J488" s="78"/>
      <c r="K488" s="78"/>
      <c r="L488" s="78"/>
      <c r="M488" s="78"/>
      <c r="N488" s="78"/>
      <c r="O488" s="78"/>
      <c r="P488" s="78"/>
      <c r="Q488" s="78"/>
    </row>
    <row r="489" spans="7:17" x14ac:dyDescent="0.3">
      <c r="G489" s="67"/>
      <c r="H489" s="77"/>
      <c r="I489" s="77"/>
      <c r="J489" s="77"/>
      <c r="K489" s="77"/>
      <c r="L489" s="77"/>
      <c r="M489" s="77"/>
      <c r="N489" s="77"/>
      <c r="O489" s="77"/>
      <c r="P489" s="77"/>
      <c r="Q489" s="77"/>
    </row>
    <row r="490" spans="7:17" x14ac:dyDescent="0.3">
      <c r="G490" s="66"/>
      <c r="H490" s="78"/>
      <c r="I490" s="78"/>
      <c r="J490" s="78"/>
      <c r="K490" s="78"/>
      <c r="L490" s="78"/>
      <c r="M490" s="78"/>
      <c r="N490" s="78"/>
      <c r="O490" s="78"/>
      <c r="P490" s="78"/>
      <c r="Q490" s="78"/>
    </row>
    <row r="491" spans="7:17" x14ac:dyDescent="0.3">
      <c r="G491" s="67"/>
      <c r="H491" s="77"/>
      <c r="I491" s="77"/>
      <c r="J491" s="77"/>
      <c r="K491" s="77"/>
      <c r="L491" s="77"/>
      <c r="M491" s="77"/>
      <c r="N491" s="77"/>
      <c r="O491" s="77"/>
      <c r="P491" s="77"/>
      <c r="Q491" s="77"/>
    </row>
    <row r="492" spans="7:17" x14ac:dyDescent="0.3">
      <c r="G492" s="66"/>
      <c r="H492" s="78"/>
      <c r="I492" s="78"/>
      <c r="J492" s="78"/>
      <c r="K492" s="78"/>
      <c r="L492" s="78"/>
      <c r="M492" s="78"/>
      <c r="N492" s="78"/>
      <c r="O492" s="78"/>
      <c r="P492" s="78"/>
      <c r="Q492" s="78"/>
    </row>
    <row r="493" spans="7:17" x14ac:dyDescent="0.3">
      <c r="G493" s="67"/>
      <c r="H493" s="77"/>
      <c r="I493" s="77"/>
      <c r="J493" s="77"/>
      <c r="K493" s="77"/>
      <c r="L493" s="77"/>
      <c r="M493" s="77"/>
      <c r="N493" s="77"/>
      <c r="O493" s="77"/>
      <c r="P493" s="77"/>
      <c r="Q493" s="77"/>
    </row>
    <row r="494" spans="7:17" x14ac:dyDescent="0.3">
      <c r="G494" s="66"/>
      <c r="H494" s="78"/>
      <c r="I494" s="78"/>
      <c r="J494" s="78"/>
      <c r="K494" s="78"/>
      <c r="L494" s="78"/>
      <c r="M494" s="78"/>
      <c r="N494" s="78"/>
      <c r="O494" s="78"/>
      <c r="P494" s="78"/>
      <c r="Q494" s="78"/>
    </row>
    <row r="495" spans="7:17" x14ac:dyDescent="0.3">
      <c r="G495" s="67"/>
      <c r="H495" s="77"/>
      <c r="I495" s="77"/>
      <c r="J495" s="77"/>
      <c r="K495" s="77"/>
      <c r="L495" s="77"/>
      <c r="M495" s="77"/>
      <c r="N495" s="77"/>
      <c r="O495" s="77"/>
      <c r="P495" s="77"/>
      <c r="Q495" s="77"/>
    </row>
    <row r="496" spans="7:17" x14ac:dyDescent="0.3">
      <c r="G496" s="66"/>
      <c r="H496" s="78"/>
      <c r="I496" s="78"/>
      <c r="J496" s="78"/>
      <c r="K496" s="78"/>
      <c r="L496" s="78"/>
      <c r="M496" s="78"/>
      <c r="N496" s="78"/>
      <c r="O496" s="78"/>
      <c r="P496" s="78"/>
      <c r="Q496" s="78"/>
    </row>
    <row r="497" spans="7:17" x14ac:dyDescent="0.3">
      <c r="G497" s="67"/>
      <c r="H497" s="77"/>
      <c r="I497" s="77"/>
      <c r="J497" s="77"/>
      <c r="K497" s="77"/>
      <c r="L497" s="77"/>
      <c r="M497" s="77"/>
      <c r="N497" s="77"/>
      <c r="O497" s="77"/>
      <c r="P497" s="77"/>
      <c r="Q497" s="77"/>
    </row>
    <row r="498" spans="7:17" x14ac:dyDescent="0.3">
      <c r="G498" s="66"/>
      <c r="H498" s="78"/>
      <c r="I498" s="78"/>
      <c r="J498" s="78"/>
      <c r="K498" s="78"/>
      <c r="L498" s="78"/>
      <c r="M498" s="78"/>
      <c r="N498" s="78"/>
      <c r="O498" s="78"/>
      <c r="P498" s="78"/>
      <c r="Q498" s="78"/>
    </row>
    <row r="499" spans="7:17" x14ac:dyDescent="0.3">
      <c r="G499" s="67"/>
      <c r="H499" s="77"/>
      <c r="I499" s="77"/>
      <c r="J499" s="77"/>
      <c r="K499" s="77"/>
      <c r="L499" s="77"/>
      <c r="M499" s="77"/>
      <c r="N499" s="77"/>
      <c r="O499" s="77"/>
      <c r="P499" s="77"/>
      <c r="Q499" s="77"/>
    </row>
    <row r="500" spans="7:17" x14ac:dyDescent="0.3">
      <c r="G500" s="66"/>
      <c r="H500" s="78"/>
      <c r="I500" s="78"/>
      <c r="J500" s="78"/>
      <c r="K500" s="78"/>
      <c r="L500" s="78"/>
      <c r="M500" s="78"/>
      <c r="N500" s="78"/>
      <c r="O500" s="78"/>
      <c r="P500" s="78"/>
      <c r="Q500" s="78"/>
    </row>
    <row r="501" spans="7:17" x14ac:dyDescent="0.3">
      <c r="G501" s="67"/>
      <c r="H501" s="77"/>
      <c r="I501" s="77"/>
      <c r="J501" s="77"/>
      <c r="K501" s="77"/>
      <c r="L501" s="77"/>
      <c r="M501" s="77"/>
      <c r="N501" s="77"/>
      <c r="O501" s="77"/>
      <c r="P501" s="77"/>
      <c r="Q501" s="77"/>
    </row>
    <row r="502" spans="7:17" x14ac:dyDescent="0.3">
      <c r="G502" s="66"/>
      <c r="H502" s="78"/>
      <c r="I502" s="78"/>
      <c r="J502" s="78"/>
      <c r="K502" s="78"/>
      <c r="L502" s="78"/>
      <c r="M502" s="78"/>
      <c r="N502" s="78"/>
      <c r="O502" s="78"/>
      <c r="P502" s="78"/>
      <c r="Q502" s="78"/>
    </row>
    <row r="503" spans="7:17" x14ac:dyDescent="0.3">
      <c r="G503" s="67"/>
      <c r="H503" s="77"/>
      <c r="I503" s="77"/>
      <c r="J503" s="77"/>
      <c r="K503" s="77"/>
      <c r="L503" s="77"/>
      <c r="M503" s="77"/>
      <c r="N503" s="77"/>
      <c r="O503" s="77"/>
      <c r="P503" s="77"/>
      <c r="Q503" s="77"/>
    </row>
    <row r="504" spans="7:17" x14ac:dyDescent="0.3">
      <c r="G504" s="66"/>
      <c r="H504" s="78"/>
      <c r="I504" s="78"/>
      <c r="J504" s="78"/>
      <c r="K504" s="78"/>
      <c r="L504" s="78"/>
      <c r="M504" s="78"/>
      <c r="N504" s="78"/>
      <c r="O504" s="78"/>
      <c r="P504" s="78"/>
      <c r="Q504" s="78"/>
    </row>
    <row r="505" spans="7:17" x14ac:dyDescent="0.3">
      <c r="G505" s="67"/>
      <c r="H505" s="77"/>
      <c r="I505" s="77"/>
      <c r="J505" s="77"/>
      <c r="K505" s="77"/>
      <c r="L505" s="77"/>
      <c r="M505" s="77"/>
      <c r="N505" s="77"/>
      <c r="O505" s="77"/>
      <c r="P505" s="77"/>
      <c r="Q505" s="77"/>
    </row>
    <row r="506" spans="7:17" x14ac:dyDescent="0.3">
      <c r="G506" s="66"/>
      <c r="H506" s="78"/>
      <c r="I506" s="78"/>
      <c r="J506" s="78"/>
      <c r="K506" s="78"/>
      <c r="L506" s="78"/>
      <c r="M506" s="78"/>
      <c r="N506" s="78"/>
      <c r="O506" s="78"/>
      <c r="P506" s="78"/>
      <c r="Q506" s="78"/>
    </row>
    <row r="507" spans="7:17" x14ac:dyDescent="0.3">
      <c r="G507" s="67"/>
      <c r="H507" s="77"/>
      <c r="I507" s="77"/>
      <c r="J507" s="77"/>
      <c r="K507" s="77"/>
      <c r="L507" s="77"/>
      <c r="M507" s="77"/>
      <c r="N507" s="77"/>
      <c r="O507" s="77"/>
      <c r="P507" s="77"/>
      <c r="Q507" s="77"/>
    </row>
    <row r="508" spans="7:17" x14ac:dyDescent="0.3">
      <c r="G508" s="66"/>
      <c r="H508" s="78"/>
      <c r="I508" s="78"/>
      <c r="J508" s="78"/>
      <c r="K508" s="78"/>
      <c r="L508" s="78"/>
      <c r="M508" s="78"/>
      <c r="N508" s="78"/>
      <c r="O508" s="78"/>
      <c r="P508" s="78"/>
      <c r="Q508" s="78"/>
    </row>
    <row r="509" spans="7:17" x14ac:dyDescent="0.3">
      <c r="G509" s="67"/>
      <c r="H509" s="77"/>
      <c r="I509" s="77"/>
      <c r="J509" s="77"/>
      <c r="K509" s="77"/>
      <c r="L509" s="77"/>
      <c r="M509" s="77"/>
      <c r="N509" s="77"/>
      <c r="O509" s="77"/>
      <c r="P509" s="77"/>
      <c r="Q509" s="77"/>
    </row>
    <row r="510" spans="7:17" x14ac:dyDescent="0.3">
      <c r="G510" s="66"/>
      <c r="H510" s="78"/>
      <c r="I510" s="78"/>
      <c r="J510" s="78"/>
      <c r="K510" s="78"/>
      <c r="L510" s="78"/>
      <c r="M510" s="78"/>
      <c r="N510" s="78"/>
      <c r="O510" s="78"/>
      <c r="P510" s="78"/>
      <c r="Q510" s="78"/>
    </row>
    <row r="511" spans="7:17" x14ac:dyDescent="0.3">
      <c r="G511" s="67"/>
      <c r="H511" s="77"/>
      <c r="I511" s="77"/>
      <c r="J511" s="77"/>
      <c r="K511" s="77"/>
      <c r="L511" s="77"/>
      <c r="M511" s="77"/>
      <c r="N511" s="77"/>
      <c r="O511" s="77"/>
      <c r="P511" s="77"/>
      <c r="Q511" s="77"/>
    </row>
    <row r="512" spans="7:17" x14ac:dyDescent="0.3">
      <c r="G512" s="66"/>
      <c r="H512" s="78"/>
      <c r="I512" s="78"/>
      <c r="J512" s="78"/>
      <c r="K512" s="78"/>
      <c r="L512" s="78"/>
      <c r="M512" s="78"/>
      <c r="N512" s="78"/>
      <c r="O512" s="78"/>
      <c r="P512" s="78"/>
      <c r="Q512" s="78"/>
    </row>
    <row r="513" spans="7:17" x14ac:dyDescent="0.3">
      <c r="G513" s="67"/>
      <c r="H513" s="77"/>
      <c r="I513" s="77"/>
      <c r="J513" s="77"/>
      <c r="K513" s="77"/>
      <c r="L513" s="77"/>
      <c r="M513" s="77"/>
      <c r="N513" s="77"/>
      <c r="O513" s="77"/>
      <c r="P513" s="77"/>
      <c r="Q513" s="77"/>
    </row>
    <row r="514" spans="7:17" x14ac:dyDescent="0.3">
      <c r="G514" s="66"/>
      <c r="H514" s="78"/>
      <c r="I514" s="78"/>
      <c r="J514" s="78"/>
      <c r="K514" s="78"/>
      <c r="L514" s="78"/>
      <c r="M514" s="78"/>
      <c r="N514" s="78"/>
      <c r="O514" s="78"/>
      <c r="P514" s="78"/>
      <c r="Q514" s="78"/>
    </row>
    <row r="515" spans="7:17" x14ac:dyDescent="0.3">
      <c r="G515" s="67"/>
      <c r="H515" s="77"/>
      <c r="I515" s="77"/>
      <c r="J515" s="77"/>
      <c r="K515" s="77"/>
      <c r="L515" s="77"/>
      <c r="M515" s="77"/>
      <c r="N515" s="77"/>
      <c r="O515" s="77"/>
      <c r="P515" s="77"/>
      <c r="Q515" s="77"/>
    </row>
    <row r="516" spans="7:17" x14ac:dyDescent="0.3">
      <c r="G516" s="66"/>
      <c r="H516" s="78"/>
      <c r="I516" s="78"/>
      <c r="J516" s="78"/>
      <c r="K516" s="78"/>
      <c r="L516" s="78"/>
      <c r="M516" s="78"/>
      <c r="N516" s="78"/>
      <c r="O516" s="78"/>
      <c r="P516" s="78"/>
      <c r="Q516" s="78"/>
    </row>
    <row r="517" spans="7:17" x14ac:dyDescent="0.3">
      <c r="G517" s="67"/>
      <c r="H517" s="77"/>
      <c r="I517" s="77"/>
      <c r="J517" s="77"/>
      <c r="K517" s="77"/>
      <c r="L517" s="77"/>
      <c r="M517" s="77"/>
      <c r="N517" s="77"/>
      <c r="O517" s="77"/>
      <c r="P517" s="77"/>
      <c r="Q517" s="77"/>
    </row>
    <row r="518" spans="7:17" x14ac:dyDescent="0.3">
      <c r="G518" s="66"/>
      <c r="H518" s="78"/>
      <c r="I518" s="78"/>
      <c r="J518" s="78"/>
      <c r="K518" s="78"/>
      <c r="L518" s="78"/>
      <c r="M518" s="78"/>
      <c r="N518" s="78"/>
      <c r="O518" s="78"/>
      <c r="P518" s="78"/>
      <c r="Q518" s="78"/>
    </row>
    <row r="519" spans="7:17" x14ac:dyDescent="0.3">
      <c r="G519" s="67"/>
      <c r="H519" s="77"/>
      <c r="I519" s="77"/>
      <c r="J519" s="77"/>
      <c r="K519" s="77"/>
      <c r="L519" s="77"/>
      <c r="M519" s="77"/>
      <c r="N519" s="77"/>
      <c r="O519" s="77"/>
      <c r="P519" s="77"/>
      <c r="Q519" s="77"/>
    </row>
    <row r="520" spans="7:17" x14ac:dyDescent="0.3">
      <c r="G520" s="66"/>
      <c r="H520" s="78"/>
      <c r="I520" s="78"/>
      <c r="J520" s="78"/>
      <c r="K520" s="78"/>
      <c r="L520" s="78"/>
      <c r="M520" s="78"/>
      <c r="N520" s="78"/>
      <c r="O520" s="78"/>
      <c r="P520" s="78"/>
      <c r="Q520" s="78"/>
    </row>
    <row r="521" spans="7:17" x14ac:dyDescent="0.3">
      <c r="G521" s="67"/>
      <c r="H521" s="77"/>
      <c r="I521" s="77"/>
      <c r="J521" s="77"/>
      <c r="K521" s="77"/>
      <c r="L521" s="77"/>
      <c r="M521" s="77"/>
      <c r="N521" s="77"/>
      <c r="O521" s="77"/>
      <c r="P521" s="77"/>
      <c r="Q521" s="77"/>
    </row>
    <row r="522" spans="7:17" x14ac:dyDescent="0.3">
      <c r="G522" s="66"/>
      <c r="H522" s="78"/>
      <c r="I522" s="78"/>
      <c r="J522" s="78"/>
      <c r="K522" s="78"/>
      <c r="L522" s="78"/>
      <c r="M522" s="78"/>
      <c r="N522" s="78"/>
      <c r="O522" s="78"/>
      <c r="P522" s="78"/>
      <c r="Q522" s="78"/>
    </row>
    <row r="523" spans="7:17" x14ac:dyDescent="0.3">
      <c r="G523" s="67"/>
      <c r="H523" s="77"/>
      <c r="I523" s="77"/>
      <c r="J523" s="77"/>
      <c r="K523" s="77"/>
      <c r="L523" s="77"/>
      <c r="M523" s="77"/>
      <c r="N523" s="77"/>
      <c r="O523" s="77"/>
      <c r="P523" s="77"/>
      <c r="Q523" s="77"/>
    </row>
    <row r="524" spans="7:17" x14ac:dyDescent="0.3">
      <c r="G524" s="66"/>
      <c r="H524" s="78"/>
      <c r="I524" s="78"/>
      <c r="J524" s="78"/>
      <c r="K524" s="78"/>
      <c r="L524" s="78"/>
      <c r="M524" s="78"/>
      <c r="N524" s="78"/>
      <c r="O524" s="78"/>
      <c r="P524" s="78"/>
      <c r="Q524" s="78"/>
    </row>
    <row r="525" spans="7:17" x14ac:dyDescent="0.3">
      <c r="G525" s="67"/>
      <c r="H525" s="77"/>
      <c r="I525" s="77"/>
      <c r="J525" s="77"/>
      <c r="K525" s="77"/>
      <c r="L525" s="77"/>
      <c r="M525" s="77"/>
      <c r="N525" s="77"/>
      <c r="O525" s="77"/>
      <c r="P525" s="77"/>
      <c r="Q525" s="77"/>
    </row>
    <row r="526" spans="7:17" x14ac:dyDescent="0.3">
      <c r="G526" s="66"/>
      <c r="H526" s="78"/>
      <c r="I526" s="78"/>
      <c r="J526" s="78"/>
      <c r="K526" s="78"/>
      <c r="L526" s="78"/>
      <c r="M526" s="78"/>
      <c r="N526" s="78"/>
      <c r="O526" s="78"/>
      <c r="P526" s="78"/>
      <c r="Q526" s="78"/>
    </row>
    <row r="527" spans="7:17" x14ac:dyDescent="0.3">
      <c r="G527" s="67"/>
      <c r="H527" s="77"/>
      <c r="I527" s="77"/>
      <c r="J527" s="77"/>
      <c r="K527" s="77"/>
      <c r="L527" s="77"/>
      <c r="M527" s="77"/>
      <c r="N527" s="77"/>
      <c r="O527" s="77"/>
      <c r="P527" s="77"/>
      <c r="Q527" s="77"/>
    </row>
    <row r="528" spans="7:17" x14ac:dyDescent="0.3">
      <c r="G528" s="66"/>
      <c r="H528" s="78"/>
      <c r="I528" s="78"/>
      <c r="J528" s="78"/>
      <c r="K528" s="78"/>
      <c r="L528" s="78"/>
      <c r="M528" s="78"/>
      <c r="N528" s="78"/>
      <c r="O528" s="78"/>
      <c r="P528" s="78"/>
      <c r="Q528" s="78"/>
    </row>
    <row r="529" spans="7:17" x14ac:dyDescent="0.3">
      <c r="G529" s="67"/>
      <c r="H529" s="77"/>
      <c r="I529" s="77"/>
      <c r="J529" s="77"/>
      <c r="K529" s="77"/>
      <c r="L529" s="77"/>
      <c r="M529" s="77"/>
      <c r="N529" s="77"/>
      <c r="O529" s="77"/>
      <c r="P529" s="77"/>
      <c r="Q529" s="77"/>
    </row>
    <row r="530" spans="7:17" x14ac:dyDescent="0.3">
      <c r="G530" s="66"/>
      <c r="H530" s="78"/>
      <c r="I530" s="78"/>
      <c r="J530" s="78"/>
      <c r="K530" s="78"/>
      <c r="L530" s="78"/>
      <c r="M530" s="78"/>
      <c r="N530" s="78"/>
      <c r="O530" s="78"/>
      <c r="P530" s="78"/>
      <c r="Q530" s="78"/>
    </row>
    <row r="531" spans="7:17" x14ac:dyDescent="0.3">
      <c r="G531" s="67"/>
      <c r="H531" s="77"/>
      <c r="I531" s="77"/>
      <c r="J531" s="77"/>
      <c r="K531" s="77"/>
      <c r="L531" s="77"/>
      <c r="M531" s="77"/>
      <c r="N531" s="77"/>
      <c r="O531" s="77"/>
      <c r="P531" s="77"/>
      <c r="Q531" s="77"/>
    </row>
    <row r="532" spans="7:17" x14ac:dyDescent="0.3">
      <c r="G532" s="66"/>
      <c r="H532" s="78"/>
      <c r="I532" s="78"/>
      <c r="J532" s="78"/>
      <c r="K532" s="78"/>
      <c r="L532" s="78"/>
      <c r="M532" s="78"/>
      <c r="N532" s="78"/>
      <c r="O532" s="78"/>
      <c r="P532" s="78"/>
      <c r="Q532" s="78"/>
    </row>
    <row r="533" spans="7:17" x14ac:dyDescent="0.3">
      <c r="G533" s="67"/>
      <c r="H533" s="77"/>
      <c r="I533" s="77"/>
      <c r="J533" s="77"/>
      <c r="K533" s="77"/>
      <c r="L533" s="77"/>
      <c r="M533" s="77"/>
      <c r="N533" s="77"/>
      <c r="O533" s="77"/>
      <c r="P533" s="77"/>
      <c r="Q533" s="77"/>
    </row>
    <row r="534" spans="7:17" x14ac:dyDescent="0.3">
      <c r="G534" s="66"/>
      <c r="H534" s="78"/>
      <c r="I534" s="78"/>
      <c r="J534" s="78"/>
      <c r="K534" s="78"/>
      <c r="L534" s="78"/>
      <c r="M534" s="78"/>
      <c r="N534" s="78"/>
      <c r="O534" s="78"/>
      <c r="P534" s="78"/>
      <c r="Q534" s="78"/>
    </row>
    <row r="535" spans="7:17" x14ac:dyDescent="0.3">
      <c r="G535" s="67"/>
      <c r="H535" s="77"/>
      <c r="I535" s="77"/>
      <c r="J535" s="77"/>
      <c r="K535" s="77"/>
      <c r="L535" s="77"/>
      <c r="M535" s="77"/>
      <c r="N535" s="77"/>
      <c r="O535" s="77"/>
      <c r="P535" s="77"/>
      <c r="Q535" s="77"/>
    </row>
    <row r="536" spans="7:17" x14ac:dyDescent="0.3">
      <c r="G536" s="66"/>
      <c r="H536" s="78"/>
      <c r="I536" s="78"/>
      <c r="J536" s="78"/>
      <c r="K536" s="78"/>
      <c r="L536" s="78"/>
      <c r="M536" s="78"/>
      <c r="N536" s="78"/>
      <c r="O536" s="78"/>
      <c r="P536" s="78"/>
      <c r="Q536" s="78"/>
    </row>
    <row r="537" spans="7:17" x14ac:dyDescent="0.3">
      <c r="G537" s="67"/>
      <c r="H537" s="77"/>
      <c r="I537" s="77"/>
      <c r="J537" s="77"/>
      <c r="K537" s="77"/>
      <c r="L537" s="77"/>
      <c r="M537" s="77"/>
      <c r="N537" s="77"/>
      <c r="O537" s="77"/>
      <c r="P537" s="77"/>
      <c r="Q537" s="77"/>
    </row>
    <row r="538" spans="7:17" x14ac:dyDescent="0.3">
      <c r="G538" s="66"/>
      <c r="H538" s="78"/>
      <c r="I538" s="78"/>
      <c r="J538" s="78"/>
      <c r="K538" s="78"/>
      <c r="L538" s="78"/>
      <c r="M538" s="78"/>
      <c r="N538" s="78"/>
      <c r="O538" s="78"/>
      <c r="P538" s="78"/>
      <c r="Q538" s="78"/>
    </row>
    <row r="539" spans="7:17" x14ac:dyDescent="0.3">
      <c r="G539" s="67"/>
      <c r="H539" s="77"/>
      <c r="I539" s="77"/>
      <c r="J539" s="77"/>
      <c r="K539" s="77"/>
      <c r="L539" s="77"/>
      <c r="M539" s="77"/>
      <c r="N539" s="77"/>
      <c r="O539" s="77"/>
      <c r="P539" s="77"/>
      <c r="Q539" s="77"/>
    </row>
    <row r="540" spans="7:17" x14ac:dyDescent="0.3">
      <c r="G540" s="66"/>
      <c r="H540" s="78"/>
      <c r="I540" s="78"/>
      <c r="J540" s="78"/>
      <c r="K540" s="78"/>
      <c r="L540" s="78"/>
      <c r="M540" s="78"/>
      <c r="N540" s="78"/>
      <c r="O540" s="78"/>
      <c r="P540" s="78"/>
      <c r="Q540" s="78"/>
    </row>
    <row r="541" spans="7:17" x14ac:dyDescent="0.3">
      <c r="G541" s="67"/>
      <c r="H541" s="77"/>
      <c r="I541" s="77"/>
      <c r="J541" s="77"/>
      <c r="K541" s="77"/>
      <c r="L541" s="77"/>
      <c r="M541" s="77"/>
      <c r="N541" s="77"/>
      <c r="O541" s="77"/>
      <c r="P541" s="77"/>
      <c r="Q541" s="77"/>
    </row>
    <row r="542" spans="7:17" x14ac:dyDescent="0.3">
      <c r="G542" s="66"/>
      <c r="H542" s="78"/>
      <c r="I542" s="78"/>
      <c r="J542" s="78"/>
      <c r="K542" s="78"/>
      <c r="L542" s="78"/>
      <c r="M542" s="78"/>
      <c r="N542" s="78"/>
      <c r="O542" s="78"/>
      <c r="P542" s="78"/>
      <c r="Q542" s="78"/>
    </row>
    <row r="543" spans="7:17" x14ac:dyDescent="0.3">
      <c r="G543" s="67"/>
      <c r="H543" s="77"/>
      <c r="I543" s="77"/>
      <c r="J543" s="77"/>
      <c r="K543" s="77"/>
      <c r="L543" s="77"/>
      <c r="M543" s="77"/>
      <c r="N543" s="77"/>
      <c r="O543" s="77"/>
      <c r="P543" s="77"/>
      <c r="Q543" s="77"/>
    </row>
    <row r="544" spans="7:17" x14ac:dyDescent="0.3">
      <c r="G544" s="66"/>
      <c r="H544" s="78"/>
      <c r="I544" s="78"/>
      <c r="J544" s="78"/>
      <c r="K544" s="78"/>
      <c r="L544" s="78"/>
      <c r="M544" s="78"/>
      <c r="N544" s="78"/>
      <c r="O544" s="78"/>
      <c r="P544" s="78"/>
      <c r="Q544" s="78"/>
    </row>
    <row r="545" spans="7:17" x14ac:dyDescent="0.3">
      <c r="G545" s="67"/>
      <c r="H545" s="77"/>
      <c r="I545" s="77"/>
      <c r="J545" s="77"/>
      <c r="K545" s="77"/>
      <c r="L545" s="77"/>
      <c r="M545" s="77"/>
      <c r="N545" s="77"/>
      <c r="O545" s="77"/>
      <c r="P545" s="77"/>
      <c r="Q545" s="77"/>
    </row>
    <row r="546" spans="7:17" x14ac:dyDescent="0.3">
      <c r="G546" s="66"/>
      <c r="H546" s="78"/>
      <c r="I546" s="78"/>
      <c r="J546" s="78"/>
      <c r="K546" s="78"/>
      <c r="L546" s="78"/>
      <c r="M546" s="78"/>
      <c r="N546" s="78"/>
      <c r="O546" s="78"/>
      <c r="P546" s="78"/>
      <c r="Q546" s="78"/>
    </row>
    <row r="547" spans="7:17" x14ac:dyDescent="0.3">
      <c r="G547" s="67"/>
      <c r="H547" s="77"/>
      <c r="I547" s="77"/>
      <c r="J547" s="77"/>
      <c r="K547" s="77"/>
      <c r="L547" s="77"/>
      <c r="M547" s="77"/>
      <c r="N547" s="77"/>
      <c r="O547" s="77"/>
      <c r="P547" s="77"/>
      <c r="Q547" s="77"/>
    </row>
    <row r="548" spans="7:17" x14ac:dyDescent="0.3">
      <c r="G548" s="66"/>
      <c r="H548" s="78"/>
      <c r="I548" s="78"/>
      <c r="J548" s="78"/>
      <c r="K548" s="78"/>
      <c r="L548" s="78"/>
      <c r="M548" s="78"/>
      <c r="N548" s="78"/>
      <c r="O548" s="78"/>
      <c r="P548" s="78"/>
      <c r="Q548" s="78"/>
    </row>
    <row r="549" spans="7:17" x14ac:dyDescent="0.3">
      <c r="G549" s="67"/>
      <c r="H549" s="77"/>
      <c r="I549" s="77"/>
      <c r="J549" s="77"/>
      <c r="K549" s="77"/>
      <c r="L549" s="77"/>
      <c r="M549" s="77"/>
      <c r="N549" s="77"/>
      <c r="O549" s="77"/>
      <c r="P549" s="77"/>
      <c r="Q549" s="77"/>
    </row>
    <row r="550" spans="7:17" x14ac:dyDescent="0.3">
      <c r="G550" s="66"/>
      <c r="H550" s="78"/>
      <c r="I550" s="78"/>
      <c r="J550" s="78"/>
      <c r="K550" s="78"/>
      <c r="L550" s="78"/>
      <c r="M550" s="78"/>
      <c r="N550" s="78"/>
      <c r="O550" s="78"/>
      <c r="P550" s="78"/>
      <c r="Q550" s="78"/>
    </row>
    <row r="551" spans="7:17" x14ac:dyDescent="0.3">
      <c r="G551" s="67"/>
      <c r="H551" s="77"/>
      <c r="I551" s="77"/>
      <c r="J551" s="77"/>
      <c r="K551" s="77"/>
      <c r="L551" s="77"/>
      <c r="M551" s="77"/>
      <c r="N551" s="77"/>
      <c r="O551" s="77"/>
      <c r="P551" s="77"/>
      <c r="Q551" s="77"/>
    </row>
    <row r="552" spans="7:17" x14ac:dyDescent="0.3">
      <c r="G552" s="66"/>
      <c r="H552" s="78"/>
      <c r="I552" s="78"/>
      <c r="J552" s="78"/>
      <c r="K552" s="78"/>
      <c r="L552" s="78"/>
      <c r="M552" s="78"/>
      <c r="N552" s="78"/>
      <c r="O552" s="78"/>
      <c r="P552" s="78"/>
      <c r="Q552" s="78"/>
    </row>
    <row r="553" spans="7:17" x14ac:dyDescent="0.3">
      <c r="G553" s="67"/>
      <c r="H553" s="77"/>
      <c r="I553" s="77"/>
      <c r="J553" s="77"/>
      <c r="K553" s="77"/>
      <c r="L553" s="77"/>
      <c r="M553" s="77"/>
      <c r="N553" s="77"/>
      <c r="O553" s="77"/>
      <c r="P553" s="77"/>
      <c r="Q553" s="77"/>
    </row>
    <row r="554" spans="7:17" x14ac:dyDescent="0.3">
      <c r="G554" s="66"/>
      <c r="H554" s="78"/>
      <c r="I554" s="78"/>
      <c r="J554" s="78"/>
      <c r="K554" s="78"/>
      <c r="L554" s="78"/>
      <c r="M554" s="78"/>
      <c r="N554" s="78"/>
      <c r="O554" s="78"/>
      <c r="P554" s="78"/>
      <c r="Q554" s="78"/>
    </row>
    <row r="555" spans="7:17" x14ac:dyDescent="0.3">
      <c r="G555" s="67"/>
      <c r="H555" s="77"/>
      <c r="I555" s="77"/>
      <c r="J555" s="77"/>
      <c r="K555" s="77"/>
      <c r="L555" s="77"/>
      <c r="M555" s="77"/>
      <c r="N555" s="77"/>
      <c r="O555" s="77"/>
      <c r="P555" s="77"/>
      <c r="Q555" s="77"/>
    </row>
    <row r="556" spans="7:17" x14ac:dyDescent="0.3">
      <c r="G556" s="66"/>
      <c r="H556" s="78"/>
      <c r="I556" s="78"/>
      <c r="J556" s="78"/>
      <c r="K556" s="78"/>
      <c r="L556" s="78"/>
      <c r="M556" s="78"/>
      <c r="N556" s="78"/>
      <c r="O556" s="78"/>
      <c r="P556" s="78"/>
      <c r="Q556" s="78"/>
    </row>
    <row r="557" spans="7:17" x14ac:dyDescent="0.3">
      <c r="G557" s="67"/>
      <c r="H557" s="77"/>
      <c r="I557" s="77"/>
      <c r="J557" s="77"/>
      <c r="K557" s="77"/>
      <c r="L557" s="77"/>
      <c r="M557" s="77"/>
      <c r="N557" s="77"/>
      <c r="O557" s="77"/>
      <c r="P557" s="77"/>
      <c r="Q557" s="77"/>
    </row>
    <row r="558" spans="7:17" x14ac:dyDescent="0.3">
      <c r="G558" s="66"/>
      <c r="H558" s="78"/>
      <c r="I558" s="78"/>
      <c r="J558" s="78"/>
      <c r="K558" s="78"/>
      <c r="L558" s="78"/>
      <c r="M558" s="78"/>
      <c r="N558" s="78"/>
      <c r="O558" s="78"/>
      <c r="P558" s="78"/>
      <c r="Q558" s="78"/>
    </row>
    <row r="559" spans="7:17" x14ac:dyDescent="0.3">
      <c r="G559" s="67"/>
      <c r="H559" s="77"/>
      <c r="I559" s="77"/>
      <c r="J559" s="77"/>
      <c r="K559" s="77"/>
      <c r="L559" s="77"/>
      <c r="M559" s="77"/>
      <c r="N559" s="77"/>
      <c r="O559" s="77"/>
      <c r="P559" s="77"/>
      <c r="Q559" s="77"/>
    </row>
    <row r="560" spans="7:17" x14ac:dyDescent="0.3">
      <c r="G560" s="66"/>
      <c r="H560" s="78"/>
      <c r="I560" s="78"/>
      <c r="J560" s="78"/>
      <c r="K560" s="78"/>
      <c r="L560" s="78"/>
      <c r="M560" s="78"/>
      <c r="N560" s="78"/>
      <c r="O560" s="78"/>
      <c r="P560" s="78"/>
      <c r="Q560" s="78"/>
    </row>
    <row r="561" spans="7:17" x14ac:dyDescent="0.3">
      <c r="G561" s="67"/>
      <c r="H561" s="77"/>
      <c r="I561" s="77"/>
      <c r="J561" s="77"/>
      <c r="K561" s="77"/>
      <c r="L561" s="77"/>
      <c r="M561" s="77"/>
      <c r="N561" s="77"/>
      <c r="O561" s="77"/>
      <c r="P561" s="77"/>
      <c r="Q561" s="77"/>
    </row>
    <row r="562" spans="7:17" x14ac:dyDescent="0.3">
      <c r="G562" s="66"/>
      <c r="H562" s="78"/>
      <c r="I562" s="78"/>
      <c r="J562" s="78"/>
      <c r="K562" s="78"/>
      <c r="L562" s="78"/>
      <c r="M562" s="78"/>
      <c r="N562" s="78"/>
      <c r="O562" s="78"/>
      <c r="P562" s="78"/>
      <c r="Q562" s="78"/>
    </row>
    <row r="563" spans="7:17" x14ac:dyDescent="0.3">
      <c r="G563" s="67"/>
      <c r="H563" s="77"/>
      <c r="I563" s="77"/>
      <c r="J563" s="77"/>
      <c r="K563" s="77"/>
      <c r="L563" s="77"/>
      <c r="M563" s="77"/>
      <c r="N563" s="77"/>
      <c r="O563" s="77"/>
      <c r="P563" s="77"/>
      <c r="Q563" s="77"/>
    </row>
    <row r="564" spans="7:17" x14ac:dyDescent="0.3">
      <c r="G564" s="66"/>
      <c r="H564" s="78"/>
      <c r="I564" s="78"/>
      <c r="J564" s="78"/>
      <c r="K564" s="78"/>
      <c r="L564" s="78"/>
      <c r="M564" s="78"/>
      <c r="N564" s="78"/>
      <c r="O564" s="78"/>
      <c r="P564" s="78"/>
      <c r="Q564" s="78"/>
    </row>
    <row r="565" spans="7:17" x14ac:dyDescent="0.3">
      <c r="G565" s="67"/>
      <c r="H565" s="77"/>
      <c r="I565" s="77"/>
      <c r="J565" s="77"/>
      <c r="K565" s="77"/>
      <c r="L565" s="77"/>
      <c r="M565" s="77"/>
      <c r="N565" s="77"/>
      <c r="O565" s="77"/>
      <c r="P565" s="77"/>
      <c r="Q565" s="77"/>
    </row>
    <row r="566" spans="7:17" x14ac:dyDescent="0.3">
      <c r="G566" s="66"/>
      <c r="H566" s="78"/>
      <c r="I566" s="78"/>
      <c r="J566" s="78"/>
      <c r="K566" s="78"/>
      <c r="L566" s="78"/>
      <c r="M566" s="78"/>
      <c r="N566" s="78"/>
      <c r="O566" s="78"/>
      <c r="P566" s="78"/>
      <c r="Q566" s="78"/>
    </row>
    <row r="567" spans="7:17" x14ac:dyDescent="0.3">
      <c r="G567" s="67"/>
      <c r="H567" s="77"/>
      <c r="I567" s="77"/>
      <c r="J567" s="77"/>
      <c r="K567" s="77"/>
      <c r="L567" s="77"/>
      <c r="M567" s="77"/>
      <c r="N567" s="77"/>
      <c r="O567" s="77"/>
      <c r="P567" s="77"/>
      <c r="Q567" s="77"/>
    </row>
    <row r="568" spans="7:17" x14ac:dyDescent="0.3">
      <c r="G568" s="66"/>
      <c r="H568" s="78"/>
      <c r="I568" s="78"/>
      <c r="J568" s="78"/>
      <c r="K568" s="78"/>
      <c r="L568" s="78"/>
      <c r="M568" s="78"/>
      <c r="N568" s="78"/>
      <c r="O568" s="78"/>
      <c r="P568" s="78"/>
      <c r="Q568" s="78"/>
    </row>
    <row r="569" spans="7:17" x14ac:dyDescent="0.3">
      <c r="G569" s="67"/>
      <c r="H569" s="77"/>
      <c r="I569" s="77"/>
      <c r="J569" s="77"/>
      <c r="K569" s="77"/>
      <c r="L569" s="77"/>
      <c r="M569" s="77"/>
      <c r="N569" s="77"/>
      <c r="O569" s="77"/>
      <c r="P569" s="77"/>
      <c r="Q569" s="77"/>
    </row>
    <row r="570" spans="7:17" x14ac:dyDescent="0.3">
      <c r="G570" s="66"/>
      <c r="H570" s="78"/>
      <c r="I570" s="78"/>
      <c r="J570" s="78"/>
      <c r="K570" s="78"/>
      <c r="L570" s="78"/>
      <c r="M570" s="78"/>
      <c r="N570" s="78"/>
      <c r="O570" s="78"/>
      <c r="P570" s="78"/>
      <c r="Q570" s="78"/>
    </row>
    <row r="571" spans="7:17" x14ac:dyDescent="0.3">
      <c r="G571" s="67"/>
      <c r="H571" s="77"/>
      <c r="I571" s="77"/>
      <c r="J571" s="77"/>
      <c r="K571" s="77"/>
      <c r="L571" s="77"/>
      <c r="M571" s="77"/>
      <c r="N571" s="77"/>
      <c r="O571" s="77"/>
      <c r="P571" s="77"/>
      <c r="Q571" s="77"/>
    </row>
    <row r="572" spans="7:17" x14ac:dyDescent="0.3">
      <c r="G572" s="66"/>
      <c r="H572" s="78"/>
      <c r="I572" s="78"/>
      <c r="J572" s="78"/>
      <c r="K572" s="78"/>
      <c r="L572" s="78"/>
      <c r="M572" s="78"/>
      <c r="N572" s="78"/>
      <c r="O572" s="78"/>
      <c r="P572" s="78"/>
      <c r="Q572" s="78"/>
    </row>
    <row r="573" spans="7:17" x14ac:dyDescent="0.3">
      <c r="G573" s="67"/>
      <c r="H573" s="77"/>
      <c r="I573" s="77"/>
      <c r="J573" s="77"/>
      <c r="K573" s="77"/>
      <c r="L573" s="77"/>
      <c r="M573" s="77"/>
      <c r="N573" s="77"/>
      <c r="O573" s="77"/>
      <c r="P573" s="77"/>
      <c r="Q573" s="77"/>
    </row>
    <row r="574" spans="7:17" x14ac:dyDescent="0.3">
      <c r="G574" s="66"/>
      <c r="H574" s="78"/>
      <c r="I574" s="78"/>
      <c r="J574" s="78"/>
      <c r="K574" s="78"/>
      <c r="L574" s="78"/>
      <c r="M574" s="78"/>
      <c r="N574" s="78"/>
      <c r="O574" s="78"/>
      <c r="P574" s="78"/>
      <c r="Q574" s="78"/>
    </row>
    <row r="575" spans="7:17" x14ac:dyDescent="0.3">
      <c r="G575" s="67"/>
      <c r="H575" s="77"/>
      <c r="I575" s="77"/>
      <c r="J575" s="77"/>
      <c r="K575" s="77"/>
      <c r="L575" s="77"/>
      <c r="M575" s="77"/>
      <c r="N575" s="77"/>
      <c r="O575" s="77"/>
      <c r="P575" s="77"/>
      <c r="Q575" s="77"/>
    </row>
    <row r="576" spans="7:17" x14ac:dyDescent="0.3">
      <c r="G576" s="66"/>
      <c r="H576" s="78"/>
      <c r="I576" s="78"/>
      <c r="J576" s="78"/>
      <c r="K576" s="78"/>
      <c r="L576" s="78"/>
      <c r="M576" s="78"/>
      <c r="N576" s="78"/>
      <c r="O576" s="78"/>
      <c r="P576" s="78"/>
      <c r="Q576" s="78"/>
    </row>
    <row r="577" spans="7:17" x14ac:dyDescent="0.3">
      <c r="G577" s="67"/>
      <c r="H577" s="77"/>
      <c r="I577" s="77"/>
      <c r="J577" s="77"/>
      <c r="K577" s="77"/>
      <c r="L577" s="77"/>
      <c r="M577" s="77"/>
      <c r="N577" s="77"/>
      <c r="O577" s="77"/>
      <c r="P577" s="77"/>
      <c r="Q577" s="77"/>
    </row>
    <row r="578" spans="7:17" x14ac:dyDescent="0.3">
      <c r="G578" s="66"/>
      <c r="H578" s="78"/>
      <c r="I578" s="78"/>
      <c r="J578" s="78"/>
      <c r="K578" s="78"/>
      <c r="L578" s="78"/>
      <c r="M578" s="78"/>
      <c r="N578" s="78"/>
      <c r="O578" s="78"/>
      <c r="P578" s="78"/>
      <c r="Q578" s="78"/>
    </row>
    <row r="579" spans="7:17" x14ac:dyDescent="0.3">
      <c r="G579" s="67"/>
      <c r="H579" s="77"/>
      <c r="I579" s="77"/>
      <c r="J579" s="77"/>
      <c r="K579" s="77"/>
      <c r="L579" s="77"/>
      <c r="M579" s="77"/>
      <c r="N579" s="77"/>
      <c r="O579" s="77"/>
      <c r="P579" s="77"/>
      <c r="Q579" s="77"/>
    </row>
    <row r="580" spans="7:17" x14ac:dyDescent="0.3">
      <c r="G580" s="66"/>
      <c r="H580" s="78"/>
      <c r="I580" s="78"/>
      <c r="J580" s="78"/>
      <c r="K580" s="78"/>
      <c r="L580" s="78"/>
      <c r="M580" s="78"/>
      <c r="N580" s="78"/>
      <c r="O580" s="78"/>
      <c r="P580" s="78"/>
      <c r="Q580" s="78"/>
    </row>
    <row r="581" spans="7:17" x14ac:dyDescent="0.3">
      <c r="G581" s="67"/>
      <c r="H581" s="77"/>
      <c r="I581" s="77"/>
      <c r="J581" s="77"/>
      <c r="K581" s="77"/>
      <c r="L581" s="77"/>
      <c r="M581" s="77"/>
      <c r="N581" s="77"/>
      <c r="O581" s="77"/>
      <c r="P581" s="77"/>
      <c r="Q581" s="77"/>
    </row>
    <row r="582" spans="7:17" x14ac:dyDescent="0.3">
      <c r="G582" s="66"/>
      <c r="H582" s="78"/>
      <c r="I582" s="78"/>
      <c r="J582" s="78"/>
      <c r="K582" s="78"/>
      <c r="L582" s="78"/>
      <c r="M582" s="78"/>
      <c r="N582" s="78"/>
      <c r="O582" s="78"/>
      <c r="P582" s="78"/>
      <c r="Q582" s="78"/>
    </row>
    <row r="583" spans="7:17" x14ac:dyDescent="0.3">
      <c r="G583" s="67"/>
      <c r="H583" s="77"/>
      <c r="I583" s="77"/>
      <c r="J583" s="77"/>
      <c r="K583" s="77"/>
      <c r="L583" s="77"/>
      <c r="M583" s="77"/>
      <c r="N583" s="77"/>
      <c r="O583" s="77"/>
      <c r="P583" s="77"/>
      <c r="Q583" s="77"/>
    </row>
    <row r="584" spans="7:17" x14ac:dyDescent="0.3">
      <c r="G584" s="66"/>
      <c r="H584" s="78"/>
      <c r="I584" s="78"/>
      <c r="J584" s="78"/>
      <c r="K584" s="78"/>
      <c r="L584" s="78"/>
      <c r="M584" s="78"/>
      <c r="N584" s="78"/>
      <c r="O584" s="78"/>
      <c r="P584" s="78"/>
      <c r="Q584" s="78"/>
    </row>
    <row r="585" spans="7:17" x14ac:dyDescent="0.3">
      <c r="G585" s="67"/>
      <c r="H585" s="77"/>
      <c r="I585" s="77"/>
      <c r="J585" s="77"/>
      <c r="K585" s="77"/>
      <c r="L585" s="77"/>
      <c r="M585" s="77"/>
      <c r="N585" s="77"/>
      <c r="O585" s="77"/>
      <c r="P585" s="77"/>
      <c r="Q585" s="77"/>
    </row>
    <row r="586" spans="7:17" x14ac:dyDescent="0.3">
      <c r="G586" s="66"/>
      <c r="H586" s="78"/>
      <c r="I586" s="78"/>
      <c r="J586" s="78"/>
      <c r="K586" s="78"/>
      <c r="L586" s="78"/>
      <c r="M586" s="78"/>
      <c r="N586" s="78"/>
      <c r="O586" s="78"/>
      <c r="P586" s="78"/>
      <c r="Q586" s="78"/>
    </row>
    <row r="587" spans="7:17" x14ac:dyDescent="0.3">
      <c r="G587" s="67"/>
      <c r="H587" s="77"/>
      <c r="I587" s="77"/>
      <c r="J587" s="77"/>
      <c r="K587" s="77"/>
      <c r="L587" s="77"/>
      <c r="M587" s="77"/>
      <c r="N587" s="77"/>
      <c r="O587" s="77"/>
      <c r="P587" s="77"/>
      <c r="Q587" s="77"/>
    </row>
    <row r="588" spans="7:17" x14ac:dyDescent="0.3">
      <c r="G588" s="66"/>
      <c r="H588" s="78"/>
      <c r="I588" s="78"/>
      <c r="J588" s="78"/>
      <c r="K588" s="78"/>
      <c r="L588" s="78"/>
      <c r="M588" s="78"/>
      <c r="N588" s="78"/>
      <c r="O588" s="78"/>
      <c r="P588" s="78"/>
      <c r="Q588" s="78"/>
    </row>
    <row r="589" spans="7:17" x14ac:dyDescent="0.3">
      <c r="G589" s="67"/>
      <c r="H589" s="77"/>
      <c r="I589" s="77"/>
      <c r="J589" s="77"/>
      <c r="K589" s="77"/>
      <c r="L589" s="77"/>
      <c r="M589" s="77"/>
      <c r="N589" s="77"/>
      <c r="O589" s="77"/>
      <c r="P589" s="77"/>
      <c r="Q589" s="77"/>
    </row>
    <row r="590" spans="7:17" x14ac:dyDescent="0.3">
      <c r="G590" s="66"/>
      <c r="H590" s="78"/>
      <c r="I590" s="78"/>
      <c r="J590" s="78"/>
      <c r="K590" s="78"/>
      <c r="L590" s="78"/>
      <c r="M590" s="78"/>
      <c r="N590" s="78"/>
      <c r="O590" s="78"/>
      <c r="P590" s="78"/>
      <c r="Q590" s="78"/>
    </row>
    <row r="591" spans="7:17" x14ac:dyDescent="0.3">
      <c r="G591" s="67"/>
      <c r="H591" s="77"/>
      <c r="I591" s="77"/>
      <c r="J591" s="77"/>
      <c r="K591" s="77"/>
      <c r="L591" s="77"/>
      <c r="M591" s="77"/>
      <c r="N591" s="77"/>
      <c r="O591" s="77"/>
      <c r="P591" s="77"/>
      <c r="Q591" s="77"/>
    </row>
    <row r="592" spans="7:17" x14ac:dyDescent="0.3">
      <c r="G592" s="66"/>
      <c r="H592" s="78"/>
      <c r="I592" s="78"/>
      <c r="J592" s="78"/>
      <c r="K592" s="78"/>
      <c r="L592" s="78"/>
      <c r="M592" s="78"/>
      <c r="N592" s="78"/>
      <c r="O592" s="78"/>
      <c r="P592" s="78"/>
      <c r="Q592" s="78"/>
    </row>
    <row r="593" spans="7:17" x14ac:dyDescent="0.3">
      <c r="G593" s="67"/>
      <c r="H593" s="77"/>
      <c r="I593" s="77"/>
      <c r="J593" s="77"/>
      <c r="K593" s="77"/>
      <c r="L593" s="77"/>
      <c r="M593" s="77"/>
      <c r="N593" s="77"/>
      <c r="O593" s="77"/>
      <c r="P593" s="77"/>
      <c r="Q593" s="77"/>
    </row>
    <row r="594" spans="7:17" x14ac:dyDescent="0.3">
      <c r="G594" s="66"/>
      <c r="H594" s="78"/>
      <c r="I594" s="78"/>
      <c r="J594" s="78"/>
      <c r="K594" s="78"/>
      <c r="L594" s="78"/>
      <c r="M594" s="78"/>
      <c r="N594" s="78"/>
      <c r="O594" s="78"/>
      <c r="P594" s="78"/>
      <c r="Q594" s="78"/>
    </row>
    <row r="595" spans="7:17" x14ac:dyDescent="0.3">
      <c r="G595" s="67"/>
      <c r="H595" s="77"/>
      <c r="I595" s="77"/>
      <c r="J595" s="77"/>
      <c r="K595" s="77"/>
      <c r="L595" s="77"/>
      <c r="M595" s="77"/>
      <c r="N595" s="77"/>
      <c r="O595" s="77"/>
      <c r="P595" s="77"/>
      <c r="Q595" s="77"/>
    </row>
    <row r="596" spans="7:17" x14ac:dyDescent="0.3">
      <c r="G596" s="66"/>
      <c r="H596" s="78"/>
      <c r="I596" s="78"/>
      <c r="J596" s="78"/>
      <c r="K596" s="78"/>
      <c r="L596" s="78"/>
      <c r="M596" s="78"/>
      <c r="N596" s="78"/>
      <c r="O596" s="78"/>
      <c r="P596" s="78"/>
      <c r="Q596" s="78"/>
    </row>
    <row r="597" spans="7:17" x14ac:dyDescent="0.3">
      <c r="G597" s="67"/>
      <c r="H597" s="77"/>
      <c r="I597" s="77"/>
      <c r="J597" s="77"/>
      <c r="K597" s="77"/>
      <c r="L597" s="77"/>
      <c r="M597" s="77"/>
      <c r="N597" s="77"/>
      <c r="O597" s="77"/>
      <c r="P597" s="77"/>
      <c r="Q597" s="77"/>
    </row>
    <row r="598" spans="7:17" x14ac:dyDescent="0.3">
      <c r="G598" s="66"/>
      <c r="H598" s="78"/>
      <c r="I598" s="78"/>
      <c r="J598" s="78"/>
      <c r="K598" s="78"/>
      <c r="L598" s="78"/>
      <c r="M598" s="78"/>
      <c r="N598" s="78"/>
      <c r="O598" s="78"/>
      <c r="P598" s="78"/>
      <c r="Q598" s="78"/>
    </row>
    <row r="599" spans="7:17" x14ac:dyDescent="0.3">
      <c r="G599" s="67"/>
      <c r="H599" s="77"/>
      <c r="I599" s="77"/>
      <c r="J599" s="77"/>
      <c r="K599" s="77"/>
      <c r="L599" s="77"/>
      <c r="M599" s="77"/>
      <c r="N599" s="77"/>
      <c r="O599" s="77"/>
      <c r="P599" s="77"/>
      <c r="Q599" s="77"/>
    </row>
    <row r="600" spans="7:17" x14ac:dyDescent="0.3">
      <c r="G600" s="66"/>
      <c r="H600" s="78"/>
      <c r="I600" s="78"/>
      <c r="J600" s="78"/>
      <c r="K600" s="78"/>
      <c r="L600" s="78"/>
      <c r="M600" s="78"/>
      <c r="N600" s="78"/>
      <c r="O600" s="78"/>
      <c r="P600" s="78"/>
      <c r="Q600" s="78"/>
    </row>
    <row r="601" spans="7:17" x14ac:dyDescent="0.3">
      <c r="G601" s="67"/>
      <c r="H601" s="77"/>
      <c r="I601" s="77"/>
      <c r="J601" s="77"/>
      <c r="K601" s="77"/>
      <c r="L601" s="77"/>
      <c r="M601" s="77"/>
      <c r="N601" s="77"/>
      <c r="O601" s="77"/>
      <c r="P601" s="77"/>
      <c r="Q601" s="77"/>
    </row>
    <row r="602" spans="7:17" x14ac:dyDescent="0.3">
      <c r="G602" s="66"/>
      <c r="H602" s="78"/>
      <c r="I602" s="78"/>
      <c r="J602" s="78"/>
      <c r="K602" s="78"/>
      <c r="L602" s="78"/>
      <c r="M602" s="78"/>
      <c r="N602" s="78"/>
      <c r="O602" s="78"/>
      <c r="P602" s="78"/>
      <c r="Q602" s="78"/>
    </row>
    <row r="603" spans="7:17" x14ac:dyDescent="0.3">
      <c r="G603" s="67"/>
      <c r="H603" s="77"/>
      <c r="I603" s="77"/>
      <c r="J603" s="77"/>
      <c r="K603" s="77"/>
      <c r="L603" s="77"/>
      <c r="M603" s="77"/>
      <c r="N603" s="77"/>
      <c r="O603" s="77"/>
      <c r="P603" s="77"/>
      <c r="Q603" s="77"/>
    </row>
    <row r="604" spans="7:17" x14ac:dyDescent="0.3">
      <c r="G604" s="66"/>
      <c r="H604" s="78"/>
      <c r="I604" s="78"/>
      <c r="J604" s="78"/>
      <c r="K604" s="78"/>
      <c r="L604" s="78"/>
      <c r="M604" s="78"/>
      <c r="N604" s="78"/>
      <c r="O604" s="78"/>
      <c r="P604" s="78"/>
      <c r="Q604" s="78"/>
    </row>
    <row r="605" spans="7:17" x14ac:dyDescent="0.3">
      <c r="G605" s="67"/>
      <c r="H605" s="77"/>
      <c r="I605" s="77"/>
      <c r="J605" s="77"/>
      <c r="K605" s="77"/>
      <c r="L605" s="77"/>
      <c r="M605" s="77"/>
      <c r="N605" s="77"/>
      <c r="O605" s="77"/>
      <c r="P605" s="77"/>
      <c r="Q605" s="77"/>
    </row>
    <row r="606" spans="7:17" x14ac:dyDescent="0.3">
      <c r="G606" s="66"/>
      <c r="H606" s="78"/>
      <c r="I606" s="78"/>
      <c r="J606" s="78"/>
      <c r="K606" s="78"/>
      <c r="L606" s="78"/>
      <c r="M606" s="78"/>
      <c r="N606" s="78"/>
      <c r="O606" s="78"/>
      <c r="P606" s="78"/>
      <c r="Q606" s="78"/>
    </row>
    <row r="607" spans="7:17" x14ac:dyDescent="0.3">
      <c r="G607" s="67"/>
      <c r="H607" s="77"/>
      <c r="I607" s="77"/>
      <c r="J607" s="77"/>
      <c r="K607" s="77"/>
      <c r="L607" s="77"/>
      <c r="M607" s="77"/>
      <c r="N607" s="77"/>
      <c r="O607" s="77"/>
      <c r="P607" s="77"/>
      <c r="Q607" s="77"/>
    </row>
    <row r="608" spans="7:17" x14ac:dyDescent="0.3">
      <c r="G608" s="66"/>
      <c r="H608" s="78"/>
      <c r="I608" s="78"/>
      <c r="J608" s="78"/>
      <c r="K608" s="78"/>
      <c r="L608" s="78"/>
      <c r="M608" s="78"/>
      <c r="N608" s="78"/>
      <c r="O608" s="78"/>
      <c r="P608" s="78"/>
      <c r="Q608" s="78"/>
    </row>
    <row r="609" spans="7:17" x14ac:dyDescent="0.3">
      <c r="G609" s="67"/>
      <c r="H609" s="77"/>
      <c r="I609" s="77"/>
      <c r="J609" s="77"/>
      <c r="K609" s="77"/>
      <c r="L609" s="77"/>
      <c r="M609" s="77"/>
      <c r="N609" s="77"/>
      <c r="O609" s="77"/>
      <c r="P609" s="77"/>
      <c r="Q609" s="77"/>
    </row>
    <row r="610" spans="7:17" x14ac:dyDescent="0.3">
      <c r="G610" s="66"/>
      <c r="H610" s="78"/>
      <c r="I610" s="78"/>
      <c r="J610" s="78"/>
      <c r="K610" s="78"/>
      <c r="L610" s="78"/>
      <c r="M610" s="78"/>
      <c r="N610" s="78"/>
      <c r="O610" s="78"/>
      <c r="P610" s="78"/>
      <c r="Q610" s="78"/>
    </row>
    <row r="611" spans="7:17" x14ac:dyDescent="0.3">
      <c r="G611" s="67"/>
      <c r="H611" s="77"/>
      <c r="I611" s="77"/>
      <c r="J611" s="77"/>
      <c r="K611" s="77"/>
      <c r="L611" s="77"/>
      <c r="M611" s="77"/>
      <c r="N611" s="77"/>
      <c r="O611" s="77"/>
      <c r="P611" s="77"/>
      <c r="Q611" s="77"/>
    </row>
    <row r="612" spans="7:17" x14ac:dyDescent="0.3">
      <c r="G612" s="66"/>
      <c r="H612" s="78"/>
      <c r="I612" s="78"/>
      <c r="J612" s="78"/>
      <c r="K612" s="78"/>
      <c r="L612" s="78"/>
      <c r="M612" s="78"/>
      <c r="N612" s="78"/>
      <c r="O612" s="78"/>
      <c r="P612" s="78"/>
      <c r="Q612" s="78"/>
    </row>
    <row r="613" spans="7:17" x14ac:dyDescent="0.3">
      <c r="G613" s="67"/>
      <c r="H613" s="77"/>
      <c r="I613" s="77"/>
      <c r="J613" s="77"/>
      <c r="K613" s="77"/>
      <c r="L613" s="77"/>
      <c r="M613" s="77"/>
      <c r="N613" s="77"/>
      <c r="O613" s="77"/>
      <c r="P613" s="77"/>
      <c r="Q613" s="77"/>
    </row>
    <row r="614" spans="7:17" x14ac:dyDescent="0.3">
      <c r="G614" s="66"/>
      <c r="H614" s="78"/>
      <c r="I614" s="78"/>
      <c r="J614" s="78"/>
      <c r="K614" s="78"/>
      <c r="L614" s="78"/>
      <c r="M614" s="78"/>
      <c r="N614" s="78"/>
      <c r="O614" s="78"/>
      <c r="P614" s="78"/>
      <c r="Q614" s="78"/>
    </row>
    <row r="615" spans="7:17" x14ac:dyDescent="0.3">
      <c r="G615" s="67"/>
      <c r="H615" s="77"/>
      <c r="I615" s="77"/>
      <c r="J615" s="77"/>
      <c r="K615" s="77"/>
      <c r="L615" s="77"/>
      <c r="M615" s="77"/>
      <c r="N615" s="77"/>
      <c r="O615" s="77"/>
      <c r="P615" s="77"/>
      <c r="Q615" s="77"/>
    </row>
    <row r="616" spans="7:17" x14ac:dyDescent="0.3">
      <c r="G616" s="66"/>
      <c r="H616" s="78"/>
      <c r="I616" s="78"/>
      <c r="J616" s="78"/>
      <c r="K616" s="78"/>
      <c r="L616" s="78"/>
      <c r="M616" s="78"/>
      <c r="N616" s="78"/>
      <c r="O616" s="78"/>
      <c r="P616" s="78"/>
      <c r="Q616" s="78"/>
    </row>
    <row r="617" spans="7:17" x14ac:dyDescent="0.3">
      <c r="G617" s="67"/>
      <c r="H617" s="77"/>
      <c r="I617" s="77"/>
      <c r="J617" s="77"/>
      <c r="K617" s="77"/>
      <c r="L617" s="77"/>
      <c r="M617" s="77"/>
      <c r="N617" s="77"/>
      <c r="O617" s="77"/>
      <c r="P617" s="77"/>
      <c r="Q617" s="77"/>
    </row>
    <row r="618" spans="7:17" x14ac:dyDescent="0.3">
      <c r="G618" s="66"/>
      <c r="H618" s="78"/>
      <c r="I618" s="78"/>
      <c r="J618" s="78"/>
      <c r="K618" s="78"/>
      <c r="L618" s="78"/>
      <c r="M618" s="78"/>
      <c r="N618" s="78"/>
      <c r="O618" s="78"/>
      <c r="P618" s="78"/>
      <c r="Q618" s="78"/>
    </row>
    <row r="619" spans="7:17" x14ac:dyDescent="0.3">
      <c r="G619" s="67"/>
      <c r="H619" s="77"/>
      <c r="I619" s="77"/>
      <c r="J619" s="77"/>
      <c r="K619" s="77"/>
      <c r="L619" s="77"/>
      <c r="M619" s="77"/>
      <c r="N619" s="77"/>
      <c r="O619" s="77"/>
      <c r="P619" s="77"/>
      <c r="Q619" s="77"/>
    </row>
    <row r="620" spans="7:17" x14ac:dyDescent="0.3">
      <c r="G620" s="66"/>
      <c r="H620" s="78"/>
      <c r="I620" s="78"/>
      <c r="J620" s="78"/>
      <c r="K620" s="78"/>
      <c r="L620" s="78"/>
      <c r="M620" s="78"/>
      <c r="N620" s="78"/>
      <c r="O620" s="78"/>
      <c r="P620" s="78"/>
      <c r="Q620" s="78"/>
    </row>
    <row r="621" spans="7:17" x14ac:dyDescent="0.3">
      <c r="G621" s="67"/>
      <c r="H621" s="77"/>
      <c r="I621" s="77"/>
      <c r="J621" s="77"/>
      <c r="K621" s="77"/>
      <c r="L621" s="77"/>
      <c r="M621" s="77"/>
      <c r="N621" s="77"/>
      <c r="O621" s="77"/>
      <c r="P621" s="77"/>
      <c r="Q621" s="77"/>
    </row>
    <row r="622" spans="7:17" x14ac:dyDescent="0.3">
      <c r="G622" s="66"/>
      <c r="H622" s="78"/>
      <c r="I622" s="78"/>
      <c r="J622" s="78"/>
      <c r="K622" s="78"/>
      <c r="L622" s="78"/>
      <c r="M622" s="78"/>
      <c r="N622" s="78"/>
      <c r="O622" s="78"/>
      <c r="P622" s="78"/>
      <c r="Q622" s="78"/>
    </row>
    <row r="623" spans="7:17" x14ac:dyDescent="0.3">
      <c r="G623" s="67"/>
      <c r="H623" s="77"/>
      <c r="I623" s="77"/>
      <c r="J623" s="77"/>
      <c r="K623" s="77"/>
      <c r="L623" s="77"/>
      <c r="M623" s="77"/>
      <c r="N623" s="77"/>
      <c r="O623" s="77"/>
      <c r="P623" s="77"/>
      <c r="Q623" s="77"/>
    </row>
    <row r="624" spans="7:17" x14ac:dyDescent="0.3">
      <c r="G624" s="66"/>
      <c r="H624" s="78"/>
      <c r="I624" s="78"/>
      <c r="J624" s="78"/>
      <c r="K624" s="78"/>
      <c r="L624" s="78"/>
      <c r="M624" s="78"/>
      <c r="N624" s="78"/>
      <c r="O624" s="78"/>
      <c r="P624" s="78"/>
      <c r="Q624" s="78"/>
    </row>
    <row r="625" spans="7:17" x14ac:dyDescent="0.3">
      <c r="G625" s="67"/>
      <c r="H625" s="77"/>
      <c r="I625" s="77"/>
      <c r="J625" s="77"/>
      <c r="K625" s="77"/>
      <c r="L625" s="77"/>
      <c r="M625" s="77"/>
      <c r="N625" s="77"/>
      <c r="O625" s="77"/>
      <c r="P625" s="77"/>
      <c r="Q625" s="77"/>
    </row>
    <row r="626" spans="7:17" x14ac:dyDescent="0.3">
      <c r="G626" s="66"/>
      <c r="H626" s="78"/>
      <c r="I626" s="78"/>
      <c r="J626" s="78"/>
      <c r="K626" s="78"/>
      <c r="L626" s="78"/>
      <c r="M626" s="78"/>
      <c r="N626" s="78"/>
      <c r="O626" s="78"/>
      <c r="P626" s="78"/>
      <c r="Q626" s="78"/>
    </row>
    <row r="627" spans="7:17" x14ac:dyDescent="0.3">
      <c r="G627" s="67"/>
      <c r="H627" s="77"/>
      <c r="I627" s="77"/>
      <c r="J627" s="77"/>
      <c r="K627" s="77"/>
      <c r="L627" s="77"/>
      <c r="M627" s="77"/>
      <c r="N627" s="77"/>
      <c r="O627" s="77"/>
      <c r="P627" s="77"/>
      <c r="Q627" s="77"/>
    </row>
    <row r="628" spans="7:17" x14ac:dyDescent="0.3">
      <c r="G628" s="66"/>
      <c r="H628" s="78"/>
      <c r="I628" s="78"/>
      <c r="J628" s="78"/>
      <c r="K628" s="78"/>
      <c r="L628" s="78"/>
      <c r="M628" s="78"/>
      <c r="N628" s="78"/>
      <c r="O628" s="78"/>
      <c r="P628" s="78"/>
      <c r="Q628" s="78"/>
    </row>
    <row r="629" spans="7:17" x14ac:dyDescent="0.3">
      <c r="G629" s="67"/>
      <c r="H629" s="77"/>
      <c r="I629" s="77"/>
      <c r="J629" s="77"/>
      <c r="K629" s="77"/>
      <c r="L629" s="77"/>
      <c r="M629" s="77"/>
      <c r="N629" s="77"/>
      <c r="O629" s="77"/>
      <c r="P629" s="77"/>
      <c r="Q629" s="77"/>
    </row>
    <row r="630" spans="7:17" x14ac:dyDescent="0.3">
      <c r="G630" s="66"/>
      <c r="H630" s="78"/>
      <c r="I630" s="78"/>
      <c r="J630" s="78"/>
      <c r="K630" s="78"/>
      <c r="L630" s="78"/>
      <c r="M630" s="78"/>
      <c r="N630" s="78"/>
      <c r="O630" s="78"/>
      <c r="P630" s="78"/>
      <c r="Q630" s="78"/>
    </row>
    <row r="631" spans="7:17" x14ac:dyDescent="0.3">
      <c r="G631" s="67"/>
      <c r="H631" s="77"/>
      <c r="I631" s="77"/>
      <c r="J631" s="77"/>
      <c r="K631" s="77"/>
      <c r="L631" s="77"/>
      <c r="M631" s="77"/>
      <c r="N631" s="77"/>
      <c r="O631" s="77"/>
      <c r="P631" s="77"/>
      <c r="Q631" s="77"/>
    </row>
    <row r="632" spans="7:17" x14ac:dyDescent="0.3">
      <c r="G632" s="66"/>
      <c r="H632" s="78"/>
      <c r="I632" s="78"/>
      <c r="J632" s="78"/>
      <c r="K632" s="78"/>
      <c r="L632" s="78"/>
      <c r="M632" s="78"/>
      <c r="N632" s="78"/>
      <c r="O632" s="78"/>
      <c r="P632" s="78"/>
      <c r="Q632" s="78"/>
    </row>
    <row r="633" spans="7:17" x14ac:dyDescent="0.3">
      <c r="G633" s="67"/>
      <c r="H633" s="77"/>
      <c r="I633" s="77"/>
      <c r="J633" s="77"/>
      <c r="K633" s="77"/>
      <c r="L633" s="77"/>
      <c r="M633" s="77"/>
      <c r="N633" s="77"/>
      <c r="O633" s="77"/>
      <c r="P633" s="77"/>
      <c r="Q633" s="77"/>
    </row>
    <row r="634" spans="7:17" x14ac:dyDescent="0.3">
      <c r="G634" s="66"/>
      <c r="H634" s="78"/>
      <c r="I634" s="78"/>
      <c r="J634" s="78"/>
      <c r="K634" s="78"/>
      <c r="L634" s="78"/>
      <c r="M634" s="78"/>
      <c r="N634" s="78"/>
      <c r="O634" s="78"/>
      <c r="P634" s="78"/>
      <c r="Q634" s="78"/>
    </row>
    <row r="635" spans="7:17" x14ac:dyDescent="0.3">
      <c r="G635" s="67"/>
      <c r="H635" s="77"/>
      <c r="I635" s="77"/>
      <c r="J635" s="77"/>
      <c r="K635" s="77"/>
      <c r="L635" s="77"/>
      <c r="M635" s="77"/>
      <c r="N635" s="77"/>
      <c r="O635" s="77"/>
      <c r="P635" s="77"/>
      <c r="Q635" s="77"/>
    </row>
    <row r="636" spans="7:17" x14ac:dyDescent="0.3">
      <c r="G636" s="66"/>
      <c r="H636" s="78"/>
      <c r="I636" s="78"/>
      <c r="J636" s="78"/>
      <c r="K636" s="78"/>
      <c r="L636" s="78"/>
      <c r="M636" s="78"/>
      <c r="N636" s="78"/>
      <c r="O636" s="78"/>
      <c r="P636" s="78"/>
      <c r="Q636" s="78"/>
    </row>
    <row r="637" spans="7:17" x14ac:dyDescent="0.3">
      <c r="G637" s="67"/>
      <c r="H637" s="77"/>
      <c r="I637" s="77"/>
      <c r="J637" s="77"/>
      <c r="K637" s="77"/>
      <c r="L637" s="77"/>
      <c r="M637" s="77"/>
      <c r="N637" s="77"/>
      <c r="O637" s="77"/>
      <c r="P637" s="77"/>
      <c r="Q637" s="77"/>
    </row>
    <row r="638" spans="7:17" x14ac:dyDescent="0.3">
      <c r="G638" s="66"/>
      <c r="H638" s="78"/>
      <c r="I638" s="78"/>
      <c r="J638" s="78"/>
      <c r="K638" s="78"/>
      <c r="L638" s="78"/>
      <c r="M638" s="78"/>
      <c r="N638" s="78"/>
      <c r="O638" s="78"/>
      <c r="P638" s="78"/>
      <c r="Q638" s="78"/>
    </row>
    <row r="639" spans="7:17" x14ac:dyDescent="0.3">
      <c r="G639" s="67"/>
      <c r="H639" s="77"/>
      <c r="I639" s="77"/>
      <c r="J639" s="77"/>
      <c r="K639" s="77"/>
      <c r="L639" s="77"/>
      <c r="M639" s="77"/>
      <c r="N639" s="77"/>
      <c r="O639" s="77"/>
      <c r="P639" s="77"/>
      <c r="Q639" s="77"/>
    </row>
    <row r="640" spans="7:17" x14ac:dyDescent="0.3">
      <c r="G640" s="66"/>
      <c r="H640" s="78"/>
      <c r="I640" s="78"/>
      <c r="J640" s="78"/>
      <c r="K640" s="78"/>
      <c r="L640" s="78"/>
      <c r="M640" s="78"/>
      <c r="N640" s="78"/>
      <c r="O640" s="78"/>
      <c r="P640" s="78"/>
      <c r="Q640" s="78"/>
    </row>
    <row r="641" spans="7:17" x14ac:dyDescent="0.3">
      <c r="G641" s="67"/>
      <c r="H641" s="77"/>
      <c r="I641" s="77"/>
      <c r="J641" s="77"/>
      <c r="K641" s="77"/>
      <c r="L641" s="77"/>
      <c r="M641" s="77"/>
      <c r="N641" s="77"/>
      <c r="O641" s="77"/>
      <c r="P641" s="77"/>
      <c r="Q641" s="77"/>
    </row>
    <row r="642" spans="7:17" x14ac:dyDescent="0.3">
      <c r="G642" s="66"/>
      <c r="H642" s="78"/>
      <c r="I642" s="78"/>
      <c r="J642" s="78"/>
      <c r="K642" s="78"/>
      <c r="L642" s="78"/>
      <c r="M642" s="78"/>
      <c r="N642" s="78"/>
      <c r="O642" s="78"/>
      <c r="P642" s="78"/>
      <c r="Q642" s="78"/>
    </row>
    <row r="643" spans="7:17" x14ac:dyDescent="0.3">
      <c r="G643" s="67"/>
      <c r="H643" s="77"/>
      <c r="I643" s="77"/>
      <c r="J643" s="77"/>
      <c r="K643" s="77"/>
      <c r="L643" s="77"/>
      <c r="M643" s="77"/>
      <c r="N643" s="77"/>
      <c r="O643" s="77"/>
      <c r="P643" s="77"/>
      <c r="Q643" s="77"/>
    </row>
    <row r="644" spans="7:17" x14ac:dyDescent="0.3">
      <c r="G644" s="66"/>
      <c r="H644" s="78"/>
      <c r="I644" s="78"/>
      <c r="J644" s="78"/>
      <c r="K644" s="78"/>
      <c r="L644" s="78"/>
      <c r="M644" s="78"/>
      <c r="N644" s="78"/>
      <c r="O644" s="78"/>
      <c r="P644" s="78"/>
      <c r="Q644" s="78"/>
    </row>
    <row r="645" spans="7:17" x14ac:dyDescent="0.3">
      <c r="G645" s="67"/>
      <c r="H645" s="77"/>
      <c r="I645" s="77"/>
      <c r="J645" s="77"/>
      <c r="K645" s="77"/>
      <c r="L645" s="77"/>
      <c r="M645" s="77"/>
      <c r="N645" s="77"/>
      <c r="O645" s="77"/>
      <c r="P645" s="77"/>
      <c r="Q645" s="77"/>
    </row>
    <row r="646" spans="7:17" x14ac:dyDescent="0.3">
      <c r="G646" s="66"/>
      <c r="H646" s="78"/>
      <c r="I646" s="78"/>
      <c r="J646" s="78"/>
      <c r="K646" s="78"/>
      <c r="L646" s="78"/>
      <c r="M646" s="78"/>
      <c r="N646" s="78"/>
      <c r="O646" s="78"/>
      <c r="P646" s="78"/>
      <c r="Q646" s="78"/>
    </row>
    <row r="647" spans="7:17" x14ac:dyDescent="0.3">
      <c r="G647" s="67"/>
      <c r="H647" s="77"/>
      <c r="I647" s="77"/>
      <c r="J647" s="77"/>
      <c r="K647" s="77"/>
      <c r="L647" s="77"/>
      <c r="M647" s="77"/>
      <c r="N647" s="77"/>
      <c r="O647" s="77"/>
      <c r="P647" s="77"/>
      <c r="Q647" s="77"/>
    </row>
    <row r="648" spans="7:17" x14ac:dyDescent="0.3">
      <c r="G648" s="66"/>
      <c r="H648" s="78"/>
      <c r="I648" s="78"/>
      <c r="J648" s="78"/>
      <c r="K648" s="78"/>
      <c r="L648" s="78"/>
      <c r="M648" s="78"/>
      <c r="N648" s="78"/>
      <c r="O648" s="78"/>
      <c r="P648" s="78"/>
      <c r="Q648" s="78"/>
    </row>
    <row r="649" spans="7:17" x14ac:dyDescent="0.3">
      <c r="G649" s="67"/>
      <c r="H649" s="77"/>
      <c r="I649" s="77"/>
      <c r="J649" s="77"/>
      <c r="K649" s="77"/>
      <c r="L649" s="77"/>
      <c r="M649" s="77"/>
      <c r="N649" s="77"/>
      <c r="O649" s="77"/>
      <c r="P649" s="77"/>
      <c r="Q649" s="77"/>
    </row>
    <row r="650" spans="7:17" x14ac:dyDescent="0.3">
      <c r="G650" s="66"/>
      <c r="H650" s="78"/>
      <c r="I650" s="78"/>
      <c r="J650" s="78"/>
      <c r="K650" s="78"/>
      <c r="L650" s="78"/>
      <c r="M650" s="78"/>
      <c r="N650" s="78"/>
      <c r="O650" s="78"/>
      <c r="P650" s="78"/>
      <c r="Q650" s="78"/>
    </row>
    <row r="651" spans="7:17" x14ac:dyDescent="0.3">
      <c r="G651" s="67"/>
      <c r="H651" s="77"/>
      <c r="I651" s="77"/>
      <c r="J651" s="77"/>
      <c r="K651" s="77"/>
      <c r="L651" s="77"/>
      <c r="M651" s="77"/>
      <c r="N651" s="77"/>
      <c r="O651" s="77"/>
      <c r="P651" s="77"/>
      <c r="Q651" s="77"/>
    </row>
    <row r="652" spans="7:17" x14ac:dyDescent="0.3">
      <c r="G652" s="66"/>
      <c r="H652" s="78"/>
      <c r="I652" s="78"/>
      <c r="J652" s="78"/>
      <c r="K652" s="78"/>
      <c r="L652" s="78"/>
      <c r="M652" s="78"/>
      <c r="N652" s="78"/>
      <c r="O652" s="78"/>
      <c r="P652" s="78"/>
      <c r="Q652" s="78"/>
    </row>
    <row r="653" spans="7:17" x14ac:dyDescent="0.3">
      <c r="G653" s="67"/>
      <c r="H653" s="77"/>
      <c r="I653" s="77"/>
      <c r="J653" s="77"/>
      <c r="K653" s="77"/>
      <c r="L653" s="77"/>
      <c r="M653" s="77"/>
      <c r="N653" s="77"/>
      <c r="O653" s="77"/>
      <c r="P653" s="77"/>
      <c r="Q653" s="77"/>
    </row>
    <row r="654" spans="7:17" x14ac:dyDescent="0.3">
      <c r="G654" s="66"/>
      <c r="H654" s="78"/>
      <c r="I654" s="78"/>
      <c r="J654" s="78"/>
      <c r="K654" s="78"/>
      <c r="L654" s="78"/>
      <c r="M654" s="78"/>
      <c r="N654" s="78"/>
      <c r="O654" s="78"/>
      <c r="P654" s="78"/>
      <c r="Q654" s="78"/>
    </row>
    <row r="655" spans="7:17" x14ac:dyDescent="0.3">
      <c r="G655" s="67"/>
      <c r="H655" s="77"/>
      <c r="I655" s="77"/>
      <c r="J655" s="77"/>
      <c r="K655" s="77"/>
      <c r="L655" s="77"/>
      <c r="M655" s="77"/>
      <c r="N655" s="77"/>
      <c r="O655" s="77"/>
      <c r="P655" s="77"/>
      <c r="Q655" s="77"/>
    </row>
    <row r="656" spans="7:17" x14ac:dyDescent="0.3">
      <c r="G656" s="66"/>
      <c r="H656" s="78"/>
      <c r="I656" s="78"/>
      <c r="J656" s="78"/>
      <c r="K656" s="78"/>
      <c r="L656" s="78"/>
      <c r="M656" s="78"/>
      <c r="N656" s="78"/>
      <c r="O656" s="78"/>
      <c r="P656" s="78"/>
      <c r="Q656" s="78"/>
    </row>
    <row r="657" spans="7:17" x14ac:dyDescent="0.3">
      <c r="G657" s="67"/>
      <c r="H657" s="77"/>
      <c r="I657" s="77"/>
      <c r="J657" s="77"/>
      <c r="K657" s="77"/>
      <c r="L657" s="77"/>
      <c r="M657" s="77"/>
      <c r="N657" s="77"/>
      <c r="O657" s="77"/>
      <c r="P657" s="77"/>
      <c r="Q657" s="77"/>
    </row>
    <row r="658" spans="7:17" x14ac:dyDescent="0.3">
      <c r="G658" s="66"/>
      <c r="H658" s="78"/>
      <c r="I658" s="78"/>
      <c r="J658" s="78"/>
      <c r="K658" s="78"/>
      <c r="L658" s="78"/>
      <c r="M658" s="78"/>
      <c r="N658" s="78"/>
      <c r="O658" s="78"/>
      <c r="P658" s="78"/>
      <c r="Q658" s="78"/>
    </row>
    <row r="659" spans="7:17" x14ac:dyDescent="0.3">
      <c r="G659" s="67"/>
      <c r="H659" s="77"/>
      <c r="I659" s="77"/>
      <c r="J659" s="77"/>
      <c r="K659" s="77"/>
      <c r="L659" s="77"/>
      <c r="M659" s="77"/>
      <c r="N659" s="77"/>
      <c r="O659" s="77"/>
      <c r="P659" s="77"/>
      <c r="Q659" s="77"/>
    </row>
    <row r="660" spans="7:17" x14ac:dyDescent="0.3">
      <c r="G660" s="66"/>
      <c r="H660" s="78"/>
      <c r="I660" s="78"/>
      <c r="J660" s="78"/>
      <c r="K660" s="78"/>
      <c r="L660" s="78"/>
      <c r="M660" s="78"/>
      <c r="N660" s="78"/>
      <c r="O660" s="78"/>
      <c r="P660" s="78"/>
      <c r="Q660" s="78"/>
    </row>
    <row r="661" spans="7:17" x14ac:dyDescent="0.3">
      <c r="G661" s="67"/>
      <c r="H661" s="77"/>
      <c r="I661" s="77"/>
      <c r="J661" s="77"/>
      <c r="K661" s="77"/>
      <c r="L661" s="77"/>
      <c r="M661" s="77"/>
      <c r="N661" s="77"/>
      <c r="O661" s="77"/>
      <c r="P661" s="77"/>
      <c r="Q661" s="77"/>
    </row>
    <row r="662" spans="7:17" x14ac:dyDescent="0.3">
      <c r="G662" s="66"/>
      <c r="H662" s="78"/>
      <c r="I662" s="78"/>
      <c r="J662" s="78"/>
      <c r="K662" s="78"/>
      <c r="L662" s="78"/>
      <c r="M662" s="78"/>
      <c r="N662" s="78"/>
      <c r="O662" s="78"/>
      <c r="P662" s="78"/>
      <c r="Q662" s="78"/>
    </row>
    <row r="663" spans="7:17" x14ac:dyDescent="0.3">
      <c r="G663" s="67"/>
      <c r="H663" s="77"/>
      <c r="I663" s="77"/>
      <c r="J663" s="77"/>
      <c r="K663" s="77"/>
      <c r="L663" s="77"/>
      <c r="M663" s="77"/>
      <c r="N663" s="77"/>
      <c r="O663" s="77"/>
      <c r="P663" s="77"/>
      <c r="Q663" s="77"/>
    </row>
    <row r="664" spans="7:17" x14ac:dyDescent="0.3">
      <c r="G664" s="66"/>
      <c r="H664" s="78"/>
      <c r="I664" s="78"/>
      <c r="J664" s="78"/>
      <c r="K664" s="78"/>
      <c r="L664" s="78"/>
      <c r="M664" s="78"/>
      <c r="N664" s="78"/>
      <c r="O664" s="78"/>
      <c r="P664" s="78"/>
      <c r="Q664" s="78"/>
    </row>
    <row r="665" spans="7:17" x14ac:dyDescent="0.3">
      <c r="G665" s="67"/>
      <c r="H665" s="77"/>
      <c r="I665" s="77"/>
      <c r="J665" s="77"/>
      <c r="K665" s="77"/>
      <c r="L665" s="77"/>
      <c r="M665" s="77"/>
      <c r="N665" s="77"/>
      <c r="O665" s="77"/>
      <c r="P665" s="77"/>
      <c r="Q665" s="77"/>
    </row>
    <row r="666" spans="7:17" x14ac:dyDescent="0.3">
      <c r="G666" s="66"/>
      <c r="H666" s="78"/>
      <c r="I666" s="78"/>
      <c r="J666" s="78"/>
      <c r="K666" s="78"/>
      <c r="L666" s="78"/>
      <c r="M666" s="78"/>
      <c r="N666" s="78"/>
      <c r="O666" s="78"/>
      <c r="P666" s="78"/>
      <c r="Q666" s="78"/>
    </row>
    <row r="667" spans="7:17" x14ac:dyDescent="0.3">
      <c r="G667" s="67"/>
      <c r="H667" s="77"/>
      <c r="I667" s="77"/>
      <c r="J667" s="77"/>
      <c r="K667" s="77"/>
      <c r="L667" s="77"/>
      <c r="M667" s="77"/>
      <c r="N667" s="77"/>
      <c r="O667" s="77"/>
      <c r="P667" s="77"/>
      <c r="Q667" s="77"/>
    </row>
    <row r="668" spans="7:17" x14ac:dyDescent="0.3">
      <c r="G668" s="66"/>
      <c r="H668" s="78"/>
      <c r="I668" s="78"/>
      <c r="J668" s="78"/>
      <c r="K668" s="78"/>
      <c r="L668" s="78"/>
      <c r="M668" s="78"/>
      <c r="N668" s="78"/>
      <c r="O668" s="78"/>
      <c r="P668" s="78"/>
      <c r="Q668" s="78"/>
    </row>
    <row r="669" spans="7:17" x14ac:dyDescent="0.3">
      <c r="G669" s="67"/>
      <c r="H669" s="77"/>
      <c r="I669" s="77"/>
      <c r="J669" s="77"/>
      <c r="K669" s="77"/>
      <c r="L669" s="77"/>
      <c r="M669" s="77"/>
      <c r="N669" s="77"/>
      <c r="O669" s="77"/>
      <c r="P669" s="77"/>
      <c r="Q669" s="77"/>
    </row>
    <row r="670" spans="7:17" x14ac:dyDescent="0.3">
      <c r="G670" s="66"/>
      <c r="H670" s="78"/>
      <c r="I670" s="78"/>
      <c r="J670" s="78"/>
      <c r="K670" s="78"/>
      <c r="L670" s="78"/>
      <c r="M670" s="78"/>
      <c r="N670" s="78"/>
      <c r="O670" s="78"/>
      <c r="P670" s="78"/>
      <c r="Q670" s="78"/>
    </row>
    <row r="671" spans="7:17" x14ac:dyDescent="0.3">
      <c r="G671" s="67"/>
      <c r="H671" s="77"/>
      <c r="I671" s="77"/>
      <c r="J671" s="77"/>
      <c r="K671" s="77"/>
      <c r="L671" s="77"/>
      <c r="M671" s="77"/>
      <c r="N671" s="77"/>
      <c r="O671" s="77"/>
      <c r="P671" s="77"/>
      <c r="Q671" s="77"/>
    </row>
    <row r="672" spans="7:17" x14ac:dyDescent="0.3">
      <c r="G672" s="66"/>
      <c r="H672" s="78"/>
      <c r="I672" s="78"/>
      <c r="J672" s="78"/>
      <c r="K672" s="78"/>
      <c r="L672" s="78"/>
      <c r="M672" s="78"/>
      <c r="N672" s="78"/>
      <c r="O672" s="78"/>
      <c r="P672" s="78"/>
      <c r="Q672" s="78"/>
    </row>
    <row r="673" spans="7:17" x14ac:dyDescent="0.3">
      <c r="G673" s="67"/>
      <c r="H673" s="77"/>
      <c r="I673" s="77"/>
      <c r="J673" s="77"/>
      <c r="K673" s="77"/>
      <c r="L673" s="77"/>
      <c r="M673" s="77"/>
      <c r="N673" s="77"/>
      <c r="O673" s="77"/>
      <c r="P673" s="77"/>
      <c r="Q673" s="77"/>
    </row>
    <row r="674" spans="7:17" x14ac:dyDescent="0.3">
      <c r="G674" s="66"/>
      <c r="H674" s="78"/>
      <c r="I674" s="78"/>
      <c r="J674" s="78"/>
      <c r="K674" s="78"/>
      <c r="L674" s="78"/>
      <c r="M674" s="78"/>
      <c r="N674" s="78"/>
      <c r="O674" s="78"/>
      <c r="P674" s="78"/>
      <c r="Q674" s="78"/>
    </row>
    <row r="675" spans="7:17" x14ac:dyDescent="0.3">
      <c r="G675" s="67"/>
      <c r="H675" s="77"/>
      <c r="I675" s="77"/>
      <c r="J675" s="77"/>
      <c r="K675" s="77"/>
      <c r="L675" s="77"/>
      <c r="M675" s="77"/>
      <c r="N675" s="77"/>
      <c r="O675" s="77"/>
      <c r="P675" s="77"/>
      <c r="Q675" s="77"/>
    </row>
    <row r="676" spans="7:17" x14ac:dyDescent="0.3">
      <c r="G676" s="66"/>
      <c r="H676" s="78"/>
      <c r="I676" s="78"/>
      <c r="J676" s="78"/>
      <c r="K676" s="78"/>
      <c r="L676" s="78"/>
      <c r="M676" s="78"/>
      <c r="N676" s="78"/>
      <c r="O676" s="78"/>
      <c r="P676" s="78"/>
      <c r="Q676" s="78"/>
    </row>
    <row r="677" spans="7:17" x14ac:dyDescent="0.3">
      <c r="G677" s="67"/>
      <c r="H677" s="77"/>
      <c r="I677" s="77"/>
      <c r="J677" s="77"/>
      <c r="K677" s="77"/>
      <c r="L677" s="77"/>
      <c r="M677" s="77"/>
      <c r="N677" s="77"/>
      <c r="O677" s="77"/>
      <c r="P677" s="77"/>
      <c r="Q677" s="77"/>
    </row>
    <row r="678" spans="7:17" x14ac:dyDescent="0.3">
      <c r="G678" s="66"/>
      <c r="H678" s="78"/>
      <c r="I678" s="78"/>
      <c r="J678" s="78"/>
      <c r="K678" s="78"/>
      <c r="L678" s="78"/>
      <c r="M678" s="78"/>
      <c r="N678" s="78"/>
      <c r="O678" s="78"/>
      <c r="P678" s="78"/>
      <c r="Q678" s="78"/>
    </row>
    <row r="679" spans="7:17" x14ac:dyDescent="0.3">
      <c r="G679" s="67"/>
      <c r="H679" s="77"/>
      <c r="I679" s="77"/>
      <c r="J679" s="77"/>
      <c r="K679" s="77"/>
      <c r="L679" s="77"/>
      <c r="M679" s="77"/>
      <c r="N679" s="77"/>
      <c r="O679" s="77"/>
      <c r="P679" s="77"/>
      <c r="Q679" s="77"/>
    </row>
    <row r="680" spans="7:17" x14ac:dyDescent="0.3">
      <c r="G680" s="66"/>
      <c r="H680" s="78"/>
      <c r="I680" s="78"/>
      <c r="J680" s="78"/>
      <c r="K680" s="78"/>
      <c r="L680" s="78"/>
      <c r="M680" s="78"/>
      <c r="N680" s="78"/>
      <c r="O680" s="78"/>
      <c r="P680" s="78"/>
      <c r="Q680" s="78"/>
    </row>
    <row r="681" spans="7:17" x14ac:dyDescent="0.3">
      <c r="G681" s="67"/>
      <c r="H681" s="77"/>
      <c r="I681" s="77"/>
      <c r="J681" s="77"/>
      <c r="K681" s="77"/>
      <c r="L681" s="77"/>
      <c r="M681" s="77"/>
      <c r="N681" s="77"/>
      <c r="O681" s="77"/>
      <c r="P681" s="77"/>
      <c r="Q681" s="77"/>
    </row>
    <row r="682" spans="7:17" x14ac:dyDescent="0.3">
      <c r="G682" s="66"/>
      <c r="H682" s="78"/>
      <c r="I682" s="78"/>
      <c r="J682" s="78"/>
      <c r="K682" s="78"/>
      <c r="L682" s="78"/>
      <c r="M682" s="78"/>
      <c r="N682" s="78"/>
      <c r="O682" s="78"/>
      <c r="P682" s="78"/>
      <c r="Q682" s="78"/>
    </row>
    <row r="683" spans="7:17" x14ac:dyDescent="0.3">
      <c r="G683" s="67"/>
      <c r="H683" s="77"/>
      <c r="I683" s="77"/>
      <c r="J683" s="77"/>
      <c r="K683" s="77"/>
      <c r="L683" s="77"/>
      <c r="M683" s="77"/>
      <c r="N683" s="77"/>
      <c r="O683" s="77"/>
      <c r="P683" s="77"/>
      <c r="Q683" s="77"/>
    </row>
    <row r="684" spans="7:17" x14ac:dyDescent="0.3">
      <c r="G684" s="66"/>
      <c r="H684" s="78"/>
      <c r="I684" s="78"/>
      <c r="J684" s="78"/>
      <c r="K684" s="78"/>
      <c r="L684" s="78"/>
      <c r="M684" s="78"/>
      <c r="N684" s="78"/>
      <c r="O684" s="78"/>
      <c r="P684" s="78"/>
      <c r="Q684" s="78"/>
    </row>
    <row r="685" spans="7:17" x14ac:dyDescent="0.3">
      <c r="G685" s="67"/>
      <c r="H685" s="77"/>
      <c r="I685" s="77"/>
      <c r="J685" s="77"/>
      <c r="K685" s="77"/>
      <c r="L685" s="77"/>
      <c r="M685" s="77"/>
      <c r="N685" s="77"/>
      <c r="O685" s="77"/>
      <c r="P685" s="77"/>
      <c r="Q685" s="77"/>
    </row>
    <row r="686" spans="7:17" x14ac:dyDescent="0.3">
      <c r="G686" s="66"/>
      <c r="H686" s="78"/>
      <c r="I686" s="78"/>
      <c r="J686" s="78"/>
      <c r="K686" s="78"/>
      <c r="L686" s="78"/>
      <c r="M686" s="78"/>
      <c r="N686" s="78"/>
      <c r="O686" s="78"/>
      <c r="P686" s="78"/>
      <c r="Q686" s="78"/>
    </row>
    <row r="687" spans="7:17" x14ac:dyDescent="0.3">
      <c r="G687" s="67"/>
      <c r="H687" s="77"/>
      <c r="I687" s="77"/>
      <c r="J687" s="77"/>
      <c r="K687" s="77"/>
      <c r="L687" s="77"/>
      <c r="M687" s="77"/>
      <c r="N687" s="77"/>
      <c r="O687" s="77"/>
      <c r="P687" s="77"/>
      <c r="Q687" s="77"/>
    </row>
    <row r="688" spans="7:17" x14ac:dyDescent="0.3">
      <c r="G688" s="66"/>
      <c r="H688" s="78"/>
      <c r="I688" s="78"/>
      <c r="J688" s="78"/>
      <c r="K688" s="78"/>
      <c r="L688" s="78"/>
      <c r="M688" s="78"/>
      <c r="N688" s="78"/>
      <c r="O688" s="78"/>
      <c r="P688" s="78"/>
      <c r="Q688" s="78"/>
    </row>
    <row r="689" spans="7:17" x14ac:dyDescent="0.3">
      <c r="G689" s="67"/>
      <c r="H689" s="77"/>
      <c r="I689" s="77"/>
      <c r="J689" s="77"/>
      <c r="K689" s="77"/>
      <c r="L689" s="77"/>
      <c r="M689" s="77"/>
      <c r="N689" s="77"/>
      <c r="O689" s="77"/>
      <c r="P689" s="77"/>
      <c r="Q689" s="77"/>
    </row>
    <row r="690" spans="7:17" x14ac:dyDescent="0.3">
      <c r="G690" s="66"/>
      <c r="H690" s="78"/>
      <c r="I690" s="78"/>
      <c r="J690" s="78"/>
      <c r="K690" s="78"/>
      <c r="L690" s="78"/>
      <c r="M690" s="78"/>
      <c r="N690" s="78"/>
      <c r="O690" s="78"/>
      <c r="P690" s="78"/>
      <c r="Q690" s="78"/>
    </row>
    <row r="691" spans="7:17" x14ac:dyDescent="0.3">
      <c r="G691" s="67"/>
      <c r="H691" s="77"/>
      <c r="I691" s="77"/>
      <c r="J691" s="77"/>
      <c r="K691" s="77"/>
      <c r="L691" s="77"/>
      <c r="M691" s="77"/>
      <c r="N691" s="77"/>
      <c r="O691" s="77"/>
      <c r="P691" s="77"/>
      <c r="Q691" s="77"/>
    </row>
    <row r="692" spans="7:17" x14ac:dyDescent="0.3">
      <c r="G692" s="66"/>
      <c r="H692" s="78"/>
      <c r="I692" s="78"/>
      <c r="J692" s="78"/>
      <c r="K692" s="78"/>
      <c r="L692" s="78"/>
      <c r="M692" s="78"/>
      <c r="N692" s="78"/>
      <c r="O692" s="78"/>
      <c r="P692" s="78"/>
      <c r="Q692" s="78"/>
    </row>
    <row r="693" spans="7:17" x14ac:dyDescent="0.3">
      <c r="G693" s="67"/>
      <c r="H693" s="77"/>
      <c r="I693" s="77"/>
      <c r="J693" s="77"/>
      <c r="K693" s="77"/>
      <c r="L693" s="77"/>
      <c r="M693" s="77"/>
      <c r="N693" s="77"/>
      <c r="O693" s="77"/>
      <c r="P693" s="77"/>
      <c r="Q693" s="77"/>
    </row>
    <row r="694" spans="7:17" x14ac:dyDescent="0.3">
      <c r="G694" s="66"/>
      <c r="H694" s="78"/>
      <c r="I694" s="78"/>
      <c r="J694" s="78"/>
      <c r="K694" s="78"/>
      <c r="L694" s="78"/>
      <c r="M694" s="78"/>
      <c r="N694" s="78"/>
      <c r="O694" s="78"/>
      <c r="P694" s="78"/>
      <c r="Q694" s="78"/>
    </row>
    <row r="695" spans="7:17" x14ac:dyDescent="0.3">
      <c r="G695" s="67"/>
      <c r="H695" s="77"/>
      <c r="I695" s="77"/>
      <c r="J695" s="77"/>
      <c r="K695" s="77"/>
      <c r="L695" s="77"/>
      <c r="M695" s="77"/>
      <c r="N695" s="77"/>
      <c r="O695" s="77"/>
      <c r="P695" s="77"/>
      <c r="Q695" s="77"/>
    </row>
    <row r="696" spans="7:17" x14ac:dyDescent="0.3">
      <c r="G696" s="66"/>
      <c r="H696" s="78"/>
      <c r="I696" s="78"/>
      <c r="J696" s="78"/>
      <c r="K696" s="78"/>
      <c r="L696" s="78"/>
      <c r="M696" s="78"/>
      <c r="N696" s="78"/>
      <c r="O696" s="78"/>
      <c r="P696" s="78"/>
      <c r="Q696" s="78"/>
    </row>
    <row r="697" spans="7:17" x14ac:dyDescent="0.3">
      <c r="G697" s="67"/>
      <c r="H697" s="77"/>
      <c r="I697" s="77"/>
      <c r="J697" s="77"/>
      <c r="K697" s="77"/>
      <c r="L697" s="77"/>
      <c r="M697" s="77"/>
      <c r="N697" s="77"/>
      <c r="O697" s="77"/>
      <c r="P697" s="77"/>
      <c r="Q697" s="77"/>
    </row>
    <row r="698" spans="7:17" x14ac:dyDescent="0.3">
      <c r="G698" s="66"/>
      <c r="H698" s="78"/>
      <c r="I698" s="78"/>
      <c r="J698" s="78"/>
      <c r="K698" s="78"/>
      <c r="L698" s="78"/>
      <c r="M698" s="78"/>
      <c r="N698" s="78"/>
      <c r="O698" s="78"/>
      <c r="P698" s="78"/>
      <c r="Q698" s="78"/>
    </row>
    <row r="699" spans="7:17" x14ac:dyDescent="0.3">
      <c r="G699" s="67"/>
      <c r="H699" s="77"/>
      <c r="I699" s="77"/>
      <c r="J699" s="77"/>
      <c r="K699" s="77"/>
      <c r="L699" s="77"/>
      <c r="M699" s="77"/>
      <c r="N699" s="77"/>
      <c r="O699" s="77"/>
      <c r="P699" s="77"/>
      <c r="Q699" s="77"/>
    </row>
    <row r="700" spans="7:17" x14ac:dyDescent="0.3">
      <c r="G700" s="66"/>
      <c r="H700" s="78"/>
      <c r="I700" s="78"/>
      <c r="J700" s="78"/>
      <c r="K700" s="78"/>
      <c r="L700" s="78"/>
      <c r="M700" s="78"/>
      <c r="N700" s="78"/>
      <c r="O700" s="78"/>
      <c r="P700" s="78"/>
      <c r="Q700" s="78"/>
    </row>
    <row r="701" spans="7:17" x14ac:dyDescent="0.3">
      <c r="G701" s="67"/>
      <c r="H701" s="77"/>
      <c r="I701" s="77"/>
      <c r="J701" s="77"/>
      <c r="K701" s="77"/>
      <c r="L701" s="77"/>
      <c r="M701" s="77"/>
      <c r="N701" s="77"/>
      <c r="O701" s="77"/>
      <c r="P701" s="77"/>
      <c r="Q701" s="77"/>
    </row>
    <row r="702" spans="7:17" x14ac:dyDescent="0.3">
      <c r="G702" s="66"/>
      <c r="H702" s="78"/>
      <c r="I702" s="78"/>
      <c r="J702" s="78"/>
      <c r="K702" s="78"/>
      <c r="L702" s="78"/>
      <c r="M702" s="78"/>
      <c r="N702" s="78"/>
      <c r="O702" s="78"/>
      <c r="P702" s="78"/>
      <c r="Q702" s="78"/>
    </row>
    <row r="703" spans="7:17" x14ac:dyDescent="0.3">
      <c r="G703" s="67"/>
      <c r="H703" s="77"/>
      <c r="I703" s="77"/>
      <c r="J703" s="77"/>
      <c r="K703" s="77"/>
      <c r="L703" s="77"/>
      <c r="M703" s="77"/>
      <c r="N703" s="77"/>
      <c r="O703" s="77"/>
      <c r="P703" s="77"/>
      <c r="Q703" s="77"/>
    </row>
    <row r="704" spans="7:17" x14ac:dyDescent="0.3">
      <c r="G704" s="66"/>
      <c r="H704" s="78"/>
      <c r="I704" s="78"/>
      <c r="J704" s="78"/>
      <c r="K704" s="78"/>
      <c r="L704" s="78"/>
      <c r="M704" s="78"/>
      <c r="N704" s="78"/>
      <c r="O704" s="78"/>
      <c r="P704" s="78"/>
      <c r="Q704" s="78"/>
    </row>
    <row r="705" spans="7:17" x14ac:dyDescent="0.3">
      <c r="G705" s="67"/>
      <c r="H705" s="77"/>
      <c r="I705" s="77"/>
      <c r="J705" s="77"/>
      <c r="K705" s="77"/>
      <c r="L705" s="77"/>
      <c r="M705" s="77"/>
      <c r="N705" s="77"/>
      <c r="O705" s="77"/>
      <c r="P705" s="77"/>
      <c r="Q705" s="77"/>
    </row>
    <row r="706" spans="7:17" x14ac:dyDescent="0.3">
      <c r="G706" s="66"/>
      <c r="H706" s="78"/>
      <c r="I706" s="78"/>
      <c r="J706" s="78"/>
      <c r="K706" s="78"/>
      <c r="L706" s="78"/>
      <c r="M706" s="78"/>
      <c r="N706" s="78"/>
      <c r="O706" s="78"/>
      <c r="P706" s="78"/>
      <c r="Q706" s="78"/>
    </row>
    <row r="707" spans="7:17" x14ac:dyDescent="0.3">
      <c r="G707" s="67"/>
      <c r="H707" s="77"/>
      <c r="I707" s="77"/>
      <c r="J707" s="77"/>
      <c r="K707" s="77"/>
      <c r="L707" s="77"/>
      <c r="M707" s="77"/>
      <c r="N707" s="77"/>
      <c r="O707" s="77"/>
      <c r="P707" s="77"/>
      <c r="Q707" s="77"/>
    </row>
    <row r="708" spans="7:17" x14ac:dyDescent="0.3">
      <c r="G708" s="66"/>
      <c r="H708" s="78"/>
      <c r="I708" s="78"/>
      <c r="J708" s="78"/>
      <c r="K708" s="78"/>
      <c r="L708" s="78"/>
      <c r="M708" s="78"/>
      <c r="N708" s="78"/>
      <c r="O708" s="78"/>
      <c r="P708" s="78"/>
      <c r="Q708" s="78"/>
    </row>
    <row r="709" spans="7:17" x14ac:dyDescent="0.3">
      <c r="G709" s="67"/>
      <c r="H709" s="77"/>
      <c r="I709" s="77"/>
      <c r="J709" s="77"/>
      <c r="K709" s="77"/>
      <c r="L709" s="77"/>
      <c r="M709" s="77"/>
      <c r="N709" s="77"/>
      <c r="O709" s="77"/>
      <c r="P709" s="77"/>
      <c r="Q709" s="77"/>
    </row>
    <row r="710" spans="7:17" x14ac:dyDescent="0.3">
      <c r="G710" s="66"/>
      <c r="H710" s="78"/>
      <c r="I710" s="78"/>
      <c r="J710" s="78"/>
      <c r="K710" s="78"/>
      <c r="L710" s="78"/>
      <c r="M710" s="78"/>
      <c r="N710" s="78"/>
      <c r="O710" s="78"/>
      <c r="P710" s="78"/>
      <c r="Q710" s="78"/>
    </row>
    <row r="711" spans="7:17" x14ac:dyDescent="0.3">
      <c r="G711" s="67"/>
      <c r="H711" s="77"/>
      <c r="I711" s="77"/>
      <c r="J711" s="77"/>
      <c r="K711" s="77"/>
      <c r="L711" s="77"/>
      <c r="M711" s="77"/>
      <c r="N711" s="77"/>
      <c r="O711" s="77"/>
      <c r="P711" s="77"/>
      <c r="Q711" s="77"/>
    </row>
    <row r="712" spans="7:17" x14ac:dyDescent="0.3">
      <c r="G712" s="66"/>
      <c r="H712" s="78"/>
      <c r="I712" s="78"/>
      <c r="J712" s="78"/>
      <c r="K712" s="78"/>
      <c r="L712" s="78"/>
      <c r="M712" s="78"/>
      <c r="N712" s="78"/>
      <c r="O712" s="78"/>
      <c r="P712" s="78"/>
      <c r="Q712" s="78"/>
    </row>
    <row r="713" spans="7:17" x14ac:dyDescent="0.3">
      <c r="G713" s="67"/>
      <c r="H713" s="77"/>
      <c r="I713" s="77"/>
      <c r="J713" s="77"/>
      <c r="K713" s="77"/>
      <c r="L713" s="77"/>
      <c r="M713" s="77"/>
      <c r="N713" s="77"/>
      <c r="O713" s="77"/>
      <c r="P713" s="77"/>
      <c r="Q713" s="77"/>
    </row>
    <row r="714" spans="7:17" x14ac:dyDescent="0.3">
      <c r="G714" s="66"/>
      <c r="H714" s="78"/>
      <c r="I714" s="78"/>
      <c r="J714" s="78"/>
      <c r="K714" s="78"/>
      <c r="L714" s="78"/>
      <c r="M714" s="78"/>
      <c r="N714" s="78"/>
      <c r="O714" s="78"/>
      <c r="P714" s="78"/>
      <c r="Q714" s="78"/>
    </row>
    <row r="715" spans="7:17" x14ac:dyDescent="0.3">
      <c r="G715" s="67"/>
      <c r="H715" s="77"/>
      <c r="I715" s="77"/>
      <c r="J715" s="77"/>
      <c r="K715" s="77"/>
      <c r="L715" s="77"/>
      <c r="M715" s="77"/>
      <c r="N715" s="77"/>
      <c r="O715" s="77"/>
      <c r="P715" s="77"/>
      <c r="Q715" s="77"/>
    </row>
    <row r="716" spans="7:17" x14ac:dyDescent="0.3">
      <c r="G716" s="66"/>
      <c r="H716" s="78"/>
      <c r="I716" s="78"/>
      <c r="J716" s="78"/>
      <c r="K716" s="78"/>
      <c r="L716" s="78"/>
      <c r="M716" s="78"/>
      <c r="N716" s="78"/>
      <c r="O716" s="78"/>
      <c r="P716" s="78"/>
      <c r="Q716" s="78"/>
    </row>
    <row r="717" spans="7:17" x14ac:dyDescent="0.3">
      <c r="G717" s="67"/>
      <c r="H717" s="77"/>
      <c r="I717" s="77"/>
      <c r="J717" s="77"/>
      <c r="K717" s="77"/>
      <c r="L717" s="77"/>
      <c r="M717" s="77"/>
      <c r="N717" s="77"/>
      <c r="O717" s="77"/>
      <c r="P717" s="77"/>
      <c r="Q717" s="77"/>
    </row>
    <row r="718" spans="7:17" x14ac:dyDescent="0.3">
      <c r="G718" s="66"/>
      <c r="H718" s="78"/>
      <c r="I718" s="78"/>
      <c r="J718" s="78"/>
      <c r="K718" s="78"/>
      <c r="L718" s="78"/>
      <c r="M718" s="78"/>
      <c r="N718" s="78"/>
      <c r="O718" s="78"/>
      <c r="P718" s="78"/>
      <c r="Q718" s="78"/>
    </row>
    <row r="719" spans="7:17" x14ac:dyDescent="0.3">
      <c r="G719" s="67"/>
      <c r="H719" s="77"/>
      <c r="I719" s="77"/>
      <c r="J719" s="77"/>
      <c r="K719" s="77"/>
      <c r="L719" s="77"/>
      <c r="M719" s="77"/>
      <c r="N719" s="77"/>
      <c r="O719" s="77"/>
      <c r="P719" s="77"/>
      <c r="Q719" s="77"/>
    </row>
    <row r="720" spans="7:17" x14ac:dyDescent="0.3">
      <c r="G720" s="66"/>
      <c r="H720" s="78"/>
      <c r="I720" s="78"/>
      <c r="J720" s="78"/>
      <c r="K720" s="78"/>
      <c r="L720" s="78"/>
      <c r="M720" s="78"/>
      <c r="N720" s="78"/>
      <c r="O720" s="78"/>
      <c r="P720" s="78"/>
      <c r="Q720" s="78"/>
    </row>
    <row r="721" spans="7:17" x14ac:dyDescent="0.3">
      <c r="G721" s="67"/>
      <c r="H721" s="77"/>
      <c r="I721" s="77"/>
      <c r="J721" s="77"/>
      <c r="K721" s="77"/>
      <c r="L721" s="77"/>
      <c r="M721" s="77"/>
      <c r="N721" s="77"/>
      <c r="O721" s="77"/>
      <c r="P721" s="77"/>
      <c r="Q721" s="77"/>
    </row>
    <row r="722" spans="7:17" x14ac:dyDescent="0.3">
      <c r="G722" s="66"/>
      <c r="H722" s="78"/>
      <c r="I722" s="78"/>
      <c r="J722" s="78"/>
      <c r="K722" s="78"/>
      <c r="L722" s="78"/>
      <c r="M722" s="78"/>
      <c r="N722" s="78"/>
      <c r="O722" s="78"/>
      <c r="P722" s="78"/>
      <c r="Q722" s="78"/>
    </row>
    <row r="723" spans="7:17" x14ac:dyDescent="0.3">
      <c r="G723" s="67"/>
      <c r="H723" s="77"/>
      <c r="I723" s="77"/>
      <c r="J723" s="77"/>
      <c r="K723" s="77"/>
      <c r="L723" s="77"/>
      <c r="M723" s="77"/>
      <c r="N723" s="77"/>
      <c r="O723" s="77"/>
      <c r="P723" s="77"/>
      <c r="Q723" s="77"/>
    </row>
    <row r="724" spans="7:17" x14ac:dyDescent="0.3">
      <c r="G724" s="66"/>
      <c r="H724" s="78"/>
      <c r="I724" s="78"/>
      <c r="J724" s="78"/>
      <c r="K724" s="78"/>
      <c r="L724" s="78"/>
      <c r="M724" s="78"/>
      <c r="N724" s="78"/>
      <c r="O724" s="78"/>
      <c r="P724" s="78"/>
      <c r="Q724" s="78"/>
    </row>
    <row r="725" spans="7:17" x14ac:dyDescent="0.3">
      <c r="G725" s="67"/>
      <c r="H725" s="77"/>
      <c r="I725" s="77"/>
      <c r="J725" s="77"/>
      <c r="K725" s="77"/>
      <c r="L725" s="77"/>
      <c r="M725" s="77"/>
      <c r="N725" s="77"/>
      <c r="O725" s="77"/>
      <c r="P725" s="77"/>
      <c r="Q725" s="77"/>
    </row>
    <row r="726" spans="7:17" x14ac:dyDescent="0.3">
      <c r="G726" s="66"/>
      <c r="H726" s="78"/>
      <c r="I726" s="78"/>
      <c r="J726" s="78"/>
      <c r="K726" s="78"/>
      <c r="L726" s="78"/>
      <c r="M726" s="78"/>
      <c r="N726" s="78"/>
      <c r="O726" s="78"/>
      <c r="P726" s="78"/>
      <c r="Q726" s="78"/>
    </row>
    <row r="727" spans="7:17" x14ac:dyDescent="0.3">
      <c r="G727" s="67"/>
      <c r="H727" s="77"/>
      <c r="I727" s="77"/>
      <c r="J727" s="77"/>
      <c r="K727" s="77"/>
      <c r="L727" s="77"/>
      <c r="M727" s="77"/>
      <c r="N727" s="77"/>
      <c r="O727" s="77"/>
      <c r="P727" s="77"/>
      <c r="Q727" s="77"/>
    </row>
    <row r="728" spans="7:17" x14ac:dyDescent="0.3">
      <c r="G728" s="66"/>
      <c r="H728" s="78"/>
      <c r="I728" s="78"/>
      <c r="J728" s="78"/>
      <c r="K728" s="78"/>
      <c r="L728" s="78"/>
      <c r="M728" s="78"/>
      <c r="N728" s="78"/>
      <c r="O728" s="78"/>
      <c r="P728" s="78"/>
      <c r="Q728" s="78"/>
    </row>
    <row r="729" spans="7:17" x14ac:dyDescent="0.3">
      <c r="G729" s="67"/>
      <c r="H729" s="77"/>
      <c r="I729" s="77"/>
      <c r="J729" s="77"/>
      <c r="K729" s="77"/>
      <c r="L729" s="77"/>
      <c r="M729" s="77"/>
      <c r="N729" s="77"/>
      <c r="O729" s="77"/>
      <c r="P729" s="77"/>
      <c r="Q729" s="77"/>
    </row>
    <row r="730" spans="7:17" x14ac:dyDescent="0.3">
      <c r="G730" s="66"/>
      <c r="H730" s="78"/>
      <c r="I730" s="78"/>
      <c r="J730" s="78"/>
      <c r="K730" s="78"/>
      <c r="L730" s="78"/>
      <c r="M730" s="78"/>
      <c r="N730" s="78"/>
      <c r="O730" s="78"/>
      <c r="P730" s="78"/>
      <c r="Q730" s="78"/>
    </row>
    <row r="731" spans="7:17" x14ac:dyDescent="0.3">
      <c r="G731" s="67"/>
      <c r="H731" s="77"/>
      <c r="I731" s="77"/>
      <c r="J731" s="77"/>
      <c r="K731" s="77"/>
      <c r="L731" s="77"/>
      <c r="M731" s="77"/>
      <c r="N731" s="77"/>
      <c r="O731" s="77"/>
      <c r="P731" s="77"/>
      <c r="Q731" s="77"/>
    </row>
    <row r="732" spans="7:17" x14ac:dyDescent="0.3">
      <c r="G732" s="66"/>
      <c r="H732" s="78"/>
      <c r="I732" s="78"/>
      <c r="J732" s="78"/>
      <c r="K732" s="78"/>
      <c r="L732" s="78"/>
      <c r="M732" s="78"/>
      <c r="N732" s="78"/>
      <c r="O732" s="78"/>
      <c r="P732" s="78"/>
      <c r="Q732" s="78"/>
    </row>
    <row r="733" spans="7:17" x14ac:dyDescent="0.3">
      <c r="G733" s="67"/>
      <c r="H733" s="77"/>
      <c r="I733" s="77"/>
      <c r="J733" s="77"/>
      <c r="K733" s="77"/>
      <c r="L733" s="77"/>
      <c r="M733" s="77"/>
      <c r="N733" s="77"/>
      <c r="O733" s="77"/>
      <c r="P733" s="77"/>
      <c r="Q733" s="77"/>
    </row>
    <row r="734" spans="7:17" x14ac:dyDescent="0.3">
      <c r="G734" s="66"/>
      <c r="H734" s="78"/>
      <c r="I734" s="78"/>
      <c r="J734" s="78"/>
      <c r="K734" s="78"/>
      <c r="L734" s="78"/>
      <c r="M734" s="78"/>
      <c r="N734" s="78"/>
      <c r="O734" s="78"/>
      <c r="P734" s="78"/>
      <c r="Q734" s="78"/>
    </row>
    <row r="735" spans="7:17" x14ac:dyDescent="0.3">
      <c r="G735" s="67"/>
      <c r="H735" s="77"/>
      <c r="I735" s="77"/>
      <c r="J735" s="77"/>
      <c r="K735" s="77"/>
      <c r="L735" s="77"/>
      <c r="M735" s="77"/>
      <c r="N735" s="77"/>
      <c r="O735" s="77"/>
      <c r="P735" s="77"/>
      <c r="Q735" s="77"/>
    </row>
    <row r="736" spans="7:17" x14ac:dyDescent="0.3">
      <c r="G736" s="66"/>
      <c r="H736" s="78"/>
      <c r="I736" s="78"/>
      <c r="J736" s="78"/>
      <c r="K736" s="78"/>
      <c r="L736" s="78"/>
      <c r="M736" s="78"/>
      <c r="N736" s="78"/>
      <c r="O736" s="78"/>
      <c r="P736" s="78"/>
      <c r="Q736" s="78"/>
    </row>
    <row r="737" spans="7:17" x14ac:dyDescent="0.3">
      <c r="G737" s="67"/>
      <c r="H737" s="77"/>
      <c r="I737" s="77"/>
      <c r="J737" s="77"/>
      <c r="K737" s="77"/>
      <c r="L737" s="77"/>
      <c r="M737" s="77"/>
      <c r="N737" s="77"/>
      <c r="O737" s="77"/>
      <c r="P737" s="77"/>
      <c r="Q737" s="77"/>
    </row>
    <row r="738" spans="7:17" x14ac:dyDescent="0.3">
      <c r="G738" s="66"/>
      <c r="H738" s="78"/>
      <c r="I738" s="78"/>
      <c r="J738" s="78"/>
      <c r="K738" s="78"/>
      <c r="L738" s="78"/>
      <c r="M738" s="78"/>
      <c r="N738" s="78"/>
      <c r="O738" s="78"/>
      <c r="P738" s="78"/>
      <c r="Q738" s="78"/>
    </row>
    <row r="739" spans="7:17" x14ac:dyDescent="0.3">
      <c r="G739" s="67"/>
      <c r="H739" s="77"/>
      <c r="I739" s="77"/>
      <c r="J739" s="77"/>
      <c r="K739" s="77"/>
      <c r="L739" s="77"/>
      <c r="M739" s="77"/>
      <c r="N739" s="77"/>
      <c r="O739" s="77"/>
      <c r="P739" s="77"/>
      <c r="Q739" s="77"/>
    </row>
    <row r="740" spans="7:17" x14ac:dyDescent="0.3">
      <c r="G740" s="66"/>
      <c r="H740" s="78"/>
      <c r="I740" s="78"/>
      <c r="J740" s="78"/>
      <c r="K740" s="78"/>
      <c r="L740" s="78"/>
      <c r="M740" s="78"/>
      <c r="N740" s="78"/>
      <c r="O740" s="78"/>
      <c r="P740" s="78"/>
      <c r="Q740" s="78"/>
    </row>
    <row r="741" spans="7:17" x14ac:dyDescent="0.3">
      <c r="G741" s="67"/>
      <c r="H741" s="77"/>
      <c r="I741" s="77"/>
      <c r="J741" s="77"/>
      <c r="K741" s="77"/>
      <c r="L741" s="77"/>
      <c r="M741" s="77"/>
      <c r="N741" s="77"/>
      <c r="O741" s="77"/>
      <c r="P741" s="77"/>
      <c r="Q741" s="77"/>
    </row>
    <row r="742" spans="7:17" x14ac:dyDescent="0.3">
      <c r="G742" s="66"/>
      <c r="H742" s="78"/>
      <c r="I742" s="78"/>
      <c r="J742" s="78"/>
      <c r="K742" s="78"/>
      <c r="L742" s="78"/>
      <c r="M742" s="78"/>
      <c r="N742" s="78"/>
      <c r="O742" s="78"/>
      <c r="P742" s="78"/>
      <c r="Q742" s="78"/>
    </row>
    <row r="743" spans="7:17" x14ac:dyDescent="0.3">
      <c r="G743" s="67"/>
      <c r="H743" s="77"/>
      <c r="I743" s="77"/>
      <c r="J743" s="77"/>
      <c r="K743" s="77"/>
      <c r="L743" s="77"/>
      <c r="M743" s="77"/>
      <c r="N743" s="77"/>
      <c r="O743" s="77"/>
      <c r="P743" s="77"/>
      <c r="Q743" s="77"/>
    </row>
    <row r="744" spans="7:17" x14ac:dyDescent="0.3">
      <c r="G744" s="66"/>
      <c r="H744" s="78"/>
      <c r="I744" s="78"/>
      <c r="J744" s="78"/>
      <c r="K744" s="78"/>
      <c r="L744" s="78"/>
      <c r="M744" s="78"/>
      <c r="N744" s="78"/>
      <c r="O744" s="78"/>
      <c r="P744" s="78"/>
      <c r="Q744" s="78"/>
    </row>
    <row r="745" spans="7:17" x14ac:dyDescent="0.3">
      <c r="G745" s="67"/>
      <c r="H745" s="77"/>
      <c r="I745" s="77"/>
      <c r="J745" s="77"/>
      <c r="K745" s="77"/>
      <c r="L745" s="77"/>
      <c r="M745" s="77"/>
      <c r="N745" s="77"/>
      <c r="O745" s="77"/>
      <c r="P745" s="77"/>
      <c r="Q745" s="77"/>
    </row>
    <row r="746" spans="7:17" x14ac:dyDescent="0.3">
      <c r="G746" s="66"/>
      <c r="H746" s="78"/>
      <c r="I746" s="78"/>
      <c r="J746" s="78"/>
      <c r="K746" s="78"/>
      <c r="L746" s="78"/>
      <c r="M746" s="78"/>
      <c r="N746" s="78"/>
      <c r="O746" s="78"/>
      <c r="P746" s="78"/>
      <c r="Q746" s="78"/>
    </row>
    <row r="747" spans="7:17" x14ac:dyDescent="0.3">
      <c r="G747" s="67"/>
      <c r="H747" s="77"/>
      <c r="I747" s="77"/>
      <c r="J747" s="77"/>
      <c r="K747" s="77"/>
      <c r="L747" s="77"/>
      <c r="M747" s="77"/>
      <c r="N747" s="77"/>
      <c r="O747" s="77"/>
      <c r="P747" s="77"/>
      <c r="Q747" s="77"/>
    </row>
    <row r="748" spans="7:17" x14ac:dyDescent="0.3">
      <c r="G748" s="66"/>
      <c r="H748" s="78"/>
      <c r="I748" s="78"/>
      <c r="J748" s="78"/>
      <c r="K748" s="78"/>
      <c r="L748" s="78"/>
      <c r="M748" s="78"/>
      <c r="N748" s="78"/>
      <c r="O748" s="78"/>
      <c r="P748" s="78"/>
      <c r="Q748" s="78"/>
    </row>
    <row r="749" spans="7:17" x14ac:dyDescent="0.3">
      <c r="G749" s="67"/>
      <c r="H749" s="77"/>
      <c r="I749" s="77"/>
      <c r="J749" s="77"/>
      <c r="K749" s="77"/>
      <c r="L749" s="77"/>
      <c r="M749" s="77"/>
      <c r="N749" s="77"/>
      <c r="O749" s="77"/>
      <c r="P749" s="77"/>
      <c r="Q749" s="77"/>
    </row>
    <row r="750" spans="7:17" x14ac:dyDescent="0.3">
      <c r="G750" s="66"/>
      <c r="H750" s="78"/>
      <c r="I750" s="78"/>
      <c r="J750" s="78"/>
      <c r="K750" s="78"/>
      <c r="L750" s="78"/>
      <c r="M750" s="78"/>
      <c r="N750" s="78"/>
      <c r="O750" s="78"/>
      <c r="P750" s="78"/>
      <c r="Q750" s="78"/>
    </row>
    <row r="751" spans="7:17" x14ac:dyDescent="0.3">
      <c r="G751" s="67"/>
      <c r="H751" s="77"/>
      <c r="I751" s="77"/>
      <c r="J751" s="77"/>
      <c r="K751" s="77"/>
      <c r="L751" s="77"/>
      <c r="M751" s="77"/>
      <c r="N751" s="77"/>
      <c r="O751" s="77"/>
      <c r="P751" s="77"/>
      <c r="Q751" s="77"/>
    </row>
    <row r="752" spans="7:17" x14ac:dyDescent="0.3">
      <c r="G752" s="66"/>
      <c r="H752" s="78"/>
      <c r="I752" s="78"/>
      <c r="J752" s="78"/>
      <c r="K752" s="78"/>
      <c r="L752" s="78"/>
      <c r="M752" s="78"/>
      <c r="N752" s="78"/>
      <c r="O752" s="78"/>
      <c r="P752" s="78"/>
      <c r="Q752" s="78"/>
    </row>
    <row r="753" spans="7:17" x14ac:dyDescent="0.3">
      <c r="G753" s="67"/>
      <c r="H753" s="77"/>
      <c r="I753" s="77"/>
      <c r="J753" s="77"/>
      <c r="K753" s="77"/>
      <c r="L753" s="77"/>
      <c r="M753" s="77"/>
      <c r="N753" s="77"/>
      <c r="O753" s="77"/>
      <c r="P753" s="77"/>
      <c r="Q753" s="77"/>
    </row>
    <row r="754" spans="7:17" x14ac:dyDescent="0.3">
      <c r="G754" s="66"/>
      <c r="H754" s="78"/>
      <c r="I754" s="78"/>
      <c r="J754" s="78"/>
      <c r="K754" s="78"/>
      <c r="L754" s="78"/>
      <c r="M754" s="78"/>
      <c r="N754" s="78"/>
      <c r="O754" s="78"/>
      <c r="P754" s="78"/>
      <c r="Q754" s="78"/>
    </row>
    <row r="755" spans="7:17" x14ac:dyDescent="0.3">
      <c r="G755" s="67"/>
      <c r="H755" s="77"/>
      <c r="I755" s="77"/>
      <c r="J755" s="77"/>
      <c r="K755" s="77"/>
      <c r="L755" s="77"/>
      <c r="M755" s="77"/>
      <c r="N755" s="77"/>
      <c r="O755" s="77"/>
      <c r="P755" s="77"/>
      <c r="Q755" s="77"/>
    </row>
    <row r="756" spans="7:17" x14ac:dyDescent="0.3">
      <c r="G756" s="66"/>
      <c r="H756" s="78"/>
      <c r="I756" s="78"/>
      <c r="J756" s="78"/>
      <c r="K756" s="78"/>
      <c r="L756" s="78"/>
      <c r="M756" s="78"/>
      <c r="N756" s="78"/>
      <c r="O756" s="78"/>
      <c r="P756" s="78"/>
      <c r="Q756" s="78"/>
    </row>
    <row r="757" spans="7:17" x14ac:dyDescent="0.3">
      <c r="G757" s="67"/>
      <c r="H757" s="77"/>
      <c r="I757" s="77"/>
      <c r="J757" s="77"/>
      <c r="K757" s="77"/>
      <c r="L757" s="77"/>
      <c r="M757" s="77"/>
      <c r="N757" s="77"/>
      <c r="O757" s="77"/>
      <c r="P757" s="77"/>
      <c r="Q757" s="77"/>
    </row>
    <row r="758" spans="7:17" x14ac:dyDescent="0.3">
      <c r="G758" s="66"/>
      <c r="H758" s="78"/>
      <c r="I758" s="78"/>
      <c r="J758" s="78"/>
      <c r="K758" s="78"/>
      <c r="L758" s="78"/>
      <c r="M758" s="78"/>
      <c r="N758" s="78"/>
      <c r="O758" s="78"/>
      <c r="P758" s="78"/>
      <c r="Q758" s="78"/>
    </row>
    <row r="759" spans="7:17" x14ac:dyDescent="0.3">
      <c r="G759" s="67"/>
      <c r="H759" s="77"/>
      <c r="I759" s="77"/>
      <c r="J759" s="77"/>
      <c r="K759" s="77"/>
      <c r="L759" s="77"/>
      <c r="M759" s="77"/>
      <c r="N759" s="77"/>
      <c r="O759" s="77"/>
      <c r="P759" s="77"/>
      <c r="Q759" s="77"/>
    </row>
    <row r="760" spans="7:17" x14ac:dyDescent="0.3">
      <c r="G760" s="66"/>
      <c r="H760" s="78"/>
      <c r="I760" s="78"/>
      <c r="J760" s="78"/>
      <c r="K760" s="78"/>
      <c r="L760" s="78"/>
      <c r="M760" s="78"/>
      <c r="N760" s="78"/>
      <c r="O760" s="78"/>
      <c r="P760" s="78"/>
      <c r="Q760" s="78"/>
    </row>
    <row r="761" spans="7:17" x14ac:dyDescent="0.3">
      <c r="G761" s="67"/>
      <c r="H761" s="77"/>
      <c r="I761" s="77"/>
      <c r="J761" s="77"/>
      <c r="K761" s="77"/>
      <c r="L761" s="77"/>
      <c r="M761" s="77"/>
      <c r="N761" s="77"/>
      <c r="O761" s="77"/>
      <c r="P761" s="77"/>
      <c r="Q761" s="77"/>
    </row>
    <row r="762" spans="7:17" x14ac:dyDescent="0.3">
      <c r="G762" s="66"/>
      <c r="H762" s="78"/>
      <c r="I762" s="78"/>
      <c r="J762" s="78"/>
      <c r="K762" s="78"/>
      <c r="L762" s="78"/>
      <c r="M762" s="78"/>
      <c r="N762" s="78"/>
      <c r="O762" s="78"/>
      <c r="P762" s="78"/>
      <c r="Q762" s="78"/>
    </row>
    <row r="763" spans="7:17" x14ac:dyDescent="0.3">
      <c r="G763" s="67"/>
      <c r="H763" s="77"/>
      <c r="I763" s="77"/>
      <c r="J763" s="77"/>
      <c r="K763" s="77"/>
      <c r="L763" s="77"/>
      <c r="M763" s="77"/>
      <c r="N763" s="77"/>
      <c r="O763" s="77"/>
      <c r="P763" s="77"/>
      <c r="Q763" s="77"/>
    </row>
    <row r="764" spans="7:17" x14ac:dyDescent="0.3">
      <c r="G764" s="66"/>
      <c r="H764" s="78"/>
      <c r="I764" s="78"/>
      <c r="J764" s="78"/>
      <c r="K764" s="78"/>
      <c r="L764" s="78"/>
      <c r="M764" s="78"/>
      <c r="N764" s="78"/>
      <c r="O764" s="78"/>
      <c r="P764" s="78"/>
      <c r="Q764" s="78"/>
    </row>
    <row r="765" spans="7:17" x14ac:dyDescent="0.3">
      <c r="G765" s="67"/>
      <c r="H765" s="77"/>
      <c r="I765" s="77"/>
      <c r="J765" s="77"/>
      <c r="K765" s="77"/>
      <c r="L765" s="77"/>
      <c r="M765" s="77"/>
      <c r="N765" s="77"/>
      <c r="O765" s="77"/>
      <c r="P765" s="77"/>
      <c r="Q765" s="77"/>
    </row>
    <row r="766" spans="7:17" x14ac:dyDescent="0.3">
      <c r="G766" s="66"/>
      <c r="H766" s="78"/>
      <c r="I766" s="78"/>
      <c r="J766" s="78"/>
      <c r="K766" s="78"/>
      <c r="L766" s="78"/>
      <c r="M766" s="78"/>
      <c r="N766" s="78"/>
      <c r="O766" s="78"/>
      <c r="P766" s="78"/>
      <c r="Q766" s="78"/>
    </row>
    <row r="767" spans="7:17" x14ac:dyDescent="0.3">
      <c r="G767" s="67"/>
      <c r="H767" s="77"/>
      <c r="I767" s="77"/>
      <c r="J767" s="77"/>
      <c r="K767" s="77"/>
      <c r="L767" s="77"/>
      <c r="M767" s="77"/>
      <c r="N767" s="77"/>
      <c r="O767" s="77"/>
      <c r="P767" s="77"/>
      <c r="Q767" s="77"/>
    </row>
    <row r="768" spans="7:17" x14ac:dyDescent="0.3">
      <c r="G768" s="66"/>
      <c r="H768" s="78"/>
      <c r="I768" s="78"/>
      <c r="J768" s="78"/>
      <c r="K768" s="78"/>
      <c r="L768" s="78"/>
      <c r="M768" s="78"/>
      <c r="N768" s="78"/>
      <c r="O768" s="78"/>
      <c r="P768" s="78"/>
      <c r="Q768" s="78"/>
    </row>
    <row r="769" spans="7:17" x14ac:dyDescent="0.3">
      <c r="G769" s="67"/>
      <c r="H769" s="77"/>
      <c r="I769" s="77"/>
      <c r="J769" s="77"/>
      <c r="K769" s="77"/>
      <c r="L769" s="77"/>
      <c r="M769" s="77"/>
      <c r="N769" s="77"/>
      <c r="O769" s="77"/>
      <c r="P769" s="77"/>
      <c r="Q769" s="77"/>
    </row>
    <row r="770" spans="7:17" x14ac:dyDescent="0.3">
      <c r="G770" s="66"/>
      <c r="H770" s="78"/>
      <c r="I770" s="78"/>
      <c r="J770" s="78"/>
      <c r="K770" s="78"/>
      <c r="L770" s="78"/>
      <c r="M770" s="78"/>
      <c r="N770" s="78"/>
      <c r="O770" s="78"/>
      <c r="P770" s="78"/>
      <c r="Q770" s="78"/>
    </row>
    <row r="771" spans="7:17" x14ac:dyDescent="0.3">
      <c r="G771" s="67"/>
      <c r="H771" s="77"/>
      <c r="I771" s="77"/>
      <c r="J771" s="77"/>
      <c r="K771" s="77"/>
      <c r="L771" s="77"/>
      <c r="M771" s="77"/>
      <c r="N771" s="77"/>
      <c r="O771" s="77"/>
      <c r="P771" s="77"/>
      <c r="Q771" s="77"/>
    </row>
    <row r="772" spans="7:17" x14ac:dyDescent="0.3">
      <c r="G772" s="66"/>
      <c r="H772" s="78"/>
      <c r="I772" s="78"/>
      <c r="J772" s="78"/>
      <c r="K772" s="78"/>
      <c r="L772" s="78"/>
      <c r="M772" s="78"/>
      <c r="N772" s="78"/>
      <c r="O772" s="78"/>
      <c r="P772" s="78"/>
      <c r="Q772" s="78"/>
    </row>
    <row r="773" spans="7:17" x14ac:dyDescent="0.3">
      <c r="G773" s="67"/>
      <c r="H773" s="77"/>
      <c r="I773" s="77"/>
      <c r="J773" s="77"/>
      <c r="K773" s="77"/>
      <c r="L773" s="77"/>
      <c r="M773" s="77"/>
      <c r="N773" s="77"/>
      <c r="O773" s="77"/>
      <c r="P773" s="77"/>
      <c r="Q773" s="77"/>
    </row>
    <row r="774" spans="7:17" x14ac:dyDescent="0.3">
      <c r="G774" s="66"/>
      <c r="H774" s="78"/>
      <c r="I774" s="78"/>
      <c r="J774" s="78"/>
      <c r="K774" s="78"/>
      <c r="L774" s="78"/>
      <c r="M774" s="78"/>
      <c r="N774" s="78"/>
      <c r="O774" s="78"/>
      <c r="P774" s="78"/>
      <c r="Q774" s="78"/>
    </row>
    <row r="775" spans="7:17" x14ac:dyDescent="0.3">
      <c r="G775" s="67"/>
      <c r="H775" s="77"/>
      <c r="I775" s="77"/>
      <c r="J775" s="77"/>
      <c r="K775" s="77"/>
      <c r="L775" s="77"/>
      <c r="M775" s="77"/>
      <c r="N775" s="77"/>
      <c r="O775" s="77"/>
      <c r="P775" s="77"/>
      <c r="Q775" s="77"/>
    </row>
    <row r="776" spans="7:17" x14ac:dyDescent="0.3">
      <c r="G776" s="66"/>
      <c r="H776" s="78"/>
      <c r="I776" s="78"/>
      <c r="J776" s="78"/>
      <c r="K776" s="78"/>
      <c r="L776" s="78"/>
      <c r="M776" s="78"/>
      <c r="N776" s="78"/>
      <c r="O776" s="78"/>
      <c r="P776" s="78"/>
      <c r="Q776" s="78"/>
    </row>
    <row r="777" spans="7:17" x14ac:dyDescent="0.3">
      <c r="G777" s="67"/>
      <c r="H777" s="77"/>
      <c r="I777" s="77"/>
      <c r="J777" s="77"/>
      <c r="K777" s="77"/>
      <c r="L777" s="77"/>
      <c r="M777" s="77"/>
      <c r="N777" s="77"/>
      <c r="O777" s="77"/>
      <c r="P777" s="77"/>
      <c r="Q777" s="77"/>
    </row>
    <row r="778" spans="7:17" x14ac:dyDescent="0.3">
      <c r="G778" s="66"/>
      <c r="H778" s="78"/>
      <c r="I778" s="78"/>
      <c r="J778" s="78"/>
      <c r="K778" s="78"/>
      <c r="L778" s="78"/>
      <c r="M778" s="78"/>
      <c r="N778" s="78"/>
      <c r="O778" s="78"/>
      <c r="P778" s="78"/>
      <c r="Q778" s="78"/>
    </row>
    <row r="779" spans="7:17" x14ac:dyDescent="0.3">
      <c r="G779" s="67"/>
      <c r="H779" s="77"/>
      <c r="I779" s="77"/>
      <c r="J779" s="77"/>
      <c r="K779" s="77"/>
      <c r="L779" s="77"/>
      <c r="M779" s="77"/>
      <c r="N779" s="77"/>
      <c r="O779" s="77"/>
      <c r="P779" s="77"/>
      <c r="Q779" s="77"/>
    </row>
    <row r="780" spans="7:17" x14ac:dyDescent="0.3">
      <c r="G780" s="66"/>
      <c r="H780" s="78"/>
      <c r="I780" s="78"/>
      <c r="J780" s="78"/>
      <c r="K780" s="78"/>
      <c r="L780" s="78"/>
      <c r="M780" s="78"/>
      <c r="N780" s="78"/>
      <c r="O780" s="78"/>
      <c r="P780" s="78"/>
      <c r="Q780" s="78"/>
    </row>
    <row r="781" spans="7:17" x14ac:dyDescent="0.3">
      <c r="G781" s="67"/>
      <c r="H781" s="77"/>
      <c r="I781" s="77"/>
      <c r="J781" s="77"/>
      <c r="K781" s="77"/>
      <c r="L781" s="77"/>
      <c r="M781" s="77"/>
      <c r="N781" s="77"/>
      <c r="O781" s="77"/>
      <c r="P781" s="77"/>
      <c r="Q781" s="77"/>
    </row>
    <row r="782" spans="7:17" x14ac:dyDescent="0.3">
      <c r="G782" s="66"/>
      <c r="H782" s="78"/>
      <c r="I782" s="78"/>
      <c r="J782" s="78"/>
      <c r="K782" s="78"/>
      <c r="L782" s="78"/>
      <c r="M782" s="78"/>
      <c r="N782" s="78"/>
      <c r="O782" s="78"/>
      <c r="P782" s="78"/>
      <c r="Q782" s="78"/>
    </row>
    <row r="783" spans="7:17" x14ac:dyDescent="0.3">
      <c r="G783" s="67"/>
      <c r="H783" s="77"/>
      <c r="I783" s="77"/>
      <c r="J783" s="77"/>
      <c r="K783" s="77"/>
      <c r="L783" s="77"/>
      <c r="M783" s="77"/>
      <c r="N783" s="77"/>
      <c r="O783" s="77"/>
      <c r="P783" s="77"/>
      <c r="Q783" s="77"/>
    </row>
    <row r="784" spans="7:17" x14ac:dyDescent="0.3">
      <c r="G784" s="66"/>
      <c r="H784" s="78"/>
      <c r="I784" s="78"/>
      <c r="J784" s="78"/>
      <c r="K784" s="78"/>
      <c r="L784" s="78"/>
      <c r="M784" s="78"/>
      <c r="N784" s="78"/>
      <c r="O784" s="78"/>
      <c r="P784" s="78"/>
      <c r="Q784" s="78"/>
    </row>
    <row r="785" spans="7:17" x14ac:dyDescent="0.3">
      <c r="G785" s="67"/>
      <c r="H785" s="77"/>
      <c r="I785" s="77"/>
      <c r="J785" s="77"/>
      <c r="K785" s="77"/>
      <c r="L785" s="77"/>
      <c r="M785" s="77"/>
      <c r="N785" s="77"/>
      <c r="O785" s="77"/>
      <c r="P785" s="77"/>
      <c r="Q785" s="77"/>
    </row>
    <row r="786" spans="7:17" x14ac:dyDescent="0.3">
      <c r="G786" s="66"/>
      <c r="H786" s="78"/>
      <c r="I786" s="78"/>
      <c r="J786" s="78"/>
      <c r="K786" s="78"/>
      <c r="L786" s="78"/>
      <c r="M786" s="78"/>
      <c r="N786" s="78"/>
      <c r="O786" s="78"/>
      <c r="P786" s="78"/>
      <c r="Q786" s="78"/>
    </row>
    <row r="787" spans="7:17" x14ac:dyDescent="0.3">
      <c r="G787" s="67"/>
      <c r="H787" s="77"/>
      <c r="I787" s="77"/>
      <c r="J787" s="77"/>
      <c r="K787" s="77"/>
      <c r="L787" s="77"/>
      <c r="M787" s="77"/>
      <c r="N787" s="77"/>
      <c r="O787" s="77"/>
      <c r="P787" s="77"/>
      <c r="Q787" s="77"/>
    </row>
    <row r="788" spans="7:17" x14ac:dyDescent="0.3">
      <c r="G788" s="66"/>
      <c r="H788" s="78"/>
      <c r="I788" s="78"/>
      <c r="J788" s="78"/>
      <c r="K788" s="78"/>
      <c r="L788" s="78"/>
      <c r="M788" s="78"/>
      <c r="N788" s="78"/>
      <c r="O788" s="78"/>
      <c r="P788" s="78"/>
      <c r="Q788" s="78"/>
    </row>
    <row r="789" spans="7:17" x14ac:dyDescent="0.3">
      <c r="G789" s="67"/>
      <c r="H789" s="77"/>
      <c r="I789" s="77"/>
      <c r="J789" s="77"/>
      <c r="K789" s="77"/>
      <c r="L789" s="77"/>
      <c r="M789" s="77"/>
      <c r="N789" s="77"/>
      <c r="O789" s="77"/>
      <c r="P789" s="77"/>
      <c r="Q789" s="77"/>
    </row>
    <row r="790" spans="7:17" x14ac:dyDescent="0.3">
      <c r="G790" s="66"/>
      <c r="H790" s="78"/>
      <c r="I790" s="78"/>
      <c r="J790" s="78"/>
      <c r="K790" s="78"/>
      <c r="L790" s="78"/>
      <c r="M790" s="78"/>
      <c r="N790" s="78"/>
      <c r="O790" s="78"/>
      <c r="P790" s="78"/>
      <c r="Q790" s="78"/>
    </row>
    <row r="791" spans="7:17" x14ac:dyDescent="0.3">
      <c r="G791" s="67"/>
      <c r="H791" s="77"/>
      <c r="I791" s="77"/>
      <c r="J791" s="77"/>
      <c r="K791" s="77"/>
      <c r="L791" s="77"/>
      <c r="M791" s="77"/>
      <c r="N791" s="77"/>
      <c r="O791" s="77"/>
      <c r="P791" s="77"/>
      <c r="Q791" s="77"/>
    </row>
    <row r="792" spans="7:17" x14ac:dyDescent="0.3">
      <c r="G792" s="66"/>
      <c r="H792" s="78"/>
      <c r="I792" s="78"/>
      <c r="J792" s="78"/>
      <c r="K792" s="78"/>
      <c r="L792" s="78"/>
      <c r="M792" s="78"/>
      <c r="N792" s="78"/>
      <c r="O792" s="78"/>
      <c r="P792" s="78"/>
      <c r="Q792" s="78"/>
    </row>
    <row r="793" spans="7:17" x14ac:dyDescent="0.3">
      <c r="G793" s="67"/>
      <c r="H793" s="77"/>
      <c r="I793" s="77"/>
      <c r="J793" s="77"/>
      <c r="K793" s="77"/>
      <c r="L793" s="77"/>
      <c r="M793" s="77"/>
      <c r="N793" s="77"/>
      <c r="O793" s="77"/>
      <c r="P793" s="77"/>
      <c r="Q793" s="77"/>
    </row>
    <row r="794" spans="7:17" x14ac:dyDescent="0.3">
      <c r="G794" s="66"/>
      <c r="H794" s="78"/>
      <c r="I794" s="78"/>
      <c r="J794" s="78"/>
      <c r="K794" s="78"/>
      <c r="L794" s="78"/>
      <c r="M794" s="78"/>
      <c r="N794" s="78"/>
      <c r="O794" s="78"/>
      <c r="P794" s="78"/>
      <c r="Q794" s="78"/>
    </row>
    <row r="795" spans="7:17" x14ac:dyDescent="0.3">
      <c r="G795" s="67"/>
      <c r="H795" s="77"/>
      <c r="I795" s="77"/>
      <c r="J795" s="77"/>
      <c r="K795" s="77"/>
      <c r="L795" s="77"/>
      <c r="M795" s="77"/>
      <c r="N795" s="77"/>
      <c r="O795" s="77"/>
      <c r="P795" s="77"/>
      <c r="Q795" s="77"/>
    </row>
    <row r="796" spans="7:17" x14ac:dyDescent="0.3">
      <c r="G796" s="66"/>
      <c r="H796" s="78"/>
      <c r="I796" s="78"/>
      <c r="J796" s="78"/>
      <c r="K796" s="78"/>
      <c r="L796" s="78"/>
      <c r="M796" s="78"/>
      <c r="N796" s="78"/>
      <c r="O796" s="78"/>
      <c r="P796" s="78"/>
      <c r="Q796" s="78"/>
    </row>
    <row r="797" spans="7:17" x14ac:dyDescent="0.3">
      <c r="G797" s="67"/>
      <c r="H797" s="77"/>
      <c r="I797" s="77"/>
      <c r="J797" s="77"/>
      <c r="K797" s="77"/>
      <c r="L797" s="77"/>
      <c r="M797" s="77"/>
      <c r="N797" s="77"/>
      <c r="O797" s="77"/>
      <c r="P797" s="77"/>
      <c r="Q797" s="77"/>
    </row>
    <row r="798" spans="7:17" x14ac:dyDescent="0.3">
      <c r="G798" s="66"/>
      <c r="H798" s="78"/>
      <c r="I798" s="78"/>
      <c r="J798" s="78"/>
      <c r="K798" s="78"/>
      <c r="L798" s="78"/>
      <c r="M798" s="78"/>
      <c r="N798" s="78"/>
      <c r="O798" s="78"/>
      <c r="P798" s="78"/>
      <c r="Q798" s="78"/>
    </row>
    <row r="799" spans="7:17" x14ac:dyDescent="0.3">
      <c r="G799" s="67"/>
      <c r="H799" s="77"/>
      <c r="I799" s="77"/>
      <c r="J799" s="77"/>
      <c r="K799" s="77"/>
      <c r="L799" s="77"/>
      <c r="M799" s="77"/>
      <c r="N799" s="77"/>
      <c r="O799" s="77"/>
      <c r="P799" s="77"/>
      <c r="Q799" s="77"/>
    </row>
    <row r="800" spans="7:17" x14ac:dyDescent="0.3">
      <c r="G800" s="66"/>
      <c r="H800" s="78"/>
      <c r="I800" s="78"/>
      <c r="J800" s="78"/>
      <c r="K800" s="78"/>
      <c r="L800" s="78"/>
      <c r="M800" s="78"/>
      <c r="N800" s="78"/>
      <c r="O800" s="78"/>
      <c r="P800" s="78"/>
      <c r="Q800" s="78"/>
    </row>
    <row r="801" spans="7:17" x14ac:dyDescent="0.3">
      <c r="G801" s="67"/>
      <c r="H801" s="77"/>
      <c r="I801" s="77"/>
      <c r="J801" s="77"/>
      <c r="K801" s="77"/>
      <c r="L801" s="77"/>
      <c r="M801" s="77"/>
      <c r="N801" s="77"/>
      <c r="O801" s="77"/>
      <c r="P801" s="77"/>
      <c r="Q801" s="77"/>
    </row>
    <row r="802" spans="7:17" x14ac:dyDescent="0.3">
      <c r="G802" s="66"/>
      <c r="H802" s="78"/>
      <c r="I802" s="78"/>
      <c r="J802" s="78"/>
      <c r="K802" s="78"/>
      <c r="L802" s="78"/>
      <c r="M802" s="78"/>
      <c r="N802" s="78"/>
      <c r="O802" s="78"/>
      <c r="P802" s="78"/>
      <c r="Q802" s="78"/>
    </row>
    <row r="803" spans="7:17" x14ac:dyDescent="0.3">
      <c r="G803" s="67"/>
      <c r="H803" s="77"/>
      <c r="I803" s="77"/>
      <c r="J803" s="77"/>
      <c r="K803" s="77"/>
      <c r="L803" s="77"/>
      <c r="M803" s="77"/>
      <c r="N803" s="77"/>
      <c r="O803" s="77"/>
      <c r="P803" s="77"/>
      <c r="Q803" s="77"/>
    </row>
    <row r="804" spans="7:17" x14ac:dyDescent="0.3">
      <c r="G804" s="66"/>
      <c r="H804" s="78"/>
      <c r="I804" s="78"/>
      <c r="J804" s="78"/>
      <c r="K804" s="78"/>
      <c r="L804" s="78"/>
      <c r="M804" s="78"/>
      <c r="N804" s="78"/>
      <c r="O804" s="78"/>
      <c r="P804" s="78"/>
      <c r="Q804" s="78"/>
    </row>
    <row r="805" spans="7:17" x14ac:dyDescent="0.3">
      <c r="G805" s="67"/>
      <c r="H805" s="77"/>
      <c r="I805" s="77"/>
      <c r="J805" s="77"/>
      <c r="K805" s="77"/>
      <c r="L805" s="77"/>
      <c r="M805" s="77"/>
      <c r="N805" s="77"/>
      <c r="O805" s="77"/>
      <c r="P805" s="77"/>
      <c r="Q805" s="77"/>
    </row>
    <row r="806" spans="7:17" x14ac:dyDescent="0.3">
      <c r="G806" s="66"/>
      <c r="H806" s="78"/>
      <c r="I806" s="78"/>
      <c r="J806" s="78"/>
      <c r="K806" s="78"/>
      <c r="L806" s="78"/>
      <c r="M806" s="78"/>
      <c r="N806" s="78"/>
      <c r="O806" s="78"/>
      <c r="P806" s="78"/>
      <c r="Q806" s="78"/>
    </row>
    <row r="807" spans="7:17" x14ac:dyDescent="0.3">
      <c r="G807" s="67"/>
      <c r="H807" s="77"/>
      <c r="I807" s="77"/>
      <c r="J807" s="77"/>
      <c r="K807" s="77"/>
      <c r="L807" s="77"/>
      <c r="M807" s="77"/>
      <c r="N807" s="77"/>
      <c r="O807" s="77"/>
      <c r="P807" s="77"/>
      <c r="Q807" s="77"/>
    </row>
    <row r="808" spans="7:17" x14ac:dyDescent="0.3">
      <c r="G808" s="66"/>
      <c r="H808" s="78"/>
      <c r="I808" s="78"/>
      <c r="J808" s="78"/>
      <c r="K808" s="78"/>
      <c r="L808" s="78"/>
      <c r="M808" s="78"/>
      <c r="N808" s="78"/>
      <c r="O808" s="78"/>
      <c r="P808" s="78"/>
      <c r="Q808" s="78"/>
    </row>
    <row r="809" spans="7:17" x14ac:dyDescent="0.3">
      <c r="G809" s="67"/>
      <c r="H809" s="77"/>
      <c r="I809" s="77"/>
      <c r="J809" s="77"/>
      <c r="K809" s="77"/>
      <c r="L809" s="77"/>
      <c r="M809" s="77"/>
      <c r="N809" s="77"/>
      <c r="O809" s="77"/>
      <c r="P809" s="77"/>
      <c r="Q809" s="77"/>
    </row>
    <row r="810" spans="7:17" x14ac:dyDescent="0.3">
      <c r="G810" s="66"/>
      <c r="H810" s="78"/>
      <c r="I810" s="78"/>
      <c r="J810" s="78"/>
      <c r="K810" s="78"/>
      <c r="L810" s="78"/>
      <c r="M810" s="78"/>
      <c r="N810" s="78"/>
      <c r="O810" s="78"/>
      <c r="P810" s="78"/>
      <c r="Q810" s="78"/>
    </row>
    <row r="811" spans="7:17" x14ac:dyDescent="0.3">
      <c r="G811" s="67"/>
      <c r="H811" s="77"/>
      <c r="I811" s="77"/>
      <c r="J811" s="77"/>
      <c r="K811" s="77"/>
      <c r="L811" s="77"/>
      <c r="M811" s="77"/>
      <c r="N811" s="77"/>
      <c r="O811" s="77"/>
      <c r="P811" s="77"/>
      <c r="Q811" s="77"/>
    </row>
    <row r="812" spans="7:17" x14ac:dyDescent="0.3">
      <c r="G812" s="66"/>
      <c r="H812" s="78"/>
      <c r="I812" s="78"/>
      <c r="J812" s="78"/>
      <c r="K812" s="78"/>
      <c r="L812" s="78"/>
      <c r="M812" s="78"/>
      <c r="N812" s="78"/>
      <c r="O812" s="78"/>
      <c r="P812" s="78"/>
      <c r="Q812" s="78"/>
    </row>
    <row r="813" spans="7:17" x14ac:dyDescent="0.3">
      <c r="G813" s="67"/>
      <c r="H813" s="77"/>
      <c r="I813" s="77"/>
      <c r="J813" s="77"/>
      <c r="K813" s="77"/>
      <c r="L813" s="77"/>
      <c r="M813" s="77"/>
      <c r="N813" s="77"/>
      <c r="O813" s="77"/>
      <c r="P813" s="77"/>
      <c r="Q813" s="77"/>
    </row>
    <row r="814" spans="7:17" x14ac:dyDescent="0.3">
      <c r="G814" s="66"/>
      <c r="H814" s="78"/>
      <c r="I814" s="78"/>
      <c r="J814" s="78"/>
      <c r="K814" s="78"/>
      <c r="L814" s="78"/>
      <c r="M814" s="78"/>
      <c r="N814" s="78"/>
      <c r="O814" s="78"/>
      <c r="P814" s="78"/>
      <c r="Q814" s="78"/>
    </row>
    <row r="815" spans="7:17" x14ac:dyDescent="0.3">
      <c r="G815" s="67"/>
      <c r="H815" s="77"/>
      <c r="I815" s="77"/>
      <c r="J815" s="77"/>
      <c r="K815" s="77"/>
      <c r="L815" s="77"/>
      <c r="M815" s="77"/>
      <c r="N815" s="77"/>
      <c r="O815" s="77"/>
      <c r="P815" s="77"/>
      <c r="Q815" s="77"/>
    </row>
    <row r="816" spans="7:17" x14ac:dyDescent="0.3">
      <c r="G816" s="66"/>
      <c r="H816" s="78"/>
      <c r="I816" s="78"/>
      <c r="J816" s="78"/>
      <c r="K816" s="78"/>
      <c r="L816" s="78"/>
      <c r="M816" s="78"/>
      <c r="N816" s="78"/>
      <c r="O816" s="78"/>
      <c r="P816" s="78"/>
      <c r="Q816" s="78"/>
    </row>
    <row r="817" spans="7:17" x14ac:dyDescent="0.3">
      <c r="G817" s="67"/>
      <c r="H817" s="77"/>
      <c r="I817" s="77"/>
      <c r="J817" s="77"/>
      <c r="K817" s="77"/>
      <c r="L817" s="77"/>
      <c r="M817" s="77"/>
      <c r="N817" s="77"/>
      <c r="O817" s="77"/>
      <c r="P817" s="77"/>
      <c r="Q817" s="77"/>
    </row>
    <row r="818" spans="7:17" x14ac:dyDescent="0.3">
      <c r="G818" s="66"/>
      <c r="H818" s="78"/>
      <c r="I818" s="78"/>
      <c r="J818" s="78"/>
      <c r="K818" s="78"/>
      <c r="L818" s="78"/>
      <c r="M818" s="78"/>
      <c r="N818" s="78"/>
      <c r="O818" s="78"/>
      <c r="P818" s="78"/>
      <c r="Q818" s="78"/>
    </row>
    <row r="819" spans="7:17" x14ac:dyDescent="0.3">
      <c r="G819" s="67"/>
      <c r="H819" s="77"/>
      <c r="I819" s="77"/>
      <c r="J819" s="77"/>
      <c r="K819" s="77"/>
      <c r="L819" s="77"/>
      <c r="M819" s="77"/>
      <c r="N819" s="77"/>
      <c r="O819" s="77"/>
      <c r="P819" s="77"/>
      <c r="Q819" s="77"/>
    </row>
    <row r="820" spans="7:17" x14ac:dyDescent="0.3">
      <c r="G820" s="66"/>
      <c r="H820" s="78"/>
      <c r="I820" s="78"/>
      <c r="J820" s="78"/>
      <c r="K820" s="78"/>
      <c r="L820" s="78"/>
      <c r="M820" s="78"/>
      <c r="N820" s="78"/>
      <c r="O820" s="78"/>
      <c r="P820" s="78"/>
      <c r="Q820" s="78"/>
    </row>
    <row r="821" spans="7:17" x14ac:dyDescent="0.3">
      <c r="G821" s="67"/>
      <c r="H821" s="77"/>
      <c r="I821" s="77"/>
      <c r="J821" s="77"/>
      <c r="K821" s="77"/>
      <c r="L821" s="77"/>
      <c r="M821" s="77"/>
      <c r="N821" s="77"/>
      <c r="O821" s="77"/>
      <c r="P821" s="77"/>
      <c r="Q821" s="77"/>
    </row>
    <row r="822" spans="7:17" x14ac:dyDescent="0.3">
      <c r="G822" s="66"/>
      <c r="H822" s="78"/>
      <c r="I822" s="78"/>
      <c r="J822" s="78"/>
      <c r="K822" s="78"/>
      <c r="L822" s="78"/>
      <c r="M822" s="78"/>
      <c r="N822" s="78"/>
      <c r="O822" s="78"/>
      <c r="P822" s="78"/>
      <c r="Q822" s="78"/>
    </row>
    <row r="823" spans="7:17" x14ac:dyDescent="0.3">
      <c r="G823" s="67"/>
      <c r="H823" s="77"/>
      <c r="I823" s="77"/>
      <c r="J823" s="77"/>
      <c r="K823" s="77"/>
      <c r="L823" s="77"/>
      <c r="M823" s="77"/>
      <c r="N823" s="77"/>
      <c r="O823" s="77"/>
      <c r="P823" s="77"/>
      <c r="Q823" s="77"/>
    </row>
    <row r="824" spans="7:17" x14ac:dyDescent="0.3">
      <c r="G824" s="66"/>
      <c r="H824" s="78"/>
      <c r="I824" s="78"/>
      <c r="J824" s="78"/>
      <c r="K824" s="78"/>
      <c r="L824" s="78"/>
      <c r="M824" s="78"/>
      <c r="N824" s="78"/>
      <c r="O824" s="78"/>
      <c r="P824" s="78"/>
      <c r="Q824" s="78"/>
    </row>
    <row r="825" spans="7:17" x14ac:dyDescent="0.3">
      <c r="G825" s="67"/>
      <c r="H825" s="77"/>
      <c r="I825" s="77"/>
      <c r="J825" s="77"/>
      <c r="K825" s="77"/>
      <c r="L825" s="77"/>
      <c r="M825" s="77"/>
      <c r="N825" s="77"/>
      <c r="O825" s="77"/>
      <c r="P825" s="77"/>
      <c r="Q825" s="77"/>
    </row>
    <row r="826" spans="7:17" x14ac:dyDescent="0.3">
      <c r="G826" s="66"/>
      <c r="H826" s="78"/>
      <c r="I826" s="78"/>
      <c r="J826" s="78"/>
      <c r="K826" s="78"/>
      <c r="L826" s="78"/>
      <c r="M826" s="78"/>
      <c r="N826" s="78"/>
      <c r="O826" s="78"/>
      <c r="P826" s="78"/>
      <c r="Q826" s="78"/>
    </row>
    <row r="827" spans="7:17" x14ac:dyDescent="0.3">
      <c r="G827" s="67"/>
      <c r="H827" s="77"/>
      <c r="I827" s="77"/>
      <c r="J827" s="77"/>
      <c r="K827" s="77"/>
      <c r="L827" s="77"/>
      <c r="M827" s="77"/>
      <c r="N827" s="77"/>
      <c r="O827" s="77"/>
      <c r="P827" s="77"/>
      <c r="Q827" s="77"/>
    </row>
    <row r="828" spans="7:17" x14ac:dyDescent="0.3">
      <c r="G828" s="66"/>
      <c r="H828" s="78"/>
      <c r="I828" s="78"/>
      <c r="J828" s="78"/>
      <c r="K828" s="78"/>
      <c r="L828" s="78"/>
      <c r="M828" s="78"/>
      <c r="N828" s="78"/>
      <c r="O828" s="78"/>
      <c r="P828" s="78"/>
      <c r="Q828" s="78"/>
    </row>
    <row r="829" spans="7:17" x14ac:dyDescent="0.3">
      <c r="G829" s="67"/>
      <c r="H829" s="77"/>
      <c r="I829" s="77"/>
      <c r="J829" s="77"/>
      <c r="K829" s="77"/>
      <c r="L829" s="77"/>
      <c r="M829" s="77"/>
      <c r="N829" s="77"/>
      <c r="O829" s="77"/>
      <c r="P829" s="77"/>
      <c r="Q829" s="77"/>
    </row>
    <row r="830" spans="7:17" x14ac:dyDescent="0.3">
      <c r="G830" s="66"/>
      <c r="H830" s="78"/>
      <c r="I830" s="78"/>
      <c r="J830" s="78"/>
      <c r="K830" s="78"/>
      <c r="L830" s="78"/>
      <c r="M830" s="78"/>
      <c r="N830" s="78"/>
      <c r="O830" s="78"/>
      <c r="P830" s="78"/>
      <c r="Q830" s="78"/>
    </row>
    <row r="831" spans="7:17" x14ac:dyDescent="0.3">
      <c r="G831" s="67"/>
      <c r="H831" s="77"/>
      <c r="I831" s="77"/>
      <c r="J831" s="77"/>
      <c r="K831" s="77"/>
      <c r="L831" s="77"/>
      <c r="M831" s="77"/>
      <c r="N831" s="77"/>
      <c r="O831" s="77"/>
      <c r="P831" s="77"/>
      <c r="Q831" s="77"/>
    </row>
    <row r="832" spans="7:17" x14ac:dyDescent="0.3">
      <c r="G832" s="66"/>
      <c r="H832" s="78"/>
      <c r="I832" s="78"/>
      <c r="J832" s="78"/>
      <c r="K832" s="78"/>
      <c r="L832" s="78"/>
      <c r="M832" s="78"/>
      <c r="N832" s="78"/>
      <c r="O832" s="78"/>
      <c r="P832" s="78"/>
      <c r="Q832" s="78"/>
    </row>
    <row r="833" spans="7:17" x14ac:dyDescent="0.3">
      <c r="G833" s="67"/>
      <c r="H833" s="77"/>
      <c r="I833" s="77"/>
      <c r="J833" s="77"/>
      <c r="K833" s="77"/>
      <c r="L833" s="77"/>
      <c r="M833" s="77"/>
      <c r="N833" s="77"/>
      <c r="O833" s="77"/>
      <c r="P833" s="77"/>
      <c r="Q833" s="77"/>
    </row>
    <row r="834" spans="7:17" x14ac:dyDescent="0.3">
      <c r="G834" s="66"/>
      <c r="H834" s="78"/>
      <c r="I834" s="78"/>
      <c r="J834" s="78"/>
      <c r="K834" s="78"/>
      <c r="L834" s="78"/>
      <c r="M834" s="78"/>
      <c r="N834" s="78"/>
      <c r="O834" s="78"/>
      <c r="P834" s="78"/>
      <c r="Q834" s="78"/>
    </row>
    <row r="835" spans="7:17" x14ac:dyDescent="0.3">
      <c r="G835" s="67"/>
      <c r="H835" s="77"/>
      <c r="I835" s="77"/>
      <c r="J835" s="77"/>
      <c r="K835" s="77"/>
      <c r="L835" s="77"/>
      <c r="M835" s="77"/>
      <c r="N835" s="77"/>
      <c r="O835" s="77"/>
      <c r="P835" s="77"/>
      <c r="Q835" s="77"/>
    </row>
    <row r="836" spans="7:17" x14ac:dyDescent="0.3">
      <c r="G836" s="66"/>
      <c r="H836" s="78"/>
      <c r="I836" s="78"/>
      <c r="J836" s="78"/>
      <c r="K836" s="78"/>
      <c r="L836" s="78"/>
      <c r="M836" s="78"/>
      <c r="N836" s="78"/>
      <c r="O836" s="78"/>
      <c r="P836" s="78"/>
      <c r="Q836" s="78"/>
    </row>
    <row r="837" spans="7:17" x14ac:dyDescent="0.3">
      <c r="G837" s="67"/>
      <c r="H837" s="77"/>
      <c r="I837" s="77"/>
      <c r="J837" s="77"/>
      <c r="K837" s="77"/>
      <c r="L837" s="77"/>
      <c r="M837" s="77"/>
      <c r="N837" s="77"/>
      <c r="O837" s="77"/>
      <c r="P837" s="77"/>
      <c r="Q837" s="77"/>
    </row>
    <row r="838" spans="7:17" x14ac:dyDescent="0.3">
      <c r="G838" s="66"/>
      <c r="H838" s="78"/>
      <c r="I838" s="78"/>
      <c r="J838" s="78"/>
      <c r="K838" s="78"/>
      <c r="L838" s="78"/>
      <c r="M838" s="78"/>
      <c r="N838" s="78"/>
      <c r="O838" s="78"/>
      <c r="P838" s="78"/>
      <c r="Q838" s="78"/>
    </row>
    <row r="839" spans="7:17" x14ac:dyDescent="0.3">
      <c r="G839" s="67"/>
      <c r="H839" s="77"/>
      <c r="I839" s="77"/>
      <c r="J839" s="77"/>
      <c r="K839" s="77"/>
      <c r="L839" s="77"/>
      <c r="M839" s="77"/>
      <c r="N839" s="77"/>
      <c r="O839" s="77"/>
      <c r="P839" s="77"/>
      <c r="Q839" s="77"/>
    </row>
    <row r="840" spans="7:17" x14ac:dyDescent="0.3">
      <c r="G840" s="66"/>
      <c r="H840" s="78"/>
      <c r="I840" s="78"/>
      <c r="J840" s="78"/>
      <c r="K840" s="78"/>
      <c r="L840" s="78"/>
      <c r="M840" s="78"/>
      <c r="N840" s="78"/>
      <c r="O840" s="78"/>
      <c r="P840" s="78"/>
      <c r="Q840" s="78"/>
    </row>
    <row r="841" spans="7:17" x14ac:dyDescent="0.3">
      <c r="G841" s="67"/>
      <c r="H841" s="77"/>
      <c r="I841" s="77"/>
      <c r="J841" s="77"/>
      <c r="K841" s="77"/>
      <c r="L841" s="77"/>
      <c r="M841" s="77"/>
      <c r="N841" s="77"/>
      <c r="O841" s="77"/>
      <c r="P841" s="77"/>
      <c r="Q841" s="77"/>
    </row>
    <row r="842" spans="7:17" x14ac:dyDescent="0.3">
      <c r="G842" s="66"/>
      <c r="H842" s="78"/>
      <c r="I842" s="78"/>
      <c r="J842" s="78"/>
      <c r="K842" s="78"/>
      <c r="L842" s="78"/>
      <c r="M842" s="78"/>
      <c r="N842" s="78"/>
      <c r="O842" s="78"/>
      <c r="P842" s="78"/>
      <c r="Q842" s="78"/>
    </row>
    <row r="843" spans="7:17" x14ac:dyDescent="0.3">
      <c r="G843" s="67"/>
      <c r="H843" s="77"/>
      <c r="I843" s="77"/>
      <c r="J843" s="77"/>
      <c r="K843" s="77"/>
      <c r="L843" s="77"/>
      <c r="M843" s="77"/>
      <c r="N843" s="77"/>
      <c r="O843" s="77"/>
      <c r="P843" s="77"/>
      <c r="Q843" s="77"/>
    </row>
    <row r="844" spans="7:17" x14ac:dyDescent="0.3">
      <c r="G844" s="66"/>
      <c r="H844" s="78"/>
      <c r="I844" s="78"/>
      <c r="J844" s="78"/>
      <c r="K844" s="78"/>
      <c r="L844" s="78"/>
      <c r="M844" s="78"/>
      <c r="N844" s="78"/>
      <c r="O844" s="78"/>
      <c r="P844" s="78"/>
      <c r="Q844" s="78"/>
    </row>
    <row r="845" spans="7:17" x14ac:dyDescent="0.3">
      <c r="G845" s="67"/>
      <c r="H845" s="77"/>
      <c r="I845" s="77"/>
      <c r="J845" s="77"/>
      <c r="K845" s="77"/>
      <c r="L845" s="77"/>
      <c r="M845" s="77"/>
      <c r="N845" s="77"/>
      <c r="O845" s="77"/>
      <c r="P845" s="77"/>
      <c r="Q845" s="77"/>
    </row>
    <row r="846" spans="7:17" x14ac:dyDescent="0.3">
      <c r="G846" s="66"/>
      <c r="H846" s="78"/>
      <c r="I846" s="78"/>
      <c r="J846" s="78"/>
      <c r="K846" s="78"/>
      <c r="L846" s="78"/>
      <c r="M846" s="78"/>
      <c r="N846" s="78"/>
      <c r="O846" s="78"/>
      <c r="P846" s="78"/>
      <c r="Q846" s="78"/>
    </row>
    <row r="847" spans="7:17" x14ac:dyDescent="0.3">
      <c r="G847" s="67"/>
      <c r="H847" s="77"/>
      <c r="I847" s="77"/>
      <c r="J847" s="77"/>
      <c r="K847" s="77"/>
      <c r="L847" s="77"/>
      <c r="M847" s="77"/>
      <c r="N847" s="77"/>
      <c r="O847" s="77"/>
      <c r="P847" s="77"/>
      <c r="Q847" s="77"/>
    </row>
    <row r="848" spans="7:17" x14ac:dyDescent="0.3">
      <c r="G848" s="66"/>
      <c r="H848" s="78"/>
      <c r="I848" s="78"/>
      <c r="J848" s="78"/>
      <c r="K848" s="78"/>
      <c r="L848" s="78"/>
      <c r="M848" s="78"/>
      <c r="N848" s="78"/>
      <c r="O848" s="78"/>
      <c r="P848" s="78"/>
      <c r="Q848" s="78"/>
    </row>
    <row r="849" spans="7:17" x14ac:dyDescent="0.3">
      <c r="G849" s="67"/>
      <c r="H849" s="77"/>
      <c r="I849" s="77"/>
      <c r="J849" s="77"/>
      <c r="K849" s="77"/>
      <c r="L849" s="77"/>
      <c r="M849" s="77"/>
      <c r="N849" s="77"/>
      <c r="O849" s="77"/>
      <c r="P849" s="77"/>
      <c r="Q849" s="77"/>
    </row>
    <row r="850" spans="7:17" x14ac:dyDescent="0.3">
      <c r="G850" s="66"/>
      <c r="H850" s="78"/>
      <c r="I850" s="78"/>
      <c r="J850" s="78"/>
      <c r="K850" s="78"/>
      <c r="L850" s="78"/>
      <c r="M850" s="78"/>
      <c r="N850" s="78"/>
      <c r="O850" s="78"/>
      <c r="P850" s="78"/>
      <c r="Q850" s="78"/>
    </row>
    <row r="851" spans="7:17" x14ac:dyDescent="0.3">
      <c r="G851" s="67"/>
      <c r="H851" s="77"/>
      <c r="I851" s="77"/>
      <c r="J851" s="77"/>
      <c r="K851" s="77"/>
      <c r="L851" s="77"/>
      <c r="M851" s="77"/>
      <c r="N851" s="77"/>
      <c r="O851" s="77"/>
      <c r="P851" s="77"/>
      <c r="Q851" s="77"/>
    </row>
    <row r="852" spans="7:17" x14ac:dyDescent="0.3">
      <c r="G852" s="66"/>
      <c r="H852" s="78"/>
      <c r="I852" s="78"/>
      <c r="J852" s="78"/>
      <c r="K852" s="78"/>
      <c r="L852" s="78"/>
      <c r="M852" s="78"/>
      <c r="N852" s="78"/>
      <c r="O852" s="78"/>
      <c r="P852" s="78"/>
      <c r="Q852" s="78"/>
    </row>
    <row r="853" spans="7:17" x14ac:dyDescent="0.3">
      <c r="G853" s="67"/>
      <c r="H853" s="77"/>
      <c r="I853" s="77"/>
      <c r="J853" s="77"/>
      <c r="K853" s="77"/>
      <c r="L853" s="77"/>
      <c r="M853" s="77"/>
      <c r="N853" s="77"/>
      <c r="O853" s="77"/>
      <c r="P853" s="77"/>
      <c r="Q853" s="77"/>
    </row>
    <row r="854" spans="7:17" x14ac:dyDescent="0.3">
      <c r="G854" s="66"/>
      <c r="H854" s="78"/>
      <c r="I854" s="78"/>
      <c r="J854" s="78"/>
      <c r="K854" s="78"/>
      <c r="L854" s="78"/>
      <c r="M854" s="78"/>
      <c r="N854" s="78"/>
      <c r="O854" s="78"/>
      <c r="P854" s="78"/>
      <c r="Q854" s="78"/>
    </row>
    <row r="855" spans="7:17" x14ac:dyDescent="0.3">
      <c r="G855" s="67"/>
      <c r="H855" s="77"/>
      <c r="I855" s="77"/>
      <c r="J855" s="77"/>
      <c r="K855" s="77"/>
      <c r="L855" s="77"/>
      <c r="M855" s="77"/>
      <c r="N855" s="77"/>
      <c r="O855" s="77"/>
      <c r="P855" s="77"/>
      <c r="Q855" s="77"/>
    </row>
    <row r="856" spans="7:17" x14ac:dyDescent="0.3">
      <c r="G856" s="66"/>
      <c r="H856" s="78"/>
      <c r="I856" s="78"/>
      <c r="J856" s="78"/>
      <c r="K856" s="78"/>
      <c r="L856" s="78"/>
      <c r="M856" s="78"/>
      <c r="N856" s="78"/>
      <c r="O856" s="78"/>
      <c r="P856" s="78"/>
      <c r="Q856" s="78"/>
    </row>
    <row r="857" spans="7:17" x14ac:dyDescent="0.3">
      <c r="G857" s="67"/>
      <c r="H857" s="77"/>
      <c r="I857" s="77"/>
      <c r="J857" s="77"/>
      <c r="K857" s="77"/>
      <c r="L857" s="77"/>
      <c r="M857" s="77"/>
      <c r="N857" s="77"/>
      <c r="O857" s="77"/>
      <c r="P857" s="77"/>
      <c r="Q857" s="77"/>
    </row>
    <row r="858" spans="7:17" x14ac:dyDescent="0.3">
      <c r="G858" s="66"/>
      <c r="H858" s="78"/>
      <c r="I858" s="78"/>
      <c r="J858" s="78"/>
      <c r="K858" s="78"/>
      <c r="L858" s="78"/>
      <c r="M858" s="78"/>
      <c r="N858" s="78"/>
      <c r="O858" s="78"/>
      <c r="P858" s="78"/>
      <c r="Q858" s="78"/>
    </row>
    <row r="859" spans="7:17" x14ac:dyDescent="0.3">
      <c r="G859" s="67"/>
      <c r="H859" s="77"/>
      <c r="I859" s="77"/>
      <c r="J859" s="77"/>
      <c r="K859" s="77"/>
      <c r="L859" s="77"/>
      <c r="M859" s="77"/>
      <c r="N859" s="77"/>
      <c r="O859" s="77"/>
      <c r="P859" s="77"/>
      <c r="Q859" s="77"/>
    </row>
    <row r="860" spans="7:17" x14ac:dyDescent="0.3">
      <c r="G860" s="66"/>
      <c r="H860" s="78"/>
      <c r="I860" s="78"/>
      <c r="J860" s="78"/>
      <c r="K860" s="78"/>
      <c r="L860" s="78"/>
      <c r="M860" s="78"/>
      <c r="N860" s="78"/>
      <c r="O860" s="78"/>
      <c r="P860" s="78"/>
      <c r="Q860" s="78"/>
    </row>
    <row r="861" spans="7:17" x14ac:dyDescent="0.3">
      <c r="G861" s="67"/>
      <c r="H861" s="77"/>
      <c r="I861" s="77"/>
      <c r="J861" s="77"/>
      <c r="K861" s="77"/>
      <c r="L861" s="77"/>
      <c r="M861" s="77"/>
      <c r="N861" s="77"/>
      <c r="O861" s="77"/>
      <c r="P861" s="77"/>
      <c r="Q861" s="77"/>
    </row>
    <row r="862" spans="7:17" x14ac:dyDescent="0.3">
      <c r="G862" s="66"/>
      <c r="H862" s="78"/>
      <c r="I862" s="78"/>
      <c r="J862" s="78"/>
      <c r="K862" s="78"/>
      <c r="L862" s="78"/>
      <c r="M862" s="78"/>
      <c r="N862" s="78"/>
      <c r="O862" s="78"/>
      <c r="P862" s="78"/>
      <c r="Q862" s="78"/>
    </row>
    <row r="863" spans="7:17" x14ac:dyDescent="0.3">
      <c r="G863" s="67"/>
      <c r="H863" s="77"/>
      <c r="I863" s="77"/>
      <c r="J863" s="77"/>
      <c r="K863" s="77"/>
      <c r="L863" s="77"/>
      <c r="M863" s="77"/>
      <c r="N863" s="77"/>
      <c r="O863" s="77"/>
      <c r="P863" s="77"/>
      <c r="Q863" s="77"/>
    </row>
    <row r="864" spans="7:17" x14ac:dyDescent="0.3">
      <c r="G864" s="66"/>
      <c r="H864" s="78"/>
      <c r="I864" s="78"/>
      <c r="J864" s="78"/>
      <c r="K864" s="78"/>
      <c r="L864" s="78"/>
      <c r="M864" s="78"/>
      <c r="N864" s="78"/>
      <c r="O864" s="78"/>
      <c r="P864" s="78"/>
      <c r="Q864" s="78"/>
    </row>
    <row r="865" spans="7:17" x14ac:dyDescent="0.3">
      <c r="G865" s="67"/>
      <c r="H865" s="77"/>
      <c r="I865" s="77"/>
      <c r="J865" s="77"/>
      <c r="K865" s="77"/>
      <c r="L865" s="77"/>
      <c r="M865" s="77"/>
      <c r="N865" s="77"/>
      <c r="O865" s="77"/>
      <c r="P865" s="77"/>
      <c r="Q865" s="77"/>
    </row>
    <row r="866" spans="7:17" x14ac:dyDescent="0.3">
      <c r="G866" s="66"/>
      <c r="H866" s="78"/>
      <c r="I866" s="78"/>
      <c r="J866" s="78"/>
      <c r="K866" s="78"/>
      <c r="L866" s="78"/>
      <c r="M866" s="78"/>
      <c r="N866" s="78"/>
      <c r="O866" s="78"/>
      <c r="P866" s="78"/>
      <c r="Q866" s="78"/>
    </row>
    <row r="867" spans="7:17" x14ac:dyDescent="0.3">
      <c r="G867" s="67"/>
      <c r="H867" s="77"/>
      <c r="I867" s="77"/>
      <c r="J867" s="77"/>
      <c r="K867" s="77"/>
      <c r="L867" s="77"/>
      <c r="M867" s="77"/>
      <c r="N867" s="77"/>
      <c r="O867" s="77"/>
      <c r="P867" s="77"/>
      <c r="Q867" s="77"/>
    </row>
    <row r="868" spans="7:17" x14ac:dyDescent="0.3">
      <c r="G868" s="66"/>
      <c r="H868" s="78"/>
      <c r="I868" s="78"/>
      <c r="J868" s="78"/>
      <c r="K868" s="78"/>
      <c r="L868" s="78"/>
      <c r="M868" s="78"/>
      <c r="N868" s="78"/>
      <c r="O868" s="78"/>
      <c r="P868" s="78"/>
      <c r="Q868" s="78"/>
    </row>
    <row r="869" spans="7:17" x14ac:dyDescent="0.3">
      <c r="G869" s="67"/>
      <c r="H869" s="77"/>
      <c r="I869" s="77"/>
      <c r="J869" s="77"/>
      <c r="K869" s="77"/>
      <c r="L869" s="77"/>
      <c r="M869" s="77"/>
      <c r="N869" s="77"/>
      <c r="O869" s="77"/>
      <c r="P869" s="77"/>
      <c r="Q869" s="77"/>
    </row>
    <row r="870" spans="7:17" x14ac:dyDescent="0.3">
      <c r="G870" s="66"/>
      <c r="H870" s="78"/>
      <c r="I870" s="78"/>
      <c r="J870" s="78"/>
      <c r="K870" s="78"/>
      <c r="L870" s="78"/>
      <c r="M870" s="78"/>
      <c r="N870" s="78"/>
      <c r="O870" s="78"/>
      <c r="P870" s="78"/>
      <c r="Q870" s="78"/>
    </row>
    <row r="871" spans="7:17" x14ac:dyDescent="0.3">
      <c r="G871" s="67"/>
      <c r="H871" s="77"/>
      <c r="I871" s="77"/>
      <c r="J871" s="77"/>
      <c r="K871" s="77"/>
      <c r="L871" s="77"/>
      <c r="M871" s="77"/>
      <c r="N871" s="77"/>
      <c r="O871" s="77"/>
      <c r="P871" s="77"/>
      <c r="Q871" s="77"/>
    </row>
    <row r="872" spans="7:17" x14ac:dyDescent="0.3">
      <c r="G872" s="66"/>
      <c r="H872" s="78"/>
      <c r="I872" s="78"/>
      <c r="J872" s="78"/>
      <c r="K872" s="78"/>
      <c r="L872" s="78"/>
      <c r="M872" s="78"/>
      <c r="N872" s="78"/>
      <c r="O872" s="78"/>
      <c r="P872" s="78"/>
      <c r="Q872" s="78"/>
    </row>
    <row r="873" spans="7:17" x14ac:dyDescent="0.3">
      <c r="G873" s="67"/>
      <c r="H873" s="77"/>
      <c r="I873" s="77"/>
      <c r="J873" s="77"/>
      <c r="K873" s="77"/>
      <c r="L873" s="77"/>
      <c r="M873" s="77"/>
      <c r="N873" s="77"/>
      <c r="O873" s="77"/>
      <c r="P873" s="77"/>
      <c r="Q873" s="77"/>
    </row>
    <row r="874" spans="7:17" x14ac:dyDescent="0.3">
      <c r="G874" s="66"/>
      <c r="H874" s="78"/>
      <c r="I874" s="78"/>
      <c r="J874" s="78"/>
      <c r="K874" s="78"/>
      <c r="L874" s="78"/>
      <c r="M874" s="78"/>
      <c r="N874" s="78"/>
      <c r="O874" s="78"/>
      <c r="P874" s="78"/>
      <c r="Q874" s="78"/>
    </row>
    <row r="875" spans="7:17" x14ac:dyDescent="0.3">
      <c r="G875" s="67"/>
      <c r="H875" s="77"/>
      <c r="I875" s="77"/>
      <c r="J875" s="77"/>
      <c r="K875" s="77"/>
      <c r="L875" s="77"/>
      <c r="M875" s="77"/>
      <c r="N875" s="77"/>
      <c r="O875" s="77"/>
      <c r="P875" s="77"/>
      <c r="Q875" s="77"/>
    </row>
    <row r="876" spans="7:17" x14ac:dyDescent="0.3">
      <c r="G876" s="66"/>
      <c r="H876" s="78"/>
      <c r="I876" s="78"/>
      <c r="J876" s="78"/>
      <c r="K876" s="78"/>
      <c r="L876" s="78"/>
      <c r="M876" s="78"/>
      <c r="N876" s="78"/>
      <c r="O876" s="78"/>
      <c r="P876" s="78"/>
      <c r="Q876" s="78"/>
    </row>
    <row r="877" spans="7:17" x14ac:dyDescent="0.3">
      <c r="G877" s="67"/>
      <c r="H877" s="77"/>
      <c r="I877" s="77"/>
      <c r="J877" s="77"/>
      <c r="K877" s="77"/>
      <c r="L877" s="77"/>
      <c r="M877" s="77"/>
      <c r="N877" s="77"/>
      <c r="O877" s="77"/>
      <c r="P877" s="77"/>
      <c r="Q877" s="77"/>
    </row>
    <row r="878" spans="7:17" x14ac:dyDescent="0.3">
      <c r="G878" s="66"/>
      <c r="H878" s="78"/>
      <c r="I878" s="78"/>
      <c r="J878" s="78"/>
      <c r="K878" s="78"/>
      <c r="L878" s="78"/>
      <c r="M878" s="78"/>
      <c r="N878" s="78"/>
      <c r="O878" s="78"/>
      <c r="P878" s="78"/>
      <c r="Q878" s="78"/>
    </row>
    <row r="879" spans="7:17" x14ac:dyDescent="0.3">
      <c r="G879" s="67"/>
      <c r="H879" s="77"/>
      <c r="I879" s="77"/>
      <c r="J879" s="77"/>
      <c r="K879" s="77"/>
      <c r="L879" s="77"/>
      <c r="M879" s="77"/>
      <c r="N879" s="77"/>
      <c r="O879" s="77"/>
      <c r="P879" s="77"/>
      <c r="Q879" s="77"/>
    </row>
    <row r="880" spans="7:17" x14ac:dyDescent="0.3">
      <c r="G880" s="66"/>
      <c r="H880" s="78"/>
      <c r="I880" s="78"/>
      <c r="J880" s="78"/>
      <c r="K880" s="78"/>
      <c r="L880" s="78"/>
      <c r="M880" s="78"/>
      <c r="N880" s="78"/>
      <c r="O880" s="78"/>
      <c r="P880" s="78"/>
      <c r="Q880" s="78"/>
    </row>
    <row r="881" spans="7:17" x14ac:dyDescent="0.3">
      <c r="G881" s="67"/>
      <c r="H881" s="77"/>
      <c r="I881" s="77"/>
      <c r="J881" s="77"/>
      <c r="K881" s="77"/>
      <c r="L881" s="77"/>
      <c r="M881" s="77"/>
      <c r="N881" s="77"/>
      <c r="O881" s="77"/>
      <c r="P881" s="77"/>
      <c r="Q881" s="77"/>
    </row>
    <row r="882" spans="7:17" x14ac:dyDescent="0.3">
      <c r="G882" s="66"/>
      <c r="H882" s="78"/>
      <c r="I882" s="78"/>
      <c r="J882" s="78"/>
      <c r="K882" s="78"/>
      <c r="L882" s="78"/>
      <c r="M882" s="78"/>
      <c r="N882" s="78"/>
      <c r="O882" s="78"/>
      <c r="P882" s="78"/>
      <c r="Q882" s="78"/>
    </row>
    <row r="883" spans="7:17" x14ac:dyDescent="0.3">
      <c r="G883" s="67"/>
      <c r="H883" s="77"/>
      <c r="I883" s="77"/>
      <c r="J883" s="77"/>
      <c r="K883" s="77"/>
      <c r="L883" s="77"/>
      <c r="M883" s="77"/>
      <c r="N883" s="77"/>
      <c r="O883" s="77"/>
      <c r="P883" s="77"/>
      <c r="Q883" s="77"/>
    </row>
    <row r="884" spans="7:17" x14ac:dyDescent="0.3">
      <c r="G884" s="66"/>
      <c r="H884" s="78"/>
      <c r="I884" s="78"/>
      <c r="J884" s="78"/>
      <c r="K884" s="78"/>
      <c r="L884" s="78"/>
      <c r="M884" s="78"/>
      <c r="N884" s="78"/>
      <c r="O884" s="78"/>
      <c r="P884" s="78"/>
      <c r="Q884" s="78"/>
    </row>
    <row r="885" spans="7:17" x14ac:dyDescent="0.3">
      <c r="G885" s="67"/>
      <c r="H885" s="77"/>
      <c r="I885" s="77"/>
      <c r="J885" s="77"/>
      <c r="K885" s="77"/>
      <c r="L885" s="77"/>
      <c r="M885" s="77"/>
      <c r="N885" s="77"/>
      <c r="O885" s="77"/>
      <c r="P885" s="77"/>
      <c r="Q885" s="77"/>
    </row>
    <row r="886" spans="7:17" x14ac:dyDescent="0.3">
      <c r="G886" s="66"/>
      <c r="H886" s="78"/>
      <c r="I886" s="78"/>
      <c r="J886" s="78"/>
      <c r="K886" s="78"/>
      <c r="L886" s="78"/>
      <c r="M886" s="78"/>
      <c r="N886" s="78"/>
      <c r="O886" s="78"/>
      <c r="P886" s="78"/>
      <c r="Q886" s="78"/>
    </row>
    <row r="887" spans="7:17" x14ac:dyDescent="0.3">
      <c r="G887" s="67"/>
      <c r="H887" s="77"/>
      <c r="I887" s="77"/>
      <c r="J887" s="77"/>
      <c r="K887" s="77"/>
      <c r="L887" s="77"/>
      <c r="M887" s="77"/>
      <c r="N887" s="77"/>
      <c r="O887" s="77"/>
      <c r="P887" s="77"/>
      <c r="Q887" s="77"/>
    </row>
    <row r="888" spans="7:17" x14ac:dyDescent="0.3">
      <c r="G888" s="66"/>
      <c r="H888" s="78"/>
      <c r="I888" s="78"/>
      <c r="J888" s="78"/>
      <c r="K888" s="78"/>
      <c r="L888" s="78"/>
      <c r="M888" s="78"/>
      <c r="N888" s="78"/>
      <c r="O888" s="78"/>
      <c r="P888" s="78"/>
      <c r="Q888" s="78"/>
    </row>
    <row r="889" spans="7:17" x14ac:dyDescent="0.3">
      <c r="G889" s="67"/>
      <c r="H889" s="77"/>
      <c r="I889" s="77"/>
      <c r="J889" s="77"/>
      <c r="K889" s="77"/>
      <c r="L889" s="77"/>
      <c r="M889" s="77"/>
      <c r="N889" s="77"/>
      <c r="O889" s="77"/>
      <c r="P889" s="77"/>
      <c r="Q889" s="77"/>
    </row>
    <row r="890" spans="7:17" x14ac:dyDescent="0.3">
      <c r="G890" s="66"/>
      <c r="H890" s="78"/>
      <c r="I890" s="78"/>
      <c r="J890" s="78"/>
      <c r="K890" s="78"/>
      <c r="L890" s="78"/>
      <c r="M890" s="78"/>
      <c r="N890" s="78"/>
      <c r="O890" s="78"/>
      <c r="P890" s="78"/>
      <c r="Q890" s="78"/>
    </row>
    <row r="891" spans="7:17" x14ac:dyDescent="0.3">
      <c r="G891" s="67"/>
      <c r="H891" s="77"/>
      <c r="I891" s="77"/>
      <c r="J891" s="77"/>
      <c r="K891" s="77"/>
      <c r="L891" s="77"/>
      <c r="M891" s="77"/>
      <c r="N891" s="77"/>
      <c r="O891" s="77"/>
      <c r="P891" s="77"/>
      <c r="Q891" s="77"/>
    </row>
    <row r="892" spans="7:17" x14ac:dyDescent="0.3">
      <c r="G892" s="66"/>
      <c r="H892" s="78"/>
      <c r="I892" s="78"/>
      <c r="J892" s="78"/>
      <c r="K892" s="78"/>
      <c r="L892" s="78"/>
      <c r="M892" s="78"/>
      <c r="N892" s="78"/>
      <c r="O892" s="78"/>
      <c r="P892" s="78"/>
      <c r="Q892" s="78"/>
    </row>
    <row r="893" spans="7:17" x14ac:dyDescent="0.3">
      <c r="G893" s="67"/>
      <c r="H893" s="77"/>
      <c r="I893" s="77"/>
      <c r="J893" s="77"/>
      <c r="K893" s="77"/>
      <c r="L893" s="77"/>
      <c r="M893" s="77"/>
      <c r="N893" s="77"/>
      <c r="O893" s="77"/>
      <c r="P893" s="77"/>
      <c r="Q893" s="77"/>
    </row>
    <row r="894" spans="7:17" x14ac:dyDescent="0.3">
      <c r="G894" s="66"/>
      <c r="H894" s="78"/>
      <c r="I894" s="78"/>
      <c r="J894" s="78"/>
      <c r="K894" s="78"/>
      <c r="L894" s="78"/>
      <c r="M894" s="78"/>
      <c r="N894" s="78"/>
      <c r="O894" s="78"/>
      <c r="P894" s="78"/>
      <c r="Q894" s="78"/>
    </row>
    <row r="895" spans="7:17" x14ac:dyDescent="0.3">
      <c r="G895" s="67"/>
      <c r="H895" s="77"/>
      <c r="I895" s="77"/>
      <c r="J895" s="77"/>
      <c r="K895" s="77"/>
      <c r="L895" s="77"/>
      <c r="M895" s="77"/>
      <c r="N895" s="77"/>
      <c r="O895" s="77"/>
      <c r="P895" s="77"/>
      <c r="Q895" s="77"/>
    </row>
    <row r="896" spans="7:17" x14ac:dyDescent="0.3">
      <c r="G896" s="66"/>
      <c r="H896" s="78"/>
      <c r="I896" s="78"/>
      <c r="J896" s="78"/>
      <c r="K896" s="78"/>
      <c r="L896" s="78"/>
      <c r="M896" s="78"/>
      <c r="N896" s="78"/>
      <c r="O896" s="78"/>
      <c r="P896" s="78"/>
      <c r="Q896" s="78"/>
    </row>
    <row r="897" spans="7:17" x14ac:dyDescent="0.3">
      <c r="G897" s="67"/>
      <c r="H897" s="77"/>
      <c r="I897" s="77"/>
      <c r="J897" s="77"/>
      <c r="K897" s="77"/>
      <c r="L897" s="77"/>
      <c r="M897" s="77"/>
      <c r="N897" s="77"/>
      <c r="O897" s="77"/>
      <c r="P897" s="77"/>
      <c r="Q897" s="77"/>
    </row>
    <row r="898" spans="7:17" x14ac:dyDescent="0.3">
      <c r="G898" s="66"/>
      <c r="H898" s="78"/>
      <c r="I898" s="78"/>
      <c r="J898" s="78"/>
      <c r="K898" s="78"/>
      <c r="L898" s="78"/>
      <c r="M898" s="78"/>
      <c r="N898" s="78"/>
      <c r="O898" s="78"/>
      <c r="P898" s="78"/>
      <c r="Q898" s="78"/>
    </row>
    <row r="899" spans="7:17" x14ac:dyDescent="0.3">
      <c r="G899" s="67"/>
      <c r="H899" s="77"/>
      <c r="I899" s="77"/>
      <c r="J899" s="77"/>
      <c r="K899" s="77"/>
      <c r="L899" s="77"/>
      <c r="M899" s="77"/>
      <c r="N899" s="77"/>
      <c r="O899" s="77"/>
      <c r="P899" s="77"/>
      <c r="Q899" s="77"/>
    </row>
    <row r="900" spans="7:17" x14ac:dyDescent="0.3">
      <c r="G900" s="66"/>
      <c r="H900" s="78"/>
      <c r="I900" s="78"/>
      <c r="J900" s="78"/>
      <c r="K900" s="78"/>
      <c r="L900" s="78"/>
      <c r="M900" s="78"/>
      <c r="N900" s="78"/>
      <c r="O900" s="78"/>
      <c r="P900" s="78"/>
      <c r="Q900" s="78"/>
    </row>
    <row r="901" spans="7:17" x14ac:dyDescent="0.3">
      <c r="G901" s="67"/>
      <c r="H901" s="77"/>
      <c r="I901" s="77"/>
      <c r="J901" s="77"/>
      <c r="K901" s="77"/>
      <c r="L901" s="77"/>
      <c r="M901" s="77"/>
      <c r="N901" s="77"/>
      <c r="O901" s="77"/>
      <c r="P901" s="77"/>
      <c r="Q901" s="77"/>
    </row>
    <row r="902" spans="7:17" x14ac:dyDescent="0.3">
      <c r="G902" s="66"/>
      <c r="H902" s="78"/>
      <c r="I902" s="78"/>
      <c r="J902" s="78"/>
      <c r="K902" s="78"/>
      <c r="L902" s="78"/>
      <c r="M902" s="78"/>
      <c r="N902" s="78"/>
      <c r="O902" s="78"/>
      <c r="P902" s="78"/>
      <c r="Q902" s="78"/>
    </row>
    <row r="903" spans="7:17" x14ac:dyDescent="0.3">
      <c r="G903" s="67"/>
      <c r="H903" s="77"/>
      <c r="I903" s="77"/>
      <c r="J903" s="77"/>
      <c r="K903" s="77"/>
      <c r="L903" s="77"/>
      <c r="M903" s="77"/>
      <c r="N903" s="77"/>
      <c r="O903" s="77"/>
      <c r="P903" s="77"/>
      <c r="Q903" s="77"/>
    </row>
    <row r="904" spans="7:17" x14ac:dyDescent="0.3">
      <c r="G904" s="66"/>
      <c r="H904" s="78"/>
      <c r="I904" s="78"/>
      <c r="J904" s="78"/>
      <c r="K904" s="78"/>
      <c r="L904" s="78"/>
      <c r="M904" s="78"/>
      <c r="N904" s="78"/>
      <c r="O904" s="78"/>
      <c r="P904" s="78"/>
      <c r="Q904" s="78"/>
    </row>
    <row r="905" spans="7:17" x14ac:dyDescent="0.3">
      <c r="G905" s="67"/>
      <c r="H905" s="77"/>
      <c r="I905" s="77"/>
      <c r="J905" s="77"/>
      <c r="K905" s="77"/>
      <c r="L905" s="77"/>
      <c r="M905" s="77"/>
      <c r="N905" s="77"/>
      <c r="O905" s="77"/>
      <c r="P905" s="77"/>
      <c r="Q905" s="77"/>
    </row>
    <row r="906" spans="7:17" x14ac:dyDescent="0.3">
      <c r="G906" s="66"/>
      <c r="H906" s="78"/>
      <c r="I906" s="78"/>
      <c r="J906" s="78"/>
      <c r="K906" s="78"/>
      <c r="L906" s="78"/>
      <c r="M906" s="78"/>
      <c r="N906" s="78"/>
      <c r="O906" s="78"/>
      <c r="P906" s="78"/>
      <c r="Q906" s="78"/>
    </row>
    <row r="907" spans="7:17" x14ac:dyDescent="0.3">
      <c r="G907" s="67"/>
      <c r="H907" s="77"/>
      <c r="I907" s="77"/>
      <c r="J907" s="77"/>
      <c r="K907" s="77"/>
      <c r="L907" s="77"/>
      <c r="M907" s="77"/>
      <c r="N907" s="77"/>
      <c r="O907" s="77"/>
      <c r="P907" s="77"/>
      <c r="Q907" s="77"/>
    </row>
    <row r="908" spans="7:17" x14ac:dyDescent="0.3">
      <c r="G908" s="66"/>
      <c r="H908" s="78"/>
      <c r="I908" s="78"/>
      <c r="J908" s="78"/>
      <c r="K908" s="78"/>
      <c r="L908" s="78"/>
      <c r="M908" s="78"/>
      <c r="N908" s="78"/>
      <c r="O908" s="78"/>
      <c r="P908" s="78"/>
      <c r="Q908" s="78"/>
    </row>
    <row r="909" spans="7:17" x14ac:dyDescent="0.3">
      <c r="G909" s="67"/>
      <c r="H909" s="77"/>
      <c r="I909" s="77"/>
      <c r="J909" s="77"/>
      <c r="K909" s="77"/>
      <c r="L909" s="77"/>
      <c r="M909" s="77"/>
      <c r="N909" s="77"/>
      <c r="O909" s="77"/>
      <c r="P909" s="77"/>
      <c r="Q909" s="77"/>
    </row>
    <row r="910" spans="7:17" x14ac:dyDescent="0.3">
      <c r="G910" s="66"/>
      <c r="H910" s="78"/>
      <c r="I910" s="78"/>
      <c r="J910" s="78"/>
      <c r="K910" s="78"/>
      <c r="L910" s="78"/>
      <c r="M910" s="78"/>
      <c r="N910" s="78"/>
      <c r="O910" s="78"/>
      <c r="P910" s="78"/>
      <c r="Q910" s="78"/>
    </row>
    <row r="911" spans="7:17" x14ac:dyDescent="0.3">
      <c r="G911" s="67"/>
      <c r="H911" s="77"/>
      <c r="I911" s="77"/>
      <c r="J911" s="77"/>
      <c r="K911" s="77"/>
      <c r="L911" s="77"/>
      <c r="M911" s="77"/>
      <c r="N911" s="77"/>
      <c r="O911" s="77"/>
      <c r="P911" s="77"/>
      <c r="Q911" s="77"/>
    </row>
    <row r="912" spans="7:17" x14ac:dyDescent="0.3">
      <c r="G912" s="66"/>
      <c r="H912" s="78"/>
      <c r="I912" s="78"/>
      <c r="J912" s="78"/>
      <c r="K912" s="78"/>
      <c r="L912" s="78"/>
      <c r="M912" s="78"/>
      <c r="N912" s="78"/>
      <c r="O912" s="78"/>
      <c r="P912" s="78"/>
      <c r="Q912" s="78"/>
    </row>
    <row r="913" spans="7:17" x14ac:dyDescent="0.3">
      <c r="G913" s="67"/>
      <c r="H913" s="77"/>
      <c r="I913" s="77"/>
      <c r="J913" s="77"/>
      <c r="K913" s="77"/>
      <c r="L913" s="77"/>
      <c r="M913" s="77"/>
      <c r="N913" s="77"/>
      <c r="O913" s="77"/>
      <c r="P913" s="77"/>
      <c r="Q913" s="77"/>
    </row>
    <row r="914" spans="7:17" x14ac:dyDescent="0.3">
      <c r="G914" s="66"/>
      <c r="H914" s="78"/>
      <c r="I914" s="78"/>
      <c r="J914" s="78"/>
      <c r="K914" s="78"/>
      <c r="L914" s="78"/>
      <c r="M914" s="78"/>
      <c r="N914" s="78"/>
      <c r="O914" s="78"/>
      <c r="P914" s="78"/>
      <c r="Q914" s="78"/>
    </row>
    <row r="915" spans="7:17" x14ac:dyDescent="0.3">
      <c r="G915" s="67"/>
      <c r="H915" s="77"/>
      <c r="I915" s="77"/>
      <c r="J915" s="77"/>
      <c r="K915" s="77"/>
      <c r="L915" s="77"/>
      <c r="M915" s="77"/>
      <c r="N915" s="77"/>
      <c r="O915" s="77"/>
      <c r="P915" s="77"/>
      <c r="Q915" s="77"/>
    </row>
    <row r="916" spans="7:17" x14ac:dyDescent="0.3">
      <c r="G916" s="66"/>
      <c r="H916" s="78"/>
      <c r="I916" s="78"/>
      <c r="J916" s="78"/>
      <c r="K916" s="78"/>
      <c r="L916" s="78"/>
      <c r="M916" s="78"/>
      <c r="N916" s="78"/>
      <c r="O916" s="78"/>
      <c r="P916" s="78"/>
      <c r="Q916" s="78"/>
    </row>
    <row r="917" spans="7:17" x14ac:dyDescent="0.3">
      <c r="G917" s="67"/>
      <c r="H917" s="77"/>
      <c r="I917" s="77"/>
      <c r="J917" s="77"/>
      <c r="K917" s="77"/>
      <c r="L917" s="77"/>
      <c r="M917" s="77"/>
      <c r="N917" s="77"/>
      <c r="O917" s="77"/>
      <c r="P917" s="77"/>
      <c r="Q917" s="77"/>
    </row>
    <row r="918" spans="7:17" x14ac:dyDescent="0.3">
      <c r="G918" s="66"/>
      <c r="H918" s="78"/>
      <c r="I918" s="78"/>
      <c r="J918" s="78"/>
      <c r="K918" s="78"/>
      <c r="L918" s="78"/>
      <c r="M918" s="78"/>
      <c r="N918" s="78"/>
      <c r="O918" s="78"/>
      <c r="P918" s="78"/>
      <c r="Q918" s="78"/>
    </row>
    <row r="919" spans="7:17" x14ac:dyDescent="0.3">
      <c r="G919" s="67"/>
      <c r="H919" s="77"/>
      <c r="I919" s="77"/>
      <c r="J919" s="77"/>
      <c r="K919" s="77"/>
      <c r="L919" s="77"/>
      <c r="M919" s="77"/>
      <c r="N919" s="77"/>
      <c r="O919" s="77"/>
      <c r="P919" s="77"/>
      <c r="Q919" s="77"/>
    </row>
    <row r="920" spans="7:17" x14ac:dyDescent="0.3">
      <c r="G920" s="66"/>
      <c r="H920" s="78"/>
      <c r="I920" s="78"/>
      <c r="J920" s="78"/>
      <c r="K920" s="78"/>
      <c r="L920" s="78"/>
      <c r="M920" s="78"/>
      <c r="N920" s="78"/>
      <c r="O920" s="78"/>
      <c r="P920" s="78"/>
      <c r="Q920" s="78"/>
    </row>
    <row r="921" spans="7:17" x14ac:dyDescent="0.3">
      <c r="G921" s="67"/>
      <c r="H921" s="77"/>
      <c r="I921" s="77"/>
      <c r="J921" s="77"/>
      <c r="K921" s="77"/>
      <c r="L921" s="77"/>
      <c r="M921" s="77"/>
      <c r="N921" s="77"/>
      <c r="O921" s="77"/>
      <c r="P921" s="77"/>
      <c r="Q921" s="77"/>
    </row>
    <row r="922" spans="7:17" x14ac:dyDescent="0.3">
      <c r="G922" s="66"/>
      <c r="H922" s="78"/>
      <c r="I922" s="78"/>
      <c r="J922" s="78"/>
      <c r="K922" s="78"/>
      <c r="L922" s="78"/>
      <c r="M922" s="78"/>
      <c r="N922" s="78"/>
      <c r="O922" s="78"/>
      <c r="P922" s="78"/>
      <c r="Q922" s="78"/>
    </row>
    <row r="923" spans="7:17" x14ac:dyDescent="0.3">
      <c r="G923" s="67"/>
      <c r="H923" s="77"/>
      <c r="I923" s="77"/>
      <c r="J923" s="77"/>
      <c r="K923" s="77"/>
      <c r="L923" s="77"/>
      <c r="M923" s="77"/>
      <c r="N923" s="77"/>
      <c r="O923" s="77"/>
      <c r="P923" s="77"/>
      <c r="Q923" s="77"/>
    </row>
    <row r="924" spans="7:17" x14ac:dyDescent="0.3">
      <c r="G924" s="66"/>
      <c r="H924" s="78"/>
      <c r="I924" s="78"/>
      <c r="J924" s="78"/>
      <c r="K924" s="78"/>
      <c r="L924" s="78"/>
      <c r="M924" s="78"/>
      <c r="N924" s="78"/>
      <c r="O924" s="78"/>
      <c r="P924" s="78"/>
      <c r="Q924" s="78"/>
    </row>
    <row r="925" spans="7:17" x14ac:dyDescent="0.3">
      <c r="G925" s="67"/>
      <c r="H925" s="77"/>
      <c r="I925" s="77"/>
      <c r="J925" s="77"/>
      <c r="K925" s="77"/>
      <c r="L925" s="77"/>
      <c r="M925" s="77"/>
      <c r="N925" s="77"/>
      <c r="O925" s="77"/>
      <c r="P925" s="77"/>
      <c r="Q925" s="77"/>
    </row>
    <row r="926" spans="7:17" x14ac:dyDescent="0.3">
      <c r="G926" s="66"/>
      <c r="H926" s="78"/>
      <c r="I926" s="78"/>
      <c r="J926" s="78"/>
      <c r="K926" s="78"/>
      <c r="L926" s="78"/>
      <c r="M926" s="78"/>
      <c r="N926" s="78"/>
      <c r="O926" s="78"/>
      <c r="P926" s="78"/>
      <c r="Q926" s="78"/>
    </row>
    <row r="927" spans="7:17" x14ac:dyDescent="0.3">
      <c r="G927" s="67"/>
      <c r="H927" s="77"/>
      <c r="I927" s="77"/>
      <c r="J927" s="77"/>
      <c r="K927" s="77"/>
      <c r="L927" s="77"/>
      <c r="M927" s="77"/>
      <c r="N927" s="77"/>
      <c r="O927" s="77"/>
      <c r="P927" s="77"/>
      <c r="Q927" s="77"/>
    </row>
    <row r="928" spans="7:17" x14ac:dyDescent="0.3">
      <c r="G928" s="66"/>
      <c r="H928" s="78"/>
      <c r="I928" s="78"/>
      <c r="J928" s="78"/>
      <c r="K928" s="78"/>
      <c r="L928" s="78"/>
      <c r="M928" s="78"/>
      <c r="N928" s="78"/>
      <c r="O928" s="78"/>
      <c r="P928" s="78"/>
      <c r="Q928" s="78"/>
    </row>
    <row r="929" spans="7:17" x14ac:dyDescent="0.3">
      <c r="G929" s="67"/>
      <c r="H929" s="77"/>
      <c r="I929" s="77"/>
      <c r="J929" s="77"/>
      <c r="K929" s="77"/>
      <c r="L929" s="77"/>
      <c r="M929" s="77"/>
      <c r="N929" s="77"/>
      <c r="O929" s="77"/>
      <c r="P929" s="77"/>
      <c r="Q929" s="77"/>
    </row>
    <row r="930" spans="7:17" x14ac:dyDescent="0.3">
      <c r="G930" s="66"/>
      <c r="H930" s="78"/>
      <c r="I930" s="78"/>
      <c r="J930" s="78"/>
      <c r="K930" s="78"/>
      <c r="L930" s="78"/>
      <c r="M930" s="78"/>
      <c r="N930" s="78"/>
      <c r="O930" s="78"/>
      <c r="P930" s="78"/>
      <c r="Q930" s="78"/>
    </row>
    <row r="931" spans="7:17" x14ac:dyDescent="0.3">
      <c r="G931" s="67"/>
      <c r="H931" s="77"/>
      <c r="I931" s="77"/>
      <c r="J931" s="77"/>
      <c r="K931" s="77"/>
      <c r="L931" s="77"/>
      <c r="M931" s="77"/>
      <c r="N931" s="77"/>
      <c r="O931" s="77"/>
      <c r="P931" s="77"/>
      <c r="Q931" s="77"/>
    </row>
    <row r="932" spans="7:17" x14ac:dyDescent="0.3">
      <c r="G932" s="66"/>
      <c r="H932" s="78"/>
      <c r="I932" s="78"/>
      <c r="J932" s="78"/>
      <c r="K932" s="78"/>
      <c r="L932" s="78"/>
      <c r="M932" s="78"/>
      <c r="N932" s="78"/>
      <c r="O932" s="78"/>
      <c r="P932" s="78"/>
      <c r="Q932" s="78"/>
    </row>
    <row r="933" spans="7:17" x14ac:dyDescent="0.3">
      <c r="G933" s="67"/>
      <c r="H933" s="77"/>
      <c r="I933" s="77"/>
      <c r="J933" s="77"/>
      <c r="K933" s="77"/>
      <c r="L933" s="77"/>
      <c r="M933" s="77"/>
      <c r="N933" s="77"/>
      <c r="O933" s="77"/>
      <c r="P933" s="77"/>
      <c r="Q933" s="77"/>
    </row>
    <row r="934" spans="7:17" x14ac:dyDescent="0.3">
      <c r="G934" s="66"/>
      <c r="H934" s="78"/>
      <c r="I934" s="78"/>
      <c r="J934" s="78"/>
      <c r="K934" s="78"/>
      <c r="L934" s="78"/>
      <c r="M934" s="78"/>
      <c r="N934" s="78"/>
      <c r="O934" s="78"/>
      <c r="P934" s="78"/>
      <c r="Q934" s="78"/>
    </row>
    <row r="935" spans="7:17" x14ac:dyDescent="0.3">
      <c r="G935" s="67"/>
      <c r="H935" s="77"/>
      <c r="I935" s="77"/>
      <c r="J935" s="77"/>
      <c r="K935" s="77"/>
      <c r="L935" s="77"/>
      <c r="M935" s="77"/>
      <c r="N935" s="77"/>
      <c r="O935" s="77"/>
      <c r="P935" s="77"/>
      <c r="Q935" s="77"/>
    </row>
    <row r="936" spans="7:17" x14ac:dyDescent="0.3">
      <c r="G936" s="66"/>
      <c r="H936" s="78"/>
      <c r="I936" s="78"/>
      <c r="J936" s="78"/>
      <c r="K936" s="78"/>
      <c r="L936" s="78"/>
      <c r="M936" s="78"/>
      <c r="N936" s="78"/>
      <c r="O936" s="78"/>
      <c r="P936" s="78"/>
      <c r="Q936" s="78"/>
    </row>
    <row r="937" spans="7:17" x14ac:dyDescent="0.3">
      <c r="G937" s="67"/>
      <c r="H937" s="77"/>
      <c r="I937" s="77"/>
      <c r="J937" s="77"/>
      <c r="K937" s="77"/>
      <c r="L937" s="77"/>
      <c r="M937" s="77"/>
      <c r="N937" s="77"/>
      <c r="O937" s="77"/>
      <c r="P937" s="77"/>
      <c r="Q937" s="77"/>
    </row>
    <row r="938" spans="7:17" x14ac:dyDescent="0.3">
      <c r="G938" s="66"/>
      <c r="H938" s="78"/>
      <c r="I938" s="78"/>
      <c r="J938" s="78"/>
      <c r="K938" s="78"/>
      <c r="L938" s="78"/>
      <c r="M938" s="78"/>
      <c r="N938" s="78"/>
      <c r="O938" s="78"/>
      <c r="P938" s="78"/>
      <c r="Q938" s="78"/>
    </row>
    <row r="939" spans="7:17" x14ac:dyDescent="0.3">
      <c r="G939" s="67"/>
      <c r="H939" s="77"/>
      <c r="I939" s="77"/>
      <c r="J939" s="77"/>
      <c r="K939" s="77"/>
      <c r="L939" s="77"/>
      <c r="M939" s="77"/>
      <c r="N939" s="77"/>
      <c r="O939" s="77"/>
      <c r="P939" s="77"/>
      <c r="Q939" s="77"/>
    </row>
    <row r="940" spans="7:17" x14ac:dyDescent="0.3">
      <c r="G940" s="66"/>
      <c r="H940" s="78"/>
      <c r="I940" s="78"/>
      <c r="J940" s="78"/>
      <c r="K940" s="78"/>
      <c r="L940" s="78"/>
      <c r="M940" s="78"/>
      <c r="N940" s="78"/>
      <c r="O940" s="78"/>
      <c r="P940" s="78"/>
      <c r="Q940" s="78"/>
    </row>
    <row r="941" spans="7:17" x14ac:dyDescent="0.3">
      <c r="G941" s="67"/>
      <c r="H941" s="77"/>
      <c r="I941" s="77"/>
      <c r="J941" s="77"/>
      <c r="K941" s="77"/>
      <c r="L941" s="77"/>
      <c r="M941" s="77"/>
      <c r="N941" s="77"/>
      <c r="O941" s="77"/>
      <c r="P941" s="77"/>
      <c r="Q941" s="77"/>
    </row>
    <row r="942" spans="7:17" x14ac:dyDescent="0.3">
      <c r="G942" s="66"/>
      <c r="H942" s="78"/>
      <c r="I942" s="78"/>
      <c r="J942" s="78"/>
      <c r="K942" s="78"/>
      <c r="L942" s="78"/>
      <c r="M942" s="78"/>
      <c r="N942" s="78"/>
      <c r="O942" s="78"/>
      <c r="P942" s="78"/>
      <c r="Q942" s="78"/>
    </row>
    <row r="943" spans="7:17" x14ac:dyDescent="0.3">
      <c r="G943" s="67"/>
      <c r="H943" s="77"/>
      <c r="I943" s="77"/>
      <c r="J943" s="77"/>
      <c r="K943" s="77"/>
      <c r="L943" s="77"/>
      <c r="M943" s="77"/>
      <c r="N943" s="77"/>
      <c r="O943" s="77"/>
      <c r="P943" s="77"/>
      <c r="Q943" s="77"/>
    </row>
    <row r="944" spans="7:17" x14ac:dyDescent="0.3">
      <c r="G944" s="66"/>
      <c r="H944" s="78"/>
      <c r="I944" s="78"/>
      <c r="J944" s="78"/>
      <c r="K944" s="78"/>
      <c r="L944" s="78"/>
      <c r="M944" s="78"/>
      <c r="N944" s="78"/>
      <c r="O944" s="78"/>
      <c r="P944" s="78"/>
      <c r="Q944" s="78"/>
    </row>
    <row r="945" spans="7:17" x14ac:dyDescent="0.3">
      <c r="G945" s="67"/>
      <c r="H945" s="77"/>
      <c r="I945" s="77"/>
      <c r="J945" s="77"/>
      <c r="K945" s="77"/>
      <c r="L945" s="77"/>
      <c r="M945" s="77"/>
      <c r="N945" s="77"/>
      <c r="O945" s="77"/>
      <c r="P945" s="77"/>
      <c r="Q945" s="77"/>
    </row>
    <row r="946" spans="7:17" x14ac:dyDescent="0.3">
      <c r="G946" s="66"/>
      <c r="H946" s="78"/>
      <c r="I946" s="78"/>
      <c r="J946" s="78"/>
      <c r="K946" s="78"/>
      <c r="L946" s="78"/>
      <c r="M946" s="78"/>
      <c r="N946" s="78"/>
      <c r="O946" s="78"/>
      <c r="P946" s="78"/>
      <c r="Q946" s="78"/>
    </row>
    <row r="947" spans="7:17" x14ac:dyDescent="0.3">
      <c r="G947" s="67"/>
      <c r="H947" s="77"/>
      <c r="I947" s="77"/>
      <c r="J947" s="77"/>
      <c r="K947" s="77"/>
      <c r="L947" s="77"/>
      <c r="M947" s="77"/>
      <c r="N947" s="77"/>
      <c r="O947" s="77"/>
      <c r="P947" s="77"/>
      <c r="Q947" s="77"/>
    </row>
    <row r="948" spans="7:17" x14ac:dyDescent="0.3">
      <c r="G948" s="66"/>
      <c r="H948" s="78"/>
      <c r="I948" s="78"/>
      <c r="J948" s="78"/>
      <c r="K948" s="78"/>
      <c r="L948" s="78"/>
      <c r="M948" s="78"/>
      <c r="N948" s="78"/>
      <c r="O948" s="78"/>
      <c r="P948" s="78"/>
      <c r="Q948" s="78"/>
    </row>
    <row r="949" spans="7:17" x14ac:dyDescent="0.3">
      <c r="G949" s="67"/>
      <c r="H949" s="77"/>
      <c r="I949" s="77"/>
      <c r="J949" s="77"/>
      <c r="K949" s="77"/>
      <c r="L949" s="77"/>
      <c r="M949" s="77"/>
      <c r="N949" s="77"/>
      <c r="O949" s="77"/>
      <c r="P949" s="77"/>
      <c r="Q949" s="77"/>
    </row>
    <row r="950" spans="7:17" x14ac:dyDescent="0.3">
      <c r="G950" s="66"/>
      <c r="H950" s="78"/>
      <c r="I950" s="78"/>
      <c r="J950" s="78"/>
      <c r="K950" s="78"/>
      <c r="L950" s="78"/>
      <c r="M950" s="78"/>
      <c r="N950" s="78"/>
      <c r="O950" s="78"/>
      <c r="P950" s="78"/>
      <c r="Q950" s="78"/>
    </row>
    <row r="951" spans="7:17" x14ac:dyDescent="0.3">
      <c r="G951" s="67"/>
      <c r="H951" s="77"/>
      <c r="I951" s="77"/>
      <c r="J951" s="77"/>
      <c r="K951" s="77"/>
      <c r="L951" s="77"/>
      <c r="M951" s="77"/>
      <c r="N951" s="77"/>
      <c r="O951" s="77"/>
      <c r="P951" s="77"/>
      <c r="Q951" s="77"/>
    </row>
    <row r="952" spans="7:17" x14ac:dyDescent="0.3">
      <c r="G952" s="66"/>
      <c r="H952" s="78"/>
      <c r="I952" s="78"/>
      <c r="J952" s="78"/>
      <c r="K952" s="78"/>
      <c r="L952" s="78"/>
      <c r="M952" s="78"/>
      <c r="N952" s="78"/>
      <c r="O952" s="78"/>
      <c r="P952" s="78"/>
      <c r="Q952" s="78"/>
    </row>
    <row r="953" spans="7:17" x14ac:dyDescent="0.3">
      <c r="G953" s="67"/>
      <c r="H953" s="77"/>
      <c r="I953" s="77"/>
      <c r="J953" s="77"/>
      <c r="K953" s="77"/>
      <c r="L953" s="77"/>
      <c r="M953" s="77"/>
      <c r="N953" s="77"/>
      <c r="O953" s="77"/>
      <c r="P953" s="77"/>
      <c r="Q953" s="77"/>
    </row>
    <row r="954" spans="7:17" x14ac:dyDescent="0.3">
      <c r="G954" s="66"/>
      <c r="H954" s="78"/>
      <c r="I954" s="78"/>
      <c r="J954" s="78"/>
      <c r="K954" s="78"/>
      <c r="L954" s="78"/>
      <c r="M954" s="78"/>
      <c r="N954" s="78"/>
      <c r="O954" s="78"/>
      <c r="P954" s="78"/>
      <c r="Q954" s="78"/>
    </row>
    <row r="955" spans="7:17" x14ac:dyDescent="0.3">
      <c r="G955" s="67"/>
      <c r="H955" s="77"/>
      <c r="I955" s="77"/>
      <c r="J955" s="77"/>
      <c r="K955" s="77"/>
      <c r="L955" s="77"/>
      <c r="M955" s="77"/>
      <c r="N955" s="77"/>
      <c r="O955" s="77"/>
      <c r="P955" s="77"/>
      <c r="Q955" s="77"/>
    </row>
    <row r="956" spans="7:17" x14ac:dyDescent="0.3">
      <c r="G956" s="66"/>
      <c r="H956" s="78"/>
      <c r="I956" s="78"/>
      <c r="J956" s="78"/>
      <c r="K956" s="78"/>
      <c r="L956" s="78"/>
      <c r="M956" s="78"/>
      <c r="N956" s="78"/>
      <c r="O956" s="78"/>
      <c r="P956" s="78"/>
      <c r="Q956" s="78"/>
    </row>
    <row r="957" spans="7:17" x14ac:dyDescent="0.3">
      <c r="G957" s="67"/>
      <c r="H957" s="77"/>
      <c r="I957" s="77"/>
      <c r="J957" s="77"/>
      <c r="K957" s="77"/>
      <c r="L957" s="77"/>
      <c r="M957" s="77"/>
      <c r="N957" s="77"/>
      <c r="O957" s="77"/>
      <c r="P957" s="77"/>
      <c r="Q957" s="77"/>
    </row>
    <row r="958" spans="7:17" x14ac:dyDescent="0.3">
      <c r="G958" s="66"/>
      <c r="H958" s="78"/>
      <c r="I958" s="78"/>
      <c r="J958" s="78"/>
      <c r="K958" s="78"/>
      <c r="L958" s="78"/>
      <c r="M958" s="78"/>
      <c r="N958" s="78"/>
      <c r="O958" s="78"/>
      <c r="P958" s="78"/>
      <c r="Q958" s="78"/>
    </row>
    <row r="959" spans="7:17" x14ac:dyDescent="0.3">
      <c r="G959" s="67"/>
      <c r="H959" s="77"/>
      <c r="I959" s="77"/>
      <c r="J959" s="77"/>
      <c r="K959" s="77"/>
      <c r="L959" s="77"/>
      <c r="M959" s="77"/>
      <c r="N959" s="77"/>
      <c r="O959" s="77"/>
      <c r="P959" s="77"/>
      <c r="Q959" s="77"/>
    </row>
    <row r="960" spans="7:17" x14ac:dyDescent="0.3">
      <c r="G960" s="66"/>
      <c r="H960" s="78"/>
      <c r="I960" s="78"/>
      <c r="J960" s="78"/>
      <c r="K960" s="78"/>
      <c r="L960" s="78"/>
      <c r="M960" s="78"/>
      <c r="N960" s="78"/>
      <c r="O960" s="78"/>
      <c r="P960" s="78"/>
      <c r="Q960" s="78"/>
    </row>
    <row r="961" spans="7:17" x14ac:dyDescent="0.3">
      <c r="G961" s="67"/>
      <c r="H961" s="77"/>
      <c r="I961" s="77"/>
      <c r="J961" s="77"/>
      <c r="K961" s="77"/>
      <c r="L961" s="77"/>
      <c r="M961" s="77"/>
      <c r="N961" s="77"/>
      <c r="O961" s="77"/>
      <c r="P961" s="77"/>
      <c r="Q961" s="77"/>
    </row>
    <row r="962" spans="7:17" x14ac:dyDescent="0.3">
      <c r="G962" s="66"/>
      <c r="H962" s="78"/>
      <c r="I962" s="78"/>
      <c r="J962" s="78"/>
      <c r="K962" s="78"/>
      <c r="L962" s="78"/>
      <c r="M962" s="78"/>
      <c r="N962" s="78"/>
      <c r="O962" s="78"/>
      <c r="P962" s="78"/>
      <c r="Q962" s="78"/>
    </row>
    <row r="963" spans="7:17" x14ac:dyDescent="0.3">
      <c r="G963" s="67"/>
      <c r="H963" s="77"/>
      <c r="I963" s="77"/>
      <c r="J963" s="77"/>
      <c r="K963" s="77"/>
      <c r="L963" s="77"/>
      <c r="M963" s="77"/>
      <c r="N963" s="77"/>
      <c r="O963" s="77"/>
      <c r="P963" s="77"/>
      <c r="Q963" s="77"/>
    </row>
    <row r="964" spans="7:17" x14ac:dyDescent="0.3">
      <c r="G964" s="66"/>
      <c r="H964" s="78"/>
      <c r="I964" s="78"/>
      <c r="J964" s="78"/>
      <c r="K964" s="78"/>
      <c r="L964" s="78"/>
      <c r="M964" s="78"/>
      <c r="N964" s="78"/>
      <c r="O964" s="78"/>
      <c r="P964" s="78"/>
      <c r="Q964" s="78"/>
    </row>
    <row r="965" spans="7:17" x14ac:dyDescent="0.3">
      <c r="G965" s="67"/>
      <c r="H965" s="77"/>
      <c r="I965" s="77"/>
      <c r="J965" s="77"/>
      <c r="K965" s="77"/>
      <c r="L965" s="77"/>
      <c r="M965" s="77"/>
      <c r="N965" s="77"/>
      <c r="O965" s="77"/>
      <c r="P965" s="77"/>
      <c r="Q965" s="77"/>
    </row>
    <row r="966" spans="7:17" x14ac:dyDescent="0.3">
      <c r="G966" s="66"/>
      <c r="H966" s="78"/>
      <c r="I966" s="78"/>
      <c r="J966" s="78"/>
      <c r="K966" s="78"/>
      <c r="L966" s="78"/>
      <c r="M966" s="78"/>
      <c r="N966" s="78"/>
      <c r="O966" s="78"/>
      <c r="P966" s="78"/>
      <c r="Q966" s="78"/>
    </row>
    <row r="967" spans="7:17" x14ac:dyDescent="0.3">
      <c r="G967" s="67"/>
      <c r="H967" s="77"/>
      <c r="I967" s="77"/>
      <c r="J967" s="77"/>
      <c r="K967" s="77"/>
      <c r="L967" s="77"/>
      <c r="M967" s="77"/>
      <c r="N967" s="77"/>
      <c r="O967" s="77"/>
      <c r="P967" s="77"/>
      <c r="Q967" s="77"/>
    </row>
    <row r="968" spans="7:17" x14ac:dyDescent="0.3">
      <c r="G968" s="66"/>
      <c r="H968" s="78"/>
      <c r="I968" s="78"/>
      <c r="J968" s="78"/>
      <c r="K968" s="78"/>
      <c r="L968" s="78"/>
      <c r="M968" s="78"/>
      <c r="N968" s="78"/>
      <c r="O968" s="78"/>
      <c r="P968" s="78"/>
      <c r="Q968" s="78"/>
    </row>
    <row r="969" spans="7:17" x14ac:dyDescent="0.3">
      <c r="G969" s="67"/>
      <c r="H969" s="77"/>
      <c r="I969" s="77"/>
      <c r="J969" s="77"/>
      <c r="K969" s="77"/>
      <c r="L969" s="77"/>
      <c r="M969" s="77"/>
      <c r="N969" s="77"/>
      <c r="O969" s="77"/>
      <c r="P969" s="77"/>
      <c r="Q969" s="77"/>
    </row>
    <row r="970" spans="7:17" x14ac:dyDescent="0.3">
      <c r="G970" s="66"/>
      <c r="H970" s="78"/>
      <c r="I970" s="78"/>
      <c r="J970" s="78"/>
      <c r="K970" s="78"/>
      <c r="L970" s="78"/>
      <c r="M970" s="78"/>
      <c r="N970" s="78"/>
      <c r="O970" s="78"/>
      <c r="P970" s="78"/>
      <c r="Q970" s="78"/>
    </row>
    <row r="971" spans="7:17" x14ac:dyDescent="0.3">
      <c r="G971" s="67"/>
      <c r="H971" s="77"/>
      <c r="I971" s="77"/>
      <c r="J971" s="77"/>
      <c r="K971" s="77"/>
      <c r="L971" s="77"/>
      <c r="M971" s="77"/>
      <c r="N971" s="77"/>
      <c r="O971" s="77"/>
      <c r="P971" s="77"/>
      <c r="Q971" s="77"/>
    </row>
    <row r="972" spans="7:17" x14ac:dyDescent="0.3">
      <c r="G972" s="66"/>
      <c r="H972" s="78"/>
      <c r="I972" s="78"/>
      <c r="J972" s="78"/>
      <c r="K972" s="78"/>
      <c r="L972" s="78"/>
      <c r="M972" s="78"/>
      <c r="N972" s="78"/>
      <c r="O972" s="78"/>
      <c r="P972" s="78"/>
      <c r="Q972" s="78"/>
    </row>
    <row r="973" spans="7:17" x14ac:dyDescent="0.3">
      <c r="G973" s="67"/>
      <c r="H973" s="77"/>
      <c r="I973" s="77"/>
      <c r="J973" s="77"/>
      <c r="K973" s="77"/>
      <c r="L973" s="77"/>
      <c r="M973" s="77"/>
      <c r="N973" s="77"/>
      <c r="O973" s="77"/>
      <c r="P973" s="77"/>
      <c r="Q973" s="77"/>
    </row>
    <row r="974" spans="7:17" x14ac:dyDescent="0.3">
      <c r="G974" s="66"/>
      <c r="H974" s="78"/>
      <c r="I974" s="78"/>
      <c r="J974" s="78"/>
      <c r="K974" s="78"/>
      <c r="L974" s="78"/>
      <c r="M974" s="78"/>
      <c r="N974" s="78"/>
      <c r="O974" s="78"/>
      <c r="P974" s="78"/>
      <c r="Q974" s="78"/>
    </row>
    <row r="975" spans="7:17" x14ac:dyDescent="0.3">
      <c r="G975" s="67"/>
      <c r="H975" s="77"/>
      <c r="I975" s="77"/>
      <c r="J975" s="77"/>
      <c r="K975" s="77"/>
      <c r="L975" s="77"/>
      <c r="M975" s="77"/>
      <c r="N975" s="77"/>
      <c r="O975" s="77"/>
      <c r="P975" s="77"/>
      <c r="Q975" s="77"/>
    </row>
    <row r="976" spans="7:17" x14ac:dyDescent="0.3">
      <c r="G976" s="66"/>
      <c r="H976" s="78"/>
      <c r="I976" s="78"/>
      <c r="J976" s="78"/>
      <c r="K976" s="78"/>
      <c r="L976" s="78"/>
      <c r="M976" s="78"/>
      <c r="N976" s="78"/>
      <c r="O976" s="78"/>
      <c r="P976" s="78"/>
      <c r="Q976" s="78"/>
    </row>
    <row r="977" spans="7:17" x14ac:dyDescent="0.3">
      <c r="G977" s="67"/>
      <c r="H977" s="77"/>
      <c r="I977" s="77"/>
      <c r="J977" s="77"/>
      <c r="K977" s="77"/>
      <c r="L977" s="77"/>
      <c r="M977" s="77"/>
      <c r="N977" s="77"/>
      <c r="O977" s="77"/>
      <c r="P977" s="77"/>
      <c r="Q977" s="77"/>
    </row>
    <row r="978" spans="7:17" x14ac:dyDescent="0.3">
      <c r="G978" s="66"/>
      <c r="H978" s="78"/>
      <c r="I978" s="78"/>
      <c r="J978" s="78"/>
      <c r="K978" s="78"/>
      <c r="L978" s="78"/>
      <c r="M978" s="78"/>
      <c r="N978" s="78"/>
      <c r="O978" s="78"/>
      <c r="P978" s="78"/>
      <c r="Q978" s="78"/>
    </row>
    <row r="979" spans="7:17" x14ac:dyDescent="0.3">
      <c r="G979" s="67"/>
      <c r="H979" s="77"/>
      <c r="I979" s="77"/>
      <c r="J979" s="77"/>
      <c r="K979" s="77"/>
      <c r="L979" s="77"/>
      <c r="M979" s="77"/>
      <c r="N979" s="77"/>
      <c r="O979" s="77"/>
      <c r="P979" s="77"/>
      <c r="Q979" s="77"/>
    </row>
    <row r="980" spans="7:17" x14ac:dyDescent="0.3">
      <c r="G980" s="66"/>
      <c r="H980" s="78"/>
      <c r="I980" s="78"/>
      <c r="J980" s="78"/>
      <c r="K980" s="78"/>
      <c r="L980" s="78"/>
      <c r="M980" s="78"/>
      <c r="N980" s="78"/>
      <c r="O980" s="78"/>
      <c r="P980" s="78"/>
      <c r="Q980" s="78"/>
    </row>
    <row r="981" spans="7:17" x14ac:dyDescent="0.3">
      <c r="G981" s="67"/>
      <c r="H981" s="77"/>
      <c r="I981" s="77"/>
      <c r="J981" s="77"/>
      <c r="K981" s="77"/>
      <c r="L981" s="77"/>
      <c r="M981" s="77"/>
      <c r="N981" s="77"/>
      <c r="O981" s="77"/>
      <c r="P981" s="77"/>
      <c r="Q981" s="77"/>
    </row>
    <row r="982" spans="7:17" x14ac:dyDescent="0.3">
      <c r="G982" s="66"/>
      <c r="H982" s="78"/>
      <c r="I982" s="78"/>
      <c r="J982" s="78"/>
      <c r="K982" s="78"/>
      <c r="L982" s="78"/>
      <c r="M982" s="78"/>
      <c r="N982" s="78"/>
      <c r="O982" s="78"/>
      <c r="P982" s="78"/>
      <c r="Q982" s="78"/>
    </row>
    <row r="983" spans="7:17" x14ac:dyDescent="0.3">
      <c r="G983" s="67"/>
      <c r="H983" s="77"/>
      <c r="I983" s="77"/>
      <c r="J983" s="77"/>
      <c r="K983" s="77"/>
      <c r="L983" s="77"/>
      <c r="M983" s="77"/>
      <c r="N983" s="77"/>
      <c r="O983" s="77"/>
      <c r="P983" s="77"/>
      <c r="Q983" s="77"/>
    </row>
    <row r="984" spans="7:17" x14ac:dyDescent="0.3">
      <c r="G984" s="66"/>
      <c r="H984" s="78"/>
      <c r="I984" s="78"/>
      <c r="J984" s="78"/>
      <c r="K984" s="78"/>
      <c r="L984" s="78"/>
      <c r="M984" s="78"/>
      <c r="N984" s="78"/>
      <c r="O984" s="78"/>
      <c r="P984" s="78"/>
      <c r="Q984" s="78"/>
    </row>
    <row r="985" spans="7:17" x14ac:dyDescent="0.3">
      <c r="G985" s="67"/>
      <c r="H985" s="77"/>
      <c r="I985" s="77"/>
      <c r="J985" s="77"/>
      <c r="K985" s="77"/>
      <c r="L985" s="77"/>
      <c r="M985" s="77"/>
      <c r="N985" s="77"/>
      <c r="O985" s="77"/>
      <c r="P985" s="77"/>
      <c r="Q985" s="77"/>
    </row>
    <row r="986" spans="7:17" x14ac:dyDescent="0.3">
      <c r="G986" s="66"/>
      <c r="H986" s="78"/>
      <c r="I986" s="78"/>
      <c r="J986" s="78"/>
      <c r="K986" s="78"/>
      <c r="L986" s="78"/>
      <c r="M986" s="78"/>
      <c r="N986" s="78"/>
      <c r="O986" s="78"/>
      <c r="P986" s="78"/>
      <c r="Q986" s="78"/>
    </row>
    <row r="987" spans="7:17" x14ac:dyDescent="0.3">
      <c r="G987" s="67"/>
      <c r="H987" s="77"/>
      <c r="I987" s="77"/>
      <c r="J987" s="77"/>
      <c r="K987" s="77"/>
      <c r="L987" s="77"/>
      <c r="M987" s="77"/>
      <c r="N987" s="77"/>
      <c r="O987" s="77"/>
      <c r="P987" s="77"/>
      <c r="Q987" s="77"/>
    </row>
    <row r="988" spans="7:17" x14ac:dyDescent="0.3">
      <c r="G988" s="66"/>
      <c r="H988" s="78"/>
      <c r="I988" s="78"/>
      <c r="J988" s="78"/>
      <c r="K988" s="78"/>
      <c r="L988" s="78"/>
      <c r="M988" s="78"/>
      <c r="N988" s="78"/>
      <c r="O988" s="78"/>
      <c r="P988" s="78"/>
      <c r="Q988" s="78"/>
    </row>
    <row r="989" spans="7:17" x14ac:dyDescent="0.3">
      <c r="G989" s="67"/>
      <c r="H989" s="77"/>
      <c r="I989" s="77"/>
      <c r="J989" s="77"/>
      <c r="K989" s="77"/>
      <c r="L989" s="77"/>
      <c r="M989" s="77"/>
      <c r="N989" s="77"/>
      <c r="O989" s="77"/>
      <c r="P989" s="77"/>
      <c r="Q989" s="77"/>
    </row>
    <row r="990" spans="7:17" x14ac:dyDescent="0.3">
      <c r="G990" s="66"/>
      <c r="H990" s="78"/>
      <c r="I990" s="78"/>
      <c r="J990" s="78"/>
      <c r="K990" s="78"/>
      <c r="L990" s="78"/>
      <c r="M990" s="78"/>
      <c r="N990" s="78"/>
      <c r="O990" s="78"/>
      <c r="P990" s="78"/>
      <c r="Q990" s="78"/>
    </row>
    <row r="991" spans="7:17" x14ac:dyDescent="0.3">
      <c r="G991" s="67"/>
      <c r="H991" s="77"/>
      <c r="I991" s="77"/>
      <c r="J991" s="77"/>
      <c r="K991" s="77"/>
      <c r="L991" s="77"/>
      <c r="M991" s="77"/>
      <c r="N991" s="77"/>
      <c r="O991" s="77"/>
      <c r="P991" s="77"/>
      <c r="Q991" s="77"/>
    </row>
    <row r="992" spans="7:17" x14ac:dyDescent="0.3">
      <c r="G992" s="66"/>
      <c r="H992" s="78"/>
      <c r="I992" s="78"/>
      <c r="J992" s="78"/>
      <c r="K992" s="78"/>
      <c r="L992" s="78"/>
      <c r="M992" s="78"/>
      <c r="N992" s="78"/>
      <c r="O992" s="78"/>
      <c r="P992" s="78"/>
      <c r="Q992" s="78"/>
    </row>
    <row r="993" spans="7:17" x14ac:dyDescent="0.3">
      <c r="G993" s="67"/>
      <c r="H993" s="77"/>
      <c r="I993" s="77"/>
      <c r="J993" s="77"/>
      <c r="K993" s="77"/>
      <c r="L993" s="77"/>
      <c r="M993" s="77"/>
      <c r="N993" s="77"/>
      <c r="O993" s="77"/>
      <c r="P993" s="77"/>
      <c r="Q993" s="77"/>
    </row>
    <row r="994" spans="7:17" x14ac:dyDescent="0.3">
      <c r="G994" s="66"/>
      <c r="H994" s="78"/>
      <c r="I994" s="78"/>
      <c r="J994" s="78"/>
      <c r="K994" s="78"/>
      <c r="L994" s="78"/>
      <c r="M994" s="78"/>
      <c r="N994" s="78"/>
      <c r="O994" s="78"/>
      <c r="P994" s="78"/>
      <c r="Q994" s="78"/>
    </row>
    <row r="995" spans="7:17" x14ac:dyDescent="0.3">
      <c r="G995" s="67"/>
      <c r="H995" s="77"/>
      <c r="I995" s="77"/>
      <c r="J995" s="77"/>
      <c r="K995" s="77"/>
      <c r="L995" s="77"/>
      <c r="M995" s="77"/>
      <c r="N995" s="77"/>
      <c r="O995" s="77"/>
      <c r="P995" s="77"/>
      <c r="Q995" s="77"/>
    </row>
    <row r="996" spans="7:17" x14ac:dyDescent="0.3">
      <c r="G996" s="66"/>
      <c r="H996" s="78"/>
      <c r="I996" s="78"/>
      <c r="J996" s="78"/>
      <c r="K996" s="78"/>
      <c r="L996" s="78"/>
      <c r="M996" s="78"/>
      <c r="N996" s="78"/>
      <c r="O996" s="78"/>
      <c r="P996" s="78"/>
      <c r="Q996" s="78"/>
    </row>
    <row r="997" spans="7:17" x14ac:dyDescent="0.3">
      <c r="G997" s="67"/>
      <c r="H997" s="77"/>
      <c r="I997" s="77"/>
      <c r="J997" s="77"/>
      <c r="K997" s="77"/>
      <c r="L997" s="77"/>
      <c r="M997" s="77"/>
      <c r="N997" s="77"/>
      <c r="O997" s="77"/>
      <c r="P997" s="77"/>
      <c r="Q997" s="77"/>
    </row>
    <row r="998" spans="7:17" x14ac:dyDescent="0.3">
      <c r="G998" s="66"/>
      <c r="H998" s="78"/>
      <c r="I998" s="78"/>
      <c r="J998" s="78"/>
      <c r="K998" s="78"/>
      <c r="L998" s="78"/>
      <c r="M998" s="78"/>
      <c r="N998" s="78"/>
      <c r="O998" s="78"/>
      <c r="P998" s="78"/>
      <c r="Q998" s="78"/>
    </row>
    <row r="999" spans="7:17" x14ac:dyDescent="0.3">
      <c r="G999" s="67"/>
      <c r="H999" s="77"/>
      <c r="I999" s="77"/>
      <c r="J999" s="77"/>
      <c r="K999" s="77"/>
      <c r="L999" s="77"/>
      <c r="M999" s="77"/>
      <c r="N999" s="77"/>
      <c r="O999" s="77"/>
      <c r="P999" s="77"/>
      <c r="Q999" s="77"/>
    </row>
    <row r="1000" spans="7:17" x14ac:dyDescent="0.3">
      <c r="G1000" s="66"/>
      <c r="H1000" s="78"/>
      <c r="I1000" s="78"/>
      <c r="J1000" s="78"/>
      <c r="K1000" s="78"/>
      <c r="L1000" s="78"/>
      <c r="M1000" s="78"/>
      <c r="N1000" s="78"/>
      <c r="O1000" s="78"/>
      <c r="P1000" s="78"/>
      <c r="Q1000" s="78"/>
    </row>
    <row r="1001" spans="7:17" x14ac:dyDescent="0.3">
      <c r="G1001" s="67"/>
      <c r="H1001" s="77"/>
      <c r="I1001" s="77"/>
      <c r="J1001" s="77"/>
      <c r="K1001" s="77"/>
      <c r="L1001" s="77"/>
      <c r="M1001" s="77"/>
      <c r="N1001" s="77"/>
      <c r="O1001" s="77"/>
      <c r="P1001" s="77"/>
      <c r="Q1001" s="77"/>
    </row>
    <row r="1002" spans="7:17" x14ac:dyDescent="0.3">
      <c r="G1002" s="66"/>
      <c r="H1002" s="78"/>
      <c r="I1002" s="78"/>
      <c r="J1002" s="78"/>
      <c r="K1002" s="78"/>
      <c r="L1002" s="78"/>
      <c r="M1002" s="78"/>
      <c r="N1002" s="78"/>
      <c r="O1002" s="78"/>
      <c r="P1002" s="78"/>
      <c r="Q1002" s="78"/>
    </row>
    <row r="1003" spans="7:17" x14ac:dyDescent="0.3">
      <c r="G1003" s="67"/>
      <c r="H1003" s="77"/>
      <c r="I1003" s="77"/>
      <c r="J1003" s="77"/>
      <c r="K1003" s="77"/>
      <c r="L1003" s="77"/>
      <c r="M1003" s="77"/>
      <c r="N1003" s="77"/>
      <c r="O1003" s="77"/>
      <c r="P1003" s="77"/>
      <c r="Q1003" s="77"/>
    </row>
    <row r="1004" spans="7:17" x14ac:dyDescent="0.3">
      <c r="G1004" s="66"/>
      <c r="H1004" s="78"/>
      <c r="I1004" s="78"/>
      <c r="J1004" s="78"/>
      <c r="K1004" s="78"/>
      <c r="L1004" s="78"/>
      <c r="M1004" s="78"/>
      <c r="N1004" s="78"/>
      <c r="O1004" s="78"/>
      <c r="P1004" s="78"/>
      <c r="Q1004" s="78"/>
    </row>
    <row r="1005" spans="7:17" x14ac:dyDescent="0.3">
      <c r="G1005" s="67"/>
      <c r="H1005" s="77"/>
      <c r="I1005" s="77"/>
      <c r="J1005" s="77"/>
      <c r="K1005" s="77"/>
      <c r="L1005" s="77"/>
      <c r="M1005" s="77"/>
      <c r="N1005" s="77"/>
      <c r="O1005" s="77"/>
      <c r="P1005" s="77"/>
      <c r="Q1005" s="77"/>
    </row>
    <row r="1006" spans="7:17" x14ac:dyDescent="0.3">
      <c r="G1006" s="66"/>
      <c r="H1006" s="78"/>
      <c r="I1006" s="78"/>
      <c r="J1006" s="78"/>
      <c r="K1006" s="78"/>
      <c r="L1006" s="78"/>
      <c r="M1006" s="78"/>
      <c r="N1006" s="78"/>
      <c r="O1006" s="78"/>
      <c r="P1006" s="78"/>
      <c r="Q1006" s="78"/>
    </row>
    <row r="1007" spans="7:17" x14ac:dyDescent="0.3">
      <c r="G1007" s="67"/>
      <c r="H1007" s="77"/>
      <c r="I1007" s="77"/>
      <c r="J1007" s="77"/>
      <c r="K1007" s="77"/>
      <c r="L1007" s="77"/>
      <c r="M1007" s="77"/>
      <c r="N1007" s="77"/>
      <c r="O1007" s="77"/>
      <c r="P1007" s="77"/>
      <c r="Q1007" s="77"/>
    </row>
    <row r="1008" spans="7:17" x14ac:dyDescent="0.3">
      <c r="G1008" s="66"/>
      <c r="H1008" s="78"/>
      <c r="I1008" s="78"/>
      <c r="J1008" s="78"/>
      <c r="K1008" s="78"/>
      <c r="L1008" s="78"/>
      <c r="M1008" s="78"/>
      <c r="N1008" s="78"/>
      <c r="O1008" s="78"/>
      <c r="P1008" s="78"/>
      <c r="Q1008" s="78"/>
    </row>
    <row r="1009" spans="7:17" x14ac:dyDescent="0.3">
      <c r="G1009" s="67"/>
      <c r="H1009" s="77"/>
      <c r="I1009" s="77"/>
      <c r="J1009" s="77"/>
      <c r="K1009" s="77"/>
      <c r="L1009" s="77"/>
      <c r="M1009" s="77"/>
      <c r="N1009" s="77"/>
      <c r="O1009" s="77"/>
      <c r="P1009" s="77"/>
      <c r="Q1009" s="77"/>
    </row>
    <row r="1010" spans="7:17" x14ac:dyDescent="0.3">
      <c r="G1010" s="66"/>
      <c r="H1010" s="78"/>
      <c r="I1010" s="78"/>
      <c r="J1010" s="78"/>
      <c r="K1010" s="78"/>
      <c r="L1010" s="78"/>
      <c r="M1010" s="78"/>
      <c r="N1010" s="78"/>
      <c r="O1010" s="78"/>
      <c r="P1010" s="78"/>
      <c r="Q1010" s="78"/>
    </row>
    <row r="1011" spans="7:17" x14ac:dyDescent="0.3">
      <c r="G1011" s="67"/>
      <c r="H1011" s="77"/>
      <c r="I1011" s="77"/>
      <c r="J1011" s="77"/>
      <c r="K1011" s="77"/>
      <c r="L1011" s="77"/>
      <c r="M1011" s="77"/>
      <c r="N1011" s="77"/>
      <c r="O1011" s="77"/>
      <c r="P1011" s="77"/>
      <c r="Q1011" s="77"/>
    </row>
    <row r="1012" spans="7:17" x14ac:dyDescent="0.3">
      <c r="G1012" s="66"/>
      <c r="H1012" s="78"/>
      <c r="I1012" s="78"/>
      <c r="J1012" s="78"/>
      <c r="K1012" s="78"/>
      <c r="L1012" s="78"/>
      <c r="M1012" s="78"/>
      <c r="N1012" s="78"/>
      <c r="O1012" s="78"/>
      <c r="P1012" s="78"/>
      <c r="Q1012" s="78"/>
    </row>
    <row r="1013" spans="7:17" x14ac:dyDescent="0.3">
      <c r="G1013" s="67"/>
      <c r="H1013" s="77"/>
      <c r="I1013" s="77"/>
      <c r="J1013" s="77"/>
      <c r="K1013" s="77"/>
      <c r="L1013" s="77"/>
      <c r="M1013" s="77"/>
      <c r="N1013" s="77"/>
      <c r="O1013" s="77"/>
      <c r="P1013" s="77"/>
      <c r="Q1013" s="77"/>
    </row>
    <row r="1014" spans="7:17" x14ac:dyDescent="0.3">
      <c r="G1014" s="66"/>
      <c r="H1014" s="78"/>
      <c r="I1014" s="78"/>
      <c r="J1014" s="78"/>
      <c r="K1014" s="78"/>
      <c r="L1014" s="78"/>
      <c r="M1014" s="78"/>
      <c r="N1014" s="78"/>
      <c r="O1014" s="78"/>
      <c r="P1014" s="78"/>
      <c r="Q1014" s="78"/>
    </row>
    <row r="1015" spans="7:17" x14ac:dyDescent="0.3">
      <c r="G1015" s="67"/>
      <c r="H1015" s="77"/>
      <c r="I1015" s="77"/>
      <c r="J1015" s="77"/>
      <c r="K1015" s="77"/>
      <c r="L1015" s="77"/>
      <c r="M1015" s="77"/>
      <c r="N1015" s="77"/>
      <c r="O1015" s="77"/>
      <c r="P1015" s="77"/>
      <c r="Q1015" s="77"/>
    </row>
    <row r="1016" spans="7:17" x14ac:dyDescent="0.3">
      <c r="G1016" s="66"/>
      <c r="H1016" s="78"/>
      <c r="I1016" s="78"/>
      <c r="J1016" s="78"/>
      <c r="K1016" s="78"/>
      <c r="L1016" s="78"/>
      <c r="M1016" s="78"/>
      <c r="N1016" s="78"/>
      <c r="O1016" s="78"/>
      <c r="P1016" s="78"/>
      <c r="Q1016" s="78"/>
    </row>
    <row r="1017" spans="7:17" x14ac:dyDescent="0.3">
      <c r="G1017" s="67"/>
      <c r="H1017" s="77"/>
      <c r="I1017" s="77"/>
      <c r="J1017" s="77"/>
      <c r="K1017" s="77"/>
      <c r="L1017" s="77"/>
      <c r="M1017" s="77"/>
      <c r="N1017" s="77"/>
      <c r="O1017" s="77"/>
      <c r="P1017" s="77"/>
      <c r="Q1017" s="77"/>
    </row>
    <row r="1018" spans="7:17" x14ac:dyDescent="0.3">
      <c r="G1018" s="66"/>
      <c r="H1018" s="78"/>
      <c r="I1018" s="78"/>
      <c r="J1018" s="78"/>
      <c r="K1018" s="78"/>
      <c r="L1018" s="78"/>
      <c r="M1018" s="78"/>
      <c r="N1018" s="78"/>
      <c r="O1018" s="78"/>
      <c r="P1018" s="78"/>
      <c r="Q1018" s="78"/>
    </row>
    <row r="1019" spans="7:17" x14ac:dyDescent="0.3">
      <c r="G1019" s="67"/>
      <c r="H1019" s="77"/>
      <c r="I1019" s="77"/>
      <c r="J1019" s="77"/>
      <c r="K1019" s="77"/>
      <c r="L1019" s="77"/>
      <c r="M1019" s="77"/>
      <c r="N1019" s="77"/>
      <c r="O1019" s="77"/>
      <c r="P1019" s="77"/>
      <c r="Q1019" s="77"/>
    </row>
    <row r="1020" spans="7:17" x14ac:dyDescent="0.3">
      <c r="G1020" s="66"/>
      <c r="H1020" s="78"/>
      <c r="I1020" s="78"/>
      <c r="J1020" s="78"/>
      <c r="K1020" s="78"/>
      <c r="L1020" s="78"/>
      <c r="M1020" s="78"/>
      <c r="N1020" s="78"/>
      <c r="O1020" s="78"/>
      <c r="P1020" s="78"/>
      <c r="Q1020" s="78"/>
    </row>
    <row r="1021" spans="7:17" x14ac:dyDescent="0.3">
      <c r="G1021" s="67"/>
      <c r="H1021" s="77"/>
      <c r="I1021" s="77"/>
      <c r="J1021" s="77"/>
      <c r="K1021" s="77"/>
      <c r="L1021" s="77"/>
      <c r="M1021" s="77"/>
      <c r="N1021" s="77"/>
      <c r="O1021" s="77"/>
      <c r="P1021" s="77"/>
      <c r="Q1021" s="77"/>
    </row>
    <row r="1022" spans="7:17" x14ac:dyDescent="0.3">
      <c r="G1022" s="66"/>
      <c r="H1022" s="78"/>
      <c r="I1022" s="78"/>
      <c r="J1022" s="78"/>
      <c r="K1022" s="78"/>
      <c r="L1022" s="78"/>
      <c r="M1022" s="78"/>
      <c r="N1022" s="78"/>
      <c r="O1022" s="78"/>
      <c r="P1022" s="78"/>
      <c r="Q1022" s="78"/>
    </row>
    <row r="1023" spans="7:17" x14ac:dyDescent="0.3">
      <c r="G1023" s="67"/>
      <c r="H1023" s="77"/>
      <c r="I1023" s="77"/>
      <c r="J1023" s="77"/>
      <c r="K1023" s="77"/>
      <c r="L1023" s="77"/>
      <c r="M1023" s="77"/>
      <c r="N1023" s="77"/>
      <c r="O1023" s="77"/>
      <c r="P1023" s="77"/>
      <c r="Q1023" s="77"/>
    </row>
    <row r="1024" spans="7:17" x14ac:dyDescent="0.3">
      <c r="G1024" s="66"/>
      <c r="H1024" s="78"/>
      <c r="I1024" s="78"/>
      <c r="J1024" s="78"/>
      <c r="K1024" s="78"/>
      <c r="L1024" s="78"/>
      <c r="M1024" s="78"/>
      <c r="N1024" s="78"/>
      <c r="O1024" s="78"/>
      <c r="P1024" s="78"/>
      <c r="Q1024" s="78"/>
    </row>
    <row r="1025" spans="7:17" x14ac:dyDescent="0.3">
      <c r="G1025" s="67"/>
      <c r="H1025" s="77"/>
      <c r="I1025" s="77"/>
      <c r="J1025" s="77"/>
      <c r="K1025" s="77"/>
      <c r="L1025" s="77"/>
      <c r="M1025" s="77"/>
      <c r="N1025" s="77"/>
      <c r="O1025" s="77"/>
      <c r="P1025" s="77"/>
      <c r="Q1025" s="77"/>
    </row>
    <row r="1026" spans="7:17" x14ac:dyDescent="0.3">
      <c r="G1026" s="66"/>
      <c r="H1026" s="78"/>
      <c r="I1026" s="78"/>
      <c r="J1026" s="78"/>
      <c r="K1026" s="78"/>
      <c r="L1026" s="78"/>
      <c r="M1026" s="78"/>
      <c r="N1026" s="78"/>
      <c r="O1026" s="78"/>
      <c r="P1026" s="78"/>
      <c r="Q1026" s="78"/>
    </row>
    <row r="1027" spans="7:17" x14ac:dyDescent="0.3">
      <c r="G1027" s="67"/>
      <c r="H1027" s="77"/>
      <c r="I1027" s="77"/>
      <c r="J1027" s="77"/>
      <c r="K1027" s="77"/>
      <c r="L1027" s="77"/>
      <c r="M1027" s="77"/>
      <c r="N1027" s="77"/>
      <c r="O1027" s="77"/>
      <c r="P1027" s="77"/>
      <c r="Q1027" s="77"/>
    </row>
    <row r="1028" spans="7:17" x14ac:dyDescent="0.3">
      <c r="G1028" s="66"/>
      <c r="H1028" s="78"/>
      <c r="I1028" s="78"/>
      <c r="J1028" s="78"/>
      <c r="K1028" s="78"/>
      <c r="L1028" s="78"/>
      <c r="M1028" s="78"/>
      <c r="N1028" s="78"/>
      <c r="O1028" s="78"/>
      <c r="P1028" s="78"/>
      <c r="Q1028" s="78"/>
    </row>
    <row r="1029" spans="7:17" x14ac:dyDescent="0.3">
      <c r="G1029" s="67"/>
      <c r="H1029" s="77"/>
      <c r="I1029" s="77"/>
      <c r="J1029" s="77"/>
      <c r="K1029" s="77"/>
      <c r="L1029" s="77"/>
      <c r="M1029" s="77"/>
      <c r="N1029" s="77"/>
      <c r="O1029" s="77"/>
      <c r="P1029" s="77"/>
      <c r="Q1029" s="77"/>
    </row>
    <row r="1030" spans="7:17" x14ac:dyDescent="0.3">
      <c r="G1030" s="66"/>
      <c r="H1030" s="78"/>
      <c r="I1030" s="78"/>
      <c r="J1030" s="78"/>
      <c r="K1030" s="78"/>
      <c r="L1030" s="78"/>
      <c r="M1030" s="78"/>
      <c r="N1030" s="78"/>
      <c r="O1030" s="78"/>
      <c r="P1030" s="78"/>
      <c r="Q1030" s="78"/>
    </row>
    <row r="1031" spans="7:17" x14ac:dyDescent="0.3">
      <c r="G1031" s="67"/>
      <c r="H1031" s="77"/>
      <c r="I1031" s="77"/>
      <c r="J1031" s="77"/>
      <c r="K1031" s="77"/>
      <c r="L1031" s="77"/>
      <c r="M1031" s="77"/>
      <c r="N1031" s="77"/>
      <c r="O1031" s="77"/>
      <c r="P1031" s="77"/>
      <c r="Q1031" s="77"/>
    </row>
    <row r="1032" spans="7:17" x14ac:dyDescent="0.3">
      <c r="G1032" s="66"/>
      <c r="H1032" s="78"/>
      <c r="I1032" s="78"/>
      <c r="J1032" s="78"/>
      <c r="K1032" s="78"/>
      <c r="L1032" s="78"/>
      <c r="M1032" s="78"/>
      <c r="N1032" s="78"/>
      <c r="O1032" s="78"/>
      <c r="P1032" s="78"/>
      <c r="Q1032" s="78"/>
    </row>
    <row r="1033" spans="7:17" x14ac:dyDescent="0.3">
      <c r="G1033" s="67"/>
      <c r="H1033" s="77"/>
      <c r="I1033" s="77"/>
      <c r="J1033" s="77"/>
      <c r="K1033" s="77"/>
      <c r="L1033" s="77"/>
      <c r="M1033" s="77"/>
      <c r="N1033" s="77"/>
      <c r="O1033" s="77"/>
      <c r="P1033" s="77"/>
      <c r="Q1033" s="77"/>
    </row>
    <row r="1034" spans="7:17" x14ac:dyDescent="0.3">
      <c r="G1034" s="66"/>
      <c r="H1034" s="78"/>
      <c r="I1034" s="78"/>
      <c r="J1034" s="78"/>
      <c r="K1034" s="78"/>
      <c r="L1034" s="78"/>
      <c r="M1034" s="78"/>
      <c r="N1034" s="78"/>
      <c r="O1034" s="78"/>
      <c r="P1034" s="78"/>
      <c r="Q1034" s="78"/>
    </row>
    <row r="1035" spans="7:17" x14ac:dyDescent="0.3">
      <c r="G1035" s="67"/>
      <c r="H1035" s="77"/>
      <c r="I1035" s="77"/>
      <c r="J1035" s="77"/>
      <c r="K1035" s="77"/>
      <c r="L1035" s="77"/>
      <c r="M1035" s="77"/>
      <c r="N1035" s="77"/>
      <c r="O1035" s="77"/>
      <c r="P1035" s="77"/>
      <c r="Q1035" s="77"/>
    </row>
    <row r="1036" spans="7:17" x14ac:dyDescent="0.3">
      <c r="G1036" s="66"/>
      <c r="H1036" s="78"/>
      <c r="I1036" s="78"/>
      <c r="J1036" s="78"/>
      <c r="K1036" s="78"/>
      <c r="L1036" s="78"/>
      <c r="M1036" s="78"/>
      <c r="N1036" s="78"/>
      <c r="O1036" s="78"/>
      <c r="P1036" s="78"/>
      <c r="Q1036" s="78"/>
    </row>
    <row r="1037" spans="7:17" x14ac:dyDescent="0.3">
      <c r="G1037" s="67"/>
      <c r="H1037" s="77"/>
      <c r="I1037" s="77"/>
      <c r="J1037" s="77"/>
      <c r="K1037" s="77"/>
      <c r="L1037" s="77"/>
      <c r="M1037" s="77"/>
      <c r="N1037" s="77"/>
      <c r="O1037" s="77"/>
      <c r="P1037" s="77"/>
      <c r="Q1037" s="77"/>
    </row>
    <row r="1038" spans="7:17" x14ac:dyDescent="0.3">
      <c r="G1038" s="66"/>
      <c r="H1038" s="78"/>
      <c r="I1038" s="78"/>
      <c r="J1038" s="78"/>
      <c r="K1038" s="78"/>
      <c r="L1038" s="78"/>
      <c r="M1038" s="78"/>
      <c r="N1038" s="78"/>
      <c r="O1038" s="78"/>
      <c r="P1038" s="78"/>
      <c r="Q1038" s="78"/>
    </row>
    <row r="1039" spans="7:17" x14ac:dyDescent="0.3">
      <c r="G1039" s="67"/>
      <c r="H1039" s="77"/>
      <c r="I1039" s="77"/>
      <c r="J1039" s="77"/>
      <c r="K1039" s="77"/>
      <c r="L1039" s="77"/>
      <c r="M1039" s="77"/>
      <c r="N1039" s="77"/>
      <c r="O1039" s="77"/>
      <c r="P1039" s="77"/>
      <c r="Q1039" s="77"/>
    </row>
    <row r="1040" spans="7:17" x14ac:dyDescent="0.3">
      <c r="G1040" s="66"/>
      <c r="H1040" s="78"/>
      <c r="I1040" s="78"/>
      <c r="J1040" s="78"/>
      <c r="K1040" s="78"/>
      <c r="L1040" s="78"/>
      <c r="M1040" s="78"/>
      <c r="N1040" s="78"/>
      <c r="O1040" s="78"/>
      <c r="P1040" s="78"/>
      <c r="Q1040" s="78"/>
    </row>
    <row r="1041" spans="7:17" x14ac:dyDescent="0.3">
      <c r="G1041" s="67"/>
      <c r="H1041" s="77"/>
      <c r="I1041" s="77"/>
      <c r="J1041" s="77"/>
      <c r="K1041" s="77"/>
      <c r="L1041" s="77"/>
      <c r="M1041" s="77"/>
      <c r="N1041" s="77"/>
      <c r="O1041" s="77"/>
      <c r="P1041" s="77"/>
      <c r="Q1041" s="77"/>
    </row>
    <row r="1042" spans="7:17" x14ac:dyDescent="0.3">
      <c r="G1042" s="66"/>
      <c r="H1042" s="78"/>
      <c r="I1042" s="78"/>
      <c r="J1042" s="78"/>
      <c r="K1042" s="78"/>
      <c r="L1042" s="78"/>
      <c r="M1042" s="78"/>
      <c r="N1042" s="78"/>
      <c r="O1042" s="78"/>
      <c r="P1042" s="78"/>
      <c r="Q1042" s="78"/>
    </row>
    <row r="1043" spans="7:17" x14ac:dyDescent="0.3">
      <c r="G1043" s="67"/>
      <c r="H1043" s="77"/>
      <c r="I1043" s="77"/>
      <c r="J1043" s="77"/>
      <c r="K1043" s="77"/>
      <c r="L1043" s="77"/>
      <c r="M1043" s="77"/>
      <c r="N1043" s="77"/>
      <c r="O1043" s="77"/>
      <c r="P1043" s="77"/>
      <c r="Q1043" s="77"/>
    </row>
    <row r="1044" spans="7:17" x14ac:dyDescent="0.3">
      <c r="G1044" s="66"/>
      <c r="H1044" s="78"/>
      <c r="I1044" s="78"/>
      <c r="J1044" s="78"/>
      <c r="K1044" s="78"/>
      <c r="L1044" s="78"/>
      <c r="M1044" s="78"/>
      <c r="N1044" s="78"/>
      <c r="O1044" s="78"/>
      <c r="P1044" s="78"/>
      <c r="Q1044" s="78"/>
    </row>
    <row r="1045" spans="7:17" x14ac:dyDescent="0.3">
      <c r="G1045" s="67"/>
      <c r="H1045" s="77"/>
      <c r="I1045" s="77"/>
      <c r="J1045" s="77"/>
      <c r="K1045" s="77"/>
      <c r="L1045" s="77"/>
      <c r="M1045" s="77"/>
      <c r="N1045" s="77"/>
      <c r="O1045" s="77"/>
      <c r="P1045" s="77"/>
      <c r="Q1045" s="77"/>
    </row>
    <row r="1046" spans="7:17" x14ac:dyDescent="0.3">
      <c r="G1046" s="66"/>
      <c r="H1046" s="78"/>
      <c r="I1046" s="78"/>
      <c r="J1046" s="78"/>
      <c r="K1046" s="78"/>
      <c r="L1046" s="78"/>
      <c r="M1046" s="78"/>
      <c r="N1046" s="78"/>
      <c r="O1046" s="78"/>
      <c r="P1046" s="78"/>
      <c r="Q1046" s="78"/>
    </row>
    <row r="1047" spans="7:17" x14ac:dyDescent="0.3">
      <c r="G1047" s="67"/>
      <c r="H1047" s="77"/>
      <c r="I1047" s="77"/>
      <c r="J1047" s="77"/>
      <c r="K1047" s="77"/>
      <c r="L1047" s="77"/>
      <c r="M1047" s="77"/>
      <c r="N1047" s="77"/>
      <c r="O1047" s="77"/>
      <c r="P1047" s="77"/>
      <c r="Q1047" s="77"/>
    </row>
    <row r="1048" spans="7:17" x14ac:dyDescent="0.3">
      <c r="G1048" s="66"/>
      <c r="H1048" s="78"/>
      <c r="I1048" s="78"/>
      <c r="J1048" s="78"/>
      <c r="K1048" s="78"/>
      <c r="L1048" s="78"/>
      <c r="M1048" s="78"/>
      <c r="N1048" s="78"/>
      <c r="O1048" s="78"/>
      <c r="P1048" s="78"/>
      <c r="Q1048" s="78"/>
    </row>
    <row r="1049" spans="7:17" x14ac:dyDescent="0.3">
      <c r="G1049" s="67"/>
      <c r="H1049" s="77"/>
      <c r="I1049" s="77"/>
      <c r="J1049" s="77"/>
      <c r="K1049" s="77"/>
      <c r="L1049" s="77"/>
      <c r="M1049" s="77"/>
      <c r="N1049" s="77"/>
      <c r="O1049" s="77"/>
      <c r="P1049" s="77"/>
      <c r="Q1049" s="77"/>
    </row>
    <row r="1050" spans="7:17" x14ac:dyDescent="0.3">
      <c r="G1050" s="66"/>
      <c r="H1050" s="78"/>
      <c r="I1050" s="78"/>
      <c r="J1050" s="78"/>
      <c r="K1050" s="78"/>
      <c r="L1050" s="78"/>
      <c r="M1050" s="78"/>
      <c r="N1050" s="78"/>
      <c r="O1050" s="78"/>
      <c r="P1050" s="78"/>
      <c r="Q1050" s="78"/>
    </row>
    <row r="1051" spans="7:17" x14ac:dyDescent="0.3">
      <c r="G1051" s="67"/>
      <c r="H1051" s="77"/>
      <c r="I1051" s="77"/>
      <c r="J1051" s="77"/>
      <c r="K1051" s="77"/>
      <c r="L1051" s="77"/>
      <c r="M1051" s="77"/>
      <c r="N1051" s="77"/>
      <c r="O1051" s="77"/>
      <c r="P1051" s="77"/>
      <c r="Q1051" s="77"/>
    </row>
    <row r="1052" spans="7:17" x14ac:dyDescent="0.3">
      <c r="G1052" s="66"/>
      <c r="H1052" s="78"/>
      <c r="I1052" s="78"/>
      <c r="J1052" s="78"/>
      <c r="K1052" s="78"/>
      <c r="L1052" s="78"/>
      <c r="M1052" s="78"/>
      <c r="N1052" s="78"/>
      <c r="O1052" s="78"/>
      <c r="P1052" s="78"/>
      <c r="Q1052" s="78"/>
    </row>
    <row r="1053" spans="7:17" x14ac:dyDescent="0.3">
      <c r="G1053" s="67"/>
      <c r="H1053" s="77"/>
      <c r="I1053" s="77"/>
      <c r="J1053" s="77"/>
      <c r="K1053" s="77"/>
      <c r="L1053" s="77"/>
      <c r="M1053" s="77"/>
      <c r="N1053" s="77"/>
      <c r="O1053" s="77"/>
      <c r="P1053" s="77"/>
      <c r="Q1053" s="77"/>
    </row>
    <row r="1054" spans="7:17" x14ac:dyDescent="0.3">
      <c r="G1054" s="66"/>
      <c r="H1054" s="78"/>
      <c r="I1054" s="78"/>
      <c r="J1054" s="78"/>
      <c r="K1054" s="78"/>
      <c r="L1054" s="78"/>
      <c r="M1054" s="78"/>
      <c r="N1054" s="78"/>
      <c r="O1054" s="78"/>
      <c r="P1054" s="78"/>
      <c r="Q1054" s="78"/>
    </row>
    <row r="1055" spans="7:17" x14ac:dyDescent="0.3">
      <c r="G1055" s="67"/>
      <c r="H1055" s="77"/>
      <c r="I1055" s="77"/>
      <c r="J1055" s="77"/>
      <c r="K1055" s="77"/>
      <c r="L1055" s="77"/>
      <c r="M1055" s="77"/>
      <c r="N1055" s="77"/>
      <c r="O1055" s="77"/>
      <c r="P1055" s="77"/>
      <c r="Q1055" s="77"/>
    </row>
    <row r="1056" spans="7:17" x14ac:dyDescent="0.3">
      <c r="G1056" s="66"/>
      <c r="H1056" s="78"/>
      <c r="I1056" s="78"/>
      <c r="J1056" s="78"/>
      <c r="K1056" s="78"/>
      <c r="L1056" s="78"/>
      <c r="M1056" s="78"/>
      <c r="N1056" s="78"/>
      <c r="O1056" s="78"/>
      <c r="P1056" s="78"/>
      <c r="Q1056" s="78"/>
    </row>
    <row r="1057" spans="7:17" x14ac:dyDescent="0.3">
      <c r="G1057" s="67"/>
      <c r="H1057" s="77"/>
      <c r="I1057" s="77"/>
      <c r="J1057" s="77"/>
      <c r="K1057" s="77"/>
      <c r="L1057" s="77"/>
      <c r="M1057" s="77"/>
      <c r="N1057" s="77"/>
      <c r="O1057" s="77"/>
      <c r="P1057" s="77"/>
      <c r="Q1057" s="77"/>
    </row>
    <row r="1058" spans="7:17" x14ac:dyDescent="0.3">
      <c r="G1058" s="66"/>
      <c r="H1058" s="78"/>
      <c r="I1058" s="78"/>
      <c r="J1058" s="78"/>
      <c r="K1058" s="78"/>
      <c r="L1058" s="78"/>
      <c r="M1058" s="78"/>
      <c r="N1058" s="78"/>
      <c r="O1058" s="78"/>
      <c r="P1058" s="78"/>
      <c r="Q1058" s="78"/>
    </row>
    <row r="1059" spans="7:17" x14ac:dyDescent="0.3">
      <c r="G1059" s="67"/>
      <c r="H1059" s="77"/>
      <c r="I1059" s="77"/>
      <c r="J1059" s="77"/>
      <c r="K1059" s="77"/>
      <c r="L1059" s="77"/>
      <c r="M1059" s="77"/>
      <c r="N1059" s="77"/>
      <c r="O1059" s="77"/>
      <c r="P1059" s="77"/>
      <c r="Q1059" s="77"/>
    </row>
    <row r="1060" spans="7:17" x14ac:dyDescent="0.3">
      <c r="G1060" s="66"/>
      <c r="H1060" s="78"/>
      <c r="I1060" s="78"/>
      <c r="J1060" s="78"/>
      <c r="K1060" s="78"/>
      <c r="L1060" s="78"/>
      <c r="M1060" s="78"/>
      <c r="N1060" s="78"/>
      <c r="O1060" s="78"/>
      <c r="P1060" s="78"/>
      <c r="Q1060" s="78"/>
    </row>
    <row r="1061" spans="7:17" x14ac:dyDescent="0.3">
      <c r="G1061" s="67"/>
      <c r="H1061" s="77"/>
      <c r="I1061" s="77"/>
      <c r="J1061" s="77"/>
      <c r="K1061" s="77"/>
      <c r="L1061" s="77"/>
      <c r="M1061" s="77"/>
      <c r="N1061" s="77"/>
      <c r="O1061" s="77"/>
      <c r="P1061" s="77"/>
      <c r="Q1061" s="77"/>
    </row>
    <row r="1062" spans="7:17" x14ac:dyDescent="0.3">
      <c r="G1062" s="66"/>
      <c r="H1062" s="78"/>
      <c r="I1062" s="78"/>
      <c r="J1062" s="78"/>
      <c r="K1062" s="78"/>
      <c r="L1062" s="78"/>
      <c r="M1062" s="78"/>
      <c r="N1062" s="78"/>
      <c r="O1062" s="78"/>
      <c r="P1062" s="78"/>
      <c r="Q1062" s="78"/>
    </row>
    <row r="1063" spans="7:17" x14ac:dyDescent="0.3">
      <c r="G1063" s="67"/>
      <c r="H1063" s="77"/>
      <c r="I1063" s="77"/>
      <c r="J1063" s="77"/>
      <c r="K1063" s="77"/>
      <c r="L1063" s="77"/>
      <c r="M1063" s="77"/>
      <c r="N1063" s="77"/>
      <c r="O1063" s="77"/>
      <c r="P1063" s="77"/>
      <c r="Q1063" s="77"/>
    </row>
    <row r="1064" spans="7:17" x14ac:dyDescent="0.3">
      <c r="G1064" s="66"/>
      <c r="H1064" s="78"/>
      <c r="I1064" s="78"/>
      <c r="J1064" s="78"/>
      <c r="K1064" s="78"/>
      <c r="L1064" s="78"/>
      <c r="M1064" s="78"/>
      <c r="N1064" s="78"/>
      <c r="O1064" s="78"/>
      <c r="P1064" s="78"/>
      <c r="Q1064" s="78"/>
    </row>
    <row r="1065" spans="7:17" x14ac:dyDescent="0.3">
      <c r="G1065" s="67"/>
      <c r="H1065" s="77"/>
      <c r="I1065" s="77"/>
      <c r="J1065" s="77"/>
      <c r="K1065" s="77"/>
      <c r="L1065" s="77"/>
      <c r="M1065" s="77"/>
      <c r="N1065" s="77"/>
      <c r="O1065" s="77"/>
      <c r="P1065" s="77"/>
      <c r="Q1065" s="77"/>
    </row>
    <row r="1066" spans="7:17" x14ac:dyDescent="0.3">
      <c r="G1066" s="66"/>
      <c r="H1066" s="78"/>
      <c r="I1066" s="78"/>
      <c r="J1066" s="78"/>
      <c r="K1066" s="78"/>
      <c r="L1066" s="78"/>
      <c r="M1066" s="78"/>
      <c r="N1066" s="78"/>
      <c r="O1066" s="78"/>
      <c r="P1066" s="78"/>
      <c r="Q1066" s="78"/>
    </row>
    <row r="1067" spans="7:17" x14ac:dyDescent="0.3">
      <c r="G1067" s="67"/>
      <c r="H1067" s="77"/>
      <c r="I1067" s="77"/>
      <c r="J1067" s="77"/>
      <c r="K1067" s="77"/>
      <c r="L1067" s="77"/>
      <c r="M1067" s="77"/>
      <c r="N1067" s="77"/>
      <c r="O1067" s="77"/>
      <c r="P1067" s="77"/>
      <c r="Q1067" s="77"/>
    </row>
    <row r="1068" spans="7:17" x14ac:dyDescent="0.3">
      <c r="G1068" s="66"/>
      <c r="H1068" s="78"/>
      <c r="I1068" s="78"/>
      <c r="J1068" s="78"/>
      <c r="K1068" s="78"/>
      <c r="L1068" s="78"/>
      <c r="M1068" s="78"/>
      <c r="N1068" s="78"/>
      <c r="O1068" s="78"/>
      <c r="P1068" s="78"/>
      <c r="Q1068" s="78"/>
    </row>
    <row r="1069" spans="7:17" x14ac:dyDescent="0.3">
      <c r="G1069" s="67"/>
      <c r="H1069" s="77"/>
      <c r="I1069" s="77"/>
      <c r="J1069" s="77"/>
      <c r="K1069" s="77"/>
      <c r="L1069" s="77"/>
      <c r="M1069" s="77"/>
      <c r="N1069" s="77"/>
      <c r="O1069" s="77"/>
      <c r="P1069" s="77"/>
      <c r="Q1069" s="77"/>
    </row>
    <row r="1070" spans="7:17" x14ac:dyDescent="0.3">
      <c r="G1070" s="66"/>
      <c r="H1070" s="78"/>
      <c r="I1070" s="78"/>
      <c r="J1070" s="78"/>
      <c r="K1070" s="78"/>
      <c r="L1070" s="78"/>
      <c r="M1070" s="78"/>
      <c r="N1070" s="78"/>
      <c r="O1070" s="78"/>
      <c r="P1070" s="78"/>
      <c r="Q1070" s="78"/>
    </row>
    <row r="1071" spans="7:17" x14ac:dyDescent="0.3">
      <c r="G1071" s="67"/>
      <c r="H1071" s="77"/>
      <c r="I1071" s="77"/>
      <c r="J1071" s="77"/>
      <c r="K1071" s="77"/>
      <c r="L1071" s="77"/>
      <c r="M1071" s="77"/>
      <c r="N1071" s="77"/>
      <c r="O1071" s="77"/>
      <c r="P1071" s="77"/>
      <c r="Q1071" s="77"/>
    </row>
    <row r="1072" spans="7:17" x14ac:dyDescent="0.3">
      <c r="G1072" s="66"/>
      <c r="H1072" s="78"/>
      <c r="I1072" s="78"/>
      <c r="J1072" s="78"/>
      <c r="K1072" s="78"/>
      <c r="L1072" s="78"/>
      <c r="M1072" s="78"/>
      <c r="N1072" s="78"/>
      <c r="O1072" s="78"/>
      <c r="P1072" s="78"/>
      <c r="Q1072" s="78"/>
    </row>
    <row r="1073" spans="7:17" x14ac:dyDescent="0.3">
      <c r="G1073" s="67"/>
      <c r="H1073" s="77"/>
      <c r="I1073" s="77"/>
      <c r="J1073" s="77"/>
      <c r="K1073" s="77"/>
      <c r="L1073" s="77"/>
      <c r="M1073" s="77"/>
      <c r="N1073" s="77"/>
      <c r="O1073" s="77"/>
      <c r="P1073" s="77"/>
      <c r="Q1073" s="77"/>
    </row>
    <row r="1074" spans="7:17" x14ac:dyDescent="0.3">
      <c r="G1074" s="66"/>
      <c r="H1074" s="78"/>
      <c r="I1074" s="78"/>
      <c r="J1074" s="78"/>
      <c r="K1074" s="78"/>
      <c r="L1074" s="78"/>
      <c r="M1074" s="78"/>
      <c r="N1074" s="78"/>
      <c r="O1074" s="78"/>
      <c r="P1074" s="78"/>
      <c r="Q1074" s="78"/>
    </row>
    <row r="1075" spans="7:17" x14ac:dyDescent="0.3">
      <c r="G1075" s="67"/>
      <c r="H1075" s="77"/>
      <c r="I1075" s="77"/>
      <c r="J1075" s="77"/>
      <c r="K1075" s="77"/>
      <c r="L1075" s="77"/>
      <c r="M1075" s="77"/>
      <c r="N1075" s="77"/>
      <c r="O1075" s="77"/>
      <c r="P1075" s="77"/>
      <c r="Q1075" s="77"/>
    </row>
    <row r="1076" spans="7:17" x14ac:dyDescent="0.3">
      <c r="G1076" s="66"/>
      <c r="H1076" s="78"/>
      <c r="I1076" s="78"/>
      <c r="J1076" s="78"/>
      <c r="K1076" s="78"/>
      <c r="L1076" s="78"/>
      <c r="M1076" s="78"/>
      <c r="N1076" s="78"/>
      <c r="O1076" s="78"/>
      <c r="P1076" s="78"/>
      <c r="Q1076" s="78"/>
    </row>
    <row r="1077" spans="7:17" x14ac:dyDescent="0.3">
      <c r="G1077" s="67"/>
      <c r="H1077" s="77"/>
      <c r="I1077" s="77"/>
      <c r="J1077" s="77"/>
      <c r="K1077" s="77"/>
      <c r="L1077" s="77"/>
      <c r="M1077" s="77"/>
      <c r="N1077" s="77"/>
      <c r="O1077" s="77"/>
      <c r="P1077" s="77"/>
      <c r="Q1077" s="77"/>
    </row>
    <row r="1078" spans="7:17" x14ac:dyDescent="0.3">
      <c r="G1078" s="66"/>
      <c r="H1078" s="78"/>
      <c r="I1078" s="78"/>
      <c r="J1078" s="78"/>
      <c r="K1078" s="78"/>
      <c r="L1078" s="78"/>
      <c r="M1078" s="78"/>
      <c r="N1078" s="78"/>
      <c r="O1078" s="78"/>
      <c r="P1078" s="78"/>
      <c r="Q1078" s="78"/>
    </row>
    <row r="1079" spans="7:17" x14ac:dyDescent="0.3">
      <c r="G1079" s="67"/>
      <c r="H1079" s="77"/>
      <c r="I1079" s="77"/>
      <c r="J1079" s="77"/>
      <c r="K1079" s="77"/>
      <c r="L1079" s="77"/>
      <c r="M1079" s="77"/>
      <c r="N1079" s="77"/>
      <c r="O1079" s="77"/>
      <c r="P1079" s="77"/>
      <c r="Q1079" s="77"/>
    </row>
    <row r="1080" spans="7:17" x14ac:dyDescent="0.3">
      <c r="G1080" s="66"/>
      <c r="H1080" s="78"/>
      <c r="I1080" s="78"/>
      <c r="J1080" s="78"/>
      <c r="K1080" s="78"/>
      <c r="L1080" s="78"/>
      <c r="M1080" s="78"/>
      <c r="N1080" s="78"/>
      <c r="O1080" s="78"/>
      <c r="P1080" s="78"/>
      <c r="Q1080" s="78"/>
    </row>
    <row r="1081" spans="7:17" x14ac:dyDescent="0.3">
      <c r="G1081" s="67"/>
      <c r="H1081" s="77"/>
      <c r="I1081" s="77"/>
      <c r="J1081" s="77"/>
      <c r="K1081" s="77"/>
      <c r="L1081" s="77"/>
      <c r="M1081" s="77"/>
      <c r="N1081" s="77"/>
      <c r="O1081" s="77"/>
      <c r="P1081" s="77"/>
      <c r="Q1081" s="77"/>
    </row>
    <row r="1082" spans="7:17" x14ac:dyDescent="0.3">
      <c r="G1082" s="66"/>
      <c r="H1082" s="78"/>
      <c r="I1082" s="78"/>
      <c r="J1082" s="78"/>
      <c r="K1082" s="78"/>
      <c r="L1082" s="78"/>
      <c r="M1082" s="78"/>
      <c r="N1082" s="78"/>
      <c r="O1082" s="78"/>
      <c r="P1082" s="78"/>
      <c r="Q1082" s="78"/>
    </row>
    <row r="1083" spans="7:17" x14ac:dyDescent="0.3">
      <c r="G1083" s="67"/>
      <c r="H1083" s="77"/>
      <c r="I1083" s="77"/>
      <c r="J1083" s="77"/>
      <c r="K1083" s="77"/>
      <c r="L1083" s="77"/>
      <c r="M1083" s="77"/>
      <c r="N1083" s="77"/>
      <c r="O1083" s="77"/>
      <c r="P1083" s="77"/>
      <c r="Q1083" s="77"/>
    </row>
    <row r="1084" spans="7:17" x14ac:dyDescent="0.3">
      <c r="G1084" s="66"/>
      <c r="H1084" s="78"/>
      <c r="I1084" s="78"/>
      <c r="J1084" s="78"/>
      <c r="K1084" s="78"/>
      <c r="L1084" s="78"/>
      <c r="M1084" s="78"/>
      <c r="N1084" s="78"/>
      <c r="O1084" s="78"/>
      <c r="P1084" s="78"/>
      <c r="Q1084" s="78"/>
    </row>
    <row r="1085" spans="7:17" x14ac:dyDescent="0.3">
      <c r="G1085" s="67"/>
      <c r="H1085" s="77"/>
      <c r="I1085" s="77"/>
      <c r="J1085" s="77"/>
      <c r="K1085" s="77"/>
      <c r="L1085" s="77"/>
      <c r="M1085" s="77"/>
      <c r="N1085" s="77"/>
      <c r="O1085" s="77"/>
      <c r="P1085" s="77"/>
      <c r="Q1085" s="77"/>
    </row>
    <row r="1086" spans="7:17" x14ac:dyDescent="0.3">
      <c r="G1086" s="66"/>
      <c r="H1086" s="78"/>
      <c r="I1086" s="78"/>
      <c r="J1086" s="78"/>
      <c r="K1086" s="78"/>
      <c r="L1086" s="78"/>
      <c r="M1086" s="78"/>
      <c r="N1086" s="78"/>
      <c r="O1086" s="78"/>
      <c r="P1086" s="78"/>
      <c r="Q1086" s="78"/>
    </row>
    <row r="1087" spans="7:17" x14ac:dyDescent="0.3">
      <c r="G1087" s="67"/>
      <c r="H1087" s="77"/>
      <c r="I1087" s="77"/>
      <c r="J1087" s="77"/>
      <c r="K1087" s="77"/>
      <c r="L1087" s="77"/>
      <c r="M1087" s="77"/>
      <c r="N1087" s="77"/>
      <c r="O1087" s="77"/>
      <c r="P1087" s="77"/>
      <c r="Q1087" s="77"/>
    </row>
    <row r="1088" spans="7:17" x14ac:dyDescent="0.3">
      <c r="G1088" s="66"/>
      <c r="H1088" s="78"/>
      <c r="I1088" s="78"/>
      <c r="J1088" s="78"/>
      <c r="K1088" s="78"/>
      <c r="L1088" s="78"/>
      <c r="M1088" s="78"/>
      <c r="N1088" s="78"/>
      <c r="O1088" s="78"/>
      <c r="P1088" s="78"/>
      <c r="Q1088" s="78"/>
    </row>
    <row r="1089" spans="7:17" x14ac:dyDescent="0.3">
      <c r="G1089" s="67"/>
      <c r="H1089" s="77"/>
      <c r="I1089" s="77"/>
      <c r="J1089" s="77"/>
      <c r="K1089" s="77"/>
      <c r="L1089" s="77"/>
      <c r="M1089" s="77"/>
      <c r="N1089" s="77"/>
      <c r="O1089" s="77"/>
      <c r="P1089" s="77"/>
      <c r="Q1089" s="77"/>
    </row>
    <row r="1090" spans="7:17" x14ac:dyDescent="0.3">
      <c r="G1090" s="66"/>
      <c r="H1090" s="78"/>
      <c r="I1090" s="78"/>
      <c r="J1090" s="78"/>
      <c r="K1090" s="78"/>
      <c r="L1090" s="78"/>
      <c r="M1090" s="78"/>
      <c r="N1090" s="78"/>
      <c r="O1090" s="78"/>
      <c r="P1090" s="78"/>
      <c r="Q1090" s="78"/>
    </row>
    <row r="1091" spans="7:17" x14ac:dyDescent="0.3">
      <c r="G1091" s="67"/>
      <c r="H1091" s="77"/>
      <c r="I1091" s="77"/>
      <c r="J1091" s="77"/>
      <c r="K1091" s="77"/>
      <c r="L1091" s="77"/>
      <c r="M1091" s="77"/>
      <c r="N1091" s="77"/>
      <c r="O1091" s="77"/>
      <c r="P1091" s="77"/>
      <c r="Q1091" s="77"/>
    </row>
    <row r="1092" spans="7:17" x14ac:dyDescent="0.3">
      <c r="G1092" s="66"/>
      <c r="H1092" s="78"/>
      <c r="I1092" s="78"/>
      <c r="J1092" s="78"/>
      <c r="K1092" s="78"/>
      <c r="L1092" s="78"/>
      <c r="M1092" s="78"/>
      <c r="N1092" s="78"/>
      <c r="O1092" s="78"/>
      <c r="P1092" s="78"/>
      <c r="Q1092" s="78"/>
    </row>
    <row r="1093" spans="7:17" x14ac:dyDescent="0.3">
      <c r="G1093" s="67"/>
      <c r="H1093" s="77"/>
      <c r="I1093" s="77"/>
      <c r="J1093" s="77"/>
      <c r="K1093" s="77"/>
      <c r="L1093" s="77"/>
      <c r="M1093" s="77"/>
      <c r="N1093" s="77"/>
      <c r="O1093" s="77"/>
      <c r="P1093" s="77"/>
      <c r="Q1093" s="77"/>
    </row>
    <row r="1094" spans="7:17" x14ac:dyDescent="0.3">
      <c r="G1094" s="66"/>
      <c r="H1094" s="78"/>
      <c r="I1094" s="78"/>
      <c r="J1094" s="78"/>
      <c r="K1094" s="78"/>
      <c r="L1094" s="78"/>
      <c r="M1094" s="78"/>
      <c r="N1094" s="78"/>
      <c r="O1094" s="78"/>
      <c r="P1094" s="78"/>
      <c r="Q1094" s="78"/>
    </row>
    <row r="1095" spans="7:17" x14ac:dyDescent="0.3">
      <c r="G1095" s="67"/>
      <c r="H1095" s="77"/>
      <c r="I1095" s="77"/>
      <c r="J1095" s="77"/>
      <c r="K1095" s="77"/>
      <c r="L1095" s="77"/>
      <c r="M1095" s="77"/>
      <c r="N1095" s="77"/>
      <c r="O1095" s="77"/>
      <c r="P1095" s="77"/>
      <c r="Q1095" s="77"/>
    </row>
    <row r="1096" spans="7:17" x14ac:dyDescent="0.3">
      <c r="G1096" s="66"/>
      <c r="H1096" s="78"/>
      <c r="I1096" s="78"/>
      <c r="J1096" s="78"/>
      <c r="K1096" s="78"/>
      <c r="L1096" s="78"/>
      <c r="M1096" s="78"/>
      <c r="N1096" s="78"/>
      <c r="O1096" s="78"/>
      <c r="P1096" s="78"/>
      <c r="Q1096" s="78"/>
    </row>
    <row r="1097" spans="7:17" x14ac:dyDescent="0.3">
      <c r="G1097" s="67"/>
      <c r="H1097" s="77"/>
      <c r="I1097" s="77"/>
      <c r="J1097" s="77"/>
      <c r="K1097" s="77"/>
      <c r="L1097" s="77"/>
      <c r="M1097" s="77"/>
      <c r="N1097" s="77"/>
      <c r="O1097" s="77"/>
      <c r="P1097" s="77"/>
      <c r="Q1097" s="77"/>
    </row>
    <row r="1098" spans="7:17" x14ac:dyDescent="0.3">
      <c r="G1098" s="66"/>
      <c r="H1098" s="78"/>
      <c r="I1098" s="78"/>
      <c r="J1098" s="78"/>
      <c r="K1098" s="78"/>
      <c r="L1098" s="78"/>
      <c r="M1098" s="78"/>
      <c r="N1098" s="78"/>
      <c r="O1098" s="78"/>
      <c r="P1098" s="78"/>
      <c r="Q1098" s="78"/>
    </row>
    <row r="1099" spans="7:17" x14ac:dyDescent="0.3">
      <c r="G1099" s="67"/>
      <c r="H1099" s="77"/>
      <c r="I1099" s="77"/>
      <c r="J1099" s="77"/>
      <c r="K1099" s="77"/>
      <c r="L1099" s="77"/>
      <c r="M1099" s="77"/>
      <c r="N1099" s="77"/>
      <c r="O1099" s="77"/>
      <c r="P1099" s="77"/>
      <c r="Q1099" s="77"/>
    </row>
    <row r="1100" spans="7:17" x14ac:dyDescent="0.3">
      <c r="G1100" s="66"/>
      <c r="H1100" s="78"/>
      <c r="I1100" s="78"/>
      <c r="J1100" s="78"/>
      <c r="K1100" s="78"/>
      <c r="L1100" s="78"/>
      <c r="M1100" s="78"/>
      <c r="N1100" s="78"/>
      <c r="O1100" s="78"/>
      <c r="P1100" s="78"/>
      <c r="Q1100" s="78"/>
    </row>
    <row r="1101" spans="7:17" x14ac:dyDescent="0.3">
      <c r="G1101" s="67"/>
      <c r="H1101" s="77"/>
      <c r="I1101" s="77"/>
      <c r="J1101" s="77"/>
      <c r="K1101" s="77"/>
      <c r="L1101" s="77"/>
      <c r="M1101" s="77"/>
      <c r="N1101" s="77"/>
      <c r="O1101" s="77"/>
      <c r="P1101" s="77"/>
      <c r="Q1101" s="77"/>
    </row>
    <row r="1102" spans="7:17" x14ac:dyDescent="0.3">
      <c r="G1102" s="66"/>
      <c r="H1102" s="78"/>
      <c r="I1102" s="78"/>
      <c r="J1102" s="78"/>
      <c r="K1102" s="78"/>
      <c r="L1102" s="78"/>
      <c r="M1102" s="78"/>
      <c r="N1102" s="78"/>
      <c r="O1102" s="78"/>
      <c r="P1102" s="78"/>
      <c r="Q1102" s="78"/>
    </row>
    <row r="1103" spans="7:17" x14ac:dyDescent="0.3">
      <c r="G1103" s="67"/>
      <c r="H1103" s="77"/>
      <c r="I1103" s="77"/>
      <c r="J1103" s="77"/>
      <c r="K1103" s="77"/>
      <c r="L1103" s="77"/>
      <c r="M1103" s="77"/>
      <c r="N1103" s="77"/>
      <c r="O1103" s="77"/>
      <c r="P1103" s="77"/>
      <c r="Q1103" s="77"/>
    </row>
    <row r="1104" spans="7:17" x14ac:dyDescent="0.3">
      <c r="G1104" s="66"/>
      <c r="H1104" s="78"/>
      <c r="I1104" s="78"/>
      <c r="J1104" s="78"/>
      <c r="K1104" s="78"/>
      <c r="L1104" s="78"/>
      <c r="M1104" s="78"/>
      <c r="N1104" s="78"/>
      <c r="O1104" s="78"/>
      <c r="P1104" s="78"/>
      <c r="Q1104" s="78"/>
    </row>
    <row r="1105" spans="7:17" x14ac:dyDescent="0.3">
      <c r="G1105" s="67"/>
      <c r="H1105" s="77"/>
      <c r="I1105" s="77"/>
      <c r="J1105" s="77"/>
      <c r="K1105" s="77"/>
      <c r="L1105" s="77"/>
      <c r="M1105" s="77"/>
      <c r="N1105" s="77"/>
      <c r="O1105" s="77"/>
      <c r="P1105" s="77"/>
      <c r="Q1105" s="77"/>
    </row>
    <row r="1106" spans="7:17" x14ac:dyDescent="0.3">
      <c r="G1106" s="66"/>
      <c r="H1106" s="78"/>
      <c r="I1106" s="78"/>
      <c r="J1106" s="78"/>
      <c r="K1106" s="78"/>
      <c r="L1106" s="78"/>
      <c r="M1106" s="78"/>
      <c r="N1106" s="78"/>
      <c r="O1106" s="78"/>
      <c r="P1106" s="78"/>
      <c r="Q1106" s="78"/>
    </row>
    <row r="1107" spans="7:17" x14ac:dyDescent="0.3">
      <c r="G1107" s="67"/>
      <c r="H1107" s="77"/>
      <c r="I1107" s="77"/>
      <c r="J1107" s="77"/>
      <c r="K1107" s="77"/>
      <c r="L1107" s="77"/>
      <c r="M1107" s="77"/>
      <c r="N1107" s="77"/>
      <c r="O1107" s="77"/>
      <c r="P1107" s="77"/>
      <c r="Q1107" s="77"/>
    </row>
    <row r="1108" spans="7:17" x14ac:dyDescent="0.3">
      <c r="G1108" s="66"/>
      <c r="H1108" s="78"/>
      <c r="I1108" s="78"/>
      <c r="J1108" s="78"/>
      <c r="K1108" s="78"/>
      <c r="L1108" s="78"/>
      <c r="M1108" s="78"/>
      <c r="N1108" s="78"/>
      <c r="O1108" s="78"/>
      <c r="P1108" s="78"/>
      <c r="Q1108" s="78"/>
    </row>
    <row r="1109" spans="7:17" x14ac:dyDescent="0.3">
      <c r="G1109" s="67"/>
      <c r="H1109" s="77"/>
      <c r="I1109" s="77"/>
      <c r="J1109" s="77"/>
      <c r="K1109" s="77"/>
      <c r="L1109" s="77"/>
      <c r="M1109" s="77"/>
      <c r="N1109" s="77"/>
      <c r="O1109" s="77"/>
      <c r="P1109" s="77"/>
      <c r="Q1109" s="77"/>
    </row>
    <row r="1110" spans="7:17" x14ac:dyDescent="0.3">
      <c r="G1110" s="66"/>
      <c r="H1110" s="78"/>
      <c r="I1110" s="78"/>
      <c r="J1110" s="78"/>
      <c r="K1110" s="78"/>
      <c r="L1110" s="78"/>
      <c r="M1110" s="78"/>
      <c r="N1110" s="78"/>
      <c r="O1110" s="78"/>
      <c r="P1110" s="78"/>
      <c r="Q1110" s="78"/>
    </row>
    <row r="1111" spans="7:17" x14ac:dyDescent="0.3">
      <c r="G1111" s="67"/>
      <c r="H1111" s="77"/>
      <c r="I1111" s="77"/>
      <c r="J1111" s="77"/>
      <c r="K1111" s="77"/>
      <c r="L1111" s="77"/>
      <c r="M1111" s="77"/>
      <c r="N1111" s="77"/>
      <c r="O1111" s="77"/>
      <c r="P1111" s="77"/>
      <c r="Q1111" s="77"/>
    </row>
    <row r="1112" spans="7:17" x14ac:dyDescent="0.3">
      <c r="G1112" s="66"/>
      <c r="H1112" s="78"/>
      <c r="I1112" s="78"/>
      <c r="J1112" s="78"/>
      <c r="K1112" s="78"/>
      <c r="L1112" s="78"/>
      <c r="M1112" s="78"/>
      <c r="N1112" s="78"/>
      <c r="O1112" s="78"/>
      <c r="P1112" s="78"/>
      <c r="Q1112" s="78"/>
    </row>
    <row r="1113" spans="7:17" x14ac:dyDescent="0.3">
      <c r="G1113" s="67"/>
      <c r="H1113" s="77"/>
      <c r="I1113" s="77"/>
      <c r="J1113" s="77"/>
      <c r="K1113" s="77"/>
      <c r="L1113" s="77"/>
      <c r="M1113" s="77"/>
      <c r="N1113" s="77"/>
      <c r="O1113" s="77"/>
      <c r="P1113" s="77"/>
      <c r="Q1113" s="77"/>
    </row>
    <row r="1114" spans="7:17" x14ac:dyDescent="0.3">
      <c r="G1114" s="66"/>
      <c r="H1114" s="78"/>
      <c r="I1114" s="78"/>
      <c r="J1114" s="78"/>
      <c r="K1114" s="78"/>
      <c r="L1114" s="78"/>
      <c r="M1114" s="78"/>
      <c r="N1114" s="78"/>
      <c r="O1114" s="78"/>
      <c r="P1114" s="78"/>
      <c r="Q1114" s="78"/>
    </row>
    <row r="1115" spans="7:17" x14ac:dyDescent="0.3">
      <c r="G1115" s="67"/>
      <c r="H1115" s="77"/>
      <c r="I1115" s="77"/>
      <c r="J1115" s="77"/>
      <c r="K1115" s="77"/>
      <c r="L1115" s="77"/>
      <c r="M1115" s="77"/>
      <c r="N1115" s="77"/>
      <c r="O1115" s="77"/>
      <c r="P1115" s="77"/>
      <c r="Q1115" s="77"/>
    </row>
    <row r="1116" spans="7:17" x14ac:dyDescent="0.3">
      <c r="G1116" s="66"/>
      <c r="H1116" s="78"/>
      <c r="I1116" s="78"/>
      <c r="J1116" s="78"/>
      <c r="K1116" s="78"/>
      <c r="L1116" s="78"/>
      <c r="M1116" s="78"/>
      <c r="N1116" s="78"/>
      <c r="O1116" s="78"/>
      <c r="P1116" s="78"/>
      <c r="Q1116" s="78"/>
    </row>
    <row r="1117" spans="7:17" x14ac:dyDescent="0.3">
      <c r="G1117" s="67"/>
      <c r="H1117" s="77"/>
      <c r="I1117" s="77"/>
      <c r="J1117" s="77"/>
      <c r="K1117" s="77"/>
      <c r="L1117" s="77"/>
      <c r="M1117" s="77"/>
      <c r="N1117" s="77"/>
      <c r="O1117" s="77"/>
      <c r="P1117" s="77"/>
      <c r="Q1117" s="77"/>
    </row>
    <row r="1118" spans="7:17" x14ac:dyDescent="0.3">
      <c r="G1118" s="66"/>
      <c r="H1118" s="78"/>
      <c r="I1118" s="78"/>
      <c r="J1118" s="78"/>
      <c r="K1118" s="78"/>
      <c r="L1118" s="78"/>
      <c r="M1118" s="78"/>
      <c r="N1118" s="78"/>
      <c r="O1118" s="78"/>
      <c r="P1118" s="78"/>
      <c r="Q1118" s="78"/>
    </row>
    <row r="1119" spans="7:17" x14ac:dyDescent="0.3">
      <c r="G1119" s="67"/>
      <c r="H1119" s="77"/>
      <c r="I1119" s="77"/>
      <c r="J1119" s="77"/>
      <c r="K1119" s="77"/>
      <c r="L1119" s="77"/>
      <c r="M1119" s="77"/>
      <c r="N1119" s="77"/>
      <c r="O1119" s="77"/>
      <c r="P1119" s="77"/>
      <c r="Q1119" s="77"/>
    </row>
    <row r="1120" spans="7:17" x14ac:dyDescent="0.3">
      <c r="G1120" s="66"/>
      <c r="H1120" s="78"/>
      <c r="I1120" s="78"/>
      <c r="J1120" s="78"/>
      <c r="K1120" s="78"/>
      <c r="L1120" s="78"/>
      <c r="M1120" s="78"/>
      <c r="N1120" s="78"/>
      <c r="O1120" s="78"/>
      <c r="P1120" s="78"/>
      <c r="Q1120" s="78"/>
    </row>
    <row r="1121" spans="7:17" x14ac:dyDescent="0.3">
      <c r="G1121" s="67"/>
      <c r="H1121" s="77"/>
      <c r="I1121" s="77"/>
      <c r="J1121" s="77"/>
      <c r="K1121" s="77"/>
      <c r="L1121" s="77"/>
      <c r="M1121" s="77"/>
      <c r="N1121" s="77"/>
      <c r="O1121" s="77"/>
      <c r="P1121" s="77"/>
      <c r="Q1121" s="77"/>
    </row>
    <row r="1122" spans="7:17" x14ac:dyDescent="0.3">
      <c r="G1122" s="66"/>
      <c r="H1122" s="78"/>
      <c r="I1122" s="78"/>
      <c r="J1122" s="78"/>
      <c r="K1122" s="78"/>
      <c r="L1122" s="78"/>
      <c r="M1122" s="78"/>
      <c r="N1122" s="78"/>
      <c r="O1122" s="78"/>
      <c r="P1122" s="78"/>
      <c r="Q1122" s="78"/>
    </row>
    <row r="1123" spans="7:17" x14ac:dyDescent="0.3">
      <c r="G1123" s="67"/>
      <c r="H1123" s="77"/>
      <c r="I1123" s="77"/>
      <c r="J1123" s="77"/>
      <c r="K1123" s="77"/>
      <c r="L1123" s="77"/>
      <c r="M1123" s="77"/>
      <c r="N1123" s="77"/>
      <c r="O1123" s="77"/>
      <c r="P1123" s="77"/>
      <c r="Q1123" s="77"/>
    </row>
    <row r="1124" spans="7:17" x14ac:dyDescent="0.3">
      <c r="G1124" s="66"/>
      <c r="H1124" s="78"/>
      <c r="I1124" s="78"/>
      <c r="J1124" s="78"/>
      <c r="K1124" s="78"/>
      <c r="L1124" s="78"/>
      <c r="M1124" s="78"/>
      <c r="N1124" s="78"/>
      <c r="O1124" s="78"/>
      <c r="P1124" s="78"/>
      <c r="Q1124" s="78"/>
    </row>
    <row r="1125" spans="7:17" x14ac:dyDescent="0.3">
      <c r="G1125" s="67"/>
      <c r="H1125" s="77"/>
      <c r="I1125" s="77"/>
      <c r="J1125" s="77"/>
      <c r="K1125" s="77"/>
      <c r="L1125" s="77"/>
      <c r="M1125" s="77"/>
      <c r="N1125" s="77"/>
      <c r="O1125" s="77"/>
      <c r="P1125" s="77"/>
      <c r="Q1125" s="77"/>
    </row>
    <row r="1126" spans="7:17" x14ac:dyDescent="0.3">
      <c r="G1126" s="66"/>
      <c r="H1126" s="78"/>
      <c r="I1126" s="78"/>
      <c r="J1126" s="78"/>
      <c r="K1126" s="78"/>
      <c r="L1126" s="78"/>
      <c r="M1126" s="78"/>
      <c r="N1126" s="78"/>
      <c r="O1126" s="78"/>
      <c r="P1126" s="78"/>
      <c r="Q1126" s="78"/>
    </row>
    <row r="1127" spans="7:17" x14ac:dyDescent="0.3">
      <c r="G1127" s="67"/>
      <c r="H1127" s="77"/>
      <c r="I1127" s="77"/>
      <c r="J1127" s="77"/>
      <c r="K1127" s="77"/>
      <c r="L1127" s="77"/>
      <c r="M1127" s="77"/>
      <c r="N1127" s="77"/>
      <c r="O1127" s="77"/>
      <c r="P1127" s="77"/>
      <c r="Q1127" s="77"/>
    </row>
    <row r="1128" spans="7:17" x14ac:dyDescent="0.3">
      <c r="G1128" s="66"/>
      <c r="H1128" s="78"/>
      <c r="I1128" s="78"/>
      <c r="J1128" s="78"/>
      <c r="K1128" s="78"/>
      <c r="L1128" s="78"/>
      <c r="M1128" s="78"/>
      <c r="N1128" s="78"/>
      <c r="O1128" s="78"/>
      <c r="P1128" s="78"/>
      <c r="Q1128" s="78"/>
    </row>
    <row r="1129" spans="7:17" x14ac:dyDescent="0.3">
      <c r="G1129" s="67"/>
      <c r="H1129" s="77"/>
      <c r="I1129" s="77"/>
      <c r="J1129" s="77"/>
      <c r="K1129" s="77"/>
      <c r="L1129" s="77"/>
      <c r="M1129" s="77"/>
      <c r="N1129" s="77"/>
      <c r="O1129" s="77"/>
      <c r="P1129" s="77"/>
      <c r="Q1129" s="77"/>
    </row>
    <row r="1130" spans="7:17" x14ac:dyDescent="0.3">
      <c r="G1130" s="66"/>
      <c r="H1130" s="78"/>
      <c r="I1130" s="78"/>
      <c r="J1130" s="78"/>
      <c r="K1130" s="78"/>
      <c r="L1130" s="78"/>
      <c r="M1130" s="78"/>
      <c r="N1130" s="78"/>
      <c r="O1130" s="78"/>
      <c r="P1130" s="78"/>
      <c r="Q1130" s="78"/>
    </row>
    <row r="1131" spans="7:17" x14ac:dyDescent="0.3">
      <c r="G1131" s="67"/>
      <c r="H1131" s="77"/>
      <c r="I1131" s="77"/>
      <c r="J1131" s="77"/>
      <c r="K1131" s="77"/>
      <c r="L1131" s="77"/>
      <c r="M1131" s="77"/>
      <c r="N1131" s="77"/>
      <c r="O1131" s="77"/>
      <c r="P1131" s="77"/>
      <c r="Q1131" s="77"/>
    </row>
    <row r="1132" spans="7:17" x14ac:dyDescent="0.3">
      <c r="G1132" s="66"/>
      <c r="H1132" s="78"/>
      <c r="I1132" s="78"/>
      <c r="J1132" s="78"/>
      <c r="K1132" s="78"/>
      <c r="L1132" s="78"/>
      <c r="M1132" s="78"/>
      <c r="N1132" s="78"/>
      <c r="O1132" s="78"/>
      <c r="P1132" s="78"/>
      <c r="Q1132" s="78"/>
    </row>
    <row r="1133" spans="7:17" x14ac:dyDescent="0.3">
      <c r="G1133" s="67"/>
      <c r="H1133" s="77"/>
      <c r="I1133" s="77"/>
      <c r="J1133" s="77"/>
      <c r="K1133" s="77"/>
      <c r="L1133" s="77"/>
      <c r="M1133" s="77"/>
      <c r="N1133" s="77"/>
      <c r="O1133" s="77"/>
      <c r="P1133" s="77"/>
      <c r="Q1133" s="77"/>
    </row>
    <row r="1134" spans="7:17" x14ac:dyDescent="0.3">
      <c r="G1134" s="66"/>
      <c r="H1134" s="78"/>
      <c r="I1134" s="78"/>
      <c r="J1134" s="78"/>
      <c r="K1134" s="78"/>
      <c r="L1134" s="78"/>
      <c r="M1134" s="78"/>
      <c r="N1134" s="78"/>
      <c r="O1134" s="78"/>
      <c r="P1134" s="78"/>
      <c r="Q1134" s="78"/>
    </row>
    <row r="1135" spans="7:17" x14ac:dyDescent="0.3">
      <c r="G1135" s="67"/>
      <c r="H1135" s="77"/>
      <c r="I1135" s="77"/>
      <c r="J1135" s="77"/>
      <c r="K1135" s="77"/>
      <c r="L1135" s="77"/>
      <c r="M1135" s="77"/>
      <c r="N1135" s="77"/>
      <c r="O1135" s="77"/>
      <c r="P1135" s="77"/>
      <c r="Q1135" s="77"/>
    </row>
    <row r="1136" spans="7:17" x14ac:dyDescent="0.3">
      <c r="G1136" s="66"/>
      <c r="H1136" s="78"/>
      <c r="I1136" s="78"/>
      <c r="J1136" s="78"/>
      <c r="K1136" s="78"/>
      <c r="L1136" s="78"/>
      <c r="M1136" s="78"/>
      <c r="N1136" s="78"/>
      <c r="O1136" s="78"/>
      <c r="P1136" s="78"/>
      <c r="Q1136" s="78"/>
    </row>
    <row r="1137" spans="7:17" x14ac:dyDescent="0.3">
      <c r="G1137" s="67"/>
      <c r="H1137" s="77"/>
      <c r="I1137" s="77"/>
      <c r="J1137" s="77"/>
      <c r="K1137" s="77"/>
      <c r="L1137" s="77"/>
      <c r="M1137" s="77"/>
      <c r="N1137" s="77"/>
      <c r="O1137" s="77"/>
      <c r="P1137" s="77"/>
      <c r="Q1137" s="77"/>
    </row>
    <row r="1138" spans="7:17" x14ac:dyDescent="0.3">
      <c r="G1138" s="66"/>
      <c r="H1138" s="78"/>
      <c r="I1138" s="78"/>
      <c r="J1138" s="78"/>
      <c r="K1138" s="78"/>
      <c r="L1138" s="78"/>
      <c r="M1138" s="78"/>
      <c r="N1138" s="78"/>
      <c r="O1138" s="78"/>
      <c r="P1138" s="78"/>
      <c r="Q1138" s="78"/>
    </row>
    <row r="1139" spans="7:17" x14ac:dyDescent="0.3">
      <c r="G1139" s="67"/>
      <c r="H1139" s="77"/>
      <c r="I1139" s="77"/>
      <c r="J1139" s="77"/>
      <c r="K1139" s="77"/>
      <c r="L1139" s="77"/>
      <c r="M1139" s="77"/>
      <c r="N1139" s="77"/>
      <c r="O1139" s="77"/>
      <c r="P1139" s="77"/>
      <c r="Q1139" s="77"/>
    </row>
    <row r="1140" spans="7:17" x14ac:dyDescent="0.3">
      <c r="G1140" s="66"/>
      <c r="H1140" s="78"/>
      <c r="I1140" s="78"/>
      <c r="J1140" s="78"/>
      <c r="K1140" s="78"/>
      <c r="L1140" s="78"/>
      <c r="M1140" s="78"/>
      <c r="N1140" s="78"/>
      <c r="O1140" s="78"/>
      <c r="P1140" s="78"/>
      <c r="Q1140" s="78"/>
    </row>
    <row r="1141" spans="7:17" x14ac:dyDescent="0.3">
      <c r="G1141" s="67"/>
      <c r="H1141" s="77"/>
      <c r="I1141" s="77"/>
      <c r="J1141" s="77"/>
      <c r="K1141" s="77"/>
      <c r="L1141" s="77"/>
      <c r="M1141" s="77"/>
      <c r="N1141" s="77"/>
      <c r="O1141" s="77"/>
      <c r="P1141" s="77"/>
      <c r="Q1141" s="77"/>
    </row>
    <row r="1142" spans="7:17" x14ac:dyDescent="0.3">
      <c r="G1142" s="66"/>
      <c r="H1142" s="78"/>
      <c r="I1142" s="78"/>
      <c r="J1142" s="78"/>
      <c r="K1142" s="78"/>
      <c r="L1142" s="78"/>
      <c r="M1142" s="78"/>
      <c r="N1142" s="78"/>
      <c r="O1142" s="78"/>
      <c r="P1142" s="78"/>
      <c r="Q1142" s="78"/>
    </row>
    <row r="1143" spans="7:17" x14ac:dyDescent="0.3">
      <c r="G1143" s="67"/>
      <c r="H1143" s="77"/>
      <c r="I1143" s="77"/>
      <c r="J1143" s="77"/>
      <c r="K1143" s="77"/>
      <c r="L1143" s="77"/>
      <c r="M1143" s="77"/>
      <c r="N1143" s="77"/>
      <c r="O1143" s="77"/>
      <c r="P1143" s="77"/>
      <c r="Q1143" s="77"/>
    </row>
    <row r="1144" spans="7:17" x14ac:dyDescent="0.3">
      <c r="G1144" s="66"/>
      <c r="H1144" s="78"/>
      <c r="I1144" s="78"/>
      <c r="J1144" s="78"/>
      <c r="K1144" s="78"/>
      <c r="L1144" s="78"/>
      <c r="M1144" s="78"/>
      <c r="N1144" s="78"/>
      <c r="O1144" s="78"/>
      <c r="P1144" s="78"/>
      <c r="Q1144" s="78"/>
    </row>
    <row r="1145" spans="7:17" x14ac:dyDescent="0.3">
      <c r="G1145" s="67"/>
      <c r="H1145" s="77"/>
      <c r="I1145" s="77"/>
      <c r="J1145" s="77"/>
      <c r="K1145" s="77"/>
      <c r="L1145" s="77"/>
      <c r="M1145" s="77"/>
      <c r="N1145" s="77"/>
      <c r="O1145" s="77"/>
      <c r="P1145" s="77"/>
      <c r="Q1145" s="77"/>
    </row>
    <row r="1146" spans="7:17" x14ac:dyDescent="0.3">
      <c r="G1146" s="66"/>
      <c r="H1146" s="78"/>
      <c r="I1146" s="78"/>
      <c r="J1146" s="78"/>
      <c r="K1146" s="78"/>
      <c r="L1146" s="78"/>
      <c r="M1146" s="78"/>
      <c r="N1146" s="78"/>
      <c r="O1146" s="78"/>
      <c r="P1146" s="78"/>
      <c r="Q1146" s="78"/>
    </row>
    <row r="1147" spans="7:17" x14ac:dyDescent="0.3">
      <c r="G1147" s="67"/>
      <c r="H1147" s="77"/>
      <c r="I1147" s="77"/>
      <c r="J1147" s="77"/>
      <c r="K1147" s="77"/>
      <c r="L1147" s="77"/>
      <c r="M1147" s="77"/>
      <c r="N1147" s="77"/>
      <c r="O1147" s="77"/>
      <c r="P1147" s="77"/>
      <c r="Q1147" s="77"/>
    </row>
    <row r="1148" spans="7:17" x14ac:dyDescent="0.3">
      <c r="G1148" s="66"/>
      <c r="H1148" s="78"/>
      <c r="I1148" s="78"/>
      <c r="J1148" s="78"/>
      <c r="K1148" s="78"/>
      <c r="L1148" s="78"/>
      <c r="M1148" s="78"/>
      <c r="N1148" s="78"/>
      <c r="O1148" s="78"/>
      <c r="P1148" s="78"/>
      <c r="Q1148" s="78"/>
    </row>
    <row r="1149" spans="7:17" x14ac:dyDescent="0.3">
      <c r="G1149" s="67"/>
      <c r="H1149" s="77"/>
      <c r="I1149" s="77"/>
      <c r="J1149" s="77"/>
      <c r="K1149" s="77"/>
      <c r="L1149" s="77"/>
      <c r="M1149" s="77"/>
      <c r="N1149" s="77"/>
      <c r="O1149" s="77"/>
      <c r="P1149" s="77"/>
      <c r="Q1149" s="77"/>
    </row>
    <row r="1150" spans="7:17" x14ac:dyDescent="0.3">
      <c r="G1150" s="66"/>
      <c r="H1150" s="78"/>
      <c r="I1150" s="78"/>
      <c r="J1150" s="78"/>
      <c r="K1150" s="78"/>
      <c r="L1150" s="78"/>
      <c r="M1150" s="78"/>
      <c r="N1150" s="78"/>
      <c r="O1150" s="78"/>
      <c r="P1150" s="78"/>
      <c r="Q1150" s="78"/>
    </row>
    <row r="1151" spans="7:17" x14ac:dyDescent="0.3">
      <c r="G1151" s="67"/>
      <c r="H1151" s="77"/>
      <c r="I1151" s="77"/>
      <c r="J1151" s="77"/>
      <c r="K1151" s="77"/>
      <c r="L1151" s="77"/>
      <c r="M1151" s="77"/>
      <c r="N1151" s="77"/>
      <c r="O1151" s="77"/>
      <c r="P1151" s="77"/>
      <c r="Q1151" s="77"/>
    </row>
    <row r="1152" spans="7:17" x14ac:dyDescent="0.3">
      <c r="G1152" s="66"/>
      <c r="H1152" s="78"/>
      <c r="I1152" s="78"/>
      <c r="J1152" s="78"/>
      <c r="K1152" s="78"/>
      <c r="L1152" s="78"/>
      <c r="M1152" s="78"/>
      <c r="N1152" s="78"/>
      <c r="O1152" s="78"/>
      <c r="P1152" s="78"/>
      <c r="Q1152" s="78"/>
    </row>
    <row r="1153" spans="7:17" x14ac:dyDescent="0.3">
      <c r="G1153" s="67"/>
      <c r="H1153" s="77"/>
      <c r="I1153" s="77"/>
      <c r="J1153" s="77"/>
      <c r="K1153" s="77"/>
      <c r="L1153" s="77"/>
      <c r="M1153" s="77"/>
      <c r="N1153" s="77"/>
      <c r="O1153" s="77"/>
      <c r="P1153" s="77"/>
      <c r="Q1153" s="77"/>
    </row>
    <row r="1154" spans="7:17" x14ac:dyDescent="0.3">
      <c r="G1154" s="66"/>
      <c r="H1154" s="78"/>
      <c r="I1154" s="78"/>
      <c r="J1154" s="78"/>
      <c r="K1154" s="78"/>
      <c r="L1154" s="78"/>
      <c r="M1154" s="78"/>
      <c r="N1154" s="78"/>
      <c r="O1154" s="78"/>
      <c r="P1154" s="78"/>
      <c r="Q1154" s="78"/>
    </row>
    <row r="1155" spans="7:17" x14ac:dyDescent="0.3">
      <c r="G1155" s="67"/>
      <c r="H1155" s="77"/>
      <c r="I1155" s="77"/>
      <c r="J1155" s="77"/>
      <c r="K1155" s="77"/>
      <c r="L1155" s="77"/>
      <c r="M1155" s="77"/>
      <c r="N1155" s="77"/>
      <c r="O1155" s="77"/>
      <c r="P1155" s="77"/>
      <c r="Q1155" s="77"/>
    </row>
    <row r="1156" spans="7:17" x14ac:dyDescent="0.3">
      <c r="G1156" s="66"/>
      <c r="H1156" s="78"/>
      <c r="I1156" s="78"/>
      <c r="J1156" s="78"/>
      <c r="K1156" s="78"/>
      <c r="L1156" s="78"/>
      <c r="M1156" s="78"/>
      <c r="N1156" s="78"/>
      <c r="O1156" s="78"/>
      <c r="P1156" s="78"/>
      <c r="Q1156" s="78"/>
    </row>
    <row r="1157" spans="7:17" x14ac:dyDescent="0.3">
      <c r="G1157" s="67"/>
      <c r="H1157" s="77"/>
      <c r="I1157" s="77"/>
      <c r="J1157" s="77"/>
      <c r="K1157" s="77"/>
      <c r="L1157" s="77"/>
      <c r="M1157" s="77"/>
      <c r="N1157" s="77"/>
      <c r="O1157" s="77"/>
      <c r="P1157" s="77"/>
      <c r="Q1157" s="77"/>
    </row>
    <row r="1158" spans="7:17" x14ac:dyDescent="0.3">
      <c r="G1158" s="66"/>
      <c r="H1158" s="78"/>
      <c r="I1158" s="78"/>
      <c r="J1158" s="78"/>
      <c r="K1158" s="78"/>
      <c r="L1158" s="78"/>
      <c r="M1158" s="78"/>
      <c r="N1158" s="78"/>
      <c r="O1158" s="78"/>
      <c r="P1158" s="78"/>
      <c r="Q1158" s="78"/>
    </row>
    <row r="1159" spans="7:17" x14ac:dyDescent="0.3">
      <c r="G1159" s="67"/>
      <c r="H1159" s="77"/>
      <c r="I1159" s="77"/>
      <c r="J1159" s="77"/>
      <c r="K1159" s="77"/>
      <c r="L1159" s="77"/>
      <c r="M1159" s="77"/>
      <c r="N1159" s="77"/>
      <c r="O1159" s="77"/>
      <c r="P1159" s="77"/>
      <c r="Q1159" s="77"/>
    </row>
    <row r="1160" spans="7:17" x14ac:dyDescent="0.3">
      <c r="G1160" s="66"/>
      <c r="H1160" s="78"/>
      <c r="I1160" s="78"/>
      <c r="J1160" s="78"/>
      <c r="K1160" s="78"/>
      <c r="L1160" s="78"/>
      <c r="M1160" s="78"/>
      <c r="N1160" s="78"/>
      <c r="O1160" s="78"/>
      <c r="P1160" s="78"/>
      <c r="Q1160" s="78"/>
    </row>
    <row r="1161" spans="7:17" x14ac:dyDescent="0.3">
      <c r="G1161" s="67"/>
      <c r="H1161" s="77"/>
      <c r="I1161" s="77"/>
      <c r="J1161" s="77"/>
      <c r="K1161" s="77"/>
      <c r="L1161" s="77"/>
      <c r="M1161" s="77"/>
      <c r="N1161" s="77"/>
      <c r="O1161" s="77"/>
      <c r="P1161" s="77"/>
      <c r="Q1161" s="77"/>
    </row>
    <row r="1162" spans="7:17" x14ac:dyDescent="0.3">
      <c r="G1162" s="66"/>
      <c r="H1162" s="78"/>
      <c r="I1162" s="78"/>
      <c r="J1162" s="78"/>
      <c r="K1162" s="78"/>
      <c r="L1162" s="78"/>
      <c r="M1162" s="78"/>
      <c r="N1162" s="78"/>
      <c r="O1162" s="78"/>
      <c r="P1162" s="78"/>
      <c r="Q1162" s="78"/>
    </row>
    <row r="1163" spans="7:17" x14ac:dyDescent="0.3">
      <c r="G1163" s="67"/>
      <c r="H1163" s="77"/>
      <c r="I1163" s="77"/>
      <c r="J1163" s="77"/>
      <c r="K1163" s="77"/>
      <c r="L1163" s="77"/>
      <c r="M1163" s="77"/>
      <c r="N1163" s="77"/>
      <c r="O1163" s="77"/>
      <c r="P1163" s="77"/>
      <c r="Q1163" s="77"/>
    </row>
    <row r="1164" spans="7:17" x14ac:dyDescent="0.3">
      <c r="G1164" s="66"/>
      <c r="H1164" s="78"/>
      <c r="I1164" s="78"/>
      <c r="J1164" s="78"/>
      <c r="K1164" s="78"/>
      <c r="L1164" s="78"/>
      <c r="M1164" s="78"/>
      <c r="N1164" s="78"/>
      <c r="O1164" s="78"/>
      <c r="P1164" s="78"/>
      <c r="Q1164" s="78"/>
    </row>
    <row r="1165" spans="7:17" x14ac:dyDescent="0.3">
      <c r="G1165" s="67"/>
      <c r="H1165" s="77"/>
      <c r="I1165" s="77"/>
      <c r="J1165" s="77"/>
      <c r="K1165" s="77"/>
      <c r="L1165" s="77"/>
      <c r="M1165" s="77"/>
      <c r="N1165" s="77"/>
      <c r="O1165" s="77"/>
      <c r="P1165" s="77"/>
      <c r="Q1165" s="77"/>
    </row>
    <row r="1166" spans="7:17" x14ac:dyDescent="0.3">
      <c r="G1166" s="66"/>
      <c r="H1166" s="78"/>
      <c r="I1166" s="78"/>
      <c r="J1166" s="78"/>
      <c r="K1166" s="78"/>
      <c r="L1166" s="78"/>
      <c r="M1166" s="78"/>
      <c r="N1166" s="78"/>
      <c r="O1166" s="78"/>
      <c r="P1166" s="78"/>
      <c r="Q1166" s="78"/>
    </row>
    <row r="1167" spans="7:17" x14ac:dyDescent="0.3">
      <c r="G1167" s="67"/>
      <c r="H1167" s="77"/>
      <c r="I1167" s="77"/>
      <c r="J1167" s="77"/>
      <c r="K1167" s="77"/>
      <c r="L1167" s="77"/>
      <c r="M1167" s="77"/>
      <c r="N1167" s="77"/>
      <c r="O1167" s="77"/>
      <c r="P1167" s="77"/>
      <c r="Q1167" s="77"/>
    </row>
    <row r="1168" spans="7:17" x14ac:dyDescent="0.3">
      <c r="G1168" s="66"/>
      <c r="H1168" s="78"/>
      <c r="I1168" s="78"/>
      <c r="J1168" s="78"/>
      <c r="K1168" s="78"/>
      <c r="L1168" s="78"/>
      <c r="M1168" s="78"/>
      <c r="N1168" s="78"/>
      <c r="O1168" s="78"/>
      <c r="P1168" s="78"/>
      <c r="Q1168" s="78"/>
    </row>
    <row r="1169" spans="7:17" x14ac:dyDescent="0.3">
      <c r="G1169" s="67"/>
      <c r="H1169" s="77"/>
      <c r="I1169" s="77"/>
      <c r="J1169" s="77"/>
      <c r="K1169" s="77"/>
      <c r="L1169" s="77"/>
      <c r="M1169" s="77"/>
      <c r="N1169" s="77"/>
      <c r="O1169" s="77"/>
      <c r="P1169" s="77"/>
      <c r="Q1169" s="77"/>
    </row>
    <row r="1170" spans="7:17" x14ac:dyDescent="0.3">
      <c r="G1170" s="66"/>
      <c r="H1170" s="78"/>
      <c r="I1170" s="78"/>
      <c r="J1170" s="78"/>
      <c r="K1170" s="78"/>
      <c r="L1170" s="78"/>
      <c r="M1170" s="78"/>
      <c r="N1170" s="78"/>
      <c r="O1170" s="78"/>
      <c r="P1170" s="78"/>
      <c r="Q1170" s="78"/>
    </row>
    <row r="1171" spans="7:17" x14ac:dyDescent="0.3">
      <c r="G1171" s="67"/>
      <c r="H1171" s="77"/>
      <c r="I1171" s="77"/>
      <c r="J1171" s="77"/>
      <c r="K1171" s="77"/>
      <c r="L1171" s="77"/>
      <c r="M1171" s="77"/>
      <c r="N1171" s="77"/>
      <c r="O1171" s="77"/>
      <c r="P1171" s="77"/>
      <c r="Q1171" s="77"/>
    </row>
    <row r="1172" spans="7:17" x14ac:dyDescent="0.3">
      <c r="G1172" s="66"/>
      <c r="H1172" s="78"/>
      <c r="I1172" s="78"/>
      <c r="J1172" s="78"/>
      <c r="K1172" s="78"/>
      <c r="L1172" s="78"/>
      <c r="M1172" s="78"/>
      <c r="N1172" s="78"/>
      <c r="O1172" s="78"/>
      <c r="P1172" s="78"/>
      <c r="Q1172" s="78"/>
    </row>
    <row r="1173" spans="7:17" x14ac:dyDescent="0.3">
      <c r="G1173" s="67"/>
      <c r="H1173" s="77"/>
      <c r="I1173" s="77"/>
      <c r="J1173" s="77"/>
      <c r="K1173" s="77"/>
      <c r="L1173" s="77"/>
      <c r="M1173" s="77"/>
      <c r="N1173" s="77"/>
      <c r="O1173" s="77"/>
      <c r="P1173" s="77"/>
      <c r="Q1173" s="77"/>
    </row>
    <row r="1174" spans="7:17" x14ac:dyDescent="0.3">
      <c r="G1174" s="66"/>
      <c r="H1174" s="78"/>
      <c r="I1174" s="78"/>
      <c r="J1174" s="78"/>
      <c r="K1174" s="78"/>
      <c r="L1174" s="78"/>
      <c r="M1174" s="78"/>
      <c r="N1174" s="78"/>
      <c r="O1174" s="78"/>
      <c r="P1174" s="78"/>
      <c r="Q1174" s="78"/>
    </row>
    <row r="1175" spans="7:17" x14ac:dyDescent="0.3">
      <c r="G1175" s="67"/>
      <c r="H1175" s="77"/>
      <c r="I1175" s="77"/>
      <c r="J1175" s="77"/>
      <c r="K1175" s="77"/>
      <c r="L1175" s="77"/>
      <c r="M1175" s="77"/>
      <c r="N1175" s="77"/>
      <c r="O1175" s="77"/>
      <c r="P1175" s="77"/>
      <c r="Q1175" s="77"/>
    </row>
    <row r="1176" spans="7:17" x14ac:dyDescent="0.3">
      <c r="G1176" s="66"/>
      <c r="H1176" s="78"/>
      <c r="I1176" s="78"/>
      <c r="J1176" s="78"/>
      <c r="K1176" s="78"/>
      <c r="L1176" s="78"/>
      <c r="M1176" s="78"/>
      <c r="N1176" s="78"/>
      <c r="O1176" s="78"/>
      <c r="P1176" s="78"/>
      <c r="Q1176" s="78"/>
    </row>
    <row r="1177" spans="7:17" x14ac:dyDescent="0.3">
      <c r="G1177" s="67"/>
      <c r="H1177" s="77"/>
      <c r="I1177" s="77"/>
      <c r="J1177" s="77"/>
      <c r="K1177" s="77"/>
      <c r="L1177" s="77"/>
      <c r="M1177" s="77"/>
      <c r="N1177" s="77"/>
      <c r="O1177" s="77"/>
      <c r="P1177" s="77"/>
      <c r="Q1177" s="77"/>
    </row>
    <row r="1178" spans="7:17" x14ac:dyDescent="0.3">
      <c r="G1178" s="66"/>
      <c r="H1178" s="78"/>
      <c r="I1178" s="78"/>
      <c r="J1178" s="78"/>
      <c r="K1178" s="78"/>
      <c r="L1178" s="78"/>
      <c r="M1178" s="78"/>
      <c r="N1178" s="78"/>
      <c r="O1178" s="78"/>
      <c r="P1178" s="78"/>
      <c r="Q1178" s="78"/>
    </row>
    <row r="1179" spans="7:17" x14ac:dyDescent="0.3">
      <c r="G1179" s="67"/>
      <c r="H1179" s="77"/>
      <c r="I1179" s="77"/>
      <c r="J1179" s="77"/>
      <c r="K1179" s="77"/>
      <c r="L1179" s="77"/>
      <c r="M1179" s="77"/>
      <c r="N1179" s="77"/>
      <c r="O1179" s="77"/>
      <c r="P1179" s="77"/>
      <c r="Q1179" s="77"/>
    </row>
    <row r="1180" spans="7:17" x14ac:dyDescent="0.3">
      <c r="G1180" s="66"/>
      <c r="H1180" s="78"/>
      <c r="I1180" s="78"/>
      <c r="J1180" s="78"/>
      <c r="K1180" s="78"/>
      <c r="L1180" s="78"/>
      <c r="M1180" s="78"/>
      <c r="N1180" s="78"/>
      <c r="O1180" s="78"/>
      <c r="P1180" s="78"/>
      <c r="Q1180" s="78"/>
    </row>
    <row r="1181" spans="7:17" x14ac:dyDescent="0.3">
      <c r="G1181" s="67"/>
      <c r="H1181" s="77"/>
      <c r="I1181" s="77"/>
      <c r="J1181" s="77"/>
      <c r="K1181" s="77"/>
      <c r="L1181" s="77"/>
      <c r="M1181" s="77"/>
      <c r="N1181" s="77"/>
      <c r="O1181" s="77"/>
      <c r="P1181" s="77"/>
      <c r="Q1181" s="77"/>
    </row>
    <row r="1182" spans="7:17" x14ac:dyDescent="0.3">
      <c r="G1182" s="66"/>
      <c r="H1182" s="78"/>
      <c r="I1182" s="78"/>
      <c r="J1182" s="78"/>
      <c r="K1182" s="78"/>
      <c r="L1182" s="78"/>
      <c r="M1182" s="78"/>
      <c r="N1182" s="78"/>
      <c r="O1182" s="78"/>
      <c r="P1182" s="78"/>
      <c r="Q1182" s="78"/>
    </row>
    <row r="1183" spans="7:17" x14ac:dyDescent="0.3">
      <c r="G1183" s="67"/>
      <c r="H1183" s="77"/>
      <c r="I1183" s="77"/>
      <c r="J1183" s="77"/>
      <c r="K1183" s="77"/>
      <c r="L1183" s="77"/>
      <c r="M1183" s="77"/>
      <c r="N1183" s="77"/>
      <c r="O1183" s="77"/>
      <c r="P1183" s="77"/>
      <c r="Q1183" s="77"/>
    </row>
    <row r="1184" spans="7:17" x14ac:dyDescent="0.3">
      <c r="G1184" s="66"/>
      <c r="H1184" s="78"/>
      <c r="I1184" s="78"/>
      <c r="J1184" s="78"/>
      <c r="K1184" s="78"/>
      <c r="L1184" s="78"/>
      <c r="M1184" s="78"/>
      <c r="N1184" s="78"/>
      <c r="O1184" s="78"/>
      <c r="P1184" s="78"/>
      <c r="Q1184" s="78"/>
    </row>
    <row r="1185" spans="7:17" x14ac:dyDescent="0.3">
      <c r="G1185" s="67"/>
      <c r="H1185" s="77"/>
      <c r="I1185" s="77"/>
      <c r="J1185" s="77"/>
      <c r="K1185" s="77"/>
      <c r="L1185" s="77"/>
      <c r="M1185" s="77"/>
      <c r="N1185" s="77"/>
      <c r="O1185" s="77"/>
      <c r="P1185" s="77"/>
      <c r="Q1185" s="77"/>
    </row>
    <row r="1186" spans="7:17" x14ac:dyDescent="0.3">
      <c r="G1186" s="66"/>
      <c r="H1186" s="78"/>
      <c r="I1186" s="78"/>
      <c r="J1186" s="78"/>
      <c r="K1186" s="78"/>
      <c r="L1186" s="78"/>
      <c r="M1186" s="78"/>
      <c r="N1186" s="78"/>
      <c r="O1186" s="78"/>
      <c r="P1186" s="78"/>
      <c r="Q1186" s="78"/>
    </row>
    <row r="1187" spans="7:17" x14ac:dyDescent="0.3">
      <c r="G1187" s="67"/>
      <c r="H1187" s="77"/>
      <c r="I1187" s="77"/>
      <c r="J1187" s="77"/>
      <c r="K1187" s="77"/>
      <c r="L1187" s="77"/>
      <c r="M1187" s="77"/>
      <c r="N1187" s="77"/>
      <c r="O1187" s="77"/>
      <c r="P1187" s="77"/>
      <c r="Q1187" s="77"/>
    </row>
    <row r="1188" spans="7:17" x14ac:dyDescent="0.3">
      <c r="G1188" s="66"/>
      <c r="H1188" s="78"/>
      <c r="I1188" s="78"/>
      <c r="J1188" s="78"/>
      <c r="K1188" s="78"/>
      <c r="L1188" s="78"/>
      <c r="M1188" s="78"/>
      <c r="N1188" s="78"/>
      <c r="O1188" s="78"/>
      <c r="P1188" s="78"/>
      <c r="Q1188" s="78"/>
    </row>
    <row r="1189" spans="7:17" x14ac:dyDescent="0.3">
      <c r="G1189" s="67"/>
      <c r="H1189" s="77"/>
      <c r="I1189" s="77"/>
      <c r="J1189" s="77"/>
      <c r="K1189" s="77"/>
      <c r="L1189" s="77"/>
      <c r="M1189" s="77"/>
      <c r="N1189" s="77"/>
      <c r="O1189" s="77"/>
      <c r="P1189" s="77"/>
      <c r="Q1189" s="77"/>
    </row>
    <row r="1190" spans="7:17" x14ac:dyDescent="0.3">
      <c r="G1190" s="66"/>
      <c r="H1190" s="78"/>
      <c r="I1190" s="78"/>
      <c r="J1190" s="78"/>
      <c r="K1190" s="78"/>
      <c r="L1190" s="78"/>
      <c r="M1190" s="78"/>
      <c r="N1190" s="78"/>
      <c r="O1190" s="78"/>
      <c r="P1190" s="78"/>
      <c r="Q1190" s="78"/>
    </row>
    <row r="1191" spans="7:17" x14ac:dyDescent="0.3">
      <c r="G1191" s="67"/>
      <c r="H1191" s="77"/>
      <c r="I1191" s="77"/>
      <c r="J1191" s="77"/>
      <c r="K1191" s="77"/>
      <c r="L1191" s="77"/>
      <c r="M1191" s="77"/>
      <c r="N1191" s="77"/>
      <c r="O1191" s="77"/>
      <c r="P1191" s="77"/>
      <c r="Q1191" s="77"/>
    </row>
    <row r="1192" spans="7:17" x14ac:dyDescent="0.3">
      <c r="G1192" s="66"/>
      <c r="H1192" s="78"/>
      <c r="I1192" s="78"/>
      <c r="J1192" s="78"/>
      <c r="K1192" s="78"/>
      <c r="L1192" s="78"/>
      <c r="M1192" s="78"/>
      <c r="N1192" s="78"/>
      <c r="O1192" s="78"/>
      <c r="P1192" s="78"/>
      <c r="Q1192" s="78"/>
    </row>
    <row r="1193" spans="7:17" x14ac:dyDescent="0.3">
      <c r="G1193" s="67"/>
      <c r="H1193" s="77"/>
      <c r="I1193" s="77"/>
      <c r="J1193" s="77"/>
      <c r="K1193" s="77"/>
      <c r="L1193" s="77"/>
      <c r="M1193" s="77"/>
      <c r="N1193" s="77"/>
      <c r="O1193" s="77"/>
      <c r="P1193" s="77"/>
      <c r="Q1193" s="77"/>
    </row>
    <row r="1194" spans="7:17" x14ac:dyDescent="0.3">
      <c r="G1194" s="66"/>
      <c r="H1194" s="78"/>
      <c r="I1194" s="78"/>
      <c r="J1194" s="78"/>
      <c r="K1194" s="78"/>
      <c r="L1194" s="78"/>
      <c r="M1194" s="78"/>
      <c r="N1194" s="78"/>
      <c r="O1194" s="78"/>
      <c r="P1194" s="78"/>
      <c r="Q1194" s="78"/>
    </row>
    <row r="1195" spans="7:17" x14ac:dyDescent="0.3">
      <c r="G1195" s="67"/>
      <c r="H1195" s="77"/>
      <c r="I1195" s="77"/>
      <c r="J1195" s="77"/>
      <c r="K1195" s="77"/>
      <c r="L1195" s="77"/>
      <c r="M1195" s="77"/>
      <c r="N1195" s="77"/>
      <c r="O1195" s="77"/>
      <c r="P1195" s="77"/>
      <c r="Q1195" s="77"/>
    </row>
    <row r="1196" spans="7:17" x14ac:dyDescent="0.3">
      <c r="G1196" s="66"/>
      <c r="H1196" s="78"/>
      <c r="I1196" s="78"/>
      <c r="J1196" s="78"/>
      <c r="K1196" s="78"/>
      <c r="L1196" s="78"/>
      <c r="M1196" s="78"/>
      <c r="N1196" s="78"/>
      <c r="O1196" s="78"/>
      <c r="P1196" s="78"/>
      <c r="Q1196" s="78"/>
    </row>
    <row r="1197" spans="7:17" x14ac:dyDescent="0.3">
      <c r="G1197" s="67"/>
      <c r="H1197" s="77"/>
      <c r="I1197" s="77"/>
      <c r="J1197" s="77"/>
      <c r="K1197" s="77"/>
      <c r="L1197" s="77"/>
      <c r="M1197" s="77"/>
      <c r="N1197" s="77"/>
      <c r="O1197" s="77"/>
      <c r="P1197" s="77"/>
      <c r="Q1197" s="77"/>
    </row>
    <row r="1198" spans="7:17" x14ac:dyDescent="0.3">
      <c r="G1198" s="66"/>
      <c r="H1198" s="78"/>
      <c r="I1198" s="78"/>
      <c r="J1198" s="78"/>
      <c r="K1198" s="78"/>
      <c r="L1198" s="78"/>
      <c r="M1198" s="78"/>
      <c r="N1198" s="78"/>
      <c r="O1198" s="78"/>
      <c r="P1198" s="78"/>
      <c r="Q1198" s="78"/>
    </row>
    <row r="1199" spans="7:17" x14ac:dyDescent="0.3">
      <c r="G1199" s="67"/>
      <c r="H1199" s="77"/>
      <c r="I1199" s="77"/>
      <c r="J1199" s="77"/>
      <c r="K1199" s="77"/>
      <c r="L1199" s="77"/>
      <c r="M1199" s="77"/>
      <c r="N1199" s="77"/>
      <c r="O1199" s="77"/>
      <c r="P1199" s="77"/>
      <c r="Q1199" s="77"/>
    </row>
    <row r="1200" spans="7:17" x14ac:dyDescent="0.3">
      <c r="G1200" s="66"/>
      <c r="H1200" s="78"/>
      <c r="I1200" s="78"/>
      <c r="J1200" s="78"/>
      <c r="K1200" s="78"/>
      <c r="L1200" s="78"/>
      <c r="M1200" s="78"/>
      <c r="N1200" s="78"/>
      <c r="O1200" s="78"/>
      <c r="P1200" s="78"/>
      <c r="Q1200" s="78"/>
    </row>
    <row r="1201" spans="7:17" x14ac:dyDescent="0.3">
      <c r="G1201" s="67"/>
      <c r="H1201" s="77"/>
      <c r="I1201" s="77"/>
      <c r="J1201" s="77"/>
      <c r="K1201" s="77"/>
      <c r="L1201" s="77"/>
      <c r="M1201" s="77"/>
      <c r="N1201" s="77"/>
      <c r="O1201" s="77"/>
      <c r="P1201" s="77"/>
      <c r="Q1201" s="77"/>
    </row>
    <row r="1202" spans="7:17" x14ac:dyDescent="0.3">
      <c r="G1202" s="66"/>
      <c r="H1202" s="78"/>
      <c r="I1202" s="78"/>
      <c r="J1202" s="78"/>
      <c r="K1202" s="78"/>
      <c r="L1202" s="78"/>
      <c r="M1202" s="78"/>
      <c r="N1202" s="78"/>
      <c r="O1202" s="78"/>
      <c r="P1202" s="78"/>
      <c r="Q1202" s="78"/>
    </row>
    <row r="1203" spans="7:17" x14ac:dyDescent="0.3">
      <c r="G1203" s="67"/>
      <c r="H1203" s="77"/>
      <c r="I1203" s="77"/>
      <c r="J1203" s="77"/>
      <c r="K1203" s="77"/>
      <c r="L1203" s="77"/>
      <c r="M1203" s="77"/>
      <c r="N1203" s="77"/>
      <c r="O1203" s="77"/>
      <c r="P1203" s="77"/>
      <c r="Q1203" s="77"/>
    </row>
    <row r="1204" spans="7:17" x14ac:dyDescent="0.3">
      <c r="G1204" s="66"/>
      <c r="H1204" s="78"/>
      <c r="I1204" s="78"/>
      <c r="J1204" s="78"/>
      <c r="K1204" s="78"/>
      <c r="L1204" s="78"/>
      <c r="M1204" s="78"/>
      <c r="N1204" s="78"/>
      <c r="O1204" s="78"/>
      <c r="P1204" s="78"/>
      <c r="Q1204" s="78"/>
    </row>
    <row r="1205" spans="7:17" x14ac:dyDescent="0.3">
      <c r="G1205" s="67"/>
      <c r="H1205" s="77"/>
      <c r="I1205" s="77"/>
      <c r="J1205" s="77"/>
      <c r="K1205" s="77"/>
      <c r="L1205" s="77"/>
      <c r="M1205" s="77"/>
      <c r="N1205" s="77"/>
      <c r="O1205" s="77"/>
      <c r="P1205" s="77"/>
      <c r="Q1205" s="77"/>
    </row>
    <row r="1206" spans="7:17" x14ac:dyDescent="0.3">
      <c r="G1206" s="66"/>
      <c r="H1206" s="78"/>
      <c r="I1206" s="78"/>
      <c r="J1206" s="78"/>
      <c r="K1206" s="78"/>
      <c r="L1206" s="78"/>
      <c r="M1206" s="78"/>
      <c r="N1206" s="78"/>
      <c r="O1206" s="78"/>
      <c r="P1206" s="78"/>
      <c r="Q1206" s="78"/>
    </row>
    <row r="1207" spans="7:17" x14ac:dyDescent="0.3">
      <c r="G1207" s="67"/>
      <c r="H1207" s="77"/>
      <c r="I1207" s="77"/>
      <c r="J1207" s="77"/>
      <c r="K1207" s="77"/>
      <c r="L1207" s="77"/>
      <c r="M1207" s="77"/>
      <c r="N1207" s="77"/>
      <c r="O1207" s="77"/>
      <c r="P1207" s="77"/>
      <c r="Q1207" s="77"/>
    </row>
    <row r="1208" spans="7:17" x14ac:dyDescent="0.3">
      <c r="G1208" s="66"/>
      <c r="H1208" s="78"/>
      <c r="I1208" s="78"/>
      <c r="J1208" s="78"/>
      <c r="K1208" s="78"/>
      <c r="L1208" s="78"/>
      <c r="M1208" s="78"/>
      <c r="N1208" s="78"/>
      <c r="O1208" s="78"/>
      <c r="P1208" s="78"/>
      <c r="Q1208" s="78"/>
    </row>
    <row r="1209" spans="7:17" x14ac:dyDescent="0.3">
      <c r="G1209" s="67"/>
      <c r="H1209" s="77"/>
      <c r="I1209" s="77"/>
      <c r="J1209" s="77"/>
      <c r="K1209" s="77"/>
      <c r="L1209" s="77"/>
      <c r="M1209" s="77"/>
      <c r="N1209" s="77"/>
      <c r="O1209" s="77"/>
      <c r="P1209" s="77"/>
      <c r="Q1209" s="77"/>
    </row>
    <row r="1210" spans="7:17" x14ac:dyDescent="0.3">
      <c r="G1210" s="66"/>
      <c r="H1210" s="78"/>
      <c r="I1210" s="78"/>
      <c r="J1210" s="78"/>
      <c r="K1210" s="78"/>
      <c r="L1210" s="78"/>
      <c r="M1210" s="78"/>
      <c r="N1210" s="78"/>
      <c r="O1210" s="78"/>
      <c r="P1210" s="78"/>
      <c r="Q1210" s="78"/>
    </row>
    <row r="1211" spans="7:17" x14ac:dyDescent="0.3">
      <c r="G1211" s="67"/>
      <c r="H1211" s="77"/>
      <c r="I1211" s="77"/>
      <c r="J1211" s="77"/>
      <c r="K1211" s="77"/>
      <c r="L1211" s="77"/>
      <c r="M1211" s="77"/>
      <c r="N1211" s="77"/>
      <c r="O1211" s="77"/>
      <c r="P1211" s="77"/>
      <c r="Q1211" s="77"/>
    </row>
    <row r="1212" spans="7:17" x14ac:dyDescent="0.3">
      <c r="G1212" s="66"/>
      <c r="H1212" s="78"/>
      <c r="I1212" s="78"/>
      <c r="J1212" s="78"/>
      <c r="K1212" s="78"/>
      <c r="L1212" s="78"/>
      <c r="M1212" s="78"/>
      <c r="N1212" s="78"/>
      <c r="O1212" s="78"/>
      <c r="P1212" s="78"/>
      <c r="Q1212" s="78"/>
    </row>
    <row r="1213" spans="7:17" x14ac:dyDescent="0.3">
      <c r="G1213" s="67"/>
      <c r="H1213" s="77"/>
      <c r="I1213" s="77"/>
      <c r="J1213" s="77"/>
      <c r="K1213" s="77"/>
      <c r="L1213" s="77"/>
      <c r="M1213" s="77"/>
      <c r="N1213" s="77"/>
      <c r="O1213" s="77"/>
      <c r="P1213" s="77"/>
      <c r="Q1213" s="77"/>
    </row>
    <row r="1214" spans="7:17" x14ac:dyDescent="0.3">
      <c r="G1214" s="66"/>
      <c r="H1214" s="78"/>
      <c r="I1214" s="78"/>
      <c r="J1214" s="78"/>
      <c r="K1214" s="78"/>
      <c r="L1214" s="78"/>
      <c r="M1214" s="78"/>
      <c r="N1214" s="78"/>
      <c r="O1214" s="78"/>
      <c r="P1214" s="78"/>
      <c r="Q1214" s="78"/>
    </row>
    <row r="1215" spans="7:17" x14ac:dyDescent="0.3">
      <c r="G1215" s="67"/>
      <c r="H1215" s="77"/>
      <c r="I1215" s="77"/>
      <c r="J1215" s="77"/>
      <c r="K1215" s="77"/>
      <c r="L1215" s="77"/>
      <c r="M1215" s="77"/>
      <c r="N1215" s="77"/>
      <c r="O1215" s="77"/>
      <c r="P1215" s="77"/>
      <c r="Q1215" s="77"/>
    </row>
    <row r="1216" spans="7:17" x14ac:dyDescent="0.3">
      <c r="G1216" s="66"/>
      <c r="H1216" s="78"/>
      <c r="I1216" s="78"/>
      <c r="J1216" s="78"/>
      <c r="K1216" s="78"/>
      <c r="L1216" s="78"/>
      <c r="M1216" s="78"/>
      <c r="N1216" s="78"/>
      <c r="O1216" s="78"/>
      <c r="P1216" s="78"/>
      <c r="Q1216" s="78"/>
    </row>
    <row r="1217" spans="7:17" x14ac:dyDescent="0.3">
      <c r="G1217" s="67"/>
      <c r="H1217" s="77"/>
      <c r="I1217" s="77"/>
      <c r="J1217" s="77"/>
      <c r="K1217" s="77"/>
      <c r="L1217" s="77"/>
      <c r="M1217" s="77"/>
      <c r="N1217" s="77"/>
      <c r="O1217" s="77"/>
      <c r="P1217" s="77"/>
      <c r="Q1217" s="77"/>
    </row>
    <row r="1218" spans="7:17" x14ac:dyDescent="0.3">
      <c r="G1218" s="66"/>
      <c r="H1218" s="78"/>
      <c r="I1218" s="78"/>
      <c r="J1218" s="78"/>
      <c r="K1218" s="78"/>
      <c r="L1218" s="78"/>
      <c r="M1218" s="78"/>
      <c r="N1218" s="78"/>
      <c r="O1218" s="78"/>
      <c r="P1218" s="78"/>
      <c r="Q1218" s="78"/>
    </row>
    <row r="1219" spans="7:17" x14ac:dyDescent="0.3">
      <c r="G1219" s="67"/>
      <c r="H1219" s="77"/>
      <c r="I1219" s="77"/>
      <c r="J1219" s="77"/>
      <c r="K1219" s="77"/>
      <c r="L1219" s="77"/>
      <c r="M1219" s="77"/>
      <c r="N1219" s="77"/>
      <c r="O1219" s="77"/>
      <c r="P1219" s="77"/>
      <c r="Q1219" s="77"/>
    </row>
    <row r="1220" spans="7:17" x14ac:dyDescent="0.3">
      <c r="G1220" s="66"/>
      <c r="H1220" s="78"/>
      <c r="I1220" s="78"/>
      <c r="J1220" s="78"/>
      <c r="K1220" s="78"/>
      <c r="L1220" s="78"/>
      <c r="M1220" s="78"/>
      <c r="N1220" s="78"/>
      <c r="O1220" s="78"/>
      <c r="P1220" s="78"/>
      <c r="Q1220" s="78"/>
    </row>
    <row r="1221" spans="7:17" x14ac:dyDescent="0.3">
      <c r="G1221" s="67"/>
      <c r="H1221" s="77"/>
      <c r="I1221" s="77"/>
      <c r="J1221" s="77"/>
      <c r="K1221" s="77"/>
      <c r="L1221" s="77"/>
      <c r="M1221" s="77"/>
      <c r="N1221" s="77"/>
      <c r="O1221" s="77"/>
      <c r="P1221" s="77"/>
      <c r="Q1221" s="77"/>
    </row>
    <row r="1222" spans="7:17" x14ac:dyDescent="0.3">
      <c r="G1222" s="66"/>
      <c r="H1222" s="78"/>
      <c r="I1222" s="78"/>
      <c r="J1222" s="78"/>
      <c r="K1222" s="78"/>
      <c r="L1222" s="78"/>
      <c r="M1222" s="78"/>
      <c r="N1222" s="78"/>
      <c r="O1222" s="78"/>
      <c r="P1222" s="78"/>
      <c r="Q1222" s="78"/>
    </row>
    <row r="1223" spans="7:17" x14ac:dyDescent="0.3">
      <c r="G1223" s="67"/>
      <c r="H1223" s="77"/>
      <c r="I1223" s="77"/>
      <c r="J1223" s="77"/>
      <c r="K1223" s="77"/>
      <c r="L1223" s="77"/>
      <c r="M1223" s="77"/>
      <c r="N1223" s="77"/>
      <c r="O1223" s="77"/>
      <c r="P1223" s="77"/>
      <c r="Q1223" s="77"/>
    </row>
    <row r="1224" spans="7:17" x14ac:dyDescent="0.3">
      <c r="G1224" s="66"/>
      <c r="H1224" s="78"/>
      <c r="I1224" s="78"/>
      <c r="J1224" s="78"/>
      <c r="K1224" s="78"/>
      <c r="L1224" s="78"/>
      <c r="M1224" s="78"/>
      <c r="N1224" s="78"/>
      <c r="O1224" s="78"/>
      <c r="P1224" s="78"/>
      <c r="Q1224" s="78"/>
    </row>
    <row r="1225" spans="7:17" x14ac:dyDescent="0.3">
      <c r="G1225" s="67"/>
      <c r="H1225" s="77"/>
      <c r="I1225" s="77"/>
      <c r="J1225" s="77"/>
      <c r="K1225" s="77"/>
      <c r="L1225" s="77"/>
      <c r="M1225" s="77"/>
      <c r="N1225" s="77"/>
      <c r="O1225" s="77"/>
      <c r="P1225" s="77"/>
      <c r="Q1225" s="77"/>
    </row>
    <row r="1226" spans="7:17" x14ac:dyDescent="0.3">
      <c r="G1226" s="66"/>
      <c r="H1226" s="78"/>
      <c r="I1226" s="78"/>
      <c r="J1226" s="78"/>
      <c r="K1226" s="78"/>
      <c r="L1226" s="78"/>
      <c r="M1226" s="78"/>
      <c r="N1226" s="78"/>
      <c r="O1226" s="78"/>
      <c r="P1226" s="78"/>
      <c r="Q1226" s="78"/>
    </row>
    <row r="1227" spans="7:17" x14ac:dyDescent="0.3">
      <c r="G1227" s="67"/>
      <c r="H1227" s="77"/>
      <c r="I1227" s="77"/>
      <c r="J1227" s="77"/>
      <c r="K1227" s="77"/>
      <c r="L1227" s="77"/>
      <c r="M1227" s="77"/>
      <c r="N1227" s="77"/>
      <c r="O1227" s="77"/>
      <c r="P1227" s="77"/>
      <c r="Q1227" s="77"/>
    </row>
    <row r="1228" spans="7:17" x14ac:dyDescent="0.3">
      <c r="G1228" s="66"/>
      <c r="H1228" s="78"/>
      <c r="I1228" s="78"/>
      <c r="J1228" s="78"/>
      <c r="K1228" s="78"/>
      <c r="L1228" s="78"/>
      <c r="M1228" s="78"/>
      <c r="N1228" s="78"/>
      <c r="O1228" s="78"/>
      <c r="P1228" s="78"/>
      <c r="Q1228" s="78"/>
    </row>
    <row r="1229" spans="7:17" x14ac:dyDescent="0.3">
      <c r="G1229" s="67"/>
      <c r="H1229" s="77"/>
      <c r="I1229" s="77"/>
      <c r="J1229" s="77"/>
      <c r="K1229" s="77"/>
      <c r="L1229" s="77"/>
      <c r="M1229" s="77"/>
      <c r="N1229" s="77"/>
      <c r="O1229" s="77"/>
      <c r="P1229" s="77"/>
      <c r="Q1229" s="77"/>
    </row>
    <row r="1230" spans="7:17" x14ac:dyDescent="0.3">
      <c r="G1230" s="66"/>
      <c r="H1230" s="78"/>
      <c r="I1230" s="78"/>
      <c r="J1230" s="78"/>
      <c r="K1230" s="78"/>
      <c r="L1230" s="78"/>
      <c r="M1230" s="78"/>
      <c r="N1230" s="78"/>
      <c r="O1230" s="78"/>
      <c r="P1230" s="78"/>
      <c r="Q1230" s="78"/>
    </row>
    <row r="1231" spans="7:17" x14ac:dyDescent="0.3">
      <c r="G1231" s="67"/>
      <c r="H1231" s="77"/>
      <c r="I1231" s="77"/>
      <c r="J1231" s="77"/>
      <c r="K1231" s="77"/>
      <c r="L1231" s="77"/>
      <c r="M1231" s="77"/>
      <c r="N1231" s="77"/>
      <c r="O1231" s="77"/>
      <c r="P1231" s="77"/>
      <c r="Q1231" s="77"/>
    </row>
    <row r="1232" spans="7:17" x14ac:dyDescent="0.3">
      <c r="G1232" s="66"/>
      <c r="H1232" s="78"/>
      <c r="I1232" s="78"/>
      <c r="J1232" s="78"/>
      <c r="K1232" s="78"/>
      <c r="L1232" s="78"/>
      <c r="M1232" s="78"/>
      <c r="N1232" s="78"/>
      <c r="O1232" s="78"/>
      <c r="P1232" s="78"/>
      <c r="Q1232" s="78"/>
    </row>
    <row r="1233" spans="7:17" x14ac:dyDescent="0.3">
      <c r="G1233" s="67"/>
      <c r="H1233" s="77"/>
      <c r="I1233" s="77"/>
      <c r="J1233" s="77"/>
      <c r="K1233" s="77"/>
      <c r="L1233" s="77"/>
      <c r="M1233" s="77"/>
      <c r="N1233" s="77"/>
      <c r="O1233" s="77"/>
      <c r="P1233" s="77"/>
      <c r="Q1233" s="77"/>
    </row>
    <row r="1234" spans="7:17" x14ac:dyDescent="0.3">
      <c r="G1234" s="66"/>
      <c r="H1234" s="78"/>
      <c r="I1234" s="78"/>
      <c r="J1234" s="78"/>
      <c r="K1234" s="78"/>
      <c r="L1234" s="78"/>
      <c r="M1234" s="78"/>
      <c r="N1234" s="78"/>
      <c r="O1234" s="78"/>
      <c r="P1234" s="78"/>
      <c r="Q1234" s="78"/>
    </row>
    <row r="1235" spans="7:17" x14ac:dyDescent="0.3">
      <c r="G1235" s="67"/>
      <c r="H1235" s="77"/>
      <c r="I1235" s="77"/>
      <c r="J1235" s="77"/>
      <c r="K1235" s="77"/>
      <c r="L1235" s="77"/>
      <c r="M1235" s="77"/>
      <c r="N1235" s="77"/>
      <c r="O1235" s="77"/>
      <c r="P1235" s="77"/>
      <c r="Q1235" s="77"/>
    </row>
    <row r="1236" spans="7:17" x14ac:dyDescent="0.3">
      <c r="G1236" s="66"/>
      <c r="H1236" s="78"/>
      <c r="I1236" s="78"/>
      <c r="J1236" s="78"/>
      <c r="K1236" s="78"/>
      <c r="L1236" s="78"/>
      <c r="M1236" s="78"/>
      <c r="N1236" s="78"/>
      <c r="O1236" s="78"/>
      <c r="P1236" s="78"/>
      <c r="Q1236" s="78"/>
    </row>
    <row r="1237" spans="7:17" x14ac:dyDescent="0.3">
      <c r="G1237" s="67"/>
      <c r="H1237" s="77"/>
      <c r="I1237" s="77"/>
      <c r="J1237" s="77"/>
      <c r="K1237" s="77"/>
      <c r="L1237" s="77"/>
      <c r="M1237" s="77"/>
      <c r="N1237" s="77"/>
      <c r="O1237" s="77"/>
      <c r="P1237" s="77"/>
      <c r="Q1237" s="77"/>
    </row>
    <row r="1238" spans="7:17" x14ac:dyDescent="0.3">
      <c r="G1238" s="66"/>
      <c r="H1238" s="78"/>
      <c r="I1238" s="78"/>
      <c r="J1238" s="78"/>
      <c r="K1238" s="78"/>
      <c r="L1238" s="78"/>
      <c r="M1238" s="78"/>
      <c r="N1238" s="78"/>
      <c r="O1238" s="78"/>
      <c r="P1238" s="78"/>
      <c r="Q1238" s="78"/>
    </row>
    <row r="1239" spans="7:17" x14ac:dyDescent="0.3">
      <c r="G1239" s="67"/>
      <c r="H1239" s="77"/>
      <c r="I1239" s="77"/>
      <c r="J1239" s="77"/>
      <c r="K1239" s="77"/>
      <c r="L1239" s="77"/>
      <c r="M1239" s="77"/>
      <c r="N1239" s="77"/>
      <c r="O1239" s="77"/>
      <c r="P1239" s="77"/>
      <c r="Q1239" s="77"/>
    </row>
    <row r="1240" spans="7:17" x14ac:dyDescent="0.3">
      <c r="G1240" s="66"/>
      <c r="H1240" s="78"/>
      <c r="I1240" s="78"/>
      <c r="J1240" s="78"/>
      <c r="K1240" s="78"/>
      <c r="L1240" s="78"/>
      <c r="M1240" s="78"/>
      <c r="N1240" s="78"/>
      <c r="O1240" s="78"/>
      <c r="P1240" s="78"/>
      <c r="Q1240" s="78"/>
    </row>
    <row r="1241" spans="7:17" x14ac:dyDescent="0.3">
      <c r="G1241" s="67"/>
      <c r="H1241" s="77"/>
      <c r="I1241" s="77"/>
      <c r="J1241" s="77"/>
      <c r="K1241" s="77"/>
      <c r="L1241" s="77"/>
      <c r="M1241" s="77"/>
      <c r="N1241" s="77"/>
      <c r="O1241" s="77"/>
      <c r="P1241" s="77"/>
      <c r="Q1241" s="77"/>
    </row>
    <row r="1242" spans="7:17" x14ac:dyDescent="0.3">
      <c r="G1242" s="66"/>
      <c r="H1242" s="78"/>
      <c r="I1242" s="78"/>
      <c r="J1242" s="78"/>
      <c r="K1242" s="78"/>
      <c r="L1242" s="78"/>
      <c r="M1242" s="78"/>
      <c r="N1242" s="78"/>
      <c r="O1242" s="78"/>
      <c r="P1242" s="78"/>
      <c r="Q1242" s="78"/>
    </row>
    <row r="1243" spans="7:17" x14ac:dyDescent="0.3">
      <c r="G1243" s="67"/>
      <c r="H1243" s="77"/>
      <c r="I1243" s="77"/>
      <c r="J1243" s="77"/>
      <c r="K1243" s="77"/>
      <c r="L1243" s="77"/>
      <c r="M1243" s="77"/>
      <c r="N1243" s="77"/>
      <c r="O1243" s="77"/>
      <c r="P1243" s="77"/>
      <c r="Q1243" s="77"/>
    </row>
    <row r="1244" spans="7:17" x14ac:dyDescent="0.3">
      <c r="G1244" s="66"/>
      <c r="H1244" s="78"/>
      <c r="I1244" s="78"/>
      <c r="J1244" s="78"/>
      <c r="K1244" s="78"/>
      <c r="L1244" s="78"/>
      <c r="M1244" s="78"/>
      <c r="N1244" s="78"/>
      <c r="O1244" s="78"/>
      <c r="P1244" s="78"/>
      <c r="Q1244" s="78"/>
    </row>
    <row r="1245" spans="7:17" x14ac:dyDescent="0.3">
      <c r="G1245" s="67"/>
      <c r="H1245" s="77"/>
      <c r="I1245" s="77"/>
      <c r="J1245" s="77"/>
      <c r="K1245" s="77"/>
      <c r="L1245" s="77"/>
      <c r="M1245" s="77"/>
      <c r="N1245" s="77"/>
      <c r="O1245" s="77"/>
      <c r="P1245" s="77"/>
      <c r="Q1245" s="77"/>
    </row>
    <row r="1246" spans="7:17" x14ac:dyDescent="0.3">
      <c r="G1246" s="66"/>
      <c r="H1246" s="78"/>
      <c r="I1246" s="78"/>
      <c r="J1246" s="78"/>
      <c r="K1246" s="78"/>
      <c r="L1246" s="78"/>
      <c r="M1246" s="78"/>
      <c r="N1246" s="78"/>
      <c r="O1246" s="78"/>
      <c r="P1246" s="78"/>
      <c r="Q1246" s="78"/>
    </row>
    <row r="1247" spans="7:17" x14ac:dyDescent="0.3">
      <c r="G1247" s="67"/>
      <c r="H1247" s="77"/>
      <c r="I1247" s="77"/>
      <c r="J1247" s="77"/>
      <c r="K1247" s="77"/>
      <c r="L1247" s="77"/>
      <c r="M1247" s="77"/>
      <c r="N1247" s="77"/>
      <c r="O1247" s="77"/>
      <c r="P1247" s="77"/>
      <c r="Q1247" s="77"/>
    </row>
    <row r="1248" spans="7:17" x14ac:dyDescent="0.3">
      <c r="G1248" s="66"/>
      <c r="H1248" s="78"/>
      <c r="I1248" s="78"/>
      <c r="J1248" s="78"/>
      <c r="K1248" s="78"/>
      <c r="L1248" s="78"/>
      <c r="M1248" s="78"/>
      <c r="N1248" s="78"/>
      <c r="O1248" s="78"/>
      <c r="P1248" s="78"/>
      <c r="Q1248" s="78"/>
    </row>
    <row r="1249" spans="7:17" x14ac:dyDescent="0.3">
      <c r="G1249" s="67"/>
      <c r="H1249" s="77"/>
      <c r="I1249" s="77"/>
      <c r="J1249" s="77"/>
      <c r="K1249" s="77"/>
      <c r="L1249" s="77"/>
      <c r="M1249" s="77"/>
      <c r="N1249" s="77"/>
      <c r="O1249" s="77"/>
      <c r="P1249" s="77"/>
      <c r="Q1249" s="77"/>
    </row>
    <row r="1250" spans="7:17" x14ac:dyDescent="0.3">
      <c r="G1250" s="66"/>
      <c r="H1250" s="78"/>
      <c r="I1250" s="78"/>
      <c r="J1250" s="78"/>
      <c r="K1250" s="78"/>
      <c r="L1250" s="78"/>
      <c r="M1250" s="78"/>
      <c r="N1250" s="78"/>
      <c r="O1250" s="78"/>
      <c r="P1250" s="78"/>
      <c r="Q1250" s="78"/>
    </row>
    <row r="1251" spans="7:17" x14ac:dyDescent="0.3">
      <c r="G1251" s="67"/>
      <c r="H1251" s="77"/>
      <c r="I1251" s="77"/>
      <c r="J1251" s="77"/>
      <c r="K1251" s="77"/>
      <c r="L1251" s="77"/>
      <c r="M1251" s="77"/>
      <c r="N1251" s="77"/>
      <c r="O1251" s="77"/>
      <c r="P1251" s="77"/>
      <c r="Q1251" s="77"/>
    </row>
    <row r="1252" spans="7:17" x14ac:dyDescent="0.3">
      <c r="G1252" s="66"/>
      <c r="H1252" s="78"/>
      <c r="I1252" s="78"/>
      <c r="J1252" s="78"/>
      <c r="K1252" s="78"/>
      <c r="L1252" s="78"/>
      <c r="M1252" s="78"/>
      <c r="N1252" s="78"/>
      <c r="O1252" s="78"/>
      <c r="P1252" s="78"/>
      <c r="Q1252" s="78"/>
    </row>
    <row r="1253" spans="7:17" x14ac:dyDescent="0.3">
      <c r="G1253" s="67"/>
      <c r="H1253" s="77"/>
      <c r="I1253" s="77"/>
      <c r="J1253" s="77"/>
      <c r="K1253" s="77"/>
      <c r="L1253" s="77"/>
      <c r="M1253" s="77"/>
      <c r="N1253" s="77"/>
      <c r="O1253" s="77"/>
      <c r="P1253" s="77"/>
      <c r="Q1253" s="77"/>
    </row>
    <row r="1254" spans="7:17" x14ac:dyDescent="0.3">
      <c r="G1254" s="66"/>
      <c r="H1254" s="78"/>
      <c r="I1254" s="78"/>
      <c r="J1254" s="78"/>
      <c r="K1254" s="78"/>
      <c r="L1254" s="78"/>
      <c r="M1254" s="78"/>
      <c r="N1254" s="78"/>
      <c r="O1254" s="78"/>
      <c r="P1254" s="78"/>
      <c r="Q1254" s="78"/>
    </row>
    <row r="1255" spans="7:17" x14ac:dyDescent="0.3">
      <c r="G1255" s="67"/>
      <c r="H1255" s="77"/>
      <c r="I1255" s="77"/>
      <c r="J1255" s="77"/>
      <c r="K1255" s="77"/>
      <c r="L1255" s="77"/>
      <c r="M1255" s="77"/>
      <c r="N1255" s="77"/>
      <c r="O1255" s="77"/>
      <c r="P1255" s="77"/>
      <c r="Q1255" s="77"/>
    </row>
    <row r="1256" spans="7:17" x14ac:dyDescent="0.3">
      <c r="G1256" s="66"/>
      <c r="H1256" s="78"/>
      <c r="I1256" s="78"/>
      <c r="J1256" s="78"/>
      <c r="K1256" s="78"/>
      <c r="L1256" s="78"/>
      <c r="M1256" s="78"/>
      <c r="N1256" s="78"/>
      <c r="O1256" s="78"/>
      <c r="P1256" s="78"/>
      <c r="Q1256" s="78"/>
    </row>
    <row r="1257" spans="7:17" x14ac:dyDescent="0.3">
      <c r="G1257" s="67"/>
      <c r="H1257" s="77"/>
      <c r="I1257" s="77"/>
      <c r="J1257" s="77"/>
      <c r="K1257" s="77"/>
      <c r="L1257" s="77"/>
      <c r="M1257" s="77"/>
      <c r="N1257" s="77"/>
      <c r="O1257" s="77"/>
      <c r="P1257" s="77"/>
      <c r="Q1257" s="77"/>
    </row>
    <row r="1258" spans="7:17" x14ac:dyDescent="0.3">
      <c r="G1258" s="66"/>
      <c r="H1258" s="78"/>
      <c r="I1258" s="78"/>
      <c r="J1258" s="78"/>
      <c r="K1258" s="78"/>
      <c r="L1258" s="78"/>
      <c r="M1258" s="78"/>
      <c r="N1258" s="78"/>
      <c r="O1258" s="78"/>
      <c r="P1258" s="78"/>
      <c r="Q1258" s="78"/>
    </row>
    <row r="1259" spans="7:17" x14ac:dyDescent="0.3">
      <c r="G1259" s="67"/>
      <c r="H1259" s="77"/>
      <c r="I1259" s="77"/>
      <c r="J1259" s="77"/>
      <c r="K1259" s="77"/>
      <c r="L1259" s="77"/>
      <c r="M1259" s="77"/>
      <c r="N1259" s="77"/>
      <c r="O1259" s="77"/>
      <c r="P1259" s="77"/>
      <c r="Q1259" s="77"/>
    </row>
    <row r="1260" spans="7:17" x14ac:dyDescent="0.3">
      <c r="G1260" s="66"/>
      <c r="H1260" s="78"/>
      <c r="I1260" s="78"/>
      <c r="J1260" s="78"/>
      <c r="K1260" s="78"/>
      <c r="L1260" s="78"/>
      <c r="M1260" s="78"/>
      <c r="N1260" s="78"/>
      <c r="O1260" s="78"/>
      <c r="P1260" s="78"/>
      <c r="Q1260" s="78"/>
    </row>
    <row r="1261" spans="7:17" x14ac:dyDescent="0.3">
      <c r="G1261" s="67"/>
      <c r="H1261" s="77"/>
      <c r="I1261" s="77"/>
      <c r="J1261" s="77"/>
      <c r="K1261" s="77"/>
      <c r="L1261" s="77"/>
      <c r="M1261" s="77"/>
      <c r="N1261" s="77"/>
      <c r="O1261" s="77"/>
      <c r="P1261" s="77"/>
      <c r="Q1261" s="77"/>
    </row>
    <row r="1262" spans="7:17" x14ac:dyDescent="0.3">
      <c r="G1262" s="66"/>
      <c r="H1262" s="78"/>
      <c r="I1262" s="78"/>
      <c r="J1262" s="78"/>
      <c r="K1262" s="78"/>
      <c r="L1262" s="78"/>
      <c r="M1262" s="78"/>
      <c r="N1262" s="78"/>
      <c r="O1262" s="78"/>
      <c r="P1262" s="78"/>
      <c r="Q1262" s="78"/>
    </row>
    <row r="1263" spans="7:17" x14ac:dyDescent="0.3">
      <c r="G1263" s="67"/>
      <c r="H1263" s="77"/>
      <c r="I1263" s="77"/>
      <c r="J1263" s="77"/>
      <c r="K1263" s="77"/>
      <c r="L1263" s="77"/>
      <c r="M1263" s="77"/>
      <c r="N1263" s="77"/>
      <c r="O1263" s="77"/>
      <c r="P1263" s="77"/>
      <c r="Q1263" s="77"/>
    </row>
    <row r="1264" spans="7:17" x14ac:dyDescent="0.3">
      <c r="G1264" s="66"/>
      <c r="H1264" s="78"/>
      <c r="I1264" s="78"/>
      <c r="J1264" s="78"/>
      <c r="K1264" s="78"/>
      <c r="L1264" s="78"/>
      <c r="M1264" s="78"/>
      <c r="N1264" s="78"/>
      <c r="O1264" s="78"/>
      <c r="P1264" s="78"/>
      <c r="Q1264" s="78"/>
    </row>
    <row r="1265" spans="7:17" x14ac:dyDescent="0.3">
      <c r="G1265" s="67"/>
      <c r="H1265" s="77"/>
      <c r="I1265" s="77"/>
      <c r="J1265" s="77"/>
      <c r="K1265" s="77"/>
      <c r="L1265" s="77"/>
      <c r="M1265" s="77"/>
      <c r="N1265" s="77"/>
      <c r="O1265" s="77"/>
      <c r="P1265" s="77"/>
      <c r="Q1265" s="77"/>
    </row>
    <row r="1266" spans="7:17" x14ac:dyDescent="0.3">
      <c r="G1266" s="66"/>
      <c r="H1266" s="78"/>
      <c r="I1266" s="78"/>
      <c r="J1266" s="78"/>
      <c r="K1266" s="78"/>
      <c r="L1266" s="78"/>
      <c r="M1266" s="78"/>
      <c r="N1266" s="78"/>
      <c r="O1266" s="78"/>
      <c r="P1266" s="78"/>
      <c r="Q1266" s="78"/>
    </row>
    <row r="1267" spans="7:17" x14ac:dyDescent="0.3">
      <c r="G1267" s="67"/>
      <c r="H1267" s="77"/>
      <c r="I1267" s="77"/>
      <c r="J1267" s="77"/>
      <c r="K1267" s="77"/>
      <c r="L1267" s="77"/>
      <c r="M1267" s="77"/>
      <c r="N1267" s="77"/>
      <c r="O1267" s="77"/>
      <c r="P1267" s="77"/>
      <c r="Q1267" s="77"/>
    </row>
    <row r="1268" spans="7:17" x14ac:dyDescent="0.3">
      <c r="G1268" s="66"/>
      <c r="H1268" s="78"/>
      <c r="I1268" s="78"/>
      <c r="J1268" s="78"/>
      <c r="K1268" s="78"/>
      <c r="L1268" s="78"/>
      <c r="M1268" s="78"/>
      <c r="N1268" s="78"/>
      <c r="O1268" s="78"/>
      <c r="P1268" s="78"/>
      <c r="Q1268" s="78"/>
    </row>
    <row r="1269" spans="7:17" x14ac:dyDescent="0.3">
      <c r="G1269" s="67"/>
      <c r="H1269" s="77"/>
      <c r="I1269" s="77"/>
      <c r="J1269" s="77"/>
      <c r="K1269" s="77"/>
      <c r="L1269" s="77"/>
      <c r="M1269" s="77"/>
      <c r="N1269" s="77"/>
      <c r="O1269" s="77"/>
      <c r="P1269" s="77"/>
      <c r="Q1269" s="77"/>
    </row>
    <row r="1270" spans="7:17" x14ac:dyDescent="0.3">
      <c r="G1270" s="66"/>
      <c r="H1270" s="78"/>
      <c r="I1270" s="78"/>
      <c r="J1270" s="78"/>
      <c r="K1270" s="78"/>
      <c r="L1270" s="78"/>
      <c r="M1270" s="78"/>
      <c r="N1270" s="78"/>
      <c r="O1270" s="78"/>
      <c r="P1270" s="78"/>
      <c r="Q1270" s="78"/>
    </row>
    <row r="1271" spans="7:17" x14ac:dyDescent="0.3">
      <c r="G1271" s="67"/>
      <c r="H1271" s="77"/>
      <c r="I1271" s="77"/>
      <c r="J1271" s="77"/>
      <c r="K1271" s="77"/>
      <c r="L1271" s="77"/>
      <c r="M1271" s="77"/>
      <c r="N1271" s="77"/>
      <c r="O1271" s="77"/>
      <c r="P1271" s="77"/>
      <c r="Q1271" s="77"/>
    </row>
    <row r="1272" spans="7:17" x14ac:dyDescent="0.3">
      <c r="G1272" s="66"/>
      <c r="H1272" s="78"/>
      <c r="I1272" s="78"/>
      <c r="J1272" s="78"/>
      <c r="K1272" s="78"/>
      <c r="L1272" s="78"/>
      <c r="M1272" s="78"/>
      <c r="N1272" s="78"/>
      <c r="O1272" s="78"/>
      <c r="P1272" s="78"/>
      <c r="Q1272" s="78"/>
    </row>
    <row r="1273" spans="7:17" x14ac:dyDescent="0.3">
      <c r="G1273" s="67"/>
      <c r="H1273" s="77"/>
      <c r="I1273" s="77"/>
      <c r="J1273" s="77"/>
      <c r="K1273" s="77"/>
      <c r="L1273" s="77"/>
      <c r="M1273" s="77"/>
      <c r="N1273" s="77"/>
      <c r="O1273" s="77"/>
      <c r="P1273" s="77"/>
      <c r="Q1273" s="77"/>
    </row>
    <row r="1274" spans="7:17" x14ac:dyDescent="0.3">
      <c r="G1274" s="66"/>
      <c r="H1274" s="78"/>
      <c r="I1274" s="78"/>
      <c r="J1274" s="78"/>
      <c r="K1274" s="78"/>
      <c r="L1274" s="78"/>
      <c r="M1274" s="78"/>
      <c r="N1274" s="78"/>
      <c r="O1274" s="78"/>
      <c r="P1274" s="78"/>
      <c r="Q1274" s="78"/>
    </row>
    <row r="1275" spans="7:17" x14ac:dyDescent="0.3">
      <c r="G1275" s="67"/>
      <c r="H1275" s="77"/>
      <c r="I1275" s="77"/>
      <c r="J1275" s="77"/>
      <c r="K1275" s="77"/>
      <c r="L1275" s="77"/>
      <c r="M1275" s="77"/>
      <c r="N1275" s="77"/>
      <c r="O1275" s="77"/>
      <c r="P1275" s="77"/>
      <c r="Q1275" s="77"/>
    </row>
    <row r="1276" spans="7:17" x14ac:dyDescent="0.3">
      <c r="G1276" s="66"/>
      <c r="H1276" s="78"/>
      <c r="I1276" s="78"/>
      <c r="J1276" s="78"/>
      <c r="K1276" s="78"/>
      <c r="L1276" s="78"/>
      <c r="M1276" s="78"/>
      <c r="N1276" s="78"/>
      <c r="O1276" s="78"/>
      <c r="P1276" s="78"/>
      <c r="Q1276" s="78"/>
    </row>
    <row r="1277" spans="7:17" x14ac:dyDescent="0.3">
      <c r="G1277" s="67"/>
      <c r="H1277" s="77"/>
      <c r="I1277" s="77"/>
      <c r="J1277" s="77"/>
      <c r="K1277" s="77"/>
      <c r="L1277" s="77"/>
      <c r="M1277" s="77"/>
      <c r="N1277" s="77"/>
      <c r="O1277" s="77"/>
      <c r="P1277" s="77"/>
      <c r="Q1277" s="77"/>
    </row>
    <row r="1278" spans="7:17" x14ac:dyDescent="0.3">
      <c r="G1278" s="66"/>
      <c r="H1278" s="78"/>
      <c r="I1278" s="78"/>
      <c r="J1278" s="78"/>
      <c r="K1278" s="78"/>
      <c r="L1278" s="78"/>
      <c r="M1278" s="78"/>
      <c r="N1278" s="78"/>
      <c r="O1278" s="78"/>
      <c r="P1278" s="78"/>
      <c r="Q1278" s="78"/>
    </row>
    <row r="1279" spans="7:17" x14ac:dyDescent="0.3">
      <c r="G1279" s="67"/>
      <c r="H1279" s="77"/>
      <c r="I1279" s="77"/>
      <c r="J1279" s="77"/>
      <c r="K1279" s="77"/>
      <c r="L1279" s="77"/>
      <c r="M1279" s="77"/>
      <c r="N1279" s="77"/>
      <c r="O1279" s="77"/>
      <c r="P1279" s="77"/>
      <c r="Q1279" s="77"/>
    </row>
    <row r="1280" spans="7:17" x14ac:dyDescent="0.3">
      <c r="G1280" s="66"/>
      <c r="H1280" s="78"/>
      <c r="I1280" s="78"/>
      <c r="J1280" s="78"/>
      <c r="K1280" s="78"/>
      <c r="L1280" s="78"/>
      <c r="M1280" s="78"/>
      <c r="N1280" s="78"/>
      <c r="O1280" s="78"/>
      <c r="P1280" s="78"/>
      <c r="Q1280" s="78"/>
    </row>
    <row r="1281" spans="7:17" x14ac:dyDescent="0.3">
      <c r="G1281" s="67"/>
      <c r="H1281" s="77"/>
      <c r="I1281" s="77"/>
      <c r="J1281" s="77"/>
      <c r="K1281" s="77"/>
      <c r="L1281" s="77"/>
      <c r="M1281" s="77"/>
      <c r="N1281" s="77"/>
      <c r="O1281" s="77"/>
      <c r="P1281" s="77"/>
      <c r="Q1281" s="77"/>
    </row>
    <row r="1282" spans="7:17" x14ac:dyDescent="0.3">
      <c r="G1282" s="66"/>
      <c r="H1282" s="78"/>
      <c r="I1282" s="78"/>
      <c r="J1282" s="78"/>
      <c r="K1282" s="78"/>
      <c r="L1282" s="78"/>
      <c r="M1282" s="78"/>
      <c r="N1282" s="78"/>
      <c r="O1282" s="78"/>
      <c r="P1282" s="78"/>
      <c r="Q1282" s="78"/>
    </row>
    <row r="1283" spans="7:17" x14ac:dyDescent="0.3">
      <c r="G1283" s="67"/>
      <c r="H1283" s="77"/>
      <c r="I1283" s="77"/>
      <c r="J1283" s="77"/>
      <c r="K1283" s="77"/>
      <c r="L1283" s="77"/>
      <c r="M1283" s="77"/>
      <c r="N1283" s="77"/>
      <c r="O1283" s="77"/>
      <c r="P1283" s="77"/>
      <c r="Q1283" s="77"/>
    </row>
    <row r="1284" spans="7:17" x14ac:dyDescent="0.3">
      <c r="G1284" s="66"/>
      <c r="H1284" s="78"/>
      <c r="I1284" s="78"/>
      <c r="J1284" s="78"/>
      <c r="K1284" s="78"/>
      <c r="L1284" s="78"/>
      <c r="M1284" s="78"/>
      <c r="N1284" s="78"/>
      <c r="O1284" s="78"/>
      <c r="P1284" s="78"/>
      <c r="Q1284" s="78"/>
    </row>
    <row r="1285" spans="7:17" x14ac:dyDescent="0.3">
      <c r="G1285" s="67"/>
      <c r="H1285" s="77"/>
      <c r="I1285" s="77"/>
      <c r="J1285" s="77"/>
      <c r="K1285" s="77"/>
      <c r="L1285" s="77"/>
      <c r="M1285" s="77"/>
      <c r="N1285" s="77"/>
      <c r="O1285" s="77"/>
      <c r="P1285" s="77"/>
      <c r="Q1285" s="77"/>
    </row>
    <row r="1286" spans="7:17" x14ac:dyDescent="0.3">
      <c r="G1286" s="66"/>
      <c r="H1286" s="78"/>
      <c r="I1286" s="78"/>
      <c r="J1286" s="78"/>
      <c r="K1286" s="78"/>
      <c r="L1286" s="78"/>
      <c r="M1286" s="78"/>
      <c r="N1286" s="78"/>
      <c r="O1286" s="78"/>
      <c r="P1286" s="78"/>
      <c r="Q1286" s="78"/>
    </row>
    <row r="1287" spans="7:17" x14ac:dyDescent="0.3">
      <c r="G1287" s="67"/>
      <c r="H1287" s="77"/>
      <c r="I1287" s="77"/>
      <c r="J1287" s="77"/>
      <c r="K1287" s="77"/>
      <c r="L1287" s="77"/>
      <c r="M1287" s="77"/>
      <c r="N1287" s="77"/>
      <c r="O1287" s="77"/>
      <c r="P1287" s="77"/>
      <c r="Q1287" s="77"/>
    </row>
    <row r="1288" spans="7:17" x14ac:dyDescent="0.3">
      <c r="G1288" s="66"/>
      <c r="H1288" s="78"/>
      <c r="I1288" s="78"/>
      <c r="J1288" s="78"/>
      <c r="K1288" s="78"/>
      <c r="L1288" s="78"/>
      <c r="M1288" s="78"/>
      <c r="N1288" s="78"/>
      <c r="O1288" s="78"/>
      <c r="P1288" s="78"/>
      <c r="Q1288" s="78"/>
    </row>
    <row r="1289" spans="7:17" x14ac:dyDescent="0.3">
      <c r="G1289" s="67"/>
      <c r="H1289" s="77"/>
      <c r="I1289" s="77"/>
      <c r="J1289" s="77"/>
      <c r="K1289" s="77"/>
      <c r="L1289" s="77"/>
      <c r="M1289" s="77"/>
      <c r="N1289" s="77"/>
      <c r="O1289" s="77"/>
      <c r="P1289" s="77"/>
      <c r="Q1289" s="77"/>
    </row>
    <row r="1290" spans="7:17" x14ac:dyDescent="0.3">
      <c r="G1290" s="66"/>
      <c r="H1290" s="78"/>
      <c r="I1290" s="78"/>
      <c r="J1290" s="78"/>
      <c r="K1290" s="78"/>
      <c r="L1290" s="78"/>
      <c r="M1290" s="78"/>
      <c r="N1290" s="78"/>
      <c r="O1290" s="78"/>
      <c r="P1290" s="78"/>
      <c r="Q1290" s="78"/>
    </row>
    <row r="1291" spans="7:17" x14ac:dyDescent="0.3">
      <c r="G1291" s="67"/>
      <c r="H1291" s="77"/>
      <c r="I1291" s="77"/>
      <c r="J1291" s="77"/>
      <c r="K1291" s="77"/>
      <c r="L1291" s="77"/>
      <c r="M1291" s="77"/>
      <c r="N1291" s="77"/>
      <c r="O1291" s="77"/>
      <c r="P1291" s="77"/>
      <c r="Q1291" s="77"/>
    </row>
    <row r="1292" spans="7:17" x14ac:dyDescent="0.3">
      <c r="G1292" s="66"/>
      <c r="H1292" s="78"/>
      <c r="I1292" s="78"/>
      <c r="J1292" s="78"/>
      <c r="K1292" s="78"/>
      <c r="L1292" s="78"/>
      <c r="M1292" s="78"/>
      <c r="N1292" s="78"/>
      <c r="O1292" s="78"/>
      <c r="P1292" s="78"/>
      <c r="Q1292" s="78"/>
    </row>
    <row r="1293" spans="7:17" x14ac:dyDescent="0.3">
      <c r="G1293" s="67"/>
      <c r="H1293" s="77"/>
      <c r="I1293" s="77"/>
      <c r="J1293" s="77"/>
      <c r="K1293" s="77"/>
      <c r="L1293" s="77"/>
      <c r="M1293" s="77"/>
      <c r="N1293" s="77"/>
      <c r="O1293" s="77"/>
      <c r="P1293" s="77"/>
      <c r="Q1293" s="77"/>
    </row>
    <row r="1294" spans="7:17" x14ac:dyDescent="0.3">
      <c r="G1294" s="66"/>
      <c r="H1294" s="78"/>
      <c r="I1294" s="78"/>
      <c r="J1294" s="78"/>
      <c r="K1294" s="78"/>
      <c r="L1294" s="78"/>
      <c r="M1294" s="78"/>
      <c r="N1294" s="78"/>
      <c r="O1294" s="78"/>
      <c r="P1294" s="78"/>
      <c r="Q1294" s="78"/>
    </row>
    <row r="1295" spans="7:17" x14ac:dyDescent="0.3">
      <c r="G1295" s="67"/>
      <c r="H1295" s="77"/>
      <c r="I1295" s="77"/>
      <c r="J1295" s="77"/>
      <c r="K1295" s="77"/>
      <c r="L1295" s="77"/>
      <c r="M1295" s="77"/>
      <c r="N1295" s="77"/>
      <c r="O1295" s="77"/>
      <c r="P1295" s="77"/>
      <c r="Q1295" s="77"/>
    </row>
    <row r="1296" spans="7:17" x14ac:dyDescent="0.3">
      <c r="G1296" s="66"/>
      <c r="H1296" s="78"/>
      <c r="I1296" s="78"/>
      <c r="J1296" s="78"/>
      <c r="K1296" s="78"/>
      <c r="L1296" s="78"/>
      <c r="M1296" s="78"/>
      <c r="N1296" s="78"/>
      <c r="O1296" s="78"/>
      <c r="P1296" s="78"/>
      <c r="Q1296" s="78"/>
    </row>
    <row r="1297" spans="7:17" x14ac:dyDescent="0.3">
      <c r="G1297" s="67"/>
      <c r="H1297" s="77"/>
      <c r="I1297" s="77"/>
      <c r="J1297" s="77"/>
      <c r="K1297" s="77"/>
      <c r="L1297" s="77"/>
      <c r="M1297" s="77"/>
      <c r="N1297" s="77"/>
      <c r="O1297" s="77"/>
      <c r="P1297" s="77"/>
      <c r="Q1297" s="77"/>
    </row>
    <row r="1298" spans="7:17" x14ac:dyDescent="0.3">
      <c r="G1298" s="66"/>
      <c r="H1298" s="78"/>
      <c r="I1298" s="78"/>
      <c r="J1298" s="78"/>
      <c r="K1298" s="78"/>
      <c r="L1298" s="78"/>
      <c r="M1298" s="78"/>
      <c r="N1298" s="78"/>
      <c r="O1298" s="78"/>
      <c r="P1298" s="78"/>
      <c r="Q1298" s="78"/>
    </row>
    <row r="1299" spans="7:17" x14ac:dyDescent="0.3">
      <c r="G1299" s="67"/>
      <c r="H1299" s="77"/>
      <c r="I1299" s="77"/>
      <c r="J1299" s="77"/>
      <c r="K1299" s="77"/>
      <c r="L1299" s="77"/>
      <c r="M1299" s="77"/>
      <c r="N1299" s="77"/>
      <c r="O1299" s="77"/>
      <c r="P1299" s="77"/>
      <c r="Q1299" s="77"/>
    </row>
    <row r="1300" spans="7:17" x14ac:dyDescent="0.3">
      <c r="G1300" s="66"/>
      <c r="H1300" s="78"/>
      <c r="I1300" s="78"/>
      <c r="J1300" s="78"/>
      <c r="K1300" s="78"/>
      <c r="L1300" s="78"/>
      <c r="M1300" s="78"/>
      <c r="N1300" s="78"/>
      <c r="O1300" s="78"/>
      <c r="P1300" s="78"/>
      <c r="Q1300" s="78"/>
    </row>
    <row r="1301" spans="7:17" x14ac:dyDescent="0.3">
      <c r="G1301" s="67"/>
      <c r="H1301" s="77"/>
      <c r="I1301" s="77"/>
      <c r="J1301" s="77"/>
      <c r="K1301" s="77"/>
      <c r="L1301" s="77"/>
      <c r="M1301" s="77"/>
      <c r="N1301" s="77"/>
      <c r="O1301" s="77"/>
      <c r="P1301" s="77"/>
      <c r="Q1301" s="77"/>
    </row>
    <row r="1302" spans="7:17" x14ac:dyDescent="0.3">
      <c r="G1302" s="66"/>
      <c r="H1302" s="78"/>
      <c r="I1302" s="78"/>
      <c r="J1302" s="78"/>
      <c r="K1302" s="78"/>
      <c r="L1302" s="78"/>
      <c r="M1302" s="78"/>
      <c r="N1302" s="78"/>
      <c r="O1302" s="78"/>
      <c r="P1302" s="78"/>
      <c r="Q1302" s="78"/>
    </row>
    <row r="1303" spans="7:17" x14ac:dyDescent="0.3">
      <c r="G1303" s="67"/>
      <c r="H1303" s="77"/>
      <c r="I1303" s="77"/>
      <c r="J1303" s="77"/>
      <c r="K1303" s="77"/>
      <c r="L1303" s="77"/>
      <c r="M1303" s="77"/>
      <c r="N1303" s="77"/>
      <c r="O1303" s="77"/>
      <c r="P1303" s="77"/>
      <c r="Q1303" s="77"/>
    </row>
    <row r="1304" spans="7:17" x14ac:dyDescent="0.3">
      <c r="G1304" s="66"/>
      <c r="H1304" s="78"/>
      <c r="I1304" s="78"/>
      <c r="J1304" s="78"/>
      <c r="K1304" s="78"/>
      <c r="L1304" s="78"/>
      <c r="M1304" s="78"/>
      <c r="N1304" s="78"/>
      <c r="O1304" s="78"/>
      <c r="P1304" s="78"/>
      <c r="Q1304" s="78"/>
    </row>
    <row r="1305" spans="7:17" x14ac:dyDescent="0.3">
      <c r="G1305" s="67"/>
      <c r="H1305" s="77"/>
      <c r="I1305" s="77"/>
      <c r="J1305" s="77"/>
      <c r="K1305" s="77"/>
      <c r="L1305" s="77"/>
      <c r="M1305" s="77"/>
      <c r="N1305" s="77"/>
      <c r="O1305" s="77"/>
      <c r="P1305" s="77"/>
      <c r="Q1305" s="77"/>
    </row>
    <row r="1306" spans="7:17" x14ac:dyDescent="0.3">
      <c r="G1306" s="66"/>
      <c r="H1306" s="78"/>
      <c r="I1306" s="78"/>
      <c r="J1306" s="78"/>
      <c r="K1306" s="78"/>
      <c r="L1306" s="78"/>
      <c r="M1306" s="78"/>
      <c r="N1306" s="78"/>
      <c r="O1306" s="78"/>
      <c r="P1306" s="78"/>
      <c r="Q1306" s="78"/>
    </row>
    <row r="1307" spans="7:17" x14ac:dyDescent="0.3">
      <c r="G1307" s="67"/>
      <c r="H1307" s="77"/>
      <c r="I1307" s="77"/>
      <c r="J1307" s="77"/>
      <c r="K1307" s="77"/>
      <c r="L1307" s="77"/>
      <c r="M1307" s="77"/>
      <c r="N1307" s="77"/>
      <c r="O1307" s="77"/>
      <c r="P1307" s="77"/>
      <c r="Q1307" s="77"/>
    </row>
    <row r="1308" spans="7:17" x14ac:dyDescent="0.3">
      <c r="G1308" s="66"/>
      <c r="H1308" s="78"/>
      <c r="I1308" s="78"/>
      <c r="J1308" s="78"/>
      <c r="K1308" s="78"/>
      <c r="L1308" s="78"/>
      <c r="M1308" s="78"/>
      <c r="N1308" s="78"/>
      <c r="O1308" s="78"/>
      <c r="P1308" s="78"/>
      <c r="Q1308" s="78"/>
    </row>
    <row r="1309" spans="7:17" x14ac:dyDescent="0.3">
      <c r="G1309" s="67"/>
      <c r="H1309" s="77"/>
      <c r="I1309" s="77"/>
      <c r="J1309" s="77"/>
      <c r="K1309" s="77"/>
      <c r="L1309" s="77"/>
      <c r="M1309" s="77"/>
      <c r="N1309" s="77"/>
      <c r="O1309" s="77"/>
      <c r="P1309" s="77"/>
      <c r="Q1309" s="77"/>
    </row>
    <row r="1310" spans="7:17" x14ac:dyDescent="0.3">
      <c r="G1310" s="66"/>
      <c r="H1310" s="78"/>
      <c r="I1310" s="78"/>
      <c r="J1310" s="78"/>
      <c r="K1310" s="78"/>
      <c r="L1310" s="78"/>
      <c r="M1310" s="78"/>
      <c r="N1310" s="78"/>
      <c r="O1310" s="78"/>
      <c r="P1310" s="78"/>
      <c r="Q1310" s="78"/>
    </row>
    <row r="1311" spans="7:17" x14ac:dyDescent="0.3">
      <c r="G1311" s="67"/>
      <c r="H1311" s="77"/>
      <c r="I1311" s="77"/>
      <c r="J1311" s="77"/>
      <c r="K1311" s="77"/>
      <c r="L1311" s="77"/>
      <c r="M1311" s="77"/>
      <c r="N1311" s="77"/>
      <c r="O1311" s="77"/>
      <c r="P1311" s="77"/>
      <c r="Q1311" s="77"/>
    </row>
    <row r="1312" spans="7:17" x14ac:dyDescent="0.3">
      <c r="G1312" s="66"/>
      <c r="H1312" s="78"/>
      <c r="I1312" s="78"/>
      <c r="J1312" s="78"/>
      <c r="K1312" s="78"/>
      <c r="L1312" s="78"/>
      <c r="M1312" s="78"/>
      <c r="N1312" s="78"/>
      <c r="O1312" s="78"/>
      <c r="P1312" s="78"/>
      <c r="Q1312" s="78"/>
    </row>
    <row r="1313" spans="7:17" x14ac:dyDescent="0.3">
      <c r="G1313" s="67"/>
      <c r="H1313" s="77"/>
      <c r="I1313" s="77"/>
      <c r="J1313" s="77"/>
      <c r="K1313" s="77"/>
      <c r="L1313" s="77"/>
      <c r="M1313" s="77"/>
      <c r="N1313" s="77"/>
      <c r="O1313" s="77"/>
      <c r="P1313" s="77"/>
      <c r="Q1313" s="77"/>
    </row>
    <row r="1314" spans="7:17" x14ac:dyDescent="0.3">
      <c r="G1314" s="66"/>
      <c r="H1314" s="78"/>
      <c r="I1314" s="78"/>
      <c r="J1314" s="78"/>
      <c r="K1314" s="78"/>
      <c r="L1314" s="78"/>
      <c r="M1314" s="78"/>
      <c r="N1314" s="78"/>
      <c r="O1314" s="78"/>
      <c r="P1314" s="78"/>
      <c r="Q1314" s="78"/>
    </row>
    <row r="1315" spans="7:17" x14ac:dyDescent="0.3">
      <c r="G1315" s="67"/>
      <c r="H1315" s="77"/>
      <c r="I1315" s="77"/>
      <c r="J1315" s="77"/>
      <c r="K1315" s="77"/>
      <c r="L1315" s="77"/>
      <c r="M1315" s="77"/>
      <c r="N1315" s="77"/>
      <c r="O1315" s="77"/>
      <c r="P1315" s="77"/>
      <c r="Q1315" s="77"/>
    </row>
    <row r="1316" spans="7:17" x14ac:dyDescent="0.3">
      <c r="G1316" s="66"/>
      <c r="H1316" s="78"/>
      <c r="I1316" s="78"/>
      <c r="J1316" s="78"/>
      <c r="K1316" s="78"/>
      <c r="L1316" s="78"/>
      <c r="M1316" s="78"/>
      <c r="N1316" s="78"/>
      <c r="O1316" s="78"/>
      <c r="P1316" s="78"/>
      <c r="Q1316" s="78"/>
    </row>
    <row r="1317" spans="7:17" x14ac:dyDescent="0.3">
      <c r="G1317" s="67"/>
      <c r="H1317" s="77"/>
      <c r="I1317" s="77"/>
      <c r="J1317" s="77"/>
      <c r="K1317" s="77"/>
      <c r="L1317" s="77"/>
      <c r="M1317" s="77"/>
      <c r="N1317" s="77"/>
      <c r="O1317" s="77"/>
      <c r="P1317" s="77"/>
      <c r="Q1317" s="77"/>
    </row>
    <row r="1318" spans="7:17" x14ac:dyDescent="0.3">
      <c r="G1318" s="66"/>
      <c r="H1318" s="78"/>
      <c r="I1318" s="78"/>
      <c r="J1318" s="78"/>
      <c r="K1318" s="78"/>
      <c r="L1318" s="78"/>
      <c r="M1318" s="78"/>
      <c r="N1318" s="78"/>
      <c r="O1318" s="78"/>
      <c r="P1318" s="78"/>
      <c r="Q1318" s="78"/>
    </row>
    <row r="1319" spans="7:17" x14ac:dyDescent="0.3">
      <c r="G1319" s="67"/>
      <c r="H1319" s="77"/>
      <c r="I1319" s="77"/>
      <c r="J1319" s="77"/>
      <c r="K1319" s="77"/>
      <c r="L1319" s="77"/>
      <c r="M1319" s="77"/>
      <c r="N1319" s="77"/>
      <c r="O1319" s="77"/>
      <c r="P1319" s="77"/>
      <c r="Q1319" s="77"/>
    </row>
    <row r="1320" spans="7:17" x14ac:dyDescent="0.3">
      <c r="G1320" s="66"/>
      <c r="H1320" s="78"/>
      <c r="I1320" s="78"/>
      <c r="J1320" s="78"/>
      <c r="K1320" s="78"/>
      <c r="L1320" s="78"/>
      <c r="M1320" s="78"/>
      <c r="N1320" s="78"/>
      <c r="O1320" s="78"/>
      <c r="P1320" s="78"/>
      <c r="Q1320" s="78"/>
    </row>
    <row r="1321" spans="7:17" x14ac:dyDescent="0.3">
      <c r="G1321" s="67"/>
      <c r="H1321" s="77"/>
      <c r="I1321" s="77"/>
      <c r="J1321" s="77"/>
      <c r="K1321" s="77"/>
      <c r="L1321" s="77"/>
      <c r="M1321" s="77"/>
      <c r="N1321" s="77"/>
      <c r="O1321" s="77"/>
      <c r="P1321" s="77"/>
      <c r="Q1321" s="77"/>
    </row>
    <row r="1322" spans="7:17" x14ac:dyDescent="0.3">
      <c r="G1322" s="66"/>
      <c r="H1322" s="78"/>
      <c r="I1322" s="78"/>
      <c r="J1322" s="78"/>
      <c r="K1322" s="78"/>
      <c r="L1322" s="78"/>
      <c r="M1322" s="78"/>
      <c r="N1322" s="78"/>
      <c r="O1322" s="78"/>
      <c r="P1322" s="78"/>
      <c r="Q1322" s="78"/>
    </row>
    <row r="1323" spans="7:17" x14ac:dyDescent="0.3">
      <c r="G1323" s="67"/>
      <c r="H1323" s="77"/>
      <c r="I1323" s="77"/>
      <c r="J1323" s="77"/>
      <c r="K1323" s="77"/>
      <c r="L1323" s="77"/>
      <c r="M1323" s="77"/>
      <c r="N1323" s="77"/>
      <c r="O1323" s="77"/>
      <c r="P1323" s="77"/>
      <c r="Q1323" s="77"/>
    </row>
    <row r="1324" spans="7:17" x14ac:dyDescent="0.3">
      <c r="G1324" s="66"/>
      <c r="H1324" s="78"/>
      <c r="I1324" s="78"/>
      <c r="J1324" s="78"/>
      <c r="K1324" s="78"/>
      <c r="L1324" s="78"/>
      <c r="M1324" s="78"/>
      <c r="N1324" s="78"/>
      <c r="O1324" s="78"/>
      <c r="P1324" s="78"/>
      <c r="Q1324" s="78"/>
    </row>
    <row r="1325" spans="7:17" x14ac:dyDescent="0.3">
      <c r="G1325" s="67"/>
      <c r="H1325" s="77"/>
      <c r="I1325" s="77"/>
      <c r="J1325" s="77"/>
      <c r="K1325" s="77"/>
      <c r="L1325" s="77"/>
      <c r="M1325" s="77"/>
      <c r="N1325" s="77"/>
      <c r="O1325" s="77"/>
      <c r="P1325" s="77"/>
      <c r="Q1325" s="77"/>
    </row>
    <row r="1326" spans="7:17" x14ac:dyDescent="0.3">
      <c r="G1326" s="66"/>
      <c r="H1326" s="78"/>
      <c r="I1326" s="78"/>
      <c r="J1326" s="78"/>
      <c r="K1326" s="78"/>
      <c r="L1326" s="78"/>
      <c r="M1326" s="78"/>
      <c r="N1326" s="78"/>
      <c r="O1326" s="78"/>
      <c r="P1326" s="78"/>
      <c r="Q1326" s="78"/>
    </row>
    <row r="1327" spans="7:17" x14ac:dyDescent="0.3">
      <c r="G1327" s="67"/>
      <c r="H1327" s="77"/>
      <c r="I1327" s="77"/>
      <c r="J1327" s="77"/>
      <c r="K1327" s="77"/>
      <c r="L1327" s="77"/>
      <c r="M1327" s="77"/>
      <c r="N1327" s="77"/>
      <c r="O1327" s="77"/>
      <c r="P1327" s="77"/>
      <c r="Q1327" s="77"/>
    </row>
    <row r="1328" spans="7:17" x14ac:dyDescent="0.3">
      <c r="G1328" s="66"/>
      <c r="H1328" s="78"/>
      <c r="I1328" s="78"/>
      <c r="J1328" s="78"/>
      <c r="K1328" s="78"/>
      <c r="L1328" s="78"/>
      <c r="M1328" s="78"/>
      <c r="N1328" s="78"/>
      <c r="O1328" s="78"/>
      <c r="P1328" s="78"/>
      <c r="Q1328" s="78"/>
    </row>
    <row r="1329" spans="7:17" x14ac:dyDescent="0.3">
      <c r="G1329" s="67"/>
      <c r="H1329" s="77"/>
      <c r="I1329" s="77"/>
      <c r="J1329" s="77"/>
      <c r="K1329" s="77"/>
      <c r="L1329" s="77"/>
      <c r="M1329" s="77"/>
      <c r="N1329" s="77"/>
      <c r="O1329" s="77"/>
      <c r="P1329" s="77"/>
      <c r="Q1329" s="77"/>
    </row>
    <row r="1330" spans="7:17" x14ac:dyDescent="0.3">
      <c r="G1330" s="66"/>
      <c r="H1330" s="78"/>
      <c r="I1330" s="78"/>
      <c r="J1330" s="78"/>
      <c r="K1330" s="78"/>
      <c r="L1330" s="78"/>
      <c r="M1330" s="78"/>
      <c r="N1330" s="78"/>
      <c r="O1330" s="78"/>
      <c r="P1330" s="78"/>
      <c r="Q1330" s="78"/>
    </row>
    <row r="1331" spans="7:17" x14ac:dyDescent="0.3">
      <c r="G1331" s="67"/>
      <c r="H1331" s="77"/>
      <c r="I1331" s="77"/>
      <c r="J1331" s="77"/>
      <c r="K1331" s="77"/>
      <c r="L1331" s="77"/>
      <c r="M1331" s="77"/>
      <c r="N1331" s="77"/>
      <c r="O1331" s="77"/>
      <c r="P1331" s="77"/>
      <c r="Q1331" s="77"/>
    </row>
    <row r="1332" spans="7:17" x14ac:dyDescent="0.3">
      <c r="G1332" s="66"/>
      <c r="H1332" s="78"/>
      <c r="I1332" s="78"/>
      <c r="J1332" s="78"/>
      <c r="K1332" s="78"/>
      <c r="L1332" s="78"/>
      <c r="M1332" s="78"/>
      <c r="N1332" s="78"/>
      <c r="O1332" s="78"/>
      <c r="P1332" s="78"/>
      <c r="Q1332" s="78"/>
    </row>
    <row r="1333" spans="7:17" x14ac:dyDescent="0.3">
      <c r="G1333" s="67"/>
      <c r="H1333" s="77"/>
      <c r="I1333" s="77"/>
      <c r="J1333" s="77"/>
      <c r="K1333" s="77"/>
      <c r="L1333" s="77"/>
      <c r="M1333" s="77"/>
      <c r="N1333" s="77"/>
      <c r="O1333" s="77"/>
      <c r="P1333" s="77"/>
      <c r="Q1333" s="77"/>
    </row>
    <row r="1334" spans="7:17" x14ac:dyDescent="0.3">
      <c r="G1334" s="66"/>
      <c r="H1334" s="78"/>
      <c r="I1334" s="78"/>
      <c r="J1334" s="78"/>
      <c r="K1334" s="78"/>
      <c r="L1334" s="78"/>
      <c r="M1334" s="78"/>
      <c r="N1334" s="78"/>
      <c r="O1334" s="78"/>
      <c r="P1334" s="78"/>
      <c r="Q1334" s="78"/>
    </row>
    <row r="1335" spans="7:17" x14ac:dyDescent="0.3">
      <c r="G1335" s="67"/>
      <c r="H1335" s="77"/>
      <c r="I1335" s="77"/>
      <c r="J1335" s="77"/>
      <c r="K1335" s="77"/>
      <c r="L1335" s="77"/>
      <c r="M1335" s="77"/>
      <c r="N1335" s="77"/>
      <c r="O1335" s="77"/>
      <c r="P1335" s="77"/>
      <c r="Q1335" s="77"/>
    </row>
    <row r="1336" spans="7:17" x14ac:dyDescent="0.3">
      <c r="G1336" s="66"/>
      <c r="H1336" s="78"/>
      <c r="I1336" s="78"/>
      <c r="J1336" s="78"/>
      <c r="K1336" s="78"/>
      <c r="L1336" s="78"/>
      <c r="M1336" s="78"/>
      <c r="N1336" s="78"/>
      <c r="O1336" s="78"/>
      <c r="P1336" s="78"/>
      <c r="Q1336" s="78"/>
    </row>
    <row r="1337" spans="7:17" x14ac:dyDescent="0.3">
      <c r="G1337" s="67"/>
      <c r="H1337" s="77"/>
      <c r="I1337" s="77"/>
      <c r="J1337" s="77"/>
      <c r="K1337" s="77"/>
      <c r="L1337" s="77"/>
      <c r="M1337" s="77"/>
      <c r="N1337" s="77"/>
      <c r="O1337" s="77"/>
      <c r="P1337" s="77"/>
      <c r="Q1337" s="77"/>
    </row>
    <row r="1338" spans="7:17" x14ac:dyDescent="0.3">
      <c r="G1338" s="66"/>
      <c r="H1338" s="78"/>
      <c r="I1338" s="78"/>
      <c r="J1338" s="78"/>
      <c r="K1338" s="78"/>
      <c r="L1338" s="78"/>
      <c r="M1338" s="78"/>
      <c r="N1338" s="78"/>
      <c r="O1338" s="78"/>
      <c r="P1338" s="78"/>
      <c r="Q1338" s="78"/>
    </row>
    <row r="1339" spans="7:17" x14ac:dyDescent="0.3">
      <c r="G1339" s="67"/>
      <c r="H1339" s="77"/>
      <c r="I1339" s="77"/>
      <c r="J1339" s="77"/>
      <c r="K1339" s="77"/>
      <c r="L1339" s="77"/>
      <c r="M1339" s="77"/>
      <c r="N1339" s="77"/>
      <c r="O1339" s="77"/>
      <c r="P1339" s="77"/>
      <c r="Q1339" s="77"/>
    </row>
    <row r="1340" spans="7:17" x14ac:dyDescent="0.3">
      <c r="G1340" s="66"/>
      <c r="H1340" s="78"/>
      <c r="I1340" s="78"/>
      <c r="J1340" s="78"/>
      <c r="K1340" s="78"/>
      <c r="L1340" s="78"/>
      <c r="M1340" s="78"/>
      <c r="N1340" s="78"/>
      <c r="O1340" s="78"/>
      <c r="P1340" s="78"/>
      <c r="Q1340" s="78"/>
    </row>
    <row r="1341" spans="7:17" x14ac:dyDescent="0.3">
      <c r="G1341" s="67"/>
      <c r="H1341" s="77"/>
      <c r="I1341" s="77"/>
      <c r="J1341" s="77"/>
      <c r="K1341" s="77"/>
      <c r="L1341" s="77"/>
      <c r="M1341" s="77"/>
      <c r="N1341" s="77"/>
      <c r="O1341" s="77"/>
      <c r="P1341" s="77"/>
      <c r="Q1341" s="77"/>
    </row>
    <row r="1342" spans="7:17" x14ac:dyDescent="0.3">
      <c r="G1342" s="66"/>
      <c r="H1342" s="78"/>
      <c r="I1342" s="78"/>
      <c r="J1342" s="78"/>
      <c r="K1342" s="78"/>
      <c r="L1342" s="78"/>
      <c r="M1342" s="78"/>
      <c r="N1342" s="78"/>
      <c r="O1342" s="78"/>
      <c r="P1342" s="78"/>
      <c r="Q1342" s="78"/>
    </row>
    <row r="1343" spans="7:17" x14ac:dyDescent="0.3">
      <c r="G1343" s="67"/>
      <c r="H1343" s="77"/>
      <c r="I1343" s="77"/>
      <c r="J1343" s="77"/>
      <c r="K1343" s="77"/>
      <c r="L1343" s="77"/>
      <c r="M1343" s="77"/>
      <c r="N1343" s="77"/>
      <c r="O1343" s="77"/>
      <c r="P1343" s="77"/>
      <c r="Q1343" s="77"/>
    </row>
    <row r="1344" spans="7:17" x14ac:dyDescent="0.3">
      <c r="G1344" s="66"/>
      <c r="H1344" s="78"/>
      <c r="I1344" s="78"/>
      <c r="J1344" s="78"/>
      <c r="K1344" s="78"/>
      <c r="L1344" s="78"/>
      <c r="M1344" s="78"/>
      <c r="N1344" s="78"/>
      <c r="O1344" s="78"/>
      <c r="P1344" s="78"/>
      <c r="Q1344" s="78"/>
    </row>
    <row r="1345" spans="7:17" x14ac:dyDescent="0.3">
      <c r="G1345" s="67"/>
      <c r="H1345" s="77"/>
      <c r="I1345" s="77"/>
      <c r="J1345" s="77"/>
      <c r="K1345" s="77"/>
      <c r="L1345" s="77"/>
      <c r="M1345" s="77"/>
      <c r="N1345" s="77"/>
      <c r="O1345" s="77"/>
      <c r="P1345" s="77"/>
      <c r="Q1345" s="77"/>
    </row>
    <row r="1346" spans="7:17" x14ac:dyDescent="0.3">
      <c r="G1346" s="66"/>
      <c r="H1346" s="78"/>
      <c r="I1346" s="78"/>
      <c r="J1346" s="78"/>
      <c r="K1346" s="78"/>
      <c r="L1346" s="78"/>
      <c r="M1346" s="78"/>
      <c r="N1346" s="78"/>
      <c r="O1346" s="78"/>
      <c r="P1346" s="78"/>
      <c r="Q1346" s="78"/>
    </row>
    <row r="1347" spans="7:17" x14ac:dyDescent="0.3">
      <c r="G1347" s="67"/>
      <c r="H1347" s="77"/>
      <c r="I1347" s="77"/>
      <c r="J1347" s="77"/>
      <c r="K1347" s="77"/>
      <c r="L1347" s="77"/>
      <c r="M1347" s="77"/>
      <c r="N1347" s="77"/>
      <c r="O1347" s="77"/>
      <c r="P1347" s="77"/>
      <c r="Q1347" s="77"/>
    </row>
    <row r="1348" spans="7:17" x14ac:dyDescent="0.3">
      <c r="G1348" s="66"/>
      <c r="H1348" s="78"/>
      <c r="I1348" s="78"/>
      <c r="J1348" s="78"/>
      <c r="K1348" s="78"/>
      <c r="L1348" s="78"/>
      <c r="M1348" s="78"/>
      <c r="N1348" s="78"/>
      <c r="O1348" s="78"/>
      <c r="P1348" s="78"/>
      <c r="Q1348" s="78"/>
    </row>
    <row r="1349" spans="7:17" x14ac:dyDescent="0.3">
      <c r="G1349" s="67"/>
      <c r="H1349" s="77"/>
      <c r="I1349" s="77"/>
      <c r="J1349" s="77"/>
      <c r="K1349" s="77"/>
      <c r="L1349" s="77"/>
      <c r="M1349" s="77"/>
      <c r="N1349" s="77"/>
      <c r="O1349" s="77"/>
      <c r="P1349" s="77"/>
      <c r="Q1349" s="77"/>
    </row>
    <row r="1350" spans="7:17" x14ac:dyDescent="0.3">
      <c r="G1350" s="66"/>
      <c r="H1350" s="78"/>
      <c r="I1350" s="78"/>
      <c r="J1350" s="78"/>
      <c r="K1350" s="78"/>
      <c r="L1350" s="78"/>
      <c r="M1350" s="78"/>
      <c r="N1350" s="78"/>
      <c r="O1350" s="78"/>
      <c r="P1350" s="78"/>
      <c r="Q1350" s="78"/>
    </row>
    <row r="1351" spans="7:17" x14ac:dyDescent="0.3">
      <c r="G1351" s="67"/>
      <c r="H1351" s="77"/>
      <c r="I1351" s="77"/>
      <c r="J1351" s="77"/>
      <c r="K1351" s="77"/>
      <c r="L1351" s="77"/>
      <c r="M1351" s="77"/>
      <c r="N1351" s="77"/>
      <c r="O1351" s="77"/>
      <c r="P1351" s="77"/>
      <c r="Q1351" s="77"/>
    </row>
    <row r="1352" spans="7:17" x14ac:dyDescent="0.3">
      <c r="G1352" s="66"/>
      <c r="H1352" s="78"/>
      <c r="I1352" s="78"/>
      <c r="J1352" s="78"/>
      <c r="K1352" s="78"/>
      <c r="L1352" s="78"/>
      <c r="M1352" s="78"/>
      <c r="N1352" s="78"/>
      <c r="O1352" s="78"/>
      <c r="P1352" s="78"/>
      <c r="Q1352" s="78"/>
    </row>
    <row r="1353" spans="7:17" x14ac:dyDescent="0.3">
      <c r="G1353" s="67"/>
      <c r="H1353" s="77"/>
      <c r="I1353" s="77"/>
      <c r="J1353" s="77"/>
      <c r="K1353" s="77"/>
      <c r="L1353" s="77"/>
      <c r="M1353" s="77"/>
      <c r="N1353" s="77"/>
      <c r="O1353" s="77"/>
      <c r="P1353" s="77"/>
      <c r="Q1353" s="77"/>
    </row>
    <row r="1354" spans="7:17" x14ac:dyDescent="0.3">
      <c r="G1354" s="66"/>
      <c r="H1354" s="78"/>
      <c r="I1354" s="78"/>
      <c r="J1354" s="78"/>
      <c r="K1354" s="78"/>
      <c r="L1354" s="78"/>
      <c r="M1354" s="78"/>
      <c r="N1354" s="78"/>
      <c r="O1354" s="78"/>
      <c r="P1354" s="78"/>
      <c r="Q1354" s="78"/>
    </row>
    <row r="1355" spans="7:17" x14ac:dyDescent="0.3">
      <c r="G1355" s="67"/>
      <c r="H1355" s="77"/>
      <c r="I1355" s="77"/>
      <c r="J1355" s="77"/>
      <c r="K1355" s="77"/>
      <c r="L1355" s="77"/>
      <c r="M1355" s="77"/>
      <c r="N1355" s="77"/>
      <c r="O1355" s="77"/>
      <c r="P1355" s="77"/>
      <c r="Q1355" s="77"/>
    </row>
    <row r="1356" spans="7:17" x14ac:dyDescent="0.3">
      <c r="G1356" s="66"/>
      <c r="H1356" s="78"/>
      <c r="I1356" s="78"/>
      <c r="J1356" s="78"/>
      <c r="K1356" s="78"/>
      <c r="L1356" s="78"/>
      <c r="M1356" s="78"/>
      <c r="N1356" s="78"/>
      <c r="O1356" s="78"/>
      <c r="P1356" s="78"/>
      <c r="Q1356" s="78"/>
    </row>
    <row r="1357" spans="7:17" x14ac:dyDescent="0.3">
      <c r="G1357" s="67"/>
      <c r="H1357" s="77"/>
      <c r="I1357" s="77"/>
      <c r="J1357" s="77"/>
      <c r="K1357" s="77"/>
      <c r="L1357" s="77"/>
      <c r="M1357" s="77"/>
      <c r="N1357" s="77"/>
      <c r="O1357" s="77"/>
      <c r="P1357" s="77"/>
      <c r="Q1357" s="77"/>
    </row>
    <row r="1358" spans="7:17" x14ac:dyDescent="0.3">
      <c r="G1358" s="66"/>
      <c r="H1358" s="78"/>
      <c r="I1358" s="78"/>
      <c r="J1358" s="78"/>
      <c r="K1358" s="78"/>
      <c r="L1358" s="78"/>
      <c r="M1358" s="78"/>
      <c r="N1358" s="78"/>
      <c r="O1358" s="78"/>
      <c r="P1358" s="78"/>
      <c r="Q1358" s="78"/>
    </row>
    <row r="1359" spans="7:17" x14ac:dyDescent="0.3">
      <c r="G1359" s="67"/>
      <c r="H1359" s="77"/>
      <c r="I1359" s="77"/>
      <c r="J1359" s="77"/>
      <c r="K1359" s="77"/>
      <c r="L1359" s="77"/>
      <c r="M1359" s="77"/>
      <c r="N1359" s="77"/>
      <c r="O1359" s="77"/>
      <c r="P1359" s="77"/>
      <c r="Q1359" s="77"/>
    </row>
    <row r="1360" spans="7:17" x14ac:dyDescent="0.3">
      <c r="G1360" s="66"/>
      <c r="H1360" s="78"/>
      <c r="I1360" s="78"/>
      <c r="J1360" s="78"/>
      <c r="K1360" s="78"/>
      <c r="L1360" s="78"/>
      <c r="M1360" s="78"/>
      <c r="N1360" s="78"/>
      <c r="O1360" s="78"/>
      <c r="P1360" s="78"/>
      <c r="Q1360" s="78"/>
    </row>
    <row r="1361" spans="7:17" x14ac:dyDescent="0.3">
      <c r="G1361" s="67"/>
      <c r="H1361" s="77"/>
      <c r="I1361" s="77"/>
      <c r="J1361" s="77"/>
      <c r="K1361" s="77"/>
      <c r="L1361" s="77"/>
      <c r="M1361" s="77"/>
      <c r="N1361" s="77"/>
      <c r="O1361" s="77"/>
      <c r="P1361" s="77"/>
      <c r="Q1361" s="77"/>
    </row>
    <row r="1362" spans="7:17" x14ac:dyDescent="0.3">
      <c r="G1362" s="66"/>
      <c r="H1362" s="78"/>
      <c r="I1362" s="78"/>
      <c r="J1362" s="78"/>
      <c r="K1362" s="78"/>
      <c r="L1362" s="78"/>
      <c r="M1362" s="78"/>
      <c r="N1362" s="78"/>
      <c r="O1362" s="78"/>
      <c r="P1362" s="78"/>
      <c r="Q1362" s="78"/>
    </row>
    <row r="1363" spans="7:17" x14ac:dyDescent="0.3">
      <c r="G1363" s="67"/>
      <c r="H1363" s="77"/>
      <c r="I1363" s="77"/>
      <c r="J1363" s="77"/>
      <c r="K1363" s="77"/>
      <c r="L1363" s="77"/>
      <c r="M1363" s="77"/>
      <c r="N1363" s="77"/>
      <c r="O1363" s="77"/>
      <c r="P1363" s="77"/>
      <c r="Q1363" s="77"/>
    </row>
    <row r="1364" spans="7:17" x14ac:dyDescent="0.3">
      <c r="G1364" s="66"/>
      <c r="H1364" s="78"/>
      <c r="I1364" s="78"/>
      <c r="J1364" s="78"/>
      <c r="K1364" s="78"/>
      <c r="L1364" s="78"/>
      <c r="M1364" s="78"/>
      <c r="N1364" s="78"/>
      <c r="O1364" s="78"/>
      <c r="P1364" s="78"/>
      <c r="Q1364" s="78"/>
    </row>
    <row r="1365" spans="7:17" x14ac:dyDescent="0.3">
      <c r="G1365" s="67"/>
      <c r="H1365" s="77"/>
      <c r="I1365" s="77"/>
      <c r="J1365" s="77"/>
      <c r="K1365" s="77"/>
      <c r="L1365" s="77"/>
      <c r="M1365" s="77"/>
      <c r="N1365" s="77"/>
      <c r="O1365" s="77"/>
      <c r="P1365" s="77"/>
      <c r="Q1365" s="77"/>
    </row>
    <row r="1366" spans="7:17" x14ac:dyDescent="0.3">
      <c r="G1366" s="66"/>
      <c r="H1366" s="78"/>
      <c r="I1366" s="78"/>
      <c r="J1366" s="78"/>
      <c r="K1366" s="78"/>
      <c r="L1366" s="78"/>
      <c r="M1366" s="78"/>
      <c r="N1366" s="78"/>
      <c r="O1366" s="78"/>
      <c r="P1366" s="78"/>
      <c r="Q1366" s="78"/>
    </row>
    <row r="1367" spans="7:17" x14ac:dyDescent="0.3">
      <c r="G1367" s="67"/>
      <c r="H1367" s="77"/>
      <c r="I1367" s="77"/>
      <c r="J1367" s="77"/>
      <c r="K1367" s="77"/>
      <c r="L1367" s="77"/>
      <c r="M1367" s="77"/>
      <c r="N1367" s="77"/>
      <c r="O1367" s="77"/>
      <c r="P1367" s="77"/>
      <c r="Q1367" s="77"/>
    </row>
    <row r="1368" spans="7:17" x14ac:dyDescent="0.3">
      <c r="G1368" s="66"/>
      <c r="H1368" s="78"/>
      <c r="I1368" s="78"/>
      <c r="J1368" s="78"/>
      <c r="K1368" s="78"/>
      <c r="L1368" s="78"/>
      <c r="M1368" s="78"/>
      <c r="N1368" s="78"/>
      <c r="O1368" s="78"/>
      <c r="P1368" s="78"/>
      <c r="Q1368" s="78"/>
    </row>
    <row r="1369" spans="7:17" x14ac:dyDescent="0.3">
      <c r="G1369" s="67"/>
      <c r="H1369" s="77"/>
      <c r="I1369" s="77"/>
      <c r="J1369" s="77"/>
      <c r="K1369" s="77"/>
      <c r="L1369" s="77"/>
      <c r="M1369" s="77"/>
      <c r="N1369" s="77"/>
      <c r="O1369" s="77"/>
      <c r="P1369" s="77"/>
      <c r="Q1369" s="77"/>
    </row>
    <row r="1370" spans="7:17" x14ac:dyDescent="0.3">
      <c r="G1370" s="66"/>
      <c r="H1370" s="78"/>
      <c r="I1370" s="78"/>
      <c r="J1370" s="78"/>
      <c r="K1370" s="78"/>
      <c r="L1370" s="78"/>
      <c r="M1370" s="78"/>
      <c r="N1370" s="78"/>
      <c r="O1370" s="78"/>
      <c r="P1370" s="78"/>
      <c r="Q1370" s="78"/>
    </row>
    <row r="1371" spans="7:17" x14ac:dyDescent="0.3">
      <c r="G1371" s="67"/>
      <c r="H1371" s="77"/>
      <c r="I1371" s="77"/>
      <c r="J1371" s="77"/>
      <c r="K1371" s="77"/>
      <c r="L1371" s="77"/>
      <c r="M1371" s="77"/>
      <c r="N1371" s="77"/>
      <c r="O1371" s="77"/>
      <c r="P1371" s="77"/>
      <c r="Q1371" s="77"/>
    </row>
    <row r="1372" spans="7:17" x14ac:dyDescent="0.3">
      <c r="G1372" s="66"/>
      <c r="H1372" s="78"/>
      <c r="I1372" s="78"/>
      <c r="J1372" s="78"/>
      <c r="K1372" s="78"/>
      <c r="L1372" s="78"/>
      <c r="M1372" s="78"/>
      <c r="N1372" s="78"/>
      <c r="O1372" s="78"/>
      <c r="P1372" s="78"/>
      <c r="Q1372" s="78"/>
    </row>
    <row r="1373" spans="7:17" x14ac:dyDescent="0.3">
      <c r="G1373" s="67"/>
      <c r="H1373" s="77"/>
      <c r="I1373" s="77"/>
      <c r="J1373" s="77"/>
      <c r="K1373" s="77"/>
      <c r="L1373" s="77"/>
      <c r="M1373" s="77"/>
      <c r="N1373" s="77"/>
      <c r="O1373" s="77"/>
      <c r="P1373" s="77"/>
      <c r="Q1373" s="77"/>
    </row>
    <row r="1374" spans="7:17" x14ac:dyDescent="0.3">
      <c r="G1374" s="66"/>
      <c r="H1374" s="78"/>
      <c r="I1374" s="78"/>
      <c r="J1374" s="78"/>
      <c r="K1374" s="78"/>
      <c r="L1374" s="78"/>
      <c r="M1374" s="78"/>
      <c r="N1374" s="78"/>
      <c r="O1374" s="78"/>
      <c r="P1374" s="78"/>
      <c r="Q1374" s="78"/>
    </row>
    <row r="1375" spans="7:17" x14ac:dyDescent="0.3">
      <c r="G1375" s="67"/>
      <c r="H1375" s="77"/>
      <c r="I1375" s="77"/>
      <c r="J1375" s="77"/>
      <c r="K1375" s="77"/>
      <c r="L1375" s="77"/>
      <c r="M1375" s="77"/>
      <c r="N1375" s="77"/>
      <c r="O1375" s="77"/>
      <c r="P1375" s="77"/>
      <c r="Q1375" s="77"/>
    </row>
    <row r="1376" spans="7:17" x14ac:dyDescent="0.3">
      <c r="G1376" s="66"/>
      <c r="H1376" s="78"/>
      <c r="I1376" s="78"/>
      <c r="J1376" s="78"/>
      <c r="K1376" s="78"/>
      <c r="L1376" s="78"/>
      <c r="M1376" s="78"/>
      <c r="N1376" s="78"/>
      <c r="O1376" s="78"/>
      <c r="P1376" s="78"/>
      <c r="Q1376" s="78"/>
    </row>
    <row r="1377" spans="7:17" x14ac:dyDescent="0.3">
      <c r="G1377" s="67"/>
      <c r="H1377" s="77"/>
      <c r="I1377" s="77"/>
      <c r="J1377" s="77"/>
      <c r="K1377" s="77"/>
      <c r="L1377" s="77"/>
      <c r="M1377" s="77"/>
      <c r="N1377" s="77"/>
      <c r="O1377" s="77"/>
      <c r="P1377" s="77"/>
      <c r="Q1377" s="77"/>
    </row>
    <row r="1378" spans="7:17" x14ac:dyDescent="0.3">
      <c r="G1378" s="66"/>
      <c r="H1378" s="78"/>
      <c r="I1378" s="78"/>
      <c r="J1378" s="78"/>
      <c r="K1378" s="78"/>
      <c r="L1378" s="78"/>
      <c r="M1378" s="78"/>
      <c r="N1378" s="78"/>
      <c r="O1378" s="78"/>
      <c r="P1378" s="78"/>
      <c r="Q1378" s="78"/>
    </row>
    <row r="1379" spans="7:17" x14ac:dyDescent="0.3">
      <c r="G1379" s="67"/>
      <c r="H1379" s="77"/>
      <c r="I1379" s="77"/>
      <c r="J1379" s="77"/>
      <c r="K1379" s="77"/>
      <c r="L1379" s="77"/>
      <c r="M1379" s="77"/>
      <c r="N1379" s="77"/>
      <c r="O1379" s="77"/>
      <c r="P1379" s="77"/>
      <c r="Q1379" s="77"/>
    </row>
    <row r="1380" spans="7:17" x14ac:dyDescent="0.3">
      <c r="G1380" s="66"/>
      <c r="H1380" s="78"/>
      <c r="I1380" s="78"/>
      <c r="J1380" s="78"/>
      <c r="K1380" s="78"/>
      <c r="L1380" s="78"/>
      <c r="M1380" s="78"/>
      <c r="N1380" s="78"/>
      <c r="O1380" s="78"/>
      <c r="P1380" s="78"/>
      <c r="Q1380" s="78"/>
    </row>
    <row r="1381" spans="7:17" x14ac:dyDescent="0.3">
      <c r="G1381" s="67"/>
      <c r="H1381" s="77"/>
      <c r="I1381" s="77"/>
      <c r="J1381" s="77"/>
      <c r="K1381" s="77"/>
      <c r="L1381" s="77"/>
      <c r="M1381" s="77"/>
      <c r="N1381" s="77"/>
      <c r="O1381" s="77"/>
      <c r="P1381" s="77"/>
      <c r="Q1381" s="77"/>
    </row>
    <row r="1382" spans="7:17" x14ac:dyDescent="0.3">
      <c r="G1382" s="66"/>
      <c r="H1382" s="78"/>
      <c r="I1382" s="78"/>
      <c r="J1382" s="78"/>
      <c r="K1382" s="78"/>
      <c r="L1382" s="78"/>
      <c r="M1382" s="78"/>
      <c r="N1382" s="78"/>
      <c r="O1382" s="78"/>
      <c r="P1382" s="78"/>
      <c r="Q1382" s="78"/>
    </row>
    <row r="1383" spans="7:17" x14ac:dyDescent="0.3">
      <c r="G1383" s="67"/>
      <c r="H1383" s="77"/>
      <c r="I1383" s="77"/>
      <c r="J1383" s="77"/>
      <c r="K1383" s="77"/>
      <c r="L1383" s="77"/>
      <c r="M1383" s="77"/>
      <c r="N1383" s="77"/>
      <c r="O1383" s="77"/>
      <c r="P1383" s="77"/>
      <c r="Q1383" s="77"/>
    </row>
    <row r="1384" spans="7:17" x14ac:dyDescent="0.3">
      <c r="G1384" s="66"/>
      <c r="H1384" s="78"/>
      <c r="I1384" s="78"/>
      <c r="J1384" s="78"/>
      <c r="K1384" s="78"/>
      <c r="L1384" s="78"/>
      <c r="M1384" s="78"/>
      <c r="N1384" s="78"/>
      <c r="O1384" s="78"/>
      <c r="P1384" s="78"/>
      <c r="Q1384" s="78"/>
    </row>
    <row r="1385" spans="7:17" x14ac:dyDescent="0.3">
      <c r="G1385" s="67"/>
      <c r="H1385" s="77"/>
      <c r="I1385" s="77"/>
      <c r="J1385" s="77"/>
      <c r="K1385" s="77"/>
      <c r="L1385" s="77"/>
      <c r="M1385" s="77"/>
      <c r="N1385" s="77"/>
      <c r="O1385" s="77"/>
      <c r="P1385" s="77"/>
      <c r="Q1385" s="77"/>
    </row>
    <row r="1386" spans="7:17" x14ac:dyDescent="0.3">
      <c r="G1386" s="66"/>
      <c r="H1386" s="78"/>
      <c r="I1386" s="78"/>
      <c r="J1386" s="78"/>
      <c r="K1386" s="78"/>
      <c r="L1386" s="78"/>
      <c r="M1386" s="78"/>
      <c r="N1386" s="78"/>
      <c r="O1386" s="78"/>
      <c r="P1386" s="78"/>
      <c r="Q1386" s="78"/>
    </row>
    <row r="1387" spans="7:17" x14ac:dyDescent="0.3">
      <c r="G1387" s="67"/>
      <c r="H1387" s="77"/>
      <c r="I1387" s="77"/>
      <c r="J1387" s="77"/>
      <c r="K1387" s="77"/>
      <c r="L1387" s="77"/>
      <c r="M1387" s="77"/>
      <c r="N1387" s="77"/>
      <c r="O1387" s="77"/>
      <c r="P1387" s="77"/>
      <c r="Q1387" s="77"/>
    </row>
    <row r="1388" spans="7:17" x14ac:dyDescent="0.3">
      <c r="G1388" s="66"/>
      <c r="H1388" s="78"/>
      <c r="I1388" s="78"/>
      <c r="J1388" s="78"/>
      <c r="K1388" s="78"/>
      <c r="L1388" s="78"/>
      <c r="M1388" s="78"/>
      <c r="N1388" s="78"/>
      <c r="O1388" s="78"/>
      <c r="P1388" s="78"/>
      <c r="Q1388" s="78"/>
    </row>
    <row r="1389" spans="7:17" x14ac:dyDescent="0.3">
      <c r="G1389" s="67"/>
      <c r="H1389" s="77"/>
      <c r="I1389" s="77"/>
      <c r="J1389" s="77"/>
      <c r="K1389" s="77"/>
      <c r="L1389" s="77"/>
      <c r="M1389" s="77"/>
      <c r="N1389" s="77"/>
      <c r="O1389" s="77"/>
      <c r="P1389" s="77"/>
      <c r="Q1389" s="77"/>
    </row>
    <row r="1390" spans="7:17" x14ac:dyDescent="0.3">
      <c r="G1390" s="66"/>
      <c r="H1390" s="78"/>
      <c r="I1390" s="78"/>
      <c r="J1390" s="78"/>
      <c r="K1390" s="78"/>
      <c r="L1390" s="78"/>
      <c r="M1390" s="78"/>
      <c r="N1390" s="78"/>
      <c r="O1390" s="78"/>
      <c r="P1390" s="78"/>
      <c r="Q1390" s="78"/>
    </row>
    <row r="1391" spans="7:17" x14ac:dyDescent="0.3">
      <c r="G1391" s="67"/>
      <c r="H1391" s="77"/>
      <c r="I1391" s="77"/>
      <c r="J1391" s="77"/>
      <c r="K1391" s="77"/>
      <c r="L1391" s="77"/>
      <c r="M1391" s="77"/>
      <c r="N1391" s="77"/>
      <c r="O1391" s="77"/>
      <c r="P1391" s="77"/>
      <c r="Q1391" s="77"/>
    </row>
    <row r="1392" spans="7:17" x14ac:dyDescent="0.3">
      <c r="G1392" s="66"/>
      <c r="H1392" s="78"/>
      <c r="I1392" s="78"/>
      <c r="J1392" s="78"/>
      <c r="K1392" s="78"/>
      <c r="L1392" s="78"/>
      <c r="M1392" s="78"/>
      <c r="N1392" s="78"/>
      <c r="O1392" s="78"/>
      <c r="P1392" s="78"/>
      <c r="Q1392" s="78"/>
    </row>
    <row r="1393" spans="7:17" x14ac:dyDescent="0.3">
      <c r="G1393" s="67"/>
      <c r="H1393" s="77"/>
      <c r="I1393" s="77"/>
      <c r="J1393" s="77"/>
      <c r="K1393" s="77"/>
      <c r="L1393" s="77"/>
      <c r="M1393" s="77"/>
      <c r="N1393" s="77"/>
      <c r="O1393" s="77"/>
      <c r="P1393" s="77"/>
      <c r="Q1393" s="77"/>
    </row>
    <row r="1394" spans="7:17" x14ac:dyDescent="0.3">
      <c r="G1394" s="66"/>
      <c r="H1394" s="78"/>
      <c r="I1394" s="78"/>
      <c r="J1394" s="78"/>
      <c r="K1394" s="78"/>
      <c r="L1394" s="78"/>
      <c r="M1394" s="78"/>
      <c r="N1394" s="78"/>
      <c r="O1394" s="78"/>
      <c r="P1394" s="78"/>
      <c r="Q1394" s="78"/>
    </row>
    <row r="1395" spans="7:17" x14ac:dyDescent="0.3">
      <c r="G1395" s="67"/>
      <c r="H1395" s="77"/>
      <c r="I1395" s="77"/>
      <c r="J1395" s="77"/>
      <c r="K1395" s="77"/>
      <c r="L1395" s="77"/>
      <c r="M1395" s="77"/>
      <c r="N1395" s="77"/>
      <c r="O1395" s="77"/>
      <c r="P1395" s="77"/>
      <c r="Q1395" s="77"/>
    </row>
    <row r="1396" spans="7:17" x14ac:dyDescent="0.3">
      <c r="G1396" s="66"/>
      <c r="H1396" s="78"/>
      <c r="I1396" s="78"/>
      <c r="J1396" s="78"/>
      <c r="K1396" s="78"/>
      <c r="L1396" s="78"/>
      <c r="M1396" s="78"/>
      <c r="N1396" s="78"/>
      <c r="O1396" s="78"/>
      <c r="P1396" s="78"/>
      <c r="Q1396" s="78"/>
    </row>
    <row r="1397" spans="7:17" x14ac:dyDescent="0.3">
      <c r="G1397" s="67"/>
      <c r="H1397" s="77"/>
      <c r="I1397" s="77"/>
      <c r="J1397" s="77"/>
      <c r="K1397" s="77"/>
      <c r="L1397" s="77"/>
      <c r="M1397" s="77"/>
      <c r="N1397" s="77"/>
      <c r="O1397" s="77"/>
      <c r="P1397" s="77"/>
      <c r="Q1397" s="77"/>
    </row>
    <row r="1398" spans="7:17" x14ac:dyDescent="0.3">
      <c r="G1398" s="66"/>
      <c r="H1398" s="78"/>
      <c r="I1398" s="78"/>
      <c r="J1398" s="78"/>
      <c r="K1398" s="78"/>
      <c r="L1398" s="78"/>
      <c r="M1398" s="78"/>
      <c r="N1398" s="78"/>
      <c r="O1398" s="78"/>
      <c r="P1398" s="78"/>
      <c r="Q1398" s="78"/>
    </row>
    <row r="1399" spans="7:17" x14ac:dyDescent="0.3">
      <c r="G1399" s="67"/>
      <c r="H1399" s="77"/>
      <c r="I1399" s="77"/>
      <c r="J1399" s="77"/>
      <c r="K1399" s="77"/>
      <c r="L1399" s="77"/>
      <c r="M1399" s="77"/>
      <c r="N1399" s="77"/>
      <c r="O1399" s="77"/>
      <c r="P1399" s="77"/>
      <c r="Q1399" s="77"/>
    </row>
    <row r="1400" spans="7:17" x14ac:dyDescent="0.3">
      <c r="G1400" s="66"/>
      <c r="H1400" s="78"/>
      <c r="I1400" s="78"/>
      <c r="J1400" s="78"/>
      <c r="K1400" s="78"/>
      <c r="L1400" s="78"/>
      <c r="M1400" s="78"/>
      <c r="N1400" s="78"/>
      <c r="O1400" s="78"/>
      <c r="P1400" s="78"/>
      <c r="Q1400" s="78"/>
    </row>
    <row r="1401" spans="7:17" x14ac:dyDescent="0.3">
      <c r="G1401" s="67"/>
      <c r="H1401" s="77"/>
      <c r="I1401" s="77"/>
      <c r="J1401" s="77"/>
      <c r="K1401" s="77"/>
      <c r="L1401" s="77"/>
      <c r="M1401" s="77"/>
      <c r="N1401" s="77"/>
      <c r="O1401" s="77"/>
      <c r="P1401" s="77"/>
      <c r="Q1401" s="77"/>
    </row>
    <row r="1402" spans="7:17" x14ac:dyDescent="0.3">
      <c r="G1402" s="66"/>
      <c r="H1402" s="78"/>
      <c r="I1402" s="78"/>
      <c r="J1402" s="78"/>
      <c r="K1402" s="78"/>
      <c r="L1402" s="78"/>
      <c r="M1402" s="78"/>
      <c r="N1402" s="78"/>
      <c r="O1402" s="78"/>
      <c r="P1402" s="78"/>
      <c r="Q1402" s="78"/>
    </row>
    <row r="1403" spans="7:17" x14ac:dyDescent="0.3">
      <c r="G1403" s="67"/>
      <c r="H1403" s="77"/>
      <c r="I1403" s="77"/>
      <c r="J1403" s="77"/>
      <c r="K1403" s="77"/>
      <c r="L1403" s="77"/>
      <c r="M1403" s="77"/>
      <c r="N1403" s="77"/>
      <c r="O1403" s="77"/>
      <c r="P1403" s="77"/>
      <c r="Q1403" s="77"/>
    </row>
    <row r="1404" spans="7:17" x14ac:dyDescent="0.3">
      <c r="G1404" s="66"/>
      <c r="H1404" s="78"/>
      <c r="I1404" s="78"/>
      <c r="J1404" s="78"/>
      <c r="K1404" s="78"/>
      <c r="L1404" s="78"/>
      <c r="M1404" s="78"/>
      <c r="N1404" s="78"/>
      <c r="O1404" s="78"/>
      <c r="P1404" s="78"/>
      <c r="Q1404" s="78"/>
    </row>
    <row r="1405" spans="7:17" x14ac:dyDescent="0.3">
      <c r="G1405" s="67"/>
      <c r="H1405" s="77"/>
      <c r="I1405" s="77"/>
      <c r="J1405" s="77"/>
      <c r="K1405" s="77"/>
      <c r="L1405" s="77"/>
      <c r="M1405" s="77"/>
      <c r="N1405" s="77"/>
      <c r="O1405" s="77"/>
      <c r="P1405" s="77"/>
      <c r="Q1405" s="77"/>
    </row>
    <row r="1406" spans="7:17" x14ac:dyDescent="0.3">
      <c r="G1406" s="66"/>
      <c r="H1406" s="78"/>
      <c r="I1406" s="78"/>
      <c r="J1406" s="78"/>
      <c r="K1406" s="78"/>
      <c r="L1406" s="78"/>
      <c r="M1406" s="78"/>
      <c r="N1406" s="78"/>
      <c r="O1406" s="78"/>
      <c r="P1406" s="78"/>
      <c r="Q1406" s="78"/>
    </row>
    <row r="1407" spans="7:17" x14ac:dyDescent="0.3">
      <c r="G1407" s="67"/>
      <c r="H1407" s="77"/>
      <c r="I1407" s="77"/>
      <c r="J1407" s="77"/>
      <c r="K1407" s="77"/>
      <c r="L1407" s="77"/>
      <c r="M1407" s="77"/>
      <c r="N1407" s="77"/>
      <c r="O1407" s="77"/>
      <c r="P1407" s="77"/>
      <c r="Q1407" s="77"/>
    </row>
    <row r="1408" spans="7:17" x14ac:dyDescent="0.3">
      <c r="G1408" s="66"/>
      <c r="H1408" s="78"/>
      <c r="I1408" s="78"/>
      <c r="J1408" s="78"/>
      <c r="K1408" s="78"/>
      <c r="L1408" s="78"/>
      <c r="M1408" s="78"/>
      <c r="N1408" s="78"/>
      <c r="O1408" s="78"/>
      <c r="P1408" s="78"/>
      <c r="Q1408" s="78"/>
    </row>
    <row r="1409" spans="7:17" x14ac:dyDescent="0.3">
      <c r="G1409" s="67"/>
      <c r="H1409" s="77"/>
      <c r="I1409" s="77"/>
      <c r="J1409" s="77"/>
      <c r="K1409" s="77"/>
      <c r="L1409" s="77"/>
      <c r="M1409" s="77"/>
      <c r="N1409" s="77"/>
      <c r="O1409" s="77"/>
      <c r="P1409" s="77"/>
      <c r="Q1409" s="77"/>
    </row>
    <row r="1410" spans="7:17" x14ac:dyDescent="0.3">
      <c r="G1410" s="66"/>
      <c r="H1410" s="78"/>
      <c r="I1410" s="78"/>
      <c r="J1410" s="78"/>
      <c r="K1410" s="78"/>
      <c r="L1410" s="78"/>
      <c r="M1410" s="78"/>
      <c r="N1410" s="78"/>
      <c r="O1410" s="78"/>
      <c r="P1410" s="78"/>
      <c r="Q1410" s="78"/>
    </row>
    <row r="1411" spans="7:17" x14ac:dyDescent="0.3">
      <c r="G1411" s="67"/>
      <c r="H1411" s="77"/>
      <c r="I1411" s="77"/>
      <c r="J1411" s="77"/>
      <c r="K1411" s="77"/>
      <c r="L1411" s="77"/>
      <c r="M1411" s="77"/>
      <c r="N1411" s="77"/>
      <c r="O1411" s="77"/>
      <c r="P1411" s="77"/>
      <c r="Q1411" s="77"/>
    </row>
    <row r="1412" spans="7:17" x14ac:dyDescent="0.3">
      <c r="G1412" s="66"/>
      <c r="H1412" s="78"/>
      <c r="I1412" s="78"/>
      <c r="J1412" s="78"/>
      <c r="K1412" s="78"/>
      <c r="L1412" s="78"/>
      <c r="M1412" s="78"/>
      <c r="N1412" s="78"/>
      <c r="O1412" s="78"/>
      <c r="P1412" s="78"/>
      <c r="Q1412" s="78"/>
    </row>
    <row r="1413" spans="7:17" x14ac:dyDescent="0.3">
      <c r="G1413" s="67"/>
      <c r="H1413" s="77"/>
      <c r="I1413" s="77"/>
      <c r="J1413" s="77"/>
      <c r="K1413" s="77"/>
      <c r="L1413" s="77"/>
      <c r="M1413" s="77"/>
      <c r="N1413" s="77"/>
      <c r="O1413" s="77"/>
      <c r="P1413" s="77"/>
      <c r="Q1413" s="77"/>
    </row>
    <row r="1414" spans="7:17" x14ac:dyDescent="0.3">
      <c r="G1414" s="66"/>
      <c r="H1414" s="78"/>
      <c r="I1414" s="78"/>
      <c r="J1414" s="78"/>
      <c r="K1414" s="78"/>
      <c r="L1414" s="78"/>
      <c r="M1414" s="78"/>
      <c r="N1414" s="78"/>
      <c r="O1414" s="78"/>
      <c r="P1414" s="78"/>
      <c r="Q1414" s="78"/>
    </row>
    <row r="1415" spans="7:17" x14ac:dyDescent="0.3">
      <c r="G1415" s="67"/>
      <c r="H1415" s="77"/>
      <c r="I1415" s="77"/>
      <c r="J1415" s="77"/>
      <c r="K1415" s="77"/>
      <c r="L1415" s="77"/>
      <c r="M1415" s="77"/>
      <c r="N1415" s="77"/>
      <c r="O1415" s="77"/>
      <c r="P1415" s="77"/>
      <c r="Q1415" s="77"/>
    </row>
    <row r="1416" spans="7:17" x14ac:dyDescent="0.3">
      <c r="G1416" s="66"/>
      <c r="H1416" s="78"/>
      <c r="I1416" s="78"/>
      <c r="J1416" s="78"/>
      <c r="K1416" s="78"/>
      <c r="L1416" s="78"/>
      <c r="M1416" s="78"/>
      <c r="N1416" s="78"/>
      <c r="O1416" s="78"/>
      <c r="P1416" s="78"/>
      <c r="Q1416" s="78"/>
    </row>
    <row r="1417" spans="7:17" x14ac:dyDescent="0.3">
      <c r="G1417" s="67"/>
      <c r="H1417" s="77"/>
      <c r="I1417" s="77"/>
      <c r="J1417" s="77"/>
      <c r="K1417" s="77"/>
      <c r="L1417" s="77"/>
      <c r="M1417" s="77"/>
      <c r="N1417" s="77"/>
      <c r="O1417" s="77"/>
      <c r="P1417" s="77"/>
      <c r="Q1417" s="77"/>
    </row>
    <row r="1418" spans="7:17" x14ac:dyDescent="0.3">
      <c r="G1418" s="66"/>
      <c r="H1418" s="78"/>
      <c r="I1418" s="78"/>
      <c r="J1418" s="78"/>
      <c r="K1418" s="78"/>
      <c r="L1418" s="78"/>
      <c r="M1418" s="78"/>
      <c r="N1418" s="78"/>
      <c r="O1418" s="78"/>
      <c r="P1418" s="78"/>
      <c r="Q1418" s="78"/>
    </row>
    <row r="1419" spans="7:17" x14ac:dyDescent="0.3">
      <c r="G1419" s="67"/>
      <c r="H1419" s="77"/>
      <c r="I1419" s="77"/>
      <c r="J1419" s="77"/>
      <c r="K1419" s="77"/>
      <c r="L1419" s="77"/>
      <c r="M1419" s="77"/>
      <c r="N1419" s="77"/>
      <c r="O1419" s="77"/>
      <c r="P1419" s="77"/>
      <c r="Q1419" s="77"/>
    </row>
    <row r="1420" spans="7:17" x14ac:dyDescent="0.3">
      <c r="G1420" s="66"/>
      <c r="H1420" s="78"/>
      <c r="I1420" s="78"/>
      <c r="J1420" s="78"/>
      <c r="K1420" s="78"/>
      <c r="L1420" s="78"/>
      <c r="M1420" s="78"/>
      <c r="N1420" s="78"/>
      <c r="O1420" s="78"/>
      <c r="P1420" s="78"/>
      <c r="Q1420" s="78"/>
    </row>
    <row r="1421" spans="7:17" x14ac:dyDescent="0.3">
      <c r="G1421" s="67"/>
      <c r="H1421" s="77"/>
      <c r="I1421" s="77"/>
      <c r="J1421" s="77"/>
      <c r="K1421" s="77"/>
      <c r="L1421" s="77"/>
      <c r="M1421" s="77"/>
      <c r="N1421" s="77"/>
      <c r="O1421" s="77"/>
      <c r="P1421" s="77"/>
      <c r="Q1421" s="77"/>
    </row>
    <row r="1422" spans="7:17" x14ac:dyDescent="0.3">
      <c r="G1422" s="66"/>
      <c r="H1422" s="78"/>
      <c r="I1422" s="78"/>
      <c r="J1422" s="78"/>
      <c r="K1422" s="78"/>
      <c r="L1422" s="78"/>
      <c r="M1422" s="78"/>
      <c r="N1422" s="78"/>
      <c r="O1422" s="78"/>
      <c r="P1422" s="78"/>
      <c r="Q1422" s="78"/>
    </row>
  </sheetData>
  <mergeCells count="2">
    <mergeCell ref="Y4:Z4"/>
    <mergeCell ref="AB6:AC6"/>
  </mergeCells>
  <dataValidations count="1">
    <dataValidation type="list" allowBlank="1" showInputMessage="1" showErrorMessage="1" sqref="C7" xr:uid="{B0B40EBC-65BD-4400-8333-4D4FAB2C71D8}">
      <formula1>$E$5:$E$6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A9BAA-4FFA-4499-B751-5FA13AA756A0}">
  <sheetPr codeName="Sheet5">
    <tabColor theme="3" tint="0.3999755851924192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ack">
                <anchor moveWithCells="1" sizeWithCells="1">
                  <from>
                    <xdr:col>0</xdr:col>
                    <xdr:colOff>167640</xdr:colOff>
                    <xdr:row>0</xdr:row>
                    <xdr:rowOff>99060</xdr:rowOff>
                  </from>
                  <to>
                    <xdr:col>1</xdr:col>
                    <xdr:colOff>312420</xdr:colOff>
                    <xdr:row>1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15C9B-CC6D-464B-B403-D4F31CD37794}">
  <sheetPr codeName="Sheet4">
    <tabColor rgb="FFFF0000"/>
  </sheetPr>
  <dimension ref="B1:D13465"/>
  <sheetViews>
    <sheetView showGridLines="0" topLeftCell="A11624" workbookViewId="0">
      <selection activeCell="B11638" sqref="B5:B13464"/>
    </sheetView>
  </sheetViews>
  <sheetFormatPr defaultRowHeight="14.4" x14ac:dyDescent="0.3"/>
  <cols>
    <col min="2" max="2" width="46.88671875" bestFit="1" customWidth="1"/>
    <col min="3" max="3" width="47.5546875" bestFit="1" customWidth="1"/>
    <col min="4" max="4" width="47.44140625" bestFit="1" customWidth="1"/>
  </cols>
  <sheetData>
    <row r="1" spans="2:4" ht="15" thickBot="1" x14ac:dyDescent="0.35"/>
    <row r="2" spans="2:4" ht="18.600000000000001" thickBot="1" x14ac:dyDescent="0.4">
      <c r="B2" s="91" t="s">
        <v>36613</v>
      </c>
      <c r="C2" s="92"/>
      <c r="D2" s="93"/>
    </row>
    <row r="3" spans="2:4" ht="12.6" customHeight="1" x14ac:dyDescent="0.3"/>
    <row r="4" spans="2:4" x14ac:dyDescent="0.3">
      <c r="B4" s="32" t="s">
        <v>1</v>
      </c>
      <c r="C4" s="32" t="s">
        <v>169</v>
      </c>
      <c r="D4" s="32" t="s">
        <v>170</v>
      </c>
    </row>
    <row r="5" spans="2:4" x14ac:dyDescent="0.3">
      <c r="B5" s="33" t="s">
        <v>171</v>
      </c>
      <c r="C5" s="32" t="s">
        <v>172</v>
      </c>
      <c r="D5" s="32" t="s">
        <v>172</v>
      </c>
    </row>
    <row r="6" spans="2:4" x14ac:dyDescent="0.3">
      <c r="B6" s="33" t="s">
        <v>173</v>
      </c>
      <c r="C6" s="32" t="s">
        <v>174</v>
      </c>
      <c r="D6" s="32" t="s">
        <v>36934</v>
      </c>
    </row>
    <row r="7" spans="2:4" x14ac:dyDescent="0.3">
      <c r="B7" s="33" t="s">
        <v>175</v>
      </c>
      <c r="C7" s="32" t="s">
        <v>176</v>
      </c>
      <c r="D7" s="32" t="s">
        <v>36935</v>
      </c>
    </row>
    <row r="8" spans="2:4" x14ac:dyDescent="0.3">
      <c r="B8" s="33" t="s">
        <v>177</v>
      </c>
      <c r="C8" s="32" t="s">
        <v>178</v>
      </c>
      <c r="D8" s="32" t="s">
        <v>36936</v>
      </c>
    </row>
    <row r="9" spans="2:4" x14ac:dyDescent="0.3">
      <c r="B9" s="33" t="s">
        <v>179</v>
      </c>
      <c r="C9" s="32" t="s">
        <v>180</v>
      </c>
      <c r="D9" s="32" t="s">
        <v>36937</v>
      </c>
    </row>
    <row r="10" spans="2:4" x14ac:dyDescent="0.3">
      <c r="B10" s="33" t="s">
        <v>181</v>
      </c>
      <c r="C10" s="32" t="s">
        <v>182</v>
      </c>
      <c r="D10" s="32" t="s">
        <v>36938</v>
      </c>
    </row>
    <row r="11" spans="2:4" x14ac:dyDescent="0.3">
      <c r="B11" s="33" t="s">
        <v>183</v>
      </c>
      <c r="C11" s="32" t="s">
        <v>184</v>
      </c>
      <c r="D11" s="32" t="s">
        <v>36939</v>
      </c>
    </row>
    <row r="12" spans="2:4" x14ac:dyDescent="0.3">
      <c r="B12" s="33" t="s">
        <v>185</v>
      </c>
      <c r="C12" s="32" t="s">
        <v>186</v>
      </c>
      <c r="D12" s="32" t="s">
        <v>36940</v>
      </c>
    </row>
    <row r="13" spans="2:4" x14ac:dyDescent="0.3">
      <c r="B13" s="33" t="s">
        <v>187</v>
      </c>
      <c r="C13" s="32" t="s">
        <v>188</v>
      </c>
      <c r="D13" s="32" t="s">
        <v>36941</v>
      </c>
    </row>
    <row r="14" spans="2:4" x14ac:dyDescent="0.3">
      <c r="B14" s="33" t="s">
        <v>189</v>
      </c>
      <c r="C14" s="32" t="s">
        <v>190</v>
      </c>
      <c r="D14" s="32" t="s">
        <v>36942</v>
      </c>
    </row>
    <row r="15" spans="2:4" x14ac:dyDescent="0.3">
      <c r="B15" s="33" t="s">
        <v>191</v>
      </c>
      <c r="C15" s="32" t="s">
        <v>192</v>
      </c>
      <c r="D15" s="32" t="s">
        <v>36943</v>
      </c>
    </row>
    <row r="16" spans="2:4" x14ac:dyDescent="0.3">
      <c r="B16" s="33" t="s">
        <v>193</v>
      </c>
      <c r="C16" s="32" t="s">
        <v>194</v>
      </c>
      <c r="D16" s="32" t="s">
        <v>36944</v>
      </c>
    </row>
    <row r="17" spans="2:4" x14ac:dyDescent="0.3">
      <c r="B17" s="33" t="s">
        <v>195</v>
      </c>
      <c r="C17" s="32" t="s">
        <v>196</v>
      </c>
      <c r="D17" s="32" t="s">
        <v>36945</v>
      </c>
    </row>
    <row r="18" spans="2:4" x14ac:dyDescent="0.3">
      <c r="B18" s="33" t="s">
        <v>197</v>
      </c>
      <c r="C18" s="32" t="s">
        <v>198</v>
      </c>
      <c r="D18" s="32" t="s">
        <v>36946</v>
      </c>
    </row>
    <row r="19" spans="2:4" x14ac:dyDescent="0.3">
      <c r="B19" s="33" t="s">
        <v>199</v>
      </c>
      <c r="C19" s="32" t="s">
        <v>200</v>
      </c>
      <c r="D19" s="32" t="s">
        <v>201</v>
      </c>
    </row>
    <row r="20" spans="2:4" x14ac:dyDescent="0.3">
      <c r="B20" s="33" t="s">
        <v>202</v>
      </c>
      <c r="C20" s="32" t="s">
        <v>203</v>
      </c>
      <c r="D20" s="32" t="s">
        <v>36947</v>
      </c>
    </row>
    <row r="21" spans="2:4" x14ac:dyDescent="0.3">
      <c r="B21" s="33" t="s">
        <v>204</v>
      </c>
      <c r="C21" s="32" t="s">
        <v>205</v>
      </c>
      <c r="D21" s="32" t="s">
        <v>36948</v>
      </c>
    </row>
    <row r="22" spans="2:4" x14ac:dyDescent="0.3">
      <c r="B22" s="33" t="s">
        <v>206</v>
      </c>
      <c r="C22" s="32" t="s">
        <v>207</v>
      </c>
      <c r="D22" s="32" t="s">
        <v>36949</v>
      </c>
    </row>
    <row r="23" spans="2:4" x14ac:dyDescent="0.3">
      <c r="B23" s="33" t="s">
        <v>208</v>
      </c>
      <c r="C23" s="32" t="s">
        <v>209</v>
      </c>
      <c r="D23" s="32" t="s">
        <v>210</v>
      </c>
    </row>
    <row r="24" spans="2:4" x14ac:dyDescent="0.3">
      <c r="B24" s="33" t="s">
        <v>211</v>
      </c>
      <c r="C24" s="32" t="s">
        <v>212</v>
      </c>
      <c r="D24" s="32" t="s">
        <v>212</v>
      </c>
    </row>
    <row r="25" spans="2:4" x14ac:dyDescent="0.3">
      <c r="B25" s="33" t="s">
        <v>213</v>
      </c>
      <c r="C25" s="32" t="s">
        <v>214</v>
      </c>
      <c r="D25" s="32" t="s">
        <v>214</v>
      </c>
    </row>
    <row r="26" spans="2:4" x14ac:dyDescent="0.3">
      <c r="B26" s="33" t="s">
        <v>215</v>
      </c>
      <c r="C26" s="32" t="s">
        <v>216</v>
      </c>
      <c r="D26" s="32" t="s">
        <v>217</v>
      </c>
    </row>
    <row r="27" spans="2:4" x14ac:dyDescent="0.3">
      <c r="B27" s="33" t="s">
        <v>218</v>
      </c>
      <c r="C27" s="32" t="s">
        <v>219</v>
      </c>
      <c r="D27" s="32" t="s">
        <v>219</v>
      </c>
    </row>
    <row r="28" spans="2:4" x14ac:dyDescent="0.3">
      <c r="B28" s="33" t="s">
        <v>220</v>
      </c>
      <c r="C28" s="32" t="s">
        <v>221</v>
      </c>
      <c r="D28" s="32" t="s">
        <v>221</v>
      </c>
    </row>
    <row r="29" spans="2:4" x14ac:dyDescent="0.3">
      <c r="B29" s="33" t="s">
        <v>222</v>
      </c>
      <c r="C29" s="32" t="s">
        <v>223</v>
      </c>
      <c r="D29" s="32" t="s">
        <v>224</v>
      </c>
    </row>
    <row r="30" spans="2:4" x14ac:dyDescent="0.3">
      <c r="B30" s="33" t="s">
        <v>225</v>
      </c>
      <c r="C30" s="32" t="s">
        <v>226</v>
      </c>
      <c r="D30" s="32" t="s">
        <v>227</v>
      </c>
    </row>
    <row r="31" spans="2:4" x14ac:dyDescent="0.3">
      <c r="B31" s="33" t="s">
        <v>228</v>
      </c>
      <c r="C31" s="32" t="s">
        <v>229</v>
      </c>
      <c r="D31" s="32" t="s">
        <v>230</v>
      </c>
    </row>
    <row r="32" spans="2:4" x14ac:dyDescent="0.3">
      <c r="B32" s="33" t="s">
        <v>231</v>
      </c>
      <c r="C32" s="32" t="s">
        <v>232</v>
      </c>
      <c r="D32" s="32" t="s">
        <v>233</v>
      </c>
    </row>
    <row r="33" spans="2:4" x14ac:dyDescent="0.3">
      <c r="B33" s="33" t="s">
        <v>218</v>
      </c>
      <c r="C33" s="32" t="s">
        <v>234</v>
      </c>
      <c r="D33" s="32" t="s">
        <v>235</v>
      </c>
    </row>
    <row r="34" spans="2:4" x14ac:dyDescent="0.3">
      <c r="B34" s="33" t="s">
        <v>236</v>
      </c>
      <c r="C34" s="32" t="s">
        <v>237</v>
      </c>
      <c r="D34" s="32" t="s">
        <v>238</v>
      </c>
    </row>
    <row r="35" spans="2:4" x14ac:dyDescent="0.3">
      <c r="B35" s="33" t="s">
        <v>239</v>
      </c>
      <c r="C35" s="32" t="s">
        <v>240</v>
      </c>
      <c r="D35" s="32" t="s">
        <v>241</v>
      </c>
    </row>
    <row r="36" spans="2:4" x14ac:dyDescent="0.3">
      <c r="B36" s="33" t="s">
        <v>242</v>
      </c>
      <c r="C36" s="32" t="s">
        <v>243</v>
      </c>
      <c r="D36" s="32" t="s">
        <v>244</v>
      </c>
    </row>
    <row r="37" spans="2:4" x14ac:dyDescent="0.3">
      <c r="B37" s="33" t="s">
        <v>245</v>
      </c>
      <c r="C37" s="32" t="s">
        <v>246</v>
      </c>
      <c r="D37" s="32" t="s">
        <v>247</v>
      </c>
    </row>
    <row r="38" spans="2:4" x14ac:dyDescent="0.3">
      <c r="B38" s="33" t="s">
        <v>248</v>
      </c>
      <c r="C38" s="32" t="s">
        <v>249</v>
      </c>
      <c r="D38" s="32" t="s">
        <v>250</v>
      </c>
    </row>
    <row r="39" spans="2:4" x14ac:dyDescent="0.3">
      <c r="B39" s="33" t="s">
        <v>251</v>
      </c>
      <c r="C39" s="32" t="s">
        <v>252</v>
      </c>
      <c r="D39" s="32" t="s">
        <v>253</v>
      </c>
    </row>
    <row r="40" spans="2:4" x14ac:dyDescent="0.3">
      <c r="B40" s="33" t="s">
        <v>254</v>
      </c>
      <c r="C40" s="32" t="s">
        <v>255</v>
      </c>
      <c r="D40" s="32" t="s">
        <v>256</v>
      </c>
    </row>
    <row r="41" spans="2:4" x14ac:dyDescent="0.3">
      <c r="B41" s="33" t="s">
        <v>257</v>
      </c>
      <c r="C41" s="32" t="s">
        <v>258</v>
      </c>
      <c r="D41" s="32" t="s">
        <v>259</v>
      </c>
    </row>
    <row r="42" spans="2:4" x14ac:dyDescent="0.3">
      <c r="B42" s="33" t="s">
        <v>260</v>
      </c>
      <c r="C42" s="32" t="s">
        <v>261</v>
      </c>
      <c r="D42" s="32" t="s">
        <v>262</v>
      </c>
    </row>
    <row r="43" spans="2:4" x14ac:dyDescent="0.3">
      <c r="B43" s="33" t="s">
        <v>263</v>
      </c>
      <c r="C43" s="32" t="s">
        <v>264</v>
      </c>
      <c r="D43" s="32" t="s">
        <v>265</v>
      </c>
    </row>
    <row r="44" spans="2:4" x14ac:dyDescent="0.3">
      <c r="B44" s="33" t="s">
        <v>266</v>
      </c>
      <c r="C44" s="32" t="s">
        <v>267</v>
      </c>
      <c r="D44" s="32" t="s">
        <v>268</v>
      </c>
    </row>
    <row r="45" spans="2:4" x14ac:dyDescent="0.3">
      <c r="B45" s="33" t="s">
        <v>269</v>
      </c>
      <c r="C45" s="32" t="s">
        <v>270</v>
      </c>
      <c r="D45" s="32" t="s">
        <v>271</v>
      </c>
    </row>
    <row r="46" spans="2:4" x14ac:dyDescent="0.3">
      <c r="B46" s="33" t="s">
        <v>272</v>
      </c>
      <c r="C46" s="32" t="s">
        <v>273</v>
      </c>
      <c r="D46" s="32" t="s">
        <v>274</v>
      </c>
    </row>
    <row r="47" spans="2:4" x14ac:dyDescent="0.3">
      <c r="B47" s="33" t="s">
        <v>275</v>
      </c>
      <c r="C47" s="32" t="s">
        <v>276</v>
      </c>
      <c r="D47" s="32" t="s">
        <v>277</v>
      </c>
    </row>
    <row r="48" spans="2:4" x14ac:dyDescent="0.3">
      <c r="B48" s="33" t="s">
        <v>278</v>
      </c>
      <c r="C48" s="32" t="s">
        <v>279</v>
      </c>
      <c r="D48" s="32" t="s">
        <v>280</v>
      </c>
    </row>
    <row r="49" spans="2:4" x14ac:dyDescent="0.3">
      <c r="B49" s="33" t="s">
        <v>281</v>
      </c>
      <c r="C49" s="32" t="s">
        <v>282</v>
      </c>
      <c r="D49" s="32" t="s">
        <v>283</v>
      </c>
    </row>
    <row r="50" spans="2:4" x14ac:dyDescent="0.3">
      <c r="B50" s="33" t="s">
        <v>284</v>
      </c>
      <c r="C50" s="32" t="s">
        <v>285</v>
      </c>
      <c r="D50" s="32" t="s">
        <v>286</v>
      </c>
    </row>
    <row r="51" spans="2:4" x14ac:dyDescent="0.3">
      <c r="B51" s="33" t="s">
        <v>287</v>
      </c>
      <c r="C51" s="32" t="s">
        <v>288</v>
      </c>
      <c r="D51" s="32" t="s">
        <v>289</v>
      </c>
    </row>
    <row r="52" spans="2:4" x14ac:dyDescent="0.3">
      <c r="B52" s="33" t="s">
        <v>290</v>
      </c>
      <c r="C52" s="32" t="s">
        <v>291</v>
      </c>
      <c r="D52" s="32" t="s">
        <v>292</v>
      </c>
    </row>
    <row r="53" spans="2:4" x14ac:dyDescent="0.3">
      <c r="B53" s="33" t="s">
        <v>293</v>
      </c>
      <c r="C53" s="32" t="s">
        <v>294</v>
      </c>
      <c r="D53" s="32" t="s">
        <v>295</v>
      </c>
    </row>
    <row r="54" spans="2:4" x14ac:dyDescent="0.3">
      <c r="B54" s="33" t="s">
        <v>296</v>
      </c>
      <c r="C54" s="32" t="s">
        <v>297</v>
      </c>
      <c r="D54" s="32" t="s">
        <v>298</v>
      </c>
    </row>
    <row r="55" spans="2:4" x14ac:dyDescent="0.3">
      <c r="B55" s="33" t="s">
        <v>299</v>
      </c>
      <c r="C55" s="32" t="s">
        <v>300</v>
      </c>
      <c r="D55" s="32" t="s">
        <v>301</v>
      </c>
    </row>
    <row r="56" spans="2:4" x14ac:dyDescent="0.3">
      <c r="B56" s="33" t="s">
        <v>302</v>
      </c>
      <c r="C56" s="32" t="s">
        <v>303</v>
      </c>
      <c r="D56" s="32" t="s">
        <v>304</v>
      </c>
    </row>
    <row r="57" spans="2:4" x14ac:dyDescent="0.3">
      <c r="B57" s="33" t="s">
        <v>305</v>
      </c>
      <c r="C57" s="32" t="s">
        <v>306</v>
      </c>
      <c r="D57" s="32" t="s">
        <v>307</v>
      </c>
    </row>
    <row r="58" spans="2:4" x14ac:dyDescent="0.3">
      <c r="B58" s="33" t="s">
        <v>308</v>
      </c>
      <c r="C58" s="32" t="s">
        <v>309</v>
      </c>
      <c r="D58" s="32" t="s">
        <v>310</v>
      </c>
    </row>
    <row r="59" spans="2:4" x14ac:dyDescent="0.3">
      <c r="B59" s="33" t="s">
        <v>311</v>
      </c>
      <c r="C59" s="32" t="s">
        <v>312</v>
      </c>
      <c r="D59" s="32" t="s">
        <v>313</v>
      </c>
    </row>
    <row r="60" spans="2:4" x14ac:dyDescent="0.3">
      <c r="B60" s="33" t="s">
        <v>314</v>
      </c>
      <c r="C60" s="32" t="s">
        <v>315</v>
      </c>
      <c r="D60" s="32" t="s">
        <v>316</v>
      </c>
    </row>
    <row r="61" spans="2:4" x14ac:dyDescent="0.3">
      <c r="B61" s="33" t="s">
        <v>317</v>
      </c>
      <c r="C61" s="32" t="s">
        <v>317</v>
      </c>
      <c r="D61" s="32" t="s">
        <v>318</v>
      </c>
    </row>
    <row r="62" spans="2:4" x14ac:dyDescent="0.3">
      <c r="B62" s="33" t="s">
        <v>319</v>
      </c>
      <c r="C62" s="32" t="s">
        <v>320</v>
      </c>
      <c r="D62" s="32" t="s">
        <v>321</v>
      </c>
    </row>
    <row r="63" spans="2:4" x14ac:dyDescent="0.3">
      <c r="B63" s="33" t="s">
        <v>322</v>
      </c>
      <c r="C63" s="32" t="s">
        <v>323</v>
      </c>
      <c r="D63" s="32" t="s">
        <v>324</v>
      </c>
    </row>
    <row r="64" spans="2:4" x14ac:dyDescent="0.3">
      <c r="B64" s="33" t="s">
        <v>325</v>
      </c>
      <c r="C64" s="32" t="s">
        <v>326</v>
      </c>
      <c r="D64" s="32" t="s">
        <v>327</v>
      </c>
    </row>
    <row r="65" spans="2:4" x14ac:dyDescent="0.3">
      <c r="B65" s="33" t="s">
        <v>328</v>
      </c>
      <c r="C65" s="32" t="s">
        <v>329</v>
      </c>
      <c r="D65" s="32" t="s">
        <v>330</v>
      </c>
    </row>
    <row r="66" spans="2:4" x14ac:dyDescent="0.3">
      <c r="B66" s="33" t="s">
        <v>331</v>
      </c>
      <c r="C66" s="32" t="s">
        <v>332</v>
      </c>
      <c r="D66" s="32" t="s">
        <v>333</v>
      </c>
    </row>
    <row r="67" spans="2:4" x14ac:dyDescent="0.3">
      <c r="B67" s="33" t="s">
        <v>334</v>
      </c>
      <c r="C67" s="32" t="s">
        <v>335</v>
      </c>
      <c r="D67" s="32" t="s">
        <v>336</v>
      </c>
    </row>
    <row r="68" spans="2:4" x14ac:dyDescent="0.3">
      <c r="B68" s="33" t="s">
        <v>337</v>
      </c>
      <c r="C68" s="32" t="s">
        <v>338</v>
      </c>
      <c r="D68" s="32" t="s">
        <v>339</v>
      </c>
    </row>
    <row r="69" spans="2:4" x14ac:dyDescent="0.3">
      <c r="B69" s="33" t="s">
        <v>340</v>
      </c>
      <c r="C69" s="32" t="s">
        <v>341</v>
      </c>
      <c r="D69" s="32" t="s">
        <v>342</v>
      </c>
    </row>
    <row r="70" spans="2:4" x14ac:dyDescent="0.3">
      <c r="B70" s="33" t="s">
        <v>343</v>
      </c>
      <c r="C70" s="32" t="s">
        <v>344</v>
      </c>
      <c r="D70" s="32" t="s">
        <v>345</v>
      </c>
    </row>
    <row r="71" spans="2:4" x14ac:dyDescent="0.3">
      <c r="B71" s="33" t="s">
        <v>346</v>
      </c>
      <c r="C71" s="32" t="s">
        <v>347</v>
      </c>
      <c r="D71" s="32" t="s">
        <v>348</v>
      </c>
    </row>
    <row r="72" spans="2:4" x14ac:dyDescent="0.3">
      <c r="B72" s="33" t="s">
        <v>349</v>
      </c>
      <c r="C72" s="32" t="s">
        <v>350</v>
      </c>
      <c r="D72" s="32" t="s">
        <v>351</v>
      </c>
    </row>
    <row r="73" spans="2:4" x14ac:dyDescent="0.3">
      <c r="B73" s="33" t="s">
        <v>352</v>
      </c>
      <c r="C73" s="32" t="s">
        <v>353</v>
      </c>
      <c r="D73" s="32" t="s">
        <v>354</v>
      </c>
    </row>
    <row r="74" spans="2:4" x14ac:dyDescent="0.3">
      <c r="B74" s="33" t="s">
        <v>355</v>
      </c>
      <c r="C74" s="32" t="s">
        <v>356</v>
      </c>
      <c r="D74" s="32" t="s">
        <v>357</v>
      </c>
    </row>
    <row r="75" spans="2:4" x14ac:dyDescent="0.3">
      <c r="B75" s="33" t="s">
        <v>358</v>
      </c>
      <c r="C75" s="32" t="s">
        <v>359</v>
      </c>
      <c r="D75" s="32" t="s">
        <v>360</v>
      </c>
    </row>
    <row r="76" spans="2:4" x14ac:dyDescent="0.3">
      <c r="B76" s="33" t="s">
        <v>361</v>
      </c>
      <c r="C76" s="32" t="s">
        <v>362</v>
      </c>
      <c r="D76" s="32" t="s">
        <v>363</v>
      </c>
    </row>
    <row r="77" spans="2:4" x14ac:dyDescent="0.3">
      <c r="B77" s="33" t="s">
        <v>364</v>
      </c>
      <c r="C77" s="32" t="s">
        <v>365</v>
      </c>
      <c r="D77" s="32" t="s">
        <v>366</v>
      </c>
    </row>
    <row r="78" spans="2:4" x14ac:dyDescent="0.3">
      <c r="B78" s="33" t="s">
        <v>367</v>
      </c>
      <c r="C78" s="32" t="s">
        <v>368</v>
      </c>
      <c r="D78" s="32" t="s">
        <v>369</v>
      </c>
    </row>
    <row r="79" spans="2:4" x14ac:dyDescent="0.3">
      <c r="B79" s="33" t="s">
        <v>370</v>
      </c>
      <c r="C79" s="32" t="s">
        <v>371</v>
      </c>
      <c r="D79" s="32" t="s">
        <v>372</v>
      </c>
    </row>
    <row r="80" spans="2:4" x14ac:dyDescent="0.3">
      <c r="B80" s="33" t="s">
        <v>373</v>
      </c>
      <c r="C80" s="32" t="s">
        <v>374</v>
      </c>
      <c r="D80" s="32" t="s">
        <v>375</v>
      </c>
    </row>
    <row r="81" spans="2:4" x14ac:dyDescent="0.3">
      <c r="B81" s="33" t="s">
        <v>376</v>
      </c>
      <c r="C81" s="32" t="s">
        <v>377</v>
      </c>
      <c r="D81" s="32" t="s">
        <v>378</v>
      </c>
    </row>
    <row r="82" spans="2:4" x14ac:dyDescent="0.3">
      <c r="B82" s="33" t="s">
        <v>379</v>
      </c>
      <c r="C82" s="32" t="s">
        <v>380</v>
      </c>
      <c r="D82" s="32" t="s">
        <v>381</v>
      </c>
    </row>
    <row r="83" spans="2:4" x14ac:dyDescent="0.3">
      <c r="B83" s="33" t="s">
        <v>382</v>
      </c>
      <c r="C83" s="32" t="s">
        <v>383</v>
      </c>
      <c r="D83" s="32" t="s">
        <v>384</v>
      </c>
    </row>
    <row r="84" spans="2:4" x14ac:dyDescent="0.3">
      <c r="B84" s="33" t="s">
        <v>385</v>
      </c>
      <c r="C84" s="32" t="s">
        <v>386</v>
      </c>
      <c r="D84" s="32" t="s">
        <v>387</v>
      </c>
    </row>
    <row r="85" spans="2:4" x14ac:dyDescent="0.3">
      <c r="B85" s="33" t="s">
        <v>388</v>
      </c>
      <c r="C85" s="32" t="s">
        <v>389</v>
      </c>
      <c r="D85" s="32" t="s">
        <v>390</v>
      </c>
    </row>
    <row r="86" spans="2:4" x14ac:dyDescent="0.3">
      <c r="B86" s="33" t="s">
        <v>391</v>
      </c>
      <c r="C86" s="32" t="s">
        <v>392</v>
      </c>
      <c r="D86" s="32" t="s">
        <v>393</v>
      </c>
    </row>
    <row r="87" spans="2:4" x14ac:dyDescent="0.3">
      <c r="B87" s="33" t="s">
        <v>394</v>
      </c>
      <c r="C87" s="32" t="s">
        <v>395</v>
      </c>
      <c r="D87" s="32" t="s">
        <v>396</v>
      </c>
    </row>
    <row r="88" spans="2:4" x14ac:dyDescent="0.3">
      <c r="B88" s="33" t="s">
        <v>397</v>
      </c>
      <c r="C88" s="32" t="s">
        <v>398</v>
      </c>
      <c r="D88" s="32" t="s">
        <v>399</v>
      </c>
    </row>
    <row r="89" spans="2:4" x14ac:dyDescent="0.3">
      <c r="B89" s="33" t="s">
        <v>400</v>
      </c>
      <c r="C89" s="32" t="s">
        <v>401</v>
      </c>
      <c r="D89" s="32" t="s">
        <v>402</v>
      </c>
    </row>
    <row r="90" spans="2:4" x14ac:dyDescent="0.3">
      <c r="B90" s="33" t="s">
        <v>403</v>
      </c>
      <c r="C90" s="32" t="s">
        <v>404</v>
      </c>
      <c r="D90" s="32" t="s">
        <v>405</v>
      </c>
    </row>
    <row r="91" spans="2:4" x14ac:dyDescent="0.3">
      <c r="B91" s="33" t="s">
        <v>406</v>
      </c>
      <c r="C91" s="32" t="s">
        <v>407</v>
      </c>
      <c r="D91" s="32" t="s">
        <v>408</v>
      </c>
    </row>
    <row r="92" spans="2:4" x14ac:dyDescent="0.3">
      <c r="B92" s="33" t="s">
        <v>409</v>
      </c>
      <c r="C92" s="32" t="s">
        <v>410</v>
      </c>
      <c r="D92" s="32" t="s">
        <v>411</v>
      </c>
    </row>
    <row r="93" spans="2:4" x14ac:dyDescent="0.3">
      <c r="B93" s="33" t="s">
        <v>412</v>
      </c>
      <c r="C93" s="32" t="s">
        <v>413</v>
      </c>
      <c r="D93" s="32" t="s">
        <v>414</v>
      </c>
    </row>
    <row r="94" spans="2:4" x14ac:dyDescent="0.3">
      <c r="B94" s="33" t="s">
        <v>415</v>
      </c>
      <c r="C94" s="32" t="s">
        <v>416</v>
      </c>
      <c r="D94" s="32" t="s">
        <v>417</v>
      </c>
    </row>
    <row r="95" spans="2:4" x14ac:dyDescent="0.3">
      <c r="B95" s="33" t="s">
        <v>418</v>
      </c>
      <c r="C95" s="32" t="s">
        <v>419</v>
      </c>
      <c r="D95" s="32" t="s">
        <v>420</v>
      </c>
    </row>
    <row r="96" spans="2:4" x14ac:dyDescent="0.3">
      <c r="B96" s="33" t="s">
        <v>421</v>
      </c>
      <c r="C96" s="32" t="s">
        <v>422</v>
      </c>
      <c r="D96" s="32" t="s">
        <v>423</v>
      </c>
    </row>
    <row r="97" spans="2:4" x14ac:dyDescent="0.3">
      <c r="B97" s="33" t="s">
        <v>424</v>
      </c>
      <c r="C97" s="32" t="s">
        <v>425</v>
      </c>
      <c r="D97" s="32" t="s">
        <v>426</v>
      </c>
    </row>
    <row r="98" spans="2:4" x14ac:dyDescent="0.3">
      <c r="B98" s="33" t="s">
        <v>427</v>
      </c>
      <c r="C98" s="32" t="s">
        <v>428</v>
      </c>
      <c r="D98" s="32" t="s">
        <v>429</v>
      </c>
    </row>
    <row r="99" spans="2:4" x14ac:dyDescent="0.3">
      <c r="B99" s="33" t="s">
        <v>430</v>
      </c>
      <c r="C99" s="32" t="s">
        <v>431</v>
      </c>
      <c r="D99" s="32" t="s">
        <v>432</v>
      </c>
    </row>
    <row r="100" spans="2:4" x14ac:dyDescent="0.3">
      <c r="B100" s="33" t="s">
        <v>433</v>
      </c>
      <c r="C100" s="32" t="s">
        <v>434</v>
      </c>
      <c r="D100" s="32" t="s">
        <v>435</v>
      </c>
    </row>
    <row r="101" spans="2:4" x14ac:dyDescent="0.3">
      <c r="B101" s="33" t="s">
        <v>436</v>
      </c>
      <c r="C101" s="32" t="s">
        <v>437</v>
      </c>
      <c r="D101" s="32" t="s">
        <v>438</v>
      </c>
    </row>
    <row r="102" spans="2:4" x14ac:dyDescent="0.3">
      <c r="B102" s="33" t="s">
        <v>439</v>
      </c>
      <c r="C102" s="32" t="s">
        <v>440</v>
      </c>
      <c r="D102" s="32" t="s">
        <v>441</v>
      </c>
    </row>
    <row r="103" spans="2:4" x14ac:dyDescent="0.3">
      <c r="B103" s="33" t="s">
        <v>442</v>
      </c>
      <c r="C103" s="32" t="s">
        <v>443</v>
      </c>
      <c r="D103" s="32" t="s">
        <v>444</v>
      </c>
    </row>
    <row r="104" spans="2:4" x14ac:dyDescent="0.3">
      <c r="B104" s="33" t="s">
        <v>445</v>
      </c>
      <c r="C104" s="32" t="s">
        <v>446</v>
      </c>
      <c r="D104" s="32" t="s">
        <v>447</v>
      </c>
    </row>
    <row r="105" spans="2:4" x14ac:dyDescent="0.3">
      <c r="B105" s="33" t="s">
        <v>448</v>
      </c>
      <c r="C105" s="32" t="s">
        <v>449</v>
      </c>
      <c r="D105" s="32" t="s">
        <v>450</v>
      </c>
    </row>
    <row r="106" spans="2:4" x14ac:dyDescent="0.3">
      <c r="B106" s="33" t="s">
        <v>451</v>
      </c>
      <c r="C106" s="32" t="s">
        <v>452</v>
      </c>
      <c r="D106" s="32" t="s">
        <v>453</v>
      </c>
    </row>
    <row r="107" spans="2:4" x14ac:dyDescent="0.3">
      <c r="B107" s="33" t="s">
        <v>454</v>
      </c>
      <c r="C107" s="32" t="s">
        <v>455</v>
      </c>
      <c r="D107" s="32" t="s">
        <v>456</v>
      </c>
    </row>
    <row r="108" spans="2:4" x14ac:dyDescent="0.3">
      <c r="B108" s="33" t="s">
        <v>457</v>
      </c>
      <c r="C108" s="32" t="s">
        <v>458</v>
      </c>
      <c r="D108" s="32" t="s">
        <v>459</v>
      </c>
    </row>
    <row r="109" spans="2:4" x14ac:dyDescent="0.3">
      <c r="B109" s="33" t="s">
        <v>460</v>
      </c>
      <c r="C109" s="32" t="s">
        <v>461</v>
      </c>
      <c r="D109" s="32" t="s">
        <v>462</v>
      </c>
    </row>
    <row r="110" spans="2:4" x14ac:dyDescent="0.3">
      <c r="B110" s="33" t="s">
        <v>463</v>
      </c>
      <c r="C110" s="32" t="s">
        <v>464</v>
      </c>
      <c r="D110" s="32" t="s">
        <v>465</v>
      </c>
    </row>
    <row r="111" spans="2:4" x14ac:dyDescent="0.3">
      <c r="B111" s="33" t="s">
        <v>466</v>
      </c>
      <c r="C111" s="32" t="s">
        <v>467</v>
      </c>
      <c r="D111" s="32" t="s">
        <v>468</v>
      </c>
    </row>
    <row r="112" spans="2:4" x14ac:dyDescent="0.3">
      <c r="B112" s="33" t="s">
        <v>469</v>
      </c>
      <c r="C112" s="32" t="s">
        <v>470</v>
      </c>
      <c r="D112" s="32" t="s">
        <v>471</v>
      </c>
    </row>
    <row r="113" spans="2:4" x14ac:dyDescent="0.3">
      <c r="B113" s="33" t="s">
        <v>472</v>
      </c>
      <c r="C113" s="32" t="s">
        <v>473</v>
      </c>
      <c r="D113" s="32" t="s">
        <v>472</v>
      </c>
    </row>
    <row r="114" spans="2:4" x14ac:dyDescent="0.3">
      <c r="B114" s="33" t="s">
        <v>474</v>
      </c>
      <c r="C114" s="32" t="s">
        <v>475</v>
      </c>
      <c r="D114" s="32" t="s">
        <v>476</v>
      </c>
    </row>
    <row r="115" spans="2:4" x14ac:dyDescent="0.3">
      <c r="B115" s="33" t="s">
        <v>477</v>
      </c>
      <c r="C115" s="32" t="s">
        <v>478</v>
      </c>
      <c r="D115" s="32" t="s">
        <v>477</v>
      </c>
    </row>
    <row r="116" spans="2:4" x14ac:dyDescent="0.3">
      <c r="B116" s="33" t="s">
        <v>479</v>
      </c>
      <c r="C116" s="32" t="s">
        <v>480</v>
      </c>
      <c r="D116" s="32" t="s">
        <v>481</v>
      </c>
    </row>
    <row r="117" spans="2:4" x14ac:dyDescent="0.3">
      <c r="B117" s="33" t="s">
        <v>482</v>
      </c>
      <c r="C117" s="32" t="s">
        <v>483</v>
      </c>
      <c r="D117" s="32" t="s">
        <v>484</v>
      </c>
    </row>
    <row r="118" spans="2:4" x14ac:dyDescent="0.3">
      <c r="B118" s="33" t="s">
        <v>485</v>
      </c>
      <c r="C118" s="32" t="s">
        <v>486</v>
      </c>
      <c r="D118" s="32" t="s">
        <v>486</v>
      </c>
    </row>
    <row r="119" spans="2:4" x14ac:dyDescent="0.3">
      <c r="B119" s="33" t="s">
        <v>487</v>
      </c>
      <c r="C119" s="32" t="s">
        <v>488</v>
      </c>
      <c r="D119" s="32" t="s">
        <v>488</v>
      </c>
    </row>
    <row r="120" spans="2:4" x14ac:dyDescent="0.3">
      <c r="B120" s="33" t="s">
        <v>487</v>
      </c>
      <c r="C120" s="32" t="s">
        <v>489</v>
      </c>
      <c r="D120" s="32" t="s">
        <v>490</v>
      </c>
    </row>
    <row r="121" spans="2:4" x14ac:dyDescent="0.3">
      <c r="B121" s="33" t="s">
        <v>491</v>
      </c>
      <c r="C121" s="32" t="s">
        <v>492</v>
      </c>
      <c r="D121" s="32" t="s">
        <v>493</v>
      </c>
    </row>
    <row r="122" spans="2:4" x14ac:dyDescent="0.3">
      <c r="B122" s="33" t="s">
        <v>494</v>
      </c>
      <c r="C122" s="32" t="s">
        <v>495</v>
      </c>
      <c r="D122" s="32" t="s">
        <v>496</v>
      </c>
    </row>
    <row r="123" spans="2:4" x14ac:dyDescent="0.3">
      <c r="B123" s="33" t="s">
        <v>497</v>
      </c>
      <c r="C123" s="32" t="s">
        <v>498</v>
      </c>
      <c r="D123" s="32" t="s">
        <v>497</v>
      </c>
    </row>
    <row r="124" spans="2:4" x14ac:dyDescent="0.3">
      <c r="B124" s="33" t="s">
        <v>499</v>
      </c>
      <c r="C124" s="32" t="s">
        <v>500</v>
      </c>
      <c r="D124" s="32" t="s">
        <v>500</v>
      </c>
    </row>
    <row r="125" spans="2:4" x14ac:dyDescent="0.3">
      <c r="B125" s="33" t="s">
        <v>501</v>
      </c>
      <c r="C125" s="32" t="s">
        <v>502</v>
      </c>
      <c r="D125" s="32" t="s">
        <v>503</v>
      </c>
    </row>
    <row r="126" spans="2:4" x14ac:dyDescent="0.3">
      <c r="B126" s="33" t="s">
        <v>504</v>
      </c>
      <c r="C126" s="32" t="s">
        <v>505</v>
      </c>
      <c r="D126" s="32" t="s">
        <v>506</v>
      </c>
    </row>
    <row r="127" spans="2:4" x14ac:dyDescent="0.3">
      <c r="B127" s="33" t="s">
        <v>504</v>
      </c>
      <c r="C127" s="32" t="s">
        <v>507</v>
      </c>
      <c r="D127" s="32" t="s">
        <v>508</v>
      </c>
    </row>
    <row r="128" spans="2:4" x14ac:dyDescent="0.3">
      <c r="B128" s="33" t="s">
        <v>509</v>
      </c>
      <c r="C128" s="32" t="s">
        <v>510</v>
      </c>
      <c r="D128" s="32" t="s">
        <v>511</v>
      </c>
    </row>
    <row r="129" spans="2:4" x14ac:dyDescent="0.3">
      <c r="B129" s="33" t="s">
        <v>512</v>
      </c>
      <c r="C129" s="32" t="s">
        <v>513</v>
      </c>
      <c r="D129" s="32" t="s">
        <v>512</v>
      </c>
    </row>
    <row r="130" spans="2:4" x14ac:dyDescent="0.3">
      <c r="B130" s="33" t="s">
        <v>514</v>
      </c>
      <c r="C130" s="32" t="s">
        <v>515</v>
      </c>
      <c r="D130" s="32" t="s">
        <v>516</v>
      </c>
    </row>
    <row r="131" spans="2:4" x14ac:dyDescent="0.3">
      <c r="B131" s="33" t="s">
        <v>517</v>
      </c>
      <c r="C131" s="32" t="s">
        <v>518</v>
      </c>
      <c r="D131" s="32" t="s">
        <v>519</v>
      </c>
    </row>
    <row r="132" spans="2:4" x14ac:dyDescent="0.3">
      <c r="B132" s="33" t="s">
        <v>520</v>
      </c>
      <c r="C132" s="32" t="s">
        <v>521</v>
      </c>
      <c r="D132" s="32" t="s">
        <v>522</v>
      </c>
    </row>
    <row r="133" spans="2:4" x14ac:dyDescent="0.3">
      <c r="B133" s="33" t="s">
        <v>523</v>
      </c>
      <c r="C133" s="32" t="s">
        <v>524</v>
      </c>
      <c r="D133" s="32" t="s">
        <v>525</v>
      </c>
    </row>
    <row r="134" spans="2:4" x14ac:dyDescent="0.3">
      <c r="B134" s="33" t="s">
        <v>526</v>
      </c>
      <c r="C134" s="32" t="s">
        <v>527</v>
      </c>
      <c r="D134" s="32" t="s">
        <v>528</v>
      </c>
    </row>
    <row r="135" spans="2:4" x14ac:dyDescent="0.3">
      <c r="B135" s="33" t="s">
        <v>529</v>
      </c>
      <c r="C135" s="32" t="s">
        <v>530</v>
      </c>
      <c r="D135" s="32" t="s">
        <v>36776</v>
      </c>
    </row>
    <row r="136" spans="2:4" x14ac:dyDescent="0.3">
      <c r="B136" s="33" t="s">
        <v>531</v>
      </c>
      <c r="C136" s="32" t="s">
        <v>532</v>
      </c>
      <c r="D136" s="32" t="s">
        <v>37093</v>
      </c>
    </row>
    <row r="137" spans="2:4" x14ac:dyDescent="0.3">
      <c r="B137" s="33" t="s">
        <v>533</v>
      </c>
      <c r="C137" s="32" t="s">
        <v>534</v>
      </c>
      <c r="D137" s="32" t="s">
        <v>36950</v>
      </c>
    </row>
    <row r="138" spans="2:4" x14ac:dyDescent="0.3">
      <c r="B138" s="33" t="s">
        <v>535</v>
      </c>
      <c r="C138" s="32" t="s">
        <v>536</v>
      </c>
      <c r="D138" s="32" t="s">
        <v>36951</v>
      </c>
    </row>
    <row r="139" spans="2:4" x14ac:dyDescent="0.3">
      <c r="B139" s="33" t="s">
        <v>537</v>
      </c>
      <c r="C139" s="32" t="s">
        <v>538</v>
      </c>
      <c r="D139" s="32" t="s">
        <v>36952</v>
      </c>
    </row>
    <row r="140" spans="2:4" x14ac:dyDescent="0.3">
      <c r="B140" s="33" t="s">
        <v>539</v>
      </c>
      <c r="C140" s="32" t="s">
        <v>540</v>
      </c>
      <c r="D140" s="32" t="s">
        <v>36953</v>
      </c>
    </row>
    <row r="141" spans="2:4" x14ac:dyDescent="0.3">
      <c r="B141" s="33" t="s">
        <v>541</v>
      </c>
      <c r="C141" s="32" t="s">
        <v>542</v>
      </c>
      <c r="D141" s="32" t="s">
        <v>36954</v>
      </c>
    </row>
    <row r="142" spans="2:4" x14ac:dyDescent="0.3">
      <c r="B142" s="33" t="s">
        <v>543</v>
      </c>
      <c r="C142" s="32" t="s">
        <v>544</v>
      </c>
      <c r="D142" s="32" t="s">
        <v>36955</v>
      </c>
    </row>
    <row r="143" spans="2:4" x14ac:dyDescent="0.3">
      <c r="B143" s="33" t="s">
        <v>545</v>
      </c>
      <c r="C143" s="32" t="s">
        <v>546</v>
      </c>
      <c r="D143" s="32" t="s">
        <v>547</v>
      </c>
    </row>
    <row r="144" spans="2:4" x14ac:dyDescent="0.3">
      <c r="B144" s="33" t="s">
        <v>548</v>
      </c>
      <c r="C144" s="32" t="s">
        <v>549</v>
      </c>
      <c r="D144" s="32" t="s">
        <v>550</v>
      </c>
    </row>
    <row r="145" spans="2:4" x14ac:dyDescent="0.3">
      <c r="B145" s="33" t="s">
        <v>551</v>
      </c>
      <c r="C145" s="32" t="s">
        <v>552</v>
      </c>
      <c r="D145" s="32" t="s">
        <v>553</v>
      </c>
    </row>
    <row r="146" spans="2:4" x14ac:dyDescent="0.3">
      <c r="B146" s="33" t="s">
        <v>554</v>
      </c>
      <c r="C146" s="32" t="s">
        <v>555</v>
      </c>
      <c r="D146" s="32" t="s">
        <v>556</v>
      </c>
    </row>
    <row r="147" spans="2:4" x14ac:dyDescent="0.3">
      <c r="B147" s="33" t="s">
        <v>557</v>
      </c>
      <c r="C147" s="32" t="s">
        <v>558</v>
      </c>
      <c r="D147" s="32" t="s">
        <v>36956</v>
      </c>
    </row>
    <row r="148" spans="2:4" x14ac:dyDescent="0.3">
      <c r="B148" s="33" t="s">
        <v>559</v>
      </c>
      <c r="C148" s="32" t="s">
        <v>560</v>
      </c>
      <c r="D148" s="32" t="s">
        <v>36957</v>
      </c>
    </row>
    <row r="149" spans="2:4" x14ac:dyDescent="0.3">
      <c r="B149" s="33" t="s">
        <v>561</v>
      </c>
      <c r="C149" s="32" t="s">
        <v>562</v>
      </c>
      <c r="D149" s="32" t="s">
        <v>36958</v>
      </c>
    </row>
    <row r="150" spans="2:4" x14ac:dyDescent="0.3">
      <c r="B150" s="33" t="s">
        <v>563</v>
      </c>
      <c r="C150" s="32" t="s">
        <v>564</v>
      </c>
      <c r="D150" s="32" t="s">
        <v>565</v>
      </c>
    </row>
    <row r="151" spans="2:4" x14ac:dyDescent="0.3">
      <c r="B151" s="33" t="s">
        <v>566</v>
      </c>
      <c r="C151" s="32" t="s">
        <v>567</v>
      </c>
      <c r="D151" s="32" t="s">
        <v>36959</v>
      </c>
    </row>
    <row r="152" spans="2:4" x14ac:dyDescent="0.3">
      <c r="B152" s="33" t="s">
        <v>568</v>
      </c>
      <c r="C152" s="32" t="s">
        <v>569</v>
      </c>
      <c r="D152" s="32" t="s">
        <v>36960</v>
      </c>
    </row>
    <row r="153" spans="2:4" x14ac:dyDescent="0.3">
      <c r="B153" s="33" t="s">
        <v>570</v>
      </c>
      <c r="C153" s="32" t="s">
        <v>571</v>
      </c>
      <c r="D153" s="32" t="s">
        <v>36961</v>
      </c>
    </row>
    <row r="154" spans="2:4" x14ac:dyDescent="0.3">
      <c r="B154" s="33" t="s">
        <v>572</v>
      </c>
      <c r="C154" s="32" t="s">
        <v>573</v>
      </c>
      <c r="D154" s="32" t="s">
        <v>36962</v>
      </c>
    </row>
    <row r="155" spans="2:4" x14ac:dyDescent="0.3">
      <c r="B155" s="33" t="s">
        <v>574</v>
      </c>
      <c r="C155" s="32" t="s">
        <v>575</v>
      </c>
      <c r="D155" s="32" t="s">
        <v>36777</v>
      </c>
    </row>
    <row r="156" spans="2:4" x14ac:dyDescent="0.3">
      <c r="B156" s="33" t="s">
        <v>576</v>
      </c>
      <c r="C156" s="32" t="s">
        <v>577</v>
      </c>
      <c r="D156" s="32" t="s">
        <v>36963</v>
      </c>
    </row>
    <row r="157" spans="2:4" x14ac:dyDescent="0.3">
      <c r="B157" s="33" t="s">
        <v>578</v>
      </c>
      <c r="C157" s="32" t="s">
        <v>579</v>
      </c>
      <c r="D157" s="32" t="s">
        <v>36964</v>
      </c>
    </row>
    <row r="158" spans="2:4" x14ac:dyDescent="0.3">
      <c r="B158" s="33" t="s">
        <v>580</v>
      </c>
      <c r="C158" s="32" t="s">
        <v>581</v>
      </c>
      <c r="D158" s="32" t="s">
        <v>582</v>
      </c>
    </row>
    <row r="159" spans="2:4" x14ac:dyDescent="0.3">
      <c r="B159" s="33" t="s">
        <v>583</v>
      </c>
      <c r="C159" s="32" t="s">
        <v>584</v>
      </c>
      <c r="D159" s="32" t="s">
        <v>585</v>
      </c>
    </row>
    <row r="160" spans="2:4" x14ac:dyDescent="0.3">
      <c r="B160" s="33" t="s">
        <v>586</v>
      </c>
      <c r="C160" s="32" t="s">
        <v>587</v>
      </c>
      <c r="D160" s="32" t="s">
        <v>588</v>
      </c>
    </row>
    <row r="161" spans="2:4" x14ac:dyDescent="0.3">
      <c r="B161" s="33" t="s">
        <v>589</v>
      </c>
      <c r="C161" s="32" t="s">
        <v>590</v>
      </c>
      <c r="D161" s="32" t="s">
        <v>591</v>
      </c>
    </row>
    <row r="162" spans="2:4" x14ac:dyDescent="0.3">
      <c r="B162" s="33" t="s">
        <v>592</v>
      </c>
      <c r="C162" s="32" t="s">
        <v>593</v>
      </c>
      <c r="D162" s="32" t="s">
        <v>594</v>
      </c>
    </row>
    <row r="163" spans="2:4" x14ac:dyDescent="0.3">
      <c r="B163" s="33" t="s">
        <v>595</v>
      </c>
      <c r="C163" s="32" t="s">
        <v>596</v>
      </c>
      <c r="D163" s="32" t="s">
        <v>597</v>
      </c>
    </row>
    <row r="164" spans="2:4" x14ac:dyDescent="0.3">
      <c r="B164" s="33" t="s">
        <v>598</v>
      </c>
      <c r="C164" s="32" t="s">
        <v>599</v>
      </c>
      <c r="D164" s="32" t="s">
        <v>600</v>
      </c>
    </row>
    <row r="165" spans="2:4" x14ac:dyDescent="0.3">
      <c r="B165" s="33" t="s">
        <v>601</v>
      </c>
      <c r="C165" s="32" t="s">
        <v>602</v>
      </c>
      <c r="D165" s="32" t="s">
        <v>603</v>
      </c>
    </row>
    <row r="166" spans="2:4" x14ac:dyDescent="0.3">
      <c r="B166" s="33" t="s">
        <v>604</v>
      </c>
      <c r="C166" s="32" t="s">
        <v>605</v>
      </c>
      <c r="D166" s="32" t="s">
        <v>605</v>
      </c>
    </row>
    <row r="167" spans="2:4" x14ac:dyDescent="0.3">
      <c r="B167" s="33" t="s">
        <v>606</v>
      </c>
      <c r="C167" s="32" t="s">
        <v>607</v>
      </c>
      <c r="D167" s="32" t="s">
        <v>608</v>
      </c>
    </row>
    <row r="168" spans="2:4" x14ac:dyDescent="0.3">
      <c r="B168" s="33" t="s">
        <v>609</v>
      </c>
      <c r="C168" s="32" t="s">
        <v>610</v>
      </c>
      <c r="D168" s="32" t="s">
        <v>611</v>
      </c>
    </row>
    <row r="169" spans="2:4" x14ac:dyDescent="0.3">
      <c r="B169" s="33" t="s">
        <v>612</v>
      </c>
      <c r="C169" s="32" t="s">
        <v>613</v>
      </c>
      <c r="D169" s="32" t="s">
        <v>614</v>
      </c>
    </row>
    <row r="170" spans="2:4" x14ac:dyDescent="0.3">
      <c r="B170" s="33" t="s">
        <v>615</v>
      </c>
      <c r="C170" s="32" t="s">
        <v>616</v>
      </c>
      <c r="D170" s="32" t="s">
        <v>617</v>
      </c>
    </row>
    <row r="171" spans="2:4" x14ac:dyDescent="0.3">
      <c r="B171" s="33" t="s">
        <v>618</v>
      </c>
      <c r="C171" s="32" t="s">
        <v>619</v>
      </c>
      <c r="D171" s="32" t="s">
        <v>620</v>
      </c>
    </row>
    <row r="172" spans="2:4" x14ac:dyDescent="0.3">
      <c r="B172" s="33" t="s">
        <v>621</v>
      </c>
      <c r="C172" s="32" t="s">
        <v>622</v>
      </c>
      <c r="D172" s="32" t="s">
        <v>621</v>
      </c>
    </row>
    <row r="173" spans="2:4" x14ac:dyDescent="0.3">
      <c r="B173" s="33" t="s">
        <v>623</v>
      </c>
      <c r="C173" s="32" t="s">
        <v>624</v>
      </c>
      <c r="D173" s="32" t="s">
        <v>625</v>
      </c>
    </row>
    <row r="174" spans="2:4" x14ac:dyDescent="0.3">
      <c r="B174" s="33" t="s">
        <v>626</v>
      </c>
      <c r="C174" s="32" t="s">
        <v>627</v>
      </c>
      <c r="D174" s="32" t="s">
        <v>626</v>
      </c>
    </row>
    <row r="175" spans="2:4" x14ac:dyDescent="0.3">
      <c r="B175" s="33" t="s">
        <v>628</v>
      </c>
      <c r="C175" s="32" t="s">
        <v>629</v>
      </c>
      <c r="D175" s="32" t="s">
        <v>630</v>
      </c>
    </row>
    <row r="176" spans="2:4" x14ac:dyDescent="0.3">
      <c r="B176" s="33" t="s">
        <v>631</v>
      </c>
      <c r="C176" s="32" t="s">
        <v>632</v>
      </c>
      <c r="D176" s="32" t="s">
        <v>633</v>
      </c>
    </row>
    <row r="177" spans="2:4" x14ac:dyDescent="0.3">
      <c r="B177" s="33" t="s">
        <v>634</v>
      </c>
      <c r="C177" s="32" t="s">
        <v>635</v>
      </c>
      <c r="D177" s="32" t="s">
        <v>636</v>
      </c>
    </row>
    <row r="178" spans="2:4" x14ac:dyDescent="0.3">
      <c r="B178" s="33" t="s">
        <v>637</v>
      </c>
      <c r="C178" s="32" t="s">
        <v>638</v>
      </c>
      <c r="D178" s="32" t="s">
        <v>639</v>
      </c>
    </row>
    <row r="179" spans="2:4" x14ac:dyDescent="0.3">
      <c r="B179" s="33" t="s">
        <v>640</v>
      </c>
      <c r="C179" s="32" t="s">
        <v>641</v>
      </c>
      <c r="D179" s="32" t="s">
        <v>36778</v>
      </c>
    </row>
    <row r="180" spans="2:4" x14ac:dyDescent="0.3">
      <c r="B180" s="33" t="s">
        <v>642</v>
      </c>
      <c r="C180" s="32" t="s">
        <v>643</v>
      </c>
      <c r="D180" s="32" t="s">
        <v>644</v>
      </c>
    </row>
    <row r="181" spans="2:4" x14ac:dyDescent="0.3">
      <c r="B181" s="33" t="s">
        <v>645</v>
      </c>
      <c r="C181" s="32" t="s">
        <v>646</v>
      </c>
      <c r="D181" s="32" t="s">
        <v>647</v>
      </c>
    </row>
    <row r="182" spans="2:4" x14ac:dyDescent="0.3">
      <c r="B182" s="33" t="s">
        <v>648</v>
      </c>
      <c r="C182" s="32" t="s">
        <v>649</v>
      </c>
      <c r="D182" s="32" t="s">
        <v>650</v>
      </c>
    </row>
    <row r="183" spans="2:4" x14ac:dyDescent="0.3">
      <c r="B183" s="33" t="s">
        <v>651</v>
      </c>
      <c r="C183" s="32" t="s">
        <v>652</v>
      </c>
      <c r="D183" s="32" t="s">
        <v>653</v>
      </c>
    </row>
    <row r="184" spans="2:4" x14ac:dyDescent="0.3">
      <c r="B184" s="33" t="s">
        <v>654</v>
      </c>
      <c r="C184" s="32" t="s">
        <v>655</v>
      </c>
      <c r="D184" s="32" t="s">
        <v>656</v>
      </c>
    </row>
    <row r="185" spans="2:4" x14ac:dyDescent="0.3">
      <c r="B185" s="33" t="s">
        <v>657</v>
      </c>
      <c r="C185" s="32" t="s">
        <v>658</v>
      </c>
      <c r="D185" s="32" t="s">
        <v>659</v>
      </c>
    </row>
    <row r="186" spans="2:4" x14ac:dyDescent="0.3">
      <c r="B186" s="33" t="s">
        <v>660</v>
      </c>
      <c r="C186" s="32" t="s">
        <v>661</v>
      </c>
      <c r="D186" s="32" t="s">
        <v>662</v>
      </c>
    </row>
    <row r="187" spans="2:4" x14ac:dyDescent="0.3">
      <c r="B187" s="33" t="s">
        <v>663</v>
      </c>
      <c r="C187" s="32" t="s">
        <v>664</v>
      </c>
      <c r="D187" s="32" t="s">
        <v>36779</v>
      </c>
    </row>
    <row r="188" spans="2:4" x14ac:dyDescent="0.3">
      <c r="B188" s="33" t="s">
        <v>665</v>
      </c>
      <c r="C188" s="32" t="s">
        <v>666</v>
      </c>
      <c r="D188" s="32" t="s">
        <v>36780</v>
      </c>
    </row>
    <row r="189" spans="2:4" x14ac:dyDescent="0.3">
      <c r="B189" s="33" t="s">
        <v>667</v>
      </c>
      <c r="C189" s="32" t="s">
        <v>668</v>
      </c>
      <c r="D189" s="32" t="s">
        <v>669</v>
      </c>
    </row>
    <row r="190" spans="2:4" x14ac:dyDescent="0.3">
      <c r="B190" s="33" t="s">
        <v>670</v>
      </c>
      <c r="C190" s="32" t="s">
        <v>671</v>
      </c>
      <c r="D190" s="32" t="s">
        <v>36965</v>
      </c>
    </row>
    <row r="191" spans="2:4" x14ac:dyDescent="0.3">
      <c r="B191" s="33" t="s">
        <v>672</v>
      </c>
      <c r="C191" s="32" t="s">
        <v>673</v>
      </c>
      <c r="D191" s="32" t="s">
        <v>674</v>
      </c>
    </row>
    <row r="192" spans="2:4" x14ac:dyDescent="0.3">
      <c r="B192" s="33" t="s">
        <v>675</v>
      </c>
      <c r="C192" s="32" t="s">
        <v>676</v>
      </c>
      <c r="D192" s="32" t="s">
        <v>677</v>
      </c>
    </row>
    <row r="193" spans="2:4" x14ac:dyDescent="0.3">
      <c r="B193" s="33" t="s">
        <v>678</v>
      </c>
      <c r="C193" s="32" t="s">
        <v>679</v>
      </c>
      <c r="D193" s="32" t="s">
        <v>680</v>
      </c>
    </row>
    <row r="194" spans="2:4" x14ac:dyDescent="0.3">
      <c r="B194" s="33" t="s">
        <v>681</v>
      </c>
      <c r="C194" s="32" t="s">
        <v>682</v>
      </c>
      <c r="D194" s="32" t="s">
        <v>683</v>
      </c>
    </row>
    <row r="195" spans="2:4" x14ac:dyDescent="0.3">
      <c r="B195" s="33" t="s">
        <v>684</v>
      </c>
      <c r="C195" s="32" t="s">
        <v>685</v>
      </c>
      <c r="D195" s="32" t="s">
        <v>686</v>
      </c>
    </row>
    <row r="196" spans="2:4" x14ac:dyDescent="0.3">
      <c r="B196" s="33" t="s">
        <v>687</v>
      </c>
      <c r="C196" s="32" t="s">
        <v>688</v>
      </c>
      <c r="D196" s="32" t="s">
        <v>689</v>
      </c>
    </row>
    <row r="197" spans="2:4" x14ac:dyDescent="0.3">
      <c r="B197" s="33" t="s">
        <v>690</v>
      </c>
      <c r="C197" s="32" t="s">
        <v>691</v>
      </c>
      <c r="D197" s="32" t="s">
        <v>692</v>
      </c>
    </row>
    <row r="198" spans="2:4" x14ac:dyDescent="0.3">
      <c r="B198" s="33" t="s">
        <v>693</v>
      </c>
      <c r="C198" s="32" t="s">
        <v>694</v>
      </c>
      <c r="D198" s="32" t="s">
        <v>36781</v>
      </c>
    </row>
    <row r="199" spans="2:4" x14ac:dyDescent="0.3">
      <c r="B199" s="33" t="s">
        <v>695</v>
      </c>
      <c r="C199" s="32" t="s">
        <v>696</v>
      </c>
      <c r="D199" s="32" t="s">
        <v>697</v>
      </c>
    </row>
    <row r="200" spans="2:4" x14ac:dyDescent="0.3">
      <c r="B200" s="33" t="s">
        <v>698</v>
      </c>
      <c r="C200" s="32" t="s">
        <v>699</v>
      </c>
      <c r="D200" s="32" t="s">
        <v>700</v>
      </c>
    </row>
    <row r="201" spans="2:4" x14ac:dyDescent="0.3">
      <c r="B201" s="33" t="s">
        <v>701</v>
      </c>
      <c r="C201" s="32" t="s">
        <v>702</v>
      </c>
      <c r="D201" s="32" t="s">
        <v>36782</v>
      </c>
    </row>
    <row r="202" spans="2:4" x14ac:dyDescent="0.3">
      <c r="B202" s="33" t="s">
        <v>703</v>
      </c>
      <c r="C202" s="32" t="s">
        <v>704</v>
      </c>
      <c r="D202" s="32" t="s">
        <v>705</v>
      </c>
    </row>
    <row r="203" spans="2:4" x14ac:dyDescent="0.3">
      <c r="B203" s="33" t="s">
        <v>706</v>
      </c>
      <c r="C203" s="32" t="s">
        <v>707</v>
      </c>
      <c r="D203" s="32" t="s">
        <v>708</v>
      </c>
    </row>
    <row r="204" spans="2:4" x14ac:dyDescent="0.3">
      <c r="B204" s="33" t="s">
        <v>709</v>
      </c>
      <c r="C204" s="32" t="s">
        <v>710</v>
      </c>
      <c r="D204" s="32" t="s">
        <v>711</v>
      </c>
    </row>
    <row r="205" spans="2:4" x14ac:dyDescent="0.3">
      <c r="B205" s="33" t="s">
        <v>712</v>
      </c>
      <c r="C205" s="32" t="s">
        <v>713</v>
      </c>
      <c r="D205" s="32" t="s">
        <v>714</v>
      </c>
    </row>
    <row r="206" spans="2:4" x14ac:dyDescent="0.3">
      <c r="B206" s="33" t="s">
        <v>715</v>
      </c>
      <c r="C206" s="32" t="s">
        <v>716</v>
      </c>
      <c r="D206" s="32" t="s">
        <v>36966</v>
      </c>
    </row>
    <row r="207" spans="2:4" x14ac:dyDescent="0.3">
      <c r="B207" s="33" t="s">
        <v>717</v>
      </c>
      <c r="C207" s="32" t="s">
        <v>718</v>
      </c>
      <c r="D207" s="32" t="s">
        <v>719</v>
      </c>
    </row>
    <row r="208" spans="2:4" x14ac:dyDescent="0.3">
      <c r="B208" s="33" t="s">
        <v>720</v>
      </c>
      <c r="C208" s="32" t="s">
        <v>721</v>
      </c>
      <c r="D208" s="32" t="s">
        <v>36682</v>
      </c>
    </row>
    <row r="209" spans="2:4" x14ac:dyDescent="0.3">
      <c r="B209" s="33" t="s">
        <v>722</v>
      </c>
      <c r="C209" s="32" t="s">
        <v>723</v>
      </c>
      <c r="D209" s="32" t="s">
        <v>36783</v>
      </c>
    </row>
    <row r="210" spans="2:4" x14ac:dyDescent="0.3">
      <c r="B210" s="33" t="s">
        <v>724</v>
      </c>
      <c r="C210" s="32" t="s">
        <v>725</v>
      </c>
      <c r="D210" s="32" t="s">
        <v>726</v>
      </c>
    </row>
    <row r="211" spans="2:4" x14ac:dyDescent="0.3">
      <c r="B211" s="33" t="s">
        <v>727</v>
      </c>
      <c r="C211" s="32" t="s">
        <v>728</v>
      </c>
      <c r="D211" s="32" t="s">
        <v>729</v>
      </c>
    </row>
    <row r="212" spans="2:4" x14ac:dyDescent="0.3">
      <c r="B212" s="33" t="s">
        <v>730</v>
      </c>
      <c r="C212" s="32" t="s">
        <v>731</v>
      </c>
      <c r="D212" s="32" t="s">
        <v>732</v>
      </c>
    </row>
    <row r="213" spans="2:4" x14ac:dyDescent="0.3">
      <c r="B213" s="33" t="s">
        <v>733</v>
      </c>
      <c r="C213" s="32" t="s">
        <v>734</v>
      </c>
      <c r="D213" s="32" t="s">
        <v>735</v>
      </c>
    </row>
    <row r="214" spans="2:4" x14ac:dyDescent="0.3">
      <c r="B214" s="33" t="s">
        <v>736</v>
      </c>
      <c r="C214" s="32" t="s">
        <v>737</v>
      </c>
      <c r="D214" s="32" t="s">
        <v>36967</v>
      </c>
    </row>
    <row r="215" spans="2:4" x14ac:dyDescent="0.3">
      <c r="B215" s="33" t="s">
        <v>738</v>
      </c>
      <c r="C215" s="32" t="s">
        <v>739</v>
      </c>
      <c r="D215" s="32" t="s">
        <v>740</v>
      </c>
    </row>
    <row r="216" spans="2:4" x14ac:dyDescent="0.3">
      <c r="B216" s="33" t="s">
        <v>741</v>
      </c>
      <c r="C216" s="32" t="s">
        <v>742</v>
      </c>
      <c r="D216" s="32" t="s">
        <v>743</v>
      </c>
    </row>
    <row r="217" spans="2:4" x14ac:dyDescent="0.3">
      <c r="B217" s="33" t="s">
        <v>744</v>
      </c>
      <c r="C217" s="32" t="s">
        <v>745</v>
      </c>
      <c r="D217" s="32" t="s">
        <v>36968</v>
      </c>
    </row>
    <row r="218" spans="2:4" x14ac:dyDescent="0.3">
      <c r="B218" s="33" t="s">
        <v>746</v>
      </c>
      <c r="C218" s="32" t="s">
        <v>747</v>
      </c>
      <c r="D218" s="32" t="s">
        <v>748</v>
      </c>
    </row>
    <row r="219" spans="2:4" x14ac:dyDescent="0.3">
      <c r="B219" s="33" t="s">
        <v>749</v>
      </c>
      <c r="C219" s="32" t="s">
        <v>750</v>
      </c>
      <c r="D219" s="32" t="s">
        <v>751</v>
      </c>
    </row>
    <row r="220" spans="2:4" x14ac:dyDescent="0.3">
      <c r="B220" s="33" t="s">
        <v>752</v>
      </c>
      <c r="C220" s="32" t="s">
        <v>753</v>
      </c>
      <c r="D220" s="32" t="s">
        <v>754</v>
      </c>
    </row>
    <row r="221" spans="2:4" x14ac:dyDescent="0.3">
      <c r="B221" s="33" t="s">
        <v>755</v>
      </c>
      <c r="C221" s="32" t="s">
        <v>756</v>
      </c>
      <c r="D221" s="32" t="s">
        <v>36784</v>
      </c>
    </row>
    <row r="222" spans="2:4" x14ac:dyDescent="0.3">
      <c r="B222" s="33" t="s">
        <v>757</v>
      </c>
      <c r="C222" s="32" t="s">
        <v>758</v>
      </c>
      <c r="D222" s="32" t="s">
        <v>759</v>
      </c>
    </row>
    <row r="223" spans="2:4" x14ac:dyDescent="0.3">
      <c r="B223" s="33" t="s">
        <v>760</v>
      </c>
      <c r="C223" s="32" t="s">
        <v>761</v>
      </c>
      <c r="D223" s="32" t="s">
        <v>762</v>
      </c>
    </row>
    <row r="224" spans="2:4" x14ac:dyDescent="0.3">
      <c r="B224" s="33" t="s">
        <v>763</v>
      </c>
      <c r="C224" s="32" t="s">
        <v>764</v>
      </c>
      <c r="D224" s="32" t="s">
        <v>765</v>
      </c>
    </row>
    <row r="225" spans="2:4" x14ac:dyDescent="0.3">
      <c r="B225" s="33" t="s">
        <v>766</v>
      </c>
      <c r="C225" s="32" t="s">
        <v>767</v>
      </c>
      <c r="D225" s="32" t="s">
        <v>768</v>
      </c>
    </row>
    <row r="226" spans="2:4" x14ac:dyDescent="0.3">
      <c r="B226" s="33" t="s">
        <v>769</v>
      </c>
      <c r="C226" s="32" t="s">
        <v>770</v>
      </c>
      <c r="D226" s="32" t="s">
        <v>771</v>
      </c>
    </row>
    <row r="227" spans="2:4" x14ac:dyDescent="0.3">
      <c r="B227" s="33" t="s">
        <v>772</v>
      </c>
      <c r="C227" s="32" t="s">
        <v>773</v>
      </c>
      <c r="D227" s="32" t="s">
        <v>774</v>
      </c>
    </row>
    <row r="228" spans="2:4" x14ac:dyDescent="0.3">
      <c r="B228" s="33" t="s">
        <v>775</v>
      </c>
      <c r="C228" s="32" t="s">
        <v>776</v>
      </c>
      <c r="D228" s="32" t="s">
        <v>777</v>
      </c>
    </row>
    <row r="229" spans="2:4" x14ac:dyDescent="0.3">
      <c r="B229" s="33" t="s">
        <v>778</v>
      </c>
      <c r="C229" s="32" t="s">
        <v>779</v>
      </c>
      <c r="D229" s="32" t="s">
        <v>36785</v>
      </c>
    </row>
    <row r="230" spans="2:4" x14ac:dyDescent="0.3">
      <c r="B230" s="33" t="s">
        <v>780</v>
      </c>
      <c r="C230" s="32" t="s">
        <v>781</v>
      </c>
      <c r="D230" s="32" t="s">
        <v>36786</v>
      </c>
    </row>
    <row r="231" spans="2:4" x14ac:dyDescent="0.3">
      <c r="B231" s="33" t="s">
        <v>782</v>
      </c>
      <c r="C231" s="32" t="s">
        <v>783</v>
      </c>
      <c r="D231" s="32" t="s">
        <v>36969</v>
      </c>
    </row>
    <row r="232" spans="2:4" x14ac:dyDescent="0.3">
      <c r="B232" s="33" t="s">
        <v>784</v>
      </c>
      <c r="C232" s="32" t="s">
        <v>785</v>
      </c>
      <c r="D232" s="32" t="s">
        <v>786</v>
      </c>
    </row>
    <row r="233" spans="2:4" x14ac:dyDescent="0.3">
      <c r="B233" s="33" t="s">
        <v>787</v>
      </c>
      <c r="C233" s="32" t="s">
        <v>788</v>
      </c>
      <c r="D233" s="32" t="s">
        <v>789</v>
      </c>
    </row>
    <row r="234" spans="2:4" x14ac:dyDescent="0.3">
      <c r="B234" s="33" t="s">
        <v>790</v>
      </c>
      <c r="C234" s="32" t="s">
        <v>791</v>
      </c>
      <c r="D234" s="32" t="s">
        <v>792</v>
      </c>
    </row>
    <row r="235" spans="2:4" x14ac:dyDescent="0.3">
      <c r="B235" s="33" t="s">
        <v>793</v>
      </c>
      <c r="C235" s="32" t="s">
        <v>794</v>
      </c>
      <c r="D235" s="32" t="s">
        <v>795</v>
      </c>
    </row>
    <row r="236" spans="2:4" x14ac:dyDescent="0.3">
      <c r="B236" s="33" t="s">
        <v>796</v>
      </c>
      <c r="C236" s="32" t="s">
        <v>797</v>
      </c>
      <c r="D236" s="32" t="s">
        <v>798</v>
      </c>
    </row>
    <row r="237" spans="2:4" x14ac:dyDescent="0.3">
      <c r="B237" s="33" t="s">
        <v>799</v>
      </c>
      <c r="C237" s="32" t="s">
        <v>800</v>
      </c>
      <c r="D237" s="32" t="s">
        <v>801</v>
      </c>
    </row>
    <row r="238" spans="2:4" x14ac:dyDescent="0.3">
      <c r="B238" s="33" t="s">
        <v>802</v>
      </c>
      <c r="C238" s="32" t="s">
        <v>803</v>
      </c>
      <c r="D238" s="32" t="s">
        <v>36787</v>
      </c>
    </row>
    <row r="239" spans="2:4" x14ac:dyDescent="0.3">
      <c r="B239" s="33" t="s">
        <v>804</v>
      </c>
      <c r="C239" s="32" t="s">
        <v>805</v>
      </c>
      <c r="D239" s="32" t="s">
        <v>806</v>
      </c>
    </row>
    <row r="240" spans="2:4" x14ac:dyDescent="0.3">
      <c r="B240" s="33" t="s">
        <v>807</v>
      </c>
      <c r="C240" s="32" t="s">
        <v>808</v>
      </c>
      <c r="D240" s="32" t="s">
        <v>809</v>
      </c>
    </row>
    <row r="241" spans="2:4" x14ac:dyDescent="0.3">
      <c r="B241" s="33" t="s">
        <v>810</v>
      </c>
      <c r="C241" s="32" t="s">
        <v>811</v>
      </c>
      <c r="D241" s="32" t="s">
        <v>36788</v>
      </c>
    </row>
    <row r="242" spans="2:4" x14ac:dyDescent="0.3">
      <c r="B242" s="33" t="s">
        <v>812</v>
      </c>
      <c r="C242" s="32" t="s">
        <v>813</v>
      </c>
      <c r="D242" s="32" t="s">
        <v>814</v>
      </c>
    </row>
    <row r="243" spans="2:4" x14ac:dyDescent="0.3">
      <c r="B243" s="33" t="s">
        <v>815</v>
      </c>
      <c r="C243" s="32" t="s">
        <v>816</v>
      </c>
      <c r="D243" s="32" t="s">
        <v>817</v>
      </c>
    </row>
    <row r="244" spans="2:4" x14ac:dyDescent="0.3">
      <c r="B244" s="33" t="s">
        <v>818</v>
      </c>
      <c r="C244" s="32" t="s">
        <v>819</v>
      </c>
      <c r="D244" s="32" t="s">
        <v>820</v>
      </c>
    </row>
    <row r="245" spans="2:4" x14ac:dyDescent="0.3">
      <c r="B245" s="33" t="s">
        <v>821</v>
      </c>
      <c r="C245" s="32" t="s">
        <v>822</v>
      </c>
      <c r="D245" s="32" t="s">
        <v>36970</v>
      </c>
    </row>
    <row r="246" spans="2:4" x14ac:dyDescent="0.3">
      <c r="B246" s="33" t="s">
        <v>823</v>
      </c>
      <c r="C246" s="32" t="s">
        <v>824</v>
      </c>
      <c r="D246" s="32" t="s">
        <v>825</v>
      </c>
    </row>
    <row r="247" spans="2:4" x14ac:dyDescent="0.3">
      <c r="B247" s="33" t="s">
        <v>826</v>
      </c>
      <c r="C247" s="32" t="s">
        <v>827</v>
      </c>
      <c r="D247" s="32" t="s">
        <v>36683</v>
      </c>
    </row>
    <row r="248" spans="2:4" x14ac:dyDescent="0.3">
      <c r="B248" s="33" t="s">
        <v>828</v>
      </c>
      <c r="C248" s="32" t="s">
        <v>829</v>
      </c>
      <c r="D248" s="32" t="s">
        <v>36789</v>
      </c>
    </row>
    <row r="249" spans="2:4" x14ac:dyDescent="0.3">
      <c r="B249" s="33" t="s">
        <v>830</v>
      </c>
      <c r="C249" s="32" t="s">
        <v>831</v>
      </c>
      <c r="D249" s="32" t="s">
        <v>832</v>
      </c>
    </row>
    <row r="250" spans="2:4" x14ac:dyDescent="0.3">
      <c r="B250" s="33" t="s">
        <v>833</v>
      </c>
      <c r="C250" s="32" t="s">
        <v>834</v>
      </c>
      <c r="D250" s="32" t="s">
        <v>835</v>
      </c>
    </row>
    <row r="251" spans="2:4" x14ac:dyDescent="0.3">
      <c r="B251" s="33" t="s">
        <v>836</v>
      </c>
      <c r="C251" s="32" t="s">
        <v>837</v>
      </c>
      <c r="D251" s="32" t="s">
        <v>838</v>
      </c>
    </row>
    <row r="252" spans="2:4" x14ac:dyDescent="0.3">
      <c r="B252" s="33" t="s">
        <v>839</v>
      </c>
      <c r="C252" s="32" t="s">
        <v>840</v>
      </c>
      <c r="D252" s="32" t="s">
        <v>841</v>
      </c>
    </row>
    <row r="253" spans="2:4" x14ac:dyDescent="0.3">
      <c r="B253" s="33" t="s">
        <v>842</v>
      </c>
      <c r="C253" s="32" t="s">
        <v>843</v>
      </c>
      <c r="D253" s="32" t="s">
        <v>844</v>
      </c>
    </row>
    <row r="254" spans="2:4" x14ac:dyDescent="0.3">
      <c r="B254" s="33" t="s">
        <v>845</v>
      </c>
      <c r="C254" s="32" t="s">
        <v>846</v>
      </c>
      <c r="D254" s="32" t="s">
        <v>36971</v>
      </c>
    </row>
    <row r="255" spans="2:4" x14ac:dyDescent="0.3">
      <c r="B255" s="33" t="s">
        <v>847</v>
      </c>
      <c r="C255" s="32" t="s">
        <v>848</v>
      </c>
      <c r="D255" s="32" t="s">
        <v>849</v>
      </c>
    </row>
    <row r="256" spans="2:4" x14ac:dyDescent="0.3">
      <c r="B256" s="33" t="s">
        <v>850</v>
      </c>
      <c r="C256" s="32" t="s">
        <v>851</v>
      </c>
      <c r="D256" s="32" t="s">
        <v>852</v>
      </c>
    </row>
    <row r="257" spans="2:4" x14ac:dyDescent="0.3">
      <c r="B257" s="33" t="s">
        <v>853</v>
      </c>
      <c r="C257" s="32" t="s">
        <v>853</v>
      </c>
      <c r="D257" s="32" t="s">
        <v>853</v>
      </c>
    </row>
    <row r="258" spans="2:4" x14ac:dyDescent="0.3">
      <c r="B258" s="33" t="s">
        <v>854</v>
      </c>
      <c r="C258" s="32" t="s">
        <v>855</v>
      </c>
      <c r="D258" s="32" t="s">
        <v>856</v>
      </c>
    </row>
    <row r="259" spans="2:4" x14ac:dyDescent="0.3">
      <c r="B259" s="33" t="s">
        <v>857</v>
      </c>
      <c r="C259" s="32" t="s">
        <v>858</v>
      </c>
      <c r="D259" s="32" t="s">
        <v>858</v>
      </c>
    </row>
    <row r="260" spans="2:4" x14ac:dyDescent="0.3">
      <c r="B260" s="33" t="s">
        <v>859</v>
      </c>
      <c r="C260" s="32" t="s">
        <v>860</v>
      </c>
      <c r="D260" s="32" t="s">
        <v>861</v>
      </c>
    </row>
    <row r="261" spans="2:4" x14ac:dyDescent="0.3">
      <c r="B261" s="33" t="s">
        <v>862</v>
      </c>
      <c r="C261" s="32" t="s">
        <v>863</v>
      </c>
      <c r="D261" s="32" t="s">
        <v>864</v>
      </c>
    </row>
    <row r="262" spans="2:4" x14ac:dyDescent="0.3">
      <c r="B262" s="33" t="s">
        <v>865</v>
      </c>
      <c r="C262" s="32" t="s">
        <v>866</v>
      </c>
      <c r="D262" s="32" t="s">
        <v>867</v>
      </c>
    </row>
    <row r="263" spans="2:4" x14ac:dyDescent="0.3">
      <c r="B263" s="33" t="s">
        <v>868</v>
      </c>
      <c r="C263" s="32" t="s">
        <v>869</v>
      </c>
      <c r="D263" s="32" t="s">
        <v>870</v>
      </c>
    </row>
    <row r="264" spans="2:4" x14ac:dyDescent="0.3">
      <c r="B264" s="33" t="s">
        <v>871</v>
      </c>
      <c r="C264" s="32" t="s">
        <v>872</v>
      </c>
      <c r="D264" s="32" t="s">
        <v>873</v>
      </c>
    </row>
    <row r="265" spans="2:4" x14ac:dyDescent="0.3">
      <c r="B265" s="33" t="s">
        <v>874</v>
      </c>
      <c r="C265" s="32" t="s">
        <v>875</v>
      </c>
      <c r="D265" s="32" t="s">
        <v>876</v>
      </c>
    </row>
    <row r="266" spans="2:4" x14ac:dyDescent="0.3">
      <c r="B266" s="33" t="s">
        <v>877</v>
      </c>
      <c r="C266" s="32" t="s">
        <v>878</v>
      </c>
      <c r="D266" s="32" t="s">
        <v>879</v>
      </c>
    </row>
    <row r="267" spans="2:4" x14ac:dyDescent="0.3">
      <c r="B267" s="33" t="s">
        <v>880</v>
      </c>
      <c r="C267" s="32" t="s">
        <v>881</v>
      </c>
      <c r="D267" s="32" t="s">
        <v>880</v>
      </c>
    </row>
    <row r="268" spans="2:4" x14ac:dyDescent="0.3">
      <c r="B268" s="33" t="s">
        <v>882</v>
      </c>
      <c r="C268" s="32" t="s">
        <v>883</v>
      </c>
      <c r="D268" s="32" t="s">
        <v>882</v>
      </c>
    </row>
    <row r="269" spans="2:4" x14ac:dyDescent="0.3">
      <c r="B269" s="33" t="s">
        <v>884</v>
      </c>
      <c r="C269" s="32" t="s">
        <v>885</v>
      </c>
      <c r="D269" s="32" t="s">
        <v>886</v>
      </c>
    </row>
    <row r="270" spans="2:4" x14ac:dyDescent="0.3">
      <c r="B270" s="33" t="s">
        <v>887</v>
      </c>
      <c r="C270" s="32" t="s">
        <v>888</v>
      </c>
      <c r="D270" s="32" t="s">
        <v>889</v>
      </c>
    </row>
    <row r="271" spans="2:4" x14ac:dyDescent="0.3">
      <c r="B271" s="33" t="s">
        <v>890</v>
      </c>
      <c r="C271" s="32" t="s">
        <v>891</v>
      </c>
      <c r="D271" s="32" t="s">
        <v>890</v>
      </c>
    </row>
    <row r="272" spans="2:4" x14ac:dyDescent="0.3">
      <c r="B272" s="33" t="s">
        <v>892</v>
      </c>
      <c r="C272" s="32" t="s">
        <v>893</v>
      </c>
      <c r="D272" s="32" t="s">
        <v>894</v>
      </c>
    </row>
    <row r="273" spans="2:4" x14ac:dyDescent="0.3">
      <c r="B273" s="33" t="s">
        <v>895</v>
      </c>
      <c r="C273" s="32" t="s">
        <v>895</v>
      </c>
      <c r="D273" s="32" t="s">
        <v>895</v>
      </c>
    </row>
    <row r="274" spans="2:4" x14ac:dyDescent="0.3">
      <c r="B274" s="33" t="s">
        <v>896</v>
      </c>
      <c r="C274" s="32" t="s">
        <v>897</v>
      </c>
      <c r="D274" s="32" t="s">
        <v>898</v>
      </c>
    </row>
    <row r="275" spans="2:4" x14ac:dyDescent="0.3">
      <c r="B275" s="33" t="s">
        <v>899</v>
      </c>
      <c r="C275" s="32" t="s">
        <v>900</v>
      </c>
      <c r="D275" s="32" t="s">
        <v>901</v>
      </c>
    </row>
    <row r="276" spans="2:4" x14ac:dyDescent="0.3">
      <c r="B276" s="33" t="s">
        <v>902</v>
      </c>
      <c r="C276" s="32" t="s">
        <v>903</v>
      </c>
      <c r="D276" s="32" t="s">
        <v>904</v>
      </c>
    </row>
    <row r="277" spans="2:4" x14ac:dyDescent="0.3">
      <c r="B277" s="33" t="s">
        <v>905</v>
      </c>
      <c r="C277" s="32" t="s">
        <v>906</v>
      </c>
      <c r="D277" s="32" t="s">
        <v>907</v>
      </c>
    </row>
    <row r="278" spans="2:4" x14ac:dyDescent="0.3">
      <c r="B278" s="33" t="s">
        <v>908</v>
      </c>
      <c r="C278" s="32" t="s">
        <v>909</v>
      </c>
      <c r="D278" s="32" t="s">
        <v>909</v>
      </c>
    </row>
    <row r="279" spans="2:4" x14ac:dyDescent="0.3">
      <c r="B279" s="33" t="s">
        <v>910</v>
      </c>
      <c r="C279" s="32" t="s">
        <v>911</v>
      </c>
      <c r="D279" s="32" t="s">
        <v>912</v>
      </c>
    </row>
    <row r="280" spans="2:4" x14ac:dyDescent="0.3">
      <c r="B280" s="33" t="s">
        <v>913</v>
      </c>
      <c r="C280" s="32" t="s">
        <v>914</v>
      </c>
      <c r="D280" s="32" t="s">
        <v>915</v>
      </c>
    </row>
    <row r="281" spans="2:4" x14ac:dyDescent="0.3">
      <c r="B281" s="33" t="s">
        <v>916</v>
      </c>
      <c r="C281" s="32" t="s">
        <v>917</v>
      </c>
      <c r="D281" s="32" t="s">
        <v>918</v>
      </c>
    </row>
    <row r="282" spans="2:4" x14ac:dyDescent="0.3">
      <c r="B282" s="33" t="s">
        <v>919</v>
      </c>
      <c r="C282" s="32" t="s">
        <v>920</v>
      </c>
      <c r="D282" s="32" t="s">
        <v>921</v>
      </c>
    </row>
    <row r="283" spans="2:4" x14ac:dyDescent="0.3">
      <c r="B283" s="33" t="s">
        <v>922</v>
      </c>
      <c r="C283" s="32" t="s">
        <v>923</v>
      </c>
      <c r="D283" s="32" t="s">
        <v>924</v>
      </c>
    </row>
    <row r="284" spans="2:4" x14ac:dyDescent="0.3">
      <c r="B284" s="33" t="s">
        <v>925</v>
      </c>
      <c r="C284" s="32" t="s">
        <v>926</v>
      </c>
      <c r="D284" s="32" t="s">
        <v>927</v>
      </c>
    </row>
    <row r="285" spans="2:4" x14ac:dyDescent="0.3">
      <c r="B285" s="33" t="s">
        <v>928</v>
      </c>
      <c r="C285" s="32" t="s">
        <v>929</v>
      </c>
      <c r="D285" s="32" t="s">
        <v>929</v>
      </c>
    </row>
    <row r="286" spans="2:4" x14ac:dyDescent="0.3">
      <c r="B286" s="33" t="s">
        <v>930</v>
      </c>
      <c r="C286" s="32" t="s">
        <v>931</v>
      </c>
      <c r="D286" s="32" t="s">
        <v>930</v>
      </c>
    </row>
    <row r="287" spans="2:4" x14ac:dyDescent="0.3">
      <c r="B287" s="33" t="s">
        <v>932</v>
      </c>
      <c r="C287" s="32" t="s">
        <v>933</v>
      </c>
      <c r="D287" s="32" t="s">
        <v>934</v>
      </c>
    </row>
    <row r="288" spans="2:4" x14ac:dyDescent="0.3">
      <c r="B288" s="33" t="s">
        <v>935</v>
      </c>
      <c r="C288" s="32" t="s">
        <v>936</v>
      </c>
      <c r="D288" s="32" t="s">
        <v>937</v>
      </c>
    </row>
    <row r="289" spans="2:4" x14ac:dyDescent="0.3">
      <c r="B289" s="33" t="s">
        <v>938</v>
      </c>
      <c r="C289" s="32" t="s">
        <v>938</v>
      </c>
      <c r="D289" s="32" t="s">
        <v>938</v>
      </c>
    </row>
    <row r="290" spans="2:4" x14ac:dyDescent="0.3">
      <c r="B290" s="33" t="s">
        <v>939</v>
      </c>
      <c r="C290" s="32" t="s">
        <v>940</v>
      </c>
      <c r="D290" s="32" t="s">
        <v>940</v>
      </c>
    </row>
    <row r="291" spans="2:4" x14ac:dyDescent="0.3">
      <c r="B291" s="33" t="s">
        <v>941</v>
      </c>
      <c r="C291" s="32" t="s">
        <v>942</v>
      </c>
      <c r="D291" s="32" t="s">
        <v>942</v>
      </c>
    </row>
    <row r="292" spans="2:4" x14ac:dyDescent="0.3">
      <c r="B292" s="33" t="s">
        <v>943</v>
      </c>
      <c r="C292" s="32" t="s">
        <v>944</v>
      </c>
      <c r="D292" s="32" t="s">
        <v>945</v>
      </c>
    </row>
    <row r="293" spans="2:4" x14ac:dyDescent="0.3">
      <c r="B293" s="33" t="s">
        <v>946</v>
      </c>
      <c r="C293" s="32" t="s">
        <v>947</v>
      </c>
      <c r="D293" s="32" t="s">
        <v>946</v>
      </c>
    </row>
    <row r="294" spans="2:4" x14ac:dyDescent="0.3">
      <c r="B294" s="33" t="s">
        <v>948</v>
      </c>
      <c r="C294" s="32" t="s">
        <v>949</v>
      </c>
      <c r="D294" s="32" t="s">
        <v>950</v>
      </c>
    </row>
    <row r="295" spans="2:4" x14ac:dyDescent="0.3">
      <c r="B295" s="33" t="s">
        <v>951</v>
      </c>
      <c r="C295" s="32" t="s">
        <v>952</v>
      </c>
      <c r="D295" s="32" t="s">
        <v>953</v>
      </c>
    </row>
    <row r="296" spans="2:4" x14ac:dyDescent="0.3">
      <c r="B296" s="33" t="s">
        <v>954</v>
      </c>
      <c r="C296" s="32" t="s">
        <v>955</v>
      </c>
      <c r="D296" s="32" t="s">
        <v>956</v>
      </c>
    </row>
    <row r="297" spans="2:4" x14ac:dyDescent="0.3">
      <c r="B297" s="33" t="s">
        <v>957</v>
      </c>
      <c r="C297" s="32" t="s">
        <v>958</v>
      </c>
      <c r="D297" s="32" t="s">
        <v>959</v>
      </c>
    </row>
    <row r="298" spans="2:4" x14ac:dyDescent="0.3">
      <c r="B298" s="33" t="s">
        <v>960</v>
      </c>
      <c r="C298" s="32" t="s">
        <v>961</v>
      </c>
      <c r="D298" s="32" t="s">
        <v>962</v>
      </c>
    </row>
    <row r="299" spans="2:4" x14ac:dyDescent="0.3">
      <c r="B299" s="33" t="s">
        <v>963</v>
      </c>
      <c r="C299" s="32" t="s">
        <v>964</v>
      </c>
      <c r="D299" s="32" t="s">
        <v>965</v>
      </c>
    </row>
    <row r="300" spans="2:4" x14ac:dyDescent="0.3">
      <c r="B300" s="33" t="s">
        <v>966</v>
      </c>
      <c r="C300" s="32" t="s">
        <v>967</v>
      </c>
      <c r="D300" s="32" t="s">
        <v>968</v>
      </c>
    </row>
    <row r="301" spans="2:4" x14ac:dyDescent="0.3">
      <c r="B301" s="33" t="s">
        <v>969</v>
      </c>
      <c r="C301" s="32" t="s">
        <v>970</v>
      </c>
      <c r="D301" s="32" t="s">
        <v>971</v>
      </c>
    </row>
    <row r="302" spans="2:4" x14ac:dyDescent="0.3">
      <c r="B302" s="33" t="s">
        <v>972</v>
      </c>
      <c r="C302" s="32" t="s">
        <v>973</v>
      </c>
      <c r="D302" s="32" t="s">
        <v>974</v>
      </c>
    </row>
    <row r="303" spans="2:4" x14ac:dyDescent="0.3">
      <c r="B303" s="33" t="s">
        <v>975</v>
      </c>
      <c r="C303" s="32" t="s">
        <v>976</v>
      </c>
      <c r="D303" s="32" t="s">
        <v>977</v>
      </c>
    </row>
    <row r="304" spans="2:4" x14ac:dyDescent="0.3">
      <c r="B304" s="33" t="s">
        <v>978</v>
      </c>
      <c r="C304" s="32" t="s">
        <v>979</v>
      </c>
      <c r="D304" s="32" t="s">
        <v>980</v>
      </c>
    </row>
    <row r="305" spans="2:4" x14ac:dyDescent="0.3">
      <c r="B305" s="33" t="s">
        <v>981</v>
      </c>
      <c r="C305" s="32" t="s">
        <v>982</v>
      </c>
      <c r="D305" s="32" t="s">
        <v>983</v>
      </c>
    </row>
    <row r="306" spans="2:4" x14ac:dyDescent="0.3">
      <c r="B306" s="33" t="s">
        <v>984</v>
      </c>
      <c r="C306" s="32" t="s">
        <v>985</v>
      </c>
      <c r="D306" s="32" t="s">
        <v>986</v>
      </c>
    </row>
    <row r="307" spans="2:4" x14ac:dyDescent="0.3">
      <c r="B307" s="33" t="s">
        <v>36684</v>
      </c>
      <c r="C307" s="32" t="s">
        <v>36685</v>
      </c>
      <c r="D307" s="32" t="s">
        <v>36686</v>
      </c>
    </row>
    <row r="308" spans="2:4" x14ac:dyDescent="0.3">
      <c r="B308" s="33" t="s">
        <v>987</v>
      </c>
      <c r="C308" s="32" t="s">
        <v>988</v>
      </c>
      <c r="D308" s="32" t="s">
        <v>989</v>
      </c>
    </row>
    <row r="309" spans="2:4" x14ac:dyDescent="0.3">
      <c r="B309" s="33" t="s">
        <v>990</v>
      </c>
      <c r="C309" s="32" t="s">
        <v>991</v>
      </c>
      <c r="D309" s="32" t="s">
        <v>992</v>
      </c>
    </row>
    <row r="310" spans="2:4" x14ac:dyDescent="0.3">
      <c r="B310" s="33" t="s">
        <v>993</v>
      </c>
      <c r="C310" s="32" t="s">
        <v>994</v>
      </c>
      <c r="D310" s="32" t="s">
        <v>995</v>
      </c>
    </row>
    <row r="311" spans="2:4" x14ac:dyDescent="0.3">
      <c r="B311" s="33" t="s">
        <v>996</v>
      </c>
      <c r="C311" s="32" t="s">
        <v>997</v>
      </c>
      <c r="D311" s="32" t="s">
        <v>998</v>
      </c>
    </row>
    <row r="312" spans="2:4" x14ac:dyDescent="0.3">
      <c r="B312" s="33" t="s">
        <v>999</v>
      </c>
      <c r="C312" s="32" t="s">
        <v>1000</v>
      </c>
      <c r="D312" s="32" t="s">
        <v>1001</v>
      </c>
    </row>
    <row r="313" spans="2:4" x14ac:dyDescent="0.3">
      <c r="B313" s="33" t="s">
        <v>1002</v>
      </c>
      <c r="C313" s="32" t="s">
        <v>1003</v>
      </c>
      <c r="D313" s="32" t="s">
        <v>1004</v>
      </c>
    </row>
    <row r="314" spans="2:4" x14ac:dyDescent="0.3">
      <c r="B314" s="33" t="s">
        <v>1005</v>
      </c>
      <c r="C314" s="32" t="s">
        <v>1006</v>
      </c>
      <c r="D314" s="32" t="s">
        <v>1007</v>
      </c>
    </row>
    <row r="315" spans="2:4" x14ac:dyDescent="0.3">
      <c r="B315" s="33" t="s">
        <v>1008</v>
      </c>
      <c r="C315" s="32" t="s">
        <v>1009</v>
      </c>
      <c r="D315" s="32" t="s">
        <v>1010</v>
      </c>
    </row>
    <row r="316" spans="2:4" x14ac:dyDescent="0.3">
      <c r="B316" s="33" t="s">
        <v>1011</v>
      </c>
      <c r="C316" s="32" t="s">
        <v>1012</v>
      </c>
      <c r="D316" s="32" t="s">
        <v>1013</v>
      </c>
    </row>
    <row r="317" spans="2:4" x14ac:dyDescent="0.3">
      <c r="B317" s="33" t="s">
        <v>1014</v>
      </c>
      <c r="C317" s="32" t="s">
        <v>1015</v>
      </c>
      <c r="D317" s="32" t="s">
        <v>1016</v>
      </c>
    </row>
    <row r="318" spans="2:4" x14ac:dyDescent="0.3">
      <c r="B318" s="33" t="s">
        <v>1017</v>
      </c>
      <c r="C318" s="32" t="s">
        <v>1018</v>
      </c>
      <c r="D318" s="32" t="s">
        <v>1019</v>
      </c>
    </row>
    <row r="319" spans="2:4" x14ac:dyDescent="0.3">
      <c r="B319" s="33" t="s">
        <v>1020</v>
      </c>
      <c r="C319" s="32" t="s">
        <v>1021</v>
      </c>
      <c r="D319" s="32" t="s">
        <v>1022</v>
      </c>
    </row>
    <row r="320" spans="2:4" x14ac:dyDescent="0.3">
      <c r="B320" s="33" t="s">
        <v>1023</v>
      </c>
      <c r="C320" s="32" t="s">
        <v>1024</v>
      </c>
      <c r="D320" s="32" t="s">
        <v>1025</v>
      </c>
    </row>
    <row r="321" spans="2:4" x14ac:dyDescent="0.3">
      <c r="B321" s="33" t="s">
        <v>1026</v>
      </c>
      <c r="C321" s="32" t="s">
        <v>1027</v>
      </c>
      <c r="D321" s="32" t="s">
        <v>1028</v>
      </c>
    </row>
    <row r="322" spans="2:4" x14ac:dyDescent="0.3">
      <c r="B322" s="33" t="s">
        <v>1029</v>
      </c>
      <c r="C322" s="32" t="s">
        <v>1030</v>
      </c>
      <c r="D322" s="32" t="s">
        <v>1031</v>
      </c>
    </row>
    <row r="323" spans="2:4" x14ac:dyDescent="0.3">
      <c r="B323" s="33" t="s">
        <v>1032</v>
      </c>
      <c r="C323" s="32" t="s">
        <v>1033</v>
      </c>
      <c r="D323" s="32" t="s">
        <v>1034</v>
      </c>
    </row>
    <row r="324" spans="2:4" x14ac:dyDescent="0.3">
      <c r="B324" s="33" t="s">
        <v>1035</v>
      </c>
      <c r="C324" s="32" t="s">
        <v>1036</v>
      </c>
      <c r="D324" s="32" t="s">
        <v>1037</v>
      </c>
    </row>
    <row r="325" spans="2:4" x14ac:dyDescent="0.3">
      <c r="B325" s="33" t="s">
        <v>1038</v>
      </c>
      <c r="C325" s="32" t="s">
        <v>1039</v>
      </c>
      <c r="D325" s="32" t="s">
        <v>1040</v>
      </c>
    </row>
    <row r="326" spans="2:4" x14ac:dyDescent="0.3">
      <c r="B326" s="33" t="s">
        <v>1041</v>
      </c>
      <c r="C326" s="32" t="s">
        <v>1042</v>
      </c>
      <c r="D326" s="32" t="s">
        <v>1043</v>
      </c>
    </row>
    <row r="327" spans="2:4" x14ac:dyDescent="0.3">
      <c r="B327" s="33" t="s">
        <v>1044</v>
      </c>
      <c r="C327" s="32" t="s">
        <v>1045</v>
      </c>
      <c r="D327" s="32" t="s">
        <v>1046</v>
      </c>
    </row>
    <row r="328" spans="2:4" x14ac:dyDescent="0.3">
      <c r="B328" s="33" t="s">
        <v>1047</v>
      </c>
      <c r="C328" s="32" t="s">
        <v>1048</v>
      </c>
      <c r="D328" s="32" t="s">
        <v>1049</v>
      </c>
    </row>
    <row r="329" spans="2:4" x14ac:dyDescent="0.3">
      <c r="B329" s="33" t="s">
        <v>1050</v>
      </c>
      <c r="C329" s="32" t="s">
        <v>1051</v>
      </c>
      <c r="D329" s="32" t="s">
        <v>1052</v>
      </c>
    </row>
    <row r="330" spans="2:4" x14ac:dyDescent="0.3">
      <c r="B330" s="33" t="s">
        <v>1053</v>
      </c>
      <c r="C330" s="32" t="s">
        <v>1054</v>
      </c>
      <c r="D330" s="32" t="s">
        <v>1055</v>
      </c>
    </row>
    <row r="331" spans="2:4" x14ac:dyDescent="0.3">
      <c r="B331" s="33" t="s">
        <v>1056</v>
      </c>
      <c r="C331" s="32" t="s">
        <v>1057</v>
      </c>
      <c r="D331" s="32" t="s">
        <v>1058</v>
      </c>
    </row>
    <row r="332" spans="2:4" x14ac:dyDescent="0.3">
      <c r="B332" s="33" t="s">
        <v>1059</v>
      </c>
      <c r="C332" s="32" t="s">
        <v>1060</v>
      </c>
      <c r="D332" s="32" t="s">
        <v>1061</v>
      </c>
    </row>
    <row r="333" spans="2:4" x14ac:dyDescent="0.3">
      <c r="B333" s="33" t="s">
        <v>1062</v>
      </c>
      <c r="C333" s="32" t="s">
        <v>1063</v>
      </c>
      <c r="D333" s="32" t="s">
        <v>1064</v>
      </c>
    </row>
    <row r="334" spans="2:4" x14ac:dyDescent="0.3">
      <c r="B334" s="33" t="s">
        <v>1065</v>
      </c>
      <c r="C334" s="32" t="s">
        <v>1066</v>
      </c>
      <c r="D334" s="32" t="s">
        <v>1067</v>
      </c>
    </row>
    <row r="335" spans="2:4" x14ac:dyDescent="0.3">
      <c r="B335" s="33" t="s">
        <v>1068</v>
      </c>
      <c r="C335" s="32" t="s">
        <v>1069</v>
      </c>
      <c r="D335" s="32" t="s">
        <v>1070</v>
      </c>
    </row>
    <row r="336" spans="2:4" x14ac:dyDescent="0.3">
      <c r="B336" s="33" t="s">
        <v>1071</v>
      </c>
      <c r="C336" s="32" t="s">
        <v>1072</v>
      </c>
      <c r="D336" s="32" t="s">
        <v>1073</v>
      </c>
    </row>
    <row r="337" spans="2:4" x14ac:dyDescent="0.3">
      <c r="B337" s="33" t="s">
        <v>1074</v>
      </c>
      <c r="C337" s="32" t="s">
        <v>1075</v>
      </c>
      <c r="D337" s="32" t="s">
        <v>1076</v>
      </c>
    </row>
    <row r="338" spans="2:4" x14ac:dyDescent="0.3">
      <c r="B338" s="33" t="s">
        <v>1077</v>
      </c>
      <c r="C338" s="32" t="s">
        <v>1078</v>
      </c>
      <c r="D338" s="32" t="s">
        <v>1079</v>
      </c>
    </row>
    <row r="339" spans="2:4" x14ac:dyDescent="0.3">
      <c r="B339" s="33" t="s">
        <v>1080</v>
      </c>
      <c r="C339" s="32" t="s">
        <v>1081</v>
      </c>
      <c r="D339" s="32" t="s">
        <v>1082</v>
      </c>
    </row>
    <row r="340" spans="2:4" x14ac:dyDescent="0.3">
      <c r="B340" s="33" t="s">
        <v>1080</v>
      </c>
      <c r="C340" s="32" t="s">
        <v>1083</v>
      </c>
      <c r="D340" s="32" t="s">
        <v>1084</v>
      </c>
    </row>
    <row r="341" spans="2:4" x14ac:dyDescent="0.3">
      <c r="B341" s="33" t="s">
        <v>1085</v>
      </c>
      <c r="C341" s="32" t="s">
        <v>1086</v>
      </c>
      <c r="D341" s="32" t="s">
        <v>1087</v>
      </c>
    </row>
    <row r="342" spans="2:4" x14ac:dyDescent="0.3">
      <c r="B342" s="33" t="s">
        <v>1085</v>
      </c>
      <c r="C342" s="32" t="s">
        <v>1088</v>
      </c>
      <c r="D342" s="32" t="s">
        <v>1089</v>
      </c>
    </row>
    <row r="343" spans="2:4" x14ac:dyDescent="0.3">
      <c r="B343" s="33" t="s">
        <v>1090</v>
      </c>
      <c r="C343" s="32" t="s">
        <v>1091</v>
      </c>
      <c r="D343" s="32" t="s">
        <v>1092</v>
      </c>
    </row>
    <row r="344" spans="2:4" x14ac:dyDescent="0.3">
      <c r="B344" s="33" t="s">
        <v>1093</v>
      </c>
      <c r="C344" s="32" t="s">
        <v>1094</v>
      </c>
      <c r="D344" s="32" t="s">
        <v>1095</v>
      </c>
    </row>
    <row r="345" spans="2:4" x14ac:dyDescent="0.3">
      <c r="B345" s="33" t="s">
        <v>1093</v>
      </c>
      <c r="C345" s="32" t="s">
        <v>1096</v>
      </c>
      <c r="D345" s="32" t="s">
        <v>1097</v>
      </c>
    </row>
    <row r="346" spans="2:4" x14ac:dyDescent="0.3">
      <c r="B346" s="33" t="s">
        <v>1098</v>
      </c>
      <c r="C346" s="32" t="s">
        <v>1099</v>
      </c>
      <c r="D346" s="32" t="s">
        <v>1100</v>
      </c>
    </row>
    <row r="347" spans="2:4" x14ac:dyDescent="0.3">
      <c r="B347" s="33" t="s">
        <v>1098</v>
      </c>
      <c r="C347" s="32" t="s">
        <v>1101</v>
      </c>
      <c r="D347" s="32" t="s">
        <v>1102</v>
      </c>
    </row>
    <row r="348" spans="2:4" x14ac:dyDescent="0.3">
      <c r="B348" s="33" t="s">
        <v>1103</v>
      </c>
      <c r="C348" s="32" t="s">
        <v>1104</v>
      </c>
      <c r="D348" s="32" t="s">
        <v>1105</v>
      </c>
    </row>
    <row r="349" spans="2:4" x14ac:dyDescent="0.3">
      <c r="B349" s="33" t="s">
        <v>1106</v>
      </c>
      <c r="C349" s="32" t="s">
        <v>1107</v>
      </c>
      <c r="D349" s="32" t="s">
        <v>1108</v>
      </c>
    </row>
    <row r="350" spans="2:4" x14ac:dyDescent="0.3">
      <c r="B350" s="33" t="s">
        <v>1109</v>
      </c>
      <c r="C350" s="32" t="s">
        <v>1110</v>
      </c>
      <c r="D350" s="32" t="s">
        <v>1111</v>
      </c>
    </row>
    <row r="351" spans="2:4" x14ac:dyDescent="0.3">
      <c r="B351" s="33" t="s">
        <v>1112</v>
      </c>
      <c r="C351" s="32" t="s">
        <v>1113</v>
      </c>
      <c r="D351" s="32" t="s">
        <v>1114</v>
      </c>
    </row>
    <row r="352" spans="2:4" x14ac:dyDescent="0.3">
      <c r="B352" s="33" t="s">
        <v>1115</v>
      </c>
      <c r="C352" s="32" t="s">
        <v>1116</v>
      </c>
      <c r="D352" s="32" t="s">
        <v>1117</v>
      </c>
    </row>
    <row r="353" spans="2:4" x14ac:dyDescent="0.3">
      <c r="B353" s="33" t="s">
        <v>1118</v>
      </c>
      <c r="C353" s="32" t="s">
        <v>1119</v>
      </c>
      <c r="D353" s="32" t="s">
        <v>1120</v>
      </c>
    </row>
    <row r="354" spans="2:4" x14ac:dyDescent="0.3">
      <c r="B354" s="33" t="s">
        <v>1121</v>
      </c>
      <c r="C354" s="32" t="s">
        <v>1122</v>
      </c>
      <c r="D354" s="32" t="s">
        <v>1123</v>
      </c>
    </row>
    <row r="355" spans="2:4" x14ac:dyDescent="0.3">
      <c r="B355" s="33" t="s">
        <v>1124</v>
      </c>
      <c r="C355" s="32" t="s">
        <v>1125</v>
      </c>
      <c r="D355" s="32" t="s">
        <v>1126</v>
      </c>
    </row>
    <row r="356" spans="2:4" x14ac:dyDescent="0.3">
      <c r="B356" s="33" t="s">
        <v>1127</v>
      </c>
      <c r="C356" s="32" t="s">
        <v>1128</v>
      </c>
      <c r="D356" s="32" t="s">
        <v>1129</v>
      </c>
    </row>
    <row r="357" spans="2:4" x14ac:dyDescent="0.3">
      <c r="B357" s="33" t="s">
        <v>1127</v>
      </c>
      <c r="C357" s="32" t="s">
        <v>1130</v>
      </c>
      <c r="D357" s="32" t="s">
        <v>1131</v>
      </c>
    </row>
    <row r="358" spans="2:4" x14ac:dyDescent="0.3">
      <c r="B358" s="33" t="s">
        <v>1132</v>
      </c>
      <c r="C358" s="32" t="s">
        <v>1133</v>
      </c>
      <c r="D358" s="32" t="s">
        <v>1134</v>
      </c>
    </row>
    <row r="359" spans="2:4" x14ac:dyDescent="0.3">
      <c r="B359" s="33" t="s">
        <v>1132</v>
      </c>
      <c r="C359" s="32" t="s">
        <v>1135</v>
      </c>
      <c r="D359" s="32" t="s">
        <v>1136</v>
      </c>
    </row>
    <row r="360" spans="2:4" x14ac:dyDescent="0.3">
      <c r="B360" s="33" t="s">
        <v>1137</v>
      </c>
      <c r="C360" s="32" t="s">
        <v>1138</v>
      </c>
      <c r="D360" s="32" t="s">
        <v>1139</v>
      </c>
    </row>
    <row r="361" spans="2:4" x14ac:dyDescent="0.3">
      <c r="B361" s="33" t="s">
        <v>1137</v>
      </c>
      <c r="C361" s="32" t="s">
        <v>1140</v>
      </c>
      <c r="D361" s="32" t="s">
        <v>1141</v>
      </c>
    </row>
    <row r="362" spans="2:4" x14ac:dyDescent="0.3">
      <c r="B362" s="33" t="s">
        <v>1142</v>
      </c>
      <c r="C362" s="32" t="s">
        <v>1143</v>
      </c>
      <c r="D362" s="32" t="s">
        <v>1144</v>
      </c>
    </row>
    <row r="363" spans="2:4" x14ac:dyDescent="0.3">
      <c r="B363" s="33" t="s">
        <v>1142</v>
      </c>
      <c r="C363" s="32" t="s">
        <v>1145</v>
      </c>
      <c r="D363" s="32" t="s">
        <v>1146</v>
      </c>
    </row>
    <row r="364" spans="2:4" x14ac:dyDescent="0.3">
      <c r="B364" s="33" t="s">
        <v>1147</v>
      </c>
      <c r="C364" s="32" t="s">
        <v>1148</v>
      </c>
      <c r="D364" s="32" t="s">
        <v>1149</v>
      </c>
    </row>
    <row r="365" spans="2:4" x14ac:dyDescent="0.3">
      <c r="B365" s="33" t="s">
        <v>1150</v>
      </c>
      <c r="C365" s="32" t="s">
        <v>1151</v>
      </c>
      <c r="D365" s="32" t="s">
        <v>1152</v>
      </c>
    </row>
    <row r="366" spans="2:4" x14ac:dyDescent="0.3">
      <c r="B366" s="33" t="s">
        <v>1153</v>
      </c>
      <c r="C366" s="32" t="s">
        <v>1154</v>
      </c>
      <c r="D366" s="32" t="s">
        <v>1155</v>
      </c>
    </row>
    <row r="367" spans="2:4" x14ac:dyDescent="0.3">
      <c r="B367" s="33" t="s">
        <v>1156</v>
      </c>
      <c r="C367" s="32" t="s">
        <v>1157</v>
      </c>
      <c r="D367" s="32" t="s">
        <v>1158</v>
      </c>
    </row>
    <row r="368" spans="2:4" x14ac:dyDescent="0.3">
      <c r="B368" s="33" t="s">
        <v>1159</v>
      </c>
      <c r="C368" s="32" t="s">
        <v>1160</v>
      </c>
      <c r="D368" s="32" t="s">
        <v>1161</v>
      </c>
    </row>
    <row r="369" spans="2:4" x14ac:dyDescent="0.3">
      <c r="B369" s="33" t="s">
        <v>1162</v>
      </c>
      <c r="C369" s="32" t="s">
        <v>1163</v>
      </c>
      <c r="D369" s="32" t="s">
        <v>1164</v>
      </c>
    </row>
    <row r="370" spans="2:4" x14ac:dyDescent="0.3">
      <c r="B370" s="33" t="s">
        <v>1165</v>
      </c>
      <c r="C370" s="32" t="s">
        <v>1166</v>
      </c>
      <c r="D370" s="32" t="s">
        <v>1167</v>
      </c>
    </row>
    <row r="371" spans="2:4" x14ac:dyDescent="0.3">
      <c r="B371" s="33" t="s">
        <v>1168</v>
      </c>
      <c r="C371" s="32" t="s">
        <v>1169</v>
      </c>
      <c r="D371" s="32" t="s">
        <v>1170</v>
      </c>
    </row>
    <row r="372" spans="2:4" x14ac:dyDescent="0.3">
      <c r="B372" s="33" t="s">
        <v>1171</v>
      </c>
      <c r="C372" s="32" t="s">
        <v>1172</v>
      </c>
      <c r="D372" s="32" t="s">
        <v>1173</v>
      </c>
    </row>
    <row r="373" spans="2:4" x14ac:dyDescent="0.3">
      <c r="B373" s="33" t="s">
        <v>1171</v>
      </c>
      <c r="C373" s="32" t="s">
        <v>1174</v>
      </c>
      <c r="D373" s="32" t="s">
        <v>1175</v>
      </c>
    </row>
    <row r="374" spans="2:4" x14ac:dyDescent="0.3">
      <c r="B374" s="33" t="s">
        <v>1176</v>
      </c>
      <c r="C374" s="32" t="s">
        <v>1177</v>
      </c>
      <c r="D374" s="32" t="s">
        <v>1178</v>
      </c>
    </row>
    <row r="375" spans="2:4" x14ac:dyDescent="0.3">
      <c r="B375" s="33" t="s">
        <v>1176</v>
      </c>
      <c r="C375" s="32" t="s">
        <v>1179</v>
      </c>
      <c r="D375" s="32" t="s">
        <v>1180</v>
      </c>
    </row>
    <row r="376" spans="2:4" x14ac:dyDescent="0.3">
      <c r="B376" s="33" t="s">
        <v>1181</v>
      </c>
      <c r="C376" s="32" t="s">
        <v>1182</v>
      </c>
      <c r="D376" s="32" t="s">
        <v>1183</v>
      </c>
    </row>
    <row r="377" spans="2:4" x14ac:dyDescent="0.3">
      <c r="B377" s="33" t="s">
        <v>1181</v>
      </c>
      <c r="C377" s="32" t="s">
        <v>1184</v>
      </c>
      <c r="D377" s="32" t="s">
        <v>1185</v>
      </c>
    </row>
    <row r="378" spans="2:4" x14ac:dyDescent="0.3">
      <c r="B378" s="33" t="s">
        <v>1186</v>
      </c>
      <c r="C378" s="32" t="s">
        <v>1187</v>
      </c>
      <c r="D378" s="32" t="s">
        <v>1188</v>
      </c>
    </row>
    <row r="379" spans="2:4" x14ac:dyDescent="0.3">
      <c r="B379" s="33" t="s">
        <v>1186</v>
      </c>
      <c r="C379" s="32" t="s">
        <v>1189</v>
      </c>
      <c r="D379" s="32" t="s">
        <v>1190</v>
      </c>
    </row>
    <row r="380" spans="2:4" x14ac:dyDescent="0.3">
      <c r="B380" s="33" t="s">
        <v>1191</v>
      </c>
      <c r="C380" s="32" t="s">
        <v>1192</v>
      </c>
      <c r="D380" s="32" t="s">
        <v>1193</v>
      </c>
    </row>
    <row r="381" spans="2:4" x14ac:dyDescent="0.3">
      <c r="B381" s="33" t="s">
        <v>1194</v>
      </c>
      <c r="C381" s="32" t="s">
        <v>1195</v>
      </c>
      <c r="D381" s="32" t="s">
        <v>1196</v>
      </c>
    </row>
    <row r="382" spans="2:4" x14ac:dyDescent="0.3">
      <c r="B382" s="33" t="s">
        <v>1194</v>
      </c>
      <c r="C382" s="32" t="s">
        <v>1197</v>
      </c>
      <c r="D382" s="32" t="s">
        <v>1198</v>
      </c>
    </row>
    <row r="383" spans="2:4" x14ac:dyDescent="0.3">
      <c r="B383" s="33" t="s">
        <v>1199</v>
      </c>
      <c r="C383" s="32" t="s">
        <v>1200</v>
      </c>
      <c r="D383" s="32" t="s">
        <v>1201</v>
      </c>
    </row>
    <row r="384" spans="2:4" x14ac:dyDescent="0.3">
      <c r="B384" s="33" t="s">
        <v>1199</v>
      </c>
      <c r="C384" s="32" t="s">
        <v>1202</v>
      </c>
      <c r="D384" s="32" t="s">
        <v>1203</v>
      </c>
    </row>
    <row r="385" spans="2:4" x14ac:dyDescent="0.3">
      <c r="B385" s="33" t="s">
        <v>1204</v>
      </c>
      <c r="C385" s="32" t="s">
        <v>1205</v>
      </c>
      <c r="D385" s="32" t="s">
        <v>1206</v>
      </c>
    </row>
    <row r="386" spans="2:4" x14ac:dyDescent="0.3">
      <c r="B386" s="33" t="s">
        <v>1204</v>
      </c>
      <c r="C386" s="32" t="s">
        <v>1207</v>
      </c>
      <c r="D386" s="32" t="s">
        <v>1208</v>
      </c>
    </row>
    <row r="387" spans="2:4" x14ac:dyDescent="0.3">
      <c r="B387" s="33" t="s">
        <v>1209</v>
      </c>
      <c r="C387" s="32" t="s">
        <v>1210</v>
      </c>
      <c r="D387" s="32" t="s">
        <v>1211</v>
      </c>
    </row>
    <row r="388" spans="2:4" x14ac:dyDescent="0.3">
      <c r="B388" s="33" t="s">
        <v>1005</v>
      </c>
      <c r="C388" s="32" t="s">
        <v>1212</v>
      </c>
      <c r="D388" s="32" t="s">
        <v>1213</v>
      </c>
    </row>
    <row r="389" spans="2:4" x14ac:dyDescent="0.3">
      <c r="B389" s="33" t="s">
        <v>1214</v>
      </c>
      <c r="C389" s="32" t="s">
        <v>1215</v>
      </c>
      <c r="D389" s="32" t="s">
        <v>1216</v>
      </c>
    </row>
    <row r="390" spans="2:4" x14ac:dyDescent="0.3">
      <c r="B390" s="33" t="s">
        <v>1217</v>
      </c>
      <c r="C390" s="32" t="s">
        <v>1218</v>
      </c>
      <c r="D390" s="32" t="s">
        <v>1219</v>
      </c>
    </row>
    <row r="391" spans="2:4" x14ac:dyDescent="0.3">
      <c r="B391" s="33" t="s">
        <v>1220</v>
      </c>
      <c r="C391" s="32" t="s">
        <v>1221</v>
      </c>
      <c r="D391" s="32" t="s">
        <v>1222</v>
      </c>
    </row>
    <row r="392" spans="2:4" x14ac:dyDescent="0.3">
      <c r="B392" s="33" t="s">
        <v>1220</v>
      </c>
      <c r="C392" s="32" t="s">
        <v>1223</v>
      </c>
      <c r="D392" s="32" t="s">
        <v>1224</v>
      </c>
    </row>
    <row r="393" spans="2:4" x14ac:dyDescent="0.3">
      <c r="B393" s="33" t="s">
        <v>1225</v>
      </c>
      <c r="C393" s="32" t="s">
        <v>1226</v>
      </c>
      <c r="D393" s="32" t="s">
        <v>37094</v>
      </c>
    </row>
    <row r="394" spans="2:4" x14ac:dyDescent="0.3">
      <c r="B394" s="33" t="s">
        <v>1227</v>
      </c>
      <c r="C394" s="32" t="s">
        <v>1228</v>
      </c>
      <c r="D394" s="32" t="s">
        <v>1229</v>
      </c>
    </row>
    <row r="395" spans="2:4" x14ac:dyDescent="0.3">
      <c r="B395" s="33" t="s">
        <v>1230</v>
      </c>
      <c r="C395" s="32" t="s">
        <v>1231</v>
      </c>
      <c r="D395" s="32" t="s">
        <v>1232</v>
      </c>
    </row>
    <row r="396" spans="2:4" x14ac:dyDescent="0.3">
      <c r="B396" s="33" t="s">
        <v>1233</v>
      </c>
      <c r="C396" s="32" t="s">
        <v>1234</v>
      </c>
      <c r="D396" s="32" t="s">
        <v>1235</v>
      </c>
    </row>
    <row r="397" spans="2:4" x14ac:dyDescent="0.3">
      <c r="B397" s="33" t="s">
        <v>1230</v>
      </c>
      <c r="C397" s="32" t="s">
        <v>1236</v>
      </c>
      <c r="D397" s="32" t="s">
        <v>1237</v>
      </c>
    </row>
    <row r="398" spans="2:4" x14ac:dyDescent="0.3">
      <c r="B398" s="33" t="s">
        <v>1238</v>
      </c>
      <c r="C398" s="32" t="s">
        <v>1239</v>
      </c>
      <c r="D398" s="32" t="s">
        <v>1240</v>
      </c>
    </row>
    <row r="399" spans="2:4" x14ac:dyDescent="0.3">
      <c r="B399" s="33" t="s">
        <v>1230</v>
      </c>
      <c r="C399" s="32" t="s">
        <v>1241</v>
      </c>
      <c r="D399" s="32" t="s">
        <v>1242</v>
      </c>
    </row>
    <row r="400" spans="2:4" x14ac:dyDescent="0.3">
      <c r="B400" s="33" t="s">
        <v>1243</v>
      </c>
      <c r="C400" s="32" t="s">
        <v>1244</v>
      </c>
      <c r="D400" s="32" t="s">
        <v>1245</v>
      </c>
    </row>
    <row r="401" spans="2:4" x14ac:dyDescent="0.3">
      <c r="B401" s="33" t="s">
        <v>1246</v>
      </c>
      <c r="C401" s="32" t="s">
        <v>1247</v>
      </c>
      <c r="D401" s="32" t="s">
        <v>1248</v>
      </c>
    </row>
    <row r="402" spans="2:4" x14ac:dyDescent="0.3">
      <c r="B402" s="33" t="s">
        <v>1249</v>
      </c>
      <c r="C402" s="32" t="s">
        <v>1250</v>
      </c>
      <c r="D402" s="32" t="s">
        <v>1251</v>
      </c>
    </row>
    <row r="403" spans="2:4" x14ac:dyDescent="0.3">
      <c r="B403" s="33" t="s">
        <v>1252</v>
      </c>
      <c r="C403" s="32" t="s">
        <v>1253</v>
      </c>
      <c r="D403" s="32" t="s">
        <v>1254</v>
      </c>
    </row>
    <row r="404" spans="2:4" x14ac:dyDescent="0.3">
      <c r="B404" s="33" t="s">
        <v>1255</v>
      </c>
      <c r="C404" s="32" t="s">
        <v>1256</v>
      </c>
      <c r="D404" s="32" t="s">
        <v>1257</v>
      </c>
    </row>
    <row r="405" spans="2:4" x14ac:dyDescent="0.3">
      <c r="B405" s="33" t="s">
        <v>1252</v>
      </c>
      <c r="C405" s="32" t="s">
        <v>1258</v>
      </c>
      <c r="D405" s="32" t="s">
        <v>1259</v>
      </c>
    </row>
    <row r="406" spans="2:4" x14ac:dyDescent="0.3">
      <c r="B406" s="33" t="s">
        <v>1260</v>
      </c>
      <c r="C406" s="32" t="s">
        <v>1261</v>
      </c>
      <c r="D406" s="32" t="s">
        <v>1262</v>
      </c>
    </row>
    <row r="407" spans="2:4" x14ac:dyDescent="0.3">
      <c r="B407" s="33" t="s">
        <v>1263</v>
      </c>
      <c r="C407" s="32" t="s">
        <v>1264</v>
      </c>
      <c r="D407" s="32" t="s">
        <v>1265</v>
      </c>
    </row>
    <row r="408" spans="2:4" x14ac:dyDescent="0.3">
      <c r="B408" s="33" t="s">
        <v>1266</v>
      </c>
      <c r="C408" s="32" t="s">
        <v>1267</v>
      </c>
      <c r="D408" s="32" t="s">
        <v>1268</v>
      </c>
    </row>
    <row r="409" spans="2:4" x14ac:dyDescent="0.3">
      <c r="B409" s="33" t="s">
        <v>1960</v>
      </c>
      <c r="C409" s="32" t="s">
        <v>37095</v>
      </c>
      <c r="D409" s="32" t="s">
        <v>37096</v>
      </c>
    </row>
    <row r="410" spans="2:4" x14ac:dyDescent="0.3">
      <c r="B410" s="33" t="s">
        <v>1266</v>
      </c>
      <c r="C410" s="32" t="s">
        <v>1269</v>
      </c>
      <c r="D410" s="32" t="s">
        <v>1270</v>
      </c>
    </row>
    <row r="411" spans="2:4" x14ac:dyDescent="0.3">
      <c r="B411" s="33" t="s">
        <v>1266</v>
      </c>
      <c r="C411" s="32" t="s">
        <v>1271</v>
      </c>
      <c r="D411" s="32" t="s">
        <v>1266</v>
      </c>
    </row>
    <row r="412" spans="2:4" x14ac:dyDescent="0.3">
      <c r="B412" s="33" t="s">
        <v>1272</v>
      </c>
      <c r="C412" s="32" t="s">
        <v>1273</v>
      </c>
      <c r="D412" s="32" t="s">
        <v>1274</v>
      </c>
    </row>
    <row r="413" spans="2:4" x14ac:dyDescent="0.3">
      <c r="B413" s="33" t="s">
        <v>1275</v>
      </c>
      <c r="C413" s="32" t="s">
        <v>1276</v>
      </c>
      <c r="D413" s="32" t="s">
        <v>1277</v>
      </c>
    </row>
    <row r="414" spans="2:4" x14ac:dyDescent="0.3">
      <c r="B414" s="33" t="s">
        <v>1278</v>
      </c>
      <c r="C414" s="32" t="s">
        <v>1279</v>
      </c>
      <c r="D414" s="32" t="s">
        <v>1280</v>
      </c>
    </row>
    <row r="415" spans="2:4" x14ac:dyDescent="0.3">
      <c r="B415" s="33" t="s">
        <v>1278</v>
      </c>
      <c r="C415" s="32" t="s">
        <v>1281</v>
      </c>
      <c r="D415" s="32" t="s">
        <v>1282</v>
      </c>
    </row>
    <row r="416" spans="2:4" x14ac:dyDescent="0.3">
      <c r="B416" s="33" t="s">
        <v>1283</v>
      </c>
      <c r="C416" s="32" t="s">
        <v>1284</v>
      </c>
      <c r="D416" s="32" t="s">
        <v>1285</v>
      </c>
    </row>
    <row r="417" spans="2:4" x14ac:dyDescent="0.3">
      <c r="B417" s="33" t="s">
        <v>1286</v>
      </c>
      <c r="C417" s="32" t="s">
        <v>1287</v>
      </c>
      <c r="D417" s="32" t="s">
        <v>1288</v>
      </c>
    </row>
    <row r="418" spans="2:4" x14ac:dyDescent="0.3">
      <c r="B418" s="33" t="s">
        <v>1283</v>
      </c>
      <c r="C418" s="32" t="s">
        <v>1289</v>
      </c>
      <c r="D418" s="32" t="s">
        <v>1290</v>
      </c>
    </row>
    <row r="419" spans="2:4" x14ac:dyDescent="0.3">
      <c r="B419" s="33" t="s">
        <v>1291</v>
      </c>
      <c r="C419" s="32" t="s">
        <v>1292</v>
      </c>
      <c r="D419" s="32" t="s">
        <v>1293</v>
      </c>
    </row>
    <row r="420" spans="2:4" x14ac:dyDescent="0.3">
      <c r="B420" s="33" t="s">
        <v>1294</v>
      </c>
      <c r="C420" s="32" t="s">
        <v>1295</v>
      </c>
      <c r="D420" s="32" t="s">
        <v>36687</v>
      </c>
    </row>
    <row r="421" spans="2:4" x14ac:dyDescent="0.3">
      <c r="B421" s="33" t="s">
        <v>1291</v>
      </c>
      <c r="C421" s="32" t="s">
        <v>1296</v>
      </c>
      <c r="D421" s="32" t="s">
        <v>1297</v>
      </c>
    </row>
    <row r="422" spans="2:4" x14ac:dyDescent="0.3">
      <c r="B422" s="33" t="s">
        <v>1298</v>
      </c>
      <c r="C422" s="32" t="s">
        <v>1299</v>
      </c>
      <c r="D422" s="32" t="s">
        <v>1300</v>
      </c>
    </row>
    <row r="423" spans="2:4" x14ac:dyDescent="0.3">
      <c r="B423" s="33" t="s">
        <v>1301</v>
      </c>
      <c r="C423" s="32" t="s">
        <v>1302</v>
      </c>
      <c r="D423" s="32" t="s">
        <v>1303</v>
      </c>
    </row>
    <row r="424" spans="2:4" x14ac:dyDescent="0.3">
      <c r="B424" s="33" t="s">
        <v>1304</v>
      </c>
      <c r="C424" s="32" t="s">
        <v>1305</v>
      </c>
      <c r="D424" s="32" t="s">
        <v>1306</v>
      </c>
    </row>
    <row r="425" spans="2:4" x14ac:dyDescent="0.3">
      <c r="B425" s="33" t="s">
        <v>1307</v>
      </c>
      <c r="C425" s="32" t="s">
        <v>1308</v>
      </c>
      <c r="D425" s="32" t="s">
        <v>1309</v>
      </c>
    </row>
    <row r="426" spans="2:4" x14ac:dyDescent="0.3">
      <c r="B426" s="33" t="s">
        <v>1310</v>
      </c>
      <c r="C426" s="32" t="s">
        <v>1311</v>
      </c>
      <c r="D426" s="32" t="s">
        <v>1312</v>
      </c>
    </row>
    <row r="427" spans="2:4" x14ac:dyDescent="0.3">
      <c r="B427" s="33" t="s">
        <v>1313</v>
      </c>
      <c r="C427" s="32" t="s">
        <v>1314</v>
      </c>
      <c r="D427" s="32" t="s">
        <v>1315</v>
      </c>
    </row>
    <row r="428" spans="2:4" x14ac:dyDescent="0.3">
      <c r="B428" s="33" t="s">
        <v>1316</v>
      </c>
      <c r="C428" s="32" t="s">
        <v>1317</v>
      </c>
      <c r="D428" s="32" t="s">
        <v>1318</v>
      </c>
    </row>
    <row r="429" spans="2:4" x14ac:dyDescent="0.3">
      <c r="B429" s="33" t="s">
        <v>1319</v>
      </c>
      <c r="C429" s="32" t="s">
        <v>1320</v>
      </c>
      <c r="D429" s="32" t="s">
        <v>1321</v>
      </c>
    </row>
    <row r="430" spans="2:4" x14ac:dyDescent="0.3">
      <c r="B430" s="33" t="s">
        <v>1322</v>
      </c>
      <c r="C430" s="32" t="s">
        <v>1323</v>
      </c>
      <c r="D430" s="32" t="s">
        <v>1324</v>
      </c>
    </row>
    <row r="431" spans="2:4" x14ac:dyDescent="0.3">
      <c r="B431" s="33" t="s">
        <v>1301</v>
      </c>
      <c r="C431" s="32" t="s">
        <v>1325</v>
      </c>
      <c r="D431" s="32" t="s">
        <v>1326</v>
      </c>
    </row>
    <row r="432" spans="2:4" x14ac:dyDescent="0.3">
      <c r="B432" s="33" t="s">
        <v>1327</v>
      </c>
      <c r="C432" s="32" t="s">
        <v>1328</v>
      </c>
      <c r="D432" s="32" t="s">
        <v>1329</v>
      </c>
    </row>
    <row r="433" spans="2:4" x14ac:dyDescent="0.3">
      <c r="B433" s="33" t="s">
        <v>1330</v>
      </c>
      <c r="C433" s="32" t="s">
        <v>1331</v>
      </c>
      <c r="D433" s="32" t="s">
        <v>1332</v>
      </c>
    </row>
    <row r="434" spans="2:4" x14ac:dyDescent="0.3">
      <c r="B434" s="33" t="s">
        <v>1333</v>
      </c>
      <c r="C434" s="32" t="s">
        <v>1334</v>
      </c>
      <c r="D434" s="32" t="s">
        <v>1335</v>
      </c>
    </row>
    <row r="435" spans="2:4" x14ac:dyDescent="0.3">
      <c r="B435" s="33" t="s">
        <v>1336</v>
      </c>
      <c r="C435" s="32" t="s">
        <v>1337</v>
      </c>
      <c r="D435" s="32" t="s">
        <v>1338</v>
      </c>
    </row>
    <row r="436" spans="2:4" x14ac:dyDescent="0.3">
      <c r="B436" s="33" t="s">
        <v>1301</v>
      </c>
      <c r="C436" s="32" t="s">
        <v>1339</v>
      </c>
      <c r="D436" s="32" t="s">
        <v>1340</v>
      </c>
    </row>
    <row r="437" spans="2:4" x14ac:dyDescent="0.3">
      <c r="B437" s="33" t="s">
        <v>1336</v>
      </c>
      <c r="C437" s="32" t="s">
        <v>1341</v>
      </c>
      <c r="D437" s="32" t="s">
        <v>1342</v>
      </c>
    </row>
    <row r="438" spans="2:4" x14ac:dyDescent="0.3">
      <c r="B438" s="33" t="s">
        <v>1343</v>
      </c>
      <c r="C438" s="32" t="s">
        <v>1344</v>
      </c>
      <c r="D438" s="32" t="s">
        <v>1345</v>
      </c>
    </row>
    <row r="439" spans="2:4" x14ac:dyDescent="0.3">
      <c r="B439" s="33" t="s">
        <v>1346</v>
      </c>
      <c r="C439" s="32" t="s">
        <v>1347</v>
      </c>
      <c r="D439" s="32" t="s">
        <v>1348</v>
      </c>
    </row>
    <row r="440" spans="2:4" x14ac:dyDescent="0.3">
      <c r="B440" s="33" t="s">
        <v>1349</v>
      </c>
      <c r="C440" s="32" t="s">
        <v>1350</v>
      </c>
      <c r="D440" s="32" t="s">
        <v>1351</v>
      </c>
    </row>
    <row r="441" spans="2:4" x14ac:dyDescent="0.3">
      <c r="B441" s="33" t="s">
        <v>1352</v>
      </c>
      <c r="C441" s="32" t="s">
        <v>1353</v>
      </c>
      <c r="D441" s="32" t="s">
        <v>1354</v>
      </c>
    </row>
    <row r="442" spans="2:4" x14ac:dyDescent="0.3">
      <c r="B442" s="33" t="s">
        <v>1355</v>
      </c>
      <c r="C442" s="32" t="s">
        <v>1356</v>
      </c>
      <c r="D442" s="32" t="s">
        <v>1357</v>
      </c>
    </row>
    <row r="443" spans="2:4" x14ac:dyDescent="0.3">
      <c r="B443" s="33" t="s">
        <v>1358</v>
      </c>
      <c r="C443" s="32" t="s">
        <v>1359</v>
      </c>
      <c r="D443" s="32" t="s">
        <v>1360</v>
      </c>
    </row>
    <row r="444" spans="2:4" x14ac:dyDescent="0.3">
      <c r="B444" s="33" t="s">
        <v>1361</v>
      </c>
      <c r="C444" s="32" t="s">
        <v>1362</v>
      </c>
      <c r="D444" s="32" t="s">
        <v>1363</v>
      </c>
    </row>
    <row r="445" spans="2:4" x14ac:dyDescent="0.3">
      <c r="B445" s="33" t="s">
        <v>1364</v>
      </c>
      <c r="C445" s="32" t="s">
        <v>1365</v>
      </c>
      <c r="D445" s="32" t="s">
        <v>1366</v>
      </c>
    </row>
    <row r="446" spans="2:4" x14ac:dyDescent="0.3">
      <c r="B446" s="33" t="s">
        <v>1367</v>
      </c>
      <c r="C446" s="32" t="s">
        <v>1368</v>
      </c>
      <c r="D446" s="32" t="s">
        <v>1369</v>
      </c>
    </row>
    <row r="447" spans="2:4" x14ac:dyDescent="0.3">
      <c r="B447" s="33" t="s">
        <v>1370</v>
      </c>
      <c r="C447" s="32" t="s">
        <v>1371</v>
      </c>
      <c r="D447" s="32" t="s">
        <v>1372</v>
      </c>
    </row>
    <row r="448" spans="2:4" x14ac:dyDescent="0.3">
      <c r="B448" s="33" t="s">
        <v>1373</v>
      </c>
      <c r="C448" s="32" t="s">
        <v>1374</v>
      </c>
      <c r="D448" s="32" t="s">
        <v>1375</v>
      </c>
    </row>
    <row r="449" spans="2:4" x14ac:dyDescent="0.3">
      <c r="B449" s="33" t="s">
        <v>1376</v>
      </c>
      <c r="C449" s="32" t="s">
        <v>1377</v>
      </c>
      <c r="D449" s="32" t="s">
        <v>1378</v>
      </c>
    </row>
    <row r="450" spans="2:4" x14ac:dyDescent="0.3">
      <c r="B450" s="33" t="s">
        <v>1379</v>
      </c>
      <c r="C450" s="32" t="s">
        <v>1380</v>
      </c>
      <c r="D450" s="32" t="s">
        <v>1381</v>
      </c>
    </row>
    <row r="451" spans="2:4" x14ac:dyDescent="0.3">
      <c r="B451" s="33" t="s">
        <v>1382</v>
      </c>
      <c r="C451" s="32" t="s">
        <v>1383</v>
      </c>
      <c r="D451" s="32" t="s">
        <v>1384</v>
      </c>
    </row>
    <row r="452" spans="2:4" x14ac:dyDescent="0.3">
      <c r="B452" s="33" t="s">
        <v>1385</v>
      </c>
      <c r="C452" s="32" t="s">
        <v>1386</v>
      </c>
      <c r="D452" s="32" t="s">
        <v>1387</v>
      </c>
    </row>
    <row r="453" spans="2:4" x14ac:dyDescent="0.3">
      <c r="B453" s="33" t="s">
        <v>1388</v>
      </c>
      <c r="C453" s="32" t="s">
        <v>1389</v>
      </c>
      <c r="D453" s="32" t="s">
        <v>1390</v>
      </c>
    </row>
    <row r="454" spans="2:4" x14ac:dyDescent="0.3">
      <c r="B454" s="33" t="s">
        <v>1391</v>
      </c>
      <c r="C454" s="32" t="s">
        <v>1392</v>
      </c>
      <c r="D454" s="32" t="s">
        <v>1393</v>
      </c>
    </row>
    <row r="455" spans="2:4" x14ac:dyDescent="0.3">
      <c r="B455" s="33" t="s">
        <v>1394</v>
      </c>
      <c r="C455" s="32" t="s">
        <v>1395</v>
      </c>
      <c r="D455" s="32" t="s">
        <v>1394</v>
      </c>
    </row>
    <row r="456" spans="2:4" x14ac:dyDescent="0.3">
      <c r="B456" s="33" t="s">
        <v>1396</v>
      </c>
      <c r="C456" s="32" t="s">
        <v>1397</v>
      </c>
      <c r="D456" s="32" t="s">
        <v>1397</v>
      </c>
    </row>
    <row r="457" spans="2:4" x14ac:dyDescent="0.3">
      <c r="B457" s="33" t="s">
        <v>1398</v>
      </c>
      <c r="C457" s="32" t="s">
        <v>1399</v>
      </c>
      <c r="D457" s="32" t="s">
        <v>1400</v>
      </c>
    </row>
    <row r="458" spans="2:4" x14ac:dyDescent="0.3">
      <c r="B458" s="33" t="s">
        <v>1401</v>
      </c>
      <c r="C458" s="32" t="s">
        <v>1402</v>
      </c>
      <c r="D458" s="32" t="s">
        <v>1403</v>
      </c>
    </row>
    <row r="459" spans="2:4" x14ac:dyDescent="0.3">
      <c r="B459" s="33" t="s">
        <v>1404</v>
      </c>
      <c r="C459" s="32" t="s">
        <v>1405</v>
      </c>
      <c r="D459" s="32" t="s">
        <v>1406</v>
      </c>
    </row>
    <row r="460" spans="2:4" x14ac:dyDescent="0.3">
      <c r="B460" s="33" t="s">
        <v>1407</v>
      </c>
      <c r="C460" s="32" t="s">
        <v>1408</v>
      </c>
      <c r="D460" s="32" t="s">
        <v>1409</v>
      </c>
    </row>
    <row r="461" spans="2:4" x14ac:dyDescent="0.3">
      <c r="B461" s="33" t="s">
        <v>1410</v>
      </c>
      <c r="C461" s="32" t="s">
        <v>1411</v>
      </c>
      <c r="D461" s="32" t="s">
        <v>37097</v>
      </c>
    </row>
    <row r="462" spans="2:4" x14ac:dyDescent="0.3">
      <c r="B462" s="33" t="s">
        <v>1412</v>
      </c>
      <c r="C462" s="32" t="s">
        <v>1413</v>
      </c>
      <c r="D462" s="32" t="s">
        <v>1414</v>
      </c>
    </row>
    <row r="463" spans="2:4" x14ac:dyDescent="0.3">
      <c r="B463" s="33" t="s">
        <v>1415</v>
      </c>
      <c r="C463" s="32" t="s">
        <v>1416</v>
      </c>
      <c r="D463" s="32" t="s">
        <v>1417</v>
      </c>
    </row>
    <row r="464" spans="2:4" x14ac:dyDescent="0.3">
      <c r="B464" s="33" t="s">
        <v>1418</v>
      </c>
      <c r="C464" s="32" t="s">
        <v>1419</v>
      </c>
      <c r="D464" s="32" t="s">
        <v>1420</v>
      </c>
    </row>
    <row r="465" spans="2:4" x14ac:dyDescent="0.3">
      <c r="B465" s="33" t="s">
        <v>1421</v>
      </c>
      <c r="C465" s="32" t="s">
        <v>1422</v>
      </c>
      <c r="D465" s="32" t="s">
        <v>1423</v>
      </c>
    </row>
    <row r="466" spans="2:4" x14ac:dyDescent="0.3">
      <c r="B466" s="33" t="s">
        <v>1424</v>
      </c>
      <c r="C466" s="32" t="s">
        <v>1425</v>
      </c>
      <c r="D466" s="32" t="s">
        <v>1426</v>
      </c>
    </row>
    <row r="467" spans="2:4" x14ac:dyDescent="0.3">
      <c r="B467" s="33" t="s">
        <v>1427</v>
      </c>
      <c r="C467" s="32" t="s">
        <v>1428</v>
      </c>
      <c r="D467" s="32" t="s">
        <v>37098</v>
      </c>
    </row>
    <row r="468" spans="2:4" x14ac:dyDescent="0.3">
      <c r="B468" s="33" t="s">
        <v>1429</v>
      </c>
      <c r="C468" s="32" t="s">
        <v>1430</v>
      </c>
      <c r="D468" s="32" t="s">
        <v>1431</v>
      </c>
    </row>
    <row r="469" spans="2:4" x14ac:dyDescent="0.3">
      <c r="B469" s="33" t="s">
        <v>1432</v>
      </c>
      <c r="C469" s="32" t="s">
        <v>1433</v>
      </c>
      <c r="D469" s="32" t="s">
        <v>1434</v>
      </c>
    </row>
    <row r="470" spans="2:4" x14ac:dyDescent="0.3">
      <c r="B470" s="33" t="s">
        <v>1435</v>
      </c>
      <c r="C470" s="32" t="s">
        <v>1436</v>
      </c>
      <c r="D470" s="32" t="s">
        <v>1437</v>
      </c>
    </row>
    <row r="471" spans="2:4" x14ac:dyDescent="0.3">
      <c r="B471" s="33" t="s">
        <v>1438</v>
      </c>
      <c r="C471" s="32" t="s">
        <v>1439</v>
      </c>
      <c r="D471" s="32" t="s">
        <v>1440</v>
      </c>
    </row>
    <row r="472" spans="2:4" x14ac:dyDescent="0.3">
      <c r="B472" s="33" t="s">
        <v>1441</v>
      </c>
      <c r="C472" s="32" t="s">
        <v>1442</v>
      </c>
      <c r="D472" s="32" t="s">
        <v>1443</v>
      </c>
    </row>
    <row r="473" spans="2:4" x14ac:dyDescent="0.3">
      <c r="B473" s="33" t="s">
        <v>1444</v>
      </c>
      <c r="C473" s="32" t="s">
        <v>1445</v>
      </c>
      <c r="D473" s="32" t="s">
        <v>36688</v>
      </c>
    </row>
    <row r="474" spans="2:4" x14ac:dyDescent="0.3">
      <c r="B474" s="33" t="s">
        <v>1446</v>
      </c>
      <c r="C474" s="32" t="s">
        <v>1447</v>
      </c>
      <c r="D474" s="32" t="s">
        <v>1448</v>
      </c>
    </row>
    <row r="475" spans="2:4" x14ac:dyDescent="0.3">
      <c r="B475" s="33" t="s">
        <v>1449</v>
      </c>
      <c r="C475" s="32" t="s">
        <v>1450</v>
      </c>
      <c r="D475" s="32" t="s">
        <v>1451</v>
      </c>
    </row>
    <row r="476" spans="2:4" x14ac:dyDescent="0.3">
      <c r="B476" s="33" t="s">
        <v>1452</v>
      </c>
      <c r="C476" s="32" t="s">
        <v>1453</v>
      </c>
      <c r="D476" s="32" t="s">
        <v>1454</v>
      </c>
    </row>
    <row r="477" spans="2:4" x14ac:dyDescent="0.3">
      <c r="B477" s="33" t="s">
        <v>1455</v>
      </c>
      <c r="C477" s="32" t="s">
        <v>1456</v>
      </c>
      <c r="D477" s="32" t="s">
        <v>1456</v>
      </c>
    </row>
    <row r="478" spans="2:4" x14ac:dyDescent="0.3">
      <c r="B478" s="33" t="s">
        <v>1457</v>
      </c>
      <c r="C478" s="32" t="s">
        <v>1458</v>
      </c>
      <c r="D478" s="32" t="s">
        <v>1459</v>
      </c>
    </row>
    <row r="479" spans="2:4" x14ac:dyDescent="0.3">
      <c r="B479" s="33" t="s">
        <v>1460</v>
      </c>
      <c r="C479" s="32" t="s">
        <v>1461</v>
      </c>
      <c r="D479" s="32" t="s">
        <v>1462</v>
      </c>
    </row>
    <row r="480" spans="2:4" x14ac:dyDescent="0.3">
      <c r="B480" s="33" t="s">
        <v>1463</v>
      </c>
      <c r="C480" s="32" t="s">
        <v>1464</v>
      </c>
      <c r="D480" s="32" t="s">
        <v>1465</v>
      </c>
    </row>
    <row r="481" spans="2:4" x14ac:dyDescent="0.3">
      <c r="B481" s="33" t="s">
        <v>1466</v>
      </c>
      <c r="C481" s="32" t="s">
        <v>1467</v>
      </c>
      <c r="D481" s="32" t="s">
        <v>1468</v>
      </c>
    </row>
    <row r="482" spans="2:4" x14ac:dyDescent="0.3">
      <c r="B482" s="33" t="s">
        <v>1469</v>
      </c>
      <c r="C482" s="32" t="s">
        <v>1470</v>
      </c>
      <c r="D482" s="32" t="s">
        <v>1471</v>
      </c>
    </row>
    <row r="483" spans="2:4" x14ac:dyDescent="0.3">
      <c r="B483" s="33" t="s">
        <v>1472</v>
      </c>
      <c r="C483" s="32" t="s">
        <v>1473</v>
      </c>
      <c r="D483" s="32" t="s">
        <v>1474</v>
      </c>
    </row>
    <row r="484" spans="2:4" x14ac:dyDescent="0.3">
      <c r="B484" s="33" t="s">
        <v>1475</v>
      </c>
      <c r="C484" s="32" t="s">
        <v>1476</v>
      </c>
      <c r="D484" s="32" t="s">
        <v>1477</v>
      </c>
    </row>
    <row r="485" spans="2:4" x14ac:dyDescent="0.3">
      <c r="B485" s="33" t="s">
        <v>1478</v>
      </c>
      <c r="C485" s="32" t="s">
        <v>1479</v>
      </c>
      <c r="D485" s="32" t="s">
        <v>1480</v>
      </c>
    </row>
    <row r="486" spans="2:4" x14ac:dyDescent="0.3">
      <c r="B486" s="33" t="s">
        <v>1481</v>
      </c>
      <c r="C486" s="32" t="s">
        <v>1482</v>
      </c>
      <c r="D486" s="32" t="s">
        <v>1483</v>
      </c>
    </row>
    <row r="487" spans="2:4" x14ac:dyDescent="0.3">
      <c r="B487" s="33" t="s">
        <v>1484</v>
      </c>
      <c r="C487" s="32" t="s">
        <v>1485</v>
      </c>
      <c r="D487" s="32" t="s">
        <v>1486</v>
      </c>
    </row>
    <row r="488" spans="2:4" x14ac:dyDescent="0.3">
      <c r="B488" s="33" t="s">
        <v>1487</v>
      </c>
      <c r="C488" s="32" t="s">
        <v>1488</v>
      </c>
      <c r="D488" s="32" t="s">
        <v>1489</v>
      </c>
    </row>
    <row r="489" spans="2:4" x14ac:dyDescent="0.3">
      <c r="B489" s="33" t="s">
        <v>1490</v>
      </c>
      <c r="C489" s="32" t="s">
        <v>1491</v>
      </c>
      <c r="D489" s="32" t="s">
        <v>1492</v>
      </c>
    </row>
    <row r="490" spans="2:4" x14ac:dyDescent="0.3">
      <c r="B490" s="33" t="s">
        <v>1493</v>
      </c>
      <c r="C490" s="32" t="s">
        <v>1494</v>
      </c>
      <c r="D490" s="32" t="s">
        <v>1495</v>
      </c>
    </row>
    <row r="491" spans="2:4" x14ac:dyDescent="0.3">
      <c r="B491" s="33" t="s">
        <v>1496</v>
      </c>
      <c r="C491" s="32" t="s">
        <v>1497</v>
      </c>
      <c r="D491" s="32" t="s">
        <v>1498</v>
      </c>
    </row>
    <row r="492" spans="2:4" x14ac:dyDescent="0.3">
      <c r="B492" s="33" t="s">
        <v>1103</v>
      </c>
      <c r="C492" s="32" t="s">
        <v>1499</v>
      </c>
      <c r="D492" s="32" t="s">
        <v>1500</v>
      </c>
    </row>
    <row r="493" spans="2:4" x14ac:dyDescent="0.3">
      <c r="B493" s="33" t="s">
        <v>1501</v>
      </c>
      <c r="C493" s="32" t="s">
        <v>1502</v>
      </c>
      <c r="D493" s="32" t="s">
        <v>1503</v>
      </c>
    </row>
    <row r="494" spans="2:4" x14ac:dyDescent="0.3">
      <c r="B494" s="33" t="s">
        <v>1504</v>
      </c>
      <c r="C494" s="32" t="s">
        <v>1505</v>
      </c>
      <c r="D494" s="32" t="s">
        <v>1504</v>
      </c>
    </row>
    <row r="495" spans="2:4" x14ac:dyDescent="0.3">
      <c r="B495" s="33" t="s">
        <v>1506</v>
      </c>
      <c r="C495" s="32" t="s">
        <v>1507</v>
      </c>
      <c r="D495" s="32" t="s">
        <v>1508</v>
      </c>
    </row>
    <row r="496" spans="2:4" x14ac:dyDescent="0.3">
      <c r="B496" s="33" t="s">
        <v>1509</v>
      </c>
      <c r="C496" s="32" t="s">
        <v>1510</v>
      </c>
      <c r="D496" s="32" t="s">
        <v>1511</v>
      </c>
    </row>
    <row r="497" spans="2:4" x14ac:dyDescent="0.3">
      <c r="B497" s="33" t="s">
        <v>1512</v>
      </c>
      <c r="C497" s="32" t="s">
        <v>1513</v>
      </c>
      <c r="D497" s="32" t="s">
        <v>1514</v>
      </c>
    </row>
    <row r="498" spans="2:4" x14ac:dyDescent="0.3">
      <c r="B498" s="33" t="s">
        <v>1515</v>
      </c>
      <c r="C498" s="32" t="s">
        <v>1516</v>
      </c>
      <c r="D498" s="32" t="s">
        <v>1517</v>
      </c>
    </row>
    <row r="499" spans="2:4" x14ac:dyDescent="0.3">
      <c r="B499" s="33" t="s">
        <v>1518</v>
      </c>
      <c r="C499" s="32" t="s">
        <v>1519</v>
      </c>
      <c r="D499" s="32" t="s">
        <v>1520</v>
      </c>
    </row>
    <row r="500" spans="2:4" x14ac:dyDescent="0.3">
      <c r="B500" s="33" t="s">
        <v>1521</v>
      </c>
      <c r="C500" s="32" t="s">
        <v>1522</v>
      </c>
      <c r="D500" s="32" t="s">
        <v>1523</v>
      </c>
    </row>
    <row r="501" spans="2:4" x14ac:dyDescent="0.3">
      <c r="B501" s="33" t="s">
        <v>16300</v>
      </c>
      <c r="C501" s="32" t="s">
        <v>36972</v>
      </c>
      <c r="D501" s="32" t="s">
        <v>36973</v>
      </c>
    </row>
    <row r="502" spans="2:4" x14ac:dyDescent="0.3">
      <c r="B502" s="33" t="s">
        <v>1524</v>
      </c>
      <c r="C502" s="32" t="s">
        <v>1525</v>
      </c>
      <c r="D502" s="32" t="s">
        <v>1526</v>
      </c>
    </row>
    <row r="503" spans="2:4" x14ac:dyDescent="0.3">
      <c r="B503" s="33" t="s">
        <v>1527</v>
      </c>
      <c r="C503" s="32" t="s">
        <v>1528</v>
      </c>
      <c r="D503" s="32" t="s">
        <v>1529</v>
      </c>
    </row>
    <row r="504" spans="2:4" x14ac:dyDescent="0.3">
      <c r="B504" s="33" t="s">
        <v>1530</v>
      </c>
      <c r="C504" s="32" t="s">
        <v>1531</v>
      </c>
      <c r="D504" s="32" t="s">
        <v>1532</v>
      </c>
    </row>
    <row r="505" spans="2:4" x14ac:dyDescent="0.3">
      <c r="B505" s="33" t="s">
        <v>1533</v>
      </c>
      <c r="C505" s="32" t="s">
        <v>1534</v>
      </c>
      <c r="D505" s="32" t="s">
        <v>1535</v>
      </c>
    </row>
    <row r="506" spans="2:4" x14ac:dyDescent="0.3">
      <c r="B506" s="33" t="s">
        <v>1530</v>
      </c>
      <c r="C506" s="32" t="s">
        <v>1536</v>
      </c>
      <c r="D506" s="32" t="s">
        <v>1537</v>
      </c>
    </row>
    <row r="507" spans="2:4" x14ac:dyDescent="0.3">
      <c r="B507" s="33" t="s">
        <v>1538</v>
      </c>
      <c r="C507" s="32" t="s">
        <v>1539</v>
      </c>
      <c r="D507" s="32" t="s">
        <v>1540</v>
      </c>
    </row>
    <row r="508" spans="2:4" x14ac:dyDescent="0.3">
      <c r="B508" s="33" t="s">
        <v>1541</v>
      </c>
      <c r="C508" s="32" t="s">
        <v>1542</v>
      </c>
      <c r="D508" s="32" t="s">
        <v>1543</v>
      </c>
    </row>
    <row r="509" spans="2:4" x14ac:dyDescent="0.3">
      <c r="B509" s="33" t="s">
        <v>1544</v>
      </c>
      <c r="C509" s="32" t="s">
        <v>1545</v>
      </c>
      <c r="D509" s="32" t="s">
        <v>1546</v>
      </c>
    </row>
    <row r="510" spans="2:4" x14ac:dyDescent="0.3">
      <c r="B510" s="33" t="s">
        <v>1547</v>
      </c>
      <c r="C510" s="32" t="s">
        <v>1548</v>
      </c>
      <c r="D510" s="32" t="s">
        <v>1549</v>
      </c>
    </row>
    <row r="511" spans="2:4" x14ac:dyDescent="0.3">
      <c r="B511" s="33" t="s">
        <v>1550</v>
      </c>
      <c r="C511" s="32" t="s">
        <v>1551</v>
      </c>
      <c r="D511" s="32" t="s">
        <v>1552</v>
      </c>
    </row>
    <row r="512" spans="2:4" x14ac:dyDescent="0.3">
      <c r="B512" s="33" t="s">
        <v>1553</v>
      </c>
      <c r="C512" s="32" t="s">
        <v>1554</v>
      </c>
      <c r="D512" s="32" t="s">
        <v>1553</v>
      </c>
    </row>
    <row r="513" spans="2:4" x14ac:dyDescent="0.3">
      <c r="B513" s="33" t="s">
        <v>1555</v>
      </c>
      <c r="C513" s="32" t="s">
        <v>1556</v>
      </c>
      <c r="D513" s="32" t="s">
        <v>1557</v>
      </c>
    </row>
    <row r="514" spans="2:4" x14ac:dyDescent="0.3">
      <c r="B514" s="33" t="s">
        <v>1558</v>
      </c>
      <c r="C514" s="32" t="s">
        <v>1559</v>
      </c>
      <c r="D514" s="32" t="s">
        <v>1560</v>
      </c>
    </row>
    <row r="515" spans="2:4" x14ac:dyDescent="0.3">
      <c r="B515" s="33" t="s">
        <v>1561</v>
      </c>
      <c r="C515" s="32" t="s">
        <v>1562</v>
      </c>
      <c r="D515" s="32" t="s">
        <v>1563</v>
      </c>
    </row>
    <row r="516" spans="2:4" x14ac:dyDescent="0.3">
      <c r="B516" s="33" t="s">
        <v>1564</v>
      </c>
      <c r="C516" s="32" t="s">
        <v>1565</v>
      </c>
      <c r="D516" s="32" t="s">
        <v>1566</v>
      </c>
    </row>
    <row r="517" spans="2:4" x14ac:dyDescent="0.3">
      <c r="B517" s="33" t="s">
        <v>1567</v>
      </c>
      <c r="C517" s="32" t="s">
        <v>1568</v>
      </c>
      <c r="D517" s="32" t="s">
        <v>1569</v>
      </c>
    </row>
    <row r="518" spans="2:4" x14ac:dyDescent="0.3">
      <c r="B518" s="33" t="s">
        <v>1570</v>
      </c>
      <c r="C518" s="32" t="s">
        <v>1571</v>
      </c>
      <c r="D518" s="32" t="s">
        <v>1572</v>
      </c>
    </row>
    <row r="519" spans="2:4" x14ac:dyDescent="0.3">
      <c r="B519" s="33" t="s">
        <v>1573</v>
      </c>
      <c r="C519" s="32" t="s">
        <v>1574</v>
      </c>
      <c r="D519" s="32" t="s">
        <v>1575</v>
      </c>
    </row>
    <row r="520" spans="2:4" x14ac:dyDescent="0.3">
      <c r="B520" s="33" t="s">
        <v>1576</v>
      </c>
      <c r="C520" s="32" t="s">
        <v>1577</v>
      </c>
      <c r="D520" s="32" t="s">
        <v>1578</v>
      </c>
    </row>
    <row r="521" spans="2:4" x14ac:dyDescent="0.3">
      <c r="B521" s="33" t="s">
        <v>1576</v>
      </c>
      <c r="C521" s="32" t="s">
        <v>1579</v>
      </c>
      <c r="D521" s="32" t="s">
        <v>1580</v>
      </c>
    </row>
    <row r="522" spans="2:4" x14ac:dyDescent="0.3">
      <c r="B522" s="33" t="s">
        <v>1581</v>
      </c>
      <c r="C522" s="32" t="s">
        <v>1582</v>
      </c>
      <c r="D522" s="32" t="s">
        <v>1583</v>
      </c>
    </row>
    <row r="523" spans="2:4" x14ac:dyDescent="0.3">
      <c r="B523" s="33" t="s">
        <v>1584</v>
      </c>
      <c r="C523" s="32" t="s">
        <v>1585</v>
      </c>
      <c r="D523" s="32" t="s">
        <v>1586</v>
      </c>
    </row>
    <row r="524" spans="2:4" x14ac:dyDescent="0.3">
      <c r="B524" s="33" t="s">
        <v>1584</v>
      </c>
      <c r="C524" s="32" t="s">
        <v>1587</v>
      </c>
      <c r="D524" s="32" t="s">
        <v>1588</v>
      </c>
    </row>
    <row r="525" spans="2:4" x14ac:dyDescent="0.3">
      <c r="B525" s="33" t="s">
        <v>1589</v>
      </c>
      <c r="C525" s="32" t="s">
        <v>1590</v>
      </c>
      <c r="D525" s="32" t="s">
        <v>1591</v>
      </c>
    </row>
    <row r="526" spans="2:4" x14ac:dyDescent="0.3">
      <c r="B526" s="33" t="s">
        <v>1592</v>
      </c>
      <c r="C526" s="32" t="s">
        <v>1593</v>
      </c>
      <c r="D526" s="32" t="s">
        <v>1594</v>
      </c>
    </row>
    <row r="527" spans="2:4" x14ac:dyDescent="0.3">
      <c r="B527" s="33" t="s">
        <v>1595</v>
      </c>
      <c r="C527" s="32" t="s">
        <v>1596</v>
      </c>
      <c r="D527" s="32" t="s">
        <v>1597</v>
      </c>
    </row>
    <row r="528" spans="2:4" x14ac:dyDescent="0.3">
      <c r="B528" s="33" t="s">
        <v>1598</v>
      </c>
      <c r="C528" s="32" t="s">
        <v>1599</v>
      </c>
      <c r="D528" s="32" t="s">
        <v>1600</v>
      </c>
    </row>
    <row r="529" spans="2:4" x14ac:dyDescent="0.3">
      <c r="B529" s="33" t="s">
        <v>1601</v>
      </c>
      <c r="C529" s="32" t="s">
        <v>1602</v>
      </c>
      <c r="D529" s="32" t="s">
        <v>1603</v>
      </c>
    </row>
    <row r="530" spans="2:4" x14ac:dyDescent="0.3">
      <c r="B530" s="33" t="s">
        <v>1604</v>
      </c>
      <c r="C530" s="32" t="s">
        <v>1605</v>
      </c>
      <c r="D530" s="32" t="s">
        <v>1606</v>
      </c>
    </row>
    <row r="531" spans="2:4" x14ac:dyDescent="0.3">
      <c r="B531" s="33" t="s">
        <v>1607</v>
      </c>
      <c r="C531" s="32" t="s">
        <v>1608</v>
      </c>
      <c r="D531" s="32" t="s">
        <v>1607</v>
      </c>
    </row>
    <row r="532" spans="2:4" x14ac:dyDescent="0.3">
      <c r="B532" s="33" t="s">
        <v>1609</v>
      </c>
      <c r="C532" s="32" t="s">
        <v>1610</v>
      </c>
      <c r="D532" s="32" t="s">
        <v>1611</v>
      </c>
    </row>
    <row r="533" spans="2:4" x14ac:dyDescent="0.3">
      <c r="B533" s="33" t="s">
        <v>1612</v>
      </c>
      <c r="C533" s="32" t="s">
        <v>1613</v>
      </c>
      <c r="D533" s="32" t="s">
        <v>1614</v>
      </c>
    </row>
    <row r="534" spans="2:4" x14ac:dyDescent="0.3">
      <c r="B534" s="33" t="s">
        <v>1612</v>
      </c>
      <c r="C534" s="32" t="s">
        <v>1615</v>
      </c>
      <c r="D534" s="32" t="s">
        <v>1616</v>
      </c>
    </row>
    <row r="535" spans="2:4" x14ac:dyDescent="0.3">
      <c r="B535" s="33" t="s">
        <v>1617</v>
      </c>
      <c r="C535" s="32" t="s">
        <v>1618</v>
      </c>
      <c r="D535" s="32" t="s">
        <v>1619</v>
      </c>
    </row>
    <row r="536" spans="2:4" x14ac:dyDescent="0.3">
      <c r="B536" s="33" t="s">
        <v>1620</v>
      </c>
      <c r="C536" s="32" t="s">
        <v>1621</v>
      </c>
      <c r="D536" s="32" t="s">
        <v>1622</v>
      </c>
    </row>
    <row r="537" spans="2:4" x14ac:dyDescent="0.3">
      <c r="B537" s="33" t="s">
        <v>1623</v>
      </c>
      <c r="C537" s="32" t="s">
        <v>1624</v>
      </c>
      <c r="D537" s="32" t="s">
        <v>1625</v>
      </c>
    </row>
    <row r="538" spans="2:4" x14ac:dyDescent="0.3">
      <c r="B538" s="33" t="s">
        <v>1626</v>
      </c>
      <c r="C538" s="32" t="s">
        <v>1627</v>
      </c>
      <c r="D538" s="32" t="s">
        <v>1628</v>
      </c>
    </row>
    <row r="539" spans="2:4" x14ac:dyDescent="0.3">
      <c r="B539" s="33" t="s">
        <v>1629</v>
      </c>
      <c r="C539" s="32" t="s">
        <v>1630</v>
      </c>
      <c r="D539" s="32" t="s">
        <v>1631</v>
      </c>
    </row>
    <row r="540" spans="2:4" x14ac:dyDescent="0.3">
      <c r="B540" s="33" t="s">
        <v>1632</v>
      </c>
      <c r="C540" s="32" t="s">
        <v>1633</v>
      </c>
      <c r="D540" s="32" t="s">
        <v>1634</v>
      </c>
    </row>
    <row r="541" spans="2:4" x14ac:dyDescent="0.3">
      <c r="B541" s="33" t="s">
        <v>1635</v>
      </c>
      <c r="C541" s="32" t="s">
        <v>1636</v>
      </c>
      <c r="D541" s="32" t="s">
        <v>36790</v>
      </c>
    </row>
    <row r="542" spans="2:4" x14ac:dyDescent="0.3">
      <c r="B542" s="33" t="s">
        <v>1637</v>
      </c>
      <c r="C542" s="32" t="s">
        <v>1638</v>
      </c>
      <c r="D542" s="32" t="s">
        <v>1639</v>
      </c>
    </row>
    <row r="543" spans="2:4" x14ac:dyDescent="0.3">
      <c r="B543" s="33" t="s">
        <v>1640</v>
      </c>
      <c r="C543" s="32" t="s">
        <v>1641</v>
      </c>
      <c r="D543" s="32" t="s">
        <v>1642</v>
      </c>
    </row>
    <row r="544" spans="2:4" x14ac:dyDescent="0.3">
      <c r="B544" s="33" t="s">
        <v>1643</v>
      </c>
      <c r="C544" s="32" t="s">
        <v>1644</v>
      </c>
      <c r="D544" s="32" t="s">
        <v>1645</v>
      </c>
    </row>
    <row r="545" spans="2:4" x14ac:dyDescent="0.3">
      <c r="B545" s="33" t="s">
        <v>1646</v>
      </c>
      <c r="C545" s="32" t="s">
        <v>1647</v>
      </c>
      <c r="D545" s="32" t="s">
        <v>1648</v>
      </c>
    </row>
    <row r="546" spans="2:4" x14ac:dyDescent="0.3">
      <c r="B546" s="33" t="s">
        <v>1649</v>
      </c>
      <c r="C546" s="32" t="s">
        <v>1650</v>
      </c>
      <c r="D546" s="32" t="s">
        <v>1651</v>
      </c>
    </row>
    <row r="547" spans="2:4" x14ac:dyDescent="0.3">
      <c r="B547" s="33" t="s">
        <v>1649</v>
      </c>
      <c r="C547" s="32" t="s">
        <v>1652</v>
      </c>
      <c r="D547" s="32" t="s">
        <v>1653</v>
      </c>
    </row>
    <row r="548" spans="2:4" x14ac:dyDescent="0.3">
      <c r="B548" s="33" t="s">
        <v>1654</v>
      </c>
      <c r="C548" s="32" t="s">
        <v>1655</v>
      </c>
      <c r="D548" s="32" t="s">
        <v>1656</v>
      </c>
    </row>
    <row r="549" spans="2:4" x14ac:dyDescent="0.3">
      <c r="B549" s="33" t="s">
        <v>1657</v>
      </c>
      <c r="C549" s="32" t="s">
        <v>1658</v>
      </c>
      <c r="D549" s="32" t="s">
        <v>1659</v>
      </c>
    </row>
    <row r="550" spans="2:4" x14ac:dyDescent="0.3">
      <c r="B550" s="33" t="s">
        <v>1660</v>
      </c>
      <c r="C550" s="32" t="s">
        <v>1661</v>
      </c>
      <c r="D550" s="32" t="s">
        <v>37099</v>
      </c>
    </row>
    <row r="551" spans="2:4" x14ac:dyDescent="0.3">
      <c r="B551" s="33" t="s">
        <v>1662</v>
      </c>
      <c r="C551" s="32" t="s">
        <v>1663</v>
      </c>
      <c r="D551" s="32" t="s">
        <v>1664</v>
      </c>
    </row>
    <row r="552" spans="2:4" x14ac:dyDescent="0.3">
      <c r="B552" s="33" t="s">
        <v>1665</v>
      </c>
      <c r="C552" s="32" t="s">
        <v>1666</v>
      </c>
      <c r="D552" s="32" t="s">
        <v>1667</v>
      </c>
    </row>
    <row r="553" spans="2:4" x14ac:dyDescent="0.3">
      <c r="B553" s="33" t="s">
        <v>1668</v>
      </c>
      <c r="C553" s="32" t="s">
        <v>1669</v>
      </c>
      <c r="D553" s="32" t="s">
        <v>1670</v>
      </c>
    </row>
    <row r="554" spans="2:4" x14ac:dyDescent="0.3">
      <c r="B554" s="33" t="s">
        <v>1671</v>
      </c>
      <c r="C554" s="32" t="s">
        <v>1672</v>
      </c>
      <c r="D554" s="32" t="s">
        <v>1673</v>
      </c>
    </row>
    <row r="555" spans="2:4" x14ac:dyDescent="0.3">
      <c r="B555" s="33" t="s">
        <v>1674</v>
      </c>
      <c r="C555" s="32" t="s">
        <v>1675</v>
      </c>
      <c r="D555" s="32" t="s">
        <v>1676</v>
      </c>
    </row>
    <row r="556" spans="2:4" x14ac:dyDescent="0.3">
      <c r="B556" s="33" t="s">
        <v>1677</v>
      </c>
      <c r="C556" s="32" t="s">
        <v>1678</v>
      </c>
      <c r="D556" s="32" t="s">
        <v>1679</v>
      </c>
    </row>
    <row r="557" spans="2:4" x14ac:dyDescent="0.3">
      <c r="B557" s="33" t="s">
        <v>1680</v>
      </c>
      <c r="C557" s="32" t="s">
        <v>1681</v>
      </c>
      <c r="D557" s="32" t="s">
        <v>1682</v>
      </c>
    </row>
    <row r="558" spans="2:4" x14ac:dyDescent="0.3">
      <c r="B558" s="33" t="s">
        <v>1683</v>
      </c>
      <c r="C558" s="32" t="s">
        <v>1684</v>
      </c>
      <c r="D558" s="32" t="s">
        <v>1685</v>
      </c>
    </row>
    <row r="559" spans="2:4" x14ac:dyDescent="0.3">
      <c r="B559" s="33" t="s">
        <v>1686</v>
      </c>
      <c r="C559" s="32" t="s">
        <v>1687</v>
      </c>
      <c r="D559" s="32" t="s">
        <v>1688</v>
      </c>
    </row>
    <row r="560" spans="2:4" x14ac:dyDescent="0.3">
      <c r="B560" s="33" t="s">
        <v>1683</v>
      </c>
      <c r="C560" s="32" t="s">
        <v>1689</v>
      </c>
      <c r="D560" s="32" t="s">
        <v>1690</v>
      </c>
    </row>
    <row r="561" spans="2:4" x14ac:dyDescent="0.3">
      <c r="B561" s="33" t="s">
        <v>1691</v>
      </c>
      <c r="C561" s="32" t="s">
        <v>1692</v>
      </c>
      <c r="D561" s="32" t="s">
        <v>1693</v>
      </c>
    </row>
    <row r="562" spans="2:4" x14ac:dyDescent="0.3">
      <c r="B562" s="33" t="s">
        <v>1694</v>
      </c>
      <c r="C562" s="32" t="s">
        <v>1695</v>
      </c>
      <c r="D562" s="32" t="s">
        <v>1696</v>
      </c>
    </row>
    <row r="563" spans="2:4" x14ac:dyDescent="0.3">
      <c r="B563" s="33" t="s">
        <v>1697</v>
      </c>
      <c r="C563" s="32" t="s">
        <v>1698</v>
      </c>
      <c r="D563" s="32" t="s">
        <v>1699</v>
      </c>
    </row>
    <row r="564" spans="2:4" x14ac:dyDescent="0.3">
      <c r="B564" s="33" t="s">
        <v>1700</v>
      </c>
      <c r="C564" s="32" t="s">
        <v>1701</v>
      </c>
      <c r="D564" s="32" t="s">
        <v>1702</v>
      </c>
    </row>
    <row r="565" spans="2:4" x14ac:dyDescent="0.3">
      <c r="B565" s="33" t="s">
        <v>1703</v>
      </c>
      <c r="C565" s="32" t="s">
        <v>1704</v>
      </c>
      <c r="D565" s="32" t="s">
        <v>1705</v>
      </c>
    </row>
    <row r="566" spans="2:4" x14ac:dyDescent="0.3">
      <c r="B566" s="33" t="s">
        <v>1706</v>
      </c>
      <c r="C566" s="32" t="s">
        <v>1707</v>
      </c>
      <c r="D566" s="32" t="s">
        <v>1708</v>
      </c>
    </row>
    <row r="567" spans="2:4" x14ac:dyDescent="0.3">
      <c r="B567" s="33" t="s">
        <v>1255</v>
      </c>
      <c r="C567" s="32" t="s">
        <v>1709</v>
      </c>
      <c r="D567" s="32" t="s">
        <v>1710</v>
      </c>
    </row>
    <row r="568" spans="2:4" x14ac:dyDescent="0.3">
      <c r="B568" s="33" t="s">
        <v>1711</v>
      </c>
      <c r="C568" s="32" t="s">
        <v>1712</v>
      </c>
      <c r="D568" s="32" t="s">
        <v>1713</v>
      </c>
    </row>
    <row r="569" spans="2:4" x14ac:dyDescent="0.3">
      <c r="B569" s="33" t="s">
        <v>1714</v>
      </c>
      <c r="C569" s="32" t="s">
        <v>1715</v>
      </c>
      <c r="D569" s="32" t="s">
        <v>1714</v>
      </c>
    </row>
    <row r="570" spans="2:4" x14ac:dyDescent="0.3">
      <c r="B570" s="33" t="s">
        <v>1716</v>
      </c>
      <c r="C570" s="32" t="s">
        <v>1717</v>
      </c>
      <c r="D570" s="32" t="s">
        <v>1718</v>
      </c>
    </row>
    <row r="571" spans="2:4" x14ac:dyDescent="0.3">
      <c r="B571" s="33" t="s">
        <v>1719</v>
      </c>
      <c r="C571" s="32" t="s">
        <v>1720</v>
      </c>
      <c r="D571" s="32" t="s">
        <v>1721</v>
      </c>
    </row>
    <row r="572" spans="2:4" x14ac:dyDescent="0.3">
      <c r="B572" s="33" t="s">
        <v>1722</v>
      </c>
      <c r="C572" s="32" t="s">
        <v>1723</v>
      </c>
      <c r="D572" s="32" t="s">
        <v>1724</v>
      </c>
    </row>
    <row r="573" spans="2:4" x14ac:dyDescent="0.3">
      <c r="B573" s="33" t="s">
        <v>1725</v>
      </c>
      <c r="C573" s="32" t="s">
        <v>1726</v>
      </c>
      <c r="D573" s="32" t="s">
        <v>1727</v>
      </c>
    </row>
    <row r="574" spans="2:4" x14ac:dyDescent="0.3">
      <c r="B574" s="33" t="s">
        <v>36791</v>
      </c>
      <c r="C574" s="32" t="s">
        <v>36792</v>
      </c>
      <c r="D574" s="32" t="s">
        <v>36793</v>
      </c>
    </row>
    <row r="575" spans="2:4" x14ac:dyDescent="0.3">
      <c r="B575" s="33" t="s">
        <v>1728</v>
      </c>
      <c r="C575" s="32" t="s">
        <v>1729</v>
      </c>
      <c r="D575" s="32" t="s">
        <v>1730</v>
      </c>
    </row>
    <row r="576" spans="2:4" x14ac:dyDescent="0.3">
      <c r="B576" s="33" t="s">
        <v>1731</v>
      </c>
      <c r="C576" s="32" t="s">
        <v>1732</v>
      </c>
      <c r="D576" s="32" t="s">
        <v>1733</v>
      </c>
    </row>
    <row r="577" spans="2:4" x14ac:dyDescent="0.3">
      <c r="B577" s="33" t="s">
        <v>1734</v>
      </c>
      <c r="C577" s="32" t="s">
        <v>1735</v>
      </c>
      <c r="D577" s="32" t="s">
        <v>1736</v>
      </c>
    </row>
    <row r="578" spans="2:4" x14ac:dyDescent="0.3">
      <c r="B578" s="33" t="s">
        <v>1737</v>
      </c>
      <c r="C578" s="32" t="s">
        <v>1738</v>
      </c>
      <c r="D578" s="32" t="s">
        <v>1739</v>
      </c>
    </row>
    <row r="579" spans="2:4" x14ac:dyDescent="0.3">
      <c r="B579" s="33" t="s">
        <v>1740</v>
      </c>
      <c r="C579" s="32" t="s">
        <v>1741</v>
      </c>
      <c r="D579" s="32" t="s">
        <v>1742</v>
      </c>
    </row>
    <row r="580" spans="2:4" x14ac:dyDescent="0.3">
      <c r="B580" s="33" t="s">
        <v>1743</v>
      </c>
      <c r="C580" s="32" t="s">
        <v>1744</v>
      </c>
      <c r="D580" s="32" t="s">
        <v>1745</v>
      </c>
    </row>
    <row r="581" spans="2:4" x14ac:dyDescent="0.3">
      <c r="B581" s="33" t="s">
        <v>1746</v>
      </c>
      <c r="C581" s="32" t="s">
        <v>1747</v>
      </c>
      <c r="D581" s="32" t="s">
        <v>1748</v>
      </c>
    </row>
    <row r="582" spans="2:4" x14ac:dyDescent="0.3">
      <c r="B582" s="33" t="s">
        <v>1743</v>
      </c>
      <c r="C582" s="32" t="s">
        <v>1749</v>
      </c>
      <c r="D582" s="32" t="s">
        <v>1750</v>
      </c>
    </row>
    <row r="583" spans="2:4" x14ac:dyDescent="0.3">
      <c r="B583" s="33" t="s">
        <v>1751</v>
      </c>
      <c r="C583" s="32" t="s">
        <v>1752</v>
      </c>
      <c r="D583" s="32" t="s">
        <v>1753</v>
      </c>
    </row>
    <row r="584" spans="2:4" x14ac:dyDescent="0.3">
      <c r="B584" s="33" t="s">
        <v>1090</v>
      </c>
      <c r="C584" s="32" t="s">
        <v>1754</v>
      </c>
      <c r="D584" s="32" t="s">
        <v>1755</v>
      </c>
    </row>
    <row r="585" spans="2:4" x14ac:dyDescent="0.3">
      <c r="B585" s="33" t="s">
        <v>1756</v>
      </c>
      <c r="C585" s="32" t="s">
        <v>1757</v>
      </c>
      <c r="D585" s="32" t="s">
        <v>1758</v>
      </c>
    </row>
    <row r="586" spans="2:4" x14ac:dyDescent="0.3">
      <c r="B586" s="33" t="s">
        <v>1759</v>
      </c>
      <c r="C586" s="32" t="s">
        <v>1760</v>
      </c>
      <c r="D586" s="32" t="s">
        <v>1761</v>
      </c>
    </row>
    <row r="587" spans="2:4" x14ac:dyDescent="0.3">
      <c r="B587" s="33" t="s">
        <v>1759</v>
      </c>
      <c r="C587" s="32" t="s">
        <v>1762</v>
      </c>
      <c r="D587" s="32" t="s">
        <v>1763</v>
      </c>
    </row>
    <row r="588" spans="2:4" x14ac:dyDescent="0.3">
      <c r="B588" s="33" t="s">
        <v>1764</v>
      </c>
      <c r="C588" s="32" t="s">
        <v>1765</v>
      </c>
      <c r="D588" s="32" t="s">
        <v>1766</v>
      </c>
    </row>
    <row r="589" spans="2:4" x14ac:dyDescent="0.3">
      <c r="B589" s="33" t="s">
        <v>1767</v>
      </c>
      <c r="C589" s="32" t="s">
        <v>1768</v>
      </c>
      <c r="D589" s="32" t="s">
        <v>1769</v>
      </c>
    </row>
    <row r="590" spans="2:4" x14ac:dyDescent="0.3">
      <c r="B590" s="33" t="s">
        <v>1770</v>
      </c>
      <c r="C590" s="32" t="s">
        <v>1771</v>
      </c>
      <c r="D590" s="32" t="s">
        <v>1772</v>
      </c>
    </row>
    <row r="591" spans="2:4" x14ac:dyDescent="0.3">
      <c r="B591" s="33" t="s">
        <v>1773</v>
      </c>
      <c r="C591" s="32" t="s">
        <v>1774</v>
      </c>
      <c r="D591" s="32" t="s">
        <v>1775</v>
      </c>
    </row>
    <row r="592" spans="2:4" x14ac:dyDescent="0.3">
      <c r="B592" s="33" t="s">
        <v>1776</v>
      </c>
      <c r="C592" s="32" t="s">
        <v>1777</v>
      </c>
      <c r="D592" s="32" t="s">
        <v>1778</v>
      </c>
    </row>
    <row r="593" spans="2:4" x14ac:dyDescent="0.3">
      <c r="B593" s="33" t="s">
        <v>1779</v>
      </c>
      <c r="C593" s="32" t="s">
        <v>1780</v>
      </c>
      <c r="D593" s="32" t="s">
        <v>1781</v>
      </c>
    </row>
    <row r="594" spans="2:4" x14ac:dyDescent="0.3">
      <c r="B594" s="33" t="s">
        <v>1782</v>
      </c>
      <c r="C594" s="32" t="s">
        <v>1783</v>
      </c>
      <c r="D594" s="32" t="s">
        <v>1784</v>
      </c>
    </row>
    <row r="595" spans="2:4" x14ac:dyDescent="0.3">
      <c r="B595" s="33" t="s">
        <v>1785</v>
      </c>
      <c r="C595" s="32" t="s">
        <v>1786</v>
      </c>
      <c r="D595" s="32" t="s">
        <v>1787</v>
      </c>
    </row>
    <row r="596" spans="2:4" x14ac:dyDescent="0.3">
      <c r="B596" s="33" t="s">
        <v>1788</v>
      </c>
      <c r="C596" s="32" t="s">
        <v>1789</v>
      </c>
      <c r="D596" s="32" t="s">
        <v>1790</v>
      </c>
    </row>
    <row r="597" spans="2:4" x14ac:dyDescent="0.3">
      <c r="B597" s="33" t="s">
        <v>1785</v>
      </c>
      <c r="C597" s="32" t="s">
        <v>1791</v>
      </c>
      <c r="D597" s="32" t="s">
        <v>1792</v>
      </c>
    </row>
    <row r="598" spans="2:4" x14ac:dyDescent="0.3">
      <c r="B598" s="33" t="s">
        <v>1793</v>
      </c>
      <c r="C598" s="32" t="s">
        <v>1794</v>
      </c>
      <c r="D598" s="32" t="s">
        <v>1795</v>
      </c>
    </row>
    <row r="599" spans="2:4" x14ac:dyDescent="0.3">
      <c r="B599" s="33" t="s">
        <v>1796</v>
      </c>
      <c r="C599" s="32" t="s">
        <v>1797</v>
      </c>
      <c r="D599" s="32" t="s">
        <v>1798</v>
      </c>
    </row>
    <row r="600" spans="2:4" x14ac:dyDescent="0.3">
      <c r="B600" s="33" t="s">
        <v>1660</v>
      </c>
      <c r="C600" s="32" t="s">
        <v>1799</v>
      </c>
      <c r="D600" s="32" t="s">
        <v>1800</v>
      </c>
    </row>
    <row r="601" spans="2:4" x14ac:dyDescent="0.3">
      <c r="B601" s="33" t="s">
        <v>1801</v>
      </c>
      <c r="C601" s="32" t="s">
        <v>1802</v>
      </c>
      <c r="D601" s="32" t="s">
        <v>1803</v>
      </c>
    </row>
    <row r="602" spans="2:4" x14ac:dyDescent="0.3">
      <c r="B602" s="33" t="s">
        <v>1801</v>
      </c>
      <c r="C602" s="32" t="s">
        <v>37405</v>
      </c>
      <c r="D602" s="32" t="s">
        <v>37406</v>
      </c>
    </row>
    <row r="603" spans="2:4" x14ac:dyDescent="0.3">
      <c r="B603" s="33" t="s">
        <v>1804</v>
      </c>
      <c r="C603" s="32" t="s">
        <v>1805</v>
      </c>
      <c r="D603" s="32" t="s">
        <v>1806</v>
      </c>
    </row>
    <row r="604" spans="2:4" x14ac:dyDescent="0.3">
      <c r="B604" s="33" t="s">
        <v>1807</v>
      </c>
      <c r="C604" s="32" t="s">
        <v>1808</v>
      </c>
      <c r="D604" s="32" t="s">
        <v>1809</v>
      </c>
    </row>
    <row r="605" spans="2:4" x14ac:dyDescent="0.3">
      <c r="B605" s="33" t="s">
        <v>1810</v>
      </c>
      <c r="C605" s="32" t="s">
        <v>1811</v>
      </c>
      <c r="D605" s="32" t="s">
        <v>1812</v>
      </c>
    </row>
    <row r="606" spans="2:4" x14ac:dyDescent="0.3">
      <c r="B606" s="33" t="s">
        <v>1813</v>
      </c>
      <c r="C606" s="32" t="s">
        <v>1814</v>
      </c>
      <c r="D606" s="32" t="s">
        <v>1815</v>
      </c>
    </row>
    <row r="607" spans="2:4" x14ac:dyDescent="0.3">
      <c r="B607" s="33" t="s">
        <v>1816</v>
      </c>
      <c r="C607" s="32" t="s">
        <v>1817</v>
      </c>
      <c r="D607" s="32" t="s">
        <v>1818</v>
      </c>
    </row>
    <row r="608" spans="2:4" x14ac:dyDescent="0.3">
      <c r="B608" s="33" t="s">
        <v>1819</v>
      </c>
      <c r="C608" s="32" t="s">
        <v>1820</v>
      </c>
      <c r="D608" s="32" t="s">
        <v>1821</v>
      </c>
    </row>
    <row r="609" spans="2:4" x14ac:dyDescent="0.3">
      <c r="B609" s="33" t="s">
        <v>1822</v>
      </c>
      <c r="C609" s="32" t="s">
        <v>1823</v>
      </c>
      <c r="D609" s="32" t="s">
        <v>1824</v>
      </c>
    </row>
    <row r="610" spans="2:4" x14ac:dyDescent="0.3">
      <c r="B610" s="33" t="s">
        <v>36794</v>
      </c>
      <c r="C610" s="32" t="s">
        <v>36795</v>
      </c>
      <c r="D610" s="32" t="s">
        <v>36796</v>
      </c>
    </row>
    <row r="611" spans="2:4" x14ac:dyDescent="0.3">
      <c r="B611" s="33" t="s">
        <v>94</v>
      </c>
      <c r="C611" s="32" t="s">
        <v>1825</v>
      </c>
      <c r="D611" s="32" t="s">
        <v>95</v>
      </c>
    </row>
    <row r="612" spans="2:4" x14ac:dyDescent="0.3">
      <c r="B612" s="33" t="s">
        <v>1826</v>
      </c>
      <c r="C612" s="32" t="s">
        <v>1827</v>
      </c>
      <c r="D612" s="32" t="s">
        <v>1828</v>
      </c>
    </row>
    <row r="613" spans="2:4" x14ac:dyDescent="0.3">
      <c r="B613" s="33" t="s">
        <v>1829</v>
      </c>
      <c r="C613" s="32" t="s">
        <v>1830</v>
      </c>
      <c r="D613" s="32" t="s">
        <v>1831</v>
      </c>
    </row>
    <row r="614" spans="2:4" x14ac:dyDescent="0.3">
      <c r="B614" s="33" t="s">
        <v>1832</v>
      </c>
      <c r="C614" s="32" t="s">
        <v>1833</v>
      </c>
      <c r="D614" s="32" t="s">
        <v>1832</v>
      </c>
    </row>
    <row r="615" spans="2:4" x14ac:dyDescent="0.3">
      <c r="B615" s="33" t="s">
        <v>1834</v>
      </c>
      <c r="C615" s="32" t="s">
        <v>1835</v>
      </c>
      <c r="D615" s="32" t="s">
        <v>1836</v>
      </c>
    </row>
    <row r="616" spans="2:4" x14ac:dyDescent="0.3">
      <c r="B616" s="33" t="s">
        <v>1837</v>
      </c>
      <c r="C616" s="32" t="s">
        <v>1838</v>
      </c>
      <c r="D616" s="32" t="s">
        <v>1839</v>
      </c>
    </row>
    <row r="617" spans="2:4" x14ac:dyDescent="0.3">
      <c r="B617" s="33" t="s">
        <v>1840</v>
      </c>
      <c r="C617" s="32" t="s">
        <v>1841</v>
      </c>
      <c r="D617" s="32" t="s">
        <v>1842</v>
      </c>
    </row>
    <row r="618" spans="2:4" x14ac:dyDescent="0.3">
      <c r="B618" s="33" t="s">
        <v>1843</v>
      </c>
      <c r="C618" s="32" t="s">
        <v>1844</v>
      </c>
      <c r="D618" s="32" t="s">
        <v>1845</v>
      </c>
    </row>
    <row r="619" spans="2:4" x14ac:dyDescent="0.3">
      <c r="B619" s="33" t="s">
        <v>1846</v>
      </c>
      <c r="C619" s="32" t="s">
        <v>1847</v>
      </c>
      <c r="D619" s="32" t="s">
        <v>1848</v>
      </c>
    </row>
    <row r="620" spans="2:4" x14ac:dyDescent="0.3">
      <c r="B620" s="33" t="s">
        <v>1849</v>
      </c>
      <c r="C620" s="32" t="s">
        <v>1850</v>
      </c>
      <c r="D620" s="32" t="s">
        <v>1851</v>
      </c>
    </row>
    <row r="621" spans="2:4" x14ac:dyDescent="0.3">
      <c r="B621" s="33" t="s">
        <v>1852</v>
      </c>
      <c r="C621" s="32" t="s">
        <v>1853</v>
      </c>
      <c r="D621" s="32" t="s">
        <v>1854</v>
      </c>
    </row>
    <row r="622" spans="2:4" x14ac:dyDescent="0.3">
      <c r="B622" s="33" t="s">
        <v>1855</v>
      </c>
      <c r="C622" s="32" t="s">
        <v>1856</v>
      </c>
      <c r="D622" s="32" t="s">
        <v>1857</v>
      </c>
    </row>
    <row r="623" spans="2:4" x14ac:dyDescent="0.3">
      <c r="B623" s="33" t="s">
        <v>1855</v>
      </c>
      <c r="C623" s="32" t="s">
        <v>1858</v>
      </c>
      <c r="D623" s="32" t="s">
        <v>1859</v>
      </c>
    </row>
    <row r="624" spans="2:4" x14ac:dyDescent="0.3">
      <c r="B624" s="33" t="s">
        <v>1860</v>
      </c>
      <c r="C624" s="32" t="s">
        <v>1861</v>
      </c>
      <c r="D624" s="32" t="s">
        <v>1862</v>
      </c>
    </row>
    <row r="625" spans="2:4" x14ac:dyDescent="0.3">
      <c r="B625" s="33" t="s">
        <v>1863</v>
      </c>
      <c r="C625" s="32" t="s">
        <v>1864</v>
      </c>
      <c r="D625" s="32" t="s">
        <v>1865</v>
      </c>
    </row>
    <row r="626" spans="2:4" x14ac:dyDescent="0.3">
      <c r="B626" s="33" t="s">
        <v>1866</v>
      </c>
      <c r="C626" s="32" t="s">
        <v>1867</v>
      </c>
      <c r="D626" s="32" t="s">
        <v>1866</v>
      </c>
    </row>
    <row r="627" spans="2:4" x14ac:dyDescent="0.3">
      <c r="B627" s="33" t="s">
        <v>1868</v>
      </c>
      <c r="C627" s="32" t="s">
        <v>1869</v>
      </c>
      <c r="D627" s="32" t="s">
        <v>1870</v>
      </c>
    </row>
    <row r="628" spans="2:4" x14ac:dyDescent="0.3">
      <c r="B628" s="33" t="s">
        <v>1660</v>
      </c>
      <c r="C628" s="32" t="s">
        <v>1871</v>
      </c>
      <c r="D628" s="32" t="s">
        <v>1872</v>
      </c>
    </row>
    <row r="629" spans="2:4" x14ac:dyDescent="0.3">
      <c r="B629" s="33" t="s">
        <v>1873</v>
      </c>
      <c r="C629" s="32" t="s">
        <v>1874</v>
      </c>
      <c r="D629" s="32" t="s">
        <v>1875</v>
      </c>
    </row>
    <row r="630" spans="2:4" x14ac:dyDescent="0.3">
      <c r="B630" s="33" t="s">
        <v>1876</v>
      </c>
      <c r="C630" s="32" t="s">
        <v>1877</v>
      </c>
      <c r="D630" s="32" t="s">
        <v>1878</v>
      </c>
    </row>
    <row r="631" spans="2:4" x14ac:dyDescent="0.3">
      <c r="B631" s="33" t="s">
        <v>1879</v>
      </c>
      <c r="C631" s="32" t="s">
        <v>1880</v>
      </c>
      <c r="D631" s="32" t="s">
        <v>1881</v>
      </c>
    </row>
    <row r="632" spans="2:4" x14ac:dyDescent="0.3">
      <c r="B632" s="33" t="s">
        <v>1882</v>
      </c>
      <c r="C632" s="32" t="s">
        <v>1883</v>
      </c>
      <c r="D632" s="32" t="s">
        <v>1884</v>
      </c>
    </row>
    <row r="633" spans="2:4" x14ac:dyDescent="0.3">
      <c r="B633" s="33" t="s">
        <v>1885</v>
      </c>
      <c r="C633" s="32" t="s">
        <v>1886</v>
      </c>
      <c r="D633" s="32" t="s">
        <v>1887</v>
      </c>
    </row>
    <row r="634" spans="2:4" x14ac:dyDescent="0.3">
      <c r="B634" s="33" t="s">
        <v>1888</v>
      </c>
      <c r="C634" s="32" t="s">
        <v>1889</v>
      </c>
      <c r="D634" s="32" t="s">
        <v>1890</v>
      </c>
    </row>
    <row r="635" spans="2:4" x14ac:dyDescent="0.3">
      <c r="B635" s="33" t="s">
        <v>1891</v>
      </c>
      <c r="C635" s="32" t="s">
        <v>1892</v>
      </c>
      <c r="D635" s="32" t="s">
        <v>1893</v>
      </c>
    </row>
    <row r="636" spans="2:4" x14ac:dyDescent="0.3">
      <c r="B636" s="33" t="s">
        <v>1894</v>
      </c>
      <c r="C636" s="32" t="s">
        <v>1895</v>
      </c>
      <c r="D636" s="32" t="s">
        <v>1896</v>
      </c>
    </row>
    <row r="637" spans="2:4" x14ac:dyDescent="0.3">
      <c r="B637" s="33" t="s">
        <v>1897</v>
      </c>
      <c r="C637" s="32" t="s">
        <v>1898</v>
      </c>
      <c r="D637" s="32" t="s">
        <v>1899</v>
      </c>
    </row>
    <row r="638" spans="2:4" x14ac:dyDescent="0.3">
      <c r="B638" s="33" t="s">
        <v>1900</v>
      </c>
      <c r="C638" s="32" t="s">
        <v>1901</v>
      </c>
      <c r="D638" s="32" t="s">
        <v>1902</v>
      </c>
    </row>
    <row r="639" spans="2:4" x14ac:dyDescent="0.3">
      <c r="B639" s="33" t="s">
        <v>1903</v>
      </c>
      <c r="C639" s="32" t="s">
        <v>1904</v>
      </c>
      <c r="D639" s="32" t="s">
        <v>1905</v>
      </c>
    </row>
    <row r="640" spans="2:4" x14ac:dyDescent="0.3">
      <c r="B640" s="33" t="s">
        <v>1906</v>
      </c>
      <c r="C640" s="32" t="s">
        <v>1907</v>
      </c>
      <c r="D640" s="32" t="s">
        <v>1908</v>
      </c>
    </row>
    <row r="641" spans="2:4" x14ac:dyDescent="0.3">
      <c r="B641" s="33" t="s">
        <v>1909</v>
      </c>
      <c r="C641" s="32" t="s">
        <v>1910</v>
      </c>
      <c r="D641" s="32" t="s">
        <v>1911</v>
      </c>
    </row>
    <row r="642" spans="2:4" x14ac:dyDescent="0.3">
      <c r="B642" s="33" t="s">
        <v>1912</v>
      </c>
      <c r="C642" s="32" t="s">
        <v>1913</v>
      </c>
      <c r="D642" s="32" t="s">
        <v>1914</v>
      </c>
    </row>
    <row r="643" spans="2:4" x14ac:dyDescent="0.3">
      <c r="B643" s="33" t="s">
        <v>1915</v>
      </c>
      <c r="C643" s="32" t="s">
        <v>1916</v>
      </c>
      <c r="D643" s="32" t="s">
        <v>1917</v>
      </c>
    </row>
    <row r="644" spans="2:4" x14ac:dyDescent="0.3">
      <c r="B644" s="33" t="s">
        <v>1879</v>
      </c>
      <c r="C644" s="32" t="s">
        <v>1918</v>
      </c>
      <c r="D644" s="32" t="s">
        <v>1919</v>
      </c>
    </row>
    <row r="645" spans="2:4" x14ac:dyDescent="0.3">
      <c r="B645" s="33" t="s">
        <v>1920</v>
      </c>
      <c r="C645" s="32" t="s">
        <v>1921</v>
      </c>
      <c r="D645" s="32" t="s">
        <v>1922</v>
      </c>
    </row>
    <row r="646" spans="2:4" x14ac:dyDescent="0.3">
      <c r="B646" s="33" t="s">
        <v>1923</v>
      </c>
      <c r="C646" s="32" t="s">
        <v>1924</v>
      </c>
      <c r="D646" s="32" t="s">
        <v>1925</v>
      </c>
    </row>
    <row r="647" spans="2:4" x14ac:dyDescent="0.3">
      <c r="B647" s="33" t="s">
        <v>1926</v>
      </c>
      <c r="C647" s="32" t="s">
        <v>1927</v>
      </c>
      <c r="D647" s="32" t="s">
        <v>1928</v>
      </c>
    </row>
    <row r="648" spans="2:4" x14ac:dyDescent="0.3">
      <c r="B648" s="33" t="s">
        <v>1929</v>
      </c>
      <c r="C648" s="32" t="s">
        <v>1930</v>
      </c>
      <c r="D648" s="32" t="s">
        <v>1931</v>
      </c>
    </row>
    <row r="649" spans="2:4" x14ac:dyDescent="0.3">
      <c r="B649" s="33" t="s">
        <v>1932</v>
      </c>
      <c r="C649" s="32" t="s">
        <v>1933</v>
      </c>
      <c r="D649" s="32" t="s">
        <v>36676</v>
      </c>
    </row>
    <row r="650" spans="2:4" x14ac:dyDescent="0.3">
      <c r="B650" s="33" t="s">
        <v>1932</v>
      </c>
      <c r="C650" s="32" t="s">
        <v>36677</v>
      </c>
      <c r="D650" s="32" t="s">
        <v>1934</v>
      </c>
    </row>
    <row r="651" spans="2:4" x14ac:dyDescent="0.3">
      <c r="B651" s="33" t="s">
        <v>1876</v>
      </c>
      <c r="C651" s="32" t="s">
        <v>1935</v>
      </c>
      <c r="D651" s="32" t="s">
        <v>1936</v>
      </c>
    </row>
    <row r="652" spans="2:4" x14ac:dyDescent="0.3">
      <c r="B652" s="33" t="s">
        <v>1937</v>
      </c>
      <c r="C652" s="32" t="s">
        <v>1938</v>
      </c>
      <c r="D652" s="32" t="s">
        <v>1939</v>
      </c>
    </row>
    <row r="653" spans="2:4" x14ac:dyDescent="0.3">
      <c r="B653" s="33" t="s">
        <v>1940</v>
      </c>
      <c r="C653" s="32" t="s">
        <v>1941</v>
      </c>
      <c r="D653" s="32" t="s">
        <v>1942</v>
      </c>
    </row>
    <row r="654" spans="2:4" x14ac:dyDescent="0.3">
      <c r="B654" s="33" t="s">
        <v>1943</v>
      </c>
      <c r="C654" s="32" t="s">
        <v>1944</v>
      </c>
      <c r="D654" s="32" t="s">
        <v>1945</v>
      </c>
    </row>
    <row r="655" spans="2:4" x14ac:dyDescent="0.3">
      <c r="B655" s="33" t="s">
        <v>1879</v>
      </c>
      <c r="C655" s="32" t="s">
        <v>1946</v>
      </c>
      <c r="D655" s="32" t="s">
        <v>1947</v>
      </c>
    </row>
    <row r="656" spans="2:4" x14ac:dyDescent="0.3">
      <c r="B656" s="33" t="s">
        <v>37100</v>
      </c>
      <c r="C656" s="32" t="s">
        <v>37101</v>
      </c>
      <c r="D656" s="32" t="s">
        <v>37102</v>
      </c>
    </row>
    <row r="657" spans="2:4" x14ac:dyDescent="0.3">
      <c r="B657" s="33" t="s">
        <v>37103</v>
      </c>
      <c r="C657" s="32" t="s">
        <v>37104</v>
      </c>
      <c r="D657" s="32" t="s">
        <v>37105</v>
      </c>
    </row>
    <row r="658" spans="2:4" x14ac:dyDescent="0.3">
      <c r="B658" s="33" t="s">
        <v>37106</v>
      </c>
      <c r="C658" s="32" t="s">
        <v>37107</v>
      </c>
      <c r="D658" s="32" t="s">
        <v>37108</v>
      </c>
    </row>
    <row r="659" spans="2:4" x14ac:dyDescent="0.3">
      <c r="B659" s="33" t="s">
        <v>1948</v>
      </c>
      <c r="C659" s="32" t="s">
        <v>1949</v>
      </c>
      <c r="D659" s="32" t="s">
        <v>1950</v>
      </c>
    </row>
    <row r="660" spans="2:4" x14ac:dyDescent="0.3">
      <c r="B660" s="33" t="s">
        <v>1951</v>
      </c>
      <c r="C660" s="32" t="s">
        <v>1952</v>
      </c>
      <c r="D660" s="32" t="s">
        <v>1953</v>
      </c>
    </row>
    <row r="661" spans="2:4" x14ac:dyDescent="0.3">
      <c r="B661" s="33" t="s">
        <v>1954</v>
      </c>
      <c r="C661" s="32" t="s">
        <v>1955</v>
      </c>
      <c r="D661" s="32" t="s">
        <v>1956</v>
      </c>
    </row>
    <row r="662" spans="2:4" x14ac:dyDescent="0.3">
      <c r="B662" s="33" t="s">
        <v>1957</v>
      </c>
      <c r="C662" s="32" t="s">
        <v>1958</v>
      </c>
      <c r="D662" s="32" t="s">
        <v>1959</v>
      </c>
    </row>
    <row r="663" spans="2:4" x14ac:dyDescent="0.3">
      <c r="B663" s="33" t="s">
        <v>1960</v>
      </c>
      <c r="C663" s="32" t="s">
        <v>1961</v>
      </c>
      <c r="D663" s="32" t="s">
        <v>1962</v>
      </c>
    </row>
    <row r="664" spans="2:4" x14ac:dyDescent="0.3">
      <c r="B664" s="33" t="s">
        <v>1963</v>
      </c>
      <c r="C664" s="32" t="s">
        <v>1964</v>
      </c>
      <c r="D664" s="32" t="s">
        <v>1965</v>
      </c>
    </row>
    <row r="665" spans="2:4" x14ac:dyDescent="0.3">
      <c r="B665" s="33" t="s">
        <v>1230</v>
      </c>
      <c r="C665" s="32" t="s">
        <v>1966</v>
      </c>
      <c r="D665" s="32" t="s">
        <v>1967</v>
      </c>
    </row>
    <row r="666" spans="2:4" x14ac:dyDescent="0.3">
      <c r="B666" s="33" t="s">
        <v>1968</v>
      </c>
      <c r="C666" s="32" t="s">
        <v>1969</v>
      </c>
      <c r="D666" s="32" t="s">
        <v>1970</v>
      </c>
    </row>
    <row r="667" spans="2:4" x14ac:dyDescent="0.3">
      <c r="B667" s="33" t="s">
        <v>1971</v>
      </c>
      <c r="C667" s="32" t="s">
        <v>1972</v>
      </c>
      <c r="D667" s="32" t="s">
        <v>1973</v>
      </c>
    </row>
    <row r="668" spans="2:4" x14ac:dyDescent="0.3">
      <c r="B668" s="33" t="s">
        <v>1109</v>
      </c>
      <c r="C668" s="32" t="s">
        <v>1974</v>
      </c>
      <c r="D668" s="32" t="s">
        <v>1975</v>
      </c>
    </row>
    <row r="669" spans="2:4" x14ac:dyDescent="0.3">
      <c r="B669" s="33" t="s">
        <v>1976</v>
      </c>
      <c r="C669" s="32" t="s">
        <v>1977</v>
      </c>
      <c r="D669" s="32" t="s">
        <v>1978</v>
      </c>
    </row>
    <row r="670" spans="2:4" x14ac:dyDescent="0.3">
      <c r="B670" s="33" t="s">
        <v>1979</v>
      </c>
      <c r="C670" s="32" t="s">
        <v>1980</v>
      </c>
      <c r="D670" s="32" t="s">
        <v>1981</v>
      </c>
    </row>
    <row r="671" spans="2:4" x14ac:dyDescent="0.3">
      <c r="B671" s="33" t="s">
        <v>1982</v>
      </c>
      <c r="C671" s="32" t="s">
        <v>1983</v>
      </c>
      <c r="D671" s="32" t="s">
        <v>1984</v>
      </c>
    </row>
    <row r="672" spans="2:4" x14ac:dyDescent="0.3">
      <c r="B672" s="33" t="s">
        <v>1109</v>
      </c>
      <c r="C672" s="32" t="s">
        <v>1985</v>
      </c>
      <c r="D672" s="32" t="s">
        <v>1986</v>
      </c>
    </row>
    <row r="673" spans="2:4" x14ac:dyDescent="0.3">
      <c r="B673" s="33" t="s">
        <v>1987</v>
      </c>
      <c r="C673" s="32" t="s">
        <v>1988</v>
      </c>
      <c r="D673" s="32" t="s">
        <v>1989</v>
      </c>
    </row>
    <row r="674" spans="2:4" x14ac:dyDescent="0.3">
      <c r="B674" s="33" t="s">
        <v>1990</v>
      </c>
      <c r="C674" s="32" t="s">
        <v>1991</v>
      </c>
      <c r="D674" s="32" t="s">
        <v>1992</v>
      </c>
    </row>
    <row r="675" spans="2:4" x14ac:dyDescent="0.3">
      <c r="B675" s="33" t="s">
        <v>1993</v>
      </c>
      <c r="C675" s="32" t="s">
        <v>1994</v>
      </c>
      <c r="D675" s="32" t="s">
        <v>1995</v>
      </c>
    </row>
    <row r="676" spans="2:4" x14ac:dyDescent="0.3">
      <c r="B676" s="33" t="s">
        <v>1996</v>
      </c>
      <c r="C676" s="32" t="s">
        <v>1997</v>
      </c>
      <c r="D676" s="32" t="s">
        <v>1998</v>
      </c>
    </row>
    <row r="677" spans="2:4" x14ac:dyDescent="0.3">
      <c r="B677" s="33" t="s">
        <v>1999</v>
      </c>
      <c r="C677" s="32" t="s">
        <v>2000</v>
      </c>
      <c r="D677" s="32" t="s">
        <v>2001</v>
      </c>
    </row>
    <row r="678" spans="2:4" x14ac:dyDescent="0.3">
      <c r="B678" s="33" t="s">
        <v>2002</v>
      </c>
      <c r="C678" s="32" t="s">
        <v>2003</v>
      </c>
      <c r="D678" s="32" t="s">
        <v>36797</v>
      </c>
    </row>
    <row r="679" spans="2:4" x14ac:dyDescent="0.3">
      <c r="B679" s="33" t="s">
        <v>2004</v>
      </c>
      <c r="C679" s="32" t="s">
        <v>2005</v>
      </c>
      <c r="D679" s="32" t="s">
        <v>2006</v>
      </c>
    </row>
    <row r="680" spans="2:4" x14ac:dyDescent="0.3">
      <c r="B680" s="33" t="s">
        <v>2007</v>
      </c>
      <c r="C680" s="32" t="s">
        <v>2008</v>
      </c>
      <c r="D680" s="32" t="s">
        <v>2009</v>
      </c>
    </row>
    <row r="681" spans="2:4" x14ac:dyDescent="0.3">
      <c r="B681" s="33" t="s">
        <v>2010</v>
      </c>
      <c r="C681" s="32" t="s">
        <v>2011</v>
      </c>
      <c r="D681" s="32" t="s">
        <v>2012</v>
      </c>
    </row>
    <row r="682" spans="2:4" x14ac:dyDescent="0.3">
      <c r="B682" s="33" t="s">
        <v>2013</v>
      </c>
      <c r="C682" s="32" t="s">
        <v>2014</v>
      </c>
      <c r="D682" s="32" t="s">
        <v>2015</v>
      </c>
    </row>
    <row r="683" spans="2:4" x14ac:dyDescent="0.3">
      <c r="B683" s="33" t="s">
        <v>1683</v>
      </c>
      <c r="C683" s="32" t="s">
        <v>2016</v>
      </c>
      <c r="D683" s="32" t="s">
        <v>2017</v>
      </c>
    </row>
    <row r="684" spans="2:4" x14ac:dyDescent="0.3">
      <c r="B684" s="33" t="s">
        <v>2018</v>
      </c>
      <c r="C684" s="32" t="s">
        <v>2019</v>
      </c>
      <c r="D684" s="32" t="s">
        <v>2020</v>
      </c>
    </row>
    <row r="685" spans="2:4" x14ac:dyDescent="0.3">
      <c r="B685" s="33" t="s">
        <v>1876</v>
      </c>
      <c r="C685" s="32" t="s">
        <v>2021</v>
      </c>
      <c r="D685" s="32" t="s">
        <v>2022</v>
      </c>
    </row>
    <row r="686" spans="2:4" x14ac:dyDescent="0.3">
      <c r="B686" s="33" t="s">
        <v>2023</v>
      </c>
      <c r="C686" s="32" t="s">
        <v>2024</v>
      </c>
      <c r="D686" s="32" t="s">
        <v>2023</v>
      </c>
    </row>
    <row r="687" spans="2:4" x14ac:dyDescent="0.3">
      <c r="B687" s="33" t="s">
        <v>2025</v>
      </c>
      <c r="C687" s="32" t="s">
        <v>2026</v>
      </c>
      <c r="D687" s="32" t="s">
        <v>2027</v>
      </c>
    </row>
    <row r="688" spans="2:4" x14ac:dyDescent="0.3">
      <c r="B688" s="33" t="s">
        <v>2028</v>
      </c>
      <c r="C688" s="32" t="s">
        <v>2029</v>
      </c>
      <c r="D688" s="32" t="s">
        <v>2030</v>
      </c>
    </row>
    <row r="689" spans="2:4" x14ac:dyDescent="0.3">
      <c r="B689" s="33" t="s">
        <v>2031</v>
      </c>
      <c r="C689" s="32" t="s">
        <v>2032</v>
      </c>
      <c r="D689" s="32" t="s">
        <v>2033</v>
      </c>
    </row>
    <row r="690" spans="2:4" x14ac:dyDescent="0.3">
      <c r="B690" s="33" t="s">
        <v>2034</v>
      </c>
      <c r="C690" s="32" t="s">
        <v>2035</v>
      </c>
      <c r="D690" s="32" t="s">
        <v>2036</v>
      </c>
    </row>
    <row r="691" spans="2:4" x14ac:dyDescent="0.3">
      <c r="B691" s="33" t="s">
        <v>1876</v>
      </c>
      <c r="C691" s="32" t="s">
        <v>2037</v>
      </c>
      <c r="D691" s="32" t="s">
        <v>2038</v>
      </c>
    </row>
    <row r="692" spans="2:4" x14ac:dyDescent="0.3">
      <c r="B692" s="33" t="s">
        <v>2039</v>
      </c>
      <c r="C692" s="32" t="s">
        <v>2040</v>
      </c>
      <c r="D692" s="32" t="s">
        <v>2041</v>
      </c>
    </row>
    <row r="693" spans="2:4" x14ac:dyDescent="0.3">
      <c r="B693" s="33" t="s">
        <v>2042</v>
      </c>
      <c r="C693" s="32" t="s">
        <v>2043</v>
      </c>
      <c r="D693" s="32" t="s">
        <v>2044</v>
      </c>
    </row>
    <row r="694" spans="2:4" x14ac:dyDescent="0.3">
      <c r="B694" s="33" t="s">
        <v>2045</v>
      </c>
      <c r="C694" s="32" t="s">
        <v>2046</v>
      </c>
      <c r="D694" s="32" t="s">
        <v>2047</v>
      </c>
    </row>
    <row r="695" spans="2:4" x14ac:dyDescent="0.3">
      <c r="B695" s="33" t="s">
        <v>2048</v>
      </c>
      <c r="C695" s="32" t="s">
        <v>2049</v>
      </c>
      <c r="D695" s="32" t="s">
        <v>2050</v>
      </c>
    </row>
    <row r="696" spans="2:4" x14ac:dyDescent="0.3">
      <c r="B696" s="33" t="s">
        <v>2051</v>
      </c>
      <c r="C696" s="32" t="s">
        <v>2052</v>
      </c>
      <c r="D696" s="32" t="s">
        <v>2053</v>
      </c>
    </row>
    <row r="697" spans="2:4" x14ac:dyDescent="0.3">
      <c r="B697" s="33" t="s">
        <v>2054</v>
      </c>
      <c r="C697" s="32" t="s">
        <v>2055</v>
      </c>
      <c r="D697" s="32" t="s">
        <v>2056</v>
      </c>
    </row>
    <row r="698" spans="2:4" x14ac:dyDescent="0.3">
      <c r="B698" s="33" t="s">
        <v>2057</v>
      </c>
      <c r="C698" s="32" t="s">
        <v>2058</v>
      </c>
      <c r="D698" s="32" t="s">
        <v>2059</v>
      </c>
    </row>
    <row r="699" spans="2:4" x14ac:dyDescent="0.3">
      <c r="B699" s="33" t="s">
        <v>2060</v>
      </c>
      <c r="C699" s="32" t="s">
        <v>2061</v>
      </c>
      <c r="D699" s="32" t="s">
        <v>2062</v>
      </c>
    </row>
    <row r="700" spans="2:4" x14ac:dyDescent="0.3">
      <c r="B700" s="33" t="s">
        <v>2063</v>
      </c>
      <c r="C700" s="32" t="s">
        <v>2064</v>
      </c>
      <c r="D700" s="32" t="s">
        <v>2065</v>
      </c>
    </row>
    <row r="701" spans="2:4" x14ac:dyDescent="0.3">
      <c r="B701" s="33" t="s">
        <v>1629</v>
      </c>
      <c r="C701" s="32" t="s">
        <v>2066</v>
      </c>
      <c r="D701" s="32" t="s">
        <v>2067</v>
      </c>
    </row>
    <row r="702" spans="2:4" x14ac:dyDescent="0.3">
      <c r="B702" s="33" t="s">
        <v>2068</v>
      </c>
      <c r="C702" s="32" t="s">
        <v>2069</v>
      </c>
      <c r="D702" s="32" t="s">
        <v>2070</v>
      </c>
    </row>
    <row r="703" spans="2:4" x14ac:dyDescent="0.3">
      <c r="B703" s="33" t="s">
        <v>2071</v>
      </c>
      <c r="C703" s="32" t="s">
        <v>2072</v>
      </c>
      <c r="D703" s="32" t="s">
        <v>2073</v>
      </c>
    </row>
    <row r="704" spans="2:4" x14ac:dyDescent="0.3">
      <c r="B704" s="33" t="s">
        <v>2074</v>
      </c>
      <c r="C704" s="32" t="s">
        <v>2075</v>
      </c>
      <c r="D704" s="32" t="s">
        <v>2076</v>
      </c>
    </row>
    <row r="705" spans="2:4" x14ac:dyDescent="0.3">
      <c r="B705" s="33" t="s">
        <v>2077</v>
      </c>
      <c r="C705" s="32" t="s">
        <v>2078</v>
      </c>
      <c r="D705" s="32" t="s">
        <v>2079</v>
      </c>
    </row>
    <row r="706" spans="2:4" x14ac:dyDescent="0.3">
      <c r="B706" s="33" t="s">
        <v>2080</v>
      </c>
      <c r="C706" s="32" t="s">
        <v>2081</v>
      </c>
      <c r="D706" s="32" t="s">
        <v>2082</v>
      </c>
    </row>
    <row r="707" spans="2:4" x14ac:dyDescent="0.3">
      <c r="B707" s="33" t="s">
        <v>2083</v>
      </c>
      <c r="C707" s="32" t="s">
        <v>2084</v>
      </c>
      <c r="D707" s="32" t="s">
        <v>2085</v>
      </c>
    </row>
    <row r="708" spans="2:4" x14ac:dyDescent="0.3">
      <c r="B708" s="33" t="s">
        <v>2086</v>
      </c>
      <c r="C708" s="32" t="s">
        <v>2087</v>
      </c>
      <c r="D708" s="32" t="s">
        <v>2088</v>
      </c>
    </row>
    <row r="709" spans="2:4" x14ac:dyDescent="0.3">
      <c r="B709" s="33" t="s">
        <v>2089</v>
      </c>
      <c r="C709" s="32" t="s">
        <v>2090</v>
      </c>
      <c r="D709" s="32" t="s">
        <v>2091</v>
      </c>
    </row>
    <row r="710" spans="2:4" x14ac:dyDescent="0.3">
      <c r="B710" s="33" t="s">
        <v>2092</v>
      </c>
      <c r="C710" s="32" t="s">
        <v>2093</v>
      </c>
      <c r="D710" s="32" t="s">
        <v>2092</v>
      </c>
    </row>
    <row r="711" spans="2:4" x14ac:dyDescent="0.3">
      <c r="B711" s="33" t="s">
        <v>2094</v>
      </c>
      <c r="C711" s="32" t="s">
        <v>2095</v>
      </c>
      <c r="D711" s="32" t="s">
        <v>2096</v>
      </c>
    </row>
    <row r="712" spans="2:4" x14ac:dyDescent="0.3">
      <c r="B712" s="33" t="s">
        <v>2097</v>
      </c>
      <c r="C712" s="32" t="s">
        <v>2098</v>
      </c>
      <c r="D712" s="32" t="s">
        <v>2099</v>
      </c>
    </row>
    <row r="713" spans="2:4" x14ac:dyDescent="0.3">
      <c r="B713" s="33" t="s">
        <v>2100</v>
      </c>
      <c r="C713" s="32" t="s">
        <v>2101</v>
      </c>
      <c r="D713" s="32" t="s">
        <v>2102</v>
      </c>
    </row>
    <row r="714" spans="2:4" x14ac:dyDescent="0.3">
      <c r="B714" s="33" t="s">
        <v>2103</v>
      </c>
      <c r="C714" s="32" t="s">
        <v>2104</v>
      </c>
      <c r="D714" s="32" t="s">
        <v>2105</v>
      </c>
    </row>
    <row r="715" spans="2:4" x14ac:dyDescent="0.3">
      <c r="B715" s="33" t="s">
        <v>1355</v>
      </c>
      <c r="C715" s="32" t="s">
        <v>2106</v>
      </c>
      <c r="D715" s="32" t="s">
        <v>2107</v>
      </c>
    </row>
    <row r="716" spans="2:4" x14ac:dyDescent="0.3">
      <c r="B716" s="33" t="s">
        <v>2108</v>
      </c>
      <c r="C716" s="32" t="s">
        <v>2109</v>
      </c>
      <c r="D716" s="32" t="s">
        <v>2110</v>
      </c>
    </row>
    <row r="717" spans="2:4" x14ac:dyDescent="0.3">
      <c r="B717" s="33" t="s">
        <v>2111</v>
      </c>
      <c r="C717" s="32" t="s">
        <v>2112</v>
      </c>
      <c r="D717" s="32" t="s">
        <v>2113</v>
      </c>
    </row>
    <row r="718" spans="2:4" x14ac:dyDescent="0.3">
      <c r="B718" s="33" t="s">
        <v>2114</v>
      </c>
      <c r="C718" s="32" t="s">
        <v>2115</v>
      </c>
      <c r="D718" s="32" t="s">
        <v>2114</v>
      </c>
    </row>
    <row r="719" spans="2:4" x14ac:dyDescent="0.3">
      <c r="B719" s="33" t="s">
        <v>2116</v>
      </c>
      <c r="C719" s="32" t="s">
        <v>2117</v>
      </c>
      <c r="D719" s="32" t="s">
        <v>2118</v>
      </c>
    </row>
    <row r="720" spans="2:4" x14ac:dyDescent="0.3">
      <c r="B720" s="33" t="s">
        <v>2089</v>
      </c>
      <c r="C720" s="32" t="s">
        <v>2119</v>
      </c>
      <c r="D720" s="32" t="s">
        <v>2120</v>
      </c>
    </row>
    <row r="721" spans="2:4" x14ac:dyDescent="0.3">
      <c r="B721" s="33" t="s">
        <v>2121</v>
      </c>
      <c r="C721" s="32" t="s">
        <v>2122</v>
      </c>
      <c r="D721" s="32" t="s">
        <v>2123</v>
      </c>
    </row>
    <row r="722" spans="2:4" x14ac:dyDescent="0.3">
      <c r="B722" s="33" t="s">
        <v>2124</v>
      </c>
      <c r="C722" s="32" t="s">
        <v>2125</v>
      </c>
      <c r="D722" s="32" t="s">
        <v>2126</v>
      </c>
    </row>
    <row r="723" spans="2:4" x14ac:dyDescent="0.3">
      <c r="B723" s="33" t="s">
        <v>2127</v>
      </c>
      <c r="C723" s="32" t="s">
        <v>2128</v>
      </c>
      <c r="D723" s="32" t="s">
        <v>2129</v>
      </c>
    </row>
    <row r="724" spans="2:4" x14ac:dyDescent="0.3">
      <c r="B724" s="33" t="s">
        <v>2130</v>
      </c>
      <c r="C724" s="32" t="s">
        <v>2131</v>
      </c>
      <c r="D724" s="32" t="s">
        <v>2132</v>
      </c>
    </row>
    <row r="725" spans="2:4" x14ac:dyDescent="0.3">
      <c r="B725" s="33" t="s">
        <v>2133</v>
      </c>
      <c r="C725" s="32" t="s">
        <v>2134</v>
      </c>
      <c r="D725" s="32" t="s">
        <v>2135</v>
      </c>
    </row>
    <row r="726" spans="2:4" x14ac:dyDescent="0.3">
      <c r="B726" s="33" t="s">
        <v>2136</v>
      </c>
      <c r="C726" s="32" t="s">
        <v>2137</v>
      </c>
      <c r="D726" s="32" t="s">
        <v>2138</v>
      </c>
    </row>
    <row r="727" spans="2:4" x14ac:dyDescent="0.3">
      <c r="B727" s="33" t="s">
        <v>2133</v>
      </c>
      <c r="C727" s="32" t="s">
        <v>2139</v>
      </c>
      <c r="D727" s="32" t="s">
        <v>2140</v>
      </c>
    </row>
    <row r="728" spans="2:4" x14ac:dyDescent="0.3">
      <c r="B728" s="33" t="s">
        <v>2141</v>
      </c>
      <c r="C728" s="32" t="s">
        <v>2142</v>
      </c>
      <c r="D728" s="32" t="s">
        <v>2143</v>
      </c>
    </row>
    <row r="729" spans="2:4" x14ac:dyDescent="0.3">
      <c r="B729" s="33" t="s">
        <v>2144</v>
      </c>
      <c r="C729" s="32" t="s">
        <v>2145</v>
      </c>
      <c r="D729" s="32" t="s">
        <v>2146</v>
      </c>
    </row>
    <row r="730" spans="2:4" x14ac:dyDescent="0.3">
      <c r="B730" s="33" t="s">
        <v>2147</v>
      </c>
      <c r="C730" s="32" t="s">
        <v>2148</v>
      </c>
      <c r="D730" s="32" t="s">
        <v>2149</v>
      </c>
    </row>
    <row r="731" spans="2:4" x14ac:dyDescent="0.3">
      <c r="B731" s="33" t="s">
        <v>2150</v>
      </c>
      <c r="C731" s="32" t="s">
        <v>2151</v>
      </c>
      <c r="D731" s="32" t="s">
        <v>2152</v>
      </c>
    </row>
    <row r="732" spans="2:4" x14ac:dyDescent="0.3">
      <c r="B732" s="33" t="s">
        <v>2150</v>
      </c>
      <c r="C732" s="32" t="s">
        <v>2153</v>
      </c>
      <c r="D732" s="32" t="s">
        <v>2154</v>
      </c>
    </row>
    <row r="733" spans="2:4" x14ac:dyDescent="0.3">
      <c r="B733" s="33" t="s">
        <v>150</v>
      </c>
      <c r="C733" s="32" t="s">
        <v>2155</v>
      </c>
      <c r="D733" s="32" t="s">
        <v>2156</v>
      </c>
    </row>
    <row r="734" spans="2:4" x14ac:dyDescent="0.3">
      <c r="B734" s="33" t="s">
        <v>2157</v>
      </c>
      <c r="C734" s="32" t="s">
        <v>2158</v>
      </c>
      <c r="D734" s="32" t="s">
        <v>2159</v>
      </c>
    </row>
    <row r="735" spans="2:4" x14ac:dyDescent="0.3">
      <c r="B735" s="33" t="s">
        <v>2074</v>
      </c>
      <c r="C735" s="32" t="s">
        <v>2160</v>
      </c>
      <c r="D735" s="32" t="s">
        <v>2161</v>
      </c>
    </row>
    <row r="736" spans="2:4" x14ac:dyDescent="0.3">
      <c r="B736" s="33" t="s">
        <v>2162</v>
      </c>
      <c r="C736" s="32" t="s">
        <v>2163</v>
      </c>
      <c r="D736" s="32" t="s">
        <v>2164</v>
      </c>
    </row>
    <row r="737" spans="2:4" x14ac:dyDescent="0.3">
      <c r="B737" s="33" t="s">
        <v>2165</v>
      </c>
      <c r="C737" s="32" t="s">
        <v>2166</v>
      </c>
      <c r="D737" s="32" t="s">
        <v>2167</v>
      </c>
    </row>
    <row r="738" spans="2:4" x14ac:dyDescent="0.3">
      <c r="B738" s="33" t="s">
        <v>2168</v>
      </c>
      <c r="C738" s="32" t="s">
        <v>2169</v>
      </c>
      <c r="D738" s="32" t="s">
        <v>2170</v>
      </c>
    </row>
    <row r="739" spans="2:4" x14ac:dyDescent="0.3">
      <c r="B739" s="33" t="s">
        <v>2171</v>
      </c>
      <c r="C739" s="32" t="s">
        <v>2172</v>
      </c>
      <c r="D739" s="32" t="s">
        <v>37109</v>
      </c>
    </row>
    <row r="740" spans="2:4" x14ac:dyDescent="0.3">
      <c r="B740" s="33" t="s">
        <v>2173</v>
      </c>
      <c r="C740" s="32" t="s">
        <v>2174</v>
      </c>
      <c r="D740" s="32" t="s">
        <v>2175</v>
      </c>
    </row>
    <row r="741" spans="2:4" x14ac:dyDescent="0.3">
      <c r="B741" s="33" t="s">
        <v>2176</v>
      </c>
      <c r="C741" s="32" t="s">
        <v>2177</v>
      </c>
      <c r="D741" s="32" t="s">
        <v>2178</v>
      </c>
    </row>
    <row r="742" spans="2:4" x14ac:dyDescent="0.3">
      <c r="B742" s="33" t="s">
        <v>2179</v>
      </c>
      <c r="C742" s="32" t="s">
        <v>2180</v>
      </c>
      <c r="D742" s="32" t="s">
        <v>2181</v>
      </c>
    </row>
    <row r="743" spans="2:4" x14ac:dyDescent="0.3">
      <c r="B743" s="33" t="s">
        <v>2182</v>
      </c>
      <c r="C743" s="32" t="s">
        <v>2183</v>
      </c>
      <c r="D743" s="32" t="s">
        <v>2184</v>
      </c>
    </row>
    <row r="744" spans="2:4" x14ac:dyDescent="0.3">
      <c r="B744" s="33" t="s">
        <v>2185</v>
      </c>
      <c r="C744" s="32" t="s">
        <v>2186</v>
      </c>
      <c r="D744" s="32" t="s">
        <v>2187</v>
      </c>
    </row>
    <row r="745" spans="2:4" x14ac:dyDescent="0.3">
      <c r="B745" s="33" t="s">
        <v>2188</v>
      </c>
      <c r="C745" s="32" t="s">
        <v>2189</v>
      </c>
      <c r="D745" s="32" t="s">
        <v>2190</v>
      </c>
    </row>
    <row r="746" spans="2:4" x14ac:dyDescent="0.3">
      <c r="B746" s="33" t="s">
        <v>2191</v>
      </c>
      <c r="C746" s="32" t="s">
        <v>2192</v>
      </c>
      <c r="D746" s="32" t="s">
        <v>2193</v>
      </c>
    </row>
    <row r="747" spans="2:4" x14ac:dyDescent="0.3">
      <c r="B747" s="33" t="s">
        <v>2194</v>
      </c>
      <c r="C747" s="32" t="s">
        <v>2195</v>
      </c>
      <c r="D747" s="32" t="s">
        <v>2196</v>
      </c>
    </row>
    <row r="748" spans="2:4" x14ac:dyDescent="0.3">
      <c r="B748" s="33" t="s">
        <v>1635</v>
      </c>
      <c r="C748" s="32" t="s">
        <v>2197</v>
      </c>
      <c r="D748" s="32" t="s">
        <v>2198</v>
      </c>
    </row>
    <row r="749" spans="2:4" x14ac:dyDescent="0.3">
      <c r="B749" s="33" t="s">
        <v>2199</v>
      </c>
      <c r="C749" s="32" t="s">
        <v>2200</v>
      </c>
      <c r="D749" s="32" t="s">
        <v>2201</v>
      </c>
    </row>
    <row r="750" spans="2:4" x14ac:dyDescent="0.3">
      <c r="B750" s="33" t="s">
        <v>2199</v>
      </c>
      <c r="C750" s="32" t="s">
        <v>2202</v>
      </c>
      <c r="D750" s="32" t="s">
        <v>2203</v>
      </c>
    </row>
    <row r="751" spans="2:4" x14ac:dyDescent="0.3">
      <c r="B751" s="33" t="s">
        <v>2204</v>
      </c>
      <c r="C751" s="32" t="s">
        <v>2205</v>
      </c>
      <c r="D751" s="32" t="s">
        <v>2206</v>
      </c>
    </row>
    <row r="752" spans="2:4" x14ac:dyDescent="0.3">
      <c r="B752" s="33" t="s">
        <v>2199</v>
      </c>
      <c r="C752" s="32" t="s">
        <v>2207</v>
      </c>
      <c r="D752" s="32" t="s">
        <v>2208</v>
      </c>
    </row>
    <row r="753" spans="2:4" x14ac:dyDescent="0.3">
      <c r="B753" s="33" t="s">
        <v>2209</v>
      </c>
      <c r="C753" s="32" t="s">
        <v>2210</v>
      </c>
      <c r="D753" s="32" t="s">
        <v>2209</v>
      </c>
    </row>
    <row r="754" spans="2:4" x14ac:dyDescent="0.3">
      <c r="B754" s="33" t="s">
        <v>2211</v>
      </c>
      <c r="C754" s="32" t="s">
        <v>2212</v>
      </c>
      <c r="D754" s="32" t="s">
        <v>2213</v>
      </c>
    </row>
    <row r="755" spans="2:4" x14ac:dyDescent="0.3">
      <c r="B755" s="33" t="s">
        <v>2214</v>
      </c>
      <c r="C755" s="32" t="s">
        <v>2215</v>
      </c>
      <c r="D755" s="32" t="s">
        <v>2216</v>
      </c>
    </row>
    <row r="756" spans="2:4" x14ac:dyDescent="0.3">
      <c r="B756" s="33" t="s">
        <v>2217</v>
      </c>
      <c r="C756" s="32" t="s">
        <v>2218</v>
      </c>
      <c r="D756" s="32" t="s">
        <v>2219</v>
      </c>
    </row>
    <row r="757" spans="2:4" x14ac:dyDescent="0.3">
      <c r="B757" s="33" t="s">
        <v>2220</v>
      </c>
      <c r="C757" s="32" t="s">
        <v>2221</v>
      </c>
      <c r="D757" s="32" t="s">
        <v>2222</v>
      </c>
    </row>
    <row r="758" spans="2:4" x14ac:dyDescent="0.3">
      <c r="B758" s="33" t="s">
        <v>2223</v>
      </c>
      <c r="C758" s="32" t="s">
        <v>2224</v>
      </c>
      <c r="D758" s="32" t="s">
        <v>2225</v>
      </c>
    </row>
    <row r="759" spans="2:4" x14ac:dyDescent="0.3">
      <c r="B759" s="33" t="s">
        <v>1629</v>
      </c>
      <c r="C759" s="32" t="s">
        <v>2226</v>
      </c>
      <c r="D759" s="32" t="s">
        <v>2227</v>
      </c>
    </row>
    <row r="760" spans="2:4" x14ac:dyDescent="0.3">
      <c r="B760" s="33" t="s">
        <v>2228</v>
      </c>
      <c r="C760" s="32" t="s">
        <v>2229</v>
      </c>
      <c r="D760" s="32" t="s">
        <v>2230</v>
      </c>
    </row>
    <row r="761" spans="2:4" x14ac:dyDescent="0.3">
      <c r="B761" s="33" t="s">
        <v>2228</v>
      </c>
      <c r="C761" s="32" t="s">
        <v>2231</v>
      </c>
      <c r="D761" s="32" t="s">
        <v>36689</v>
      </c>
    </row>
    <row r="762" spans="2:4" x14ac:dyDescent="0.3">
      <c r="B762" s="33" t="s">
        <v>2232</v>
      </c>
      <c r="C762" s="32" t="s">
        <v>2233</v>
      </c>
      <c r="D762" s="32" t="s">
        <v>2234</v>
      </c>
    </row>
    <row r="763" spans="2:4" x14ac:dyDescent="0.3">
      <c r="B763" s="33" t="s">
        <v>2235</v>
      </c>
      <c r="C763" s="32" t="s">
        <v>2236</v>
      </c>
      <c r="D763" s="32" t="s">
        <v>2237</v>
      </c>
    </row>
    <row r="764" spans="2:4" x14ac:dyDescent="0.3">
      <c r="B764" s="33" t="s">
        <v>2238</v>
      </c>
      <c r="C764" s="32" t="s">
        <v>2239</v>
      </c>
      <c r="D764" s="32" t="s">
        <v>2240</v>
      </c>
    </row>
    <row r="765" spans="2:4" x14ac:dyDescent="0.3">
      <c r="B765" s="33" t="s">
        <v>2241</v>
      </c>
      <c r="C765" s="32" t="s">
        <v>2242</v>
      </c>
      <c r="D765" s="32" t="s">
        <v>2243</v>
      </c>
    </row>
    <row r="766" spans="2:4" x14ac:dyDescent="0.3">
      <c r="B766" s="33" t="s">
        <v>2244</v>
      </c>
      <c r="C766" s="32" t="s">
        <v>2245</v>
      </c>
      <c r="D766" s="32" t="s">
        <v>2246</v>
      </c>
    </row>
    <row r="767" spans="2:4" x14ac:dyDescent="0.3">
      <c r="B767" s="33" t="s">
        <v>2247</v>
      </c>
      <c r="C767" s="32" t="s">
        <v>2248</v>
      </c>
      <c r="D767" s="32" t="s">
        <v>2249</v>
      </c>
    </row>
    <row r="768" spans="2:4" x14ac:dyDescent="0.3">
      <c r="B768" s="33" t="s">
        <v>2250</v>
      </c>
      <c r="C768" s="32" t="s">
        <v>2251</v>
      </c>
      <c r="D768" s="32" t="s">
        <v>2252</v>
      </c>
    </row>
    <row r="769" spans="2:4" x14ac:dyDescent="0.3">
      <c r="B769" s="33" t="s">
        <v>2253</v>
      </c>
      <c r="C769" s="32" t="s">
        <v>2254</v>
      </c>
      <c r="D769" s="32" t="s">
        <v>2255</v>
      </c>
    </row>
    <row r="770" spans="2:4" x14ac:dyDescent="0.3">
      <c r="B770" s="33" t="s">
        <v>2256</v>
      </c>
      <c r="C770" s="32" t="s">
        <v>2257</v>
      </c>
      <c r="D770" s="32" t="s">
        <v>2258</v>
      </c>
    </row>
    <row r="771" spans="2:4" x14ac:dyDescent="0.3">
      <c r="B771" s="33" t="s">
        <v>2259</v>
      </c>
      <c r="C771" s="32" t="s">
        <v>2260</v>
      </c>
      <c r="D771" s="32" t="s">
        <v>2261</v>
      </c>
    </row>
    <row r="772" spans="2:4" x14ac:dyDescent="0.3">
      <c r="B772" s="33" t="s">
        <v>2253</v>
      </c>
      <c r="C772" s="32" t="s">
        <v>2262</v>
      </c>
      <c r="D772" s="32" t="s">
        <v>2263</v>
      </c>
    </row>
    <row r="773" spans="2:4" x14ac:dyDescent="0.3">
      <c r="B773" s="33" t="s">
        <v>2264</v>
      </c>
      <c r="C773" s="32" t="s">
        <v>2265</v>
      </c>
      <c r="D773" s="32" t="s">
        <v>2266</v>
      </c>
    </row>
    <row r="774" spans="2:4" x14ac:dyDescent="0.3">
      <c r="B774" s="33" t="s">
        <v>36974</v>
      </c>
      <c r="C774" s="32" t="s">
        <v>36975</v>
      </c>
      <c r="D774" s="32" t="s">
        <v>36976</v>
      </c>
    </row>
    <row r="775" spans="2:4" x14ac:dyDescent="0.3">
      <c r="B775" s="33" t="s">
        <v>2267</v>
      </c>
      <c r="C775" s="32" t="s">
        <v>2268</v>
      </c>
      <c r="D775" s="32" t="s">
        <v>2269</v>
      </c>
    </row>
    <row r="776" spans="2:4" x14ac:dyDescent="0.3">
      <c r="B776" s="33" t="s">
        <v>2270</v>
      </c>
      <c r="C776" s="32" t="s">
        <v>2271</v>
      </c>
      <c r="D776" s="32" t="s">
        <v>2272</v>
      </c>
    </row>
    <row r="777" spans="2:4" x14ac:dyDescent="0.3">
      <c r="B777" s="33" t="s">
        <v>2273</v>
      </c>
      <c r="C777" s="32" t="s">
        <v>2274</v>
      </c>
      <c r="D777" s="32" t="s">
        <v>2273</v>
      </c>
    </row>
    <row r="778" spans="2:4" x14ac:dyDescent="0.3">
      <c r="B778" s="33" t="s">
        <v>2275</v>
      </c>
      <c r="C778" s="32" t="s">
        <v>2276</v>
      </c>
      <c r="D778" s="32" t="s">
        <v>2277</v>
      </c>
    </row>
    <row r="779" spans="2:4" x14ac:dyDescent="0.3">
      <c r="B779" s="33" t="s">
        <v>1668</v>
      </c>
      <c r="C779" s="32" t="s">
        <v>2278</v>
      </c>
      <c r="D779" s="32" t="s">
        <v>2279</v>
      </c>
    </row>
    <row r="780" spans="2:4" x14ac:dyDescent="0.3">
      <c r="B780" s="33" t="s">
        <v>37110</v>
      </c>
      <c r="C780" s="32" t="s">
        <v>37111</v>
      </c>
      <c r="D780" s="32" t="s">
        <v>37112</v>
      </c>
    </row>
    <row r="781" spans="2:4" x14ac:dyDescent="0.3">
      <c r="B781" s="33" t="s">
        <v>2280</v>
      </c>
      <c r="C781" s="32" t="s">
        <v>2281</v>
      </c>
      <c r="D781" s="32" t="s">
        <v>2282</v>
      </c>
    </row>
    <row r="782" spans="2:4" x14ac:dyDescent="0.3">
      <c r="B782" s="33" t="s">
        <v>2273</v>
      </c>
      <c r="C782" s="32" t="s">
        <v>2283</v>
      </c>
      <c r="D782" s="32" t="s">
        <v>2284</v>
      </c>
    </row>
    <row r="783" spans="2:4" x14ac:dyDescent="0.3">
      <c r="B783" s="33" t="s">
        <v>2285</v>
      </c>
      <c r="C783" s="32" t="s">
        <v>2286</v>
      </c>
      <c r="D783" s="32" t="s">
        <v>2287</v>
      </c>
    </row>
    <row r="784" spans="2:4" x14ac:dyDescent="0.3">
      <c r="B784" s="33" t="s">
        <v>2273</v>
      </c>
      <c r="C784" s="32" t="s">
        <v>2288</v>
      </c>
      <c r="D784" s="32" t="s">
        <v>2289</v>
      </c>
    </row>
    <row r="785" spans="2:4" x14ac:dyDescent="0.3">
      <c r="B785" s="33" t="s">
        <v>2290</v>
      </c>
      <c r="C785" s="32" t="s">
        <v>2291</v>
      </c>
      <c r="D785" s="32" t="s">
        <v>2292</v>
      </c>
    </row>
    <row r="786" spans="2:4" x14ac:dyDescent="0.3">
      <c r="B786" s="33" t="s">
        <v>2293</v>
      </c>
      <c r="C786" s="32" t="s">
        <v>2294</v>
      </c>
      <c r="D786" s="32" t="s">
        <v>2295</v>
      </c>
    </row>
    <row r="787" spans="2:4" x14ac:dyDescent="0.3">
      <c r="B787" s="33" t="s">
        <v>2296</v>
      </c>
      <c r="C787" s="32" t="s">
        <v>2297</v>
      </c>
      <c r="D787" s="32" t="s">
        <v>2298</v>
      </c>
    </row>
    <row r="788" spans="2:4" x14ac:dyDescent="0.3">
      <c r="B788" s="33" t="s">
        <v>2299</v>
      </c>
      <c r="C788" s="32" t="s">
        <v>2300</v>
      </c>
      <c r="D788" s="32" t="s">
        <v>2301</v>
      </c>
    </row>
    <row r="789" spans="2:4" x14ac:dyDescent="0.3">
      <c r="B789" s="33" t="s">
        <v>2302</v>
      </c>
      <c r="C789" s="32" t="s">
        <v>2303</v>
      </c>
      <c r="D789" s="32" t="s">
        <v>2304</v>
      </c>
    </row>
    <row r="790" spans="2:4" x14ac:dyDescent="0.3">
      <c r="B790" s="33" t="s">
        <v>2305</v>
      </c>
      <c r="C790" s="32" t="s">
        <v>2306</v>
      </c>
      <c r="D790" s="32" t="s">
        <v>2307</v>
      </c>
    </row>
    <row r="791" spans="2:4" x14ac:dyDescent="0.3">
      <c r="B791" s="33" t="s">
        <v>2308</v>
      </c>
      <c r="C791" s="32" t="s">
        <v>2309</v>
      </c>
      <c r="D791" s="32" t="s">
        <v>2310</v>
      </c>
    </row>
    <row r="792" spans="2:4" x14ac:dyDescent="0.3">
      <c r="B792" s="33" t="s">
        <v>2311</v>
      </c>
      <c r="C792" s="32" t="s">
        <v>2312</v>
      </c>
      <c r="D792" s="32" t="s">
        <v>2313</v>
      </c>
    </row>
    <row r="793" spans="2:4" x14ac:dyDescent="0.3">
      <c r="B793" s="33" t="s">
        <v>2314</v>
      </c>
      <c r="C793" s="32" t="s">
        <v>2315</v>
      </c>
      <c r="D793" s="32" t="s">
        <v>2316</v>
      </c>
    </row>
    <row r="794" spans="2:4" x14ac:dyDescent="0.3">
      <c r="B794" s="33" t="s">
        <v>2317</v>
      </c>
      <c r="C794" s="32" t="s">
        <v>2318</v>
      </c>
      <c r="D794" s="32" t="s">
        <v>2319</v>
      </c>
    </row>
    <row r="795" spans="2:4" x14ac:dyDescent="0.3">
      <c r="B795" s="33" t="s">
        <v>2320</v>
      </c>
      <c r="C795" s="32" t="s">
        <v>2321</v>
      </c>
      <c r="D795" s="32" t="s">
        <v>2322</v>
      </c>
    </row>
    <row r="796" spans="2:4" x14ac:dyDescent="0.3">
      <c r="B796" s="33" t="s">
        <v>2323</v>
      </c>
      <c r="C796" s="32" t="s">
        <v>2324</v>
      </c>
      <c r="D796" s="32" t="s">
        <v>2325</v>
      </c>
    </row>
    <row r="797" spans="2:4" x14ac:dyDescent="0.3">
      <c r="B797" s="33" t="s">
        <v>2326</v>
      </c>
      <c r="C797" s="32" t="s">
        <v>2327</v>
      </c>
      <c r="D797" s="32" t="s">
        <v>2328</v>
      </c>
    </row>
    <row r="798" spans="2:4" x14ac:dyDescent="0.3">
      <c r="B798" s="33" t="s">
        <v>2329</v>
      </c>
      <c r="C798" s="32" t="s">
        <v>2330</v>
      </c>
      <c r="D798" s="32" t="s">
        <v>2331</v>
      </c>
    </row>
    <row r="799" spans="2:4" x14ac:dyDescent="0.3">
      <c r="B799" s="33" t="s">
        <v>1996</v>
      </c>
      <c r="C799" s="32" t="s">
        <v>2332</v>
      </c>
      <c r="D799" s="32" t="s">
        <v>2333</v>
      </c>
    </row>
    <row r="800" spans="2:4" x14ac:dyDescent="0.3">
      <c r="B800" s="33" t="s">
        <v>2334</v>
      </c>
      <c r="C800" s="32" t="s">
        <v>2335</v>
      </c>
      <c r="D800" s="32" t="s">
        <v>2336</v>
      </c>
    </row>
    <row r="801" spans="2:4" x14ac:dyDescent="0.3">
      <c r="B801" s="33" t="s">
        <v>2337</v>
      </c>
      <c r="C801" s="32" t="s">
        <v>2338</v>
      </c>
      <c r="D801" s="32" t="s">
        <v>2339</v>
      </c>
    </row>
    <row r="802" spans="2:4" x14ac:dyDescent="0.3">
      <c r="B802" s="33" t="s">
        <v>2340</v>
      </c>
      <c r="C802" s="32" t="s">
        <v>2341</v>
      </c>
      <c r="D802" s="32" t="s">
        <v>2342</v>
      </c>
    </row>
    <row r="803" spans="2:4" x14ac:dyDescent="0.3">
      <c r="B803" s="33" t="s">
        <v>2343</v>
      </c>
      <c r="C803" s="32" t="s">
        <v>2344</v>
      </c>
      <c r="D803" s="32" t="s">
        <v>2343</v>
      </c>
    </row>
    <row r="804" spans="2:4" x14ac:dyDescent="0.3">
      <c r="B804" s="33" t="s">
        <v>2345</v>
      </c>
      <c r="C804" s="32" t="s">
        <v>2346</v>
      </c>
      <c r="D804" s="32" t="s">
        <v>2347</v>
      </c>
    </row>
    <row r="805" spans="2:4" x14ac:dyDescent="0.3">
      <c r="B805" s="33" t="s">
        <v>2348</v>
      </c>
      <c r="C805" s="32" t="s">
        <v>2349</v>
      </c>
      <c r="D805" s="32" t="s">
        <v>2348</v>
      </c>
    </row>
    <row r="806" spans="2:4" x14ac:dyDescent="0.3">
      <c r="B806" s="33" t="s">
        <v>106</v>
      </c>
      <c r="C806" s="32" t="s">
        <v>2350</v>
      </c>
      <c r="D806" s="32" t="s">
        <v>106</v>
      </c>
    </row>
    <row r="807" spans="2:4" x14ac:dyDescent="0.3">
      <c r="B807" s="33" t="s">
        <v>2351</v>
      </c>
      <c r="C807" s="32" t="s">
        <v>2352</v>
      </c>
      <c r="D807" s="32" t="s">
        <v>2353</v>
      </c>
    </row>
    <row r="808" spans="2:4" x14ac:dyDescent="0.3">
      <c r="B808" s="33" t="s">
        <v>2354</v>
      </c>
      <c r="C808" s="32" t="s">
        <v>2355</v>
      </c>
      <c r="D808" s="32" t="s">
        <v>2356</v>
      </c>
    </row>
    <row r="809" spans="2:4" x14ac:dyDescent="0.3">
      <c r="B809" s="33" t="s">
        <v>106</v>
      </c>
      <c r="C809" s="32" t="s">
        <v>2357</v>
      </c>
      <c r="D809" s="32" t="s">
        <v>107</v>
      </c>
    </row>
    <row r="810" spans="2:4" x14ac:dyDescent="0.3">
      <c r="B810" s="33" t="s">
        <v>106</v>
      </c>
      <c r="C810" s="32" t="s">
        <v>2358</v>
      </c>
      <c r="D810" s="32" t="s">
        <v>2359</v>
      </c>
    </row>
    <row r="811" spans="2:4" x14ac:dyDescent="0.3">
      <c r="B811" s="33" t="s">
        <v>36656</v>
      </c>
      <c r="C811" s="32" t="s">
        <v>36657</v>
      </c>
      <c r="D811" s="32" t="s">
        <v>36658</v>
      </c>
    </row>
    <row r="812" spans="2:4" x14ac:dyDescent="0.3">
      <c r="B812" s="33" t="s">
        <v>2360</v>
      </c>
      <c r="C812" s="32" t="s">
        <v>2361</v>
      </c>
      <c r="D812" s="32" t="s">
        <v>2362</v>
      </c>
    </row>
    <row r="813" spans="2:4" x14ac:dyDescent="0.3">
      <c r="B813" s="33" t="s">
        <v>2363</v>
      </c>
      <c r="C813" s="32" t="s">
        <v>2364</v>
      </c>
      <c r="D813" s="32" t="s">
        <v>2365</v>
      </c>
    </row>
    <row r="814" spans="2:4" x14ac:dyDescent="0.3">
      <c r="B814" s="33" t="s">
        <v>2366</v>
      </c>
      <c r="C814" s="32" t="s">
        <v>2367</v>
      </c>
      <c r="D814" s="32" t="s">
        <v>2368</v>
      </c>
    </row>
    <row r="815" spans="2:4" x14ac:dyDescent="0.3">
      <c r="B815" s="33" t="s">
        <v>1683</v>
      </c>
      <c r="C815" s="32" t="s">
        <v>2369</v>
      </c>
      <c r="D815" s="32" t="s">
        <v>2370</v>
      </c>
    </row>
    <row r="816" spans="2:4" x14ac:dyDescent="0.3">
      <c r="B816" s="33" t="s">
        <v>2371</v>
      </c>
      <c r="C816" s="32" t="s">
        <v>2372</v>
      </c>
      <c r="D816" s="32" t="s">
        <v>2373</v>
      </c>
    </row>
    <row r="817" spans="2:4" x14ac:dyDescent="0.3">
      <c r="B817" s="33" t="s">
        <v>106</v>
      </c>
      <c r="C817" s="32" t="s">
        <v>2374</v>
      </c>
      <c r="D817" s="32" t="s">
        <v>2375</v>
      </c>
    </row>
    <row r="818" spans="2:4" x14ac:dyDescent="0.3">
      <c r="B818" s="33" t="s">
        <v>2376</v>
      </c>
      <c r="C818" s="32" t="s">
        <v>2377</v>
      </c>
      <c r="D818" s="32" t="s">
        <v>2378</v>
      </c>
    </row>
    <row r="819" spans="2:4" x14ac:dyDescent="0.3">
      <c r="B819" s="33" t="s">
        <v>2379</v>
      </c>
      <c r="C819" s="32" t="s">
        <v>2380</v>
      </c>
      <c r="D819" s="32" t="s">
        <v>2381</v>
      </c>
    </row>
    <row r="820" spans="2:4" x14ac:dyDescent="0.3">
      <c r="B820" s="33" t="s">
        <v>2382</v>
      </c>
      <c r="C820" s="32" t="s">
        <v>2383</v>
      </c>
      <c r="D820" s="32" t="s">
        <v>2384</v>
      </c>
    </row>
    <row r="821" spans="2:4" x14ac:dyDescent="0.3">
      <c r="B821" s="33" t="s">
        <v>2385</v>
      </c>
      <c r="C821" s="32" t="s">
        <v>2386</v>
      </c>
      <c r="D821" s="32" t="s">
        <v>2387</v>
      </c>
    </row>
    <row r="822" spans="2:4" x14ac:dyDescent="0.3">
      <c r="B822" s="33" t="s">
        <v>2388</v>
      </c>
      <c r="C822" s="32" t="s">
        <v>2389</v>
      </c>
      <c r="D822" s="32" t="s">
        <v>2390</v>
      </c>
    </row>
    <row r="823" spans="2:4" x14ac:dyDescent="0.3">
      <c r="B823" s="33" t="s">
        <v>2391</v>
      </c>
      <c r="C823" s="32" t="s">
        <v>2392</v>
      </c>
      <c r="D823" s="32" t="s">
        <v>2393</v>
      </c>
    </row>
    <row r="824" spans="2:4" x14ac:dyDescent="0.3">
      <c r="B824" s="33" t="s">
        <v>36659</v>
      </c>
      <c r="C824" s="32" t="s">
        <v>36660</v>
      </c>
      <c r="D824" s="32" t="s">
        <v>36661</v>
      </c>
    </row>
    <row r="825" spans="2:4" x14ac:dyDescent="0.3">
      <c r="B825" s="33" t="s">
        <v>2394</v>
      </c>
      <c r="C825" s="32" t="s">
        <v>2395</v>
      </c>
      <c r="D825" s="32" t="s">
        <v>2396</v>
      </c>
    </row>
    <row r="826" spans="2:4" x14ac:dyDescent="0.3">
      <c r="B826" s="33" t="s">
        <v>2397</v>
      </c>
      <c r="C826" s="32" t="s">
        <v>2398</v>
      </c>
      <c r="D826" s="32" t="s">
        <v>2399</v>
      </c>
    </row>
    <row r="827" spans="2:4" x14ac:dyDescent="0.3">
      <c r="B827" s="33" t="s">
        <v>2397</v>
      </c>
      <c r="C827" s="32" t="s">
        <v>2400</v>
      </c>
      <c r="D827" s="32" t="s">
        <v>2401</v>
      </c>
    </row>
    <row r="828" spans="2:4" x14ac:dyDescent="0.3">
      <c r="B828" s="33" t="s">
        <v>2397</v>
      </c>
      <c r="C828" s="32" t="s">
        <v>2402</v>
      </c>
      <c r="D828" s="32" t="s">
        <v>2403</v>
      </c>
    </row>
    <row r="829" spans="2:4" x14ac:dyDescent="0.3">
      <c r="B829" s="33" t="s">
        <v>2404</v>
      </c>
      <c r="C829" s="32" t="s">
        <v>2405</v>
      </c>
      <c r="D829" s="32" t="s">
        <v>2406</v>
      </c>
    </row>
    <row r="830" spans="2:4" x14ac:dyDescent="0.3">
      <c r="B830" s="33" t="s">
        <v>2397</v>
      </c>
      <c r="C830" s="32" t="s">
        <v>2407</v>
      </c>
      <c r="D830" s="32" t="s">
        <v>2408</v>
      </c>
    </row>
    <row r="831" spans="2:4" x14ac:dyDescent="0.3">
      <c r="B831" s="33" t="s">
        <v>2409</v>
      </c>
      <c r="C831" s="32" t="s">
        <v>2410</v>
      </c>
      <c r="D831" s="32" t="s">
        <v>2409</v>
      </c>
    </row>
    <row r="832" spans="2:4" x14ac:dyDescent="0.3">
      <c r="B832" s="33" t="s">
        <v>2411</v>
      </c>
      <c r="C832" s="32" t="s">
        <v>2412</v>
      </c>
      <c r="D832" s="32" t="s">
        <v>2413</v>
      </c>
    </row>
    <row r="833" spans="2:4" x14ac:dyDescent="0.3">
      <c r="B833" s="33" t="s">
        <v>2414</v>
      </c>
      <c r="C833" s="32" t="s">
        <v>2415</v>
      </c>
      <c r="D833" s="32" t="s">
        <v>2416</v>
      </c>
    </row>
    <row r="834" spans="2:4" x14ac:dyDescent="0.3">
      <c r="B834" s="33" t="s">
        <v>2417</v>
      </c>
      <c r="C834" s="32" t="s">
        <v>2418</v>
      </c>
      <c r="D834" s="32" t="s">
        <v>2417</v>
      </c>
    </row>
    <row r="835" spans="2:4" x14ac:dyDescent="0.3">
      <c r="B835" s="33" t="s">
        <v>2419</v>
      </c>
      <c r="C835" s="32" t="s">
        <v>2420</v>
      </c>
      <c r="D835" s="32" t="s">
        <v>2421</v>
      </c>
    </row>
    <row r="836" spans="2:4" x14ac:dyDescent="0.3">
      <c r="B836" s="33" t="s">
        <v>2422</v>
      </c>
      <c r="C836" s="32" t="s">
        <v>2423</v>
      </c>
      <c r="D836" s="32" t="s">
        <v>2424</v>
      </c>
    </row>
    <row r="837" spans="2:4" x14ac:dyDescent="0.3">
      <c r="B837" s="33" t="s">
        <v>2425</v>
      </c>
      <c r="C837" s="32" t="s">
        <v>2426</v>
      </c>
      <c r="D837" s="32" t="s">
        <v>2427</v>
      </c>
    </row>
    <row r="838" spans="2:4" x14ac:dyDescent="0.3">
      <c r="B838" s="33" t="s">
        <v>2428</v>
      </c>
      <c r="C838" s="32" t="s">
        <v>2429</v>
      </c>
      <c r="D838" s="32" t="s">
        <v>2430</v>
      </c>
    </row>
    <row r="839" spans="2:4" x14ac:dyDescent="0.3">
      <c r="B839" s="33" t="s">
        <v>2431</v>
      </c>
      <c r="C839" s="32" t="s">
        <v>2432</v>
      </c>
      <c r="D839" s="32" t="s">
        <v>2433</v>
      </c>
    </row>
    <row r="840" spans="2:4" x14ac:dyDescent="0.3">
      <c r="B840" s="33" t="s">
        <v>2431</v>
      </c>
      <c r="C840" s="32" t="s">
        <v>2434</v>
      </c>
      <c r="D840" s="32" t="s">
        <v>2435</v>
      </c>
    </row>
    <row r="841" spans="2:4" x14ac:dyDescent="0.3">
      <c r="B841" s="33" t="s">
        <v>2425</v>
      </c>
      <c r="C841" s="32" t="s">
        <v>2436</v>
      </c>
      <c r="D841" s="32" t="s">
        <v>2437</v>
      </c>
    </row>
    <row r="842" spans="2:4" x14ac:dyDescent="0.3">
      <c r="B842" s="33" t="s">
        <v>2431</v>
      </c>
      <c r="C842" s="32" t="s">
        <v>2438</v>
      </c>
      <c r="D842" s="32" t="s">
        <v>2439</v>
      </c>
    </row>
    <row r="843" spans="2:4" x14ac:dyDescent="0.3">
      <c r="B843" s="33" t="s">
        <v>2428</v>
      </c>
      <c r="C843" s="32" t="s">
        <v>2440</v>
      </c>
      <c r="D843" s="32" t="s">
        <v>2441</v>
      </c>
    </row>
    <row r="844" spans="2:4" x14ac:dyDescent="0.3">
      <c r="B844" s="33" t="s">
        <v>2442</v>
      </c>
      <c r="C844" s="32" t="s">
        <v>2443</v>
      </c>
      <c r="D844" s="32" t="s">
        <v>2444</v>
      </c>
    </row>
    <row r="845" spans="2:4" x14ac:dyDescent="0.3">
      <c r="B845" s="33" t="s">
        <v>1260</v>
      </c>
      <c r="C845" s="32" t="s">
        <v>2445</v>
      </c>
      <c r="D845" s="32" t="s">
        <v>2446</v>
      </c>
    </row>
    <row r="846" spans="2:4" x14ac:dyDescent="0.3">
      <c r="B846" s="33" t="s">
        <v>2447</v>
      </c>
      <c r="C846" s="32" t="s">
        <v>2448</v>
      </c>
      <c r="D846" s="32" t="s">
        <v>2449</v>
      </c>
    </row>
    <row r="847" spans="2:4" x14ac:dyDescent="0.3">
      <c r="B847" s="33" t="s">
        <v>2428</v>
      </c>
      <c r="C847" s="32" t="s">
        <v>2450</v>
      </c>
      <c r="D847" s="32" t="s">
        <v>2451</v>
      </c>
    </row>
    <row r="848" spans="2:4" x14ac:dyDescent="0.3">
      <c r="B848" s="33" t="s">
        <v>2452</v>
      </c>
      <c r="C848" s="32" t="s">
        <v>2453</v>
      </c>
      <c r="D848" s="32" t="s">
        <v>2454</v>
      </c>
    </row>
    <row r="849" spans="2:4" x14ac:dyDescent="0.3">
      <c r="B849" s="33" t="s">
        <v>2083</v>
      </c>
      <c r="C849" s="32" t="s">
        <v>2455</v>
      </c>
      <c r="D849" s="32" t="s">
        <v>2456</v>
      </c>
    </row>
    <row r="850" spans="2:4" x14ac:dyDescent="0.3">
      <c r="B850" s="33" t="s">
        <v>2457</v>
      </c>
      <c r="C850" s="32" t="s">
        <v>2458</v>
      </c>
      <c r="D850" s="32" t="s">
        <v>2459</v>
      </c>
    </row>
    <row r="851" spans="2:4" x14ac:dyDescent="0.3">
      <c r="B851" s="33" t="s">
        <v>2452</v>
      </c>
      <c r="C851" s="32" t="s">
        <v>2460</v>
      </c>
      <c r="D851" s="32" t="s">
        <v>2461</v>
      </c>
    </row>
    <row r="852" spans="2:4" x14ac:dyDescent="0.3">
      <c r="B852" s="33" t="s">
        <v>2462</v>
      </c>
      <c r="C852" s="32" t="s">
        <v>2463</v>
      </c>
      <c r="D852" s="32" t="s">
        <v>37113</v>
      </c>
    </row>
    <row r="853" spans="2:4" x14ac:dyDescent="0.3">
      <c r="B853" s="33" t="s">
        <v>2452</v>
      </c>
      <c r="C853" s="32" t="s">
        <v>2464</v>
      </c>
      <c r="D853" s="32" t="s">
        <v>2465</v>
      </c>
    </row>
    <row r="854" spans="2:4" x14ac:dyDescent="0.3">
      <c r="B854" s="33" t="s">
        <v>2466</v>
      </c>
      <c r="C854" s="32" t="s">
        <v>2467</v>
      </c>
      <c r="D854" s="32" t="s">
        <v>2468</v>
      </c>
    </row>
    <row r="855" spans="2:4" x14ac:dyDescent="0.3">
      <c r="B855" s="33" t="s">
        <v>2469</v>
      </c>
      <c r="C855" s="32" t="s">
        <v>2470</v>
      </c>
      <c r="D855" s="32" t="s">
        <v>2471</v>
      </c>
    </row>
    <row r="856" spans="2:4" x14ac:dyDescent="0.3">
      <c r="B856" s="33" t="s">
        <v>2472</v>
      </c>
      <c r="C856" s="32" t="s">
        <v>2473</v>
      </c>
      <c r="D856" s="32" t="s">
        <v>2474</v>
      </c>
    </row>
    <row r="857" spans="2:4" x14ac:dyDescent="0.3">
      <c r="B857" s="33" t="s">
        <v>2475</v>
      </c>
      <c r="C857" s="32" t="s">
        <v>2476</v>
      </c>
      <c r="D857" s="32" t="s">
        <v>2477</v>
      </c>
    </row>
    <row r="858" spans="2:4" x14ac:dyDescent="0.3">
      <c r="B858" s="33" t="s">
        <v>2478</v>
      </c>
      <c r="C858" s="32" t="s">
        <v>2479</v>
      </c>
      <c r="D858" s="32" t="s">
        <v>2480</v>
      </c>
    </row>
    <row r="859" spans="2:4" x14ac:dyDescent="0.3">
      <c r="B859" s="33" t="s">
        <v>2481</v>
      </c>
      <c r="C859" s="32" t="s">
        <v>2482</v>
      </c>
      <c r="D859" s="32" t="s">
        <v>2483</v>
      </c>
    </row>
    <row r="860" spans="2:4" x14ac:dyDescent="0.3">
      <c r="B860" s="33" t="s">
        <v>2484</v>
      </c>
      <c r="C860" s="32" t="s">
        <v>2485</v>
      </c>
      <c r="D860" s="32" t="s">
        <v>2486</v>
      </c>
    </row>
    <row r="861" spans="2:4" x14ac:dyDescent="0.3">
      <c r="B861" s="33" t="s">
        <v>2487</v>
      </c>
      <c r="C861" s="32" t="s">
        <v>2488</v>
      </c>
      <c r="D861" s="32" t="s">
        <v>2489</v>
      </c>
    </row>
    <row r="862" spans="2:4" x14ac:dyDescent="0.3">
      <c r="B862" s="33" t="s">
        <v>2490</v>
      </c>
      <c r="C862" s="32" t="s">
        <v>2491</v>
      </c>
      <c r="D862" s="32" t="s">
        <v>2492</v>
      </c>
    </row>
    <row r="863" spans="2:4" x14ac:dyDescent="0.3">
      <c r="B863" s="33" t="s">
        <v>2493</v>
      </c>
      <c r="C863" s="32" t="s">
        <v>2494</v>
      </c>
      <c r="D863" s="32" t="s">
        <v>2495</v>
      </c>
    </row>
    <row r="864" spans="2:4" x14ac:dyDescent="0.3">
      <c r="B864" s="33" t="s">
        <v>2496</v>
      </c>
      <c r="C864" s="32" t="s">
        <v>2497</v>
      </c>
      <c r="D864" s="32" t="s">
        <v>2498</v>
      </c>
    </row>
    <row r="865" spans="2:4" x14ac:dyDescent="0.3">
      <c r="B865" s="33" t="s">
        <v>2499</v>
      </c>
      <c r="C865" s="32" t="s">
        <v>2500</v>
      </c>
      <c r="D865" s="32" t="s">
        <v>2501</v>
      </c>
    </row>
    <row r="866" spans="2:4" x14ac:dyDescent="0.3">
      <c r="B866" s="33" t="s">
        <v>2502</v>
      </c>
      <c r="C866" s="32" t="s">
        <v>2503</v>
      </c>
      <c r="D866" s="32" t="s">
        <v>2504</v>
      </c>
    </row>
    <row r="867" spans="2:4" x14ac:dyDescent="0.3">
      <c r="B867" s="33" t="s">
        <v>2502</v>
      </c>
      <c r="C867" s="32" t="s">
        <v>2505</v>
      </c>
      <c r="D867" s="32" t="s">
        <v>2506</v>
      </c>
    </row>
    <row r="868" spans="2:4" x14ac:dyDescent="0.3">
      <c r="B868" s="33" t="s">
        <v>37114</v>
      </c>
      <c r="C868" s="32" t="s">
        <v>37115</v>
      </c>
      <c r="D868" s="32" t="s">
        <v>37116</v>
      </c>
    </row>
    <row r="869" spans="2:4" x14ac:dyDescent="0.3">
      <c r="B869" s="33" t="s">
        <v>2507</v>
      </c>
      <c r="C869" s="32" t="s">
        <v>2508</v>
      </c>
      <c r="D869" s="32" t="s">
        <v>2509</v>
      </c>
    </row>
    <row r="870" spans="2:4" x14ac:dyDescent="0.3">
      <c r="B870" s="33" t="s">
        <v>2499</v>
      </c>
      <c r="C870" s="32" t="s">
        <v>2510</v>
      </c>
      <c r="D870" s="32" t="s">
        <v>2511</v>
      </c>
    </row>
    <row r="871" spans="2:4" x14ac:dyDescent="0.3">
      <c r="B871" s="33" t="s">
        <v>2512</v>
      </c>
      <c r="C871" s="32" t="s">
        <v>2513</v>
      </c>
      <c r="D871" s="32" t="s">
        <v>2514</v>
      </c>
    </row>
    <row r="872" spans="2:4" x14ac:dyDescent="0.3">
      <c r="B872" s="33" t="s">
        <v>2515</v>
      </c>
      <c r="C872" s="32" t="s">
        <v>2516</v>
      </c>
      <c r="D872" s="32" t="s">
        <v>2517</v>
      </c>
    </row>
    <row r="873" spans="2:4" x14ac:dyDescent="0.3">
      <c r="B873" s="33" t="s">
        <v>2518</v>
      </c>
      <c r="C873" s="32" t="s">
        <v>2519</v>
      </c>
      <c r="D873" s="32" t="s">
        <v>2520</v>
      </c>
    </row>
    <row r="874" spans="2:4" x14ac:dyDescent="0.3">
      <c r="B874" s="33" t="s">
        <v>2521</v>
      </c>
      <c r="C874" s="32" t="s">
        <v>2522</v>
      </c>
      <c r="D874" s="32" t="s">
        <v>2523</v>
      </c>
    </row>
    <row r="875" spans="2:4" x14ac:dyDescent="0.3">
      <c r="B875" s="33" t="s">
        <v>2524</v>
      </c>
      <c r="C875" s="32" t="s">
        <v>2525</v>
      </c>
      <c r="D875" s="32" t="s">
        <v>2526</v>
      </c>
    </row>
    <row r="876" spans="2:4" x14ac:dyDescent="0.3">
      <c r="B876" s="33" t="s">
        <v>2527</v>
      </c>
      <c r="C876" s="32" t="s">
        <v>2528</v>
      </c>
      <c r="D876" s="32" t="s">
        <v>2529</v>
      </c>
    </row>
    <row r="877" spans="2:4" x14ac:dyDescent="0.3">
      <c r="B877" s="33" t="s">
        <v>2530</v>
      </c>
      <c r="C877" s="32" t="s">
        <v>2531</v>
      </c>
      <c r="D877" s="32" t="s">
        <v>2532</v>
      </c>
    </row>
    <row r="878" spans="2:4" x14ac:dyDescent="0.3">
      <c r="B878" s="33" t="s">
        <v>1418</v>
      </c>
      <c r="C878" s="32" t="s">
        <v>2533</v>
      </c>
      <c r="D878" s="32" t="s">
        <v>2534</v>
      </c>
    </row>
    <row r="879" spans="2:4" x14ac:dyDescent="0.3">
      <c r="B879" s="33" t="s">
        <v>2535</v>
      </c>
      <c r="C879" s="32" t="s">
        <v>2536</v>
      </c>
      <c r="D879" s="32" t="s">
        <v>2535</v>
      </c>
    </row>
    <row r="880" spans="2:4" x14ac:dyDescent="0.3">
      <c r="B880" s="33" t="s">
        <v>2537</v>
      </c>
      <c r="C880" s="32" t="s">
        <v>2538</v>
      </c>
      <c r="D880" s="32" t="s">
        <v>2539</v>
      </c>
    </row>
    <row r="881" spans="2:4" x14ac:dyDescent="0.3">
      <c r="B881" s="33" t="s">
        <v>2068</v>
      </c>
      <c r="C881" s="32" t="s">
        <v>2540</v>
      </c>
      <c r="D881" s="32" t="s">
        <v>2541</v>
      </c>
    </row>
    <row r="882" spans="2:4" x14ac:dyDescent="0.3">
      <c r="B882" s="33" t="s">
        <v>2542</v>
      </c>
      <c r="C882" s="32" t="s">
        <v>2543</v>
      </c>
      <c r="D882" s="32" t="s">
        <v>2544</v>
      </c>
    </row>
    <row r="883" spans="2:4" x14ac:dyDescent="0.3">
      <c r="B883" s="33" t="s">
        <v>2545</v>
      </c>
      <c r="C883" s="32" t="s">
        <v>2546</v>
      </c>
      <c r="D883" s="32" t="s">
        <v>2547</v>
      </c>
    </row>
    <row r="884" spans="2:4" x14ac:dyDescent="0.3">
      <c r="B884" s="33" t="s">
        <v>2548</v>
      </c>
      <c r="C884" s="32" t="s">
        <v>2549</v>
      </c>
      <c r="D884" s="32" t="s">
        <v>2550</v>
      </c>
    </row>
    <row r="885" spans="2:4" x14ac:dyDescent="0.3">
      <c r="B885" s="33" t="s">
        <v>2551</v>
      </c>
      <c r="C885" s="32" t="s">
        <v>2552</v>
      </c>
      <c r="D885" s="32" t="s">
        <v>2553</v>
      </c>
    </row>
    <row r="886" spans="2:4" x14ac:dyDescent="0.3">
      <c r="B886" s="33" t="s">
        <v>2554</v>
      </c>
      <c r="C886" s="32" t="s">
        <v>2555</v>
      </c>
      <c r="D886" s="32" t="s">
        <v>2556</v>
      </c>
    </row>
    <row r="887" spans="2:4" x14ac:dyDescent="0.3">
      <c r="B887" s="33" t="s">
        <v>2557</v>
      </c>
      <c r="C887" s="32" t="s">
        <v>2558</v>
      </c>
      <c r="D887" s="32" t="s">
        <v>2559</v>
      </c>
    </row>
    <row r="888" spans="2:4" x14ac:dyDescent="0.3">
      <c r="B888" s="33" t="s">
        <v>2560</v>
      </c>
      <c r="C888" s="32" t="s">
        <v>2561</v>
      </c>
      <c r="D888" s="32" t="s">
        <v>2562</v>
      </c>
    </row>
    <row r="889" spans="2:4" x14ac:dyDescent="0.3">
      <c r="B889" s="33" t="s">
        <v>2563</v>
      </c>
      <c r="C889" s="32" t="s">
        <v>2564</v>
      </c>
      <c r="D889" s="32" t="s">
        <v>2565</v>
      </c>
    </row>
    <row r="890" spans="2:4" x14ac:dyDescent="0.3">
      <c r="B890" s="33" t="s">
        <v>2566</v>
      </c>
      <c r="C890" s="32" t="s">
        <v>2567</v>
      </c>
      <c r="D890" s="32" t="s">
        <v>2568</v>
      </c>
    </row>
    <row r="891" spans="2:4" x14ac:dyDescent="0.3">
      <c r="B891" s="33" t="s">
        <v>2569</v>
      </c>
      <c r="C891" s="32" t="s">
        <v>2570</v>
      </c>
      <c r="D891" s="32" t="s">
        <v>2571</v>
      </c>
    </row>
    <row r="892" spans="2:4" x14ac:dyDescent="0.3">
      <c r="B892" s="33" t="s">
        <v>2569</v>
      </c>
      <c r="C892" s="32" t="s">
        <v>2572</v>
      </c>
      <c r="D892" s="32" t="s">
        <v>2573</v>
      </c>
    </row>
    <row r="893" spans="2:4" x14ac:dyDescent="0.3">
      <c r="B893" s="33" t="s">
        <v>2569</v>
      </c>
      <c r="C893" s="32" t="s">
        <v>2574</v>
      </c>
      <c r="D893" s="32" t="s">
        <v>2575</v>
      </c>
    </row>
    <row r="894" spans="2:4" x14ac:dyDescent="0.3">
      <c r="B894" s="33" t="s">
        <v>2576</v>
      </c>
      <c r="C894" s="32" t="s">
        <v>2577</v>
      </c>
      <c r="D894" s="32" t="s">
        <v>2578</v>
      </c>
    </row>
    <row r="895" spans="2:4" x14ac:dyDescent="0.3">
      <c r="B895" s="33" t="s">
        <v>2579</v>
      </c>
      <c r="C895" s="32" t="s">
        <v>2580</v>
      </c>
      <c r="D895" s="32" t="s">
        <v>2581</v>
      </c>
    </row>
    <row r="896" spans="2:4" x14ac:dyDescent="0.3">
      <c r="B896" s="33" t="s">
        <v>2582</v>
      </c>
      <c r="C896" s="32" t="s">
        <v>2583</v>
      </c>
      <c r="D896" s="32" t="s">
        <v>2584</v>
      </c>
    </row>
    <row r="897" spans="2:4" x14ac:dyDescent="0.3">
      <c r="B897" s="33" t="s">
        <v>2585</v>
      </c>
      <c r="C897" s="32" t="s">
        <v>2586</v>
      </c>
      <c r="D897" s="32" t="s">
        <v>2587</v>
      </c>
    </row>
    <row r="898" spans="2:4" x14ac:dyDescent="0.3">
      <c r="B898" s="33" t="s">
        <v>2589</v>
      </c>
      <c r="C898" s="32" t="s">
        <v>2590</v>
      </c>
      <c r="D898" s="32" t="s">
        <v>2591</v>
      </c>
    </row>
    <row r="899" spans="2:4" x14ac:dyDescent="0.3">
      <c r="B899" s="33" t="s">
        <v>2588</v>
      </c>
      <c r="C899" s="32" t="s">
        <v>2592</v>
      </c>
      <c r="D899" s="32" t="s">
        <v>2593</v>
      </c>
    </row>
    <row r="900" spans="2:4" x14ac:dyDescent="0.3">
      <c r="B900" s="33" t="s">
        <v>2594</v>
      </c>
      <c r="C900" s="32" t="s">
        <v>2595</v>
      </c>
      <c r="D900" s="32" t="s">
        <v>2596</v>
      </c>
    </row>
    <row r="901" spans="2:4" x14ac:dyDescent="0.3">
      <c r="B901" s="33" t="s">
        <v>2597</v>
      </c>
      <c r="C901" s="32" t="s">
        <v>2598</v>
      </c>
      <c r="D901" s="32" t="s">
        <v>2599</v>
      </c>
    </row>
    <row r="902" spans="2:4" x14ac:dyDescent="0.3">
      <c r="B902" s="33" t="s">
        <v>2600</v>
      </c>
      <c r="C902" s="32" t="s">
        <v>2601</v>
      </c>
      <c r="D902" s="32" t="s">
        <v>2602</v>
      </c>
    </row>
    <row r="903" spans="2:4" x14ac:dyDescent="0.3">
      <c r="B903" s="33" t="s">
        <v>2603</v>
      </c>
      <c r="C903" s="32" t="s">
        <v>2604</v>
      </c>
      <c r="D903" s="32" t="s">
        <v>36798</v>
      </c>
    </row>
    <row r="904" spans="2:4" x14ac:dyDescent="0.3">
      <c r="B904" s="33" t="s">
        <v>2605</v>
      </c>
      <c r="C904" s="32" t="s">
        <v>2606</v>
      </c>
      <c r="D904" s="32" t="s">
        <v>2607</v>
      </c>
    </row>
    <row r="905" spans="2:4" x14ac:dyDescent="0.3">
      <c r="B905" s="33" t="s">
        <v>2608</v>
      </c>
      <c r="C905" s="32" t="s">
        <v>2609</v>
      </c>
      <c r="D905" s="32" t="s">
        <v>2610</v>
      </c>
    </row>
    <row r="906" spans="2:4" x14ac:dyDescent="0.3">
      <c r="B906" s="33" t="s">
        <v>2611</v>
      </c>
      <c r="C906" s="32" t="s">
        <v>2612</v>
      </c>
      <c r="D906" s="32" t="s">
        <v>2613</v>
      </c>
    </row>
    <row r="907" spans="2:4" x14ac:dyDescent="0.3">
      <c r="B907" s="33" t="s">
        <v>2614</v>
      </c>
      <c r="C907" s="32" t="s">
        <v>2615</v>
      </c>
      <c r="D907" s="32" t="s">
        <v>2616</v>
      </c>
    </row>
    <row r="908" spans="2:4" x14ac:dyDescent="0.3">
      <c r="B908" s="33" t="s">
        <v>2569</v>
      </c>
      <c r="C908" s="32" t="s">
        <v>2617</v>
      </c>
      <c r="D908" s="32" t="s">
        <v>2618</v>
      </c>
    </row>
    <row r="909" spans="2:4" x14ac:dyDescent="0.3">
      <c r="B909" s="33" t="s">
        <v>2619</v>
      </c>
      <c r="C909" s="32" t="s">
        <v>2620</v>
      </c>
      <c r="D909" s="32" t="s">
        <v>2621</v>
      </c>
    </row>
    <row r="910" spans="2:4" x14ac:dyDescent="0.3">
      <c r="B910" s="33" t="s">
        <v>2569</v>
      </c>
      <c r="C910" s="32" t="s">
        <v>2622</v>
      </c>
      <c r="D910" s="32" t="s">
        <v>2623</v>
      </c>
    </row>
    <row r="911" spans="2:4" x14ac:dyDescent="0.3">
      <c r="B911" s="33" t="s">
        <v>2624</v>
      </c>
      <c r="C911" s="32" t="s">
        <v>2625</v>
      </c>
      <c r="D911" s="32" t="s">
        <v>2626</v>
      </c>
    </row>
    <row r="912" spans="2:4" x14ac:dyDescent="0.3">
      <c r="B912" s="33" t="s">
        <v>2627</v>
      </c>
      <c r="C912" s="32" t="s">
        <v>2628</v>
      </c>
      <c r="D912" s="32" t="s">
        <v>2629</v>
      </c>
    </row>
    <row r="913" spans="2:4" x14ac:dyDescent="0.3">
      <c r="B913" s="33" t="s">
        <v>2630</v>
      </c>
      <c r="C913" s="32" t="s">
        <v>2631</v>
      </c>
      <c r="D913" s="32" t="s">
        <v>2632</v>
      </c>
    </row>
    <row r="914" spans="2:4" x14ac:dyDescent="0.3">
      <c r="B914" s="33" t="s">
        <v>2633</v>
      </c>
      <c r="C914" s="32" t="s">
        <v>2634</v>
      </c>
      <c r="D914" s="32" t="s">
        <v>2635</v>
      </c>
    </row>
    <row r="915" spans="2:4" x14ac:dyDescent="0.3">
      <c r="B915" s="33" t="s">
        <v>2636</v>
      </c>
      <c r="C915" s="32" t="s">
        <v>2637</v>
      </c>
      <c r="D915" s="32" t="s">
        <v>2638</v>
      </c>
    </row>
    <row r="916" spans="2:4" x14ac:dyDescent="0.3">
      <c r="B916" s="33" t="s">
        <v>2639</v>
      </c>
      <c r="C916" s="32" t="s">
        <v>2640</v>
      </c>
      <c r="D916" s="32" t="s">
        <v>2641</v>
      </c>
    </row>
    <row r="917" spans="2:4" x14ac:dyDescent="0.3">
      <c r="B917" s="33" t="s">
        <v>2642</v>
      </c>
      <c r="C917" s="32" t="s">
        <v>2643</v>
      </c>
      <c r="D917" s="32" t="s">
        <v>2644</v>
      </c>
    </row>
    <row r="918" spans="2:4" x14ac:dyDescent="0.3">
      <c r="B918" s="33" t="s">
        <v>2645</v>
      </c>
      <c r="C918" s="32" t="s">
        <v>2646</v>
      </c>
      <c r="D918" s="32" t="s">
        <v>2647</v>
      </c>
    </row>
    <row r="919" spans="2:4" x14ac:dyDescent="0.3">
      <c r="B919" s="33" t="s">
        <v>2648</v>
      </c>
      <c r="C919" s="32" t="s">
        <v>2649</v>
      </c>
      <c r="D919" s="32" t="s">
        <v>2650</v>
      </c>
    </row>
    <row r="920" spans="2:4" x14ac:dyDescent="0.3">
      <c r="B920" s="33" t="s">
        <v>2648</v>
      </c>
      <c r="C920" s="32" t="s">
        <v>2651</v>
      </c>
      <c r="D920" s="32" t="s">
        <v>2652</v>
      </c>
    </row>
    <row r="921" spans="2:4" x14ac:dyDescent="0.3">
      <c r="B921" s="33" t="s">
        <v>2648</v>
      </c>
      <c r="C921" s="32" t="s">
        <v>2653</v>
      </c>
      <c r="D921" s="32" t="s">
        <v>2654</v>
      </c>
    </row>
    <row r="922" spans="2:4" x14ac:dyDescent="0.3">
      <c r="B922" s="33" t="s">
        <v>2655</v>
      </c>
      <c r="C922" s="32" t="s">
        <v>2656</v>
      </c>
      <c r="D922" s="32" t="s">
        <v>2657</v>
      </c>
    </row>
    <row r="923" spans="2:4" x14ac:dyDescent="0.3">
      <c r="B923" s="33" t="s">
        <v>2645</v>
      </c>
      <c r="C923" s="32" t="s">
        <v>2658</v>
      </c>
      <c r="D923" s="32" t="s">
        <v>2659</v>
      </c>
    </row>
    <row r="924" spans="2:4" x14ac:dyDescent="0.3">
      <c r="B924" s="33" t="s">
        <v>2660</v>
      </c>
      <c r="C924" s="32" t="s">
        <v>2661</v>
      </c>
      <c r="D924" s="32" t="s">
        <v>2662</v>
      </c>
    </row>
    <row r="925" spans="2:4" x14ac:dyDescent="0.3">
      <c r="B925" s="33" t="s">
        <v>2663</v>
      </c>
      <c r="C925" s="32" t="s">
        <v>2664</v>
      </c>
      <c r="D925" s="32" t="s">
        <v>2665</v>
      </c>
    </row>
    <row r="926" spans="2:4" x14ac:dyDescent="0.3">
      <c r="B926" s="33" t="s">
        <v>2666</v>
      </c>
      <c r="C926" s="32" t="s">
        <v>2667</v>
      </c>
      <c r="D926" s="32" t="s">
        <v>2668</v>
      </c>
    </row>
    <row r="927" spans="2:4" x14ac:dyDescent="0.3">
      <c r="B927" s="33" t="s">
        <v>2669</v>
      </c>
      <c r="C927" s="32" t="s">
        <v>2670</v>
      </c>
      <c r="D927" s="32" t="s">
        <v>2671</v>
      </c>
    </row>
    <row r="928" spans="2:4" x14ac:dyDescent="0.3">
      <c r="B928" s="33" t="s">
        <v>2672</v>
      </c>
      <c r="C928" s="32" t="s">
        <v>2673</v>
      </c>
      <c r="D928" s="32" t="s">
        <v>2674</v>
      </c>
    </row>
    <row r="929" spans="2:4" x14ac:dyDescent="0.3">
      <c r="B929" s="33" t="s">
        <v>2675</v>
      </c>
      <c r="C929" s="32" t="s">
        <v>2676</v>
      </c>
      <c r="D929" s="32" t="s">
        <v>2677</v>
      </c>
    </row>
    <row r="930" spans="2:4" x14ac:dyDescent="0.3">
      <c r="B930" s="33" t="s">
        <v>2678</v>
      </c>
      <c r="C930" s="32" t="s">
        <v>2679</v>
      </c>
      <c r="D930" s="32" t="s">
        <v>2680</v>
      </c>
    </row>
    <row r="931" spans="2:4" x14ac:dyDescent="0.3">
      <c r="B931" s="33" t="s">
        <v>2681</v>
      </c>
      <c r="C931" s="32" t="s">
        <v>2682</v>
      </c>
      <c r="D931" s="32" t="s">
        <v>2683</v>
      </c>
    </row>
    <row r="932" spans="2:4" x14ac:dyDescent="0.3">
      <c r="B932" s="33" t="s">
        <v>2684</v>
      </c>
      <c r="C932" s="32" t="s">
        <v>2685</v>
      </c>
      <c r="D932" s="32" t="s">
        <v>2686</v>
      </c>
    </row>
    <row r="933" spans="2:4" x14ac:dyDescent="0.3">
      <c r="B933" s="33" t="s">
        <v>2687</v>
      </c>
      <c r="C933" s="32" t="s">
        <v>2688</v>
      </c>
      <c r="D933" s="32" t="s">
        <v>2689</v>
      </c>
    </row>
    <row r="934" spans="2:4" x14ac:dyDescent="0.3">
      <c r="B934" s="33" t="s">
        <v>2690</v>
      </c>
      <c r="C934" s="32" t="s">
        <v>2691</v>
      </c>
      <c r="D934" s="32" t="s">
        <v>2692</v>
      </c>
    </row>
    <row r="935" spans="2:4" x14ac:dyDescent="0.3">
      <c r="B935" s="33" t="s">
        <v>2693</v>
      </c>
      <c r="C935" s="32" t="s">
        <v>2694</v>
      </c>
      <c r="D935" s="32" t="s">
        <v>2695</v>
      </c>
    </row>
    <row r="936" spans="2:4" x14ac:dyDescent="0.3">
      <c r="B936" s="33" t="s">
        <v>2696</v>
      </c>
      <c r="C936" s="32" t="s">
        <v>2697</v>
      </c>
      <c r="D936" s="32" t="s">
        <v>2698</v>
      </c>
    </row>
    <row r="937" spans="2:4" x14ac:dyDescent="0.3">
      <c r="B937" s="33" t="s">
        <v>2699</v>
      </c>
      <c r="C937" s="32" t="s">
        <v>2700</v>
      </c>
      <c r="D937" s="32" t="s">
        <v>2701</v>
      </c>
    </row>
    <row r="938" spans="2:4" x14ac:dyDescent="0.3">
      <c r="B938" s="33" t="s">
        <v>2702</v>
      </c>
      <c r="C938" s="32" t="s">
        <v>2703</v>
      </c>
      <c r="D938" s="32" t="s">
        <v>2704</v>
      </c>
    </row>
    <row r="939" spans="2:4" x14ac:dyDescent="0.3">
      <c r="B939" s="33" t="s">
        <v>2705</v>
      </c>
      <c r="C939" s="32" t="s">
        <v>2706</v>
      </c>
      <c r="D939" s="32" t="s">
        <v>2707</v>
      </c>
    </row>
    <row r="940" spans="2:4" x14ac:dyDescent="0.3">
      <c r="B940" s="33" t="s">
        <v>2708</v>
      </c>
      <c r="C940" s="32" t="s">
        <v>2709</v>
      </c>
      <c r="D940" s="32" t="s">
        <v>2710</v>
      </c>
    </row>
    <row r="941" spans="2:4" x14ac:dyDescent="0.3">
      <c r="B941" s="33" t="s">
        <v>2711</v>
      </c>
      <c r="C941" s="32" t="s">
        <v>2712</v>
      </c>
      <c r="D941" s="32" t="s">
        <v>2713</v>
      </c>
    </row>
    <row r="942" spans="2:4" x14ac:dyDescent="0.3">
      <c r="B942" s="33" t="s">
        <v>2714</v>
      </c>
      <c r="C942" s="32" t="s">
        <v>2715</v>
      </c>
      <c r="D942" s="32" t="s">
        <v>2716</v>
      </c>
    </row>
    <row r="943" spans="2:4" x14ac:dyDescent="0.3">
      <c r="B943" s="33" t="s">
        <v>2717</v>
      </c>
      <c r="C943" s="32" t="s">
        <v>2718</v>
      </c>
      <c r="D943" s="32" t="s">
        <v>2719</v>
      </c>
    </row>
    <row r="944" spans="2:4" x14ac:dyDescent="0.3">
      <c r="B944" s="33" t="s">
        <v>2720</v>
      </c>
      <c r="C944" s="32" t="s">
        <v>2721</v>
      </c>
      <c r="D944" s="32" t="s">
        <v>2722</v>
      </c>
    </row>
    <row r="945" spans="2:4" x14ac:dyDescent="0.3">
      <c r="B945" s="33" t="s">
        <v>2723</v>
      </c>
      <c r="C945" s="32" t="s">
        <v>2724</v>
      </c>
      <c r="D945" s="32" t="s">
        <v>2723</v>
      </c>
    </row>
    <row r="946" spans="2:4" x14ac:dyDescent="0.3">
      <c r="B946" s="33" t="s">
        <v>2725</v>
      </c>
      <c r="C946" s="32" t="s">
        <v>2726</v>
      </c>
      <c r="D946" s="32" t="s">
        <v>2727</v>
      </c>
    </row>
    <row r="947" spans="2:4" x14ac:dyDescent="0.3">
      <c r="B947" s="33" t="s">
        <v>36799</v>
      </c>
      <c r="C947" s="32" t="s">
        <v>36800</v>
      </c>
      <c r="D947" s="32" t="s">
        <v>36801</v>
      </c>
    </row>
    <row r="948" spans="2:4" x14ac:dyDescent="0.3">
      <c r="B948" s="33" t="s">
        <v>2728</v>
      </c>
      <c r="C948" s="32" t="s">
        <v>2729</v>
      </c>
      <c r="D948" s="32" t="s">
        <v>2730</v>
      </c>
    </row>
    <row r="949" spans="2:4" x14ac:dyDescent="0.3">
      <c r="B949" s="33" t="s">
        <v>2731</v>
      </c>
      <c r="C949" s="32" t="s">
        <v>2732</v>
      </c>
      <c r="D949" s="32" t="s">
        <v>36674</v>
      </c>
    </row>
    <row r="950" spans="2:4" x14ac:dyDescent="0.3">
      <c r="B950" s="33" t="s">
        <v>2731</v>
      </c>
      <c r="C950" s="32" t="s">
        <v>36675</v>
      </c>
      <c r="D950" s="32" t="s">
        <v>2733</v>
      </c>
    </row>
    <row r="951" spans="2:4" x14ac:dyDescent="0.3">
      <c r="B951" s="33" t="s">
        <v>2734</v>
      </c>
      <c r="C951" s="32" t="s">
        <v>2735</v>
      </c>
      <c r="D951" s="32" t="s">
        <v>2736</v>
      </c>
    </row>
    <row r="952" spans="2:4" x14ac:dyDescent="0.3">
      <c r="B952" s="33" t="s">
        <v>2737</v>
      </c>
      <c r="C952" s="32" t="s">
        <v>2738</v>
      </c>
      <c r="D952" s="32" t="s">
        <v>2739</v>
      </c>
    </row>
    <row r="953" spans="2:4" x14ac:dyDescent="0.3">
      <c r="B953" s="33" t="s">
        <v>2740</v>
      </c>
      <c r="C953" s="32" t="s">
        <v>2741</v>
      </c>
      <c r="D953" s="32" t="s">
        <v>2742</v>
      </c>
    </row>
    <row r="954" spans="2:4" x14ac:dyDescent="0.3">
      <c r="B954" s="33" t="s">
        <v>2743</v>
      </c>
      <c r="C954" s="32" t="s">
        <v>2744</v>
      </c>
      <c r="D954" s="32" t="s">
        <v>2745</v>
      </c>
    </row>
    <row r="955" spans="2:4" x14ac:dyDescent="0.3">
      <c r="B955" s="33" t="s">
        <v>2734</v>
      </c>
      <c r="C955" s="32" t="s">
        <v>2746</v>
      </c>
      <c r="D955" s="32" t="s">
        <v>2747</v>
      </c>
    </row>
    <row r="956" spans="2:4" x14ac:dyDescent="0.3">
      <c r="B956" s="33" t="s">
        <v>2748</v>
      </c>
      <c r="C956" s="32" t="s">
        <v>2749</v>
      </c>
      <c r="D956" s="32" t="s">
        <v>2750</v>
      </c>
    </row>
    <row r="957" spans="2:4" x14ac:dyDescent="0.3">
      <c r="B957" s="33" t="s">
        <v>2751</v>
      </c>
      <c r="C957" s="32" t="s">
        <v>2752</v>
      </c>
      <c r="D957" s="32" t="s">
        <v>2753</v>
      </c>
    </row>
    <row r="958" spans="2:4" x14ac:dyDescent="0.3">
      <c r="B958" s="33" t="s">
        <v>2754</v>
      </c>
      <c r="C958" s="32" t="s">
        <v>2755</v>
      </c>
      <c r="D958" s="32" t="s">
        <v>2756</v>
      </c>
    </row>
    <row r="959" spans="2:4" x14ac:dyDescent="0.3">
      <c r="B959" s="33" t="s">
        <v>2757</v>
      </c>
      <c r="C959" s="32" t="s">
        <v>2758</v>
      </c>
      <c r="D959" s="32" t="s">
        <v>2757</v>
      </c>
    </row>
    <row r="960" spans="2:4" x14ac:dyDescent="0.3">
      <c r="B960" s="33" t="s">
        <v>2759</v>
      </c>
      <c r="C960" s="32" t="s">
        <v>2760</v>
      </c>
      <c r="D960" s="32" t="s">
        <v>2761</v>
      </c>
    </row>
    <row r="961" spans="2:4" x14ac:dyDescent="0.3">
      <c r="B961" s="33" t="s">
        <v>2762</v>
      </c>
      <c r="C961" s="32" t="s">
        <v>2763</v>
      </c>
      <c r="D961" s="32" t="s">
        <v>2764</v>
      </c>
    </row>
    <row r="962" spans="2:4" x14ac:dyDescent="0.3">
      <c r="B962" s="33" t="s">
        <v>2684</v>
      </c>
      <c r="C962" s="32" t="s">
        <v>2765</v>
      </c>
      <c r="D962" s="32" t="s">
        <v>2766</v>
      </c>
    </row>
    <row r="963" spans="2:4" x14ac:dyDescent="0.3">
      <c r="B963" s="33" t="s">
        <v>2767</v>
      </c>
      <c r="C963" s="32" t="s">
        <v>2768</v>
      </c>
      <c r="D963" s="32" t="s">
        <v>2769</v>
      </c>
    </row>
    <row r="964" spans="2:4" x14ac:dyDescent="0.3">
      <c r="B964" s="33" t="s">
        <v>2770</v>
      </c>
      <c r="C964" s="32" t="s">
        <v>2771</v>
      </c>
      <c r="D964" s="32" t="s">
        <v>2772</v>
      </c>
    </row>
    <row r="965" spans="2:4" x14ac:dyDescent="0.3">
      <c r="B965" s="33" t="s">
        <v>2773</v>
      </c>
      <c r="C965" s="32" t="s">
        <v>2774</v>
      </c>
      <c r="D965" s="32" t="s">
        <v>2775</v>
      </c>
    </row>
    <row r="966" spans="2:4" x14ac:dyDescent="0.3">
      <c r="B966" s="33" t="s">
        <v>1238</v>
      </c>
      <c r="C966" s="32" t="s">
        <v>2776</v>
      </c>
      <c r="D966" s="32" t="s">
        <v>37117</v>
      </c>
    </row>
    <row r="967" spans="2:4" x14ac:dyDescent="0.3">
      <c r="B967" s="33" t="s">
        <v>2777</v>
      </c>
      <c r="C967" s="32" t="s">
        <v>2778</v>
      </c>
      <c r="D967" s="32" t="s">
        <v>2777</v>
      </c>
    </row>
    <row r="968" spans="2:4" x14ac:dyDescent="0.3">
      <c r="B968" s="33" t="s">
        <v>2777</v>
      </c>
      <c r="C968" s="32" t="s">
        <v>2779</v>
      </c>
      <c r="D968" s="32" t="s">
        <v>2780</v>
      </c>
    </row>
    <row r="969" spans="2:4" x14ac:dyDescent="0.3">
      <c r="B969" s="33" t="s">
        <v>2781</v>
      </c>
      <c r="C969" s="32" t="s">
        <v>2782</v>
      </c>
      <c r="D969" s="32" t="s">
        <v>2783</v>
      </c>
    </row>
    <row r="970" spans="2:4" x14ac:dyDescent="0.3">
      <c r="B970" s="33" t="s">
        <v>2784</v>
      </c>
      <c r="C970" s="32" t="s">
        <v>2785</v>
      </c>
      <c r="D970" s="32" t="s">
        <v>2786</v>
      </c>
    </row>
    <row r="971" spans="2:4" x14ac:dyDescent="0.3">
      <c r="B971" s="33" t="s">
        <v>2787</v>
      </c>
      <c r="C971" s="32" t="s">
        <v>2788</v>
      </c>
      <c r="D971" s="32" t="s">
        <v>2789</v>
      </c>
    </row>
    <row r="972" spans="2:4" x14ac:dyDescent="0.3">
      <c r="B972" s="33" t="s">
        <v>2790</v>
      </c>
      <c r="C972" s="32" t="s">
        <v>2791</v>
      </c>
      <c r="D972" s="32" t="s">
        <v>2790</v>
      </c>
    </row>
    <row r="973" spans="2:4" x14ac:dyDescent="0.3">
      <c r="B973" s="33" t="s">
        <v>2792</v>
      </c>
      <c r="C973" s="32" t="s">
        <v>2793</v>
      </c>
      <c r="D973" s="32" t="s">
        <v>2794</v>
      </c>
    </row>
    <row r="974" spans="2:4" x14ac:dyDescent="0.3">
      <c r="B974" s="33" t="s">
        <v>2795</v>
      </c>
      <c r="C974" s="32" t="s">
        <v>2796</v>
      </c>
      <c r="D974" s="32" t="s">
        <v>2797</v>
      </c>
    </row>
    <row r="975" spans="2:4" x14ac:dyDescent="0.3">
      <c r="B975" s="33" t="s">
        <v>2795</v>
      </c>
      <c r="C975" s="32" t="s">
        <v>2798</v>
      </c>
      <c r="D975" s="32" t="s">
        <v>2799</v>
      </c>
    </row>
    <row r="976" spans="2:4" x14ac:dyDescent="0.3">
      <c r="B976" s="33" t="s">
        <v>2800</v>
      </c>
      <c r="C976" s="32" t="s">
        <v>2801</v>
      </c>
      <c r="D976" s="32" t="s">
        <v>2800</v>
      </c>
    </row>
    <row r="977" spans="2:4" x14ac:dyDescent="0.3">
      <c r="B977" s="33" t="s">
        <v>2802</v>
      </c>
      <c r="C977" s="32" t="s">
        <v>2803</v>
      </c>
      <c r="D977" s="32" t="s">
        <v>2802</v>
      </c>
    </row>
    <row r="978" spans="2:4" x14ac:dyDescent="0.3">
      <c r="B978" s="33" t="s">
        <v>2804</v>
      </c>
      <c r="C978" s="32" t="s">
        <v>2805</v>
      </c>
      <c r="D978" s="32" t="s">
        <v>2806</v>
      </c>
    </row>
    <row r="979" spans="2:4" x14ac:dyDescent="0.3">
      <c r="B979" s="33" t="s">
        <v>2731</v>
      </c>
      <c r="C979" s="32" t="s">
        <v>2807</v>
      </c>
      <c r="D979" s="32" t="s">
        <v>2808</v>
      </c>
    </row>
    <row r="980" spans="2:4" x14ac:dyDescent="0.3">
      <c r="B980" s="33" t="s">
        <v>2809</v>
      </c>
      <c r="C980" s="32" t="s">
        <v>2810</v>
      </c>
      <c r="D980" s="32" t="s">
        <v>2811</v>
      </c>
    </row>
    <row r="981" spans="2:4" x14ac:dyDescent="0.3">
      <c r="B981" s="33" t="s">
        <v>2812</v>
      </c>
      <c r="C981" s="32" t="s">
        <v>2813</v>
      </c>
      <c r="D981" s="32" t="s">
        <v>2814</v>
      </c>
    </row>
    <row r="982" spans="2:4" x14ac:dyDescent="0.3">
      <c r="B982" s="33" t="s">
        <v>2815</v>
      </c>
      <c r="C982" s="32" t="s">
        <v>2816</v>
      </c>
      <c r="D982" s="32" t="s">
        <v>2817</v>
      </c>
    </row>
    <row r="983" spans="2:4" x14ac:dyDescent="0.3">
      <c r="B983" s="33" t="s">
        <v>2818</v>
      </c>
      <c r="C983" s="32" t="s">
        <v>2819</v>
      </c>
      <c r="D983" s="32" t="s">
        <v>2820</v>
      </c>
    </row>
    <row r="984" spans="2:4" x14ac:dyDescent="0.3">
      <c r="B984" s="33" t="s">
        <v>2821</v>
      </c>
      <c r="C984" s="32" t="s">
        <v>2822</v>
      </c>
      <c r="D984" s="32" t="s">
        <v>2823</v>
      </c>
    </row>
    <row r="985" spans="2:4" x14ac:dyDescent="0.3">
      <c r="B985" s="33" t="s">
        <v>2824</v>
      </c>
      <c r="C985" s="32" t="s">
        <v>2825</v>
      </c>
      <c r="D985" s="32" t="s">
        <v>2824</v>
      </c>
    </row>
    <row r="986" spans="2:4" x14ac:dyDescent="0.3">
      <c r="B986" s="33" t="s">
        <v>2826</v>
      </c>
      <c r="C986" s="32" t="s">
        <v>2827</v>
      </c>
      <c r="D986" s="32" t="s">
        <v>2828</v>
      </c>
    </row>
    <row r="987" spans="2:4" x14ac:dyDescent="0.3">
      <c r="B987" s="33" t="s">
        <v>2829</v>
      </c>
      <c r="C987" s="32" t="s">
        <v>2830</v>
      </c>
      <c r="D987" s="32" t="s">
        <v>2831</v>
      </c>
    </row>
    <row r="988" spans="2:4" x14ac:dyDescent="0.3">
      <c r="B988" s="33" t="s">
        <v>2832</v>
      </c>
      <c r="C988" s="32" t="s">
        <v>2833</v>
      </c>
      <c r="D988" s="32" t="s">
        <v>2834</v>
      </c>
    </row>
    <row r="989" spans="2:4" x14ac:dyDescent="0.3">
      <c r="B989" s="33" t="s">
        <v>1283</v>
      </c>
      <c r="C989" s="32" t="s">
        <v>2835</v>
      </c>
      <c r="D989" s="32" t="s">
        <v>2836</v>
      </c>
    </row>
    <row r="990" spans="2:4" x14ac:dyDescent="0.3">
      <c r="B990" s="33" t="s">
        <v>2837</v>
      </c>
      <c r="C990" s="32" t="s">
        <v>2838</v>
      </c>
      <c r="D990" s="32" t="s">
        <v>2839</v>
      </c>
    </row>
    <row r="991" spans="2:4" x14ac:dyDescent="0.3">
      <c r="B991" s="33" t="s">
        <v>2840</v>
      </c>
      <c r="C991" s="32" t="s">
        <v>2841</v>
      </c>
      <c r="D991" s="32" t="s">
        <v>2842</v>
      </c>
    </row>
    <row r="992" spans="2:4" x14ac:dyDescent="0.3">
      <c r="B992" s="33" t="s">
        <v>2843</v>
      </c>
      <c r="C992" s="32" t="s">
        <v>2844</v>
      </c>
      <c r="D992" s="32" t="s">
        <v>2845</v>
      </c>
    </row>
    <row r="993" spans="2:4" x14ac:dyDescent="0.3">
      <c r="B993" s="33" t="s">
        <v>2846</v>
      </c>
      <c r="C993" s="32" t="s">
        <v>2847</v>
      </c>
      <c r="D993" s="32" t="s">
        <v>2848</v>
      </c>
    </row>
    <row r="994" spans="2:4" x14ac:dyDescent="0.3">
      <c r="B994" s="33" t="s">
        <v>2849</v>
      </c>
      <c r="C994" s="32" t="s">
        <v>2850</v>
      </c>
      <c r="D994" s="32" t="s">
        <v>2851</v>
      </c>
    </row>
    <row r="995" spans="2:4" x14ac:dyDescent="0.3">
      <c r="B995" s="33" t="s">
        <v>2852</v>
      </c>
      <c r="C995" s="32" t="s">
        <v>2853</v>
      </c>
      <c r="D995" s="32" t="s">
        <v>2854</v>
      </c>
    </row>
    <row r="996" spans="2:4" x14ac:dyDescent="0.3">
      <c r="B996" s="33" t="s">
        <v>2855</v>
      </c>
      <c r="C996" s="32" t="s">
        <v>2856</v>
      </c>
      <c r="D996" s="32" t="s">
        <v>2857</v>
      </c>
    </row>
    <row r="997" spans="2:4" x14ac:dyDescent="0.3">
      <c r="B997" s="33" t="s">
        <v>2858</v>
      </c>
      <c r="C997" s="32" t="s">
        <v>2859</v>
      </c>
      <c r="D997" s="32" t="s">
        <v>2860</v>
      </c>
    </row>
    <row r="998" spans="2:4" x14ac:dyDescent="0.3">
      <c r="B998" s="33" t="s">
        <v>2861</v>
      </c>
      <c r="C998" s="32" t="s">
        <v>2862</v>
      </c>
      <c r="D998" s="32" t="s">
        <v>2863</v>
      </c>
    </row>
    <row r="999" spans="2:4" x14ac:dyDescent="0.3">
      <c r="B999" s="33" t="s">
        <v>2864</v>
      </c>
      <c r="C999" s="32" t="s">
        <v>2865</v>
      </c>
      <c r="D999" s="32" t="s">
        <v>2866</v>
      </c>
    </row>
    <row r="1000" spans="2:4" x14ac:dyDescent="0.3">
      <c r="B1000" s="33" t="s">
        <v>1463</v>
      </c>
      <c r="C1000" s="32" t="s">
        <v>2867</v>
      </c>
      <c r="D1000" s="32" t="s">
        <v>1463</v>
      </c>
    </row>
    <row r="1001" spans="2:4" x14ac:dyDescent="0.3">
      <c r="B1001" s="33" t="s">
        <v>2868</v>
      </c>
      <c r="C1001" s="32" t="s">
        <v>2869</v>
      </c>
      <c r="D1001" s="32" t="s">
        <v>2868</v>
      </c>
    </row>
    <row r="1002" spans="2:4" x14ac:dyDescent="0.3">
      <c r="B1002" s="33" t="s">
        <v>1463</v>
      </c>
      <c r="C1002" s="32" t="s">
        <v>2870</v>
      </c>
      <c r="D1002" s="32" t="s">
        <v>2871</v>
      </c>
    </row>
    <row r="1003" spans="2:4" x14ac:dyDescent="0.3">
      <c r="B1003" s="33" t="s">
        <v>1463</v>
      </c>
      <c r="C1003" s="32" t="s">
        <v>2872</v>
      </c>
      <c r="D1003" s="32" t="s">
        <v>2873</v>
      </c>
    </row>
    <row r="1004" spans="2:4" x14ac:dyDescent="0.3">
      <c r="B1004" s="33" t="s">
        <v>2874</v>
      </c>
      <c r="C1004" s="32" t="s">
        <v>2875</v>
      </c>
      <c r="D1004" s="32" t="s">
        <v>2876</v>
      </c>
    </row>
    <row r="1005" spans="2:4" x14ac:dyDescent="0.3">
      <c r="B1005" s="33" t="s">
        <v>2877</v>
      </c>
      <c r="C1005" s="32" t="s">
        <v>2878</v>
      </c>
      <c r="D1005" s="32" t="s">
        <v>2879</v>
      </c>
    </row>
    <row r="1006" spans="2:4" x14ac:dyDescent="0.3">
      <c r="B1006" s="33" t="s">
        <v>2880</v>
      </c>
      <c r="C1006" s="32" t="s">
        <v>2881</v>
      </c>
      <c r="D1006" s="32" t="s">
        <v>2880</v>
      </c>
    </row>
    <row r="1007" spans="2:4" x14ac:dyDescent="0.3">
      <c r="B1007" s="33" t="s">
        <v>2882</v>
      </c>
      <c r="C1007" s="32" t="s">
        <v>2883</v>
      </c>
      <c r="D1007" s="32" t="s">
        <v>2882</v>
      </c>
    </row>
    <row r="1008" spans="2:4" x14ac:dyDescent="0.3">
      <c r="B1008" s="33" t="s">
        <v>2884</v>
      </c>
      <c r="C1008" s="32" t="s">
        <v>2885</v>
      </c>
      <c r="D1008" s="32" t="s">
        <v>2886</v>
      </c>
    </row>
    <row r="1009" spans="2:4" x14ac:dyDescent="0.3">
      <c r="B1009" s="33" t="s">
        <v>2063</v>
      </c>
      <c r="C1009" s="32" t="s">
        <v>2887</v>
      </c>
      <c r="D1009" s="32" t="s">
        <v>2888</v>
      </c>
    </row>
    <row r="1010" spans="2:4" x14ac:dyDescent="0.3">
      <c r="B1010" s="33" t="s">
        <v>2889</v>
      </c>
      <c r="C1010" s="32" t="s">
        <v>2890</v>
      </c>
      <c r="D1010" s="32" t="s">
        <v>2891</v>
      </c>
    </row>
    <row r="1011" spans="2:4" x14ac:dyDescent="0.3">
      <c r="B1011" s="33" t="s">
        <v>2892</v>
      </c>
      <c r="C1011" s="32" t="s">
        <v>2893</v>
      </c>
      <c r="D1011" s="32" t="s">
        <v>2894</v>
      </c>
    </row>
    <row r="1012" spans="2:4" x14ac:dyDescent="0.3">
      <c r="B1012" s="33" t="s">
        <v>2846</v>
      </c>
      <c r="C1012" s="32" t="s">
        <v>2895</v>
      </c>
      <c r="D1012" s="32" t="s">
        <v>2896</v>
      </c>
    </row>
    <row r="1013" spans="2:4" x14ac:dyDescent="0.3">
      <c r="B1013" s="33" t="s">
        <v>2897</v>
      </c>
      <c r="C1013" s="32" t="s">
        <v>2898</v>
      </c>
      <c r="D1013" s="32" t="s">
        <v>2899</v>
      </c>
    </row>
    <row r="1014" spans="2:4" x14ac:dyDescent="0.3">
      <c r="B1014" s="33" t="s">
        <v>2900</v>
      </c>
      <c r="C1014" s="32" t="s">
        <v>2901</v>
      </c>
      <c r="D1014" s="32" t="s">
        <v>2902</v>
      </c>
    </row>
    <row r="1015" spans="2:4" x14ac:dyDescent="0.3">
      <c r="B1015" s="33" t="s">
        <v>2903</v>
      </c>
      <c r="C1015" s="32" t="s">
        <v>2904</v>
      </c>
      <c r="D1015" s="32" t="s">
        <v>2905</v>
      </c>
    </row>
    <row r="1016" spans="2:4" x14ac:dyDescent="0.3">
      <c r="B1016" s="33" t="s">
        <v>2906</v>
      </c>
      <c r="C1016" s="32" t="s">
        <v>2907</v>
      </c>
      <c r="D1016" s="32" t="s">
        <v>2908</v>
      </c>
    </row>
    <row r="1017" spans="2:4" x14ac:dyDescent="0.3">
      <c r="B1017" s="33" t="s">
        <v>2906</v>
      </c>
      <c r="C1017" s="32" t="s">
        <v>2909</v>
      </c>
      <c r="D1017" s="32" t="s">
        <v>2910</v>
      </c>
    </row>
    <row r="1018" spans="2:4" x14ac:dyDescent="0.3">
      <c r="B1018" s="33" t="s">
        <v>2892</v>
      </c>
      <c r="C1018" s="32" t="s">
        <v>2911</v>
      </c>
      <c r="D1018" s="32" t="s">
        <v>2912</v>
      </c>
    </row>
    <row r="1019" spans="2:4" x14ac:dyDescent="0.3">
      <c r="B1019" s="33" t="s">
        <v>2913</v>
      </c>
      <c r="C1019" s="32" t="s">
        <v>2914</v>
      </c>
      <c r="D1019" s="32" t="s">
        <v>2915</v>
      </c>
    </row>
    <row r="1020" spans="2:4" x14ac:dyDescent="0.3">
      <c r="B1020" s="33" t="s">
        <v>2916</v>
      </c>
      <c r="C1020" s="32" t="s">
        <v>2917</v>
      </c>
      <c r="D1020" s="32" t="s">
        <v>2918</v>
      </c>
    </row>
    <row r="1021" spans="2:4" x14ac:dyDescent="0.3">
      <c r="B1021" s="33" t="s">
        <v>2919</v>
      </c>
      <c r="C1021" s="32" t="s">
        <v>2920</v>
      </c>
      <c r="D1021" s="32" t="s">
        <v>2921</v>
      </c>
    </row>
    <row r="1022" spans="2:4" x14ac:dyDescent="0.3">
      <c r="B1022" s="33" t="s">
        <v>2922</v>
      </c>
      <c r="C1022" s="32" t="s">
        <v>2923</v>
      </c>
      <c r="D1022" s="32" t="s">
        <v>2922</v>
      </c>
    </row>
    <row r="1023" spans="2:4" x14ac:dyDescent="0.3">
      <c r="B1023" s="33" t="s">
        <v>2924</v>
      </c>
      <c r="C1023" s="32" t="s">
        <v>2925</v>
      </c>
      <c r="D1023" s="32" t="s">
        <v>2926</v>
      </c>
    </row>
    <row r="1024" spans="2:4" x14ac:dyDescent="0.3">
      <c r="B1024" s="33" t="s">
        <v>2784</v>
      </c>
      <c r="C1024" s="32" t="s">
        <v>2927</v>
      </c>
      <c r="D1024" s="32" t="s">
        <v>2928</v>
      </c>
    </row>
    <row r="1025" spans="2:4" x14ac:dyDescent="0.3">
      <c r="B1025" s="33" t="s">
        <v>1255</v>
      </c>
      <c r="C1025" s="32" t="s">
        <v>2929</v>
      </c>
      <c r="D1025" s="32" t="s">
        <v>2930</v>
      </c>
    </row>
    <row r="1026" spans="2:4" x14ac:dyDescent="0.3">
      <c r="B1026" s="33" t="s">
        <v>2034</v>
      </c>
      <c r="C1026" s="32" t="s">
        <v>2931</v>
      </c>
      <c r="D1026" s="32" t="s">
        <v>2932</v>
      </c>
    </row>
    <row r="1027" spans="2:4" x14ac:dyDescent="0.3">
      <c r="B1027" s="33" t="s">
        <v>2933</v>
      </c>
      <c r="C1027" s="32" t="s">
        <v>2934</v>
      </c>
      <c r="D1027" s="32" t="s">
        <v>2935</v>
      </c>
    </row>
    <row r="1028" spans="2:4" x14ac:dyDescent="0.3">
      <c r="B1028" s="33" t="s">
        <v>2936</v>
      </c>
      <c r="C1028" s="32" t="s">
        <v>2937</v>
      </c>
      <c r="D1028" s="32" t="s">
        <v>2938</v>
      </c>
    </row>
    <row r="1029" spans="2:4" x14ac:dyDescent="0.3">
      <c r="B1029" s="33" t="s">
        <v>2939</v>
      </c>
      <c r="C1029" s="32" t="s">
        <v>2940</v>
      </c>
      <c r="D1029" s="32" t="s">
        <v>2941</v>
      </c>
    </row>
    <row r="1030" spans="2:4" x14ac:dyDescent="0.3">
      <c r="B1030" s="33" t="s">
        <v>2942</v>
      </c>
      <c r="C1030" s="32" t="s">
        <v>2943</v>
      </c>
      <c r="D1030" s="32" t="s">
        <v>2944</v>
      </c>
    </row>
    <row r="1031" spans="2:4" x14ac:dyDescent="0.3">
      <c r="B1031" s="33" t="s">
        <v>2945</v>
      </c>
      <c r="C1031" s="32" t="s">
        <v>2946</v>
      </c>
      <c r="D1031" s="32" t="s">
        <v>2947</v>
      </c>
    </row>
    <row r="1032" spans="2:4" x14ac:dyDescent="0.3">
      <c r="B1032" s="33" t="s">
        <v>2948</v>
      </c>
      <c r="C1032" s="32" t="s">
        <v>2949</v>
      </c>
      <c r="D1032" s="32" t="s">
        <v>2950</v>
      </c>
    </row>
    <row r="1033" spans="2:4" x14ac:dyDescent="0.3">
      <c r="B1033" s="33" t="s">
        <v>2951</v>
      </c>
      <c r="C1033" s="32" t="s">
        <v>2952</v>
      </c>
      <c r="D1033" s="32" t="s">
        <v>2953</v>
      </c>
    </row>
    <row r="1034" spans="2:4" x14ac:dyDescent="0.3">
      <c r="B1034" s="33" t="s">
        <v>2954</v>
      </c>
      <c r="C1034" s="32" t="s">
        <v>2955</v>
      </c>
      <c r="D1034" s="32" t="s">
        <v>2956</v>
      </c>
    </row>
    <row r="1035" spans="2:4" x14ac:dyDescent="0.3">
      <c r="B1035" s="33" t="s">
        <v>2957</v>
      </c>
      <c r="C1035" s="32" t="s">
        <v>2958</v>
      </c>
      <c r="D1035" s="32" t="s">
        <v>2959</v>
      </c>
    </row>
    <row r="1036" spans="2:4" x14ac:dyDescent="0.3">
      <c r="B1036" s="33" t="s">
        <v>2960</v>
      </c>
      <c r="C1036" s="32" t="s">
        <v>2961</v>
      </c>
      <c r="D1036" s="32" t="s">
        <v>2962</v>
      </c>
    </row>
    <row r="1037" spans="2:4" x14ac:dyDescent="0.3">
      <c r="B1037" s="33" t="s">
        <v>2963</v>
      </c>
      <c r="C1037" s="32" t="s">
        <v>2964</v>
      </c>
      <c r="D1037" s="32" t="s">
        <v>2965</v>
      </c>
    </row>
    <row r="1038" spans="2:4" x14ac:dyDescent="0.3">
      <c r="B1038" s="33" t="s">
        <v>2966</v>
      </c>
      <c r="C1038" s="32" t="s">
        <v>2967</v>
      </c>
      <c r="D1038" s="32" t="s">
        <v>2968</v>
      </c>
    </row>
    <row r="1039" spans="2:4" x14ac:dyDescent="0.3">
      <c r="B1039" s="33" t="s">
        <v>242</v>
      </c>
      <c r="C1039" s="32" t="s">
        <v>2969</v>
      </c>
      <c r="D1039" s="32" t="s">
        <v>2970</v>
      </c>
    </row>
    <row r="1040" spans="2:4" x14ac:dyDescent="0.3">
      <c r="B1040" s="33" t="s">
        <v>242</v>
      </c>
      <c r="C1040" s="32" t="s">
        <v>37118</v>
      </c>
      <c r="D1040" s="32" t="s">
        <v>37119</v>
      </c>
    </row>
    <row r="1041" spans="2:4" x14ac:dyDescent="0.3">
      <c r="B1041" s="33" t="s">
        <v>37120</v>
      </c>
      <c r="C1041" s="32" t="s">
        <v>2971</v>
      </c>
      <c r="D1041" s="32" t="s">
        <v>37121</v>
      </c>
    </row>
    <row r="1042" spans="2:4" x14ac:dyDescent="0.3">
      <c r="B1042" s="33" t="s">
        <v>2972</v>
      </c>
      <c r="C1042" s="32" t="s">
        <v>2973</v>
      </c>
      <c r="D1042" s="32" t="s">
        <v>2974</v>
      </c>
    </row>
    <row r="1043" spans="2:4" x14ac:dyDescent="0.3">
      <c r="B1043" s="33" t="s">
        <v>2975</v>
      </c>
      <c r="C1043" s="32" t="s">
        <v>2976</v>
      </c>
      <c r="D1043" s="32" t="s">
        <v>2977</v>
      </c>
    </row>
    <row r="1044" spans="2:4" x14ac:dyDescent="0.3">
      <c r="B1044" s="33" t="s">
        <v>242</v>
      </c>
      <c r="C1044" s="32" t="s">
        <v>2978</v>
      </c>
      <c r="D1044" s="32" t="s">
        <v>2979</v>
      </c>
    </row>
    <row r="1045" spans="2:4" x14ac:dyDescent="0.3">
      <c r="B1045" s="33" t="s">
        <v>242</v>
      </c>
      <c r="C1045" s="32" t="s">
        <v>2980</v>
      </c>
      <c r="D1045" s="32" t="s">
        <v>2981</v>
      </c>
    </row>
    <row r="1046" spans="2:4" x14ac:dyDescent="0.3">
      <c r="B1046" s="33" t="s">
        <v>2982</v>
      </c>
      <c r="C1046" s="32" t="s">
        <v>2983</v>
      </c>
      <c r="D1046" s="32" t="s">
        <v>2984</v>
      </c>
    </row>
    <row r="1047" spans="2:4" x14ac:dyDescent="0.3">
      <c r="B1047" s="33" t="s">
        <v>2985</v>
      </c>
      <c r="C1047" s="32" t="s">
        <v>2986</v>
      </c>
      <c r="D1047" s="32" t="s">
        <v>2987</v>
      </c>
    </row>
    <row r="1048" spans="2:4" x14ac:dyDescent="0.3">
      <c r="B1048" s="33" t="s">
        <v>2988</v>
      </c>
      <c r="C1048" s="32" t="s">
        <v>2989</v>
      </c>
      <c r="D1048" s="32" t="s">
        <v>2990</v>
      </c>
    </row>
    <row r="1049" spans="2:4" x14ac:dyDescent="0.3">
      <c r="B1049" s="33" t="s">
        <v>2991</v>
      </c>
      <c r="C1049" s="32" t="s">
        <v>2992</v>
      </c>
      <c r="D1049" s="32" t="s">
        <v>2993</v>
      </c>
    </row>
    <row r="1050" spans="2:4" x14ac:dyDescent="0.3">
      <c r="B1050" s="33" t="s">
        <v>2994</v>
      </c>
      <c r="C1050" s="32" t="s">
        <v>2995</v>
      </c>
      <c r="D1050" s="32" t="s">
        <v>2996</v>
      </c>
    </row>
    <row r="1051" spans="2:4" x14ac:dyDescent="0.3">
      <c r="B1051" s="33" t="s">
        <v>2997</v>
      </c>
      <c r="C1051" s="32" t="s">
        <v>2998</v>
      </c>
      <c r="D1051" s="32" t="s">
        <v>2999</v>
      </c>
    </row>
    <row r="1052" spans="2:4" x14ac:dyDescent="0.3">
      <c r="B1052" s="33" t="s">
        <v>3000</v>
      </c>
      <c r="C1052" s="32" t="s">
        <v>3001</v>
      </c>
      <c r="D1052" s="32" t="s">
        <v>3002</v>
      </c>
    </row>
    <row r="1053" spans="2:4" x14ac:dyDescent="0.3">
      <c r="B1053" s="33" t="s">
        <v>2809</v>
      </c>
      <c r="C1053" s="32" t="s">
        <v>3003</v>
      </c>
      <c r="D1053" s="32" t="s">
        <v>3004</v>
      </c>
    </row>
    <row r="1054" spans="2:4" x14ac:dyDescent="0.3">
      <c r="B1054" s="33" t="s">
        <v>3005</v>
      </c>
      <c r="C1054" s="32" t="s">
        <v>3006</v>
      </c>
      <c r="D1054" s="32" t="s">
        <v>3007</v>
      </c>
    </row>
    <row r="1055" spans="2:4" x14ac:dyDescent="0.3">
      <c r="B1055" s="33" t="s">
        <v>1238</v>
      </c>
      <c r="C1055" s="32" t="s">
        <v>3008</v>
      </c>
      <c r="D1055" s="32" t="s">
        <v>3009</v>
      </c>
    </row>
    <row r="1056" spans="2:4" x14ac:dyDescent="0.3">
      <c r="B1056" s="33" t="s">
        <v>1501</v>
      </c>
      <c r="C1056" s="32" t="s">
        <v>3010</v>
      </c>
      <c r="D1056" s="32" t="s">
        <v>3011</v>
      </c>
    </row>
    <row r="1057" spans="2:4" x14ac:dyDescent="0.3">
      <c r="B1057" s="33" t="s">
        <v>1501</v>
      </c>
      <c r="C1057" s="32" t="s">
        <v>3012</v>
      </c>
      <c r="D1057" s="32" t="s">
        <v>3013</v>
      </c>
    </row>
    <row r="1058" spans="2:4" x14ac:dyDescent="0.3">
      <c r="B1058" s="33" t="s">
        <v>3014</v>
      </c>
      <c r="C1058" s="32" t="s">
        <v>3015</v>
      </c>
      <c r="D1058" s="32" t="s">
        <v>3016</v>
      </c>
    </row>
    <row r="1059" spans="2:4" x14ac:dyDescent="0.3">
      <c r="B1059" s="33" t="s">
        <v>3017</v>
      </c>
      <c r="C1059" s="32" t="s">
        <v>3018</v>
      </c>
      <c r="D1059" s="32" t="s">
        <v>3019</v>
      </c>
    </row>
    <row r="1060" spans="2:4" x14ac:dyDescent="0.3">
      <c r="B1060" s="33" t="s">
        <v>3020</v>
      </c>
      <c r="C1060" s="32" t="s">
        <v>3021</v>
      </c>
      <c r="D1060" s="32" t="s">
        <v>3022</v>
      </c>
    </row>
    <row r="1061" spans="2:4" x14ac:dyDescent="0.3">
      <c r="B1061" s="33" t="s">
        <v>1501</v>
      </c>
      <c r="C1061" s="32" t="s">
        <v>3023</v>
      </c>
      <c r="D1061" s="32" t="s">
        <v>3024</v>
      </c>
    </row>
    <row r="1062" spans="2:4" x14ac:dyDescent="0.3">
      <c r="B1062" s="33" t="s">
        <v>3025</v>
      </c>
      <c r="C1062" s="32" t="s">
        <v>3026</v>
      </c>
      <c r="D1062" s="32" t="s">
        <v>3027</v>
      </c>
    </row>
    <row r="1063" spans="2:4" x14ac:dyDescent="0.3">
      <c r="B1063" s="33" t="s">
        <v>3028</v>
      </c>
      <c r="C1063" s="32" t="s">
        <v>3029</v>
      </c>
      <c r="D1063" s="32" t="s">
        <v>3030</v>
      </c>
    </row>
    <row r="1064" spans="2:4" x14ac:dyDescent="0.3">
      <c r="B1064" s="33" t="s">
        <v>3031</v>
      </c>
      <c r="C1064" s="32" t="s">
        <v>3032</v>
      </c>
      <c r="D1064" s="32" t="s">
        <v>3033</v>
      </c>
    </row>
    <row r="1065" spans="2:4" x14ac:dyDescent="0.3">
      <c r="B1065" s="33" t="s">
        <v>3034</v>
      </c>
      <c r="C1065" s="32" t="s">
        <v>3035</v>
      </c>
      <c r="D1065" s="32" t="s">
        <v>3036</v>
      </c>
    </row>
    <row r="1066" spans="2:4" x14ac:dyDescent="0.3">
      <c r="B1066" s="33" t="s">
        <v>3037</v>
      </c>
      <c r="C1066" s="32" t="s">
        <v>3038</v>
      </c>
      <c r="D1066" s="32" t="s">
        <v>3039</v>
      </c>
    </row>
    <row r="1067" spans="2:4" x14ac:dyDescent="0.3">
      <c r="B1067" s="33" t="s">
        <v>3040</v>
      </c>
      <c r="C1067" s="32" t="s">
        <v>3041</v>
      </c>
      <c r="D1067" s="32" t="s">
        <v>3042</v>
      </c>
    </row>
    <row r="1068" spans="2:4" x14ac:dyDescent="0.3">
      <c r="B1068" s="33" t="s">
        <v>3043</v>
      </c>
      <c r="C1068" s="32" t="s">
        <v>3044</v>
      </c>
      <c r="D1068" s="32" t="s">
        <v>3045</v>
      </c>
    </row>
    <row r="1069" spans="2:4" x14ac:dyDescent="0.3">
      <c r="B1069" s="33" t="s">
        <v>3046</v>
      </c>
      <c r="C1069" s="32" t="s">
        <v>3047</v>
      </c>
      <c r="D1069" s="32" t="s">
        <v>36802</v>
      </c>
    </row>
    <row r="1070" spans="2:4" x14ac:dyDescent="0.3">
      <c r="B1070" s="33" t="s">
        <v>3048</v>
      </c>
      <c r="C1070" s="32" t="s">
        <v>3049</v>
      </c>
      <c r="D1070" s="32" t="s">
        <v>3050</v>
      </c>
    </row>
    <row r="1071" spans="2:4" x14ac:dyDescent="0.3">
      <c r="B1071" s="33" t="s">
        <v>3031</v>
      </c>
      <c r="C1071" s="32" t="s">
        <v>3051</v>
      </c>
      <c r="D1071" s="32" t="s">
        <v>3052</v>
      </c>
    </row>
    <row r="1072" spans="2:4" x14ac:dyDescent="0.3">
      <c r="B1072" s="33" t="s">
        <v>3053</v>
      </c>
      <c r="C1072" s="32" t="s">
        <v>3054</v>
      </c>
      <c r="D1072" s="32" t="s">
        <v>3055</v>
      </c>
    </row>
    <row r="1073" spans="2:4" x14ac:dyDescent="0.3">
      <c r="B1073" s="33" t="s">
        <v>1764</v>
      </c>
      <c r="C1073" s="32" t="s">
        <v>3056</v>
      </c>
      <c r="D1073" s="32" t="s">
        <v>3057</v>
      </c>
    </row>
    <row r="1074" spans="2:4" x14ac:dyDescent="0.3">
      <c r="B1074" s="33" t="s">
        <v>3058</v>
      </c>
      <c r="C1074" s="32" t="s">
        <v>3059</v>
      </c>
      <c r="D1074" s="32" t="s">
        <v>3060</v>
      </c>
    </row>
    <row r="1075" spans="2:4" x14ac:dyDescent="0.3">
      <c r="B1075" s="33" t="s">
        <v>3061</v>
      </c>
      <c r="C1075" s="32" t="s">
        <v>3062</v>
      </c>
      <c r="D1075" s="32" t="s">
        <v>3063</v>
      </c>
    </row>
    <row r="1076" spans="2:4" x14ac:dyDescent="0.3">
      <c r="B1076" s="33" t="s">
        <v>3064</v>
      </c>
      <c r="C1076" s="32" t="s">
        <v>3065</v>
      </c>
      <c r="D1076" s="32" t="s">
        <v>3066</v>
      </c>
    </row>
    <row r="1077" spans="2:4" x14ac:dyDescent="0.3">
      <c r="B1077" s="33" t="s">
        <v>3067</v>
      </c>
      <c r="C1077" s="32" t="s">
        <v>3068</v>
      </c>
      <c r="D1077" s="32" t="s">
        <v>3069</v>
      </c>
    </row>
    <row r="1078" spans="2:4" x14ac:dyDescent="0.3">
      <c r="B1078" s="33" t="s">
        <v>3070</v>
      </c>
      <c r="C1078" s="32" t="s">
        <v>3071</v>
      </c>
      <c r="D1078" s="32" t="s">
        <v>3070</v>
      </c>
    </row>
    <row r="1079" spans="2:4" x14ac:dyDescent="0.3">
      <c r="B1079" s="33" t="s">
        <v>3072</v>
      </c>
      <c r="C1079" s="32" t="s">
        <v>3073</v>
      </c>
      <c r="D1079" s="32" t="s">
        <v>3074</v>
      </c>
    </row>
    <row r="1080" spans="2:4" x14ac:dyDescent="0.3">
      <c r="B1080" s="33" t="s">
        <v>3075</v>
      </c>
      <c r="C1080" s="32" t="s">
        <v>3076</v>
      </c>
      <c r="D1080" s="32" t="s">
        <v>3077</v>
      </c>
    </row>
    <row r="1081" spans="2:4" x14ac:dyDescent="0.3">
      <c r="B1081" s="33" t="s">
        <v>3078</v>
      </c>
      <c r="C1081" s="32" t="s">
        <v>3079</v>
      </c>
      <c r="D1081" s="32" t="s">
        <v>3080</v>
      </c>
    </row>
    <row r="1082" spans="2:4" x14ac:dyDescent="0.3">
      <c r="B1082" s="33" t="s">
        <v>3081</v>
      </c>
      <c r="C1082" s="32" t="s">
        <v>3082</v>
      </c>
      <c r="D1082" s="32" t="s">
        <v>3083</v>
      </c>
    </row>
    <row r="1083" spans="2:4" x14ac:dyDescent="0.3">
      <c r="B1083" s="33" t="s">
        <v>3084</v>
      </c>
      <c r="C1083" s="32" t="s">
        <v>3085</v>
      </c>
      <c r="D1083" s="32" t="s">
        <v>3086</v>
      </c>
    </row>
    <row r="1084" spans="2:4" x14ac:dyDescent="0.3">
      <c r="B1084" s="33" t="s">
        <v>2815</v>
      </c>
      <c r="C1084" s="32" t="s">
        <v>3087</v>
      </c>
      <c r="D1084" s="32" t="s">
        <v>3088</v>
      </c>
    </row>
    <row r="1085" spans="2:4" x14ac:dyDescent="0.3">
      <c r="B1085" s="33" t="s">
        <v>3053</v>
      </c>
      <c r="C1085" s="32" t="s">
        <v>3089</v>
      </c>
      <c r="D1085" s="32" t="s">
        <v>3090</v>
      </c>
    </row>
    <row r="1086" spans="2:4" x14ac:dyDescent="0.3">
      <c r="B1086" s="33" t="s">
        <v>3091</v>
      </c>
      <c r="C1086" s="32" t="s">
        <v>3092</v>
      </c>
      <c r="D1086" s="32" t="s">
        <v>3091</v>
      </c>
    </row>
    <row r="1087" spans="2:4" x14ac:dyDescent="0.3">
      <c r="B1087" s="33" t="s">
        <v>3093</v>
      </c>
      <c r="C1087" s="32" t="s">
        <v>3094</v>
      </c>
      <c r="D1087" s="32" t="s">
        <v>3095</v>
      </c>
    </row>
    <row r="1088" spans="2:4" x14ac:dyDescent="0.3">
      <c r="B1088" s="33" t="s">
        <v>3096</v>
      </c>
      <c r="C1088" s="32" t="s">
        <v>3097</v>
      </c>
      <c r="D1088" s="32" t="s">
        <v>3098</v>
      </c>
    </row>
    <row r="1089" spans="2:4" x14ac:dyDescent="0.3">
      <c r="B1089" s="33" t="s">
        <v>1432</v>
      </c>
      <c r="C1089" s="32" t="s">
        <v>3099</v>
      </c>
      <c r="D1089" s="32" t="s">
        <v>3100</v>
      </c>
    </row>
    <row r="1090" spans="2:4" x14ac:dyDescent="0.3">
      <c r="B1090" s="33" t="s">
        <v>3101</v>
      </c>
      <c r="C1090" s="32" t="s">
        <v>3102</v>
      </c>
      <c r="D1090" s="32" t="s">
        <v>3103</v>
      </c>
    </row>
    <row r="1091" spans="2:4" x14ac:dyDescent="0.3">
      <c r="B1091" s="33" t="s">
        <v>3104</v>
      </c>
      <c r="C1091" s="32" t="s">
        <v>3105</v>
      </c>
      <c r="D1091" s="32" t="s">
        <v>3106</v>
      </c>
    </row>
    <row r="1092" spans="2:4" x14ac:dyDescent="0.3">
      <c r="B1092" s="33" t="s">
        <v>3107</v>
      </c>
      <c r="C1092" s="32" t="s">
        <v>3108</v>
      </c>
      <c r="D1092" s="32" t="s">
        <v>3109</v>
      </c>
    </row>
    <row r="1093" spans="2:4" x14ac:dyDescent="0.3">
      <c r="B1093" s="33" t="s">
        <v>3110</v>
      </c>
      <c r="C1093" s="32" t="s">
        <v>3111</v>
      </c>
      <c r="D1093" s="32" t="s">
        <v>3112</v>
      </c>
    </row>
    <row r="1094" spans="2:4" x14ac:dyDescent="0.3">
      <c r="B1094" s="33" t="s">
        <v>3110</v>
      </c>
      <c r="C1094" s="32" t="s">
        <v>3113</v>
      </c>
      <c r="D1094" s="32" t="s">
        <v>3114</v>
      </c>
    </row>
    <row r="1095" spans="2:4" x14ac:dyDescent="0.3">
      <c r="B1095" s="33" t="s">
        <v>3115</v>
      </c>
      <c r="C1095" s="32" t="s">
        <v>3116</v>
      </c>
      <c r="D1095" s="32" t="s">
        <v>3117</v>
      </c>
    </row>
    <row r="1096" spans="2:4" x14ac:dyDescent="0.3">
      <c r="B1096" s="33" t="s">
        <v>3118</v>
      </c>
      <c r="C1096" s="32" t="s">
        <v>3119</v>
      </c>
      <c r="D1096" s="32" t="s">
        <v>3120</v>
      </c>
    </row>
    <row r="1097" spans="2:4" x14ac:dyDescent="0.3">
      <c r="B1097" s="33" t="s">
        <v>3121</v>
      </c>
      <c r="C1097" s="32" t="s">
        <v>3122</v>
      </c>
      <c r="D1097" s="32" t="s">
        <v>3123</v>
      </c>
    </row>
    <row r="1098" spans="2:4" x14ac:dyDescent="0.3">
      <c r="B1098" s="33" t="s">
        <v>3124</v>
      </c>
      <c r="C1098" s="32" t="s">
        <v>3125</v>
      </c>
      <c r="D1098" s="32" t="s">
        <v>3126</v>
      </c>
    </row>
    <row r="1099" spans="2:4" x14ac:dyDescent="0.3">
      <c r="B1099" s="33" t="s">
        <v>3151</v>
      </c>
      <c r="C1099" s="32" t="s">
        <v>37122</v>
      </c>
      <c r="D1099" s="32" t="s">
        <v>37123</v>
      </c>
    </row>
    <row r="1100" spans="2:4" x14ac:dyDescent="0.3">
      <c r="B1100" s="33" t="s">
        <v>3127</v>
      </c>
      <c r="C1100" s="32" t="s">
        <v>3128</v>
      </c>
      <c r="D1100" s="32" t="s">
        <v>3129</v>
      </c>
    </row>
    <row r="1101" spans="2:4" x14ac:dyDescent="0.3">
      <c r="B1101" s="33" t="s">
        <v>3130</v>
      </c>
      <c r="C1101" s="32" t="s">
        <v>3131</v>
      </c>
      <c r="D1101" s="32" t="s">
        <v>3132</v>
      </c>
    </row>
    <row r="1102" spans="2:4" x14ac:dyDescent="0.3">
      <c r="B1102" s="33" t="s">
        <v>3133</v>
      </c>
      <c r="C1102" s="32" t="s">
        <v>3134</v>
      </c>
      <c r="D1102" s="32" t="s">
        <v>3135</v>
      </c>
    </row>
    <row r="1103" spans="2:4" x14ac:dyDescent="0.3">
      <c r="B1103" s="33" t="s">
        <v>3136</v>
      </c>
      <c r="C1103" s="32" t="s">
        <v>3137</v>
      </c>
      <c r="D1103" s="32" t="s">
        <v>3138</v>
      </c>
    </row>
    <row r="1104" spans="2:4" x14ac:dyDescent="0.3">
      <c r="B1104" s="33" t="s">
        <v>3139</v>
      </c>
      <c r="C1104" s="32" t="s">
        <v>3140</v>
      </c>
      <c r="D1104" s="32" t="s">
        <v>3141</v>
      </c>
    </row>
    <row r="1105" spans="2:4" x14ac:dyDescent="0.3">
      <c r="B1105" s="33" t="s">
        <v>3127</v>
      </c>
      <c r="C1105" s="32" t="s">
        <v>3142</v>
      </c>
      <c r="D1105" s="32" t="s">
        <v>3143</v>
      </c>
    </row>
    <row r="1106" spans="2:4" x14ac:dyDescent="0.3">
      <c r="B1106" s="33" t="s">
        <v>3144</v>
      </c>
      <c r="C1106" s="32" t="s">
        <v>3145</v>
      </c>
      <c r="D1106" s="32" t="s">
        <v>3146</v>
      </c>
    </row>
    <row r="1107" spans="2:4" x14ac:dyDescent="0.3">
      <c r="B1107" s="33" t="s">
        <v>3127</v>
      </c>
      <c r="C1107" s="32" t="s">
        <v>3147</v>
      </c>
      <c r="D1107" s="32" t="s">
        <v>3148</v>
      </c>
    </row>
    <row r="1108" spans="2:4" x14ac:dyDescent="0.3">
      <c r="B1108" s="33" t="s">
        <v>3149</v>
      </c>
      <c r="C1108" s="32" t="s">
        <v>3150</v>
      </c>
      <c r="D1108" s="32" t="s">
        <v>3149</v>
      </c>
    </row>
    <row r="1109" spans="2:4" x14ac:dyDescent="0.3">
      <c r="B1109" s="33" t="s">
        <v>3151</v>
      </c>
      <c r="C1109" s="32" t="s">
        <v>3152</v>
      </c>
      <c r="D1109" s="32" t="s">
        <v>3153</v>
      </c>
    </row>
    <row r="1110" spans="2:4" x14ac:dyDescent="0.3">
      <c r="B1110" s="33" t="s">
        <v>2619</v>
      </c>
      <c r="C1110" s="32" t="s">
        <v>3154</v>
      </c>
      <c r="D1110" s="32" t="s">
        <v>3155</v>
      </c>
    </row>
    <row r="1111" spans="2:4" x14ac:dyDescent="0.3">
      <c r="B1111" s="33" t="s">
        <v>3156</v>
      </c>
      <c r="C1111" s="32" t="s">
        <v>3157</v>
      </c>
      <c r="D1111" s="32" t="s">
        <v>3158</v>
      </c>
    </row>
    <row r="1112" spans="2:4" x14ac:dyDescent="0.3">
      <c r="B1112" s="33" t="s">
        <v>2619</v>
      </c>
      <c r="C1112" s="32" t="s">
        <v>3159</v>
      </c>
      <c r="D1112" s="32" t="s">
        <v>3160</v>
      </c>
    </row>
    <row r="1113" spans="2:4" x14ac:dyDescent="0.3">
      <c r="B1113" s="33" t="s">
        <v>3161</v>
      </c>
      <c r="C1113" s="32" t="s">
        <v>3162</v>
      </c>
      <c r="D1113" s="32" t="s">
        <v>3163</v>
      </c>
    </row>
    <row r="1114" spans="2:4" x14ac:dyDescent="0.3">
      <c r="B1114" s="33" t="s">
        <v>3164</v>
      </c>
      <c r="C1114" s="32" t="s">
        <v>3165</v>
      </c>
      <c r="D1114" s="32" t="s">
        <v>3166</v>
      </c>
    </row>
    <row r="1115" spans="2:4" x14ac:dyDescent="0.3">
      <c r="B1115" s="33" t="s">
        <v>3164</v>
      </c>
      <c r="C1115" s="32" t="s">
        <v>3167</v>
      </c>
      <c r="D1115" s="32" t="s">
        <v>3168</v>
      </c>
    </row>
    <row r="1116" spans="2:4" x14ac:dyDescent="0.3">
      <c r="B1116" s="33" t="s">
        <v>3169</v>
      </c>
      <c r="C1116" s="32" t="s">
        <v>3170</v>
      </c>
      <c r="D1116" s="32" t="s">
        <v>3171</v>
      </c>
    </row>
    <row r="1117" spans="2:4" x14ac:dyDescent="0.3">
      <c r="B1117" s="33" t="s">
        <v>3172</v>
      </c>
      <c r="C1117" s="32" t="s">
        <v>3173</v>
      </c>
      <c r="D1117" s="32" t="s">
        <v>3174</v>
      </c>
    </row>
    <row r="1118" spans="2:4" x14ac:dyDescent="0.3">
      <c r="B1118" s="33" t="s">
        <v>1852</v>
      </c>
      <c r="C1118" s="32" t="s">
        <v>3175</v>
      </c>
      <c r="D1118" s="32" t="s">
        <v>3176</v>
      </c>
    </row>
    <row r="1119" spans="2:4" x14ac:dyDescent="0.3">
      <c r="B1119" s="33" t="s">
        <v>3177</v>
      </c>
      <c r="C1119" s="32" t="s">
        <v>3178</v>
      </c>
      <c r="D1119" s="32" t="s">
        <v>3179</v>
      </c>
    </row>
    <row r="1120" spans="2:4" x14ac:dyDescent="0.3">
      <c r="B1120" s="33" t="s">
        <v>1960</v>
      </c>
      <c r="C1120" s="32" t="s">
        <v>3180</v>
      </c>
      <c r="D1120" s="32" t="s">
        <v>3181</v>
      </c>
    </row>
    <row r="1121" spans="2:4" x14ac:dyDescent="0.3">
      <c r="B1121" s="33" t="s">
        <v>3182</v>
      </c>
      <c r="C1121" s="32" t="s">
        <v>3183</v>
      </c>
      <c r="D1121" s="32" t="s">
        <v>3184</v>
      </c>
    </row>
    <row r="1122" spans="2:4" x14ac:dyDescent="0.3">
      <c r="B1122" s="33" t="s">
        <v>3185</v>
      </c>
      <c r="C1122" s="32" t="s">
        <v>3186</v>
      </c>
      <c r="D1122" s="32" t="s">
        <v>3187</v>
      </c>
    </row>
    <row r="1123" spans="2:4" x14ac:dyDescent="0.3">
      <c r="B1123" s="33" t="s">
        <v>3188</v>
      </c>
      <c r="C1123" s="32" t="s">
        <v>3189</v>
      </c>
      <c r="D1123" s="32" t="s">
        <v>3190</v>
      </c>
    </row>
    <row r="1124" spans="2:4" x14ac:dyDescent="0.3">
      <c r="B1124" s="33" t="s">
        <v>3005</v>
      </c>
      <c r="C1124" s="32" t="s">
        <v>3191</v>
      </c>
      <c r="D1124" s="32" t="s">
        <v>3192</v>
      </c>
    </row>
    <row r="1125" spans="2:4" x14ac:dyDescent="0.3">
      <c r="B1125" s="33" t="s">
        <v>3193</v>
      </c>
      <c r="C1125" s="32" t="s">
        <v>3194</v>
      </c>
      <c r="D1125" s="32" t="s">
        <v>3195</v>
      </c>
    </row>
    <row r="1126" spans="2:4" x14ac:dyDescent="0.3">
      <c r="B1126" s="33" t="s">
        <v>3196</v>
      </c>
      <c r="C1126" s="32" t="s">
        <v>3197</v>
      </c>
      <c r="D1126" s="32" t="s">
        <v>3198</v>
      </c>
    </row>
    <row r="1127" spans="2:4" x14ac:dyDescent="0.3">
      <c r="B1127" s="33" t="s">
        <v>1252</v>
      </c>
      <c r="C1127" s="32" t="s">
        <v>3199</v>
      </c>
      <c r="D1127" s="32" t="s">
        <v>3200</v>
      </c>
    </row>
    <row r="1128" spans="2:4" x14ac:dyDescent="0.3">
      <c r="B1128" s="33" t="s">
        <v>3201</v>
      </c>
      <c r="C1128" s="32" t="s">
        <v>3202</v>
      </c>
      <c r="D1128" s="32" t="s">
        <v>3203</v>
      </c>
    </row>
    <row r="1129" spans="2:4" x14ac:dyDescent="0.3">
      <c r="B1129" s="33" t="s">
        <v>3204</v>
      </c>
      <c r="C1129" s="32" t="s">
        <v>3205</v>
      </c>
      <c r="D1129" s="32" t="s">
        <v>3206</v>
      </c>
    </row>
    <row r="1130" spans="2:4" x14ac:dyDescent="0.3">
      <c r="B1130" s="33" t="s">
        <v>3207</v>
      </c>
      <c r="C1130" s="32" t="s">
        <v>3208</v>
      </c>
      <c r="D1130" s="32" t="s">
        <v>3209</v>
      </c>
    </row>
    <row r="1131" spans="2:4" x14ac:dyDescent="0.3">
      <c r="B1131" s="33" t="s">
        <v>3210</v>
      </c>
      <c r="C1131" s="32" t="s">
        <v>3211</v>
      </c>
      <c r="D1131" s="32" t="s">
        <v>3212</v>
      </c>
    </row>
    <row r="1132" spans="2:4" x14ac:dyDescent="0.3">
      <c r="B1132" s="33" t="s">
        <v>3213</v>
      </c>
      <c r="C1132" s="32" t="s">
        <v>3214</v>
      </c>
      <c r="D1132" s="32" t="s">
        <v>3215</v>
      </c>
    </row>
    <row r="1133" spans="2:4" x14ac:dyDescent="0.3">
      <c r="B1133" s="33" t="s">
        <v>3216</v>
      </c>
      <c r="C1133" s="32" t="s">
        <v>3217</v>
      </c>
      <c r="D1133" s="32" t="s">
        <v>3218</v>
      </c>
    </row>
    <row r="1134" spans="2:4" x14ac:dyDescent="0.3">
      <c r="B1134" s="33" t="s">
        <v>3219</v>
      </c>
      <c r="C1134" s="32" t="s">
        <v>3220</v>
      </c>
      <c r="D1134" s="32" t="s">
        <v>3221</v>
      </c>
    </row>
    <row r="1135" spans="2:4" x14ac:dyDescent="0.3">
      <c r="B1135" s="33" t="s">
        <v>3222</v>
      </c>
      <c r="C1135" s="32" t="s">
        <v>3223</v>
      </c>
      <c r="D1135" s="32" t="s">
        <v>3224</v>
      </c>
    </row>
    <row r="1136" spans="2:4" x14ac:dyDescent="0.3">
      <c r="B1136" s="33" t="s">
        <v>44</v>
      </c>
      <c r="C1136" s="32" t="s">
        <v>3225</v>
      </c>
      <c r="D1136" s="32" t="s">
        <v>45</v>
      </c>
    </row>
    <row r="1137" spans="2:4" x14ac:dyDescent="0.3">
      <c r="B1137" s="33" t="s">
        <v>3226</v>
      </c>
      <c r="C1137" s="32" t="s">
        <v>3227</v>
      </c>
      <c r="D1137" s="32" t="s">
        <v>3228</v>
      </c>
    </row>
    <row r="1138" spans="2:4" x14ac:dyDescent="0.3">
      <c r="B1138" s="33" t="s">
        <v>3229</v>
      </c>
      <c r="C1138" s="32" t="s">
        <v>3230</v>
      </c>
      <c r="D1138" s="32" t="s">
        <v>3231</v>
      </c>
    </row>
    <row r="1139" spans="2:4" x14ac:dyDescent="0.3">
      <c r="B1139" s="33" t="s">
        <v>44</v>
      </c>
      <c r="C1139" s="32" t="s">
        <v>3232</v>
      </c>
      <c r="D1139" s="32" t="s">
        <v>3233</v>
      </c>
    </row>
    <row r="1140" spans="2:4" x14ac:dyDescent="0.3">
      <c r="B1140" s="33" t="s">
        <v>3234</v>
      </c>
      <c r="C1140" s="32" t="s">
        <v>3235</v>
      </c>
      <c r="D1140" s="32" t="s">
        <v>3236</v>
      </c>
    </row>
    <row r="1141" spans="2:4" x14ac:dyDescent="0.3">
      <c r="B1141" s="33" t="s">
        <v>3237</v>
      </c>
      <c r="C1141" s="32" t="s">
        <v>3238</v>
      </c>
      <c r="D1141" s="32" t="s">
        <v>3239</v>
      </c>
    </row>
    <row r="1142" spans="2:4" x14ac:dyDescent="0.3">
      <c r="B1142" s="33" t="s">
        <v>3237</v>
      </c>
      <c r="C1142" s="32" t="s">
        <v>3240</v>
      </c>
      <c r="D1142" s="32" t="s">
        <v>3241</v>
      </c>
    </row>
    <row r="1143" spans="2:4" x14ac:dyDescent="0.3">
      <c r="B1143" s="33" t="s">
        <v>3242</v>
      </c>
      <c r="C1143" s="32" t="s">
        <v>3243</v>
      </c>
      <c r="D1143" s="32" t="s">
        <v>3244</v>
      </c>
    </row>
    <row r="1144" spans="2:4" x14ac:dyDescent="0.3">
      <c r="B1144" s="33" t="s">
        <v>3245</v>
      </c>
      <c r="C1144" s="32" t="s">
        <v>3246</v>
      </c>
      <c r="D1144" s="32" t="s">
        <v>3247</v>
      </c>
    </row>
    <row r="1145" spans="2:4" x14ac:dyDescent="0.3">
      <c r="B1145" s="33" t="s">
        <v>3248</v>
      </c>
      <c r="C1145" s="32" t="s">
        <v>3249</v>
      </c>
      <c r="D1145" s="32" t="s">
        <v>3250</v>
      </c>
    </row>
    <row r="1146" spans="2:4" x14ac:dyDescent="0.3">
      <c r="B1146" s="33" t="s">
        <v>3251</v>
      </c>
      <c r="C1146" s="32" t="s">
        <v>3252</v>
      </c>
      <c r="D1146" s="32" t="s">
        <v>3253</v>
      </c>
    </row>
    <row r="1147" spans="2:4" x14ac:dyDescent="0.3">
      <c r="B1147" s="33" t="s">
        <v>3254</v>
      </c>
      <c r="C1147" s="32" t="s">
        <v>3255</v>
      </c>
      <c r="D1147" s="32" t="s">
        <v>3256</v>
      </c>
    </row>
    <row r="1148" spans="2:4" x14ac:dyDescent="0.3">
      <c r="B1148" s="33" t="s">
        <v>3257</v>
      </c>
      <c r="C1148" s="32" t="s">
        <v>3258</v>
      </c>
      <c r="D1148" s="32" t="s">
        <v>3259</v>
      </c>
    </row>
    <row r="1149" spans="2:4" x14ac:dyDescent="0.3">
      <c r="B1149" s="33" t="s">
        <v>3260</v>
      </c>
      <c r="C1149" s="32" t="s">
        <v>3261</v>
      </c>
      <c r="D1149" s="32" t="s">
        <v>3262</v>
      </c>
    </row>
    <row r="1150" spans="2:4" x14ac:dyDescent="0.3">
      <c r="B1150" s="33" t="s">
        <v>3263</v>
      </c>
      <c r="C1150" s="32" t="s">
        <v>3264</v>
      </c>
      <c r="D1150" s="32" t="s">
        <v>3265</v>
      </c>
    </row>
    <row r="1151" spans="2:4" x14ac:dyDescent="0.3">
      <c r="B1151" s="33" t="s">
        <v>3266</v>
      </c>
      <c r="C1151" s="32" t="s">
        <v>3267</v>
      </c>
      <c r="D1151" s="32" t="s">
        <v>3268</v>
      </c>
    </row>
    <row r="1152" spans="2:4" x14ac:dyDescent="0.3">
      <c r="B1152" s="33" t="s">
        <v>3269</v>
      </c>
      <c r="C1152" s="32" t="s">
        <v>3270</v>
      </c>
      <c r="D1152" s="32" t="s">
        <v>3271</v>
      </c>
    </row>
    <row r="1153" spans="2:4" x14ac:dyDescent="0.3">
      <c r="B1153" s="33" t="s">
        <v>3272</v>
      </c>
      <c r="C1153" s="32" t="s">
        <v>3273</v>
      </c>
      <c r="D1153" s="32" t="s">
        <v>3274</v>
      </c>
    </row>
    <row r="1154" spans="2:4" x14ac:dyDescent="0.3">
      <c r="B1154" s="33" t="s">
        <v>3275</v>
      </c>
      <c r="C1154" s="32" t="s">
        <v>3276</v>
      </c>
      <c r="D1154" s="32" t="s">
        <v>3277</v>
      </c>
    </row>
    <row r="1155" spans="2:4" x14ac:dyDescent="0.3">
      <c r="B1155" s="33" t="s">
        <v>1960</v>
      </c>
      <c r="C1155" s="32" t="s">
        <v>3278</v>
      </c>
      <c r="D1155" s="32" t="s">
        <v>3279</v>
      </c>
    </row>
    <row r="1156" spans="2:4" x14ac:dyDescent="0.3">
      <c r="B1156" s="33" t="s">
        <v>3280</v>
      </c>
      <c r="C1156" s="32" t="s">
        <v>3281</v>
      </c>
      <c r="D1156" s="32" t="s">
        <v>3282</v>
      </c>
    </row>
    <row r="1157" spans="2:4" x14ac:dyDescent="0.3">
      <c r="B1157" s="33" t="s">
        <v>3283</v>
      </c>
      <c r="C1157" s="32" t="s">
        <v>3284</v>
      </c>
      <c r="D1157" s="32" t="s">
        <v>3285</v>
      </c>
    </row>
    <row r="1158" spans="2:4" x14ac:dyDescent="0.3">
      <c r="B1158" s="33" t="s">
        <v>3286</v>
      </c>
      <c r="C1158" s="32" t="s">
        <v>3287</v>
      </c>
      <c r="D1158" s="32" t="s">
        <v>3288</v>
      </c>
    </row>
    <row r="1159" spans="2:4" x14ac:dyDescent="0.3">
      <c r="B1159" s="33" t="s">
        <v>3289</v>
      </c>
      <c r="C1159" s="32" t="s">
        <v>3290</v>
      </c>
      <c r="D1159" s="32" t="s">
        <v>3291</v>
      </c>
    </row>
    <row r="1160" spans="2:4" x14ac:dyDescent="0.3">
      <c r="B1160" s="33" t="s">
        <v>3292</v>
      </c>
      <c r="C1160" s="32" t="s">
        <v>3293</v>
      </c>
      <c r="D1160" s="32" t="s">
        <v>3294</v>
      </c>
    </row>
    <row r="1161" spans="2:4" x14ac:dyDescent="0.3">
      <c r="B1161" s="33" t="s">
        <v>3295</v>
      </c>
      <c r="C1161" s="32" t="s">
        <v>3296</v>
      </c>
      <c r="D1161" s="32" t="s">
        <v>3297</v>
      </c>
    </row>
    <row r="1162" spans="2:4" x14ac:dyDescent="0.3">
      <c r="B1162" s="33" t="s">
        <v>3298</v>
      </c>
      <c r="C1162" s="32" t="s">
        <v>3299</v>
      </c>
      <c r="D1162" s="32" t="s">
        <v>3300</v>
      </c>
    </row>
    <row r="1163" spans="2:4" x14ac:dyDescent="0.3">
      <c r="B1163" s="33" t="s">
        <v>2818</v>
      </c>
      <c r="C1163" s="32" t="s">
        <v>3301</v>
      </c>
      <c r="D1163" s="32" t="s">
        <v>3302</v>
      </c>
    </row>
    <row r="1164" spans="2:4" x14ac:dyDescent="0.3">
      <c r="B1164" s="33" t="s">
        <v>3303</v>
      </c>
      <c r="C1164" s="32" t="s">
        <v>3304</v>
      </c>
      <c r="D1164" s="32" t="s">
        <v>3305</v>
      </c>
    </row>
    <row r="1165" spans="2:4" x14ac:dyDescent="0.3">
      <c r="B1165" s="33" t="s">
        <v>3306</v>
      </c>
      <c r="C1165" s="32" t="s">
        <v>3307</v>
      </c>
      <c r="D1165" s="32" t="s">
        <v>3303</v>
      </c>
    </row>
    <row r="1166" spans="2:4" x14ac:dyDescent="0.3">
      <c r="B1166" s="33" t="s">
        <v>3308</v>
      </c>
      <c r="C1166" s="32" t="s">
        <v>3309</v>
      </c>
      <c r="D1166" s="32" t="s">
        <v>3308</v>
      </c>
    </row>
    <row r="1167" spans="2:4" x14ac:dyDescent="0.3">
      <c r="B1167" s="33" t="s">
        <v>3310</v>
      </c>
      <c r="C1167" s="32" t="s">
        <v>3311</v>
      </c>
      <c r="D1167" s="32" t="s">
        <v>3310</v>
      </c>
    </row>
    <row r="1168" spans="2:4" x14ac:dyDescent="0.3">
      <c r="B1168" s="33" t="s">
        <v>3306</v>
      </c>
      <c r="C1168" s="32" t="s">
        <v>3312</v>
      </c>
      <c r="D1168" s="32" t="s">
        <v>3313</v>
      </c>
    </row>
    <row r="1169" spans="2:4" x14ac:dyDescent="0.3">
      <c r="B1169" s="33" t="s">
        <v>3314</v>
      </c>
      <c r="C1169" s="32" t="s">
        <v>3315</v>
      </c>
      <c r="D1169" s="32" t="s">
        <v>3316</v>
      </c>
    </row>
    <row r="1170" spans="2:4" x14ac:dyDescent="0.3">
      <c r="B1170" s="33" t="s">
        <v>3317</v>
      </c>
      <c r="C1170" s="32" t="s">
        <v>3318</v>
      </c>
      <c r="D1170" s="32" t="s">
        <v>3319</v>
      </c>
    </row>
    <row r="1171" spans="2:4" x14ac:dyDescent="0.3">
      <c r="B1171" s="33" t="s">
        <v>3320</v>
      </c>
      <c r="C1171" s="32" t="s">
        <v>3321</v>
      </c>
      <c r="D1171" s="32" t="s">
        <v>3320</v>
      </c>
    </row>
    <row r="1172" spans="2:4" x14ac:dyDescent="0.3">
      <c r="B1172" s="33" t="s">
        <v>3322</v>
      </c>
      <c r="C1172" s="32" t="s">
        <v>3323</v>
      </c>
      <c r="D1172" s="32" t="s">
        <v>3324</v>
      </c>
    </row>
    <row r="1173" spans="2:4" x14ac:dyDescent="0.3">
      <c r="B1173" s="33" t="s">
        <v>3325</v>
      </c>
      <c r="C1173" s="32" t="s">
        <v>3326</v>
      </c>
      <c r="D1173" s="32" t="s">
        <v>3327</v>
      </c>
    </row>
    <row r="1174" spans="2:4" x14ac:dyDescent="0.3">
      <c r="B1174" s="33" t="s">
        <v>3328</v>
      </c>
      <c r="C1174" s="32" t="s">
        <v>3329</v>
      </c>
      <c r="D1174" s="32" t="s">
        <v>3330</v>
      </c>
    </row>
    <row r="1175" spans="2:4" x14ac:dyDescent="0.3">
      <c r="B1175" s="33" t="s">
        <v>3322</v>
      </c>
      <c r="C1175" s="32" t="s">
        <v>3331</v>
      </c>
      <c r="D1175" s="32" t="s">
        <v>3332</v>
      </c>
    </row>
    <row r="1176" spans="2:4" x14ac:dyDescent="0.3">
      <c r="B1176" s="33" t="s">
        <v>3333</v>
      </c>
      <c r="C1176" s="32" t="s">
        <v>3334</v>
      </c>
      <c r="D1176" s="32" t="s">
        <v>3335</v>
      </c>
    </row>
    <row r="1177" spans="2:4" x14ac:dyDescent="0.3">
      <c r="B1177" s="33" t="s">
        <v>138</v>
      </c>
      <c r="C1177" s="32" t="s">
        <v>3336</v>
      </c>
      <c r="D1177" s="32" t="s">
        <v>139</v>
      </c>
    </row>
    <row r="1178" spans="2:4" x14ac:dyDescent="0.3">
      <c r="B1178" s="33" t="s">
        <v>3337</v>
      </c>
      <c r="C1178" s="32" t="s">
        <v>3338</v>
      </c>
      <c r="D1178" s="32" t="s">
        <v>3339</v>
      </c>
    </row>
    <row r="1179" spans="2:4" x14ac:dyDescent="0.3">
      <c r="B1179" s="33" t="s">
        <v>3340</v>
      </c>
      <c r="C1179" s="32" t="s">
        <v>3341</v>
      </c>
      <c r="D1179" s="32" t="s">
        <v>3342</v>
      </c>
    </row>
    <row r="1180" spans="2:4" x14ac:dyDescent="0.3">
      <c r="B1180" s="33" t="s">
        <v>3343</v>
      </c>
      <c r="C1180" s="32" t="s">
        <v>3344</v>
      </c>
      <c r="D1180" s="32" t="s">
        <v>3345</v>
      </c>
    </row>
    <row r="1181" spans="2:4" x14ac:dyDescent="0.3">
      <c r="B1181" s="33" t="s">
        <v>3346</v>
      </c>
      <c r="C1181" s="32" t="s">
        <v>3347</v>
      </c>
      <c r="D1181" s="32" t="s">
        <v>3348</v>
      </c>
    </row>
    <row r="1182" spans="2:4" x14ac:dyDescent="0.3">
      <c r="B1182" s="33" t="s">
        <v>3346</v>
      </c>
      <c r="C1182" s="32" t="s">
        <v>3349</v>
      </c>
      <c r="D1182" s="32" t="s">
        <v>3346</v>
      </c>
    </row>
    <row r="1183" spans="2:4" x14ac:dyDescent="0.3">
      <c r="B1183" s="33" t="s">
        <v>3322</v>
      </c>
      <c r="C1183" s="32" t="s">
        <v>3350</v>
      </c>
      <c r="D1183" s="32" t="s">
        <v>3351</v>
      </c>
    </row>
    <row r="1184" spans="2:4" x14ac:dyDescent="0.3">
      <c r="B1184" s="33" t="s">
        <v>3352</v>
      </c>
      <c r="C1184" s="32" t="s">
        <v>3353</v>
      </c>
      <c r="D1184" s="32" t="s">
        <v>3354</v>
      </c>
    </row>
    <row r="1185" spans="2:4" x14ac:dyDescent="0.3">
      <c r="B1185" s="33" t="s">
        <v>3355</v>
      </c>
      <c r="C1185" s="32" t="s">
        <v>3356</v>
      </c>
      <c r="D1185" s="32" t="s">
        <v>3357</v>
      </c>
    </row>
    <row r="1186" spans="2:4" x14ac:dyDescent="0.3">
      <c r="B1186" s="33" t="s">
        <v>3358</v>
      </c>
      <c r="C1186" s="32" t="s">
        <v>3359</v>
      </c>
      <c r="D1186" s="32" t="s">
        <v>3360</v>
      </c>
    </row>
    <row r="1187" spans="2:4" x14ac:dyDescent="0.3">
      <c r="B1187" s="33" t="s">
        <v>3361</v>
      </c>
      <c r="C1187" s="32" t="s">
        <v>3362</v>
      </c>
      <c r="D1187" s="32" t="s">
        <v>3363</v>
      </c>
    </row>
    <row r="1188" spans="2:4" x14ac:dyDescent="0.3">
      <c r="B1188" s="33" t="s">
        <v>3364</v>
      </c>
      <c r="C1188" s="32" t="s">
        <v>3365</v>
      </c>
      <c r="D1188" s="32" t="s">
        <v>3366</v>
      </c>
    </row>
    <row r="1189" spans="2:4" x14ac:dyDescent="0.3">
      <c r="B1189" s="33" t="s">
        <v>3367</v>
      </c>
      <c r="C1189" s="32" t="s">
        <v>3368</v>
      </c>
      <c r="D1189" s="32" t="s">
        <v>3369</v>
      </c>
    </row>
    <row r="1190" spans="2:4" x14ac:dyDescent="0.3">
      <c r="B1190" s="33" t="s">
        <v>3370</v>
      </c>
      <c r="C1190" s="32" t="s">
        <v>3371</v>
      </c>
      <c r="D1190" s="32" t="s">
        <v>3372</v>
      </c>
    </row>
    <row r="1191" spans="2:4" x14ac:dyDescent="0.3">
      <c r="B1191" s="33" t="s">
        <v>3373</v>
      </c>
      <c r="C1191" s="32" t="s">
        <v>3374</v>
      </c>
      <c r="D1191" s="32" t="s">
        <v>3375</v>
      </c>
    </row>
    <row r="1192" spans="2:4" x14ac:dyDescent="0.3">
      <c r="B1192" s="33" t="s">
        <v>37124</v>
      </c>
      <c r="C1192" s="32" t="s">
        <v>37125</v>
      </c>
      <c r="D1192" s="32" t="s">
        <v>37126</v>
      </c>
    </row>
    <row r="1193" spans="2:4" x14ac:dyDescent="0.3">
      <c r="B1193" s="33" t="s">
        <v>3376</v>
      </c>
      <c r="C1193" s="32" t="s">
        <v>3377</v>
      </c>
      <c r="D1193" s="32" t="s">
        <v>3378</v>
      </c>
    </row>
    <row r="1194" spans="2:4" x14ac:dyDescent="0.3">
      <c r="B1194" s="33" t="s">
        <v>3379</v>
      </c>
      <c r="C1194" s="32" t="s">
        <v>3380</v>
      </c>
      <c r="D1194" s="32" t="s">
        <v>3379</v>
      </c>
    </row>
    <row r="1195" spans="2:4" x14ac:dyDescent="0.3">
      <c r="B1195" s="33" t="s">
        <v>3381</v>
      </c>
      <c r="C1195" s="32" t="s">
        <v>3382</v>
      </c>
      <c r="D1195" s="32" t="s">
        <v>3381</v>
      </c>
    </row>
    <row r="1196" spans="2:4" x14ac:dyDescent="0.3">
      <c r="B1196" s="33" t="s">
        <v>3383</v>
      </c>
      <c r="C1196" s="32" t="s">
        <v>3384</v>
      </c>
      <c r="D1196" s="32" t="s">
        <v>3385</v>
      </c>
    </row>
    <row r="1197" spans="2:4" x14ac:dyDescent="0.3">
      <c r="B1197" s="33" t="s">
        <v>3386</v>
      </c>
      <c r="C1197" s="32" t="s">
        <v>3387</v>
      </c>
      <c r="D1197" s="32" t="s">
        <v>3388</v>
      </c>
    </row>
    <row r="1198" spans="2:4" x14ac:dyDescent="0.3">
      <c r="B1198" s="33" t="s">
        <v>3389</v>
      </c>
      <c r="C1198" s="32" t="s">
        <v>3390</v>
      </c>
      <c r="D1198" s="32" t="s">
        <v>3391</v>
      </c>
    </row>
    <row r="1199" spans="2:4" x14ac:dyDescent="0.3">
      <c r="B1199" s="33" t="s">
        <v>3392</v>
      </c>
      <c r="C1199" s="32" t="s">
        <v>3393</v>
      </c>
      <c r="D1199" s="32" t="s">
        <v>3394</v>
      </c>
    </row>
    <row r="1200" spans="2:4" x14ac:dyDescent="0.3">
      <c r="B1200" s="33" t="s">
        <v>3395</v>
      </c>
      <c r="C1200" s="32" t="s">
        <v>3396</v>
      </c>
      <c r="D1200" s="32" t="s">
        <v>3397</v>
      </c>
    </row>
    <row r="1201" spans="2:4" x14ac:dyDescent="0.3">
      <c r="B1201" s="33" t="s">
        <v>3398</v>
      </c>
      <c r="C1201" s="32" t="s">
        <v>3399</v>
      </c>
      <c r="D1201" s="32" t="s">
        <v>3400</v>
      </c>
    </row>
    <row r="1202" spans="2:4" x14ac:dyDescent="0.3">
      <c r="B1202" s="33" t="s">
        <v>3401</v>
      </c>
      <c r="C1202" s="32" t="s">
        <v>3402</v>
      </c>
      <c r="D1202" s="32" t="s">
        <v>3403</v>
      </c>
    </row>
    <row r="1203" spans="2:4" x14ac:dyDescent="0.3">
      <c r="B1203" s="33" t="s">
        <v>3404</v>
      </c>
      <c r="C1203" s="32" t="s">
        <v>3405</v>
      </c>
      <c r="D1203" s="32" t="s">
        <v>3406</v>
      </c>
    </row>
    <row r="1204" spans="2:4" x14ac:dyDescent="0.3">
      <c r="B1204" s="33" t="s">
        <v>3407</v>
      </c>
      <c r="C1204" s="32" t="s">
        <v>3408</v>
      </c>
      <c r="D1204" s="32" t="s">
        <v>3409</v>
      </c>
    </row>
    <row r="1205" spans="2:4" x14ac:dyDescent="0.3">
      <c r="B1205" s="33" t="s">
        <v>3410</v>
      </c>
      <c r="C1205" s="32" t="s">
        <v>3411</v>
      </c>
      <c r="D1205" s="32" t="s">
        <v>3412</v>
      </c>
    </row>
    <row r="1206" spans="2:4" x14ac:dyDescent="0.3">
      <c r="B1206" s="33" t="s">
        <v>3413</v>
      </c>
      <c r="C1206" s="32" t="s">
        <v>3414</v>
      </c>
      <c r="D1206" s="32" t="s">
        <v>3415</v>
      </c>
    </row>
    <row r="1207" spans="2:4" x14ac:dyDescent="0.3">
      <c r="B1207" s="33" t="s">
        <v>3416</v>
      </c>
      <c r="C1207" s="32" t="s">
        <v>3417</v>
      </c>
      <c r="D1207" s="32" t="s">
        <v>3418</v>
      </c>
    </row>
    <row r="1208" spans="2:4" x14ac:dyDescent="0.3">
      <c r="B1208" s="33" t="s">
        <v>3419</v>
      </c>
      <c r="C1208" s="32" t="s">
        <v>3420</v>
      </c>
      <c r="D1208" s="32" t="s">
        <v>3421</v>
      </c>
    </row>
    <row r="1209" spans="2:4" x14ac:dyDescent="0.3">
      <c r="B1209" s="33" t="s">
        <v>3422</v>
      </c>
      <c r="C1209" s="32" t="s">
        <v>3423</v>
      </c>
      <c r="D1209" s="32" t="s">
        <v>3424</v>
      </c>
    </row>
    <row r="1210" spans="2:4" x14ac:dyDescent="0.3">
      <c r="B1210" s="33" t="s">
        <v>3425</v>
      </c>
      <c r="C1210" s="32" t="s">
        <v>3426</v>
      </c>
      <c r="D1210" s="32" t="s">
        <v>3427</v>
      </c>
    </row>
    <row r="1211" spans="2:4" x14ac:dyDescent="0.3">
      <c r="B1211" s="33" t="s">
        <v>3428</v>
      </c>
      <c r="C1211" s="32" t="s">
        <v>3429</v>
      </c>
      <c r="D1211" s="32" t="s">
        <v>3430</v>
      </c>
    </row>
    <row r="1212" spans="2:4" x14ac:dyDescent="0.3">
      <c r="B1212" s="33" t="s">
        <v>3431</v>
      </c>
      <c r="C1212" s="32" t="s">
        <v>3432</v>
      </c>
      <c r="D1212" s="32" t="s">
        <v>3433</v>
      </c>
    </row>
    <row r="1213" spans="2:4" x14ac:dyDescent="0.3">
      <c r="B1213" s="33" t="s">
        <v>3434</v>
      </c>
      <c r="C1213" s="32" t="s">
        <v>3435</v>
      </c>
      <c r="D1213" s="32" t="s">
        <v>3436</v>
      </c>
    </row>
    <row r="1214" spans="2:4" x14ac:dyDescent="0.3">
      <c r="B1214" s="33" t="s">
        <v>3437</v>
      </c>
      <c r="C1214" s="32" t="s">
        <v>3438</v>
      </c>
      <c r="D1214" s="32" t="s">
        <v>3439</v>
      </c>
    </row>
    <row r="1215" spans="2:4" x14ac:dyDescent="0.3">
      <c r="B1215" s="33" t="s">
        <v>3440</v>
      </c>
      <c r="C1215" s="32" t="s">
        <v>3441</v>
      </c>
      <c r="D1215" s="32" t="s">
        <v>3442</v>
      </c>
    </row>
    <row r="1216" spans="2:4" x14ac:dyDescent="0.3">
      <c r="B1216" s="33" t="s">
        <v>3443</v>
      </c>
      <c r="C1216" s="32" t="s">
        <v>3444</v>
      </c>
      <c r="D1216" s="32" t="s">
        <v>3445</v>
      </c>
    </row>
    <row r="1217" spans="2:4" x14ac:dyDescent="0.3">
      <c r="B1217" s="33" t="s">
        <v>3446</v>
      </c>
      <c r="C1217" s="32" t="s">
        <v>3447</v>
      </c>
      <c r="D1217" s="32" t="s">
        <v>3448</v>
      </c>
    </row>
    <row r="1218" spans="2:4" x14ac:dyDescent="0.3">
      <c r="B1218" s="33" t="s">
        <v>3449</v>
      </c>
      <c r="C1218" s="32" t="s">
        <v>3450</v>
      </c>
      <c r="D1218" s="32" t="s">
        <v>3451</v>
      </c>
    </row>
    <row r="1219" spans="2:4" x14ac:dyDescent="0.3">
      <c r="B1219" s="33" t="s">
        <v>3452</v>
      </c>
      <c r="C1219" s="32" t="s">
        <v>3453</v>
      </c>
      <c r="D1219" s="32" t="s">
        <v>3454</v>
      </c>
    </row>
    <row r="1220" spans="2:4" x14ac:dyDescent="0.3">
      <c r="B1220" s="33" t="s">
        <v>3455</v>
      </c>
      <c r="C1220" s="32" t="s">
        <v>3456</v>
      </c>
      <c r="D1220" s="32" t="s">
        <v>3457</v>
      </c>
    </row>
    <row r="1221" spans="2:4" x14ac:dyDescent="0.3">
      <c r="B1221" s="33" t="s">
        <v>3458</v>
      </c>
      <c r="C1221" s="32" t="s">
        <v>3459</v>
      </c>
      <c r="D1221" s="32" t="s">
        <v>3460</v>
      </c>
    </row>
    <row r="1222" spans="2:4" x14ac:dyDescent="0.3">
      <c r="B1222" s="33" t="s">
        <v>3461</v>
      </c>
      <c r="C1222" s="32" t="s">
        <v>3462</v>
      </c>
      <c r="D1222" s="32" t="s">
        <v>3463</v>
      </c>
    </row>
    <row r="1223" spans="2:4" x14ac:dyDescent="0.3">
      <c r="B1223" s="33" t="s">
        <v>3464</v>
      </c>
      <c r="C1223" s="32" t="s">
        <v>3465</v>
      </c>
      <c r="D1223" s="32" t="s">
        <v>3466</v>
      </c>
    </row>
    <row r="1224" spans="2:4" x14ac:dyDescent="0.3">
      <c r="B1224" s="33" t="s">
        <v>3467</v>
      </c>
      <c r="C1224" s="32" t="s">
        <v>3468</v>
      </c>
      <c r="D1224" s="32" t="s">
        <v>3469</v>
      </c>
    </row>
    <row r="1225" spans="2:4" x14ac:dyDescent="0.3">
      <c r="B1225" s="33" t="s">
        <v>3470</v>
      </c>
      <c r="C1225" s="32" t="s">
        <v>3471</v>
      </c>
      <c r="D1225" s="32" t="s">
        <v>3472</v>
      </c>
    </row>
    <row r="1226" spans="2:4" x14ac:dyDescent="0.3">
      <c r="B1226" s="33" t="s">
        <v>3473</v>
      </c>
      <c r="C1226" s="32" t="s">
        <v>3474</v>
      </c>
      <c r="D1226" s="32" t="s">
        <v>3475</v>
      </c>
    </row>
    <row r="1227" spans="2:4" x14ac:dyDescent="0.3">
      <c r="B1227" s="33" t="s">
        <v>3473</v>
      </c>
      <c r="C1227" s="32" t="s">
        <v>3476</v>
      </c>
      <c r="D1227" s="32" t="s">
        <v>3477</v>
      </c>
    </row>
    <row r="1228" spans="2:4" x14ac:dyDescent="0.3">
      <c r="B1228" s="33" t="s">
        <v>3478</v>
      </c>
      <c r="C1228" s="32" t="s">
        <v>3479</v>
      </c>
      <c r="D1228" s="32" t="s">
        <v>3480</v>
      </c>
    </row>
    <row r="1229" spans="2:4" x14ac:dyDescent="0.3">
      <c r="B1229" s="33" t="s">
        <v>3481</v>
      </c>
      <c r="C1229" s="32" t="s">
        <v>3482</v>
      </c>
      <c r="D1229" s="32" t="s">
        <v>3483</v>
      </c>
    </row>
    <row r="1230" spans="2:4" x14ac:dyDescent="0.3">
      <c r="B1230" s="33" t="s">
        <v>3484</v>
      </c>
      <c r="C1230" s="32" t="s">
        <v>3485</v>
      </c>
      <c r="D1230" s="32" t="s">
        <v>3486</v>
      </c>
    </row>
    <row r="1231" spans="2:4" x14ac:dyDescent="0.3">
      <c r="B1231" s="33" t="s">
        <v>3487</v>
      </c>
      <c r="C1231" s="32" t="s">
        <v>3488</v>
      </c>
      <c r="D1231" s="32" t="s">
        <v>3489</v>
      </c>
    </row>
    <row r="1232" spans="2:4" x14ac:dyDescent="0.3">
      <c r="B1232" s="33" t="s">
        <v>3490</v>
      </c>
      <c r="C1232" s="32" t="s">
        <v>3491</v>
      </c>
      <c r="D1232" s="32" t="s">
        <v>3492</v>
      </c>
    </row>
    <row r="1233" spans="2:4" x14ac:dyDescent="0.3">
      <c r="B1233" s="33" t="s">
        <v>3493</v>
      </c>
      <c r="C1233" s="32" t="s">
        <v>3494</v>
      </c>
      <c r="D1233" s="32" t="s">
        <v>3495</v>
      </c>
    </row>
    <row r="1234" spans="2:4" x14ac:dyDescent="0.3">
      <c r="B1234" s="33" t="s">
        <v>3496</v>
      </c>
      <c r="C1234" s="32" t="s">
        <v>3497</v>
      </c>
      <c r="D1234" s="32" t="s">
        <v>3498</v>
      </c>
    </row>
    <row r="1235" spans="2:4" x14ac:dyDescent="0.3">
      <c r="B1235" s="33" t="s">
        <v>3499</v>
      </c>
      <c r="C1235" s="32" t="s">
        <v>3500</v>
      </c>
      <c r="D1235" s="32" t="s">
        <v>3501</v>
      </c>
    </row>
    <row r="1236" spans="2:4" x14ac:dyDescent="0.3">
      <c r="B1236" s="33" t="s">
        <v>3502</v>
      </c>
      <c r="C1236" s="32" t="s">
        <v>3503</v>
      </c>
      <c r="D1236" s="32" t="s">
        <v>3504</v>
      </c>
    </row>
    <row r="1237" spans="2:4" x14ac:dyDescent="0.3">
      <c r="B1237" s="33" t="s">
        <v>3505</v>
      </c>
      <c r="C1237" s="32" t="s">
        <v>3506</v>
      </c>
      <c r="D1237" s="32" t="s">
        <v>3507</v>
      </c>
    </row>
    <row r="1238" spans="2:4" x14ac:dyDescent="0.3">
      <c r="B1238" s="33" t="s">
        <v>3508</v>
      </c>
      <c r="C1238" s="32" t="s">
        <v>3509</v>
      </c>
      <c r="D1238" s="32" t="s">
        <v>3510</v>
      </c>
    </row>
    <row r="1239" spans="2:4" x14ac:dyDescent="0.3">
      <c r="B1239" s="33" t="s">
        <v>3511</v>
      </c>
      <c r="C1239" s="32" t="s">
        <v>3512</v>
      </c>
      <c r="D1239" s="32" t="s">
        <v>3513</v>
      </c>
    </row>
    <row r="1240" spans="2:4" x14ac:dyDescent="0.3">
      <c r="B1240" s="33" t="s">
        <v>3514</v>
      </c>
      <c r="C1240" s="32" t="s">
        <v>3515</v>
      </c>
      <c r="D1240" s="32" t="s">
        <v>3516</v>
      </c>
    </row>
    <row r="1241" spans="2:4" x14ac:dyDescent="0.3">
      <c r="B1241" s="33" t="s">
        <v>3514</v>
      </c>
      <c r="C1241" s="32" t="s">
        <v>3517</v>
      </c>
      <c r="D1241" s="32" t="s">
        <v>3518</v>
      </c>
    </row>
    <row r="1242" spans="2:4" x14ac:dyDescent="0.3">
      <c r="B1242" s="33" t="s">
        <v>3519</v>
      </c>
      <c r="C1242" s="32" t="s">
        <v>3520</v>
      </c>
      <c r="D1242" s="32" t="s">
        <v>3521</v>
      </c>
    </row>
    <row r="1243" spans="2:4" x14ac:dyDescent="0.3">
      <c r="B1243" s="33" t="s">
        <v>3522</v>
      </c>
      <c r="C1243" s="32" t="s">
        <v>3523</v>
      </c>
      <c r="D1243" s="32" t="s">
        <v>3524</v>
      </c>
    </row>
    <row r="1244" spans="2:4" x14ac:dyDescent="0.3">
      <c r="B1244" s="33" t="s">
        <v>3525</v>
      </c>
      <c r="C1244" s="32" t="s">
        <v>3526</v>
      </c>
      <c r="D1244" s="32" t="s">
        <v>3527</v>
      </c>
    </row>
    <row r="1245" spans="2:4" x14ac:dyDescent="0.3">
      <c r="B1245" s="33" t="s">
        <v>3528</v>
      </c>
      <c r="C1245" s="32" t="s">
        <v>3529</v>
      </c>
      <c r="D1245" s="32" t="s">
        <v>3530</v>
      </c>
    </row>
    <row r="1246" spans="2:4" x14ac:dyDescent="0.3">
      <c r="B1246" s="33" t="s">
        <v>3531</v>
      </c>
      <c r="C1246" s="32" t="s">
        <v>3532</v>
      </c>
      <c r="D1246" s="32" t="s">
        <v>3533</v>
      </c>
    </row>
    <row r="1247" spans="2:4" x14ac:dyDescent="0.3">
      <c r="B1247" s="33" t="s">
        <v>3534</v>
      </c>
      <c r="C1247" s="32" t="s">
        <v>3535</v>
      </c>
      <c r="D1247" s="32" t="s">
        <v>3536</v>
      </c>
    </row>
    <row r="1248" spans="2:4" x14ac:dyDescent="0.3">
      <c r="B1248" s="33" t="s">
        <v>3537</v>
      </c>
      <c r="C1248" s="32" t="s">
        <v>3538</v>
      </c>
      <c r="D1248" s="32" t="s">
        <v>3539</v>
      </c>
    </row>
    <row r="1249" spans="2:4" x14ac:dyDescent="0.3">
      <c r="B1249" s="33" t="s">
        <v>3540</v>
      </c>
      <c r="C1249" s="32" t="s">
        <v>3541</v>
      </c>
      <c r="D1249" s="32" t="s">
        <v>3542</v>
      </c>
    </row>
    <row r="1250" spans="2:4" x14ac:dyDescent="0.3">
      <c r="B1250" s="33" t="s">
        <v>3543</v>
      </c>
      <c r="C1250" s="32" t="s">
        <v>3544</v>
      </c>
      <c r="D1250" s="32" t="s">
        <v>3545</v>
      </c>
    </row>
    <row r="1251" spans="2:4" x14ac:dyDescent="0.3">
      <c r="B1251" s="33" t="s">
        <v>3546</v>
      </c>
      <c r="C1251" s="32" t="s">
        <v>3547</v>
      </c>
      <c r="D1251" s="32" t="s">
        <v>3548</v>
      </c>
    </row>
    <row r="1252" spans="2:4" x14ac:dyDescent="0.3">
      <c r="B1252" s="33" t="s">
        <v>3549</v>
      </c>
      <c r="C1252" s="32" t="s">
        <v>3550</v>
      </c>
      <c r="D1252" s="32" t="s">
        <v>3551</v>
      </c>
    </row>
    <row r="1253" spans="2:4" x14ac:dyDescent="0.3">
      <c r="B1253" s="33" t="s">
        <v>3552</v>
      </c>
      <c r="C1253" s="32" t="s">
        <v>3553</v>
      </c>
      <c r="D1253" s="32" t="s">
        <v>3554</v>
      </c>
    </row>
    <row r="1254" spans="2:4" x14ac:dyDescent="0.3">
      <c r="B1254" s="33" t="s">
        <v>3555</v>
      </c>
      <c r="C1254" s="32" t="s">
        <v>3556</v>
      </c>
      <c r="D1254" s="32" t="s">
        <v>3557</v>
      </c>
    </row>
    <row r="1255" spans="2:4" x14ac:dyDescent="0.3">
      <c r="B1255" s="33" t="s">
        <v>3558</v>
      </c>
      <c r="C1255" s="32" t="s">
        <v>3559</v>
      </c>
      <c r="D1255" s="32" t="s">
        <v>3560</v>
      </c>
    </row>
    <row r="1256" spans="2:4" x14ac:dyDescent="0.3">
      <c r="B1256" s="33" t="s">
        <v>3561</v>
      </c>
      <c r="C1256" s="32" t="s">
        <v>3562</v>
      </c>
      <c r="D1256" s="32" t="s">
        <v>3563</v>
      </c>
    </row>
    <row r="1257" spans="2:4" x14ac:dyDescent="0.3">
      <c r="B1257" s="33" t="s">
        <v>3564</v>
      </c>
      <c r="C1257" s="32" t="s">
        <v>3565</v>
      </c>
      <c r="D1257" s="32" t="s">
        <v>3566</v>
      </c>
    </row>
    <row r="1258" spans="2:4" x14ac:dyDescent="0.3">
      <c r="B1258" s="33" t="s">
        <v>3567</v>
      </c>
      <c r="C1258" s="32" t="s">
        <v>3568</v>
      </c>
      <c r="D1258" s="32" t="s">
        <v>3569</v>
      </c>
    </row>
    <row r="1259" spans="2:4" x14ac:dyDescent="0.3">
      <c r="B1259" s="33" t="s">
        <v>3570</v>
      </c>
      <c r="C1259" s="32" t="s">
        <v>3571</v>
      </c>
      <c r="D1259" s="32" t="s">
        <v>3572</v>
      </c>
    </row>
    <row r="1260" spans="2:4" x14ac:dyDescent="0.3">
      <c r="B1260" s="33" t="s">
        <v>3573</v>
      </c>
      <c r="C1260" s="32" t="s">
        <v>3574</v>
      </c>
      <c r="D1260" s="32" t="s">
        <v>3575</v>
      </c>
    </row>
    <row r="1261" spans="2:4" x14ac:dyDescent="0.3">
      <c r="B1261" s="33" t="s">
        <v>3576</v>
      </c>
      <c r="C1261" s="32" t="s">
        <v>3577</v>
      </c>
      <c r="D1261" s="32" t="s">
        <v>3578</v>
      </c>
    </row>
    <row r="1262" spans="2:4" x14ac:dyDescent="0.3">
      <c r="B1262" s="33" t="s">
        <v>3579</v>
      </c>
      <c r="C1262" s="32" t="s">
        <v>3580</v>
      </c>
      <c r="D1262" s="32" t="s">
        <v>3581</v>
      </c>
    </row>
    <row r="1263" spans="2:4" x14ac:dyDescent="0.3">
      <c r="B1263" s="33" t="s">
        <v>3582</v>
      </c>
      <c r="C1263" s="32" t="s">
        <v>3583</v>
      </c>
      <c r="D1263" s="32" t="s">
        <v>3584</v>
      </c>
    </row>
    <row r="1264" spans="2:4" x14ac:dyDescent="0.3">
      <c r="B1264" s="33" t="s">
        <v>3585</v>
      </c>
      <c r="C1264" s="32" t="s">
        <v>3586</v>
      </c>
      <c r="D1264" s="32" t="s">
        <v>3587</v>
      </c>
    </row>
    <row r="1265" spans="2:4" x14ac:dyDescent="0.3">
      <c r="B1265" s="33" t="s">
        <v>3585</v>
      </c>
      <c r="C1265" s="32" t="s">
        <v>3588</v>
      </c>
      <c r="D1265" s="32" t="s">
        <v>3585</v>
      </c>
    </row>
    <row r="1266" spans="2:4" x14ac:dyDescent="0.3">
      <c r="B1266" s="33" t="s">
        <v>3589</v>
      </c>
      <c r="C1266" s="32" t="s">
        <v>3590</v>
      </c>
      <c r="D1266" s="32" t="s">
        <v>3591</v>
      </c>
    </row>
    <row r="1267" spans="2:4" x14ac:dyDescent="0.3">
      <c r="B1267" s="33" t="s">
        <v>3592</v>
      </c>
      <c r="C1267" s="32" t="s">
        <v>3593</v>
      </c>
      <c r="D1267" s="32" t="s">
        <v>3594</v>
      </c>
    </row>
    <row r="1268" spans="2:4" x14ac:dyDescent="0.3">
      <c r="B1268" s="33" t="s">
        <v>3595</v>
      </c>
      <c r="C1268" s="32" t="s">
        <v>3596</v>
      </c>
      <c r="D1268" s="32" t="s">
        <v>3597</v>
      </c>
    </row>
    <row r="1269" spans="2:4" x14ac:dyDescent="0.3">
      <c r="B1269" s="33" t="s">
        <v>3598</v>
      </c>
      <c r="C1269" s="32" t="s">
        <v>3599</v>
      </c>
      <c r="D1269" s="32" t="s">
        <v>3600</v>
      </c>
    </row>
    <row r="1270" spans="2:4" x14ac:dyDescent="0.3">
      <c r="B1270" s="33" t="s">
        <v>3601</v>
      </c>
      <c r="C1270" s="32" t="s">
        <v>3602</v>
      </c>
      <c r="D1270" s="32" t="s">
        <v>3603</v>
      </c>
    </row>
    <row r="1271" spans="2:4" x14ac:dyDescent="0.3">
      <c r="B1271" s="33" t="s">
        <v>3604</v>
      </c>
      <c r="C1271" s="32" t="s">
        <v>3605</v>
      </c>
      <c r="D1271" s="32" t="s">
        <v>3606</v>
      </c>
    </row>
    <row r="1272" spans="2:4" x14ac:dyDescent="0.3">
      <c r="B1272" s="33" t="s">
        <v>3607</v>
      </c>
      <c r="C1272" s="32" t="s">
        <v>3608</v>
      </c>
      <c r="D1272" s="32" t="s">
        <v>3609</v>
      </c>
    </row>
    <row r="1273" spans="2:4" x14ac:dyDescent="0.3">
      <c r="B1273" s="33" t="s">
        <v>3610</v>
      </c>
      <c r="C1273" s="32" t="s">
        <v>3611</v>
      </c>
      <c r="D1273" s="32" t="s">
        <v>3612</v>
      </c>
    </row>
    <row r="1274" spans="2:4" x14ac:dyDescent="0.3">
      <c r="B1274" s="33" t="s">
        <v>3613</v>
      </c>
      <c r="C1274" s="32" t="s">
        <v>3614</v>
      </c>
      <c r="D1274" s="32" t="s">
        <v>3615</v>
      </c>
    </row>
    <row r="1275" spans="2:4" x14ac:dyDescent="0.3">
      <c r="B1275" s="33" t="s">
        <v>3616</v>
      </c>
      <c r="C1275" s="32" t="s">
        <v>3617</v>
      </c>
      <c r="D1275" s="32" t="s">
        <v>3618</v>
      </c>
    </row>
    <row r="1276" spans="2:4" x14ac:dyDescent="0.3">
      <c r="B1276" s="33" t="s">
        <v>3619</v>
      </c>
      <c r="C1276" s="32" t="s">
        <v>3620</v>
      </c>
      <c r="D1276" s="32" t="s">
        <v>3621</v>
      </c>
    </row>
    <row r="1277" spans="2:4" x14ac:dyDescent="0.3">
      <c r="B1277" s="33" t="s">
        <v>3622</v>
      </c>
      <c r="C1277" s="32" t="s">
        <v>3623</v>
      </c>
      <c r="D1277" s="32" t="s">
        <v>3624</v>
      </c>
    </row>
    <row r="1278" spans="2:4" x14ac:dyDescent="0.3">
      <c r="B1278" s="33" t="s">
        <v>3625</v>
      </c>
      <c r="C1278" s="32" t="s">
        <v>3626</v>
      </c>
      <c r="D1278" s="32" t="s">
        <v>3627</v>
      </c>
    </row>
    <row r="1279" spans="2:4" x14ac:dyDescent="0.3">
      <c r="B1279" s="33" t="s">
        <v>3628</v>
      </c>
      <c r="C1279" s="32" t="s">
        <v>3629</v>
      </c>
      <c r="D1279" s="32" t="s">
        <v>3630</v>
      </c>
    </row>
    <row r="1280" spans="2:4" x14ac:dyDescent="0.3">
      <c r="B1280" s="33" t="s">
        <v>3631</v>
      </c>
      <c r="C1280" s="32" t="s">
        <v>3632</v>
      </c>
      <c r="D1280" s="32" t="s">
        <v>3633</v>
      </c>
    </row>
    <row r="1281" spans="2:4" x14ac:dyDescent="0.3">
      <c r="B1281" s="33" t="s">
        <v>3634</v>
      </c>
      <c r="C1281" s="32" t="s">
        <v>3635</v>
      </c>
      <c r="D1281" s="32" t="s">
        <v>3636</v>
      </c>
    </row>
    <row r="1282" spans="2:4" x14ac:dyDescent="0.3">
      <c r="B1282" s="33" t="s">
        <v>3637</v>
      </c>
      <c r="C1282" s="32" t="s">
        <v>3638</v>
      </c>
      <c r="D1282" s="32" t="s">
        <v>3639</v>
      </c>
    </row>
    <row r="1283" spans="2:4" x14ac:dyDescent="0.3">
      <c r="B1283" s="33" t="s">
        <v>3640</v>
      </c>
      <c r="C1283" s="32" t="s">
        <v>3641</v>
      </c>
      <c r="D1283" s="32" t="s">
        <v>3642</v>
      </c>
    </row>
    <row r="1284" spans="2:4" x14ac:dyDescent="0.3">
      <c r="B1284" s="33" t="s">
        <v>3643</v>
      </c>
      <c r="C1284" s="32" t="s">
        <v>3644</v>
      </c>
      <c r="D1284" s="32" t="s">
        <v>3645</v>
      </c>
    </row>
    <row r="1285" spans="2:4" x14ac:dyDescent="0.3">
      <c r="B1285" s="33" t="s">
        <v>3613</v>
      </c>
      <c r="C1285" s="32" t="s">
        <v>3646</v>
      </c>
      <c r="D1285" s="32" t="s">
        <v>3647</v>
      </c>
    </row>
    <row r="1286" spans="2:4" x14ac:dyDescent="0.3">
      <c r="B1286" s="33" t="s">
        <v>3648</v>
      </c>
      <c r="C1286" s="32" t="s">
        <v>3649</v>
      </c>
      <c r="D1286" s="32" t="s">
        <v>3650</v>
      </c>
    </row>
    <row r="1287" spans="2:4" x14ac:dyDescent="0.3">
      <c r="B1287" s="33" t="s">
        <v>3651</v>
      </c>
      <c r="C1287" s="32" t="s">
        <v>3652</v>
      </c>
      <c r="D1287" s="32" t="s">
        <v>3653</v>
      </c>
    </row>
    <row r="1288" spans="2:4" x14ac:dyDescent="0.3">
      <c r="B1288" s="33" t="s">
        <v>3654</v>
      </c>
      <c r="C1288" s="32" t="s">
        <v>3655</v>
      </c>
      <c r="D1288" s="32" t="s">
        <v>3656</v>
      </c>
    </row>
    <row r="1289" spans="2:4" x14ac:dyDescent="0.3">
      <c r="B1289" s="33" t="s">
        <v>3613</v>
      </c>
      <c r="C1289" s="32" t="s">
        <v>3657</v>
      </c>
      <c r="D1289" s="32" t="s">
        <v>36690</v>
      </c>
    </row>
    <row r="1290" spans="2:4" x14ac:dyDescent="0.3">
      <c r="B1290" s="33" t="s">
        <v>3658</v>
      </c>
      <c r="C1290" s="32" t="s">
        <v>3659</v>
      </c>
      <c r="D1290" s="32" t="s">
        <v>3660</v>
      </c>
    </row>
    <row r="1291" spans="2:4" x14ac:dyDescent="0.3">
      <c r="B1291" s="33" t="s">
        <v>3661</v>
      </c>
      <c r="C1291" s="32" t="s">
        <v>3662</v>
      </c>
      <c r="D1291" s="32" t="s">
        <v>3663</v>
      </c>
    </row>
    <row r="1292" spans="2:4" x14ac:dyDescent="0.3">
      <c r="B1292" s="33" t="s">
        <v>3664</v>
      </c>
      <c r="C1292" s="32" t="s">
        <v>3665</v>
      </c>
      <c r="D1292" s="32" t="s">
        <v>3666</v>
      </c>
    </row>
    <row r="1293" spans="2:4" x14ac:dyDescent="0.3">
      <c r="B1293" s="33" t="s">
        <v>3667</v>
      </c>
      <c r="C1293" s="32" t="s">
        <v>3668</v>
      </c>
      <c r="D1293" s="32" t="s">
        <v>3669</v>
      </c>
    </row>
    <row r="1294" spans="2:4" x14ac:dyDescent="0.3">
      <c r="B1294" s="33" t="s">
        <v>3670</v>
      </c>
      <c r="C1294" s="32" t="s">
        <v>3671</v>
      </c>
      <c r="D1294" s="32" t="s">
        <v>3672</v>
      </c>
    </row>
    <row r="1295" spans="2:4" x14ac:dyDescent="0.3">
      <c r="B1295" s="33" t="s">
        <v>3673</v>
      </c>
      <c r="C1295" s="32" t="s">
        <v>3674</v>
      </c>
      <c r="D1295" s="32" t="s">
        <v>3675</v>
      </c>
    </row>
    <row r="1296" spans="2:4" x14ac:dyDescent="0.3">
      <c r="B1296" s="33" t="s">
        <v>3676</v>
      </c>
      <c r="C1296" s="32" t="s">
        <v>3677</v>
      </c>
      <c r="D1296" s="32" t="s">
        <v>3678</v>
      </c>
    </row>
    <row r="1297" spans="2:4" x14ac:dyDescent="0.3">
      <c r="B1297" s="33" t="s">
        <v>3679</v>
      </c>
      <c r="C1297" s="32" t="s">
        <v>3680</v>
      </c>
      <c r="D1297" s="32" t="s">
        <v>3681</v>
      </c>
    </row>
    <row r="1298" spans="2:4" x14ac:dyDescent="0.3">
      <c r="B1298" s="33" t="s">
        <v>3682</v>
      </c>
      <c r="C1298" s="32" t="s">
        <v>3683</v>
      </c>
      <c r="D1298" s="32" t="s">
        <v>3684</v>
      </c>
    </row>
    <row r="1299" spans="2:4" x14ac:dyDescent="0.3">
      <c r="B1299" s="33" t="s">
        <v>3685</v>
      </c>
      <c r="C1299" s="32" t="s">
        <v>3686</v>
      </c>
      <c r="D1299" s="32" t="s">
        <v>3687</v>
      </c>
    </row>
    <row r="1300" spans="2:4" x14ac:dyDescent="0.3">
      <c r="B1300" s="33" t="s">
        <v>3688</v>
      </c>
      <c r="C1300" s="32" t="s">
        <v>3689</v>
      </c>
      <c r="D1300" s="32" t="s">
        <v>3690</v>
      </c>
    </row>
    <row r="1301" spans="2:4" x14ac:dyDescent="0.3">
      <c r="B1301" s="33" t="s">
        <v>3691</v>
      </c>
      <c r="C1301" s="32" t="s">
        <v>3692</v>
      </c>
      <c r="D1301" s="32" t="s">
        <v>3691</v>
      </c>
    </row>
    <row r="1302" spans="2:4" x14ac:dyDescent="0.3">
      <c r="B1302" s="33" t="s">
        <v>3691</v>
      </c>
      <c r="C1302" s="32" t="s">
        <v>3693</v>
      </c>
      <c r="D1302" s="32" t="s">
        <v>3694</v>
      </c>
    </row>
    <row r="1303" spans="2:4" x14ac:dyDescent="0.3">
      <c r="B1303" s="33" t="s">
        <v>3691</v>
      </c>
      <c r="C1303" s="32" t="s">
        <v>3695</v>
      </c>
      <c r="D1303" s="32" t="s">
        <v>3696</v>
      </c>
    </row>
    <row r="1304" spans="2:4" x14ac:dyDescent="0.3">
      <c r="B1304" s="33" t="s">
        <v>3691</v>
      </c>
      <c r="C1304" s="32" t="s">
        <v>3697</v>
      </c>
      <c r="D1304" s="32" t="s">
        <v>3698</v>
      </c>
    </row>
    <row r="1305" spans="2:4" x14ac:dyDescent="0.3">
      <c r="B1305" s="33" t="s">
        <v>3699</v>
      </c>
      <c r="C1305" s="32" t="s">
        <v>3700</v>
      </c>
      <c r="D1305" s="32" t="s">
        <v>3701</v>
      </c>
    </row>
    <row r="1306" spans="2:4" x14ac:dyDescent="0.3">
      <c r="B1306" s="33" t="s">
        <v>3702</v>
      </c>
      <c r="C1306" s="32" t="s">
        <v>3703</v>
      </c>
      <c r="D1306" s="32" t="s">
        <v>3704</v>
      </c>
    </row>
    <row r="1307" spans="2:4" x14ac:dyDescent="0.3">
      <c r="B1307" s="33" t="s">
        <v>3705</v>
      </c>
      <c r="C1307" s="32" t="s">
        <v>3706</v>
      </c>
      <c r="D1307" s="32" t="s">
        <v>3707</v>
      </c>
    </row>
    <row r="1308" spans="2:4" x14ac:dyDescent="0.3">
      <c r="B1308" s="33" t="s">
        <v>3708</v>
      </c>
      <c r="C1308" s="32" t="s">
        <v>3709</v>
      </c>
      <c r="D1308" s="32" t="s">
        <v>3710</v>
      </c>
    </row>
    <row r="1309" spans="2:4" x14ac:dyDescent="0.3">
      <c r="B1309" s="33" t="s">
        <v>3711</v>
      </c>
      <c r="C1309" s="32" t="s">
        <v>3712</v>
      </c>
      <c r="D1309" s="32" t="s">
        <v>3713</v>
      </c>
    </row>
    <row r="1310" spans="2:4" x14ac:dyDescent="0.3">
      <c r="B1310" s="33" t="s">
        <v>3714</v>
      </c>
      <c r="C1310" s="32" t="s">
        <v>3715</v>
      </c>
      <c r="D1310" s="32" t="s">
        <v>3714</v>
      </c>
    </row>
    <row r="1311" spans="2:4" x14ac:dyDescent="0.3">
      <c r="B1311" s="33" t="s">
        <v>3716</v>
      </c>
      <c r="C1311" s="32" t="s">
        <v>3717</v>
      </c>
      <c r="D1311" s="32" t="s">
        <v>3718</v>
      </c>
    </row>
    <row r="1312" spans="2:4" x14ac:dyDescent="0.3">
      <c r="B1312" s="33" t="s">
        <v>3719</v>
      </c>
      <c r="C1312" s="32" t="s">
        <v>3720</v>
      </c>
      <c r="D1312" s="32" t="s">
        <v>36691</v>
      </c>
    </row>
    <row r="1313" spans="2:4" x14ac:dyDescent="0.3">
      <c r="B1313" s="33" t="s">
        <v>3721</v>
      </c>
      <c r="C1313" s="32" t="s">
        <v>3722</v>
      </c>
      <c r="D1313" s="32" t="s">
        <v>3723</v>
      </c>
    </row>
    <row r="1314" spans="2:4" x14ac:dyDescent="0.3">
      <c r="B1314" s="33" t="s">
        <v>3724</v>
      </c>
      <c r="C1314" s="32" t="s">
        <v>3725</v>
      </c>
      <c r="D1314" s="32" t="s">
        <v>3726</v>
      </c>
    </row>
    <row r="1315" spans="2:4" x14ac:dyDescent="0.3">
      <c r="B1315" s="33" t="s">
        <v>996</v>
      </c>
      <c r="C1315" s="32" t="s">
        <v>3727</v>
      </c>
      <c r="D1315" s="32" t="s">
        <v>3728</v>
      </c>
    </row>
    <row r="1316" spans="2:4" x14ac:dyDescent="0.3">
      <c r="B1316" s="33" t="s">
        <v>3729</v>
      </c>
      <c r="C1316" s="32" t="s">
        <v>3730</v>
      </c>
      <c r="D1316" s="32" t="s">
        <v>3731</v>
      </c>
    </row>
    <row r="1317" spans="2:4" x14ac:dyDescent="0.3">
      <c r="B1317" s="33" t="s">
        <v>3732</v>
      </c>
      <c r="C1317" s="32" t="s">
        <v>3733</v>
      </c>
      <c r="D1317" s="32" t="s">
        <v>3734</v>
      </c>
    </row>
    <row r="1318" spans="2:4" x14ac:dyDescent="0.3">
      <c r="B1318" s="33" t="s">
        <v>3735</v>
      </c>
      <c r="C1318" s="32" t="s">
        <v>3736</v>
      </c>
      <c r="D1318" s="32" t="s">
        <v>3737</v>
      </c>
    </row>
    <row r="1319" spans="2:4" x14ac:dyDescent="0.3">
      <c r="B1319" s="33" t="s">
        <v>3738</v>
      </c>
      <c r="C1319" s="32" t="s">
        <v>3739</v>
      </c>
      <c r="D1319" s="32" t="s">
        <v>3740</v>
      </c>
    </row>
    <row r="1320" spans="2:4" x14ac:dyDescent="0.3">
      <c r="B1320" s="33" t="s">
        <v>3741</v>
      </c>
      <c r="C1320" s="32" t="s">
        <v>3742</v>
      </c>
      <c r="D1320" s="32" t="s">
        <v>3743</v>
      </c>
    </row>
    <row r="1321" spans="2:4" x14ac:dyDescent="0.3">
      <c r="B1321" s="33" t="s">
        <v>3744</v>
      </c>
      <c r="C1321" s="32" t="s">
        <v>3745</v>
      </c>
      <c r="D1321" s="32" t="s">
        <v>3746</v>
      </c>
    </row>
    <row r="1322" spans="2:4" x14ac:dyDescent="0.3">
      <c r="B1322" s="33" t="s">
        <v>3747</v>
      </c>
      <c r="C1322" s="32" t="s">
        <v>3748</v>
      </c>
      <c r="D1322" s="32" t="s">
        <v>3749</v>
      </c>
    </row>
    <row r="1323" spans="2:4" x14ac:dyDescent="0.3">
      <c r="B1323" s="33" t="s">
        <v>3750</v>
      </c>
      <c r="C1323" s="32" t="s">
        <v>3751</v>
      </c>
      <c r="D1323" s="32" t="s">
        <v>3752</v>
      </c>
    </row>
    <row r="1324" spans="2:4" x14ac:dyDescent="0.3">
      <c r="B1324" s="33" t="s">
        <v>3753</v>
      </c>
      <c r="C1324" s="32" t="s">
        <v>3754</v>
      </c>
      <c r="D1324" s="32" t="s">
        <v>3755</v>
      </c>
    </row>
    <row r="1325" spans="2:4" x14ac:dyDescent="0.3">
      <c r="B1325" s="33" t="s">
        <v>3756</v>
      </c>
      <c r="C1325" s="32" t="s">
        <v>3757</v>
      </c>
      <c r="D1325" s="32" t="s">
        <v>3758</v>
      </c>
    </row>
    <row r="1326" spans="2:4" x14ac:dyDescent="0.3">
      <c r="B1326" s="33" t="s">
        <v>3759</v>
      </c>
      <c r="C1326" s="32" t="s">
        <v>3760</v>
      </c>
      <c r="D1326" s="32" t="s">
        <v>3761</v>
      </c>
    </row>
    <row r="1327" spans="2:4" x14ac:dyDescent="0.3">
      <c r="B1327" s="33" t="s">
        <v>3762</v>
      </c>
      <c r="C1327" s="32" t="s">
        <v>3763</v>
      </c>
      <c r="D1327" s="32" t="s">
        <v>3764</v>
      </c>
    </row>
    <row r="1328" spans="2:4" x14ac:dyDescent="0.3">
      <c r="B1328" s="33" t="s">
        <v>3765</v>
      </c>
      <c r="C1328" s="32" t="s">
        <v>3766</v>
      </c>
      <c r="D1328" s="32" t="s">
        <v>3767</v>
      </c>
    </row>
    <row r="1329" spans="2:4" x14ac:dyDescent="0.3">
      <c r="B1329" s="33" t="s">
        <v>3768</v>
      </c>
      <c r="C1329" s="32" t="s">
        <v>3769</v>
      </c>
      <c r="D1329" s="32" t="s">
        <v>3770</v>
      </c>
    </row>
    <row r="1330" spans="2:4" x14ac:dyDescent="0.3">
      <c r="B1330" s="33" t="s">
        <v>3771</v>
      </c>
      <c r="C1330" s="32" t="s">
        <v>3772</v>
      </c>
      <c r="D1330" s="32" t="s">
        <v>3773</v>
      </c>
    </row>
    <row r="1331" spans="2:4" x14ac:dyDescent="0.3">
      <c r="B1331" s="33" t="s">
        <v>37127</v>
      </c>
      <c r="C1331" s="32" t="s">
        <v>37128</v>
      </c>
      <c r="D1331" s="32" t="s">
        <v>37129</v>
      </c>
    </row>
    <row r="1332" spans="2:4" x14ac:dyDescent="0.3">
      <c r="B1332" s="33" t="s">
        <v>37130</v>
      </c>
      <c r="C1332" s="32" t="s">
        <v>37131</v>
      </c>
      <c r="D1332" s="32" t="s">
        <v>37132</v>
      </c>
    </row>
    <row r="1333" spans="2:4" x14ac:dyDescent="0.3">
      <c r="B1333" s="33" t="s">
        <v>37133</v>
      </c>
      <c r="C1333" s="32" t="s">
        <v>37134</v>
      </c>
      <c r="D1333" s="32" t="s">
        <v>37135</v>
      </c>
    </row>
    <row r="1334" spans="2:4" x14ac:dyDescent="0.3">
      <c r="B1334" s="33" t="s">
        <v>3774</v>
      </c>
      <c r="C1334" s="32" t="s">
        <v>3775</v>
      </c>
      <c r="D1334" s="32" t="s">
        <v>3776</v>
      </c>
    </row>
    <row r="1335" spans="2:4" x14ac:dyDescent="0.3">
      <c r="B1335" s="33" t="s">
        <v>3777</v>
      </c>
      <c r="C1335" s="32" t="s">
        <v>3778</v>
      </c>
      <c r="D1335" s="32" t="s">
        <v>3779</v>
      </c>
    </row>
    <row r="1336" spans="2:4" x14ac:dyDescent="0.3">
      <c r="B1336" s="33" t="s">
        <v>3780</v>
      </c>
      <c r="C1336" s="32" t="s">
        <v>3781</v>
      </c>
      <c r="D1336" s="32" t="s">
        <v>3782</v>
      </c>
    </row>
    <row r="1337" spans="2:4" x14ac:dyDescent="0.3">
      <c r="B1337" s="33" t="s">
        <v>3783</v>
      </c>
      <c r="C1337" s="32" t="s">
        <v>3784</v>
      </c>
      <c r="D1337" s="32" t="s">
        <v>3785</v>
      </c>
    </row>
    <row r="1338" spans="2:4" x14ac:dyDescent="0.3">
      <c r="B1338" s="33" t="s">
        <v>3786</v>
      </c>
      <c r="C1338" s="32" t="s">
        <v>3787</v>
      </c>
      <c r="D1338" s="32" t="s">
        <v>3788</v>
      </c>
    </row>
    <row r="1339" spans="2:4" x14ac:dyDescent="0.3">
      <c r="B1339" s="33" t="s">
        <v>3789</v>
      </c>
      <c r="C1339" s="32" t="s">
        <v>3790</v>
      </c>
      <c r="D1339" s="32" t="s">
        <v>3791</v>
      </c>
    </row>
    <row r="1340" spans="2:4" x14ac:dyDescent="0.3">
      <c r="B1340" s="33" t="s">
        <v>3792</v>
      </c>
      <c r="C1340" s="32" t="s">
        <v>3793</v>
      </c>
      <c r="D1340" s="32" t="s">
        <v>3794</v>
      </c>
    </row>
    <row r="1341" spans="2:4" x14ac:dyDescent="0.3">
      <c r="B1341" s="33" t="s">
        <v>3795</v>
      </c>
      <c r="C1341" s="32" t="s">
        <v>3796</v>
      </c>
      <c r="D1341" s="32" t="s">
        <v>3797</v>
      </c>
    </row>
    <row r="1342" spans="2:4" x14ac:dyDescent="0.3">
      <c r="B1342" s="33" t="s">
        <v>3798</v>
      </c>
      <c r="C1342" s="32" t="s">
        <v>3799</v>
      </c>
      <c r="D1342" s="32" t="s">
        <v>3800</v>
      </c>
    </row>
    <row r="1343" spans="2:4" x14ac:dyDescent="0.3">
      <c r="B1343" s="33" t="s">
        <v>1683</v>
      </c>
      <c r="C1343" s="32" t="s">
        <v>3801</v>
      </c>
      <c r="D1343" s="32" t="s">
        <v>3802</v>
      </c>
    </row>
    <row r="1344" spans="2:4" x14ac:dyDescent="0.3">
      <c r="B1344" s="33" t="s">
        <v>3803</v>
      </c>
      <c r="C1344" s="32" t="s">
        <v>3804</v>
      </c>
      <c r="D1344" s="32" t="s">
        <v>3805</v>
      </c>
    </row>
    <row r="1345" spans="2:4" x14ac:dyDescent="0.3">
      <c r="B1345" s="33" t="s">
        <v>3806</v>
      </c>
      <c r="C1345" s="32" t="s">
        <v>3807</v>
      </c>
      <c r="D1345" s="32" t="s">
        <v>3808</v>
      </c>
    </row>
    <row r="1346" spans="2:4" x14ac:dyDescent="0.3">
      <c r="B1346" s="33" t="s">
        <v>3809</v>
      </c>
      <c r="C1346" s="32" t="s">
        <v>3810</v>
      </c>
      <c r="D1346" s="32" t="s">
        <v>3811</v>
      </c>
    </row>
    <row r="1347" spans="2:4" x14ac:dyDescent="0.3">
      <c r="B1347" s="33" t="s">
        <v>3812</v>
      </c>
      <c r="C1347" s="32" t="s">
        <v>3813</v>
      </c>
      <c r="D1347" s="32" t="s">
        <v>3814</v>
      </c>
    </row>
    <row r="1348" spans="2:4" x14ac:dyDescent="0.3">
      <c r="B1348" s="33" t="s">
        <v>37136</v>
      </c>
      <c r="C1348" s="32" t="s">
        <v>37137</v>
      </c>
      <c r="D1348" s="32" t="s">
        <v>3818</v>
      </c>
    </row>
    <row r="1349" spans="2:4" x14ac:dyDescent="0.3">
      <c r="B1349" s="33" t="s">
        <v>3815</v>
      </c>
      <c r="C1349" s="32" t="s">
        <v>3816</v>
      </c>
      <c r="D1349" s="32" t="s">
        <v>3817</v>
      </c>
    </row>
    <row r="1350" spans="2:4" x14ac:dyDescent="0.3">
      <c r="B1350" s="33" t="s">
        <v>3818</v>
      </c>
      <c r="C1350" s="32" t="s">
        <v>3819</v>
      </c>
      <c r="D1350" s="32" t="s">
        <v>3820</v>
      </c>
    </row>
    <row r="1351" spans="2:4" x14ac:dyDescent="0.3">
      <c r="B1351" s="33" t="s">
        <v>3821</v>
      </c>
      <c r="C1351" s="32" t="s">
        <v>3822</v>
      </c>
      <c r="D1351" s="32" t="s">
        <v>3823</v>
      </c>
    </row>
    <row r="1352" spans="2:4" x14ac:dyDescent="0.3">
      <c r="B1352" s="33" t="s">
        <v>3824</v>
      </c>
      <c r="C1352" s="32" t="s">
        <v>3825</v>
      </c>
      <c r="D1352" s="32" t="s">
        <v>3826</v>
      </c>
    </row>
    <row r="1353" spans="2:4" x14ac:dyDescent="0.3">
      <c r="B1353" s="33" t="s">
        <v>2385</v>
      </c>
      <c r="C1353" s="32" t="s">
        <v>3827</v>
      </c>
      <c r="D1353" s="32" t="s">
        <v>3828</v>
      </c>
    </row>
    <row r="1354" spans="2:4" x14ac:dyDescent="0.3">
      <c r="B1354" s="33" t="s">
        <v>3829</v>
      </c>
      <c r="C1354" s="32" t="s">
        <v>3830</v>
      </c>
      <c r="D1354" s="32" t="s">
        <v>3831</v>
      </c>
    </row>
    <row r="1355" spans="2:4" x14ac:dyDescent="0.3">
      <c r="B1355" s="33" t="s">
        <v>2385</v>
      </c>
      <c r="C1355" s="32" t="s">
        <v>3832</v>
      </c>
      <c r="D1355" s="32" t="s">
        <v>3833</v>
      </c>
    </row>
    <row r="1356" spans="2:4" x14ac:dyDescent="0.3">
      <c r="B1356" s="33" t="s">
        <v>3834</v>
      </c>
      <c r="C1356" s="32" t="s">
        <v>3835</v>
      </c>
      <c r="D1356" s="32" t="s">
        <v>3836</v>
      </c>
    </row>
    <row r="1357" spans="2:4" x14ac:dyDescent="0.3">
      <c r="B1357" s="33" t="s">
        <v>3837</v>
      </c>
      <c r="C1357" s="32" t="s">
        <v>3838</v>
      </c>
      <c r="D1357" s="32" t="s">
        <v>3839</v>
      </c>
    </row>
    <row r="1358" spans="2:4" x14ac:dyDescent="0.3">
      <c r="B1358" s="33" t="s">
        <v>3840</v>
      </c>
      <c r="C1358" s="32" t="s">
        <v>3841</v>
      </c>
      <c r="D1358" s="32" t="s">
        <v>3842</v>
      </c>
    </row>
    <row r="1359" spans="2:4" x14ac:dyDescent="0.3">
      <c r="B1359" s="33" t="s">
        <v>3843</v>
      </c>
      <c r="C1359" s="32" t="s">
        <v>3844</v>
      </c>
      <c r="D1359" s="32" t="s">
        <v>3845</v>
      </c>
    </row>
    <row r="1360" spans="2:4" x14ac:dyDescent="0.3">
      <c r="B1360" s="33" t="s">
        <v>3846</v>
      </c>
      <c r="C1360" s="32" t="s">
        <v>3847</v>
      </c>
      <c r="D1360" s="32" t="s">
        <v>3848</v>
      </c>
    </row>
    <row r="1361" spans="2:4" x14ac:dyDescent="0.3">
      <c r="B1361" s="33" t="s">
        <v>3849</v>
      </c>
      <c r="C1361" s="32" t="s">
        <v>3850</v>
      </c>
      <c r="D1361" s="32" t="s">
        <v>3851</v>
      </c>
    </row>
    <row r="1362" spans="2:4" x14ac:dyDescent="0.3">
      <c r="B1362" s="33" t="s">
        <v>36692</v>
      </c>
      <c r="C1362" s="32" t="s">
        <v>36693</v>
      </c>
      <c r="D1362" s="32" t="s">
        <v>36694</v>
      </c>
    </row>
    <row r="1363" spans="2:4" x14ac:dyDescent="0.3">
      <c r="B1363" s="33" t="s">
        <v>3852</v>
      </c>
      <c r="C1363" s="32" t="s">
        <v>3853</v>
      </c>
      <c r="D1363" s="32" t="s">
        <v>37138</v>
      </c>
    </row>
    <row r="1364" spans="2:4" x14ac:dyDescent="0.3">
      <c r="B1364" s="33" t="s">
        <v>3854</v>
      </c>
      <c r="C1364" s="32" t="s">
        <v>3855</v>
      </c>
      <c r="D1364" s="32" t="s">
        <v>3856</v>
      </c>
    </row>
    <row r="1365" spans="2:4" x14ac:dyDescent="0.3">
      <c r="B1365" s="33" t="s">
        <v>3852</v>
      </c>
      <c r="C1365" s="32" t="s">
        <v>3857</v>
      </c>
      <c r="D1365" s="32" t="s">
        <v>3858</v>
      </c>
    </row>
    <row r="1366" spans="2:4" x14ac:dyDescent="0.3">
      <c r="B1366" s="33" t="s">
        <v>3859</v>
      </c>
      <c r="C1366" s="32" t="s">
        <v>3860</v>
      </c>
      <c r="D1366" s="32" t="s">
        <v>3861</v>
      </c>
    </row>
    <row r="1367" spans="2:4" x14ac:dyDescent="0.3">
      <c r="B1367" s="33" t="s">
        <v>3862</v>
      </c>
      <c r="C1367" s="32" t="s">
        <v>3863</v>
      </c>
      <c r="D1367" s="32" t="s">
        <v>3864</v>
      </c>
    </row>
    <row r="1368" spans="2:4" x14ac:dyDescent="0.3">
      <c r="B1368" s="33" t="s">
        <v>3865</v>
      </c>
      <c r="C1368" s="32" t="s">
        <v>3866</v>
      </c>
      <c r="D1368" s="32" t="s">
        <v>3867</v>
      </c>
    </row>
    <row r="1369" spans="2:4" x14ac:dyDescent="0.3">
      <c r="B1369" s="33" t="s">
        <v>3868</v>
      </c>
      <c r="C1369" s="32" t="s">
        <v>3869</v>
      </c>
      <c r="D1369" s="32" t="s">
        <v>3870</v>
      </c>
    </row>
    <row r="1370" spans="2:4" x14ac:dyDescent="0.3">
      <c r="B1370" s="33" t="s">
        <v>3871</v>
      </c>
      <c r="C1370" s="32" t="s">
        <v>3872</v>
      </c>
      <c r="D1370" s="32" t="s">
        <v>3873</v>
      </c>
    </row>
    <row r="1371" spans="2:4" x14ac:dyDescent="0.3">
      <c r="B1371" s="33" t="s">
        <v>3874</v>
      </c>
      <c r="C1371" s="32" t="s">
        <v>3875</v>
      </c>
      <c r="D1371" s="32" t="s">
        <v>3876</v>
      </c>
    </row>
    <row r="1372" spans="2:4" x14ac:dyDescent="0.3">
      <c r="B1372" s="33" t="s">
        <v>3877</v>
      </c>
      <c r="C1372" s="32" t="s">
        <v>3878</v>
      </c>
      <c r="D1372" s="32" t="s">
        <v>3879</v>
      </c>
    </row>
    <row r="1373" spans="2:4" x14ac:dyDescent="0.3">
      <c r="B1373" s="33" t="s">
        <v>3880</v>
      </c>
      <c r="C1373" s="32" t="s">
        <v>3881</v>
      </c>
      <c r="D1373" s="32" t="s">
        <v>3882</v>
      </c>
    </row>
    <row r="1374" spans="2:4" x14ac:dyDescent="0.3">
      <c r="B1374" s="33" t="s">
        <v>3883</v>
      </c>
      <c r="C1374" s="32" t="s">
        <v>3884</v>
      </c>
      <c r="D1374" s="32" t="s">
        <v>3885</v>
      </c>
    </row>
    <row r="1375" spans="2:4" x14ac:dyDescent="0.3">
      <c r="B1375" s="33" t="s">
        <v>3886</v>
      </c>
      <c r="C1375" s="32" t="s">
        <v>3887</v>
      </c>
      <c r="D1375" s="32" t="s">
        <v>3888</v>
      </c>
    </row>
    <row r="1376" spans="2:4" x14ac:dyDescent="0.3">
      <c r="B1376" s="33" t="s">
        <v>3889</v>
      </c>
      <c r="C1376" s="32" t="s">
        <v>3890</v>
      </c>
      <c r="D1376" s="32" t="s">
        <v>36803</v>
      </c>
    </row>
    <row r="1377" spans="2:4" x14ac:dyDescent="0.3">
      <c r="B1377" s="33" t="s">
        <v>3891</v>
      </c>
      <c r="C1377" s="32" t="s">
        <v>3892</v>
      </c>
      <c r="D1377" s="32" t="s">
        <v>3893</v>
      </c>
    </row>
    <row r="1378" spans="2:4" x14ac:dyDescent="0.3">
      <c r="B1378" s="33" t="s">
        <v>3894</v>
      </c>
      <c r="C1378" s="32" t="s">
        <v>3895</v>
      </c>
      <c r="D1378" s="32" t="s">
        <v>3896</v>
      </c>
    </row>
    <row r="1379" spans="2:4" x14ac:dyDescent="0.3">
      <c r="B1379" s="33" t="s">
        <v>3897</v>
      </c>
      <c r="C1379" s="32" t="s">
        <v>3898</v>
      </c>
      <c r="D1379" s="32" t="s">
        <v>3899</v>
      </c>
    </row>
    <row r="1380" spans="2:4" x14ac:dyDescent="0.3">
      <c r="B1380" s="33" t="s">
        <v>3900</v>
      </c>
      <c r="C1380" s="32" t="s">
        <v>3901</v>
      </c>
      <c r="D1380" s="32" t="s">
        <v>3902</v>
      </c>
    </row>
    <row r="1381" spans="2:4" x14ac:dyDescent="0.3">
      <c r="B1381" s="33" t="s">
        <v>3903</v>
      </c>
      <c r="C1381" s="32" t="s">
        <v>3904</v>
      </c>
      <c r="D1381" s="32" t="s">
        <v>3905</v>
      </c>
    </row>
    <row r="1382" spans="2:4" x14ac:dyDescent="0.3">
      <c r="B1382" s="33" t="s">
        <v>3906</v>
      </c>
      <c r="C1382" s="32" t="s">
        <v>3907</v>
      </c>
      <c r="D1382" s="32" t="s">
        <v>3908</v>
      </c>
    </row>
    <row r="1383" spans="2:4" x14ac:dyDescent="0.3">
      <c r="B1383" s="33" t="s">
        <v>3909</v>
      </c>
      <c r="C1383" s="32" t="s">
        <v>3910</v>
      </c>
      <c r="D1383" s="32" t="s">
        <v>3911</v>
      </c>
    </row>
    <row r="1384" spans="2:4" x14ac:dyDescent="0.3">
      <c r="B1384" s="33" t="s">
        <v>3912</v>
      </c>
      <c r="C1384" s="32" t="s">
        <v>3913</v>
      </c>
      <c r="D1384" s="32" t="s">
        <v>3914</v>
      </c>
    </row>
    <row r="1385" spans="2:4" x14ac:dyDescent="0.3">
      <c r="B1385" s="33" t="s">
        <v>3915</v>
      </c>
      <c r="C1385" s="32" t="s">
        <v>3916</v>
      </c>
      <c r="D1385" s="32" t="s">
        <v>3917</v>
      </c>
    </row>
    <row r="1386" spans="2:4" x14ac:dyDescent="0.3">
      <c r="B1386" s="33" t="s">
        <v>3918</v>
      </c>
      <c r="C1386" s="32" t="s">
        <v>3919</v>
      </c>
      <c r="D1386" s="32" t="s">
        <v>3918</v>
      </c>
    </row>
    <row r="1387" spans="2:4" x14ac:dyDescent="0.3">
      <c r="B1387" s="33" t="s">
        <v>3920</v>
      </c>
      <c r="C1387" s="32" t="s">
        <v>3921</v>
      </c>
      <c r="D1387" s="32" t="s">
        <v>3922</v>
      </c>
    </row>
    <row r="1388" spans="2:4" x14ac:dyDescent="0.3">
      <c r="B1388" s="33" t="s">
        <v>3923</v>
      </c>
      <c r="C1388" s="32" t="s">
        <v>3924</v>
      </c>
      <c r="D1388" s="32" t="s">
        <v>3925</v>
      </c>
    </row>
    <row r="1389" spans="2:4" x14ac:dyDescent="0.3">
      <c r="B1389" s="33" t="s">
        <v>3926</v>
      </c>
      <c r="C1389" s="32" t="s">
        <v>3927</v>
      </c>
      <c r="D1389" s="32" t="s">
        <v>3928</v>
      </c>
    </row>
    <row r="1390" spans="2:4" x14ac:dyDescent="0.3">
      <c r="B1390" s="33" t="s">
        <v>3809</v>
      </c>
      <c r="C1390" s="32" t="s">
        <v>3929</v>
      </c>
      <c r="D1390" s="32" t="s">
        <v>3930</v>
      </c>
    </row>
    <row r="1391" spans="2:4" x14ac:dyDescent="0.3">
      <c r="B1391" s="33" t="s">
        <v>3931</v>
      </c>
      <c r="C1391" s="32" t="s">
        <v>3932</v>
      </c>
      <c r="D1391" s="32" t="s">
        <v>3933</v>
      </c>
    </row>
    <row r="1392" spans="2:4" x14ac:dyDescent="0.3">
      <c r="B1392" s="33" t="s">
        <v>3934</v>
      </c>
      <c r="C1392" s="32" t="s">
        <v>3935</v>
      </c>
      <c r="D1392" s="32" t="s">
        <v>3936</v>
      </c>
    </row>
    <row r="1393" spans="2:4" x14ac:dyDescent="0.3">
      <c r="B1393" s="33" t="s">
        <v>3937</v>
      </c>
      <c r="C1393" s="32" t="s">
        <v>3938</v>
      </c>
      <c r="D1393" s="32" t="s">
        <v>3939</v>
      </c>
    </row>
    <row r="1394" spans="2:4" x14ac:dyDescent="0.3">
      <c r="B1394" s="33" t="s">
        <v>3467</v>
      </c>
      <c r="C1394" s="32" t="s">
        <v>3940</v>
      </c>
      <c r="D1394" s="32" t="s">
        <v>3941</v>
      </c>
    </row>
    <row r="1395" spans="2:4" x14ac:dyDescent="0.3">
      <c r="B1395" s="33" t="s">
        <v>3942</v>
      </c>
      <c r="C1395" s="32" t="s">
        <v>3943</v>
      </c>
      <c r="D1395" s="32" t="s">
        <v>3944</v>
      </c>
    </row>
    <row r="1396" spans="2:4" x14ac:dyDescent="0.3">
      <c r="B1396" s="33" t="s">
        <v>3945</v>
      </c>
      <c r="C1396" s="32" t="s">
        <v>3946</v>
      </c>
      <c r="D1396" s="32" t="s">
        <v>3945</v>
      </c>
    </row>
    <row r="1397" spans="2:4" x14ac:dyDescent="0.3">
      <c r="B1397" s="33" t="s">
        <v>3947</v>
      </c>
      <c r="C1397" s="32" t="s">
        <v>3948</v>
      </c>
      <c r="D1397" s="32" t="s">
        <v>37139</v>
      </c>
    </row>
    <row r="1398" spans="2:4" x14ac:dyDescent="0.3">
      <c r="B1398" s="33" t="s">
        <v>3947</v>
      </c>
      <c r="C1398" s="32" t="s">
        <v>3949</v>
      </c>
      <c r="D1398" s="32" t="s">
        <v>3950</v>
      </c>
    </row>
    <row r="1399" spans="2:4" x14ac:dyDescent="0.3">
      <c r="B1399" s="33" t="s">
        <v>3951</v>
      </c>
      <c r="C1399" s="32" t="s">
        <v>3952</v>
      </c>
      <c r="D1399" s="32" t="s">
        <v>3953</v>
      </c>
    </row>
    <row r="1400" spans="2:4" x14ac:dyDescent="0.3">
      <c r="B1400" s="33" t="s">
        <v>3829</v>
      </c>
      <c r="C1400" s="32" t="s">
        <v>3954</v>
      </c>
      <c r="D1400" s="32" t="s">
        <v>3955</v>
      </c>
    </row>
    <row r="1401" spans="2:4" x14ac:dyDescent="0.3">
      <c r="B1401" s="33" t="s">
        <v>3956</v>
      </c>
      <c r="C1401" s="32" t="s">
        <v>3957</v>
      </c>
      <c r="D1401" s="32" t="s">
        <v>3958</v>
      </c>
    </row>
    <row r="1402" spans="2:4" x14ac:dyDescent="0.3">
      <c r="B1402" s="33" t="s">
        <v>3959</v>
      </c>
      <c r="C1402" s="32" t="s">
        <v>3960</v>
      </c>
      <c r="D1402" s="32" t="s">
        <v>3961</v>
      </c>
    </row>
    <row r="1403" spans="2:4" x14ac:dyDescent="0.3">
      <c r="B1403" s="33" t="s">
        <v>3962</v>
      </c>
      <c r="C1403" s="32" t="s">
        <v>3963</v>
      </c>
      <c r="D1403" s="32" t="s">
        <v>3964</v>
      </c>
    </row>
    <row r="1404" spans="2:4" x14ac:dyDescent="0.3">
      <c r="B1404" s="33" t="s">
        <v>3631</v>
      </c>
      <c r="C1404" s="32" t="s">
        <v>3965</v>
      </c>
      <c r="D1404" s="32" t="s">
        <v>3966</v>
      </c>
    </row>
    <row r="1405" spans="2:4" x14ac:dyDescent="0.3">
      <c r="B1405" s="33" t="s">
        <v>3967</v>
      </c>
      <c r="C1405" s="32" t="s">
        <v>3968</v>
      </c>
      <c r="D1405" s="32" t="s">
        <v>3969</v>
      </c>
    </row>
    <row r="1406" spans="2:4" x14ac:dyDescent="0.3">
      <c r="B1406" s="33" t="s">
        <v>3970</v>
      </c>
      <c r="C1406" s="32" t="s">
        <v>3971</v>
      </c>
      <c r="D1406" s="32" t="s">
        <v>3972</v>
      </c>
    </row>
    <row r="1407" spans="2:4" x14ac:dyDescent="0.3">
      <c r="B1407" s="33" t="s">
        <v>3973</v>
      </c>
      <c r="C1407" s="32" t="s">
        <v>3974</v>
      </c>
      <c r="D1407" s="32" t="s">
        <v>3975</v>
      </c>
    </row>
    <row r="1408" spans="2:4" x14ac:dyDescent="0.3">
      <c r="B1408" s="33" t="s">
        <v>3976</v>
      </c>
      <c r="C1408" s="32" t="s">
        <v>3977</v>
      </c>
      <c r="D1408" s="32" t="s">
        <v>3978</v>
      </c>
    </row>
    <row r="1409" spans="2:4" x14ac:dyDescent="0.3">
      <c r="B1409" s="33" t="s">
        <v>3979</v>
      </c>
      <c r="C1409" s="32" t="s">
        <v>3980</v>
      </c>
      <c r="D1409" s="32" t="s">
        <v>3981</v>
      </c>
    </row>
    <row r="1410" spans="2:4" x14ac:dyDescent="0.3">
      <c r="B1410" s="33" t="s">
        <v>3982</v>
      </c>
      <c r="C1410" s="32" t="s">
        <v>3983</v>
      </c>
      <c r="D1410" s="32" t="s">
        <v>3984</v>
      </c>
    </row>
    <row r="1411" spans="2:4" x14ac:dyDescent="0.3">
      <c r="B1411" s="33" t="s">
        <v>3985</v>
      </c>
      <c r="C1411" s="32" t="s">
        <v>3986</v>
      </c>
      <c r="D1411" s="32" t="s">
        <v>3987</v>
      </c>
    </row>
    <row r="1412" spans="2:4" x14ac:dyDescent="0.3">
      <c r="B1412" s="33" t="s">
        <v>3988</v>
      </c>
      <c r="C1412" s="32" t="s">
        <v>3989</v>
      </c>
      <c r="D1412" s="32" t="s">
        <v>3990</v>
      </c>
    </row>
    <row r="1413" spans="2:4" x14ac:dyDescent="0.3">
      <c r="B1413" s="33" t="s">
        <v>3991</v>
      </c>
      <c r="C1413" s="32" t="s">
        <v>3992</v>
      </c>
      <c r="D1413" s="32" t="s">
        <v>3993</v>
      </c>
    </row>
    <row r="1414" spans="2:4" x14ac:dyDescent="0.3">
      <c r="B1414" s="33" t="s">
        <v>3994</v>
      </c>
      <c r="C1414" s="32" t="s">
        <v>3995</v>
      </c>
      <c r="D1414" s="32" t="s">
        <v>3996</v>
      </c>
    </row>
    <row r="1415" spans="2:4" x14ac:dyDescent="0.3">
      <c r="B1415" s="33" t="s">
        <v>3997</v>
      </c>
      <c r="C1415" s="32" t="s">
        <v>3998</v>
      </c>
      <c r="D1415" s="32" t="s">
        <v>3999</v>
      </c>
    </row>
    <row r="1416" spans="2:4" x14ac:dyDescent="0.3">
      <c r="B1416" s="33" t="s">
        <v>4000</v>
      </c>
      <c r="C1416" s="32" t="s">
        <v>4001</v>
      </c>
      <c r="D1416" s="32" t="s">
        <v>4002</v>
      </c>
    </row>
    <row r="1417" spans="2:4" x14ac:dyDescent="0.3">
      <c r="B1417" s="33" t="s">
        <v>36977</v>
      </c>
      <c r="C1417" s="32" t="s">
        <v>36978</v>
      </c>
      <c r="D1417" s="32" t="s">
        <v>36979</v>
      </c>
    </row>
    <row r="1418" spans="2:4" x14ac:dyDescent="0.3">
      <c r="B1418" s="33" t="s">
        <v>36980</v>
      </c>
      <c r="C1418" s="32" t="s">
        <v>36981</v>
      </c>
      <c r="D1418" s="32" t="s">
        <v>36982</v>
      </c>
    </row>
    <row r="1419" spans="2:4" x14ac:dyDescent="0.3">
      <c r="B1419" s="33" t="s">
        <v>4003</v>
      </c>
      <c r="C1419" s="32" t="s">
        <v>4004</v>
      </c>
      <c r="D1419" s="32" t="s">
        <v>4005</v>
      </c>
    </row>
    <row r="1420" spans="2:4" x14ac:dyDescent="0.3">
      <c r="B1420" s="33" t="s">
        <v>4006</v>
      </c>
      <c r="C1420" s="32" t="s">
        <v>4007</v>
      </c>
      <c r="D1420" s="32" t="s">
        <v>4008</v>
      </c>
    </row>
    <row r="1421" spans="2:4" x14ac:dyDescent="0.3">
      <c r="B1421" s="33" t="s">
        <v>4009</v>
      </c>
      <c r="C1421" s="32" t="s">
        <v>4010</v>
      </c>
      <c r="D1421" s="32" t="s">
        <v>4011</v>
      </c>
    </row>
    <row r="1422" spans="2:4" x14ac:dyDescent="0.3">
      <c r="B1422" s="33" t="s">
        <v>4012</v>
      </c>
      <c r="C1422" s="32" t="s">
        <v>4013</v>
      </c>
      <c r="D1422" s="32" t="s">
        <v>4014</v>
      </c>
    </row>
    <row r="1423" spans="2:4" x14ac:dyDescent="0.3">
      <c r="B1423" s="33" t="s">
        <v>4015</v>
      </c>
      <c r="C1423" s="32" t="s">
        <v>4016</v>
      </c>
      <c r="D1423" s="32" t="s">
        <v>4017</v>
      </c>
    </row>
    <row r="1424" spans="2:4" x14ac:dyDescent="0.3">
      <c r="B1424" s="33" t="s">
        <v>4018</v>
      </c>
      <c r="C1424" s="32" t="s">
        <v>4019</v>
      </c>
      <c r="D1424" s="32" t="s">
        <v>4020</v>
      </c>
    </row>
    <row r="1425" spans="2:4" x14ac:dyDescent="0.3">
      <c r="B1425" s="33" t="s">
        <v>4021</v>
      </c>
      <c r="C1425" s="32" t="s">
        <v>4022</v>
      </c>
      <c r="D1425" s="32" t="s">
        <v>4023</v>
      </c>
    </row>
    <row r="1426" spans="2:4" x14ac:dyDescent="0.3">
      <c r="B1426" s="33" t="s">
        <v>4024</v>
      </c>
      <c r="C1426" s="32" t="s">
        <v>4025</v>
      </c>
      <c r="D1426" s="32" t="s">
        <v>4026</v>
      </c>
    </row>
    <row r="1427" spans="2:4" x14ac:dyDescent="0.3">
      <c r="B1427" s="33" t="s">
        <v>4027</v>
      </c>
      <c r="C1427" s="32" t="s">
        <v>4028</v>
      </c>
      <c r="D1427" s="32" t="s">
        <v>4029</v>
      </c>
    </row>
    <row r="1428" spans="2:4" x14ac:dyDescent="0.3">
      <c r="B1428" s="33" t="s">
        <v>4030</v>
      </c>
      <c r="C1428" s="32" t="s">
        <v>4031</v>
      </c>
      <c r="D1428" s="32" t="s">
        <v>4032</v>
      </c>
    </row>
    <row r="1429" spans="2:4" x14ac:dyDescent="0.3">
      <c r="B1429" s="33" t="s">
        <v>4033</v>
      </c>
      <c r="C1429" s="32" t="s">
        <v>4034</v>
      </c>
      <c r="D1429" s="32" t="s">
        <v>4035</v>
      </c>
    </row>
    <row r="1430" spans="2:4" x14ac:dyDescent="0.3">
      <c r="B1430" s="33" t="s">
        <v>4036</v>
      </c>
      <c r="C1430" s="32" t="s">
        <v>4037</v>
      </c>
      <c r="D1430" s="32" t="s">
        <v>4038</v>
      </c>
    </row>
    <row r="1431" spans="2:4" x14ac:dyDescent="0.3">
      <c r="B1431" s="33" t="s">
        <v>37140</v>
      </c>
      <c r="C1431" s="32" t="s">
        <v>37141</v>
      </c>
      <c r="D1431" s="32" t="s">
        <v>37142</v>
      </c>
    </row>
    <row r="1432" spans="2:4" x14ac:dyDescent="0.3">
      <c r="B1432" s="33" t="s">
        <v>4039</v>
      </c>
      <c r="C1432" s="32" t="s">
        <v>4040</v>
      </c>
      <c r="D1432" s="32" t="s">
        <v>4041</v>
      </c>
    </row>
    <row r="1433" spans="2:4" x14ac:dyDescent="0.3">
      <c r="B1433" s="33" t="s">
        <v>4042</v>
      </c>
      <c r="C1433" s="32" t="s">
        <v>4043</v>
      </c>
      <c r="D1433" s="32" t="s">
        <v>4044</v>
      </c>
    </row>
    <row r="1434" spans="2:4" x14ac:dyDescent="0.3">
      <c r="B1434" s="33" t="s">
        <v>3416</v>
      </c>
      <c r="C1434" s="32" t="s">
        <v>4045</v>
      </c>
      <c r="D1434" s="32" t="s">
        <v>4046</v>
      </c>
    </row>
    <row r="1435" spans="2:4" x14ac:dyDescent="0.3">
      <c r="B1435" s="33" t="s">
        <v>3622</v>
      </c>
      <c r="C1435" s="32" t="s">
        <v>4047</v>
      </c>
      <c r="D1435" s="32" t="s">
        <v>4048</v>
      </c>
    </row>
    <row r="1436" spans="2:4" x14ac:dyDescent="0.3">
      <c r="B1436" s="33" t="s">
        <v>3622</v>
      </c>
      <c r="C1436" s="32" t="s">
        <v>4049</v>
      </c>
      <c r="D1436" s="32" t="s">
        <v>4050</v>
      </c>
    </row>
    <row r="1437" spans="2:4" x14ac:dyDescent="0.3">
      <c r="B1437" s="33" t="s">
        <v>4051</v>
      </c>
      <c r="C1437" s="32" t="s">
        <v>4052</v>
      </c>
      <c r="D1437" s="32" t="s">
        <v>4053</v>
      </c>
    </row>
    <row r="1438" spans="2:4" x14ac:dyDescent="0.3">
      <c r="B1438" s="33" t="s">
        <v>4054</v>
      </c>
      <c r="C1438" s="32" t="s">
        <v>4055</v>
      </c>
      <c r="D1438" s="32" t="s">
        <v>4056</v>
      </c>
    </row>
    <row r="1439" spans="2:4" x14ac:dyDescent="0.3">
      <c r="B1439" s="33" t="s">
        <v>4057</v>
      </c>
      <c r="C1439" s="32" t="s">
        <v>4058</v>
      </c>
      <c r="D1439" s="32" t="s">
        <v>4059</v>
      </c>
    </row>
    <row r="1440" spans="2:4" x14ac:dyDescent="0.3">
      <c r="B1440" s="33" t="s">
        <v>4060</v>
      </c>
      <c r="C1440" s="32" t="s">
        <v>4061</v>
      </c>
      <c r="D1440" s="32" t="s">
        <v>4062</v>
      </c>
    </row>
    <row r="1441" spans="2:4" x14ac:dyDescent="0.3">
      <c r="B1441" s="33" t="s">
        <v>4063</v>
      </c>
      <c r="C1441" s="32" t="s">
        <v>4064</v>
      </c>
      <c r="D1441" s="32" t="s">
        <v>4065</v>
      </c>
    </row>
    <row r="1442" spans="2:4" x14ac:dyDescent="0.3">
      <c r="B1442" s="33" t="s">
        <v>4066</v>
      </c>
      <c r="C1442" s="32" t="s">
        <v>4067</v>
      </c>
      <c r="D1442" s="32" t="s">
        <v>4068</v>
      </c>
    </row>
    <row r="1443" spans="2:4" x14ac:dyDescent="0.3">
      <c r="B1443" s="33" t="s">
        <v>4069</v>
      </c>
      <c r="C1443" s="32" t="s">
        <v>4070</v>
      </c>
      <c r="D1443" s="32" t="s">
        <v>4071</v>
      </c>
    </row>
    <row r="1444" spans="2:4" x14ac:dyDescent="0.3">
      <c r="B1444" s="33" t="s">
        <v>4072</v>
      </c>
      <c r="C1444" s="32" t="s">
        <v>4073</v>
      </c>
      <c r="D1444" s="32" t="s">
        <v>4074</v>
      </c>
    </row>
    <row r="1445" spans="2:4" x14ac:dyDescent="0.3">
      <c r="B1445" s="33" t="s">
        <v>4072</v>
      </c>
      <c r="C1445" s="32" t="s">
        <v>4075</v>
      </c>
      <c r="D1445" s="32" t="s">
        <v>4076</v>
      </c>
    </row>
    <row r="1446" spans="2:4" x14ac:dyDescent="0.3">
      <c r="B1446" s="33" t="s">
        <v>4077</v>
      </c>
      <c r="C1446" s="32" t="s">
        <v>4078</v>
      </c>
      <c r="D1446" s="32" t="s">
        <v>4079</v>
      </c>
    </row>
    <row r="1447" spans="2:4" x14ac:dyDescent="0.3">
      <c r="B1447" s="33" t="s">
        <v>4080</v>
      </c>
      <c r="C1447" s="32" t="s">
        <v>4081</v>
      </c>
      <c r="D1447" s="32" t="s">
        <v>4080</v>
      </c>
    </row>
    <row r="1448" spans="2:4" x14ac:dyDescent="0.3">
      <c r="B1448" s="33" t="s">
        <v>4082</v>
      </c>
      <c r="C1448" s="32" t="s">
        <v>4083</v>
      </c>
      <c r="D1448" s="32" t="s">
        <v>4084</v>
      </c>
    </row>
    <row r="1449" spans="2:4" x14ac:dyDescent="0.3">
      <c r="B1449" s="33" t="s">
        <v>4085</v>
      </c>
      <c r="C1449" s="32" t="s">
        <v>4086</v>
      </c>
      <c r="D1449" s="32" t="s">
        <v>4087</v>
      </c>
    </row>
    <row r="1450" spans="2:4" x14ac:dyDescent="0.3">
      <c r="B1450" s="33" t="s">
        <v>4088</v>
      </c>
      <c r="C1450" s="32" t="s">
        <v>4089</v>
      </c>
      <c r="D1450" s="32" t="s">
        <v>4090</v>
      </c>
    </row>
    <row r="1451" spans="2:4" x14ac:dyDescent="0.3">
      <c r="B1451" s="33" t="s">
        <v>4091</v>
      </c>
      <c r="C1451" s="32" t="s">
        <v>4092</v>
      </c>
      <c r="D1451" s="32" t="s">
        <v>4093</v>
      </c>
    </row>
    <row r="1452" spans="2:4" x14ac:dyDescent="0.3">
      <c r="B1452" s="33" t="s">
        <v>4094</v>
      </c>
      <c r="C1452" s="32" t="s">
        <v>4095</v>
      </c>
      <c r="D1452" s="32" t="s">
        <v>4096</v>
      </c>
    </row>
    <row r="1453" spans="2:4" x14ac:dyDescent="0.3">
      <c r="B1453" s="33" t="s">
        <v>4097</v>
      </c>
      <c r="C1453" s="32" t="s">
        <v>4098</v>
      </c>
      <c r="D1453" s="32" t="s">
        <v>4099</v>
      </c>
    </row>
    <row r="1454" spans="2:4" x14ac:dyDescent="0.3">
      <c r="B1454" s="33" t="s">
        <v>4100</v>
      </c>
      <c r="C1454" s="32" t="s">
        <v>4101</v>
      </c>
      <c r="D1454" s="32" t="s">
        <v>4102</v>
      </c>
    </row>
    <row r="1455" spans="2:4" x14ac:dyDescent="0.3">
      <c r="B1455" s="33" t="s">
        <v>4103</v>
      </c>
      <c r="C1455" s="32" t="s">
        <v>4104</v>
      </c>
      <c r="D1455" s="32" t="s">
        <v>4105</v>
      </c>
    </row>
    <row r="1456" spans="2:4" x14ac:dyDescent="0.3">
      <c r="B1456" s="33" t="s">
        <v>4106</v>
      </c>
      <c r="C1456" s="32" t="s">
        <v>4107</v>
      </c>
      <c r="D1456" s="32" t="s">
        <v>4108</v>
      </c>
    </row>
    <row r="1457" spans="2:4" x14ac:dyDescent="0.3">
      <c r="B1457" s="33" t="s">
        <v>4109</v>
      </c>
      <c r="C1457" s="32" t="s">
        <v>4110</v>
      </c>
      <c r="D1457" s="32" t="s">
        <v>4111</v>
      </c>
    </row>
    <row r="1458" spans="2:4" x14ac:dyDescent="0.3">
      <c r="B1458" s="33" t="s">
        <v>4112</v>
      </c>
      <c r="C1458" s="32" t="s">
        <v>4113</v>
      </c>
      <c r="D1458" s="32" t="s">
        <v>4114</v>
      </c>
    </row>
    <row r="1459" spans="2:4" x14ac:dyDescent="0.3">
      <c r="B1459" s="33" t="s">
        <v>4115</v>
      </c>
      <c r="C1459" s="32" t="s">
        <v>4116</v>
      </c>
      <c r="D1459" s="32" t="s">
        <v>4117</v>
      </c>
    </row>
    <row r="1460" spans="2:4" x14ac:dyDescent="0.3">
      <c r="B1460" s="33" t="s">
        <v>3877</v>
      </c>
      <c r="C1460" s="32" t="s">
        <v>4118</v>
      </c>
      <c r="D1460" s="32" t="s">
        <v>4119</v>
      </c>
    </row>
    <row r="1461" spans="2:4" x14ac:dyDescent="0.3">
      <c r="B1461" s="33" t="s">
        <v>4120</v>
      </c>
      <c r="C1461" s="32" t="s">
        <v>4121</v>
      </c>
      <c r="D1461" s="32" t="s">
        <v>4122</v>
      </c>
    </row>
    <row r="1462" spans="2:4" x14ac:dyDescent="0.3">
      <c r="B1462" s="33" t="s">
        <v>15786</v>
      </c>
      <c r="C1462" s="32" t="s">
        <v>36662</v>
      </c>
      <c r="D1462" s="32" t="s">
        <v>36663</v>
      </c>
    </row>
    <row r="1463" spans="2:4" x14ac:dyDescent="0.3">
      <c r="B1463" s="33" t="s">
        <v>4123</v>
      </c>
      <c r="C1463" s="32" t="s">
        <v>4124</v>
      </c>
      <c r="D1463" s="32" t="s">
        <v>4125</v>
      </c>
    </row>
    <row r="1464" spans="2:4" x14ac:dyDescent="0.3">
      <c r="B1464" s="33" t="s">
        <v>4126</v>
      </c>
      <c r="C1464" s="32" t="s">
        <v>4127</v>
      </c>
      <c r="D1464" s="32" t="s">
        <v>4128</v>
      </c>
    </row>
    <row r="1465" spans="2:4" x14ac:dyDescent="0.3">
      <c r="B1465" s="33" t="s">
        <v>4129</v>
      </c>
      <c r="C1465" s="32" t="s">
        <v>4130</v>
      </c>
      <c r="D1465" s="32" t="s">
        <v>4131</v>
      </c>
    </row>
    <row r="1466" spans="2:4" x14ac:dyDescent="0.3">
      <c r="B1466" s="33" t="s">
        <v>4132</v>
      </c>
      <c r="C1466" s="32" t="s">
        <v>4133</v>
      </c>
      <c r="D1466" s="32" t="s">
        <v>4134</v>
      </c>
    </row>
    <row r="1467" spans="2:4" x14ac:dyDescent="0.3">
      <c r="B1467" s="33" t="s">
        <v>4135</v>
      </c>
      <c r="C1467" s="32" t="s">
        <v>4136</v>
      </c>
      <c r="D1467" s="32" t="s">
        <v>4137</v>
      </c>
    </row>
    <row r="1468" spans="2:4" x14ac:dyDescent="0.3">
      <c r="B1468" s="33" t="s">
        <v>4138</v>
      </c>
      <c r="C1468" s="32" t="s">
        <v>4139</v>
      </c>
      <c r="D1468" s="32" t="s">
        <v>4140</v>
      </c>
    </row>
    <row r="1469" spans="2:4" x14ac:dyDescent="0.3">
      <c r="B1469" s="33" t="s">
        <v>4141</v>
      </c>
      <c r="C1469" s="32" t="s">
        <v>4142</v>
      </c>
      <c r="D1469" s="32" t="s">
        <v>4143</v>
      </c>
    </row>
    <row r="1470" spans="2:4" x14ac:dyDescent="0.3">
      <c r="B1470" s="33" t="s">
        <v>4144</v>
      </c>
      <c r="C1470" s="32" t="s">
        <v>4145</v>
      </c>
      <c r="D1470" s="32" t="s">
        <v>4146</v>
      </c>
    </row>
    <row r="1471" spans="2:4" x14ac:dyDescent="0.3">
      <c r="B1471" s="33" t="s">
        <v>4147</v>
      </c>
      <c r="C1471" s="32" t="s">
        <v>4148</v>
      </c>
      <c r="D1471" s="32" t="s">
        <v>4149</v>
      </c>
    </row>
    <row r="1472" spans="2:4" x14ac:dyDescent="0.3">
      <c r="B1472" s="33" t="s">
        <v>4150</v>
      </c>
      <c r="C1472" s="32" t="s">
        <v>4151</v>
      </c>
      <c r="D1472" s="32" t="s">
        <v>4152</v>
      </c>
    </row>
    <row r="1473" spans="2:4" x14ac:dyDescent="0.3">
      <c r="B1473" s="33" t="s">
        <v>4153</v>
      </c>
      <c r="C1473" s="32" t="s">
        <v>4154</v>
      </c>
      <c r="D1473" s="32" t="s">
        <v>4155</v>
      </c>
    </row>
    <row r="1474" spans="2:4" x14ac:dyDescent="0.3">
      <c r="B1474" s="33" t="s">
        <v>4156</v>
      </c>
      <c r="C1474" s="32" t="s">
        <v>4157</v>
      </c>
      <c r="D1474" s="32" t="s">
        <v>4158</v>
      </c>
    </row>
    <row r="1475" spans="2:4" x14ac:dyDescent="0.3">
      <c r="B1475" s="33" t="s">
        <v>2499</v>
      </c>
      <c r="C1475" s="32" t="s">
        <v>4159</v>
      </c>
      <c r="D1475" s="32" t="s">
        <v>4160</v>
      </c>
    </row>
    <row r="1476" spans="2:4" x14ac:dyDescent="0.3">
      <c r="B1476" s="33" t="s">
        <v>4161</v>
      </c>
      <c r="C1476" s="32" t="s">
        <v>4162</v>
      </c>
      <c r="D1476" s="32" t="s">
        <v>4163</v>
      </c>
    </row>
    <row r="1477" spans="2:4" x14ac:dyDescent="0.3">
      <c r="B1477" s="33" t="s">
        <v>4164</v>
      </c>
      <c r="C1477" s="32" t="s">
        <v>4165</v>
      </c>
      <c r="D1477" s="32" t="s">
        <v>4166</v>
      </c>
    </row>
    <row r="1478" spans="2:4" x14ac:dyDescent="0.3">
      <c r="B1478" s="33" t="s">
        <v>4167</v>
      </c>
      <c r="C1478" s="32" t="s">
        <v>4168</v>
      </c>
      <c r="D1478" s="32" t="s">
        <v>4169</v>
      </c>
    </row>
    <row r="1479" spans="2:4" x14ac:dyDescent="0.3">
      <c r="B1479" s="33" t="s">
        <v>4170</v>
      </c>
      <c r="C1479" s="32" t="s">
        <v>4171</v>
      </c>
      <c r="D1479" s="32" t="s">
        <v>4172</v>
      </c>
    </row>
    <row r="1480" spans="2:4" x14ac:dyDescent="0.3">
      <c r="B1480" s="33" t="s">
        <v>4173</v>
      </c>
      <c r="C1480" s="32" t="s">
        <v>4174</v>
      </c>
      <c r="D1480" s="32" t="s">
        <v>4175</v>
      </c>
    </row>
    <row r="1481" spans="2:4" x14ac:dyDescent="0.3">
      <c r="B1481" s="33" t="s">
        <v>4176</v>
      </c>
      <c r="C1481" s="32" t="s">
        <v>4177</v>
      </c>
      <c r="D1481" s="32" t="s">
        <v>4178</v>
      </c>
    </row>
    <row r="1482" spans="2:4" x14ac:dyDescent="0.3">
      <c r="B1482" s="33" t="s">
        <v>4179</v>
      </c>
      <c r="C1482" s="32" t="s">
        <v>4180</v>
      </c>
      <c r="D1482" s="32" t="s">
        <v>4181</v>
      </c>
    </row>
    <row r="1483" spans="2:4" x14ac:dyDescent="0.3">
      <c r="B1483" s="33" t="s">
        <v>4173</v>
      </c>
      <c r="C1483" s="32" t="s">
        <v>4182</v>
      </c>
      <c r="D1483" s="32" t="s">
        <v>4183</v>
      </c>
    </row>
    <row r="1484" spans="2:4" x14ac:dyDescent="0.3">
      <c r="B1484" s="33" t="s">
        <v>4184</v>
      </c>
      <c r="C1484" s="32" t="s">
        <v>4185</v>
      </c>
      <c r="D1484" s="32" t="s">
        <v>4186</v>
      </c>
    </row>
    <row r="1485" spans="2:4" x14ac:dyDescent="0.3">
      <c r="B1485" s="33" t="s">
        <v>4187</v>
      </c>
      <c r="C1485" s="32" t="s">
        <v>4188</v>
      </c>
      <c r="D1485" s="32" t="s">
        <v>4189</v>
      </c>
    </row>
    <row r="1486" spans="2:4" x14ac:dyDescent="0.3">
      <c r="B1486" s="33" t="s">
        <v>4190</v>
      </c>
      <c r="C1486" s="32" t="s">
        <v>4191</v>
      </c>
      <c r="D1486" s="32" t="s">
        <v>4192</v>
      </c>
    </row>
    <row r="1487" spans="2:4" x14ac:dyDescent="0.3">
      <c r="B1487" s="33" t="s">
        <v>4193</v>
      </c>
      <c r="C1487" s="32" t="s">
        <v>4194</v>
      </c>
      <c r="D1487" s="32" t="s">
        <v>4195</v>
      </c>
    </row>
    <row r="1488" spans="2:4" x14ac:dyDescent="0.3">
      <c r="B1488" s="33" t="s">
        <v>4192</v>
      </c>
      <c r="C1488" s="32" t="s">
        <v>4196</v>
      </c>
      <c r="D1488" s="32" t="s">
        <v>4197</v>
      </c>
    </row>
    <row r="1489" spans="2:4" x14ac:dyDescent="0.3">
      <c r="B1489" s="33" t="s">
        <v>4198</v>
      </c>
      <c r="C1489" s="32" t="s">
        <v>4199</v>
      </c>
      <c r="D1489" s="32" t="s">
        <v>4200</v>
      </c>
    </row>
    <row r="1490" spans="2:4" x14ac:dyDescent="0.3">
      <c r="B1490" s="33" t="s">
        <v>4201</v>
      </c>
      <c r="C1490" s="32" t="s">
        <v>4202</v>
      </c>
      <c r="D1490" s="32" t="s">
        <v>4203</v>
      </c>
    </row>
    <row r="1491" spans="2:4" x14ac:dyDescent="0.3">
      <c r="B1491" s="33" t="s">
        <v>4204</v>
      </c>
      <c r="C1491" s="32" t="s">
        <v>4205</v>
      </c>
      <c r="D1491" s="32" t="s">
        <v>4206</v>
      </c>
    </row>
    <row r="1492" spans="2:4" x14ac:dyDescent="0.3">
      <c r="B1492" s="33" t="s">
        <v>4204</v>
      </c>
      <c r="C1492" s="32" t="s">
        <v>4207</v>
      </c>
      <c r="D1492" s="32" t="s">
        <v>4208</v>
      </c>
    </row>
    <row r="1493" spans="2:4" x14ac:dyDescent="0.3">
      <c r="B1493" s="33" t="s">
        <v>4209</v>
      </c>
      <c r="C1493" s="32" t="s">
        <v>4210</v>
      </c>
      <c r="D1493" s="32" t="s">
        <v>4211</v>
      </c>
    </row>
    <row r="1494" spans="2:4" x14ac:dyDescent="0.3">
      <c r="B1494" s="33" t="s">
        <v>4212</v>
      </c>
      <c r="C1494" s="32" t="s">
        <v>4213</v>
      </c>
      <c r="D1494" s="32" t="s">
        <v>4214</v>
      </c>
    </row>
    <row r="1495" spans="2:4" x14ac:dyDescent="0.3">
      <c r="B1495" s="33" t="s">
        <v>4215</v>
      </c>
      <c r="C1495" s="32" t="s">
        <v>4216</v>
      </c>
      <c r="D1495" s="32" t="s">
        <v>4217</v>
      </c>
    </row>
    <row r="1496" spans="2:4" x14ac:dyDescent="0.3">
      <c r="B1496" s="33" t="s">
        <v>4218</v>
      </c>
      <c r="C1496" s="32" t="s">
        <v>4219</v>
      </c>
      <c r="D1496" s="32" t="s">
        <v>4220</v>
      </c>
    </row>
    <row r="1497" spans="2:4" x14ac:dyDescent="0.3">
      <c r="B1497" s="33" t="s">
        <v>4221</v>
      </c>
      <c r="C1497" s="32" t="s">
        <v>4222</v>
      </c>
      <c r="D1497" s="32" t="s">
        <v>4223</v>
      </c>
    </row>
    <row r="1498" spans="2:4" x14ac:dyDescent="0.3">
      <c r="B1498" s="33" t="s">
        <v>4224</v>
      </c>
      <c r="C1498" s="32" t="s">
        <v>4225</v>
      </c>
      <c r="D1498" s="32" t="s">
        <v>4226</v>
      </c>
    </row>
    <row r="1499" spans="2:4" x14ac:dyDescent="0.3">
      <c r="B1499" s="33" t="s">
        <v>4227</v>
      </c>
      <c r="C1499" s="32" t="s">
        <v>4228</v>
      </c>
      <c r="D1499" s="32" t="s">
        <v>4229</v>
      </c>
    </row>
    <row r="1500" spans="2:4" x14ac:dyDescent="0.3">
      <c r="B1500" s="33" t="s">
        <v>4230</v>
      </c>
      <c r="C1500" s="32" t="s">
        <v>4231</v>
      </c>
      <c r="D1500" s="32" t="s">
        <v>4230</v>
      </c>
    </row>
    <row r="1501" spans="2:4" x14ac:dyDescent="0.3">
      <c r="B1501" s="33" t="s">
        <v>4232</v>
      </c>
      <c r="C1501" s="32" t="s">
        <v>4233</v>
      </c>
      <c r="D1501" s="32" t="s">
        <v>4234</v>
      </c>
    </row>
    <row r="1502" spans="2:4" x14ac:dyDescent="0.3">
      <c r="B1502" s="33" t="s">
        <v>4235</v>
      </c>
      <c r="C1502" s="32" t="s">
        <v>4236</v>
      </c>
      <c r="D1502" s="32" t="s">
        <v>4237</v>
      </c>
    </row>
    <row r="1503" spans="2:4" x14ac:dyDescent="0.3">
      <c r="B1503" s="33" t="s">
        <v>4238</v>
      </c>
      <c r="C1503" s="32" t="s">
        <v>4239</v>
      </c>
      <c r="D1503" s="32" t="s">
        <v>4240</v>
      </c>
    </row>
    <row r="1504" spans="2:4" x14ac:dyDescent="0.3">
      <c r="B1504" s="33" t="s">
        <v>4241</v>
      </c>
      <c r="C1504" s="32" t="s">
        <v>4242</v>
      </c>
      <c r="D1504" s="32" t="s">
        <v>4243</v>
      </c>
    </row>
    <row r="1505" spans="2:4" x14ac:dyDescent="0.3">
      <c r="B1505" s="33" t="s">
        <v>4244</v>
      </c>
      <c r="C1505" s="32" t="s">
        <v>4245</v>
      </c>
      <c r="D1505" s="32" t="s">
        <v>4246</v>
      </c>
    </row>
    <row r="1506" spans="2:4" x14ac:dyDescent="0.3">
      <c r="B1506" s="33" t="s">
        <v>4247</v>
      </c>
      <c r="C1506" s="32" t="s">
        <v>4248</v>
      </c>
      <c r="D1506" s="32" t="s">
        <v>4249</v>
      </c>
    </row>
    <row r="1507" spans="2:4" x14ac:dyDescent="0.3">
      <c r="B1507" s="33" t="s">
        <v>4250</v>
      </c>
      <c r="C1507" s="32" t="s">
        <v>4251</v>
      </c>
      <c r="D1507" s="32" t="s">
        <v>4252</v>
      </c>
    </row>
    <row r="1508" spans="2:4" x14ac:dyDescent="0.3">
      <c r="B1508" s="33" t="s">
        <v>4247</v>
      </c>
      <c r="C1508" s="32" t="s">
        <v>4253</v>
      </c>
      <c r="D1508" s="32" t="s">
        <v>4254</v>
      </c>
    </row>
    <row r="1509" spans="2:4" x14ac:dyDescent="0.3">
      <c r="B1509" s="33" t="s">
        <v>4255</v>
      </c>
      <c r="C1509" s="32" t="s">
        <v>4256</v>
      </c>
      <c r="D1509" s="32" t="s">
        <v>4257</v>
      </c>
    </row>
    <row r="1510" spans="2:4" x14ac:dyDescent="0.3">
      <c r="B1510" s="33" t="s">
        <v>3783</v>
      </c>
      <c r="C1510" s="32" t="s">
        <v>4258</v>
      </c>
      <c r="D1510" s="32" t="s">
        <v>4259</v>
      </c>
    </row>
    <row r="1511" spans="2:4" x14ac:dyDescent="0.3">
      <c r="B1511" s="33" t="s">
        <v>4260</v>
      </c>
      <c r="C1511" s="32" t="s">
        <v>4261</v>
      </c>
      <c r="D1511" s="32" t="s">
        <v>4262</v>
      </c>
    </row>
    <row r="1512" spans="2:4" x14ac:dyDescent="0.3">
      <c r="B1512" s="33" t="s">
        <v>4263</v>
      </c>
      <c r="C1512" s="32" t="s">
        <v>4264</v>
      </c>
      <c r="D1512" s="32" t="s">
        <v>4265</v>
      </c>
    </row>
    <row r="1513" spans="2:4" x14ac:dyDescent="0.3">
      <c r="B1513" s="33" t="s">
        <v>4266</v>
      </c>
      <c r="C1513" s="32" t="s">
        <v>4267</v>
      </c>
      <c r="D1513" s="32" t="s">
        <v>4268</v>
      </c>
    </row>
    <row r="1514" spans="2:4" x14ac:dyDescent="0.3">
      <c r="B1514" s="33" t="s">
        <v>4266</v>
      </c>
      <c r="C1514" s="32" t="s">
        <v>4269</v>
      </c>
      <c r="D1514" s="32" t="s">
        <v>4270</v>
      </c>
    </row>
    <row r="1515" spans="2:4" x14ac:dyDescent="0.3">
      <c r="B1515" s="33" t="s">
        <v>4271</v>
      </c>
      <c r="C1515" s="32" t="s">
        <v>4272</v>
      </c>
      <c r="D1515" s="32" t="s">
        <v>4273</v>
      </c>
    </row>
    <row r="1516" spans="2:4" x14ac:dyDescent="0.3">
      <c r="B1516" s="33" t="s">
        <v>4274</v>
      </c>
      <c r="C1516" s="32" t="s">
        <v>4275</v>
      </c>
      <c r="D1516" s="32" t="s">
        <v>4276</v>
      </c>
    </row>
    <row r="1517" spans="2:4" x14ac:dyDescent="0.3">
      <c r="B1517" s="33" t="s">
        <v>4277</v>
      </c>
      <c r="C1517" s="32" t="s">
        <v>4278</v>
      </c>
      <c r="D1517" s="32" t="s">
        <v>4279</v>
      </c>
    </row>
    <row r="1518" spans="2:4" x14ac:dyDescent="0.3">
      <c r="B1518" s="33" t="s">
        <v>4280</v>
      </c>
      <c r="C1518" s="32" t="s">
        <v>4281</v>
      </c>
      <c r="D1518" s="32" t="s">
        <v>4282</v>
      </c>
    </row>
    <row r="1519" spans="2:4" x14ac:dyDescent="0.3">
      <c r="B1519" s="33" t="s">
        <v>4283</v>
      </c>
      <c r="C1519" s="32" t="s">
        <v>4284</v>
      </c>
      <c r="D1519" s="32" t="s">
        <v>4285</v>
      </c>
    </row>
    <row r="1520" spans="2:4" x14ac:dyDescent="0.3">
      <c r="B1520" s="33" t="s">
        <v>4286</v>
      </c>
      <c r="C1520" s="32" t="s">
        <v>4287</v>
      </c>
      <c r="D1520" s="32" t="s">
        <v>4288</v>
      </c>
    </row>
    <row r="1521" spans="2:4" x14ac:dyDescent="0.3">
      <c r="B1521" s="33" t="s">
        <v>4289</v>
      </c>
      <c r="C1521" s="32" t="s">
        <v>4290</v>
      </c>
      <c r="D1521" s="32" t="s">
        <v>4291</v>
      </c>
    </row>
    <row r="1522" spans="2:4" x14ac:dyDescent="0.3">
      <c r="B1522" s="33" t="s">
        <v>4292</v>
      </c>
      <c r="C1522" s="32" t="s">
        <v>4293</v>
      </c>
      <c r="D1522" s="32" t="s">
        <v>4294</v>
      </c>
    </row>
    <row r="1523" spans="2:4" x14ac:dyDescent="0.3">
      <c r="B1523" s="33" t="s">
        <v>4295</v>
      </c>
      <c r="C1523" s="32" t="s">
        <v>4296</v>
      </c>
      <c r="D1523" s="32" t="s">
        <v>4297</v>
      </c>
    </row>
    <row r="1524" spans="2:4" x14ac:dyDescent="0.3">
      <c r="B1524" s="33" t="s">
        <v>4298</v>
      </c>
      <c r="C1524" s="32" t="s">
        <v>4299</v>
      </c>
      <c r="D1524" s="32" t="s">
        <v>4300</v>
      </c>
    </row>
    <row r="1525" spans="2:4" x14ac:dyDescent="0.3">
      <c r="B1525" s="33" t="s">
        <v>4301</v>
      </c>
      <c r="C1525" s="32" t="s">
        <v>4302</v>
      </c>
      <c r="D1525" s="32" t="s">
        <v>4303</v>
      </c>
    </row>
    <row r="1526" spans="2:4" x14ac:dyDescent="0.3">
      <c r="B1526" s="33" t="s">
        <v>4304</v>
      </c>
      <c r="C1526" s="32" t="s">
        <v>4305</v>
      </c>
      <c r="D1526" s="32" t="s">
        <v>4306</v>
      </c>
    </row>
    <row r="1527" spans="2:4" x14ac:dyDescent="0.3">
      <c r="B1527" s="33" t="s">
        <v>4307</v>
      </c>
      <c r="C1527" s="32" t="s">
        <v>4308</v>
      </c>
      <c r="D1527" s="32" t="s">
        <v>4307</v>
      </c>
    </row>
    <row r="1528" spans="2:4" x14ac:dyDescent="0.3">
      <c r="B1528" s="33" t="s">
        <v>4309</v>
      </c>
      <c r="C1528" s="32" t="s">
        <v>4310</v>
      </c>
      <c r="D1528" s="32" t="s">
        <v>4311</v>
      </c>
    </row>
    <row r="1529" spans="2:4" x14ac:dyDescent="0.3">
      <c r="B1529" s="33" t="s">
        <v>4312</v>
      </c>
      <c r="C1529" s="32" t="s">
        <v>4313</v>
      </c>
      <c r="D1529" s="32" t="s">
        <v>4314</v>
      </c>
    </row>
    <row r="1530" spans="2:4" x14ac:dyDescent="0.3">
      <c r="B1530" s="33" t="s">
        <v>4315</v>
      </c>
      <c r="C1530" s="32" t="s">
        <v>4316</v>
      </c>
      <c r="D1530" s="32" t="s">
        <v>4317</v>
      </c>
    </row>
    <row r="1531" spans="2:4" x14ac:dyDescent="0.3">
      <c r="B1531" s="33" t="s">
        <v>4318</v>
      </c>
      <c r="C1531" s="32" t="s">
        <v>4319</v>
      </c>
      <c r="D1531" s="32" t="s">
        <v>4320</v>
      </c>
    </row>
    <row r="1532" spans="2:4" x14ac:dyDescent="0.3">
      <c r="B1532" s="33" t="s">
        <v>4321</v>
      </c>
      <c r="C1532" s="32" t="s">
        <v>4322</v>
      </c>
      <c r="D1532" s="32" t="s">
        <v>4323</v>
      </c>
    </row>
    <row r="1533" spans="2:4" x14ac:dyDescent="0.3">
      <c r="B1533" s="33" t="s">
        <v>4324</v>
      </c>
      <c r="C1533" s="32" t="s">
        <v>4325</v>
      </c>
      <c r="D1533" s="32" t="s">
        <v>4326</v>
      </c>
    </row>
    <row r="1534" spans="2:4" x14ac:dyDescent="0.3">
      <c r="B1534" s="33" t="s">
        <v>4327</v>
      </c>
      <c r="C1534" s="32" t="s">
        <v>4328</v>
      </c>
      <c r="D1534" s="32" t="s">
        <v>4329</v>
      </c>
    </row>
    <row r="1535" spans="2:4" x14ac:dyDescent="0.3">
      <c r="B1535" s="33" t="s">
        <v>4330</v>
      </c>
      <c r="C1535" s="32" t="s">
        <v>4331</v>
      </c>
      <c r="D1535" s="32" t="s">
        <v>4332</v>
      </c>
    </row>
    <row r="1536" spans="2:4" x14ac:dyDescent="0.3">
      <c r="B1536" s="33" t="s">
        <v>4333</v>
      </c>
      <c r="C1536" s="32" t="s">
        <v>4334</v>
      </c>
      <c r="D1536" s="32" t="s">
        <v>4335</v>
      </c>
    </row>
    <row r="1537" spans="2:4" x14ac:dyDescent="0.3">
      <c r="B1537" s="33" t="s">
        <v>4336</v>
      </c>
      <c r="C1537" s="32" t="s">
        <v>4337</v>
      </c>
      <c r="D1537" s="32" t="s">
        <v>4338</v>
      </c>
    </row>
    <row r="1538" spans="2:4" x14ac:dyDescent="0.3">
      <c r="B1538" s="33" t="s">
        <v>4339</v>
      </c>
      <c r="C1538" s="32" t="s">
        <v>4340</v>
      </c>
      <c r="D1538" s="32" t="s">
        <v>4339</v>
      </c>
    </row>
    <row r="1539" spans="2:4" x14ac:dyDescent="0.3">
      <c r="B1539" s="33" t="s">
        <v>4341</v>
      </c>
      <c r="C1539" s="32" t="s">
        <v>4342</v>
      </c>
      <c r="D1539" s="32" t="s">
        <v>4343</v>
      </c>
    </row>
    <row r="1540" spans="2:4" x14ac:dyDescent="0.3">
      <c r="B1540" s="33" t="s">
        <v>4344</v>
      </c>
      <c r="C1540" s="32" t="s">
        <v>4345</v>
      </c>
      <c r="D1540" s="32" t="s">
        <v>4344</v>
      </c>
    </row>
    <row r="1541" spans="2:4" x14ac:dyDescent="0.3">
      <c r="B1541" s="33" t="s">
        <v>4238</v>
      </c>
      <c r="C1541" s="32" t="s">
        <v>36804</v>
      </c>
      <c r="D1541" s="32" t="s">
        <v>4238</v>
      </c>
    </row>
    <row r="1542" spans="2:4" x14ac:dyDescent="0.3">
      <c r="B1542" s="33" t="s">
        <v>36695</v>
      </c>
      <c r="C1542" s="32" t="s">
        <v>36696</v>
      </c>
      <c r="D1542" s="32" t="s">
        <v>36697</v>
      </c>
    </row>
    <row r="1543" spans="2:4" x14ac:dyDescent="0.3">
      <c r="B1543" s="33" t="s">
        <v>4346</v>
      </c>
      <c r="C1543" s="32" t="s">
        <v>4347</v>
      </c>
      <c r="D1543" s="32" t="s">
        <v>4348</v>
      </c>
    </row>
    <row r="1544" spans="2:4" x14ac:dyDescent="0.3">
      <c r="B1544" s="33" t="s">
        <v>4349</v>
      </c>
      <c r="C1544" s="32" t="s">
        <v>4350</v>
      </c>
      <c r="D1544" s="32" t="s">
        <v>4351</v>
      </c>
    </row>
    <row r="1545" spans="2:4" x14ac:dyDescent="0.3">
      <c r="B1545" s="33" t="s">
        <v>4352</v>
      </c>
      <c r="C1545" s="32" t="s">
        <v>4353</v>
      </c>
      <c r="D1545" s="32" t="s">
        <v>37143</v>
      </c>
    </row>
    <row r="1546" spans="2:4" x14ac:dyDescent="0.3">
      <c r="B1546" s="33" t="s">
        <v>4354</v>
      </c>
      <c r="C1546" s="32" t="s">
        <v>4355</v>
      </c>
      <c r="D1546" s="32" t="s">
        <v>4356</v>
      </c>
    </row>
    <row r="1547" spans="2:4" x14ac:dyDescent="0.3">
      <c r="B1547" s="33" t="s">
        <v>4357</v>
      </c>
      <c r="C1547" s="32" t="s">
        <v>4358</v>
      </c>
      <c r="D1547" s="32" t="s">
        <v>4359</v>
      </c>
    </row>
    <row r="1548" spans="2:4" x14ac:dyDescent="0.3">
      <c r="B1548" s="33" t="s">
        <v>4727</v>
      </c>
      <c r="C1548" s="32" t="s">
        <v>37144</v>
      </c>
      <c r="D1548" s="32" t="s">
        <v>37145</v>
      </c>
    </row>
    <row r="1549" spans="2:4" x14ac:dyDescent="0.3">
      <c r="B1549" s="33" t="s">
        <v>4360</v>
      </c>
      <c r="C1549" s="32" t="s">
        <v>4361</v>
      </c>
      <c r="D1549" s="32" t="s">
        <v>4362</v>
      </c>
    </row>
    <row r="1550" spans="2:4" x14ac:dyDescent="0.3">
      <c r="B1550" s="33" t="s">
        <v>4363</v>
      </c>
      <c r="C1550" s="32" t="s">
        <v>4364</v>
      </c>
      <c r="D1550" s="32" t="s">
        <v>4363</v>
      </c>
    </row>
    <row r="1551" spans="2:4" x14ac:dyDescent="0.3">
      <c r="B1551" s="33" t="s">
        <v>4365</v>
      </c>
      <c r="C1551" s="32" t="s">
        <v>4366</v>
      </c>
      <c r="D1551" s="32" t="s">
        <v>4367</v>
      </c>
    </row>
    <row r="1552" spans="2:4" x14ac:dyDescent="0.3">
      <c r="B1552" s="33" t="s">
        <v>4129</v>
      </c>
      <c r="C1552" s="32" t="s">
        <v>4368</v>
      </c>
      <c r="D1552" s="32" t="s">
        <v>4369</v>
      </c>
    </row>
    <row r="1553" spans="2:4" x14ac:dyDescent="0.3">
      <c r="B1553" s="33" t="s">
        <v>4370</v>
      </c>
      <c r="C1553" s="32" t="s">
        <v>4371</v>
      </c>
      <c r="D1553" s="32" t="s">
        <v>4372</v>
      </c>
    </row>
    <row r="1554" spans="2:4" x14ac:dyDescent="0.3">
      <c r="B1554" s="33" t="s">
        <v>4373</v>
      </c>
      <c r="C1554" s="32" t="s">
        <v>4374</v>
      </c>
      <c r="D1554" s="32" t="s">
        <v>4375</v>
      </c>
    </row>
    <row r="1555" spans="2:4" x14ac:dyDescent="0.3">
      <c r="B1555" s="33" t="s">
        <v>4376</v>
      </c>
      <c r="C1555" s="32" t="s">
        <v>4377</v>
      </c>
      <c r="D1555" s="32" t="s">
        <v>4378</v>
      </c>
    </row>
    <row r="1556" spans="2:4" x14ac:dyDescent="0.3">
      <c r="B1556" s="33" t="s">
        <v>4379</v>
      </c>
      <c r="C1556" s="32" t="s">
        <v>4380</v>
      </c>
      <c r="D1556" s="32" t="s">
        <v>4381</v>
      </c>
    </row>
    <row r="1557" spans="2:4" x14ac:dyDescent="0.3">
      <c r="B1557" s="33" t="s">
        <v>4382</v>
      </c>
      <c r="C1557" s="32" t="s">
        <v>4383</v>
      </c>
      <c r="D1557" s="32" t="s">
        <v>4384</v>
      </c>
    </row>
    <row r="1558" spans="2:4" x14ac:dyDescent="0.3">
      <c r="B1558" s="33" t="s">
        <v>4385</v>
      </c>
      <c r="C1558" s="32" t="s">
        <v>4386</v>
      </c>
      <c r="D1558" s="32" t="s">
        <v>4387</v>
      </c>
    </row>
    <row r="1559" spans="2:4" x14ac:dyDescent="0.3">
      <c r="B1559" s="33" t="s">
        <v>4365</v>
      </c>
      <c r="C1559" s="32" t="s">
        <v>4388</v>
      </c>
      <c r="D1559" s="32" t="s">
        <v>4389</v>
      </c>
    </row>
    <row r="1560" spans="2:4" x14ac:dyDescent="0.3">
      <c r="B1560" s="33" t="s">
        <v>4390</v>
      </c>
      <c r="C1560" s="32" t="s">
        <v>4391</v>
      </c>
      <c r="D1560" s="32" t="s">
        <v>4392</v>
      </c>
    </row>
    <row r="1561" spans="2:4" x14ac:dyDescent="0.3">
      <c r="B1561" s="33" t="s">
        <v>4393</v>
      </c>
      <c r="C1561" s="32" t="s">
        <v>4394</v>
      </c>
      <c r="D1561" s="32" t="s">
        <v>4395</v>
      </c>
    </row>
    <row r="1562" spans="2:4" x14ac:dyDescent="0.3">
      <c r="B1562" s="33" t="s">
        <v>4396</v>
      </c>
      <c r="C1562" s="32" t="s">
        <v>4397</v>
      </c>
      <c r="D1562" s="32" t="s">
        <v>4398</v>
      </c>
    </row>
    <row r="1563" spans="2:4" x14ac:dyDescent="0.3">
      <c r="B1563" s="33" t="s">
        <v>4399</v>
      </c>
      <c r="C1563" s="32" t="s">
        <v>4400</v>
      </c>
      <c r="D1563" s="32" t="s">
        <v>4401</v>
      </c>
    </row>
    <row r="1564" spans="2:4" x14ac:dyDescent="0.3">
      <c r="B1564" s="33" t="s">
        <v>4402</v>
      </c>
      <c r="C1564" s="32" t="s">
        <v>4403</v>
      </c>
      <c r="D1564" s="32" t="s">
        <v>4404</v>
      </c>
    </row>
    <row r="1565" spans="2:4" x14ac:dyDescent="0.3">
      <c r="B1565" s="33" t="s">
        <v>4370</v>
      </c>
      <c r="C1565" s="32" t="s">
        <v>4405</v>
      </c>
      <c r="D1565" s="32" t="s">
        <v>4406</v>
      </c>
    </row>
    <row r="1566" spans="2:4" x14ac:dyDescent="0.3">
      <c r="B1566" s="33" t="s">
        <v>4407</v>
      </c>
      <c r="C1566" s="32" t="s">
        <v>4408</v>
      </c>
      <c r="D1566" s="32" t="s">
        <v>4409</v>
      </c>
    </row>
    <row r="1567" spans="2:4" x14ac:dyDescent="0.3">
      <c r="B1567" s="33" t="s">
        <v>4410</v>
      </c>
      <c r="C1567" s="32" t="s">
        <v>4411</v>
      </c>
      <c r="D1567" s="32" t="s">
        <v>4412</v>
      </c>
    </row>
    <row r="1568" spans="2:4" x14ac:dyDescent="0.3">
      <c r="B1568" s="33" t="s">
        <v>4413</v>
      </c>
      <c r="C1568" s="32" t="s">
        <v>4414</v>
      </c>
      <c r="D1568" s="32" t="s">
        <v>4415</v>
      </c>
    </row>
    <row r="1569" spans="2:4" x14ac:dyDescent="0.3">
      <c r="B1569" s="33" t="s">
        <v>4416</v>
      </c>
      <c r="C1569" s="32" t="s">
        <v>4417</v>
      </c>
      <c r="D1569" s="32" t="s">
        <v>4418</v>
      </c>
    </row>
    <row r="1570" spans="2:4" x14ac:dyDescent="0.3">
      <c r="B1570" s="33" t="s">
        <v>4419</v>
      </c>
      <c r="C1570" s="32" t="s">
        <v>4420</v>
      </c>
      <c r="D1570" s="32" t="s">
        <v>4421</v>
      </c>
    </row>
    <row r="1571" spans="2:4" x14ac:dyDescent="0.3">
      <c r="B1571" s="33" t="s">
        <v>4422</v>
      </c>
      <c r="C1571" s="32" t="s">
        <v>4423</v>
      </c>
      <c r="D1571" s="32" t="s">
        <v>4424</v>
      </c>
    </row>
    <row r="1572" spans="2:4" x14ac:dyDescent="0.3">
      <c r="B1572" s="33" t="s">
        <v>4425</v>
      </c>
      <c r="C1572" s="32" t="s">
        <v>4426</v>
      </c>
      <c r="D1572" s="32" t="s">
        <v>4427</v>
      </c>
    </row>
    <row r="1573" spans="2:4" x14ac:dyDescent="0.3">
      <c r="B1573" s="33" t="s">
        <v>4428</v>
      </c>
      <c r="C1573" s="32" t="s">
        <v>4429</v>
      </c>
      <c r="D1573" s="32" t="s">
        <v>4430</v>
      </c>
    </row>
    <row r="1574" spans="2:4" x14ac:dyDescent="0.3">
      <c r="B1574" s="33" t="s">
        <v>5707</v>
      </c>
      <c r="C1574" s="32" t="s">
        <v>36983</v>
      </c>
      <c r="D1574" s="32" t="s">
        <v>36984</v>
      </c>
    </row>
    <row r="1575" spans="2:4" x14ac:dyDescent="0.3">
      <c r="B1575" s="33" t="s">
        <v>4431</v>
      </c>
      <c r="C1575" s="32" t="s">
        <v>4432</v>
      </c>
      <c r="D1575" s="32" t="s">
        <v>4433</v>
      </c>
    </row>
    <row r="1576" spans="2:4" x14ac:dyDescent="0.3">
      <c r="B1576" s="33" t="s">
        <v>4434</v>
      </c>
      <c r="C1576" s="32" t="s">
        <v>4435</v>
      </c>
      <c r="D1576" s="32" t="s">
        <v>4436</v>
      </c>
    </row>
    <row r="1577" spans="2:4" x14ac:dyDescent="0.3">
      <c r="B1577" s="33" t="s">
        <v>4437</v>
      </c>
      <c r="C1577" s="32" t="s">
        <v>4438</v>
      </c>
      <c r="D1577" s="32" t="s">
        <v>4439</v>
      </c>
    </row>
    <row r="1578" spans="2:4" x14ac:dyDescent="0.3">
      <c r="B1578" s="33" t="s">
        <v>4440</v>
      </c>
      <c r="C1578" s="32" t="s">
        <v>4441</v>
      </c>
      <c r="D1578" s="32" t="s">
        <v>4442</v>
      </c>
    </row>
    <row r="1579" spans="2:4" x14ac:dyDescent="0.3">
      <c r="B1579" s="33" t="s">
        <v>4443</v>
      </c>
      <c r="C1579" s="32" t="s">
        <v>4444</v>
      </c>
      <c r="D1579" s="32" t="s">
        <v>4445</v>
      </c>
    </row>
    <row r="1580" spans="2:4" x14ac:dyDescent="0.3">
      <c r="B1580" s="33" t="s">
        <v>4446</v>
      </c>
      <c r="C1580" s="32" t="s">
        <v>4447</v>
      </c>
      <c r="D1580" s="32" t="s">
        <v>4448</v>
      </c>
    </row>
    <row r="1581" spans="2:4" x14ac:dyDescent="0.3">
      <c r="B1581" s="33" t="s">
        <v>4449</v>
      </c>
      <c r="C1581" s="32" t="s">
        <v>4450</v>
      </c>
      <c r="D1581" s="32" t="s">
        <v>4451</v>
      </c>
    </row>
    <row r="1582" spans="2:4" x14ac:dyDescent="0.3">
      <c r="B1582" s="33" t="s">
        <v>4452</v>
      </c>
      <c r="C1582" s="32" t="s">
        <v>4453</v>
      </c>
      <c r="D1582" s="32" t="s">
        <v>4454</v>
      </c>
    </row>
    <row r="1583" spans="2:4" x14ac:dyDescent="0.3">
      <c r="B1583" s="33" t="s">
        <v>4455</v>
      </c>
      <c r="C1583" s="32" t="s">
        <v>4456</v>
      </c>
      <c r="D1583" s="32" t="s">
        <v>4457</v>
      </c>
    </row>
    <row r="1584" spans="2:4" x14ac:dyDescent="0.3">
      <c r="B1584" s="33" t="s">
        <v>4458</v>
      </c>
      <c r="C1584" s="32" t="s">
        <v>4459</v>
      </c>
      <c r="D1584" s="32" t="s">
        <v>4460</v>
      </c>
    </row>
    <row r="1585" spans="2:4" x14ac:dyDescent="0.3">
      <c r="B1585" s="33" t="s">
        <v>4461</v>
      </c>
      <c r="C1585" s="32" t="s">
        <v>4462</v>
      </c>
      <c r="D1585" s="32" t="s">
        <v>4463</v>
      </c>
    </row>
    <row r="1586" spans="2:4" x14ac:dyDescent="0.3">
      <c r="B1586" s="33" t="s">
        <v>4464</v>
      </c>
      <c r="C1586" s="32" t="s">
        <v>4465</v>
      </c>
      <c r="D1586" s="32" t="s">
        <v>4466</v>
      </c>
    </row>
    <row r="1587" spans="2:4" x14ac:dyDescent="0.3">
      <c r="B1587" s="33" t="s">
        <v>4467</v>
      </c>
      <c r="C1587" s="32" t="s">
        <v>4468</v>
      </c>
      <c r="D1587" s="32" t="s">
        <v>4469</v>
      </c>
    </row>
    <row r="1588" spans="2:4" x14ac:dyDescent="0.3">
      <c r="B1588" s="33" t="s">
        <v>25</v>
      </c>
      <c r="C1588" s="32" t="s">
        <v>4470</v>
      </c>
      <c r="D1588" s="32" t="s">
        <v>25</v>
      </c>
    </row>
    <row r="1589" spans="2:4" x14ac:dyDescent="0.3">
      <c r="B1589" s="33" t="s">
        <v>25</v>
      </c>
      <c r="C1589" s="32" t="s">
        <v>4471</v>
      </c>
      <c r="D1589" s="32" t="s">
        <v>4472</v>
      </c>
    </row>
    <row r="1590" spans="2:4" x14ac:dyDescent="0.3">
      <c r="B1590" s="33" t="s">
        <v>2168</v>
      </c>
      <c r="C1590" s="32" t="s">
        <v>4473</v>
      </c>
      <c r="D1590" s="32" t="s">
        <v>4474</v>
      </c>
    </row>
    <row r="1591" spans="2:4" x14ac:dyDescent="0.3">
      <c r="B1591" s="33" t="s">
        <v>4475</v>
      </c>
      <c r="C1591" s="32" t="s">
        <v>4476</v>
      </c>
      <c r="D1591" s="32" t="s">
        <v>4477</v>
      </c>
    </row>
    <row r="1592" spans="2:4" x14ac:dyDescent="0.3">
      <c r="B1592" s="33" t="s">
        <v>4478</v>
      </c>
      <c r="C1592" s="32" t="s">
        <v>4479</v>
      </c>
      <c r="D1592" s="32" t="s">
        <v>4478</v>
      </c>
    </row>
    <row r="1593" spans="2:4" x14ac:dyDescent="0.3">
      <c r="B1593" s="33" t="s">
        <v>4480</v>
      </c>
      <c r="C1593" s="32" t="s">
        <v>4481</v>
      </c>
      <c r="D1593" s="32" t="s">
        <v>4482</v>
      </c>
    </row>
    <row r="1594" spans="2:4" x14ac:dyDescent="0.3">
      <c r="B1594" s="33" t="s">
        <v>4483</v>
      </c>
      <c r="C1594" s="32" t="s">
        <v>4484</v>
      </c>
      <c r="D1594" s="32" t="s">
        <v>4485</v>
      </c>
    </row>
    <row r="1595" spans="2:4" x14ac:dyDescent="0.3">
      <c r="B1595" s="33" t="s">
        <v>35</v>
      </c>
      <c r="C1595" s="32" t="s">
        <v>4486</v>
      </c>
      <c r="D1595" s="32" t="s">
        <v>36</v>
      </c>
    </row>
    <row r="1596" spans="2:4" x14ac:dyDescent="0.3">
      <c r="B1596" s="33" t="s">
        <v>4487</v>
      </c>
      <c r="C1596" s="32" t="s">
        <v>4488</v>
      </c>
      <c r="D1596" s="32" t="s">
        <v>4489</v>
      </c>
    </row>
    <row r="1597" spans="2:4" x14ac:dyDescent="0.3">
      <c r="B1597" s="33" t="s">
        <v>4490</v>
      </c>
      <c r="C1597" s="32" t="s">
        <v>4491</v>
      </c>
      <c r="D1597" s="32" t="s">
        <v>4492</v>
      </c>
    </row>
    <row r="1598" spans="2:4" x14ac:dyDescent="0.3">
      <c r="B1598" s="33" t="s">
        <v>3425</v>
      </c>
      <c r="C1598" s="32" t="s">
        <v>4493</v>
      </c>
      <c r="D1598" s="32" t="s">
        <v>4494</v>
      </c>
    </row>
    <row r="1599" spans="2:4" x14ac:dyDescent="0.3">
      <c r="B1599" s="33" t="s">
        <v>3493</v>
      </c>
      <c r="C1599" s="32" t="s">
        <v>4495</v>
      </c>
      <c r="D1599" s="32" t="s">
        <v>4496</v>
      </c>
    </row>
    <row r="1600" spans="2:4" x14ac:dyDescent="0.3">
      <c r="B1600" s="33" t="s">
        <v>4497</v>
      </c>
      <c r="C1600" s="32" t="s">
        <v>4498</v>
      </c>
      <c r="D1600" s="32" t="s">
        <v>4499</v>
      </c>
    </row>
    <row r="1601" spans="2:4" x14ac:dyDescent="0.3">
      <c r="B1601" s="33" t="s">
        <v>4500</v>
      </c>
      <c r="C1601" s="32" t="s">
        <v>4501</v>
      </c>
      <c r="D1601" s="32" t="s">
        <v>4502</v>
      </c>
    </row>
    <row r="1602" spans="2:4" x14ac:dyDescent="0.3">
      <c r="B1602" s="33" t="s">
        <v>4503</v>
      </c>
      <c r="C1602" s="32" t="s">
        <v>4504</v>
      </c>
      <c r="D1602" s="32" t="s">
        <v>4505</v>
      </c>
    </row>
    <row r="1603" spans="2:4" x14ac:dyDescent="0.3">
      <c r="B1603" s="33" t="s">
        <v>4506</v>
      </c>
      <c r="C1603" s="32" t="s">
        <v>4507</v>
      </c>
      <c r="D1603" s="32" t="s">
        <v>4508</v>
      </c>
    </row>
    <row r="1604" spans="2:4" x14ac:dyDescent="0.3">
      <c r="B1604" s="33" t="s">
        <v>4509</v>
      </c>
      <c r="C1604" s="32" t="s">
        <v>4510</v>
      </c>
      <c r="D1604" s="32" t="s">
        <v>4511</v>
      </c>
    </row>
    <row r="1605" spans="2:4" x14ac:dyDescent="0.3">
      <c r="B1605" s="33" t="s">
        <v>4512</v>
      </c>
      <c r="C1605" s="32" t="s">
        <v>4513</v>
      </c>
      <c r="D1605" s="32" t="s">
        <v>4514</v>
      </c>
    </row>
    <row r="1606" spans="2:4" x14ac:dyDescent="0.3">
      <c r="B1606" s="33" t="s">
        <v>4500</v>
      </c>
      <c r="C1606" s="32" t="s">
        <v>4515</v>
      </c>
      <c r="D1606" s="32" t="s">
        <v>4516</v>
      </c>
    </row>
    <row r="1607" spans="2:4" x14ac:dyDescent="0.3">
      <c r="B1607" s="33" t="s">
        <v>4517</v>
      </c>
      <c r="C1607" s="32" t="s">
        <v>4518</v>
      </c>
      <c r="D1607" s="32" t="s">
        <v>4519</v>
      </c>
    </row>
    <row r="1608" spans="2:4" x14ac:dyDescent="0.3">
      <c r="B1608" s="33" t="s">
        <v>4520</v>
      </c>
      <c r="C1608" s="32" t="s">
        <v>4521</v>
      </c>
      <c r="D1608" s="32" t="s">
        <v>4522</v>
      </c>
    </row>
    <row r="1609" spans="2:4" x14ac:dyDescent="0.3">
      <c r="B1609" s="33" t="s">
        <v>4523</v>
      </c>
      <c r="C1609" s="32" t="s">
        <v>4524</v>
      </c>
      <c r="D1609" s="32" t="s">
        <v>4525</v>
      </c>
    </row>
    <row r="1610" spans="2:4" x14ac:dyDescent="0.3">
      <c r="B1610" s="33" t="s">
        <v>4526</v>
      </c>
      <c r="C1610" s="32" t="s">
        <v>4527</v>
      </c>
      <c r="D1610" s="32" t="s">
        <v>4528</v>
      </c>
    </row>
    <row r="1611" spans="2:4" x14ac:dyDescent="0.3">
      <c r="B1611" s="33" t="s">
        <v>4529</v>
      </c>
      <c r="C1611" s="32" t="s">
        <v>4530</v>
      </c>
      <c r="D1611" s="32" t="s">
        <v>4531</v>
      </c>
    </row>
    <row r="1612" spans="2:4" x14ac:dyDescent="0.3">
      <c r="B1612" s="33" t="s">
        <v>4532</v>
      </c>
      <c r="C1612" s="32" t="s">
        <v>4533</v>
      </c>
      <c r="D1612" s="32" t="s">
        <v>4534</v>
      </c>
    </row>
    <row r="1613" spans="2:4" x14ac:dyDescent="0.3">
      <c r="B1613" s="33" t="s">
        <v>4535</v>
      </c>
      <c r="C1613" s="32" t="s">
        <v>4536</v>
      </c>
      <c r="D1613" s="32" t="s">
        <v>4537</v>
      </c>
    </row>
    <row r="1614" spans="2:4" x14ac:dyDescent="0.3">
      <c r="B1614" s="33" t="s">
        <v>4538</v>
      </c>
      <c r="C1614" s="32" t="s">
        <v>4539</v>
      </c>
      <c r="D1614" s="32" t="s">
        <v>4540</v>
      </c>
    </row>
    <row r="1615" spans="2:4" x14ac:dyDescent="0.3">
      <c r="B1615" s="33" t="s">
        <v>4541</v>
      </c>
      <c r="C1615" s="32" t="s">
        <v>4542</v>
      </c>
      <c r="D1615" s="32" t="s">
        <v>4543</v>
      </c>
    </row>
    <row r="1616" spans="2:4" x14ac:dyDescent="0.3">
      <c r="B1616" s="33" t="s">
        <v>4544</v>
      </c>
      <c r="C1616" s="32" t="s">
        <v>4545</v>
      </c>
      <c r="D1616" s="32" t="s">
        <v>4546</v>
      </c>
    </row>
    <row r="1617" spans="2:4" x14ac:dyDescent="0.3">
      <c r="B1617" s="33" t="s">
        <v>4547</v>
      </c>
      <c r="C1617" s="32" t="s">
        <v>4548</v>
      </c>
      <c r="D1617" s="32" t="s">
        <v>4549</v>
      </c>
    </row>
    <row r="1618" spans="2:4" x14ac:dyDescent="0.3">
      <c r="B1618" s="33" t="s">
        <v>4550</v>
      </c>
      <c r="C1618" s="32" t="s">
        <v>4551</v>
      </c>
      <c r="D1618" s="32" t="s">
        <v>4552</v>
      </c>
    </row>
    <row r="1619" spans="2:4" x14ac:dyDescent="0.3">
      <c r="B1619" s="33" t="s">
        <v>4553</v>
      </c>
      <c r="C1619" s="32" t="s">
        <v>4554</v>
      </c>
      <c r="D1619" s="32" t="s">
        <v>4555</v>
      </c>
    </row>
    <row r="1620" spans="2:4" x14ac:dyDescent="0.3">
      <c r="B1620" s="33" t="s">
        <v>4556</v>
      </c>
      <c r="C1620" s="32" t="s">
        <v>4557</v>
      </c>
      <c r="D1620" s="32" t="s">
        <v>4558</v>
      </c>
    </row>
    <row r="1621" spans="2:4" x14ac:dyDescent="0.3">
      <c r="B1621" s="33" t="s">
        <v>4559</v>
      </c>
      <c r="C1621" s="32" t="s">
        <v>4560</v>
      </c>
      <c r="D1621" s="32" t="s">
        <v>4561</v>
      </c>
    </row>
    <row r="1622" spans="2:4" x14ac:dyDescent="0.3">
      <c r="B1622" s="33" t="s">
        <v>4562</v>
      </c>
      <c r="C1622" s="32" t="s">
        <v>4563</v>
      </c>
      <c r="D1622" s="32" t="s">
        <v>4564</v>
      </c>
    </row>
    <row r="1623" spans="2:4" x14ac:dyDescent="0.3">
      <c r="B1623" s="33" t="s">
        <v>4565</v>
      </c>
      <c r="C1623" s="32" t="s">
        <v>4566</v>
      </c>
      <c r="D1623" s="32" t="s">
        <v>4567</v>
      </c>
    </row>
    <row r="1624" spans="2:4" x14ac:dyDescent="0.3">
      <c r="B1624" s="33" t="s">
        <v>4568</v>
      </c>
      <c r="C1624" s="32" t="s">
        <v>4569</v>
      </c>
      <c r="D1624" s="32" t="s">
        <v>4570</v>
      </c>
    </row>
    <row r="1625" spans="2:4" x14ac:dyDescent="0.3">
      <c r="B1625" s="33" t="s">
        <v>4568</v>
      </c>
      <c r="C1625" s="32" t="s">
        <v>4571</v>
      </c>
      <c r="D1625" s="32" t="s">
        <v>4572</v>
      </c>
    </row>
    <row r="1626" spans="2:4" x14ac:dyDescent="0.3">
      <c r="B1626" s="33" t="s">
        <v>4568</v>
      </c>
      <c r="C1626" s="32" t="s">
        <v>4573</v>
      </c>
      <c r="D1626" s="32" t="s">
        <v>4574</v>
      </c>
    </row>
    <row r="1627" spans="2:4" x14ac:dyDescent="0.3">
      <c r="B1627" s="33" t="s">
        <v>4575</v>
      </c>
      <c r="C1627" s="32" t="s">
        <v>4576</v>
      </c>
      <c r="D1627" s="32" t="s">
        <v>4577</v>
      </c>
    </row>
    <row r="1628" spans="2:4" x14ac:dyDescent="0.3">
      <c r="B1628" s="33" t="s">
        <v>4578</v>
      </c>
      <c r="C1628" s="32" t="s">
        <v>4579</v>
      </c>
      <c r="D1628" s="32" t="s">
        <v>4580</v>
      </c>
    </row>
    <row r="1629" spans="2:4" x14ac:dyDescent="0.3">
      <c r="B1629" s="33" t="s">
        <v>4581</v>
      </c>
      <c r="C1629" s="32" t="s">
        <v>4582</v>
      </c>
      <c r="D1629" s="32" t="s">
        <v>4583</v>
      </c>
    </row>
    <row r="1630" spans="2:4" x14ac:dyDescent="0.3">
      <c r="B1630" s="33" t="s">
        <v>4584</v>
      </c>
      <c r="C1630" s="32" t="s">
        <v>4585</v>
      </c>
      <c r="D1630" s="32" t="s">
        <v>4586</v>
      </c>
    </row>
    <row r="1631" spans="2:4" x14ac:dyDescent="0.3">
      <c r="B1631" s="33" t="s">
        <v>4587</v>
      </c>
      <c r="C1631" s="32" t="s">
        <v>4588</v>
      </c>
      <c r="D1631" s="32" t="s">
        <v>4589</v>
      </c>
    </row>
    <row r="1632" spans="2:4" x14ac:dyDescent="0.3">
      <c r="B1632" s="33" t="s">
        <v>4590</v>
      </c>
      <c r="C1632" s="32" t="s">
        <v>4591</v>
      </c>
      <c r="D1632" s="32" t="s">
        <v>4592</v>
      </c>
    </row>
    <row r="1633" spans="2:4" x14ac:dyDescent="0.3">
      <c r="B1633" s="33" t="s">
        <v>4593</v>
      </c>
      <c r="C1633" s="32" t="s">
        <v>4594</v>
      </c>
      <c r="D1633" s="32" t="s">
        <v>4595</v>
      </c>
    </row>
    <row r="1634" spans="2:4" x14ac:dyDescent="0.3">
      <c r="B1634" s="33" t="s">
        <v>1826</v>
      </c>
      <c r="C1634" s="32" t="s">
        <v>4596</v>
      </c>
      <c r="D1634" s="32" t="s">
        <v>4597</v>
      </c>
    </row>
    <row r="1635" spans="2:4" x14ac:dyDescent="0.3">
      <c r="B1635" s="33" t="s">
        <v>4598</v>
      </c>
      <c r="C1635" s="32" t="s">
        <v>4599</v>
      </c>
      <c r="D1635" s="32" t="s">
        <v>4600</v>
      </c>
    </row>
    <row r="1636" spans="2:4" x14ac:dyDescent="0.3">
      <c r="B1636" s="33" t="s">
        <v>4601</v>
      </c>
      <c r="C1636" s="32" t="s">
        <v>4602</v>
      </c>
      <c r="D1636" s="32" t="s">
        <v>4603</v>
      </c>
    </row>
    <row r="1637" spans="2:4" x14ac:dyDescent="0.3">
      <c r="B1637" s="33" t="s">
        <v>4604</v>
      </c>
      <c r="C1637" s="32" t="s">
        <v>4605</v>
      </c>
      <c r="D1637" s="32" t="s">
        <v>4606</v>
      </c>
    </row>
    <row r="1638" spans="2:4" x14ac:dyDescent="0.3">
      <c r="B1638" s="33" t="s">
        <v>4607</v>
      </c>
      <c r="C1638" s="32" t="s">
        <v>4608</v>
      </c>
      <c r="D1638" s="32" t="s">
        <v>4609</v>
      </c>
    </row>
    <row r="1639" spans="2:4" x14ac:dyDescent="0.3">
      <c r="B1639" s="33" t="s">
        <v>4610</v>
      </c>
      <c r="C1639" s="32" t="s">
        <v>4611</v>
      </c>
      <c r="D1639" s="32" t="s">
        <v>4612</v>
      </c>
    </row>
    <row r="1640" spans="2:4" x14ac:dyDescent="0.3">
      <c r="B1640" s="33" t="s">
        <v>4613</v>
      </c>
      <c r="C1640" s="32" t="s">
        <v>4614</v>
      </c>
      <c r="D1640" s="32" t="s">
        <v>4615</v>
      </c>
    </row>
    <row r="1641" spans="2:4" x14ac:dyDescent="0.3">
      <c r="B1641" s="33" t="s">
        <v>4610</v>
      </c>
      <c r="C1641" s="32" t="s">
        <v>4616</v>
      </c>
      <c r="D1641" s="32" t="s">
        <v>4617</v>
      </c>
    </row>
    <row r="1642" spans="2:4" x14ac:dyDescent="0.3">
      <c r="B1642" s="33" t="s">
        <v>4618</v>
      </c>
      <c r="C1642" s="32" t="s">
        <v>4619</v>
      </c>
      <c r="D1642" s="32" t="s">
        <v>4620</v>
      </c>
    </row>
    <row r="1643" spans="2:4" x14ac:dyDescent="0.3">
      <c r="B1643" s="33" t="s">
        <v>4621</v>
      </c>
      <c r="C1643" s="32" t="s">
        <v>4622</v>
      </c>
      <c r="D1643" s="32" t="s">
        <v>36698</v>
      </c>
    </row>
    <row r="1644" spans="2:4" x14ac:dyDescent="0.3">
      <c r="B1644" s="33" t="s">
        <v>4623</v>
      </c>
      <c r="C1644" s="32" t="s">
        <v>4624</v>
      </c>
      <c r="D1644" s="32" t="s">
        <v>4625</v>
      </c>
    </row>
    <row r="1645" spans="2:4" x14ac:dyDescent="0.3">
      <c r="B1645" s="33" t="s">
        <v>4626</v>
      </c>
      <c r="C1645" s="32" t="s">
        <v>4627</v>
      </c>
      <c r="D1645" s="32" t="s">
        <v>4628</v>
      </c>
    </row>
    <row r="1646" spans="2:4" x14ac:dyDescent="0.3">
      <c r="B1646" s="33" t="s">
        <v>4629</v>
      </c>
      <c r="C1646" s="32" t="s">
        <v>4630</v>
      </c>
      <c r="D1646" s="32" t="s">
        <v>4631</v>
      </c>
    </row>
    <row r="1647" spans="2:4" x14ac:dyDescent="0.3">
      <c r="B1647" s="33" t="s">
        <v>4632</v>
      </c>
      <c r="C1647" s="32" t="s">
        <v>4633</v>
      </c>
      <c r="D1647" s="32" t="s">
        <v>4634</v>
      </c>
    </row>
    <row r="1648" spans="2:4" x14ac:dyDescent="0.3">
      <c r="B1648" s="33" t="s">
        <v>4632</v>
      </c>
      <c r="C1648" s="32" t="s">
        <v>4635</v>
      </c>
      <c r="D1648" s="32" t="s">
        <v>4636</v>
      </c>
    </row>
    <row r="1649" spans="2:4" x14ac:dyDescent="0.3">
      <c r="B1649" s="33" t="s">
        <v>4637</v>
      </c>
      <c r="C1649" s="32" t="s">
        <v>4638</v>
      </c>
      <c r="D1649" s="32" t="s">
        <v>4639</v>
      </c>
    </row>
    <row r="1650" spans="2:4" x14ac:dyDescent="0.3">
      <c r="B1650" s="33" t="s">
        <v>4640</v>
      </c>
      <c r="C1650" s="32" t="s">
        <v>4641</v>
      </c>
      <c r="D1650" s="32" t="s">
        <v>4642</v>
      </c>
    </row>
    <row r="1651" spans="2:4" x14ac:dyDescent="0.3">
      <c r="B1651" s="33" t="s">
        <v>4643</v>
      </c>
      <c r="C1651" s="32" t="s">
        <v>4644</v>
      </c>
      <c r="D1651" s="32" t="s">
        <v>4645</v>
      </c>
    </row>
    <row r="1652" spans="2:4" x14ac:dyDescent="0.3">
      <c r="B1652" s="33" t="s">
        <v>4646</v>
      </c>
      <c r="C1652" s="32" t="s">
        <v>4647</v>
      </c>
      <c r="D1652" s="32" t="s">
        <v>4648</v>
      </c>
    </row>
    <row r="1653" spans="2:4" x14ac:dyDescent="0.3">
      <c r="B1653" s="33" t="s">
        <v>4649</v>
      </c>
      <c r="C1653" s="32" t="s">
        <v>4650</v>
      </c>
      <c r="D1653" s="32" t="s">
        <v>4651</v>
      </c>
    </row>
    <row r="1654" spans="2:4" x14ac:dyDescent="0.3">
      <c r="B1654" s="33" t="s">
        <v>4652</v>
      </c>
      <c r="C1654" s="32" t="s">
        <v>4653</v>
      </c>
      <c r="D1654" s="32" t="s">
        <v>4654</v>
      </c>
    </row>
    <row r="1655" spans="2:4" x14ac:dyDescent="0.3">
      <c r="B1655" s="33" t="s">
        <v>4655</v>
      </c>
      <c r="C1655" s="32" t="s">
        <v>4656</v>
      </c>
      <c r="D1655" s="32" t="s">
        <v>4657</v>
      </c>
    </row>
    <row r="1656" spans="2:4" x14ac:dyDescent="0.3">
      <c r="B1656" s="33" t="s">
        <v>4658</v>
      </c>
      <c r="C1656" s="32" t="s">
        <v>4659</v>
      </c>
      <c r="D1656" s="32" t="s">
        <v>4660</v>
      </c>
    </row>
    <row r="1657" spans="2:4" x14ac:dyDescent="0.3">
      <c r="B1657" s="33" t="s">
        <v>4661</v>
      </c>
      <c r="C1657" s="32" t="s">
        <v>4662</v>
      </c>
      <c r="D1657" s="32" t="s">
        <v>4663</v>
      </c>
    </row>
    <row r="1658" spans="2:4" x14ac:dyDescent="0.3">
      <c r="B1658" s="33" t="s">
        <v>4664</v>
      </c>
      <c r="C1658" s="32" t="s">
        <v>4665</v>
      </c>
      <c r="D1658" s="32" t="s">
        <v>4666</v>
      </c>
    </row>
    <row r="1659" spans="2:4" x14ac:dyDescent="0.3">
      <c r="B1659" s="33" t="s">
        <v>4667</v>
      </c>
      <c r="C1659" s="32" t="s">
        <v>4668</v>
      </c>
      <c r="D1659" s="32" t="s">
        <v>4669</v>
      </c>
    </row>
    <row r="1660" spans="2:4" x14ac:dyDescent="0.3">
      <c r="B1660" s="33" t="s">
        <v>4670</v>
      </c>
      <c r="C1660" s="32" t="s">
        <v>4671</v>
      </c>
      <c r="D1660" s="32" t="s">
        <v>4672</v>
      </c>
    </row>
    <row r="1661" spans="2:4" x14ac:dyDescent="0.3">
      <c r="B1661" s="33" t="s">
        <v>4673</v>
      </c>
      <c r="C1661" s="32" t="s">
        <v>4674</v>
      </c>
      <c r="D1661" s="32" t="s">
        <v>4675</v>
      </c>
    </row>
    <row r="1662" spans="2:4" x14ac:dyDescent="0.3">
      <c r="B1662" s="33" t="s">
        <v>4676</v>
      </c>
      <c r="C1662" s="32" t="s">
        <v>4677</v>
      </c>
      <c r="D1662" s="32" t="s">
        <v>4678</v>
      </c>
    </row>
    <row r="1663" spans="2:4" x14ac:dyDescent="0.3">
      <c r="B1663" s="33" t="s">
        <v>13</v>
      </c>
      <c r="C1663" s="32" t="s">
        <v>4679</v>
      </c>
      <c r="D1663" s="32" t="s">
        <v>14</v>
      </c>
    </row>
    <row r="1664" spans="2:4" x14ac:dyDescent="0.3">
      <c r="B1664" s="33" t="s">
        <v>4680</v>
      </c>
      <c r="C1664" s="32" t="s">
        <v>4681</v>
      </c>
      <c r="D1664" s="32" t="s">
        <v>4682</v>
      </c>
    </row>
    <row r="1665" spans="2:4" x14ac:dyDescent="0.3">
      <c r="B1665" s="33" t="s">
        <v>4683</v>
      </c>
      <c r="C1665" s="32" t="s">
        <v>4684</v>
      </c>
      <c r="D1665" s="32" t="s">
        <v>4685</v>
      </c>
    </row>
    <row r="1666" spans="2:4" x14ac:dyDescent="0.3">
      <c r="B1666" s="33" t="s">
        <v>4686</v>
      </c>
      <c r="C1666" s="32" t="s">
        <v>4687</v>
      </c>
      <c r="D1666" s="32" t="s">
        <v>4688</v>
      </c>
    </row>
    <row r="1667" spans="2:4" x14ac:dyDescent="0.3">
      <c r="B1667" s="33" t="s">
        <v>4689</v>
      </c>
      <c r="C1667" s="32" t="s">
        <v>4690</v>
      </c>
      <c r="D1667" s="32" t="s">
        <v>4691</v>
      </c>
    </row>
    <row r="1668" spans="2:4" x14ac:dyDescent="0.3">
      <c r="B1668" s="33" t="s">
        <v>4689</v>
      </c>
      <c r="C1668" s="32" t="s">
        <v>4692</v>
      </c>
      <c r="D1668" s="32" t="s">
        <v>4693</v>
      </c>
    </row>
    <row r="1669" spans="2:4" x14ac:dyDescent="0.3">
      <c r="B1669" s="33" t="s">
        <v>4000</v>
      </c>
      <c r="C1669" s="32" t="s">
        <v>4694</v>
      </c>
      <c r="D1669" s="32" t="s">
        <v>4695</v>
      </c>
    </row>
    <row r="1670" spans="2:4" x14ac:dyDescent="0.3">
      <c r="B1670" s="33" t="s">
        <v>4000</v>
      </c>
      <c r="C1670" s="32" t="s">
        <v>4696</v>
      </c>
      <c r="D1670" s="32" t="s">
        <v>4697</v>
      </c>
    </row>
    <row r="1671" spans="2:4" x14ac:dyDescent="0.3">
      <c r="B1671" s="33" t="s">
        <v>4698</v>
      </c>
      <c r="C1671" s="32" t="s">
        <v>4699</v>
      </c>
      <c r="D1671" s="32" t="s">
        <v>4700</v>
      </c>
    </row>
    <row r="1672" spans="2:4" x14ac:dyDescent="0.3">
      <c r="B1672" s="33" t="s">
        <v>4701</v>
      </c>
      <c r="C1672" s="32" t="s">
        <v>4702</v>
      </c>
      <c r="D1672" s="32" t="s">
        <v>4703</v>
      </c>
    </row>
    <row r="1673" spans="2:4" x14ac:dyDescent="0.3">
      <c r="B1673" s="33" t="s">
        <v>4467</v>
      </c>
      <c r="C1673" s="32" t="s">
        <v>4704</v>
      </c>
      <c r="D1673" s="32" t="s">
        <v>4705</v>
      </c>
    </row>
    <row r="1674" spans="2:4" x14ac:dyDescent="0.3">
      <c r="B1674" s="33" t="s">
        <v>4706</v>
      </c>
      <c r="C1674" s="32" t="s">
        <v>4707</v>
      </c>
      <c r="D1674" s="32" t="s">
        <v>4708</v>
      </c>
    </row>
    <row r="1675" spans="2:4" x14ac:dyDescent="0.3">
      <c r="B1675" s="33" t="s">
        <v>4467</v>
      </c>
      <c r="C1675" s="32" t="s">
        <v>4709</v>
      </c>
      <c r="D1675" s="32" t="s">
        <v>4710</v>
      </c>
    </row>
    <row r="1676" spans="2:4" x14ac:dyDescent="0.3">
      <c r="B1676" s="33" t="s">
        <v>80</v>
      </c>
      <c r="C1676" s="32" t="s">
        <v>4711</v>
      </c>
      <c r="D1676" s="32" t="s">
        <v>81</v>
      </c>
    </row>
    <row r="1677" spans="2:4" x14ac:dyDescent="0.3">
      <c r="B1677" s="33" t="s">
        <v>4712</v>
      </c>
      <c r="C1677" s="32" t="s">
        <v>4713</v>
      </c>
      <c r="D1677" s="32" t="s">
        <v>4714</v>
      </c>
    </row>
    <row r="1678" spans="2:4" x14ac:dyDescent="0.3">
      <c r="B1678" s="33" t="s">
        <v>4715</v>
      </c>
      <c r="C1678" s="32" t="s">
        <v>4716</v>
      </c>
      <c r="D1678" s="32" t="s">
        <v>4717</v>
      </c>
    </row>
    <row r="1679" spans="2:4" x14ac:dyDescent="0.3">
      <c r="B1679" s="33" t="s">
        <v>4718</v>
      </c>
      <c r="C1679" s="32" t="s">
        <v>4719</v>
      </c>
      <c r="D1679" s="32" t="s">
        <v>4720</v>
      </c>
    </row>
    <row r="1680" spans="2:4" x14ac:dyDescent="0.3">
      <c r="B1680" s="33" t="s">
        <v>4721</v>
      </c>
      <c r="C1680" s="32" t="s">
        <v>4722</v>
      </c>
      <c r="D1680" s="32" t="s">
        <v>4723</v>
      </c>
    </row>
    <row r="1681" spans="2:4" x14ac:dyDescent="0.3">
      <c r="B1681" s="33" t="s">
        <v>4724</v>
      </c>
      <c r="C1681" s="32" t="s">
        <v>4725</v>
      </c>
      <c r="D1681" s="32" t="s">
        <v>4726</v>
      </c>
    </row>
    <row r="1682" spans="2:4" x14ac:dyDescent="0.3">
      <c r="B1682" s="33" t="s">
        <v>4727</v>
      </c>
      <c r="C1682" s="32" t="s">
        <v>4728</v>
      </c>
      <c r="D1682" s="32" t="s">
        <v>4729</v>
      </c>
    </row>
    <row r="1683" spans="2:4" x14ac:dyDescent="0.3">
      <c r="B1683" s="33" t="s">
        <v>4730</v>
      </c>
      <c r="C1683" s="32" t="s">
        <v>4731</v>
      </c>
      <c r="D1683" s="32" t="s">
        <v>4732</v>
      </c>
    </row>
    <row r="1684" spans="2:4" x14ac:dyDescent="0.3">
      <c r="B1684" s="33" t="s">
        <v>4370</v>
      </c>
      <c r="C1684" s="32" t="s">
        <v>36805</v>
      </c>
      <c r="D1684" s="32" t="s">
        <v>36806</v>
      </c>
    </row>
    <row r="1685" spans="2:4" x14ac:dyDescent="0.3">
      <c r="B1685" s="33" t="s">
        <v>4733</v>
      </c>
      <c r="C1685" s="32" t="s">
        <v>4734</v>
      </c>
      <c r="D1685" s="32" t="s">
        <v>4735</v>
      </c>
    </row>
    <row r="1686" spans="2:4" x14ac:dyDescent="0.3">
      <c r="B1686" s="33" t="s">
        <v>4736</v>
      </c>
      <c r="C1686" s="32" t="s">
        <v>4737</v>
      </c>
      <c r="D1686" s="32" t="s">
        <v>4738</v>
      </c>
    </row>
    <row r="1687" spans="2:4" x14ac:dyDescent="0.3">
      <c r="B1687" s="33" t="s">
        <v>4739</v>
      </c>
      <c r="C1687" s="32" t="s">
        <v>4740</v>
      </c>
      <c r="D1687" s="32" t="s">
        <v>4741</v>
      </c>
    </row>
    <row r="1688" spans="2:4" x14ac:dyDescent="0.3">
      <c r="B1688" s="33" t="s">
        <v>4742</v>
      </c>
      <c r="C1688" s="32" t="s">
        <v>4743</v>
      </c>
      <c r="D1688" s="32" t="s">
        <v>4744</v>
      </c>
    </row>
    <row r="1689" spans="2:4" x14ac:dyDescent="0.3">
      <c r="B1689" s="33" t="s">
        <v>4745</v>
      </c>
      <c r="C1689" s="32" t="s">
        <v>4746</v>
      </c>
      <c r="D1689" s="32" t="s">
        <v>4747</v>
      </c>
    </row>
    <row r="1690" spans="2:4" x14ac:dyDescent="0.3">
      <c r="B1690" s="33" t="s">
        <v>4748</v>
      </c>
      <c r="C1690" s="32" t="s">
        <v>4749</v>
      </c>
      <c r="D1690" s="32" t="s">
        <v>4750</v>
      </c>
    </row>
    <row r="1691" spans="2:4" x14ac:dyDescent="0.3">
      <c r="B1691" s="33" t="s">
        <v>4751</v>
      </c>
      <c r="C1691" s="32" t="s">
        <v>4752</v>
      </c>
      <c r="D1691" s="32" t="s">
        <v>4753</v>
      </c>
    </row>
    <row r="1692" spans="2:4" x14ac:dyDescent="0.3">
      <c r="B1692" s="33" t="s">
        <v>4754</v>
      </c>
      <c r="C1692" s="32" t="s">
        <v>4755</v>
      </c>
      <c r="D1692" s="32" t="s">
        <v>4756</v>
      </c>
    </row>
    <row r="1693" spans="2:4" x14ac:dyDescent="0.3">
      <c r="B1693" s="33" t="s">
        <v>4757</v>
      </c>
      <c r="C1693" s="32" t="s">
        <v>4758</v>
      </c>
      <c r="D1693" s="32" t="s">
        <v>4759</v>
      </c>
    </row>
    <row r="1694" spans="2:4" x14ac:dyDescent="0.3">
      <c r="B1694" s="33" t="s">
        <v>4760</v>
      </c>
      <c r="C1694" s="32" t="s">
        <v>4761</v>
      </c>
      <c r="D1694" s="32" t="s">
        <v>4762</v>
      </c>
    </row>
    <row r="1695" spans="2:4" x14ac:dyDescent="0.3">
      <c r="B1695" s="33" t="s">
        <v>4763</v>
      </c>
      <c r="C1695" s="32" t="s">
        <v>4764</v>
      </c>
      <c r="D1695" s="32" t="s">
        <v>4765</v>
      </c>
    </row>
    <row r="1696" spans="2:4" x14ac:dyDescent="0.3">
      <c r="B1696" s="33" t="s">
        <v>4766</v>
      </c>
      <c r="C1696" s="32" t="s">
        <v>4767</v>
      </c>
      <c r="D1696" s="32" t="s">
        <v>4768</v>
      </c>
    </row>
    <row r="1697" spans="2:4" x14ac:dyDescent="0.3">
      <c r="B1697" s="33" t="s">
        <v>4769</v>
      </c>
      <c r="C1697" s="32" t="s">
        <v>4770</v>
      </c>
      <c r="D1697" s="32" t="s">
        <v>4771</v>
      </c>
    </row>
    <row r="1698" spans="2:4" x14ac:dyDescent="0.3">
      <c r="B1698" s="33" t="s">
        <v>4772</v>
      </c>
      <c r="C1698" s="32" t="s">
        <v>4773</v>
      </c>
      <c r="D1698" s="32" t="s">
        <v>4774</v>
      </c>
    </row>
    <row r="1699" spans="2:4" x14ac:dyDescent="0.3">
      <c r="B1699" s="33" t="s">
        <v>4775</v>
      </c>
      <c r="C1699" s="32" t="s">
        <v>4776</v>
      </c>
      <c r="D1699" s="32" t="s">
        <v>4777</v>
      </c>
    </row>
    <row r="1700" spans="2:4" x14ac:dyDescent="0.3">
      <c r="B1700" s="33" t="s">
        <v>4778</v>
      </c>
      <c r="C1700" s="32" t="s">
        <v>4779</v>
      </c>
      <c r="D1700" s="32" t="s">
        <v>4780</v>
      </c>
    </row>
    <row r="1701" spans="2:4" x14ac:dyDescent="0.3">
      <c r="B1701" s="33" t="s">
        <v>4781</v>
      </c>
      <c r="C1701" s="32" t="s">
        <v>4782</v>
      </c>
      <c r="D1701" s="32" t="s">
        <v>4783</v>
      </c>
    </row>
    <row r="1702" spans="2:4" x14ac:dyDescent="0.3">
      <c r="B1702" s="33" t="s">
        <v>4784</v>
      </c>
      <c r="C1702" s="32" t="s">
        <v>4785</v>
      </c>
      <c r="D1702" s="32" t="s">
        <v>4786</v>
      </c>
    </row>
    <row r="1703" spans="2:4" x14ac:dyDescent="0.3">
      <c r="B1703" s="33" t="s">
        <v>4784</v>
      </c>
      <c r="C1703" s="32" t="s">
        <v>4787</v>
      </c>
      <c r="D1703" s="32" t="s">
        <v>4788</v>
      </c>
    </row>
    <row r="1704" spans="2:4" x14ac:dyDescent="0.3">
      <c r="B1704" s="33" t="s">
        <v>4784</v>
      </c>
      <c r="C1704" s="32" t="s">
        <v>4789</v>
      </c>
      <c r="D1704" s="32" t="s">
        <v>4790</v>
      </c>
    </row>
    <row r="1705" spans="2:4" x14ac:dyDescent="0.3">
      <c r="B1705" s="33" t="s">
        <v>4791</v>
      </c>
      <c r="C1705" s="32" t="s">
        <v>4792</v>
      </c>
      <c r="D1705" s="32" t="s">
        <v>4793</v>
      </c>
    </row>
    <row r="1706" spans="2:4" x14ac:dyDescent="0.3">
      <c r="B1706" s="33" t="s">
        <v>4794</v>
      </c>
      <c r="C1706" s="32" t="s">
        <v>4795</v>
      </c>
      <c r="D1706" s="32" t="s">
        <v>4796</v>
      </c>
    </row>
    <row r="1707" spans="2:4" x14ac:dyDescent="0.3">
      <c r="B1707" s="33" t="s">
        <v>4797</v>
      </c>
      <c r="C1707" s="32" t="s">
        <v>4798</v>
      </c>
      <c r="D1707" s="32" t="s">
        <v>4799</v>
      </c>
    </row>
    <row r="1708" spans="2:4" x14ac:dyDescent="0.3">
      <c r="B1708" s="33" t="s">
        <v>4800</v>
      </c>
      <c r="C1708" s="32" t="s">
        <v>4801</v>
      </c>
      <c r="D1708" s="32" t="s">
        <v>4802</v>
      </c>
    </row>
    <row r="1709" spans="2:4" x14ac:dyDescent="0.3">
      <c r="B1709" s="33" t="s">
        <v>4803</v>
      </c>
      <c r="C1709" s="32" t="s">
        <v>4804</v>
      </c>
      <c r="D1709" s="32" t="s">
        <v>4805</v>
      </c>
    </row>
    <row r="1710" spans="2:4" x14ac:dyDescent="0.3">
      <c r="B1710" s="33" t="s">
        <v>4806</v>
      </c>
      <c r="C1710" s="32" t="s">
        <v>4807</v>
      </c>
      <c r="D1710" s="32" t="s">
        <v>4808</v>
      </c>
    </row>
    <row r="1711" spans="2:4" x14ac:dyDescent="0.3">
      <c r="B1711" s="33" t="s">
        <v>4809</v>
      </c>
      <c r="C1711" s="32" t="s">
        <v>4810</v>
      </c>
      <c r="D1711" s="32" t="s">
        <v>4811</v>
      </c>
    </row>
    <row r="1712" spans="2:4" x14ac:dyDescent="0.3">
      <c r="B1712" s="33" t="s">
        <v>4812</v>
      </c>
      <c r="C1712" s="32" t="s">
        <v>4813</v>
      </c>
      <c r="D1712" s="32" t="s">
        <v>4814</v>
      </c>
    </row>
    <row r="1713" spans="2:4" x14ac:dyDescent="0.3">
      <c r="B1713" s="33" t="s">
        <v>4815</v>
      </c>
      <c r="C1713" s="32" t="s">
        <v>4816</v>
      </c>
      <c r="D1713" s="32" t="s">
        <v>4817</v>
      </c>
    </row>
    <row r="1714" spans="2:4" x14ac:dyDescent="0.3">
      <c r="B1714" s="33" t="s">
        <v>4815</v>
      </c>
      <c r="C1714" s="32" t="s">
        <v>36807</v>
      </c>
      <c r="D1714" s="32" t="s">
        <v>36808</v>
      </c>
    </row>
    <row r="1715" spans="2:4" x14ac:dyDescent="0.3">
      <c r="B1715" s="33" t="s">
        <v>4818</v>
      </c>
      <c r="C1715" s="32" t="s">
        <v>4819</v>
      </c>
      <c r="D1715" s="32" t="s">
        <v>4820</v>
      </c>
    </row>
    <row r="1716" spans="2:4" x14ac:dyDescent="0.3">
      <c r="B1716" s="33" t="s">
        <v>4821</v>
      </c>
      <c r="C1716" s="32" t="s">
        <v>4822</v>
      </c>
      <c r="D1716" s="32" t="s">
        <v>4823</v>
      </c>
    </row>
    <row r="1717" spans="2:4" x14ac:dyDescent="0.3">
      <c r="B1717" s="33" t="s">
        <v>4824</v>
      </c>
      <c r="C1717" s="32" t="s">
        <v>4825</v>
      </c>
      <c r="D1717" s="32" t="s">
        <v>4826</v>
      </c>
    </row>
    <row r="1718" spans="2:4" x14ac:dyDescent="0.3">
      <c r="B1718" s="33" t="s">
        <v>4824</v>
      </c>
      <c r="C1718" s="32" t="s">
        <v>4827</v>
      </c>
      <c r="D1718" s="32" t="s">
        <v>4828</v>
      </c>
    </row>
    <row r="1719" spans="2:4" x14ac:dyDescent="0.3">
      <c r="B1719" s="33" t="s">
        <v>4829</v>
      </c>
      <c r="C1719" s="32" t="s">
        <v>4830</v>
      </c>
      <c r="D1719" s="32" t="s">
        <v>4831</v>
      </c>
    </row>
    <row r="1720" spans="2:4" x14ac:dyDescent="0.3">
      <c r="B1720" s="33" t="s">
        <v>4832</v>
      </c>
      <c r="C1720" s="32" t="s">
        <v>4833</v>
      </c>
      <c r="D1720" s="32" t="s">
        <v>4834</v>
      </c>
    </row>
    <row r="1721" spans="2:4" x14ac:dyDescent="0.3">
      <c r="B1721" s="33" t="s">
        <v>4835</v>
      </c>
      <c r="C1721" s="32" t="s">
        <v>4836</v>
      </c>
      <c r="D1721" s="32" t="s">
        <v>4837</v>
      </c>
    </row>
    <row r="1722" spans="2:4" x14ac:dyDescent="0.3">
      <c r="B1722" s="33" t="s">
        <v>4838</v>
      </c>
      <c r="C1722" s="32" t="s">
        <v>4839</v>
      </c>
      <c r="D1722" s="32" t="s">
        <v>4840</v>
      </c>
    </row>
    <row r="1723" spans="2:4" x14ac:dyDescent="0.3">
      <c r="B1723" s="33" t="s">
        <v>4698</v>
      </c>
      <c r="C1723" s="32" t="s">
        <v>4841</v>
      </c>
      <c r="D1723" s="32" t="s">
        <v>4842</v>
      </c>
    </row>
    <row r="1724" spans="2:4" x14ac:dyDescent="0.3">
      <c r="B1724" s="33" t="s">
        <v>36664</v>
      </c>
      <c r="C1724" s="32" t="s">
        <v>36665</v>
      </c>
      <c r="D1724" s="32" t="s">
        <v>36666</v>
      </c>
    </row>
    <row r="1725" spans="2:4" x14ac:dyDescent="0.3">
      <c r="B1725" s="33" t="s">
        <v>4843</v>
      </c>
      <c r="C1725" s="32" t="s">
        <v>4844</v>
      </c>
      <c r="D1725" s="32" t="s">
        <v>4845</v>
      </c>
    </row>
    <row r="1726" spans="2:4" x14ac:dyDescent="0.3">
      <c r="B1726" s="33" t="s">
        <v>4846</v>
      </c>
      <c r="C1726" s="32" t="s">
        <v>4847</v>
      </c>
      <c r="D1726" s="32" t="s">
        <v>4848</v>
      </c>
    </row>
    <row r="1727" spans="2:4" x14ac:dyDescent="0.3">
      <c r="B1727" s="33" t="s">
        <v>4849</v>
      </c>
      <c r="C1727" s="32" t="s">
        <v>4850</v>
      </c>
      <c r="D1727" s="32" t="s">
        <v>4851</v>
      </c>
    </row>
    <row r="1728" spans="2:4" x14ac:dyDescent="0.3">
      <c r="B1728" s="33" t="s">
        <v>3959</v>
      </c>
      <c r="C1728" s="32" t="s">
        <v>4852</v>
      </c>
      <c r="D1728" s="32" t="s">
        <v>4853</v>
      </c>
    </row>
    <row r="1729" spans="2:4" x14ac:dyDescent="0.3">
      <c r="B1729" s="33" t="s">
        <v>4854</v>
      </c>
      <c r="C1729" s="32" t="s">
        <v>4855</v>
      </c>
      <c r="D1729" s="32" t="s">
        <v>4856</v>
      </c>
    </row>
    <row r="1730" spans="2:4" x14ac:dyDescent="0.3">
      <c r="B1730" s="33" t="s">
        <v>4857</v>
      </c>
      <c r="C1730" s="32" t="s">
        <v>4858</v>
      </c>
      <c r="D1730" s="32" t="s">
        <v>4859</v>
      </c>
    </row>
    <row r="1731" spans="2:4" x14ac:dyDescent="0.3">
      <c r="B1731" s="33" t="s">
        <v>4860</v>
      </c>
      <c r="C1731" s="32" t="s">
        <v>4861</v>
      </c>
      <c r="D1731" s="32" t="s">
        <v>4862</v>
      </c>
    </row>
    <row r="1732" spans="2:4" x14ac:dyDescent="0.3">
      <c r="B1732" s="33" t="s">
        <v>4863</v>
      </c>
      <c r="C1732" s="32" t="s">
        <v>4864</v>
      </c>
      <c r="D1732" s="32" t="s">
        <v>4865</v>
      </c>
    </row>
    <row r="1733" spans="2:4" x14ac:dyDescent="0.3">
      <c r="B1733" s="33" t="s">
        <v>4866</v>
      </c>
      <c r="C1733" s="32" t="s">
        <v>4867</v>
      </c>
      <c r="D1733" s="32" t="s">
        <v>4868</v>
      </c>
    </row>
    <row r="1734" spans="2:4" x14ac:dyDescent="0.3">
      <c r="B1734" s="33" t="s">
        <v>4357</v>
      </c>
      <c r="C1734" s="32" t="s">
        <v>4869</v>
      </c>
      <c r="D1734" s="32" t="s">
        <v>4870</v>
      </c>
    </row>
    <row r="1735" spans="2:4" x14ac:dyDescent="0.3">
      <c r="B1735" s="33" t="s">
        <v>4871</v>
      </c>
      <c r="C1735" s="32" t="s">
        <v>4872</v>
      </c>
      <c r="D1735" s="32" t="s">
        <v>4873</v>
      </c>
    </row>
    <row r="1736" spans="2:4" x14ac:dyDescent="0.3">
      <c r="B1736" s="33" t="s">
        <v>4874</v>
      </c>
      <c r="C1736" s="32" t="s">
        <v>4875</v>
      </c>
      <c r="D1736" s="32" t="s">
        <v>4876</v>
      </c>
    </row>
    <row r="1737" spans="2:4" x14ac:dyDescent="0.3">
      <c r="B1737" s="33" t="s">
        <v>3877</v>
      </c>
      <c r="C1737" s="32" t="s">
        <v>4877</v>
      </c>
      <c r="D1737" s="32" t="s">
        <v>4878</v>
      </c>
    </row>
    <row r="1738" spans="2:4" x14ac:dyDescent="0.3">
      <c r="B1738" s="33" t="s">
        <v>4879</v>
      </c>
      <c r="C1738" s="32" t="s">
        <v>4880</v>
      </c>
      <c r="D1738" s="32" t="s">
        <v>4881</v>
      </c>
    </row>
    <row r="1739" spans="2:4" x14ac:dyDescent="0.3">
      <c r="B1739" s="33" t="s">
        <v>4882</v>
      </c>
      <c r="C1739" s="32" t="s">
        <v>4883</v>
      </c>
      <c r="D1739" s="32" t="s">
        <v>4884</v>
      </c>
    </row>
    <row r="1740" spans="2:4" x14ac:dyDescent="0.3">
      <c r="B1740" s="33" t="s">
        <v>37407</v>
      </c>
      <c r="C1740" s="32" t="s">
        <v>37408</v>
      </c>
      <c r="D1740" s="32" t="s">
        <v>37409</v>
      </c>
    </row>
    <row r="1741" spans="2:4" x14ac:dyDescent="0.3">
      <c r="B1741" s="33" t="s">
        <v>4370</v>
      </c>
      <c r="C1741" s="32" t="s">
        <v>4885</v>
      </c>
      <c r="D1741" s="32" t="s">
        <v>4886</v>
      </c>
    </row>
    <row r="1742" spans="2:4" x14ac:dyDescent="0.3">
      <c r="B1742" s="33" t="s">
        <v>4887</v>
      </c>
      <c r="C1742" s="32" t="s">
        <v>4888</v>
      </c>
      <c r="D1742" s="32" t="s">
        <v>4889</v>
      </c>
    </row>
    <row r="1743" spans="2:4" x14ac:dyDescent="0.3">
      <c r="B1743" s="33" t="s">
        <v>4890</v>
      </c>
      <c r="C1743" s="32" t="s">
        <v>4891</v>
      </c>
      <c r="D1743" s="32" t="s">
        <v>4892</v>
      </c>
    </row>
    <row r="1744" spans="2:4" x14ac:dyDescent="0.3">
      <c r="B1744" s="33" t="s">
        <v>4893</v>
      </c>
      <c r="C1744" s="32" t="s">
        <v>4894</v>
      </c>
      <c r="D1744" s="32" t="s">
        <v>4895</v>
      </c>
    </row>
    <row r="1745" spans="2:4" x14ac:dyDescent="0.3">
      <c r="B1745" s="33" t="s">
        <v>4896</v>
      </c>
      <c r="C1745" s="32" t="s">
        <v>4897</v>
      </c>
      <c r="D1745" s="32" t="s">
        <v>4898</v>
      </c>
    </row>
    <row r="1746" spans="2:4" x14ac:dyDescent="0.3">
      <c r="B1746" s="33" t="s">
        <v>4899</v>
      </c>
      <c r="C1746" s="32" t="s">
        <v>4900</v>
      </c>
      <c r="D1746" s="32" t="s">
        <v>4901</v>
      </c>
    </row>
    <row r="1747" spans="2:4" x14ac:dyDescent="0.3">
      <c r="B1747" s="33" t="s">
        <v>4339</v>
      </c>
      <c r="C1747" s="32" t="s">
        <v>4902</v>
      </c>
      <c r="D1747" s="32" t="s">
        <v>4903</v>
      </c>
    </row>
    <row r="1748" spans="2:4" x14ac:dyDescent="0.3">
      <c r="B1748" s="33" t="s">
        <v>4904</v>
      </c>
      <c r="C1748" s="32" t="s">
        <v>4905</v>
      </c>
      <c r="D1748" s="32" t="s">
        <v>37146</v>
      </c>
    </row>
    <row r="1749" spans="2:4" x14ac:dyDescent="0.3">
      <c r="B1749" s="33" t="s">
        <v>4906</v>
      </c>
      <c r="C1749" s="32" t="s">
        <v>4907</v>
      </c>
      <c r="D1749" s="32" t="s">
        <v>4908</v>
      </c>
    </row>
    <row r="1750" spans="2:4" x14ac:dyDescent="0.3">
      <c r="B1750" s="33" t="s">
        <v>4909</v>
      </c>
      <c r="C1750" s="32" t="s">
        <v>4910</v>
      </c>
      <c r="D1750" s="32" t="s">
        <v>4911</v>
      </c>
    </row>
    <row r="1751" spans="2:4" x14ac:dyDescent="0.3">
      <c r="B1751" s="33" t="s">
        <v>4912</v>
      </c>
      <c r="C1751" s="32" t="s">
        <v>4913</v>
      </c>
      <c r="D1751" s="32" t="s">
        <v>4914</v>
      </c>
    </row>
    <row r="1752" spans="2:4" x14ac:dyDescent="0.3">
      <c r="B1752" s="33" t="s">
        <v>4879</v>
      </c>
      <c r="C1752" s="32" t="s">
        <v>4915</v>
      </c>
      <c r="D1752" s="32" t="s">
        <v>36809</v>
      </c>
    </row>
    <row r="1753" spans="2:4" x14ac:dyDescent="0.3">
      <c r="B1753" s="33" t="s">
        <v>4916</v>
      </c>
      <c r="C1753" s="32" t="s">
        <v>4917</v>
      </c>
      <c r="D1753" s="32" t="s">
        <v>4918</v>
      </c>
    </row>
    <row r="1754" spans="2:4" x14ac:dyDescent="0.3">
      <c r="B1754" s="33" t="s">
        <v>4745</v>
      </c>
      <c r="C1754" s="32" t="s">
        <v>4919</v>
      </c>
      <c r="D1754" s="32" t="s">
        <v>4920</v>
      </c>
    </row>
    <row r="1755" spans="2:4" x14ac:dyDescent="0.3">
      <c r="B1755" s="33" t="s">
        <v>4921</v>
      </c>
      <c r="C1755" s="32" t="s">
        <v>4922</v>
      </c>
      <c r="D1755" s="32" t="s">
        <v>4923</v>
      </c>
    </row>
    <row r="1756" spans="2:4" x14ac:dyDescent="0.3">
      <c r="B1756" s="33" t="s">
        <v>4924</v>
      </c>
      <c r="C1756" s="32" t="s">
        <v>4925</v>
      </c>
      <c r="D1756" s="32" t="s">
        <v>4926</v>
      </c>
    </row>
    <row r="1757" spans="2:4" x14ac:dyDescent="0.3">
      <c r="B1757" s="33" t="s">
        <v>4927</v>
      </c>
      <c r="C1757" s="32" t="s">
        <v>4928</v>
      </c>
      <c r="D1757" s="32" t="s">
        <v>4929</v>
      </c>
    </row>
    <row r="1758" spans="2:4" x14ac:dyDescent="0.3">
      <c r="B1758" s="33" t="s">
        <v>4930</v>
      </c>
      <c r="C1758" s="32" t="s">
        <v>4931</v>
      </c>
      <c r="D1758" s="32" t="s">
        <v>4932</v>
      </c>
    </row>
    <row r="1759" spans="2:4" x14ac:dyDescent="0.3">
      <c r="B1759" s="33" t="s">
        <v>4933</v>
      </c>
      <c r="C1759" s="32" t="s">
        <v>4934</v>
      </c>
      <c r="D1759" s="32" t="s">
        <v>4935</v>
      </c>
    </row>
    <row r="1760" spans="2:4" x14ac:dyDescent="0.3">
      <c r="B1760" s="33" t="s">
        <v>4033</v>
      </c>
      <c r="C1760" s="32" t="s">
        <v>4936</v>
      </c>
      <c r="D1760" s="32" t="s">
        <v>4937</v>
      </c>
    </row>
    <row r="1761" spans="2:4" x14ac:dyDescent="0.3">
      <c r="B1761" s="33" t="s">
        <v>4933</v>
      </c>
      <c r="C1761" s="32" t="s">
        <v>4938</v>
      </c>
      <c r="D1761" s="32" t="s">
        <v>4939</v>
      </c>
    </row>
    <row r="1762" spans="2:4" x14ac:dyDescent="0.3">
      <c r="B1762" s="33" t="s">
        <v>4940</v>
      </c>
      <c r="C1762" s="32" t="s">
        <v>4941</v>
      </c>
      <c r="D1762" s="32" t="s">
        <v>4942</v>
      </c>
    </row>
    <row r="1763" spans="2:4" x14ac:dyDescent="0.3">
      <c r="B1763" s="33" t="s">
        <v>4943</v>
      </c>
      <c r="C1763" s="32" t="s">
        <v>4944</v>
      </c>
      <c r="D1763" s="32" t="s">
        <v>4945</v>
      </c>
    </row>
    <row r="1764" spans="2:4" x14ac:dyDescent="0.3">
      <c r="B1764" s="33" t="s">
        <v>4943</v>
      </c>
      <c r="C1764" s="32" t="s">
        <v>4946</v>
      </c>
      <c r="D1764" s="32" t="s">
        <v>4947</v>
      </c>
    </row>
    <row r="1765" spans="2:4" x14ac:dyDescent="0.3">
      <c r="B1765" s="33" t="s">
        <v>4948</v>
      </c>
      <c r="C1765" s="32" t="s">
        <v>4949</v>
      </c>
      <c r="D1765" s="32" t="s">
        <v>4950</v>
      </c>
    </row>
    <row r="1766" spans="2:4" x14ac:dyDescent="0.3">
      <c r="B1766" s="33" t="s">
        <v>4951</v>
      </c>
      <c r="C1766" s="32" t="s">
        <v>4952</v>
      </c>
      <c r="D1766" s="32" t="s">
        <v>4953</v>
      </c>
    </row>
    <row r="1767" spans="2:4" x14ac:dyDescent="0.3">
      <c r="B1767" s="33" t="s">
        <v>36810</v>
      </c>
      <c r="C1767" s="32" t="s">
        <v>36811</v>
      </c>
      <c r="D1767" s="32" t="s">
        <v>36812</v>
      </c>
    </row>
    <row r="1768" spans="2:4" x14ac:dyDescent="0.3">
      <c r="B1768" s="33" t="s">
        <v>4357</v>
      </c>
      <c r="C1768" s="32" t="s">
        <v>4954</v>
      </c>
      <c r="D1768" s="32" t="s">
        <v>4955</v>
      </c>
    </row>
    <row r="1769" spans="2:4" x14ac:dyDescent="0.3">
      <c r="B1769" s="33" t="s">
        <v>4357</v>
      </c>
      <c r="C1769" s="32" t="s">
        <v>4956</v>
      </c>
      <c r="D1769" s="32" t="s">
        <v>4957</v>
      </c>
    </row>
    <row r="1770" spans="2:4" x14ac:dyDescent="0.3">
      <c r="B1770" s="33" t="s">
        <v>4958</v>
      </c>
      <c r="C1770" s="32" t="s">
        <v>4959</v>
      </c>
      <c r="D1770" s="32" t="s">
        <v>4960</v>
      </c>
    </row>
    <row r="1771" spans="2:4" x14ac:dyDescent="0.3">
      <c r="B1771" s="33" t="s">
        <v>4961</v>
      </c>
      <c r="C1771" s="32" t="s">
        <v>4962</v>
      </c>
      <c r="D1771" s="32" t="s">
        <v>4963</v>
      </c>
    </row>
    <row r="1772" spans="2:4" x14ac:dyDescent="0.3">
      <c r="B1772" s="33" t="s">
        <v>4964</v>
      </c>
      <c r="C1772" s="32" t="s">
        <v>4965</v>
      </c>
      <c r="D1772" s="32" t="s">
        <v>4966</v>
      </c>
    </row>
    <row r="1773" spans="2:4" x14ac:dyDescent="0.3">
      <c r="B1773" s="33" t="s">
        <v>4967</v>
      </c>
      <c r="C1773" s="32" t="s">
        <v>4968</v>
      </c>
      <c r="D1773" s="32" t="s">
        <v>4969</v>
      </c>
    </row>
    <row r="1774" spans="2:4" x14ac:dyDescent="0.3">
      <c r="B1774" s="33" t="s">
        <v>4970</v>
      </c>
      <c r="C1774" s="32" t="s">
        <v>4971</v>
      </c>
      <c r="D1774" s="32" t="s">
        <v>36699</v>
      </c>
    </row>
    <row r="1775" spans="2:4" x14ac:dyDescent="0.3">
      <c r="B1775" s="33" t="s">
        <v>4972</v>
      </c>
      <c r="C1775" s="32" t="s">
        <v>4973</v>
      </c>
      <c r="D1775" s="32" t="s">
        <v>4974</v>
      </c>
    </row>
    <row r="1776" spans="2:4" x14ac:dyDescent="0.3">
      <c r="B1776" s="33" t="s">
        <v>4778</v>
      </c>
      <c r="C1776" s="32" t="s">
        <v>4975</v>
      </c>
      <c r="D1776" s="32" t="s">
        <v>4976</v>
      </c>
    </row>
    <row r="1777" spans="2:4" x14ac:dyDescent="0.3">
      <c r="B1777" s="33" t="s">
        <v>4686</v>
      </c>
      <c r="C1777" s="32" t="s">
        <v>4977</v>
      </c>
      <c r="D1777" s="32" t="s">
        <v>4978</v>
      </c>
    </row>
    <row r="1778" spans="2:4" x14ac:dyDescent="0.3">
      <c r="B1778" s="33" t="s">
        <v>4979</v>
      </c>
      <c r="C1778" s="32" t="s">
        <v>4980</v>
      </c>
      <c r="D1778" s="32" t="s">
        <v>4981</v>
      </c>
    </row>
    <row r="1779" spans="2:4" x14ac:dyDescent="0.3">
      <c r="B1779" s="33" t="s">
        <v>4982</v>
      </c>
      <c r="C1779" s="32" t="s">
        <v>4983</v>
      </c>
      <c r="D1779" s="32" t="s">
        <v>4984</v>
      </c>
    </row>
    <row r="1780" spans="2:4" x14ac:dyDescent="0.3">
      <c r="B1780" s="33" t="s">
        <v>4985</v>
      </c>
      <c r="C1780" s="32" t="s">
        <v>4986</v>
      </c>
      <c r="D1780" s="32" t="s">
        <v>4987</v>
      </c>
    </row>
    <row r="1781" spans="2:4" x14ac:dyDescent="0.3">
      <c r="B1781" s="33" t="s">
        <v>4988</v>
      </c>
      <c r="C1781" s="32" t="s">
        <v>4989</v>
      </c>
      <c r="D1781" s="32" t="s">
        <v>4990</v>
      </c>
    </row>
    <row r="1782" spans="2:4" x14ac:dyDescent="0.3">
      <c r="B1782" s="33" t="s">
        <v>4991</v>
      </c>
      <c r="C1782" s="32" t="s">
        <v>4992</v>
      </c>
      <c r="D1782" s="32" t="s">
        <v>4993</v>
      </c>
    </row>
    <row r="1783" spans="2:4" x14ac:dyDescent="0.3">
      <c r="B1783" s="33" t="s">
        <v>4994</v>
      </c>
      <c r="C1783" s="32" t="s">
        <v>4995</v>
      </c>
      <c r="D1783" s="32" t="s">
        <v>4996</v>
      </c>
    </row>
    <row r="1784" spans="2:4" x14ac:dyDescent="0.3">
      <c r="B1784" s="33" t="s">
        <v>4559</v>
      </c>
      <c r="C1784" s="32" t="s">
        <v>4997</v>
      </c>
      <c r="D1784" s="32" t="s">
        <v>4998</v>
      </c>
    </row>
    <row r="1785" spans="2:4" x14ac:dyDescent="0.3">
      <c r="B1785" s="33" t="s">
        <v>4994</v>
      </c>
      <c r="C1785" s="32" t="s">
        <v>4999</v>
      </c>
      <c r="D1785" s="32" t="s">
        <v>5000</v>
      </c>
    </row>
    <row r="1786" spans="2:4" x14ac:dyDescent="0.3">
      <c r="B1786" s="33" t="s">
        <v>5001</v>
      </c>
      <c r="C1786" s="32" t="s">
        <v>5002</v>
      </c>
      <c r="D1786" s="32" t="s">
        <v>5003</v>
      </c>
    </row>
    <row r="1787" spans="2:4" x14ac:dyDescent="0.3">
      <c r="B1787" s="33" t="s">
        <v>5004</v>
      </c>
      <c r="C1787" s="32" t="s">
        <v>5005</v>
      </c>
      <c r="D1787" s="32" t="s">
        <v>5006</v>
      </c>
    </row>
    <row r="1788" spans="2:4" x14ac:dyDescent="0.3">
      <c r="B1788" s="33" t="s">
        <v>5007</v>
      </c>
      <c r="C1788" s="32" t="s">
        <v>5008</v>
      </c>
      <c r="D1788" s="32" t="s">
        <v>5009</v>
      </c>
    </row>
    <row r="1789" spans="2:4" x14ac:dyDescent="0.3">
      <c r="B1789" s="33" t="s">
        <v>5010</v>
      </c>
      <c r="C1789" s="32" t="s">
        <v>5011</v>
      </c>
      <c r="D1789" s="32" t="s">
        <v>5012</v>
      </c>
    </row>
    <row r="1790" spans="2:4" x14ac:dyDescent="0.3">
      <c r="B1790" s="33" t="s">
        <v>5013</v>
      </c>
      <c r="C1790" s="32" t="s">
        <v>5014</v>
      </c>
      <c r="D1790" s="32" t="s">
        <v>5015</v>
      </c>
    </row>
    <row r="1791" spans="2:4" x14ac:dyDescent="0.3">
      <c r="B1791" s="33" t="s">
        <v>5016</v>
      </c>
      <c r="C1791" s="32" t="s">
        <v>5017</v>
      </c>
      <c r="D1791" s="32" t="s">
        <v>5018</v>
      </c>
    </row>
    <row r="1792" spans="2:4" x14ac:dyDescent="0.3">
      <c r="B1792" s="33" t="s">
        <v>5019</v>
      </c>
      <c r="C1792" s="32" t="s">
        <v>5020</v>
      </c>
      <c r="D1792" s="32" t="s">
        <v>37147</v>
      </c>
    </row>
    <row r="1793" spans="2:4" x14ac:dyDescent="0.3">
      <c r="B1793" s="33" t="s">
        <v>5021</v>
      </c>
      <c r="C1793" s="32" t="s">
        <v>5022</v>
      </c>
      <c r="D1793" s="32" t="s">
        <v>5023</v>
      </c>
    </row>
    <row r="1794" spans="2:4" x14ac:dyDescent="0.3">
      <c r="B1794" s="33" t="s">
        <v>5024</v>
      </c>
      <c r="C1794" s="32" t="s">
        <v>5025</v>
      </c>
      <c r="D1794" s="32" t="s">
        <v>5026</v>
      </c>
    </row>
    <row r="1795" spans="2:4" x14ac:dyDescent="0.3">
      <c r="B1795" s="33" t="s">
        <v>3783</v>
      </c>
      <c r="C1795" s="32" t="s">
        <v>5027</v>
      </c>
      <c r="D1795" s="32" t="s">
        <v>5028</v>
      </c>
    </row>
    <row r="1796" spans="2:4" x14ac:dyDescent="0.3">
      <c r="B1796" s="33" t="s">
        <v>5029</v>
      </c>
      <c r="C1796" s="32" t="s">
        <v>5030</v>
      </c>
      <c r="D1796" s="32" t="s">
        <v>5031</v>
      </c>
    </row>
    <row r="1797" spans="2:4" x14ac:dyDescent="0.3">
      <c r="B1797" s="33" t="s">
        <v>5032</v>
      </c>
      <c r="C1797" s="32" t="s">
        <v>5033</v>
      </c>
      <c r="D1797" s="32" t="s">
        <v>5034</v>
      </c>
    </row>
    <row r="1798" spans="2:4" x14ac:dyDescent="0.3">
      <c r="B1798" s="33" t="s">
        <v>5035</v>
      </c>
      <c r="C1798" s="32" t="s">
        <v>5036</v>
      </c>
      <c r="D1798" s="32" t="s">
        <v>5037</v>
      </c>
    </row>
    <row r="1799" spans="2:4" x14ac:dyDescent="0.3">
      <c r="B1799" s="33" t="s">
        <v>5038</v>
      </c>
      <c r="C1799" s="32" t="s">
        <v>5039</v>
      </c>
      <c r="D1799" s="32" t="s">
        <v>5040</v>
      </c>
    </row>
    <row r="1800" spans="2:4" x14ac:dyDescent="0.3">
      <c r="B1800" s="33" t="s">
        <v>5041</v>
      </c>
      <c r="C1800" s="32" t="s">
        <v>5042</v>
      </c>
      <c r="D1800" s="32" t="s">
        <v>5041</v>
      </c>
    </row>
    <row r="1801" spans="2:4" x14ac:dyDescent="0.3">
      <c r="B1801" s="33" t="s">
        <v>5043</v>
      </c>
      <c r="C1801" s="32" t="s">
        <v>5044</v>
      </c>
      <c r="D1801" s="32" t="s">
        <v>5043</v>
      </c>
    </row>
    <row r="1802" spans="2:4" x14ac:dyDescent="0.3">
      <c r="B1802" s="33" t="s">
        <v>5045</v>
      </c>
      <c r="C1802" s="32" t="s">
        <v>5046</v>
      </c>
      <c r="D1802" s="32" t="s">
        <v>5047</v>
      </c>
    </row>
    <row r="1803" spans="2:4" x14ac:dyDescent="0.3">
      <c r="B1803" s="33" t="s">
        <v>5048</v>
      </c>
      <c r="C1803" s="32" t="s">
        <v>5049</v>
      </c>
      <c r="D1803" s="32" t="s">
        <v>5050</v>
      </c>
    </row>
    <row r="1804" spans="2:4" x14ac:dyDescent="0.3">
      <c r="B1804" s="33" t="s">
        <v>5051</v>
      </c>
      <c r="C1804" s="32" t="s">
        <v>5052</v>
      </c>
      <c r="D1804" s="32" t="s">
        <v>5053</v>
      </c>
    </row>
    <row r="1805" spans="2:4" x14ac:dyDescent="0.3">
      <c r="B1805" s="33" t="s">
        <v>5054</v>
      </c>
      <c r="C1805" s="32" t="s">
        <v>5055</v>
      </c>
      <c r="D1805" s="32" t="s">
        <v>5056</v>
      </c>
    </row>
    <row r="1806" spans="2:4" x14ac:dyDescent="0.3">
      <c r="B1806" s="33" t="s">
        <v>5057</v>
      </c>
      <c r="C1806" s="32" t="s">
        <v>5058</v>
      </c>
      <c r="D1806" s="32" t="s">
        <v>5059</v>
      </c>
    </row>
    <row r="1807" spans="2:4" x14ac:dyDescent="0.3">
      <c r="B1807" s="33" t="s">
        <v>3670</v>
      </c>
      <c r="C1807" s="32" t="s">
        <v>5060</v>
      </c>
      <c r="D1807" s="32" t="s">
        <v>5061</v>
      </c>
    </row>
    <row r="1808" spans="2:4" x14ac:dyDescent="0.3">
      <c r="B1808" s="33" t="s">
        <v>5062</v>
      </c>
      <c r="C1808" s="32" t="s">
        <v>5063</v>
      </c>
      <c r="D1808" s="32" t="s">
        <v>5064</v>
      </c>
    </row>
    <row r="1809" spans="2:4" x14ac:dyDescent="0.3">
      <c r="B1809" s="33" t="s">
        <v>5065</v>
      </c>
      <c r="C1809" s="32" t="s">
        <v>5066</v>
      </c>
      <c r="D1809" s="32" t="s">
        <v>5067</v>
      </c>
    </row>
    <row r="1810" spans="2:4" x14ac:dyDescent="0.3">
      <c r="B1810" s="33" t="s">
        <v>5068</v>
      </c>
      <c r="C1810" s="32" t="s">
        <v>5069</v>
      </c>
      <c r="D1810" s="32" t="s">
        <v>5070</v>
      </c>
    </row>
    <row r="1811" spans="2:4" x14ac:dyDescent="0.3">
      <c r="B1811" s="33" t="s">
        <v>5071</v>
      </c>
      <c r="C1811" s="32" t="s">
        <v>5072</v>
      </c>
      <c r="D1811" s="32" t="s">
        <v>5073</v>
      </c>
    </row>
    <row r="1812" spans="2:4" x14ac:dyDescent="0.3">
      <c r="B1812" s="33" t="s">
        <v>5071</v>
      </c>
      <c r="C1812" s="32" t="s">
        <v>5074</v>
      </c>
      <c r="D1812" s="32" t="s">
        <v>5075</v>
      </c>
    </row>
    <row r="1813" spans="2:4" x14ac:dyDescent="0.3">
      <c r="B1813" s="33" t="s">
        <v>4277</v>
      </c>
      <c r="C1813" s="32" t="s">
        <v>5076</v>
      </c>
      <c r="D1813" s="32" t="s">
        <v>5077</v>
      </c>
    </row>
    <row r="1814" spans="2:4" x14ac:dyDescent="0.3">
      <c r="B1814" s="33" t="s">
        <v>5078</v>
      </c>
      <c r="C1814" s="32" t="s">
        <v>5079</v>
      </c>
      <c r="D1814" s="32" t="s">
        <v>5080</v>
      </c>
    </row>
    <row r="1815" spans="2:4" x14ac:dyDescent="0.3">
      <c r="B1815" s="33" t="s">
        <v>5081</v>
      </c>
      <c r="C1815" s="32" t="s">
        <v>5082</v>
      </c>
      <c r="D1815" s="32" t="s">
        <v>5083</v>
      </c>
    </row>
    <row r="1816" spans="2:4" x14ac:dyDescent="0.3">
      <c r="B1816" s="33" t="s">
        <v>5084</v>
      </c>
      <c r="C1816" s="32" t="s">
        <v>5085</v>
      </c>
      <c r="D1816" s="32" t="s">
        <v>5086</v>
      </c>
    </row>
    <row r="1817" spans="2:4" x14ac:dyDescent="0.3">
      <c r="B1817" s="33" t="s">
        <v>5087</v>
      </c>
      <c r="C1817" s="32" t="s">
        <v>5088</v>
      </c>
      <c r="D1817" s="32" t="s">
        <v>5088</v>
      </c>
    </row>
    <row r="1818" spans="2:4" x14ac:dyDescent="0.3">
      <c r="B1818" s="33" t="s">
        <v>5089</v>
      </c>
      <c r="C1818" s="32" t="s">
        <v>5090</v>
      </c>
      <c r="D1818" s="32" t="s">
        <v>5091</v>
      </c>
    </row>
    <row r="1819" spans="2:4" x14ac:dyDescent="0.3">
      <c r="B1819" s="33" t="s">
        <v>5092</v>
      </c>
      <c r="C1819" s="32" t="s">
        <v>5093</v>
      </c>
      <c r="D1819" s="32" t="s">
        <v>5094</v>
      </c>
    </row>
    <row r="1820" spans="2:4" x14ac:dyDescent="0.3">
      <c r="B1820" s="33" t="s">
        <v>5095</v>
      </c>
      <c r="C1820" s="32" t="s">
        <v>5096</v>
      </c>
      <c r="D1820" s="32" t="s">
        <v>5095</v>
      </c>
    </row>
    <row r="1821" spans="2:4" x14ac:dyDescent="0.3">
      <c r="B1821" s="33" t="s">
        <v>5097</v>
      </c>
      <c r="C1821" s="32" t="s">
        <v>5098</v>
      </c>
      <c r="D1821" s="32" t="s">
        <v>5099</v>
      </c>
    </row>
    <row r="1822" spans="2:4" x14ac:dyDescent="0.3">
      <c r="B1822" s="33" t="s">
        <v>5100</v>
      </c>
      <c r="C1822" s="32" t="s">
        <v>5101</v>
      </c>
      <c r="D1822" s="32" t="s">
        <v>5102</v>
      </c>
    </row>
    <row r="1823" spans="2:4" x14ac:dyDescent="0.3">
      <c r="B1823" s="33" t="s">
        <v>5103</v>
      </c>
      <c r="C1823" s="32" t="s">
        <v>5104</v>
      </c>
      <c r="D1823" s="32" t="s">
        <v>5105</v>
      </c>
    </row>
    <row r="1824" spans="2:4" x14ac:dyDescent="0.3">
      <c r="B1824" s="33" t="s">
        <v>4170</v>
      </c>
      <c r="C1824" s="32" t="s">
        <v>5106</v>
      </c>
      <c r="D1824" s="32" t="s">
        <v>5107</v>
      </c>
    </row>
    <row r="1825" spans="2:4" x14ac:dyDescent="0.3">
      <c r="B1825" s="33" t="s">
        <v>5108</v>
      </c>
      <c r="C1825" s="32" t="s">
        <v>5109</v>
      </c>
      <c r="D1825" s="32" t="s">
        <v>5110</v>
      </c>
    </row>
    <row r="1826" spans="2:4" x14ac:dyDescent="0.3">
      <c r="B1826" s="33" t="s">
        <v>5111</v>
      </c>
      <c r="C1826" s="32" t="s">
        <v>5112</v>
      </c>
      <c r="D1826" s="32" t="s">
        <v>36700</v>
      </c>
    </row>
    <row r="1827" spans="2:4" x14ac:dyDescent="0.3">
      <c r="B1827" s="33" t="s">
        <v>5113</v>
      </c>
      <c r="C1827" s="32" t="s">
        <v>5114</v>
      </c>
      <c r="D1827" s="32" t="s">
        <v>5115</v>
      </c>
    </row>
    <row r="1828" spans="2:4" x14ac:dyDescent="0.3">
      <c r="B1828" s="33" t="s">
        <v>5116</v>
      </c>
      <c r="C1828" s="32" t="s">
        <v>5117</v>
      </c>
      <c r="D1828" s="32" t="s">
        <v>5118</v>
      </c>
    </row>
    <row r="1829" spans="2:4" x14ac:dyDescent="0.3">
      <c r="B1829" s="33" t="s">
        <v>4346</v>
      </c>
      <c r="C1829" s="32" t="s">
        <v>5119</v>
      </c>
      <c r="D1829" s="32" t="s">
        <v>5120</v>
      </c>
    </row>
    <row r="1830" spans="2:4" x14ac:dyDescent="0.3">
      <c r="B1830" s="33" t="s">
        <v>5121</v>
      </c>
      <c r="C1830" s="32" t="s">
        <v>5122</v>
      </c>
      <c r="D1830" s="32" t="s">
        <v>5123</v>
      </c>
    </row>
    <row r="1831" spans="2:4" x14ac:dyDescent="0.3">
      <c r="B1831" s="33" t="s">
        <v>5124</v>
      </c>
      <c r="C1831" s="32" t="s">
        <v>5125</v>
      </c>
      <c r="D1831" s="32" t="s">
        <v>5126</v>
      </c>
    </row>
    <row r="1832" spans="2:4" x14ac:dyDescent="0.3">
      <c r="B1832" s="33" t="s">
        <v>5127</v>
      </c>
      <c r="C1832" s="32" t="s">
        <v>5128</v>
      </c>
      <c r="D1832" s="32" t="s">
        <v>5129</v>
      </c>
    </row>
    <row r="1833" spans="2:4" x14ac:dyDescent="0.3">
      <c r="B1833" s="33" t="s">
        <v>5130</v>
      </c>
      <c r="C1833" s="32" t="s">
        <v>5131</v>
      </c>
      <c r="D1833" s="32" t="s">
        <v>5132</v>
      </c>
    </row>
    <row r="1834" spans="2:4" x14ac:dyDescent="0.3">
      <c r="B1834" s="33" t="s">
        <v>3555</v>
      </c>
      <c r="C1834" s="32" t="s">
        <v>5133</v>
      </c>
      <c r="D1834" s="32" t="s">
        <v>5134</v>
      </c>
    </row>
    <row r="1835" spans="2:4" x14ac:dyDescent="0.3">
      <c r="B1835" s="33" t="s">
        <v>5135</v>
      </c>
      <c r="C1835" s="32" t="s">
        <v>5136</v>
      </c>
      <c r="D1835" s="32" t="s">
        <v>5137</v>
      </c>
    </row>
    <row r="1836" spans="2:4" x14ac:dyDescent="0.3">
      <c r="B1836" s="33" t="s">
        <v>5138</v>
      </c>
      <c r="C1836" s="32" t="s">
        <v>5139</v>
      </c>
      <c r="D1836" s="32" t="s">
        <v>5140</v>
      </c>
    </row>
    <row r="1837" spans="2:4" x14ac:dyDescent="0.3">
      <c r="B1837" s="33" t="s">
        <v>5141</v>
      </c>
      <c r="C1837" s="32" t="s">
        <v>5142</v>
      </c>
      <c r="D1837" s="32" t="s">
        <v>5143</v>
      </c>
    </row>
    <row r="1838" spans="2:4" x14ac:dyDescent="0.3">
      <c r="B1838" s="33" t="s">
        <v>5144</v>
      </c>
      <c r="C1838" s="32" t="s">
        <v>5145</v>
      </c>
      <c r="D1838" s="32" t="s">
        <v>5146</v>
      </c>
    </row>
    <row r="1839" spans="2:4" x14ac:dyDescent="0.3">
      <c r="B1839" s="33" t="s">
        <v>5147</v>
      </c>
      <c r="C1839" s="32" t="s">
        <v>5148</v>
      </c>
      <c r="D1839" s="32" t="s">
        <v>5149</v>
      </c>
    </row>
    <row r="1840" spans="2:4" x14ac:dyDescent="0.3">
      <c r="B1840" s="33" t="s">
        <v>4170</v>
      </c>
      <c r="C1840" s="32" t="s">
        <v>5150</v>
      </c>
      <c r="D1840" s="32" t="s">
        <v>5151</v>
      </c>
    </row>
    <row r="1841" spans="2:4" x14ac:dyDescent="0.3">
      <c r="B1841" s="33" t="s">
        <v>5152</v>
      </c>
      <c r="C1841" s="32" t="s">
        <v>5153</v>
      </c>
      <c r="D1841" s="32" t="s">
        <v>5154</v>
      </c>
    </row>
    <row r="1842" spans="2:4" x14ac:dyDescent="0.3">
      <c r="B1842" s="33" t="s">
        <v>5155</v>
      </c>
      <c r="C1842" s="32" t="s">
        <v>5156</v>
      </c>
      <c r="D1842" s="32" t="s">
        <v>5157</v>
      </c>
    </row>
    <row r="1843" spans="2:4" x14ac:dyDescent="0.3">
      <c r="B1843" s="33" t="s">
        <v>5158</v>
      </c>
      <c r="C1843" s="32" t="s">
        <v>5159</v>
      </c>
      <c r="D1843" s="32" t="s">
        <v>5158</v>
      </c>
    </row>
    <row r="1844" spans="2:4" x14ac:dyDescent="0.3">
      <c r="B1844" s="33" t="s">
        <v>5160</v>
      </c>
      <c r="C1844" s="32" t="s">
        <v>5161</v>
      </c>
      <c r="D1844" s="32" t="s">
        <v>5160</v>
      </c>
    </row>
    <row r="1845" spans="2:4" x14ac:dyDescent="0.3">
      <c r="B1845" s="33" t="s">
        <v>5162</v>
      </c>
      <c r="C1845" s="32" t="s">
        <v>5163</v>
      </c>
      <c r="D1845" s="32" t="s">
        <v>5164</v>
      </c>
    </row>
    <row r="1846" spans="2:4" x14ac:dyDescent="0.3">
      <c r="B1846" s="33" t="s">
        <v>5165</v>
      </c>
      <c r="C1846" s="32" t="s">
        <v>5166</v>
      </c>
      <c r="D1846" s="32" t="s">
        <v>5167</v>
      </c>
    </row>
    <row r="1847" spans="2:4" x14ac:dyDescent="0.3">
      <c r="B1847" s="33" t="s">
        <v>4170</v>
      </c>
      <c r="C1847" s="32" t="s">
        <v>5168</v>
      </c>
      <c r="D1847" s="32" t="s">
        <v>5169</v>
      </c>
    </row>
    <row r="1848" spans="2:4" x14ac:dyDescent="0.3">
      <c r="B1848" s="33" t="s">
        <v>5170</v>
      </c>
      <c r="C1848" s="32" t="s">
        <v>5171</v>
      </c>
      <c r="D1848" s="32" t="s">
        <v>5172</v>
      </c>
    </row>
    <row r="1849" spans="2:4" x14ac:dyDescent="0.3">
      <c r="B1849" s="33" t="s">
        <v>5173</v>
      </c>
      <c r="C1849" s="32" t="s">
        <v>5174</v>
      </c>
      <c r="D1849" s="32" t="s">
        <v>5175</v>
      </c>
    </row>
    <row r="1850" spans="2:4" x14ac:dyDescent="0.3">
      <c r="B1850" s="33" t="s">
        <v>5176</v>
      </c>
      <c r="C1850" s="32" t="s">
        <v>5177</v>
      </c>
      <c r="D1850" s="32" t="s">
        <v>5178</v>
      </c>
    </row>
    <row r="1851" spans="2:4" x14ac:dyDescent="0.3">
      <c r="B1851" s="33" t="s">
        <v>5179</v>
      </c>
      <c r="C1851" s="32" t="s">
        <v>5180</v>
      </c>
      <c r="D1851" s="32" t="s">
        <v>5181</v>
      </c>
    </row>
    <row r="1852" spans="2:4" x14ac:dyDescent="0.3">
      <c r="B1852" s="33" t="s">
        <v>5182</v>
      </c>
      <c r="C1852" s="32" t="s">
        <v>5183</v>
      </c>
      <c r="D1852" s="32" t="s">
        <v>5184</v>
      </c>
    </row>
    <row r="1853" spans="2:4" x14ac:dyDescent="0.3">
      <c r="B1853" s="33" t="s">
        <v>5185</v>
      </c>
      <c r="C1853" s="32" t="s">
        <v>5186</v>
      </c>
      <c r="D1853" s="32" t="s">
        <v>5187</v>
      </c>
    </row>
    <row r="1854" spans="2:4" x14ac:dyDescent="0.3">
      <c r="B1854" s="33" t="s">
        <v>5188</v>
      </c>
      <c r="C1854" s="32" t="s">
        <v>5189</v>
      </c>
      <c r="D1854" s="32" t="s">
        <v>5190</v>
      </c>
    </row>
    <row r="1855" spans="2:4" x14ac:dyDescent="0.3">
      <c r="B1855" s="33" t="s">
        <v>5191</v>
      </c>
      <c r="C1855" s="32" t="s">
        <v>5192</v>
      </c>
      <c r="D1855" s="32" t="s">
        <v>5193</v>
      </c>
    </row>
    <row r="1856" spans="2:4" x14ac:dyDescent="0.3">
      <c r="B1856" s="33" t="s">
        <v>5194</v>
      </c>
      <c r="C1856" s="32" t="s">
        <v>5195</v>
      </c>
      <c r="D1856" s="32" t="s">
        <v>5196</v>
      </c>
    </row>
    <row r="1857" spans="2:4" x14ac:dyDescent="0.3">
      <c r="B1857" s="33" t="s">
        <v>3976</v>
      </c>
      <c r="C1857" s="32" t="s">
        <v>5197</v>
      </c>
      <c r="D1857" s="32" t="s">
        <v>5198</v>
      </c>
    </row>
    <row r="1858" spans="2:4" x14ac:dyDescent="0.3">
      <c r="B1858" s="33" t="s">
        <v>5199</v>
      </c>
      <c r="C1858" s="32" t="s">
        <v>5200</v>
      </c>
      <c r="D1858" s="32" t="s">
        <v>5201</v>
      </c>
    </row>
    <row r="1859" spans="2:4" x14ac:dyDescent="0.3">
      <c r="B1859" s="33" t="s">
        <v>5202</v>
      </c>
      <c r="C1859" s="32" t="s">
        <v>5203</v>
      </c>
      <c r="D1859" s="32" t="s">
        <v>5204</v>
      </c>
    </row>
    <row r="1860" spans="2:4" x14ac:dyDescent="0.3">
      <c r="B1860" s="33" t="s">
        <v>4632</v>
      </c>
      <c r="C1860" s="32" t="s">
        <v>5205</v>
      </c>
      <c r="D1860" s="32" t="s">
        <v>5206</v>
      </c>
    </row>
    <row r="1861" spans="2:4" x14ac:dyDescent="0.3">
      <c r="B1861" s="33" t="s">
        <v>3979</v>
      </c>
      <c r="C1861" s="32" t="s">
        <v>5207</v>
      </c>
      <c r="D1861" s="32" t="s">
        <v>5208</v>
      </c>
    </row>
    <row r="1862" spans="2:4" x14ac:dyDescent="0.3">
      <c r="B1862" s="33" t="s">
        <v>5209</v>
      </c>
      <c r="C1862" s="32" t="s">
        <v>5210</v>
      </c>
      <c r="D1862" s="32" t="s">
        <v>5211</v>
      </c>
    </row>
    <row r="1863" spans="2:4" x14ac:dyDescent="0.3">
      <c r="B1863" s="33" t="s">
        <v>5212</v>
      </c>
      <c r="C1863" s="32" t="s">
        <v>5213</v>
      </c>
      <c r="D1863" s="32" t="s">
        <v>5214</v>
      </c>
    </row>
    <row r="1864" spans="2:4" x14ac:dyDescent="0.3">
      <c r="B1864" s="33" t="s">
        <v>996</v>
      </c>
      <c r="C1864" s="32" t="s">
        <v>5215</v>
      </c>
      <c r="D1864" s="32" t="s">
        <v>5216</v>
      </c>
    </row>
    <row r="1865" spans="2:4" x14ac:dyDescent="0.3">
      <c r="B1865" s="33" t="s">
        <v>5217</v>
      </c>
      <c r="C1865" s="32" t="s">
        <v>5218</v>
      </c>
      <c r="D1865" s="32" t="s">
        <v>5219</v>
      </c>
    </row>
    <row r="1866" spans="2:4" x14ac:dyDescent="0.3">
      <c r="B1866" s="33" t="s">
        <v>5220</v>
      </c>
      <c r="C1866" s="32" t="s">
        <v>5221</v>
      </c>
      <c r="D1866" s="32" t="s">
        <v>5222</v>
      </c>
    </row>
    <row r="1867" spans="2:4" x14ac:dyDescent="0.3">
      <c r="B1867" s="33" t="s">
        <v>5223</v>
      </c>
      <c r="C1867" s="32" t="s">
        <v>5224</v>
      </c>
      <c r="D1867" s="32" t="s">
        <v>5225</v>
      </c>
    </row>
    <row r="1868" spans="2:4" x14ac:dyDescent="0.3">
      <c r="B1868" s="33" t="s">
        <v>5226</v>
      </c>
      <c r="C1868" s="32" t="s">
        <v>5227</v>
      </c>
      <c r="D1868" s="32" t="s">
        <v>5228</v>
      </c>
    </row>
    <row r="1869" spans="2:4" x14ac:dyDescent="0.3">
      <c r="B1869" s="33" t="s">
        <v>5229</v>
      </c>
      <c r="C1869" s="32" t="s">
        <v>5230</v>
      </c>
      <c r="D1869" s="32" t="s">
        <v>5231</v>
      </c>
    </row>
    <row r="1870" spans="2:4" x14ac:dyDescent="0.3">
      <c r="B1870" s="33" t="s">
        <v>5232</v>
      </c>
      <c r="C1870" s="32" t="s">
        <v>5233</v>
      </c>
      <c r="D1870" s="32" t="s">
        <v>5234</v>
      </c>
    </row>
    <row r="1871" spans="2:4" x14ac:dyDescent="0.3">
      <c r="B1871" s="33" t="s">
        <v>5235</v>
      </c>
      <c r="C1871" s="32" t="s">
        <v>5236</v>
      </c>
      <c r="D1871" s="32" t="s">
        <v>5237</v>
      </c>
    </row>
    <row r="1872" spans="2:4" x14ac:dyDescent="0.3">
      <c r="B1872" s="33" t="s">
        <v>5238</v>
      </c>
      <c r="C1872" s="32" t="s">
        <v>5239</v>
      </c>
      <c r="D1872" s="32" t="s">
        <v>5240</v>
      </c>
    </row>
    <row r="1873" spans="2:4" x14ac:dyDescent="0.3">
      <c r="B1873" s="33" t="s">
        <v>5241</v>
      </c>
      <c r="C1873" s="32" t="s">
        <v>5242</v>
      </c>
      <c r="D1873" s="32" t="s">
        <v>5243</v>
      </c>
    </row>
    <row r="1874" spans="2:4" x14ac:dyDescent="0.3">
      <c r="B1874" s="33" t="s">
        <v>4649</v>
      </c>
      <c r="C1874" s="32" t="s">
        <v>5244</v>
      </c>
      <c r="D1874" s="32" t="s">
        <v>5245</v>
      </c>
    </row>
    <row r="1875" spans="2:4" x14ac:dyDescent="0.3">
      <c r="B1875" s="33" t="s">
        <v>5246</v>
      </c>
      <c r="C1875" s="32" t="s">
        <v>5247</v>
      </c>
      <c r="D1875" s="32" t="s">
        <v>5248</v>
      </c>
    </row>
    <row r="1876" spans="2:4" x14ac:dyDescent="0.3">
      <c r="B1876" s="33" t="s">
        <v>5249</v>
      </c>
      <c r="C1876" s="32" t="s">
        <v>5250</v>
      </c>
      <c r="D1876" s="32" t="s">
        <v>5251</v>
      </c>
    </row>
    <row r="1877" spans="2:4" x14ac:dyDescent="0.3">
      <c r="B1877" s="33" t="s">
        <v>5252</v>
      </c>
      <c r="C1877" s="32" t="s">
        <v>5253</v>
      </c>
      <c r="D1877" s="32" t="s">
        <v>5254</v>
      </c>
    </row>
    <row r="1878" spans="2:4" x14ac:dyDescent="0.3">
      <c r="B1878" s="33" t="s">
        <v>4649</v>
      </c>
      <c r="C1878" s="32" t="s">
        <v>5255</v>
      </c>
      <c r="D1878" s="32" t="s">
        <v>5256</v>
      </c>
    </row>
    <row r="1879" spans="2:4" x14ac:dyDescent="0.3">
      <c r="B1879" s="33" t="s">
        <v>5257</v>
      </c>
      <c r="C1879" s="32" t="s">
        <v>5258</v>
      </c>
      <c r="D1879" s="32" t="s">
        <v>5259</v>
      </c>
    </row>
    <row r="1880" spans="2:4" x14ac:dyDescent="0.3">
      <c r="B1880" s="33" t="s">
        <v>5260</v>
      </c>
      <c r="C1880" s="32" t="s">
        <v>5261</v>
      </c>
      <c r="D1880" s="32" t="s">
        <v>5262</v>
      </c>
    </row>
    <row r="1881" spans="2:4" x14ac:dyDescent="0.3">
      <c r="B1881" s="33" t="s">
        <v>4893</v>
      </c>
      <c r="C1881" s="32" t="s">
        <v>36985</v>
      </c>
      <c r="D1881" s="32" t="s">
        <v>36986</v>
      </c>
    </row>
    <row r="1882" spans="2:4" x14ac:dyDescent="0.3">
      <c r="B1882" s="33" t="s">
        <v>4360</v>
      </c>
      <c r="C1882" s="32" t="s">
        <v>5263</v>
      </c>
      <c r="D1882" s="32" t="s">
        <v>5264</v>
      </c>
    </row>
    <row r="1883" spans="2:4" x14ac:dyDescent="0.3">
      <c r="B1883" s="33" t="s">
        <v>36987</v>
      </c>
      <c r="C1883" s="32" t="s">
        <v>36988</v>
      </c>
      <c r="D1883" s="32" t="s">
        <v>36989</v>
      </c>
    </row>
    <row r="1884" spans="2:4" x14ac:dyDescent="0.3">
      <c r="B1884" s="33" t="s">
        <v>5265</v>
      </c>
      <c r="C1884" s="32" t="s">
        <v>5266</v>
      </c>
      <c r="D1884" s="32" t="s">
        <v>5267</v>
      </c>
    </row>
    <row r="1885" spans="2:4" x14ac:dyDescent="0.3">
      <c r="B1885" s="33" t="s">
        <v>5268</v>
      </c>
      <c r="C1885" s="32" t="s">
        <v>5269</v>
      </c>
      <c r="D1885" s="32" t="s">
        <v>5270</v>
      </c>
    </row>
    <row r="1886" spans="2:4" x14ac:dyDescent="0.3">
      <c r="B1886" s="33" t="s">
        <v>5271</v>
      </c>
      <c r="C1886" s="32" t="s">
        <v>5272</v>
      </c>
      <c r="D1886" s="32" t="s">
        <v>5273</v>
      </c>
    </row>
    <row r="1887" spans="2:4" x14ac:dyDescent="0.3">
      <c r="B1887" s="33" t="s">
        <v>5274</v>
      </c>
      <c r="C1887" s="32" t="s">
        <v>5275</v>
      </c>
      <c r="D1887" s="32" t="s">
        <v>5276</v>
      </c>
    </row>
    <row r="1888" spans="2:4" x14ac:dyDescent="0.3">
      <c r="B1888" s="33" t="s">
        <v>5277</v>
      </c>
      <c r="C1888" s="32" t="s">
        <v>5278</v>
      </c>
      <c r="D1888" s="32" t="s">
        <v>5279</v>
      </c>
    </row>
    <row r="1889" spans="2:4" x14ac:dyDescent="0.3">
      <c r="B1889" s="33" t="s">
        <v>5280</v>
      </c>
      <c r="C1889" s="32" t="s">
        <v>5281</v>
      </c>
      <c r="D1889" s="32" t="s">
        <v>5282</v>
      </c>
    </row>
    <row r="1890" spans="2:4" x14ac:dyDescent="0.3">
      <c r="B1890" s="33" t="s">
        <v>5199</v>
      </c>
      <c r="C1890" s="32" t="s">
        <v>5283</v>
      </c>
      <c r="D1890" s="32" t="s">
        <v>5284</v>
      </c>
    </row>
    <row r="1891" spans="2:4" x14ac:dyDescent="0.3">
      <c r="B1891" s="33" t="s">
        <v>5285</v>
      </c>
      <c r="C1891" s="32" t="s">
        <v>5286</v>
      </c>
      <c r="D1891" s="32" t="s">
        <v>5287</v>
      </c>
    </row>
    <row r="1892" spans="2:4" x14ac:dyDescent="0.3">
      <c r="B1892" s="33" t="s">
        <v>5288</v>
      </c>
      <c r="C1892" s="32" t="s">
        <v>5289</v>
      </c>
      <c r="D1892" s="32" t="s">
        <v>5290</v>
      </c>
    </row>
    <row r="1893" spans="2:4" x14ac:dyDescent="0.3">
      <c r="B1893" s="33" t="s">
        <v>5291</v>
      </c>
      <c r="C1893" s="32" t="s">
        <v>5292</v>
      </c>
      <c r="D1893" s="32" t="s">
        <v>5293</v>
      </c>
    </row>
    <row r="1894" spans="2:4" x14ac:dyDescent="0.3">
      <c r="B1894" s="33" t="s">
        <v>5294</v>
      </c>
      <c r="C1894" s="32" t="s">
        <v>5295</v>
      </c>
      <c r="D1894" s="32" t="s">
        <v>5294</v>
      </c>
    </row>
    <row r="1895" spans="2:4" x14ac:dyDescent="0.3">
      <c r="B1895" s="33" t="s">
        <v>5296</v>
      </c>
      <c r="C1895" s="32" t="s">
        <v>5297</v>
      </c>
      <c r="D1895" s="32" t="s">
        <v>5296</v>
      </c>
    </row>
    <row r="1896" spans="2:4" x14ac:dyDescent="0.3">
      <c r="B1896" s="33" t="s">
        <v>5298</v>
      </c>
      <c r="C1896" s="32" t="s">
        <v>5299</v>
      </c>
      <c r="D1896" s="32" t="s">
        <v>5300</v>
      </c>
    </row>
    <row r="1897" spans="2:4" x14ac:dyDescent="0.3">
      <c r="B1897" s="33" t="s">
        <v>5301</v>
      </c>
      <c r="C1897" s="32" t="s">
        <v>5302</v>
      </c>
      <c r="D1897" s="32" t="s">
        <v>5303</v>
      </c>
    </row>
    <row r="1898" spans="2:4" x14ac:dyDescent="0.3">
      <c r="B1898" s="33" t="s">
        <v>5304</v>
      </c>
      <c r="C1898" s="32" t="s">
        <v>5305</v>
      </c>
      <c r="D1898" s="32" t="s">
        <v>5306</v>
      </c>
    </row>
    <row r="1899" spans="2:4" x14ac:dyDescent="0.3">
      <c r="B1899" s="33" t="s">
        <v>3783</v>
      </c>
      <c r="C1899" s="32" t="s">
        <v>5307</v>
      </c>
      <c r="D1899" s="32" t="s">
        <v>5308</v>
      </c>
    </row>
    <row r="1900" spans="2:4" x14ac:dyDescent="0.3">
      <c r="B1900" s="33" t="s">
        <v>5309</v>
      </c>
      <c r="C1900" s="32" t="s">
        <v>5310</v>
      </c>
      <c r="D1900" s="32" t="s">
        <v>5311</v>
      </c>
    </row>
    <row r="1901" spans="2:4" x14ac:dyDescent="0.3">
      <c r="B1901" s="33" t="s">
        <v>3783</v>
      </c>
      <c r="C1901" s="32" t="s">
        <v>5312</v>
      </c>
      <c r="D1901" s="32" t="s">
        <v>5313</v>
      </c>
    </row>
    <row r="1902" spans="2:4" x14ac:dyDescent="0.3">
      <c r="B1902" s="33" t="s">
        <v>5314</v>
      </c>
      <c r="C1902" s="32" t="s">
        <v>5315</v>
      </c>
      <c r="D1902" s="32" t="s">
        <v>5316</v>
      </c>
    </row>
    <row r="1903" spans="2:4" x14ac:dyDescent="0.3">
      <c r="B1903" s="33" t="s">
        <v>5317</v>
      </c>
      <c r="C1903" s="32" t="s">
        <v>5318</v>
      </c>
      <c r="D1903" s="32" t="s">
        <v>5319</v>
      </c>
    </row>
    <row r="1904" spans="2:4" x14ac:dyDescent="0.3">
      <c r="B1904" s="33" t="s">
        <v>5320</v>
      </c>
      <c r="C1904" s="32" t="s">
        <v>5321</v>
      </c>
      <c r="D1904" s="32" t="s">
        <v>5322</v>
      </c>
    </row>
    <row r="1905" spans="2:4" x14ac:dyDescent="0.3">
      <c r="B1905" s="33" t="s">
        <v>5323</v>
      </c>
      <c r="C1905" s="32" t="s">
        <v>5324</v>
      </c>
      <c r="D1905" s="32" t="s">
        <v>5325</v>
      </c>
    </row>
    <row r="1906" spans="2:4" x14ac:dyDescent="0.3">
      <c r="B1906" s="33" t="s">
        <v>5326</v>
      </c>
      <c r="C1906" s="32" t="s">
        <v>5327</v>
      </c>
      <c r="D1906" s="32" t="s">
        <v>5328</v>
      </c>
    </row>
    <row r="1907" spans="2:4" x14ac:dyDescent="0.3">
      <c r="B1907" s="33" t="s">
        <v>5329</v>
      </c>
      <c r="C1907" s="32" t="s">
        <v>5330</v>
      </c>
      <c r="D1907" s="32" t="s">
        <v>5331</v>
      </c>
    </row>
    <row r="1908" spans="2:4" x14ac:dyDescent="0.3">
      <c r="B1908" s="33" t="s">
        <v>5332</v>
      </c>
      <c r="C1908" s="32" t="s">
        <v>5333</v>
      </c>
      <c r="D1908" s="32" t="s">
        <v>5334</v>
      </c>
    </row>
    <row r="1909" spans="2:4" x14ac:dyDescent="0.3">
      <c r="B1909" s="33" t="s">
        <v>5335</v>
      </c>
      <c r="C1909" s="32" t="s">
        <v>5336</v>
      </c>
      <c r="D1909" s="32" t="s">
        <v>5337</v>
      </c>
    </row>
    <row r="1910" spans="2:4" x14ac:dyDescent="0.3">
      <c r="B1910" s="33" t="s">
        <v>5338</v>
      </c>
      <c r="C1910" s="32" t="s">
        <v>5339</v>
      </c>
      <c r="D1910" s="32" t="s">
        <v>5340</v>
      </c>
    </row>
    <row r="1911" spans="2:4" x14ac:dyDescent="0.3">
      <c r="B1911" s="33" t="s">
        <v>5341</v>
      </c>
      <c r="C1911" s="32" t="s">
        <v>5342</v>
      </c>
      <c r="D1911" s="32" t="s">
        <v>5343</v>
      </c>
    </row>
    <row r="1912" spans="2:4" x14ac:dyDescent="0.3">
      <c r="B1912" s="33" t="s">
        <v>5301</v>
      </c>
      <c r="C1912" s="32" t="s">
        <v>5344</v>
      </c>
      <c r="D1912" s="32" t="s">
        <v>5345</v>
      </c>
    </row>
    <row r="1913" spans="2:4" x14ac:dyDescent="0.3">
      <c r="B1913" s="33" t="s">
        <v>4933</v>
      </c>
      <c r="C1913" s="32" t="s">
        <v>5346</v>
      </c>
      <c r="D1913" s="32" t="s">
        <v>5347</v>
      </c>
    </row>
    <row r="1914" spans="2:4" x14ac:dyDescent="0.3">
      <c r="B1914" s="33" t="s">
        <v>5348</v>
      </c>
      <c r="C1914" s="32" t="s">
        <v>5349</v>
      </c>
      <c r="D1914" s="32" t="s">
        <v>5350</v>
      </c>
    </row>
    <row r="1915" spans="2:4" x14ac:dyDescent="0.3">
      <c r="B1915" s="33" t="s">
        <v>4051</v>
      </c>
      <c r="C1915" s="32" t="s">
        <v>5351</v>
      </c>
      <c r="D1915" s="32" t="s">
        <v>5352</v>
      </c>
    </row>
    <row r="1916" spans="2:4" x14ac:dyDescent="0.3">
      <c r="B1916" s="33" t="s">
        <v>5353</v>
      </c>
      <c r="C1916" s="32" t="s">
        <v>5354</v>
      </c>
      <c r="D1916" s="32" t="s">
        <v>5355</v>
      </c>
    </row>
    <row r="1917" spans="2:4" x14ac:dyDescent="0.3">
      <c r="B1917" s="33" t="s">
        <v>5356</v>
      </c>
      <c r="C1917" s="32" t="s">
        <v>5357</v>
      </c>
      <c r="D1917" s="32" t="s">
        <v>5358</v>
      </c>
    </row>
    <row r="1918" spans="2:4" x14ac:dyDescent="0.3">
      <c r="B1918" s="33" t="s">
        <v>4933</v>
      </c>
      <c r="C1918" s="32" t="s">
        <v>5359</v>
      </c>
      <c r="D1918" s="32" t="s">
        <v>5360</v>
      </c>
    </row>
    <row r="1919" spans="2:4" x14ac:dyDescent="0.3">
      <c r="B1919" s="33" t="s">
        <v>5361</v>
      </c>
      <c r="C1919" s="32" t="s">
        <v>5362</v>
      </c>
      <c r="D1919" s="32" t="s">
        <v>5363</v>
      </c>
    </row>
    <row r="1920" spans="2:4" x14ac:dyDescent="0.3">
      <c r="B1920" s="33" t="s">
        <v>5364</v>
      </c>
      <c r="C1920" s="32" t="s">
        <v>5365</v>
      </c>
      <c r="D1920" s="32" t="s">
        <v>5366</v>
      </c>
    </row>
    <row r="1921" spans="2:4" x14ac:dyDescent="0.3">
      <c r="B1921" s="33" t="s">
        <v>5367</v>
      </c>
      <c r="C1921" s="32" t="s">
        <v>5368</v>
      </c>
      <c r="D1921" s="32" t="s">
        <v>5369</v>
      </c>
    </row>
    <row r="1922" spans="2:4" x14ac:dyDescent="0.3">
      <c r="B1922" s="33" t="s">
        <v>5370</v>
      </c>
      <c r="C1922" s="32" t="s">
        <v>5371</v>
      </c>
      <c r="D1922" s="32" t="s">
        <v>5372</v>
      </c>
    </row>
    <row r="1923" spans="2:4" x14ac:dyDescent="0.3">
      <c r="B1923" s="33" t="s">
        <v>5373</v>
      </c>
      <c r="C1923" s="32" t="s">
        <v>5374</v>
      </c>
      <c r="D1923" s="32" t="s">
        <v>5375</v>
      </c>
    </row>
    <row r="1924" spans="2:4" x14ac:dyDescent="0.3">
      <c r="B1924" s="33" t="s">
        <v>5376</v>
      </c>
      <c r="C1924" s="32" t="s">
        <v>5377</v>
      </c>
      <c r="D1924" s="32" t="s">
        <v>5378</v>
      </c>
    </row>
    <row r="1925" spans="2:4" x14ac:dyDescent="0.3">
      <c r="B1925" s="33" t="s">
        <v>5379</v>
      </c>
      <c r="C1925" s="32" t="s">
        <v>5380</v>
      </c>
      <c r="D1925" s="32" t="s">
        <v>5381</v>
      </c>
    </row>
    <row r="1926" spans="2:4" x14ac:dyDescent="0.3">
      <c r="B1926" s="33" t="s">
        <v>5382</v>
      </c>
      <c r="C1926" s="32" t="s">
        <v>5383</v>
      </c>
      <c r="D1926" s="32" t="s">
        <v>5384</v>
      </c>
    </row>
    <row r="1927" spans="2:4" x14ac:dyDescent="0.3">
      <c r="B1927" s="33" t="s">
        <v>5385</v>
      </c>
      <c r="C1927" s="32" t="s">
        <v>5386</v>
      </c>
      <c r="D1927" s="32" t="s">
        <v>5387</v>
      </c>
    </row>
    <row r="1928" spans="2:4" x14ac:dyDescent="0.3">
      <c r="B1928" s="33" t="s">
        <v>5388</v>
      </c>
      <c r="C1928" s="32" t="s">
        <v>5389</v>
      </c>
      <c r="D1928" s="32" t="s">
        <v>5390</v>
      </c>
    </row>
    <row r="1929" spans="2:4" x14ac:dyDescent="0.3">
      <c r="B1929" s="33" t="s">
        <v>4376</v>
      </c>
      <c r="C1929" s="32" t="s">
        <v>5391</v>
      </c>
      <c r="D1929" s="32" t="s">
        <v>5392</v>
      </c>
    </row>
    <row r="1930" spans="2:4" x14ac:dyDescent="0.3">
      <c r="B1930" s="33" t="s">
        <v>4632</v>
      </c>
      <c r="C1930" s="32" t="s">
        <v>5393</v>
      </c>
      <c r="D1930" s="32" t="s">
        <v>5394</v>
      </c>
    </row>
    <row r="1931" spans="2:4" x14ac:dyDescent="0.3">
      <c r="B1931" s="33" t="s">
        <v>3959</v>
      </c>
      <c r="C1931" s="32" t="s">
        <v>5395</v>
      </c>
      <c r="D1931" s="32" t="s">
        <v>5396</v>
      </c>
    </row>
    <row r="1932" spans="2:4" x14ac:dyDescent="0.3">
      <c r="B1932" s="33" t="s">
        <v>5397</v>
      </c>
      <c r="C1932" s="32" t="s">
        <v>5398</v>
      </c>
      <c r="D1932" s="32" t="s">
        <v>37148</v>
      </c>
    </row>
    <row r="1933" spans="2:4" x14ac:dyDescent="0.3">
      <c r="B1933" s="33" t="s">
        <v>5399</v>
      </c>
      <c r="C1933" s="32" t="s">
        <v>5400</v>
      </c>
      <c r="D1933" s="32" t="s">
        <v>5401</v>
      </c>
    </row>
    <row r="1934" spans="2:4" x14ac:dyDescent="0.3">
      <c r="B1934" s="33" t="s">
        <v>5402</v>
      </c>
      <c r="C1934" s="32" t="s">
        <v>5403</v>
      </c>
      <c r="D1934" s="32" t="s">
        <v>5404</v>
      </c>
    </row>
    <row r="1935" spans="2:4" x14ac:dyDescent="0.3">
      <c r="B1935" s="33" t="s">
        <v>5405</v>
      </c>
      <c r="C1935" s="32" t="s">
        <v>5406</v>
      </c>
      <c r="D1935" s="32" t="s">
        <v>5407</v>
      </c>
    </row>
    <row r="1936" spans="2:4" x14ac:dyDescent="0.3">
      <c r="B1936" s="33" t="s">
        <v>4370</v>
      </c>
      <c r="C1936" s="32" t="s">
        <v>5408</v>
      </c>
      <c r="D1936" s="32" t="s">
        <v>5409</v>
      </c>
    </row>
    <row r="1937" spans="2:4" x14ac:dyDescent="0.3">
      <c r="B1937" s="33" t="s">
        <v>5410</v>
      </c>
      <c r="C1937" s="32" t="s">
        <v>5411</v>
      </c>
      <c r="D1937" s="32" t="s">
        <v>5412</v>
      </c>
    </row>
    <row r="1938" spans="2:4" x14ac:dyDescent="0.3">
      <c r="B1938" s="33" t="s">
        <v>5413</v>
      </c>
      <c r="C1938" s="32" t="s">
        <v>5414</v>
      </c>
      <c r="D1938" s="32" t="s">
        <v>5415</v>
      </c>
    </row>
    <row r="1939" spans="2:4" x14ac:dyDescent="0.3">
      <c r="B1939" s="33" t="s">
        <v>5416</v>
      </c>
      <c r="C1939" s="32" t="s">
        <v>5417</v>
      </c>
      <c r="D1939" s="32" t="s">
        <v>5418</v>
      </c>
    </row>
    <row r="1940" spans="2:4" x14ac:dyDescent="0.3">
      <c r="B1940" s="33" t="s">
        <v>5419</v>
      </c>
      <c r="C1940" s="32" t="s">
        <v>5420</v>
      </c>
      <c r="D1940" s="32" t="s">
        <v>5421</v>
      </c>
    </row>
    <row r="1941" spans="2:4" x14ac:dyDescent="0.3">
      <c r="B1941" s="33" t="s">
        <v>5422</v>
      </c>
      <c r="C1941" s="32" t="s">
        <v>5423</v>
      </c>
      <c r="D1941" s="32" t="s">
        <v>5424</v>
      </c>
    </row>
    <row r="1942" spans="2:4" x14ac:dyDescent="0.3">
      <c r="B1942" s="33" t="s">
        <v>5425</v>
      </c>
      <c r="C1942" s="32" t="s">
        <v>5426</v>
      </c>
      <c r="D1942" s="32" t="s">
        <v>5427</v>
      </c>
    </row>
    <row r="1943" spans="2:4" x14ac:dyDescent="0.3">
      <c r="B1943" s="33" t="s">
        <v>5428</v>
      </c>
      <c r="C1943" s="32" t="s">
        <v>5429</v>
      </c>
      <c r="D1943" s="32" t="s">
        <v>5430</v>
      </c>
    </row>
    <row r="1944" spans="2:4" x14ac:dyDescent="0.3">
      <c r="B1944" s="33" t="s">
        <v>5431</v>
      </c>
      <c r="C1944" s="32" t="s">
        <v>5432</v>
      </c>
      <c r="D1944" s="32" t="s">
        <v>5433</v>
      </c>
    </row>
    <row r="1945" spans="2:4" x14ac:dyDescent="0.3">
      <c r="B1945" s="33" t="s">
        <v>5434</v>
      </c>
      <c r="C1945" s="32" t="s">
        <v>5435</v>
      </c>
      <c r="D1945" s="32" t="s">
        <v>37149</v>
      </c>
    </row>
    <row r="1946" spans="2:4" x14ac:dyDescent="0.3">
      <c r="B1946" s="33" t="s">
        <v>5436</v>
      </c>
      <c r="C1946" s="32" t="s">
        <v>5437</v>
      </c>
      <c r="D1946" s="32" t="s">
        <v>36701</v>
      </c>
    </row>
    <row r="1947" spans="2:4" x14ac:dyDescent="0.3">
      <c r="B1947" s="33" t="s">
        <v>5438</v>
      </c>
      <c r="C1947" s="32" t="s">
        <v>5439</v>
      </c>
      <c r="D1947" s="32" t="s">
        <v>5440</v>
      </c>
    </row>
    <row r="1948" spans="2:4" x14ac:dyDescent="0.3">
      <c r="B1948" s="33" t="s">
        <v>5441</v>
      </c>
      <c r="C1948" s="32" t="s">
        <v>5442</v>
      </c>
      <c r="D1948" s="32" t="s">
        <v>5443</v>
      </c>
    </row>
    <row r="1949" spans="2:4" x14ac:dyDescent="0.3">
      <c r="B1949" s="33" t="s">
        <v>4629</v>
      </c>
      <c r="C1949" s="32" t="s">
        <v>5444</v>
      </c>
      <c r="D1949" s="32" t="s">
        <v>5445</v>
      </c>
    </row>
    <row r="1950" spans="2:4" x14ac:dyDescent="0.3">
      <c r="B1950" s="33" t="s">
        <v>5446</v>
      </c>
      <c r="C1950" s="32" t="s">
        <v>5447</v>
      </c>
      <c r="D1950" s="32" t="s">
        <v>5448</v>
      </c>
    </row>
    <row r="1951" spans="2:4" x14ac:dyDescent="0.3">
      <c r="B1951" s="33" t="s">
        <v>5449</v>
      </c>
      <c r="C1951" s="32" t="s">
        <v>5450</v>
      </c>
      <c r="D1951" s="32" t="s">
        <v>5451</v>
      </c>
    </row>
    <row r="1952" spans="2:4" x14ac:dyDescent="0.3">
      <c r="B1952" s="33" t="s">
        <v>5452</v>
      </c>
      <c r="C1952" s="32" t="s">
        <v>5453</v>
      </c>
      <c r="D1952" s="32" t="s">
        <v>5454</v>
      </c>
    </row>
    <row r="1953" spans="2:4" x14ac:dyDescent="0.3">
      <c r="B1953" s="33" t="s">
        <v>36628</v>
      </c>
      <c r="C1953" s="32" t="s">
        <v>36629</v>
      </c>
      <c r="D1953" s="32" t="s">
        <v>36630</v>
      </c>
    </row>
    <row r="1954" spans="2:4" x14ac:dyDescent="0.3">
      <c r="B1954" s="33" t="s">
        <v>5455</v>
      </c>
      <c r="C1954" s="32" t="s">
        <v>5456</v>
      </c>
      <c r="D1954" s="32" t="s">
        <v>5457</v>
      </c>
    </row>
    <row r="1955" spans="2:4" x14ac:dyDescent="0.3">
      <c r="B1955" s="33" t="s">
        <v>5458</v>
      </c>
      <c r="C1955" s="32" t="s">
        <v>5459</v>
      </c>
      <c r="D1955" s="32" t="s">
        <v>5460</v>
      </c>
    </row>
    <row r="1956" spans="2:4" x14ac:dyDescent="0.3">
      <c r="B1956" s="33" t="s">
        <v>3732</v>
      </c>
      <c r="C1956" s="32" t="s">
        <v>5461</v>
      </c>
      <c r="D1956" s="32" t="s">
        <v>5462</v>
      </c>
    </row>
    <row r="1957" spans="2:4" x14ac:dyDescent="0.3">
      <c r="B1957" s="33" t="s">
        <v>4991</v>
      </c>
      <c r="C1957" s="32" t="s">
        <v>5463</v>
      </c>
      <c r="D1957" s="32" t="s">
        <v>5464</v>
      </c>
    </row>
    <row r="1958" spans="2:4" x14ac:dyDescent="0.3">
      <c r="B1958" s="33" t="s">
        <v>5465</v>
      </c>
      <c r="C1958" s="32" t="s">
        <v>5466</v>
      </c>
      <c r="D1958" s="32" t="s">
        <v>5467</v>
      </c>
    </row>
    <row r="1959" spans="2:4" x14ac:dyDescent="0.3">
      <c r="B1959" s="33" t="s">
        <v>4809</v>
      </c>
      <c r="C1959" s="32" t="s">
        <v>5468</v>
      </c>
      <c r="D1959" s="32" t="s">
        <v>5469</v>
      </c>
    </row>
    <row r="1960" spans="2:4" x14ac:dyDescent="0.3">
      <c r="B1960" s="33" t="s">
        <v>5470</v>
      </c>
      <c r="C1960" s="32" t="s">
        <v>5471</v>
      </c>
      <c r="D1960" s="32" t="s">
        <v>5472</v>
      </c>
    </row>
    <row r="1961" spans="2:4" x14ac:dyDescent="0.3">
      <c r="B1961" s="33" t="s">
        <v>5473</v>
      </c>
      <c r="C1961" s="32" t="s">
        <v>5474</v>
      </c>
      <c r="D1961" s="32" t="s">
        <v>5475</v>
      </c>
    </row>
    <row r="1962" spans="2:4" x14ac:dyDescent="0.3">
      <c r="B1962" s="33" t="s">
        <v>5476</v>
      </c>
      <c r="C1962" s="32" t="s">
        <v>5477</v>
      </c>
      <c r="D1962" s="32" t="s">
        <v>5478</v>
      </c>
    </row>
    <row r="1963" spans="2:4" x14ac:dyDescent="0.3">
      <c r="B1963" s="33" t="s">
        <v>5479</v>
      </c>
      <c r="C1963" s="32" t="s">
        <v>5480</v>
      </c>
      <c r="D1963" s="32" t="s">
        <v>5481</v>
      </c>
    </row>
    <row r="1964" spans="2:4" x14ac:dyDescent="0.3">
      <c r="B1964" s="33" t="s">
        <v>4893</v>
      </c>
      <c r="C1964" s="32" t="s">
        <v>5482</v>
      </c>
      <c r="D1964" s="32" t="s">
        <v>5483</v>
      </c>
    </row>
    <row r="1965" spans="2:4" x14ac:dyDescent="0.3">
      <c r="B1965" s="33" t="s">
        <v>5484</v>
      </c>
      <c r="C1965" s="32" t="s">
        <v>5485</v>
      </c>
      <c r="D1965" s="32" t="s">
        <v>5486</v>
      </c>
    </row>
    <row r="1966" spans="2:4" x14ac:dyDescent="0.3">
      <c r="B1966" s="33" t="s">
        <v>5487</v>
      </c>
      <c r="C1966" s="32" t="s">
        <v>5488</v>
      </c>
      <c r="D1966" s="32" t="s">
        <v>5489</v>
      </c>
    </row>
    <row r="1967" spans="2:4" x14ac:dyDescent="0.3">
      <c r="B1967" s="33" t="s">
        <v>5490</v>
      </c>
      <c r="C1967" s="32" t="s">
        <v>5491</v>
      </c>
      <c r="D1967" s="32" t="s">
        <v>5492</v>
      </c>
    </row>
    <row r="1968" spans="2:4" x14ac:dyDescent="0.3">
      <c r="B1968" s="33" t="s">
        <v>5493</v>
      </c>
      <c r="C1968" s="32" t="s">
        <v>5494</v>
      </c>
      <c r="D1968" s="32" t="s">
        <v>5493</v>
      </c>
    </row>
    <row r="1969" spans="2:4" x14ac:dyDescent="0.3">
      <c r="B1969" s="33" t="s">
        <v>5493</v>
      </c>
      <c r="C1969" s="32" t="s">
        <v>5495</v>
      </c>
      <c r="D1969" s="32" t="s">
        <v>5496</v>
      </c>
    </row>
    <row r="1970" spans="2:4" x14ac:dyDescent="0.3">
      <c r="B1970" s="33" t="s">
        <v>4509</v>
      </c>
      <c r="C1970" s="32" t="s">
        <v>5497</v>
      </c>
      <c r="D1970" s="32" t="s">
        <v>5498</v>
      </c>
    </row>
    <row r="1971" spans="2:4" x14ac:dyDescent="0.3">
      <c r="B1971" s="33" t="s">
        <v>5499</v>
      </c>
      <c r="C1971" s="32" t="s">
        <v>5500</v>
      </c>
      <c r="D1971" s="32" t="s">
        <v>5501</v>
      </c>
    </row>
    <row r="1972" spans="2:4" x14ac:dyDescent="0.3">
      <c r="B1972" s="33" t="s">
        <v>4520</v>
      </c>
      <c r="C1972" s="32" t="s">
        <v>5502</v>
      </c>
      <c r="D1972" s="32" t="s">
        <v>5503</v>
      </c>
    </row>
    <row r="1973" spans="2:4" x14ac:dyDescent="0.3">
      <c r="B1973" s="33" t="s">
        <v>5504</v>
      </c>
      <c r="C1973" s="32" t="s">
        <v>5505</v>
      </c>
      <c r="D1973" s="32" t="s">
        <v>5506</v>
      </c>
    </row>
    <row r="1974" spans="2:4" x14ac:dyDescent="0.3">
      <c r="B1974" s="33" t="s">
        <v>5504</v>
      </c>
      <c r="C1974" s="32" t="s">
        <v>5507</v>
      </c>
      <c r="D1974" s="32" t="s">
        <v>5508</v>
      </c>
    </row>
    <row r="1975" spans="2:4" x14ac:dyDescent="0.3">
      <c r="B1975" s="33" t="s">
        <v>5509</v>
      </c>
      <c r="C1975" s="32" t="s">
        <v>5510</v>
      </c>
      <c r="D1975" s="32" t="s">
        <v>5511</v>
      </c>
    </row>
    <row r="1976" spans="2:4" x14ac:dyDescent="0.3">
      <c r="B1976" s="33" t="s">
        <v>5512</v>
      </c>
      <c r="C1976" s="32" t="s">
        <v>5513</v>
      </c>
      <c r="D1976" s="32" t="s">
        <v>5514</v>
      </c>
    </row>
    <row r="1977" spans="2:4" x14ac:dyDescent="0.3">
      <c r="B1977" s="33" t="s">
        <v>3582</v>
      </c>
      <c r="C1977" s="32" t="s">
        <v>5515</v>
      </c>
      <c r="D1977" s="32" t="s">
        <v>5516</v>
      </c>
    </row>
    <row r="1978" spans="2:4" x14ac:dyDescent="0.3">
      <c r="B1978" s="33" t="s">
        <v>5517</v>
      </c>
      <c r="C1978" s="32" t="s">
        <v>5518</v>
      </c>
      <c r="D1978" s="32" t="s">
        <v>5519</v>
      </c>
    </row>
    <row r="1979" spans="2:4" x14ac:dyDescent="0.3">
      <c r="B1979" s="33" t="s">
        <v>5520</v>
      </c>
      <c r="C1979" s="32" t="s">
        <v>5521</v>
      </c>
      <c r="D1979" s="32" t="s">
        <v>5522</v>
      </c>
    </row>
    <row r="1980" spans="2:4" x14ac:dyDescent="0.3">
      <c r="B1980" s="33" t="s">
        <v>5523</v>
      </c>
      <c r="C1980" s="32" t="s">
        <v>5524</v>
      </c>
      <c r="D1980" s="32" t="s">
        <v>5524</v>
      </c>
    </row>
    <row r="1981" spans="2:4" x14ac:dyDescent="0.3">
      <c r="B1981" s="33" t="s">
        <v>5525</v>
      </c>
      <c r="C1981" s="32" t="s">
        <v>5526</v>
      </c>
      <c r="D1981" s="32" t="s">
        <v>5527</v>
      </c>
    </row>
    <row r="1982" spans="2:4" x14ac:dyDescent="0.3">
      <c r="B1982" s="33" t="s">
        <v>5525</v>
      </c>
      <c r="C1982" s="32" t="s">
        <v>5528</v>
      </c>
      <c r="D1982" s="32" t="s">
        <v>5529</v>
      </c>
    </row>
    <row r="1983" spans="2:4" x14ac:dyDescent="0.3">
      <c r="B1983" s="33" t="s">
        <v>5530</v>
      </c>
      <c r="C1983" s="32" t="s">
        <v>5531</v>
      </c>
      <c r="D1983" s="32" t="s">
        <v>5532</v>
      </c>
    </row>
    <row r="1984" spans="2:4" x14ac:dyDescent="0.3">
      <c r="B1984" s="33" t="s">
        <v>5530</v>
      </c>
      <c r="C1984" s="32" t="s">
        <v>5533</v>
      </c>
      <c r="D1984" s="32" t="s">
        <v>5534</v>
      </c>
    </row>
    <row r="1985" spans="2:4" x14ac:dyDescent="0.3">
      <c r="B1985" s="33" t="s">
        <v>5535</v>
      </c>
      <c r="C1985" s="32" t="s">
        <v>5536</v>
      </c>
      <c r="D1985" s="32" t="s">
        <v>5537</v>
      </c>
    </row>
    <row r="1986" spans="2:4" x14ac:dyDescent="0.3">
      <c r="B1986" s="33" t="s">
        <v>5538</v>
      </c>
      <c r="C1986" s="32" t="s">
        <v>5539</v>
      </c>
      <c r="D1986" s="32" t="s">
        <v>5540</v>
      </c>
    </row>
    <row r="1987" spans="2:4" x14ac:dyDescent="0.3">
      <c r="B1987" s="33" t="s">
        <v>5541</v>
      </c>
      <c r="C1987" s="32" t="s">
        <v>5542</v>
      </c>
      <c r="D1987" s="32" t="s">
        <v>5543</v>
      </c>
    </row>
    <row r="1988" spans="2:4" x14ac:dyDescent="0.3">
      <c r="B1988" s="33" t="s">
        <v>5144</v>
      </c>
      <c r="C1988" s="32" t="s">
        <v>5544</v>
      </c>
      <c r="D1988" s="32" t="s">
        <v>5545</v>
      </c>
    </row>
    <row r="1989" spans="2:4" x14ac:dyDescent="0.3">
      <c r="B1989" s="33" t="s">
        <v>5546</v>
      </c>
      <c r="C1989" s="32" t="s">
        <v>5547</v>
      </c>
      <c r="D1989" s="32" t="s">
        <v>5548</v>
      </c>
    </row>
    <row r="1990" spans="2:4" x14ac:dyDescent="0.3">
      <c r="B1990" s="33" t="s">
        <v>5546</v>
      </c>
      <c r="C1990" s="32" t="s">
        <v>5549</v>
      </c>
      <c r="D1990" s="32" t="s">
        <v>5550</v>
      </c>
    </row>
    <row r="1991" spans="2:4" x14ac:dyDescent="0.3">
      <c r="B1991" s="33" t="s">
        <v>5551</v>
      </c>
      <c r="C1991" s="32" t="s">
        <v>5552</v>
      </c>
      <c r="D1991" s="32" t="s">
        <v>5553</v>
      </c>
    </row>
    <row r="1992" spans="2:4" x14ac:dyDescent="0.3">
      <c r="B1992" s="33" t="s">
        <v>5554</v>
      </c>
      <c r="C1992" s="32" t="s">
        <v>5555</v>
      </c>
      <c r="D1992" s="32" t="s">
        <v>5556</v>
      </c>
    </row>
    <row r="1993" spans="2:4" x14ac:dyDescent="0.3">
      <c r="B1993" s="33" t="s">
        <v>5557</v>
      </c>
      <c r="C1993" s="32" t="s">
        <v>5558</v>
      </c>
      <c r="D1993" s="32" t="s">
        <v>5559</v>
      </c>
    </row>
    <row r="1994" spans="2:4" x14ac:dyDescent="0.3">
      <c r="B1994" s="33" t="s">
        <v>5560</v>
      </c>
      <c r="C1994" s="32" t="s">
        <v>5561</v>
      </c>
      <c r="D1994" s="32" t="s">
        <v>5562</v>
      </c>
    </row>
    <row r="1995" spans="2:4" x14ac:dyDescent="0.3">
      <c r="B1995" s="33" t="s">
        <v>4370</v>
      </c>
      <c r="C1995" s="32" t="s">
        <v>5563</v>
      </c>
      <c r="D1995" s="32" t="s">
        <v>5564</v>
      </c>
    </row>
    <row r="1996" spans="2:4" x14ac:dyDescent="0.3">
      <c r="B1996" s="33" t="s">
        <v>5565</v>
      </c>
      <c r="C1996" s="32" t="s">
        <v>5566</v>
      </c>
      <c r="D1996" s="32" t="s">
        <v>5567</v>
      </c>
    </row>
    <row r="1997" spans="2:4" x14ac:dyDescent="0.3">
      <c r="B1997" s="33" t="s">
        <v>5568</v>
      </c>
      <c r="C1997" s="32" t="s">
        <v>5569</v>
      </c>
      <c r="D1997" s="32" t="s">
        <v>5570</v>
      </c>
    </row>
    <row r="1998" spans="2:4" x14ac:dyDescent="0.3">
      <c r="B1998" s="33" t="s">
        <v>5571</v>
      </c>
      <c r="C1998" s="32" t="s">
        <v>5572</v>
      </c>
      <c r="D1998" s="32" t="s">
        <v>5573</v>
      </c>
    </row>
    <row r="1999" spans="2:4" x14ac:dyDescent="0.3">
      <c r="B1999" s="33" t="s">
        <v>5004</v>
      </c>
      <c r="C1999" s="32" t="s">
        <v>5574</v>
      </c>
      <c r="D1999" s="32" t="s">
        <v>5575</v>
      </c>
    </row>
    <row r="2000" spans="2:4" x14ac:dyDescent="0.3">
      <c r="B2000" s="33" t="s">
        <v>5576</v>
      </c>
      <c r="C2000" s="32" t="s">
        <v>5577</v>
      </c>
      <c r="D2000" s="32" t="s">
        <v>5576</v>
      </c>
    </row>
    <row r="2001" spans="2:4" x14ac:dyDescent="0.3">
      <c r="B2001" s="33" t="s">
        <v>5578</v>
      </c>
      <c r="C2001" s="32" t="s">
        <v>5579</v>
      </c>
      <c r="D2001" s="32" t="s">
        <v>5580</v>
      </c>
    </row>
    <row r="2002" spans="2:4" x14ac:dyDescent="0.3">
      <c r="B2002" s="33" t="s">
        <v>5581</v>
      </c>
      <c r="C2002" s="32" t="s">
        <v>5582</v>
      </c>
      <c r="D2002" s="32" t="s">
        <v>5583</v>
      </c>
    </row>
    <row r="2003" spans="2:4" x14ac:dyDescent="0.3">
      <c r="B2003" s="33" t="s">
        <v>5576</v>
      </c>
      <c r="C2003" s="32" t="s">
        <v>5584</v>
      </c>
      <c r="D2003" s="32" t="s">
        <v>5585</v>
      </c>
    </row>
    <row r="2004" spans="2:4" x14ac:dyDescent="0.3">
      <c r="B2004" s="33" t="s">
        <v>3937</v>
      </c>
      <c r="C2004" s="32" t="s">
        <v>5586</v>
      </c>
      <c r="D2004" s="32" t="s">
        <v>5587</v>
      </c>
    </row>
    <row r="2005" spans="2:4" x14ac:dyDescent="0.3">
      <c r="B2005" s="33" t="s">
        <v>5588</v>
      </c>
      <c r="C2005" s="32" t="s">
        <v>5589</v>
      </c>
      <c r="D2005" s="32" t="s">
        <v>5590</v>
      </c>
    </row>
    <row r="2006" spans="2:4" x14ac:dyDescent="0.3">
      <c r="B2006" s="33" t="s">
        <v>996</v>
      </c>
      <c r="C2006" s="32" t="s">
        <v>5591</v>
      </c>
      <c r="D2006" s="32" t="s">
        <v>5592</v>
      </c>
    </row>
    <row r="2007" spans="2:4" x14ac:dyDescent="0.3">
      <c r="B2007" s="33" t="s">
        <v>5593</v>
      </c>
      <c r="C2007" s="32" t="s">
        <v>5594</v>
      </c>
      <c r="D2007" s="32" t="s">
        <v>5595</v>
      </c>
    </row>
    <row r="2008" spans="2:4" x14ac:dyDescent="0.3">
      <c r="B2008" s="33" t="s">
        <v>5596</v>
      </c>
      <c r="C2008" s="32" t="s">
        <v>5597</v>
      </c>
      <c r="D2008" s="32" t="s">
        <v>36702</v>
      </c>
    </row>
    <row r="2009" spans="2:4" x14ac:dyDescent="0.3">
      <c r="B2009" s="33" t="s">
        <v>4277</v>
      </c>
      <c r="C2009" s="32" t="s">
        <v>5598</v>
      </c>
      <c r="D2009" s="32" t="s">
        <v>5599</v>
      </c>
    </row>
    <row r="2010" spans="2:4" x14ac:dyDescent="0.3">
      <c r="B2010" s="33" t="s">
        <v>5600</v>
      </c>
      <c r="C2010" s="32" t="s">
        <v>5601</v>
      </c>
      <c r="D2010" s="32" t="s">
        <v>5602</v>
      </c>
    </row>
    <row r="2011" spans="2:4" x14ac:dyDescent="0.3">
      <c r="B2011" s="33" t="s">
        <v>5600</v>
      </c>
      <c r="C2011" s="32" t="s">
        <v>5603</v>
      </c>
      <c r="D2011" s="32" t="s">
        <v>5604</v>
      </c>
    </row>
    <row r="2012" spans="2:4" x14ac:dyDescent="0.3">
      <c r="B2012" s="33" t="s">
        <v>5605</v>
      </c>
      <c r="C2012" s="32" t="s">
        <v>5606</v>
      </c>
      <c r="D2012" s="32" t="s">
        <v>5607</v>
      </c>
    </row>
    <row r="2013" spans="2:4" x14ac:dyDescent="0.3">
      <c r="B2013" s="33" t="s">
        <v>5600</v>
      </c>
      <c r="C2013" s="32" t="s">
        <v>5608</v>
      </c>
      <c r="D2013" s="32" t="s">
        <v>5609</v>
      </c>
    </row>
    <row r="2014" spans="2:4" x14ac:dyDescent="0.3">
      <c r="B2014" s="33" t="s">
        <v>5610</v>
      </c>
      <c r="C2014" s="32" t="s">
        <v>5611</v>
      </c>
      <c r="D2014" s="32" t="s">
        <v>5612</v>
      </c>
    </row>
    <row r="2015" spans="2:4" x14ac:dyDescent="0.3">
      <c r="B2015" s="33" t="s">
        <v>5613</v>
      </c>
      <c r="C2015" s="32" t="s">
        <v>5614</v>
      </c>
      <c r="D2015" s="32" t="s">
        <v>5615</v>
      </c>
    </row>
    <row r="2016" spans="2:4" x14ac:dyDescent="0.3">
      <c r="B2016" s="33" t="s">
        <v>5616</v>
      </c>
      <c r="C2016" s="32" t="s">
        <v>5617</v>
      </c>
      <c r="D2016" s="32" t="s">
        <v>5618</v>
      </c>
    </row>
    <row r="2017" spans="2:4" x14ac:dyDescent="0.3">
      <c r="B2017" s="33" t="s">
        <v>5619</v>
      </c>
      <c r="C2017" s="32" t="s">
        <v>5620</v>
      </c>
      <c r="D2017" s="32" t="s">
        <v>5621</v>
      </c>
    </row>
    <row r="2018" spans="2:4" x14ac:dyDescent="0.3">
      <c r="B2018" s="33" t="s">
        <v>5622</v>
      </c>
      <c r="C2018" s="32" t="s">
        <v>5623</v>
      </c>
      <c r="D2018" s="32" t="s">
        <v>5624</v>
      </c>
    </row>
    <row r="2019" spans="2:4" x14ac:dyDescent="0.3">
      <c r="B2019" s="33" t="s">
        <v>5625</v>
      </c>
      <c r="C2019" s="32" t="s">
        <v>5626</v>
      </c>
      <c r="D2019" s="32" t="s">
        <v>5627</v>
      </c>
    </row>
    <row r="2020" spans="2:4" x14ac:dyDescent="0.3">
      <c r="B2020" s="33" t="s">
        <v>5628</v>
      </c>
      <c r="C2020" s="32" t="s">
        <v>5629</v>
      </c>
      <c r="D2020" s="32" t="s">
        <v>5630</v>
      </c>
    </row>
    <row r="2021" spans="2:4" x14ac:dyDescent="0.3">
      <c r="B2021" s="33" t="s">
        <v>5631</v>
      </c>
      <c r="C2021" s="32" t="s">
        <v>5632</v>
      </c>
      <c r="D2021" s="32" t="s">
        <v>5633</v>
      </c>
    </row>
    <row r="2022" spans="2:4" x14ac:dyDescent="0.3">
      <c r="B2022" s="33" t="s">
        <v>5634</v>
      </c>
      <c r="C2022" s="32" t="s">
        <v>5635</v>
      </c>
      <c r="D2022" s="32" t="s">
        <v>5636</v>
      </c>
    </row>
    <row r="2023" spans="2:4" x14ac:dyDescent="0.3">
      <c r="B2023" s="33" t="s">
        <v>4632</v>
      </c>
      <c r="C2023" s="32" t="s">
        <v>5637</v>
      </c>
      <c r="D2023" s="32" t="s">
        <v>5638</v>
      </c>
    </row>
    <row r="2024" spans="2:4" x14ac:dyDescent="0.3">
      <c r="B2024" s="33" t="s">
        <v>5639</v>
      </c>
      <c r="C2024" s="32" t="s">
        <v>5640</v>
      </c>
      <c r="D2024" s="32" t="s">
        <v>5641</v>
      </c>
    </row>
    <row r="2025" spans="2:4" x14ac:dyDescent="0.3">
      <c r="B2025" s="33" t="s">
        <v>5642</v>
      </c>
      <c r="C2025" s="32" t="s">
        <v>5643</v>
      </c>
      <c r="D2025" s="32" t="s">
        <v>5644</v>
      </c>
    </row>
    <row r="2026" spans="2:4" x14ac:dyDescent="0.3">
      <c r="B2026" s="33" t="s">
        <v>4621</v>
      </c>
      <c r="C2026" s="32" t="s">
        <v>5645</v>
      </c>
      <c r="D2026" s="32" t="s">
        <v>5646</v>
      </c>
    </row>
    <row r="2027" spans="2:4" x14ac:dyDescent="0.3">
      <c r="B2027" s="33" t="s">
        <v>5647</v>
      </c>
      <c r="C2027" s="32" t="s">
        <v>5648</v>
      </c>
      <c r="D2027" s="32" t="s">
        <v>5649</v>
      </c>
    </row>
    <row r="2028" spans="2:4" x14ac:dyDescent="0.3">
      <c r="B2028" s="33" t="s">
        <v>5650</v>
      </c>
      <c r="C2028" s="32" t="s">
        <v>5651</v>
      </c>
      <c r="D2028" s="32" t="s">
        <v>5652</v>
      </c>
    </row>
    <row r="2029" spans="2:4" x14ac:dyDescent="0.3">
      <c r="B2029" s="33" t="s">
        <v>5653</v>
      </c>
      <c r="C2029" s="32" t="s">
        <v>5654</v>
      </c>
      <c r="D2029" s="32" t="s">
        <v>5655</v>
      </c>
    </row>
    <row r="2030" spans="2:4" x14ac:dyDescent="0.3">
      <c r="B2030" s="33" t="s">
        <v>5656</v>
      </c>
      <c r="C2030" s="32" t="s">
        <v>5657</v>
      </c>
      <c r="D2030" s="32" t="s">
        <v>5658</v>
      </c>
    </row>
    <row r="2031" spans="2:4" x14ac:dyDescent="0.3">
      <c r="B2031" s="33" t="s">
        <v>5659</v>
      </c>
      <c r="C2031" s="32" t="s">
        <v>5660</v>
      </c>
      <c r="D2031" s="32" t="s">
        <v>37150</v>
      </c>
    </row>
    <row r="2032" spans="2:4" x14ac:dyDescent="0.3">
      <c r="B2032" s="33" t="s">
        <v>5661</v>
      </c>
      <c r="C2032" s="32" t="s">
        <v>5662</v>
      </c>
      <c r="D2032" s="32" t="s">
        <v>5663</v>
      </c>
    </row>
    <row r="2033" spans="2:4" x14ac:dyDescent="0.3">
      <c r="B2033" s="33" t="s">
        <v>5664</v>
      </c>
      <c r="C2033" s="32" t="s">
        <v>5665</v>
      </c>
      <c r="D2033" s="32" t="s">
        <v>5666</v>
      </c>
    </row>
    <row r="2034" spans="2:4" x14ac:dyDescent="0.3">
      <c r="B2034" s="33" t="s">
        <v>5664</v>
      </c>
      <c r="C2034" s="32" t="s">
        <v>5667</v>
      </c>
      <c r="D2034" s="32" t="s">
        <v>5668</v>
      </c>
    </row>
    <row r="2035" spans="2:4" x14ac:dyDescent="0.3">
      <c r="B2035" s="33" t="s">
        <v>5669</v>
      </c>
      <c r="C2035" s="32" t="s">
        <v>5670</v>
      </c>
      <c r="D2035" s="32" t="s">
        <v>5671</v>
      </c>
    </row>
    <row r="2036" spans="2:4" x14ac:dyDescent="0.3">
      <c r="B2036" s="33" t="s">
        <v>3783</v>
      </c>
      <c r="C2036" s="32" t="s">
        <v>5672</v>
      </c>
      <c r="D2036" s="32" t="s">
        <v>5673</v>
      </c>
    </row>
    <row r="2037" spans="2:4" x14ac:dyDescent="0.3">
      <c r="B2037" s="33" t="s">
        <v>5674</v>
      </c>
      <c r="C2037" s="32" t="s">
        <v>5675</v>
      </c>
      <c r="D2037" s="32" t="s">
        <v>5676</v>
      </c>
    </row>
    <row r="2038" spans="2:4" x14ac:dyDescent="0.3">
      <c r="B2038" s="33" t="s">
        <v>5677</v>
      </c>
      <c r="C2038" s="32" t="s">
        <v>5678</v>
      </c>
      <c r="D2038" s="32" t="s">
        <v>5677</v>
      </c>
    </row>
    <row r="2039" spans="2:4" x14ac:dyDescent="0.3">
      <c r="B2039" s="33" t="s">
        <v>5679</v>
      </c>
      <c r="C2039" s="32" t="s">
        <v>5680</v>
      </c>
      <c r="D2039" s="32" t="s">
        <v>5681</v>
      </c>
    </row>
    <row r="2040" spans="2:4" x14ac:dyDescent="0.3">
      <c r="B2040" s="33" t="s">
        <v>5682</v>
      </c>
      <c r="C2040" s="32" t="s">
        <v>5683</v>
      </c>
      <c r="D2040" s="32" t="s">
        <v>5684</v>
      </c>
    </row>
    <row r="2041" spans="2:4" x14ac:dyDescent="0.3">
      <c r="B2041" s="33" t="s">
        <v>5682</v>
      </c>
      <c r="C2041" s="32" t="s">
        <v>5685</v>
      </c>
      <c r="D2041" s="32" t="s">
        <v>5686</v>
      </c>
    </row>
    <row r="2042" spans="2:4" x14ac:dyDescent="0.3">
      <c r="B2042" s="33" t="s">
        <v>5687</v>
      </c>
      <c r="C2042" s="32" t="s">
        <v>5688</v>
      </c>
      <c r="D2042" s="32" t="s">
        <v>5689</v>
      </c>
    </row>
    <row r="2043" spans="2:4" x14ac:dyDescent="0.3">
      <c r="B2043" s="33" t="s">
        <v>5690</v>
      </c>
      <c r="C2043" s="32" t="s">
        <v>5691</v>
      </c>
      <c r="D2043" s="32" t="s">
        <v>5692</v>
      </c>
    </row>
    <row r="2044" spans="2:4" x14ac:dyDescent="0.3">
      <c r="B2044" s="33" t="s">
        <v>5693</v>
      </c>
      <c r="C2044" s="32" t="s">
        <v>5694</v>
      </c>
      <c r="D2044" s="32" t="s">
        <v>5695</v>
      </c>
    </row>
    <row r="2045" spans="2:4" x14ac:dyDescent="0.3">
      <c r="B2045" s="33" t="s">
        <v>5696</v>
      </c>
      <c r="C2045" s="32" t="s">
        <v>5697</v>
      </c>
      <c r="D2045" s="32" t="s">
        <v>5698</v>
      </c>
    </row>
    <row r="2046" spans="2:4" x14ac:dyDescent="0.3">
      <c r="B2046" s="33" t="s">
        <v>5699</v>
      </c>
      <c r="C2046" s="32" t="s">
        <v>5700</v>
      </c>
      <c r="D2046" s="32" t="s">
        <v>5701</v>
      </c>
    </row>
    <row r="2047" spans="2:4" x14ac:dyDescent="0.3">
      <c r="B2047" s="33" t="s">
        <v>5702</v>
      </c>
      <c r="C2047" s="32" t="s">
        <v>5703</v>
      </c>
      <c r="D2047" s="32" t="s">
        <v>5704</v>
      </c>
    </row>
    <row r="2048" spans="2:4" x14ac:dyDescent="0.3">
      <c r="B2048" s="33" t="s">
        <v>5702</v>
      </c>
      <c r="C2048" s="32" t="s">
        <v>5705</v>
      </c>
      <c r="D2048" s="32" t="s">
        <v>5706</v>
      </c>
    </row>
    <row r="2049" spans="2:4" x14ac:dyDescent="0.3">
      <c r="B2049" s="33" t="s">
        <v>5708</v>
      </c>
      <c r="C2049" s="32" t="s">
        <v>5709</v>
      </c>
      <c r="D2049" s="32" t="s">
        <v>5710</v>
      </c>
    </row>
    <row r="2050" spans="2:4" x14ac:dyDescent="0.3">
      <c r="B2050" s="33" t="s">
        <v>5711</v>
      </c>
      <c r="C2050" s="32" t="s">
        <v>5712</v>
      </c>
      <c r="D2050" s="32" t="s">
        <v>5713</v>
      </c>
    </row>
    <row r="2051" spans="2:4" x14ac:dyDescent="0.3">
      <c r="B2051" s="33" t="s">
        <v>5714</v>
      </c>
      <c r="C2051" s="32" t="s">
        <v>5715</v>
      </c>
      <c r="D2051" s="32" t="s">
        <v>5716</v>
      </c>
    </row>
    <row r="2052" spans="2:4" x14ac:dyDescent="0.3">
      <c r="B2052" s="33" t="s">
        <v>5717</v>
      </c>
      <c r="C2052" s="32" t="s">
        <v>5718</v>
      </c>
      <c r="D2052" s="32" t="s">
        <v>5719</v>
      </c>
    </row>
    <row r="2053" spans="2:4" x14ac:dyDescent="0.3">
      <c r="B2053" s="33" t="s">
        <v>5720</v>
      </c>
      <c r="C2053" s="32" t="s">
        <v>5721</v>
      </c>
      <c r="D2053" s="32" t="s">
        <v>5722</v>
      </c>
    </row>
    <row r="2054" spans="2:4" x14ac:dyDescent="0.3">
      <c r="B2054" s="33" t="s">
        <v>5720</v>
      </c>
      <c r="C2054" s="32" t="s">
        <v>5723</v>
      </c>
      <c r="D2054" s="32" t="s">
        <v>5724</v>
      </c>
    </row>
    <row r="2055" spans="2:4" x14ac:dyDescent="0.3">
      <c r="B2055" s="33" t="s">
        <v>5725</v>
      </c>
      <c r="C2055" s="32" t="s">
        <v>5726</v>
      </c>
      <c r="D2055" s="32" t="s">
        <v>5727</v>
      </c>
    </row>
    <row r="2056" spans="2:4" x14ac:dyDescent="0.3">
      <c r="B2056" s="33" t="s">
        <v>5728</v>
      </c>
      <c r="C2056" s="32" t="s">
        <v>5729</v>
      </c>
      <c r="D2056" s="32" t="s">
        <v>5730</v>
      </c>
    </row>
    <row r="2057" spans="2:4" x14ac:dyDescent="0.3">
      <c r="B2057" s="33" t="s">
        <v>5731</v>
      </c>
      <c r="C2057" s="32" t="s">
        <v>5732</v>
      </c>
      <c r="D2057" s="32" t="s">
        <v>5733</v>
      </c>
    </row>
    <row r="2058" spans="2:4" x14ac:dyDescent="0.3">
      <c r="B2058" s="33" t="s">
        <v>5734</v>
      </c>
      <c r="C2058" s="32" t="s">
        <v>5735</v>
      </c>
      <c r="D2058" s="32" t="s">
        <v>5736</v>
      </c>
    </row>
    <row r="2059" spans="2:4" x14ac:dyDescent="0.3">
      <c r="B2059" s="33" t="s">
        <v>5737</v>
      </c>
      <c r="C2059" s="32" t="s">
        <v>5738</v>
      </c>
      <c r="D2059" s="32" t="s">
        <v>5739</v>
      </c>
    </row>
    <row r="2060" spans="2:4" x14ac:dyDescent="0.3">
      <c r="B2060" s="33" t="s">
        <v>5740</v>
      </c>
      <c r="C2060" s="32" t="s">
        <v>5741</v>
      </c>
      <c r="D2060" s="32" t="s">
        <v>5742</v>
      </c>
    </row>
    <row r="2061" spans="2:4" x14ac:dyDescent="0.3">
      <c r="B2061" s="33" t="s">
        <v>5743</v>
      </c>
      <c r="C2061" s="32" t="s">
        <v>5744</v>
      </c>
      <c r="D2061" s="32" t="s">
        <v>5745</v>
      </c>
    </row>
    <row r="2062" spans="2:4" x14ac:dyDescent="0.3">
      <c r="B2062" s="33" t="s">
        <v>5746</v>
      </c>
      <c r="C2062" s="32" t="s">
        <v>5747</v>
      </c>
      <c r="D2062" s="32" t="s">
        <v>5748</v>
      </c>
    </row>
    <row r="2063" spans="2:4" x14ac:dyDescent="0.3">
      <c r="B2063" s="33" t="s">
        <v>5746</v>
      </c>
      <c r="C2063" s="32" t="s">
        <v>5749</v>
      </c>
      <c r="D2063" s="32" t="s">
        <v>5750</v>
      </c>
    </row>
    <row r="2064" spans="2:4" x14ac:dyDescent="0.3">
      <c r="B2064" s="33" t="s">
        <v>5130</v>
      </c>
      <c r="C2064" s="32" t="s">
        <v>5751</v>
      </c>
      <c r="D2064" s="32" t="s">
        <v>5752</v>
      </c>
    </row>
    <row r="2065" spans="2:4" x14ac:dyDescent="0.3">
      <c r="B2065" s="33" t="s">
        <v>5753</v>
      </c>
      <c r="C2065" s="32" t="s">
        <v>5754</v>
      </c>
      <c r="D2065" s="32" t="s">
        <v>5755</v>
      </c>
    </row>
    <row r="2066" spans="2:4" x14ac:dyDescent="0.3">
      <c r="B2066" s="33" t="s">
        <v>5756</v>
      </c>
      <c r="C2066" s="32" t="s">
        <v>5757</v>
      </c>
      <c r="D2066" s="32" t="s">
        <v>5758</v>
      </c>
    </row>
    <row r="2067" spans="2:4" x14ac:dyDescent="0.3">
      <c r="B2067" s="33" t="s">
        <v>5019</v>
      </c>
      <c r="C2067" s="32" t="s">
        <v>5759</v>
      </c>
      <c r="D2067" s="32" t="s">
        <v>5760</v>
      </c>
    </row>
    <row r="2068" spans="2:4" x14ac:dyDescent="0.3">
      <c r="B2068" s="33" t="s">
        <v>5761</v>
      </c>
      <c r="C2068" s="32" t="s">
        <v>5762</v>
      </c>
      <c r="D2068" s="32" t="s">
        <v>5761</v>
      </c>
    </row>
    <row r="2069" spans="2:4" x14ac:dyDescent="0.3">
      <c r="B2069" s="33" t="s">
        <v>5763</v>
      </c>
      <c r="C2069" s="32" t="s">
        <v>5764</v>
      </c>
      <c r="D2069" s="32" t="s">
        <v>5765</v>
      </c>
    </row>
    <row r="2070" spans="2:4" x14ac:dyDescent="0.3">
      <c r="B2070" s="33" t="s">
        <v>5766</v>
      </c>
      <c r="C2070" s="32" t="s">
        <v>5767</v>
      </c>
      <c r="D2070" s="32" t="s">
        <v>5768</v>
      </c>
    </row>
    <row r="2071" spans="2:4" x14ac:dyDescent="0.3">
      <c r="B2071" s="33" t="s">
        <v>5769</v>
      </c>
      <c r="C2071" s="32" t="s">
        <v>5770</v>
      </c>
      <c r="D2071" s="32" t="s">
        <v>5771</v>
      </c>
    </row>
    <row r="2072" spans="2:4" x14ac:dyDescent="0.3">
      <c r="B2072" s="33" t="s">
        <v>5761</v>
      </c>
      <c r="C2072" s="32" t="s">
        <v>5772</v>
      </c>
      <c r="D2072" s="32" t="s">
        <v>5773</v>
      </c>
    </row>
    <row r="2073" spans="2:4" x14ac:dyDescent="0.3">
      <c r="B2073" s="33" t="s">
        <v>4879</v>
      </c>
      <c r="C2073" s="32" t="s">
        <v>5774</v>
      </c>
      <c r="D2073" s="32" t="s">
        <v>5775</v>
      </c>
    </row>
    <row r="2074" spans="2:4" x14ac:dyDescent="0.3">
      <c r="B2074" s="33" t="s">
        <v>5776</v>
      </c>
      <c r="C2074" s="32" t="s">
        <v>5777</v>
      </c>
      <c r="D2074" s="32" t="s">
        <v>5778</v>
      </c>
    </row>
    <row r="2075" spans="2:4" x14ac:dyDescent="0.3">
      <c r="B2075" s="33" t="s">
        <v>5779</v>
      </c>
      <c r="C2075" s="32" t="s">
        <v>5780</v>
      </c>
      <c r="D2075" s="32" t="s">
        <v>5779</v>
      </c>
    </row>
    <row r="2076" spans="2:4" x14ac:dyDescent="0.3">
      <c r="B2076" s="33" t="s">
        <v>5781</v>
      </c>
      <c r="C2076" s="32" t="s">
        <v>5782</v>
      </c>
      <c r="D2076" s="32" t="s">
        <v>5783</v>
      </c>
    </row>
    <row r="2077" spans="2:4" x14ac:dyDescent="0.3">
      <c r="B2077" s="33" t="s">
        <v>5784</v>
      </c>
      <c r="C2077" s="32" t="s">
        <v>5785</v>
      </c>
      <c r="D2077" s="32" t="s">
        <v>5786</v>
      </c>
    </row>
    <row r="2078" spans="2:4" x14ac:dyDescent="0.3">
      <c r="B2078" s="33" t="s">
        <v>5787</v>
      </c>
      <c r="C2078" s="32" t="s">
        <v>5788</v>
      </c>
      <c r="D2078" s="32" t="s">
        <v>5789</v>
      </c>
    </row>
    <row r="2079" spans="2:4" x14ac:dyDescent="0.3">
      <c r="B2079" s="33" t="s">
        <v>5790</v>
      </c>
      <c r="C2079" s="32" t="s">
        <v>5791</v>
      </c>
      <c r="D2079" s="32" t="s">
        <v>5792</v>
      </c>
    </row>
    <row r="2080" spans="2:4" x14ac:dyDescent="0.3">
      <c r="B2080" s="33" t="s">
        <v>5793</v>
      </c>
      <c r="C2080" s="32" t="s">
        <v>5794</v>
      </c>
      <c r="D2080" s="32" t="s">
        <v>5795</v>
      </c>
    </row>
    <row r="2081" spans="2:4" x14ac:dyDescent="0.3">
      <c r="B2081" s="33" t="s">
        <v>4893</v>
      </c>
      <c r="C2081" s="32" t="s">
        <v>5796</v>
      </c>
      <c r="D2081" s="32" t="s">
        <v>5797</v>
      </c>
    </row>
    <row r="2082" spans="2:4" x14ac:dyDescent="0.3">
      <c r="B2082" s="33" t="s">
        <v>5798</v>
      </c>
      <c r="C2082" s="32" t="s">
        <v>5799</v>
      </c>
      <c r="D2082" s="32" t="s">
        <v>5798</v>
      </c>
    </row>
    <row r="2083" spans="2:4" x14ac:dyDescent="0.3">
      <c r="B2083" s="33" t="s">
        <v>5800</v>
      </c>
      <c r="C2083" s="32" t="s">
        <v>5801</v>
      </c>
      <c r="D2083" s="32" t="s">
        <v>5802</v>
      </c>
    </row>
    <row r="2084" spans="2:4" x14ac:dyDescent="0.3">
      <c r="B2084" s="33" t="s">
        <v>5803</v>
      </c>
      <c r="C2084" s="32" t="s">
        <v>5804</v>
      </c>
      <c r="D2084" s="32" t="s">
        <v>5805</v>
      </c>
    </row>
    <row r="2085" spans="2:4" x14ac:dyDescent="0.3">
      <c r="B2085" s="33" t="s">
        <v>5806</v>
      </c>
      <c r="C2085" s="32" t="s">
        <v>5807</v>
      </c>
      <c r="D2085" s="32" t="s">
        <v>5808</v>
      </c>
    </row>
    <row r="2086" spans="2:4" x14ac:dyDescent="0.3">
      <c r="B2086" s="33" t="s">
        <v>5809</v>
      </c>
      <c r="C2086" s="32" t="s">
        <v>5810</v>
      </c>
      <c r="D2086" s="32" t="s">
        <v>5811</v>
      </c>
    </row>
    <row r="2087" spans="2:4" x14ac:dyDescent="0.3">
      <c r="B2087" s="33" t="s">
        <v>5812</v>
      </c>
      <c r="C2087" s="32" t="s">
        <v>5813</v>
      </c>
      <c r="D2087" s="32" t="s">
        <v>5814</v>
      </c>
    </row>
    <row r="2088" spans="2:4" x14ac:dyDescent="0.3">
      <c r="B2088" s="33" t="s">
        <v>5815</v>
      </c>
      <c r="C2088" s="32" t="s">
        <v>5816</v>
      </c>
      <c r="D2088" s="32" t="s">
        <v>5815</v>
      </c>
    </row>
    <row r="2089" spans="2:4" x14ac:dyDescent="0.3">
      <c r="B2089" s="33" t="s">
        <v>5815</v>
      </c>
      <c r="C2089" s="32" t="s">
        <v>5817</v>
      </c>
      <c r="D2089" s="32" t="s">
        <v>5818</v>
      </c>
    </row>
    <row r="2090" spans="2:4" x14ac:dyDescent="0.3">
      <c r="B2090" s="33" t="s">
        <v>5819</v>
      </c>
      <c r="C2090" s="32" t="s">
        <v>5820</v>
      </c>
      <c r="D2090" s="32" t="s">
        <v>5821</v>
      </c>
    </row>
    <row r="2091" spans="2:4" x14ac:dyDescent="0.3">
      <c r="B2091" s="33" t="s">
        <v>5819</v>
      </c>
      <c r="C2091" s="32" t="s">
        <v>5822</v>
      </c>
      <c r="D2091" s="32" t="s">
        <v>5823</v>
      </c>
    </row>
    <row r="2092" spans="2:4" x14ac:dyDescent="0.3">
      <c r="B2092" s="33" t="s">
        <v>5819</v>
      </c>
      <c r="C2092" s="32" t="s">
        <v>5824</v>
      </c>
      <c r="D2092" s="32" t="s">
        <v>5825</v>
      </c>
    </row>
    <row r="2093" spans="2:4" x14ac:dyDescent="0.3">
      <c r="B2093" s="33" t="s">
        <v>5826</v>
      </c>
      <c r="C2093" s="32" t="s">
        <v>5827</v>
      </c>
      <c r="D2093" s="32" t="s">
        <v>5828</v>
      </c>
    </row>
    <row r="2094" spans="2:4" x14ac:dyDescent="0.3">
      <c r="B2094" s="33" t="s">
        <v>5829</v>
      </c>
      <c r="C2094" s="32" t="s">
        <v>5830</v>
      </c>
      <c r="D2094" s="32" t="s">
        <v>5831</v>
      </c>
    </row>
    <row r="2095" spans="2:4" x14ac:dyDescent="0.3">
      <c r="B2095" s="33" t="s">
        <v>5832</v>
      </c>
      <c r="C2095" s="32" t="s">
        <v>5833</v>
      </c>
      <c r="D2095" s="32" t="s">
        <v>5834</v>
      </c>
    </row>
    <row r="2096" spans="2:4" x14ac:dyDescent="0.3">
      <c r="B2096" s="33" t="s">
        <v>5835</v>
      </c>
      <c r="C2096" s="32" t="s">
        <v>5836</v>
      </c>
      <c r="D2096" s="32" t="s">
        <v>5837</v>
      </c>
    </row>
    <row r="2097" spans="2:4" x14ac:dyDescent="0.3">
      <c r="B2097" s="33" t="s">
        <v>36703</v>
      </c>
      <c r="C2097" s="32" t="s">
        <v>36704</v>
      </c>
      <c r="D2097" s="32" t="s">
        <v>36705</v>
      </c>
    </row>
    <row r="2098" spans="2:4" x14ac:dyDescent="0.3">
      <c r="B2098" s="33" t="s">
        <v>5838</v>
      </c>
      <c r="C2098" s="32" t="s">
        <v>5839</v>
      </c>
      <c r="D2098" s="32" t="s">
        <v>5840</v>
      </c>
    </row>
    <row r="2099" spans="2:4" x14ac:dyDescent="0.3">
      <c r="B2099" s="33" t="s">
        <v>5841</v>
      </c>
      <c r="C2099" s="32" t="s">
        <v>5842</v>
      </c>
      <c r="D2099" s="32" t="s">
        <v>5843</v>
      </c>
    </row>
    <row r="2100" spans="2:4" x14ac:dyDescent="0.3">
      <c r="B2100" s="33" t="s">
        <v>5844</v>
      </c>
      <c r="C2100" s="32" t="s">
        <v>5845</v>
      </c>
      <c r="D2100" s="32" t="s">
        <v>5846</v>
      </c>
    </row>
    <row r="2101" spans="2:4" x14ac:dyDescent="0.3">
      <c r="B2101" s="33" t="s">
        <v>5844</v>
      </c>
      <c r="C2101" s="32" t="s">
        <v>5847</v>
      </c>
      <c r="D2101" s="32" t="s">
        <v>5848</v>
      </c>
    </row>
    <row r="2102" spans="2:4" x14ac:dyDescent="0.3">
      <c r="B2102" s="33" t="s">
        <v>5849</v>
      </c>
      <c r="C2102" s="32" t="s">
        <v>5850</v>
      </c>
      <c r="D2102" s="32" t="s">
        <v>5851</v>
      </c>
    </row>
    <row r="2103" spans="2:4" x14ac:dyDescent="0.3">
      <c r="B2103" s="33" t="s">
        <v>5852</v>
      </c>
      <c r="C2103" s="32" t="s">
        <v>5853</v>
      </c>
      <c r="D2103" s="32" t="s">
        <v>5854</v>
      </c>
    </row>
    <row r="2104" spans="2:4" x14ac:dyDescent="0.3">
      <c r="B2104" s="33" t="s">
        <v>5855</v>
      </c>
      <c r="C2104" s="32" t="s">
        <v>5856</v>
      </c>
      <c r="D2104" s="32" t="s">
        <v>5857</v>
      </c>
    </row>
    <row r="2105" spans="2:4" x14ac:dyDescent="0.3">
      <c r="B2105" s="33" t="s">
        <v>5707</v>
      </c>
      <c r="C2105" s="32" t="s">
        <v>5858</v>
      </c>
      <c r="D2105" s="32" t="s">
        <v>5859</v>
      </c>
    </row>
    <row r="2106" spans="2:4" x14ac:dyDescent="0.3">
      <c r="B2106" s="33" t="s">
        <v>5860</v>
      </c>
      <c r="C2106" s="32" t="s">
        <v>5861</v>
      </c>
      <c r="D2106" s="32" t="s">
        <v>5860</v>
      </c>
    </row>
    <row r="2107" spans="2:4" x14ac:dyDescent="0.3">
      <c r="B2107" s="33" t="s">
        <v>5862</v>
      </c>
      <c r="C2107" s="32" t="s">
        <v>5863</v>
      </c>
      <c r="D2107" s="32" t="s">
        <v>5864</v>
      </c>
    </row>
    <row r="2108" spans="2:4" x14ac:dyDescent="0.3">
      <c r="B2108" s="33" t="s">
        <v>4982</v>
      </c>
      <c r="C2108" s="32" t="s">
        <v>5865</v>
      </c>
      <c r="D2108" s="32" t="s">
        <v>5866</v>
      </c>
    </row>
    <row r="2109" spans="2:4" x14ac:dyDescent="0.3">
      <c r="B2109" s="33" t="s">
        <v>5867</v>
      </c>
      <c r="C2109" s="32" t="s">
        <v>5868</v>
      </c>
      <c r="D2109" s="32" t="s">
        <v>5869</v>
      </c>
    </row>
    <row r="2110" spans="2:4" x14ac:dyDescent="0.3">
      <c r="B2110" s="33" t="s">
        <v>5870</v>
      </c>
      <c r="C2110" s="32" t="s">
        <v>5871</v>
      </c>
      <c r="D2110" s="32" t="s">
        <v>5872</v>
      </c>
    </row>
    <row r="2111" spans="2:4" x14ac:dyDescent="0.3">
      <c r="B2111" s="33" t="s">
        <v>5873</v>
      </c>
      <c r="C2111" s="32" t="s">
        <v>5874</v>
      </c>
      <c r="D2111" s="32" t="s">
        <v>5875</v>
      </c>
    </row>
    <row r="2112" spans="2:4" x14ac:dyDescent="0.3">
      <c r="B2112" s="33" t="s">
        <v>4982</v>
      </c>
      <c r="C2112" s="32" t="s">
        <v>5876</v>
      </c>
      <c r="D2112" s="32" t="s">
        <v>5877</v>
      </c>
    </row>
    <row r="2113" spans="2:4" x14ac:dyDescent="0.3">
      <c r="B2113" s="33" t="s">
        <v>5878</v>
      </c>
      <c r="C2113" s="32" t="s">
        <v>5879</v>
      </c>
      <c r="D2113" s="32" t="s">
        <v>5880</v>
      </c>
    </row>
    <row r="2114" spans="2:4" x14ac:dyDescent="0.3">
      <c r="B2114" s="33" t="s">
        <v>5881</v>
      </c>
      <c r="C2114" s="32" t="s">
        <v>5882</v>
      </c>
      <c r="D2114" s="32" t="s">
        <v>5883</v>
      </c>
    </row>
    <row r="2115" spans="2:4" x14ac:dyDescent="0.3">
      <c r="B2115" s="33" t="s">
        <v>3413</v>
      </c>
      <c r="C2115" s="32" t="s">
        <v>5884</v>
      </c>
      <c r="D2115" s="32" t="s">
        <v>5885</v>
      </c>
    </row>
    <row r="2116" spans="2:4" x14ac:dyDescent="0.3">
      <c r="B2116" s="33" t="s">
        <v>5886</v>
      </c>
      <c r="C2116" s="32" t="s">
        <v>5887</v>
      </c>
      <c r="D2116" s="32" t="s">
        <v>5888</v>
      </c>
    </row>
    <row r="2117" spans="2:4" x14ac:dyDescent="0.3">
      <c r="B2117" s="33" t="s">
        <v>5886</v>
      </c>
      <c r="C2117" s="32" t="s">
        <v>5889</v>
      </c>
      <c r="D2117" s="32" t="s">
        <v>5890</v>
      </c>
    </row>
    <row r="2118" spans="2:4" x14ac:dyDescent="0.3">
      <c r="B2118" s="33" t="s">
        <v>5891</v>
      </c>
      <c r="C2118" s="32" t="s">
        <v>5892</v>
      </c>
      <c r="D2118" s="32" t="s">
        <v>5893</v>
      </c>
    </row>
    <row r="2119" spans="2:4" x14ac:dyDescent="0.3">
      <c r="B2119" s="33" t="s">
        <v>5894</v>
      </c>
      <c r="C2119" s="32" t="s">
        <v>5895</v>
      </c>
      <c r="D2119" s="32" t="s">
        <v>5896</v>
      </c>
    </row>
    <row r="2120" spans="2:4" x14ac:dyDescent="0.3">
      <c r="B2120" s="33" t="s">
        <v>5897</v>
      </c>
      <c r="C2120" s="32" t="s">
        <v>5898</v>
      </c>
      <c r="D2120" s="32" t="s">
        <v>5899</v>
      </c>
    </row>
    <row r="2121" spans="2:4" x14ac:dyDescent="0.3">
      <c r="B2121" s="33" t="s">
        <v>3900</v>
      </c>
      <c r="C2121" s="32" t="s">
        <v>5900</v>
      </c>
      <c r="D2121" s="32" t="s">
        <v>5901</v>
      </c>
    </row>
    <row r="2122" spans="2:4" x14ac:dyDescent="0.3">
      <c r="B2122" s="33" t="s">
        <v>5902</v>
      </c>
      <c r="C2122" s="32" t="s">
        <v>5903</v>
      </c>
      <c r="D2122" s="32" t="s">
        <v>5904</v>
      </c>
    </row>
    <row r="2123" spans="2:4" x14ac:dyDescent="0.3">
      <c r="B2123" s="33" t="s">
        <v>5905</v>
      </c>
      <c r="C2123" s="32" t="s">
        <v>5906</v>
      </c>
      <c r="D2123" s="32" t="s">
        <v>5905</v>
      </c>
    </row>
    <row r="2124" spans="2:4" x14ac:dyDescent="0.3">
      <c r="B2124" s="33" t="s">
        <v>5907</v>
      </c>
      <c r="C2124" s="32" t="s">
        <v>5908</v>
      </c>
      <c r="D2124" s="32" t="s">
        <v>5909</v>
      </c>
    </row>
    <row r="2125" spans="2:4" x14ac:dyDescent="0.3">
      <c r="B2125" s="33" t="s">
        <v>5910</v>
      </c>
      <c r="C2125" s="32" t="s">
        <v>5911</v>
      </c>
      <c r="D2125" s="32" t="s">
        <v>5912</v>
      </c>
    </row>
    <row r="2126" spans="2:4" x14ac:dyDescent="0.3">
      <c r="B2126" s="33" t="s">
        <v>5913</v>
      </c>
      <c r="C2126" s="32" t="s">
        <v>5914</v>
      </c>
      <c r="D2126" s="32" t="s">
        <v>5915</v>
      </c>
    </row>
    <row r="2127" spans="2:4" x14ac:dyDescent="0.3">
      <c r="B2127" s="33" t="s">
        <v>5916</v>
      </c>
      <c r="C2127" s="32" t="s">
        <v>5917</v>
      </c>
      <c r="D2127" s="32" t="s">
        <v>5918</v>
      </c>
    </row>
    <row r="2128" spans="2:4" x14ac:dyDescent="0.3">
      <c r="B2128" s="33" t="s">
        <v>5919</v>
      </c>
      <c r="C2128" s="32" t="s">
        <v>5920</v>
      </c>
      <c r="D2128" s="32" t="s">
        <v>5921</v>
      </c>
    </row>
    <row r="2129" spans="2:4" x14ac:dyDescent="0.3">
      <c r="B2129" s="33" t="s">
        <v>5922</v>
      </c>
      <c r="C2129" s="32" t="s">
        <v>5923</v>
      </c>
      <c r="D2129" s="32" t="s">
        <v>5924</v>
      </c>
    </row>
    <row r="2130" spans="2:4" x14ac:dyDescent="0.3">
      <c r="B2130" s="33" t="s">
        <v>5925</v>
      </c>
      <c r="C2130" s="32" t="s">
        <v>5926</v>
      </c>
      <c r="D2130" s="32" t="s">
        <v>5925</v>
      </c>
    </row>
    <row r="2131" spans="2:4" x14ac:dyDescent="0.3">
      <c r="B2131" s="33" t="s">
        <v>5927</v>
      </c>
      <c r="C2131" s="32" t="s">
        <v>5928</v>
      </c>
      <c r="D2131" s="32" t="s">
        <v>5929</v>
      </c>
    </row>
    <row r="2132" spans="2:4" x14ac:dyDescent="0.3">
      <c r="B2132" s="33" t="s">
        <v>5930</v>
      </c>
      <c r="C2132" s="32" t="s">
        <v>5931</v>
      </c>
      <c r="D2132" s="32" t="s">
        <v>5930</v>
      </c>
    </row>
    <row r="2133" spans="2:4" x14ac:dyDescent="0.3">
      <c r="B2133" s="33" t="s">
        <v>5932</v>
      </c>
      <c r="C2133" s="32" t="s">
        <v>5933</v>
      </c>
      <c r="D2133" s="32" t="s">
        <v>5934</v>
      </c>
    </row>
    <row r="2134" spans="2:4" x14ac:dyDescent="0.3">
      <c r="B2134" s="33" t="s">
        <v>5935</v>
      </c>
      <c r="C2134" s="32" t="s">
        <v>5936</v>
      </c>
      <c r="D2134" s="32" t="s">
        <v>5937</v>
      </c>
    </row>
    <row r="2135" spans="2:4" x14ac:dyDescent="0.3">
      <c r="B2135" s="33" t="s">
        <v>5938</v>
      </c>
      <c r="C2135" s="32" t="s">
        <v>5939</v>
      </c>
      <c r="D2135" s="32" t="s">
        <v>5940</v>
      </c>
    </row>
    <row r="2136" spans="2:4" x14ac:dyDescent="0.3">
      <c r="B2136" s="33" t="s">
        <v>5941</v>
      </c>
      <c r="C2136" s="32" t="s">
        <v>5942</v>
      </c>
      <c r="D2136" s="32" t="s">
        <v>5943</v>
      </c>
    </row>
    <row r="2137" spans="2:4" x14ac:dyDescent="0.3">
      <c r="B2137" s="33" t="s">
        <v>4506</v>
      </c>
      <c r="C2137" s="32" t="s">
        <v>5944</v>
      </c>
      <c r="D2137" s="32" t="s">
        <v>5945</v>
      </c>
    </row>
    <row r="2138" spans="2:4" x14ac:dyDescent="0.3">
      <c r="B2138" s="33" t="s">
        <v>5946</v>
      </c>
      <c r="C2138" s="32" t="s">
        <v>5947</v>
      </c>
      <c r="D2138" s="32" t="s">
        <v>5948</v>
      </c>
    </row>
    <row r="2139" spans="2:4" x14ac:dyDescent="0.3">
      <c r="B2139" s="33" t="s">
        <v>5949</v>
      </c>
      <c r="C2139" s="32" t="s">
        <v>5950</v>
      </c>
      <c r="D2139" s="32" t="s">
        <v>5951</v>
      </c>
    </row>
    <row r="2140" spans="2:4" x14ac:dyDescent="0.3">
      <c r="B2140" s="33" t="s">
        <v>4277</v>
      </c>
      <c r="C2140" s="32" t="s">
        <v>5952</v>
      </c>
      <c r="D2140" s="32" t="s">
        <v>5953</v>
      </c>
    </row>
    <row r="2141" spans="2:4" x14ac:dyDescent="0.3">
      <c r="B2141" s="33" t="s">
        <v>5954</v>
      </c>
      <c r="C2141" s="32" t="s">
        <v>5955</v>
      </c>
      <c r="D2141" s="32" t="s">
        <v>5956</v>
      </c>
    </row>
    <row r="2142" spans="2:4" x14ac:dyDescent="0.3">
      <c r="B2142" s="33" t="s">
        <v>4879</v>
      </c>
      <c r="C2142" s="32" t="s">
        <v>5957</v>
      </c>
      <c r="D2142" s="32" t="s">
        <v>5958</v>
      </c>
    </row>
    <row r="2143" spans="2:4" x14ac:dyDescent="0.3">
      <c r="B2143" s="33" t="s">
        <v>4849</v>
      </c>
      <c r="C2143" s="32" t="s">
        <v>5959</v>
      </c>
      <c r="D2143" s="32" t="s">
        <v>5960</v>
      </c>
    </row>
    <row r="2144" spans="2:4" x14ac:dyDescent="0.3">
      <c r="B2144" s="33" t="s">
        <v>5961</v>
      </c>
      <c r="C2144" s="32" t="s">
        <v>5962</v>
      </c>
      <c r="D2144" s="32" t="s">
        <v>5963</v>
      </c>
    </row>
    <row r="2145" spans="2:4" x14ac:dyDescent="0.3">
      <c r="B2145" s="33" t="s">
        <v>4994</v>
      </c>
      <c r="C2145" s="32" t="s">
        <v>5964</v>
      </c>
      <c r="D2145" s="32" t="s">
        <v>5965</v>
      </c>
    </row>
    <row r="2146" spans="2:4" x14ac:dyDescent="0.3">
      <c r="B2146" s="33" t="s">
        <v>5966</v>
      </c>
      <c r="C2146" s="32" t="s">
        <v>5967</v>
      </c>
      <c r="D2146" s="32" t="s">
        <v>5968</v>
      </c>
    </row>
    <row r="2147" spans="2:4" x14ac:dyDescent="0.3">
      <c r="B2147" s="33" t="s">
        <v>5969</v>
      </c>
      <c r="C2147" s="32" t="s">
        <v>5970</v>
      </c>
      <c r="D2147" s="32" t="s">
        <v>5971</v>
      </c>
    </row>
    <row r="2148" spans="2:4" x14ac:dyDescent="0.3">
      <c r="B2148" s="33" t="s">
        <v>5972</v>
      </c>
      <c r="C2148" s="32" t="s">
        <v>5973</v>
      </c>
      <c r="D2148" s="32" t="s">
        <v>5974</v>
      </c>
    </row>
    <row r="2149" spans="2:4" x14ac:dyDescent="0.3">
      <c r="B2149" s="33" t="s">
        <v>5975</v>
      </c>
      <c r="C2149" s="32" t="s">
        <v>5976</v>
      </c>
      <c r="D2149" s="32" t="s">
        <v>5977</v>
      </c>
    </row>
    <row r="2150" spans="2:4" x14ac:dyDescent="0.3">
      <c r="B2150" s="33" t="s">
        <v>3979</v>
      </c>
      <c r="C2150" s="32" t="s">
        <v>5978</v>
      </c>
      <c r="D2150" s="32" t="s">
        <v>5979</v>
      </c>
    </row>
    <row r="2151" spans="2:4" x14ac:dyDescent="0.3">
      <c r="B2151" s="33" t="s">
        <v>5980</v>
      </c>
      <c r="C2151" s="32" t="s">
        <v>5981</v>
      </c>
      <c r="D2151" s="32" t="s">
        <v>5982</v>
      </c>
    </row>
    <row r="2152" spans="2:4" x14ac:dyDescent="0.3">
      <c r="B2152" s="33" t="s">
        <v>4106</v>
      </c>
      <c r="C2152" s="32" t="s">
        <v>5983</v>
      </c>
      <c r="D2152" s="32" t="s">
        <v>5984</v>
      </c>
    </row>
    <row r="2153" spans="2:4" x14ac:dyDescent="0.3">
      <c r="B2153" s="33" t="s">
        <v>5985</v>
      </c>
      <c r="C2153" s="32" t="s">
        <v>5986</v>
      </c>
      <c r="D2153" s="32" t="s">
        <v>5987</v>
      </c>
    </row>
    <row r="2154" spans="2:4" x14ac:dyDescent="0.3">
      <c r="B2154" s="33" t="s">
        <v>5988</v>
      </c>
      <c r="C2154" s="32" t="s">
        <v>5989</v>
      </c>
      <c r="D2154" s="32" t="s">
        <v>5990</v>
      </c>
    </row>
    <row r="2155" spans="2:4" x14ac:dyDescent="0.3">
      <c r="B2155" s="33" t="s">
        <v>5991</v>
      </c>
      <c r="C2155" s="32" t="s">
        <v>5992</v>
      </c>
      <c r="D2155" s="32" t="s">
        <v>5993</v>
      </c>
    </row>
    <row r="2156" spans="2:4" x14ac:dyDescent="0.3">
      <c r="B2156" s="33" t="s">
        <v>5994</v>
      </c>
      <c r="C2156" s="32" t="s">
        <v>5995</v>
      </c>
      <c r="D2156" s="32" t="s">
        <v>5996</v>
      </c>
    </row>
    <row r="2157" spans="2:4" x14ac:dyDescent="0.3">
      <c r="B2157" s="33" t="s">
        <v>5997</v>
      </c>
      <c r="C2157" s="32" t="s">
        <v>5998</v>
      </c>
      <c r="D2157" s="32" t="s">
        <v>5999</v>
      </c>
    </row>
    <row r="2158" spans="2:4" x14ac:dyDescent="0.3">
      <c r="B2158" s="33" t="s">
        <v>6000</v>
      </c>
      <c r="C2158" s="32" t="s">
        <v>6001</v>
      </c>
      <c r="D2158" s="32" t="s">
        <v>6002</v>
      </c>
    </row>
    <row r="2159" spans="2:4" x14ac:dyDescent="0.3">
      <c r="B2159" s="33" t="s">
        <v>6003</v>
      </c>
      <c r="C2159" s="32" t="s">
        <v>6004</v>
      </c>
      <c r="D2159" s="32" t="s">
        <v>6005</v>
      </c>
    </row>
    <row r="2160" spans="2:4" x14ac:dyDescent="0.3">
      <c r="B2160" s="33" t="s">
        <v>6006</v>
      </c>
      <c r="C2160" s="32" t="s">
        <v>6007</v>
      </c>
      <c r="D2160" s="32" t="s">
        <v>6008</v>
      </c>
    </row>
    <row r="2161" spans="2:4" x14ac:dyDescent="0.3">
      <c r="B2161" s="33" t="s">
        <v>5147</v>
      </c>
      <c r="C2161" s="32" t="s">
        <v>6009</v>
      </c>
      <c r="D2161" s="32" t="s">
        <v>6010</v>
      </c>
    </row>
    <row r="2162" spans="2:4" x14ac:dyDescent="0.3">
      <c r="B2162" s="33" t="s">
        <v>6011</v>
      </c>
      <c r="C2162" s="32" t="s">
        <v>6012</v>
      </c>
      <c r="D2162" s="32" t="s">
        <v>6013</v>
      </c>
    </row>
    <row r="2163" spans="2:4" x14ac:dyDescent="0.3">
      <c r="B2163" s="33" t="s">
        <v>6014</v>
      </c>
      <c r="C2163" s="32" t="s">
        <v>6015</v>
      </c>
      <c r="D2163" s="32" t="s">
        <v>6016</v>
      </c>
    </row>
    <row r="2164" spans="2:4" x14ac:dyDescent="0.3">
      <c r="B2164" s="33" t="s">
        <v>6017</v>
      </c>
      <c r="C2164" s="32" t="s">
        <v>6018</v>
      </c>
      <c r="D2164" s="32" t="s">
        <v>6019</v>
      </c>
    </row>
    <row r="2165" spans="2:4" x14ac:dyDescent="0.3">
      <c r="B2165" s="33" t="s">
        <v>6020</v>
      </c>
      <c r="C2165" s="32" t="s">
        <v>6021</v>
      </c>
      <c r="D2165" s="32" t="s">
        <v>6022</v>
      </c>
    </row>
    <row r="2166" spans="2:4" x14ac:dyDescent="0.3">
      <c r="B2166" s="33" t="s">
        <v>6023</v>
      </c>
      <c r="C2166" s="32" t="s">
        <v>6024</v>
      </c>
      <c r="D2166" s="32" t="s">
        <v>6025</v>
      </c>
    </row>
    <row r="2167" spans="2:4" x14ac:dyDescent="0.3">
      <c r="B2167" s="33" t="s">
        <v>6023</v>
      </c>
      <c r="C2167" s="32" t="s">
        <v>6026</v>
      </c>
      <c r="D2167" s="32" t="s">
        <v>6027</v>
      </c>
    </row>
    <row r="2168" spans="2:4" x14ac:dyDescent="0.3">
      <c r="B2168" s="33" t="s">
        <v>6028</v>
      </c>
      <c r="C2168" s="32" t="s">
        <v>6029</v>
      </c>
      <c r="D2168" s="32" t="s">
        <v>6030</v>
      </c>
    </row>
    <row r="2169" spans="2:4" x14ac:dyDescent="0.3">
      <c r="B2169" s="33" t="s">
        <v>6028</v>
      </c>
      <c r="C2169" s="32" t="s">
        <v>6031</v>
      </c>
      <c r="D2169" s="32" t="s">
        <v>6032</v>
      </c>
    </row>
    <row r="2170" spans="2:4" x14ac:dyDescent="0.3">
      <c r="B2170" s="33" t="s">
        <v>6033</v>
      </c>
      <c r="C2170" s="32" t="s">
        <v>6034</v>
      </c>
      <c r="D2170" s="32" t="s">
        <v>6035</v>
      </c>
    </row>
    <row r="2171" spans="2:4" x14ac:dyDescent="0.3">
      <c r="B2171" s="33" t="s">
        <v>6036</v>
      </c>
      <c r="C2171" s="32" t="s">
        <v>6037</v>
      </c>
      <c r="D2171" s="32" t="s">
        <v>6038</v>
      </c>
    </row>
    <row r="2172" spans="2:4" x14ac:dyDescent="0.3">
      <c r="B2172" s="33" t="s">
        <v>6039</v>
      </c>
      <c r="C2172" s="32" t="s">
        <v>6040</v>
      </c>
      <c r="D2172" s="32" t="s">
        <v>6041</v>
      </c>
    </row>
    <row r="2173" spans="2:4" x14ac:dyDescent="0.3">
      <c r="B2173" s="33" t="s">
        <v>6042</v>
      </c>
      <c r="C2173" s="32" t="s">
        <v>6043</v>
      </c>
      <c r="D2173" s="32" t="s">
        <v>6044</v>
      </c>
    </row>
    <row r="2174" spans="2:4" x14ac:dyDescent="0.3">
      <c r="B2174" s="33" t="s">
        <v>6045</v>
      </c>
      <c r="C2174" s="32" t="s">
        <v>6046</v>
      </c>
      <c r="D2174" s="32" t="s">
        <v>6047</v>
      </c>
    </row>
    <row r="2175" spans="2:4" x14ac:dyDescent="0.3">
      <c r="B2175" s="33" t="s">
        <v>651</v>
      </c>
      <c r="C2175" s="32" t="s">
        <v>6048</v>
      </c>
      <c r="D2175" s="32" t="s">
        <v>6049</v>
      </c>
    </row>
    <row r="2176" spans="2:4" x14ac:dyDescent="0.3">
      <c r="B2176" s="33" t="s">
        <v>651</v>
      </c>
      <c r="C2176" s="32" t="s">
        <v>6050</v>
      </c>
      <c r="D2176" s="32" t="s">
        <v>6051</v>
      </c>
    </row>
    <row r="2177" spans="2:4" x14ac:dyDescent="0.3">
      <c r="B2177" s="33" t="s">
        <v>5600</v>
      </c>
      <c r="C2177" s="32" t="s">
        <v>6052</v>
      </c>
      <c r="D2177" s="32" t="s">
        <v>6053</v>
      </c>
    </row>
    <row r="2178" spans="2:4" x14ac:dyDescent="0.3">
      <c r="B2178" s="33" t="s">
        <v>6054</v>
      </c>
      <c r="C2178" s="32" t="s">
        <v>6055</v>
      </c>
      <c r="D2178" s="32" t="s">
        <v>6056</v>
      </c>
    </row>
    <row r="2179" spans="2:4" x14ac:dyDescent="0.3">
      <c r="B2179" s="33" t="s">
        <v>6057</v>
      </c>
      <c r="C2179" s="32" t="s">
        <v>6058</v>
      </c>
      <c r="D2179" s="32" t="s">
        <v>6059</v>
      </c>
    </row>
    <row r="2180" spans="2:4" x14ac:dyDescent="0.3">
      <c r="B2180" s="33" t="s">
        <v>6060</v>
      </c>
      <c r="C2180" s="32" t="s">
        <v>6061</v>
      </c>
      <c r="D2180" s="32" t="s">
        <v>6062</v>
      </c>
    </row>
    <row r="2181" spans="2:4" x14ac:dyDescent="0.3">
      <c r="B2181" s="33" t="s">
        <v>4396</v>
      </c>
      <c r="C2181" s="32" t="s">
        <v>6063</v>
      </c>
      <c r="D2181" s="32" t="s">
        <v>6064</v>
      </c>
    </row>
    <row r="2182" spans="2:4" x14ac:dyDescent="0.3">
      <c r="B2182" s="33" t="s">
        <v>6042</v>
      </c>
      <c r="C2182" s="32" t="s">
        <v>6065</v>
      </c>
      <c r="D2182" s="32" t="s">
        <v>6066</v>
      </c>
    </row>
    <row r="2183" spans="2:4" x14ac:dyDescent="0.3">
      <c r="B2183" s="33" t="s">
        <v>6067</v>
      </c>
      <c r="C2183" s="32" t="s">
        <v>6068</v>
      </c>
      <c r="D2183" s="32" t="s">
        <v>6069</v>
      </c>
    </row>
    <row r="2184" spans="2:4" x14ac:dyDescent="0.3">
      <c r="B2184" s="33" t="s">
        <v>6070</v>
      </c>
      <c r="C2184" s="32" t="s">
        <v>6071</v>
      </c>
      <c r="D2184" s="32" t="s">
        <v>6072</v>
      </c>
    </row>
    <row r="2185" spans="2:4" x14ac:dyDescent="0.3">
      <c r="B2185" s="33" t="s">
        <v>651</v>
      </c>
      <c r="C2185" s="32" t="s">
        <v>6073</v>
      </c>
      <c r="D2185" s="32" t="s">
        <v>6074</v>
      </c>
    </row>
    <row r="2186" spans="2:4" x14ac:dyDescent="0.3">
      <c r="B2186" s="33" t="s">
        <v>651</v>
      </c>
      <c r="C2186" s="32" t="s">
        <v>6075</v>
      </c>
      <c r="D2186" s="32" t="s">
        <v>6076</v>
      </c>
    </row>
    <row r="2187" spans="2:4" x14ac:dyDescent="0.3">
      <c r="B2187" s="33" t="s">
        <v>6077</v>
      </c>
      <c r="C2187" s="32" t="s">
        <v>6078</v>
      </c>
      <c r="D2187" s="32" t="s">
        <v>6079</v>
      </c>
    </row>
    <row r="2188" spans="2:4" x14ac:dyDescent="0.3">
      <c r="B2188" s="33" t="s">
        <v>651</v>
      </c>
      <c r="C2188" s="32" t="s">
        <v>6080</v>
      </c>
      <c r="D2188" s="32" t="s">
        <v>6081</v>
      </c>
    </row>
    <row r="2189" spans="2:4" x14ac:dyDescent="0.3">
      <c r="B2189" s="33" t="s">
        <v>6082</v>
      </c>
      <c r="C2189" s="32" t="s">
        <v>6083</v>
      </c>
      <c r="D2189" s="32" t="s">
        <v>6084</v>
      </c>
    </row>
    <row r="2190" spans="2:4" x14ac:dyDescent="0.3">
      <c r="B2190" s="33" t="s">
        <v>6085</v>
      </c>
      <c r="C2190" s="32" t="s">
        <v>6086</v>
      </c>
      <c r="D2190" s="32" t="s">
        <v>6087</v>
      </c>
    </row>
    <row r="2191" spans="2:4" x14ac:dyDescent="0.3">
      <c r="B2191" s="33" t="s">
        <v>6088</v>
      </c>
      <c r="C2191" s="32" t="s">
        <v>6089</v>
      </c>
      <c r="D2191" s="32" t="s">
        <v>6090</v>
      </c>
    </row>
    <row r="2192" spans="2:4" x14ac:dyDescent="0.3">
      <c r="B2192" s="33" t="s">
        <v>6091</v>
      </c>
      <c r="C2192" s="32" t="s">
        <v>6092</v>
      </c>
      <c r="D2192" s="32" t="s">
        <v>6093</v>
      </c>
    </row>
    <row r="2193" spans="2:4" x14ac:dyDescent="0.3">
      <c r="B2193" s="33" t="s">
        <v>651</v>
      </c>
      <c r="C2193" s="32" t="s">
        <v>6094</v>
      </c>
      <c r="D2193" s="32" t="s">
        <v>6095</v>
      </c>
    </row>
    <row r="2194" spans="2:4" x14ac:dyDescent="0.3">
      <c r="B2194" s="33" t="s">
        <v>5530</v>
      </c>
      <c r="C2194" s="32" t="s">
        <v>6096</v>
      </c>
      <c r="D2194" s="32" t="s">
        <v>6097</v>
      </c>
    </row>
    <row r="2195" spans="2:4" x14ac:dyDescent="0.3">
      <c r="B2195" s="33" t="s">
        <v>651</v>
      </c>
      <c r="C2195" s="32" t="s">
        <v>36631</v>
      </c>
      <c r="D2195" s="32" t="s">
        <v>36632</v>
      </c>
    </row>
    <row r="2196" spans="2:4" x14ac:dyDescent="0.3">
      <c r="B2196" s="33" t="s">
        <v>6098</v>
      </c>
      <c r="C2196" s="32" t="s">
        <v>6099</v>
      </c>
      <c r="D2196" s="32" t="s">
        <v>6100</v>
      </c>
    </row>
    <row r="2197" spans="2:4" x14ac:dyDescent="0.3">
      <c r="B2197" s="33" t="s">
        <v>4018</v>
      </c>
      <c r="C2197" s="32" t="s">
        <v>6101</v>
      </c>
      <c r="D2197" s="32" t="s">
        <v>6102</v>
      </c>
    </row>
    <row r="2198" spans="2:4" x14ac:dyDescent="0.3">
      <c r="B2198" s="33" t="s">
        <v>6103</v>
      </c>
      <c r="C2198" s="32" t="s">
        <v>6104</v>
      </c>
      <c r="D2198" s="32" t="s">
        <v>6105</v>
      </c>
    </row>
    <row r="2199" spans="2:4" x14ac:dyDescent="0.3">
      <c r="B2199" s="33" t="s">
        <v>3598</v>
      </c>
      <c r="C2199" s="32" t="s">
        <v>6106</v>
      </c>
      <c r="D2199" s="32" t="s">
        <v>6107</v>
      </c>
    </row>
    <row r="2200" spans="2:4" x14ac:dyDescent="0.3">
      <c r="B2200" s="33" t="s">
        <v>6108</v>
      </c>
      <c r="C2200" s="32" t="s">
        <v>6109</v>
      </c>
      <c r="D2200" s="32" t="s">
        <v>6110</v>
      </c>
    </row>
    <row r="2201" spans="2:4" x14ac:dyDescent="0.3">
      <c r="B2201" s="33" t="s">
        <v>6111</v>
      </c>
      <c r="C2201" s="32" t="s">
        <v>6112</v>
      </c>
      <c r="D2201" s="32" t="s">
        <v>6113</v>
      </c>
    </row>
    <row r="2202" spans="2:4" x14ac:dyDescent="0.3">
      <c r="B2202" s="33" t="s">
        <v>6114</v>
      </c>
      <c r="C2202" s="32" t="s">
        <v>6115</v>
      </c>
      <c r="D2202" s="32" t="s">
        <v>6116</v>
      </c>
    </row>
    <row r="2203" spans="2:4" x14ac:dyDescent="0.3">
      <c r="B2203" s="33" t="s">
        <v>6117</v>
      </c>
      <c r="C2203" s="32" t="s">
        <v>6118</v>
      </c>
      <c r="D2203" s="32" t="s">
        <v>6119</v>
      </c>
    </row>
    <row r="2204" spans="2:4" x14ac:dyDescent="0.3">
      <c r="B2204" s="33" t="s">
        <v>4318</v>
      </c>
      <c r="C2204" s="32" t="s">
        <v>6120</v>
      </c>
      <c r="D2204" s="32" t="s">
        <v>6121</v>
      </c>
    </row>
    <row r="2205" spans="2:4" x14ac:dyDescent="0.3">
      <c r="B2205" s="33" t="s">
        <v>3729</v>
      </c>
      <c r="C2205" s="32" t="s">
        <v>6122</v>
      </c>
      <c r="D2205" s="32" t="s">
        <v>6123</v>
      </c>
    </row>
    <row r="2206" spans="2:4" x14ac:dyDescent="0.3">
      <c r="B2206" s="33" t="s">
        <v>6124</v>
      </c>
      <c r="C2206" s="32" t="s">
        <v>6125</v>
      </c>
      <c r="D2206" s="32" t="s">
        <v>6126</v>
      </c>
    </row>
    <row r="2207" spans="2:4" x14ac:dyDescent="0.3">
      <c r="B2207" s="33" t="s">
        <v>6127</v>
      </c>
      <c r="C2207" s="32" t="s">
        <v>6128</v>
      </c>
      <c r="D2207" s="32" t="s">
        <v>6129</v>
      </c>
    </row>
    <row r="2208" spans="2:4" x14ac:dyDescent="0.3">
      <c r="B2208" s="33" t="s">
        <v>6130</v>
      </c>
      <c r="C2208" s="32" t="s">
        <v>6131</v>
      </c>
      <c r="D2208" s="32" t="s">
        <v>6132</v>
      </c>
    </row>
    <row r="2209" spans="2:4" x14ac:dyDescent="0.3">
      <c r="B2209" s="33" t="s">
        <v>4198</v>
      </c>
      <c r="C2209" s="32" t="s">
        <v>6133</v>
      </c>
      <c r="D2209" s="32" t="s">
        <v>6134</v>
      </c>
    </row>
    <row r="2210" spans="2:4" x14ac:dyDescent="0.3">
      <c r="B2210" s="33" t="s">
        <v>6135</v>
      </c>
      <c r="C2210" s="32" t="s">
        <v>6136</v>
      </c>
      <c r="D2210" s="32" t="s">
        <v>6137</v>
      </c>
    </row>
    <row r="2211" spans="2:4" x14ac:dyDescent="0.3">
      <c r="B2211" s="33" t="s">
        <v>6138</v>
      </c>
      <c r="C2211" s="32" t="s">
        <v>6139</v>
      </c>
      <c r="D2211" s="32" t="s">
        <v>6140</v>
      </c>
    </row>
    <row r="2212" spans="2:4" x14ac:dyDescent="0.3">
      <c r="B2212" s="33" t="s">
        <v>6141</v>
      </c>
      <c r="C2212" s="32" t="s">
        <v>6142</v>
      </c>
      <c r="D2212" s="32" t="s">
        <v>6143</v>
      </c>
    </row>
    <row r="2213" spans="2:4" x14ac:dyDescent="0.3">
      <c r="B2213" s="33" t="s">
        <v>6144</v>
      </c>
      <c r="C2213" s="32" t="s">
        <v>6145</v>
      </c>
      <c r="D2213" s="32" t="s">
        <v>6146</v>
      </c>
    </row>
    <row r="2214" spans="2:4" x14ac:dyDescent="0.3">
      <c r="B2214" s="33" t="s">
        <v>6147</v>
      </c>
      <c r="C2214" s="32" t="s">
        <v>6148</v>
      </c>
      <c r="D2214" s="32" t="s">
        <v>6149</v>
      </c>
    </row>
    <row r="2215" spans="2:4" x14ac:dyDescent="0.3">
      <c r="B2215" s="33" t="s">
        <v>4632</v>
      </c>
      <c r="C2215" s="32" t="s">
        <v>6150</v>
      </c>
      <c r="D2215" s="32" t="s">
        <v>6151</v>
      </c>
    </row>
    <row r="2216" spans="2:4" x14ac:dyDescent="0.3">
      <c r="B2216" s="33" t="s">
        <v>6152</v>
      </c>
      <c r="C2216" s="32" t="s">
        <v>6153</v>
      </c>
      <c r="D2216" s="32" t="s">
        <v>6154</v>
      </c>
    </row>
    <row r="2217" spans="2:4" x14ac:dyDescent="0.3">
      <c r="B2217" s="33" t="s">
        <v>6155</v>
      </c>
      <c r="C2217" s="32" t="s">
        <v>6156</v>
      </c>
      <c r="D2217" s="32" t="s">
        <v>6157</v>
      </c>
    </row>
    <row r="2218" spans="2:4" x14ac:dyDescent="0.3">
      <c r="B2218" s="33" t="s">
        <v>3528</v>
      </c>
      <c r="C2218" s="32" t="s">
        <v>6158</v>
      </c>
      <c r="D2218" s="32" t="s">
        <v>6159</v>
      </c>
    </row>
    <row r="2219" spans="2:4" x14ac:dyDescent="0.3">
      <c r="B2219" s="33" t="s">
        <v>4849</v>
      </c>
      <c r="C2219" s="32" t="s">
        <v>6160</v>
      </c>
      <c r="D2219" s="32" t="s">
        <v>6161</v>
      </c>
    </row>
    <row r="2220" spans="2:4" x14ac:dyDescent="0.3">
      <c r="B2220" s="33" t="s">
        <v>6162</v>
      </c>
      <c r="C2220" s="32" t="s">
        <v>6163</v>
      </c>
      <c r="D2220" s="32" t="s">
        <v>6164</v>
      </c>
    </row>
    <row r="2221" spans="2:4" x14ac:dyDescent="0.3">
      <c r="B2221" s="33" t="s">
        <v>6165</v>
      </c>
      <c r="C2221" s="32" t="s">
        <v>6166</v>
      </c>
      <c r="D2221" s="32" t="s">
        <v>6167</v>
      </c>
    </row>
    <row r="2222" spans="2:4" x14ac:dyDescent="0.3">
      <c r="B2222" s="33" t="s">
        <v>6168</v>
      </c>
      <c r="C2222" s="32" t="s">
        <v>6169</v>
      </c>
      <c r="D2222" s="32" t="s">
        <v>6170</v>
      </c>
    </row>
    <row r="2223" spans="2:4" x14ac:dyDescent="0.3">
      <c r="B2223" s="33" t="s">
        <v>6171</v>
      </c>
      <c r="C2223" s="32" t="s">
        <v>6172</v>
      </c>
      <c r="D2223" s="32" t="s">
        <v>6173</v>
      </c>
    </row>
    <row r="2224" spans="2:4" x14ac:dyDescent="0.3">
      <c r="B2224" s="33" t="s">
        <v>6174</v>
      </c>
      <c r="C2224" s="32" t="s">
        <v>6175</v>
      </c>
      <c r="D2224" s="32" t="s">
        <v>6176</v>
      </c>
    </row>
    <row r="2225" spans="2:4" x14ac:dyDescent="0.3">
      <c r="B2225" s="33" t="s">
        <v>6177</v>
      </c>
      <c r="C2225" s="32" t="s">
        <v>6178</v>
      </c>
      <c r="D2225" s="32" t="s">
        <v>6177</v>
      </c>
    </row>
    <row r="2226" spans="2:4" x14ac:dyDescent="0.3">
      <c r="B2226" s="33" t="s">
        <v>6179</v>
      </c>
      <c r="C2226" s="32" t="s">
        <v>6180</v>
      </c>
      <c r="D2226" s="32" t="s">
        <v>6181</v>
      </c>
    </row>
    <row r="2227" spans="2:4" x14ac:dyDescent="0.3">
      <c r="B2227" s="33" t="s">
        <v>3962</v>
      </c>
      <c r="C2227" s="32" t="s">
        <v>6182</v>
      </c>
      <c r="D2227" s="32" t="s">
        <v>6183</v>
      </c>
    </row>
    <row r="2228" spans="2:4" x14ac:dyDescent="0.3">
      <c r="B2228" s="33" t="s">
        <v>6184</v>
      </c>
      <c r="C2228" s="32" t="s">
        <v>6185</v>
      </c>
      <c r="D2228" s="32" t="s">
        <v>6186</v>
      </c>
    </row>
    <row r="2229" spans="2:4" x14ac:dyDescent="0.3">
      <c r="B2229" s="33" t="s">
        <v>6187</v>
      </c>
      <c r="C2229" s="32" t="s">
        <v>6188</v>
      </c>
      <c r="D2229" s="32" t="s">
        <v>6189</v>
      </c>
    </row>
    <row r="2230" spans="2:4" x14ac:dyDescent="0.3">
      <c r="B2230" s="33" t="s">
        <v>6190</v>
      </c>
      <c r="C2230" s="32" t="s">
        <v>6191</v>
      </c>
      <c r="D2230" s="32" t="s">
        <v>6192</v>
      </c>
    </row>
    <row r="2231" spans="2:4" x14ac:dyDescent="0.3">
      <c r="B2231" s="33" t="s">
        <v>6193</v>
      </c>
      <c r="C2231" s="32" t="s">
        <v>6194</v>
      </c>
      <c r="D2231" s="32" t="s">
        <v>6195</v>
      </c>
    </row>
    <row r="2232" spans="2:4" x14ac:dyDescent="0.3">
      <c r="B2232" s="33" t="s">
        <v>6196</v>
      </c>
      <c r="C2232" s="32" t="s">
        <v>6197</v>
      </c>
      <c r="D2232" s="32" t="s">
        <v>6198</v>
      </c>
    </row>
    <row r="2233" spans="2:4" x14ac:dyDescent="0.3">
      <c r="B2233" s="33" t="s">
        <v>6199</v>
      </c>
      <c r="C2233" s="32" t="s">
        <v>6200</v>
      </c>
      <c r="D2233" s="32" t="s">
        <v>6201</v>
      </c>
    </row>
    <row r="2234" spans="2:4" x14ac:dyDescent="0.3">
      <c r="B2234" s="33" t="s">
        <v>5294</v>
      </c>
      <c r="C2234" s="32" t="s">
        <v>6202</v>
      </c>
      <c r="D2234" s="32" t="s">
        <v>6203</v>
      </c>
    </row>
    <row r="2235" spans="2:4" x14ac:dyDescent="0.3">
      <c r="B2235" s="33" t="s">
        <v>6144</v>
      </c>
      <c r="C2235" s="32" t="s">
        <v>6204</v>
      </c>
      <c r="D2235" s="32" t="s">
        <v>6205</v>
      </c>
    </row>
    <row r="2236" spans="2:4" x14ac:dyDescent="0.3">
      <c r="B2236" s="33" t="s">
        <v>6206</v>
      </c>
      <c r="C2236" s="32" t="s">
        <v>6207</v>
      </c>
      <c r="D2236" s="32" t="s">
        <v>6208</v>
      </c>
    </row>
    <row r="2237" spans="2:4" x14ac:dyDescent="0.3">
      <c r="B2237" s="33" t="s">
        <v>651</v>
      </c>
      <c r="C2237" s="32" t="s">
        <v>6209</v>
      </c>
      <c r="D2237" s="32" t="s">
        <v>6210</v>
      </c>
    </row>
    <row r="2238" spans="2:4" x14ac:dyDescent="0.3">
      <c r="B2238" s="33" t="s">
        <v>4106</v>
      </c>
      <c r="C2238" s="32" t="s">
        <v>6211</v>
      </c>
      <c r="D2238" s="32" t="s">
        <v>37151</v>
      </c>
    </row>
    <row r="2239" spans="2:4" x14ac:dyDescent="0.3">
      <c r="B2239" s="33" t="s">
        <v>6212</v>
      </c>
      <c r="C2239" s="32" t="s">
        <v>6213</v>
      </c>
      <c r="D2239" s="32" t="s">
        <v>6214</v>
      </c>
    </row>
    <row r="2240" spans="2:4" x14ac:dyDescent="0.3">
      <c r="B2240" s="33" t="s">
        <v>5761</v>
      </c>
      <c r="C2240" s="32" t="s">
        <v>6215</v>
      </c>
      <c r="D2240" s="32" t="s">
        <v>6216</v>
      </c>
    </row>
    <row r="2241" spans="2:4" x14ac:dyDescent="0.3">
      <c r="B2241" s="33" t="s">
        <v>6217</v>
      </c>
      <c r="C2241" s="32" t="s">
        <v>6218</v>
      </c>
      <c r="D2241" s="32" t="s">
        <v>6219</v>
      </c>
    </row>
    <row r="2242" spans="2:4" x14ac:dyDescent="0.3">
      <c r="B2242" s="33" t="s">
        <v>6220</v>
      </c>
      <c r="C2242" s="32" t="s">
        <v>6221</v>
      </c>
      <c r="D2242" s="32" t="s">
        <v>6220</v>
      </c>
    </row>
    <row r="2243" spans="2:4" x14ac:dyDescent="0.3">
      <c r="B2243" s="33" t="s">
        <v>6222</v>
      </c>
      <c r="C2243" s="32" t="s">
        <v>6223</v>
      </c>
      <c r="D2243" s="32" t="s">
        <v>6224</v>
      </c>
    </row>
    <row r="2244" spans="2:4" x14ac:dyDescent="0.3">
      <c r="B2244" s="33" t="s">
        <v>6225</v>
      </c>
      <c r="C2244" s="32" t="s">
        <v>6226</v>
      </c>
      <c r="D2244" s="32" t="s">
        <v>6227</v>
      </c>
    </row>
    <row r="2245" spans="2:4" x14ac:dyDescent="0.3">
      <c r="B2245" s="33" t="s">
        <v>6228</v>
      </c>
      <c r="C2245" s="32" t="s">
        <v>6229</v>
      </c>
      <c r="D2245" s="32" t="s">
        <v>6230</v>
      </c>
    </row>
    <row r="2246" spans="2:4" x14ac:dyDescent="0.3">
      <c r="B2246" s="33" t="s">
        <v>6231</v>
      </c>
      <c r="C2246" s="32" t="s">
        <v>6232</v>
      </c>
      <c r="D2246" s="32" t="s">
        <v>6233</v>
      </c>
    </row>
    <row r="2247" spans="2:4" x14ac:dyDescent="0.3">
      <c r="B2247" s="33" t="s">
        <v>6234</v>
      </c>
      <c r="C2247" s="32" t="s">
        <v>6235</v>
      </c>
      <c r="D2247" s="32" t="s">
        <v>6236</v>
      </c>
    </row>
    <row r="2248" spans="2:4" x14ac:dyDescent="0.3">
      <c r="B2248" s="33" t="s">
        <v>6237</v>
      </c>
      <c r="C2248" s="32" t="s">
        <v>6238</v>
      </c>
      <c r="D2248" s="32" t="s">
        <v>6239</v>
      </c>
    </row>
    <row r="2249" spans="2:4" x14ac:dyDescent="0.3">
      <c r="B2249" s="33" t="s">
        <v>6240</v>
      </c>
      <c r="C2249" s="32" t="s">
        <v>6241</v>
      </c>
      <c r="D2249" s="32" t="s">
        <v>6242</v>
      </c>
    </row>
    <row r="2250" spans="2:4" x14ac:dyDescent="0.3">
      <c r="B2250" s="33" t="s">
        <v>6243</v>
      </c>
      <c r="C2250" s="32" t="s">
        <v>6244</v>
      </c>
      <c r="D2250" s="32" t="s">
        <v>6245</v>
      </c>
    </row>
    <row r="2251" spans="2:4" x14ac:dyDescent="0.3">
      <c r="B2251" s="33" t="s">
        <v>6246</v>
      </c>
      <c r="C2251" s="32" t="s">
        <v>6247</v>
      </c>
      <c r="D2251" s="32" t="s">
        <v>6248</v>
      </c>
    </row>
    <row r="2252" spans="2:4" x14ac:dyDescent="0.3">
      <c r="B2252" s="33" t="s">
        <v>6249</v>
      </c>
      <c r="C2252" s="32" t="s">
        <v>6250</v>
      </c>
      <c r="D2252" s="32" t="s">
        <v>6249</v>
      </c>
    </row>
    <row r="2253" spans="2:4" x14ac:dyDescent="0.3">
      <c r="B2253" s="33" t="s">
        <v>6251</v>
      </c>
      <c r="C2253" s="32" t="s">
        <v>6252</v>
      </c>
      <c r="D2253" s="32" t="s">
        <v>6253</v>
      </c>
    </row>
    <row r="2254" spans="2:4" x14ac:dyDescent="0.3">
      <c r="B2254" s="33" t="s">
        <v>6254</v>
      </c>
      <c r="C2254" s="32" t="s">
        <v>6255</v>
      </c>
      <c r="D2254" s="32" t="s">
        <v>6256</v>
      </c>
    </row>
    <row r="2255" spans="2:4" x14ac:dyDescent="0.3">
      <c r="B2255" s="33" t="s">
        <v>6257</v>
      </c>
      <c r="C2255" s="32" t="s">
        <v>6258</v>
      </c>
      <c r="D2255" s="32" t="s">
        <v>6259</v>
      </c>
    </row>
    <row r="2256" spans="2:4" x14ac:dyDescent="0.3">
      <c r="B2256" s="33" t="s">
        <v>6260</v>
      </c>
      <c r="C2256" s="32" t="s">
        <v>6261</v>
      </c>
      <c r="D2256" s="32" t="s">
        <v>6262</v>
      </c>
    </row>
    <row r="2257" spans="2:4" x14ac:dyDescent="0.3">
      <c r="B2257" s="33" t="s">
        <v>6263</v>
      </c>
      <c r="C2257" s="32" t="s">
        <v>6264</v>
      </c>
      <c r="D2257" s="32" t="s">
        <v>6263</v>
      </c>
    </row>
    <row r="2258" spans="2:4" x14ac:dyDescent="0.3">
      <c r="B2258" s="33" t="s">
        <v>6265</v>
      </c>
      <c r="C2258" s="32" t="s">
        <v>6266</v>
      </c>
      <c r="D2258" s="32" t="s">
        <v>6267</v>
      </c>
    </row>
    <row r="2259" spans="2:4" x14ac:dyDescent="0.3">
      <c r="B2259" s="33" t="s">
        <v>6268</v>
      </c>
      <c r="C2259" s="32" t="s">
        <v>6269</v>
      </c>
      <c r="D2259" s="32" t="s">
        <v>6270</v>
      </c>
    </row>
    <row r="2260" spans="2:4" x14ac:dyDescent="0.3">
      <c r="B2260" s="33" t="s">
        <v>6271</v>
      </c>
      <c r="C2260" s="32" t="s">
        <v>6272</v>
      </c>
      <c r="D2260" s="32" t="s">
        <v>6273</v>
      </c>
    </row>
    <row r="2261" spans="2:4" x14ac:dyDescent="0.3">
      <c r="B2261" s="33" t="s">
        <v>6274</v>
      </c>
      <c r="C2261" s="32" t="s">
        <v>6275</v>
      </c>
      <c r="D2261" s="32" t="s">
        <v>6276</v>
      </c>
    </row>
    <row r="2262" spans="2:4" x14ac:dyDescent="0.3">
      <c r="B2262" s="33" t="s">
        <v>6277</v>
      </c>
      <c r="C2262" s="32" t="s">
        <v>6278</v>
      </c>
      <c r="D2262" s="32" t="s">
        <v>6279</v>
      </c>
    </row>
    <row r="2263" spans="2:4" x14ac:dyDescent="0.3">
      <c r="B2263" s="33" t="s">
        <v>6280</v>
      </c>
      <c r="C2263" s="32" t="s">
        <v>6281</v>
      </c>
      <c r="D2263" s="32" t="s">
        <v>6282</v>
      </c>
    </row>
    <row r="2264" spans="2:4" x14ac:dyDescent="0.3">
      <c r="B2264" s="33" t="s">
        <v>6283</v>
      </c>
      <c r="C2264" s="32" t="s">
        <v>6284</v>
      </c>
      <c r="D2264" s="32" t="s">
        <v>6285</v>
      </c>
    </row>
    <row r="2265" spans="2:4" x14ac:dyDescent="0.3">
      <c r="B2265" s="33" t="s">
        <v>6286</v>
      </c>
      <c r="C2265" s="32" t="s">
        <v>6287</v>
      </c>
      <c r="D2265" s="32" t="s">
        <v>6288</v>
      </c>
    </row>
    <row r="2266" spans="2:4" x14ac:dyDescent="0.3">
      <c r="B2266" s="33" t="s">
        <v>6289</v>
      </c>
      <c r="C2266" s="32" t="s">
        <v>6290</v>
      </c>
      <c r="D2266" s="32" t="s">
        <v>6291</v>
      </c>
    </row>
    <row r="2267" spans="2:4" x14ac:dyDescent="0.3">
      <c r="B2267" s="33" t="s">
        <v>6292</v>
      </c>
      <c r="C2267" s="32" t="s">
        <v>6293</v>
      </c>
      <c r="D2267" s="32" t="s">
        <v>6294</v>
      </c>
    </row>
    <row r="2268" spans="2:4" x14ac:dyDescent="0.3">
      <c r="B2268" s="33" t="s">
        <v>6277</v>
      </c>
      <c r="C2268" s="32" t="s">
        <v>6295</v>
      </c>
      <c r="D2268" s="32" t="s">
        <v>6296</v>
      </c>
    </row>
    <row r="2269" spans="2:4" x14ac:dyDescent="0.3">
      <c r="B2269" s="33" t="s">
        <v>6297</v>
      </c>
      <c r="C2269" s="32" t="s">
        <v>6298</v>
      </c>
      <c r="D2269" s="32" t="s">
        <v>6299</v>
      </c>
    </row>
    <row r="2270" spans="2:4" x14ac:dyDescent="0.3">
      <c r="B2270" s="33" t="s">
        <v>6300</v>
      </c>
      <c r="C2270" s="32" t="s">
        <v>6301</v>
      </c>
      <c r="D2270" s="32" t="s">
        <v>6302</v>
      </c>
    </row>
    <row r="2271" spans="2:4" x14ac:dyDescent="0.3">
      <c r="B2271" s="33" t="s">
        <v>6303</v>
      </c>
      <c r="C2271" s="32" t="s">
        <v>6304</v>
      </c>
      <c r="D2271" s="32" t="s">
        <v>6305</v>
      </c>
    </row>
    <row r="2272" spans="2:4" x14ac:dyDescent="0.3">
      <c r="B2272" s="33" t="s">
        <v>6306</v>
      </c>
      <c r="C2272" s="32" t="s">
        <v>6307</v>
      </c>
      <c r="D2272" s="32" t="s">
        <v>6308</v>
      </c>
    </row>
    <row r="2273" spans="2:4" x14ac:dyDescent="0.3">
      <c r="B2273" s="33" t="s">
        <v>6309</v>
      </c>
      <c r="C2273" s="32" t="s">
        <v>6310</v>
      </c>
      <c r="D2273" s="32" t="s">
        <v>6311</v>
      </c>
    </row>
    <row r="2274" spans="2:4" x14ac:dyDescent="0.3">
      <c r="B2274" s="33" t="s">
        <v>6312</v>
      </c>
      <c r="C2274" s="32" t="s">
        <v>6313</v>
      </c>
      <c r="D2274" s="32" t="s">
        <v>6314</v>
      </c>
    </row>
    <row r="2275" spans="2:4" x14ac:dyDescent="0.3">
      <c r="B2275" s="33" t="s">
        <v>6315</v>
      </c>
      <c r="C2275" s="32" t="s">
        <v>6316</v>
      </c>
      <c r="D2275" s="32" t="s">
        <v>6317</v>
      </c>
    </row>
    <row r="2276" spans="2:4" x14ac:dyDescent="0.3">
      <c r="B2276" s="33" t="s">
        <v>6318</v>
      </c>
      <c r="C2276" s="32" t="s">
        <v>6319</v>
      </c>
      <c r="D2276" s="32" t="s">
        <v>6320</v>
      </c>
    </row>
    <row r="2277" spans="2:4" x14ac:dyDescent="0.3">
      <c r="B2277" s="33" t="s">
        <v>6321</v>
      </c>
      <c r="C2277" s="32" t="s">
        <v>6322</v>
      </c>
      <c r="D2277" s="32" t="s">
        <v>6321</v>
      </c>
    </row>
    <row r="2278" spans="2:4" x14ac:dyDescent="0.3">
      <c r="B2278" s="33" t="s">
        <v>6323</v>
      </c>
      <c r="C2278" s="32" t="s">
        <v>6324</v>
      </c>
      <c r="D2278" s="32" t="s">
        <v>6325</v>
      </c>
    </row>
    <row r="2279" spans="2:4" x14ac:dyDescent="0.3">
      <c r="B2279" s="33" t="s">
        <v>6326</v>
      </c>
      <c r="C2279" s="32" t="s">
        <v>6327</v>
      </c>
      <c r="D2279" s="32" t="s">
        <v>6328</v>
      </c>
    </row>
    <row r="2280" spans="2:4" x14ac:dyDescent="0.3">
      <c r="B2280" s="33" t="s">
        <v>6329</v>
      </c>
      <c r="C2280" s="32" t="s">
        <v>6330</v>
      </c>
      <c r="D2280" s="32" t="s">
        <v>6331</v>
      </c>
    </row>
    <row r="2281" spans="2:4" x14ac:dyDescent="0.3">
      <c r="B2281" s="33" t="s">
        <v>7263</v>
      </c>
      <c r="C2281" s="32" t="s">
        <v>37152</v>
      </c>
      <c r="D2281" s="32" t="s">
        <v>37153</v>
      </c>
    </row>
    <row r="2282" spans="2:4" x14ac:dyDescent="0.3">
      <c r="B2282" s="33" t="s">
        <v>36706</v>
      </c>
      <c r="C2282" s="32" t="s">
        <v>36707</v>
      </c>
      <c r="D2282" s="32" t="s">
        <v>36708</v>
      </c>
    </row>
    <row r="2283" spans="2:4" x14ac:dyDescent="0.3">
      <c r="B2283" s="33" t="s">
        <v>6332</v>
      </c>
      <c r="C2283" s="32" t="s">
        <v>6333</v>
      </c>
      <c r="D2283" s="32" t="s">
        <v>6334</v>
      </c>
    </row>
    <row r="2284" spans="2:4" x14ac:dyDescent="0.3">
      <c r="B2284" s="33" t="s">
        <v>6335</v>
      </c>
      <c r="C2284" s="32" t="s">
        <v>6336</v>
      </c>
      <c r="D2284" s="32" t="s">
        <v>6337</v>
      </c>
    </row>
    <row r="2285" spans="2:4" x14ac:dyDescent="0.3">
      <c r="B2285" s="33" t="s">
        <v>6338</v>
      </c>
      <c r="C2285" s="32" t="s">
        <v>6339</v>
      </c>
      <c r="D2285" s="32" t="s">
        <v>6340</v>
      </c>
    </row>
    <row r="2286" spans="2:4" x14ac:dyDescent="0.3">
      <c r="B2286" s="33" t="s">
        <v>6341</v>
      </c>
      <c r="C2286" s="32" t="s">
        <v>6342</v>
      </c>
      <c r="D2286" s="32" t="s">
        <v>6343</v>
      </c>
    </row>
    <row r="2287" spans="2:4" x14ac:dyDescent="0.3">
      <c r="B2287" s="33" t="s">
        <v>6344</v>
      </c>
      <c r="C2287" s="32" t="s">
        <v>6345</v>
      </c>
      <c r="D2287" s="32" t="s">
        <v>6344</v>
      </c>
    </row>
    <row r="2288" spans="2:4" x14ac:dyDescent="0.3">
      <c r="B2288" s="33" t="s">
        <v>6346</v>
      </c>
      <c r="C2288" s="32" t="s">
        <v>6347</v>
      </c>
      <c r="D2288" s="32" t="s">
        <v>6348</v>
      </c>
    </row>
    <row r="2289" spans="2:4" x14ac:dyDescent="0.3">
      <c r="B2289" s="33" t="s">
        <v>6349</v>
      </c>
      <c r="C2289" s="32" t="s">
        <v>6350</v>
      </c>
      <c r="D2289" s="32" t="s">
        <v>6351</v>
      </c>
    </row>
    <row r="2290" spans="2:4" x14ac:dyDescent="0.3">
      <c r="B2290" s="33" t="s">
        <v>6352</v>
      </c>
      <c r="C2290" s="32" t="s">
        <v>6353</v>
      </c>
      <c r="D2290" s="32" t="s">
        <v>6354</v>
      </c>
    </row>
    <row r="2291" spans="2:4" x14ac:dyDescent="0.3">
      <c r="B2291" s="33" t="s">
        <v>6355</v>
      </c>
      <c r="C2291" s="32" t="s">
        <v>6356</v>
      </c>
      <c r="D2291" s="32" t="s">
        <v>6357</v>
      </c>
    </row>
    <row r="2292" spans="2:4" x14ac:dyDescent="0.3">
      <c r="B2292" s="33" t="s">
        <v>6358</v>
      </c>
      <c r="C2292" s="32" t="s">
        <v>6359</v>
      </c>
      <c r="D2292" s="32" t="s">
        <v>6360</v>
      </c>
    </row>
    <row r="2293" spans="2:4" x14ac:dyDescent="0.3">
      <c r="B2293" s="33" t="s">
        <v>6361</v>
      </c>
      <c r="C2293" s="32" t="s">
        <v>6362</v>
      </c>
      <c r="D2293" s="32" t="s">
        <v>6363</v>
      </c>
    </row>
    <row r="2294" spans="2:4" x14ac:dyDescent="0.3">
      <c r="B2294" s="33" t="s">
        <v>6364</v>
      </c>
      <c r="C2294" s="32" t="s">
        <v>6365</v>
      </c>
      <c r="D2294" s="32" t="s">
        <v>6366</v>
      </c>
    </row>
    <row r="2295" spans="2:4" x14ac:dyDescent="0.3">
      <c r="B2295" s="33" t="s">
        <v>6367</v>
      </c>
      <c r="C2295" s="32" t="s">
        <v>6368</v>
      </c>
      <c r="D2295" s="32" t="s">
        <v>6369</v>
      </c>
    </row>
    <row r="2296" spans="2:4" x14ac:dyDescent="0.3">
      <c r="B2296" s="33" t="s">
        <v>6370</v>
      </c>
      <c r="C2296" s="32" t="s">
        <v>6371</v>
      </c>
      <c r="D2296" s="32" t="s">
        <v>6372</v>
      </c>
    </row>
    <row r="2297" spans="2:4" x14ac:dyDescent="0.3">
      <c r="B2297" s="33" t="s">
        <v>6373</v>
      </c>
      <c r="C2297" s="32" t="s">
        <v>6374</v>
      </c>
      <c r="D2297" s="32" t="s">
        <v>6375</v>
      </c>
    </row>
    <row r="2298" spans="2:4" x14ac:dyDescent="0.3">
      <c r="B2298" s="33" t="s">
        <v>6376</v>
      </c>
      <c r="C2298" s="32" t="s">
        <v>6377</v>
      </c>
      <c r="D2298" s="32" t="s">
        <v>6378</v>
      </c>
    </row>
    <row r="2299" spans="2:4" x14ac:dyDescent="0.3">
      <c r="B2299" s="33" t="s">
        <v>6379</v>
      </c>
      <c r="C2299" s="32" t="s">
        <v>6380</v>
      </c>
      <c r="D2299" s="32" t="s">
        <v>6381</v>
      </c>
    </row>
    <row r="2300" spans="2:4" x14ac:dyDescent="0.3">
      <c r="B2300" s="33" t="s">
        <v>6382</v>
      </c>
      <c r="C2300" s="32" t="s">
        <v>6383</v>
      </c>
      <c r="D2300" s="32" t="s">
        <v>6384</v>
      </c>
    </row>
    <row r="2301" spans="2:4" x14ac:dyDescent="0.3">
      <c r="B2301" s="33" t="s">
        <v>6385</v>
      </c>
      <c r="C2301" s="32" t="s">
        <v>6386</v>
      </c>
      <c r="D2301" s="32" t="s">
        <v>6387</v>
      </c>
    </row>
    <row r="2302" spans="2:4" x14ac:dyDescent="0.3">
      <c r="B2302" s="33" t="s">
        <v>6388</v>
      </c>
      <c r="C2302" s="32" t="s">
        <v>6389</v>
      </c>
      <c r="D2302" s="32" t="s">
        <v>36813</v>
      </c>
    </row>
    <row r="2303" spans="2:4" x14ac:dyDescent="0.3">
      <c r="B2303" s="33" t="s">
        <v>6390</v>
      </c>
      <c r="C2303" s="32" t="s">
        <v>6391</v>
      </c>
      <c r="D2303" s="32" t="s">
        <v>6392</v>
      </c>
    </row>
    <row r="2304" spans="2:4" x14ac:dyDescent="0.3">
      <c r="B2304" s="33" t="s">
        <v>6394</v>
      </c>
      <c r="C2304" s="32" t="s">
        <v>6395</v>
      </c>
      <c r="D2304" s="32" t="s">
        <v>6396</v>
      </c>
    </row>
    <row r="2305" spans="2:4" x14ac:dyDescent="0.3">
      <c r="B2305" s="33" t="s">
        <v>6344</v>
      </c>
      <c r="C2305" s="32" t="s">
        <v>6397</v>
      </c>
      <c r="D2305" s="32" t="s">
        <v>6398</v>
      </c>
    </row>
    <row r="2306" spans="2:4" x14ac:dyDescent="0.3">
      <c r="B2306" s="33" t="s">
        <v>6399</v>
      </c>
      <c r="C2306" s="32" t="s">
        <v>6400</v>
      </c>
      <c r="D2306" s="32" t="s">
        <v>6401</v>
      </c>
    </row>
    <row r="2307" spans="2:4" x14ac:dyDescent="0.3">
      <c r="B2307" s="33" t="s">
        <v>6402</v>
      </c>
      <c r="C2307" s="32" t="s">
        <v>6403</v>
      </c>
      <c r="D2307" s="32" t="s">
        <v>6404</v>
      </c>
    </row>
    <row r="2308" spans="2:4" x14ac:dyDescent="0.3">
      <c r="B2308" s="33" t="s">
        <v>6405</v>
      </c>
      <c r="C2308" s="32" t="s">
        <v>6406</v>
      </c>
      <c r="D2308" s="32" t="s">
        <v>6407</v>
      </c>
    </row>
    <row r="2309" spans="2:4" x14ac:dyDescent="0.3">
      <c r="B2309" s="33" t="s">
        <v>6408</v>
      </c>
      <c r="C2309" s="32" t="s">
        <v>6409</v>
      </c>
      <c r="D2309" s="32" t="s">
        <v>6410</v>
      </c>
    </row>
    <row r="2310" spans="2:4" x14ac:dyDescent="0.3">
      <c r="B2310" s="33" t="s">
        <v>6411</v>
      </c>
      <c r="C2310" s="32" t="s">
        <v>6412</v>
      </c>
      <c r="D2310" s="32" t="s">
        <v>6413</v>
      </c>
    </row>
    <row r="2311" spans="2:4" x14ac:dyDescent="0.3">
      <c r="B2311" s="33" t="s">
        <v>6414</v>
      </c>
      <c r="C2311" s="32" t="s">
        <v>6415</v>
      </c>
      <c r="D2311" s="32" t="s">
        <v>6416</v>
      </c>
    </row>
    <row r="2312" spans="2:4" x14ac:dyDescent="0.3">
      <c r="B2312" s="33" t="s">
        <v>6417</v>
      </c>
      <c r="C2312" s="32" t="s">
        <v>6418</v>
      </c>
      <c r="D2312" s="32" t="s">
        <v>6419</v>
      </c>
    </row>
    <row r="2313" spans="2:4" x14ac:dyDescent="0.3">
      <c r="B2313" s="33" t="s">
        <v>6420</v>
      </c>
      <c r="C2313" s="32" t="s">
        <v>6421</v>
      </c>
      <c r="D2313" s="32" t="s">
        <v>6422</v>
      </c>
    </row>
    <row r="2314" spans="2:4" x14ac:dyDescent="0.3">
      <c r="B2314" s="33" t="s">
        <v>6423</v>
      </c>
      <c r="C2314" s="32" t="s">
        <v>6424</v>
      </c>
      <c r="D2314" s="32" t="s">
        <v>6425</v>
      </c>
    </row>
    <row r="2315" spans="2:4" x14ac:dyDescent="0.3">
      <c r="B2315" s="33" t="s">
        <v>6426</v>
      </c>
      <c r="C2315" s="32" t="s">
        <v>6427</v>
      </c>
      <c r="D2315" s="32" t="s">
        <v>6428</v>
      </c>
    </row>
    <row r="2316" spans="2:4" x14ac:dyDescent="0.3">
      <c r="B2316" s="33" t="s">
        <v>6429</v>
      </c>
      <c r="C2316" s="32" t="s">
        <v>6430</v>
      </c>
      <c r="D2316" s="32" t="s">
        <v>6431</v>
      </c>
    </row>
    <row r="2317" spans="2:4" x14ac:dyDescent="0.3">
      <c r="B2317" s="33" t="s">
        <v>6432</v>
      </c>
      <c r="C2317" s="32" t="s">
        <v>6433</v>
      </c>
      <c r="D2317" s="32" t="s">
        <v>6434</v>
      </c>
    </row>
    <row r="2318" spans="2:4" x14ac:dyDescent="0.3">
      <c r="B2318" s="33" t="s">
        <v>6435</v>
      </c>
      <c r="C2318" s="32" t="s">
        <v>6436</v>
      </c>
      <c r="D2318" s="32" t="s">
        <v>6435</v>
      </c>
    </row>
    <row r="2319" spans="2:4" x14ac:dyDescent="0.3">
      <c r="B2319" s="33" t="s">
        <v>6437</v>
      </c>
      <c r="C2319" s="32" t="s">
        <v>6438</v>
      </c>
      <c r="D2319" s="32" t="s">
        <v>6439</v>
      </c>
    </row>
    <row r="2320" spans="2:4" x14ac:dyDescent="0.3">
      <c r="B2320" s="33" t="s">
        <v>6440</v>
      </c>
      <c r="C2320" s="32" t="s">
        <v>6441</v>
      </c>
      <c r="D2320" s="32" t="s">
        <v>6442</v>
      </c>
    </row>
    <row r="2321" spans="2:4" x14ac:dyDescent="0.3">
      <c r="B2321" s="33" t="s">
        <v>6443</v>
      </c>
      <c r="C2321" s="32" t="s">
        <v>6444</v>
      </c>
      <c r="D2321" s="32" t="s">
        <v>6445</v>
      </c>
    </row>
    <row r="2322" spans="2:4" x14ac:dyDescent="0.3">
      <c r="B2322" s="33" t="s">
        <v>6446</v>
      </c>
      <c r="C2322" s="32" t="s">
        <v>6447</v>
      </c>
      <c r="D2322" s="32" t="s">
        <v>6448</v>
      </c>
    </row>
    <row r="2323" spans="2:4" x14ac:dyDescent="0.3">
      <c r="B2323" s="33" t="s">
        <v>6449</v>
      </c>
      <c r="C2323" s="32" t="s">
        <v>6450</v>
      </c>
      <c r="D2323" s="32" t="s">
        <v>6451</v>
      </c>
    </row>
    <row r="2324" spans="2:4" x14ac:dyDescent="0.3">
      <c r="B2324" s="33" t="s">
        <v>6440</v>
      </c>
      <c r="C2324" s="32" t="s">
        <v>6452</v>
      </c>
      <c r="D2324" s="32" t="s">
        <v>6453</v>
      </c>
    </row>
    <row r="2325" spans="2:4" x14ac:dyDescent="0.3">
      <c r="B2325" s="33" t="s">
        <v>1816</v>
      </c>
      <c r="C2325" s="32" t="s">
        <v>6454</v>
      </c>
      <c r="D2325" s="32" t="s">
        <v>6455</v>
      </c>
    </row>
    <row r="2326" spans="2:4" x14ac:dyDescent="0.3">
      <c r="B2326" s="33" t="s">
        <v>6456</v>
      </c>
      <c r="C2326" s="32" t="s">
        <v>6457</v>
      </c>
      <c r="D2326" s="32" t="s">
        <v>6458</v>
      </c>
    </row>
    <row r="2327" spans="2:4" x14ac:dyDescent="0.3">
      <c r="B2327" s="33" t="s">
        <v>6459</v>
      </c>
      <c r="C2327" s="32" t="s">
        <v>6460</v>
      </c>
      <c r="D2327" s="32" t="s">
        <v>6461</v>
      </c>
    </row>
    <row r="2328" spans="2:4" x14ac:dyDescent="0.3">
      <c r="B2328" s="33" t="s">
        <v>29</v>
      </c>
      <c r="C2328" s="32" t="s">
        <v>6462</v>
      </c>
      <c r="D2328" s="32" t="s">
        <v>30</v>
      </c>
    </row>
    <row r="2329" spans="2:4" x14ac:dyDescent="0.3">
      <c r="B2329" s="33" t="s">
        <v>6463</v>
      </c>
      <c r="C2329" s="32" t="s">
        <v>6464</v>
      </c>
      <c r="D2329" s="32" t="s">
        <v>6465</v>
      </c>
    </row>
    <row r="2330" spans="2:4" x14ac:dyDescent="0.3">
      <c r="B2330" s="33" t="s">
        <v>6466</v>
      </c>
      <c r="C2330" s="32" t="s">
        <v>6467</v>
      </c>
      <c r="D2330" s="32" t="s">
        <v>6468</v>
      </c>
    </row>
    <row r="2331" spans="2:4" x14ac:dyDescent="0.3">
      <c r="B2331" s="33" t="s">
        <v>6469</v>
      </c>
      <c r="C2331" s="32" t="s">
        <v>6470</v>
      </c>
      <c r="D2331" s="32" t="s">
        <v>6471</v>
      </c>
    </row>
    <row r="2332" spans="2:4" x14ac:dyDescent="0.3">
      <c r="B2332" s="33" t="s">
        <v>6472</v>
      </c>
      <c r="C2332" s="32" t="s">
        <v>6473</v>
      </c>
      <c r="D2332" s="32" t="s">
        <v>6474</v>
      </c>
    </row>
    <row r="2333" spans="2:4" x14ac:dyDescent="0.3">
      <c r="B2333" s="33" t="s">
        <v>6475</v>
      </c>
      <c r="C2333" s="32" t="s">
        <v>6476</v>
      </c>
      <c r="D2333" s="32" t="s">
        <v>6477</v>
      </c>
    </row>
    <row r="2334" spans="2:4" x14ac:dyDescent="0.3">
      <c r="B2334" s="33" t="s">
        <v>6478</v>
      </c>
      <c r="C2334" s="32" t="s">
        <v>6479</v>
      </c>
      <c r="D2334" s="32" t="s">
        <v>6480</v>
      </c>
    </row>
    <row r="2335" spans="2:4" x14ac:dyDescent="0.3">
      <c r="B2335" s="33" t="s">
        <v>6481</v>
      </c>
      <c r="C2335" s="32" t="s">
        <v>6482</v>
      </c>
      <c r="D2335" s="32" t="s">
        <v>6483</v>
      </c>
    </row>
    <row r="2336" spans="2:4" x14ac:dyDescent="0.3">
      <c r="B2336" s="33" t="s">
        <v>6484</v>
      </c>
      <c r="C2336" s="32" t="s">
        <v>6485</v>
      </c>
      <c r="D2336" s="32" t="s">
        <v>6486</v>
      </c>
    </row>
    <row r="2337" spans="2:4" x14ac:dyDescent="0.3">
      <c r="B2337" s="33" t="s">
        <v>6487</v>
      </c>
      <c r="C2337" s="32" t="s">
        <v>6488</v>
      </c>
      <c r="D2337" s="32" t="s">
        <v>6489</v>
      </c>
    </row>
    <row r="2338" spans="2:4" x14ac:dyDescent="0.3">
      <c r="B2338" s="33" t="s">
        <v>6490</v>
      </c>
      <c r="C2338" s="32" t="s">
        <v>6491</v>
      </c>
      <c r="D2338" s="32" t="s">
        <v>6492</v>
      </c>
    </row>
    <row r="2339" spans="2:4" x14ac:dyDescent="0.3">
      <c r="B2339" s="33" t="s">
        <v>6493</v>
      </c>
      <c r="C2339" s="32" t="s">
        <v>6494</v>
      </c>
      <c r="D2339" s="32" t="s">
        <v>6495</v>
      </c>
    </row>
    <row r="2340" spans="2:4" x14ac:dyDescent="0.3">
      <c r="B2340" s="33" t="s">
        <v>6496</v>
      </c>
      <c r="C2340" s="32" t="s">
        <v>6497</v>
      </c>
      <c r="D2340" s="32" t="s">
        <v>6498</v>
      </c>
    </row>
    <row r="2341" spans="2:4" x14ac:dyDescent="0.3">
      <c r="B2341" s="33" t="s">
        <v>6499</v>
      </c>
      <c r="C2341" s="32" t="s">
        <v>6500</v>
      </c>
      <c r="D2341" s="32" t="s">
        <v>6501</v>
      </c>
    </row>
    <row r="2342" spans="2:4" x14ac:dyDescent="0.3">
      <c r="B2342" s="33" t="s">
        <v>6502</v>
      </c>
      <c r="C2342" s="32" t="s">
        <v>6503</v>
      </c>
      <c r="D2342" s="32" t="s">
        <v>6504</v>
      </c>
    </row>
    <row r="2343" spans="2:4" x14ac:dyDescent="0.3">
      <c r="B2343" s="33" t="s">
        <v>6505</v>
      </c>
      <c r="C2343" s="32" t="s">
        <v>6506</v>
      </c>
      <c r="D2343" s="32" t="s">
        <v>6507</v>
      </c>
    </row>
    <row r="2344" spans="2:4" x14ac:dyDescent="0.3">
      <c r="B2344" s="33" t="s">
        <v>6505</v>
      </c>
      <c r="C2344" s="32" t="s">
        <v>6508</v>
      </c>
      <c r="D2344" s="32" t="s">
        <v>6509</v>
      </c>
    </row>
    <row r="2345" spans="2:4" x14ac:dyDescent="0.3">
      <c r="B2345" s="33" t="s">
        <v>6510</v>
      </c>
      <c r="C2345" s="32" t="s">
        <v>6511</v>
      </c>
      <c r="D2345" s="32" t="s">
        <v>6512</v>
      </c>
    </row>
    <row r="2346" spans="2:4" x14ac:dyDescent="0.3">
      <c r="B2346" s="33" t="s">
        <v>6513</v>
      </c>
      <c r="C2346" s="32" t="s">
        <v>6514</v>
      </c>
      <c r="D2346" s="32" t="s">
        <v>6515</v>
      </c>
    </row>
    <row r="2347" spans="2:4" x14ac:dyDescent="0.3">
      <c r="B2347" s="33" t="s">
        <v>6516</v>
      </c>
      <c r="C2347" s="32" t="s">
        <v>6517</v>
      </c>
      <c r="D2347" s="32" t="s">
        <v>6518</v>
      </c>
    </row>
    <row r="2348" spans="2:4" x14ac:dyDescent="0.3">
      <c r="B2348" s="33" t="s">
        <v>6519</v>
      </c>
      <c r="C2348" s="32" t="s">
        <v>6520</v>
      </c>
      <c r="D2348" s="32" t="s">
        <v>6521</v>
      </c>
    </row>
    <row r="2349" spans="2:4" x14ac:dyDescent="0.3">
      <c r="B2349" s="33" t="s">
        <v>6522</v>
      </c>
      <c r="C2349" s="32" t="s">
        <v>6523</v>
      </c>
      <c r="D2349" s="32" t="s">
        <v>6524</v>
      </c>
    </row>
    <row r="2350" spans="2:4" x14ac:dyDescent="0.3">
      <c r="B2350" s="33" t="s">
        <v>6525</v>
      </c>
      <c r="C2350" s="32" t="s">
        <v>6526</v>
      </c>
      <c r="D2350" s="32" t="s">
        <v>6527</v>
      </c>
    </row>
    <row r="2351" spans="2:4" x14ac:dyDescent="0.3">
      <c r="B2351" s="33" t="s">
        <v>6528</v>
      </c>
      <c r="C2351" s="32" t="s">
        <v>6529</v>
      </c>
      <c r="D2351" s="32" t="s">
        <v>6530</v>
      </c>
    </row>
    <row r="2352" spans="2:4" x14ac:dyDescent="0.3">
      <c r="B2352" s="33" t="s">
        <v>6531</v>
      </c>
      <c r="C2352" s="32" t="s">
        <v>6532</v>
      </c>
      <c r="D2352" s="32" t="s">
        <v>6533</v>
      </c>
    </row>
    <row r="2353" spans="2:4" x14ac:dyDescent="0.3">
      <c r="B2353" s="33" t="s">
        <v>6534</v>
      </c>
      <c r="C2353" s="32" t="s">
        <v>6535</v>
      </c>
      <c r="D2353" s="32" t="s">
        <v>6536</v>
      </c>
    </row>
    <row r="2354" spans="2:4" x14ac:dyDescent="0.3">
      <c r="B2354" s="33" t="s">
        <v>6537</v>
      </c>
      <c r="C2354" s="32" t="s">
        <v>6538</v>
      </c>
      <c r="D2354" s="32" t="s">
        <v>6539</v>
      </c>
    </row>
    <row r="2355" spans="2:4" x14ac:dyDescent="0.3">
      <c r="B2355" s="33" t="s">
        <v>6265</v>
      </c>
      <c r="C2355" s="32" t="s">
        <v>6540</v>
      </c>
      <c r="D2355" s="32" t="s">
        <v>6541</v>
      </c>
    </row>
    <row r="2356" spans="2:4" x14ac:dyDescent="0.3">
      <c r="B2356" s="33" t="s">
        <v>6542</v>
      </c>
      <c r="C2356" s="32" t="s">
        <v>6543</v>
      </c>
      <c r="D2356" s="32" t="s">
        <v>6544</v>
      </c>
    </row>
    <row r="2357" spans="2:4" x14ac:dyDescent="0.3">
      <c r="B2357" s="33" t="s">
        <v>6545</v>
      </c>
      <c r="C2357" s="32" t="s">
        <v>6546</v>
      </c>
      <c r="D2357" s="32" t="s">
        <v>6547</v>
      </c>
    </row>
    <row r="2358" spans="2:4" x14ac:dyDescent="0.3">
      <c r="B2358" s="33" t="s">
        <v>6548</v>
      </c>
      <c r="C2358" s="32" t="s">
        <v>6549</v>
      </c>
      <c r="D2358" s="32" t="s">
        <v>6550</v>
      </c>
    </row>
    <row r="2359" spans="2:4" x14ac:dyDescent="0.3">
      <c r="B2359" s="33" t="s">
        <v>6551</v>
      </c>
      <c r="C2359" s="32" t="s">
        <v>6552</v>
      </c>
      <c r="D2359" s="32" t="s">
        <v>6553</v>
      </c>
    </row>
    <row r="2360" spans="2:4" x14ac:dyDescent="0.3">
      <c r="B2360" s="33" t="s">
        <v>6522</v>
      </c>
      <c r="C2360" s="32" t="s">
        <v>6554</v>
      </c>
      <c r="D2360" s="32" t="s">
        <v>6555</v>
      </c>
    </row>
    <row r="2361" spans="2:4" x14ac:dyDescent="0.3">
      <c r="B2361" s="33" t="s">
        <v>6556</v>
      </c>
      <c r="C2361" s="32" t="s">
        <v>6557</v>
      </c>
      <c r="D2361" s="32" t="s">
        <v>6558</v>
      </c>
    </row>
    <row r="2362" spans="2:4" x14ac:dyDescent="0.3">
      <c r="B2362" s="33" t="s">
        <v>6559</v>
      </c>
      <c r="C2362" s="32" t="s">
        <v>6560</v>
      </c>
      <c r="D2362" s="32" t="s">
        <v>6561</v>
      </c>
    </row>
    <row r="2363" spans="2:4" x14ac:dyDescent="0.3">
      <c r="B2363" s="33" t="s">
        <v>6562</v>
      </c>
      <c r="C2363" s="32" t="s">
        <v>6563</v>
      </c>
      <c r="D2363" s="32" t="s">
        <v>6564</v>
      </c>
    </row>
    <row r="2364" spans="2:4" x14ac:dyDescent="0.3">
      <c r="B2364" s="33" t="s">
        <v>6565</v>
      </c>
      <c r="C2364" s="32" t="s">
        <v>6566</v>
      </c>
      <c r="D2364" s="32" t="s">
        <v>6567</v>
      </c>
    </row>
    <row r="2365" spans="2:4" x14ac:dyDescent="0.3">
      <c r="B2365" s="33" t="s">
        <v>6568</v>
      </c>
      <c r="C2365" s="32" t="s">
        <v>6569</v>
      </c>
      <c r="D2365" s="32" t="s">
        <v>6570</v>
      </c>
    </row>
    <row r="2366" spans="2:4" x14ac:dyDescent="0.3">
      <c r="B2366" s="33" t="s">
        <v>6571</v>
      </c>
      <c r="C2366" s="32" t="s">
        <v>6572</v>
      </c>
      <c r="D2366" s="32" t="s">
        <v>6573</v>
      </c>
    </row>
    <row r="2367" spans="2:4" x14ac:dyDescent="0.3">
      <c r="B2367" s="33" t="s">
        <v>6574</v>
      </c>
      <c r="C2367" s="32" t="s">
        <v>6575</v>
      </c>
      <c r="D2367" s="32" t="s">
        <v>6576</v>
      </c>
    </row>
    <row r="2368" spans="2:4" x14ac:dyDescent="0.3">
      <c r="B2368" s="33" t="s">
        <v>6577</v>
      </c>
      <c r="C2368" s="32" t="s">
        <v>6578</v>
      </c>
      <c r="D2368" s="32" t="s">
        <v>6579</v>
      </c>
    </row>
    <row r="2369" spans="2:4" x14ac:dyDescent="0.3">
      <c r="B2369" s="33" t="s">
        <v>6580</v>
      </c>
      <c r="C2369" s="32" t="s">
        <v>6581</v>
      </c>
      <c r="D2369" s="32" t="s">
        <v>6582</v>
      </c>
    </row>
    <row r="2370" spans="2:4" x14ac:dyDescent="0.3">
      <c r="B2370" s="33" t="s">
        <v>6583</v>
      </c>
      <c r="C2370" s="32" t="s">
        <v>6584</v>
      </c>
      <c r="D2370" s="32" t="s">
        <v>6585</v>
      </c>
    </row>
    <row r="2371" spans="2:4" x14ac:dyDescent="0.3">
      <c r="B2371" s="33" t="s">
        <v>6586</v>
      </c>
      <c r="C2371" s="32" t="s">
        <v>6587</v>
      </c>
      <c r="D2371" s="32" t="s">
        <v>6588</v>
      </c>
    </row>
    <row r="2372" spans="2:4" x14ac:dyDescent="0.3">
      <c r="B2372" s="33" t="s">
        <v>4664</v>
      </c>
      <c r="C2372" s="32" t="s">
        <v>6589</v>
      </c>
      <c r="D2372" s="32" t="s">
        <v>4664</v>
      </c>
    </row>
    <row r="2373" spans="2:4" x14ac:dyDescent="0.3">
      <c r="B2373" s="33" t="s">
        <v>6590</v>
      </c>
      <c r="C2373" s="32" t="s">
        <v>6591</v>
      </c>
      <c r="D2373" s="32" t="s">
        <v>6592</v>
      </c>
    </row>
    <row r="2374" spans="2:4" x14ac:dyDescent="0.3">
      <c r="B2374" s="33" t="s">
        <v>6593</v>
      </c>
      <c r="C2374" s="32" t="s">
        <v>6594</v>
      </c>
      <c r="D2374" s="32" t="s">
        <v>6595</v>
      </c>
    </row>
    <row r="2375" spans="2:4" x14ac:dyDescent="0.3">
      <c r="B2375" s="33" t="s">
        <v>6596</v>
      </c>
      <c r="C2375" s="32" t="s">
        <v>6597</v>
      </c>
      <c r="D2375" s="32" t="s">
        <v>6598</v>
      </c>
    </row>
    <row r="2376" spans="2:4" x14ac:dyDescent="0.3">
      <c r="B2376" s="33" t="s">
        <v>6599</v>
      </c>
      <c r="C2376" s="32" t="s">
        <v>6600</v>
      </c>
      <c r="D2376" s="32" t="s">
        <v>6601</v>
      </c>
    </row>
    <row r="2377" spans="2:4" x14ac:dyDescent="0.3">
      <c r="B2377" s="33" t="s">
        <v>6602</v>
      </c>
      <c r="C2377" s="32" t="s">
        <v>6603</v>
      </c>
      <c r="D2377" s="32" t="s">
        <v>6604</v>
      </c>
    </row>
    <row r="2378" spans="2:4" x14ac:dyDescent="0.3">
      <c r="B2378" s="33" t="s">
        <v>4664</v>
      </c>
      <c r="C2378" s="32" t="s">
        <v>6605</v>
      </c>
      <c r="D2378" s="32" t="s">
        <v>6606</v>
      </c>
    </row>
    <row r="2379" spans="2:4" x14ac:dyDescent="0.3">
      <c r="B2379" s="33" t="s">
        <v>6606</v>
      </c>
      <c r="C2379" s="32" t="s">
        <v>6607</v>
      </c>
      <c r="D2379" s="32" t="s">
        <v>36990</v>
      </c>
    </row>
    <row r="2380" spans="2:4" x14ac:dyDescent="0.3">
      <c r="B2380" s="33" t="s">
        <v>6608</v>
      </c>
      <c r="C2380" s="32" t="s">
        <v>6609</v>
      </c>
      <c r="D2380" s="32" t="s">
        <v>6610</v>
      </c>
    </row>
    <row r="2381" spans="2:4" x14ac:dyDescent="0.3">
      <c r="B2381" s="33" t="s">
        <v>6562</v>
      </c>
      <c r="C2381" s="32" t="s">
        <v>6611</v>
      </c>
      <c r="D2381" s="32" t="s">
        <v>6612</v>
      </c>
    </row>
    <row r="2382" spans="2:4" x14ac:dyDescent="0.3">
      <c r="B2382" s="33" t="s">
        <v>6613</v>
      </c>
      <c r="C2382" s="32" t="s">
        <v>6614</v>
      </c>
      <c r="D2382" s="32" t="s">
        <v>6615</v>
      </c>
    </row>
    <row r="2383" spans="2:4" x14ac:dyDescent="0.3">
      <c r="B2383" s="33" t="s">
        <v>6616</v>
      </c>
      <c r="C2383" s="32" t="s">
        <v>6617</v>
      </c>
      <c r="D2383" s="32" t="s">
        <v>6618</v>
      </c>
    </row>
    <row r="2384" spans="2:4" x14ac:dyDescent="0.3">
      <c r="B2384" s="33" t="s">
        <v>6619</v>
      </c>
      <c r="C2384" s="32" t="s">
        <v>6620</v>
      </c>
      <c r="D2384" s="32" t="s">
        <v>6621</v>
      </c>
    </row>
    <row r="2385" spans="2:4" x14ac:dyDescent="0.3">
      <c r="B2385" s="33" t="s">
        <v>6622</v>
      </c>
      <c r="C2385" s="32" t="s">
        <v>6623</v>
      </c>
      <c r="D2385" s="32" t="s">
        <v>6624</v>
      </c>
    </row>
    <row r="2386" spans="2:4" x14ac:dyDescent="0.3">
      <c r="B2386" s="33" t="s">
        <v>6393</v>
      </c>
      <c r="C2386" s="32" t="s">
        <v>6625</v>
      </c>
      <c r="D2386" s="32" t="s">
        <v>6393</v>
      </c>
    </row>
    <row r="2387" spans="2:4" x14ac:dyDescent="0.3">
      <c r="B2387" s="33" t="s">
        <v>6393</v>
      </c>
      <c r="C2387" s="32" t="s">
        <v>6626</v>
      </c>
      <c r="D2387" s="32" t="s">
        <v>6627</v>
      </c>
    </row>
    <row r="2388" spans="2:4" x14ac:dyDescent="0.3">
      <c r="B2388" s="33" t="s">
        <v>6628</v>
      </c>
      <c r="C2388" s="32" t="s">
        <v>6629</v>
      </c>
      <c r="D2388" s="32" t="s">
        <v>6630</v>
      </c>
    </row>
    <row r="2389" spans="2:4" x14ac:dyDescent="0.3">
      <c r="B2389" s="33" t="s">
        <v>6608</v>
      </c>
      <c r="C2389" s="32" t="s">
        <v>6631</v>
      </c>
      <c r="D2389" s="32" t="s">
        <v>6632</v>
      </c>
    </row>
    <row r="2390" spans="2:4" x14ac:dyDescent="0.3">
      <c r="B2390" s="33" t="s">
        <v>4664</v>
      </c>
      <c r="C2390" s="32" t="s">
        <v>6633</v>
      </c>
      <c r="D2390" s="32" t="s">
        <v>36814</v>
      </c>
    </row>
    <row r="2391" spans="2:4" x14ac:dyDescent="0.3">
      <c r="B2391" s="33" t="s">
        <v>6484</v>
      </c>
      <c r="C2391" s="32" t="s">
        <v>6634</v>
      </c>
      <c r="D2391" s="32" t="s">
        <v>6635</v>
      </c>
    </row>
    <row r="2392" spans="2:4" x14ac:dyDescent="0.3">
      <c r="B2392" s="33" t="s">
        <v>6636</v>
      </c>
      <c r="C2392" s="32" t="s">
        <v>6637</v>
      </c>
      <c r="D2392" s="32" t="s">
        <v>6638</v>
      </c>
    </row>
    <row r="2393" spans="2:4" x14ac:dyDescent="0.3">
      <c r="B2393" s="33" t="s">
        <v>6639</v>
      </c>
      <c r="C2393" s="32" t="s">
        <v>6640</v>
      </c>
      <c r="D2393" s="32" t="s">
        <v>6641</v>
      </c>
    </row>
    <row r="2394" spans="2:4" x14ac:dyDescent="0.3">
      <c r="B2394" s="33" t="s">
        <v>6642</v>
      </c>
      <c r="C2394" s="32" t="s">
        <v>6643</v>
      </c>
      <c r="D2394" s="32" t="s">
        <v>6644</v>
      </c>
    </row>
    <row r="2395" spans="2:4" x14ac:dyDescent="0.3">
      <c r="B2395" s="33" t="s">
        <v>6645</v>
      </c>
      <c r="C2395" s="32" t="s">
        <v>6646</v>
      </c>
      <c r="D2395" s="32" t="s">
        <v>6645</v>
      </c>
    </row>
    <row r="2396" spans="2:4" x14ac:dyDescent="0.3">
      <c r="B2396" s="33" t="s">
        <v>6647</v>
      </c>
      <c r="C2396" s="32" t="s">
        <v>6648</v>
      </c>
      <c r="D2396" s="32" t="s">
        <v>6649</v>
      </c>
    </row>
    <row r="2397" spans="2:4" x14ac:dyDescent="0.3">
      <c r="B2397" s="33" t="s">
        <v>6650</v>
      </c>
      <c r="C2397" s="32" t="s">
        <v>6651</v>
      </c>
      <c r="D2397" s="32" t="s">
        <v>6652</v>
      </c>
    </row>
    <row r="2398" spans="2:4" x14ac:dyDescent="0.3">
      <c r="B2398" s="33" t="s">
        <v>6653</v>
      </c>
      <c r="C2398" s="32" t="s">
        <v>6654</v>
      </c>
      <c r="D2398" s="32" t="s">
        <v>6655</v>
      </c>
    </row>
    <row r="2399" spans="2:4" x14ac:dyDescent="0.3">
      <c r="B2399" s="33" t="s">
        <v>6656</v>
      </c>
      <c r="C2399" s="32" t="s">
        <v>6657</v>
      </c>
      <c r="D2399" s="32" t="s">
        <v>6656</v>
      </c>
    </row>
    <row r="2400" spans="2:4" x14ac:dyDescent="0.3">
      <c r="B2400" s="33" t="s">
        <v>6658</v>
      </c>
      <c r="C2400" s="32" t="s">
        <v>6659</v>
      </c>
      <c r="D2400" s="32" t="s">
        <v>6658</v>
      </c>
    </row>
    <row r="2401" spans="2:4" x14ac:dyDescent="0.3">
      <c r="B2401" s="33" t="s">
        <v>7959</v>
      </c>
      <c r="C2401" s="32" t="s">
        <v>36815</v>
      </c>
      <c r="D2401" s="32" t="s">
        <v>7959</v>
      </c>
    </row>
    <row r="2402" spans="2:4" x14ac:dyDescent="0.3">
      <c r="B2402" s="33" t="s">
        <v>6660</v>
      </c>
      <c r="C2402" s="32" t="s">
        <v>6661</v>
      </c>
      <c r="D2402" s="32" t="s">
        <v>6662</v>
      </c>
    </row>
    <row r="2403" spans="2:4" x14ac:dyDescent="0.3">
      <c r="B2403" s="33" t="s">
        <v>6663</v>
      </c>
      <c r="C2403" s="32" t="s">
        <v>6664</v>
      </c>
      <c r="D2403" s="32" t="s">
        <v>6665</v>
      </c>
    </row>
    <row r="2404" spans="2:4" x14ac:dyDescent="0.3">
      <c r="B2404" s="33" t="s">
        <v>6658</v>
      </c>
      <c r="C2404" s="32" t="s">
        <v>6666</v>
      </c>
      <c r="D2404" s="32" t="s">
        <v>6667</v>
      </c>
    </row>
    <row r="2405" spans="2:4" x14ac:dyDescent="0.3">
      <c r="B2405" s="33" t="s">
        <v>6668</v>
      </c>
      <c r="C2405" s="32" t="s">
        <v>6669</v>
      </c>
      <c r="D2405" s="32" t="s">
        <v>6670</v>
      </c>
    </row>
    <row r="2406" spans="2:4" x14ac:dyDescent="0.3">
      <c r="B2406" s="33" t="s">
        <v>6671</v>
      </c>
      <c r="C2406" s="32" t="s">
        <v>6672</v>
      </c>
      <c r="D2406" s="32" t="s">
        <v>6673</v>
      </c>
    </row>
    <row r="2407" spans="2:4" x14ac:dyDescent="0.3">
      <c r="B2407" s="33" t="s">
        <v>6674</v>
      </c>
      <c r="C2407" s="32" t="s">
        <v>6675</v>
      </c>
      <c r="D2407" s="32" t="s">
        <v>6676</v>
      </c>
    </row>
    <row r="2408" spans="2:4" x14ac:dyDescent="0.3">
      <c r="B2408" s="33" t="s">
        <v>6677</v>
      </c>
      <c r="C2408" s="32" t="s">
        <v>6678</v>
      </c>
      <c r="D2408" s="32" t="s">
        <v>6679</v>
      </c>
    </row>
    <row r="2409" spans="2:4" x14ac:dyDescent="0.3">
      <c r="B2409" s="33" t="s">
        <v>6680</v>
      </c>
      <c r="C2409" s="32" t="s">
        <v>6681</v>
      </c>
      <c r="D2409" s="32" t="s">
        <v>37154</v>
      </c>
    </row>
    <row r="2410" spans="2:4" x14ac:dyDescent="0.3">
      <c r="B2410" s="33" t="s">
        <v>501</v>
      </c>
      <c r="C2410" s="32" t="s">
        <v>6682</v>
      </c>
      <c r="D2410" s="32" t="s">
        <v>6683</v>
      </c>
    </row>
    <row r="2411" spans="2:4" x14ac:dyDescent="0.3">
      <c r="B2411" s="33" t="s">
        <v>6684</v>
      </c>
      <c r="C2411" s="32" t="s">
        <v>6685</v>
      </c>
      <c r="D2411" s="32" t="s">
        <v>6686</v>
      </c>
    </row>
    <row r="2412" spans="2:4" x14ac:dyDescent="0.3">
      <c r="B2412" s="33" t="s">
        <v>6687</v>
      </c>
      <c r="C2412" s="32" t="s">
        <v>6688</v>
      </c>
      <c r="D2412" s="32" t="s">
        <v>6689</v>
      </c>
    </row>
    <row r="2413" spans="2:4" x14ac:dyDescent="0.3">
      <c r="B2413" s="33" t="s">
        <v>6690</v>
      </c>
      <c r="C2413" s="32" t="s">
        <v>6691</v>
      </c>
      <c r="D2413" s="32" t="s">
        <v>6692</v>
      </c>
    </row>
    <row r="2414" spans="2:4" x14ac:dyDescent="0.3">
      <c r="B2414" s="33" t="s">
        <v>6693</v>
      </c>
      <c r="C2414" s="32" t="s">
        <v>6694</v>
      </c>
      <c r="D2414" s="32" t="s">
        <v>6695</v>
      </c>
    </row>
    <row r="2415" spans="2:4" x14ac:dyDescent="0.3">
      <c r="B2415" s="33" t="s">
        <v>6696</v>
      </c>
      <c r="C2415" s="32" t="s">
        <v>6697</v>
      </c>
      <c r="D2415" s="32" t="s">
        <v>6698</v>
      </c>
    </row>
    <row r="2416" spans="2:4" x14ac:dyDescent="0.3">
      <c r="B2416" s="33" t="s">
        <v>6699</v>
      </c>
      <c r="C2416" s="32" t="s">
        <v>6700</v>
      </c>
      <c r="D2416" s="32" t="s">
        <v>6701</v>
      </c>
    </row>
    <row r="2417" spans="2:4" x14ac:dyDescent="0.3">
      <c r="B2417" s="33" t="s">
        <v>6490</v>
      </c>
      <c r="C2417" s="32" t="s">
        <v>6702</v>
      </c>
      <c r="D2417" s="32" t="s">
        <v>6703</v>
      </c>
    </row>
    <row r="2418" spans="2:4" x14ac:dyDescent="0.3">
      <c r="B2418" s="33" t="s">
        <v>6704</v>
      </c>
      <c r="C2418" s="32" t="s">
        <v>6705</v>
      </c>
      <c r="D2418" s="32" t="s">
        <v>6706</v>
      </c>
    </row>
    <row r="2419" spans="2:4" x14ac:dyDescent="0.3">
      <c r="B2419" s="33" t="s">
        <v>6707</v>
      </c>
      <c r="C2419" s="32" t="s">
        <v>6708</v>
      </c>
      <c r="D2419" s="32" t="s">
        <v>6709</v>
      </c>
    </row>
    <row r="2420" spans="2:4" x14ac:dyDescent="0.3">
      <c r="B2420" s="33" t="s">
        <v>6710</v>
      </c>
      <c r="C2420" s="32" t="s">
        <v>6711</v>
      </c>
      <c r="D2420" s="32" t="s">
        <v>6712</v>
      </c>
    </row>
    <row r="2421" spans="2:4" x14ac:dyDescent="0.3">
      <c r="B2421" s="33" t="s">
        <v>6713</v>
      </c>
      <c r="C2421" s="32" t="s">
        <v>6714</v>
      </c>
      <c r="D2421" s="32" t="s">
        <v>6715</v>
      </c>
    </row>
    <row r="2422" spans="2:4" x14ac:dyDescent="0.3">
      <c r="B2422" s="33" t="s">
        <v>6716</v>
      </c>
      <c r="C2422" s="32" t="s">
        <v>6717</v>
      </c>
      <c r="D2422" s="32" t="s">
        <v>6718</v>
      </c>
    </row>
    <row r="2423" spans="2:4" x14ac:dyDescent="0.3">
      <c r="B2423" s="33" t="s">
        <v>6373</v>
      </c>
      <c r="C2423" s="32" t="s">
        <v>6719</v>
      </c>
      <c r="D2423" s="32" t="s">
        <v>6720</v>
      </c>
    </row>
    <row r="2424" spans="2:4" x14ac:dyDescent="0.3">
      <c r="B2424" s="33" t="s">
        <v>6721</v>
      </c>
      <c r="C2424" s="32" t="s">
        <v>6722</v>
      </c>
      <c r="D2424" s="32" t="s">
        <v>6723</v>
      </c>
    </row>
    <row r="2425" spans="2:4" x14ac:dyDescent="0.3">
      <c r="B2425" s="33" t="s">
        <v>6724</v>
      </c>
      <c r="C2425" s="32" t="s">
        <v>6725</v>
      </c>
      <c r="D2425" s="32" t="s">
        <v>6726</v>
      </c>
    </row>
    <row r="2426" spans="2:4" x14ac:dyDescent="0.3">
      <c r="B2426" s="33" t="s">
        <v>6724</v>
      </c>
      <c r="C2426" s="32" t="s">
        <v>6727</v>
      </c>
      <c r="D2426" s="32" t="s">
        <v>6728</v>
      </c>
    </row>
    <row r="2427" spans="2:4" x14ac:dyDescent="0.3">
      <c r="B2427" s="33" t="s">
        <v>6729</v>
      </c>
      <c r="C2427" s="32" t="s">
        <v>6730</v>
      </c>
      <c r="D2427" s="32" t="s">
        <v>6731</v>
      </c>
    </row>
    <row r="2428" spans="2:4" x14ac:dyDescent="0.3">
      <c r="B2428" s="33" t="s">
        <v>6732</v>
      </c>
      <c r="C2428" s="32" t="s">
        <v>6733</v>
      </c>
      <c r="D2428" s="32" t="s">
        <v>6734</v>
      </c>
    </row>
    <row r="2429" spans="2:4" x14ac:dyDescent="0.3">
      <c r="B2429" s="33" t="s">
        <v>6735</v>
      </c>
      <c r="C2429" s="32" t="s">
        <v>6736</v>
      </c>
      <c r="D2429" s="32" t="s">
        <v>6737</v>
      </c>
    </row>
    <row r="2430" spans="2:4" x14ac:dyDescent="0.3">
      <c r="B2430" s="33" t="s">
        <v>6738</v>
      </c>
      <c r="C2430" s="32" t="s">
        <v>6739</v>
      </c>
      <c r="D2430" s="32" t="s">
        <v>6740</v>
      </c>
    </row>
    <row r="2431" spans="2:4" x14ac:dyDescent="0.3">
      <c r="B2431" s="33" t="s">
        <v>6741</v>
      </c>
      <c r="C2431" s="32" t="s">
        <v>6742</v>
      </c>
      <c r="D2431" s="32" t="s">
        <v>6743</v>
      </c>
    </row>
    <row r="2432" spans="2:4" x14ac:dyDescent="0.3">
      <c r="B2432" s="33" t="s">
        <v>6744</v>
      </c>
      <c r="C2432" s="32" t="s">
        <v>6745</v>
      </c>
      <c r="D2432" s="32" t="s">
        <v>6746</v>
      </c>
    </row>
    <row r="2433" spans="2:4" x14ac:dyDescent="0.3">
      <c r="B2433" s="33" t="s">
        <v>6747</v>
      </c>
      <c r="C2433" s="32" t="s">
        <v>6748</v>
      </c>
      <c r="D2433" s="32" t="s">
        <v>6749</v>
      </c>
    </row>
    <row r="2434" spans="2:4" x14ac:dyDescent="0.3">
      <c r="B2434" s="33" t="s">
        <v>6750</v>
      </c>
      <c r="C2434" s="32" t="s">
        <v>6751</v>
      </c>
      <c r="D2434" s="32" t="s">
        <v>6752</v>
      </c>
    </row>
    <row r="2435" spans="2:4" x14ac:dyDescent="0.3">
      <c r="B2435" s="33" t="s">
        <v>6753</v>
      </c>
      <c r="C2435" s="32" t="s">
        <v>6754</v>
      </c>
      <c r="D2435" s="32" t="s">
        <v>6755</v>
      </c>
    </row>
    <row r="2436" spans="2:4" x14ac:dyDescent="0.3">
      <c r="B2436" s="33" t="s">
        <v>6750</v>
      </c>
      <c r="C2436" s="32" t="s">
        <v>6756</v>
      </c>
      <c r="D2436" s="32" t="s">
        <v>6757</v>
      </c>
    </row>
    <row r="2437" spans="2:4" x14ac:dyDescent="0.3">
      <c r="B2437" s="33" t="s">
        <v>6758</v>
      </c>
      <c r="C2437" s="32" t="s">
        <v>6759</v>
      </c>
      <c r="D2437" s="32" t="s">
        <v>6760</v>
      </c>
    </row>
    <row r="2438" spans="2:4" x14ac:dyDescent="0.3">
      <c r="B2438" s="33" t="s">
        <v>6761</v>
      </c>
      <c r="C2438" s="32" t="s">
        <v>6762</v>
      </c>
      <c r="D2438" s="32" t="s">
        <v>6763</v>
      </c>
    </row>
    <row r="2439" spans="2:4" x14ac:dyDescent="0.3">
      <c r="B2439" s="33" t="s">
        <v>6764</v>
      </c>
      <c r="C2439" s="32" t="s">
        <v>6765</v>
      </c>
      <c r="D2439" s="32" t="s">
        <v>6766</v>
      </c>
    </row>
    <row r="2440" spans="2:4" x14ac:dyDescent="0.3">
      <c r="B2440" s="33" t="s">
        <v>6767</v>
      </c>
      <c r="C2440" s="32" t="s">
        <v>6768</v>
      </c>
      <c r="D2440" s="32" t="s">
        <v>6769</v>
      </c>
    </row>
    <row r="2441" spans="2:4" x14ac:dyDescent="0.3">
      <c r="B2441" s="33" t="s">
        <v>6747</v>
      </c>
      <c r="C2441" s="32" t="s">
        <v>6770</v>
      </c>
      <c r="D2441" s="32" t="s">
        <v>6771</v>
      </c>
    </row>
    <row r="2442" spans="2:4" x14ac:dyDescent="0.3">
      <c r="B2442" s="33" t="s">
        <v>6542</v>
      </c>
      <c r="C2442" s="32" t="s">
        <v>6772</v>
      </c>
      <c r="D2442" s="32" t="s">
        <v>6773</v>
      </c>
    </row>
    <row r="2443" spans="2:4" x14ac:dyDescent="0.3">
      <c r="B2443" s="33" t="s">
        <v>6774</v>
      </c>
      <c r="C2443" s="32" t="s">
        <v>6775</v>
      </c>
      <c r="D2443" s="32" t="s">
        <v>6776</v>
      </c>
    </row>
    <row r="2444" spans="2:4" x14ac:dyDescent="0.3">
      <c r="B2444" s="33" t="s">
        <v>6777</v>
      </c>
      <c r="C2444" s="32" t="s">
        <v>6778</v>
      </c>
      <c r="D2444" s="32" t="s">
        <v>6779</v>
      </c>
    </row>
    <row r="2445" spans="2:4" x14ac:dyDescent="0.3">
      <c r="B2445" s="33" t="s">
        <v>6780</v>
      </c>
      <c r="C2445" s="32" t="s">
        <v>6781</v>
      </c>
      <c r="D2445" s="32" t="s">
        <v>6782</v>
      </c>
    </row>
    <row r="2446" spans="2:4" x14ac:dyDescent="0.3">
      <c r="B2446" s="33" t="s">
        <v>6783</v>
      </c>
      <c r="C2446" s="32" t="s">
        <v>6784</v>
      </c>
      <c r="D2446" s="32" t="s">
        <v>6785</v>
      </c>
    </row>
    <row r="2447" spans="2:4" x14ac:dyDescent="0.3">
      <c r="B2447" s="33" t="s">
        <v>6786</v>
      </c>
      <c r="C2447" s="32" t="s">
        <v>6787</v>
      </c>
      <c r="D2447" s="32" t="s">
        <v>6788</v>
      </c>
    </row>
    <row r="2448" spans="2:4" x14ac:dyDescent="0.3">
      <c r="B2448" s="33" t="s">
        <v>6789</v>
      </c>
      <c r="C2448" s="32" t="s">
        <v>6790</v>
      </c>
      <c r="D2448" s="32" t="s">
        <v>6791</v>
      </c>
    </row>
    <row r="2449" spans="2:4" x14ac:dyDescent="0.3">
      <c r="B2449" s="33" t="s">
        <v>6792</v>
      </c>
      <c r="C2449" s="32" t="s">
        <v>6793</v>
      </c>
      <c r="D2449" s="32" t="s">
        <v>37155</v>
      </c>
    </row>
    <row r="2450" spans="2:4" x14ac:dyDescent="0.3">
      <c r="B2450" s="33" t="s">
        <v>6794</v>
      </c>
      <c r="C2450" s="32" t="s">
        <v>6795</v>
      </c>
      <c r="D2450" s="32" t="s">
        <v>6796</v>
      </c>
    </row>
    <row r="2451" spans="2:4" x14ac:dyDescent="0.3">
      <c r="B2451" s="33" t="s">
        <v>6502</v>
      </c>
      <c r="C2451" s="32" t="s">
        <v>6797</v>
      </c>
      <c r="D2451" s="32" t="s">
        <v>6798</v>
      </c>
    </row>
    <row r="2452" spans="2:4" x14ac:dyDescent="0.3">
      <c r="B2452" s="33" t="s">
        <v>6799</v>
      </c>
      <c r="C2452" s="32" t="s">
        <v>6800</v>
      </c>
      <c r="D2452" s="32" t="s">
        <v>6801</v>
      </c>
    </row>
    <row r="2453" spans="2:4" x14ac:dyDescent="0.3">
      <c r="B2453" s="33" t="s">
        <v>6802</v>
      </c>
      <c r="C2453" s="32" t="s">
        <v>6803</v>
      </c>
      <c r="D2453" s="32" t="s">
        <v>6804</v>
      </c>
    </row>
    <row r="2454" spans="2:4" x14ac:dyDescent="0.3">
      <c r="B2454" s="33" t="s">
        <v>6805</v>
      </c>
      <c r="C2454" s="32" t="s">
        <v>6806</v>
      </c>
      <c r="D2454" s="32" t="s">
        <v>6807</v>
      </c>
    </row>
    <row r="2455" spans="2:4" x14ac:dyDescent="0.3">
      <c r="B2455" s="33" t="s">
        <v>6808</v>
      </c>
      <c r="C2455" s="32" t="s">
        <v>6809</v>
      </c>
      <c r="D2455" s="32" t="s">
        <v>6810</v>
      </c>
    </row>
    <row r="2456" spans="2:4" x14ac:dyDescent="0.3">
      <c r="B2456" s="33" t="s">
        <v>6811</v>
      </c>
      <c r="C2456" s="32" t="s">
        <v>6812</v>
      </c>
      <c r="D2456" s="32" t="s">
        <v>6813</v>
      </c>
    </row>
    <row r="2457" spans="2:4" x14ac:dyDescent="0.3">
      <c r="B2457" s="33" t="s">
        <v>6814</v>
      </c>
      <c r="C2457" s="32" t="s">
        <v>6815</v>
      </c>
      <c r="D2457" s="32" t="s">
        <v>6816</v>
      </c>
    </row>
    <row r="2458" spans="2:4" x14ac:dyDescent="0.3">
      <c r="B2458" s="33" t="s">
        <v>6817</v>
      </c>
      <c r="C2458" s="32" t="s">
        <v>6818</v>
      </c>
      <c r="D2458" s="32" t="s">
        <v>6819</v>
      </c>
    </row>
    <row r="2459" spans="2:4" x14ac:dyDescent="0.3">
      <c r="B2459" s="33" t="s">
        <v>135</v>
      </c>
      <c r="C2459" s="32" t="s">
        <v>6820</v>
      </c>
      <c r="D2459" s="32" t="s">
        <v>136</v>
      </c>
    </row>
    <row r="2460" spans="2:4" x14ac:dyDescent="0.3">
      <c r="B2460" s="33" t="s">
        <v>6821</v>
      </c>
      <c r="C2460" s="32" t="s">
        <v>6822</v>
      </c>
      <c r="D2460" s="32" t="s">
        <v>6823</v>
      </c>
    </row>
    <row r="2461" spans="2:4" x14ac:dyDescent="0.3">
      <c r="B2461" s="33" t="s">
        <v>6824</v>
      </c>
      <c r="C2461" s="32" t="s">
        <v>6825</v>
      </c>
      <c r="D2461" s="32" t="s">
        <v>6826</v>
      </c>
    </row>
    <row r="2462" spans="2:4" x14ac:dyDescent="0.3">
      <c r="B2462" s="33" t="s">
        <v>6827</v>
      </c>
      <c r="C2462" s="32" t="s">
        <v>6828</v>
      </c>
      <c r="D2462" s="32" t="s">
        <v>6829</v>
      </c>
    </row>
    <row r="2463" spans="2:4" x14ac:dyDescent="0.3">
      <c r="B2463" s="33" t="s">
        <v>6830</v>
      </c>
      <c r="C2463" s="32" t="s">
        <v>6831</v>
      </c>
      <c r="D2463" s="32" t="s">
        <v>6832</v>
      </c>
    </row>
    <row r="2464" spans="2:4" x14ac:dyDescent="0.3">
      <c r="B2464" s="33" t="s">
        <v>6833</v>
      </c>
      <c r="C2464" s="32" t="s">
        <v>6834</v>
      </c>
      <c r="D2464" s="32" t="s">
        <v>6835</v>
      </c>
    </row>
    <row r="2465" spans="2:4" x14ac:dyDescent="0.3">
      <c r="B2465" s="33" t="s">
        <v>6836</v>
      </c>
      <c r="C2465" s="32" t="s">
        <v>6837</v>
      </c>
      <c r="D2465" s="32" t="s">
        <v>6838</v>
      </c>
    </row>
    <row r="2466" spans="2:4" x14ac:dyDescent="0.3">
      <c r="B2466" s="33" t="s">
        <v>6839</v>
      </c>
      <c r="C2466" s="32" t="s">
        <v>6840</v>
      </c>
      <c r="D2466" s="32" t="s">
        <v>6841</v>
      </c>
    </row>
    <row r="2467" spans="2:4" x14ac:dyDescent="0.3">
      <c r="B2467" s="33" t="s">
        <v>6842</v>
      </c>
      <c r="C2467" s="32" t="s">
        <v>6843</v>
      </c>
      <c r="D2467" s="32" t="s">
        <v>6844</v>
      </c>
    </row>
    <row r="2468" spans="2:4" x14ac:dyDescent="0.3">
      <c r="B2468" s="33" t="s">
        <v>6845</v>
      </c>
      <c r="C2468" s="32" t="s">
        <v>6846</v>
      </c>
      <c r="D2468" s="32" t="s">
        <v>6847</v>
      </c>
    </row>
    <row r="2469" spans="2:4" x14ac:dyDescent="0.3">
      <c r="B2469" s="33" t="s">
        <v>6848</v>
      </c>
      <c r="C2469" s="32" t="s">
        <v>6849</v>
      </c>
      <c r="D2469" s="32" t="s">
        <v>6850</v>
      </c>
    </row>
    <row r="2470" spans="2:4" x14ac:dyDescent="0.3">
      <c r="B2470" s="33" t="s">
        <v>6851</v>
      </c>
      <c r="C2470" s="32" t="s">
        <v>6852</v>
      </c>
      <c r="D2470" s="32" t="s">
        <v>6853</v>
      </c>
    </row>
    <row r="2471" spans="2:4" x14ac:dyDescent="0.3">
      <c r="B2471" s="33" t="s">
        <v>6854</v>
      </c>
      <c r="C2471" s="32" t="s">
        <v>6855</v>
      </c>
      <c r="D2471" s="32" t="s">
        <v>6856</v>
      </c>
    </row>
    <row r="2472" spans="2:4" x14ac:dyDescent="0.3">
      <c r="B2472" s="33" t="s">
        <v>6857</v>
      </c>
      <c r="C2472" s="32" t="s">
        <v>6858</v>
      </c>
      <c r="D2472" s="32" t="s">
        <v>6859</v>
      </c>
    </row>
    <row r="2473" spans="2:4" x14ac:dyDescent="0.3">
      <c r="B2473" s="33" t="s">
        <v>83</v>
      </c>
      <c r="C2473" s="32" t="s">
        <v>6860</v>
      </c>
      <c r="D2473" s="32" t="s">
        <v>84</v>
      </c>
    </row>
    <row r="2474" spans="2:4" x14ac:dyDescent="0.3">
      <c r="B2474" s="33" t="s">
        <v>83</v>
      </c>
      <c r="C2474" s="32" t="s">
        <v>6861</v>
      </c>
      <c r="D2474" s="32" t="s">
        <v>6862</v>
      </c>
    </row>
    <row r="2475" spans="2:4" x14ac:dyDescent="0.3">
      <c r="B2475" s="33" t="s">
        <v>6863</v>
      </c>
      <c r="C2475" s="32" t="s">
        <v>6864</v>
      </c>
      <c r="D2475" s="32" t="s">
        <v>6865</v>
      </c>
    </row>
    <row r="2476" spans="2:4" x14ac:dyDescent="0.3">
      <c r="B2476" s="33" t="s">
        <v>6866</v>
      </c>
      <c r="C2476" s="32" t="s">
        <v>6867</v>
      </c>
      <c r="D2476" s="32" t="s">
        <v>6868</v>
      </c>
    </row>
    <row r="2477" spans="2:4" x14ac:dyDescent="0.3">
      <c r="B2477" s="33" t="s">
        <v>6869</v>
      </c>
      <c r="C2477" s="32" t="s">
        <v>6870</v>
      </c>
      <c r="D2477" s="32" t="s">
        <v>6871</v>
      </c>
    </row>
    <row r="2478" spans="2:4" x14ac:dyDescent="0.3">
      <c r="B2478" s="33" t="s">
        <v>6872</v>
      </c>
      <c r="C2478" s="32" t="s">
        <v>6873</v>
      </c>
      <c r="D2478" s="32" t="s">
        <v>6874</v>
      </c>
    </row>
    <row r="2479" spans="2:4" x14ac:dyDescent="0.3">
      <c r="B2479" s="33" t="s">
        <v>6875</v>
      </c>
      <c r="C2479" s="32" t="s">
        <v>6876</v>
      </c>
      <c r="D2479" s="32" t="s">
        <v>6877</v>
      </c>
    </row>
    <row r="2480" spans="2:4" x14ac:dyDescent="0.3">
      <c r="B2480" s="33" t="s">
        <v>6878</v>
      </c>
      <c r="C2480" s="32" t="s">
        <v>6879</v>
      </c>
      <c r="D2480" s="32" t="s">
        <v>6880</v>
      </c>
    </row>
    <row r="2481" spans="2:4" x14ac:dyDescent="0.3">
      <c r="B2481" s="33" t="s">
        <v>6881</v>
      </c>
      <c r="C2481" s="32" t="s">
        <v>6882</v>
      </c>
      <c r="D2481" s="32" t="s">
        <v>6883</v>
      </c>
    </row>
    <row r="2482" spans="2:4" x14ac:dyDescent="0.3">
      <c r="B2482" s="33" t="s">
        <v>6884</v>
      </c>
      <c r="C2482" s="32" t="s">
        <v>6885</v>
      </c>
      <c r="D2482" s="32" t="s">
        <v>6886</v>
      </c>
    </row>
    <row r="2483" spans="2:4" x14ac:dyDescent="0.3">
      <c r="B2483" s="33" t="s">
        <v>6887</v>
      </c>
      <c r="C2483" s="32" t="s">
        <v>6888</v>
      </c>
      <c r="D2483" s="32" t="s">
        <v>6889</v>
      </c>
    </row>
    <row r="2484" spans="2:4" x14ac:dyDescent="0.3">
      <c r="B2484" s="33" t="s">
        <v>6890</v>
      </c>
      <c r="C2484" s="32" t="s">
        <v>6891</v>
      </c>
      <c r="D2484" s="32" t="s">
        <v>6892</v>
      </c>
    </row>
    <row r="2485" spans="2:4" x14ac:dyDescent="0.3">
      <c r="B2485" s="33" t="s">
        <v>6893</v>
      </c>
      <c r="C2485" s="32" t="s">
        <v>6894</v>
      </c>
      <c r="D2485" s="32" t="s">
        <v>6895</v>
      </c>
    </row>
    <row r="2486" spans="2:4" x14ac:dyDescent="0.3">
      <c r="B2486" s="33" t="s">
        <v>6896</v>
      </c>
      <c r="C2486" s="32" t="s">
        <v>6897</v>
      </c>
      <c r="D2486" s="32" t="s">
        <v>6898</v>
      </c>
    </row>
    <row r="2487" spans="2:4" x14ac:dyDescent="0.3">
      <c r="B2487" s="33" t="s">
        <v>6899</v>
      </c>
      <c r="C2487" s="32" t="s">
        <v>6900</v>
      </c>
      <c r="D2487" s="32" t="s">
        <v>6901</v>
      </c>
    </row>
    <row r="2488" spans="2:4" x14ac:dyDescent="0.3">
      <c r="B2488" s="33" t="s">
        <v>6344</v>
      </c>
      <c r="C2488" s="32" t="s">
        <v>6902</v>
      </c>
      <c r="D2488" s="32" t="s">
        <v>6903</v>
      </c>
    </row>
    <row r="2489" spans="2:4" x14ac:dyDescent="0.3">
      <c r="B2489" s="33" t="s">
        <v>6904</v>
      </c>
      <c r="C2489" s="32" t="s">
        <v>6905</v>
      </c>
      <c r="D2489" s="32" t="s">
        <v>6906</v>
      </c>
    </row>
    <row r="2490" spans="2:4" x14ac:dyDescent="0.3">
      <c r="B2490" s="33" t="s">
        <v>6907</v>
      </c>
      <c r="C2490" s="32" t="s">
        <v>6908</v>
      </c>
      <c r="D2490" s="32" t="s">
        <v>6909</v>
      </c>
    </row>
    <row r="2491" spans="2:4" x14ac:dyDescent="0.3">
      <c r="B2491" s="33" t="s">
        <v>6910</v>
      </c>
      <c r="C2491" s="32" t="s">
        <v>6911</v>
      </c>
      <c r="D2491" s="32" t="s">
        <v>6912</v>
      </c>
    </row>
    <row r="2492" spans="2:4" x14ac:dyDescent="0.3">
      <c r="B2492" s="33" t="s">
        <v>6913</v>
      </c>
      <c r="C2492" s="32" t="s">
        <v>6914</v>
      </c>
      <c r="D2492" s="32" t="s">
        <v>6915</v>
      </c>
    </row>
    <row r="2493" spans="2:4" x14ac:dyDescent="0.3">
      <c r="B2493" s="33" t="s">
        <v>6916</v>
      </c>
      <c r="C2493" s="32" t="s">
        <v>6917</v>
      </c>
      <c r="D2493" s="32" t="s">
        <v>6918</v>
      </c>
    </row>
    <row r="2494" spans="2:4" x14ac:dyDescent="0.3">
      <c r="B2494" s="33" t="s">
        <v>6919</v>
      </c>
      <c r="C2494" s="32" t="s">
        <v>6920</v>
      </c>
      <c r="D2494" s="32" t="s">
        <v>6921</v>
      </c>
    </row>
    <row r="2495" spans="2:4" x14ac:dyDescent="0.3">
      <c r="B2495" s="33" t="s">
        <v>6922</v>
      </c>
      <c r="C2495" s="32" t="s">
        <v>6923</v>
      </c>
      <c r="D2495" s="32" t="s">
        <v>6924</v>
      </c>
    </row>
    <row r="2496" spans="2:4" x14ac:dyDescent="0.3">
      <c r="B2496" s="33" t="s">
        <v>6925</v>
      </c>
      <c r="C2496" s="32" t="s">
        <v>6926</v>
      </c>
      <c r="D2496" s="32" t="s">
        <v>6927</v>
      </c>
    </row>
    <row r="2497" spans="2:4" x14ac:dyDescent="0.3">
      <c r="B2497" s="33" t="s">
        <v>6928</v>
      </c>
      <c r="C2497" s="32" t="s">
        <v>6929</v>
      </c>
      <c r="D2497" s="32" t="s">
        <v>6930</v>
      </c>
    </row>
    <row r="2498" spans="2:4" x14ac:dyDescent="0.3">
      <c r="B2498" s="33" t="s">
        <v>6931</v>
      </c>
      <c r="C2498" s="32" t="s">
        <v>6932</v>
      </c>
      <c r="D2498" s="32" t="s">
        <v>6933</v>
      </c>
    </row>
    <row r="2499" spans="2:4" x14ac:dyDescent="0.3">
      <c r="B2499" s="33" t="s">
        <v>6263</v>
      </c>
      <c r="C2499" s="32" t="s">
        <v>6934</v>
      </c>
      <c r="D2499" s="32" t="s">
        <v>6935</v>
      </c>
    </row>
    <row r="2500" spans="2:4" x14ac:dyDescent="0.3">
      <c r="B2500" s="33" t="s">
        <v>6936</v>
      </c>
      <c r="C2500" s="32" t="s">
        <v>6937</v>
      </c>
      <c r="D2500" s="32" t="s">
        <v>6938</v>
      </c>
    </row>
    <row r="2501" spans="2:4" x14ac:dyDescent="0.3">
      <c r="B2501" s="33" t="s">
        <v>6939</v>
      </c>
      <c r="C2501" s="32" t="s">
        <v>6940</v>
      </c>
      <c r="D2501" s="32" t="s">
        <v>6941</v>
      </c>
    </row>
    <row r="2502" spans="2:4" x14ac:dyDescent="0.3">
      <c r="B2502" s="33" t="s">
        <v>6942</v>
      </c>
      <c r="C2502" s="32" t="s">
        <v>6943</v>
      </c>
      <c r="D2502" s="32" t="s">
        <v>6944</v>
      </c>
    </row>
    <row r="2503" spans="2:4" x14ac:dyDescent="0.3">
      <c r="B2503" s="33" t="s">
        <v>5373</v>
      </c>
      <c r="C2503" s="32" t="s">
        <v>6945</v>
      </c>
      <c r="D2503" s="32" t="s">
        <v>6946</v>
      </c>
    </row>
    <row r="2504" spans="2:4" x14ac:dyDescent="0.3">
      <c r="B2504" s="33" t="s">
        <v>6947</v>
      </c>
      <c r="C2504" s="32" t="s">
        <v>6948</v>
      </c>
      <c r="D2504" s="32" t="s">
        <v>6949</v>
      </c>
    </row>
    <row r="2505" spans="2:4" x14ac:dyDescent="0.3">
      <c r="B2505" s="33" t="s">
        <v>6950</v>
      </c>
      <c r="C2505" s="32" t="s">
        <v>6951</v>
      </c>
      <c r="D2505" s="32" t="s">
        <v>6952</v>
      </c>
    </row>
    <row r="2506" spans="2:4" x14ac:dyDescent="0.3">
      <c r="B2506" s="33" t="s">
        <v>6953</v>
      </c>
      <c r="C2506" s="32" t="s">
        <v>6954</v>
      </c>
      <c r="D2506" s="32" t="s">
        <v>6955</v>
      </c>
    </row>
    <row r="2507" spans="2:4" x14ac:dyDescent="0.3">
      <c r="B2507" s="33" t="s">
        <v>6956</v>
      </c>
      <c r="C2507" s="32" t="s">
        <v>6957</v>
      </c>
      <c r="D2507" s="32" t="s">
        <v>6958</v>
      </c>
    </row>
    <row r="2508" spans="2:4" x14ac:dyDescent="0.3">
      <c r="B2508" s="33" t="s">
        <v>6956</v>
      </c>
      <c r="C2508" s="32" t="s">
        <v>6959</v>
      </c>
      <c r="D2508" s="32" t="s">
        <v>6960</v>
      </c>
    </row>
    <row r="2509" spans="2:4" x14ac:dyDescent="0.3">
      <c r="B2509" s="33" t="s">
        <v>6961</v>
      </c>
      <c r="C2509" s="32" t="s">
        <v>6962</v>
      </c>
      <c r="D2509" s="32" t="s">
        <v>6963</v>
      </c>
    </row>
    <row r="2510" spans="2:4" x14ac:dyDescent="0.3">
      <c r="B2510" s="33" t="s">
        <v>6964</v>
      </c>
      <c r="C2510" s="32" t="s">
        <v>6965</v>
      </c>
      <c r="D2510" s="32" t="s">
        <v>6966</v>
      </c>
    </row>
    <row r="2511" spans="2:4" x14ac:dyDescent="0.3">
      <c r="B2511" s="33" t="s">
        <v>6967</v>
      </c>
      <c r="C2511" s="32" t="s">
        <v>6968</v>
      </c>
      <c r="D2511" s="32" t="s">
        <v>6969</v>
      </c>
    </row>
    <row r="2512" spans="2:4" x14ac:dyDescent="0.3">
      <c r="B2512" s="33" t="s">
        <v>6970</v>
      </c>
      <c r="C2512" s="32" t="s">
        <v>6971</v>
      </c>
      <c r="D2512" s="32" t="s">
        <v>6972</v>
      </c>
    </row>
    <row r="2513" spans="2:4" x14ac:dyDescent="0.3">
      <c r="B2513" s="33" t="s">
        <v>6973</v>
      </c>
      <c r="C2513" s="32" t="s">
        <v>6974</v>
      </c>
      <c r="D2513" s="32" t="s">
        <v>6975</v>
      </c>
    </row>
    <row r="2514" spans="2:4" x14ac:dyDescent="0.3">
      <c r="B2514" s="33" t="s">
        <v>6976</v>
      </c>
      <c r="C2514" s="32" t="s">
        <v>6977</v>
      </c>
      <c r="D2514" s="32" t="s">
        <v>6978</v>
      </c>
    </row>
    <row r="2515" spans="2:4" x14ac:dyDescent="0.3">
      <c r="B2515" s="33" t="s">
        <v>6979</v>
      </c>
      <c r="C2515" s="32" t="s">
        <v>6980</v>
      </c>
      <c r="D2515" s="32" t="s">
        <v>6981</v>
      </c>
    </row>
    <row r="2516" spans="2:4" x14ac:dyDescent="0.3">
      <c r="B2516" s="33" t="s">
        <v>6875</v>
      </c>
      <c r="C2516" s="32" t="s">
        <v>6982</v>
      </c>
      <c r="D2516" s="32" t="s">
        <v>6983</v>
      </c>
    </row>
    <row r="2517" spans="2:4" x14ac:dyDescent="0.3">
      <c r="B2517" s="33" t="s">
        <v>6976</v>
      </c>
      <c r="C2517" s="32" t="s">
        <v>6984</v>
      </c>
      <c r="D2517" s="32" t="s">
        <v>6985</v>
      </c>
    </row>
    <row r="2518" spans="2:4" x14ac:dyDescent="0.3">
      <c r="B2518" s="33" t="s">
        <v>6976</v>
      </c>
      <c r="C2518" s="32" t="s">
        <v>6986</v>
      </c>
      <c r="D2518" s="32" t="s">
        <v>6987</v>
      </c>
    </row>
    <row r="2519" spans="2:4" x14ac:dyDescent="0.3">
      <c r="B2519" s="33" t="s">
        <v>6988</v>
      </c>
      <c r="C2519" s="32" t="s">
        <v>6989</v>
      </c>
      <c r="D2519" s="32" t="s">
        <v>6990</v>
      </c>
    </row>
    <row r="2520" spans="2:4" x14ac:dyDescent="0.3">
      <c r="B2520" s="33" t="s">
        <v>6991</v>
      </c>
      <c r="C2520" s="32" t="s">
        <v>6992</v>
      </c>
      <c r="D2520" s="32" t="s">
        <v>6993</v>
      </c>
    </row>
    <row r="2521" spans="2:4" x14ac:dyDescent="0.3">
      <c r="B2521" s="33" t="s">
        <v>6994</v>
      </c>
      <c r="C2521" s="32" t="s">
        <v>6995</v>
      </c>
      <c r="D2521" s="32" t="s">
        <v>6996</v>
      </c>
    </row>
    <row r="2522" spans="2:4" x14ac:dyDescent="0.3">
      <c r="B2522" s="33" t="s">
        <v>6997</v>
      </c>
      <c r="C2522" s="32" t="s">
        <v>6998</v>
      </c>
      <c r="D2522" s="32" t="s">
        <v>36816</v>
      </c>
    </row>
    <row r="2523" spans="2:4" x14ac:dyDescent="0.3">
      <c r="B2523" s="33" t="s">
        <v>6999</v>
      </c>
      <c r="C2523" s="32" t="s">
        <v>7000</v>
      </c>
      <c r="D2523" s="32" t="s">
        <v>7001</v>
      </c>
    </row>
    <row r="2524" spans="2:4" x14ac:dyDescent="0.3">
      <c r="B2524" s="33" t="s">
        <v>6827</v>
      </c>
      <c r="C2524" s="32" t="s">
        <v>7002</v>
      </c>
      <c r="D2524" s="32" t="s">
        <v>7003</v>
      </c>
    </row>
    <row r="2525" spans="2:4" x14ac:dyDescent="0.3">
      <c r="B2525" s="33" t="s">
        <v>7004</v>
      </c>
      <c r="C2525" s="32" t="s">
        <v>7005</v>
      </c>
      <c r="D2525" s="32" t="s">
        <v>7006</v>
      </c>
    </row>
    <row r="2526" spans="2:4" x14ac:dyDescent="0.3">
      <c r="B2526" s="33" t="s">
        <v>7007</v>
      </c>
      <c r="C2526" s="32" t="s">
        <v>7008</v>
      </c>
      <c r="D2526" s="32" t="s">
        <v>7009</v>
      </c>
    </row>
    <row r="2527" spans="2:4" x14ac:dyDescent="0.3">
      <c r="B2527" s="33" t="s">
        <v>7010</v>
      </c>
      <c r="C2527" s="32" t="s">
        <v>7011</v>
      </c>
      <c r="D2527" s="32" t="s">
        <v>7012</v>
      </c>
    </row>
    <row r="2528" spans="2:4" x14ac:dyDescent="0.3">
      <c r="B2528" s="33" t="s">
        <v>7013</v>
      </c>
      <c r="C2528" s="32" t="s">
        <v>7014</v>
      </c>
      <c r="D2528" s="32" t="s">
        <v>7015</v>
      </c>
    </row>
    <row r="2529" spans="2:4" x14ac:dyDescent="0.3">
      <c r="B2529" s="33" t="s">
        <v>7016</v>
      </c>
      <c r="C2529" s="32" t="s">
        <v>7017</v>
      </c>
      <c r="D2529" s="32" t="s">
        <v>7018</v>
      </c>
    </row>
    <row r="2530" spans="2:4" x14ac:dyDescent="0.3">
      <c r="B2530" s="33" t="s">
        <v>7019</v>
      </c>
      <c r="C2530" s="32" t="s">
        <v>7020</v>
      </c>
      <c r="D2530" s="32" t="s">
        <v>7021</v>
      </c>
    </row>
    <row r="2531" spans="2:4" x14ac:dyDescent="0.3">
      <c r="B2531" s="33" t="s">
        <v>7022</v>
      </c>
      <c r="C2531" s="32" t="s">
        <v>7023</v>
      </c>
      <c r="D2531" s="32" t="s">
        <v>7024</v>
      </c>
    </row>
    <row r="2532" spans="2:4" x14ac:dyDescent="0.3">
      <c r="B2532" s="33" t="s">
        <v>7025</v>
      </c>
      <c r="C2532" s="32" t="s">
        <v>7026</v>
      </c>
      <c r="D2532" s="32" t="s">
        <v>7027</v>
      </c>
    </row>
    <row r="2533" spans="2:4" x14ac:dyDescent="0.3">
      <c r="B2533" s="33" t="s">
        <v>7028</v>
      </c>
      <c r="C2533" s="32" t="s">
        <v>7029</v>
      </c>
      <c r="D2533" s="32" t="s">
        <v>7030</v>
      </c>
    </row>
    <row r="2534" spans="2:4" x14ac:dyDescent="0.3">
      <c r="B2534" s="33" t="s">
        <v>7031</v>
      </c>
      <c r="C2534" s="32" t="s">
        <v>7032</v>
      </c>
      <c r="D2534" s="32" t="s">
        <v>7033</v>
      </c>
    </row>
    <row r="2535" spans="2:4" x14ac:dyDescent="0.3">
      <c r="B2535" s="33" t="s">
        <v>7034</v>
      </c>
      <c r="C2535" s="32" t="s">
        <v>7035</v>
      </c>
      <c r="D2535" s="32" t="s">
        <v>7036</v>
      </c>
    </row>
    <row r="2536" spans="2:4" x14ac:dyDescent="0.3">
      <c r="B2536" s="33" t="s">
        <v>7037</v>
      </c>
      <c r="C2536" s="32" t="s">
        <v>7038</v>
      </c>
      <c r="D2536" s="32" t="s">
        <v>7039</v>
      </c>
    </row>
    <row r="2537" spans="2:4" x14ac:dyDescent="0.3">
      <c r="B2537" s="33" t="s">
        <v>7040</v>
      </c>
      <c r="C2537" s="32" t="s">
        <v>7041</v>
      </c>
      <c r="D2537" s="32" t="s">
        <v>7042</v>
      </c>
    </row>
    <row r="2538" spans="2:4" x14ac:dyDescent="0.3">
      <c r="B2538" s="33" t="s">
        <v>7043</v>
      </c>
      <c r="C2538" s="32" t="s">
        <v>7044</v>
      </c>
      <c r="D2538" s="32" t="s">
        <v>7045</v>
      </c>
    </row>
    <row r="2539" spans="2:4" x14ac:dyDescent="0.3">
      <c r="B2539" s="33" t="s">
        <v>7028</v>
      </c>
      <c r="C2539" s="32" t="s">
        <v>7046</v>
      </c>
      <c r="D2539" s="32" t="s">
        <v>37156</v>
      </c>
    </row>
    <row r="2540" spans="2:4" x14ac:dyDescent="0.3">
      <c r="B2540" s="33" t="s">
        <v>7028</v>
      </c>
      <c r="C2540" s="32" t="s">
        <v>7047</v>
      </c>
      <c r="D2540" s="32" t="s">
        <v>7048</v>
      </c>
    </row>
    <row r="2541" spans="2:4" x14ac:dyDescent="0.3">
      <c r="B2541" s="33" t="s">
        <v>7049</v>
      </c>
      <c r="C2541" s="32" t="s">
        <v>7050</v>
      </c>
      <c r="D2541" s="32" t="s">
        <v>7051</v>
      </c>
    </row>
    <row r="2542" spans="2:4" x14ac:dyDescent="0.3">
      <c r="B2542" s="33" t="s">
        <v>7052</v>
      </c>
      <c r="C2542" s="32" t="s">
        <v>7053</v>
      </c>
      <c r="D2542" s="32" t="s">
        <v>7054</v>
      </c>
    </row>
    <row r="2543" spans="2:4" x14ac:dyDescent="0.3">
      <c r="B2543" s="33" t="s">
        <v>7055</v>
      </c>
      <c r="C2543" s="32" t="s">
        <v>7056</v>
      </c>
      <c r="D2543" s="32" t="s">
        <v>7057</v>
      </c>
    </row>
    <row r="2544" spans="2:4" x14ac:dyDescent="0.3">
      <c r="B2544" s="33" t="s">
        <v>7058</v>
      </c>
      <c r="C2544" s="32" t="s">
        <v>7059</v>
      </c>
      <c r="D2544" s="32" t="s">
        <v>7060</v>
      </c>
    </row>
    <row r="2545" spans="2:4" x14ac:dyDescent="0.3">
      <c r="B2545" s="33" t="s">
        <v>7061</v>
      </c>
      <c r="C2545" s="32" t="s">
        <v>7062</v>
      </c>
      <c r="D2545" s="32" t="s">
        <v>7063</v>
      </c>
    </row>
    <row r="2546" spans="2:4" x14ac:dyDescent="0.3">
      <c r="B2546" s="33" t="s">
        <v>7061</v>
      </c>
      <c r="C2546" s="32" t="s">
        <v>7064</v>
      </c>
      <c r="D2546" s="32" t="s">
        <v>7065</v>
      </c>
    </row>
    <row r="2547" spans="2:4" x14ac:dyDescent="0.3">
      <c r="B2547" s="33" t="s">
        <v>7066</v>
      </c>
      <c r="C2547" s="32" t="s">
        <v>7067</v>
      </c>
      <c r="D2547" s="32" t="s">
        <v>7068</v>
      </c>
    </row>
    <row r="2548" spans="2:4" x14ac:dyDescent="0.3">
      <c r="B2548" s="33" t="s">
        <v>7069</v>
      </c>
      <c r="C2548" s="32" t="s">
        <v>7070</v>
      </c>
      <c r="D2548" s="32" t="s">
        <v>7071</v>
      </c>
    </row>
    <row r="2549" spans="2:4" x14ac:dyDescent="0.3">
      <c r="B2549" s="33" t="s">
        <v>7072</v>
      </c>
      <c r="C2549" s="32" t="s">
        <v>7073</v>
      </c>
      <c r="D2549" s="32" t="s">
        <v>7074</v>
      </c>
    </row>
    <row r="2550" spans="2:4" x14ac:dyDescent="0.3">
      <c r="B2550" s="33" t="s">
        <v>7075</v>
      </c>
      <c r="C2550" s="32" t="s">
        <v>7076</v>
      </c>
      <c r="D2550" s="32" t="s">
        <v>7077</v>
      </c>
    </row>
    <row r="2551" spans="2:4" x14ac:dyDescent="0.3">
      <c r="B2551" s="33" t="s">
        <v>36991</v>
      </c>
      <c r="C2551" s="32" t="s">
        <v>36992</v>
      </c>
      <c r="D2551" s="32" t="s">
        <v>36993</v>
      </c>
    </row>
    <row r="2552" spans="2:4" x14ac:dyDescent="0.3">
      <c r="B2552" s="33" t="s">
        <v>7078</v>
      </c>
      <c r="C2552" s="32" t="s">
        <v>7079</v>
      </c>
      <c r="D2552" s="32" t="s">
        <v>7080</v>
      </c>
    </row>
    <row r="2553" spans="2:4" x14ac:dyDescent="0.3">
      <c r="B2553" s="33" t="s">
        <v>7078</v>
      </c>
      <c r="C2553" s="32" t="s">
        <v>7081</v>
      </c>
      <c r="D2553" s="32" t="s">
        <v>7082</v>
      </c>
    </row>
    <row r="2554" spans="2:4" x14ac:dyDescent="0.3">
      <c r="B2554" s="33" t="s">
        <v>7028</v>
      </c>
      <c r="C2554" s="32" t="s">
        <v>7083</v>
      </c>
      <c r="D2554" s="32" t="s">
        <v>7084</v>
      </c>
    </row>
    <row r="2555" spans="2:4" x14ac:dyDescent="0.3">
      <c r="B2555" s="33" t="s">
        <v>7085</v>
      </c>
      <c r="C2555" s="32" t="s">
        <v>7086</v>
      </c>
      <c r="D2555" s="32" t="s">
        <v>7087</v>
      </c>
    </row>
    <row r="2556" spans="2:4" x14ac:dyDescent="0.3">
      <c r="B2556" s="33" t="s">
        <v>7088</v>
      </c>
      <c r="C2556" s="32" t="s">
        <v>7089</v>
      </c>
      <c r="D2556" s="32" t="s">
        <v>7090</v>
      </c>
    </row>
    <row r="2557" spans="2:4" x14ac:dyDescent="0.3">
      <c r="B2557" s="33" t="s">
        <v>7091</v>
      </c>
      <c r="C2557" s="32" t="s">
        <v>7092</v>
      </c>
      <c r="D2557" s="32" t="s">
        <v>7093</v>
      </c>
    </row>
    <row r="2558" spans="2:4" x14ac:dyDescent="0.3">
      <c r="B2558" s="33" t="s">
        <v>7094</v>
      </c>
      <c r="C2558" s="32" t="s">
        <v>7095</v>
      </c>
      <c r="D2558" s="32" t="s">
        <v>7096</v>
      </c>
    </row>
    <row r="2559" spans="2:4" x14ac:dyDescent="0.3">
      <c r="B2559" s="33" t="s">
        <v>7097</v>
      </c>
      <c r="C2559" s="32" t="s">
        <v>7098</v>
      </c>
      <c r="D2559" s="32" t="s">
        <v>7099</v>
      </c>
    </row>
    <row r="2560" spans="2:4" x14ac:dyDescent="0.3">
      <c r="B2560" s="33" t="s">
        <v>7100</v>
      </c>
      <c r="C2560" s="32" t="s">
        <v>7101</v>
      </c>
      <c r="D2560" s="32" t="s">
        <v>7102</v>
      </c>
    </row>
    <row r="2561" spans="2:4" x14ac:dyDescent="0.3">
      <c r="B2561" s="33" t="s">
        <v>7103</v>
      </c>
      <c r="C2561" s="32" t="s">
        <v>7104</v>
      </c>
      <c r="D2561" s="32" t="s">
        <v>7105</v>
      </c>
    </row>
    <row r="2562" spans="2:4" x14ac:dyDescent="0.3">
      <c r="B2562" s="33" t="s">
        <v>7106</v>
      </c>
      <c r="C2562" s="32" t="s">
        <v>7107</v>
      </c>
      <c r="D2562" s="32" t="s">
        <v>7108</v>
      </c>
    </row>
    <row r="2563" spans="2:4" x14ac:dyDescent="0.3">
      <c r="B2563" s="33" t="s">
        <v>7109</v>
      </c>
      <c r="C2563" s="32" t="s">
        <v>7110</v>
      </c>
      <c r="D2563" s="32" t="s">
        <v>7111</v>
      </c>
    </row>
    <row r="2564" spans="2:4" x14ac:dyDescent="0.3">
      <c r="B2564" s="33" t="s">
        <v>7112</v>
      </c>
      <c r="C2564" s="32" t="s">
        <v>7113</v>
      </c>
      <c r="D2564" s="32" t="s">
        <v>7114</v>
      </c>
    </row>
    <row r="2565" spans="2:4" x14ac:dyDescent="0.3">
      <c r="B2565" s="33" t="s">
        <v>7115</v>
      </c>
      <c r="C2565" s="32" t="s">
        <v>7116</v>
      </c>
      <c r="D2565" s="32" t="s">
        <v>7117</v>
      </c>
    </row>
    <row r="2566" spans="2:4" x14ac:dyDescent="0.3">
      <c r="B2566" s="33" t="s">
        <v>7118</v>
      </c>
      <c r="C2566" s="32" t="s">
        <v>7119</v>
      </c>
      <c r="D2566" s="32" t="s">
        <v>7120</v>
      </c>
    </row>
    <row r="2567" spans="2:4" x14ac:dyDescent="0.3">
      <c r="B2567" s="33" t="s">
        <v>7121</v>
      </c>
      <c r="C2567" s="32" t="s">
        <v>7122</v>
      </c>
      <c r="D2567" s="32" t="s">
        <v>7123</v>
      </c>
    </row>
    <row r="2568" spans="2:4" x14ac:dyDescent="0.3">
      <c r="B2568" s="33" t="s">
        <v>7124</v>
      </c>
      <c r="C2568" s="32" t="s">
        <v>7125</v>
      </c>
      <c r="D2568" s="32" t="s">
        <v>7126</v>
      </c>
    </row>
    <row r="2569" spans="2:4" x14ac:dyDescent="0.3">
      <c r="B2569" s="33" t="s">
        <v>7127</v>
      </c>
      <c r="C2569" s="32" t="s">
        <v>7128</v>
      </c>
      <c r="D2569" s="32" t="s">
        <v>7129</v>
      </c>
    </row>
    <row r="2570" spans="2:4" x14ac:dyDescent="0.3">
      <c r="B2570" s="33" t="s">
        <v>7130</v>
      </c>
      <c r="C2570" s="32" t="s">
        <v>7131</v>
      </c>
      <c r="D2570" s="32" t="s">
        <v>7132</v>
      </c>
    </row>
    <row r="2571" spans="2:4" x14ac:dyDescent="0.3">
      <c r="B2571" s="33" t="s">
        <v>7130</v>
      </c>
      <c r="C2571" s="32" t="s">
        <v>7133</v>
      </c>
      <c r="D2571" s="32" t="s">
        <v>7134</v>
      </c>
    </row>
    <row r="2572" spans="2:4" x14ac:dyDescent="0.3">
      <c r="B2572" s="33" t="s">
        <v>7130</v>
      </c>
      <c r="C2572" s="32" t="s">
        <v>7135</v>
      </c>
      <c r="D2572" s="32" t="s">
        <v>7136</v>
      </c>
    </row>
    <row r="2573" spans="2:4" x14ac:dyDescent="0.3">
      <c r="B2573" s="33" t="s">
        <v>7137</v>
      </c>
      <c r="C2573" s="32" t="s">
        <v>7138</v>
      </c>
      <c r="D2573" s="32" t="s">
        <v>7139</v>
      </c>
    </row>
    <row r="2574" spans="2:4" x14ac:dyDescent="0.3">
      <c r="B2574" s="33" t="s">
        <v>7140</v>
      </c>
      <c r="C2574" s="32" t="s">
        <v>7141</v>
      </c>
      <c r="D2574" s="32" t="s">
        <v>7142</v>
      </c>
    </row>
    <row r="2575" spans="2:4" x14ac:dyDescent="0.3">
      <c r="B2575" s="33" t="s">
        <v>7143</v>
      </c>
      <c r="C2575" s="32" t="s">
        <v>7144</v>
      </c>
      <c r="D2575" s="32" t="s">
        <v>7145</v>
      </c>
    </row>
    <row r="2576" spans="2:4" x14ac:dyDescent="0.3">
      <c r="B2576" s="33" t="s">
        <v>7146</v>
      </c>
      <c r="C2576" s="32" t="s">
        <v>7147</v>
      </c>
      <c r="D2576" s="32" t="s">
        <v>7148</v>
      </c>
    </row>
    <row r="2577" spans="2:4" x14ac:dyDescent="0.3">
      <c r="B2577" s="33" t="s">
        <v>7149</v>
      </c>
      <c r="C2577" s="32" t="s">
        <v>7150</v>
      </c>
      <c r="D2577" s="32" t="s">
        <v>7151</v>
      </c>
    </row>
    <row r="2578" spans="2:4" x14ac:dyDescent="0.3">
      <c r="B2578" s="33" t="s">
        <v>7152</v>
      </c>
      <c r="C2578" s="32" t="s">
        <v>7153</v>
      </c>
      <c r="D2578" s="32" t="s">
        <v>7154</v>
      </c>
    </row>
    <row r="2579" spans="2:4" x14ac:dyDescent="0.3">
      <c r="B2579" s="33" t="s">
        <v>7155</v>
      </c>
      <c r="C2579" s="32" t="s">
        <v>7156</v>
      </c>
      <c r="D2579" s="32" t="s">
        <v>7157</v>
      </c>
    </row>
    <row r="2580" spans="2:4" x14ac:dyDescent="0.3">
      <c r="B2580" s="33" t="s">
        <v>7158</v>
      </c>
      <c r="C2580" s="32" t="s">
        <v>7159</v>
      </c>
      <c r="D2580" s="32" t="s">
        <v>7160</v>
      </c>
    </row>
    <row r="2581" spans="2:4" x14ac:dyDescent="0.3">
      <c r="B2581" s="33" t="s">
        <v>7161</v>
      </c>
      <c r="C2581" s="32" t="s">
        <v>7162</v>
      </c>
      <c r="D2581" s="32" t="s">
        <v>7161</v>
      </c>
    </row>
    <row r="2582" spans="2:4" x14ac:dyDescent="0.3">
      <c r="B2582" s="33" t="s">
        <v>7163</v>
      </c>
      <c r="C2582" s="32" t="s">
        <v>7164</v>
      </c>
      <c r="D2582" s="32" t="s">
        <v>7165</v>
      </c>
    </row>
    <row r="2583" spans="2:4" x14ac:dyDescent="0.3">
      <c r="B2583" s="33" t="s">
        <v>7166</v>
      </c>
      <c r="C2583" s="32" t="s">
        <v>7167</v>
      </c>
      <c r="D2583" s="32" t="s">
        <v>7168</v>
      </c>
    </row>
    <row r="2584" spans="2:4" x14ac:dyDescent="0.3">
      <c r="B2584" s="33" t="s">
        <v>7169</v>
      </c>
      <c r="C2584" s="32" t="s">
        <v>7170</v>
      </c>
      <c r="D2584" s="32" t="s">
        <v>7169</v>
      </c>
    </row>
    <row r="2585" spans="2:4" x14ac:dyDescent="0.3">
      <c r="B2585" s="33" t="s">
        <v>7171</v>
      </c>
      <c r="C2585" s="32" t="s">
        <v>7172</v>
      </c>
      <c r="D2585" s="32" t="s">
        <v>7173</v>
      </c>
    </row>
    <row r="2586" spans="2:4" x14ac:dyDescent="0.3">
      <c r="B2586" s="33" t="s">
        <v>7174</v>
      </c>
      <c r="C2586" s="32" t="s">
        <v>7175</v>
      </c>
      <c r="D2586" s="32" t="s">
        <v>7176</v>
      </c>
    </row>
    <row r="2587" spans="2:4" x14ac:dyDescent="0.3">
      <c r="B2587" s="33" t="s">
        <v>7177</v>
      </c>
      <c r="C2587" s="32" t="s">
        <v>7178</v>
      </c>
      <c r="D2587" s="32" t="s">
        <v>7179</v>
      </c>
    </row>
    <row r="2588" spans="2:4" x14ac:dyDescent="0.3">
      <c r="B2588" s="33" t="s">
        <v>7180</v>
      </c>
      <c r="C2588" s="32" t="s">
        <v>7181</v>
      </c>
      <c r="D2588" s="32" t="s">
        <v>7182</v>
      </c>
    </row>
    <row r="2589" spans="2:4" x14ac:dyDescent="0.3">
      <c r="B2589" s="33" t="s">
        <v>7183</v>
      </c>
      <c r="C2589" s="32" t="s">
        <v>7184</v>
      </c>
      <c r="D2589" s="32" t="s">
        <v>7185</v>
      </c>
    </row>
    <row r="2590" spans="2:4" x14ac:dyDescent="0.3">
      <c r="B2590" s="33" t="s">
        <v>7186</v>
      </c>
      <c r="C2590" s="32" t="s">
        <v>7187</v>
      </c>
      <c r="D2590" s="32" t="s">
        <v>7188</v>
      </c>
    </row>
    <row r="2591" spans="2:4" x14ac:dyDescent="0.3">
      <c r="B2591" s="33" t="s">
        <v>6753</v>
      </c>
      <c r="C2591" s="32" t="s">
        <v>7189</v>
      </c>
      <c r="D2591" s="32" t="s">
        <v>7190</v>
      </c>
    </row>
    <row r="2592" spans="2:4" x14ac:dyDescent="0.3">
      <c r="B2592" s="33" t="s">
        <v>7191</v>
      </c>
      <c r="C2592" s="32" t="s">
        <v>7192</v>
      </c>
      <c r="D2592" s="32" t="s">
        <v>7193</v>
      </c>
    </row>
    <row r="2593" spans="2:4" x14ac:dyDescent="0.3">
      <c r="B2593" s="33" t="s">
        <v>7194</v>
      </c>
      <c r="C2593" s="32" t="s">
        <v>7195</v>
      </c>
      <c r="D2593" s="32" t="s">
        <v>7196</v>
      </c>
    </row>
    <row r="2594" spans="2:4" x14ac:dyDescent="0.3">
      <c r="B2594" s="33" t="s">
        <v>7191</v>
      </c>
      <c r="C2594" s="32" t="s">
        <v>7197</v>
      </c>
      <c r="D2594" s="32" t="s">
        <v>7198</v>
      </c>
    </row>
    <row r="2595" spans="2:4" x14ac:dyDescent="0.3">
      <c r="B2595" s="33" t="s">
        <v>7199</v>
      </c>
      <c r="C2595" s="32" t="s">
        <v>7200</v>
      </c>
      <c r="D2595" s="32" t="s">
        <v>7201</v>
      </c>
    </row>
    <row r="2596" spans="2:4" x14ac:dyDescent="0.3">
      <c r="B2596" s="33" t="s">
        <v>7202</v>
      </c>
      <c r="C2596" s="32" t="s">
        <v>7203</v>
      </c>
      <c r="D2596" s="32" t="s">
        <v>7204</v>
      </c>
    </row>
    <row r="2597" spans="2:4" x14ac:dyDescent="0.3">
      <c r="B2597" s="33" t="s">
        <v>7205</v>
      </c>
      <c r="C2597" s="32" t="s">
        <v>7206</v>
      </c>
      <c r="D2597" s="32" t="s">
        <v>7207</v>
      </c>
    </row>
    <row r="2598" spans="2:4" x14ac:dyDescent="0.3">
      <c r="B2598" s="33" t="s">
        <v>7208</v>
      </c>
      <c r="C2598" s="32" t="s">
        <v>7209</v>
      </c>
      <c r="D2598" s="32" t="s">
        <v>7210</v>
      </c>
    </row>
    <row r="2599" spans="2:4" x14ac:dyDescent="0.3">
      <c r="B2599" s="33" t="s">
        <v>7211</v>
      </c>
      <c r="C2599" s="32" t="s">
        <v>7212</v>
      </c>
      <c r="D2599" s="32" t="s">
        <v>7213</v>
      </c>
    </row>
    <row r="2600" spans="2:4" x14ac:dyDescent="0.3">
      <c r="B2600" s="33" t="s">
        <v>7214</v>
      </c>
      <c r="C2600" s="32" t="s">
        <v>7215</v>
      </c>
      <c r="D2600" s="32" t="s">
        <v>7216</v>
      </c>
    </row>
    <row r="2601" spans="2:4" x14ac:dyDescent="0.3">
      <c r="B2601" s="33" t="s">
        <v>7217</v>
      </c>
      <c r="C2601" s="32" t="s">
        <v>7218</v>
      </c>
      <c r="D2601" s="32" t="s">
        <v>7219</v>
      </c>
    </row>
    <row r="2602" spans="2:4" x14ac:dyDescent="0.3">
      <c r="B2602" s="33" t="s">
        <v>7220</v>
      </c>
      <c r="C2602" s="32" t="s">
        <v>7221</v>
      </c>
      <c r="D2602" s="32" t="s">
        <v>7222</v>
      </c>
    </row>
    <row r="2603" spans="2:4" x14ac:dyDescent="0.3">
      <c r="B2603" s="33" t="s">
        <v>7220</v>
      </c>
      <c r="C2603" s="32" t="s">
        <v>7223</v>
      </c>
      <c r="D2603" s="32" t="s">
        <v>7224</v>
      </c>
    </row>
    <row r="2604" spans="2:4" x14ac:dyDescent="0.3">
      <c r="B2604" s="33" t="s">
        <v>7225</v>
      </c>
      <c r="C2604" s="32" t="s">
        <v>7226</v>
      </c>
      <c r="D2604" s="32" t="s">
        <v>7227</v>
      </c>
    </row>
    <row r="2605" spans="2:4" x14ac:dyDescent="0.3">
      <c r="B2605" s="33" t="s">
        <v>7228</v>
      </c>
      <c r="C2605" s="32" t="s">
        <v>7229</v>
      </c>
      <c r="D2605" s="32" t="s">
        <v>7230</v>
      </c>
    </row>
    <row r="2606" spans="2:4" x14ac:dyDescent="0.3">
      <c r="B2606" s="33" t="s">
        <v>7231</v>
      </c>
      <c r="C2606" s="32" t="s">
        <v>7232</v>
      </c>
      <c r="D2606" s="32" t="s">
        <v>7233</v>
      </c>
    </row>
    <row r="2607" spans="2:4" x14ac:dyDescent="0.3">
      <c r="B2607" s="33" t="s">
        <v>7234</v>
      </c>
      <c r="C2607" s="32" t="s">
        <v>7235</v>
      </c>
      <c r="D2607" s="32" t="s">
        <v>7236</v>
      </c>
    </row>
    <row r="2608" spans="2:4" x14ac:dyDescent="0.3">
      <c r="B2608" s="33" t="s">
        <v>7237</v>
      </c>
      <c r="C2608" s="32" t="s">
        <v>7238</v>
      </c>
      <c r="D2608" s="32" t="s">
        <v>7239</v>
      </c>
    </row>
    <row r="2609" spans="2:4" x14ac:dyDescent="0.3">
      <c r="B2609" s="33" t="s">
        <v>7240</v>
      </c>
      <c r="C2609" s="32" t="s">
        <v>7241</v>
      </c>
      <c r="D2609" s="32" t="s">
        <v>7242</v>
      </c>
    </row>
    <row r="2610" spans="2:4" x14ac:dyDescent="0.3">
      <c r="B2610" s="33" t="s">
        <v>7243</v>
      </c>
      <c r="C2610" s="32" t="s">
        <v>7244</v>
      </c>
      <c r="D2610" s="32" t="s">
        <v>7245</v>
      </c>
    </row>
    <row r="2611" spans="2:4" x14ac:dyDescent="0.3">
      <c r="B2611" s="33" t="s">
        <v>7246</v>
      </c>
      <c r="C2611" s="32" t="s">
        <v>7247</v>
      </c>
      <c r="D2611" s="32" t="s">
        <v>7248</v>
      </c>
    </row>
    <row r="2612" spans="2:4" x14ac:dyDescent="0.3">
      <c r="B2612" s="33" t="s">
        <v>6373</v>
      </c>
      <c r="C2612" s="32" t="s">
        <v>7249</v>
      </c>
      <c r="D2612" s="32" t="s">
        <v>7250</v>
      </c>
    </row>
    <row r="2613" spans="2:4" x14ac:dyDescent="0.3">
      <c r="B2613" s="33" t="s">
        <v>7251</v>
      </c>
      <c r="C2613" s="32" t="s">
        <v>7252</v>
      </c>
      <c r="D2613" s="32" t="s">
        <v>7253</v>
      </c>
    </row>
    <row r="2614" spans="2:4" x14ac:dyDescent="0.3">
      <c r="B2614" s="33" t="s">
        <v>7254</v>
      </c>
      <c r="C2614" s="32" t="s">
        <v>7255</v>
      </c>
      <c r="D2614" s="32" t="s">
        <v>7256</v>
      </c>
    </row>
    <row r="2615" spans="2:4" x14ac:dyDescent="0.3">
      <c r="B2615" s="33" t="s">
        <v>7257</v>
      </c>
      <c r="C2615" s="32" t="s">
        <v>7258</v>
      </c>
      <c r="D2615" s="32" t="s">
        <v>7259</v>
      </c>
    </row>
    <row r="2616" spans="2:4" x14ac:dyDescent="0.3">
      <c r="B2616" s="33" t="s">
        <v>7260</v>
      </c>
      <c r="C2616" s="32" t="s">
        <v>7261</v>
      </c>
      <c r="D2616" s="32" t="s">
        <v>7262</v>
      </c>
    </row>
    <row r="2617" spans="2:4" x14ac:dyDescent="0.3">
      <c r="B2617" s="33" t="s">
        <v>7263</v>
      </c>
      <c r="C2617" s="32" t="s">
        <v>7264</v>
      </c>
      <c r="D2617" s="32" t="s">
        <v>7265</v>
      </c>
    </row>
    <row r="2618" spans="2:4" x14ac:dyDescent="0.3">
      <c r="B2618" s="33" t="s">
        <v>7266</v>
      </c>
      <c r="C2618" s="32" t="s">
        <v>7267</v>
      </c>
      <c r="D2618" s="32" t="s">
        <v>7268</v>
      </c>
    </row>
    <row r="2619" spans="2:4" x14ac:dyDescent="0.3">
      <c r="B2619" s="33" t="s">
        <v>7269</v>
      </c>
      <c r="C2619" s="32" t="s">
        <v>7270</v>
      </c>
      <c r="D2619" s="32" t="s">
        <v>7271</v>
      </c>
    </row>
    <row r="2620" spans="2:4" x14ac:dyDescent="0.3">
      <c r="B2620" s="33" t="s">
        <v>7272</v>
      </c>
      <c r="C2620" s="32" t="s">
        <v>7273</v>
      </c>
      <c r="D2620" s="32" t="s">
        <v>7274</v>
      </c>
    </row>
    <row r="2621" spans="2:4" x14ac:dyDescent="0.3">
      <c r="B2621" s="33" t="s">
        <v>7275</v>
      </c>
      <c r="C2621" s="32" t="s">
        <v>7276</v>
      </c>
      <c r="D2621" s="32" t="s">
        <v>7277</v>
      </c>
    </row>
    <row r="2622" spans="2:4" x14ac:dyDescent="0.3">
      <c r="B2622" s="33" t="s">
        <v>7278</v>
      </c>
      <c r="C2622" s="32" t="s">
        <v>7279</v>
      </c>
      <c r="D2622" s="32" t="s">
        <v>7280</v>
      </c>
    </row>
    <row r="2623" spans="2:4" x14ac:dyDescent="0.3">
      <c r="B2623" s="33" t="s">
        <v>7281</v>
      </c>
      <c r="C2623" s="32" t="s">
        <v>7282</v>
      </c>
      <c r="D2623" s="32" t="s">
        <v>7283</v>
      </c>
    </row>
    <row r="2624" spans="2:4" x14ac:dyDescent="0.3">
      <c r="B2624" s="33" t="s">
        <v>7284</v>
      </c>
      <c r="C2624" s="32" t="s">
        <v>7285</v>
      </c>
      <c r="D2624" s="32" t="s">
        <v>7286</v>
      </c>
    </row>
    <row r="2625" spans="2:4" x14ac:dyDescent="0.3">
      <c r="B2625" s="33" t="s">
        <v>7287</v>
      </c>
      <c r="C2625" s="32" t="s">
        <v>7288</v>
      </c>
      <c r="D2625" s="32" t="s">
        <v>7289</v>
      </c>
    </row>
    <row r="2626" spans="2:4" x14ac:dyDescent="0.3">
      <c r="B2626" s="33" t="s">
        <v>7290</v>
      </c>
      <c r="C2626" s="32" t="s">
        <v>7291</v>
      </c>
      <c r="D2626" s="32" t="s">
        <v>7292</v>
      </c>
    </row>
    <row r="2627" spans="2:4" x14ac:dyDescent="0.3">
      <c r="B2627" s="33" t="s">
        <v>7293</v>
      </c>
      <c r="C2627" s="32" t="s">
        <v>7294</v>
      </c>
      <c r="D2627" s="32" t="s">
        <v>7295</v>
      </c>
    </row>
    <row r="2628" spans="2:4" x14ac:dyDescent="0.3">
      <c r="B2628" s="33" t="s">
        <v>7296</v>
      </c>
      <c r="C2628" s="32" t="s">
        <v>7297</v>
      </c>
      <c r="D2628" s="32" t="s">
        <v>7298</v>
      </c>
    </row>
    <row r="2629" spans="2:4" x14ac:dyDescent="0.3">
      <c r="B2629" s="33" t="s">
        <v>7299</v>
      </c>
      <c r="C2629" s="32" t="s">
        <v>7300</v>
      </c>
      <c r="D2629" s="32" t="s">
        <v>7301</v>
      </c>
    </row>
    <row r="2630" spans="2:4" x14ac:dyDescent="0.3">
      <c r="B2630" s="33" t="s">
        <v>7302</v>
      </c>
      <c r="C2630" s="32" t="s">
        <v>7303</v>
      </c>
      <c r="D2630" s="32" t="s">
        <v>7304</v>
      </c>
    </row>
    <row r="2631" spans="2:4" x14ac:dyDescent="0.3">
      <c r="B2631" s="33" t="s">
        <v>7305</v>
      </c>
      <c r="C2631" s="32" t="s">
        <v>7306</v>
      </c>
      <c r="D2631" s="32" t="s">
        <v>7307</v>
      </c>
    </row>
    <row r="2632" spans="2:4" x14ac:dyDescent="0.3">
      <c r="B2632" s="33" t="s">
        <v>7308</v>
      </c>
      <c r="C2632" s="32" t="s">
        <v>7309</v>
      </c>
      <c r="D2632" s="32" t="s">
        <v>7310</v>
      </c>
    </row>
    <row r="2633" spans="2:4" x14ac:dyDescent="0.3">
      <c r="B2633" s="33" t="s">
        <v>7311</v>
      </c>
      <c r="C2633" s="32" t="s">
        <v>7312</v>
      </c>
      <c r="D2633" s="32" t="s">
        <v>7313</v>
      </c>
    </row>
    <row r="2634" spans="2:4" x14ac:dyDescent="0.3">
      <c r="B2634" s="33" t="s">
        <v>7314</v>
      </c>
      <c r="C2634" s="32" t="s">
        <v>7315</v>
      </c>
      <c r="D2634" s="32" t="s">
        <v>7316</v>
      </c>
    </row>
    <row r="2635" spans="2:4" x14ac:dyDescent="0.3">
      <c r="B2635" s="33" t="s">
        <v>7317</v>
      </c>
      <c r="C2635" s="32" t="s">
        <v>7318</v>
      </c>
      <c r="D2635" s="32" t="s">
        <v>7319</v>
      </c>
    </row>
    <row r="2636" spans="2:4" x14ac:dyDescent="0.3">
      <c r="B2636" s="33" t="s">
        <v>7320</v>
      </c>
      <c r="C2636" s="32" t="s">
        <v>7321</v>
      </c>
      <c r="D2636" s="32" t="s">
        <v>7322</v>
      </c>
    </row>
    <row r="2637" spans="2:4" x14ac:dyDescent="0.3">
      <c r="B2637" s="33" t="s">
        <v>7323</v>
      </c>
      <c r="C2637" s="32" t="s">
        <v>7324</v>
      </c>
      <c r="D2637" s="32" t="s">
        <v>7325</v>
      </c>
    </row>
    <row r="2638" spans="2:4" x14ac:dyDescent="0.3">
      <c r="B2638" s="33" t="s">
        <v>7326</v>
      </c>
      <c r="C2638" s="32" t="s">
        <v>7327</v>
      </c>
      <c r="D2638" s="32" t="s">
        <v>7328</v>
      </c>
    </row>
    <row r="2639" spans="2:4" x14ac:dyDescent="0.3">
      <c r="B2639" s="33" t="s">
        <v>7326</v>
      </c>
      <c r="C2639" s="32" t="s">
        <v>7329</v>
      </c>
      <c r="D2639" s="32" t="s">
        <v>7330</v>
      </c>
    </row>
    <row r="2640" spans="2:4" x14ac:dyDescent="0.3">
      <c r="B2640" s="33" t="s">
        <v>7331</v>
      </c>
      <c r="C2640" s="32" t="s">
        <v>7332</v>
      </c>
      <c r="D2640" s="32" t="s">
        <v>7333</v>
      </c>
    </row>
    <row r="2641" spans="2:4" x14ac:dyDescent="0.3">
      <c r="B2641" s="33" t="s">
        <v>6300</v>
      </c>
      <c r="C2641" s="32" t="s">
        <v>7334</v>
      </c>
      <c r="D2641" s="32" t="s">
        <v>7335</v>
      </c>
    </row>
    <row r="2642" spans="2:4" x14ac:dyDescent="0.3">
      <c r="B2642" s="33" t="s">
        <v>7336</v>
      </c>
      <c r="C2642" s="32" t="s">
        <v>7337</v>
      </c>
      <c r="D2642" s="32" t="s">
        <v>7338</v>
      </c>
    </row>
    <row r="2643" spans="2:4" x14ac:dyDescent="0.3">
      <c r="B2643" s="33" t="s">
        <v>7339</v>
      </c>
      <c r="C2643" s="32" t="s">
        <v>7340</v>
      </c>
      <c r="D2643" s="32" t="s">
        <v>7341</v>
      </c>
    </row>
    <row r="2644" spans="2:4" x14ac:dyDescent="0.3">
      <c r="B2644" s="33" t="s">
        <v>7342</v>
      </c>
      <c r="C2644" s="32" t="s">
        <v>7343</v>
      </c>
      <c r="D2644" s="32" t="s">
        <v>7344</v>
      </c>
    </row>
    <row r="2645" spans="2:4" x14ac:dyDescent="0.3">
      <c r="B2645" s="33" t="s">
        <v>7345</v>
      </c>
      <c r="C2645" s="32" t="s">
        <v>7346</v>
      </c>
      <c r="D2645" s="32" t="s">
        <v>7347</v>
      </c>
    </row>
    <row r="2646" spans="2:4" x14ac:dyDescent="0.3">
      <c r="B2646" s="33" t="s">
        <v>6693</v>
      </c>
      <c r="C2646" s="32" t="s">
        <v>7348</v>
      </c>
      <c r="D2646" s="32" t="s">
        <v>7349</v>
      </c>
    </row>
    <row r="2647" spans="2:4" x14ac:dyDescent="0.3">
      <c r="B2647" s="33" t="s">
        <v>7350</v>
      </c>
      <c r="C2647" s="32" t="s">
        <v>7351</v>
      </c>
      <c r="D2647" s="32" t="s">
        <v>7352</v>
      </c>
    </row>
    <row r="2648" spans="2:4" x14ac:dyDescent="0.3">
      <c r="B2648" s="33" t="s">
        <v>7353</v>
      </c>
      <c r="C2648" s="32" t="s">
        <v>7354</v>
      </c>
      <c r="D2648" s="32" t="s">
        <v>7355</v>
      </c>
    </row>
    <row r="2649" spans="2:4" x14ac:dyDescent="0.3">
      <c r="B2649" s="33" t="s">
        <v>7356</v>
      </c>
      <c r="C2649" s="32" t="s">
        <v>7357</v>
      </c>
      <c r="D2649" s="32" t="s">
        <v>7358</v>
      </c>
    </row>
    <row r="2650" spans="2:4" x14ac:dyDescent="0.3">
      <c r="B2650" s="33" t="s">
        <v>7359</v>
      </c>
      <c r="C2650" s="32" t="s">
        <v>7360</v>
      </c>
      <c r="D2650" s="32" t="s">
        <v>7361</v>
      </c>
    </row>
    <row r="2651" spans="2:4" x14ac:dyDescent="0.3">
      <c r="B2651" s="33" t="s">
        <v>6899</v>
      </c>
      <c r="C2651" s="32" t="s">
        <v>7362</v>
      </c>
      <c r="D2651" s="32" t="s">
        <v>7363</v>
      </c>
    </row>
    <row r="2652" spans="2:4" x14ac:dyDescent="0.3">
      <c r="B2652" s="33" t="s">
        <v>7364</v>
      </c>
      <c r="C2652" s="32" t="s">
        <v>7365</v>
      </c>
      <c r="D2652" s="32" t="s">
        <v>7366</v>
      </c>
    </row>
    <row r="2653" spans="2:4" x14ac:dyDescent="0.3">
      <c r="B2653" s="33" t="s">
        <v>7367</v>
      </c>
      <c r="C2653" s="32" t="s">
        <v>7368</v>
      </c>
      <c r="D2653" s="32" t="s">
        <v>7367</v>
      </c>
    </row>
    <row r="2654" spans="2:4" x14ac:dyDescent="0.3">
      <c r="B2654" s="33" t="s">
        <v>7369</v>
      </c>
      <c r="C2654" s="32" t="s">
        <v>7370</v>
      </c>
      <c r="D2654" s="32" t="s">
        <v>7371</v>
      </c>
    </row>
    <row r="2655" spans="2:4" x14ac:dyDescent="0.3">
      <c r="B2655" s="33" t="s">
        <v>7372</v>
      </c>
      <c r="C2655" s="32" t="s">
        <v>7373</v>
      </c>
      <c r="D2655" s="32" t="s">
        <v>36709</v>
      </c>
    </row>
    <row r="2656" spans="2:4" x14ac:dyDescent="0.3">
      <c r="B2656" s="33" t="s">
        <v>7374</v>
      </c>
      <c r="C2656" s="32" t="s">
        <v>7375</v>
      </c>
      <c r="D2656" s="32" t="s">
        <v>7374</v>
      </c>
    </row>
    <row r="2657" spans="2:4" x14ac:dyDescent="0.3">
      <c r="B2657" s="33" t="s">
        <v>6821</v>
      </c>
      <c r="C2657" s="32" t="s">
        <v>7376</v>
      </c>
      <c r="D2657" s="32" t="s">
        <v>7377</v>
      </c>
    </row>
    <row r="2658" spans="2:4" x14ac:dyDescent="0.3">
      <c r="B2658" s="33" t="s">
        <v>7378</v>
      </c>
      <c r="C2658" s="32" t="s">
        <v>7379</v>
      </c>
      <c r="D2658" s="32" t="s">
        <v>7380</v>
      </c>
    </row>
    <row r="2659" spans="2:4" x14ac:dyDescent="0.3">
      <c r="B2659" s="33" t="s">
        <v>7381</v>
      </c>
      <c r="C2659" s="32" t="s">
        <v>7382</v>
      </c>
      <c r="D2659" s="32" t="s">
        <v>7383</v>
      </c>
    </row>
    <row r="2660" spans="2:4" x14ac:dyDescent="0.3">
      <c r="B2660" s="33" t="s">
        <v>7384</v>
      </c>
      <c r="C2660" s="32" t="s">
        <v>7385</v>
      </c>
      <c r="D2660" s="32" t="s">
        <v>7386</v>
      </c>
    </row>
    <row r="2661" spans="2:4" x14ac:dyDescent="0.3">
      <c r="B2661" s="33" t="s">
        <v>7387</v>
      </c>
      <c r="C2661" s="32" t="s">
        <v>7388</v>
      </c>
      <c r="D2661" s="32" t="s">
        <v>7389</v>
      </c>
    </row>
    <row r="2662" spans="2:4" x14ac:dyDescent="0.3">
      <c r="B2662" s="33" t="s">
        <v>2633</v>
      </c>
      <c r="C2662" s="32" t="s">
        <v>7390</v>
      </c>
      <c r="D2662" s="32" t="s">
        <v>7391</v>
      </c>
    </row>
    <row r="2663" spans="2:4" x14ac:dyDescent="0.3">
      <c r="B2663" s="33" t="s">
        <v>7392</v>
      </c>
      <c r="C2663" s="32" t="s">
        <v>7393</v>
      </c>
      <c r="D2663" s="32" t="s">
        <v>7394</v>
      </c>
    </row>
    <row r="2664" spans="2:4" x14ac:dyDescent="0.3">
      <c r="B2664" s="33" t="s">
        <v>7395</v>
      </c>
      <c r="C2664" s="32" t="s">
        <v>7396</v>
      </c>
      <c r="D2664" s="32" t="s">
        <v>7397</v>
      </c>
    </row>
    <row r="2665" spans="2:4" x14ac:dyDescent="0.3">
      <c r="B2665" s="33" t="s">
        <v>7398</v>
      </c>
      <c r="C2665" s="32" t="s">
        <v>7399</v>
      </c>
      <c r="D2665" s="32" t="s">
        <v>7400</v>
      </c>
    </row>
    <row r="2666" spans="2:4" x14ac:dyDescent="0.3">
      <c r="B2666" s="33" t="s">
        <v>7401</v>
      </c>
      <c r="C2666" s="32" t="s">
        <v>7402</v>
      </c>
      <c r="D2666" s="32" t="s">
        <v>7403</v>
      </c>
    </row>
    <row r="2667" spans="2:4" x14ac:dyDescent="0.3">
      <c r="B2667" s="33" t="s">
        <v>7404</v>
      </c>
      <c r="C2667" s="32" t="s">
        <v>7405</v>
      </c>
      <c r="D2667" s="32" t="s">
        <v>7406</v>
      </c>
    </row>
    <row r="2668" spans="2:4" x14ac:dyDescent="0.3">
      <c r="B2668" s="33" t="s">
        <v>7407</v>
      </c>
      <c r="C2668" s="32" t="s">
        <v>7408</v>
      </c>
      <c r="D2668" s="32" t="s">
        <v>7409</v>
      </c>
    </row>
    <row r="2669" spans="2:4" x14ac:dyDescent="0.3">
      <c r="B2669" s="33" t="s">
        <v>7410</v>
      </c>
      <c r="C2669" s="32" t="s">
        <v>7411</v>
      </c>
      <c r="D2669" s="32" t="s">
        <v>7412</v>
      </c>
    </row>
    <row r="2670" spans="2:4" x14ac:dyDescent="0.3">
      <c r="B2670" s="33" t="s">
        <v>7413</v>
      </c>
      <c r="C2670" s="32" t="s">
        <v>7414</v>
      </c>
      <c r="D2670" s="32" t="s">
        <v>7415</v>
      </c>
    </row>
    <row r="2671" spans="2:4" x14ac:dyDescent="0.3">
      <c r="B2671" s="33" t="s">
        <v>7416</v>
      </c>
      <c r="C2671" s="32" t="s">
        <v>7417</v>
      </c>
      <c r="D2671" s="32" t="s">
        <v>7418</v>
      </c>
    </row>
    <row r="2672" spans="2:4" x14ac:dyDescent="0.3">
      <c r="B2672" s="33" t="s">
        <v>7419</v>
      </c>
      <c r="C2672" s="32" t="s">
        <v>7420</v>
      </c>
      <c r="D2672" s="32" t="s">
        <v>7421</v>
      </c>
    </row>
    <row r="2673" spans="2:4" x14ac:dyDescent="0.3">
      <c r="B2673" s="33" t="s">
        <v>7422</v>
      </c>
      <c r="C2673" s="32" t="s">
        <v>7423</v>
      </c>
      <c r="D2673" s="32" t="s">
        <v>7424</v>
      </c>
    </row>
    <row r="2674" spans="2:4" x14ac:dyDescent="0.3">
      <c r="B2674" s="33" t="s">
        <v>7425</v>
      </c>
      <c r="C2674" s="32" t="s">
        <v>7426</v>
      </c>
      <c r="D2674" s="32" t="s">
        <v>7427</v>
      </c>
    </row>
    <row r="2675" spans="2:4" x14ac:dyDescent="0.3">
      <c r="B2675" s="33" t="s">
        <v>7428</v>
      </c>
      <c r="C2675" s="32" t="s">
        <v>7429</v>
      </c>
      <c r="D2675" s="32" t="s">
        <v>7430</v>
      </c>
    </row>
    <row r="2676" spans="2:4" x14ac:dyDescent="0.3">
      <c r="B2676" s="33" t="s">
        <v>7431</v>
      </c>
      <c r="C2676" s="32" t="s">
        <v>7432</v>
      </c>
      <c r="D2676" s="32" t="s">
        <v>7431</v>
      </c>
    </row>
    <row r="2677" spans="2:4" x14ac:dyDescent="0.3">
      <c r="B2677" s="33" t="s">
        <v>7433</v>
      </c>
      <c r="C2677" s="32" t="s">
        <v>7434</v>
      </c>
      <c r="D2677" s="32" t="s">
        <v>152</v>
      </c>
    </row>
    <row r="2678" spans="2:4" x14ac:dyDescent="0.3">
      <c r="B2678" s="33" t="s">
        <v>7435</v>
      </c>
      <c r="C2678" s="32" t="s">
        <v>7436</v>
      </c>
      <c r="D2678" s="32" t="s">
        <v>7437</v>
      </c>
    </row>
    <row r="2679" spans="2:4" x14ac:dyDescent="0.3">
      <c r="B2679" s="33" t="s">
        <v>7438</v>
      </c>
      <c r="C2679" s="32" t="s">
        <v>7439</v>
      </c>
      <c r="D2679" s="32" t="s">
        <v>7440</v>
      </c>
    </row>
    <row r="2680" spans="2:4" x14ac:dyDescent="0.3">
      <c r="B2680" s="33" t="s">
        <v>7441</v>
      </c>
      <c r="C2680" s="32" t="s">
        <v>7442</v>
      </c>
      <c r="D2680" s="32" t="s">
        <v>7443</v>
      </c>
    </row>
    <row r="2681" spans="2:4" x14ac:dyDescent="0.3">
      <c r="B2681" s="33" t="s">
        <v>7444</v>
      </c>
      <c r="C2681" s="32" t="s">
        <v>7445</v>
      </c>
      <c r="D2681" s="32" t="s">
        <v>7446</v>
      </c>
    </row>
    <row r="2682" spans="2:4" x14ac:dyDescent="0.3">
      <c r="B2682" s="33" t="s">
        <v>7433</v>
      </c>
      <c r="C2682" s="32" t="s">
        <v>7447</v>
      </c>
      <c r="D2682" s="32" t="s">
        <v>7448</v>
      </c>
    </row>
    <row r="2683" spans="2:4" x14ac:dyDescent="0.3">
      <c r="B2683" s="33" t="s">
        <v>7449</v>
      </c>
      <c r="C2683" s="32" t="s">
        <v>7450</v>
      </c>
      <c r="D2683" s="32" t="s">
        <v>7451</v>
      </c>
    </row>
    <row r="2684" spans="2:4" x14ac:dyDescent="0.3">
      <c r="B2684" s="33" t="s">
        <v>7433</v>
      </c>
      <c r="C2684" s="32" t="s">
        <v>7452</v>
      </c>
      <c r="D2684" s="32" t="s">
        <v>7453</v>
      </c>
    </row>
    <row r="2685" spans="2:4" x14ac:dyDescent="0.3">
      <c r="B2685" s="33" t="s">
        <v>7433</v>
      </c>
      <c r="C2685" s="32" t="s">
        <v>7454</v>
      </c>
      <c r="D2685" s="32" t="s">
        <v>7455</v>
      </c>
    </row>
    <row r="2686" spans="2:4" x14ac:dyDescent="0.3">
      <c r="B2686" s="33" t="s">
        <v>7456</v>
      </c>
      <c r="C2686" s="32" t="s">
        <v>7457</v>
      </c>
      <c r="D2686" s="32" t="s">
        <v>7458</v>
      </c>
    </row>
    <row r="2687" spans="2:4" x14ac:dyDescent="0.3">
      <c r="B2687" s="33" t="s">
        <v>7459</v>
      </c>
      <c r="C2687" s="32" t="s">
        <v>7460</v>
      </c>
      <c r="D2687" s="32" t="s">
        <v>7461</v>
      </c>
    </row>
    <row r="2688" spans="2:4" x14ac:dyDescent="0.3">
      <c r="B2688" s="33" t="s">
        <v>7462</v>
      </c>
      <c r="C2688" s="32" t="s">
        <v>7463</v>
      </c>
      <c r="D2688" s="32" t="s">
        <v>7464</v>
      </c>
    </row>
    <row r="2689" spans="2:4" x14ac:dyDescent="0.3">
      <c r="B2689" s="33" t="s">
        <v>7465</v>
      </c>
      <c r="C2689" s="32" t="s">
        <v>7466</v>
      </c>
      <c r="D2689" s="32" t="s">
        <v>7467</v>
      </c>
    </row>
    <row r="2690" spans="2:4" x14ac:dyDescent="0.3">
      <c r="B2690" s="33" t="s">
        <v>7401</v>
      </c>
      <c r="C2690" s="32" t="s">
        <v>7468</v>
      </c>
      <c r="D2690" s="32" t="s">
        <v>7469</v>
      </c>
    </row>
    <row r="2691" spans="2:4" x14ac:dyDescent="0.3">
      <c r="B2691" s="33" t="s">
        <v>7470</v>
      </c>
      <c r="C2691" s="32" t="s">
        <v>7471</v>
      </c>
      <c r="D2691" s="32" t="s">
        <v>7472</v>
      </c>
    </row>
    <row r="2692" spans="2:4" x14ac:dyDescent="0.3">
      <c r="B2692" s="33" t="s">
        <v>7473</v>
      </c>
      <c r="C2692" s="32" t="s">
        <v>7474</v>
      </c>
      <c r="D2692" s="32" t="s">
        <v>7475</v>
      </c>
    </row>
    <row r="2693" spans="2:4" x14ac:dyDescent="0.3">
      <c r="B2693" s="33" t="s">
        <v>7476</v>
      </c>
      <c r="C2693" s="32" t="s">
        <v>7477</v>
      </c>
      <c r="D2693" s="32" t="s">
        <v>7478</v>
      </c>
    </row>
    <row r="2694" spans="2:4" x14ac:dyDescent="0.3">
      <c r="B2694" s="33" t="s">
        <v>7479</v>
      </c>
      <c r="C2694" s="32" t="s">
        <v>7480</v>
      </c>
      <c r="D2694" s="32" t="s">
        <v>7481</v>
      </c>
    </row>
    <row r="2695" spans="2:4" x14ac:dyDescent="0.3">
      <c r="B2695" s="33" t="s">
        <v>7479</v>
      </c>
      <c r="C2695" s="32" t="s">
        <v>7482</v>
      </c>
      <c r="D2695" s="32" t="s">
        <v>7483</v>
      </c>
    </row>
    <row r="2696" spans="2:4" x14ac:dyDescent="0.3">
      <c r="B2696" s="33" t="s">
        <v>7422</v>
      </c>
      <c r="C2696" s="32" t="s">
        <v>7484</v>
      </c>
      <c r="D2696" s="32" t="s">
        <v>7485</v>
      </c>
    </row>
    <row r="2697" spans="2:4" x14ac:dyDescent="0.3">
      <c r="B2697" s="33" t="s">
        <v>7486</v>
      </c>
      <c r="C2697" s="32" t="s">
        <v>7487</v>
      </c>
      <c r="D2697" s="32" t="s">
        <v>7488</v>
      </c>
    </row>
    <row r="2698" spans="2:4" x14ac:dyDescent="0.3">
      <c r="B2698" s="33" t="s">
        <v>7489</v>
      </c>
      <c r="C2698" s="32" t="s">
        <v>7490</v>
      </c>
      <c r="D2698" s="32" t="s">
        <v>7491</v>
      </c>
    </row>
    <row r="2699" spans="2:4" x14ac:dyDescent="0.3">
      <c r="B2699" s="33" t="s">
        <v>7492</v>
      </c>
      <c r="C2699" s="32" t="s">
        <v>7493</v>
      </c>
      <c r="D2699" s="32" t="s">
        <v>7494</v>
      </c>
    </row>
    <row r="2700" spans="2:4" x14ac:dyDescent="0.3">
      <c r="B2700" s="33" t="s">
        <v>7495</v>
      </c>
      <c r="C2700" s="32" t="s">
        <v>7496</v>
      </c>
      <c r="D2700" s="32" t="s">
        <v>7497</v>
      </c>
    </row>
    <row r="2701" spans="2:4" x14ac:dyDescent="0.3">
      <c r="B2701" s="33" t="s">
        <v>7498</v>
      </c>
      <c r="C2701" s="32" t="s">
        <v>7499</v>
      </c>
      <c r="D2701" s="32" t="s">
        <v>7500</v>
      </c>
    </row>
    <row r="2702" spans="2:4" x14ac:dyDescent="0.3">
      <c r="B2702" s="33" t="s">
        <v>7501</v>
      </c>
      <c r="C2702" s="32" t="s">
        <v>7502</v>
      </c>
      <c r="D2702" s="32" t="s">
        <v>7503</v>
      </c>
    </row>
    <row r="2703" spans="2:4" x14ac:dyDescent="0.3">
      <c r="B2703" s="33" t="s">
        <v>7504</v>
      </c>
      <c r="C2703" s="32" t="s">
        <v>7505</v>
      </c>
      <c r="D2703" s="32" t="s">
        <v>7506</v>
      </c>
    </row>
    <row r="2704" spans="2:4" x14ac:dyDescent="0.3">
      <c r="B2704" s="33" t="s">
        <v>7507</v>
      </c>
      <c r="C2704" s="32" t="s">
        <v>7508</v>
      </c>
      <c r="D2704" s="32" t="s">
        <v>7509</v>
      </c>
    </row>
    <row r="2705" spans="2:4" x14ac:dyDescent="0.3">
      <c r="B2705" s="33" t="s">
        <v>6802</v>
      </c>
      <c r="C2705" s="32" t="s">
        <v>7510</v>
      </c>
      <c r="D2705" s="32" t="s">
        <v>7511</v>
      </c>
    </row>
    <row r="2706" spans="2:4" x14ac:dyDescent="0.3">
      <c r="B2706" s="33" t="s">
        <v>7512</v>
      </c>
      <c r="C2706" s="32" t="s">
        <v>7513</v>
      </c>
      <c r="D2706" s="32" t="s">
        <v>7514</v>
      </c>
    </row>
    <row r="2707" spans="2:4" x14ac:dyDescent="0.3">
      <c r="B2707" s="33" t="s">
        <v>7515</v>
      </c>
      <c r="C2707" s="32" t="s">
        <v>7516</v>
      </c>
      <c r="D2707" s="32" t="s">
        <v>7517</v>
      </c>
    </row>
    <row r="2708" spans="2:4" x14ac:dyDescent="0.3">
      <c r="B2708" s="33" t="s">
        <v>7518</v>
      </c>
      <c r="C2708" s="32" t="s">
        <v>7519</v>
      </c>
      <c r="D2708" s="32" t="s">
        <v>7520</v>
      </c>
    </row>
    <row r="2709" spans="2:4" x14ac:dyDescent="0.3">
      <c r="B2709" s="33" t="s">
        <v>7518</v>
      </c>
      <c r="C2709" s="32" t="s">
        <v>7521</v>
      </c>
      <c r="D2709" s="32" t="s">
        <v>7522</v>
      </c>
    </row>
    <row r="2710" spans="2:4" x14ac:dyDescent="0.3">
      <c r="B2710" s="33" t="s">
        <v>7523</v>
      </c>
      <c r="C2710" s="32" t="s">
        <v>7524</v>
      </c>
      <c r="D2710" s="32" t="s">
        <v>7525</v>
      </c>
    </row>
    <row r="2711" spans="2:4" x14ac:dyDescent="0.3">
      <c r="B2711" s="33" t="s">
        <v>7526</v>
      </c>
      <c r="C2711" s="32" t="s">
        <v>7527</v>
      </c>
      <c r="D2711" s="32" t="s">
        <v>7528</v>
      </c>
    </row>
    <row r="2712" spans="2:4" x14ac:dyDescent="0.3">
      <c r="B2712" s="33" t="s">
        <v>7529</v>
      </c>
      <c r="C2712" s="32" t="s">
        <v>7530</v>
      </c>
      <c r="D2712" s="32" t="s">
        <v>7531</v>
      </c>
    </row>
    <row r="2713" spans="2:4" x14ac:dyDescent="0.3">
      <c r="B2713" s="33" t="s">
        <v>7532</v>
      </c>
      <c r="C2713" s="32" t="s">
        <v>7533</v>
      </c>
      <c r="D2713" s="32" t="s">
        <v>7534</v>
      </c>
    </row>
    <row r="2714" spans="2:4" x14ac:dyDescent="0.3">
      <c r="B2714" s="33" t="s">
        <v>7381</v>
      </c>
      <c r="C2714" s="32" t="s">
        <v>7535</v>
      </c>
      <c r="D2714" s="32" t="s">
        <v>7536</v>
      </c>
    </row>
    <row r="2715" spans="2:4" x14ac:dyDescent="0.3">
      <c r="B2715" s="33" t="s">
        <v>7537</v>
      </c>
      <c r="C2715" s="32" t="s">
        <v>7538</v>
      </c>
      <c r="D2715" s="32" t="s">
        <v>7539</v>
      </c>
    </row>
    <row r="2716" spans="2:4" x14ac:dyDescent="0.3">
      <c r="B2716" s="33" t="s">
        <v>7540</v>
      </c>
      <c r="C2716" s="32" t="s">
        <v>7541</v>
      </c>
      <c r="D2716" s="32" t="s">
        <v>7542</v>
      </c>
    </row>
    <row r="2717" spans="2:4" x14ac:dyDescent="0.3">
      <c r="B2717" s="33" t="s">
        <v>7543</v>
      </c>
      <c r="C2717" s="32" t="s">
        <v>7544</v>
      </c>
      <c r="D2717" s="32" t="s">
        <v>7545</v>
      </c>
    </row>
    <row r="2718" spans="2:4" x14ac:dyDescent="0.3">
      <c r="B2718" s="33" t="s">
        <v>7546</v>
      </c>
      <c r="C2718" s="32" t="s">
        <v>7547</v>
      </c>
      <c r="D2718" s="32" t="s">
        <v>7548</v>
      </c>
    </row>
    <row r="2719" spans="2:4" x14ac:dyDescent="0.3">
      <c r="B2719" s="33" t="s">
        <v>7549</v>
      </c>
      <c r="C2719" s="32" t="s">
        <v>7550</v>
      </c>
      <c r="D2719" s="32" t="s">
        <v>7551</v>
      </c>
    </row>
    <row r="2720" spans="2:4" x14ac:dyDescent="0.3">
      <c r="B2720" s="33" t="s">
        <v>7552</v>
      </c>
      <c r="C2720" s="32" t="s">
        <v>7553</v>
      </c>
      <c r="D2720" s="32" t="s">
        <v>7554</v>
      </c>
    </row>
    <row r="2721" spans="2:4" x14ac:dyDescent="0.3">
      <c r="B2721" s="33" t="s">
        <v>7555</v>
      </c>
      <c r="C2721" s="32" t="s">
        <v>7556</v>
      </c>
      <c r="D2721" s="32" t="s">
        <v>7557</v>
      </c>
    </row>
    <row r="2722" spans="2:4" x14ac:dyDescent="0.3">
      <c r="B2722" s="33" t="s">
        <v>7558</v>
      </c>
      <c r="C2722" s="32" t="s">
        <v>7559</v>
      </c>
      <c r="D2722" s="32" t="s">
        <v>7560</v>
      </c>
    </row>
    <row r="2723" spans="2:4" x14ac:dyDescent="0.3">
      <c r="B2723" s="33" t="s">
        <v>7561</v>
      </c>
      <c r="C2723" s="32" t="s">
        <v>7562</v>
      </c>
      <c r="D2723" s="32" t="s">
        <v>7563</v>
      </c>
    </row>
    <row r="2724" spans="2:4" x14ac:dyDescent="0.3">
      <c r="B2724" s="33" t="s">
        <v>7564</v>
      </c>
      <c r="C2724" s="32" t="s">
        <v>7565</v>
      </c>
      <c r="D2724" s="32" t="s">
        <v>7566</v>
      </c>
    </row>
    <row r="2725" spans="2:4" x14ac:dyDescent="0.3">
      <c r="B2725" s="33" t="s">
        <v>7567</v>
      </c>
      <c r="C2725" s="32" t="s">
        <v>7568</v>
      </c>
      <c r="D2725" s="32" t="s">
        <v>7569</v>
      </c>
    </row>
    <row r="2726" spans="2:4" x14ac:dyDescent="0.3">
      <c r="B2726" s="33" t="s">
        <v>7570</v>
      </c>
      <c r="C2726" s="32" t="s">
        <v>7571</v>
      </c>
      <c r="D2726" s="32" t="s">
        <v>7572</v>
      </c>
    </row>
    <row r="2727" spans="2:4" x14ac:dyDescent="0.3">
      <c r="B2727" s="33" t="s">
        <v>7573</v>
      </c>
      <c r="C2727" s="32" t="s">
        <v>7574</v>
      </c>
      <c r="D2727" s="32" t="s">
        <v>7575</v>
      </c>
    </row>
    <row r="2728" spans="2:4" x14ac:dyDescent="0.3">
      <c r="B2728" s="33" t="s">
        <v>7576</v>
      </c>
      <c r="C2728" s="32" t="s">
        <v>7577</v>
      </c>
      <c r="D2728" s="32" t="s">
        <v>7578</v>
      </c>
    </row>
    <row r="2729" spans="2:4" x14ac:dyDescent="0.3">
      <c r="B2729" s="33" t="s">
        <v>7240</v>
      </c>
      <c r="C2729" s="32" t="s">
        <v>7579</v>
      </c>
      <c r="D2729" s="32" t="s">
        <v>7580</v>
      </c>
    </row>
    <row r="2730" spans="2:4" x14ac:dyDescent="0.3">
      <c r="B2730" s="33" t="s">
        <v>7581</v>
      </c>
      <c r="C2730" s="32" t="s">
        <v>7582</v>
      </c>
      <c r="D2730" s="32" t="s">
        <v>7583</v>
      </c>
    </row>
    <row r="2731" spans="2:4" x14ac:dyDescent="0.3">
      <c r="B2731" s="33" t="s">
        <v>7584</v>
      </c>
      <c r="C2731" s="32" t="s">
        <v>7585</v>
      </c>
      <c r="D2731" s="32" t="s">
        <v>7586</v>
      </c>
    </row>
    <row r="2732" spans="2:4" x14ac:dyDescent="0.3">
      <c r="B2732" s="33" t="s">
        <v>6265</v>
      </c>
      <c r="C2732" s="32" t="s">
        <v>7587</v>
      </c>
      <c r="D2732" s="32" t="s">
        <v>7588</v>
      </c>
    </row>
    <row r="2733" spans="2:4" x14ac:dyDescent="0.3">
      <c r="B2733" s="33" t="s">
        <v>7589</v>
      </c>
      <c r="C2733" s="32" t="s">
        <v>7590</v>
      </c>
      <c r="D2733" s="32" t="s">
        <v>7591</v>
      </c>
    </row>
    <row r="2734" spans="2:4" x14ac:dyDescent="0.3">
      <c r="B2734" s="33" t="s">
        <v>7592</v>
      </c>
      <c r="C2734" s="32" t="s">
        <v>7593</v>
      </c>
      <c r="D2734" s="32" t="s">
        <v>7594</v>
      </c>
    </row>
    <row r="2735" spans="2:4" x14ac:dyDescent="0.3">
      <c r="B2735" s="33" t="s">
        <v>7595</v>
      </c>
      <c r="C2735" s="32" t="s">
        <v>7596</v>
      </c>
      <c r="D2735" s="32" t="s">
        <v>7597</v>
      </c>
    </row>
    <row r="2736" spans="2:4" x14ac:dyDescent="0.3">
      <c r="B2736" s="33" t="s">
        <v>7595</v>
      </c>
      <c r="C2736" s="32" t="s">
        <v>7598</v>
      </c>
      <c r="D2736" s="32" t="s">
        <v>7599</v>
      </c>
    </row>
    <row r="2737" spans="2:4" x14ac:dyDescent="0.3">
      <c r="B2737" s="33" t="s">
        <v>7263</v>
      </c>
      <c r="C2737" s="32" t="s">
        <v>7600</v>
      </c>
      <c r="D2737" s="32" t="s">
        <v>7601</v>
      </c>
    </row>
    <row r="2738" spans="2:4" x14ac:dyDescent="0.3">
      <c r="B2738" s="33" t="s">
        <v>7602</v>
      </c>
      <c r="C2738" s="32" t="s">
        <v>7603</v>
      </c>
      <c r="D2738" s="32" t="s">
        <v>7604</v>
      </c>
    </row>
    <row r="2739" spans="2:4" x14ac:dyDescent="0.3">
      <c r="B2739" s="33" t="s">
        <v>7605</v>
      </c>
      <c r="C2739" s="32" t="s">
        <v>7606</v>
      </c>
      <c r="D2739" s="32" t="s">
        <v>7607</v>
      </c>
    </row>
    <row r="2740" spans="2:4" x14ac:dyDescent="0.3">
      <c r="B2740" s="33" t="s">
        <v>7608</v>
      </c>
      <c r="C2740" s="32" t="s">
        <v>7609</v>
      </c>
      <c r="D2740" s="32" t="s">
        <v>7610</v>
      </c>
    </row>
    <row r="2741" spans="2:4" x14ac:dyDescent="0.3">
      <c r="B2741" s="33" t="s">
        <v>7611</v>
      </c>
      <c r="C2741" s="32" t="s">
        <v>7612</v>
      </c>
      <c r="D2741" s="32" t="s">
        <v>7613</v>
      </c>
    </row>
    <row r="2742" spans="2:4" x14ac:dyDescent="0.3">
      <c r="B2742" s="33" t="s">
        <v>1449</v>
      </c>
      <c r="C2742" s="32" t="s">
        <v>7614</v>
      </c>
      <c r="D2742" s="32" t="s">
        <v>7615</v>
      </c>
    </row>
    <row r="2743" spans="2:4" x14ac:dyDescent="0.3">
      <c r="B2743" s="33" t="s">
        <v>7616</v>
      </c>
      <c r="C2743" s="32" t="s">
        <v>7617</v>
      </c>
      <c r="D2743" s="32" t="s">
        <v>7618</v>
      </c>
    </row>
    <row r="2744" spans="2:4" x14ac:dyDescent="0.3">
      <c r="B2744" s="33" t="s">
        <v>7512</v>
      </c>
      <c r="C2744" s="32" t="s">
        <v>7619</v>
      </c>
      <c r="D2744" s="32" t="s">
        <v>7620</v>
      </c>
    </row>
    <row r="2745" spans="2:4" x14ac:dyDescent="0.3">
      <c r="B2745" s="33" t="s">
        <v>7621</v>
      </c>
      <c r="C2745" s="32" t="s">
        <v>7622</v>
      </c>
      <c r="D2745" s="32" t="s">
        <v>7623</v>
      </c>
    </row>
    <row r="2746" spans="2:4" x14ac:dyDescent="0.3">
      <c r="B2746" s="33" t="s">
        <v>6693</v>
      </c>
      <c r="C2746" s="32" t="s">
        <v>7624</v>
      </c>
      <c r="D2746" s="32" t="s">
        <v>7625</v>
      </c>
    </row>
    <row r="2747" spans="2:4" x14ac:dyDescent="0.3">
      <c r="B2747" s="33" t="s">
        <v>7626</v>
      </c>
      <c r="C2747" s="32" t="s">
        <v>7627</v>
      </c>
      <c r="D2747" s="32" t="s">
        <v>7628</v>
      </c>
    </row>
    <row r="2748" spans="2:4" x14ac:dyDescent="0.3">
      <c r="B2748" s="33" t="s">
        <v>7629</v>
      </c>
      <c r="C2748" s="32" t="s">
        <v>7630</v>
      </c>
      <c r="D2748" s="32" t="s">
        <v>7631</v>
      </c>
    </row>
    <row r="2749" spans="2:4" x14ac:dyDescent="0.3">
      <c r="B2749" s="33" t="s">
        <v>7632</v>
      </c>
      <c r="C2749" s="32" t="s">
        <v>7633</v>
      </c>
      <c r="D2749" s="32" t="s">
        <v>7634</v>
      </c>
    </row>
    <row r="2750" spans="2:4" x14ac:dyDescent="0.3">
      <c r="B2750" s="33" t="s">
        <v>7635</v>
      </c>
      <c r="C2750" s="32" t="s">
        <v>7636</v>
      </c>
      <c r="D2750" s="32" t="s">
        <v>7637</v>
      </c>
    </row>
    <row r="2751" spans="2:4" x14ac:dyDescent="0.3">
      <c r="B2751" s="33" t="s">
        <v>7635</v>
      </c>
      <c r="C2751" s="32" t="s">
        <v>7638</v>
      </c>
      <c r="D2751" s="32" t="s">
        <v>7639</v>
      </c>
    </row>
    <row r="2752" spans="2:4" x14ac:dyDescent="0.3">
      <c r="B2752" s="33" t="s">
        <v>7640</v>
      </c>
      <c r="C2752" s="32" t="s">
        <v>7641</v>
      </c>
      <c r="D2752" s="32" t="s">
        <v>7642</v>
      </c>
    </row>
    <row r="2753" spans="2:4" x14ac:dyDescent="0.3">
      <c r="B2753" s="33" t="s">
        <v>7643</v>
      </c>
      <c r="C2753" s="32" t="s">
        <v>7644</v>
      </c>
      <c r="D2753" s="32" t="s">
        <v>7645</v>
      </c>
    </row>
    <row r="2754" spans="2:4" x14ac:dyDescent="0.3">
      <c r="B2754" s="33" t="s">
        <v>7646</v>
      </c>
      <c r="C2754" s="32" t="s">
        <v>7647</v>
      </c>
      <c r="D2754" s="32" t="s">
        <v>7648</v>
      </c>
    </row>
    <row r="2755" spans="2:4" x14ac:dyDescent="0.3">
      <c r="B2755" s="33" t="s">
        <v>7649</v>
      </c>
      <c r="C2755" s="32" t="s">
        <v>7650</v>
      </c>
      <c r="D2755" s="32" t="s">
        <v>7651</v>
      </c>
    </row>
    <row r="2756" spans="2:4" x14ac:dyDescent="0.3">
      <c r="B2756" s="33" t="s">
        <v>7646</v>
      </c>
      <c r="C2756" s="32" t="s">
        <v>7652</v>
      </c>
      <c r="D2756" s="32" t="s">
        <v>7653</v>
      </c>
    </row>
    <row r="2757" spans="2:4" x14ac:dyDescent="0.3">
      <c r="B2757" s="33" t="s">
        <v>7091</v>
      </c>
      <c r="C2757" s="32" t="s">
        <v>7654</v>
      </c>
      <c r="D2757" s="32" t="s">
        <v>7655</v>
      </c>
    </row>
    <row r="2758" spans="2:4" x14ac:dyDescent="0.3">
      <c r="B2758" s="33" t="s">
        <v>7019</v>
      </c>
      <c r="C2758" s="32" t="s">
        <v>7656</v>
      </c>
      <c r="D2758" s="32" t="s">
        <v>7657</v>
      </c>
    </row>
    <row r="2759" spans="2:4" x14ac:dyDescent="0.3">
      <c r="B2759" s="33" t="s">
        <v>7658</v>
      </c>
      <c r="C2759" s="32" t="s">
        <v>7659</v>
      </c>
      <c r="D2759" s="32" t="s">
        <v>7660</v>
      </c>
    </row>
    <row r="2760" spans="2:4" x14ac:dyDescent="0.3">
      <c r="B2760" s="33" t="s">
        <v>7661</v>
      </c>
      <c r="C2760" s="32" t="s">
        <v>7662</v>
      </c>
      <c r="D2760" s="32" t="s">
        <v>7663</v>
      </c>
    </row>
    <row r="2761" spans="2:4" x14ac:dyDescent="0.3">
      <c r="B2761" s="33" t="s">
        <v>7664</v>
      </c>
      <c r="C2761" s="32" t="s">
        <v>7665</v>
      </c>
      <c r="D2761" s="32" t="s">
        <v>7666</v>
      </c>
    </row>
    <row r="2762" spans="2:4" x14ac:dyDescent="0.3">
      <c r="B2762" s="33" t="s">
        <v>7667</v>
      </c>
      <c r="C2762" s="32" t="s">
        <v>7668</v>
      </c>
      <c r="D2762" s="32" t="s">
        <v>7669</v>
      </c>
    </row>
    <row r="2763" spans="2:4" x14ac:dyDescent="0.3">
      <c r="B2763" s="33" t="s">
        <v>7305</v>
      </c>
      <c r="C2763" s="32" t="s">
        <v>7670</v>
      </c>
      <c r="D2763" s="32" t="s">
        <v>7671</v>
      </c>
    </row>
    <row r="2764" spans="2:4" x14ac:dyDescent="0.3">
      <c r="B2764" s="33" t="s">
        <v>7672</v>
      </c>
      <c r="C2764" s="32" t="s">
        <v>7673</v>
      </c>
      <c r="D2764" s="32" t="s">
        <v>7674</v>
      </c>
    </row>
    <row r="2765" spans="2:4" x14ac:dyDescent="0.3">
      <c r="B2765" s="33" t="s">
        <v>7675</v>
      </c>
      <c r="C2765" s="32" t="s">
        <v>7676</v>
      </c>
      <c r="D2765" s="32" t="s">
        <v>7677</v>
      </c>
    </row>
    <row r="2766" spans="2:4" x14ac:dyDescent="0.3">
      <c r="B2766" s="33" t="s">
        <v>7678</v>
      </c>
      <c r="C2766" s="32" t="s">
        <v>7679</v>
      </c>
      <c r="D2766" s="32" t="s">
        <v>7680</v>
      </c>
    </row>
    <row r="2767" spans="2:4" x14ac:dyDescent="0.3">
      <c r="B2767" s="33" t="s">
        <v>7681</v>
      </c>
      <c r="C2767" s="32" t="s">
        <v>7682</v>
      </c>
      <c r="D2767" s="32" t="s">
        <v>7683</v>
      </c>
    </row>
    <row r="2768" spans="2:4" x14ac:dyDescent="0.3">
      <c r="B2768" s="33" t="s">
        <v>7684</v>
      </c>
      <c r="C2768" s="32" t="s">
        <v>7685</v>
      </c>
      <c r="D2768" s="32" t="s">
        <v>7686</v>
      </c>
    </row>
    <row r="2769" spans="2:4" x14ac:dyDescent="0.3">
      <c r="B2769" s="33" t="s">
        <v>7687</v>
      </c>
      <c r="C2769" s="32" t="s">
        <v>7688</v>
      </c>
      <c r="D2769" s="32" t="s">
        <v>7689</v>
      </c>
    </row>
    <row r="2770" spans="2:4" x14ac:dyDescent="0.3">
      <c r="B2770" s="33" t="s">
        <v>7690</v>
      </c>
      <c r="C2770" s="32" t="s">
        <v>7691</v>
      </c>
      <c r="D2770" s="32" t="s">
        <v>7692</v>
      </c>
    </row>
    <row r="2771" spans="2:4" x14ac:dyDescent="0.3">
      <c r="B2771" s="33" t="s">
        <v>7693</v>
      </c>
      <c r="C2771" s="32" t="s">
        <v>7694</v>
      </c>
      <c r="D2771" s="32" t="s">
        <v>7695</v>
      </c>
    </row>
    <row r="2772" spans="2:4" x14ac:dyDescent="0.3">
      <c r="B2772" s="33" t="s">
        <v>141</v>
      </c>
      <c r="C2772" s="32" t="s">
        <v>7696</v>
      </c>
      <c r="D2772" s="32" t="s">
        <v>142</v>
      </c>
    </row>
    <row r="2773" spans="2:4" x14ac:dyDescent="0.3">
      <c r="B2773" s="33" t="s">
        <v>7693</v>
      </c>
      <c r="C2773" s="32" t="s">
        <v>7697</v>
      </c>
      <c r="D2773" s="32" t="s">
        <v>7698</v>
      </c>
    </row>
    <row r="2774" spans="2:4" x14ac:dyDescent="0.3">
      <c r="B2774" s="33" t="s">
        <v>7699</v>
      </c>
      <c r="C2774" s="32" t="s">
        <v>7700</v>
      </c>
      <c r="D2774" s="32" t="s">
        <v>7701</v>
      </c>
    </row>
    <row r="2775" spans="2:4" x14ac:dyDescent="0.3">
      <c r="B2775" s="33" t="s">
        <v>7702</v>
      </c>
      <c r="C2775" s="32" t="s">
        <v>7703</v>
      </c>
      <c r="D2775" s="32" t="s">
        <v>7704</v>
      </c>
    </row>
    <row r="2776" spans="2:4" x14ac:dyDescent="0.3">
      <c r="B2776" s="33" t="s">
        <v>7705</v>
      </c>
      <c r="C2776" s="32" t="s">
        <v>7706</v>
      </c>
      <c r="D2776" s="32" t="s">
        <v>7707</v>
      </c>
    </row>
    <row r="2777" spans="2:4" x14ac:dyDescent="0.3">
      <c r="B2777" s="33" t="s">
        <v>7708</v>
      </c>
      <c r="C2777" s="32" t="s">
        <v>7709</v>
      </c>
      <c r="D2777" s="32" t="s">
        <v>7710</v>
      </c>
    </row>
    <row r="2778" spans="2:4" x14ac:dyDescent="0.3">
      <c r="B2778" s="33" t="s">
        <v>7711</v>
      </c>
      <c r="C2778" s="32" t="s">
        <v>7712</v>
      </c>
      <c r="D2778" s="32" t="s">
        <v>7713</v>
      </c>
    </row>
    <row r="2779" spans="2:4" x14ac:dyDescent="0.3">
      <c r="B2779" s="33" t="s">
        <v>7693</v>
      </c>
      <c r="C2779" s="32" t="s">
        <v>7714</v>
      </c>
      <c r="D2779" s="32" t="s">
        <v>7715</v>
      </c>
    </row>
    <row r="2780" spans="2:4" x14ac:dyDescent="0.3">
      <c r="B2780" s="33" t="s">
        <v>7716</v>
      </c>
      <c r="C2780" s="32" t="s">
        <v>7717</v>
      </c>
      <c r="D2780" s="32" t="s">
        <v>7718</v>
      </c>
    </row>
    <row r="2781" spans="2:4" x14ac:dyDescent="0.3">
      <c r="B2781" s="33" t="s">
        <v>7719</v>
      </c>
      <c r="C2781" s="32" t="s">
        <v>7720</v>
      </c>
      <c r="D2781" s="32" t="s">
        <v>7721</v>
      </c>
    </row>
    <row r="2782" spans="2:4" x14ac:dyDescent="0.3">
      <c r="B2782" s="33" t="s">
        <v>7722</v>
      </c>
      <c r="C2782" s="32" t="s">
        <v>7723</v>
      </c>
      <c r="D2782" s="32" t="s">
        <v>7724</v>
      </c>
    </row>
    <row r="2783" spans="2:4" x14ac:dyDescent="0.3">
      <c r="B2783" s="33" t="s">
        <v>36994</v>
      </c>
      <c r="C2783" s="32" t="s">
        <v>36995</v>
      </c>
      <c r="D2783" s="32" t="s">
        <v>36996</v>
      </c>
    </row>
    <row r="2784" spans="2:4" x14ac:dyDescent="0.3">
      <c r="B2784" s="33" t="s">
        <v>7725</v>
      </c>
      <c r="C2784" s="32" t="s">
        <v>7726</v>
      </c>
      <c r="D2784" s="32" t="s">
        <v>7727</v>
      </c>
    </row>
    <row r="2785" spans="2:4" x14ac:dyDescent="0.3">
      <c r="B2785" s="33" t="s">
        <v>7728</v>
      </c>
      <c r="C2785" s="32" t="s">
        <v>7729</v>
      </c>
      <c r="D2785" s="32" t="s">
        <v>7730</v>
      </c>
    </row>
    <row r="2786" spans="2:4" x14ac:dyDescent="0.3">
      <c r="B2786" s="33" t="s">
        <v>7672</v>
      </c>
      <c r="C2786" s="32" t="s">
        <v>7731</v>
      </c>
      <c r="D2786" s="32" t="s">
        <v>7732</v>
      </c>
    </row>
    <row r="2787" spans="2:4" x14ac:dyDescent="0.3">
      <c r="B2787" s="33" t="s">
        <v>7733</v>
      </c>
      <c r="C2787" s="32" t="s">
        <v>7734</v>
      </c>
      <c r="D2787" s="32" t="s">
        <v>7735</v>
      </c>
    </row>
    <row r="2788" spans="2:4" x14ac:dyDescent="0.3">
      <c r="B2788" s="33" t="s">
        <v>7736</v>
      </c>
      <c r="C2788" s="32" t="s">
        <v>7737</v>
      </c>
      <c r="D2788" s="32" t="s">
        <v>7738</v>
      </c>
    </row>
    <row r="2789" spans="2:4" x14ac:dyDescent="0.3">
      <c r="B2789" s="33" t="s">
        <v>7739</v>
      </c>
      <c r="C2789" s="32" t="s">
        <v>7740</v>
      </c>
      <c r="D2789" s="32" t="s">
        <v>7741</v>
      </c>
    </row>
    <row r="2790" spans="2:4" x14ac:dyDescent="0.3">
      <c r="B2790" s="33" t="s">
        <v>7742</v>
      </c>
      <c r="C2790" s="32" t="s">
        <v>7743</v>
      </c>
      <c r="D2790" s="32" t="s">
        <v>7744</v>
      </c>
    </row>
    <row r="2791" spans="2:4" x14ac:dyDescent="0.3">
      <c r="B2791" s="33" t="s">
        <v>7745</v>
      </c>
      <c r="C2791" s="32" t="s">
        <v>7746</v>
      </c>
      <c r="D2791" s="32" t="s">
        <v>7747</v>
      </c>
    </row>
    <row r="2792" spans="2:4" x14ac:dyDescent="0.3">
      <c r="B2792" s="33" t="s">
        <v>7748</v>
      </c>
      <c r="C2792" s="32" t="s">
        <v>7749</v>
      </c>
      <c r="D2792" s="32" t="s">
        <v>7750</v>
      </c>
    </row>
    <row r="2793" spans="2:4" x14ac:dyDescent="0.3">
      <c r="B2793" s="33" t="s">
        <v>7751</v>
      </c>
      <c r="C2793" s="32" t="s">
        <v>7752</v>
      </c>
      <c r="D2793" s="32" t="s">
        <v>7753</v>
      </c>
    </row>
    <row r="2794" spans="2:4" x14ac:dyDescent="0.3">
      <c r="B2794" s="33" t="s">
        <v>7754</v>
      </c>
      <c r="C2794" s="32" t="s">
        <v>7755</v>
      </c>
      <c r="D2794" s="32" t="s">
        <v>7756</v>
      </c>
    </row>
    <row r="2795" spans="2:4" x14ac:dyDescent="0.3">
      <c r="B2795" s="33" t="s">
        <v>7757</v>
      </c>
      <c r="C2795" s="32" t="s">
        <v>7758</v>
      </c>
      <c r="D2795" s="32" t="s">
        <v>7759</v>
      </c>
    </row>
    <row r="2796" spans="2:4" x14ac:dyDescent="0.3">
      <c r="B2796" s="33" t="s">
        <v>7760</v>
      </c>
      <c r="C2796" s="32" t="s">
        <v>7761</v>
      </c>
      <c r="D2796" s="32" t="s">
        <v>7762</v>
      </c>
    </row>
    <row r="2797" spans="2:4" x14ac:dyDescent="0.3">
      <c r="B2797" s="33" t="s">
        <v>7763</v>
      </c>
      <c r="C2797" s="32" t="s">
        <v>7764</v>
      </c>
      <c r="D2797" s="32" t="s">
        <v>7765</v>
      </c>
    </row>
    <row r="2798" spans="2:4" x14ac:dyDescent="0.3">
      <c r="B2798" s="33" t="s">
        <v>7766</v>
      </c>
      <c r="C2798" s="32" t="s">
        <v>7767</v>
      </c>
      <c r="D2798" s="32" t="s">
        <v>7768</v>
      </c>
    </row>
    <row r="2799" spans="2:4" x14ac:dyDescent="0.3">
      <c r="B2799" s="33" t="s">
        <v>7532</v>
      </c>
      <c r="C2799" s="32" t="s">
        <v>7769</v>
      </c>
      <c r="D2799" s="32" t="s">
        <v>7770</v>
      </c>
    </row>
    <row r="2800" spans="2:4" x14ac:dyDescent="0.3">
      <c r="B2800" s="33" t="s">
        <v>7771</v>
      </c>
      <c r="C2800" s="32" t="s">
        <v>7772</v>
      </c>
      <c r="D2800" s="32" t="s">
        <v>7773</v>
      </c>
    </row>
    <row r="2801" spans="2:4" x14ac:dyDescent="0.3">
      <c r="B2801" s="33" t="s">
        <v>7774</v>
      </c>
      <c r="C2801" s="32" t="s">
        <v>7775</v>
      </c>
      <c r="D2801" s="32" t="s">
        <v>7776</v>
      </c>
    </row>
    <row r="2802" spans="2:4" x14ac:dyDescent="0.3">
      <c r="B2802" s="33" t="s">
        <v>7777</v>
      </c>
      <c r="C2802" s="32" t="s">
        <v>7778</v>
      </c>
      <c r="D2802" s="32" t="s">
        <v>7779</v>
      </c>
    </row>
    <row r="2803" spans="2:4" x14ac:dyDescent="0.3">
      <c r="B2803" s="33" t="s">
        <v>6767</v>
      </c>
      <c r="C2803" s="32" t="s">
        <v>7780</v>
      </c>
      <c r="D2803" s="32" t="s">
        <v>7781</v>
      </c>
    </row>
    <row r="2804" spans="2:4" x14ac:dyDescent="0.3">
      <c r="B2804" s="33" t="s">
        <v>7782</v>
      </c>
      <c r="C2804" s="32" t="s">
        <v>7783</v>
      </c>
      <c r="D2804" s="32" t="s">
        <v>7784</v>
      </c>
    </row>
    <row r="2805" spans="2:4" x14ac:dyDescent="0.3">
      <c r="B2805" s="33" t="s">
        <v>7234</v>
      </c>
      <c r="C2805" s="32" t="s">
        <v>7785</v>
      </c>
      <c r="D2805" s="32" t="s">
        <v>7786</v>
      </c>
    </row>
    <row r="2806" spans="2:4" x14ac:dyDescent="0.3">
      <c r="B2806" s="33" t="s">
        <v>7787</v>
      </c>
      <c r="C2806" s="32" t="s">
        <v>7788</v>
      </c>
      <c r="D2806" s="32" t="s">
        <v>7789</v>
      </c>
    </row>
    <row r="2807" spans="2:4" x14ac:dyDescent="0.3">
      <c r="B2807" s="33" t="s">
        <v>7790</v>
      </c>
      <c r="C2807" s="32" t="s">
        <v>7791</v>
      </c>
      <c r="D2807" s="32" t="s">
        <v>7792</v>
      </c>
    </row>
    <row r="2808" spans="2:4" x14ac:dyDescent="0.3">
      <c r="B2808" s="33" t="s">
        <v>7790</v>
      </c>
      <c r="C2808" s="32" t="s">
        <v>7793</v>
      </c>
      <c r="D2808" s="32" t="s">
        <v>7794</v>
      </c>
    </row>
    <row r="2809" spans="2:4" x14ac:dyDescent="0.3">
      <c r="B2809" s="33" t="s">
        <v>5761</v>
      </c>
      <c r="C2809" s="32" t="s">
        <v>7795</v>
      </c>
      <c r="D2809" s="32" t="s">
        <v>7796</v>
      </c>
    </row>
    <row r="2810" spans="2:4" x14ac:dyDescent="0.3">
      <c r="B2810" s="33" t="s">
        <v>7797</v>
      </c>
      <c r="C2810" s="32" t="s">
        <v>7798</v>
      </c>
      <c r="D2810" s="32" t="s">
        <v>7799</v>
      </c>
    </row>
    <row r="2811" spans="2:4" x14ac:dyDescent="0.3">
      <c r="B2811" s="33" t="s">
        <v>7800</v>
      </c>
      <c r="C2811" s="32" t="s">
        <v>7801</v>
      </c>
      <c r="D2811" s="32" t="s">
        <v>7802</v>
      </c>
    </row>
    <row r="2812" spans="2:4" x14ac:dyDescent="0.3">
      <c r="B2812" s="33" t="s">
        <v>7803</v>
      </c>
      <c r="C2812" s="32" t="s">
        <v>7804</v>
      </c>
      <c r="D2812" s="32" t="s">
        <v>7805</v>
      </c>
    </row>
    <row r="2813" spans="2:4" x14ac:dyDescent="0.3">
      <c r="B2813" s="33" t="s">
        <v>7806</v>
      </c>
      <c r="C2813" s="32" t="s">
        <v>7807</v>
      </c>
      <c r="D2813" s="32" t="s">
        <v>7808</v>
      </c>
    </row>
    <row r="2814" spans="2:4" x14ac:dyDescent="0.3">
      <c r="B2814" s="33" t="s">
        <v>7809</v>
      </c>
      <c r="C2814" s="32" t="s">
        <v>7810</v>
      </c>
      <c r="D2814" s="32" t="s">
        <v>7811</v>
      </c>
    </row>
    <row r="2815" spans="2:4" x14ac:dyDescent="0.3">
      <c r="B2815" s="33" t="s">
        <v>7812</v>
      </c>
      <c r="C2815" s="32" t="s">
        <v>7813</v>
      </c>
      <c r="D2815" s="32" t="s">
        <v>7814</v>
      </c>
    </row>
    <row r="2816" spans="2:4" x14ac:dyDescent="0.3">
      <c r="B2816" s="33" t="s">
        <v>7815</v>
      </c>
      <c r="C2816" s="32" t="s">
        <v>7816</v>
      </c>
      <c r="D2816" s="32" t="s">
        <v>7817</v>
      </c>
    </row>
    <row r="2817" spans="2:4" x14ac:dyDescent="0.3">
      <c r="B2817" s="33" t="s">
        <v>7532</v>
      </c>
      <c r="C2817" s="32" t="s">
        <v>7818</v>
      </c>
      <c r="D2817" s="32" t="s">
        <v>7819</v>
      </c>
    </row>
    <row r="2818" spans="2:4" x14ac:dyDescent="0.3">
      <c r="B2818" s="33" t="s">
        <v>7820</v>
      </c>
      <c r="C2818" s="32" t="s">
        <v>7821</v>
      </c>
      <c r="D2818" s="32" t="s">
        <v>7822</v>
      </c>
    </row>
    <row r="2819" spans="2:4" x14ac:dyDescent="0.3">
      <c r="B2819" s="33" t="s">
        <v>7532</v>
      </c>
      <c r="C2819" s="32" t="s">
        <v>7823</v>
      </c>
      <c r="D2819" s="32" t="s">
        <v>7824</v>
      </c>
    </row>
    <row r="2820" spans="2:4" x14ac:dyDescent="0.3">
      <c r="B2820" s="33" t="s">
        <v>7825</v>
      </c>
      <c r="C2820" s="32" t="s">
        <v>7826</v>
      </c>
      <c r="D2820" s="32" t="s">
        <v>7827</v>
      </c>
    </row>
    <row r="2821" spans="2:4" x14ac:dyDescent="0.3">
      <c r="B2821" s="33" t="s">
        <v>7828</v>
      </c>
      <c r="C2821" s="32" t="s">
        <v>7829</v>
      </c>
      <c r="D2821" s="32" t="s">
        <v>7830</v>
      </c>
    </row>
    <row r="2822" spans="2:4" x14ac:dyDescent="0.3">
      <c r="B2822" s="33" t="s">
        <v>7828</v>
      </c>
      <c r="C2822" s="32" t="s">
        <v>7831</v>
      </c>
      <c r="D2822" s="32" t="s">
        <v>7832</v>
      </c>
    </row>
    <row r="2823" spans="2:4" x14ac:dyDescent="0.3">
      <c r="B2823" s="33" t="s">
        <v>7833</v>
      </c>
      <c r="C2823" s="32" t="s">
        <v>7834</v>
      </c>
      <c r="D2823" s="32" t="s">
        <v>7835</v>
      </c>
    </row>
    <row r="2824" spans="2:4" x14ac:dyDescent="0.3">
      <c r="B2824" s="33" t="s">
        <v>7836</v>
      </c>
      <c r="C2824" s="32" t="s">
        <v>7837</v>
      </c>
      <c r="D2824" s="32" t="s">
        <v>7838</v>
      </c>
    </row>
    <row r="2825" spans="2:4" x14ac:dyDescent="0.3">
      <c r="B2825" s="33" t="s">
        <v>7839</v>
      </c>
      <c r="C2825" s="32" t="s">
        <v>7840</v>
      </c>
      <c r="D2825" s="32" t="s">
        <v>7841</v>
      </c>
    </row>
    <row r="2826" spans="2:4" x14ac:dyDescent="0.3">
      <c r="B2826" s="33" t="s">
        <v>7842</v>
      </c>
      <c r="C2826" s="32" t="s">
        <v>7843</v>
      </c>
      <c r="D2826" s="32" t="s">
        <v>7844</v>
      </c>
    </row>
    <row r="2827" spans="2:4" x14ac:dyDescent="0.3">
      <c r="B2827" s="33" t="s">
        <v>7845</v>
      </c>
      <c r="C2827" s="32" t="s">
        <v>7846</v>
      </c>
      <c r="D2827" s="32" t="s">
        <v>7847</v>
      </c>
    </row>
    <row r="2828" spans="2:4" x14ac:dyDescent="0.3">
      <c r="B2828" s="33" t="s">
        <v>7848</v>
      </c>
      <c r="C2828" s="32" t="s">
        <v>7849</v>
      </c>
      <c r="D2828" s="32" t="s">
        <v>7850</v>
      </c>
    </row>
    <row r="2829" spans="2:4" x14ac:dyDescent="0.3">
      <c r="B2829" s="33" t="s">
        <v>7851</v>
      </c>
      <c r="C2829" s="32" t="s">
        <v>7852</v>
      </c>
      <c r="D2829" s="32" t="s">
        <v>7853</v>
      </c>
    </row>
    <row r="2830" spans="2:4" x14ac:dyDescent="0.3">
      <c r="B2830" s="33" t="s">
        <v>7540</v>
      </c>
      <c r="C2830" s="32" t="s">
        <v>7854</v>
      </c>
      <c r="D2830" s="32" t="s">
        <v>7855</v>
      </c>
    </row>
    <row r="2831" spans="2:4" x14ac:dyDescent="0.3">
      <c r="B2831" s="33" t="s">
        <v>7856</v>
      </c>
      <c r="C2831" s="32" t="s">
        <v>7857</v>
      </c>
      <c r="D2831" s="32" t="s">
        <v>7858</v>
      </c>
    </row>
    <row r="2832" spans="2:4" x14ac:dyDescent="0.3">
      <c r="B2832" s="33" t="s">
        <v>7859</v>
      </c>
      <c r="C2832" s="32" t="s">
        <v>7860</v>
      </c>
      <c r="D2832" s="32" t="s">
        <v>7861</v>
      </c>
    </row>
    <row r="2833" spans="2:4" x14ac:dyDescent="0.3">
      <c r="B2833" s="33" t="s">
        <v>7862</v>
      </c>
      <c r="C2833" s="32" t="s">
        <v>7863</v>
      </c>
      <c r="D2833" s="32" t="s">
        <v>7864</v>
      </c>
    </row>
    <row r="2834" spans="2:4" x14ac:dyDescent="0.3">
      <c r="B2834" s="33" t="s">
        <v>7865</v>
      </c>
      <c r="C2834" s="32" t="s">
        <v>7866</v>
      </c>
      <c r="D2834" s="32" t="s">
        <v>7867</v>
      </c>
    </row>
    <row r="2835" spans="2:4" x14ac:dyDescent="0.3">
      <c r="B2835" s="33" t="s">
        <v>7868</v>
      </c>
      <c r="C2835" s="32" t="s">
        <v>7869</v>
      </c>
      <c r="D2835" s="32" t="s">
        <v>7870</v>
      </c>
    </row>
    <row r="2836" spans="2:4" x14ac:dyDescent="0.3">
      <c r="B2836" s="33" t="s">
        <v>7871</v>
      </c>
      <c r="C2836" s="32" t="s">
        <v>7872</v>
      </c>
      <c r="D2836" s="32" t="s">
        <v>7873</v>
      </c>
    </row>
    <row r="2837" spans="2:4" x14ac:dyDescent="0.3">
      <c r="B2837" s="33" t="s">
        <v>7874</v>
      </c>
      <c r="C2837" s="32" t="s">
        <v>7875</v>
      </c>
      <c r="D2837" s="32" t="s">
        <v>7876</v>
      </c>
    </row>
    <row r="2838" spans="2:4" x14ac:dyDescent="0.3">
      <c r="B2838" s="33" t="s">
        <v>7877</v>
      </c>
      <c r="C2838" s="32" t="s">
        <v>7878</v>
      </c>
      <c r="D2838" s="32" t="s">
        <v>7879</v>
      </c>
    </row>
    <row r="2839" spans="2:4" x14ac:dyDescent="0.3">
      <c r="B2839" s="33" t="s">
        <v>7880</v>
      </c>
      <c r="C2839" s="32" t="s">
        <v>7881</v>
      </c>
      <c r="D2839" s="32" t="s">
        <v>7882</v>
      </c>
    </row>
    <row r="2840" spans="2:4" x14ac:dyDescent="0.3">
      <c r="B2840" s="33" t="s">
        <v>7880</v>
      </c>
      <c r="C2840" s="32" t="s">
        <v>7883</v>
      </c>
      <c r="D2840" s="32" t="s">
        <v>7884</v>
      </c>
    </row>
    <row r="2841" spans="2:4" x14ac:dyDescent="0.3">
      <c r="B2841" s="33" t="s">
        <v>7880</v>
      </c>
      <c r="C2841" s="32" t="s">
        <v>7885</v>
      </c>
      <c r="D2841" s="32" t="s">
        <v>7886</v>
      </c>
    </row>
    <row r="2842" spans="2:4" x14ac:dyDescent="0.3">
      <c r="B2842" s="33" t="s">
        <v>7874</v>
      </c>
      <c r="C2842" s="32" t="s">
        <v>7887</v>
      </c>
      <c r="D2842" s="32" t="s">
        <v>7888</v>
      </c>
    </row>
    <row r="2843" spans="2:4" x14ac:dyDescent="0.3">
      <c r="B2843" s="33" t="s">
        <v>7889</v>
      </c>
      <c r="C2843" s="32" t="s">
        <v>7890</v>
      </c>
      <c r="D2843" s="32" t="s">
        <v>7891</v>
      </c>
    </row>
    <row r="2844" spans="2:4" x14ac:dyDescent="0.3">
      <c r="B2844" s="33" t="s">
        <v>7892</v>
      </c>
      <c r="C2844" s="32" t="s">
        <v>7893</v>
      </c>
      <c r="D2844" s="32" t="s">
        <v>7894</v>
      </c>
    </row>
    <row r="2845" spans="2:4" x14ac:dyDescent="0.3">
      <c r="B2845" s="33" t="s">
        <v>7040</v>
      </c>
      <c r="C2845" s="32" t="s">
        <v>7895</v>
      </c>
      <c r="D2845" s="32" t="s">
        <v>7040</v>
      </c>
    </row>
    <row r="2846" spans="2:4" x14ac:dyDescent="0.3">
      <c r="B2846" s="33" t="s">
        <v>7757</v>
      </c>
      <c r="C2846" s="32" t="s">
        <v>7896</v>
      </c>
      <c r="D2846" s="32" t="s">
        <v>7897</v>
      </c>
    </row>
    <row r="2847" spans="2:4" x14ac:dyDescent="0.3">
      <c r="B2847" s="33" t="s">
        <v>7040</v>
      </c>
      <c r="C2847" s="32" t="s">
        <v>7898</v>
      </c>
      <c r="D2847" s="32" t="s">
        <v>7899</v>
      </c>
    </row>
    <row r="2848" spans="2:4" x14ac:dyDescent="0.3">
      <c r="B2848" s="33" t="s">
        <v>7900</v>
      </c>
      <c r="C2848" s="32" t="s">
        <v>7901</v>
      </c>
      <c r="D2848" s="32" t="s">
        <v>7902</v>
      </c>
    </row>
    <row r="2849" spans="2:4" x14ac:dyDescent="0.3">
      <c r="B2849" s="33" t="s">
        <v>7903</v>
      </c>
      <c r="C2849" s="32" t="s">
        <v>7904</v>
      </c>
      <c r="D2849" s="32" t="s">
        <v>7905</v>
      </c>
    </row>
    <row r="2850" spans="2:4" x14ac:dyDescent="0.3">
      <c r="B2850" s="33" t="s">
        <v>7906</v>
      </c>
      <c r="C2850" s="32" t="s">
        <v>7907</v>
      </c>
      <c r="D2850" s="32" t="s">
        <v>7908</v>
      </c>
    </row>
    <row r="2851" spans="2:4" x14ac:dyDescent="0.3">
      <c r="B2851" s="33" t="s">
        <v>7909</v>
      </c>
      <c r="C2851" s="32" t="s">
        <v>7910</v>
      </c>
      <c r="D2851" s="32" t="s">
        <v>7911</v>
      </c>
    </row>
    <row r="2852" spans="2:4" x14ac:dyDescent="0.3">
      <c r="B2852" s="33" t="s">
        <v>7912</v>
      </c>
      <c r="C2852" s="32" t="s">
        <v>7913</v>
      </c>
      <c r="D2852" s="32" t="s">
        <v>7914</v>
      </c>
    </row>
    <row r="2853" spans="2:4" x14ac:dyDescent="0.3">
      <c r="B2853" s="33" t="s">
        <v>7915</v>
      </c>
      <c r="C2853" s="32" t="s">
        <v>7916</v>
      </c>
      <c r="D2853" s="32" t="s">
        <v>7917</v>
      </c>
    </row>
    <row r="2854" spans="2:4" x14ac:dyDescent="0.3">
      <c r="B2854" s="33" t="s">
        <v>7918</v>
      </c>
      <c r="C2854" s="32" t="s">
        <v>7919</v>
      </c>
      <c r="D2854" s="32" t="s">
        <v>7920</v>
      </c>
    </row>
    <row r="2855" spans="2:4" x14ac:dyDescent="0.3">
      <c r="B2855" s="33" t="s">
        <v>36710</v>
      </c>
      <c r="C2855" s="32" t="s">
        <v>36711</v>
      </c>
      <c r="D2855" s="32" t="s">
        <v>36712</v>
      </c>
    </row>
    <row r="2856" spans="2:4" x14ac:dyDescent="0.3">
      <c r="B2856" s="33" t="s">
        <v>7921</v>
      </c>
      <c r="C2856" s="32" t="s">
        <v>7922</v>
      </c>
      <c r="D2856" s="32" t="s">
        <v>7923</v>
      </c>
    </row>
    <row r="2857" spans="2:4" x14ac:dyDescent="0.3">
      <c r="B2857" s="33" t="s">
        <v>7924</v>
      </c>
      <c r="C2857" s="32" t="s">
        <v>7925</v>
      </c>
      <c r="D2857" s="32" t="s">
        <v>7926</v>
      </c>
    </row>
    <row r="2858" spans="2:4" x14ac:dyDescent="0.3">
      <c r="B2858" s="33" t="s">
        <v>7921</v>
      </c>
      <c r="C2858" s="32" t="s">
        <v>7927</v>
      </c>
      <c r="D2858" s="32" t="s">
        <v>7928</v>
      </c>
    </row>
    <row r="2859" spans="2:4" x14ac:dyDescent="0.3">
      <c r="B2859" s="33" t="s">
        <v>7929</v>
      </c>
      <c r="C2859" s="32" t="s">
        <v>7930</v>
      </c>
      <c r="D2859" s="32" t="s">
        <v>7931</v>
      </c>
    </row>
    <row r="2860" spans="2:4" x14ac:dyDescent="0.3">
      <c r="B2860" s="33" t="s">
        <v>7932</v>
      </c>
      <c r="C2860" s="32" t="s">
        <v>7933</v>
      </c>
      <c r="D2860" s="32" t="s">
        <v>7934</v>
      </c>
    </row>
    <row r="2861" spans="2:4" x14ac:dyDescent="0.3">
      <c r="B2861" s="33" t="s">
        <v>89</v>
      </c>
      <c r="C2861" s="32" t="s">
        <v>7935</v>
      </c>
      <c r="D2861" s="32" t="s">
        <v>90</v>
      </c>
    </row>
    <row r="2862" spans="2:4" x14ac:dyDescent="0.3">
      <c r="B2862" s="33" t="s">
        <v>7936</v>
      </c>
      <c r="C2862" s="32" t="s">
        <v>7937</v>
      </c>
      <c r="D2862" s="32" t="s">
        <v>7938</v>
      </c>
    </row>
    <row r="2863" spans="2:4" x14ac:dyDescent="0.3">
      <c r="B2863" s="33" t="s">
        <v>7939</v>
      </c>
      <c r="C2863" s="32" t="s">
        <v>7940</v>
      </c>
      <c r="D2863" s="32" t="s">
        <v>37157</v>
      </c>
    </row>
    <row r="2864" spans="2:4" x14ac:dyDescent="0.3">
      <c r="B2864" s="33" t="s">
        <v>7939</v>
      </c>
      <c r="C2864" s="32" t="s">
        <v>7941</v>
      </c>
      <c r="D2864" s="32" t="s">
        <v>7942</v>
      </c>
    </row>
    <row r="2865" spans="2:4" x14ac:dyDescent="0.3">
      <c r="B2865" s="33" t="s">
        <v>7943</v>
      </c>
      <c r="C2865" s="32" t="s">
        <v>7944</v>
      </c>
      <c r="D2865" s="32" t="s">
        <v>7945</v>
      </c>
    </row>
    <row r="2866" spans="2:4" x14ac:dyDescent="0.3">
      <c r="B2866" s="33" t="s">
        <v>7946</v>
      </c>
      <c r="C2866" s="32" t="s">
        <v>7947</v>
      </c>
      <c r="D2866" s="32" t="s">
        <v>7946</v>
      </c>
    </row>
    <row r="2867" spans="2:4" x14ac:dyDescent="0.3">
      <c r="B2867" s="33" t="s">
        <v>7939</v>
      </c>
      <c r="C2867" s="32" t="s">
        <v>7948</v>
      </c>
      <c r="D2867" s="32" t="s">
        <v>7949</v>
      </c>
    </row>
    <row r="2868" spans="2:4" x14ac:dyDescent="0.3">
      <c r="B2868" s="33" t="s">
        <v>7950</v>
      </c>
      <c r="C2868" s="32" t="s">
        <v>7951</v>
      </c>
      <c r="D2868" s="32" t="s">
        <v>7952</v>
      </c>
    </row>
    <row r="2869" spans="2:4" x14ac:dyDescent="0.3">
      <c r="B2869" s="33" t="s">
        <v>7953</v>
      </c>
      <c r="C2869" s="32" t="s">
        <v>7954</v>
      </c>
      <c r="D2869" s="32" t="s">
        <v>7955</v>
      </c>
    </row>
    <row r="2870" spans="2:4" x14ac:dyDescent="0.3">
      <c r="B2870" s="33" t="s">
        <v>7956</v>
      </c>
      <c r="C2870" s="32" t="s">
        <v>7957</v>
      </c>
      <c r="D2870" s="32" t="s">
        <v>7958</v>
      </c>
    </row>
    <row r="2871" spans="2:4" x14ac:dyDescent="0.3">
      <c r="B2871" s="33" t="s">
        <v>7959</v>
      </c>
      <c r="C2871" s="32" t="s">
        <v>7960</v>
      </c>
      <c r="D2871" s="32" t="s">
        <v>7961</v>
      </c>
    </row>
    <row r="2872" spans="2:4" x14ac:dyDescent="0.3">
      <c r="B2872" s="33" t="s">
        <v>7962</v>
      </c>
      <c r="C2872" s="32" t="s">
        <v>7963</v>
      </c>
      <c r="D2872" s="32" t="s">
        <v>7964</v>
      </c>
    </row>
    <row r="2873" spans="2:4" x14ac:dyDescent="0.3">
      <c r="B2873" s="33" t="s">
        <v>7965</v>
      </c>
      <c r="C2873" s="32" t="s">
        <v>7966</v>
      </c>
      <c r="D2873" s="32" t="s">
        <v>7967</v>
      </c>
    </row>
    <row r="2874" spans="2:4" x14ac:dyDescent="0.3">
      <c r="B2874" s="33" t="s">
        <v>7968</v>
      </c>
      <c r="C2874" s="32" t="s">
        <v>7969</v>
      </c>
      <c r="D2874" s="32" t="s">
        <v>7970</v>
      </c>
    </row>
    <row r="2875" spans="2:4" x14ac:dyDescent="0.3">
      <c r="B2875" s="33" t="s">
        <v>7971</v>
      </c>
      <c r="C2875" s="32" t="s">
        <v>7972</v>
      </c>
      <c r="D2875" s="32" t="s">
        <v>7973</v>
      </c>
    </row>
    <row r="2876" spans="2:4" x14ac:dyDescent="0.3">
      <c r="B2876" s="33" t="s">
        <v>7974</v>
      </c>
      <c r="C2876" s="32" t="s">
        <v>7975</v>
      </c>
      <c r="D2876" s="32" t="s">
        <v>7976</v>
      </c>
    </row>
    <row r="2877" spans="2:4" x14ac:dyDescent="0.3">
      <c r="B2877" s="33" t="s">
        <v>7977</v>
      </c>
      <c r="C2877" s="32" t="s">
        <v>7978</v>
      </c>
      <c r="D2877" s="32" t="s">
        <v>7979</v>
      </c>
    </row>
    <row r="2878" spans="2:4" x14ac:dyDescent="0.3">
      <c r="B2878" s="33" t="s">
        <v>7980</v>
      </c>
      <c r="C2878" s="32" t="s">
        <v>7981</v>
      </c>
      <c r="D2878" s="32" t="s">
        <v>7982</v>
      </c>
    </row>
    <row r="2879" spans="2:4" x14ac:dyDescent="0.3">
      <c r="B2879" s="33" t="s">
        <v>7983</v>
      </c>
      <c r="C2879" s="32" t="s">
        <v>7984</v>
      </c>
      <c r="D2879" s="32" t="s">
        <v>7985</v>
      </c>
    </row>
    <row r="2880" spans="2:4" x14ac:dyDescent="0.3">
      <c r="B2880" s="33" t="s">
        <v>7986</v>
      </c>
      <c r="C2880" s="32" t="s">
        <v>7987</v>
      </c>
      <c r="D2880" s="32" t="s">
        <v>7988</v>
      </c>
    </row>
    <row r="2881" spans="2:4" x14ac:dyDescent="0.3">
      <c r="B2881" s="33" t="s">
        <v>7989</v>
      </c>
      <c r="C2881" s="32" t="s">
        <v>7990</v>
      </c>
      <c r="D2881" s="32" t="s">
        <v>7991</v>
      </c>
    </row>
    <row r="2882" spans="2:4" x14ac:dyDescent="0.3">
      <c r="B2882" s="33" t="s">
        <v>7240</v>
      </c>
      <c r="C2882" s="32" t="s">
        <v>7992</v>
      </c>
      <c r="D2882" s="32" t="s">
        <v>7993</v>
      </c>
    </row>
    <row r="2883" spans="2:4" x14ac:dyDescent="0.3">
      <c r="B2883" s="33" t="s">
        <v>7994</v>
      </c>
      <c r="C2883" s="32" t="s">
        <v>7995</v>
      </c>
      <c r="D2883" s="32" t="s">
        <v>7996</v>
      </c>
    </row>
    <row r="2884" spans="2:4" x14ac:dyDescent="0.3">
      <c r="B2884" s="33" t="s">
        <v>7997</v>
      </c>
      <c r="C2884" s="32" t="s">
        <v>7998</v>
      </c>
      <c r="D2884" s="32" t="s">
        <v>7999</v>
      </c>
    </row>
    <row r="2885" spans="2:4" x14ac:dyDescent="0.3">
      <c r="B2885" s="33" t="s">
        <v>8000</v>
      </c>
      <c r="C2885" s="32" t="s">
        <v>8001</v>
      </c>
      <c r="D2885" s="32" t="s">
        <v>8002</v>
      </c>
    </row>
    <row r="2886" spans="2:4" x14ac:dyDescent="0.3">
      <c r="B2886" s="33" t="s">
        <v>8003</v>
      </c>
      <c r="C2886" s="32" t="s">
        <v>8004</v>
      </c>
      <c r="D2886" s="32" t="s">
        <v>8005</v>
      </c>
    </row>
    <row r="2887" spans="2:4" x14ac:dyDescent="0.3">
      <c r="B2887" s="33" t="s">
        <v>6658</v>
      </c>
      <c r="C2887" s="32" t="s">
        <v>8006</v>
      </c>
      <c r="D2887" s="32" t="s">
        <v>8007</v>
      </c>
    </row>
    <row r="2888" spans="2:4" x14ac:dyDescent="0.3">
      <c r="B2888" s="33" t="s">
        <v>8008</v>
      </c>
      <c r="C2888" s="32" t="s">
        <v>8009</v>
      </c>
      <c r="D2888" s="32" t="s">
        <v>8010</v>
      </c>
    </row>
    <row r="2889" spans="2:4" x14ac:dyDescent="0.3">
      <c r="B2889" s="33" t="s">
        <v>6265</v>
      </c>
      <c r="C2889" s="32" t="s">
        <v>8011</v>
      </c>
      <c r="D2889" s="32" t="s">
        <v>8012</v>
      </c>
    </row>
    <row r="2890" spans="2:4" x14ac:dyDescent="0.3">
      <c r="B2890" s="33" t="s">
        <v>6265</v>
      </c>
      <c r="C2890" s="32" t="s">
        <v>8013</v>
      </c>
      <c r="D2890" s="32" t="s">
        <v>8014</v>
      </c>
    </row>
    <row r="2891" spans="2:4" x14ac:dyDescent="0.3">
      <c r="B2891" s="33" t="s">
        <v>8015</v>
      </c>
      <c r="C2891" s="32" t="s">
        <v>8016</v>
      </c>
      <c r="D2891" s="32" t="s">
        <v>8017</v>
      </c>
    </row>
    <row r="2892" spans="2:4" x14ac:dyDescent="0.3">
      <c r="B2892" s="33" t="s">
        <v>8018</v>
      </c>
      <c r="C2892" s="32" t="s">
        <v>8019</v>
      </c>
      <c r="D2892" s="32" t="s">
        <v>8020</v>
      </c>
    </row>
    <row r="2893" spans="2:4" x14ac:dyDescent="0.3">
      <c r="B2893" s="33" t="s">
        <v>8021</v>
      </c>
      <c r="C2893" s="32" t="s">
        <v>8022</v>
      </c>
      <c r="D2893" s="32" t="s">
        <v>8023</v>
      </c>
    </row>
    <row r="2894" spans="2:4" x14ac:dyDescent="0.3">
      <c r="B2894" s="33" t="s">
        <v>8024</v>
      </c>
      <c r="C2894" s="32" t="s">
        <v>8025</v>
      </c>
      <c r="D2894" s="32" t="s">
        <v>8026</v>
      </c>
    </row>
    <row r="2895" spans="2:4" x14ac:dyDescent="0.3">
      <c r="B2895" s="33" t="s">
        <v>8027</v>
      </c>
      <c r="C2895" s="32" t="s">
        <v>8028</v>
      </c>
      <c r="D2895" s="32" t="s">
        <v>8027</v>
      </c>
    </row>
    <row r="2896" spans="2:4" x14ac:dyDescent="0.3">
      <c r="B2896" s="33" t="s">
        <v>8029</v>
      </c>
      <c r="C2896" s="32" t="s">
        <v>8030</v>
      </c>
      <c r="D2896" s="32" t="s">
        <v>8031</v>
      </c>
    </row>
    <row r="2897" spans="2:4" x14ac:dyDescent="0.3">
      <c r="B2897" s="33" t="s">
        <v>8029</v>
      </c>
      <c r="C2897" s="32" t="s">
        <v>8032</v>
      </c>
      <c r="D2897" s="32" t="s">
        <v>8033</v>
      </c>
    </row>
    <row r="2898" spans="2:4" x14ac:dyDescent="0.3">
      <c r="B2898" s="33" t="s">
        <v>8034</v>
      </c>
      <c r="C2898" s="32" t="s">
        <v>8035</v>
      </c>
      <c r="D2898" s="32" t="s">
        <v>8036</v>
      </c>
    </row>
    <row r="2899" spans="2:4" x14ac:dyDescent="0.3">
      <c r="B2899" s="33" t="s">
        <v>8037</v>
      </c>
      <c r="C2899" s="32" t="s">
        <v>8038</v>
      </c>
      <c r="D2899" s="32" t="s">
        <v>8039</v>
      </c>
    </row>
    <row r="2900" spans="2:4" x14ac:dyDescent="0.3">
      <c r="B2900" s="33" t="s">
        <v>8040</v>
      </c>
      <c r="C2900" s="32" t="s">
        <v>8041</v>
      </c>
      <c r="D2900" s="32" t="s">
        <v>8042</v>
      </c>
    </row>
    <row r="2901" spans="2:4" x14ac:dyDescent="0.3">
      <c r="B2901" s="33" t="s">
        <v>8043</v>
      </c>
      <c r="C2901" s="32" t="s">
        <v>8044</v>
      </c>
      <c r="D2901" s="32" t="s">
        <v>8045</v>
      </c>
    </row>
    <row r="2902" spans="2:4" x14ac:dyDescent="0.3">
      <c r="B2902" s="33" t="s">
        <v>8046</v>
      </c>
      <c r="C2902" s="32" t="s">
        <v>8047</v>
      </c>
      <c r="D2902" s="32" t="s">
        <v>8048</v>
      </c>
    </row>
    <row r="2903" spans="2:4" x14ac:dyDescent="0.3">
      <c r="B2903" s="33" t="s">
        <v>8049</v>
      </c>
      <c r="C2903" s="32" t="s">
        <v>8050</v>
      </c>
      <c r="D2903" s="32" t="s">
        <v>8051</v>
      </c>
    </row>
    <row r="2904" spans="2:4" x14ac:dyDescent="0.3">
      <c r="B2904" s="33" t="s">
        <v>8052</v>
      </c>
      <c r="C2904" s="32" t="s">
        <v>8053</v>
      </c>
      <c r="D2904" s="32" t="s">
        <v>8054</v>
      </c>
    </row>
    <row r="2905" spans="2:4" x14ac:dyDescent="0.3">
      <c r="B2905" s="33" t="s">
        <v>8055</v>
      </c>
      <c r="C2905" s="32" t="s">
        <v>8056</v>
      </c>
      <c r="D2905" s="32" t="s">
        <v>8057</v>
      </c>
    </row>
    <row r="2906" spans="2:4" x14ac:dyDescent="0.3">
      <c r="B2906" s="33" t="s">
        <v>8058</v>
      </c>
      <c r="C2906" s="32" t="s">
        <v>8059</v>
      </c>
      <c r="D2906" s="32" t="s">
        <v>8060</v>
      </c>
    </row>
    <row r="2907" spans="2:4" x14ac:dyDescent="0.3">
      <c r="B2907" s="33" t="s">
        <v>6487</v>
      </c>
      <c r="C2907" s="32" t="s">
        <v>8061</v>
      </c>
      <c r="D2907" s="32" t="s">
        <v>8062</v>
      </c>
    </row>
    <row r="2908" spans="2:4" x14ac:dyDescent="0.3">
      <c r="B2908" s="33" t="s">
        <v>8063</v>
      </c>
      <c r="C2908" s="32" t="s">
        <v>8064</v>
      </c>
      <c r="D2908" s="32" t="s">
        <v>8065</v>
      </c>
    </row>
    <row r="2909" spans="2:4" x14ac:dyDescent="0.3">
      <c r="B2909" s="33" t="s">
        <v>8066</v>
      </c>
      <c r="C2909" s="32" t="s">
        <v>8067</v>
      </c>
      <c r="D2909" s="32" t="s">
        <v>8068</v>
      </c>
    </row>
    <row r="2910" spans="2:4" x14ac:dyDescent="0.3">
      <c r="B2910" s="33" t="s">
        <v>8069</v>
      </c>
      <c r="C2910" s="32" t="s">
        <v>8070</v>
      </c>
      <c r="D2910" s="32" t="s">
        <v>8071</v>
      </c>
    </row>
    <row r="2911" spans="2:4" x14ac:dyDescent="0.3">
      <c r="B2911" s="33" t="s">
        <v>8072</v>
      </c>
      <c r="C2911" s="32" t="s">
        <v>8073</v>
      </c>
      <c r="D2911" s="32" t="s">
        <v>8072</v>
      </c>
    </row>
    <row r="2912" spans="2:4" x14ac:dyDescent="0.3">
      <c r="B2912" s="33" t="s">
        <v>8074</v>
      </c>
      <c r="C2912" s="32" t="s">
        <v>8075</v>
      </c>
      <c r="D2912" s="32" t="s">
        <v>8076</v>
      </c>
    </row>
    <row r="2913" spans="2:4" x14ac:dyDescent="0.3">
      <c r="B2913" s="33" t="s">
        <v>8077</v>
      </c>
      <c r="C2913" s="32" t="s">
        <v>8078</v>
      </c>
      <c r="D2913" s="32" t="s">
        <v>8079</v>
      </c>
    </row>
    <row r="2914" spans="2:4" x14ac:dyDescent="0.3">
      <c r="B2914" s="33" t="s">
        <v>8080</v>
      </c>
      <c r="C2914" s="32" t="s">
        <v>8081</v>
      </c>
      <c r="D2914" s="32" t="s">
        <v>8082</v>
      </c>
    </row>
    <row r="2915" spans="2:4" x14ac:dyDescent="0.3">
      <c r="B2915" s="33" t="s">
        <v>8083</v>
      </c>
      <c r="C2915" s="32" t="s">
        <v>8084</v>
      </c>
      <c r="D2915" s="32" t="s">
        <v>8085</v>
      </c>
    </row>
    <row r="2916" spans="2:4" x14ac:dyDescent="0.3">
      <c r="B2916" s="33" t="s">
        <v>8086</v>
      </c>
      <c r="C2916" s="32" t="s">
        <v>8087</v>
      </c>
      <c r="D2916" s="32" t="s">
        <v>8088</v>
      </c>
    </row>
    <row r="2917" spans="2:4" x14ac:dyDescent="0.3">
      <c r="B2917" s="33" t="s">
        <v>7649</v>
      </c>
      <c r="C2917" s="32" t="s">
        <v>8089</v>
      </c>
      <c r="D2917" s="32" t="s">
        <v>8090</v>
      </c>
    </row>
    <row r="2918" spans="2:4" x14ac:dyDescent="0.3">
      <c r="B2918" s="33" t="s">
        <v>8080</v>
      </c>
      <c r="C2918" s="32" t="s">
        <v>8091</v>
      </c>
      <c r="D2918" s="32" t="s">
        <v>8092</v>
      </c>
    </row>
    <row r="2919" spans="2:4" x14ac:dyDescent="0.3">
      <c r="B2919" s="33" t="s">
        <v>8093</v>
      </c>
      <c r="C2919" s="32" t="s">
        <v>8094</v>
      </c>
      <c r="D2919" s="32" t="s">
        <v>8095</v>
      </c>
    </row>
    <row r="2920" spans="2:4" x14ac:dyDescent="0.3">
      <c r="B2920" s="33" t="s">
        <v>8096</v>
      </c>
      <c r="C2920" s="32" t="s">
        <v>8097</v>
      </c>
      <c r="D2920" s="32" t="s">
        <v>8098</v>
      </c>
    </row>
    <row r="2921" spans="2:4" x14ac:dyDescent="0.3">
      <c r="B2921" s="33" t="s">
        <v>8099</v>
      </c>
      <c r="C2921" s="32" t="s">
        <v>8100</v>
      </c>
      <c r="D2921" s="32" t="s">
        <v>8099</v>
      </c>
    </row>
    <row r="2922" spans="2:4" x14ac:dyDescent="0.3">
      <c r="B2922" s="33" t="s">
        <v>8101</v>
      </c>
      <c r="C2922" s="32" t="s">
        <v>8102</v>
      </c>
      <c r="D2922" s="32" t="s">
        <v>8103</v>
      </c>
    </row>
    <row r="2923" spans="2:4" x14ac:dyDescent="0.3">
      <c r="B2923" s="33" t="s">
        <v>6510</v>
      </c>
      <c r="C2923" s="32" t="s">
        <v>8104</v>
      </c>
      <c r="D2923" s="32" t="s">
        <v>8105</v>
      </c>
    </row>
    <row r="2924" spans="2:4" x14ac:dyDescent="0.3">
      <c r="B2924" s="33" t="s">
        <v>8106</v>
      </c>
      <c r="C2924" s="32" t="s">
        <v>8107</v>
      </c>
      <c r="D2924" s="32" t="s">
        <v>8108</v>
      </c>
    </row>
    <row r="2925" spans="2:4" x14ac:dyDescent="0.3">
      <c r="B2925" s="33" t="s">
        <v>8109</v>
      </c>
      <c r="C2925" s="32" t="s">
        <v>8110</v>
      </c>
      <c r="D2925" s="32" t="s">
        <v>8111</v>
      </c>
    </row>
    <row r="2926" spans="2:4" x14ac:dyDescent="0.3">
      <c r="B2926" s="33" t="s">
        <v>8112</v>
      </c>
      <c r="C2926" s="32" t="s">
        <v>8113</v>
      </c>
      <c r="D2926" s="32" t="s">
        <v>8114</v>
      </c>
    </row>
    <row r="2927" spans="2:4" x14ac:dyDescent="0.3">
      <c r="B2927" s="33" t="s">
        <v>8112</v>
      </c>
      <c r="C2927" s="32" t="s">
        <v>8115</v>
      </c>
      <c r="D2927" s="32" t="s">
        <v>8116</v>
      </c>
    </row>
    <row r="2928" spans="2:4" x14ac:dyDescent="0.3">
      <c r="B2928" s="33" t="s">
        <v>8117</v>
      </c>
      <c r="C2928" s="32" t="s">
        <v>8118</v>
      </c>
      <c r="D2928" s="32" t="s">
        <v>8119</v>
      </c>
    </row>
    <row r="2929" spans="2:4" x14ac:dyDescent="0.3">
      <c r="B2929" s="33" t="s">
        <v>8117</v>
      </c>
      <c r="C2929" s="32" t="s">
        <v>8120</v>
      </c>
      <c r="D2929" s="32" t="s">
        <v>8121</v>
      </c>
    </row>
    <row r="2930" spans="2:4" x14ac:dyDescent="0.3">
      <c r="B2930" s="33" t="s">
        <v>7661</v>
      </c>
      <c r="C2930" s="32" t="s">
        <v>8122</v>
      </c>
      <c r="D2930" s="32" t="s">
        <v>8123</v>
      </c>
    </row>
    <row r="2931" spans="2:4" x14ac:dyDescent="0.3">
      <c r="B2931" s="33" t="s">
        <v>8124</v>
      </c>
      <c r="C2931" s="32" t="s">
        <v>8125</v>
      </c>
      <c r="D2931" s="32" t="s">
        <v>8126</v>
      </c>
    </row>
    <row r="2932" spans="2:4" x14ac:dyDescent="0.3">
      <c r="B2932" s="33" t="s">
        <v>8127</v>
      </c>
      <c r="C2932" s="32" t="s">
        <v>8128</v>
      </c>
      <c r="D2932" s="32" t="s">
        <v>8129</v>
      </c>
    </row>
    <row r="2933" spans="2:4" x14ac:dyDescent="0.3">
      <c r="B2933" s="33" t="s">
        <v>8117</v>
      </c>
      <c r="C2933" s="32" t="s">
        <v>8130</v>
      </c>
      <c r="D2933" s="32" t="s">
        <v>8131</v>
      </c>
    </row>
    <row r="2934" spans="2:4" x14ac:dyDescent="0.3">
      <c r="B2934" s="33" t="s">
        <v>8132</v>
      </c>
      <c r="C2934" s="32" t="s">
        <v>8133</v>
      </c>
      <c r="D2934" s="32" t="s">
        <v>8134</v>
      </c>
    </row>
    <row r="2935" spans="2:4" x14ac:dyDescent="0.3">
      <c r="B2935" s="33" t="s">
        <v>8135</v>
      </c>
      <c r="C2935" s="32" t="s">
        <v>8136</v>
      </c>
      <c r="D2935" s="32" t="s">
        <v>8137</v>
      </c>
    </row>
    <row r="2936" spans="2:4" x14ac:dyDescent="0.3">
      <c r="B2936" s="33" t="s">
        <v>8138</v>
      </c>
      <c r="C2936" s="32" t="s">
        <v>8139</v>
      </c>
      <c r="D2936" s="32" t="s">
        <v>8140</v>
      </c>
    </row>
    <row r="2937" spans="2:4" x14ac:dyDescent="0.3">
      <c r="B2937" s="33" t="s">
        <v>6510</v>
      </c>
      <c r="C2937" s="32" t="s">
        <v>8141</v>
      </c>
      <c r="D2937" s="32" t="s">
        <v>8142</v>
      </c>
    </row>
    <row r="2938" spans="2:4" x14ac:dyDescent="0.3">
      <c r="B2938" s="33" t="s">
        <v>8143</v>
      </c>
      <c r="C2938" s="32" t="s">
        <v>8144</v>
      </c>
      <c r="D2938" s="32" t="s">
        <v>8145</v>
      </c>
    </row>
    <row r="2939" spans="2:4" x14ac:dyDescent="0.3">
      <c r="B2939" s="33" t="s">
        <v>8146</v>
      </c>
      <c r="C2939" s="32" t="s">
        <v>8147</v>
      </c>
      <c r="D2939" s="32" t="s">
        <v>8148</v>
      </c>
    </row>
    <row r="2940" spans="2:4" x14ac:dyDescent="0.3">
      <c r="B2940" s="33" t="s">
        <v>8149</v>
      </c>
      <c r="C2940" s="32" t="s">
        <v>8150</v>
      </c>
      <c r="D2940" s="32" t="s">
        <v>8151</v>
      </c>
    </row>
    <row r="2941" spans="2:4" x14ac:dyDescent="0.3">
      <c r="B2941" s="33" t="s">
        <v>8152</v>
      </c>
      <c r="C2941" s="32" t="s">
        <v>8153</v>
      </c>
      <c r="D2941" s="32" t="s">
        <v>8154</v>
      </c>
    </row>
    <row r="2942" spans="2:4" x14ac:dyDescent="0.3">
      <c r="B2942" s="33" t="s">
        <v>8155</v>
      </c>
      <c r="C2942" s="32" t="s">
        <v>8156</v>
      </c>
      <c r="D2942" s="32" t="s">
        <v>8157</v>
      </c>
    </row>
    <row r="2943" spans="2:4" x14ac:dyDescent="0.3">
      <c r="B2943" s="33" t="s">
        <v>7234</v>
      </c>
      <c r="C2943" s="32" t="s">
        <v>37158</v>
      </c>
      <c r="D2943" s="32" t="s">
        <v>37159</v>
      </c>
    </row>
    <row r="2944" spans="2:4" x14ac:dyDescent="0.3">
      <c r="B2944" s="33" t="s">
        <v>8158</v>
      </c>
      <c r="C2944" s="32" t="s">
        <v>8159</v>
      </c>
      <c r="D2944" s="32" t="s">
        <v>8160</v>
      </c>
    </row>
    <row r="2945" spans="2:4" x14ac:dyDescent="0.3">
      <c r="B2945" s="33" t="s">
        <v>8161</v>
      </c>
      <c r="C2945" s="32" t="s">
        <v>8162</v>
      </c>
      <c r="D2945" s="32" t="s">
        <v>8163</v>
      </c>
    </row>
    <row r="2946" spans="2:4" x14ac:dyDescent="0.3">
      <c r="B2946" s="33" t="s">
        <v>8164</v>
      </c>
      <c r="C2946" s="32" t="s">
        <v>8165</v>
      </c>
      <c r="D2946" s="32" t="s">
        <v>8166</v>
      </c>
    </row>
    <row r="2947" spans="2:4" x14ac:dyDescent="0.3">
      <c r="B2947" s="33" t="s">
        <v>6767</v>
      </c>
      <c r="C2947" s="32" t="s">
        <v>8167</v>
      </c>
      <c r="D2947" s="32" t="s">
        <v>8168</v>
      </c>
    </row>
    <row r="2948" spans="2:4" x14ac:dyDescent="0.3">
      <c r="B2948" s="33" t="s">
        <v>8169</v>
      </c>
      <c r="C2948" s="32" t="s">
        <v>8170</v>
      </c>
      <c r="D2948" s="32" t="s">
        <v>8171</v>
      </c>
    </row>
    <row r="2949" spans="2:4" x14ac:dyDescent="0.3">
      <c r="B2949" s="33" t="s">
        <v>8172</v>
      </c>
      <c r="C2949" s="32" t="s">
        <v>8173</v>
      </c>
      <c r="D2949" s="32" t="s">
        <v>8172</v>
      </c>
    </row>
    <row r="2950" spans="2:4" x14ac:dyDescent="0.3">
      <c r="B2950" s="33" t="s">
        <v>3880</v>
      </c>
      <c r="C2950" s="32" t="s">
        <v>8174</v>
      </c>
      <c r="D2950" s="32" t="s">
        <v>8175</v>
      </c>
    </row>
    <row r="2951" spans="2:4" x14ac:dyDescent="0.3">
      <c r="B2951" s="33" t="s">
        <v>8176</v>
      </c>
      <c r="C2951" s="32" t="s">
        <v>8177</v>
      </c>
      <c r="D2951" s="32" t="s">
        <v>8178</v>
      </c>
    </row>
    <row r="2952" spans="2:4" x14ac:dyDescent="0.3">
      <c r="B2952" s="33" t="s">
        <v>8179</v>
      </c>
      <c r="C2952" s="32" t="s">
        <v>8180</v>
      </c>
      <c r="D2952" s="32" t="s">
        <v>8181</v>
      </c>
    </row>
    <row r="2953" spans="2:4" x14ac:dyDescent="0.3">
      <c r="B2953" s="33" t="s">
        <v>8182</v>
      </c>
      <c r="C2953" s="32" t="s">
        <v>8183</v>
      </c>
      <c r="D2953" s="32" t="s">
        <v>8184</v>
      </c>
    </row>
    <row r="2954" spans="2:4" x14ac:dyDescent="0.3">
      <c r="B2954" s="33" t="s">
        <v>8185</v>
      </c>
      <c r="C2954" s="32" t="s">
        <v>8186</v>
      </c>
      <c r="D2954" s="32" t="s">
        <v>8185</v>
      </c>
    </row>
    <row r="2955" spans="2:4" x14ac:dyDescent="0.3">
      <c r="B2955" s="33" t="s">
        <v>8187</v>
      </c>
      <c r="C2955" s="32" t="s">
        <v>8188</v>
      </c>
      <c r="D2955" s="32" t="s">
        <v>8189</v>
      </c>
    </row>
    <row r="2956" spans="2:4" x14ac:dyDescent="0.3">
      <c r="B2956" s="33" t="s">
        <v>8190</v>
      </c>
      <c r="C2956" s="32" t="s">
        <v>8191</v>
      </c>
      <c r="D2956" s="32" t="s">
        <v>8192</v>
      </c>
    </row>
    <row r="2957" spans="2:4" x14ac:dyDescent="0.3">
      <c r="B2957" s="33" t="s">
        <v>8193</v>
      </c>
      <c r="C2957" s="32" t="s">
        <v>8194</v>
      </c>
      <c r="D2957" s="32" t="s">
        <v>8195</v>
      </c>
    </row>
    <row r="2958" spans="2:4" x14ac:dyDescent="0.3">
      <c r="B2958" s="33" t="s">
        <v>8196</v>
      </c>
      <c r="C2958" s="32" t="s">
        <v>8197</v>
      </c>
      <c r="D2958" s="32" t="s">
        <v>8198</v>
      </c>
    </row>
    <row r="2959" spans="2:4" x14ac:dyDescent="0.3">
      <c r="B2959" s="33" t="s">
        <v>8199</v>
      </c>
      <c r="C2959" s="32" t="s">
        <v>8200</v>
      </c>
      <c r="D2959" s="32" t="s">
        <v>8201</v>
      </c>
    </row>
    <row r="2960" spans="2:4" x14ac:dyDescent="0.3">
      <c r="B2960" s="33" t="s">
        <v>8202</v>
      </c>
      <c r="C2960" s="32" t="s">
        <v>8203</v>
      </c>
      <c r="D2960" s="32" t="s">
        <v>8204</v>
      </c>
    </row>
    <row r="2961" spans="2:4" x14ac:dyDescent="0.3">
      <c r="B2961" s="33" t="s">
        <v>8205</v>
      </c>
      <c r="C2961" s="32" t="s">
        <v>8206</v>
      </c>
      <c r="D2961" s="32" t="s">
        <v>8207</v>
      </c>
    </row>
    <row r="2962" spans="2:4" x14ac:dyDescent="0.3">
      <c r="B2962" s="33" t="s">
        <v>8208</v>
      </c>
      <c r="C2962" s="32" t="s">
        <v>8209</v>
      </c>
      <c r="D2962" s="32" t="s">
        <v>8210</v>
      </c>
    </row>
    <row r="2963" spans="2:4" x14ac:dyDescent="0.3">
      <c r="B2963" s="33" t="s">
        <v>8211</v>
      </c>
      <c r="C2963" s="32" t="s">
        <v>8212</v>
      </c>
      <c r="D2963" s="32" t="s">
        <v>8213</v>
      </c>
    </row>
    <row r="2964" spans="2:4" x14ac:dyDescent="0.3">
      <c r="B2964" s="33" t="s">
        <v>8214</v>
      </c>
      <c r="C2964" s="32" t="s">
        <v>8215</v>
      </c>
      <c r="D2964" s="32" t="s">
        <v>8216</v>
      </c>
    </row>
    <row r="2965" spans="2:4" x14ac:dyDescent="0.3">
      <c r="B2965" s="33" t="s">
        <v>8217</v>
      </c>
      <c r="C2965" s="32" t="s">
        <v>8218</v>
      </c>
      <c r="D2965" s="32" t="s">
        <v>8219</v>
      </c>
    </row>
    <row r="2966" spans="2:4" x14ac:dyDescent="0.3">
      <c r="B2966" s="33" t="s">
        <v>62</v>
      </c>
      <c r="C2966" s="32" t="s">
        <v>8220</v>
      </c>
      <c r="D2966" s="32" t="s">
        <v>8221</v>
      </c>
    </row>
    <row r="2967" spans="2:4" x14ac:dyDescent="0.3">
      <c r="B2967" s="33" t="s">
        <v>8208</v>
      </c>
      <c r="C2967" s="32" t="s">
        <v>8222</v>
      </c>
      <c r="D2967" s="32" t="s">
        <v>8223</v>
      </c>
    </row>
    <row r="2968" spans="2:4" x14ac:dyDescent="0.3">
      <c r="B2968" s="33" t="s">
        <v>6077</v>
      </c>
      <c r="C2968" s="32" t="s">
        <v>8224</v>
      </c>
      <c r="D2968" s="32" t="s">
        <v>8225</v>
      </c>
    </row>
    <row r="2969" spans="2:4" x14ac:dyDescent="0.3">
      <c r="B2969" s="33" t="s">
        <v>8226</v>
      </c>
      <c r="C2969" s="32" t="s">
        <v>8227</v>
      </c>
      <c r="D2969" s="32" t="s">
        <v>8228</v>
      </c>
    </row>
    <row r="2970" spans="2:4" x14ac:dyDescent="0.3">
      <c r="B2970" s="33" t="s">
        <v>8226</v>
      </c>
      <c r="C2970" s="32" t="s">
        <v>8229</v>
      </c>
      <c r="D2970" s="32" t="s">
        <v>8230</v>
      </c>
    </row>
    <row r="2971" spans="2:4" x14ac:dyDescent="0.3">
      <c r="B2971" s="33" t="s">
        <v>8231</v>
      </c>
      <c r="C2971" s="32" t="s">
        <v>8232</v>
      </c>
      <c r="D2971" s="32" t="s">
        <v>8233</v>
      </c>
    </row>
    <row r="2972" spans="2:4" x14ac:dyDescent="0.3">
      <c r="B2972" s="33" t="s">
        <v>8234</v>
      </c>
      <c r="C2972" s="32" t="s">
        <v>8235</v>
      </c>
      <c r="D2972" s="32" t="s">
        <v>8236</v>
      </c>
    </row>
    <row r="2973" spans="2:4" x14ac:dyDescent="0.3">
      <c r="B2973" s="33" t="s">
        <v>8237</v>
      </c>
      <c r="C2973" s="32" t="s">
        <v>8238</v>
      </c>
      <c r="D2973" s="32" t="s">
        <v>8239</v>
      </c>
    </row>
    <row r="2974" spans="2:4" x14ac:dyDescent="0.3">
      <c r="B2974" s="33" t="s">
        <v>6542</v>
      </c>
      <c r="C2974" s="32" t="s">
        <v>8240</v>
      </c>
      <c r="D2974" s="32" t="s">
        <v>8241</v>
      </c>
    </row>
    <row r="2975" spans="2:4" x14ac:dyDescent="0.3">
      <c r="B2975" s="33" t="s">
        <v>8242</v>
      </c>
      <c r="C2975" s="32" t="s">
        <v>8243</v>
      </c>
      <c r="D2975" s="32" t="s">
        <v>8244</v>
      </c>
    </row>
    <row r="2976" spans="2:4" x14ac:dyDescent="0.3">
      <c r="B2976" s="33" t="s">
        <v>8245</v>
      </c>
      <c r="C2976" s="32" t="s">
        <v>8246</v>
      </c>
      <c r="D2976" s="32" t="s">
        <v>8247</v>
      </c>
    </row>
    <row r="2977" spans="2:4" x14ac:dyDescent="0.3">
      <c r="B2977" s="33" t="s">
        <v>7372</v>
      </c>
      <c r="C2977" s="32" t="s">
        <v>8248</v>
      </c>
      <c r="D2977" s="32" t="s">
        <v>8249</v>
      </c>
    </row>
    <row r="2978" spans="2:4" x14ac:dyDescent="0.3">
      <c r="B2978" s="33" t="s">
        <v>8217</v>
      </c>
      <c r="C2978" s="32" t="s">
        <v>8250</v>
      </c>
      <c r="D2978" s="32" t="s">
        <v>8251</v>
      </c>
    </row>
    <row r="2979" spans="2:4" x14ac:dyDescent="0.3">
      <c r="B2979" s="33" t="s">
        <v>6481</v>
      </c>
      <c r="C2979" s="32" t="s">
        <v>8252</v>
      </c>
      <c r="D2979" s="32" t="s">
        <v>8253</v>
      </c>
    </row>
    <row r="2980" spans="2:4" x14ac:dyDescent="0.3">
      <c r="B2980" s="33" t="s">
        <v>8254</v>
      </c>
      <c r="C2980" s="32" t="s">
        <v>8255</v>
      </c>
      <c r="D2980" s="32" t="s">
        <v>8256</v>
      </c>
    </row>
    <row r="2981" spans="2:4" x14ac:dyDescent="0.3">
      <c r="B2981" s="33" t="s">
        <v>8257</v>
      </c>
      <c r="C2981" s="32" t="s">
        <v>8258</v>
      </c>
      <c r="D2981" s="32" t="s">
        <v>8259</v>
      </c>
    </row>
    <row r="2982" spans="2:4" x14ac:dyDescent="0.3">
      <c r="B2982" s="33" t="s">
        <v>8260</v>
      </c>
      <c r="C2982" s="32" t="s">
        <v>8261</v>
      </c>
      <c r="D2982" s="32" t="s">
        <v>8262</v>
      </c>
    </row>
    <row r="2983" spans="2:4" x14ac:dyDescent="0.3">
      <c r="B2983" s="33" t="s">
        <v>8263</v>
      </c>
      <c r="C2983" s="32" t="s">
        <v>8264</v>
      </c>
      <c r="D2983" s="32" t="s">
        <v>8265</v>
      </c>
    </row>
    <row r="2984" spans="2:4" x14ac:dyDescent="0.3">
      <c r="B2984" s="33" t="s">
        <v>8266</v>
      </c>
      <c r="C2984" s="32" t="s">
        <v>8267</v>
      </c>
      <c r="D2984" s="32" t="s">
        <v>8268</v>
      </c>
    </row>
    <row r="2985" spans="2:4" x14ac:dyDescent="0.3">
      <c r="B2985" s="33" t="s">
        <v>8269</v>
      </c>
      <c r="C2985" s="32" t="s">
        <v>8270</v>
      </c>
      <c r="D2985" s="32" t="s">
        <v>8271</v>
      </c>
    </row>
    <row r="2986" spans="2:4" x14ac:dyDescent="0.3">
      <c r="B2986" s="33" t="s">
        <v>8265</v>
      </c>
      <c r="C2986" s="32" t="s">
        <v>8272</v>
      </c>
      <c r="D2986" s="32" t="s">
        <v>8273</v>
      </c>
    </row>
    <row r="2987" spans="2:4" x14ac:dyDescent="0.3">
      <c r="B2987" s="33" t="s">
        <v>8274</v>
      </c>
      <c r="C2987" s="32" t="s">
        <v>8275</v>
      </c>
      <c r="D2987" s="32" t="s">
        <v>8276</v>
      </c>
    </row>
    <row r="2988" spans="2:4" x14ac:dyDescent="0.3">
      <c r="B2988" s="33" t="s">
        <v>8277</v>
      </c>
      <c r="C2988" s="32" t="s">
        <v>8278</v>
      </c>
      <c r="D2988" s="32" t="s">
        <v>8279</v>
      </c>
    </row>
    <row r="2989" spans="2:4" x14ac:dyDescent="0.3">
      <c r="B2989" s="33" t="s">
        <v>8280</v>
      </c>
      <c r="C2989" s="32" t="s">
        <v>8281</v>
      </c>
      <c r="D2989" s="32" t="s">
        <v>8282</v>
      </c>
    </row>
    <row r="2990" spans="2:4" x14ac:dyDescent="0.3">
      <c r="B2990" s="33" t="s">
        <v>8283</v>
      </c>
      <c r="C2990" s="32" t="s">
        <v>8284</v>
      </c>
      <c r="D2990" s="32" t="s">
        <v>8285</v>
      </c>
    </row>
    <row r="2991" spans="2:4" x14ac:dyDescent="0.3">
      <c r="B2991" s="33" t="s">
        <v>8254</v>
      </c>
      <c r="C2991" s="32" t="s">
        <v>8286</v>
      </c>
      <c r="D2991" s="32" t="s">
        <v>8287</v>
      </c>
    </row>
    <row r="2992" spans="2:4" x14ac:dyDescent="0.3">
      <c r="B2992" s="33" t="s">
        <v>8288</v>
      </c>
      <c r="C2992" s="32" t="s">
        <v>8289</v>
      </c>
      <c r="D2992" s="32" t="s">
        <v>8290</v>
      </c>
    </row>
    <row r="2993" spans="2:4" x14ac:dyDescent="0.3">
      <c r="B2993" s="33" t="s">
        <v>8291</v>
      </c>
      <c r="C2993" s="32" t="s">
        <v>8292</v>
      </c>
      <c r="D2993" s="32" t="s">
        <v>8293</v>
      </c>
    </row>
    <row r="2994" spans="2:4" x14ac:dyDescent="0.3">
      <c r="B2994" s="33" t="s">
        <v>8294</v>
      </c>
      <c r="C2994" s="32" t="s">
        <v>8295</v>
      </c>
      <c r="D2994" s="32" t="s">
        <v>8296</v>
      </c>
    </row>
    <row r="2995" spans="2:4" x14ac:dyDescent="0.3">
      <c r="B2995" s="33" t="s">
        <v>8297</v>
      </c>
      <c r="C2995" s="32" t="s">
        <v>8298</v>
      </c>
      <c r="D2995" s="32" t="s">
        <v>8299</v>
      </c>
    </row>
    <row r="2996" spans="2:4" x14ac:dyDescent="0.3">
      <c r="B2996" s="33" t="s">
        <v>8300</v>
      </c>
      <c r="C2996" s="32" t="s">
        <v>8301</v>
      </c>
      <c r="D2996" s="32" t="s">
        <v>8302</v>
      </c>
    </row>
    <row r="2997" spans="2:4" x14ac:dyDescent="0.3">
      <c r="B2997" s="33" t="s">
        <v>8303</v>
      </c>
      <c r="C2997" s="32" t="s">
        <v>8304</v>
      </c>
      <c r="D2997" s="32" t="s">
        <v>8305</v>
      </c>
    </row>
    <row r="2998" spans="2:4" x14ac:dyDescent="0.3">
      <c r="B2998" s="33" t="s">
        <v>7234</v>
      </c>
      <c r="C2998" s="32" t="s">
        <v>8306</v>
      </c>
      <c r="D2998" s="32" t="s">
        <v>8307</v>
      </c>
    </row>
    <row r="2999" spans="2:4" x14ac:dyDescent="0.3">
      <c r="B2999" s="33" t="s">
        <v>8308</v>
      </c>
      <c r="C2999" s="32" t="s">
        <v>8309</v>
      </c>
      <c r="D2999" s="32" t="s">
        <v>8310</v>
      </c>
    </row>
    <row r="3000" spans="2:4" x14ac:dyDescent="0.3">
      <c r="B3000" s="33" t="s">
        <v>7658</v>
      </c>
      <c r="C3000" s="32" t="s">
        <v>8311</v>
      </c>
      <c r="D3000" s="32" t="s">
        <v>8312</v>
      </c>
    </row>
    <row r="3001" spans="2:4" x14ac:dyDescent="0.3">
      <c r="B3001" s="33" t="s">
        <v>6487</v>
      </c>
      <c r="C3001" s="32" t="s">
        <v>8313</v>
      </c>
      <c r="D3001" s="32" t="s">
        <v>8314</v>
      </c>
    </row>
    <row r="3002" spans="2:4" x14ac:dyDescent="0.3">
      <c r="B3002" s="33" t="s">
        <v>8315</v>
      </c>
      <c r="C3002" s="32" t="s">
        <v>8316</v>
      </c>
      <c r="D3002" s="32" t="s">
        <v>8317</v>
      </c>
    </row>
    <row r="3003" spans="2:4" x14ac:dyDescent="0.3">
      <c r="B3003" s="33" t="s">
        <v>8318</v>
      </c>
      <c r="C3003" s="32" t="s">
        <v>8319</v>
      </c>
      <c r="D3003" s="32" t="s">
        <v>8318</v>
      </c>
    </row>
    <row r="3004" spans="2:4" x14ac:dyDescent="0.3">
      <c r="B3004" s="33" t="s">
        <v>8320</v>
      </c>
      <c r="C3004" s="32" t="s">
        <v>8321</v>
      </c>
      <c r="D3004" s="32" t="s">
        <v>8322</v>
      </c>
    </row>
    <row r="3005" spans="2:4" x14ac:dyDescent="0.3">
      <c r="B3005" s="33" t="s">
        <v>8323</v>
      </c>
      <c r="C3005" s="32" t="s">
        <v>8324</v>
      </c>
      <c r="D3005" s="32" t="s">
        <v>8325</v>
      </c>
    </row>
    <row r="3006" spans="2:4" x14ac:dyDescent="0.3">
      <c r="B3006" s="33" t="s">
        <v>8326</v>
      </c>
      <c r="C3006" s="32" t="s">
        <v>8327</v>
      </c>
      <c r="D3006" s="32" t="s">
        <v>8328</v>
      </c>
    </row>
    <row r="3007" spans="2:4" x14ac:dyDescent="0.3">
      <c r="B3007" s="33" t="s">
        <v>8329</v>
      </c>
      <c r="C3007" s="32" t="s">
        <v>8330</v>
      </c>
      <c r="D3007" s="32" t="s">
        <v>8331</v>
      </c>
    </row>
    <row r="3008" spans="2:4" x14ac:dyDescent="0.3">
      <c r="B3008" s="33" t="s">
        <v>8332</v>
      </c>
      <c r="C3008" s="32" t="s">
        <v>8333</v>
      </c>
      <c r="D3008" s="32" t="s">
        <v>8334</v>
      </c>
    </row>
    <row r="3009" spans="2:4" x14ac:dyDescent="0.3">
      <c r="B3009" s="33" t="s">
        <v>8335</v>
      </c>
      <c r="C3009" s="32" t="s">
        <v>8336</v>
      </c>
      <c r="D3009" s="32" t="s">
        <v>8337</v>
      </c>
    </row>
    <row r="3010" spans="2:4" x14ac:dyDescent="0.3">
      <c r="B3010" s="33" t="s">
        <v>8182</v>
      </c>
      <c r="C3010" s="32" t="s">
        <v>8338</v>
      </c>
      <c r="D3010" s="32" t="s">
        <v>8339</v>
      </c>
    </row>
    <row r="3011" spans="2:4" x14ac:dyDescent="0.3">
      <c r="B3011" s="33" t="s">
        <v>6260</v>
      </c>
      <c r="C3011" s="32" t="s">
        <v>8340</v>
      </c>
      <c r="D3011" s="32" t="s">
        <v>8341</v>
      </c>
    </row>
    <row r="3012" spans="2:4" x14ac:dyDescent="0.3">
      <c r="B3012" s="33" t="s">
        <v>8335</v>
      </c>
      <c r="C3012" s="32" t="s">
        <v>8342</v>
      </c>
      <c r="D3012" s="32" t="s">
        <v>8343</v>
      </c>
    </row>
    <row r="3013" spans="2:4" x14ac:dyDescent="0.3">
      <c r="B3013" s="33" t="s">
        <v>8344</v>
      </c>
      <c r="C3013" s="32" t="s">
        <v>8345</v>
      </c>
      <c r="D3013" s="32" t="s">
        <v>8346</v>
      </c>
    </row>
    <row r="3014" spans="2:4" x14ac:dyDescent="0.3">
      <c r="B3014" s="33" t="s">
        <v>6767</v>
      </c>
      <c r="C3014" s="32" t="s">
        <v>8347</v>
      </c>
      <c r="D3014" s="32" t="s">
        <v>8348</v>
      </c>
    </row>
    <row r="3015" spans="2:4" x14ac:dyDescent="0.3">
      <c r="B3015" s="33" t="s">
        <v>8349</v>
      </c>
      <c r="C3015" s="32" t="s">
        <v>8350</v>
      </c>
      <c r="D3015" s="32" t="s">
        <v>8351</v>
      </c>
    </row>
    <row r="3016" spans="2:4" x14ac:dyDescent="0.3">
      <c r="B3016" s="33" t="s">
        <v>8352</v>
      </c>
      <c r="C3016" s="32" t="s">
        <v>8353</v>
      </c>
      <c r="D3016" s="32" t="s">
        <v>8354</v>
      </c>
    </row>
    <row r="3017" spans="2:4" x14ac:dyDescent="0.3">
      <c r="B3017" s="33" t="s">
        <v>6417</v>
      </c>
      <c r="C3017" s="32" t="s">
        <v>8355</v>
      </c>
      <c r="D3017" s="32" t="s">
        <v>37160</v>
      </c>
    </row>
    <row r="3018" spans="2:4" x14ac:dyDescent="0.3">
      <c r="B3018" s="33" t="s">
        <v>8356</v>
      </c>
      <c r="C3018" s="32" t="s">
        <v>8357</v>
      </c>
      <c r="D3018" s="32" t="s">
        <v>8358</v>
      </c>
    </row>
    <row r="3019" spans="2:4" x14ac:dyDescent="0.3">
      <c r="B3019" s="33" t="s">
        <v>8359</v>
      </c>
      <c r="C3019" s="32" t="s">
        <v>8360</v>
      </c>
      <c r="D3019" s="32" t="s">
        <v>8361</v>
      </c>
    </row>
    <row r="3020" spans="2:4" x14ac:dyDescent="0.3">
      <c r="B3020" s="33" t="s">
        <v>8362</v>
      </c>
      <c r="C3020" s="32" t="s">
        <v>8363</v>
      </c>
      <c r="D3020" s="32" t="s">
        <v>8364</v>
      </c>
    </row>
    <row r="3021" spans="2:4" x14ac:dyDescent="0.3">
      <c r="B3021" s="33" t="s">
        <v>8365</v>
      </c>
      <c r="C3021" s="32" t="s">
        <v>8366</v>
      </c>
      <c r="D3021" s="32" t="s">
        <v>8367</v>
      </c>
    </row>
    <row r="3022" spans="2:4" x14ac:dyDescent="0.3">
      <c r="B3022" s="33" t="s">
        <v>7658</v>
      </c>
      <c r="C3022" s="32" t="s">
        <v>8368</v>
      </c>
      <c r="D3022" s="32" t="s">
        <v>8369</v>
      </c>
    </row>
    <row r="3023" spans="2:4" x14ac:dyDescent="0.3">
      <c r="B3023" s="33" t="s">
        <v>7658</v>
      </c>
      <c r="C3023" s="32" t="s">
        <v>8370</v>
      </c>
      <c r="D3023" s="32" t="s">
        <v>8371</v>
      </c>
    </row>
    <row r="3024" spans="2:4" x14ac:dyDescent="0.3">
      <c r="B3024" s="33" t="s">
        <v>8372</v>
      </c>
      <c r="C3024" s="32" t="s">
        <v>8373</v>
      </c>
      <c r="D3024" s="32" t="s">
        <v>8374</v>
      </c>
    </row>
    <row r="3025" spans="2:4" x14ac:dyDescent="0.3">
      <c r="B3025" s="33" t="s">
        <v>8375</v>
      </c>
      <c r="C3025" s="32" t="s">
        <v>8376</v>
      </c>
      <c r="D3025" s="32" t="s">
        <v>8377</v>
      </c>
    </row>
    <row r="3026" spans="2:4" x14ac:dyDescent="0.3">
      <c r="B3026" s="33" t="s">
        <v>8378</v>
      </c>
      <c r="C3026" s="32" t="s">
        <v>8379</v>
      </c>
      <c r="D3026" s="32" t="s">
        <v>8380</v>
      </c>
    </row>
    <row r="3027" spans="2:4" x14ac:dyDescent="0.3">
      <c r="B3027" s="33" t="s">
        <v>8381</v>
      </c>
      <c r="C3027" s="32" t="s">
        <v>8382</v>
      </c>
      <c r="D3027" s="32" t="s">
        <v>8383</v>
      </c>
    </row>
    <row r="3028" spans="2:4" x14ac:dyDescent="0.3">
      <c r="B3028" s="33" t="s">
        <v>8384</v>
      </c>
      <c r="C3028" s="32" t="s">
        <v>8385</v>
      </c>
      <c r="D3028" s="32" t="s">
        <v>8386</v>
      </c>
    </row>
    <row r="3029" spans="2:4" x14ac:dyDescent="0.3">
      <c r="B3029" s="33" t="s">
        <v>8387</v>
      </c>
      <c r="C3029" s="32" t="s">
        <v>8388</v>
      </c>
      <c r="D3029" s="32" t="s">
        <v>8389</v>
      </c>
    </row>
    <row r="3030" spans="2:4" x14ac:dyDescent="0.3">
      <c r="B3030" s="33" t="s">
        <v>8390</v>
      </c>
      <c r="C3030" s="32" t="s">
        <v>8391</v>
      </c>
      <c r="D3030" s="32" t="s">
        <v>8392</v>
      </c>
    </row>
    <row r="3031" spans="2:4" x14ac:dyDescent="0.3">
      <c r="B3031" s="33" t="s">
        <v>7658</v>
      </c>
      <c r="C3031" s="32" t="s">
        <v>8393</v>
      </c>
      <c r="D3031" s="32" t="s">
        <v>8394</v>
      </c>
    </row>
    <row r="3032" spans="2:4" x14ac:dyDescent="0.3">
      <c r="B3032" s="33" t="s">
        <v>8395</v>
      </c>
      <c r="C3032" s="32" t="s">
        <v>8396</v>
      </c>
      <c r="D3032" s="32" t="s">
        <v>8397</v>
      </c>
    </row>
    <row r="3033" spans="2:4" x14ac:dyDescent="0.3">
      <c r="B3033" s="33" t="s">
        <v>6534</v>
      </c>
      <c r="C3033" s="32" t="s">
        <v>8398</v>
      </c>
      <c r="D3033" s="32" t="s">
        <v>8399</v>
      </c>
    </row>
    <row r="3034" spans="2:4" x14ac:dyDescent="0.3">
      <c r="B3034" s="33" t="s">
        <v>8400</v>
      </c>
      <c r="C3034" s="32" t="s">
        <v>8401</v>
      </c>
      <c r="D3034" s="32" t="s">
        <v>8402</v>
      </c>
    </row>
    <row r="3035" spans="2:4" x14ac:dyDescent="0.3">
      <c r="B3035" s="33" t="s">
        <v>8403</v>
      </c>
      <c r="C3035" s="32" t="s">
        <v>8404</v>
      </c>
      <c r="D3035" s="32" t="s">
        <v>37161</v>
      </c>
    </row>
    <row r="3036" spans="2:4" x14ac:dyDescent="0.3">
      <c r="B3036" s="33" t="s">
        <v>8405</v>
      </c>
      <c r="C3036" s="32" t="s">
        <v>8406</v>
      </c>
      <c r="D3036" s="32" t="s">
        <v>8407</v>
      </c>
    </row>
    <row r="3037" spans="2:4" x14ac:dyDescent="0.3">
      <c r="B3037" s="33" t="s">
        <v>8408</v>
      </c>
      <c r="C3037" s="32" t="s">
        <v>8409</v>
      </c>
      <c r="D3037" s="32" t="s">
        <v>8410</v>
      </c>
    </row>
    <row r="3038" spans="2:4" x14ac:dyDescent="0.3">
      <c r="B3038" s="33" t="s">
        <v>8411</v>
      </c>
      <c r="C3038" s="32" t="s">
        <v>8412</v>
      </c>
      <c r="D3038" s="32" t="s">
        <v>8413</v>
      </c>
    </row>
    <row r="3039" spans="2:4" x14ac:dyDescent="0.3">
      <c r="B3039" s="33" t="s">
        <v>8414</v>
      </c>
      <c r="C3039" s="32" t="s">
        <v>8415</v>
      </c>
      <c r="D3039" s="32" t="s">
        <v>8416</v>
      </c>
    </row>
    <row r="3040" spans="2:4" x14ac:dyDescent="0.3">
      <c r="B3040" s="33" t="s">
        <v>8417</v>
      </c>
      <c r="C3040" s="32" t="s">
        <v>8418</v>
      </c>
      <c r="D3040" s="32" t="s">
        <v>8419</v>
      </c>
    </row>
    <row r="3041" spans="2:4" x14ac:dyDescent="0.3">
      <c r="B3041" s="33" t="s">
        <v>8420</v>
      </c>
      <c r="C3041" s="32" t="s">
        <v>8421</v>
      </c>
      <c r="D3041" s="32" t="s">
        <v>8422</v>
      </c>
    </row>
    <row r="3042" spans="2:4" x14ac:dyDescent="0.3">
      <c r="B3042" s="33" t="s">
        <v>4036</v>
      </c>
      <c r="C3042" s="32" t="s">
        <v>37162</v>
      </c>
      <c r="D3042" s="32" t="s">
        <v>37163</v>
      </c>
    </row>
    <row r="3043" spans="2:4" x14ac:dyDescent="0.3">
      <c r="B3043" s="33" t="s">
        <v>8423</v>
      </c>
      <c r="C3043" s="32" t="s">
        <v>8424</v>
      </c>
      <c r="D3043" s="32" t="s">
        <v>8425</v>
      </c>
    </row>
    <row r="3044" spans="2:4" x14ac:dyDescent="0.3">
      <c r="B3044" s="33" t="s">
        <v>8158</v>
      </c>
      <c r="C3044" s="32" t="s">
        <v>8426</v>
      </c>
      <c r="D3044" s="32" t="s">
        <v>8427</v>
      </c>
    </row>
    <row r="3045" spans="2:4" x14ac:dyDescent="0.3">
      <c r="B3045" s="33" t="s">
        <v>7381</v>
      </c>
      <c r="C3045" s="32" t="s">
        <v>8428</v>
      </c>
      <c r="D3045" s="32" t="s">
        <v>8429</v>
      </c>
    </row>
    <row r="3046" spans="2:4" x14ac:dyDescent="0.3">
      <c r="B3046" s="33" t="s">
        <v>6487</v>
      </c>
      <c r="C3046" s="32" t="s">
        <v>8430</v>
      </c>
      <c r="D3046" s="32" t="s">
        <v>8431</v>
      </c>
    </row>
    <row r="3047" spans="2:4" x14ac:dyDescent="0.3">
      <c r="B3047" s="33" t="s">
        <v>8432</v>
      </c>
      <c r="C3047" s="32" t="s">
        <v>8433</v>
      </c>
      <c r="D3047" s="32" t="s">
        <v>8434</v>
      </c>
    </row>
    <row r="3048" spans="2:4" x14ac:dyDescent="0.3">
      <c r="B3048" s="33" t="s">
        <v>62</v>
      </c>
      <c r="C3048" s="32" t="s">
        <v>8435</v>
      </c>
      <c r="D3048" s="32" t="s">
        <v>63</v>
      </c>
    </row>
    <row r="3049" spans="2:4" x14ac:dyDescent="0.3">
      <c r="B3049" s="33" t="s">
        <v>8436</v>
      </c>
      <c r="C3049" s="32" t="s">
        <v>8437</v>
      </c>
      <c r="D3049" s="32" t="s">
        <v>8438</v>
      </c>
    </row>
    <row r="3050" spans="2:4" x14ac:dyDescent="0.3">
      <c r="B3050" s="33" t="s">
        <v>8439</v>
      </c>
      <c r="C3050" s="32" t="s">
        <v>8440</v>
      </c>
      <c r="D3050" s="32" t="s">
        <v>8441</v>
      </c>
    </row>
    <row r="3051" spans="2:4" x14ac:dyDescent="0.3">
      <c r="B3051" s="33" t="s">
        <v>8442</v>
      </c>
      <c r="C3051" s="32" t="s">
        <v>8443</v>
      </c>
      <c r="D3051" s="32" t="s">
        <v>8444</v>
      </c>
    </row>
    <row r="3052" spans="2:4" x14ac:dyDescent="0.3">
      <c r="B3052" s="33" t="s">
        <v>8445</v>
      </c>
      <c r="C3052" s="32" t="s">
        <v>8446</v>
      </c>
      <c r="D3052" s="32" t="s">
        <v>8447</v>
      </c>
    </row>
    <row r="3053" spans="2:4" x14ac:dyDescent="0.3">
      <c r="B3053" s="33" t="s">
        <v>6405</v>
      </c>
      <c r="C3053" s="32" t="s">
        <v>8448</v>
      </c>
      <c r="D3053" s="32" t="s">
        <v>8449</v>
      </c>
    </row>
    <row r="3054" spans="2:4" x14ac:dyDescent="0.3">
      <c r="B3054" s="33" t="s">
        <v>8450</v>
      </c>
      <c r="C3054" s="32" t="s">
        <v>8451</v>
      </c>
      <c r="D3054" s="32" t="s">
        <v>8452</v>
      </c>
    </row>
    <row r="3055" spans="2:4" x14ac:dyDescent="0.3">
      <c r="B3055" s="33" t="s">
        <v>8069</v>
      </c>
      <c r="C3055" s="32" t="s">
        <v>8453</v>
      </c>
      <c r="D3055" s="32" t="s">
        <v>8454</v>
      </c>
    </row>
    <row r="3056" spans="2:4" x14ac:dyDescent="0.3">
      <c r="B3056" s="33" t="s">
        <v>8455</v>
      </c>
      <c r="C3056" s="32" t="s">
        <v>8456</v>
      </c>
      <c r="D3056" s="32" t="s">
        <v>8457</v>
      </c>
    </row>
    <row r="3057" spans="2:4" x14ac:dyDescent="0.3">
      <c r="B3057" s="33" t="s">
        <v>8458</v>
      </c>
      <c r="C3057" s="32" t="s">
        <v>8459</v>
      </c>
      <c r="D3057" s="32" t="s">
        <v>8460</v>
      </c>
    </row>
    <row r="3058" spans="2:4" x14ac:dyDescent="0.3">
      <c r="B3058" s="33" t="s">
        <v>7476</v>
      </c>
      <c r="C3058" s="32" t="s">
        <v>8461</v>
      </c>
      <c r="D3058" s="32" t="s">
        <v>8462</v>
      </c>
    </row>
    <row r="3059" spans="2:4" x14ac:dyDescent="0.3">
      <c r="B3059" s="33" t="s">
        <v>8463</v>
      </c>
      <c r="C3059" s="32" t="s">
        <v>8464</v>
      </c>
      <c r="D3059" s="32" t="s">
        <v>8465</v>
      </c>
    </row>
    <row r="3060" spans="2:4" x14ac:dyDescent="0.3">
      <c r="B3060" s="33" t="s">
        <v>8466</v>
      </c>
      <c r="C3060" s="32" t="s">
        <v>8467</v>
      </c>
      <c r="D3060" s="32" t="s">
        <v>8468</v>
      </c>
    </row>
    <row r="3061" spans="2:4" x14ac:dyDescent="0.3">
      <c r="B3061" s="33" t="s">
        <v>7486</v>
      </c>
      <c r="C3061" s="32" t="s">
        <v>8469</v>
      </c>
      <c r="D3061" s="32" t="s">
        <v>8470</v>
      </c>
    </row>
    <row r="3062" spans="2:4" x14ac:dyDescent="0.3">
      <c r="B3062" s="33" t="s">
        <v>8471</v>
      </c>
      <c r="C3062" s="32" t="s">
        <v>8472</v>
      </c>
      <c r="D3062" s="32" t="s">
        <v>8473</v>
      </c>
    </row>
    <row r="3063" spans="2:4" x14ac:dyDescent="0.3">
      <c r="B3063" s="33" t="s">
        <v>8474</v>
      </c>
      <c r="C3063" s="32" t="s">
        <v>8475</v>
      </c>
      <c r="D3063" s="32" t="s">
        <v>8476</v>
      </c>
    </row>
    <row r="3064" spans="2:4" x14ac:dyDescent="0.3">
      <c r="B3064" s="33" t="s">
        <v>8477</v>
      </c>
      <c r="C3064" s="32" t="s">
        <v>8478</v>
      </c>
      <c r="D3064" s="32" t="s">
        <v>8479</v>
      </c>
    </row>
    <row r="3065" spans="2:4" x14ac:dyDescent="0.3">
      <c r="B3065" s="33" t="s">
        <v>8480</v>
      </c>
      <c r="C3065" s="32" t="s">
        <v>8481</v>
      </c>
      <c r="D3065" s="32" t="s">
        <v>8482</v>
      </c>
    </row>
    <row r="3066" spans="2:4" x14ac:dyDescent="0.3">
      <c r="B3066" s="33" t="s">
        <v>8471</v>
      </c>
      <c r="C3066" s="32" t="s">
        <v>8483</v>
      </c>
      <c r="D3066" s="32" t="s">
        <v>8484</v>
      </c>
    </row>
    <row r="3067" spans="2:4" x14ac:dyDescent="0.3">
      <c r="B3067" s="33" t="s">
        <v>8485</v>
      </c>
      <c r="C3067" s="32" t="s">
        <v>8486</v>
      </c>
      <c r="D3067" s="32" t="s">
        <v>8487</v>
      </c>
    </row>
    <row r="3068" spans="2:4" x14ac:dyDescent="0.3">
      <c r="B3068" s="33" t="s">
        <v>8488</v>
      </c>
      <c r="C3068" s="32" t="s">
        <v>8489</v>
      </c>
      <c r="D3068" s="32" t="s">
        <v>8490</v>
      </c>
    </row>
    <row r="3069" spans="2:4" x14ac:dyDescent="0.3">
      <c r="B3069" s="33" t="s">
        <v>8491</v>
      </c>
      <c r="C3069" s="32" t="s">
        <v>8492</v>
      </c>
      <c r="D3069" s="32" t="s">
        <v>8493</v>
      </c>
    </row>
    <row r="3070" spans="2:4" x14ac:dyDescent="0.3">
      <c r="B3070" s="33" t="s">
        <v>8494</v>
      </c>
      <c r="C3070" s="32" t="s">
        <v>8495</v>
      </c>
      <c r="D3070" s="32" t="s">
        <v>8496</v>
      </c>
    </row>
    <row r="3071" spans="2:4" x14ac:dyDescent="0.3">
      <c r="B3071" s="33" t="s">
        <v>8497</v>
      </c>
      <c r="C3071" s="32" t="s">
        <v>8498</v>
      </c>
      <c r="D3071" s="32" t="s">
        <v>8499</v>
      </c>
    </row>
    <row r="3072" spans="2:4" x14ac:dyDescent="0.3">
      <c r="B3072" s="33" t="s">
        <v>8500</v>
      </c>
      <c r="C3072" s="32" t="s">
        <v>8501</v>
      </c>
      <c r="D3072" s="32" t="s">
        <v>8502</v>
      </c>
    </row>
    <row r="3073" spans="2:4" x14ac:dyDescent="0.3">
      <c r="B3073" s="33" t="s">
        <v>7953</v>
      </c>
      <c r="C3073" s="32" t="s">
        <v>8503</v>
      </c>
      <c r="D3073" s="32" t="s">
        <v>8504</v>
      </c>
    </row>
    <row r="3074" spans="2:4" x14ac:dyDescent="0.3">
      <c r="B3074" s="33" t="s">
        <v>8505</v>
      </c>
      <c r="C3074" s="32" t="s">
        <v>8506</v>
      </c>
      <c r="D3074" s="32" t="s">
        <v>8507</v>
      </c>
    </row>
    <row r="3075" spans="2:4" x14ac:dyDescent="0.3">
      <c r="B3075" s="33" t="s">
        <v>8508</v>
      </c>
      <c r="C3075" s="32" t="s">
        <v>8509</v>
      </c>
      <c r="D3075" s="32" t="s">
        <v>8510</v>
      </c>
    </row>
    <row r="3076" spans="2:4" x14ac:dyDescent="0.3">
      <c r="B3076" s="33" t="s">
        <v>8511</v>
      </c>
      <c r="C3076" s="32" t="s">
        <v>8512</v>
      </c>
      <c r="D3076" s="32" t="s">
        <v>8513</v>
      </c>
    </row>
    <row r="3077" spans="2:4" x14ac:dyDescent="0.3">
      <c r="B3077" s="33" t="s">
        <v>8514</v>
      </c>
      <c r="C3077" s="32" t="s">
        <v>8515</v>
      </c>
      <c r="D3077" s="32" t="s">
        <v>8516</v>
      </c>
    </row>
    <row r="3078" spans="2:4" x14ac:dyDescent="0.3">
      <c r="B3078" s="33" t="s">
        <v>8517</v>
      </c>
      <c r="C3078" s="32" t="s">
        <v>8518</v>
      </c>
      <c r="D3078" s="32" t="s">
        <v>37164</v>
      </c>
    </row>
    <row r="3079" spans="2:4" x14ac:dyDescent="0.3">
      <c r="B3079" s="33" t="s">
        <v>8519</v>
      </c>
      <c r="C3079" s="32" t="s">
        <v>8520</v>
      </c>
      <c r="D3079" s="32" t="s">
        <v>8521</v>
      </c>
    </row>
    <row r="3080" spans="2:4" x14ac:dyDescent="0.3">
      <c r="B3080" s="33" t="s">
        <v>7918</v>
      </c>
      <c r="C3080" s="32" t="s">
        <v>8522</v>
      </c>
      <c r="D3080" s="32" t="s">
        <v>8523</v>
      </c>
    </row>
    <row r="3081" spans="2:4" x14ac:dyDescent="0.3">
      <c r="B3081" s="33" t="s">
        <v>8524</v>
      </c>
      <c r="C3081" s="32" t="s">
        <v>8525</v>
      </c>
      <c r="D3081" s="32" t="s">
        <v>8526</v>
      </c>
    </row>
    <row r="3082" spans="2:4" x14ac:dyDescent="0.3">
      <c r="B3082" s="33" t="s">
        <v>8527</v>
      </c>
      <c r="C3082" s="32" t="s">
        <v>8528</v>
      </c>
      <c r="D3082" s="32" t="s">
        <v>8529</v>
      </c>
    </row>
    <row r="3083" spans="2:4" x14ac:dyDescent="0.3">
      <c r="B3083" s="33" t="s">
        <v>8530</v>
      </c>
      <c r="C3083" s="32" t="s">
        <v>8531</v>
      </c>
      <c r="D3083" s="32" t="s">
        <v>8532</v>
      </c>
    </row>
    <row r="3084" spans="2:4" x14ac:dyDescent="0.3">
      <c r="B3084" s="33" t="s">
        <v>8533</v>
      </c>
      <c r="C3084" s="32" t="s">
        <v>8534</v>
      </c>
      <c r="D3084" s="32" t="s">
        <v>8535</v>
      </c>
    </row>
    <row r="3085" spans="2:4" x14ac:dyDescent="0.3">
      <c r="B3085" s="33" t="s">
        <v>8536</v>
      </c>
      <c r="C3085" s="32" t="s">
        <v>8537</v>
      </c>
      <c r="D3085" s="32" t="s">
        <v>8538</v>
      </c>
    </row>
    <row r="3086" spans="2:4" x14ac:dyDescent="0.3">
      <c r="B3086" s="33" t="s">
        <v>8539</v>
      </c>
      <c r="C3086" s="32" t="s">
        <v>8540</v>
      </c>
      <c r="D3086" s="32" t="s">
        <v>8541</v>
      </c>
    </row>
    <row r="3087" spans="2:4" x14ac:dyDescent="0.3">
      <c r="B3087" s="33" t="s">
        <v>8542</v>
      </c>
      <c r="C3087" s="32" t="s">
        <v>8543</v>
      </c>
      <c r="D3087" s="32" t="s">
        <v>8544</v>
      </c>
    </row>
    <row r="3088" spans="2:4" x14ac:dyDescent="0.3">
      <c r="B3088" s="33" t="s">
        <v>8545</v>
      </c>
      <c r="C3088" s="32" t="s">
        <v>8546</v>
      </c>
      <c r="D3088" s="32" t="s">
        <v>8547</v>
      </c>
    </row>
    <row r="3089" spans="2:4" x14ac:dyDescent="0.3">
      <c r="B3089" s="33" t="s">
        <v>1118</v>
      </c>
      <c r="C3089" s="32" t="s">
        <v>8548</v>
      </c>
      <c r="D3089" s="32" t="s">
        <v>8549</v>
      </c>
    </row>
    <row r="3090" spans="2:4" x14ac:dyDescent="0.3">
      <c r="B3090" s="33" t="s">
        <v>7449</v>
      </c>
      <c r="C3090" s="32" t="s">
        <v>8550</v>
      </c>
      <c r="D3090" s="32" t="s">
        <v>8551</v>
      </c>
    </row>
    <row r="3091" spans="2:4" x14ac:dyDescent="0.3">
      <c r="B3091" s="33" t="s">
        <v>8552</v>
      </c>
      <c r="C3091" s="32" t="s">
        <v>8553</v>
      </c>
      <c r="D3091" s="32" t="s">
        <v>8554</v>
      </c>
    </row>
    <row r="3092" spans="2:4" x14ac:dyDescent="0.3">
      <c r="B3092" s="33" t="s">
        <v>8555</v>
      </c>
      <c r="C3092" s="32" t="s">
        <v>8556</v>
      </c>
      <c r="D3092" s="32" t="s">
        <v>8557</v>
      </c>
    </row>
    <row r="3093" spans="2:4" x14ac:dyDescent="0.3">
      <c r="B3093" s="33" t="s">
        <v>37165</v>
      </c>
      <c r="C3093" s="32" t="s">
        <v>37166</v>
      </c>
      <c r="D3093" s="32" t="s">
        <v>37167</v>
      </c>
    </row>
    <row r="3094" spans="2:4" x14ac:dyDescent="0.3">
      <c r="B3094" s="33" t="s">
        <v>8558</v>
      </c>
      <c r="C3094" s="32" t="s">
        <v>8559</v>
      </c>
      <c r="D3094" s="32" t="s">
        <v>8560</v>
      </c>
    </row>
    <row r="3095" spans="2:4" x14ac:dyDescent="0.3">
      <c r="B3095" s="33" t="s">
        <v>8561</v>
      </c>
      <c r="C3095" s="32" t="s">
        <v>8562</v>
      </c>
      <c r="D3095" s="32" t="s">
        <v>8563</v>
      </c>
    </row>
    <row r="3096" spans="2:4" x14ac:dyDescent="0.3">
      <c r="B3096" s="33" t="s">
        <v>8564</v>
      </c>
      <c r="C3096" s="32" t="s">
        <v>8565</v>
      </c>
      <c r="D3096" s="32" t="s">
        <v>8566</v>
      </c>
    </row>
    <row r="3097" spans="2:4" x14ac:dyDescent="0.3">
      <c r="B3097" s="33" t="s">
        <v>8567</v>
      </c>
      <c r="C3097" s="32" t="s">
        <v>8568</v>
      </c>
      <c r="D3097" s="32" t="s">
        <v>8569</v>
      </c>
    </row>
    <row r="3098" spans="2:4" x14ac:dyDescent="0.3">
      <c r="B3098" s="33" t="s">
        <v>8570</v>
      </c>
      <c r="C3098" s="32" t="s">
        <v>8571</v>
      </c>
      <c r="D3098" s="32" t="s">
        <v>8572</v>
      </c>
    </row>
    <row r="3099" spans="2:4" x14ac:dyDescent="0.3">
      <c r="B3099" s="33" t="s">
        <v>8573</v>
      </c>
      <c r="C3099" s="32" t="s">
        <v>8574</v>
      </c>
      <c r="D3099" s="32" t="s">
        <v>8575</v>
      </c>
    </row>
    <row r="3100" spans="2:4" x14ac:dyDescent="0.3">
      <c r="B3100" s="33" t="s">
        <v>8576</v>
      </c>
      <c r="C3100" s="32" t="s">
        <v>8577</v>
      </c>
      <c r="D3100" s="32" t="s">
        <v>8578</v>
      </c>
    </row>
    <row r="3101" spans="2:4" x14ac:dyDescent="0.3">
      <c r="B3101" s="33" t="s">
        <v>7722</v>
      </c>
      <c r="C3101" s="32" t="s">
        <v>8579</v>
      </c>
      <c r="D3101" s="32" t="s">
        <v>8580</v>
      </c>
    </row>
    <row r="3102" spans="2:4" x14ac:dyDescent="0.3">
      <c r="B3102" s="33" t="s">
        <v>8581</v>
      </c>
      <c r="C3102" s="32" t="s">
        <v>8582</v>
      </c>
      <c r="D3102" s="32" t="s">
        <v>8583</v>
      </c>
    </row>
    <row r="3103" spans="2:4" x14ac:dyDescent="0.3">
      <c r="B3103" s="33" t="s">
        <v>8584</v>
      </c>
      <c r="C3103" s="32" t="s">
        <v>8585</v>
      </c>
      <c r="D3103" s="32" t="s">
        <v>8586</v>
      </c>
    </row>
    <row r="3104" spans="2:4" x14ac:dyDescent="0.3">
      <c r="B3104" s="33" t="s">
        <v>8587</v>
      </c>
      <c r="C3104" s="32" t="s">
        <v>8588</v>
      </c>
      <c r="D3104" s="32" t="s">
        <v>8589</v>
      </c>
    </row>
    <row r="3105" spans="2:4" x14ac:dyDescent="0.3">
      <c r="B3105" s="33" t="s">
        <v>7419</v>
      </c>
      <c r="C3105" s="32" t="s">
        <v>8590</v>
      </c>
      <c r="D3105" s="32" t="s">
        <v>8591</v>
      </c>
    </row>
    <row r="3106" spans="2:4" x14ac:dyDescent="0.3">
      <c r="B3106" s="33" t="s">
        <v>8592</v>
      </c>
      <c r="C3106" s="32" t="s">
        <v>8593</v>
      </c>
      <c r="D3106" s="32" t="s">
        <v>8594</v>
      </c>
    </row>
    <row r="3107" spans="2:4" x14ac:dyDescent="0.3">
      <c r="B3107" s="33" t="s">
        <v>8595</v>
      </c>
      <c r="C3107" s="32" t="s">
        <v>8596</v>
      </c>
      <c r="D3107" s="32" t="s">
        <v>8597</v>
      </c>
    </row>
    <row r="3108" spans="2:4" x14ac:dyDescent="0.3">
      <c r="B3108" s="33" t="s">
        <v>6502</v>
      </c>
      <c r="C3108" s="32" t="s">
        <v>8598</v>
      </c>
      <c r="D3108" s="32" t="s">
        <v>8599</v>
      </c>
    </row>
    <row r="3109" spans="2:4" x14ac:dyDescent="0.3">
      <c r="B3109" s="33" t="s">
        <v>8600</v>
      </c>
      <c r="C3109" s="32" t="s">
        <v>8601</v>
      </c>
      <c r="D3109" s="32" t="s">
        <v>8602</v>
      </c>
    </row>
    <row r="3110" spans="2:4" x14ac:dyDescent="0.3">
      <c r="B3110" s="33" t="s">
        <v>8603</v>
      </c>
      <c r="C3110" s="32" t="s">
        <v>8604</v>
      </c>
      <c r="D3110" s="32" t="s">
        <v>8605</v>
      </c>
    </row>
    <row r="3111" spans="2:4" x14ac:dyDescent="0.3">
      <c r="B3111" s="33" t="s">
        <v>6866</v>
      </c>
      <c r="C3111" s="32" t="s">
        <v>8606</v>
      </c>
      <c r="D3111" s="32" t="s">
        <v>8607</v>
      </c>
    </row>
    <row r="3112" spans="2:4" x14ac:dyDescent="0.3">
      <c r="B3112" s="33" t="s">
        <v>8018</v>
      </c>
      <c r="C3112" s="32" t="s">
        <v>8608</v>
      </c>
      <c r="D3112" s="32" t="s">
        <v>8609</v>
      </c>
    </row>
    <row r="3113" spans="2:4" x14ac:dyDescent="0.3">
      <c r="B3113" s="33" t="s">
        <v>8610</v>
      </c>
      <c r="C3113" s="32" t="s">
        <v>8611</v>
      </c>
      <c r="D3113" s="32" t="s">
        <v>8612</v>
      </c>
    </row>
    <row r="3114" spans="2:4" x14ac:dyDescent="0.3">
      <c r="B3114" s="33" t="s">
        <v>8613</v>
      </c>
      <c r="C3114" s="32" t="s">
        <v>8614</v>
      </c>
      <c r="D3114" s="32" t="s">
        <v>8615</v>
      </c>
    </row>
    <row r="3115" spans="2:4" x14ac:dyDescent="0.3">
      <c r="B3115" s="33" t="s">
        <v>8616</v>
      </c>
      <c r="C3115" s="32" t="s">
        <v>8617</v>
      </c>
      <c r="D3115" s="32" t="s">
        <v>8618</v>
      </c>
    </row>
    <row r="3116" spans="2:4" x14ac:dyDescent="0.3">
      <c r="B3116" s="33" t="s">
        <v>8619</v>
      </c>
      <c r="C3116" s="32" t="s">
        <v>8620</v>
      </c>
      <c r="D3116" s="32" t="s">
        <v>8621</v>
      </c>
    </row>
    <row r="3117" spans="2:4" x14ac:dyDescent="0.3">
      <c r="B3117" s="33" t="s">
        <v>8018</v>
      </c>
      <c r="C3117" s="32" t="s">
        <v>8622</v>
      </c>
      <c r="D3117" s="32" t="s">
        <v>8623</v>
      </c>
    </row>
    <row r="3118" spans="2:4" x14ac:dyDescent="0.3">
      <c r="B3118" s="33" t="s">
        <v>8624</v>
      </c>
      <c r="C3118" s="32" t="s">
        <v>8625</v>
      </c>
      <c r="D3118" s="32" t="s">
        <v>8626</v>
      </c>
    </row>
    <row r="3119" spans="2:4" x14ac:dyDescent="0.3">
      <c r="B3119" s="33" t="s">
        <v>8627</v>
      </c>
      <c r="C3119" s="32" t="s">
        <v>8628</v>
      </c>
      <c r="D3119" s="32" t="s">
        <v>8629</v>
      </c>
    </row>
    <row r="3120" spans="2:4" x14ac:dyDescent="0.3">
      <c r="B3120" s="33" t="s">
        <v>8630</v>
      </c>
      <c r="C3120" s="32" t="s">
        <v>8631</v>
      </c>
      <c r="D3120" s="32" t="s">
        <v>8632</v>
      </c>
    </row>
    <row r="3121" spans="2:4" x14ac:dyDescent="0.3">
      <c r="B3121" s="33" t="s">
        <v>7540</v>
      </c>
      <c r="C3121" s="32" t="s">
        <v>8633</v>
      </c>
      <c r="D3121" s="32" t="s">
        <v>8634</v>
      </c>
    </row>
    <row r="3122" spans="2:4" x14ac:dyDescent="0.3">
      <c r="B3122" s="33" t="s">
        <v>8635</v>
      </c>
      <c r="C3122" s="32" t="s">
        <v>8636</v>
      </c>
      <c r="D3122" s="32" t="s">
        <v>8637</v>
      </c>
    </row>
    <row r="3123" spans="2:4" x14ac:dyDescent="0.3">
      <c r="B3123" s="33" t="s">
        <v>8638</v>
      </c>
      <c r="C3123" s="32" t="s">
        <v>8639</v>
      </c>
      <c r="D3123" s="32" t="s">
        <v>8640</v>
      </c>
    </row>
    <row r="3124" spans="2:4" x14ac:dyDescent="0.3">
      <c r="B3124" s="33" t="s">
        <v>8641</v>
      </c>
      <c r="C3124" s="32" t="s">
        <v>8642</v>
      </c>
      <c r="D3124" s="32" t="s">
        <v>8643</v>
      </c>
    </row>
    <row r="3125" spans="2:4" x14ac:dyDescent="0.3">
      <c r="B3125" s="33" t="s">
        <v>8644</v>
      </c>
      <c r="C3125" s="32" t="s">
        <v>8645</v>
      </c>
      <c r="D3125" s="32" t="s">
        <v>8646</v>
      </c>
    </row>
    <row r="3126" spans="2:4" x14ac:dyDescent="0.3">
      <c r="B3126" s="33" t="s">
        <v>8647</v>
      </c>
      <c r="C3126" s="32" t="s">
        <v>8648</v>
      </c>
      <c r="D3126" s="32" t="s">
        <v>8649</v>
      </c>
    </row>
    <row r="3127" spans="2:4" x14ac:dyDescent="0.3">
      <c r="B3127" s="33" t="s">
        <v>7202</v>
      </c>
      <c r="C3127" s="32" t="s">
        <v>8650</v>
      </c>
      <c r="D3127" s="32" t="s">
        <v>8651</v>
      </c>
    </row>
    <row r="3128" spans="2:4" x14ac:dyDescent="0.3">
      <c r="B3128" s="33" t="s">
        <v>8652</v>
      </c>
      <c r="C3128" s="32" t="s">
        <v>8653</v>
      </c>
      <c r="D3128" s="32" t="s">
        <v>37168</v>
      </c>
    </row>
    <row r="3129" spans="2:4" x14ac:dyDescent="0.3">
      <c r="B3129" s="33" t="s">
        <v>8654</v>
      </c>
      <c r="C3129" s="32" t="s">
        <v>8655</v>
      </c>
      <c r="D3129" s="32" t="s">
        <v>8656</v>
      </c>
    </row>
    <row r="3130" spans="2:4" x14ac:dyDescent="0.3">
      <c r="B3130" s="33" t="s">
        <v>8657</v>
      </c>
      <c r="C3130" s="32" t="s">
        <v>8658</v>
      </c>
      <c r="D3130" s="32" t="s">
        <v>8659</v>
      </c>
    </row>
    <row r="3131" spans="2:4" x14ac:dyDescent="0.3">
      <c r="B3131" s="33" t="s">
        <v>8660</v>
      </c>
      <c r="C3131" s="32" t="s">
        <v>8661</v>
      </c>
      <c r="D3131" s="32" t="s">
        <v>8662</v>
      </c>
    </row>
    <row r="3132" spans="2:4" x14ac:dyDescent="0.3">
      <c r="B3132" s="33" t="s">
        <v>8663</v>
      </c>
      <c r="C3132" s="32" t="s">
        <v>8664</v>
      </c>
      <c r="D3132" s="32" t="s">
        <v>8665</v>
      </c>
    </row>
    <row r="3133" spans="2:4" x14ac:dyDescent="0.3">
      <c r="B3133" s="33" t="s">
        <v>8208</v>
      </c>
      <c r="C3133" s="32" t="s">
        <v>8666</v>
      </c>
      <c r="D3133" s="32" t="s">
        <v>8667</v>
      </c>
    </row>
    <row r="3134" spans="2:4" x14ac:dyDescent="0.3">
      <c r="B3134" s="33" t="s">
        <v>8668</v>
      </c>
      <c r="C3134" s="32" t="s">
        <v>8669</v>
      </c>
      <c r="D3134" s="32" t="s">
        <v>8670</v>
      </c>
    </row>
    <row r="3135" spans="2:4" x14ac:dyDescent="0.3">
      <c r="B3135" s="33" t="s">
        <v>8671</v>
      </c>
      <c r="C3135" s="32" t="s">
        <v>8672</v>
      </c>
      <c r="D3135" s="32" t="s">
        <v>8673</v>
      </c>
    </row>
    <row r="3136" spans="2:4" x14ac:dyDescent="0.3">
      <c r="B3136" s="33" t="s">
        <v>8674</v>
      </c>
      <c r="C3136" s="32" t="s">
        <v>8675</v>
      </c>
      <c r="D3136" s="32" t="s">
        <v>8676</v>
      </c>
    </row>
    <row r="3137" spans="2:4" x14ac:dyDescent="0.3">
      <c r="B3137" s="33" t="s">
        <v>8677</v>
      </c>
      <c r="C3137" s="32" t="s">
        <v>8678</v>
      </c>
      <c r="D3137" s="32" t="s">
        <v>8679</v>
      </c>
    </row>
    <row r="3138" spans="2:4" x14ac:dyDescent="0.3">
      <c r="B3138" s="33" t="s">
        <v>8680</v>
      </c>
      <c r="C3138" s="32" t="s">
        <v>8681</v>
      </c>
      <c r="D3138" s="32" t="s">
        <v>8682</v>
      </c>
    </row>
    <row r="3139" spans="2:4" x14ac:dyDescent="0.3">
      <c r="B3139" s="33" t="s">
        <v>8683</v>
      </c>
      <c r="C3139" s="32" t="s">
        <v>8684</v>
      </c>
      <c r="D3139" s="32" t="s">
        <v>8685</v>
      </c>
    </row>
    <row r="3140" spans="2:4" x14ac:dyDescent="0.3">
      <c r="B3140" s="33" t="s">
        <v>6565</v>
      </c>
      <c r="C3140" s="32" t="s">
        <v>8686</v>
      </c>
      <c r="D3140" s="32" t="s">
        <v>8687</v>
      </c>
    </row>
    <row r="3141" spans="2:4" x14ac:dyDescent="0.3">
      <c r="B3141" s="33" t="s">
        <v>2442</v>
      </c>
      <c r="C3141" s="32" t="s">
        <v>8688</v>
      </c>
      <c r="D3141" s="32" t="s">
        <v>8689</v>
      </c>
    </row>
    <row r="3142" spans="2:4" x14ac:dyDescent="0.3">
      <c r="B3142" s="33" t="s">
        <v>8690</v>
      </c>
      <c r="C3142" s="32" t="s">
        <v>8691</v>
      </c>
      <c r="D3142" s="32" t="s">
        <v>8692</v>
      </c>
    </row>
    <row r="3143" spans="2:4" x14ac:dyDescent="0.3">
      <c r="B3143" s="33" t="s">
        <v>8680</v>
      </c>
      <c r="C3143" s="32" t="s">
        <v>8693</v>
      </c>
      <c r="D3143" s="32" t="s">
        <v>8694</v>
      </c>
    </row>
    <row r="3144" spans="2:4" x14ac:dyDescent="0.3">
      <c r="B3144" s="33" t="s">
        <v>8695</v>
      </c>
      <c r="C3144" s="32" t="s">
        <v>8696</v>
      </c>
      <c r="D3144" s="32" t="s">
        <v>8697</v>
      </c>
    </row>
    <row r="3145" spans="2:4" x14ac:dyDescent="0.3">
      <c r="B3145" s="33" t="s">
        <v>8698</v>
      </c>
      <c r="C3145" s="32" t="s">
        <v>8699</v>
      </c>
      <c r="D3145" s="32" t="s">
        <v>8700</v>
      </c>
    </row>
    <row r="3146" spans="2:4" x14ac:dyDescent="0.3">
      <c r="B3146" s="33" t="s">
        <v>8701</v>
      </c>
      <c r="C3146" s="32" t="s">
        <v>8702</v>
      </c>
      <c r="D3146" s="32" t="s">
        <v>8703</v>
      </c>
    </row>
    <row r="3147" spans="2:4" x14ac:dyDescent="0.3">
      <c r="B3147" s="33" t="s">
        <v>8704</v>
      </c>
      <c r="C3147" s="32" t="s">
        <v>8705</v>
      </c>
      <c r="D3147" s="32" t="s">
        <v>8706</v>
      </c>
    </row>
    <row r="3148" spans="2:4" x14ac:dyDescent="0.3">
      <c r="B3148" s="33" t="s">
        <v>8707</v>
      </c>
      <c r="C3148" s="32" t="s">
        <v>8708</v>
      </c>
      <c r="D3148" s="32" t="s">
        <v>8709</v>
      </c>
    </row>
    <row r="3149" spans="2:4" x14ac:dyDescent="0.3">
      <c r="B3149" s="33" t="s">
        <v>8710</v>
      </c>
      <c r="C3149" s="32" t="s">
        <v>8711</v>
      </c>
      <c r="D3149" s="32" t="s">
        <v>8712</v>
      </c>
    </row>
    <row r="3150" spans="2:4" x14ac:dyDescent="0.3">
      <c r="B3150" s="33" t="s">
        <v>8713</v>
      </c>
      <c r="C3150" s="32" t="s">
        <v>8714</v>
      </c>
      <c r="D3150" s="32" t="s">
        <v>8715</v>
      </c>
    </row>
    <row r="3151" spans="2:4" x14ac:dyDescent="0.3">
      <c r="B3151" s="33" t="s">
        <v>6586</v>
      </c>
      <c r="C3151" s="32" t="s">
        <v>8716</v>
      </c>
      <c r="D3151" s="32" t="s">
        <v>8717</v>
      </c>
    </row>
    <row r="3152" spans="2:4" x14ac:dyDescent="0.3">
      <c r="B3152" s="33" t="s">
        <v>8303</v>
      </c>
      <c r="C3152" s="32" t="s">
        <v>8718</v>
      </c>
      <c r="D3152" s="32" t="s">
        <v>8719</v>
      </c>
    </row>
    <row r="3153" spans="2:4" x14ac:dyDescent="0.3">
      <c r="B3153" s="33" t="s">
        <v>7733</v>
      </c>
      <c r="C3153" s="32" t="s">
        <v>8720</v>
      </c>
      <c r="D3153" s="32" t="s">
        <v>8721</v>
      </c>
    </row>
    <row r="3154" spans="2:4" x14ac:dyDescent="0.3">
      <c r="B3154" s="33" t="s">
        <v>8722</v>
      </c>
      <c r="C3154" s="32" t="s">
        <v>8723</v>
      </c>
      <c r="D3154" s="32" t="s">
        <v>8724</v>
      </c>
    </row>
    <row r="3155" spans="2:4" x14ac:dyDescent="0.3">
      <c r="B3155" s="33" t="s">
        <v>8725</v>
      </c>
      <c r="C3155" s="32" t="s">
        <v>8726</v>
      </c>
      <c r="D3155" s="32" t="s">
        <v>8727</v>
      </c>
    </row>
    <row r="3156" spans="2:4" x14ac:dyDescent="0.3">
      <c r="B3156" s="33" t="s">
        <v>8728</v>
      </c>
      <c r="C3156" s="32" t="s">
        <v>8729</v>
      </c>
      <c r="D3156" s="32" t="s">
        <v>8730</v>
      </c>
    </row>
    <row r="3157" spans="2:4" x14ac:dyDescent="0.3">
      <c r="B3157" s="33" t="s">
        <v>8731</v>
      </c>
      <c r="C3157" s="32" t="s">
        <v>8732</v>
      </c>
      <c r="D3157" s="32" t="s">
        <v>8733</v>
      </c>
    </row>
    <row r="3158" spans="2:4" x14ac:dyDescent="0.3">
      <c r="B3158" s="33" t="s">
        <v>8734</v>
      </c>
      <c r="C3158" s="32" t="s">
        <v>8735</v>
      </c>
      <c r="D3158" s="32" t="s">
        <v>8736</v>
      </c>
    </row>
    <row r="3159" spans="2:4" x14ac:dyDescent="0.3">
      <c r="B3159" s="33" t="s">
        <v>8737</v>
      </c>
      <c r="C3159" s="32" t="s">
        <v>8738</v>
      </c>
      <c r="D3159" s="32" t="s">
        <v>8739</v>
      </c>
    </row>
    <row r="3160" spans="2:4" x14ac:dyDescent="0.3">
      <c r="B3160" s="33" t="s">
        <v>8740</v>
      </c>
      <c r="C3160" s="32" t="s">
        <v>8741</v>
      </c>
      <c r="D3160" s="32" t="s">
        <v>8742</v>
      </c>
    </row>
    <row r="3161" spans="2:4" x14ac:dyDescent="0.3">
      <c r="B3161" s="33" t="s">
        <v>8743</v>
      </c>
      <c r="C3161" s="32" t="s">
        <v>8744</v>
      </c>
      <c r="D3161" s="32" t="s">
        <v>8745</v>
      </c>
    </row>
    <row r="3162" spans="2:4" x14ac:dyDescent="0.3">
      <c r="B3162" s="33" t="s">
        <v>8746</v>
      </c>
      <c r="C3162" s="32" t="s">
        <v>8747</v>
      </c>
      <c r="D3162" s="32" t="s">
        <v>8748</v>
      </c>
    </row>
    <row r="3163" spans="2:4" x14ac:dyDescent="0.3">
      <c r="B3163" s="33" t="s">
        <v>8749</v>
      </c>
      <c r="C3163" s="32" t="s">
        <v>8750</v>
      </c>
      <c r="D3163" s="32" t="s">
        <v>8751</v>
      </c>
    </row>
    <row r="3164" spans="2:4" x14ac:dyDescent="0.3">
      <c r="B3164" s="33" t="s">
        <v>8752</v>
      </c>
      <c r="C3164" s="32" t="s">
        <v>8753</v>
      </c>
      <c r="D3164" s="32" t="s">
        <v>8754</v>
      </c>
    </row>
    <row r="3165" spans="2:4" x14ac:dyDescent="0.3">
      <c r="B3165" s="33" t="s">
        <v>8755</v>
      </c>
      <c r="C3165" s="32" t="s">
        <v>8756</v>
      </c>
      <c r="D3165" s="32" t="s">
        <v>8757</v>
      </c>
    </row>
    <row r="3166" spans="2:4" x14ac:dyDescent="0.3">
      <c r="B3166" s="33" t="s">
        <v>8758</v>
      </c>
      <c r="C3166" s="32" t="s">
        <v>8759</v>
      </c>
      <c r="D3166" s="32" t="s">
        <v>8760</v>
      </c>
    </row>
    <row r="3167" spans="2:4" x14ac:dyDescent="0.3">
      <c r="B3167" s="33" t="s">
        <v>8761</v>
      </c>
      <c r="C3167" s="32" t="s">
        <v>8762</v>
      </c>
      <c r="D3167" s="32" t="s">
        <v>8763</v>
      </c>
    </row>
    <row r="3168" spans="2:4" x14ac:dyDescent="0.3">
      <c r="B3168" s="33" t="s">
        <v>6792</v>
      </c>
      <c r="C3168" s="32" t="s">
        <v>8764</v>
      </c>
      <c r="D3168" s="32" t="s">
        <v>8765</v>
      </c>
    </row>
    <row r="3169" spans="2:4" x14ac:dyDescent="0.3">
      <c r="B3169" s="33" t="s">
        <v>6443</v>
      </c>
      <c r="C3169" s="32" t="s">
        <v>8766</v>
      </c>
      <c r="D3169" s="32" t="s">
        <v>8767</v>
      </c>
    </row>
    <row r="3170" spans="2:4" x14ac:dyDescent="0.3">
      <c r="B3170" s="33" t="s">
        <v>8768</v>
      </c>
      <c r="C3170" s="32" t="s">
        <v>8769</v>
      </c>
      <c r="D3170" s="32" t="s">
        <v>8770</v>
      </c>
    </row>
    <row r="3171" spans="2:4" x14ac:dyDescent="0.3">
      <c r="B3171" s="33" t="s">
        <v>7231</v>
      </c>
      <c r="C3171" s="32" t="s">
        <v>8771</v>
      </c>
      <c r="D3171" s="32" t="s">
        <v>8772</v>
      </c>
    </row>
    <row r="3172" spans="2:4" x14ac:dyDescent="0.3">
      <c r="B3172" s="33" t="s">
        <v>7540</v>
      </c>
      <c r="C3172" s="32" t="s">
        <v>8773</v>
      </c>
      <c r="D3172" s="32" t="s">
        <v>8774</v>
      </c>
    </row>
    <row r="3173" spans="2:4" x14ac:dyDescent="0.3">
      <c r="B3173" s="33" t="s">
        <v>8775</v>
      </c>
      <c r="C3173" s="32" t="s">
        <v>8776</v>
      </c>
      <c r="D3173" s="32" t="s">
        <v>8777</v>
      </c>
    </row>
    <row r="3174" spans="2:4" x14ac:dyDescent="0.3">
      <c r="B3174" s="33" t="s">
        <v>6502</v>
      </c>
      <c r="C3174" s="32" t="s">
        <v>8778</v>
      </c>
      <c r="D3174" s="32" t="s">
        <v>8779</v>
      </c>
    </row>
    <row r="3175" spans="2:4" x14ac:dyDescent="0.3">
      <c r="B3175" s="33" t="s">
        <v>8780</v>
      </c>
      <c r="C3175" s="32" t="s">
        <v>8781</v>
      </c>
      <c r="D3175" s="32" t="s">
        <v>8782</v>
      </c>
    </row>
    <row r="3176" spans="2:4" x14ac:dyDescent="0.3">
      <c r="B3176" s="33" t="s">
        <v>8783</v>
      </c>
      <c r="C3176" s="32" t="s">
        <v>8784</v>
      </c>
      <c r="D3176" s="32" t="s">
        <v>8783</v>
      </c>
    </row>
    <row r="3177" spans="2:4" x14ac:dyDescent="0.3">
      <c r="B3177" s="33" t="s">
        <v>8785</v>
      </c>
      <c r="C3177" s="32" t="s">
        <v>8786</v>
      </c>
      <c r="D3177" s="32" t="s">
        <v>8787</v>
      </c>
    </row>
    <row r="3178" spans="2:4" x14ac:dyDescent="0.3">
      <c r="B3178" s="33" t="s">
        <v>6548</v>
      </c>
      <c r="C3178" s="32" t="s">
        <v>8788</v>
      </c>
      <c r="D3178" s="32" t="s">
        <v>6548</v>
      </c>
    </row>
    <row r="3179" spans="2:4" x14ac:dyDescent="0.3">
      <c r="B3179" s="33" t="s">
        <v>8789</v>
      </c>
      <c r="C3179" s="32" t="s">
        <v>8790</v>
      </c>
      <c r="D3179" s="32" t="s">
        <v>8791</v>
      </c>
    </row>
    <row r="3180" spans="2:4" x14ac:dyDescent="0.3">
      <c r="B3180" s="33" t="s">
        <v>7661</v>
      </c>
      <c r="C3180" s="32" t="s">
        <v>8792</v>
      </c>
      <c r="D3180" s="32" t="s">
        <v>7661</v>
      </c>
    </row>
    <row r="3181" spans="2:4" x14ac:dyDescent="0.3">
      <c r="B3181" s="33" t="s">
        <v>8793</v>
      </c>
      <c r="C3181" s="32" t="s">
        <v>8794</v>
      </c>
      <c r="D3181" s="32" t="s">
        <v>8795</v>
      </c>
    </row>
    <row r="3182" spans="2:4" x14ac:dyDescent="0.3">
      <c r="B3182" s="33" t="s">
        <v>8796</v>
      </c>
      <c r="C3182" s="32" t="s">
        <v>8797</v>
      </c>
      <c r="D3182" s="32" t="s">
        <v>8798</v>
      </c>
    </row>
    <row r="3183" spans="2:4" x14ac:dyDescent="0.3">
      <c r="B3183" s="33" t="s">
        <v>8799</v>
      </c>
      <c r="C3183" s="32" t="s">
        <v>8800</v>
      </c>
      <c r="D3183" s="32" t="s">
        <v>8801</v>
      </c>
    </row>
    <row r="3184" spans="2:4" x14ac:dyDescent="0.3">
      <c r="B3184" s="33" t="s">
        <v>8802</v>
      </c>
      <c r="C3184" s="32" t="s">
        <v>8803</v>
      </c>
      <c r="D3184" s="32" t="s">
        <v>8804</v>
      </c>
    </row>
    <row r="3185" spans="2:4" x14ac:dyDescent="0.3">
      <c r="B3185" s="33" t="s">
        <v>3188</v>
      </c>
      <c r="C3185" s="32" t="s">
        <v>8805</v>
      </c>
      <c r="D3185" s="32" t="s">
        <v>8806</v>
      </c>
    </row>
    <row r="3186" spans="2:4" x14ac:dyDescent="0.3">
      <c r="B3186" s="33" t="s">
        <v>8804</v>
      </c>
      <c r="C3186" s="32" t="s">
        <v>8807</v>
      </c>
      <c r="D3186" s="32" t="s">
        <v>8808</v>
      </c>
    </row>
    <row r="3187" spans="2:4" x14ac:dyDescent="0.3">
      <c r="B3187" s="33" t="s">
        <v>8809</v>
      </c>
      <c r="C3187" s="32" t="s">
        <v>8810</v>
      </c>
      <c r="D3187" s="32" t="s">
        <v>8811</v>
      </c>
    </row>
    <row r="3188" spans="2:4" x14ac:dyDescent="0.3">
      <c r="B3188" s="33" t="s">
        <v>8812</v>
      </c>
      <c r="C3188" s="32" t="s">
        <v>8813</v>
      </c>
      <c r="D3188" s="32" t="s">
        <v>8814</v>
      </c>
    </row>
    <row r="3189" spans="2:4" x14ac:dyDescent="0.3">
      <c r="B3189" s="33" t="s">
        <v>8815</v>
      </c>
      <c r="C3189" s="32" t="s">
        <v>8816</v>
      </c>
      <c r="D3189" s="32" t="s">
        <v>8817</v>
      </c>
    </row>
    <row r="3190" spans="2:4" x14ac:dyDescent="0.3">
      <c r="B3190" s="33" t="s">
        <v>8818</v>
      </c>
      <c r="C3190" s="32" t="s">
        <v>8819</v>
      </c>
      <c r="D3190" s="32" t="s">
        <v>8820</v>
      </c>
    </row>
    <row r="3191" spans="2:4" x14ac:dyDescent="0.3">
      <c r="B3191" s="33" t="s">
        <v>8821</v>
      </c>
      <c r="C3191" s="32" t="s">
        <v>8822</v>
      </c>
      <c r="D3191" s="32" t="s">
        <v>8823</v>
      </c>
    </row>
    <row r="3192" spans="2:4" x14ac:dyDescent="0.3">
      <c r="B3192" s="33" t="s">
        <v>8824</v>
      </c>
      <c r="C3192" s="32" t="s">
        <v>8825</v>
      </c>
      <c r="D3192" s="32" t="s">
        <v>8826</v>
      </c>
    </row>
    <row r="3193" spans="2:4" x14ac:dyDescent="0.3">
      <c r="B3193" s="33" t="s">
        <v>8827</v>
      </c>
      <c r="C3193" s="32" t="s">
        <v>8828</v>
      </c>
      <c r="D3193" s="32" t="s">
        <v>8829</v>
      </c>
    </row>
    <row r="3194" spans="2:4" x14ac:dyDescent="0.3">
      <c r="B3194" s="33" t="s">
        <v>8830</v>
      </c>
      <c r="C3194" s="32" t="s">
        <v>8831</v>
      </c>
      <c r="D3194" s="32" t="s">
        <v>8832</v>
      </c>
    </row>
    <row r="3195" spans="2:4" x14ac:dyDescent="0.3">
      <c r="B3195" s="33" t="s">
        <v>8833</v>
      </c>
      <c r="C3195" s="32" t="s">
        <v>8834</v>
      </c>
      <c r="D3195" s="32" t="s">
        <v>8835</v>
      </c>
    </row>
    <row r="3196" spans="2:4" x14ac:dyDescent="0.3">
      <c r="B3196" s="33" t="s">
        <v>8836</v>
      </c>
      <c r="C3196" s="32" t="s">
        <v>8837</v>
      </c>
      <c r="D3196" s="32" t="s">
        <v>8838</v>
      </c>
    </row>
    <row r="3197" spans="2:4" x14ac:dyDescent="0.3">
      <c r="B3197" s="33" t="s">
        <v>8839</v>
      </c>
      <c r="C3197" s="32" t="s">
        <v>8840</v>
      </c>
      <c r="D3197" s="32" t="s">
        <v>8841</v>
      </c>
    </row>
    <row r="3198" spans="2:4" x14ac:dyDescent="0.3">
      <c r="B3198" s="33" t="s">
        <v>7661</v>
      </c>
      <c r="C3198" s="32" t="s">
        <v>8842</v>
      </c>
      <c r="D3198" s="32" t="s">
        <v>8843</v>
      </c>
    </row>
    <row r="3199" spans="2:4" x14ac:dyDescent="0.3">
      <c r="B3199" s="33" t="s">
        <v>8844</v>
      </c>
      <c r="C3199" s="32" t="s">
        <v>8845</v>
      </c>
      <c r="D3199" s="32" t="s">
        <v>8846</v>
      </c>
    </row>
    <row r="3200" spans="2:4" x14ac:dyDescent="0.3">
      <c r="B3200" s="33" t="s">
        <v>8847</v>
      </c>
      <c r="C3200" s="32" t="s">
        <v>8848</v>
      </c>
      <c r="D3200" s="32" t="s">
        <v>8849</v>
      </c>
    </row>
    <row r="3201" spans="2:4" x14ac:dyDescent="0.3">
      <c r="B3201" s="33" t="s">
        <v>8850</v>
      </c>
      <c r="C3201" s="32" t="s">
        <v>8851</v>
      </c>
      <c r="D3201" s="32" t="s">
        <v>8852</v>
      </c>
    </row>
    <row r="3202" spans="2:4" x14ac:dyDescent="0.3">
      <c r="B3202" s="33" t="s">
        <v>8853</v>
      </c>
      <c r="C3202" s="32" t="s">
        <v>8854</v>
      </c>
      <c r="D3202" s="32" t="s">
        <v>8855</v>
      </c>
    </row>
    <row r="3203" spans="2:4" x14ac:dyDescent="0.3">
      <c r="B3203" s="33" t="s">
        <v>8856</v>
      </c>
      <c r="C3203" s="32" t="s">
        <v>8857</v>
      </c>
      <c r="D3203" s="32" t="s">
        <v>8858</v>
      </c>
    </row>
    <row r="3204" spans="2:4" x14ac:dyDescent="0.3">
      <c r="B3204" s="33" t="s">
        <v>8856</v>
      </c>
      <c r="C3204" s="32" t="s">
        <v>8859</v>
      </c>
      <c r="D3204" s="32" t="s">
        <v>8860</v>
      </c>
    </row>
    <row r="3205" spans="2:4" x14ac:dyDescent="0.3">
      <c r="B3205" s="33" t="s">
        <v>6277</v>
      </c>
      <c r="C3205" s="32" t="s">
        <v>8861</v>
      </c>
      <c r="D3205" s="32" t="s">
        <v>8862</v>
      </c>
    </row>
    <row r="3206" spans="2:4" x14ac:dyDescent="0.3">
      <c r="B3206" s="33" t="s">
        <v>8863</v>
      </c>
      <c r="C3206" s="32" t="s">
        <v>8864</v>
      </c>
      <c r="D3206" s="32" t="s">
        <v>8865</v>
      </c>
    </row>
    <row r="3207" spans="2:4" x14ac:dyDescent="0.3">
      <c r="B3207" s="33" t="s">
        <v>8866</v>
      </c>
      <c r="C3207" s="32" t="s">
        <v>8867</v>
      </c>
      <c r="D3207" s="32" t="s">
        <v>36817</v>
      </c>
    </row>
    <row r="3208" spans="2:4" x14ac:dyDescent="0.3">
      <c r="B3208" s="33" t="s">
        <v>8866</v>
      </c>
      <c r="C3208" s="32" t="s">
        <v>8868</v>
      </c>
      <c r="D3208" s="32" t="s">
        <v>8869</v>
      </c>
    </row>
    <row r="3209" spans="2:4" x14ac:dyDescent="0.3">
      <c r="B3209" s="33" t="s">
        <v>8870</v>
      </c>
      <c r="C3209" s="32" t="s">
        <v>8871</v>
      </c>
      <c r="D3209" s="32" t="s">
        <v>8872</v>
      </c>
    </row>
    <row r="3210" spans="2:4" x14ac:dyDescent="0.3">
      <c r="B3210" s="33" t="s">
        <v>8873</v>
      </c>
      <c r="C3210" s="32" t="s">
        <v>8874</v>
      </c>
      <c r="D3210" s="32" t="s">
        <v>8875</v>
      </c>
    </row>
    <row r="3211" spans="2:4" x14ac:dyDescent="0.3">
      <c r="B3211" s="33" t="s">
        <v>8876</v>
      </c>
      <c r="C3211" s="32" t="s">
        <v>8877</v>
      </c>
      <c r="D3211" s="32" t="s">
        <v>8878</v>
      </c>
    </row>
    <row r="3212" spans="2:4" x14ac:dyDescent="0.3">
      <c r="B3212" s="33" t="s">
        <v>7616</v>
      </c>
      <c r="C3212" s="32" t="s">
        <v>8879</v>
      </c>
      <c r="D3212" s="32" t="s">
        <v>8880</v>
      </c>
    </row>
    <row r="3213" spans="2:4" x14ac:dyDescent="0.3">
      <c r="B3213" s="33" t="s">
        <v>8881</v>
      </c>
      <c r="C3213" s="32" t="s">
        <v>8882</v>
      </c>
      <c r="D3213" s="32" t="s">
        <v>8883</v>
      </c>
    </row>
    <row r="3214" spans="2:4" x14ac:dyDescent="0.3">
      <c r="B3214" s="33" t="s">
        <v>7877</v>
      </c>
      <c r="C3214" s="32" t="s">
        <v>8884</v>
      </c>
      <c r="D3214" s="32" t="s">
        <v>8885</v>
      </c>
    </row>
    <row r="3215" spans="2:4" x14ac:dyDescent="0.3">
      <c r="B3215" s="33" t="s">
        <v>8886</v>
      </c>
      <c r="C3215" s="32" t="s">
        <v>8887</v>
      </c>
      <c r="D3215" s="32" t="s">
        <v>8886</v>
      </c>
    </row>
    <row r="3216" spans="2:4" x14ac:dyDescent="0.3">
      <c r="B3216" s="33" t="s">
        <v>8888</v>
      </c>
      <c r="C3216" s="32" t="s">
        <v>8889</v>
      </c>
      <c r="D3216" s="32" t="s">
        <v>8888</v>
      </c>
    </row>
    <row r="3217" spans="2:4" x14ac:dyDescent="0.3">
      <c r="B3217" s="33" t="s">
        <v>8890</v>
      </c>
      <c r="C3217" s="32" t="s">
        <v>8891</v>
      </c>
      <c r="D3217" s="32" t="s">
        <v>8890</v>
      </c>
    </row>
    <row r="3218" spans="2:4" x14ac:dyDescent="0.3">
      <c r="B3218" s="33" t="s">
        <v>8892</v>
      </c>
      <c r="C3218" s="32" t="s">
        <v>8893</v>
      </c>
      <c r="D3218" s="32" t="s">
        <v>8894</v>
      </c>
    </row>
    <row r="3219" spans="2:4" x14ac:dyDescent="0.3">
      <c r="B3219" s="33" t="s">
        <v>8895</v>
      </c>
      <c r="C3219" s="32" t="s">
        <v>8896</v>
      </c>
      <c r="D3219" s="32" t="s">
        <v>8895</v>
      </c>
    </row>
    <row r="3220" spans="2:4" x14ac:dyDescent="0.3">
      <c r="B3220" s="33" t="s">
        <v>7257</v>
      </c>
      <c r="C3220" s="32" t="s">
        <v>8897</v>
      </c>
      <c r="D3220" s="32" t="s">
        <v>8898</v>
      </c>
    </row>
    <row r="3221" spans="2:4" x14ac:dyDescent="0.3">
      <c r="B3221" s="33" t="s">
        <v>8899</v>
      </c>
      <c r="C3221" s="32" t="s">
        <v>8900</v>
      </c>
      <c r="D3221" s="32" t="s">
        <v>8901</v>
      </c>
    </row>
    <row r="3222" spans="2:4" x14ac:dyDescent="0.3">
      <c r="B3222" s="33" t="s">
        <v>8902</v>
      </c>
      <c r="C3222" s="32" t="s">
        <v>8903</v>
      </c>
      <c r="D3222" s="32" t="s">
        <v>8904</v>
      </c>
    </row>
    <row r="3223" spans="2:4" x14ac:dyDescent="0.3">
      <c r="B3223" s="33" t="s">
        <v>8905</v>
      </c>
      <c r="C3223" s="32" t="s">
        <v>8906</v>
      </c>
      <c r="D3223" s="32" t="s">
        <v>8907</v>
      </c>
    </row>
    <row r="3224" spans="2:4" x14ac:dyDescent="0.3">
      <c r="B3224" s="33" t="s">
        <v>8908</v>
      </c>
      <c r="C3224" s="32" t="s">
        <v>8909</v>
      </c>
      <c r="D3224" s="32" t="s">
        <v>8910</v>
      </c>
    </row>
    <row r="3225" spans="2:4" x14ac:dyDescent="0.3">
      <c r="B3225" s="33" t="s">
        <v>8911</v>
      </c>
      <c r="C3225" s="32" t="s">
        <v>8912</v>
      </c>
      <c r="D3225" s="32" t="s">
        <v>8913</v>
      </c>
    </row>
    <row r="3226" spans="2:4" x14ac:dyDescent="0.3">
      <c r="B3226" s="33" t="s">
        <v>8914</v>
      </c>
      <c r="C3226" s="32" t="s">
        <v>8915</v>
      </c>
      <c r="D3226" s="32" t="s">
        <v>8916</v>
      </c>
    </row>
    <row r="3227" spans="2:4" x14ac:dyDescent="0.3">
      <c r="B3227" s="33" t="s">
        <v>8917</v>
      </c>
      <c r="C3227" s="32" t="s">
        <v>8918</v>
      </c>
      <c r="D3227" s="32" t="s">
        <v>8919</v>
      </c>
    </row>
    <row r="3228" spans="2:4" x14ac:dyDescent="0.3">
      <c r="B3228" s="33" t="s">
        <v>8920</v>
      </c>
      <c r="C3228" s="32" t="s">
        <v>8921</v>
      </c>
      <c r="D3228" s="32" t="s">
        <v>8922</v>
      </c>
    </row>
    <row r="3229" spans="2:4" x14ac:dyDescent="0.3">
      <c r="B3229" s="33" t="s">
        <v>8923</v>
      </c>
      <c r="C3229" s="32" t="s">
        <v>8924</v>
      </c>
      <c r="D3229" s="32" t="s">
        <v>8925</v>
      </c>
    </row>
    <row r="3230" spans="2:4" x14ac:dyDescent="0.3">
      <c r="B3230" s="33" t="s">
        <v>8926</v>
      </c>
      <c r="C3230" s="32" t="s">
        <v>8927</v>
      </c>
      <c r="D3230" s="32" t="s">
        <v>8928</v>
      </c>
    </row>
    <row r="3231" spans="2:4" x14ac:dyDescent="0.3">
      <c r="B3231" s="33" t="s">
        <v>8929</v>
      </c>
      <c r="C3231" s="32" t="s">
        <v>8930</v>
      </c>
      <c r="D3231" s="32" t="s">
        <v>8931</v>
      </c>
    </row>
    <row r="3232" spans="2:4" x14ac:dyDescent="0.3">
      <c r="B3232" s="33" t="s">
        <v>7661</v>
      </c>
      <c r="C3232" s="32" t="s">
        <v>8932</v>
      </c>
      <c r="D3232" s="32" t="s">
        <v>8933</v>
      </c>
    </row>
    <row r="3233" spans="2:4" x14ac:dyDescent="0.3">
      <c r="B3233" s="33" t="s">
        <v>7733</v>
      </c>
      <c r="C3233" s="32" t="s">
        <v>8934</v>
      </c>
      <c r="D3233" s="32" t="s">
        <v>8935</v>
      </c>
    </row>
    <row r="3234" spans="2:4" x14ac:dyDescent="0.3">
      <c r="B3234" s="33" t="s">
        <v>8936</v>
      </c>
      <c r="C3234" s="32" t="s">
        <v>8937</v>
      </c>
      <c r="D3234" s="32" t="s">
        <v>8938</v>
      </c>
    </row>
    <row r="3235" spans="2:4" x14ac:dyDescent="0.3">
      <c r="B3235" s="33" t="s">
        <v>7658</v>
      </c>
      <c r="C3235" s="32" t="s">
        <v>8939</v>
      </c>
      <c r="D3235" s="32" t="s">
        <v>8940</v>
      </c>
    </row>
    <row r="3236" spans="2:4" x14ac:dyDescent="0.3">
      <c r="B3236" s="33" t="s">
        <v>8941</v>
      </c>
      <c r="C3236" s="32" t="s">
        <v>8942</v>
      </c>
      <c r="D3236" s="32" t="s">
        <v>8943</v>
      </c>
    </row>
    <row r="3237" spans="2:4" x14ac:dyDescent="0.3">
      <c r="B3237" s="33" t="s">
        <v>8944</v>
      </c>
      <c r="C3237" s="32" t="s">
        <v>8945</v>
      </c>
      <c r="D3237" s="32" t="s">
        <v>8946</v>
      </c>
    </row>
    <row r="3238" spans="2:4" x14ac:dyDescent="0.3">
      <c r="B3238" s="33" t="s">
        <v>8947</v>
      </c>
      <c r="C3238" s="32" t="s">
        <v>8948</v>
      </c>
      <c r="D3238" s="32" t="s">
        <v>8949</v>
      </c>
    </row>
    <row r="3239" spans="2:4" x14ac:dyDescent="0.3">
      <c r="B3239" s="33" t="s">
        <v>8950</v>
      </c>
      <c r="C3239" s="32" t="s">
        <v>8951</v>
      </c>
      <c r="D3239" s="32" t="s">
        <v>8952</v>
      </c>
    </row>
    <row r="3240" spans="2:4" x14ac:dyDescent="0.3">
      <c r="B3240" s="33" t="s">
        <v>8953</v>
      </c>
      <c r="C3240" s="32" t="s">
        <v>8954</v>
      </c>
      <c r="D3240" s="32" t="s">
        <v>8955</v>
      </c>
    </row>
    <row r="3241" spans="2:4" x14ac:dyDescent="0.3">
      <c r="B3241" s="33" t="s">
        <v>8956</v>
      </c>
      <c r="C3241" s="32" t="s">
        <v>8957</v>
      </c>
      <c r="D3241" s="32" t="s">
        <v>8958</v>
      </c>
    </row>
    <row r="3242" spans="2:4" x14ac:dyDescent="0.3">
      <c r="B3242" s="33" t="s">
        <v>8959</v>
      </c>
      <c r="C3242" s="32" t="s">
        <v>8960</v>
      </c>
      <c r="D3242" s="32" t="s">
        <v>8961</v>
      </c>
    </row>
    <row r="3243" spans="2:4" x14ac:dyDescent="0.3">
      <c r="B3243" s="33" t="s">
        <v>8962</v>
      </c>
      <c r="C3243" s="32" t="s">
        <v>8963</v>
      </c>
      <c r="D3243" s="32" t="s">
        <v>8964</v>
      </c>
    </row>
    <row r="3244" spans="2:4" x14ac:dyDescent="0.3">
      <c r="B3244" s="33" t="s">
        <v>8965</v>
      </c>
      <c r="C3244" s="32" t="s">
        <v>8966</v>
      </c>
      <c r="D3244" s="32" t="s">
        <v>8967</v>
      </c>
    </row>
    <row r="3245" spans="2:4" x14ac:dyDescent="0.3">
      <c r="B3245" s="33" t="s">
        <v>8968</v>
      </c>
      <c r="C3245" s="32" t="s">
        <v>8969</v>
      </c>
      <c r="D3245" s="32" t="s">
        <v>8970</v>
      </c>
    </row>
    <row r="3246" spans="2:4" x14ac:dyDescent="0.3">
      <c r="B3246" s="33" t="s">
        <v>8971</v>
      </c>
      <c r="C3246" s="32" t="s">
        <v>8972</v>
      </c>
      <c r="D3246" s="32" t="s">
        <v>8973</v>
      </c>
    </row>
    <row r="3247" spans="2:4" x14ac:dyDescent="0.3">
      <c r="B3247" s="33" t="s">
        <v>8974</v>
      </c>
      <c r="C3247" s="32" t="s">
        <v>8975</v>
      </c>
      <c r="D3247" s="32" t="s">
        <v>8976</v>
      </c>
    </row>
    <row r="3248" spans="2:4" x14ac:dyDescent="0.3">
      <c r="B3248" s="33" t="s">
        <v>8977</v>
      </c>
      <c r="C3248" s="32" t="s">
        <v>8978</v>
      </c>
      <c r="D3248" s="32" t="s">
        <v>8977</v>
      </c>
    </row>
    <row r="3249" spans="2:4" x14ac:dyDescent="0.3">
      <c r="B3249" s="33" t="s">
        <v>8979</v>
      </c>
      <c r="C3249" s="32" t="s">
        <v>8980</v>
      </c>
      <c r="D3249" s="32" t="s">
        <v>8981</v>
      </c>
    </row>
    <row r="3250" spans="2:4" x14ac:dyDescent="0.3">
      <c r="B3250" s="33" t="s">
        <v>8982</v>
      </c>
      <c r="C3250" s="32" t="s">
        <v>8983</v>
      </c>
      <c r="D3250" s="32" t="s">
        <v>8984</v>
      </c>
    </row>
    <row r="3251" spans="2:4" x14ac:dyDescent="0.3">
      <c r="B3251" s="33" t="s">
        <v>8985</v>
      </c>
      <c r="C3251" s="32" t="s">
        <v>8986</v>
      </c>
      <c r="D3251" s="32" t="s">
        <v>8987</v>
      </c>
    </row>
    <row r="3252" spans="2:4" x14ac:dyDescent="0.3">
      <c r="B3252" s="33" t="s">
        <v>8988</v>
      </c>
      <c r="C3252" s="32" t="s">
        <v>8989</v>
      </c>
      <c r="D3252" s="32" t="s">
        <v>8988</v>
      </c>
    </row>
    <row r="3253" spans="2:4" x14ac:dyDescent="0.3">
      <c r="B3253" s="33" t="s">
        <v>8990</v>
      </c>
      <c r="C3253" s="32" t="s">
        <v>8991</v>
      </c>
      <c r="D3253" s="32" t="s">
        <v>8992</v>
      </c>
    </row>
    <row r="3254" spans="2:4" x14ac:dyDescent="0.3">
      <c r="B3254" s="33" t="s">
        <v>8993</v>
      </c>
      <c r="C3254" s="32" t="s">
        <v>8994</v>
      </c>
      <c r="D3254" s="32" t="s">
        <v>8995</v>
      </c>
    </row>
    <row r="3255" spans="2:4" x14ac:dyDescent="0.3">
      <c r="B3255" s="33" t="s">
        <v>8996</v>
      </c>
      <c r="C3255" s="32" t="s">
        <v>8997</v>
      </c>
      <c r="D3255" s="32" t="s">
        <v>8998</v>
      </c>
    </row>
    <row r="3256" spans="2:4" x14ac:dyDescent="0.3">
      <c r="B3256" s="33" t="s">
        <v>8999</v>
      </c>
      <c r="C3256" s="32" t="s">
        <v>9000</v>
      </c>
      <c r="D3256" s="32" t="s">
        <v>9001</v>
      </c>
    </row>
    <row r="3257" spans="2:4" x14ac:dyDescent="0.3">
      <c r="B3257" s="33" t="s">
        <v>9002</v>
      </c>
      <c r="C3257" s="32" t="s">
        <v>9003</v>
      </c>
      <c r="D3257" s="32" t="s">
        <v>9004</v>
      </c>
    </row>
    <row r="3258" spans="2:4" x14ac:dyDescent="0.3">
      <c r="B3258" s="33" t="s">
        <v>9005</v>
      </c>
      <c r="C3258" s="32" t="s">
        <v>9006</v>
      </c>
      <c r="D3258" s="32" t="s">
        <v>9007</v>
      </c>
    </row>
    <row r="3259" spans="2:4" x14ac:dyDescent="0.3">
      <c r="B3259" s="33" t="s">
        <v>9008</v>
      </c>
      <c r="C3259" s="32" t="s">
        <v>9009</v>
      </c>
      <c r="D3259" s="32" t="s">
        <v>9010</v>
      </c>
    </row>
    <row r="3260" spans="2:4" x14ac:dyDescent="0.3">
      <c r="B3260" s="33" t="s">
        <v>9011</v>
      </c>
      <c r="C3260" s="32" t="s">
        <v>9012</v>
      </c>
      <c r="D3260" s="32" t="s">
        <v>9013</v>
      </c>
    </row>
    <row r="3261" spans="2:4" x14ac:dyDescent="0.3">
      <c r="B3261" s="33" t="s">
        <v>9014</v>
      </c>
      <c r="C3261" s="32" t="s">
        <v>9015</v>
      </c>
      <c r="D3261" s="32" t="s">
        <v>9016</v>
      </c>
    </row>
    <row r="3262" spans="2:4" x14ac:dyDescent="0.3">
      <c r="B3262" s="33" t="s">
        <v>9017</v>
      </c>
      <c r="C3262" s="32" t="s">
        <v>9018</v>
      </c>
      <c r="D3262" s="32" t="s">
        <v>9019</v>
      </c>
    </row>
    <row r="3263" spans="2:4" x14ac:dyDescent="0.3">
      <c r="B3263" s="33" t="s">
        <v>9020</v>
      </c>
      <c r="C3263" s="32" t="s">
        <v>9021</v>
      </c>
      <c r="D3263" s="32" t="s">
        <v>9022</v>
      </c>
    </row>
    <row r="3264" spans="2:4" x14ac:dyDescent="0.3">
      <c r="B3264" s="33" t="s">
        <v>59</v>
      </c>
      <c r="C3264" s="32" t="s">
        <v>9023</v>
      </c>
      <c r="D3264" s="32" t="s">
        <v>60</v>
      </c>
    </row>
    <row r="3265" spans="2:4" x14ac:dyDescent="0.3">
      <c r="B3265" s="33" t="s">
        <v>9024</v>
      </c>
      <c r="C3265" s="32" t="s">
        <v>9025</v>
      </c>
      <c r="D3265" s="32" t="s">
        <v>9026</v>
      </c>
    </row>
    <row r="3266" spans="2:4" x14ac:dyDescent="0.3">
      <c r="B3266" s="33" t="s">
        <v>9027</v>
      </c>
      <c r="C3266" s="32" t="s">
        <v>9028</v>
      </c>
      <c r="D3266" s="32" t="s">
        <v>9029</v>
      </c>
    </row>
    <row r="3267" spans="2:4" x14ac:dyDescent="0.3">
      <c r="B3267" s="33" t="s">
        <v>9030</v>
      </c>
      <c r="C3267" s="32" t="s">
        <v>9031</v>
      </c>
      <c r="D3267" s="32" t="s">
        <v>9032</v>
      </c>
    </row>
    <row r="3268" spans="2:4" x14ac:dyDescent="0.3">
      <c r="B3268" s="33" t="s">
        <v>9033</v>
      </c>
      <c r="C3268" s="32" t="s">
        <v>9034</v>
      </c>
      <c r="D3268" s="32" t="s">
        <v>9035</v>
      </c>
    </row>
    <row r="3269" spans="2:4" x14ac:dyDescent="0.3">
      <c r="B3269" s="33" t="s">
        <v>9036</v>
      </c>
      <c r="C3269" s="32" t="s">
        <v>9037</v>
      </c>
      <c r="D3269" s="32" t="s">
        <v>9038</v>
      </c>
    </row>
    <row r="3270" spans="2:4" x14ac:dyDescent="0.3">
      <c r="B3270" s="33" t="s">
        <v>9039</v>
      </c>
      <c r="C3270" s="32" t="s">
        <v>9040</v>
      </c>
      <c r="D3270" s="32" t="s">
        <v>9041</v>
      </c>
    </row>
    <row r="3271" spans="2:4" x14ac:dyDescent="0.3">
      <c r="B3271" s="33" t="s">
        <v>9042</v>
      </c>
      <c r="C3271" s="32" t="s">
        <v>9043</v>
      </c>
      <c r="D3271" s="32" t="s">
        <v>9044</v>
      </c>
    </row>
    <row r="3272" spans="2:4" x14ac:dyDescent="0.3">
      <c r="B3272" s="33" t="s">
        <v>59</v>
      </c>
      <c r="C3272" s="32" t="s">
        <v>9045</v>
      </c>
      <c r="D3272" s="32" t="s">
        <v>9046</v>
      </c>
    </row>
    <row r="3273" spans="2:4" x14ac:dyDescent="0.3">
      <c r="B3273" s="33" t="s">
        <v>9047</v>
      </c>
      <c r="C3273" s="32" t="s">
        <v>9048</v>
      </c>
      <c r="D3273" s="32" t="s">
        <v>9049</v>
      </c>
    </row>
    <row r="3274" spans="2:4" x14ac:dyDescent="0.3">
      <c r="B3274" s="33" t="s">
        <v>9050</v>
      </c>
      <c r="C3274" s="32" t="s">
        <v>9051</v>
      </c>
      <c r="D3274" s="32" t="s">
        <v>9050</v>
      </c>
    </row>
    <row r="3275" spans="2:4" x14ac:dyDescent="0.3">
      <c r="B3275" s="33" t="s">
        <v>9052</v>
      </c>
      <c r="C3275" s="32" t="s">
        <v>9053</v>
      </c>
      <c r="D3275" s="32" t="s">
        <v>9052</v>
      </c>
    </row>
    <row r="3276" spans="2:4" x14ac:dyDescent="0.3">
      <c r="B3276" s="33" t="s">
        <v>9054</v>
      </c>
      <c r="C3276" s="32" t="s">
        <v>9055</v>
      </c>
      <c r="D3276" s="32" t="s">
        <v>9054</v>
      </c>
    </row>
    <row r="3277" spans="2:4" x14ac:dyDescent="0.3">
      <c r="B3277" s="33" t="s">
        <v>9056</v>
      </c>
      <c r="C3277" s="32" t="s">
        <v>9057</v>
      </c>
      <c r="D3277" s="32" t="s">
        <v>9058</v>
      </c>
    </row>
    <row r="3278" spans="2:4" x14ac:dyDescent="0.3">
      <c r="B3278" s="33" t="s">
        <v>9059</v>
      </c>
      <c r="C3278" s="32" t="s">
        <v>9060</v>
      </c>
      <c r="D3278" s="32" t="s">
        <v>9061</v>
      </c>
    </row>
    <row r="3279" spans="2:4" x14ac:dyDescent="0.3">
      <c r="B3279" s="33" t="s">
        <v>9062</v>
      </c>
      <c r="C3279" s="32" t="s">
        <v>9063</v>
      </c>
      <c r="D3279" s="32" t="s">
        <v>9064</v>
      </c>
    </row>
    <row r="3280" spans="2:4" x14ac:dyDescent="0.3">
      <c r="B3280" s="33" t="s">
        <v>9065</v>
      </c>
      <c r="C3280" s="32" t="s">
        <v>9066</v>
      </c>
      <c r="D3280" s="32" t="s">
        <v>9067</v>
      </c>
    </row>
    <row r="3281" spans="2:4" x14ac:dyDescent="0.3">
      <c r="B3281" s="33" t="s">
        <v>9068</v>
      </c>
      <c r="C3281" s="32" t="s">
        <v>9069</v>
      </c>
      <c r="D3281" s="32" t="s">
        <v>9068</v>
      </c>
    </row>
    <row r="3282" spans="2:4" x14ac:dyDescent="0.3">
      <c r="B3282" s="33" t="s">
        <v>3912</v>
      </c>
      <c r="C3282" s="32" t="s">
        <v>9070</v>
      </c>
      <c r="D3282" s="32" t="s">
        <v>9071</v>
      </c>
    </row>
    <row r="3283" spans="2:4" x14ac:dyDescent="0.3">
      <c r="B3283" s="33" t="s">
        <v>9072</v>
      </c>
      <c r="C3283" s="32" t="s">
        <v>9073</v>
      </c>
      <c r="D3283" s="32" t="s">
        <v>9074</v>
      </c>
    </row>
    <row r="3284" spans="2:4" x14ac:dyDescent="0.3">
      <c r="B3284" s="33" t="s">
        <v>9075</v>
      </c>
      <c r="C3284" s="32" t="s">
        <v>9076</v>
      </c>
      <c r="D3284" s="32" t="s">
        <v>9077</v>
      </c>
    </row>
    <row r="3285" spans="2:4" x14ac:dyDescent="0.3">
      <c r="B3285" s="33" t="s">
        <v>9078</v>
      </c>
      <c r="C3285" s="32" t="s">
        <v>9079</v>
      </c>
      <c r="D3285" s="32" t="s">
        <v>9080</v>
      </c>
    </row>
    <row r="3286" spans="2:4" x14ac:dyDescent="0.3">
      <c r="B3286" s="33" t="s">
        <v>9081</v>
      </c>
      <c r="C3286" s="32" t="s">
        <v>9082</v>
      </c>
      <c r="D3286" s="32" t="s">
        <v>9083</v>
      </c>
    </row>
    <row r="3287" spans="2:4" x14ac:dyDescent="0.3">
      <c r="B3287" s="33" t="s">
        <v>9084</v>
      </c>
      <c r="C3287" s="32" t="s">
        <v>9085</v>
      </c>
      <c r="D3287" s="32" t="s">
        <v>9086</v>
      </c>
    </row>
    <row r="3288" spans="2:4" x14ac:dyDescent="0.3">
      <c r="B3288" s="33" t="s">
        <v>9087</v>
      </c>
      <c r="C3288" s="32" t="s">
        <v>9088</v>
      </c>
      <c r="D3288" s="32" t="s">
        <v>9089</v>
      </c>
    </row>
    <row r="3289" spans="2:4" x14ac:dyDescent="0.3">
      <c r="B3289" s="33" t="s">
        <v>9090</v>
      </c>
      <c r="C3289" s="32" t="s">
        <v>9091</v>
      </c>
      <c r="D3289" s="32" t="s">
        <v>9092</v>
      </c>
    </row>
    <row r="3290" spans="2:4" x14ac:dyDescent="0.3">
      <c r="B3290" s="33" t="s">
        <v>9093</v>
      </c>
      <c r="C3290" s="32" t="s">
        <v>9094</v>
      </c>
      <c r="D3290" s="32" t="s">
        <v>9095</v>
      </c>
    </row>
    <row r="3291" spans="2:4" x14ac:dyDescent="0.3">
      <c r="B3291" s="33" t="s">
        <v>9096</v>
      </c>
      <c r="C3291" s="32" t="s">
        <v>9097</v>
      </c>
      <c r="D3291" s="32" t="s">
        <v>9098</v>
      </c>
    </row>
    <row r="3292" spans="2:4" x14ac:dyDescent="0.3">
      <c r="B3292" s="33" t="s">
        <v>9096</v>
      </c>
      <c r="C3292" s="32" t="s">
        <v>9099</v>
      </c>
      <c r="D3292" s="32" t="s">
        <v>9100</v>
      </c>
    </row>
    <row r="3293" spans="2:4" x14ac:dyDescent="0.3">
      <c r="B3293" s="33" t="s">
        <v>9101</v>
      </c>
      <c r="C3293" s="32" t="s">
        <v>9102</v>
      </c>
      <c r="D3293" s="32" t="s">
        <v>9103</v>
      </c>
    </row>
    <row r="3294" spans="2:4" x14ac:dyDescent="0.3">
      <c r="B3294" s="33" t="s">
        <v>9104</v>
      </c>
      <c r="C3294" s="32" t="s">
        <v>9105</v>
      </c>
      <c r="D3294" s="32" t="s">
        <v>9106</v>
      </c>
    </row>
    <row r="3295" spans="2:4" x14ac:dyDescent="0.3">
      <c r="B3295" s="33" t="s">
        <v>9107</v>
      </c>
      <c r="C3295" s="32" t="s">
        <v>9108</v>
      </c>
      <c r="D3295" s="32" t="s">
        <v>9109</v>
      </c>
    </row>
    <row r="3296" spans="2:4" x14ac:dyDescent="0.3">
      <c r="B3296" s="33" t="s">
        <v>9110</v>
      </c>
      <c r="C3296" s="32" t="s">
        <v>9111</v>
      </c>
      <c r="D3296" s="32" t="s">
        <v>9112</v>
      </c>
    </row>
    <row r="3297" spans="2:4" x14ac:dyDescent="0.3">
      <c r="B3297" s="33" t="s">
        <v>9113</v>
      </c>
      <c r="C3297" s="32" t="s">
        <v>9114</v>
      </c>
      <c r="D3297" s="32" t="s">
        <v>9115</v>
      </c>
    </row>
    <row r="3298" spans="2:4" x14ac:dyDescent="0.3">
      <c r="B3298" s="33" t="s">
        <v>9116</v>
      </c>
      <c r="C3298" s="32" t="s">
        <v>9117</v>
      </c>
      <c r="D3298" s="32" t="s">
        <v>9118</v>
      </c>
    </row>
    <row r="3299" spans="2:4" x14ac:dyDescent="0.3">
      <c r="B3299" s="33" t="s">
        <v>9119</v>
      </c>
      <c r="C3299" s="32" t="s">
        <v>9120</v>
      </c>
      <c r="D3299" s="32" t="s">
        <v>9121</v>
      </c>
    </row>
    <row r="3300" spans="2:4" x14ac:dyDescent="0.3">
      <c r="B3300" s="33" t="s">
        <v>9122</v>
      </c>
      <c r="C3300" s="32" t="s">
        <v>9123</v>
      </c>
      <c r="D3300" s="32" t="s">
        <v>9124</v>
      </c>
    </row>
    <row r="3301" spans="2:4" x14ac:dyDescent="0.3">
      <c r="B3301" s="33" t="s">
        <v>9125</v>
      </c>
      <c r="C3301" s="32" t="s">
        <v>9126</v>
      </c>
      <c r="D3301" s="32" t="s">
        <v>9127</v>
      </c>
    </row>
    <row r="3302" spans="2:4" x14ac:dyDescent="0.3">
      <c r="B3302" s="33" t="s">
        <v>9119</v>
      </c>
      <c r="C3302" s="32" t="s">
        <v>9128</v>
      </c>
      <c r="D3302" s="32" t="s">
        <v>9129</v>
      </c>
    </row>
    <row r="3303" spans="2:4" x14ac:dyDescent="0.3">
      <c r="B3303" s="33" t="s">
        <v>9130</v>
      </c>
      <c r="C3303" s="32" t="s">
        <v>9131</v>
      </c>
      <c r="D3303" s="32" t="s">
        <v>9132</v>
      </c>
    </row>
    <row r="3304" spans="2:4" x14ac:dyDescent="0.3">
      <c r="B3304" s="33" t="s">
        <v>9133</v>
      </c>
      <c r="C3304" s="32" t="s">
        <v>9134</v>
      </c>
      <c r="D3304" s="32" t="s">
        <v>9135</v>
      </c>
    </row>
    <row r="3305" spans="2:4" x14ac:dyDescent="0.3">
      <c r="B3305" s="33" t="s">
        <v>9136</v>
      </c>
      <c r="C3305" s="32" t="s">
        <v>9137</v>
      </c>
      <c r="D3305" s="32" t="s">
        <v>9138</v>
      </c>
    </row>
    <row r="3306" spans="2:4" x14ac:dyDescent="0.3">
      <c r="B3306" s="33" t="s">
        <v>9139</v>
      </c>
      <c r="C3306" s="32" t="s">
        <v>9140</v>
      </c>
      <c r="D3306" s="32" t="s">
        <v>9141</v>
      </c>
    </row>
    <row r="3307" spans="2:4" x14ac:dyDescent="0.3">
      <c r="B3307" s="33" t="s">
        <v>9142</v>
      </c>
      <c r="C3307" s="32" t="s">
        <v>9143</v>
      </c>
      <c r="D3307" s="32" t="s">
        <v>9144</v>
      </c>
    </row>
    <row r="3308" spans="2:4" x14ac:dyDescent="0.3">
      <c r="B3308" s="33" t="s">
        <v>9145</v>
      </c>
      <c r="C3308" s="32" t="s">
        <v>9146</v>
      </c>
      <c r="D3308" s="32" t="s">
        <v>9147</v>
      </c>
    </row>
    <row r="3309" spans="2:4" x14ac:dyDescent="0.3">
      <c r="B3309" s="33" t="s">
        <v>9148</v>
      </c>
      <c r="C3309" s="32" t="s">
        <v>9149</v>
      </c>
      <c r="D3309" s="32" t="s">
        <v>9150</v>
      </c>
    </row>
    <row r="3310" spans="2:4" x14ac:dyDescent="0.3">
      <c r="B3310" s="33" t="s">
        <v>9151</v>
      </c>
      <c r="C3310" s="32" t="s">
        <v>9152</v>
      </c>
      <c r="D3310" s="32" t="s">
        <v>9153</v>
      </c>
    </row>
    <row r="3311" spans="2:4" x14ac:dyDescent="0.3">
      <c r="B3311" s="33" t="s">
        <v>9154</v>
      </c>
      <c r="C3311" s="32" t="s">
        <v>9155</v>
      </c>
      <c r="D3311" s="32" t="s">
        <v>9156</v>
      </c>
    </row>
    <row r="3312" spans="2:4" x14ac:dyDescent="0.3">
      <c r="B3312" s="33" t="s">
        <v>9157</v>
      </c>
      <c r="C3312" s="32" t="s">
        <v>9158</v>
      </c>
      <c r="D3312" s="32" t="s">
        <v>9159</v>
      </c>
    </row>
    <row r="3313" spans="2:4" x14ac:dyDescent="0.3">
      <c r="B3313" s="33" t="s">
        <v>9160</v>
      </c>
      <c r="C3313" s="32" t="s">
        <v>9161</v>
      </c>
      <c r="D3313" s="32" t="s">
        <v>9162</v>
      </c>
    </row>
    <row r="3314" spans="2:4" x14ac:dyDescent="0.3">
      <c r="B3314" s="33" t="s">
        <v>9163</v>
      </c>
      <c r="C3314" s="32" t="s">
        <v>9164</v>
      </c>
      <c r="D3314" s="32" t="s">
        <v>9165</v>
      </c>
    </row>
    <row r="3315" spans="2:4" x14ac:dyDescent="0.3">
      <c r="B3315" s="33" t="s">
        <v>9157</v>
      </c>
      <c r="C3315" s="32" t="s">
        <v>9166</v>
      </c>
      <c r="D3315" s="32" t="s">
        <v>9167</v>
      </c>
    </row>
    <row r="3316" spans="2:4" x14ac:dyDescent="0.3">
      <c r="B3316" s="33" t="s">
        <v>9168</v>
      </c>
      <c r="C3316" s="32" t="s">
        <v>9169</v>
      </c>
      <c r="D3316" s="32" t="s">
        <v>9170</v>
      </c>
    </row>
    <row r="3317" spans="2:4" x14ac:dyDescent="0.3">
      <c r="B3317" s="33" t="s">
        <v>9171</v>
      </c>
      <c r="C3317" s="32" t="s">
        <v>9172</v>
      </c>
      <c r="D3317" s="32" t="s">
        <v>9173</v>
      </c>
    </row>
    <row r="3318" spans="2:4" x14ac:dyDescent="0.3">
      <c r="B3318" s="33" t="s">
        <v>4425</v>
      </c>
      <c r="C3318" s="32" t="s">
        <v>9174</v>
      </c>
      <c r="D3318" s="32" t="s">
        <v>9175</v>
      </c>
    </row>
    <row r="3319" spans="2:4" x14ac:dyDescent="0.3">
      <c r="B3319" s="33" t="s">
        <v>9176</v>
      </c>
      <c r="C3319" s="32" t="s">
        <v>9177</v>
      </c>
      <c r="D3319" s="32" t="s">
        <v>9178</v>
      </c>
    </row>
    <row r="3320" spans="2:4" x14ac:dyDescent="0.3">
      <c r="B3320" s="33" t="s">
        <v>9179</v>
      </c>
      <c r="C3320" s="32" t="s">
        <v>9180</v>
      </c>
      <c r="D3320" s="32" t="s">
        <v>9181</v>
      </c>
    </row>
    <row r="3321" spans="2:4" x14ac:dyDescent="0.3">
      <c r="B3321" s="33" t="s">
        <v>9179</v>
      </c>
      <c r="C3321" s="32" t="s">
        <v>9182</v>
      </c>
      <c r="D3321" s="32" t="s">
        <v>9183</v>
      </c>
    </row>
    <row r="3322" spans="2:4" x14ac:dyDescent="0.3">
      <c r="B3322" s="33" t="s">
        <v>9184</v>
      </c>
      <c r="C3322" s="32" t="s">
        <v>9185</v>
      </c>
      <c r="D3322" s="32" t="s">
        <v>9186</v>
      </c>
    </row>
    <row r="3323" spans="2:4" x14ac:dyDescent="0.3">
      <c r="B3323" s="33" t="s">
        <v>9187</v>
      </c>
      <c r="C3323" s="32" t="s">
        <v>9188</v>
      </c>
      <c r="D3323" s="32" t="s">
        <v>9189</v>
      </c>
    </row>
    <row r="3324" spans="2:4" x14ac:dyDescent="0.3">
      <c r="B3324" s="33" t="s">
        <v>9190</v>
      </c>
      <c r="C3324" s="32" t="s">
        <v>9191</v>
      </c>
      <c r="D3324" s="32" t="s">
        <v>9192</v>
      </c>
    </row>
    <row r="3325" spans="2:4" x14ac:dyDescent="0.3">
      <c r="B3325" s="33" t="s">
        <v>9193</v>
      </c>
      <c r="C3325" s="32" t="s">
        <v>9194</v>
      </c>
      <c r="D3325" s="32" t="s">
        <v>9195</v>
      </c>
    </row>
    <row r="3326" spans="2:4" x14ac:dyDescent="0.3">
      <c r="B3326" s="33" t="s">
        <v>9196</v>
      </c>
      <c r="C3326" s="32" t="s">
        <v>9197</v>
      </c>
      <c r="D3326" s="32" t="s">
        <v>9198</v>
      </c>
    </row>
    <row r="3327" spans="2:4" x14ac:dyDescent="0.3">
      <c r="B3327" s="33" t="s">
        <v>9199</v>
      </c>
      <c r="C3327" s="32" t="s">
        <v>9200</v>
      </c>
      <c r="D3327" s="32" t="s">
        <v>9157</v>
      </c>
    </row>
    <row r="3328" spans="2:4" x14ac:dyDescent="0.3">
      <c r="B3328" s="33" t="s">
        <v>9201</v>
      </c>
      <c r="C3328" s="32" t="s">
        <v>9202</v>
      </c>
      <c r="D3328" s="32" t="s">
        <v>9203</v>
      </c>
    </row>
    <row r="3329" spans="2:4" x14ac:dyDescent="0.3">
      <c r="B3329" s="33" t="s">
        <v>9204</v>
      </c>
      <c r="C3329" s="32" t="s">
        <v>9205</v>
      </c>
      <c r="D3329" s="32" t="s">
        <v>9206</v>
      </c>
    </row>
    <row r="3330" spans="2:4" x14ac:dyDescent="0.3">
      <c r="B3330" s="33" t="s">
        <v>9207</v>
      </c>
      <c r="C3330" s="32" t="s">
        <v>9208</v>
      </c>
      <c r="D3330" s="32" t="s">
        <v>9209</v>
      </c>
    </row>
    <row r="3331" spans="2:4" x14ac:dyDescent="0.3">
      <c r="B3331" s="33" t="s">
        <v>9210</v>
      </c>
      <c r="C3331" s="32" t="s">
        <v>9211</v>
      </c>
      <c r="D3331" s="32" t="s">
        <v>9212</v>
      </c>
    </row>
    <row r="3332" spans="2:4" x14ac:dyDescent="0.3">
      <c r="B3332" s="33" t="s">
        <v>9213</v>
      </c>
      <c r="C3332" s="32" t="s">
        <v>9214</v>
      </c>
      <c r="D3332" s="32" t="s">
        <v>9215</v>
      </c>
    </row>
    <row r="3333" spans="2:4" x14ac:dyDescent="0.3">
      <c r="B3333" s="33" t="s">
        <v>9213</v>
      </c>
      <c r="C3333" s="32" t="s">
        <v>9216</v>
      </c>
      <c r="D3333" s="32" t="s">
        <v>9217</v>
      </c>
    </row>
    <row r="3334" spans="2:4" x14ac:dyDescent="0.3">
      <c r="B3334" s="33" t="s">
        <v>9218</v>
      </c>
      <c r="C3334" s="32" t="s">
        <v>9219</v>
      </c>
      <c r="D3334" s="32" t="s">
        <v>36997</v>
      </c>
    </row>
    <row r="3335" spans="2:4" x14ac:dyDescent="0.3">
      <c r="B3335" s="33" t="s">
        <v>9220</v>
      </c>
      <c r="C3335" s="32" t="s">
        <v>9221</v>
      </c>
      <c r="D3335" s="32" t="s">
        <v>36998</v>
      </c>
    </row>
    <row r="3336" spans="2:4" x14ac:dyDescent="0.3">
      <c r="B3336" s="33" t="s">
        <v>9222</v>
      </c>
      <c r="C3336" s="32" t="s">
        <v>9223</v>
      </c>
      <c r="D3336" s="32" t="s">
        <v>37169</v>
      </c>
    </row>
    <row r="3337" spans="2:4" x14ac:dyDescent="0.3">
      <c r="B3337" s="33" t="s">
        <v>9224</v>
      </c>
      <c r="C3337" s="32" t="s">
        <v>9225</v>
      </c>
      <c r="D3337" s="32" t="s">
        <v>9226</v>
      </c>
    </row>
    <row r="3338" spans="2:4" x14ac:dyDescent="0.3">
      <c r="B3338" s="33" t="s">
        <v>9227</v>
      </c>
      <c r="C3338" s="32" t="s">
        <v>9228</v>
      </c>
      <c r="D3338" s="32" t="s">
        <v>9229</v>
      </c>
    </row>
    <row r="3339" spans="2:4" x14ac:dyDescent="0.3">
      <c r="B3339" s="33" t="s">
        <v>9230</v>
      </c>
      <c r="C3339" s="32" t="s">
        <v>9231</v>
      </c>
      <c r="D3339" s="32" t="s">
        <v>9232</v>
      </c>
    </row>
    <row r="3340" spans="2:4" x14ac:dyDescent="0.3">
      <c r="B3340" s="33" t="s">
        <v>9233</v>
      </c>
      <c r="C3340" s="32" t="s">
        <v>9234</v>
      </c>
      <c r="D3340" s="32" t="s">
        <v>9235</v>
      </c>
    </row>
    <row r="3341" spans="2:4" x14ac:dyDescent="0.3">
      <c r="B3341" s="33" t="s">
        <v>9236</v>
      </c>
      <c r="C3341" s="32" t="s">
        <v>9237</v>
      </c>
      <c r="D3341" s="32" t="s">
        <v>9238</v>
      </c>
    </row>
    <row r="3342" spans="2:4" x14ac:dyDescent="0.3">
      <c r="B3342" s="33" t="s">
        <v>9239</v>
      </c>
      <c r="C3342" s="32" t="s">
        <v>9240</v>
      </c>
      <c r="D3342" s="32" t="s">
        <v>9241</v>
      </c>
    </row>
    <row r="3343" spans="2:4" x14ac:dyDescent="0.3">
      <c r="B3343" s="33" t="s">
        <v>9242</v>
      </c>
      <c r="C3343" s="32" t="s">
        <v>9243</v>
      </c>
      <c r="D3343" s="32" t="s">
        <v>9244</v>
      </c>
    </row>
    <row r="3344" spans="2:4" x14ac:dyDescent="0.3">
      <c r="B3344" s="33" t="s">
        <v>9245</v>
      </c>
      <c r="C3344" s="32" t="s">
        <v>9246</v>
      </c>
      <c r="D3344" s="32" t="s">
        <v>9247</v>
      </c>
    </row>
    <row r="3345" spans="2:4" x14ac:dyDescent="0.3">
      <c r="B3345" s="33" t="s">
        <v>9238</v>
      </c>
      <c r="C3345" s="32" t="s">
        <v>9248</v>
      </c>
      <c r="D3345" s="32" t="s">
        <v>9249</v>
      </c>
    </row>
    <row r="3346" spans="2:4" x14ac:dyDescent="0.3">
      <c r="B3346" s="33" t="s">
        <v>9163</v>
      </c>
      <c r="C3346" s="32" t="s">
        <v>9250</v>
      </c>
      <c r="D3346" s="32" t="s">
        <v>9251</v>
      </c>
    </row>
    <row r="3347" spans="2:4" x14ac:dyDescent="0.3">
      <c r="B3347" s="33" t="s">
        <v>9252</v>
      </c>
      <c r="C3347" s="32" t="s">
        <v>9253</v>
      </c>
      <c r="D3347" s="32" t="s">
        <v>9254</v>
      </c>
    </row>
    <row r="3348" spans="2:4" x14ac:dyDescent="0.3">
      <c r="B3348" s="33" t="s">
        <v>9255</v>
      </c>
      <c r="C3348" s="32" t="s">
        <v>9256</v>
      </c>
      <c r="D3348" s="32" t="s">
        <v>9257</v>
      </c>
    </row>
    <row r="3349" spans="2:4" x14ac:dyDescent="0.3">
      <c r="B3349" s="33" t="s">
        <v>9258</v>
      </c>
      <c r="C3349" s="32" t="s">
        <v>9259</v>
      </c>
      <c r="D3349" s="32" t="s">
        <v>9260</v>
      </c>
    </row>
    <row r="3350" spans="2:4" x14ac:dyDescent="0.3">
      <c r="B3350" s="33" t="s">
        <v>9261</v>
      </c>
      <c r="C3350" s="32" t="s">
        <v>9262</v>
      </c>
      <c r="D3350" s="32" t="s">
        <v>9263</v>
      </c>
    </row>
    <row r="3351" spans="2:4" x14ac:dyDescent="0.3">
      <c r="B3351" s="33" t="s">
        <v>9264</v>
      </c>
      <c r="C3351" s="32" t="s">
        <v>9265</v>
      </c>
      <c r="D3351" s="32" t="s">
        <v>9266</v>
      </c>
    </row>
    <row r="3352" spans="2:4" x14ac:dyDescent="0.3">
      <c r="B3352" s="33" t="s">
        <v>9242</v>
      </c>
      <c r="C3352" s="32" t="s">
        <v>9267</v>
      </c>
      <c r="D3352" s="32" t="s">
        <v>9268</v>
      </c>
    </row>
    <row r="3353" spans="2:4" x14ac:dyDescent="0.3">
      <c r="B3353" s="33" t="s">
        <v>9269</v>
      </c>
      <c r="C3353" s="32" t="s">
        <v>9270</v>
      </c>
      <c r="D3353" s="32" t="s">
        <v>9271</v>
      </c>
    </row>
    <row r="3354" spans="2:4" x14ac:dyDescent="0.3">
      <c r="B3354" s="33" t="s">
        <v>9273</v>
      </c>
      <c r="C3354" s="32" t="s">
        <v>9274</v>
      </c>
      <c r="D3354" s="32" t="s">
        <v>9275</v>
      </c>
    </row>
    <row r="3355" spans="2:4" x14ac:dyDescent="0.3">
      <c r="B3355" s="33" t="s">
        <v>9276</v>
      </c>
      <c r="C3355" s="32" t="s">
        <v>9277</v>
      </c>
      <c r="D3355" s="32" t="s">
        <v>9276</v>
      </c>
    </row>
    <row r="3356" spans="2:4" x14ac:dyDescent="0.3">
      <c r="B3356" s="33" t="s">
        <v>9278</v>
      </c>
      <c r="C3356" s="32" t="s">
        <v>9279</v>
      </c>
      <c r="D3356" s="32" t="s">
        <v>9280</v>
      </c>
    </row>
    <row r="3357" spans="2:4" x14ac:dyDescent="0.3">
      <c r="B3357" s="33" t="s">
        <v>9281</v>
      </c>
      <c r="C3357" s="32" t="s">
        <v>9282</v>
      </c>
      <c r="D3357" s="32" t="s">
        <v>9283</v>
      </c>
    </row>
    <row r="3358" spans="2:4" x14ac:dyDescent="0.3">
      <c r="B3358" s="33" t="s">
        <v>9284</v>
      </c>
      <c r="C3358" s="32" t="s">
        <v>9285</v>
      </c>
      <c r="D3358" s="32" t="s">
        <v>9286</v>
      </c>
    </row>
    <row r="3359" spans="2:4" x14ac:dyDescent="0.3">
      <c r="B3359" s="33" t="s">
        <v>9287</v>
      </c>
      <c r="C3359" s="32" t="s">
        <v>9288</v>
      </c>
      <c r="D3359" s="32" t="s">
        <v>9289</v>
      </c>
    </row>
    <row r="3360" spans="2:4" x14ac:dyDescent="0.3">
      <c r="B3360" s="33" t="s">
        <v>9290</v>
      </c>
      <c r="C3360" s="32" t="s">
        <v>9291</v>
      </c>
      <c r="D3360" s="32" t="s">
        <v>9292</v>
      </c>
    </row>
    <row r="3361" spans="2:4" x14ac:dyDescent="0.3">
      <c r="B3361" s="33" t="s">
        <v>9293</v>
      </c>
      <c r="C3361" s="32" t="s">
        <v>9294</v>
      </c>
      <c r="D3361" s="32" t="s">
        <v>9295</v>
      </c>
    </row>
    <row r="3362" spans="2:4" x14ac:dyDescent="0.3">
      <c r="B3362" s="33" t="s">
        <v>9296</v>
      </c>
      <c r="C3362" s="32" t="s">
        <v>9297</v>
      </c>
      <c r="D3362" s="32" t="s">
        <v>9296</v>
      </c>
    </row>
    <row r="3363" spans="2:4" x14ac:dyDescent="0.3">
      <c r="B3363" s="33" t="s">
        <v>9298</v>
      </c>
      <c r="C3363" s="32" t="s">
        <v>9299</v>
      </c>
      <c r="D3363" s="32" t="s">
        <v>9300</v>
      </c>
    </row>
    <row r="3364" spans="2:4" x14ac:dyDescent="0.3">
      <c r="B3364" s="33" t="s">
        <v>9301</v>
      </c>
      <c r="C3364" s="32" t="s">
        <v>9302</v>
      </c>
      <c r="D3364" s="32" t="s">
        <v>9303</v>
      </c>
    </row>
    <row r="3365" spans="2:4" x14ac:dyDescent="0.3">
      <c r="B3365" s="33" t="s">
        <v>8390</v>
      </c>
      <c r="C3365" s="32" t="s">
        <v>9304</v>
      </c>
      <c r="D3365" s="32" t="s">
        <v>9305</v>
      </c>
    </row>
    <row r="3366" spans="2:4" x14ac:dyDescent="0.3">
      <c r="B3366" s="33" t="s">
        <v>9306</v>
      </c>
      <c r="C3366" s="32" t="s">
        <v>9307</v>
      </c>
      <c r="D3366" s="32" t="s">
        <v>9308</v>
      </c>
    </row>
    <row r="3367" spans="2:4" x14ac:dyDescent="0.3">
      <c r="B3367" s="33" t="s">
        <v>9309</v>
      </c>
      <c r="C3367" s="32" t="s">
        <v>9310</v>
      </c>
      <c r="D3367" s="32" t="s">
        <v>9311</v>
      </c>
    </row>
    <row r="3368" spans="2:4" x14ac:dyDescent="0.3">
      <c r="B3368" s="33" t="s">
        <v>9312</v>
      </c>
      <c r="C3368" s="32" t="s">
        <v>9313</v>
      </c>
      <c r="D3368" s="32" t="s">
        <v>9314</v>
      </c>
    </row>
    <row r="3369" spans="2:4" x14ac:dyDescent="0.3">
      <c r="B3369" s="33" t="s">
        <v>9315</v>
      </c>
      <c r="C3369" s="32" t="s">
        <v>9316</v>
      </c>
      <c r="D3369" s="32" t="s">
        <v>9317</v>
      </c>
    </row>
    <row r="3370" spans="2:4" x14ac:dyDescent="0.3">
      <c r="B3370" s="33" t="s">
        <v>9318</v>
      </c>
      <c r="C3370" s="32" t="s">
        <v>9319</v>
      </c>
      <c r="D3370" s="32" t="s">
        <v>9320</v>
      </c>
    </row>
    <row r="3371" spans="2:4" x14ac:dyDescent="0.3">
      <c r="B3371" s="33" t="s">
        <v>9321</v>
      </c>
      <c r="C3371" s="32" t="s">
        <v>9322</v>
      </c>
      <c r="D3371" s="32" t="s">
        <v>9323</v>
      </c>
    </row>
    <row r="3372" spans="2:4" x14ac:dyDescent="0.3">
      <c r="B3372" s="33" t="s">
        <v>9324</v>
      </c>
      <c r="C3372" s="32" t="s">
        <v>9325</v>
      </c>
      <c r="D3372" s="32" t="s">
        <v>9326</v>
      </c>
    </row>
    <row r="3373" spans="2:4" x14ac:dyDescent="0.3">
      <c r="B3373" s="33" t="s">
        <v>9327</v>
      </c>
      <c r="C3373" s="32" t="s">
        <v>9328</v>
      </c>
      <c r="D3373" s="32" t="s">
        <v>9329</v>
      </c>
    </row>
    <row r="3374" spans="2:4" x14ac:dyDescent="0.3">
      <c r="B3374" s="33" t="s">
        <v>9330</v>
      </c>
      <c r="C3374" s="32" t="s">
        <v>9331</v>
      </c>
      <c r="D3374" s="32" t="s">
        <v>9332</v>
      </c>
    </row>
    <row r="3375" spans="2:4" x14ac:dyDescent="0.3">
      <c r="B3375" s="33" t="s">
        <v>2194</v>
      </c>
      <c r="C3375" s="32" t="s">
        <v>9333</v>
      </c>
      <c r="D3375" s="32" t="s">
        <v>9334</v>
      </c>
    </row>
    <row r="3376" spans="2:4" x14ac:dyDescent="0.3">
      <c r="B3376" s="33" t="s">
        <v>9335</v>
      </c>
      <c r="C3376" s="32" t="s">
        <v>9336</v>
      </c>
      <c r="D3376" s="32" t="s">
        <v>9337</v>
      </c>
    </row>
    <row r="3377" spans="2:4" x14ac:dyDescent="0.3">
      <c r="B3377" s="33" t="s">
        <v>9338</v>
      </c>
      <c r="C3377" s="32" t="s">
        <v>9339</v>
      </c>
      <c r="D3377" s="32" t="s">
        <v>9340</v>
      </c>
    </row>
    <row r="3378" spans="2:4" x14ac:dyDescent="0.3">
      <c r="B3378" s="33" t="s">
        <v>9341</v>
      </c>
      <c r="C3378" s="32" t="s">
        <v>9342</v>
      </c>
      <c r="D3378" s="32" t="s">
        <v>9343</v>
      </c>
    </row>
    <row r="3379" spans="2:4" x14ac:dyDescent="0.3">
      <c r="B3379" s="33" t="s">
        <v>9163</v>
      </c>
      <c r="C3379" s="32" t="s">
        <v>9344</v>
      </c>
      <c r="D3379" s="32" t="s">
        <v>9345</v>
      </c>
    </row>
    <row r="3380" spans="2:4" x14ac:dyDescent="0.3">
      <c r="B3380" s="33" t="s">
        <v>9346</v>
      </c>
      <c r="C3380" s="32" t="s">
        <v>9347</v>
      </c>
      <c r="D3380" s="32" t="s">
        <v>9348</v>
      </c>
    </row>
    <row r="3381" spans="2:4" x14ac:dyDescent="0.3">
      <c r="B3381" s="33" t="s">
        <v>127</v>
      </c>
      <c r="C3381" s="32" t="s">
        <v>9349</v>
      </c>
      <c r="D3381" s="32" t="s">
        <v>128</v>
      </c>
    </row>
    <row r="3382" spans="2:4" x14ac:dyDescent="0.3">
      <c r="B3382" s="33" t="s">
        <v>127</v>
      </c>
      <c r="C3382" s="32" t="s">
        <v>9350</v>
      </c>
      <c r="D3382" s="32" t="s">
        <v>9351</v>
      </c>
    </row>
    <row r="3383" spans="2:4" x14ac:dyDescent="0.3">
      <c r="B3383" s="33" t="s">
        <v>9352</v>
      </c>
      <c r="C3383" s="32" t="s">
        <v>9353</v>
      </c>
      <c r="D3383" s="32" t="s">
        <v>9354</v>
      </c>
    </row>
    <row r="3384" spans="2:4" x14ac:dyDescent="0.3">
      <c r="B3384" s="33" t="s">
        <v>9355</v>
      </c>
      <c r="C3384" s="32" t="s">
        <v>9356</v>
      </c>
      <c r="D3384" s="32" t="s">
        <v>9357</v>
      </c>
    </row>
    <row r="3385" spans="2:4" x14ac:dyDescent="0.3">
      <c r="B3385" s="33" t="s">
        <v>9358</v>
      </c>
      <c r="C3385" s="32" t="s">
        <v>9359</v>
      </c>
      <c r="D3385" s="32" t="s">
        <v>9360</v>
      </c>
    </row>
    <row r="3386" spans="2:4" x14ac:dyDescent="0.3">
      <c r="B3386" s="33" t="s">
        <v>9352</v>
      </c>
      <c r="C3386" s="32" t="s">
        <v>9361</v>
      </c>
      <c r="D3386" s="32" t="s">
        <v>9362</v>
      </c>
    </row>
    <row r="3387" spans="2:4" x14ac:dyDescent="0.3">
      <c r="B3387" s="33" t="s">
        <v>9363</v>
      </c>
      <c r="C3387" s="32" t="s">
        <v>9364</v>
      </c>
      <c r="D3387" s="32" t="s">
        <v>9363</v>
      </c>
    </row>
    <row r="3388" spans="2:4" x14ac:dyDescent="0.3">
      <c r="B3388" s="33" t="s">
        <v>9365</v>
      </c>
      <c r="C3388" s="32" t="s">
        <v>9366</v>
      </c>
      <c r="D3388" s="32" t="s">
        <v>9367</v>
      </c>
    </row>
    <row r="3389" spans="2:4" x14ac:dyDescent="0.3">
      <c r="B3389" s="33" t="s">
        <v>9096</v>
      </c>
      <c r="C3389" s="32" t="s">
        <v>9368</v>
      </c>
      <c r="D3389" s="32" t="s">
        <v>9369</v>
      </c>
    </row>
    <row r="3390" spans="2:4" x14ac:dyDescent="0.3">
      <c r="B3390" s="33" t="s">
        <v>9370</v>
      </c>
      <c r="C3390" s="32" t="s">
        <v>9371</v>
      </c>
      <c r="D3390" s="32" t="s">
        <v>9372</v>
      </c>
    </row>
    <row r="3391" spans="2:4" x14ac:dyDescent="0.3">
      <c r="B3391" s="33" t="s">
        <v>9373</v>
      </c>
      <c r="C3391" s="32" t="s">
        <v>9374</v>
      </c>
      <c r="D3391" s="32" t="s">
        <v>9375</v>
      </c>
    </row>
    <row r="3392" spans="2:4" x14ac:dyDescent="0.3">
      <c r="B3392" s="33" t="s">
        <v>9376</v>
      </c>
      <c r="C3392" s="32" t="s">
        <v>9377</v>
      </c>
      <c r="D3392" s="32" t="s">
        <v>9378</v>
      </c>
    </row>
    <row r="3393" spans="2:4" x14ac:dyDescent="0.3">
      <c r="B3393" s="33" t="s">
        <v>9379</v>
      </c>
      <c r="C3393" s="32" t="s">
        <v>9380</v>
      </c>
      <c r="D3393" s="32" t="s">
        <v>9381</v>
      </c>
    </row>
    <row r="3394" spans="2:4" x14ac:dyDescent="0.3">
      <c r="B3394" s="33" t="s">
        <v>9382</v>
      </c>
      <c r="C3394" s="32" t="s">
        <v>9383</v>
      </c>
      <c r="D3394" s="32" t="s">
        <v>9384</v>
      </c>
    </row>
    <row r="3395" spans="2:4" x14ac:dyDescent="0.3">
      <c r="B3395" s="33" t="s">
        <v>9385</v>
      </c>
      <c r="C3395" s="32" t="s">
        <v>9386</v>
      </c>
      <c r="D3395" s="32" t="s">
        <v>9387</v>
      </c>
    </row>
    <row r="3396" spans="2:4" x14ac:dyDescent="0.3">
      <c r="B3396" s="33" t="s">
        <v>9388</v>
      </c>
      <c r="C3396" s="32" t="s">
        <v>9389</v>
      </c>
      <c r="D3396" s="32" t="s">
        <v>9390</v>
      </c>
    </row>
    <row r="3397" spans="2:4" x14ac:dyDescent="0.3">
      <c r="B3397" s="33" t="s">
        <v>9391</v>
      </c>
      <c r="C3397" s="32" t="s">
        <v>9392</v>
      </c>
      <c r="D3397" s="32" t="s">
        <v>9393</v>
      </c>
    </row>
    <row r="3398" spans="2:4" x14ac:dyDescent="0.3">
      <c r="B3398" s="33" t="s">
        <v>9190</v>
      </c>
      <c r="C3398" s="32" t="s">
        <v>9394</v>
      </c>
      <c r="D3398" s="32" t="s">
        <v>9395</v>
      </c>
    </row>
    <row r="3399" spans="2:4" x14ac:dyDescent="0.3">
      <c r="B3399" s="33" t="s">
        <v>9396</v>
      </c>
      <c r="C3399" s="32" t="s">
        <v>9397</v>
      </c>
      <c r="D3399" s="32" t="s">
        <v>9398</v>
      </c>
    </row>
    <row r="3400" spans="2:4" x14ac:dyDescent="0.3">
      <c r="B3400" s="33" t="s">
        <v>9399</v>
      </c>
      <c r="C3400" s="32" t="s">
        <v>9400</v>
      </c>
      <c r="D3400" s="32" t="s">
        <v>9401</v>
      </c>
    </row>
    <row r="3401" spans="2:4" x14ac:dyDescent="0.3">
      <c r="B3401" s="33" t="s">
        <v>9402</v>
      </c>
      <c r="C3401" s="32" t="s">
        <v>9403</v>
      </c>
      <c r="D3401" s="32" t="s">
        <v>9404</v>
      </c>
    </row>
    <row r="3402" spans="2:4" x14ac:dyDescent="0.3">
      <c r="B3402" s="33" t="s">
        <v>9405</v>
      </c>
      <c r="C3402" s="32" t="s">
        <v>9406</v>
      </c>
      <c r="D3402" s="32" t="s">
        <v>9407</v>
      </c>
    </row>
    <row r="3403" spans="2:4" x14ac:dyDescent="0.3">
      <c r="B3403" s="33" t="s">
        <v>9408</v>
      </c>
      <c r="C3403" s="32" t="s">
        <v>9409</v>
      </c>
      <c r="D3403" s="32" t="s">
        <v>9410</v>
      </c>
    </row>
    <row r="3404" spans="2:4" x14ac:dyDescent="0.3">
      <c r="B3404" s="33" t="s">
        <v>9411</v>
      </c>
      <c r="C3404" s="32" t="s">
        <v>9412</v>
      </c>
      <c r="D3404" s="32" t="s">
        <v>9413</v>
      </c>
    </row>
    <row r="3405" spans="2:4" x14ac:dyDescent="0.3">
      <c r="B3405" s="33" t="s">
        <v>9414</v>
      </c>
      <c r="C3405" s="32" t="s">
        <v>9415</v>
      </c>
      <c r="D3405" s="32" t="s">
        <v>9416</v>
      </c>
    </row>
    <row r="3406" spans="2:4" x14ac:dyDescent="0.3">
      <c r="B3406" s="33" t="s">
        <v>9417</v>
      </c>
      <c r="C3406" s="32" t="s">
        <v>9418</v>
      </c>
      <c r="D3406" s="32" t="s">
        <v>9419</v>
      </c>
    </row>
    <row r="3407" spans="2:4" x14ac:dyDescent="0.3">
      <c r="B3407" s="33" t="s">
        <v>9420</v>
      </c>
      <c r="C3407" s="32" t="s">
        <v>9421</v>
      </c>
      <c r="D3407" s="32" t="s">
        <v>9422</v>
      </c>
    </row>
    <row r="3408" spans="2:4" x14ac:dyDescent="0.3">
      <c r="B3408" s="33" t="s">
        <v>9423</v>
      </c>
      <c r="C3408" s="32" t="s">
        <v>9424</v>
      </c>
      <c r="D3408" s="32" t="s">
        <v>9425</v>
      </c>
    </row>
    <row r="3409" spans="2:4" x14ac:dyDescent="0.3">
      <c r="B3409" s="33" t="s">
        <v>9426</v>
      </c>
      <c r="C3409" s="32" t="s">
        <v>9427</v>
      </c>
      <c r="D3409" s="32" t="s">
        <v>9428</v>
      </c>
    </row>
    <row r="3410" spans="2:4" x14ac:dyDescent="0.3">
      <c r="B3410" s="33" t="s">
        <v>9429</v>
      </c>
      <c r="C3410" s="32" t="s">
        <v>9430</v>
      </c>
      <c r="D3410" s="32" t="s">
        <v>9431</v>
      </c>
    </row>
    <row r="3411" spans="2:4" x14ac:dyDescent="0.3">
      <c r="B3411" s="33" t="s">
        <v>9432</v>
      </c>
      <c r="C3411" s="32" t="s">
        <v>9433</v>
      </c>
      <c r="D3411" s="32" t="s">
        <v>9434</v>
      </c>
    </row>
    <row r="3412" spans="2:4" x14ac:dyDescent="0.3">
      <c r="B3412" s="33" t="s">
        <v>9435</v>
      </c>
      <c r="C3412" s="32" t="s">
        <v>9436</v>
      </c>
      <c r="D3412" s="32" t="s">
        <v>9437</v>
      </c>
    </row>
    <row r="3413" spans="2:4" x14ac:dyDescent="0.3">
      <c r="B3413" s="33" t="s">
        <v>9438</v>
      </c>
      <c r="C3413" s="32" t="s">
        <v>9439</v>
      </c>
      <c r="D3413" s="32" t="s">
        <v>9440</v>
      </c>
    </row>
    <row r="3414" spans="2:4" x14ac:dyDescent="0.3">
      <c r="B3414" s="33" t="s">
        <v>9441</v>
      </c>
      <c r="C3414" s="32" t="s">
        <v>9442</v>
      </c>
      <c r="D3414" s="32" t="s">
        <v>9443</v>
      </c>
    </row>
    <row r="3415" spans="2:4" x14ac:dyDescent="0.3">
      <c r="B3415" s="33" t="s">
        <v>9444</v>
      </c>
      <c r="C3415" s="32" t="s">
        <v>9445</v>
      </c>
      <c r="D3415" s="32" t="s">
        <v>9446</v>
      </c>
    </row>
    <row r="3416" spans="2:4" x14ac:dyDescent="0.3">
      <c r="B3416" s="33" t="s">
        <v>9447</v>
      </c>
      <c r="C3416" s="32" t="s">
        <v>9448</v>
      </c>
      <c r="D3416" s="32" t="s">
        <v>9449</v>
      </c>
    </row>
    <row r="3417" spans="2:4" x14ac:dyDescent="0.3">
      <c r="B3417" s="33" t="s">
        <v>9450</v>
      </c>
      <c r="C3417" s="32" t="s">
        <v>9451</v>
      </c>
      <c r="D3417" s="32" t="s">
        <v>9452</v>
      </c>
    </row>
    <row r="3418" spans="2:4" x14ac:dyDescent="0.3">
      <c r="B3418" s="33" t="s">
        <v>9453</v>
      </c>
      <c r="C3418" s="32" t="s">
        <v>9454</v>
      </c>
      <c r="D3418" s="32" t="s">
        <v>9455</v>
      </c>
    </row>
    <row r="3419" spans="2:4" x14ac:dyDescent="0.3">
      <c r="B3419" s="33" t="s">
        <v>9456</v>
      </c>
      <c r="C3419" s="32" t="s">
        <v>9457</v>
      </c>
      <c r="D3419" s="32" t="s">
        <v>9458</v>
      </c>
    </row>
    <row r="3420" spans="2:4" x14ac:dyDescent="0.3">
      <c r="B3420" s="33" t="s">
        <v>9459</v>
      </c>
      <c r="C3420" s="32" t="s">
        <v>9460</v>
      </c>
      <c r="D3420" s="32" t="s">
        <v>9461</v>
      </c>
    </row>
    <row r="3421" spans="2:4" x14ac:dyDescent="0.3">
      <c r="B3421" s="33" t="s">
        <v>9462</v>
      </c>
      <c r="C3421" s="32" t="s">
        <v>9463</v>
      </c>
      <c r="D3421" s="32" t="s">
        <v>9464</v>
      </c>
    </row>
    <row r="3422" spans="2:4" x14ac:dyDescent="0.3">
      <c r="B3422" s="33" t="s">
        <v>9465</v>
      </c>
      <c r="C3422" s="32" t="s">
        <v>9466</v>
      </c>
      <c r="D3422" s="32" t="s">
        <v>9467</v>
      </c>
    </row>
    <row r="3423" spans="2:4" x14ac:dyDescent="0.3">
      <c r="B3423" s="33" t="s">
        <v>9290</v>
      </c>
      <c r="C3423" s="32" t="s">
        <v>9468</v>
      </c>
      <c r="D3423" s="32" t="s">
        <v>9469</v>
      </c>
    </row>
    <row r="3424" spans="2:4" x14ac:dyDescent="0.3">
      <c r="B3424" s="33" t="s">
        <v>9470</v>
      </c>
      <c r="C3424" s="32" t="s">
        <v>9471</v>
      </c>
      <c r="D3424" s="32" t="s">
        <v>9472</v>
      </c>
    </row>
    <row r="3425" spans="2:4" x14ac:dyDescent="0.3">
      <c r="B3425" s="33" t="s">
        <v>9473</v>
      </c>
      <c r="C3425" s="32" t="s">
        <v>9474</v>
      </c>
      <c r="D3425" s="32" t="s">
        <v>9475</v>
      </c>
    </row>
    <row r="3426" spans="2:4" x14ac:dyDescent="0.3">
      <c r="B3426" s="33" t="s">
        <v>9476</v>
      </c>
      <c r="C3426" s="32" t="s">
        <v>9477</v>
      </c>
      <c r="D3426" s="32" t="s">
        <v>9478</v>
      </c>
    </row>
    <row r="3427" spans="2:4" x14ac:dyDescent="0.3">
      <c r="B3427" s="33" t="s">
        <v>8979</v>
      </c>
      <c r="C3427" s="32" t="s">
        <v>9479</v>
      </c>
      <c r="D3427" s="32" t="s">
        <v>9480</v>
      </c>
    </row>
    <row r="3428" spans="2:4" x14ac:dyDescent="0.3">
      <c r="B3428" s="33" t="s">
        <v>9481</v>
      </c>
      <c r="C3428" s="32" t="s">
        <v>9482</v>
      </c>
      <c r="D3428" s="32" t="s">
        <v>9483</v>
      </c>
    </row>
    <row r="3429" spans="2:4" x14ac:dyDescent="0.3">
      <c r="B3429" s="33" t="s">
        <v>9484</v>
      </c>
      <c r="C3429" s="32" t="s">
        <v>9485</v>
      </c>
      <c r="D3429" s="32" t="s">
        <v>9486</v>
      </c>
    </row>
    <row r="3430" spans="2:4" x14ac:dyDescent="0.3">
      <c r="B3430" s="33" t="s">
        <v>9078</v>
      </c>
      <c r="C3430" s="32" t="s">
        <v>9487</v>
      </c>
      <c r="D3430" s="32" t="s">
        <v>9488</v>
      </c>
    </row>
    <row r="3431" spans="2:4" x14ac:dyDescent="0.3">
      <c r="B3431" s="33" t="s">
        <v>9489</v>
      </c>
      <c r="C3431" s="32" t="s">
        <v>9490</v>
      </c>
      <c r="D3431" s="32" t="s">
        <v>9491</v>
      </c>
    </row>
    <row r="3432" spans="2:4" x14ac:dyDescent="0.3">
      <c r="B3432" s="33" t="s">
        <v>9492</v>
      </c>
      <c r="C3432" s="32" t="s">
        <v>9493</v>
      </c>
      <c r="D3432" s="32" t="s">
        <v>9494</v>
      </c>
    </row>
    <row r="3433" spans="2:4" x14ac:dyDescent="0.3">
      <c r="B3433" s="33" t="s">
        <v>9495</v>
      </c>
      <c r="C3433" s="32" t="s">
        <v>9496</v>
      </c>
      <c r="D3433" s="32" t="s">
        <v>9497</v>
      </c>
    </row>
    <row r="3434" spans="2:4" x14ac:dyDescent="0.3">
      <c r="B3434" s="33" t="s">
        <v>4360</v>
      </c>
      <c r="C3434" s="32" t="s">
        <v>9498</v>
      </c>
      <c r="D3434" s="32" t="s">
        <v>9499</v>
      </c>
    </row>
    <row r="3435" spans="2:4" x14ac:dyDescent="0.3">
      <c r="B3435" s="33" t="s">
        <v>5761</v>
      </c>
      <c r="C3435" s="32" t="s">
        <v>9500</v>
      </c>
      <c r="D3435" s="32" t="s">
        <v>9501</v>
      </c>
    </row>
    <row r="3436" spans="2:4" x14ac:dyDescent="0.3">
      <c r="B3436" s="33" t="s">
        <v>9502</v>
      </c>
      <c r="C3436" s="32" t="s">
        <v>9503</v>
      </c>
      <c r="D3436" s="32" t="s">
        <v>9504</v>
      </c>
    </row>
    <row r="3437" spans="2:4" x14ac:dyDescent="0.3">
      <c r="B3437" s="33" t="s">
        <v>150</v>
      </c>
      <c r="C3437" s="32" t="s">
        <v>9505</v>
      </c>
      <c r="D3437" s="32" t="s">
        <v>151</v>
      </c>
    </row>
    <row r="3438" spans="2:4" x14ac:dyDescent="0.3">
      <c r="B3438" s="33" t="s">
        <v>9506</v>
      </c>
      <c r="C3438" s="32" t="s">
        <v>9507</v>
      </c>
      <c r="D3438" s="32" t="s">
        <v>9508</v>
      </c>
    </row>
    <row r="3439" spans="2:4" x14ac:dyDescent="0.3">
      <c r="B3439" s="33" t="s">
        <v>7307</v>
      </c>
      <c r="C3439" s="32" t="s">
        <v>9509</v>
      </c>
      <c r="D3439" s="32" t="s">
        <v>9510</v>
      </c>
    </row>
    <row r="3440" spans="2:4" x14ac:dyDescent="0.3">
      <c r="B3440" s="33" t="s">
        <v>9511</v>
      </c>
      <c r="C3440" s="32" t="s">
        <v>9512</v>
      </c>
      <c r="D3440" s="32" t="s">
        <v>9513</v>
      </c>
    </row>
    <row r="3441" spans="2:4" x14ac:dyDescent="0.3">
      <c r="B3441" s="33" t="s">
        <v>9506</v>
      </c>
      <c r="C3441" s="32" t="s">
        <v>9514</v>
      </c>
      <c r="D3441" s="32" t="s">
        <v>9515</v>
      </c>
    </row>
    <row r="3442" spans="2:4" x14ac:dyDescent="0.3">
      <c r="B3442" s="33" t="s">
        <v>9516</v>
      </c>
      <c r="C3442" s="32" t="s">
        <v>9517</v>
      </c>
      <c r="D3442" s="32" t="s">
        <v>9518</v>
      </c>
    </row>
    <row r="3443" spans="2:4" x14ac:dyDescent="0.3">
      <c r="B3443" s="33" t="s">
        <v>9519</v>
      </c>
      <c r="C3443" s="32" t="s">
        <v>9520</v>
      </c>
      <c r="D3443" s="32" t="s">
        <v>9521</v>
      </c>
    </row>
    <row r="3444" spans="2:4" x14ac:dyDescent="0.3">
      <c r="B3444" s="33" t="s">
        <v>9190</v>
      </c>
      <c r="C3444" s="32" t="s">
        <v>9522</v>
      </c>
      <c r="D3444" s="32" t="s">
        <v>9523</v>
      </c>
    </row>
    <row r="3445" spans="2:4" x14ac:dyDescent="0.3">
      <c r="B3445" s="33" t="s">
        <v>9524</v>
      </c>
      <c r="C3445" s="32" t="s">
        <v>9525</v>
      </c>
      <c r="D3445" s="32" t="s">
        <v>9526</v>
      </c>
    </row>
    <row r="3446" spans="2:4" x14ac:dyDescent="0.3">
      <c r="B3446" s="33" t="s">
        <v>9527</v>
      </c>
      <c r="C3446" s="32" t="s">
        <v>9528</v>
      </c>
      <c r="D3446" s="32" t="s">
        <v>9529</v>
      </c>
    </row>
    <row r="3447" spans="2:4" x14ac:dyDescent="0.3">
      <c r="B3447" s="33" t="s">
        <v>9530</v>
      </c>
      <c r="C3447" s="32" t="s">
        <v>9531</v>
      </c>
      <c r="D3447" s="32" t="s">
        <v>9532</v>
      </c>
    </row>
    <row r="3448" spans="2:4" x14ac:dyDescent="0.3">
      <c r="B3448" s="33" t="s">
        <v>9533</v>
      </c>
      <c r="C3448" s="32" t="s">
        <v>9534</v>
      </c>
      <c r="D3448" s="32" t="s">
        <v>9535</v>
      </c>
    </row>
    <row r="3449" spans="2:4" x14ac:dyDescent="0.3">
      <c r="B3449" s="33" t="s">
        <v>9075</v>
      </c>
      <c r="C3449" s="32" t="s">
        <v>9536</v>
      </c>
      <c r="D3449" s="32" t="s">
        <v>9537</v>
      </c>
    </row>
    <row r="3450" spans="2:4" x14ac:dyDescent="0.3">
      <c r="B3450" s="33" t="s">
        <v>9538</v>
      </c>
      <c r="C3450" s="32" t="s">
        <v>9539</v>
      </c>
      <c r="D3450" s="32" t="s">
        <v>9540</v>
      </c>
    </row>
    <row r="3451" spans="2:4" x14ac:dyDescent="0.3">
      <c r="B3451" s="33" t="s">
        <v>9541</v>
      </c>
      <c r="C3451" s="32" t="s">
        <v>9542</v>
      </c>
      <c r="D3451" s="32" t="s">
        <v>9543</v>
      </c>
    </row>
    <row r="3452" spans="2:4" x14ac:dyDescent="0.3">
      <c r="B3452" s="33" t="s">
        <v>9544</v>
      </c>
      <c r="C3452" s="32" t="s">
        <v>9545</v>
      </c>
      <c r="D3452" s="32" t="s">
        <v>9546</v>
      </c>
    </row>
    <row r="3453" spans="2:4" x14ac:dyDescent="0.3">
      <c r="B3453" s="33" t="s">
        <v>9547</v>
      </c>
      <c r="C3453" s="32" t="s">
        <v>9548</v>
      </c>
      <c r="D3453" s="32" t="s">
        <v>9549</v>
      </c>
    </row>
    <row r="3454" spans="2:4" x14ac:dyDescent="0.3">
      <c r="B3454" s="33" t="s">
        <v>9550</v>
      </c>
      <c r="C3454" s="32" t="s">
        <v>9551</v>
      </c>
      <c r="D3454" s="32" t="s">
        <v>9552</v>
      </c>
    </row>
    <row r="3455" spans="2:4" x14ac:dyDescent="0.3">
      <c r="B3455" s="33" t="s">
        <v>8899</v>
      </c>
      <c r="C3455" s="32" t="s">
        <v>9553</v>
      </c>
      <c r="D3455" s="32" t="s">
        <v>9554</v>
      </c>
    </row>
    <row r="3456" spans="2:4" x14ac:dyDescent="0.3">
      <c r="B3456" s="33" t="s">
        <v>9555</v>
      </c>
      <c r="C3456" s="32" t="s">
        <v>9556</v>
      </c>
      <c r="D3456" s="32" t="s">
        <v>9557</v>
      </c>
    </row>
    <row r="3457" spans="2:4" x14ac:dyDescent="0.3">
      <c r="B3457" s="33" t="s">
        <v>9555</v>
      </c>
      <c r="C3457" s="32" t="s">
        <v>9558</v>
      </c>
      <c r="D3457" s="32" t="s">
        <v>9559</v>
      </c>
    </row>
    <row r="3458" spans="2:4" x14ac:dyDescent="0.3">
      <c r="B3458" s="33" t="s">
        <v>36713</v>
      </c>
      <c r="C3458" s="32" t="s">
        <v>36714</v>
      </c>
      <c r="D3458" s="32" t="s">
        <v>36715</v>
      </c>
    </row>
    <row r="3459" spans="2:4" x14ac:dyDescent="0.3">
      <c r="B3459" s="33" t="s">
        <v>9560</v>
      </c>
      <c r="C3459" s="32" t="s">
        <v>9561</v>
      </c>
      <c r="D3459" s="32" t="s">
        <v>9562</v>
      </c>
    </row>
    <row r="3460" spans="2:4" x14ac:dyDescent="0.3">
      <c r="B3460" s="33" t="s">
        <v>9555</v>
      </c>
      <c r="C3460" s="32" t="s">
        <v>9563</v>
      </c>
      <c r="D3460" s="32" t="s">
        <v>9564</v>
      </c>
    </row>
    <row r="3461" spans="2:4" x14ac:dyDescent="0.3">
      <c r="B3461" s="33" t="s">
        <v>9565</v>
      </c>
      <c r="C3461" s="32" t="s">
        <v>9566</v>
      </c>
      <c r="D3461" s="32" t="s">
        <v>9567</v>
      </c>
    </row>
    <row r="3462" spans="2:4" x14ac:dyDescent="0.3">
      <c r="B3462" s="33" t="s">
        <v>9568</v>
      </c>
      <c r="C3462" s="32" t="s">
        <v>9569</v>
      </c>
      <c r="D3462" s="32" t="s">
        <v>9570</v>
      </c>
    </row>
    <row r="3463" spans="2:4" x14ac:dyDescent="0.3">
      <c r="B3463" s="33" t="s">
        <v>9571</v>
      </c>
      <c r="C3463" s="32" t="s">
        <v>9572</v>
      </c>
      <c r="D3463" s="32" t="s">
        <v>9573</v>
      </c>
    </row>
    <row r="3464" spans="2:4" x14ac:dyDescent="0.3">
      <c r="B3464" s="33" t="s">
        <v>9574</v>
      </c>
      <c r="C3464" s="32" t="s">
        <v>9575</v>
      </c>
      <c r="D3464" s="32" t="s">
        <v>9576</v>
      </c>
    </row>
    <row r="3465" spans="2:4" x14ac:dyDescent="0.3">
      <c r="B3465" s="33" t="s">
        <v>9577</v>
      </c>
      <c r="C3465" s="32" t="s">
        <v>9578</v>
      </c>
      <c r="D3465" s="32" t="s">
        <v>9579</v>
      </c>
    </row>
    <row r="3466" spans="2:4" x14ac:dyDescent="0.3">
      <c r="B3466" s="33" t="s">
        <v>9078</v>
      </c>
      <c r="C3466" s="32" t="s">
        <v>9580</v>
      </c>
      <c r="D3466" s="32" t="s">
        <v>9581</v>
      </c>
    </row>
    <row r="3467" spans="2:4" x14ac:dyDescent="0.3">
      <c r="B3467" s="33" t="s">
        <v>9582</v>
      </c>
      <c r="C3467" s="32" t="s">
        <v>9583</v>
      </c>
      <c r="D3467" s="32" t="s">
        <v>9584</v>
      </c>
    </row>
    <row r="3468" spans="2:4" x14ac:dyDescent="0.3">
      <c r="B3468" s="33" t="s">
        <v>9585</v>
      </c>
      <c r="C3468" s="32" t="s">
        <v>9586</v>
      </c>
      <c r="D3468" s="32" t="s">
        <v>9587</v>
      </c>
    </row>
    <row r="3469" spans="2:4" x14ac:dyDescent="0.3">
      <c r="B3469" s="33" t="s">
        <v>9588</v>
      </c>
      <c r="C3469" s="32" t="s">
        <v>9589</v>
      </c>
      <c r="D3469" s="32" t="s">
        <v>9590</v>
      </c>
    </row>
    <row r="3470" spans="2:4" x14ac:dyDescent="0.3">
      <c r="B3470" s="33" t="s">
        <v>9591</v>
      </c>
      <c r="C3470" s="32" t="s">
        <v>9592</v>
      </c>
      <c r="D3470" s="32" t="s">
        <v>9593</v>
      </c>
    </row>
    <row r="3471" spans="2:4" x14ac:dyDescent="0.3">
      <c r="B3471" s="33" t="s">
        <v>9594</v>
      </c>
      <c r="C3471" s="32" t="s">
        <v>9595</v>
      </c>
      <c r="D3471" s="32" t="s">
        <v>9596</v>
      </c>
    </row>
    <row r="3472" spans="2:4" x14ac:dyDescent="0.3">
      <c r="B3472" s="33" t="s">
        <v>9506</v>
      </c>
      <c r="C3472" s="32" t="s">
        <v>9597</v>
      </c>
      <c r="D3472" s="32" t="s">
        <v>9598</v>
      </c>
    </row>
    <row r="3473" spans="2:4" x14ac:dyDescent="0.3">
      <c r="B3473" s="33" t="s">
        <v>9599</v>
      </c>
      <c r="C3473" s="32" t="s">
        <v>9600</v>
      </c>
      <c r="D3473" s="32" t="s">
        <v>9601</v>
      </c>
    </row>
    <row r="3474" spans="2:4" x14ac:dyDescent="0.3">
      <c r="B3474" s="33" t="s">
        <v>9602</v>
      </c>
      <c r="C3474" s="32" t="s">
        <v>9603</v>
      </c>
      <c r="D3474" s="32" t="s">
        <v>9604</v>
      </c>
    </row>
    <row r="3475" spans="2:4" x14ac:dyDescent="0.3">
      <c r="B3475" s="33" t="s">
        <v>9605</v>
      </c>
      <c r="C3475" s="32" t="s">
        <v>9606</v>
      </c>
      <c r="D3475" s="32" t="s">
        <v>9607</v>
      </c>
    </row>
    <row r="3476" spans="2:4" x14ac:dyDescent="0.3">
      <c r="B3476" s="33" t="s">
        <v>150</v>
      </c>
      <c r="C3476" s="32" t="s">
        <v>9608</v>
      </c>
      <c r="D3476" s="32" t="s">
        <v>9609</v>
      </c>
    </row>
    <row r="3477" spans="2:4" x14ac:dyDescent="0.3">
      <c r="B3477" s="33" t="s">
        <v>9610</v>
      </c>
      <c r="C3477" s="32" t="s">
        <v>9611</v>
      </c>
      <c r="D3477" s="32" t="s">
        <v>9612</v>
      </c>
    </row>
    <row r="3478" spans="2:4" x14ac:dyDescent="0.3">
      <c r="B3478" s="33" t="s">
        <v>9613</v>
      </c>
      <c r="C3478" s="32" t="s">
        <v>9614</v>
      </c>
      <c r="D3478" s="32" t="s">
        <v>9615</v>
      </c>
    </row>
    <row r="3479" spans="2:4" x14ac:dyDescent="0.3">
      <c r="B3479" s="33" t="s">
        <v>9616</v>
      </c>
      <c r="C3479" s="32" t="s">
        <v>9617</v>
      </c>
      <c r="D3479" s="32" t="s">
        <v>9618</v>
      </c>
    </row>
    <row r="3480" spans="2:4" x14ac:dyDescent="0.3">
      <c r="B3480" s="33" t="s">
        <v>9619</v>
      </c>
      <c r="C3480" s="32" t="s">
        <v>9620</v>
      </c>
      <c r="D3480" s="32" t="s">
        <v>9621</v>
      </c>
    </row>
    <row r="3481" spans="2:4" x14ac:dyDescent="0.3">
      <c r="B3481" s="33" t="s">
        <v>9622</v>
      </c>
      <c r="C3481" s="32" t="s">
        <v>9623</v>
      </c>
      <c r="D3481" s="32" t="s">
        <v>9624</v>
      </c>
    </row>
    <row r="3482" spans="2:4" x14ac:dyDescent="0.3">
      <c r="B3482" s="33" t="s">
        <v>9625</v>
      </c>
      <c r="C3482" s="32" t="s">
        <v>9626</v>
      </c>
      <c r="D3482" s="32" t="s">
        <v>9627</v>
      </c>
    </row>
    <row r="3483" spans="2:4" x14ac:dyDescent="0.3">
      <c r="B3483" s="33" t="s">
        <v>9628</v>
      </c>
      <c r="C3483" s="32" t="s">
        <v>9629</v>
      </c>
      <c r="D3483" s="32" t="s">
        <v>9630</v>
      </c>
    </row>
    <row r="3484" spans="2:4" x14ac:dyDescent="0.3">
      <c r="B3484" s="33" t="s">
        <v>9631</v>
      </c>
      <c r="C3484" s="32" t="s">
        <v>9632</v>
      </c>
      <c r="D3484" s="32" t="s">
        <v>9633</v>
      </c>
    </row>
    <row r="3485" spans="2:4" x14ac:dyDescent="0.3">
      <c r="B3485" s="33" t="s">
        <v>9634</v>
      </c>
      <c r="C3485" s="32" t="s">
        <v>9635</v>
      </c>
      <c r="D3485" s="32" t="s">
        <v>9636</v>
      </c>
    </row>
    <row r="3486" spans="2:4" x14ac:dyDescent="0.3">
      <c r="B3486" s="33" t="s">
        <v>9637</v>
      </c>
      <c r="C3486" s="32" t="s">
        <v>9638</v>
      </c>
      <c r="D3486" s="32" t="s">
        <v>9639</v>
      </c>
    </row>
    <row r="3487" spans="2:4" x14ac:dyDescent="0.3">
      <c r="B3487" s="33" t="s">
        <v>9637</v>
      </c>
      <c r="C3487" s="32" t="s">
        <v>9640</v>
      </c>
      <c r="D3487" s="32" t="s">
        <v>9641</v>
      </c>
    </row>
    <row r="3488" spans="2:4" x14ac:dyDescent="0.3">
      <c r="B3488" s="33" t="s">
        <v>9530</v>
      </c>
      <c r="C3488" s="32" t="s">
        <v>9642</v>
      </c>
      <c r="D3488" s="32" t="s">
        <v>9643</v>
      </c>
    </row>
    <row r="3489" spans="2:4" x14ac:dyDescent="0.3">
      <c r="B3489" s="33" t="s">
        <v>9352</v>
      </c>
      <c r="C3489" s="32" t="s">
        <v>9644</v>
      </c>
      <c r="D3489" s="32" t="s">
        <v>9645</v>
      </c>
    </row>
    <row r="3490" spans="2:4" x14ac:dyDescent="0.3">
      <c r="B3490" s="33" t="s">
        <v>9646</v>
      </c>
      <c r="C3490" s="32" t="s">
        <v>9647</v>
      </c>
      <c r="D3490" s="32" t="s">
        <v>9648</v>
      </c>
    </row>
    <row r="3491" spans="2:4" x14ac:dyDescent="0.3">
      <c r="B3491" s="33" t="s">
        <v>9649</v>
      </c>
      <c r="C3491" s="32" t="s">
        <v>9650</v>
      </c>
      <c r="D3491" s="32" t="s">
        <v>9651</v>
      </c>
    </row>
    <row r="3492" spans="2:4" x14ac:dyDescent="0.3">
      <c r="B3492" s="33" t="s">
        <v>9269</v>
      </c>
      <c r="C3492" s="32" t="s">
        <v>9652</v>
      </c>
      <c r="D3492" s="32" t="s">
        <v>9653</v>
      </c>
    </row>
    <row r="3493" spans="2:4" x14ac:dyDescent="0.3">
      <c r="B3493" s="33" t="s">
        <v>9654</v>
      </c>
      <c r="C3493" s="32" t="s">
        <v>9655</v>
      </c>
      <c r="D3493" s="32" t="s">
        <v>9656</v>
      </c>
    </row>
    <row r="3494" spans="2:4" x14ac:dyDescent="0.3">
      <c r="B3494" s="33" t="s">
        <v>9657</v>
      </c>
      <c r="C3494" s="32" t="s">
        <v>9658</v>
      </c>
      <c r="D3494" s="32" t="s">
        <v>9659</v>
      </c>
    </row>
    <row r="3495" spans="2:4" x14ac:dyDescent="0.3">
      <c r="B3495" s="33" t="s">
        <v>9660</v>
      </c>
      <c r="C3495" s="32" t="s">
        <v>9661</v>
      </c>
      <c r="D3495" s="32" t="s">
        <v>9662</v>
      </c>
    </row>
    <row r="3496" spans="2:4" x14ac:dyDescent="0.3">
      <c r="B3496" s="33" t="s">
        <v>9660</v>
      </c>
      <c r="C3496" s="32" t="s">
        <v>9663</v>
      </c>
      <c r="D3496" s="32" t="s">
        <v>9664</v>
      </c>
    </row>
    <row r="3497" spans="2:4" x14ac:dyDescent="0.3">
      <c r="B3497" s="33" t="s">
        <v>9665</v>
      </c>
      <c r="C3497" s="32" t="s">
        <v>9666</v>
      </c>
      <c r="D3497" s="32" t="s">
        <v>9667</v>
      </c>
    </row>
    <row r="3498" spans="2:4" x14ac:dyDescent="0.3">
      <c r="B3498" s="33" t="s">
        <v>9668</v>
      </c>
      <c r="C3498" s="32" t="s">
        <v>9669</v>
      </c>
      <c r="D3498" s="32" t="s">
        <v>9670</v>
      </c>
    </row>
    <row r="3499" spans="2:4" x14ac:dyDescent="0.3">
      <c r="B3499" s="33" t="s">
        <v>9527</v>
      </c>
      <c r="C3499" s="32" t="s">
        <v>9671</v>
      </c>
      <c r="D3499" s="32" t="s">
        <v>9672</v>
      </c>
    </row>
    <row r="3500" spans="2:4" x14ac:dyDescent="0.3">
      <c r="B3500" s="33" t="s">
        <v>9673</v>
      </c>
      <c r="C3500" s="32" t="s">
        <v>9674</v>
      </c>
      <c r="D3500" s="32" t="s">
        <v>9675</v>
      </c>
    </row>
    <row r="3501" spans="2:4" x14ac:dyDescent="0.3">
      <c r="B3501" s="33" t="s">
        <v>9676</v>
      </c>
      <c r="C3501" s="32" t="s">
        <v>9677</v>
      </c>
      <c r="D3501" s="32" t="s">
        <v>9678</v>
      </c>
    </row>
    <row r="3502" spans="2:4" x14ac:dyDescent="0.3">
      <c r="B3502" s="33" t="s">
        <v>9679</v>
      </c>
      <c r="C3502" s="32" t="s">
        <v>9680</v>
      </c>
      <c r="D3502" s="32" t="s">
        <v>9681</v>
      </c>
    </row>
    <row r="3503" spans="2:4" x14ac:dyDescent="0.3">
      <c r="B3503" s="33" t="s">
        <v>9682</v>
      </c>
      <c r="C3503" s="32" t="s">
        <v>9683</v>
      </c>
      <c r="D3503" s="32" t="s">
        <v>9684</v>
      </c>
    </row>
    <row r="3504" spans="2:4" x14ac:dyDescent="0.3">
      <c r="B3504" s="33" t="s">
        <v>9685</v>
      </c>
      <c r="C3504" s="32" t="s">
        <v>9686</v>
      </c>
      <c r="D3504" s="32" t="s">
        <v>9687</v>
      </c>
    </row>
    <row r="3505" spans="2:4" x14ac:dyDescent="0.3">
      <c r="B3505" s="33" t="s">
        <v>9688</v>
      </c>
      <c r="C3505" s="32" t="s">
        <v>9689</v>
      </c>
      <c r="D3505" s="32" t="s">
        <v>9690</v>
      </c>
    </row>
    <row r="3506" spans="2:4" x14ac:dyDescent="0.3">
      <c r="B3506" s="33" t="s">
        <v>9691</v>
      </c>
      <c r="C3506" s="32" t="s">
        <v>9692</v>
      </c>
      <c r="D3506" s="32" t="s">
        <v>9693</v>
      </c>
    </row>
    <row r="3507" spans="2:4" x14ac:dyDescent="0.3">
      <c r="B3507" s="33" t="s">
        <v>9694</v>
      </c>
      <c r="C3507" s="32" t="s">
        <v>9695</v>
      </c>
      <c r="D3507" s="32" t="s">
        <v>9696</v>
      </c>
    </row>
    <row r="3508" spans="2:4" x14ac:dyDescent="0.3">
      <c r="B3508" s="33" t="s">
        <v>9420</v>
      </c>
      <c r="C3508" s="32" t="s">
        <v>9697</v>
      </c>
      <c r="D3508" s="32" t="s">
        <v>9698</v>
      </c>
    </row>
    <row r="3509" spans="2:4" x14ac:dyDescent="0.3">
      <c r="B3509" s="33" t="s">
        <v>9699</v>
      </c>
      <c r="C3509" s="32" t="s">
        <v>9700</v>
      </c>
      <c r="D3509" s="32" t="s">
        <v>9701</v>
      </c>
    </row>
    <row r="3510" spans="2:4" x14ac:dyDescent="0.3">
      <c r="B3510" s="33" t="s">
        <v>9702</v>
      </c>
      <c r="C3510" s="32" t="s">
        <v>9703</v>
      </c>
      <c r="D3510" s="32" t="s">
        <v>9704</v>
      </c>
    </row>
    <row r="3511" spans="2:4" x14ac:dyDescent="0.3">
      <c r="B3511" s="33" t="s">
        <v>9705</v>
      </c>
      <c r="C3511" s="32" t="s">
        <v>9706</v>
      </c>
      <c r="D3511" s="32" t="s">
        <v>9705</v>
      </c>
    </row>
    <row r="3512" spans="2:4" x14ac:dyDescent="0.3">
      <c r="B3512" s="33" t="s">
        <v>9707</v>
      </c>
      <c r="C3512" s="32" t="s">
        <v>9708</v>
      </c>
      <c r="D3512" s="32" t="s">
        <v>9709</v>
      </c>
    </row>
    <row r="3513" spans="2:4" x14ac:dyDescent="0.3">
      <c r="B3513" s="33" t="s">
        <v>9710</v>
      </c>
      <c r="C3513" s="32" t="s">
        <v>9711</v>
      </c>
      <c r="D3513" s="32" t="s">
        <v>9712</v>
      </c>
    </row>
    <row r="3514" spans="2:4" x14ac:dyDescent="0.3">
      <c r="B3514" s="33" t="s">
        <v>9713</v>
      </c>
      <c r="C3514" s="32" t="s">
        <v>9714</v>
      </c>
      <c r="D3514" s="32" t="s">
        <v>9715</v>
      </c>
    </row>
    <row r="3515" spans="2:4" x14ac:dyDescent="0.3">
      <c r="B3515" s="33" t="s">
        <v>9716</v>
      </c>
      <c r="C3515" s="32" t="s">
        <v>9717</v>
      </c>
      <c r="D3515" s="32" t="s">
        <v>9718</v>
      </c>
    </row>
    <row r="3516" spans="2:4" x14ac:dyDescent="0.3">
      <c r="B3516" s="33" t="s">
        <v>9719</v>
      </c>
      <c r="C3516" s="32" t="s">
        <v>9720</v>
      </c>
      <c r="D3516" s="32" t="s">
        <v>9721</v>
      </c>
    </row>
    <row r="3517" spans="2:4" x14ac:dyDescent="0.3">
      <c r="B3517" s="33" t="s">
        <v>9722</v>
      </c>
      <c r="C3517" s="32" t="s">
        <v>9723</v>
      </c>
      <c r="D3517" s="32" t="s">
        <v>9724</v>
      </c>
    </row>
    <row r="3518" spans="2:4" x14ac:dyDescent="0.3">
      <c r="B3518" s="33" t="s">
        <v>9725</v>
      </c>
      <c r="C3518" s="32" t="s">
        <v>9726</v>
      </c>
      <c r="D3518" s="32" t="s">
        <v>9727</v>
      </c>
    </row>
    <row r="3519" spans="2:4" x14ac:dyDescent="0.3">
      <c r="B3519" s="33" t="s">
        <v>9728</v>
      </c>
      <c r="C3519" s="32" t="s">
        <v>9729</v>
      </c>
      <c r="D3519" s="32" t="s">
        <v>9730</v>
      </c>
    </row>
    <row r="3520" spans="2:4" x14ac:dyDescent="0.3">
      <c r="B3520" s="33" t="s">
        <v>9731</v>
      </c>
      <c r="C3520" s="32" t="s">
        <v>9732</v>
      </c>
      <c r="D3520" s="32" t="s">
        <v>9733</v>
      </c>
    </row>
    <row r="3521" spans="2:4" x14ac:dyDescent="0.3">
      <c r="B3521" s="33" t="s">
        <v>9734</v>
      </c>
      <c r="C3521" s="32" t="s">
        <v>9735</v>
      </c>
      <c r="D3521" s="32" t="s">
        <v>9736</v>
      </c>
    </row>
    <row r="3522" spans="2:4" x14ac:dyDescent="0.3">
      <c r="B3522" s="33" t="s">
        <v>9737</v>
      </c>
      <c r="C3522" s="32" t="s">
        <v>9738</v>
      </c>
      <c r="D3522" s="32" t="s">
        <v>9739</v>
      </c>
    </row>
    <row r="3523" spans="2:4" x14ac:dyDescent="0.3">
      <c r="B3523" s="33" t="s">
        <v>9740</v>
      </c>
      <c r="C3523" s="32" t="s">
        <v>9741</v>
      </c>
      <c r="D3523" s="32" t="s">
        <v>9742</v>
      </c>
    </row>
    <row r="3524" spans="2:4" x14ac:dyDescent="0.3">
      <c r="B3524" s="33" t="s">
        <v>9743</v>
      </c>
      <c r="C3524" s="32" t="s">
        <v>9744</v>
      </c>
      <c r="D3524" s="32" t="s">
        <v>9745</v>
      </c>
    </row>
    <row r="3525" spans="2:4" x14ac:dyDescent="0.3">
      <c r="B3525" s="33" t="s">
        <v>9737</v>
      </c>
      <c r="C3525" s="32" t="s">
        <v>9746</v>
      </c>
      <c r="D3525" s="32" t="s">
        <v>9747</v>
      </c>
    </row>
    <row r="3526" spans="2:4" x14ac:dyDescent="0.3">
      <c r="B3526" s="33" t="s">
        <v>9748</v>
      </c>
      <c r="C3526" s="32" t="s">
        <v>9749</v>
      </c>
      <c r="D3526" s="32" t="s">
        <v>9750</v>
      </c>
    </row>
    <row r="3527" spans="2:4" x14ac:dyDescent="0.3">
      <c r="B3527" s="33" t="s">
        <v>9752</v>
      </c>
      <c r="C3527" s="32" t="s">
        <v>9753</v>
      </c>
      <c r="D3527" s="32" t="s">
        <v>9754</v>
      </c>
    </row>
    <row r="3528" spans="2:4" x14ac:dyDescent="0.3">
      <c r="B3528" s="33" t="s">
        <v>9755</v>
      </c>
      <c r="C3528" s="32" t="s">
        <v>9756</v>
      </c>
      <c r="D3528" s="32" t="s">
        <v>9757</v>
      </c>
    </row>
    <row r="3529" spans="2:4" x14ac:dyDescent="0.3">
      <c r="B3529" s="33" t="s">
        <v>9190</v>
      </c>
      <c r="C3529" s="32" t="s">
        <v>9758</v>
      </c>
      <c r="D3529" s="32" t="s">
        <v>9759</v>
      </c>
    </row>
    <row r="3530" spans="2:4" x14ac:dyDescent="0.3">
      <c r="B3530" s="33" t="s">
        <v>9760</v>
      </c>
      <c r="C3530" s="32" t="s">
        <v>9761</v>
      </c>
      <c r="D3530" s="32" t="s">
        <v>9762</v>
      </c>
    </row>
    <row r="3531" spans="2:4" x14ac:dyDescent="0.3">
      <c r="B3531" s="33" t="s">
        <v>9763</v>
      </c>
      <c r="C3531" s="32" t="s">
        <v>9764</v>
      </c>
      <c r="D3531" s="32" t="s">
        <v>9765</v>
      </c>
    </row>
    <row r="3532" spans="2:4" x14ac:dyDescent="0.3">
      <c r="B3532" s="33" t="s">
        <v>9184</v>
      </c>
      <c r="C3532" s="32" t="s">
        <v>9766</v>
      </c>
      <c r="D3532" s="32" t="s">
        <v>9767</v>
      </c>
    </row>
    <row r="3533" spans="2:4" x14ac:dyDescent="0.3">
      <c r="B3533" s="33" t="s">
        <v>9768</v>
      </c>
      <c r="C3533" s="32" t="s">
        <v>9769</v>
      </c>
      <c r="D3533" s="32" t="s">
        <v>9770</v>
      </c>
    </row>
    <row r="3534" spans="2:4" x14ac:dyDescent="0.3">
      <c r="B3534" s="33" t="s">
        <v>9771</v>
      </c>
      <c r="C3534" s="32" t="s">
        <v>9772</v>
      </c>
      <c r="D3534" s="32" t="s">
        <v>9773</v>
      </c>
    </row>
    <row r="3535" spans="2:4" x14ac:dyDescent="0.3">
      <c r="B3535" s="33" t="s">
        <v>10226</v>
      </c>
      <c r="C3535" s="32" t="s">
        <v>36818</v>
      </c>
      <c r="D3535" s="32" t="s">
        <v>36819</v>
      </c>
    </row>
    <row r="3536" spans="2:4" x14ac:dyDescent="0.3">
      <c r="B3536" s="33" t="s">
        <v>9774</v>
      </c>
      <c r="C3536" s="32" t="s">
        <v>9775</v>
      </c>
      <c r="D3536" s="32" t="s">
        <v>9776</v>
      </c>
    </row>
    <row r="3537" spans="2:4" x14ac:dyDescent="0.3">
      <c r="B3537" s="33" t="s">
        <v>9777</v>
      </c>
      <c r="C3537" s="32" t="s">
        <v>9778</v>
      </c>
      <c r="D3537" s="32" t="s">
        <v>9779</v>
      </c>
    </row>
    <row r="3538" spans="2:4" x14ac:dyDescent="0.3">
      <c r="B3538" s="33" t="s">
        <v>9780</v>
      </c>
      <c r="C3538" s="32" t="s">
        <v>9781</v>
      </c>
      <c r="D3538" s="32" t="s">
        <v>9782</v>
      </c>
    </row>
    <row r="3539" spans="2:4" x14ac:dyDescent="0.3">
      <c r="B3539" s="33" t="s">
        <v>9783</v>
      </c>
      <c r="C3539" s="32" t="s">
        <v>9784</v>
      </c>
      <c r="D3539" s="32" t="s">
        <v>9785</v>
      </c>
    </row>
    <row r="3540" spans="2:4" x14ac:dyDescent="0.3">
      <c r="B3540" s="33" t="s">
        <v>9786</v>
      </c>
      <c r="C3540" s="32" t="s">
        <v>9787</v>
      </c>
      <c r="D3540" s="32" t="s">
        <v>36820</v>
      </c>
    </row>
    <row r="3541" spans="2:4" x14ac:dyDescent="0.3">
      <c r="B3541" s="33" t="s">
        <v>9788</v>
      </c>
      <c r="C3541" s="32" t="s">
        <v>9789</v>
      </c>
      <c r="D3541" s="32" t="s">
        <v>9790</v>
      </c>
    </row>
    <row r="3542" spans="2:4" x14ac:dyDescent="0.3">
      <c r="B3542" s="33" t="s">
        <v>9791</v>
      </c>
      <c r="C3542" s="32" t="s">
        <v>9792</v>
      </c>
      <c r="D3542" s="32" t="s">
        <v>9793</v>
      </c>
    </row>
    <row r="3543" spans="2:4" x14ac:dyDescent="0.3">
      <c r="B3543" s="33" t="s">
        <v>9791</v>
      </c>
      <c r="C3543" s="32" t="s">
        <v>9794</v>
      </c>
      <c r="D3543" s="32" t="s">
        <v>9795</v>
      </c>
    </row>
    <row r="3544" spans="2:4" x14ac:dyDescent="0.3">
      <c r="B3544" s="33" t="s">
        <v>37170</v>
      </c>
      <c r="C3544" s="32" t="s">
        <v>37171</v>
      </c>
      <c r="D3544" s="32" t="s">
        <v>37172</v>
      </c>
    </row>
    <row r="3545" spans="2:4" x14ac:dyDescent="0.3">
      <c r="B3545" s="33" t="s">
        <v>9321</v>
      </c>
      <c r="C3545" s="32" t="s">
        <v>9796</v>
      </c>
      <c r="D3545" s="32" t="s">
        <v>9797</v>
      </c>
    </row>
    <row r="3546" spans="2:4" x14ac:dyDescent="0.3">
      <c r="B3546" s="33" t="s">
        <v>9798</v>
      </c>
      <c r="C3546" s="32" t="s">
        <v>9799</v>
      </c>
      <c r="D3546" s="32" t="s">
        <v>9800</v>
      </c>
    </row>
    <row r="3547" spans="2:4" x14ac:dyDescent="0.3">
      <c r="B3547" s="33" t="s">
        <v>9801</v>
      </c>
      <c r="C3547" s="32" t="s">
        <v>9802</v>
      </c>
      <c r="D3547" s="32" t="s">
        <v>9803</v>
      </c>
    </row>
    <row r="3548" spans="2:4" x14ac:dyDescent="0.3">
      <c r="B3548" s="33" t="s">
        <v>9804</v>
      </c>
      <c r="C3548" s="32" t="s">
        <v>9805</v>
      </c>
      <c r="D3548" s="32" t="s">
        <v>9806</v>
      </c>
    </row>
    <row r="3549" spans="2:4" x14ac:dyDescent="0.3">
      <c r="B3549" s="33" t="s">
        <v>9807</v>
      </c>
      <c r="C3549" s="32" t="s">
        <v>9808</v>
      </c>
      <c r="D3549" s="32" t="s">
        <v>9809</v>
      </c>
    </row>
    <row r="3550" spans="2:4" x14ac:dyDescent="0.3">
      <c r="B3550" s="33" t="s">
        <v>9810</v>
      </c>
      <c r="C3550" s="32" t="s">
        <v>9811</v>
      </c>
      <c r="D3550" s="32" t="s">
        <v>9812</v>
      </c>
    </row>
    <row r="3551" spans="2:4" x14ac:dyDescent="0.3">
      <c r="B3551" s="33" t="s">
        <v>9813</v>
      </c>
      <c r="C3551" s="32" t="s">
        <v>9814</v>
      </c>
      <c r="D3551" s="32" t="s">
        <v>9815</v>
      </c>
    </row>
    <row r="3552" spans="2:4" x14ac:dyDescent="0.3">
      <c r="B3552" s="33" t="s">
        <v>9816</v>
      </c>
      <c r="C3552" s="32" t="s">
        <v>9817</v>
      </c>
      <c r="D3552" s="32" t="s">
        <v>9818</v>
      </c>
    </row>
    <row r="3553" spans="2:4" x14ac:dyDescent="0.3">
      <c r="B3553" s="33" t="s">
        <v>9819</v>
      </c>
      <c r="C3553" s="32" t="s">
        <v>9820</v>
      </c>
      <c r="D3553" s="32" t="s">
        <v>9821</v>
      </c>
    </row>
    <row r="3554" spans="2:4" x14ac:dyDescent="0.3">
      <c r="B3554" s="33" t="s">
        <v>9822</v>
      </c>
      <c r="C3554" s="32" t="s">
        <v>9823</v>
      </c>
      <c r="D3554" s="32" t="s">
        <v>9824</v>
      </c>
    </row>
    <row r="3555" spans="2:4" x14ac:dyDescent="0.3">
      <c r="B3555" s="33" t="s">
        <v>9825</v>
      </c>
      <c r="C3555" s="32" t="s">
        <v>9826</v>
      </c>
      <c r="D3555" s="32" t="s">
        <v>9827</v>
      </c>
    </row>
    <row r="3556" spans="2:4" x14ac:dyDescent="0.3">
      <c r="B3556" s="33" t="s">
        <v>9828</v>
      </c>
      <c r="C3556" s="32" t="s">
        <v>9829</v>
      </c>
      <c r="D3556" s="32" t="s">
        <v>9830</v>
      </c>
    </row>
    <row r="3557" spans="2:4" x14ac:dyDescent="0.3">
      <c r="B3557" s="33" t="s">
        <v>9831</v>
      </c>
      <c r="C3557" s="32" t="s">
        <v>9832</v>
      </c>
      <c r="D3557" s="32" t="s">
        <v>9833</v>
      </c>
    </row>
    <row r="3558" spans="2:4" x14ac:dyDescent="0.3">
      <c r="B3558" s="33" t="s">
        <v>9834</v>
      </c>
      <c r="C3558" s="32" t="s">
        <v>9835</v>
      </c>
      <c r="D3558" s="32" t="s">
        <v>9836</v>
      </c>
    </row>
    <row r="3559" spans="2:4" x14ac:dyDescent="0.3">
      <c r="B3559" s="33" t="s">
        <v>9837</v>
      </c>
      <c r="C3559" s="32" t="s">
        <v>9838</v>
      </c>
      <c r="D3559" s="32" t="s">
        <v>9839</v>
      </c>
    </row>
    <row r="3560" spans="2:4" x14ac:dyDescent="0.3">
      <c r="B3560" s="33" t="s">
        <v>9840</v>
      </c>
      <c r="C3560" s="32" t="s">
        <v>9841</v>
      </c>
      <c r="D3560" s="32" t="s">
        <v>9842</v>
      </c>
    </row>
    <row r="3561" spans="2:4" x14ac:dyDescent="0.3">
      <c r="B3561" s="33" t="s">
        <v>9843</v>
      </c>
      <c r="C3561" s="32" t="s">
        <v>9844</v>
      </c>
      <c r="D3561" s="32" t="s">
        <v>9845</v>
      </c>
    </row>
    <row r="3562" spans="2:4" x14ac:dyDescent="0.3">
      <c r="B3562" s="33" t="s">
        <v>9846</v>
      </c>
      <c r="C3562" s="32" t="s">
        <v>9847</v>
      </c>
      <c r="D3562" s="32" t="s">
        <v>9848</v>
      </c>
    </row>
    <row r="3563" spans="2:4" x14ac:dyDescent="0.3">
      <c r="B3563" s="33" t="s">
        <v>9849</v>
      </c>
      <c r="C3563" s="32" t="s">
        <v>9850</v>
      </c>
      <c r="D3563" s="32" t="s">
        <v>9851</v>
      </c>
    </row>
    <row r="3564" spans="2:4" x14ac:dyDescent="0.3">
      <c r="B3564" s="33" t="s">
        <v>9852</v>
      </c>
      <c r="C3564" s="32" t="s">
        <v>9853</v>
      </c>
      <c r="D3564" s="32" t="s">
        <v>9854</v>
      </c>
    </row>
    <row r="3565" spans="2:4" x14ac:dyDescent="0.3">
      <c r="B3565" s="33" t="s">
        <v>9855</v>
      </c>
      <c r="C3565" s="32" t="s">
        <v>9856</v>
      </c>
      <c r="D3565" s="32" t="s">
        <v>9855</v>
      </c>
    </row>
    <row r="3566" spans="2:4" x14ac:dyDescent="0.3">
      <c r="B3566" s="33" t="s">
        <v>9857</v>
      </c>
      <c r="C3566" s="32" t="s">
        <v>9858</v>
      </c>
      <c r="D3566" s="32" t="s">
        <v>9859</v>
      </c>
    </row>
    <row r="3567" spans="2:4" x14ac:dyDescent="0.3">
      <c r="B3567" s="33" t="s">
        <v>9860</v>
      </c>
      <c r="C3567" s="32" t="s">
        <v>9861</v>
      </c>
      <c r="D3567" s="32" t="s">
        <v>9862</v>
      </c>
    </row>
    <row r="3568" spans="2:4" x14ac:dyDescent="0.3">
      <c r="B3568" s="33" t="s">
        <v>9863</v>
      </c>
      <c r="C3568" s="32" t="s">
        <v>9864</v>
      </c>
      <c r="D3568" s="32" t="s">
        <v>9865</v>
      </c>
    </row>
    <row r="3569" spans="2:4" x14ac:dyDescent="0.3">
      <c r="B3569" s="33" t="s">
        <v>9866</v>
      </c>
      <c r="C3569" s="32" t="s">
        <v>9867</v>
      </c>
      <c r="D3569" s="32" t="s">
        <v>9868</v>
      </c>
    </row>
    <row r="3570" spans="2:4" x14ac:dyDescent="0.3">
      <c r="B3570" s="33" t="s">
        <v>9869</v>
      </c>
      <c r="C3570" s="32" t="s">
        <v>9870</v>
      </c>
      <c r="D3570" s="32" t="s">
        <v>9871</v>
      </c>
    </row>
    <row r="3571" spans="2:4" x14ac:dyDescent="0.3">
      <c r="B3571" s="33" t="s">
        <v>9872</v>
      </c>
      <c r="C3571" s="32" t="s">
        <v>9873</v>
      </c>
      <c r="D3571" s="32" t="s">
        <v>9874</v>
      </c>
    </row>
    <row r="3572" spans="2:4" x14ac:dyDescent="0.3">
      <c r="B3572" s="33" t="s">
        <v>9875</v>
      </c>
      <c r="C3572" s="32" t="s">
        <v>9876</v>
      </c>
      <c r="D3572" s="32" t="s">
        <v>9877</v>
      </c>
    </row>
    <row r="3573" spans="2:4" x14ac:dyDescent="0.3">
      <c r="B3573" s="33" t="s">
        <v>9878</v>
      </c>
      <c r="C3573" s="32" t="s">
        <v>9879</v>
      </c>
      <c r="D3573" s="32" t="s">
        <v>9880</v>
      </c>
    </row>
    <row r="3574" spans="2:4" x14ac:dyDescent="0.3">
      <c r="B3574" s="33" t="s">
        <v>9881</v>
      </c>
      <c r="C3574" s="32" t="s">
        <v>9882</v>
      </c>
      <c r="D3574" s="32" t="s">
        <v>9883</v>
      </c>
    </row>
    <row r="3575" spans="2:4" x14ac:dyDescent="0.3">
      <c r="B3575" s="33" t="s">
        <v>9884</v>
      </c>
      <c r="C3575" s="32" t="s">
        <v>9885</v>
      </c>
      <c r="D3575" s="32" t="s">
        <v>9886</v>
      </c>
    </row>
    <row r="3576" spans="2:4" x14ac:dyDescent="0.3">
      <c r="B3576" s="33" t="s">
        <v>9887</v>
      </c>
      <c r="C3576" s="32" t="s">
        <v>9888</v>
      </c>
      <c r="D3576" s="32" t="s">
        <v>9889</v>
      </c>
    </row>
    <row r="3577" spans="2:4" x14ac:dyDescent="0.3">
      <c r="B3577" s="33" t="s">
        <v>9890</v>
      </c>
      <c r="C3577" s="32" t="s">
        <v>9891</v>
      </c>
      <c r="D3577" s="32" t="s">
        <v>9892</v>
      </c>
    </row>
    <row r="3578" spans="2:4" x14ac:dyDescent="0.3">
      <c r="B3578" s="33" t="s">
        <v>9866</v>
      </c>
      <c r="C3578" s="32" t="s">
        <v>9893</v>
      </c>
      <c r="D3578" s="32" t="s">
        <v>9894</v>
      </c>
    </row>
    <row r="3579" spans="2:4" x14ac:dyDescent="0.3">
      <c r="B3579" s="33" t="s">
        <v>9895</v>
      </c>
      <c r="C3579" s="32" t="s">
        <v>9896</v>
      </c>
      <c r="D3579" s="32" t="s">
        <v>9897</v>
      </c>
    </row>
    <row r="3580" spans="2:4" x14ac:dyDescent="0.3">
      <c r="B3580" s="33" t="s">
        <v>9898</v>
      </c>
      <c r="C3580" s="32" t="s">
        <v>9899</v>
      </c>
      <c r="D3580" s="32" t="s">
        <v>9900</v>
      </c>
    </row>
    <row r="3581" spans="2:4" x14ac:dyDescent="0.3">
      <c r="B3581" s="33" t="s">
        <v>4982</v>
      </c>
      <c r="C3581" s="32" t="s">
        <v>9901</v>
      </c>
      <c r="D3581" s="32" t="s">
        <v>9902</v>
      </c>
    </row>
    <row r="3582" spans="2:4" x14ac:dyDescent="0.3">
      <c r="B3582" s="33" t="s">
        <v>9903</v>
      </c>
      <c r="C3582" s="32" t="s">
        <v>9904</v>
      </c>
      <c r="D3582" s="32" t="s">
        <v>9905</v>
      </c>
    </row>
    <row r="3583" spans="2:4" x14ac:dyDescent="0.3">
      <c r="B3583" s="33" t="s">
        <v>9906</v>
      </c>
      <c r="C3583" s="32" t="s">
        <v>9907</v>
      </c>
      <c r="D3583" s="32" t="s">
        <v>9908</v>
      </c>
    </row>
    <row r="3584" spans="2:4" x14ac:dyDescent="0.3">
      <c r="B3584" s="33" t="s">
        <v>9909</v>
      </c>
      <c r="C3584" s="32" t="s">
        <v>9910</v>
      </c>
      <c r="D3584" s="32" t="s">
        <v>9911</v>
      </c>
    </row>
    <row r="3585" spans="2:4" x14ac:dyDescent="0.3">
      <c r="B3585" s="33" t="s">
        <v>9912</v>
      </c>
      <c r="C3585" s="32" t="s">
        <v>9913</v>
      </c>
      <c r="D3585" s="32" t="s">
        <v>9914</v>
      </c>
    </row>
    <row r="3586" spans="2:4" x14ac:dyDescent="0.3">
      <c r="B3586" s="33" t="s">
        <v>9915</v>
      </c>
      <c r="C3586" s="32" t="s">
        <v>9916</v>
      </c>
      <c r="D3586" s="32" t="s">
        <v>9917</v>
      </c>
    </row>
    <row r="3587" spans="2:4" x14ac:dyDescent="0.3">
      <c r="B3587" s="33" t="s">
        <v>9918</v>
      </c>
      <c r="C3587" s="32" t="s">
        <v>9919</v>
      </c>
      <c r="D3587" s="32" t="s">
        <v>9920</v>
      </c>
    </row>
    <row r="3588" spans="2:4" x14ac:dyDescent="0.3">
      <c r="B3588" s="33" t="s">
        <v>1979</v>
      </c>
      <c r="C3588" s="32" t="s">
        <v>9921</v>
      </c>
      <c r="D3588" s="32" t="s">
        <v>9922</v>
      </c>
    </row>
    <row r="3589" spans="2:4" x14ac:dyDescent="0.3">
      <c r="B3589" s="33" t="s">
        <v>9923</v>
      </c>
      <c r="C3589" s="32" t="s">
        <v>9924</v>
      </c>
      <c r="D3589" s="32" t="s">
        <v>9925</v>
      </c>
    </row>
    <row r="3590" spans="2:4" x14ac:dyDescent="0.3">
      <c r="B3590" s="33" t="s">
        <v>9926</v>
      </c>
      <c r="C3590" s="32" t="s">
        <v>9927</v>
      </c>
      <c r="D3590" s="32" t="s">
        <v>9928</v>
      </c>
    </row>
    <row r="3591" spans="2:4" x14ac:dyDescent="0.3">
      <c r="B3591" s="33" t="s">
        <v>9929</v>
      </c>
      <c r="C3591" s="32" t="s">
        <v>9930</v>
      </c>
      <c r="D3591" s="32" t="s">
        <v>9931</v>
      </c>
    </row>
    <row r="3592" spans="2:4" x14ac:dyDescent="0.3">
      <c r="B3592" s="33" t="s">
        <v>9932</v>
      </c>
      <c r="C3592" s="32" t="s">
        <v>9933</v>
      </c>
      <c r="D3592" s="32" t="s">
        <v>9934</v>
      </c>
    </row>
    <row r="3593" spans="2:4" x14ac:dyDescent="0.3">
      <c r="B3593" s="33" t="s">
        <v>9932</v>
      </c>
      <c r="C3593" s="32" t="s">
        <v>9935</v>
      </c>
      <c r="D3593" s="32" t="s">
        <v>9936</v>
      </c>
    </row>
    <row r="3594" spans="2:4" x14ac:dyDescent="0.3">
      <c r="B3594" s="33" t="s">
        <v>9937</v>
      </c>
      <c r="C3594" s="32" t="s">
        <v>9938</v>
      </c>
      <c r="D3594" s="32" t="s">
        <v>9939</v>
      </c>
    </row>
    <row r="3595" spans="2:4" x14ac:dyDescent="0.3">
      <c r="B3595" s="33" t="s">
        <v>36999</v>
      </c>
      <c r="C3595" s="32" t="s">
        <v>37000</v>
      </c>
      <c r="D3595" s="32" t="s">
        <v>37001</v>
      </c>
    </row>
    <row r="3596" spans="2:4" x14ac:dyDescent="0.3">
      <c r="B3596" s="33" t="s">
        <v>9940</v>
      </c>
      <c r="C3596" s="32" t="s">
        <v>9941</v>
      </c>
      <c r="D3596" s="32" t="s">
        <v>9942</v>
      </c>
    </row>
    <row r="3597" spans="2:4" x14ac:dyDescent="0.3">
      <c r="B3597" s="33" t="s">
        <v>9943</v>
      </c>
      <c r="C3597" s="32" t="s">
        <v>9944</v>
      </c>
      <c r="D3597" s="32" t="s">
        <v>9945</v>
      </c>
    </row>
    <row r="3598" spans="2:4" x14ac:dyDescent="0.3">
      <c r="B3598" s="33" t="s">
        <v>9946</v>
      </c>
      <c r="C3598" s="32" t="s">
        <v>9947</v>
      </c>
      <c r="D3598" s="32" t="s">
        <v>9948</v>
      </c>
    </row>
    <row r="3599" spans="2:4" x14ac:dyDescent="0.3">
      <c r="B3599" s="33" t="s">
        <v>9949</v>
      </c>
      <c r="C3599" s="32" t="s">
        <v>9950</v>
      </c>
      <c r="D3599" s="32" t="s">
        <v>9951</v>
      </c>
    </row>
    <row r="3600" spans="2:4" x14ac:dyDescent="0.3">
      <c r="B3600" s="33" t="s">
        <v>9952</v>
      </c>
      <c r="C3600" s="32" t="s">
        <v>9953</v>
      </c>
      <c r="D3600" s="32" t="s">
        <v>9954</v>
      </c>
    </row>
    <row r="3601" spans="2:4" x14ac:dyDescent="0.3">
      <c r="B3601" s="33" t="s">
        <v>9456</v>
      </c>
      <c r="C3601" s="32" t="s">
        <v>9955</v>
      </c>
      <c r="D3601" s="32" t="s">
        <v>9956</v>
      </c>
    </row>
    <row r="3602" spans="2:4" x14ac:dyDescent="0.3">
      <c r="B3602" s="33" t="s">
        <v>9957</v>
      </c>
      <c r="C3602" s="32" t="s">
        <v>9958</v>
      </c>
      <c r="D3602" s="32" t="s">
        <v>9959</v>
      </c>
    </row>
    <row r="3603" spans="2:4" x14ac:dyDescent="0.3">
      <c r="B3603" s="33" t="s">
        <v>9960</v>
      </c>
      <c r="C3603" s="32" t="s">
        <v>9961</v>
      </c>
      <c r="D3603" s="32" t="s">
        <v>9962</v>
      </c>
    </row>
    <row r="3604" spans="2:4" x14ac:dyDescent="0.3">
      <c r="B3604" s="33" t="s">
        <v>9963</v>
      </c>
      <c r="C3604" s="32" t="s">
        <v>9964</v>
      </c>
      <c r="D3604" s="32" t="s">
        <v>9964</v>
      </c>
    </row>
    <row r="3605" spans="2:4" x14ac:dyDescent="0.3">
      <c r="B3605" s="33" t="s">
        <v>9965</v>
      </c>
      <c r="C3605" s="32" t="s">
        <v>9966</v>
      </c>
      <c r="D3605" s="32" t="s">
        <v>37173</v>
      </c>
    </row>
    <row r="3606" spans="2:4" x14ac:dyDescent="0.3">
      <c r="B3606" s="33" t="s">
        <v>9967</v>
      </c>
      <c r="C3606" s="32" t="s">
        <v>9968</v>
      </c>
      <c r="D3606" s="32" t="s">
        <v>9969</v>
      </c>
    </row>
    <row r="3607" spans="2:4" x14ac:dyDescent="0.3">
      <c r="B3607" s="33" t="s">
        <v>9970</v>
      </c>
      <c r="C3607" s="32" t="s">
        <v>9971</v>
      </c>
      <c r="D3607" s="32" t="s">
        <v>9972</v>
      </c>
    </row>
    <row r="3608" spans="2:4" x14ac:dyDescent="0.3">
      <c r="B3608" s="33" t="s">
        <v>9973</v>
      </c>
      <c r="C3608" s="32" t="s">
        <v>9974</v>
      </c>
      <c r="D3608" s="32" t="s">
        <v>9975</v>
      </c>
    </row>
    <row r="3609" spans="2:4" x14ac:dyDescent="0.3">
      <c r="B3609" s="33" t="s">
        <v>9976</v>
      </c>
      <c r="C3609" s="32" t="s">
        <v>9977</v>
      </c>
      <c r="D3609" s="32" t="s">
        <v>9978</v>
      </c>
    </row>
    <row r="3610" spans="2:4" x14ac:dyDescent="0.3">
      <c r="B3610" s="33" t="s">
        <v>9481</v>
      </c>
      <c r="C3610" s="32" t="s">
        <v>9979</v>
      </c>
      <c r="D3610" s="32" t="s">
        <v>9979</v>
      </c>
    </row>
    <row r="3611" spans="2:4" x14ac:dyDescent="0.3">
      <c r="B3611" s="33" t="s">
        <v>9980</v>
      </c>
      <c r="C3611" s="32" t="s">
        <v>9981</v>
      </c>
      <c r="D3611" s="32" t="s">
        <v>9982</v>
      </c>
    </row>
    <row r="3612" spans="2:4" x14ac:dyDescent="0.3">
      <c r="B3612" s="33" t="s">
        <v>9983</v>
      </c>
      <c r="C3612" s="32" t="s">
        <v>9984</v>
      </c>
      <c r="D3612" s="32" t="s">
        <v>9985</v>
      </c>
    </row>
    <row r="3613" spans="2:4" x14ac:dyDescent="0.3">
      <c r="B3613" s="33" t="s">
        <v>9986</v>
      </c>
      <c r="C3613" s="32" t="s">
        <v>9987</v>
      </c>
      <c r="D3613" s="32" t="s">
        <v>9986</v>
      </c>
    </row>
    <row r="3614" spans="2:4" x14ac:dyDescent="0.3">
      <c r="B3614" s="33" t="s">
        <v>9988</v>
      </c>
      <c r="C3614" s="32" t="s">
        <v>9989</v>
      </c>
      <c r="D3614" s="32" t="s">
        <v>9990</v>
      </c>
    </row>
    <row r="3615" spans="2:4" x14ac:dyDescent="0.3">
      <c r="B3615" s="33" t="s">
        <v>9441</v>
      </c>
      <c r="C3615" s="32" t="s">
        <v>9991</v>
      </c>
      <c r="D3615" s="32" t="s">
        <v>9992</v>
      </c>
    </row>
    <row r="3616" spans="2:4" x14ac:dyDescent="0.3">
      <c r="B3616" s="33" t="s">
        <v>9993</v>
      </c>
      <c r="C3616" s="32" t="s">
        <v>9994</v>
      </c>
      <c r="D3616" s="32" t="s">
        <v>9995</v>
      </c>
    </row>
    <row r="3617" spans="2:4" x14ac:dyDescent="0.3">
      <c r="B3617" s="33" t="s">
        <v>9996</v>
      </c>
      <c r="C3617" s="32" t="s">
        <v>9997</v>
      </c>
      <c r="D3617" s="32" t="s">
        <v>9998</v>
      </c>
    </row>
    <row r="3618" spans="2:4" x14ac:dyDescent="0.3">
      <c r="B3618" s="33" t="s">
        <v>9190</v>
      </c>
      <c r="C3618" s="32" t="s">
        <v>9999</v>
      </c>
      <c r="D3618" s="32" t="s">
        <v>10000</v>
      </c>
    </row>
    <row r="3619" spans="2:4" x14ac:dyDescent="0.3">
      <c r="B3619" s="33" t="s">
        <v>10001</v>
      </c>
      <c r="C3619" s="32" t="s">
        <v>10002</v>
      </c>
      <c r="D3619" s="32" t="s">
        <v>10003</v>
      </c>
    </row>
    <row r="3620" spans="2:4" x14ac:dyDescent="0.3">
      <c r="B3620" s="33" t="s">
        <v>10004</v>
      </c>
      <c r="C3620" s="32" t="s">
        <v>10005</v>
      </c>
      <c r="D3620" s="32" t="s">
        <v>10004</v>
      </c>
    </row>
    <row r="3621" spans="2:4" x14ac:dyDescent="0.3">
      <c r="B3621" s="33" t="s">
        <v>9184</v>
      </c>
      <c r="C3621" s="32" t="s">
        <v>10006</v>
      </c>
      <c r="D3621" s="32" t="s">
        <v>10007</v>
      </c>
    </row>
    <row r="3622" spans="2:4" x14ac:dyDescent="0.3">
      <c r="B3622" s="33" t="s">
        <v>10008</v>
      </c>
      <c r="C3622" s="32" t="s">
        <v>10009</v>
      </c>
      <c r="D3622" s="32" t="s">
        <v>10010</v>
      </c>
    </row>
    <row r="3623" spans="2:4" x14ac:dyDescent="0.3">
      <c r="B3623" s="33" t="s">
        <v>10011</v>
      </c>
      <c r="C3623" s="32" t="s">
        <v>10012</v>
      </c>
      <c r="D3623" s="32" t="s">
        <v>10013</v>
      </c>
    </row>
    <row r="3624" spans="2:4" x14ac:dyDescent="0.3">
      <c r="B3624" s="33" t="s">
        <v>10014</v>
      </c>
      <c r="C3624" s="32" t="s">
        <v>10015</v>
      </c>
      <c r="D3624" s="32" t="s">
        <v>10016</v>
      </c>
    </row>
    <row r="3625" spans="2:4" x14ac:dyDescent="0.3">
      <c r="B3625" s="33" t="s">
        <v>10017</v>
      </c>
      <c r="C3625" s="32" t="s">
        <v>10018</v>
      </c>
      <c r="D3625" s="32" t="s">
        <v>10019</v>
      </c>
    </row>
    <row r="3626" spans="2:4" x14ac:dyDescent="0.3">
      <c r="B3626" s="33" t="s">
        <v>9751</v>
      </c>
      <c r="C3626" s="32" t="s">
        <v>10020</v>
      </c>
      <c r="D3626" s="32" t="s">
        <v>10021</v>
      </c>
    </row>
    <row r="3627" spans="2:4" x14ac:dyDescent="0.3">
      <c r="B3627" s="33" t="s">
        <v>9538</v>
      </c>
      <c r="C3627" s="32" t="s">
        <v>10022</v>
      </c>
      <c r="D3627" s="32" t="s">
        <v>10023</v>
      </c>
    </row>
    <row r="3628" spans="2:4" x14ac:dyDescent="0.3">
      <c r="B3628" s="33" t="s">
        <v>9459</v>
      </c>
      <c r="C3628" s="32" t="s">
        <v>10024</v>
      </c>
      <c r="D3628" s="32" t="s">
        <v>10025</v>
      </c>
    </row>
    <row r="3629" spans="2:4" x14ac:dyDescent="0.3">
      <c r="B3629" s="33" t="s">
        <v>10026</v>
      </c>
      <c r="C3629" s="32" t="s">
        <v>10027</v>
      </c>
      <c r="D3629" s="32" t="s">
        <v>10028</v>
      </c>
    </row>
    <row r="3630" spans="2:4" x14ac:dyDescent="0.3">
      <c r="B3630" s="33" t="s">
        <v>10029</v>
      </c>
      <c r="C3630" s="32" t="s">
        <v>10030</v>
      </c>
      <c r="D3630" s="32" t="s">
        <v>10031</v>
      </c>
    </row>
    <row r="3631" spans="2:4" x14ac:dyDescent="0.3">
      <c r="B3631" s="33" t="s">
        <v>10032</v>
      </c>
      <c r="C3631" s="32" t="s">
        <v>10033</v>
      </c>
      <c r="D3631" s="32" t="s">
        <v>10034</v>
      </c>
    </row>
    <row r="3632" spans="2:4" x14ac:dyDescent="0.3">
      <c r="B3632" s="33" t="s">
        <v>10035</v>
      </c>
      <c r="C3632" s="32" t="s">
        <v>10036</v>
      </c>
      <c r="D3632" s="32" t="s">
        <v>10037</v>
      </c>
    </row>
    <row r="3633" spans="2:4" x14ac:dyDescent="0.3">
      <c r="B3633" s="33" t="s">
        <v>10011</v>
      </c>
      <c r="C3633" s="32" t="s">
        <v>10038</v>
      </c>
      <c r="D3633" s="32" t="s">
        <v>10039</v>
      </c>
    </row>
    <row r="3634" spans="2:4" x14ac:dyDescent="0.3">
      <c r="B3634" s="33" t="s">
        <v>10040</v>
      </c>
      <c r="C3634" s="32" t="s">
        <v>10041</v>
      </c>
      <c r="D3634" s="32" t="s">
        <v>10042</v>
      </c>
    </row>
    <row r="3635" spans="2:4" x14ac:dyDescent="0.3">
      <c r="B3635" s="33" t="s">
        <v>10043</v>
      </c>
      <c r="C3635" s="32" t="s">
        <v>10044</v>
      </c>
      <c r="D3635" s="32" t="s">
        <v>10045</v>
      </c>
    </row>
    <row r="3636" spans="2:4" x14ac:dyDescent="0.3">
      <c r="B3636" s="33" t="s">
        <v>10046</v>
      </c>
      <c r="C3636" s="32" t="s">
        <v>10047</v>
      </c>
      <c r="D3636" s="32" t="s">
        <v>10048</v>
      </c>
    </row>
    <row r="3637" spans="2:4" x14ac:dyDescent="0.3">
      <c r="B3637" s="33" t="s">
        <v>4274</v>
      </c>
      <c r="C3637" s="32" t="s">
        <v>10049</v>
      </c>
      <c r="D3637" s="32" t="s">
        <v>10050</v>
      </c>
    </row>
    <row r="3638" spans="2:4" x14ac:dyDescent="0.3">
      <c r="B3638" s="33" t="s">
        <v>10051</v>
      </c>
      <c r="C3638" s="32" t="s">
        <v>10052</v>
      </c>
      <c r="D3638" s="32" t="s">
        <v>10053</v>
      </c>
    </row>
    <row r="3639" spans="2:4" x14ac:dyDescent="0.3">
      <c r="B3639" s="33" t="s">
        <v>10054</v>
      </c>
      <c r="C3639" s="32" t="s">
        <v>10055</v>
      </c>
      <c r="D3639" s="32" t="s">
        <v>10056</v>
      </c>
    </row>
    <row r="3640" spans="2:4" x14ac:dyDescent="0.3">
      <c r="B3640" s="33" t="s">
        <v>10057</v>
      </c>
      <c r="C3640" s="32" t="s">
        <v>10058</v>
      </c>
      <c r="D3640" s="32" t="s">
        <v>10059</v>
      </c>
    </row>
    <row r="3641" spans="2:4" x14ac:dyDescent="0.3">
      <c r="B3641" s="33" t="s">
        <v>10060</v>
      </c>
      <c r="C3641" s="32" t="s">
        <v>10061</v>
      </c>
      <c r="D3641" s="32" t="s">
        <v>10062</v>
      </c>
    </row>
    <row r="3642" spans="2:4" x14ac:dyDescent="0.3">
      <c r="B3642" s="33" t="s">
        <v>10063</v>
      </c>
      <c r="C3642" s="32" t="s">
        <v>10064</v>
      </c>
      <c r="D3642" s="32" t="s">
        <v>10065</v>
      </c>
    </row>
    <row r="3643" spans="2:4" x14ac:dyDescent="0.3">
      <c r="B3643" s="33" t="s">
        <v>10066</v>
      </c>
      <c r="C3643" s="32" t="s">
        <v>10067</v>
      </c>
      <c r="D3643" s="32" t="s">
        <v>10068</v>
      </c>
    </row>
    <row r="3644" spans="2:4" x14ac:dyDescent="0.3">
      <c r="B3644" s="33" t="s">
        <v>10069</v>
      </c>
      <c r="C3644" s="32" t="s">
        <v>10070</v>
      </c>
      <c r="D3644" s="32" t="s">
        <v>10069</v>
      </c>
    </row>
    <row r="3645" spans="2:4" x14ac:dyDescent="0.3">
      <c r="B3645" s="33" t="s">
        <v>10071</v>
      </c>
      <c r="C3645" s="32" t="s">
        <v>10072</v>
      </c>
      <c r="D3645" s="32" t="s">
        <v>10073</v>
      </c>
    </row>
    <row r="3646" spans="2:4" x14ac:dyDescent="0.3">
      <c r="B3646" s="33" t="s">
        <v>10074</v>
      </c>
      <c r="C3646" s="32" t="s">
        <v>10075</v>
      </c>
      <c r="D3646" s="32" t="s">
        <v>10076</v>
      </c>
    </row>
    <row r="3647" spans="2:4" x14ac:dyDescent="0.3">
      <c r="B3647" s="33" t="s">
        <v>10077</v>
      </c>
      <c r="C3647" s="32" t="s">
        <v>10078</v>
      </c>
      <c r="D3647" s="32" t="s">
        <v>10079</v>
      </c>
    </row>
    <row r="3648" spans="2:4" x14ac:dyDescent="0.3">
      <c r="B3648" s="33" t="s">
        <v>10080</v>
      </c>
      <c r="C3648" s="32" t="s">
        <v>10081</v>
      </c>
      <c r="D3648" s="32" t="s">
        <v>36716</v>
      </c>
    </row>
    <row r="3649" spans="2:4" x14ac:dyDescent="0.3">
      <c r="B3649" s="33" t="s">
        <v>10082</v>
      </c>
      <c r="C3649" s="32" t="s">
        <v>10083</v>
      </c>
      <c r="D3649" s="32" t="s">
        <v>10084</v>
      </c>
    </row>
    <row r="3650" spans="2:4" x14ac:dyDescent="0.3">
      <c r="B3650" s="33" t="s">
        <v>10085</v>
      </c>
      <c r="C3650" s="32" t="s">
        <v>10086</v>
      </c>
      <c r="D3650" s="32" t="s">
        <v>36821</v>
      </c>
    </row>
    <row r="3651" spans="2:4" x14ac:dyDescent="0.3">
      <c r="B3651" s="33" t="s">
        <v>10087</v>
      </c>
      <c r="C3651" s="32" t="s">
        <v>10088</v>
      </c>
      <c r="D3651" s="32" t="s">
        <v>10089</v>
      </c>
    </row>
    <row r="3652" spans="2:4" x14ac:dyDescent="0.3">
      <c r="B3652" s="33" t="s">
        <v>9481</v>
      </c>
      <c r="C3652" s="32" t="s">
        <v>10090</v>
      </c>
      <c r="D3652" s="32" t="s">
        <v>10091</v>
      </c>
    </row>
    <row r="3653" spans="2:4" x14ac:dyDescent="0.3">
      <c r="B3653" s="33" t="s">
        <v>10092</v>
      </c>
      <c r="C3653" s="32" t="s">
        <v>10093</v>
      </c>
      <c r="D3653" s="32" t="s">
        <v>10094</v>
      </c>
    </row>
    <row r="3654" spans="2:4" x14ac:dyDescent="0.3">
      <c r="B3654" s="33" t="s">
        <v>10095</v>
      </c>
      <c r="C3654" s="32" t="s">
        <v>10096</v>
      </c>
      <c r="D3654" s="32" t="s">
        <v>10097</v>
      </c>
    </row>
    <row r="3655" spans="2:4" x14ac:dyDescent="0.3">
      <c r="B3655" s="33" t="s">
        <v>9646</v>
      </c>
      <c r="C3655" s="32" t="s">
        <v>10098</v>
      </c>
      <c r="D3655" s="32" t="s">
        <v>10099</v>
      </c>
    </row>
    <row r="3656" spans="2:4" x14ac:dyDescent="0.3">
      <c r="B3656" s="33" t="s">
        <v>10100</v>
      </c>
      <c r="C3656" s="32" t="s">
        <v>10101</v>
      </c>
      <c r="D3656" s="32" t="s">
        <v>10102</v>
      </c>
    </row>
    <row r="3657" spans="2:4" x14ac:dyDescent="0.3">
      <c r="B3657" s="33" t="s">
        <v>10103</v>
      </c>
      <c r="C3657" s="32" t="s">
        <v>10104</v>
      </c>
      <c r="D3657" s="32" t="s">
        <v>10105</v>
      </c>
    </row>
    <row r="3658" spans="2:4" x14ac:dyDescent="0.3">
      <c r="B3658" s="33" t="s">
        <v>10106</v>
      </c>
      <c r="C3658" s="32" t="s">
        <v>10107</v>
      </c>
      <c r="D3658" s="32" t="s">
        <v>10108</v>
      </c>
    </row>
    <row r="3659" spans="2:4" x14ac:dyDescent="0.3">
      <c r="B3659" s="33" t="s">
        <v>9190</v>
      </c>
      <c r="C3659" s="32" t="s">
        <v>10109</v>
      </c>
      <c r="D3659" s="32" t="s">
        <v>10110</v>
      </c>
    </row>
    <row r="3660" spans="2:4" x14ac:dyDescent="0.3">
      <c r="B3660" s="33" t="s">
        <v>10111</v>
      </c>
      <c r="C3660" s="32" t="s">
        <v>10112</v>
      </c>
      <c r="D3660" s="32" t="s">
        <v>10113</v>
      </c>
    </row>
    <row r="3661" spans="2:4" x14ac:dyDescent="0.3">
      <c r="B3661" s="33" t="s">
        <v>10114</v>
      </c>
      <c r="C3661" s="32" t="s">
        <v>10115</v>
      </c>
      <c r="D3661" s="32" t="s">
        <v>10116</v>
      </c>
    </row>
    <row r="3662" spans="2:4" x14ac:dyDescent="0.3">
      <c r="B3662" s="33" t="s">
        <v>10117</v>
      </c>
      <c r="C3662" s="32" t="s">
        <v>10118</v>
      </c>
      <c r="D3662" s="32" t="s">
        <v>10119</v>
      </c>
    </row>
    <row r="3663" spans="2:4" x14ac:dyDescent="0.3">
      <c r="B3663" s="33" t="s">
        <v>9201</v>
      </c>
      <c r="C3663" s="32" t="s">
        <v>10120</v>
      </c>
      <c r="D3663" s="32" t="s">
        <v>10121</v>
      </c>
    </row>
    <row r="3664" spans="2:4" x14ac:dyDescent="0.3">
      <c r="B3664" s="33" t="s">
        <v>10122</v>
      </c>
      <c r="C3664" s="32" t="s">
        <v>10123</v>
      </c>
      <c r="D3664" s="32" t="s">
        <v>10124</v>
      </c>
    </row>
    <row r="3665" spans="2:4" x14ac:dyDescent="0.3">
      <c r="B3665" s="33" t="s">
        <v>9804</v>
      </c>
      <c r="C3665" s="32" t="s">
        <v>10125</v>
      </c>
      <c r="D3665" s="32" t="s">
        <v>10126</v>
      </c>
    </row>
    <row r="3666" spans="2:4" x14ac:dyDescent="0.3">
      <c r="B3666" s="33" t="s">
        <v>10127</v>
      </c>
      <c r="C3666" s="32" t="s">
        <v>10128</v>
      </c>
      <c r="D3666" s="32" t="s">
        <v>10129</v>
      </c>
    </row>
    <row r="3667" spans="2:4" x14ac:dyDescent="0.3">
      <c r="B3667" s="33" t="s">
        <v>9239</v>
      </c>
      <c r="C3667" s="32" t="s">
        <v>10130</v>
      </c>
      <c r="D3667" s="32" t="s">
        <v>10131</v>
      </c>
    </row>
    <row r="3668" spans="2:4" x14ac:dyDescent="0.3">
      <c r="B3668" s="33" t="s">
        <v>10132</v>
      </c>
      <c r="C3668" s="32" t="s">
        <v>10133</v>
      </c>
      <c r="D3668" s="32" t="s">
        <v>37174</v>
      </c>
    </row>
    <row r="3669" spans="2:4" x14ac:dyDescent="0.3">
      <c r="B3669" s="33" t="s">
        <v>10134</v>
      </c>
      <c r="C3669" s="32" t="s">
        <v>10135</v>
      </c>
      <c r="D3669" s="32" t="s">
        <v>10136</v>
      </c>
    </row>
    <row r="3670" spans="2:4" x14ac:dyDescent="0.3">
      <c r="B3670" s="33" t="s">
        <v>10137</v>
      </c>
      <c r="C3670" s="32" t="s">
        <v>10138</v>
      </c>
      <c r="D3670" s="32" t="s">
        <v>10139</v>
      </c>
    </row>
    <row r="3671" spans="2:4" x14ac:dyDescent="0.3">
      <c r="B3671" s="33" t="s">
        <v>10140</v>
      </c>
      <c r="C3671" s="32" t="s">
        <v>10141</v>
      </c>
      <c r="D3671" s="32" t="s">
        <v>10142</v>
      </c>
    </row>
    <row r="3672" spans="2:4" x14ac:dyDescent="0.3">
      <c r="B3672" s="33" t="s">
        <v>10143</v>
      </c>
      <c r="C3672" s="32" t="s">
        <v>10144</v>
      </c>
      <c r="D3672" s="32" t="s">
        <v>10145</v>
      </c>
    </row>
    <row r="3673" spans="2:4" x14ac:dyDescent="0.3">
      <c r="B3673" s="33" t="s">
        <v>10146</v>
      </c>
      <c r="C3673" s="32" t="s">
        <v>10147</v>
      </c>
      <c r="D3673" s="32" t="s">
        <v>10148</v>
      </c>
    </row>
    <row r="3674" spans="2:4" x14ac:dyDescent="0.3">
      <c r="B3674" s="33" t="s">
        <v>10149</v>
      </c>
      <c r="C3674" s="32" t="s">
        <v>10150</v>
      </c>
      <c r="D3674" s="32" t="s">
        <v>10151</v>
      </c>
    </row>
    <row r="3675" spans="2:4" x14ac:dyDescent="0.3">
      <c r="B3675" s="33" t="s">
        <v>10152</v>
      </c>
      <c r="C3675" s="32" t="s">
        <v>10153</v>
      </c>
      <c r="D3675" s="32" t="s">
        <v>10154</v>
      </c>
    </row>
    <row r="3676" spans="2:4" x14ac:dyDescent="0.3">
      <c r="B3676" s="33" t="s">
        <v>10155</v>
      </c>
      <c r="C3676" s="32" t="s">
        <v>10156</v>
      </c>
      <c r="D3676" s="32" t="s">
        <v>10157</v>
      </c>
    </row>
    <row r="3677" spans="2:4" x14ac:dyDescent="0.3">
      <c r="B3677" s="33" t="s">
        <v>10158</v>
      </c>
      <c r="C3677" s="32" t="s">
        <v>10159</v>
      </c>
      <c r="D3677" s="32" t="s">
        <v>10160</v>
      </c>
    </row>
    <row r="3678" spans="2:4" x14ac:dyDescent="0.3">
      <c r="B3678" s="33" t="s">
        <v>10161</v>
      </c>
      <c r="C3678" s="32" t="s">
        <v>10162</v>
      </c>
      <c r="D3678" s="32" t="s">
        <v>10163</v>
      </c>
    </row>
    <row r="3679" spans="2:4" x14ac:dyDescent="0.3">
      <c r="B3679" s="33" t="s">
        <v>10164</v>
      </c>
      <c r="C3679" s="32" t="s">
        <v>10165</v>
      </c>
      <c r="D3679" s="32" t="s">
        <v>10166</v>
      </c>
    </row>
    <row r="3680" spans="2:4" x14ac:dyDescent="0.3">
      <c r="B3680" s="33" t="s">
        <v>10167</v>
      </c>
      <c r="C3680" s="32" t="s">
        <v>10168</v>
      </c>
      <c r="D3680" s="32" t="s">
        <v>10169</v>
      </c>
    </row>
    <row r="3681" spans="2:4" x14ac:dyDescent="0.3">
      <c r="B3681" s="33" t="s">
        <v>10170</v>
      </c>
      <c r="C3681" s="32" t="s">
        <v>10171</v>
      </c>
      <c r="D3681" s="32" t="s">
        <v>10172</v>
      </c>
    </row>
    <row r="3682" spans="2:4" x14ac:dyDescent="0.3">
      <c r="B3682" s="33" t="s">
        <v>10173</v>
      </c>
      <c r="C3682" s="32" t="s">
        <v>10174</v>
      </c>
      <c r="D3682" s="32" t="s">
        <v>10175</v>
      </c>
    </row>
    <row r="3683" spans="2:4" x14ac:dyDescent="0.3">
      <c r="B3683" s="33" t="s">
        <v>10173</v>
      </c>
      <c r="C3683" s="32" t="s">
        <v>10176</v>
      </c>
      <c r="D3683" s="32" t="s">
        <v>10177</v>
      </c>
    </row>
    <row r="3684" spans="2:4" x14ac:dyDescent="0.3">
      <c r="B3684" s="33" t="s">
        <v>10178</v>
      </c>
      <c r="C3684" s="32" t="s">
        <v>10179</v>
      </c>
      <c r="D3684" s="32" t="s">
        <v>10180</v>
      </c>
    </row>
    <row r="3685" spans="2:4" x14ac:dyDescent="0.3">
      <c r="B3685" s="33" t="s">
        <v>10181</v>
      </c>
      <c r="C3685" s="32" t="s">
        <v>10182</v>
      </c>
      <c r="D3685" s="32" t="s">
        <v>10183</v>
      </c>
    </row>
    <row r="3686" spans="2:4" x14ac:dyDescent="0.3">
      <c r="B3686" s="33" t="s">
        <v>10184</v>
      </c>
      <c r="C3686" s="32" t="s">
        <v>10185</v>
      </c>
      <c r="D3686" s="32" t="s">
        <v>10184</v>
      </c>
    </row>
    <row r="3687" spans="2:4" x14ac:dyDescent="0.3">
      <c r="B3687" s="33" t="s">
        <v>10181</v>
      </c>
      <c r="C3687" s="32" t="s">
        <v>10186</v>
      </c>
      <c r="D3687" s="32" t="s">
        <v>10187</v>
      </c>
    </row>
    <row r="3688" spans="2:4" x14ac:dyDescent="0.3">
      <c r="B3688" s="33" t="s">
        <v>10188</v>
      </c>
      <c r="C3688" s="32" t="s">
        <v>10189</v>
      </c>
      <c r="D3688" s="32" t="s">
        <v>10190</v>
      </c>
    </row>
    <row r="3689" spans="2:4" x14ac:dyDescent="0.3">
      <c r="B3689" s="33" t="s">
        <v>10191</v>
      </c>
      <c r="C3689" s="32" t="s">
        <v>10192</v>
      </c>
      <c r="D3689" s="32" t="s">
        <v>10193</v>
      </c>
    </row>
    <row r="3690" spans="2:4" x14ac:dyDescent="0.3">
      <c r="B3690" s="33" t="s">
        <v>10194</v>
      </c>
      <c r="C3690" s="32" t="s">
        <v>10195</v>
      </c>
      <c r="D3690" s="32" t="s">
        <v>10196</v>
      </c>
    </row>
    <row r="3691" spans="2:4" x14ac:dyDescent="0.3">
      <c r="B3691" s="33" t="s">
        <v>37002</v>
      </c>
      <c r="C3691" s="32" t="s">
        <v>37003</v>
      </c>
      <c r="D3691" s="32" t="s">
        <v>37004</v>
      </c>
    </row>
    <row r="3692" spans="2:4" x14ac:dyDescent="0.3">
      <c r="B3692" s="33" t="s">
        <v>10181</v>
      </c>
      <c r="C3692" s="32" t="s">
        <v>10197</v>
      </c>
      <c r="D3692" s="32" t="s">
        <v>10198</v>
      </c>
    </row>
    <row r="3693" spans="2:4" x14ac:dyDescent="0.3">
      <c r="B3693" s="33" t="s">
        <v>10199</v>
      </c>
      <c r="C3693" s="32" t="s">
        <v>10200</v>
      </c>
      <c r="D3693" s="32" t="s">
        <v>10201</v>
      </c>
    </row>
    <row r="3694" spans="2:4" x14ac:dyDescent="0.3">
      <c r="B3694" s="33" t="s">
        <v>10202</v>
      </c>
      <c r="C3694" s="32" t="s">
        <v>10203</v>
      </c>
      <c r="D3694" s="32" t="s">
        <v>10202</v>
      </c>
    </row>
    <row r="3695" spans="2:4" x14ac:dyDescent="0.3">
      <c r="B3695" s="33" t="s">
        <v>10204</v>
      </c>
      <c r="C3695" s="32" t="s">
        <v>10205</v>
      </c>
      <c r="D3695" s="32" t="s">
        <v>10206</v>
      </c>
    </row>
    <row r="3696" spans="2:4" x14ac:dyDescent="0.3">
      <c r="B3696" s="33" t="s">
        <v>10207</v>
      </c>
      <c r="C3696" s="32" t="s">
        <v>10208</v>
      </c>
      <c r="D3696" s="32" t="s">
        <v>10209</v>
      </c>
    </row>
    <row r="3697" spans="2:4" x14ac:dyDescent="0.3">
      <c r="B3697" s="33" t="s">
        <v>9699</v>
      </c>
      <c r="C3697" s="32" t="s">
        <v>10210</v>
      </c>
      <c r="D3697" s="32" t="s">
        <v>10211</v>
      </c>
    </row>
    <row r="3698" spans="2:4" x14ac:dyDescent="0.3">
      <c r="B3698" s="33" t="s">
        <v>9699</v>
      </c>
      <c r="C3698" s="32" t="s">
        <v>10212</v>
      </c>
      <c r="D3698" s="32" t="s">
        <v>10213</v>
      </c>
    </row>
    <row r="3699" spans="2:4" x14ac:dyDescent="0.3">
      <c r="B3699" s="33" t="s">
        <v>10214</v>
      </c>
      <c r="C3699" s="32" t="s">
        <v>10215</v>
      </c>
      <c r="D3699" s="32" t="s">
        <v>10216</v>
      </c>
    </row>
    <row r="3700" spans="2:4" x14ac:dyDescent="0.3">
      <c r="B3700" s="33" t="s">
        <v>10217</v>
      </c>
      <c r="C3700" s="32" t="s">
        <v>10218</v>
      </c>
      <c r="D3700" s="32" t="s">
        <v>10219</v>
      </c>
    </row>
    <row r="3701" spans="2:4" x14ac:dyDescent="0.3">
      <c r="B3701" s="33" t="s">
        <v>10220</v>
      </c>
      <c r="C3701" s="32" t="s">
        <v>10221</v>
      </c>
      <c r="D3701" s="32" t="s">
        <v>10222</v>
      </c>
    </row>
    <row r="3702" spans="2:4" x14ac:dyDescent="0.3">
      <c r="B3702" s="33" t="s">
        <v>10223</v>
      </c>
      <c r="C3702" s="32" t="s">
        <v>10224</v>
      </c>
      <c r="D3702" s="32" t="s">
        <v>10225</v>
      </c>
    </row>
    <row r="3703" spans="2:4" x14ac:dyDescent="0.3">
      <c r="B3703" s="33" t="s">
        <v>10226</v>
      </c>
      <c r="C3703" s="32" t="s">
        <v>10227</v>
      </c>
      <c r="D3703" s="32" t="s">
        <v>10228</v>
      </c>
    </row>
    <row r="3704" spans="2:4" x14ac:dyDescent="0.3">
      <c r="B3704" s="33" t="s">
        <v>10229</v>
      </c>
      <c r="C3704" s="32" t="s">
        <v>10230</v>
      </c>
      <c r="D3704" s="32" t="s">
        <v>10230</v>
      </c>
    </row>
    <row r="3705" spans="2:4" x14ac:dyDescent="0.3">
      <c r="B3705" s="33" t="s">
        <v>10231</v>
      </c>
      <c r="C3705" s="32" t="s">
        <v>10232</v>
      </c>
      <c r="D3705" s="32" t="s">
        <v>10233</v>
      </c>
    </row>
    <row r="3706" spans="2:4" x14ac:dyDescent="0.3">
      <c r="B3706" s="33" t="s">
        <v>10234</v>
      </c>
      <c r="C3706" s="32" t="s">
        <v>10235</v>
      </c>
      <c r="D3706" s="32" t="s">
        <v>10236</v>
      </c>
    </row>
    <row r="3707" spans="2:4" x14ac:dyDescent="0.3">
      <c r="B3707" s="33" t="s">
        <v>10237</v>
      </c>
      <c r="C3707" s="32" t="s">
        <v>10238</v>
      </c>
      <c r="D3707" s="32" t="s">
        <v>10239</v>
      </c>
    </row>
    <row r="3708" spans="2:4" x14ac:dyDescent="0.3">
      <c r="B3708" s="33" t="s">
        <v>10240</v>
      </c>
      <c r="C3708" s="32" t="s">
        <v>10241</v>
      </c>
      <c r="D3708" s="32" t="s">
        <v>10242</v>
      </c>
    </row>
    <row r="3709" spans="2:4" x14ac:dyDescent="0.3">
      <c r="B3709" s="33" t="s">
        <v>150</v>
      </c>
      <c r="C3709" s="32" t="s">
        <v>10243</v>
      </c>
      <c r="D3709" s="32" t="s">
        <v>10244</v>
      </c>
    </row>
    <row r="3710" spans="2:4" x14ac:dyDescent="0.3">
      <c r="B3710" s="33" t="s">
        <v>10245</v>
      </c>
      <c r="C3710" s="32" t="s">
        <v>10246</v>
      </c>
      <c r="D3710" s="32" t="s">
        <v>10247</v>
      </c>
    </row>
    <row r="3711" spans="2:4" x14ac:dyDescent="0.3">
      <c r="B3711" s="33" t="s">
        <v>10248</v>
      </c>
      <c r="C3711" s="32" t="s">
        <v>10249</v>
      </c>
      <c r="D3711" s="32" t="s">
        <v>10250</v>
      </c>
    </row>
    <row r="3712" spans="2:4" x14ac:dyDescent="0.3">
      <c r="B3712" s="33" t="s">
        <v>10251</v>
      </c>
      <c r="C3712" s="32" t="s">
        <v>10252</v>
      </c>
      <c r="D3712" s="32" t="s">
        <v>10253</v>
      </c>
    </row>
    <row r="3713" spans="2:4" x14ac:dyDescent="0.3">
      <c r="B3713" s="33" t="s">
        <v>10254</v>
      </c>
      <c r="C3713" s="32" t="s">
        <v>10255</v>
      </c>
      <c r="D3713" s="32" t="s">
        <v>10256</v>
      </c>
    </row>
    <row r="3714" spans="2:4" x14ac:dyDescent="0.3">
      <c r="B3714" s="33" t="s">
        <v>10026</v>
      </c>
      <c r="C3714" s="32" t="s">
        <v>10257</v>
      </c>
      <c r="D3714" s="32" t="s">
        <v>10258</v>
      </c>
    </row>
    <row r="3715" spans="2:4" x14ac:dyDescent="0.3">
      <c r="B3715" s="33" t="s">
        <v>10259</v>
      </c>
      <c r="C3715" s="32" t="s">
        <v>10260</v>
      </c>
      <c r="D3715" s="32" t="s">
        <v>10261</v>
      </c>
    </row>
    <row r="3716" spans="2:4" x14ac:dyDescent="0.3">
      <c r="B3716" s="33" t="s">
        <v>10262</v>
      </c>
      <c r="C3716" s="32" t="s">
        <v>10263</v>
      </c>
      <c r="D3716" s="32" t="s">
        <v>10264</v>
      </c>
    </row>
    <row r="3717" spans="2:4" x14ac:dyDescent="0.3">
      <c r="B3717" s="33" t="s">
        <v>10265</v>
      </c>
      <c r="C3717" s="32" t="s">
        <v>10266</v>
      </c>
      <c r="D3717" s="32" t="s">
        <v>10267</v>
      </c>
    </row>
    <row r="3718" spans="2:4" x14ac:dyDescent="0.3">
      <c r="B3718" s="33" t="s">
        <v>10268</v>
      </c>
      <c r="C3718" s="32" t="s">
        <v>10269</v>
      </c>
      <c r="D3718" s="32" t="s">
        <v>10270</v>
      </c>
    </row>
    <row r="3719" spans="2:4" x14ac:dyDescent="0.3">
      <c r="B3719" s="33" t="s">
        <v>10271</v>
      </c>
      <c r="C3719" s="32" t="s">
        <v>10272</v>
      </c>
      <c r="D3719" s="32" t="s">
        <v>10273</v>
      </c>
    </row>
    <row r="3720" spans="2:4" x14ac:dyDescent="0.3">
      <c r="B3720" s="33" t="s">
        <v>10274</v>
      </c>
      <c r="C3720" s="32" t="s">
        <v>10275</v>
      </c>
      <c r="D3720" s="32" t="s">
        <v>36717</v>
      </c>
    </row>
    <row r="3721" spans="2:4" x14ac:dyDescent="0.3">
      <c r="B3721" s="33" t="s">
        <v>9179</v>
      </c>
      <c r="C3721" s="32" t="s">
        <v>10276</v>
      </c>
      <c r="D3721" s="32" t="s">
        <v>10277</v>
      </c>
    </row>
    <row r="3722" spans="2:4" x14ac:dyDescent="0.3">
      <c r="B3722" s="33" t="s">
        <v>9184</v>
      </c>
      <c r="C3722" s="32" t="s">
        <v>10278</v>
      </c>
      <c r="D3722" s="32" t="s">
        <v>9184</v>
      </c>
    </row>
    <row r="3723" spans="2:4" x14ac:dyDescent="0.3">
      <c r="B3723" s="33" t="s">
        <v>10279</v>
      </c>
      <c r="C3723" s="32" t="s">
        <v>10280</v>
      </c>
      <c r="D3723" s="32" t="s">
        <v>10281</v>
      </c>
    </row>
    <row r="3724" spans="2:4" x14ac:dyDescent="0.3">
      <c r="B3724" s="33" t="s">
        <v>10282</v>
      </c>
      <c r="C3724" s="32" t="s">
        <v>10283</v>
      </c>
      <c r="D3724" s="32" t="s">
        <v>10284</v>
      </c>
    </row>
    <row r="3725" spans="2:4" x14ac:dyDescent="0.3">
      <c r="B3725" s="33" t="s">
        <v>9179</v>
      </c>
      <c r="C3725" s="32" t="s">
        <v>10285</v>
      </c>
      <c r="D3725" s="32" t="s">
        <v>9179</v>
      </c>
    </row>
    <row r="3726" spans="2:4" x14ac:dyDescent="0.3">
      <c r="B3726" s="33" t="s">
        <v>10286</v>
      </c>
      <c r="C3726" s="32" t="s">
        <v>10287</v>
      </c>
      <c r="D3726" s="32" t="s">
        <v>10286</v>
      </c>
    </row>
    <row r="3727" spans="2:4" x14ac:dyDescent="0.3">
      <c r="B3727" s="33" t="s">
        <v>10288</v>
      </c>
      <c r="C3727" s="32" t="s">
        <v>10289</v>
      </c>
      <c r="D3727" s="32" t="s">
        <v>10290</v>
      </c>
    </row>
    <row r="3728" spans="2:4" x14ac:dyDescent="0.3">
      <c r="B3728" s="33" t="s">
        <v>10288</v>
      </c>
      <c r="C3728" s="32" t="s">
        <v>10291</v>
      </c>
      <c r="D3728" s="32" t="s">
        <v>10292</v>
      </c>
    </row>
    <row r="3729" spans="2:4" x14ac:dyDescent="0.3">
      <c r="B3729" s="33" t="s">
        <v>10046</v>
      </c>
      <c r="C3729" s="32" t="s">
        <v>10293</v>
      </c>
      <c r="D3729" s="32" t="s">
        <v>10294</v>
      </c>
    </row>
    <row r="3730" spans="2:4" x14ac:dyDescent="0.3">
      <c r="B3730" s="33" t="s">
        <v>10295</v>
      </c>
      <c r="C3730" s="32" t="s">
        <v>10296</v>
      </c>
      <c r="D3730" s="32" t="s">
        <v>10297</v>
      </c>
    </row>
    <row r="3731" spans="2:4" x14ac:dyDescent="0.3">
      <c r="B3731" s="33" t="s">
        <v>10298</v>
      </c>
      <c r="C3731" s="32" t="s">
        <v>10299</v>
      </c>
      <c r="D3731" s="32" t="s">
        <v>10300</v>
      </c>
    </row>
    <row r="3732" spans="2:4" x14ac:dyDescent="0.3">
      <c r="B3732" s="33" t="s">
        <v>10301</v>
      </c>
      <c r="C3732" s="32" t="s">
        <v>10302</v>
      </c>
      <c r="D3732" s="32" t="s">
        <v>10303</v>
      </c>
    </row>
    <row r="3733" spans="2:4" x14ac:dyDescent="0.3">
      <c r="B3733" s="33" t="s">
        <v>10304</v>
      </c>
      <c r="C3733" s="32" t="s">
        <v>10305</v>
      </c>
      <c r="D3733" s="32" t="s">
        <v>10306</v>
      </c>
    </row>
    <row r="3734" spans="2:4" x14ac:dyDescent="0.3">
      <c r="B3734" s="33" t="s">
        <v>10307</v>
      </c>
      <c r="C3734" s="32" t="s">
        <v>10308</v>
      </c>
      <c r="D3734" s="32" t="s">
        <v>10309</v>
      </c>
    </row>
    <row r="3735" spans="2:4" x14ac:dyDescent="0.3">
      <c r="B3735" s="33" t="s">
        <v>10310</v>
      </c>
      <c r="C3735" s="32" t="s">
        <v>10311</v>
      </c>
      <c r="D3735" s="32" t="s">
        <v>10312</v>
      </c>
    </row>
    <row r="3736" spans="2:4" x14ac:dyDescent="0.3">
      <c r="B3736" s="33" t="s">
        <v>10313</v>
      </c>
      <c r="C3736" s="32" t="s">
        <v>10314</v>
      </c>
      <c r="D3736" s="32" t="s">
        <v>10315</v>
      </c>
    </row>
    <row r="3737" spans="2:4" x14ac:dyDescent="0.3">
      <c r="B3737" s="33" t="s">
        <v>10155</v>
      </c>
      <c r="C3737" s="32" t="s">
        <v>10316</v>
      </c>
      <c r="D3737" s="32" t="s">
        <v>10317</v>
      </c>
    </row>
    <row r="3738" spans="2:4" x14ac:dyDescent="0.3">
      <c r="B3738" s="33" t="s">
        <v>10318</v>
      </c>
      <c r="C3738" s="32" t="s">
        <v>10319</v>
      </c>
      <c r="D3738" s="32" t="s">
        <v>10318</v>
      </c>
    </row>
    <row r="3739" spans="2:4" x14ac:dyDescent="0.3">
      <c r="B3739" s="33" t="s">
        <v>10320</v>
      </c>
      <c r="C3739" s="32" t="s">
        <v>10321</v>
      </c>
      <c r="D3739" s="32" t="s">
        <v>10322</v>
      </c>
    </row>
    <row r="3740" spans="2:4" x14ac:dyDescent="0.3">
      <c r="B3740" s="33" t="s">
        <v>10323</v>
      </c>
      <c r="C3740" s="32" t="s">
        <v>10324</v>
      </c>
      <c r="D3740" s="32" t="s">
        <v>10323</v>
      </c>
    </row>
    <row r="3741" spans="2:4" x14ac:dyDescent="0.3">
      <c r="B3741" s="33" t="s">
        <v>10325</v>
      </c>
      <c r="C3741" s="32" t="s">
        <v>10326</v>
      </c>
      <c r="D3741" s="32" t="s">
        <v>10327</v>
      </c>
    </row>
    <row r="3742" spans="2:4" x14ac:dyDescent="0.3">
      <c r="B3742" s="33" t="s">
        <v>10328</v>
      </c>
      <c r="C3742" s="32" t="s">
        <v>10329</v>
      </c>
      <c r="D3742" s="32" t="s">
        <v>10330</v>
      </c>
    </row>
    <row r="3743" spans="2:4" x14ac:dyDescent="0.3">
      <c r="B3743" s="33" t="s">
        <v>10328</v>
      </c>
      <c r="C3743" s="32" t="s">
        <v>10331</v>
      </c>
      <c r="D3743" s="32" t="s">
        <v>10332</v>
      </c>
    </row>
    <row r="3744" spans="2:4" x14ac:dyDescent="0.3">
      <c r="B3744" s="33" t="s">
        <v>10333</v>
      </c>
      <c r="C3744" s="32" t="s">
        <v>10334</v>
      </c>
      <c r="D3744" s="32" t="s">
        <v>10335</v>
      </c>
    </row>
    <row r="3745" spans="2:4" x14ac:dyDescent="0.3">
      <c r="B3745" s="33" t="s">
        <v>10336</v>
      </c>
      <c r="C3745" s="32" t="s">
        <v>10337</v>
      </c>
      <c r="D3745" s="32" t="s">
        <v>10338</v>
      </c>
    </row>
    <row r="3746" spans="2:4" x14ac:dyDescent="0.3">
      <c r="B3746" s="33" t="s">
        <v>10339</v>
      </c>
      <c r="C3746" s="32" t="s">
        <v>10340</v>
      </c>
      <c r="D3746" s="32" t="s">
        <v>10341</v>
      </c>
    </row>
    <row r="3747" spans="2:4" x14ac:dyDescent="0.3">
      <c r="B3747" s="33" t="s">
        <v>10342</v>
      </c>
      <c r="C3747" s="32" t="s">
        <v>10343</v>
      </c>
      <c r="D3747" s="32" t="s">
        <v>10344</v>
      </c>
    </row>
    <row r="3748" spans="2:4" x14ac:dyDescent="0.3">
      <c r="B3748" s="33" t="s">
        <v>10345</v>
      </c>
      <c r="C3748" s="32" t="s">
        <v>10346</v>
      </c>
      <c r="D3748" s="32" t="s">
        <v>10347</v>
      </c>
    </row>
    <row r="3749" spans="2:4" x14ac:dyDescent="0.3">
      <c r="B3749" s="33" t="s">
        <v>10348</v>
      </c>
      <c r="C3749" s="32" t="s">
        <v>10349</v>
      </c>
      <c r="D3749" s="32" t="s">
        <v>10350</v>
      </c>
    </row>
    <row r="3750" spans="2:4" x14ac:dyDescent="0.3">
      <c r="B3750" s="33" t="s">
        <v>10351</v>
      </c>
      <c r="C3750" s="32" t="s">
        <v>10352</v>
      </c>
      <c r="D3750" s="32" t="s">
        <v>10353</v>
      </c>
    </row>
    <row r="3751" spans="2:4" x14ac:dyDescent="0.3">
      <c r="B3751" s="33" t="s">
        <v>10354</v>
      </c>
      <c r="C3751" s="32" t="s">
        <v>10355</v>
      </c>
      <c r="D3751" s="32" t="s">
        <v>10356</v>
      </c>
    </row>
    <row r="3752" spans="2:4" x14ac:dyDescent="0.3">
      <c r="B3752" s="33" t="s">
        <v>10357</v>
      </c>
      <c r="C3752" s="32" t="s">
        <v>10358</v>
      </c>
      <c r="D3752" s="32" t="s">
        <v>10359</v>
      </c>
    </row>
    <row r="3753" spans="2:4" x14ac:dyDescent="0.3">
      <c r="B3753" s="33" t="s">
        <v>10360</v>
      </c>
      <c r="C3753" s="32" t="s">
        <v>10361</v>
      </c>
      <c r="D3753" s="32" t="s">
        <v>10362</v>
      </c>
    </row>
    <row r="3754" spans="2:4" x14ac:dyDescent="0.3">
      <c r="B3754" s="33" t="s">
        <v>41</v>
      </c>
      <c r="C3754" s="32" t="s">
        <v>10363</v>
      </c>
      <c r="D3754" s="32" t="s">
        <v>42</v>
      </c>
    </row>
    <row r="3755" spans="2:4" x14ac:dyDescent="0.3">
      <c r="B3755" s="33" t="s">
        <v>10364</v>
      </c>
      <c r="C3755" s="32" t="s">
        <v>10365</v>
      </c>
      <c r="D3755" s="32" t="s">
        <v>10366</v>
      </c>
    </row>
    <row r="3756" spans="2:4" x14ac:dyDescent="0.3">
      <c r="B3756" s="33" t="s">
        <v>10367</v>
      </c>
      <c r="C3756" s="32" t="s">
        <v>10368</v>
      </c>
      <c r="D3756" s="32" t="s">
        <v>10369</v>
      </c>
    </row>
    <row r="3757" spans="2:4" x14ac:dyDescent="0.3">
      <c r="B3757" s="33" t="s">
        <v>10370</v>
      </c>
      <c r="C3757" s="32" t="s">
        <v>10371</v>
      </c>
      <c r="D3757" s="32" t="s">
        <v>10372</v>
      </c>
    </row>
    <row r="3758" spans="2:4" x14ac:dyDescent="0.3">
      <c r="B3758" s="33" t="s">
        <v>10373</v>
      </c>
      <c r="C3758" s="32" t="s">
        <v>10374</v>
      </c>
      <c r="D3758" s="32" t="s">
        <v>10375</v>
      </c>
    </row>
    <row r="3759" spans="2:4" x14ac:dyDescent="0.3">
      <c r="B3759" s="33" t="s">
        <v>10376</v>
      </c>
      <c r="C3759" s="32" t="s">
        <v>10377</v>
      </c>
      <c r="D3759" s="32" t="s">
        <v>10378</v>
      </c>
    </row>
    <row r="3760" spans="2:4" x14ac:dyDescent="0.3">
      <c r="B3760" s="33" t="s">
        <v>10379</v>
      </c>
      <c r="C3760" s="32" t="s">
        <v>10380</v>
      </c>
      <c r="D3760" s="32" t="s">
        <v>10381</v>
      </c>
    </row>
    <row r="3761" spans="2:4" x14ac:dyDescent="0.3">
      <c r="B3761" s="33" t="s">
        <v>10382</v>
      </c>
      <c r="C3761" s="32" t="s">
        <v>10383</v>
      </c>
      <c r="D3761" s="32" t="s">
        <v>10384</v>
      </c>
    </row>
    <row r="3762" spans="2:4" x14ac:dyDescent="0.3">
      <c r="B3762" s="33" t="s">
        <v>10385</v>
      </c>
      <c r="C3762" s="32" t="s">
        <v>10386</v>
      </c>
      <c r="D3762" s="32" t="s">
        <v>10385</v>
      </c>
    </row>
    <row r="3763" spans="2:4" x14ac:dyDescent="0.3">
      <c r="B3763" s="33" t="s">
        <v>10387</v>
      </c>
      <c r="C3763" s="32" t="s">
        <v>10388</v>
      </c>
      <c r="D3763" s="32" t="s">
        <v>10389</v>
      </c>
    </row>
    <row r="3764" spans="2:4" x14ac:dyDescent="0.3">
      <c r="B3764" s="33" t="s">
        <v>10390</v>
      </c>
      <c r="C3764" s="32" t="s">
        <v>10391</v>
      </c>
      <c r="D3764" s="32" t="s">
        <v>10392</v>
      </c>
    </row>
    <row r="3765" spans="2:4" x14ac:dyDescent="0.3">
      <c r="B3765" s="33" t="s">
        <v>10393</v>
      </c>
      <c r="C3765" s="32" t="s">
        <v>10394</v>
      </c>
      <c r="D3765" s="32" t="s">
        <v>10395</v>
      </c>
    </row>
    <row r="3766" spans="2:4" x14ac:dyDescent="0.3">
      <c r="B3766" s="33" t="s">
        <v>10396</v>
      </c>
      <c r="C3766" s="32" t="s">
        <v>10397</v>
      </c>
      <c r="D3766" s="32" t="s">
        <v>10398</v>
      </c>
    </row>
    <row r="3767" spans="2:4" x14ac:dyDescent="0.3">
      <c r="B3767" s="33" t="s">
        <v>10399</v>
      </c>
      <c r="C3767" s="32" t="s">
        <v>10400</v>
      </c>
      <c r="D3767" s="32" t="s">
        <v>10401</v>
      </c>
    </row>
    <row r="3768" spans="2:4" x14ac:dyDescent="0.3">
      <c r="B3768" s="33" t="s">
        <v>10402</v>
      </c>
      <c r="C3768" s="32" t="s">
        <v>10403</v>
      </c>
      <c r="D3768" s="32" t="s">
        <v>10404</v>
      </c>
    </row>
    <row r="3769" spans="2:4" x14ac:dyDescent="0.3">
      <c r="B3769" s="33" t="s">
        <v>10405</v>
      </c>
      <c r="C3769" s="32" t="s">
        <v>10406</v>
      </c>
      <c r="D3769" s="32" t="s">
        <v>10407</v>
      </c>
    </row>
    <row r="3770" spans="2:4" x14ac:dyDescent="0.3">
      <c r="B3770" s="33" t="s">
        <v>10408</v>
      </c>
      <c r="C3770" s="32" t="s">
        <v>10409</v>
      </c>
      <c r="D3770" s="32" t="s">
        <v>10410</v>
      </c>
    </row>
    <row r="3771" spans="2:4" x14ac:dyDescent="0.3">
      <c r="B3771" s="33" t="s">
        <v>10411</v>
      </c>
      <c r="C3771" s="32" t="s">
        <v>10412</v>
      </c>
      <c r="D3771" s="32" t="s">
        <v>10413</v>
      </c>
    </row>
    <row r="3772" spans="2:4" x14ac:dyDescent="0.3">
      <c r="B3772" s="33" t="s">
        <v>10414</v>
      </c>
      <c r="C3772" s="32" t="s">
        <v>10415</v>
      </c>
      <c r="D3772" s="32" t="s">
        <v>10416</v>
      </c>
    </row>
    <row r="3773" spans="2:4" x14ac:dyDescent="0.3">
      <c r="B3773" s="33" t="s">
        <v>10417</v>
      </c>
      <c r="C3773" s="32" t="s">
        <v>10418</v>
      </c>
      <c r="D3773" s="32" t="s">
        <v>10419</v>
      </c>
    </row>
    <row r="3774" spans="2:4" x14ac:dyDescent="0.3">
      <c r="B3774" s="33" t="s">
        <v>10420</v>
      </c>
      <c r="C3774" s="32" t="s">
        <v>10421</v>
      </c>
      <c r="D3774" s="32" t="s">
        <v>10422</v>
      </c>
    </row>
    <row r="3775" spans="2:4" x14ac:dyDescent="0.3">
      <c r="B3775" s="33" t="s">
        <v>10423</v>
      </c>
      <c r="C3775" s="32" t="s">
        <v>10424</v>
      </c>
      <c r="D3775" s="32" t="s">
        <v>10425</v>
      </c>
    </row>
    <row r="3776" spans="2:4" x14ac:dyDescent="0.3">
      <c r="B3776" s="33" t="s">
        <v>10423</v>
      </c>
      <c r="C3776" s="32" t="s">
        <v>10426</v>
      </c>
      <c r="D3776" s="32" t="s">
        <v>10427</v>
      </c>
    </row>
    <row r="3777" spans="2:4" x14ac:dyDescent="0.3">
      <c r="B3777" s="33" t="s">
        <v>10428</v>
      </c>
      <c r="C3777" s="32" t="s">
        <v>10429</v>
      </c>
      <c r="D3777" s="32" t="s">
        <v>10430</v>
      </c>
    </row>
    <row r="3778" spans="2:4" x14ac:dyDescent="0.3">
      <c r="B3778" s="33" t="s">
        <v>10431</v>
      </c>
      <c r="C3778" s="32" t="s">
        <v>10432</v>
      </c>
      <c r="D3778" s="32" t="s">
        <v>10433</v>
      </c>
    </row>
    <row r="3779" spans="2:4" x14ac:dyDescent="0.3">
      <c r="B3779" s="33" t="s">
        <v>10434</v>
      </c>
      <c r="C3779" s="32" t="s">
        <v>10435</v>
      </c>
      <c r="D3779" s="32" t="s">
        <v>10436</v>
      </c>
    </row>
    <row r="3780" spans="2:4" x14ac:dyDescent="0.3">
      <c r="B3780" s="33" t="s">
        <v>10437</v>
      </c>
      <c r="C3780" s="32" t="s">
        <v>10438</v>
      </c>
      <c r="D3780" s="32" t="s">
        <v>10439</v>
      </c>
    </row>
    <row r="3781" spans="2:4" x14ac:dyDescent="0.3">
      <c r="B3781" s="33" t="s">
        <v>10440</v>
      </c>
      <c r="C3781" s="32" t="s">
        <v>10441</v>
      </c>
      <c r="D3781" s="32" t="s">
        <v>10442</v>
      </c>
    </row>
    <row r="3782" spans="2:4" x14ac:dyDescent="0.3">
      <c r="B3782" s="33" t="s">
        <v>10443</v>
      </c>
      <c r="C3782" s="32" t="s">
        <v>10444</v>
      </c>
      <c r="D3782" s="32" t="s">
        <v>10445</v>
      </c>
    </row>
    <row r="3783" spans="2:4" x14ac:dyDescent="0.3">
      <c r="B3783" s="33" t="s">
        <v>10446</v>
      </c>
      <c r="C3783" s="32" t="s">
        <v>10447</v>
      </c>
      <c r="D3783" s="32" t="s">
        <v>10448</v>
      </c>
    </row>
    <row r="3784" spans="2:4" x14ac:dyDescent="0.3">
      <c r="B3784" s="33" t="s">
        <v>10449</v>
      </c>
      <c r="C3784" s="32" t="s">
        <v>10450</v>
      </c>
      <c r="D3784" s="32" t="s">
        <v>10451</v>
      </c>
    </row>
    <row r="3785" spans="2:4" x14ac:dyDescent="0.3">
      <c r="B3785" s="33" t="s">
        <v>9786</v>
      </c>
      <c r="C3785" s="32" t="s">
        <v>10452</v>
      </c>
      <c r="D3785" s="32" t="s">
        <v>10453</v>
      </c>
    </row>
    <row r="3786" spans="2:4" x14ac:dyDescent="0.3">
      <c r="B3786" s="33" t="s">
        <v>10454</v>
      </c>
      <c r="C3786" s="32" t="s">
        <v>10455</v>
      </c>
      <c r="D3786" s="32" t="s">
        <v>10456</v>
      </c>
    </row>
    <row r="3787" spans="2:4" x14ac:dyDescent="0.3">
      <c r="B3787" s="33" t="s">
        <v>10457</v>
      </c>
      <c r="C3787" s="32" t="s">
        <v>10458</v>
      </c>
      <c r="D3787" s="32" t="s">
        <v>10459</v>
      </c>
    </row>
    <row r="3788" spans="2:4" x14ac:dyDescent="0.3">
      <c r="B3788" s="33" t="s">
        <v>10460</v>
      </c>
      <c r="C3788" s="32" t="s">
        <v>10461</v>
      </c>
      <c r="D3788" s="32" t="s">
        <v>10462</v>
      </c>
    </row>
    <row r="3789" spans="2:4" x14ac:dyDescent="0.3">
      <c r="B3789" s="33" t="s">
        <v>10463</v>
      </c>
      <c r="C3789" s="32" t="s">
        <v>10464</v>
      </c>
      <c r="D3789" s="32" t="s">
        <v>10465</v>
      </c>
    </row>
    <row r="3790" spans="2:4" x14ac:dyDescent="0.3">
      <c r="B3790" s="33" t="s">
        <v>10466</v>
      </c>
      <c r="C3790" s="32" t="s">
        <v>10467</v>
      </c>
      <c r="D3790" s="32" t="s">
        <v>10468</v>
      </c>
    </row>
    <row r="3791" spans="2:4" x14ac:dyDescent="0.3">
      <c r="B3791" s="33" t="s">
        <v>10469</v>
      </c>
      <c r="C3791" s="32" t="s">
        <v>10470</v>
      </c>
      <c r="D3791" s="32" t="s">
        <v>10471</v>
      </c>
    </row>
    <row r="3792" spans="2:4" x14ac:dyDescent="0.3">
      <c r="B3792" s="33" t="s">
        <v>10472</v>
      </c>
      <c r="C3792" s="32" t="s">
        <v>10473</v>
      </c>
      <c r="D3792" s="32" t="s">
        <v>10474</v>
      </c>
    </row>
    <row r="3793" spans="2:4" x14ac:dyDescent="0.3">
      <c r="B3793" s="33" t="s">
        <v>10475</v>
      </c>
      <c r="C3793" s="32" t="s">
        <v>10476</v>
      </c>
      <c r="D3793" s="32" t="s">
        <v>10477</v>
      </c>
    </row>
    <row r="3794" spans="2:4" x14ac:dyDescent="0.3">
      <c r="B3794" s="33" t="s">
        <v>10478</v>
      </c>
      <c r="C3794" s="32" t="s">
        <v>10479</v>
      </c>
      <c r="D3794" s="32" t="s">
        <v>10480</v>
      </c>
    </row>
    <row r="3795" spans="2:4" x14ac:dyDescent="0.3">
      <c r="B3795" s="33" t="s">
        <v>10481</v>
      </c>
      <c r="C3795" s="32" t="s">
        <v>10482</v>
      </c>
      <c r="D3795" s="32" t="s">
        <v>10483</v>
      </c>
    </row>
    <row r="3796" spans="2:4" x14ac:dyDescent="0.3">
      <c r="B3796" s="33" t="s">
        <v>10484</v>
      </c>
      <c r="C3796" s="32" t="s">
        <v>10485</v>
      </c>
      <c r="D3796" s="32" t="s">
        <v>10486</v>
      </c>
    </row>
    <row r="3797" spans="2:4" x14ac:dyDescent="0.3">
      <c r="B3797" s="33" t="s">
        <v>10487</v>
      </c>
      <c r="C3797" s="32" t="s">
        <v>10488</v>
      </c>
      <c r="D3797" s="32" t="s">
        <v>10489</v>
      </c>
    </row>
    <row r="3798" spans="2:4" x14ac:dyDescent="0.3">
      <c r="B3798" s="33" t="s">
        <v>10490</v>
      </c>
      <c r="C3798" s="32" t="s">
        <v>10491</v>
      </c>
      <c r="D3798" s="32" t="s">
        <v>10492</v>
      </c>
    </row>
    <row r="3799" spans="2:4" x14ac:dyDescent="0.3">
      <c r="B3799" s="33" t="s">
        <v>10493</v>
      </c>
      <c r="C3799" s="32" t="s">
        <v>10494</v>
      </c>
      <c r="D3799" s="32" t="s">
        <v>10495</v>
      </c>
    </row>
    <row r="3800" spans="2:4" x14ac:dyDescent="0.3">
      <c r="B3800" s="33" t="s">
        <v>10496</v>
      </c>
      <c r="C3800" s="32" t="s">
        <v>10497</v>
      </c>
      <c r="D3800" s="32" t="s">
        <v>10498</v>
      </c>
    </row>
    <row r="3801" spans="2:4" x14ac:dyDescent="0.3">
      <c r="B3801" s="33" t="s">
        <v>10499</v>
      </c>
      <c r="C3801" s="32" t="s">
        <v>10500</v>
      </c>
      <c r="D3801" s="32" t="s">
        <v>10501</v>
      </c>
    </row>
    <row r="3802" spans="2:4" x14ac:dyDescent="0.3">
      <c r="B3802" s="33" t="s">
        <v>10502</v>
      </c>
      <c r="C3802" s="32" t="s">
        <v>10503</v>
      </c>
      <c r="D3802" s="32" t="s">
        <v>10504</v>
      </c>
    </row>
    <row r="3803" spans="2:4" x14ac:dyDescent="0.3">
      <c r="B3803" s="33" t="s">
        <v>10505</v>
      </c>
      <c r="C3803" s="32" t="s">
        <v>10506</v>
      </c>
      <c r="D3803" s="32" t="s">
        <v>10507</v>
      </c>
    </row>
    <row r="3804" spans="2:4" x14ac:dyDescent="0.3">
      <c r="B3804" s="33" t="s">
        <v>10508</v>
      </c>
      <c r="C3804" s="32" t="s">
        <v>10509</v>
      </c>
      <c r="D3804" s="32" t="s">
        <v>10510</v>
      </c>
    </row>
    <row r="3805" spans="2:4" x14ac:dyDescent="0.3">
      <c r="B3805" s="33" t="s">
        <v>10511</v>
      </c>
      <c r="C3805" s="32" t="s">
        <v>10512</v>
      </c>
      <c r="D3805" s="32" t="s">
        <v>10513</v>
      </c>
    </row>
    <row r="3806" spans="2:4" x14ac:dyDescent="0.3">
      <c r="B3806" s="33" t="s">
        <v>10514</v>
      </c>
      <c r="C3806" s="32" t="s">
        <v>10515</v>
      </c>
      <c r="D3806" s="32" t="s">
        <v>10516</v>
      </c>
    </row>
    <row r="3807" spans="2:4" x14ac:dyDescent="0.3">
      <c r="B3807" s="33" t="s">
        <v>10517</v>
      </c>
      <c r="C3807" s="32" t="s">
        <v>10518</v>
      </c>
      <c r="D3807" s="32" t="s">
        <v>10519</v>
      </c>
    </row>
    <row r="3808" spans="2:4" x14ac:dyDescent="0.3">
      <c r="B3808" s="33" t="s">
        <v>10520</v>
      </c>
      <c r="C3808" s="32" t="s">
        <v>10521</v>
      </c>
      <c r="D3808" s="32" t="s">
        <v>10522</v>
      </c>
    </row>
    <row r="3809" spans="2:4" x14ac:dyDescent="0.3">
      <c r="B3809" s="33" t="s">
        <v>10523</v>
      </c>
      <c r="C3809" s="32" t="s">
        <v>10524</v>
      </c>
      <c r="D3809" s="32" t="s">
        <v>10525</v>
      </c>
    </row>
    <row r="3810" spans="2:4" x14ac:dyDescent="0.3">
      <c r="B3810" s="33" t="s">
        <v>10526</v>
      </c>
      <c r="C3810" s="32" t="s">
        <v>10527</v>
      </c>
      <c r="D3810" s="32" t="s">
        <v>10528</v>
      </c>
    </row>
    <row r="3811" spans="2:4" x14ac:dyDescent="0.3">
      <c r="B3811" s="33" t="s">
        <v>9605</v>
      </c>
      <c r="C3811" s="32" t="s">
        <v>10529</v>
      </c>
      <c r="D3811" s="32" t="s">
        <v>10530</v>
      </c>
    </row>
    <row r="3812" spans="2:4" x14ac:dyDescent="0.3">
      <c r="B3812" s="33" t="s">
        <v>10531</v>
      </c>
      <c r="C3812" s="32" t="s">
        <v>10532</v>
      </c>
      <c r="D3812" s="32" t="s">
        <v>10533</v>
      </c>
    </row>
    <row r="3813" spans="2:4" x14ac:dyDescent="0.3">
      <c r="B3813" s="33" t="s">
        <v>10534</v>
      </c>
      <c r="C3813" s="32" t="s">
        <v>10535</v>
      </c>
      <c r="D3813" s="32" t="s">
        <v>10536</v>
      </c>
    </row>
    <row r="3814" spans="2:4" x14ac:dyDescent="0.3">
      <c r="B3814" s="33" t="s">
        <v>10537</v>
      </c>
      <c r="C3814" s="32" t="s">
        <v>10538</v>
      </c>
      <c r="D3814" s="32" t="s">
        <v>10537</v>
      </c>
    </row>
    <row r="3815" spans="2:4" x14ac:dyDescent="0.3">
      <c r="B3815" s="33" t="s">
        <v>10539</v>
      </c>
      <c r="C3815" s="32" t="s">
        <v>10540</v>
      </c>
      <c r="D3815" s="32" t="s">
        <v>10541</v>
      </c>
    </row>
    <row r="3816" spans="2:4" x14ac:dyDescent="0.3">
      <c r="B3816" s="33" t="s">
        <v>10542</v>
      </c>
      <c r="C3816" s="32" t="s">
        <v>10543</v>
      </c>
      <c r="D3816" s="32" t="s">
        <v>10544</v>
      </c>
    </row>
    <row r="3817" spans="2:4" x14ac:dyDescent="0.3">
      <c r="B3817" s="33" t="s">
        <v>10328</v>
      </c>
      <c r="C3817" s="32" t="s">
        <v>10545</v>
      </c>
      <c r="D3817" s="32" t="s">
        <v>10546</v>
      </c>
    </row>
    <row r="3818" spans="2:4" x14ac:dyDescent="0.3">
      <c r="B3818" s="33" t="s">
        <v>10547</v>
      </c>
      <c r="C3818" s="32" t="s">
        <v>10548</v>
      </c>
      <c r="D3818" s="32" t="s">
        <v>10549</v>
      </c>
    </row>
    <row r="3819" spans="2:4" x14ac:dyDescent="0.3">
      <c r="B3819" s="33" t="s">
        <v>10550</v>
      </c>
      <c r="C3819" s="32" t="s">
        <v>10551</v>
      </c>
      <c r="D3819" s="32" t="s">
        <v>10552</v>
      </c>
    </row>
    <row r="3820" spans="2:4" x14ac:dyDescent="0.3">
      <c r="B3820" s="33" t="s">
        <v>10553</v>
      </c>
      <c r="C3820" s="32" t="s">
        <v>10554</v>
      </c>
      <c r="D3820" s="32" t="s">
        <v>10555</v>
      </c>
    </row>
    <row r="3821" spans="2:4" x14ac:dyDescent="0.3">
      <c r="B3821" s="33" t="s">
        <v>10556</v>
      </c>
      <c r="C3821" s="32" t="s">
        <v>10557</v>
      </c>
      <c r="D3821" s="32" t="s">
        <v>10558</v>
      </c>
    </row>
    <row r="3822" spans="2:4" x14ac:dyDescent="0.3">
      <c r="B3822" s="33" t="s">
        <v>10559</v>
      </c>
      <c r="C3822" s="32" t="s">
        <v>10560</v>
      </c>
      <c r="D3822" s="32" t="s">
        <v>10561</v>
      </c>
    </row>
    <row r="3823" spans="2:4" x14ac:dyDescent="0.3">
      <c r="B3823" s="33" t="s">
        <v>10562</v>
      </c>
      <c r="C3823" s="32" t="s">
        <v>10563</v>
      </c>
      <c r="D3823" s="32" t="s">
        <v>10562</v>
      </c>
    </row>
    <row r="3824" spans="2:4" x14ac:dyDescent="0.3">
      <c r="B3824" s="33" t="s">
        <v>10564</v>
      </c>
      <c r="C3824" s="32" t="s">
        <v>10565</v>
      </c>
      <c r="D3824" s="32" t="s">
        <v>10566</v>
      </c>
    </row>
    <row r="3825" spans="2:4" x14ac:dyDescent="0.3">
      <c r="B3825" s="33" t="s">
        <v>10567</v>
      </c>
      <c r="C3825" s="32" t="s">
        <v>10568</v>
      </c>
      <c r="D3825" s="32" t="s">
        <v>10569</v>
      </c>
    </row>
    <row r="3826" spans="2:4" x14ac:dyDescent="0.3">
      <c r="B3826" s="33" t="s">
        <v>10570</v>
      </c>
      <c r="C3826" s="32" t="s">
        <v>10571</v>
      </c>
      <c r="D3826" s="32" t="s">
        <v>10570</v>
      </c>
    </row>
    <row r="3827" spans="2:4" x14ac:dyDescent="0.3">
      <c r="B3827" s="33" t="s">
        <v>10572</v>
      </c>
      <c r="C3827" s="32" t="s">
        <v>10573</v>
      </c>
      <c r="D3827" s="32" t="s">
        <v>10574</v>
      </c>
    </row>
    <row r="3828" spans="2:4" x14ac:dyDescent="0.3">
      <c r="B3828" s="33" t="s">
        <v>10575</v>
      </c>
      <c r="C3828" s="32" t="s">
        <v>10576</v>
      </c>
      <c r="D3828" s="32" t="s">
        <v>10577</v>
      </c>
    </row>
    <row r="3829" spans="2:4" x14ac:dyDescent="0.3">
      <c r="B3829" s="33" t="s">
        <v>10578</v>
      </c>
      <c r="C3829" s="32" t="s">
        <v>10579</v>
      </c>
      <c r="D3829" s="32" t="s">
        <v>10580</v>
      </c>
    </row>
    <row r="3830" spans="2:4" x14ac:dyDescent="0.3">
      <c r="B3830" s="33" t="s">
        <v>10581</v>
      </c>
      <c r="C3830" s="32" t="s">
        <v>10582</v>
      </c>
      <c r="D3830" s="32" t="s">
        <v>10583</v>
      </c>
    </row>
    <row r="3831" spans="2:4" x14ac:dyDescent="0.3">
      <c r="B3831" s="33" t="s">
        <v>10584</v>
      </c>
      <c r="C3831" s="32" t="s">
        <v>10585</v>
      </c>
      <c r="D3831" s="32" t="s">
        <v>10586</v>
      </c>
    </row>
    <row r="3832" spans="2:4" x14ac:dyDescent="0.3">
      <c r="B3832" s="33" t="s">
        <v>10587</v>
      </c>
      <c r="C3832" s="32" t="s">
        <v>10588</v>
      </c>
      <c r="D3832" s="32" t="s">
        <v>10589</v>
      </c>
    </row>
    <row r="3833" spans="2:4" x14ac:dyDescent="0.3">
      <c r="B3833" s="33" t="s">
        <v>10590</v>
      </c>
      <c r="C3833" s="32" t="s">
        <v>10591</v>
      </c>
      <c r="D3833" s="32" t="s">
        <v>10592</v>
      </c>
    </row>
    <row r="3834" spans="2:4" x14ac:dyDescent="0.3">
      <c r="B3834" s="33" t="s">
        <v>2182</v>
      </c>
      <c r="C3834" s="32" t="s">
        <v>10593</v>
      </c>
      <c r="D3834" s="32" t="s">
        <v>10594</v>
      </c>
    </row>
    <row r="3835" spans="2:4" x14ac:dyDescent="0.3">
      <c r="B3835" s="33" t="s">
        <v>10595</v>
      </c>
      <c r="C3835" s="32" t="s">
        <v>10596</v>
      </c>
      <c r="D3835" s="32" t="s">
        <v>10597</v>
      </c>
    </row>
    <row r="3836" spans="2:4" x14ac:dyDescent="0.3">
      <c r="B3836" s="33" t="s">
        <v>10598</v>
      </c>
      <c r="C3836" s="32" t="s">
        <v>10599</v>
      </c>
      <c r="D3836" s="32" t="s">
        <v>10598</v>
      </c>
    </row>
    <row r="3837" spans="2:4" x14ac:dyDescent="0.3">
      <c r="B3837" s="33" t="s">
        <v>10600</v>
      </c>
      <c r="C3837" s="32" t="s">
        <v>10601</v>
      </c>
      <c r="D3837" s="32" t="s">
        <v>10602</v>
      </c>
    </row>
    <row r="3838" spans="2:4" x14ac:dyDescent="0.3">
      <c r="B3838" s="33" t="s">
        <v>9786</v>
      </c>
      <c r="C3838" s="32" t="s">
        <v>10603</v>
      </c>
      <c r="D3838" s="32" t="s">
        <v>10604</v>
      </c>
    </row>
    <row r="3839" spans="2:4" x14ac:dyDescent="0.3">
      <c r="B3839" s="33" t="s">
        <v>9786</v>
      </c>
      <c r="C3839" s="32" t="s">
        <v>10605</v>
      </c>
      <c r="D3839" s="32" t="s">
        <v>10606</v>
      </c>
    </row>
    <row r="3840" spans="2:4" x14ac:dyDescent="0.3">
      <c r="B3840" s="33" t="s">
        <v>9786</v>
      </c>
      <c r="C3840" s="32" t="s">
        <v>10607</v>
      </c>
      <c r="D3840" s="32" t="s">
        <v>10608</v>
      </c>
    </row>
    <row r="3841" spans="2:4" x14ac:dyDescent="0.3">
      <c r="B3841" s="33" t="s">
        <v>9255</v>
      </c>
      <c r="C3841" s="32" t="s">
        <v>10609</v>
      </c>
      <c r="D3841" s="32" t="s">
        <v>10610</v>
      </c>
    </row>
    <row r="3842" spans="2:4" x14ac:dyDescent="0.3">
      <c r="B3842" s="33" t="s">
        <v>10611</v>
      </c>
      <c r="C3842" s="32" t="s">
        <v>10612</v>
      </c>
      <c r="D3842" s="32" t="s">
        <v>10613</v>
      </c>
    </row>
    <row r="3843" spans="2:4" x14ac:dyDescent="0.3">
      <c r="B3843" s="33" t="s">
        <v>10614</v>
      </c>
      <c r="C3843" s="32" t="s">
        <v>10615</v>
      </c>
      <c r="D3843" s="32" t="s">
        <v>10616</v>
      </c>
    </row>
    <row r="3844" spans="2:4" x14ac:dyDescent="0.3">
      <c r="B3844" s="33" t="s">
        <v>10617</v>
      </c>
      <c r="C3844" s="32" t="s">
        <v>10618</v>
      </c>
      <c r="D3844" s="32" t="s">
        <v>10619</v>
      </c>
    </row>
    <row r="3845" spans="2:4" x14ac:dyDescent="0.3">
      <c r="B3845" s="33" t="s">
        <v>10620</v>
      </c>
      <c r="C3845" s="32" t="s">
        <v>10621</v>
      </c>
      <c r="D3845" s="32" t="s">
        <v>10622</v>
      </c>
    </row>
    <row r="3846" spans="2:4" x14ac:dyDescent="0.3">
      <c r="B3846" s="33" t="s">
        <v>10623</v>
      </c>
      <c r="C3846" s="32" t="s">
        <v>10624</v>
      </c>
      <c r="D3846" s="32" t="s">
        <v>10625</v>
      </c>
    </row>
    <row r="3847" spans="2:4" x14ac:dyDescent="0.3">
      <c r="B3847" s="33" t="s">
        <v>10626</v>
      </c>
      <c r="C3847" s="32" t="s">
        <v>10627</v>
      </c>
      <c r="D3847" s="32" t="s">
        <v>10628</v>
      </c>
    </row>
    <row r="3848" spans="2:4" x14ac:dyDescent="0.3">
      <c r="B3848" s="33" t="s">
        <v>10629</v>
      </c>
      <c r="C3848" s="32" t="s">
        <v>10630</v>
      </c>
      <c r="D3848" s="32" t="s">
        <v>10629</v>
      </c>
    </row>
    <row r="3849" spans="2:4" x14ac:dyDescent="0.3">
      <c r="B3849" s="33" t="s">
        <v>10631</v>
      </c>
      <c r="C3849" s="32" t="s">
        <v>10632</v>
      </c>
      <c r="D3849" s="32" t="s">
        <v>10633</v>
      </c>
    </row>
    <row r="3850" spans="2:4" x14ac:dyDescent="0.3">
      <c r="B3850" s="33" t="s">
        <v>10634</v>
      </c>
      <c r="C3850" s="32" t="s">
        <v>10635</v>
      </c>
      <c r="D3850" s="32" t="s">
        <v>10634</v>
      </c>
    </row>
    <row r="3851" spans="2:4" x14ac:dyDescent="0.3">
      <c r="B3851" s="33" t="s">
        <v>10636</v>
      </c>
      <c r="C3851" s="32" t="s">
        <v>10637</v>
      </c>
      <c r="D3851" s="32" t="s">
        <v>10638</v>
      </c>
    </row>
    <row r="3852" spans="2:4" x14ac:dyDescent="0.3">
      <c r="B3852" s="33" t="s">
        <v>10639</v>
      </c>
      <c r="C3852" s="32" t="s">
        <v>10640</v>
      </c>
      <c r="D3852" s="32" t="s">
        <v>10641</v>
      </c>
    </row>
    <row r="3853" spans="2:4" x14ac:dyDescent="0.3">
      <c r="B3853" s="33" t="s">
        <v>10642</v>
      </c>
      <c r="C3853" s="32" t="s">
        <v>10643</v>
      </c>
      <c r="D3853" s="32" t="s">
        <v>10644</v>
      </c>
    </row>
    <row r="3854" spans="2:4" x14ac:dyDescent="0.3">
      <c r="B3854" s="33" t="s">
        <v>10645</v>
      </c>
      <c r="C3854" s="32" t="s">
        <v>10646</v>
      </c>
      <c r="D3854" s="32" t="s">
        <v>10647</v>
      </c>
    </row>
    <row r="3855" spans="2:4" x14ac:dyDescent="0.3">
      <c r="B3855" s="33" t="s">
        <v>10648</v>
      </c>
      <c r="C3855" s="32" t="s">
        <v>10649</v>
      </c>
      <c r="D3855" s="32" t="s">
        <v>10650</v>
      </c>
    </row>
    <row r="3856" spans="2:4" x14ac:dyDescent="0.3">
      <c r="B3856" s="33" t="s">
        <v>10651</v>
      </c>
      <c r="C3856" s="32" t="s">
        <v>10652</v>
      </c>
      <c r="D3856" s="32" t="s">
        <v>10653</v>
      </c>
    </row>
    <row r="3857" spans="2:4" x14ac:dyDescent="0.3">
      <c r="B3857" s="33" t="s">
        <v>10654</v>
      </c>
      <c r="C3857" s="32" t="s">
        <v>10655</v>
      </c>
      <c r="D3857" s="32" t="s">
        <v>10656</v>
      </c>
    </row>
    <row r="3858" spans="2:4" x14ac:dyDescent="0.3">
      <c r="B3858" s="33" t="s">
        <v>10654</v>
      </c>
      <c r="C3858" s="32" t="s">
        <v>10657</v>
      </c>
      <c r="D3858" s="32" t="s">
        <v>10658</v>
      </c>
    </row>
    <row r="3859" spans="2:4" x14ac:dyDescent="0.3">
      <c r="B3859" s="33" t="s">
        <v>10550</v>
      </c>
      <c r="C3859" s="32" t="s">
        <v>10659</v>
      </c>
      <c r="D3859" s="32" t="s">
        <v>10660</v>
      </c>
    </row>
    <row r="3860" spans="2:4" x14ac:dyDescent="0.3">
      <c r="B3860" s="33" t="s">
        <v>10661</v>
      </c>
      <c r="C3860" s="32" t="s">
        <v>10662</v>
      </c>
      <c r="D3860" s="32" t="s">
        <v>10663</v>
      </c>
    </row>
    <row r="3861" spans="2:4" x14ac:dyDescent="0.3">
      <c r="B3861" s="33" t="s">
        <v>10664</v>
      </c>
      <c r="C3861" s="32" t="s">
        <v>10665</v>
      </c>
      <c r="D3861" s="32" t="s">
        <v>10664</v>
      </c>
    </row>
    <row r="3862" spans="2:4" x14ac:dyDescent="0.3">
      <c r="B3862" s="33" t="s">
        <v>10666</v>
      </c>
      <c r="C3862" s="32" t="s">
        <v>10667</v>
      </c>
      <c r="D3862" s="32" t="s">
        <v>10668</v>
      </c>
    </row>
    <row r="3863" spans="2:4" x14ac:dyDescent="0.3">
      <c r="B3863" s="33" t="s">
        <v>1427</v>
      </c>
      <c r="C3863" s="32" t="s">
        <v>10669</v>
      </c>
      <c r="D3863" s="32" t="s">
        <v>10670</v>
      </c>
    </row>
    <row r="3864" spans="2:4" x14ac:dyDescent="0.3">
      <c r="B3864" s="33" t="s">
        <v>10671</v>
      </c>
      <c r="C3864" s="32" t="s">
        <v>10672</v>
      </c>
      <c r="D3864" s="32" t="s">
        <v>10673</v>
      </c>
    </row>
    <row r="3865" spans="2:4" x14ac:dyDescent="0.3">
      <c r="B3865" s="33" t="s">
        <v>10674</v>
      </c>
      <c r="C3865" s="32" t="s">
        <v>10675</v>
      </c>
      <c r="D3865" s="32" t="s">
        <v>10676</v>
      </c>
    </row>
    <row r="3866" spans="2:4" x14ac:dyDescent="0.3">
      <c r="B3866" s="33" t="s">
        <v>10677</v>
      </c>
      <c r="C3866" s="32" t="s">
        <v>10678</v>
      </c>
      <c r="D3866" s="32" t="s">
        <v>10679</v>
      </c>
    </row>
    <row r="3867" spans="2:4" x14ac:dyDescent="0.3">
      <c r="B3867" s="33" t="s">
        <v>10680</v>
      </c>
      <c r="C3867" s="32" t="s">
        <v>10681</v>
      </c>
      <c r="D3867" s="32" t="s">
        <v>10681</v>
      </c>
    </row>
    <row r="3868" spans="2:4" x14ac:dyDescent="0.3">
      <c r="B3868" s="33" t="s">
        <v>10682</v>
      </c>
      <c r="C3868" s="32" t="s">
        <v>10683</v>
      </c>
      <c r="D3868" s="32" t="s">
        <v>10684</v>
      </c>
    </row>
    <row r="3869" spans="2:4" x14ac:dyDescent="0.3">
      <c r="B3869" s="33" t="s">
        <v>10685</v>
      </c>
      <c r="C3869" s="32" t="s">
        <v>10686</v>
      </c>
      <c r="D3869" s="32" t="s">
        <v>10687</v>
      </c>
    </row>
    <row r="3870" spans="2:4" x14ac:dyDescent="0.3">
      <c r="B3870" s="33" t="s">
        <v>10688</v>
      </c>
      <c r="C3870" s="32" t="s">
        <v>10689</v>
      </c>
      <c r="D3870" s="32" t="s">
        <v>10690</v>
      </c>
    </row>
    <row r="3871" spans="2:4" x14ac:dyDescent="0.3">
      <c r="B3871" s="33" t="s">
        <v>10691</v>
      </c>
      <c r="C3871" s="32" t="s">
        <v>10692</v>
      </c>
      <c r="D3871" s="32" t="s">
        <v>10693</v>
      </c>
    </row>
    <row r="3872" spans="2:4" x14ac:dyDescent="0.3">
      <c r="B3872" s="33" t="s">
        <v>10694</v>
      </c>
      <c r="C3872" s="32" t="s">
        <v>10695</v>
      </c>
      <c r="D3872" s="32" t="s">
        <v>10696</v>
      </c>
    </row>
    <row r="3873" spans="2:4" x14ac:dyDescent="0.3">
      <c r="B3873" s="33" t="s">
        <v>10697</v>
      </c>
      <c r="C3873" s="32" t="s">
        <v>10698</v>
      </c>
      <c r="D3873" s="32" t="s">
        <v>10699</v>
      </c>
    </row>
    <row r="3874" spans="2:4" x14ac:dyDescent="0.3">
      <c r="B3874" s="33" t="s">
        <v>10700</v>
      </c>
      <c r="C3874" s="32" t="s">
        <v>10701</v>
      </c>
      <c r="D3874" s="32" t="s">
        <v>10702</v>
      </c>
    </row>
    <row r="3875" spans="2:4" x14ac:dyDescent="0.3">
      <c r="B3875" s="33" t="s">
        <v>10703</v>
      </c>
      <c r="C3875" s="32" t="s">
        <v>10704</v>
      </c>
      <c r="D3875" s="32" t="s">
        <v>10705</v>
      </c>
    </row>
    <row r="3876" spans="2:4" x14ac:dyDescent="0.3">
      <c r="B3876" s="33" t="s">
        <v>10706</v>
      </c>
      <c r="C3876" s="32" t="s">
        <v>10707</v>
      </c>
      <c r="D3876" s="32" t="s">
        <v>10708</v>
      </c>
    </row>
    <row r="3877" spans="2:4" x14ac:dyDescent="0.3">
      <c r="B3877" s="33" t="s">
        <v>10709</v>
      </c>
      <c r="C3877" s="32" t="s">
        <v>10710</v>
      </c>
      <c r="D3877" s="32" t="s">
        <v>10711</v>
      </c>
    </row>
    <row r="3878" spans="2:4" x14ac:dyDescent="0.3">
      <c r="B3878" s="33" t="s">
        <v>10712</v>
      </c>
      <c r="C3878" s="32" t="s">
        <v>10713</v>
      </c>
      <c r="D3878" s="32" t="s">
        <v>10714</v>
      </c>
    </row>
    <row r="3879" spans="2:4" x14ac:dyDescent="0.3">
      <c r="B3879" s="33" t="s">
        <v>10715</v>
      </c>
      <c r="C3879" s="32" t="s">
        <v>10716</v>
      </c>
      <c r="D3879" s="32" t="s">
        <v>10717</v>
      </c>
    </row>
    <row r="3880" spans="2:4" x14ac:dyDescent="0.3">
      <c r="B3880" s="33" t="s">
        <v>10718</v>
      </c>
      <c r="C3880" s="32" t="s">
        <v>10719</v>
      </c>
      <c r="D3880" s="32" t="s">
        <v>10720</v>
      </c>
    </row>
    <row r="3881" spans="2:4" x14ac:dyDescent="0.3">
      <c r="B3881" s="33" t="s">
        <v>10721</v>
      </c>
      <c r="C3881" s="32" t="s">
        <v>10722</v>
      </c>
      <c r="D3881" s="32" t="s">
        <v>10723</v>
      </c>
    </row>
    <row r="3882" spans="2:4" x14ac:dyDescent="0.3">
      <c r="B3882" s="33" t="s">
        <v>10724</v>
      </c>
      <c r="C3882" s="32" t="s">
        <v>10725</v>
      </c>
      <c r="D3882" s="32" t="s">
        <v>10726</v>
      </c>
    </row>
    <row r="3883" spans="2:4" x14ac:dyDescent="0.3">
      <c r="B3883" s="33" t="s">
        <v>10026</v>
      </c>
      <c r="C3883" s="32" t="s">
        <v>10727</v>
      </c>
      <c r="D3883" s="32" t="s">
        <v>9201</v>
      </c>
    </row>
    <row r="3884" spans="2:4" x14ac:dyDescent="0.3">
      <c r="B3884" s="33" t="s">
        <v>10728</v>
      </c>
      <c r="C3884" s="32" t="s">
        <v>10729</v>
      </c>
      <c r="D3884" s="32" t="s">
        <v>10730</v>
      </c>
    </row>
    <row r="3885" spans="2:4" x14ac:dyDescent="0.3">
      <c r="B3885" s="33" t="s">
        <v>3640</v>
      </c>
      <c r="C3885" s="32" t="s">
        <v>10731</v>
      </c>
      <c r="D3885" s="32" t="s">
        <v>10732</v>
      </c>
    </row>
    <row r="3886" spans="2:4" x14ac:dyDescent="0.3">
      <c r="B3886" s="33" t="s">
        <v>3976</v>
      </c>
      <c r="C3886" s="32" t="s">
        <v>10733</v>
      </c>
      <c r="D3886" s="32" t="s">
        <v>10734</v>
      </c>
    </row>
    <row r="3887" spans="2:4" x14ac:dyDescent="0.3">
      <c r="B3887" s="33" t="s">
        <v>10735</v>
      </c>
      <c r="C3887" s="32" t="s">
        <v>10736</v>
      </c>
      <c r="D3887" s="32" t="s">
        <v>10737</v>
      </c>
    </row>
    <row r="3888" spans="2:4" x14ac:dyDescent="0.3">
      <c r="B3888" s="33" t="s">
        <v>9804</v>
      </c>
      <c r="C3888" s="32" t="s">
        <v>10738</v>
      </c>
      <c r="D3888" s="32" t="s">
        <v>10739</v>
      </c>
    </row>
    <row r="3889" spans="2:4" x14ac:dyDescent="0.3">
      <c r="B3889" s="33" t="s">
        <v>20454</v>
      </c>
      <c r="C3889" s="32" t="s">
        <v>37175</v>
      </c>
      <c r="D3889" s="32" t="s">
        <v>37176</v>
      </c>
    </row>
    <row r="3890" spans="2:4" x14ac:dyDescent="0.3">
      <c r="B3890" s="33" t="s">
        <v>10740</v>
      </c>
      <c r="C3890" s="32" t="s">
        <v>10741</v>
      </c>
      <c r="D3890" s="32" t="s">
        <v>10742</v>
      </c>
    </row>
    <row r="3891" spans="2:4" x14ac:dyDescent="0.3">
      <c r="B3891" s="33" t="s">
        <v>10743</v>
      </c>
      <c r="C3891" s="32" t="s">
        <v>10744</v>
      </c>
      <c r="D3891" s="32" t="s">
        <v>10745</v>
      </c>
    </row>
    <row r="3892" spans="2:4" x14ac:dyDescent="0.3">
      <c r="B3892" s="33" t="s">
        <v>10746</v>
      </c>
      <c r="C3892" s="32" t="s">
        <v>10747</v>
      </c>
      <c r="D3892" s="32" t="s">
        <v>10748</v>
      </c>
    </row>
    <row r="3893" spans="2:4" x14ac:dyDescent="0.3">
      <c r="B3893" s="33" t="s">
        <v>10749</v>
      </c>
      <c r="C3893" s="32" t="s">
        <v>10750</v>
      </c>
      <c r="D3893" s="32" t="s">
        <v>10751</v>
      </c>
    </row>
    <row r="3894" spans="2:4" x14ac:dyDescent="0.3">
      <c r="B3894" s="33" t="s">
        <v>10752</v>
      </c>
      <c r="C3894" s="32" t="s">
        <v>10753</v>
      </c>
      <c r="D3894" s="32" t="s">
        <v>10754</v>
      </c>
    </row>
    <row r="3895" spans="2:4" x14ac:dyDescent="0.3">
      <c r="B3895" s="33" t="s">
        <v>10755</v>
      </c>
      <c r="C3895" s="32" t="s">
        <v>10756</v>
      </c>
      <c r="D3895" s="32" t="s">
        <v>10757</v>
      </c>
    </row>
    <row r="3896" spans="2:4" x14ac:dyDescent="0.3">
      <c r="B3896" s="33" t="s">
        <v>8908</v>
      </c>
      <c r="C3896" s="32" t="s">
        <v>10758</v>
      </c>
      <c r="D3896" s="32" t="s">
        <v>10759</v>
      </c>
    </row>
    <row r="3897" spans="2:4" x14ac:dyDescent="0.3">
      <c r="B3897" s="33" t="s">
        <v>10760</v>
      </c>
      <c r="C3897" s="32" t="s">
        <v>10761</v>
      </c>
      <c r="D3897" s="32" t="s">
        <v>10762</v>
      </c>
    </row>
    <row r="3898" spans="2:4" x14ac:dyDescent="0.3">
      <c r="B3898" s="33" t="s">
        <v>10763</v>
      </c>
      <c r="C3898" s="32" t="s">
        <v>10764</v>
      </c>
      <c r="D3898" s="32" t="s">
        <v>10765</v>
      </c>
    </row>
    <row r="3899" spans="2:4" x14ac:dyDescent="0.3">
      <c r="B3899" s="33" t="s">
        <v>10539</v>
      </c>
      <c r="C3899" s="32" t="s">
        <v>10766</v>
      </c>
      <c r="D3899" s="32" t="s">
        <v>10767</v>
      </c>
    </row>
    <row r="3900" spans="2:4" x14ac:dyDescent="0.3">
      <c r="B3900" s="33" t="s">
        <v>10155</v>
      </c>
      <c r="C3900" s="32" t="s">
        <v>10768</v>
      </c>
      <c r="D3900" s="32" t="s">
        <v>10769</v>
      </c>
    </row>
    <row r="3901" spans="2:4" x14ac:dyDescent="0.3">
      <c r="B3901" s="33" t="s">
        <v>9179</v>
      </c>
      <c r="C3901" s="32" t="s">
        <v>10770</v>
      </c>
      <c r="D3901" s="32" t="s">
        <v>10771</v>
      </c>
    </row>
    <row r="3902" spans="2:4" x14ac:dyDescent="0.3">
      <c r="B3902" s="33" t="s">
        <v>8707</v>
      </c>
      <c r="C3902" s="32" t="s">
        <v>10772</v>
      </c>
      <c r="D3902" s="32" t="s">
        <v>10773</v>
      </c>
    </row>
    <row r="3903" spans="2:4" x14ac:dyDescent="0.3">
      <c r="B3903" s="33" t="s">
        <v>10774</v>
      </c>
      <c r="C3903" s="32" t="s">
        <v>10775</v>
      </c>
      <c r="D3903" s="32" t="s">
        <v>10776</v>
      </c>
    </row>
    <row r="3904" spans="2:4" x14ac:dyDescent="0.3">
      <c r="B3904" s="33" t="s">
        <v>10777</v>
      </c>
      <c r="C3904" s="32" t="s">
        <v>10778</v>
      </c>
      <c r="D3904" s="32" t="s">
        <v>10779</v>
      </c>
    </row>
    <row r="3905" spans="2:4" x14ac:dyDescent="0.3">
      <c r="B3905" s="33" t="s">
        <v>9201</v>
      </c>
      <c r="C3905" s="32" t="s">
        <v>10780</v>
      </c>
      <c r="D3905" s="32" t="s">
        <v>10781</v>
      </c>
    </row>
    <row r="3906" spans="2:4" x14ac:dyDescent="0.3">
      <c r="B3906" s="33" t="s">
        <v>10782</v>
      </c>
      <c r="C3906" s="32" t="s">
        <v>10783</v>
      </c>
      <c r="D3906" s="32" t="s">
        <v>10784</v>
      </c>
    </row>
    <row r="3907" spans="2:4" x14ac:dyDescent="0.3">
      <c r="B3907" s="33" t="s">
        <v>9207</v>
      </c>
      <c r="C3907" s="32" t="s">
        <v>10785</v>
      </c>
      <c r="D3907" s="32" t="s">
        <v>10786</v>
      </c>
    </row>
    <row r="3908" spans="2:4" x14ac:dyDescent="0.3">
      <c r="B3908" s="33" t="s">
        <v>10787</v>
      </c>
      <c r="C3908" s="32" t="s">
        <v>10788</v>
      </c>
      <c r="D3908" s="32" t="s">
        <v>10789</v>
      </c>
    </row>
    <row r="3909" spans="2:4" x14ac:dyDescent="0.3">
      <c r="B3909" s="33" t="s">
        <v>10790</v>
      </c>
      <c r="C3909" s="32" t="s">
        <v>10791</v>
      </c>
      <c r="D3909" s="32" t="s">
        <v>10792</v>
      </c>
    </row>
    <row r="3910" spans="2:4" x14ac:dyDescent="0.3">
      <c r="B3910" s="33" t="s">
        <v>10793</v>
      </c>
      <c r="C3910" s="32" t="s">
        <v>10794</v>
      </c>
      <c r="D3910" s="32" t="s">
        <v>10795</v>
      </c>
    </row>
    <row r="3911" spans="2:4" x14ac:dyDescent="0.3">
      <c r="B3911" s="33" t="s">
        <v>10796</v>
      </c>
      <c r="C3911" s="32" t="s">
        <v>10797</v>
      </c>
      <c r="D3911" s="32" t="s">
        <v>10798</v>
      </c>
    </row>
    <row r="3912" spans="2:4" x14ac:dyDescent="0.3">
      <c r="B3912" s="33" t="s">
        <v>10799</v>
      </c>
      <c r="C3912" s="32" t="s">
        <v>10800</v>
      </c>
      <c r="D3912" s="32" t="s">
        <v>10801</v>
      </c>
    </row>
    <row r="3913" spans="2:4" x14ac:dyDescent="0.3">
      <c r="B3913" s="33" t="s">
        <v>10802</v>
      </c>
      <c r="C3913" s="32" t="s">
        <v>10803</v>
      </c>
      <c r="D3913" s="32" t="s">
        <v>10804</v>
      </c>
    </row>
    <row r="3914" spans="2:4" x14ac:dyDescent="0.3">
      <c r="B3914" s="33" t="s">
        <v>9011</v>
      </c>
      <c r="C3914" s="32" t="s">
        <v>10805</v>
      </c>
      <c r="D3914" s="32" t="s">
        <v>10806</v>
      </c>
    </row>
    <row r="3915" spans="2:4" x14ac:dyDescent="0.3">
      <c r="B3915" s="33" t="s">
        <v>10807</v>
      </c>
      <c r="C3915" s="32" t="s">
        <v>10808</v>
      </c>
      <c r="D3915" s="32" t="s">
        <v>10809</v>
      </c>
    </row>
    <row r="3916" spans="2:4" x14ac:dyDescent="0.3">
      <c r="B3916" s="33" t="s">
        <v>10810</v>
      </c>
      <c r="C3916" s="32" t="s">
        <v>10811</v>
      </c>
      <c r="D3916" s="32" t="s">
        <v>10812</v>
      </c>
    </row>
    <row r="3917" spans="2:4" x14ac:dyDescent="0.3">
      <c r="B3917" s="33" t="s">
        <v>10810</v>
      </c>
      <c r="C3917" s="32" t="s">
        <v>10813</v>
      </c>
      <c r="D3917" s="32" t="s">
        <v>10814</v>
      </c>
    </row>
    <row r="3918" spans="2:4" x14ac:dyDescent="0.3">
      <c r="B3918" s="33" t="s">
        <v>10815</v>
      </c>
      <c r="C3918" s="32" t="s">
        <v>10816</v>
      </c>
      <c r="D3918" s="32" t="s">
        <v>10817</v>
      </c>
    </row>
    <row r="3919" spans="2:4" x14ac:dyDescent="0.3">
      <c r="B3919" s="33" t="s">
        <v>10818</v>
      </c>
      <c r="C3919" s="32" t="s">
        <v>10819</v>
      </c>
      <c r="D3919" s="32" t="s">
        <v>10820</v>
      </c>
    </row>
    <row r="3920" spans="2:4" x14ac:dyDescent="0.3">
      <c r="B3920" s="33" t="s">
        <v>9804</v>
      </c>
      <c r="C3920" s="32" t="s">
        <v>10821</v>
      </c>
      <c r="D3920" s="32" t="s">
        <v>10822</v>
      </c>
    </row>
    <row r="3921" spans="2:4" x14ac:dyDescent="0.3">
      <c r="B3921" s="33" t="s">
        <v>10823</v>
      </c>
      <c r="C3921" s="32" t="s">
        <v>10824</v>
      </c>
      <c r="D3921" s="32" t="s">
        <v>10825</v>
      </c>
    </row>
    <row r="3922" spans="2:4" x14ac:dyDescent="0.3">
      <c r="B3922" s="33" t="s">
        <v>10826</v>
      </c>
      <c r="C3922" s="32" t="s">
        <v>10827</v>
      </c>
      <c r="D3922" s="32" t="s">
        <v>10828</v>
      </c>
    </row>
    <row r="3923" spans="2:4" x14ac:dyDescent="0.3">
      <c r="B3923" s="33" t="s">
        <v>10829</v>
      </c>
      <c r="C3923" s="32" t="s">
        <v>10830</v>
      </c>
      <c r="D3923" s="32" t="s">
        <v>10831</v>
      </c>
    </row>
    <row r="3924" spans="2:4" x14ac:dyDescent="0.3">
      <c r="B3924" s="33" t="s">
        <v>10832</v>
      </c>
      <c r="C3924" s="32" t="s">
        <v>10833</v>
      </c>
      <c r="D3924" s="32" t="s">
        <v>10834</v>
      </c>
    </row>
    <row r="3925" spans="2:4" x14ac:dyDescent="0.3">
      <c r="B3925" s="33" t="s">
        <v>10826</v>
      </c>
      <c r="C3925" s="32" t="s">
        <v>10835</v>
      </c>
      <c r="D3925" s="32" t="s">
        <v>10836</v>
      </c>
    </row>
    <row r="3926" spans="2:4" x14ac:dyDescent="0.3">
      <c r="B3926" s="33" t="s">
        <v>10837</v>
      </c>
      <c r="C3926" s="32" t="s">
        <v>10838</v>
      </c>
      <c r="D3926" s="32" t="s">
        <v>10839</v>
      </c>
    </row>
    <row r="3927" spans="2:4" x14ac:dyDescent="0.3">
      <c r="B3927" s="33" t="s">
        <v>10826</v>
      </c>
      <c r="C3927" s="32" t="s">
        <v>10840</v>
      </c>
      <c r="D3927" s="32" t="s">
        <v>10841</v>
      </c>
    </row>
    <row r="3928" spans="2:4" x14ac:dyDescent="0.3">
      <c r="B3928" s="33" t="s">
        <v>10826</v>
      </c>
      <c r="C3928" s="32" t="s">
        <v>10842</v>
      </c>
      <c r="D3928" s="32" t="s">
        <v>10843</v>
      </c>
    </row>
    <row r="3929" spans="2:4" x14ac:dyDescent="0.3">
      <c r="B3929" s="33" t="s">
        <v>10844</v>
      </c>
      <c r="C3929" s="32" t="s">
        <v>10845</v>
      </c>
      <c r="D3929" s="32" t="s">
        <v>10846</v>
      </c>
    </row>
    <row r="3930" spans="2:4" x14ac:dyDescent="0.3">
      <c r="B3930" s="33" t="s">
        <v>10847</v>
      </c>
      <c r="C3930" s="32" t="s">
        <v>10848</v>
      </c>
      <c r="D3930" s="32" t="s">
        <v>10849</v>
      </c>
    </row>
    <row r="3931" spans="2:4" x14ac:dyDescent="0.3">
      <c r="B3931" s="33" t="s">
        <v>10595</v>
      </c>
      <c r="C3931" s="32" t="s">
        <v>10850</v>
      </c>
      <c r="D3931" s="32" t="s">
        <v>10851</v>
      </c>
    </row>
    <row r="3932" spans="2:4" x14ac:dyDescent="0.3">
      <c r="B3932" s="33" t="s">
        <v>10852</v>
      </c>
      <c r="C3932" s="32" t="s">
        <v>36822</v>
      </c>
      <c r="D3932" s="32" t="s">
        <v>36823</v>
      </c>
    </row>
    <row r="3933" spans="2:4" x14ac:dyDescent="0.3">
      <c r="B3933" s="33" t="s">
        <v>10852</v>
      </c>
      <c r="C3933" s="32" t="s">
        <v>10853</v>
      </c>
      <c r="D3933" s="32" t="s">
        <v>10854</v>
      </c>
    </row>
    <row r="3934" spans="2:4" x14ac:dyDescent="0.3">
      <c r="B3934" s="33" t="s">
        <v>9807</v>
      </c>
      <c r="C3934" s="32" t="s">
        <v>10855</v>
      </c>
      <c r="D3934" s="32" t="s">
        <v>10856</v>
      </c>
    </row>
    <row r="3935" spans="2:4" x14ac:dyDescent="0.3">
      <c r="B3935" s="33" t="s">
        <v>37005</v>
      </c>
      <c r="C3935" s="32" t="s">
        <v>37006</v>
      </c>
      <c r="D3935" s="32" t="s">
        <v>37007</v>
      </c>
    </row>
    <row r="3936" spans="2:4" x14ac:dyDescent="0.3">
      <c r="B3936" s="33" t="s">
        <v>10857</v>
      </c>
      <c r="C3936" s="32" t="s">
        <v>10858</v>
      </c>
      <c r="D3936" s="32" t="s">
        <v>10859</v>
      </c>
    </row>
    <row r="3937" spans="2:4" x14ac:dyDescent="0.3">
      <c r="B3937" s="33" t="s">
        <v>10860</v>
      </c>
      <c r="C3937" s="32" t="s">
        <v>10861</v>
      </c>
      <c r="D3937" s="32" t="s">
        <v>10862</v>
      </c>
    </row>
    <row r="3938" spans="2:4" x14ac:dyDescent="0.3">
      <c r="B3938" s="33" t="s">
        <v>10863</v>
      </c>
      <c r="C3938" s="32" t="s">
        <v>10864</v>
      </c>
      <c r="D3938" s="32" t="s">
        <v>10865</v>
      </c>
    </row>
    <row r="3939" spans="2:4" x14ac:dyDescent="0.3">
      <c r="B3939" s="33" t="s">
        <v>10866</v>
      </c>
      <c r="C3939" s="32" t="s">
        <v>10867</v>
      </c>
      <c r="D3939" s="32" t="s">
        <v>10868</v>
      </c>
    </row>
    <row r="3940" spans="2:4" x14ac:dyDescent="0.3">
      <c r="B3940" s="33" t="s">
        <v>10648</v>
      </c>
      <c r="C3940" s="32" t="s">
        <v>10869</v>
      </c>
      <c r="D3940" s="32" t="s">
        <v>10870</v>
      </c>
    </row>
    <row r="3941" spans="2:4" x14ac:dyDescent="0.3">
      <c r="B3941" s="33" t="s">
        <v>10871</v>
      </c>
      <c r="C3941" s="32" t="s">
        <v>10872</v>
      </c>
      <c r="D3941" s="32" t="s">
        <v>10873</v>
      </c>
    </row>
    <row r="3942" spans="2:4" x14ac:dyDescent="0.3">
      <c r="B3942" s="33" t="s">
        <v>10874</v>
      </c>
      <c r="C3942" s="32" t="s">
        <v>10875</v>
      </c>
      <c r="D3942" s="32" t="s">
        <v>10876</v>
      </c>
    </row>
    <row r="3943" spans="2:4" x14ac:dyDescent="0.3">
      <c r="B3943" s="33" t="s">
        <v>10877</v>
      </c>
      <c r="C3943" s="32" t="s">
        <v>10878</v>
      </c>
      <c r="D3943" s="32" t="s">
        <v>10879</v>
      </c>
    </row>
    <row r="3944" spans="2:4" x14ac:dyDescent="0.3">
      <c r="B3944" s="33" t="s">
        <v>10880</v>
      </c>
      <c r="C3944" s="32" t="s">
        <v>10881</v>
      </c>
      <c r="D3944" s="32" t="s">
        <v>10882</v>
      </c>
    </row>
    <row r="3945" spans="2:4" x14ac:dyDescent="0.3">
      <c r="B3945" s="33" t="s">
        <v>10046</v>
      </c>
      <c r="C3945" s="32" t="s">
        <v>10883</v>
      </c>
      <c r="D3945" s="32" t="s">
        <v>10884</v>
      </c>
    </row>
    <row r="3946" spans="2:4" x14ac:dyDescent="0.3">
      <c r="B3946" s="33" t="s">
        <v>10194</v>
      </c>
      <c r="C3946" s="32" t="s">
        <v>10885</v>
      </c>
      <c r="D3946" s="32" t="s">
        <v>10886</v>
      </c>
    </row>
    <row r="3947" spans="2:4" x14ac:dyDescent="0.3">
      <c r="B3947" s="33" t="s">
        <v>10887</v>
      </c>
      <c r="C3947" s="32" t="s">
        <v>10888</v>
      </c>
      <c r="D3947" s="32" t="s">
        <v>10887</v>
      </c>
    </row>
    <row r="3948" spans="2:4" x14ac:dyDescent="0.3">
      <c r="B3948" s="33" t="s">
        <v>9306</v>
      </c>
      <c r="C3948" s="32" t="s">
        <v>10889</v>
      </c>
      <c r="D3948" s="32" t="s">
        <v>10890</v>
      </c>
    </row>
    <row r="3949" spans="2:4" x14ac:dyDescent="0.3">
      <c r="B3949" s="33" t="s">
        <v>10891</v>
      </c>
      <c r="C3949" s="32" t="s">
        <v>10892</v>
      </c>
      <c r="D3949" s="32" t="s">
        <v>10891</v>
      </c>
    </row>
    <row r="3950" spans="2:4" x14ac:dyDescent="0.3">
      <c r="B3950" s="33" t="s">
        <v>10893</v>
      </c>
      <c r="C3950" s="32" t="s">
        <v>10894</v>
      </c>
      <c r="D3950" s="32" t="s">
        <v>10893</v>
      </c>
    </row>
    <row r="3951" spans="2:4" x14ac:dyDescent="0.3">
      <c r="B3951" s="33" t="s">
        <v>10895</v>
      </c>
      <c r="C3951" s="32" t="s">
        <v>10896</v>
      </c>
      <c r="D3951" s="32" t="s">
        <v>10897</v>
      </c>
    </row>
    <row r="3952" spans="2:4" x14ac:dyDescent="0.3">
      <c r="B3952" s="33" t="s">
        <v>10898</v>
      </c>
      <c r="C3952" s="32" t="s">
        <v>10899</v>
      </c>
      <c r="D3952" s="32" t="s">
        <v>10900</v>
      </c>
    </row>
    <row r="3953" spans="2:4" x14ac:dyDescent="0.3">
      <c r="B3953" s="33" t="s">
        <v>10901</v>
      </c>
      <c r="C3953" s="32" t="s">
        <v>36824</v>
      </c>
      <c r="D3953" s="32" t="s">
        <v>36825</v>
      </c>
    </row>
    <row r="3954" spans="2:4" x14ac:dyDescent="0.3">
      <c r="B3954" s="33" t="s">
        <v>10902</v>
      </c>
      <c r="C3954" s="32" t="s">
        <v>10903</v>
      </c>
      <c r="D3954" s="32" t="s">
        <v>10904</v>
      </c>
    </row>
    <row r="3955" spans="2:4" x14ac:dyDescent="0.3">
      <c r="B3955" s="33" t="s">
        <v>10274</v>
      </c>
      <c r="C3955" s="32" t="s">
        <v>10905</v>
      </c>
      <c r="D3955" s="32" t="s">
        <v>10906</v>
      </c>
    </row>
    <row r="3956" spans="2:4" x14ac:dyDescent="0.3">
      <c r="B3956" s="33" t="s">
        <v>10907</v>
      </c>
      <c r="C3956" s="32" t="s">
        <v>10908</v>
      </c>
      <c r="D3956" s="32" t="s">
        <v>10909</v>
      </c>
    </row>
    <row r="3957" spans="2:4" x14ac:dyDescent="0.3">
      <c r="B3957" s="33" t="s">
        <v>10274</v>
      </c>
      <c r="C3957" s="32" t="s">
        <v>10910</v>
      </c>
      <c r="D3957" s="32" t="s">
        <v>10911</v>
      </c>
    </row>
    <row r="3958" spans="2:4" x14ac:dyDescent="0.3">
      <c r="B3958" s="33" t="s">
        <v>10274</v>
      </c>
      <c r="C3958" s="32" t="s">
        <v>10912</v>
      </c>
      <c r="D3958" s="32" t="s">
        <v>10913</v>
      </c>
    </row>
    <row r="3959" spans="2:4" x14ac:dyDescent="0.3">
      <c r="B3959" s="33" t="s">
        <v>10914</v>
      </c>
      <c r="C3959" s="32" t="s">
        <v>10915</v>
      </c>
      <c r="D3959" s="32" t="s">
        <v>10916</v>
      </c>
    </row>
    <row r="3960" spans="2:4" x14ac:dyDescent="0.3">
      <c r="B3960" s="33" t="s">
        <v>10917</v>
      </c>
      <c r="C3960" s="32" t="s">
        <v>10918</v>
      </c>
      <c r="D3960" s="32" t="s">
        <v>10919</v>
      </c>
    </row>
    <row r="3961" spans="2:4" x14ac:dyDescent="0.3">
      <c r="B3961" s="33" t="s">
        <v>10920</v>
      </c>
      <c r="C3961" s="32" t="s">
        <v>10921</v>
      </c>
      <c r="D3961" s="32" t="s">
        <v>10922</v>
      </c>
    </row>
    <row r="3962" spans="2:4" x14ac:dyDescent="0.3">
      <c r="B3962" s="33" t="s">
        <v>10923</v>
      </c>
      <c r="C3962" s="32" t="s">
        <v>10924</v>
      </c>
      <c r="D3962" s="32" t="s">
        <v>10925</v>
      </c>
    </row>
    <row r="3963" spans="2:4" x14ac:dyDescent="0.3">
      <c r="B3963" s="33" t="s">
        <v>10926</v>
      </c>
      <c r="C3963" s="32" t="s">
        <v>10927</v>
      </c>
      <c r="D3963" s="32" t="s">
        <v>10928</v>
      </c>
    </row>
    <row r="3964" spans="2:4" x14ac:dyDescent="0.3">
      <c r="B3964" s="33" t="s">
        <v>10929</v>
      </c>
      <c r="C3964" s="32" t="s">
        <v>10930</v>
      </c>
      <c r="D3964" s="32" t="s">
        <v>10931</v>
      </c>
    </row>
    <row r="3965" spans="2:4" x14ac:dyDescent="0.3">
      <c r="B3965" s="33" t="s">
        <v>10932</v>
      </c>
      <c r="C3965" s="32" t="s">
        <v>10933</v>
      </c>
      <c r="D3965" s="32" t="s">
        <v>10934</v>
      </c>
    </row>
    <row r="3966" spans="2:4" x14ac:dyDescent="0.3">
      <c r="B3966" s="33" t="s">
        <v>10935</v>
      </c>
      <c r="C3966" s="32" t="s">
        <v>10936</v>
      </c>
      <c r="D3966" s="32" t="s">
        <v>10937</v>
      </c>
    </row>
    <row r="3967" spans="2:4" x14ac:dyDescent="0.3">
      <c r="B3967" s="33" t="s">
        <v>10938</v>
      </c>
      <c r="C3967" s="32" t="s">
        <v>10939</v>
      </c>
      <c r="D3967" s="32" t="s">
        <v>10940</v>
      </c>
    </row>
    <row r="3968" spans="2:4" x14ac:dyDescent="0.3">
      <c r="B3968" s="33" t="s">
        <v>10941</v>
      </c>
      <c r="C3968" s="32" t="s">
        <v>10942</v>
      </c>
      <c r="D3968" s="32" t="s">
        <v>10943</v>
      </c>
    </row>
    <row r="3969" spans="2:4" x14ac:dyDescent="0.3">
      <c r="B3969" s="33" t="s">
        <v>10944</v>
      </c>
      <c r="C3969" s="32" t="s">
        <v>10945</v>
      </c>
      <c r="D3969" s="32" t="s">
        <v>37177</v>
      </c>
    </row>
    <row r="3970" spans="2:4" x14ac:dyDescent="0.3">
      <c r="B3970" s="33" t="s">
        <v>10017</v>
      </c>
      <c r="C3970" s="32" t="s">
        <v>10946</v>
      </c>
      <c r="D3970" s="32" t="s">
        <v>10947</v>
      </c>
    </row>
    <row r="3971" spans="2:4" x14ac:dyDescent="0.3">
      <c r="B3971" s="33" t="s">
        <v>10948</v>
      </c>
      <c r="C3971" s="32" t="s">
        <v>10949</v>
      </c>
      <c r="D3971" s="32" t="s">
        <v>10950</v>
      </c>
    </row>
    <row r="3972" spans="2:4" x14ac:dyDescent="0.3">
      <c r="B3972" s="33" t="s">
        <v>10951</v>
      </c>
      <c r="C3972" s="32" t="s">
        <v>10952</v>
      </c>
      <c r="D3972" s="32" t="s">
        <v>10953</v>
      </c>
    </row>
    <row r="3973" spans="2:4" x14ac:dyDescent="0.3">
      <c r="B3973" s="33" t="s">
        <v>9190</v>
      </c>
      <c r="C3973" s="32" t="s">
        <v>10954</v>
      </c>
      <c r="D3973" s="32" t="s">
        <v>10955</v>
      </c>
    </row>
    <row r="3974" spans="2:4" x14ac:dyDescent="0.3">
      <c r="B3974" s="33" t="s">
        <v>10956</v>
      </c>
      <c r="C3974" s="32" t="s">
        <v>10957</v>
      </c>
      <c r="D3974" s="32" t="s">
        <v>10958</v>
      </c>
    </row>
    <row r="3975" spans="2:4" x14ac:dyDescent="0.3">
      <c r="B3975" s="33" t="s">
        <v>10959</v>
      </c>
      <c r="C3975" s="32" t="s">
        <v>10960</v>
      </c>
      <c r="D3975" s="32" t="s">
        <v>10961</v>
      </c>
    </row>
    <row r="3976" spans="2:4" x14ac:dyDescent="0.3">
      <c r="B3976" s="33" t="s">
        <v>10959</v>
      </c>
      <c r="C3976" s="32" t="s">
        <v>10962</v>
      </c>
      <c r="D3976" s="32" t="s">
        <v>10963</v>
      </c>
    </row>
    <row r="3977" spans="2:4" x14ac:dyDescent="0.3">
      <c r="B3977" s="33" t="s">
        <v>10959</v>
      </c>
      <c r="C3977" s="32" t="s">
        <v>10964</v>
      </c>
      <c r="D3977" s="32" t="s">
        <v>10965</v>
      </c>
    </row>
    <row r="3978" spans="2:4" x14ac:dyDescent="0.3">
      <c r="B3978" s="33" t="s">
        <v>10966</v>
      </c>
      <c r="C3978" s="32" t="s">
        <v>10967</v>
      </c>
      <c r="D3978" s="32" t="s">
        <v>10968</v>
      </c>
    </row>
    <row r="3979" spans="2:4" x14ac:dyDescent="0.3">
      <c r="B3979" s="33" t="s">
        <v>10969</v>
      </c>
      <c r="C3979" s="32" t="s">
        <v>10970</v>
      </c>
      <c r="D3979" s="32" t="s">
        <v>10971</v>
      </c>
    </row>
    <row r="3980" spans="2:4" x14ac:dyDescent="0.3">
      <c r="B3980" s="33" t="s">
        <v>10972</v>
      </c>
      <c r="C3980" s="32" t="s">
        <v>10973</v>
      </c>
      <c r="D3980" s="32" t="s">
        <v>10974</v>
      </c>
    </row>
    <row r="3981" spans="2:4" x14ac:dyDescent="0.3">
      <c r="B3981" s="33" t="s">
        <v>10975</v>
      </c>
      <c r="C3981" s="32" t="s">
        <v>10976</v>
      </c>
      <c r="D3981" s="32" t="s">
        <v>10977</v>
      </c>
    </row>
    <row r="3982" spans="2:4" x14ac:dyDescent="0.3">
      <c r="B3982" s="33" t="s">
        <v>10978</v>
      </c>
      <c r="C3982" s="32" t="s">
        <v>10979</v>
      </c>
      <c r="D3982" s="32" t="s">
        <v>10980</v>
      </c>
    </row>
    <row r="3983" spans="2:4" x14ac:dyDescent="0.3">
      <c r="B3983" s="33" t="s">
        <v>10981</v>
      </c>
      <c r="C3983" s="32" t="s">
        <v>10982</v>
      </c>
      <c r="D3983" s="32" t="s">
        <v>10983</v>
      </c>
    </row>
    <row r="3984" spans="2:4" x14ac:dyDescent="0.3">
      <c r="B3984" s="33" t="s">
        <v>10984</v>
      </c>
      <c r="C3984" s="32" t="s">
        <v>10985</v>
      </c>
      <c r="D3984" s="32" t="s">
        <v>10986</v>
      </c>
    </row>
    <row r="3985" spans="2:4" x14ac:dyDescent="0.3">
      <c r="B3985" s="33" t="s">
        <v>10987</v>
      </c>
      <c r="C3985" s="32" t="s">
        <v>10988</v>
      </c>
      <c r="D3985" s="32" t="s">
        <v>10989</v>
      </c>
    </row>
    <row r="3986" spans="2:4" x14ac:dyDescent="0.3">
      <c r="B3986" s="33" t="s">
        <v>10990</v>
      </c>
      <c r="C3986" s="32" t="s">
        <v>10991</v>
      </c>
      <c r="D3986" s="32" t="s">
        <v>10992</v>
      </c>
    </row>
    <row r="3987" spans="2:4" x14ac:dyDescent="0.3">
      <c r="B3987" s="33" t="s">
        <v>10990</v>
      </c>
      <c r="C3987" s="32" t="s">
        <v>10993</v>
      </c>
      <c r="D3987" s="32" t="s">
        <v>10994</v>
      </c>
    </row>
    <row r="3988" spans="2:4" x14ac:dyDescent="0.3">
      <c r="B3988" s="33" t="s">
        <v>10995</v>
      </c>
      <c r="C3988" s="32" t="s">
        <v>10996</v>
      </c>
      <c r="D3988" s="32" t="s">
        <v>10997</v>
      </c>
    </row>
    <row r="3989" spans="2:4" x14ac:dyDescent="0.3">
      <c r="B3989" s="33" t="s">
        <v>10987</v>
      </c>
      <c r="C3989" s="32" t="s">
        <v>10998</v>
      </c>
      <c r="D3989" s="32" t="s">
        <v>10999</v>
      </c>
    </row>
    <row r="3990" spans="2:4" x14ac:dyDescent="0.3">
      <c r="B3990" s="33" t="s">
        <v>11000</v>
      </c>
      <c r="C3990" s="32" t="s">
        <v>11001</v>
      </c>
      <c r="D3990" s="32" t="s">
        <v>11002</v>
      </c>
    </row>
    <row r="3991" spans="2:4" x14ac:dyDescent="0.3">
      <c r="B3991" s="33" t="s">
        <v>11003</v>
      </c>
      <c r="C3991" s="32" t="s">
        <v>11004</v>
      </c>
      <c r="D3991" s="32" t="s">
        <v>11005</v>
      </c>
    </row>
    <row r="3992" spans="2:4" x14ac:dyDescent="0.3">
      <c r="B3992" s="33" t="s">
        <v>11006</v>
      </c>
      <c r="C3992" s="32" t="s">
        <v>11007</v>
      </c>
      <c r="D3992" s="32" t="s">
        <v>37178</v>
      </c>
    </row>
    <row r="3993" spans="2:4" x14ac:dyDescent="0.3">
      <c r="B3993" s="33" t="s">
        <v>11008</v>
      </c>
      <c r="C3993" s="32" t="s">
        <v>11009</v>
      </c>
      <c r="D3993" s="32" t="s">
        <v>11010</v>
      </c>
    </row>
    <row r="3994" spans="2:4" x14ac:dyDescent="0.3">
      <c r="B3994" s="33" t="s">
        <v>11011</v>
      </c>
      <c r="C3994" s="32" t="s">
        <v>11012</v>
      </c>
      <c r="D3994" s="32" t="s">
        <v>11013</v>
      </c>
    </row>
    <row r="3995" spans="2:4" x14ac:dyDescent="0.3">
      <c r="B3995" s="33" t="s">
        <v>10987</v>
      </c>
      <c r="C3995" s="32" t="s">
        <v>11014</v>
      </c>
      <c r="D3995" s="32" t="s">
        <v>11015</v>
      </c>
    </row>
    <row r="3996" spans="2:4" x14ac:dyDescent="0.3">
      <c r="B3996" s="33" t="s">
        <v>11016</v>
      </c>
      <c r="C3996" s="32" t="s">
        <v>11017</v>
      </c>
      <c r="D3996" s="32" t="s">
        <v>11016</v>
      </c>
    </row>
    <row r="3997" spans="2:4" x14ac:dyDescent="0.3">
      <c r="B3997" s="33" t="s">
        <v>37179</v>
      </c>
      <c r="C3997" s="32" t="s">
        <v>37180</v>
      </c>
      <c r="D3997" s="32" t="s">
        <v>37181</v>
      </c>
    </row>
    <row r="3998" spans="2:4" x14ac:dyDescent="0.3">
      <c r="B3998" s="33" t="s">
        <v>317</v>
      </c>
      <c r="C3998" s="32" t="s">
        <v>11018</v>
      </c>
      <c r="D3998" s="32" t="s">
        <v>317</v>
      </c>
    </row>
    <row r="3999" spans="2:4" x14ac:dyDescent="0.3">
      <c r="B3999" s="33" t="s">
        <v>11019</v>
      </c>
      <c r="C3999" s="32" t="s">
        <v>11020</v>
      </c>
      <c r="D3999" s="32" t="s">
        <v>11021</v>
      </c>
    </row>
    <row r="4000" spans="2:4" x14ac:dyDescent="0.3">
      <c r="B4000" s="33" t="s">
        <v>11022</v>
      </c>
      <c r="C4000" s="32" t="s">
        <v>11023</v>
      </c>
      <c r="D4000" s="32" t="s">
        <v>11024</v>
      </c>
    </row>
    <row r="4001" spans="2:4" x14ac:dyDescent="0.3">
      <c r="B4001" s="33" t="s">
        <v>11025</v>
      </c>
      <c r="C4001" s="32" t="s">
        <v>11026</v>
      </c>
      <c r="D4001" s="32" t="s">
        <v>11027</v>
      </c>
    </row>
    <row r="4002" spans="2:4" x14ac:dyDescent="0.3">
      <c r="B4002" s="33" t="s">
        <v>11028</v>
      </c>
      <c r="C4002" s="32" t="s">
        <v>11029</v>
      </c>
      <c r="D4002" s="32" t="s">
        <v>11030</v>
      </c>
    </row>
    <row r="4003" spans="2:4" x14ac:dyDescent="0.3">
      <c r="B4003" s="33" t="s">
        <v>11031</v>
      </c>
      <c r="C4003" s="32" t="s">
        <v>11032</v>
      </c>
      <c r="D4003" s="32" t="s">
        <v>11033</v>
      </c>
    </row>
    <row r="4004" spans="2:4" x14ac:dyDescent="0.3">
      <c r="B4004" s="33" t="s">
        <v>11034</v>
      </c>
      <c r="C4004" s="32" t="s">
        <v>11035</v>
      </c>
      <c r="D4004" s="32" t="s">
        <v>11036</v>
      </c>
    </row>
    <row r="4005" spans="2:4" x14ac:dyDescent="0.3">
      <c r="B4005" s="33" t="s">
        <v>11037</v>
      </c>
      <c r="C4005" s="32" t="s">
        <v>11038</v>
      </c>
      <c r="D4005" s="32" t="s">
        <v>11039</v>
      </c>
    </row>
    <row r="4006" spans="2:4" x14ac:dyDescent="0.3">
      <c r="B4006" s="33" t="s">
        <v>11040</v>
      </c>
      <c r="C4006" s="32" t="s">
        <v>11041</v>
      </c>
      <c r="D4006" s="32" t="s">
        <v>11042</v>
      </c>
    </row>
    <row r="4007" spans="2:4" x14ac:dyDescent="0.3">
      <c r="B4007" s="33" t="s">
        <v>1547</v>
      </c>
      <c r="C4007" s="32" t="s">
        <v>11043</v>
      </c>
      <c r="D4007" s="32" t="s">
        <v>11044</v>
      </c>
    </row>
    <row r="4008" spans="2:4" x14ac:dyDescent="0.3">
      <c r="B4008" s="33" t="s">
        <v>11045</v>
      </c>
      <c r="C4008" s="32" t="s">
        <v>11046</v>
      </c>
      <c r="D4008" s="32" t="s">
        <v>11047</v>
      </c>
    </row>
    <row r="4009" spans="2:4" x14ac:dyDescent="0.3">
      <c r="B4009" s="33" t="s">
        <v>11034</v>
      </c>
      <c r="C4009" s="32" t="s">
        <v>11048</v>
      </c>
      <c r="D4009" s="32" t="s">
        <v>11049</v>
      </c>
    </row>
    <row r="4010" spans="2:4" x14ac:dyDescent="0.3">
      <c r="B4010" s="33" t="s">
        <v>11050</v>
      </c>
      <c r="C4010" s="32" t="s">
        <v>11051</v>
      </c>
      <c r="D4010" s="32" t="s">
        <v>11052</v>
      </c>
    </row>
    <row r="4011" spans="2:4" x14ac:dyDescent="0.3">
      <c r="B4011" s="33" t="s">
        <v>11053</v>
      </c>
      <c r="C4011" s="32" t="s">
        <v>11054</v>
      </c>
      <c r="D4011" s="32" t="s">
        <v>11055</v>
      </c>
    </row>
    <row r="4012" spans="2:4" x14ac:dyDescent="0.3">
      <c r="B4012" s="33" t="s">
        <v>11056</v>
      </c>
      <c r="C4012" s="32" t="s">
        <v>11057</v>
      </c>
      <c r="D4012" s="32" t="s">
        <v>11058</v>
      </c>
    </row>
    <row r="4013" spans="2:4" x14ac:dyDescent="0.3">
      <c r="B4013" s="33" t="s">
        <v>11059</v>
      </c>
      <c r="C4013" s="32" t="s">
        <v>11060</v>
      </c>
      <c r="D4013" s="32" t="s">
        <v>11061</v>
      </c>
    </row>
    <row r="4014" spans="2:4" x14ac:dyDescent="0.3">
      <c r="B4014" s="33" t="s">
        <v>11062</v>
      </c>
      <c r="C4014" s="32" t="s">
        <v>11063</v>
      </c>
      <c r="D4014" s="32" t="s">
        <v>11064</v>
      </c>
    </row>
    <row r="4015" spans="2:4" x14ac:dyDescent="0.3">
      <c r="B4015" s="33" t="s">
        <v>11065</v>
      </c>
      <c r="C4015" s="32" t="s">
        <v>11066</v>
      </c>
      <c r="D4015" s="32" t="s">
        <v>11067</v>
      </c>
    </row>
    <row r="4016" spans="2:4" x14ac:dyDescent="0.3">
      <c r="B4016" s="33" t="s">
        <v>11068</v>
      </c>
      <c r="C4016" s="32" t="s">
        <v>11069</v>
      </c>
      <c r="D4016" s="32" t="s">
        <v>11070</v>
      </c>
    </row>
    <row r="4017" spans="2:4" x14ac:dyDescent="0.3">
      <c r="B4017" s="33" t="s">
        <v>11071</v>
      </c>
      <c r="C4017" s="32" t="s">
        <v>11072</v>
      </c>
      <c r="D4017" s="32" t="s">
        <v>11073</v>
      </c>
    </row>
    <row r="4018" spans="2:4" x14ac:dyDescent="0.3">
      <c r="B4018" s="33" t="s">
        <v>11074</v>
      </c>
      <c r="C4018" s="32" t="s">
        <v>11075</v>
      </c>
      <c r="D4018" s="32" t="s">
        <v>11076</v>
      </c>
    </row>
    <row r="4019" spans="2:4" x14ac:dyDescent="0.3">
      <c r="B4019" s="33" t="s">
        <v>11077</v>
      </c>
      <c r="C4019" s="32" t="s">
        <v>11078</v>
      </c>
      <c r="D4019" s="32" t="s">
        <v>11079</v>
      </c>
    </row>
    <row r="4020" spans="2:4" x14ac:dyDescent="0.3">
      <c r="B4020" s="33" t="s">
        <v>11080</v>
      </c>
      <c r="C4020" s="32" t="s">
        <v>11081</v>
      </c>
      <c r="D4020" s="32" t="s">
        <v>11082</v>
      </c>
    </row>
    <row r="4021" spans="2:4" x14ac:dyDescent="0.3">
      <c r="B4021" s="33" t="s">
        <v>11083</v>
      </c>
      <c r="C4021" s="32" t="s">
        <v>11084</v>
      </c>
      <c r="D4021" s="32" t="s">
        <v>11085</v>
      </c>
    </row>
    <row r="4022" spans="2:4" x14ac:dyDescent="0.3">
      <c r="B4022" s="33" t="s">
        <v>11086</v>
      </c>
      <c r="C4022" s="32" t="s">
        <v>11087</v>
      </c>
      <c r="D4022" s="32" t="s">
        <v>11088</v>
      </c>
    </row>
    <row r="4023" spans="2:4" x14ac:dyDescent="0.3">
      <c r="B4023" s="33" t="s">
        <v>11089</v>
      </c>
      <c r="C4023" s="32" t="s">
        <v>11090</v>
      </c>
      <c r="D4023" s="32" t="s">
        <v>11091</v>
      </c>
    </row>
    <row r="4024" spans="2:4" x14ac:dyDescent="0.3">
      <c r="B4024" s="33" t="s">
        <v>11092</v>
      </c>
      <c r="C4024" s="32" t="s">
        <v>11093</v>
      </c>
      <c r="D4024" s="32" t="s">
        <v>11094</v>
      </c>
    </row>
    <row r="4025" spans="2:4" x14ac:dyDescent="0.3">
      <c r="B4025" s="33" t="s">
        <v>11095</v>
      </c>
      <c r="C4025" s="32" t="s">
        <v>11096</v>
      </c>
      <c r="D4025" s="32" t="s">
        <v>11097</v>
      </c>
    </row>
    <row r="4026" spans="2:4" x14ac:dyDescent="0.3">
      <c r="B4026" s="33" t="s">
        <v>11098</v>
      </c>
      <c r="C4026" s="32" t="s">
        <v>11099</v>
      </c>
      <c r="D4026" s="32" t="s">
        <v>11100</v>
      </c>
    </row>
    <row r="4027" spans="2:4" x14ac:dyDescent="0.3">
      <c r="B4027" s="33" t="s">
        <v>11101</v>
      </c>
      <c r="C4027" s="32" t="s">
        <v>11102</v>
      </c>
      <c r="D4027" s="32" t="s">
        <v>11103</v>
      </c>
    </row>
    <row r="4028" spans="2:4" x14ac:dyDescent="0.3">
      <c r="B4028" s="33" t="s">
        <v>11104</v>
      </c>
      <c r="C4028" s="32" t="s">
        <v>11105</v>
      </c>
      <c r="D4028" s="32" t="s">
        <v>11106</v>
      </c>
    </row>
    <row r="4029" spans="2:4" x14ac:dyDescent="0.3">
      <c r="B4029" s="33" t="s">
        <v>11107</v>
      </c>
      <c r="C4029" s="32" t="s">
        <v>11108</v>
      </c>
      <c r="D4029" s="32" t="s">
        <v>11109</v>
      </c>
    </row>
    <row r="4030" spans="2:4" x14ac:dyDescent="0.3">
      <c r="B4030" s="33" t="s">
        <v>11110</v>
      </c>
      <c r="C4030" s="32" t="s">
        <v>11111</v>
      </c>
      <c r="D4030" s="32" t="s">
        <v>11110</v>
      </c>
    </row>
    <row r="4031" spans="2:4" x14ac:dyDescent="0.3">
      <c r="B4031" s="33" t="s">
        <v>11112</v>
      </c>
      <c r="C4031" s="32" t="s">
        <v>11113</v>
      </c>
      <c r="D4031" s="32" t="s">
        <v>11114</v>
      </c>
    </row>
    <row r="4032" spans="2:4" x14ac:dyDescent="0.3">
      <c r="B4032" s="33" t="s">
        <v>11115</v>
      </c>
      <c r="C4032" s="32" t="s">
        <v>11116</v>
      </c>
      <c r="D4032" s="32" t="s">
        <v>11117</v>
      </c>
    </row>
    <row r="4033" spans="2:4" x14ac:dyDescent="0.3">
      <c r="B4033" s="33" t="s">
        <v>11118</v>
      </c>
      <c r="C4033" s="32" t="s">
        <v>11119</v>
      </c>
      <c r="D4033" s="32" t="s">
        <v>11120</v>
      </c>
    </row>
    <row r="4034" spans="2:4" x14ac:dyDescent="0.3">
      <c r="B4034" s="33" t="s">
        <v>11121</v>
      </c>
      <c r="C4034" s="32" t="s">
        <v>11122</v>
      </c>
      <c r="D4034" s="32" t="s">
        <v>11123</v>
      </c>
    </row>
    <row r="4035" spans="2:4" x14ac:dyDescent="0.3">
      <c r="B4035" s="33" t="s">
        <v>11124</v>
      </c>
      <c r="C4035" s="32" t="s">
        <v>11125</v>
      </c>
      <c r="D4035" s="32" t="s">
        <v>11126</v>
      </c>
    </row>
    <row r="4036" spans="2:4" x14ac:dyDescent="0.3">
      <c r="B4036" s="33" t="s">
        <v>11127</v>
      </c>
      <c r="C4036" s="32" t="s">
        <v>11128</v>
      </c>
      <c r="D4036" s="32" t="s">
        <v>11129</v>
      </c>
    </row>
    <row r="4037" spans="2:4" x14ac:dyDescent="0.3">
      <c r="B4037" s="33" t="s">
        <v>11130</v>
      </c>
      <c r="C4037" s="32" t="s">
        <v>11131</v>
      </c>
      <c r="D4037" s="32" t="s">
        <v>11132</v>
      </c>
    </row>
    <row r="4038" spans="2:4" x14ac:dyDescent="0.3">
      <c r="B4038" s="33" t="s">
        <v>11133</v>
      </c>
      <c r="C4038" s="32" t="s">
        <v>11134</v>
      </c>
      <c r="D4038" s="32" t="s">
        <v>11135</v>
      </c>
    </row>
    <row r="4039" spans="2:4" x14ac:dyDescent="0.3">
      <c r="B4039" s="33" t="s">
        <v>11136</v>
      </c>
      <c r="C4039" s="32" t="s">
        <v>11137</v>
      </c>
      <c r="D4039" s="32" t="s">
        <v>11138</v>
      </c>
    </row>
    <row r="4040" spans="2:4" x14ac:dyDescent="0.3">
      <c r="B4040" s="33" t="s">
        <v>11139</v>
      </c>
      <c r="C4040" s="32" t="s">
        <v>11140</v>
      </c>
      <c r="D4040" s="32" t="s">
        <v>11141</v>
      </c>
    </row>
    <row r="4041" spans="2:4" x14ac:dyDescent="0.3">
      <c r="B4041" s="33" t="s">
        <v>11142</v>
      </c>
      <c r="C4041" s="32" t="s">
        <v>11143</v>
      </c>
      <c r="D4041" s="32" t="s">
        <v>11144</v>
      </c>
    </row>
    <row r="4042" spans="2:4" x14ac:dyDescent="0.3">
      <c r="B4042" s="33" t="s">
        <v>11145</v>
      </c>
      <c r="C4042" s="32" t="s">
        <v>11146</v>
      </c>
      <c r="D4042" s="32" t="s">
        <v>11147</v>
      </c>
    </row>
    <row r="4043" spans="2:4" x14ac:dyDescent="0.3">
      <c r="B4043" s="33" t="s">
        <v>11148</v>
      </c>
      <c r="C4043" s="32" t="s">
        <v>11149</v>
      </c>
      <c r="D4043" s="32" t="s">
        <v>11150</v>
      </c>
    </row>
    <row r="4044" spans="2:4" x14ac:dyDescent="0.3">
      <c r="B4044" s="33" t="s">
        <v>11151</v>
      </c>
      <c r="C4044" s="32" t="s">
        <v>11152</v>
      </c>
      <c r="D4044" s="32" t="s">
        <v>11153</v>
      </c>
    </row>
    <row r="4045" spans="2:4" x14ac:dyDescent="0.3">
      <c r="B4045" s="33" t="s">
        <v>11154</v>
      </c>
      <c r="C4045" s="32" t="s">
        <v>11155</v>
      </c>
      <c r="D4045" s="32" t="s">
        <v>11156</v>
      </c>
    </row>
    <row r="4046" spans="2:4" x14ac:dyDescent="0.3">
      <c r="B4046" s="33" t="s">
        <v>11148</v>
      </c>
      <c r="C4046" s="32" t="s">
        <v>11157</v>
      </c>
      <c r="D4046" s="32" t="s">
        <v>11158</v>
      </c>
    </row>
    <row r="4047" spans="2:4" x14ac:dyDescent="0.3">
      <c r="B4047" s="33" t="s">
        <v>11159</v>
      </c>
      <c r="C4047" s="32" t="s">
        <v>11160</v>
      </c>
      <c r="D4047" s="32" t="s">
        <v>11161</v>
      </c>
    </row>
    <row r="4048" spans="2:4" x14ac:dyDescent="0.3">
      <c r="B4048" s="33" t="s">
        <v>11162</v>
      </c>
      <c r="C4048" s="32" t="s">
        <v>11163</v>
      </c>
      <c r="D4048" s="32" t="s">
        <v>11164</v>
      </c>
    </row>
    <row r="4049" spans="2:4" x14ac:dyDescent="0.3">
      <c r="B4049" s="33" t="s">
        <v>11162</v>
      </c>
      <c r="C4049" s="32" t="s">
        <v>11165</v>
      </c>
      <c r="D4049" s="32" t="s">
        <v>11166</v>
      </c>
    </row>
    <row r="4050" spans="2:4" x14ac:dyDescent="0.3">
      <c r="B4050" s="33" t="s">
        <v>11167</v>
      </c>
      <c r="C4050" s="32" t="s">
        <v>11168</v>
      </c>
      <c r="D4050" s="32" t="s">
        <v>11169</v>
      </c>
    </row>
    <row r="4051" spans="2:4" x14ac:dyDescent="0.3">
      <c r="B4051" s="33" t="s">
        <v>9435</v>
      </c>
      <c r="C4051" s="32" t="s">
        <v>11170</v>
      </c>
      <c r="D4051" s="32" t="s">
        <v>11171</v>
      </c>
    </row>
    <row r="4052" spans="2:4" x14ac:dyDescent="0.3">
      <c r="B4052" s="33" t="s">
        <v>11172</v>
      </c>
      <c r="C4052" s="32" t="s">
        <v>11173</v>
      </c>
      <c r="D4052" s="32" t="s">
        <v>11174</v>
      </c>
    </row>
    <row r="4053" spans="2:4" x14ac:dyDescent="0.3">
      <c r="B4053" s="33" t="s">
        <v>11175</v>
      </c>
      <c r="C4053" s="32" t="s">
        <v>11176</v>
      </c>
      <c r="D4053" s="32" t="s">
        <v>11177</v>
      </c>
    </row>
    <row r="4054" spans="2:4" x14ac:dyDescent="0.3">
      <c r="B4054" s="33" t="s">
        <v>11178</v>
      </c>
      <c r="C4054" s="32" t="s">
        <v>11179</v>
      </c>
      <c r="D4054" s="32" t="s">
        <v>11180</v>
      </c>
    </row>
    <row r="4055" spans="2:4" x14ac:dyDescent="0.3">
      <c r="B4055" s="33" t="s">
        <v>11136</v>
      </c>
      <c r="C4055" s="32" t="s">
        <v>11181</v>
      </c>
      <c r="D4055" s="32" t="s">
        <v>11182</v>
      </c>
    </row>
    <row r="4056" spans="2:4" x14ac:dyDescent="0.3">
      <c r="B4056" s="33" t="s">
        <v>11183</v>
      </c>
      <c r="C4056" s="32" t="s">
        <v>11184</v>
      </c>
      <c r="D4056" s="32" t="s">
        <v>11183</v>
      </c>
    </row>
    <row r="4057" spans="2:4" x14ac:dyDescent="0.3">
      <c r="B4057" s="33" t="s">
        <v>11185</v>
      </c>
      <c r="C4057" s="32" t="s">
        <v>11186</v>
      </c>
      <c r="D4057" s="32" t="s">
        <v>11187</v>
      </c>
    </row>
    <row r="4058" spans="2:4" x14ac:dyDescent="0.3">
      <c r="B4058" s="33" t="s">
        <v>1547</v>
      </c>
      <c r="C4058" s="32" t="s">
        <v>11188</v>
      </c>
      <c r="D4058" s="32" t="s">
        <v>11189</v>
      </c>
    </row>
    <row r="4059" spans="2:4" x14ac:dyDescent="0.3">
      <c r="B4059" s="33" t="s">
        <v>11190</v>
      </c>
      <c r="C4059" s="32" t="s">
        <v>11191</v>
      </c>
      <c r="D4059" s="32" t="s">
        <v>11192</v>
      </c>
    </row>
    <row r="4060" spans="2:4" x14ac:dyDescent="0.3">
      <c r="B4060" s="33" t="s">
        <v>11193</v>
      </c>
      <c r="C4060" s="32" t="s">
        <v>11194</v>
      </c>
      <c r="D4060" s="32" t="s">
        <v>11193</v>
      </c>
    </row>
    <row r="4061" spans="2:4" x14ac:dyDescent="0.3">
      <c r="B4061" s="33" t="s">
        <v>11195</v>
      </c>
      <c r="C4061" s="32" t="s">
        <v>11196</v>
      </c>
      <c r="D4061" s="32" t="s">
        <v>11197</v>
      </c>
    </row>
    <row r="4062" spans="2:4" x14ac:dyDescent="0.3">
      <c r="B4062" s="33" t="s">
        <v>11198</v>
      </c>
      <c r="C4062" s="32" t="s">
        <v>11199</v>
      </c>
      <c r="D4062" s="32" t="s">
        <v>11200</v>
      </c>
    </row>
    <row r="4063" spans="2:4" x14ac:dyDescent="0.3">
      <c r="B4063" s="33" t="s">
        <v>11201</v>
      </c>
      <c r="C4063" s="32" t="s">
        <v>11202</v>
      </c>
      <c r="D4063" s="32" t="s">
        <v>11203</v>
      </c>
    </row>
    <row r="4064" spans="2:4" x14ac:dyDescent="0.3">
      <c r="B4064" s="33" t="s">
        <v>11204</v>
      </c>
      <c r="C4064" s="32" t="s">
        <v>11205</v>
      </c>
      <c r="D4064" s="32" t="s">
        <v>11206</v>
      </c>
    </row>
    <row r="4065" spans="2:4" x14ac:dyDescent="0.3">
      <c r="B4065" s="33" t="s">
        <v>11207</v>
      </c>
      <c r="C4065" s="32" t="s">
        <v>11208</v>
      </c>
      <c r="D4065" s="32" t="s">
        <v>11209</v>
      </c>
    </row>
    <row r="4066" spans="2:4" x14ac:dyDescent="0.3">
      <c r="B4066" s="33" t="s">
        <v>11210</v>
      </c>
      <c r="C4066" s="32" t="s">
        <v>11211</v>
      </c>
      <c r="D4066" s="32" t="s">
        <v>11212</v>
      </c>
    </row>
    <row r="4067" spans="2:4" x14ac:dyDescent="0.3">
      <c r="B4067" s="33" t="s">
        <v>11207</v>
      </c>
      <c r="C4067" s="32" t="s">
        <v>11213</v>
      </c>
      <c r="D4067" s="32" t="s">
        <v>11214</v>
      </c>
    </row>
    <row r="4068" spans="2:4" x14ac:dyDescent="0.3">
      <c r="B4068" s="33" t="s">
        <v>11215</v>
      </c>
      <c r="C4068" s="32" t="s">
        <v>11216</v>
      </c>
      <c r="D4068" s="32" t="s">
        <v>11217</v>
      </c>
    </row>
    <row r="4069" spans="2:4" x14ac:dyDescent="0.3">
      <c r="B4069" s="33" t="s">
        <v>11068</v>
      </c>
      <c r="C4069" s="32" t="s">
        <v>11218</v>
      </c>
      <c r="D4069" s="32" t="s">
        <v>11219</v>
      </c>
    </row>
    <row r="4070" spans="2:4" x14ac:dyDescent="0.3">
      <c r="B4070" s="33" t="s">
        <v>11220</v>
      </c>
      <c r="C4070" s="32" t="s">
        <v>11221</v>
      </c>
      <c r="D4070" s="32" t="s">
        <v>11222</v>
      </c>
    </row>
    <row r="4071" spans="2:4" x14ac:dyDescent="0.3">
      <c r="B4071" s="33" t="s">
        <v>11223</v>
      </c>
      <c r="C4071" s="32" t="s">
        <v>11224</v>
      </c>
      <c r="D4071" s="32" t="s">
        <v>11225</v>
      </c>
    </row>
    <row r="4072" spans="2:4" x14ac:dyDescent="0.3">
      <c r="B4072" s="33" t="s">
        <v>11226</v>
      </c>
      <c r="C4072" s="32" t="s">
        <v>11227</v>
      </c>
      <c r="D4072" s="32" t="s">
        <v>11228</v>
      </c>
    </row>
    <row r="4073" spans="2:4" x14ac:dyDescent="0.3">
      <c r="B4073" s="33" t="s">
        <v>11229</v>
      </c>
      <c r="C4073" s="32" t="s">
        <v>11230</v>
      </c>
      <c r="D4073" s="32" t="s">
        <v>11231</v>
      </c>
    </row>
    <row r="4074" spans="2:4" x14ac:dyDescent="0.3">
      <c r="B4074" s="33" t="s">
        <v>11045</v>
      </c>
      <c r="C4074" s="32" t="s">
        <v>11232</v>
      </c>
      <c r="D4074" s="32" t="s">
        <v>11233</v>
      </c>
    </row>
    <row r="4075" spans="2:4" x14ac:dyDescent="0.3">
      <c r="B4075" s="33" t="s">
        <v>11234</v>
      </c>
      <c r="C4075" s="32" t="s">
        <v>11235</v>
      </c>
      <c r="D4075" s="32" t="s">
        <v>11236</v>
      </c>
    </row>
    <row r="4076" spans="2:4" x14ac:dyDescent="0.3">
      <c r="B4076" s="33" t="s">
        <v>11237</v>
      </c>
      <c r="C4076" s="32" t="s">
        <v>11238</v>
      </c>
      <c r="D4076" s="32" t="s">
        <v>11239</v>
      </c>
    </row>
    <row r="4077" spans="2:4" x14ac:dyDescent="0.3">
      <c r="B4077" s="33" t="s">
        <v>11240</v>
      </c>
      <c r="C4077" s="32" t="s">
        <v>11241</v>
      </c>
      <c r="D4077" s="32" t="s">
        <v>11242</v>
      </c>
    </row>
    <row r="4078" spans="2:4" x14ac:dyDescent="0.3">
      <c r="B4078" s="33" t="s">
        <v>11031</v>
      </c>
      <c r="C4078" s="32" t="s">
        <v>11243</v>
      </c>
      <c r="D4078" s="32" t="s">
        <v>11244</v>
      </c>
    </row>
    <row r="4079" spans="2:4" x14ac:dyDescent="0.3">
      <c r="B4079" s="33" t="s">
        <v>11083</v>
      </c>
      <c r="C4079" s="32" t="s">
        <v>11245</v>
      </c>
      <c r="D4079" s="32" t="s">
        <v>11083</v>
      </c>
    </row>
    <row r="4080" spans="2:4" x14ac:dyDescent="0.3">
      <c r="B4080" s="33" t="s">
        <v>11246</v>
      </c>
      <c r="C4080" s="32" t="s">
        <v>11247</v>
      </c>
      <c r="D4080" s="32" t="s">
        <v>11246</v>
      </c>
    </row>
    <row r="4081" spans="2:4" x14ac:dyDescent="0.3">
      <c r="B4081" s="33" t="s">
        <v>11248</v>
      </c>
      <c r="C4081" s="32" t="s">
        <v>11249</v>
      </c>
      <c r="D4081" s="32" t="s">
        <v>11250</v>
      </c>
    </row>
    <row r="4082" spans="2:4" x14ac:dyDescent="0.3">
      <c r="B4082" s="33" t="s">
        <v>11251</v>
      </c>
      <c r="C4082" s="32" t="s">
        <v>11252</v>
      </c>
      <c r="D4082" s="32" t="s">
        <v>11253</v>
      </c>
    </row>
    <row r="4083" spans="2:4" x14ac:dyDescent="0.3">
      <c r="B4083" s="33" t="s">
        <v>7069</v>
      </c>
      <c r="C4083" s="32" t="s">
        <v>11254</v>
      </c>
      <c r="D4083" s="32" t="s">
        <v>11255</v>
      </c>
    </row>
    <row r="4084" spans="2:4" x14ac:dyDescent="0.3">
      <c r="B4084" s="33" t="s">
        <v>7069</v>
      </c>
      <c r="C4084" s="32" t="s">
        <v>11256</v>
      </c>
      <c r="D4084" s="32" t="s">
        <v>11256</v>
      </c>
    </row>
    <row r="4085" spans="2:4" x14ac:dyDescent="0.3">
      <c r="B4085" s="33" t="s">
        <v>11257</v>
      </c>
      <c r="C4085" s="32" t="s">
        <v>11258</v>
      </c>
      <c r="D4085" s="32" t="s">
        <v>11259</v>
      </c>
    </row>
    <row r="4086" spans="2:4" x14ac:dyDescent="0.3">
      <c r="B4086" s="33" t="s">
        <v>11260</v>
      </c>
      <c r="C4086" s="32" t="s">
        <v>11261</v>
      </c>
      <c r="D4086" s="32" t="s">
        <v>11262</v>
      </c>
    </row>
    <row r="4087" spans="2:4" x14ac:dyDescent="0.3">
      <c r="B4087" s="33" t="s">
        <v>11263</v>
      </c>
      <c r="C4087" s="32" t="s">
        <v>11264</v>
      </c>
      <c r="D4087" s="32" t="s">
        <v>11265</v>
      </c>
    </row>
    <row r="4088" spans="2:4" x14ac:dyDescent="0.3">
      <c r="B4088" s="33" t="s">
        <v>11159</v>
      </c>
      <c r="C4088" s="32" t="s">
        <v>11266</v>
      </c>
      <c r="D4088" s="32" t="s">
        <v>11267</v>
      </c>
    </row>
    <row r="4089" spans="2:4" x14ac:dyDescent="0.3">
      <c r="B4089" s="33" t="s">
        <v>11268</v>
      </c>
      <c r="C4089" s="32" t="s">
        <v>11269</v>
      </c>
      <c r="D4089" s="32" t="s">
        <v>11270</v>
      </c>
    </row>
    <row r="4090" spans="2:4" x14ac:dyDescent="0.3">
      <c r="B4090" s="33" t="s">
        <v>11271</v>
      </c>
      <c r="C4090" s="32" t="s">
        <v>11272</v>
      </c>
      <c r="D4090" s="32" t="s">
        <v>11273</v>
      </c>
    </row>
    <row r="4091" spans="2:4" x14ac:dyDescent="0.3">
      <c r="B4091" s="33" t="s">
        <v>11274</v>
      </c>
      <c r="C4091" s="32" t="s">
        <v>11275</v>
      </c>
      <c r="D4091" s="32" t="s">
        <v>11276</v>
      </c>
    </row>
    <row r="4092" spans="2:4" x14ac:dyDescent="0.3">
      <c r="B4092" s="33" t="s">
        <v>11277</v>
      </c>
      <c r="C4092" s="32" t="s">
        <v>11278</v>
      </c>
      <c r="D4092" s="32" t="s">
        <v>11277</v>
      </c>
    </row>
    <row r="4093" spans="2:4" x14ac:dyDescent="0.3">
      <c r="B4093" s="33" t="s">
        <v>11279</v>
      </c>
      <c r="C4093" s="32" t="s">
        <v>11280</v>
      </c>
      <c r="D4093" s="32" t="s">
        <v>11281</v>
      </c>
    </row>
    <row r="4094" spans="2:4" x14ac:dyDescent="0.3">
      <c r="B4094" s="33" t="s">
        <v>11282</v>
      </c>
      <c r="C4094" s="32" t="s">
        <v>11283</v>
      </c>
      <c r="D4094" s="32" t="s">
        <v>11284</v>
      </c>
    </row>
    <row r="4095" spans="2:4" x14ac:dyDescent="0.3">
      <c r="B4095" s="33" t="s">
        <v>11285</v>
      </c>
      <c r="C4095" s="32" t="s">
        <v>11286</v>
      </c>
      <c r="D4095" s="32" t="s">
        <v>11287</v>
      </c>
    </row>
    <row r="4096" spans="2:4" x14ac:dyDescent="0.3">
      <c r="B4096" s="33" t="s">
        <v>11288</v>
      </c>
      <c r="C4096" s="32" t="s">
        <v>11289</v>
      </c>
      <c r="D4096" s="32" t="s">
        <v>11290</v>
      </c>
    </row>
    <row r="4097" spans="2:4" x14ac:dyDescent="0.3">
      <c r="B4097" s="33" t="s">
        <v>11291</v>
      </c>
      <c r="C4097" s="32" t="s">
        <v>11292</v>
      </c>
      <c r="D4097" s="32" t="s">
        <v>11293</v>
      </c>
    </row>
    <row r="4098" spans="2:4" x14ac:dyDescent="0.3">
      <c r="B4098" s="33" t="s">
        <v>11294</v>
      </c>
      <c r="C4098" s="32" t="s">
        <v>11295</v>
      </c>
      <c r="D4098" s="32" t="s">
        <v>11296</v>
      </c>
    </row>
    <row r="4099" spans="2:4" x14ac:dyDescent="0.3">
      <c r="B4099" s="33" t="s">
        <v>11297</v>
      </c>
      <c r="C4099" s="32" t="s">
        <v>11298</v>
      </c>
      <c r="D4099" s="32" t="s">
        <v>11299</v>
      </c>
    </row>
    <row r="4100" spans="2:4" x14ac:dyDescent="0.3">
      <c r="B4100" s="33" t="s">
        <v>11300</v>
      </c>
      <c r="C4100" s="32" t="s">
        <v>11301</v>
      </c>
      <c r="D4100" s="32" t="s">
        <v>11302</v>
      </c>
    </row>
    <row r="4101" spans="2:4" x14ac:dyDescent="0.3">
      <c r="B4101" s="33" t="s">
        <v>11303</v>
      </c>
      <c r="C4101" s="32" t="s">
        <v>11304</v>
      </c>
      <c r="D4101" s="32" t="s">
        <v>11305</v>
      </c>
    </row>
    <row r="4102" spans="2:4" x14ac:dyDescent="0.3">
      <c r="B4102" s="33" t="s">
        <v>11306</v>
      </c>
      <c r="C4102" s="32" t="s">
        <v>11307</v>
      </c>
      <c r="D4102" s="32" t="s">
        <v>11308</v>
      </c>
    </row>
    <row r="4103" spans="2:4" x14ac:dyDescent="0.3">
      <c r="B4103" s="33" t="s">
        <v>11309</v>
      </c>
      <c r="C4103" s="32" t="s">
        <v>11310</v>
      </c>
      <c r="D4103" s="32" t="s">
        <v>11311</v>
      </c>
    </row>
    <row r="4104" spans="2:4" x14ac:dyDescent="0.3">
      <c r="B4104" s="33" t="s">
        <v>11312</v>
      </c>
      <c r="C4104" s="32" t="s">
        <v>11313</v>
      </c>
      <c r="D4104" s="32" t="s">
        <v>11314</v>
      </c>
    </row>
    <row r="4105" spans="2:4" x14ac:dyDescent="0.3">
      <c r="B4105" s="33" t="s">
        <v>11315</v>
      </c>
      <c r="C4105" s="32" t="s">
        <v>11316</v>
      </c>
      <c r="D4105" s="32" t="s">
        <v>11317</v>
      </c>
    </row>
    <row r="4106" spans="2:4" x14ac:dyDescent="0.3">
      <c r="B4106" s="33" t="s">
        <v>11318</v>
      </c>
      <c r="C4106" s="32" t="s">
        <v>11319</v>
      </c>
      <c r="D4106" s="32" t="s">
        <v>11320</v>
      </c>
    </row>
    <row r="4107" spans="2:4" x14ac:dyDescent="0.3">
      <c r="B4107" s="33" t="s">
        <v>11321</v>
      </c>
      <c r="C4107" s="32" t="s">
        <v>11322</v>
      </c>
      <c r="D4107" s="32" t="s">
        <v>11323</v>
      </c>
    </row>
    <row r="4108" spans="2:4" x14ac:dyDescent="0.3">
      <c r="B4108" s="33" t="s">
        <v>11324</v>
      </c>
      <c r="C4108" s="32" t="s">
        <v>11325</v>
      </c>
      <c r="D4108" s="32" t="s">
        <v>11326</v>
      </c>
    </row>
    <row r="4109" spans="2:4" x14ac:dyDescent="0.3">
      <c r="B4109" s="33" t="s">
        <v>11327</v>
      </c>
      <c r="C4109" s="32" t="s">
        <v>11328</v>
      </c>
      <c r="D4109" s="32" t="s">
        <v>11329</v>
      </c>
    </row>
    <row r="4110" spans="2:4" x14ac:dyDescent="0.3">
      <c r="B4110" s="33" t="s">
        <v>11330</v>
      </c>
      <c r="C4110" s="32" t="s">
        <v>11331</v>
      </c>
      <c r="D4110" s="32" t="s">
        <v>11332</v>
      </c>
    </row>
    <row r="4111" spans="2:4" x14ac:dyDescent="0.3">
      <c r="B4111" s="33" t="s">
        <v>11333</v>
      </c>
      <c r="C4111" s="32" t="s">
        <v>11334</v>
      </c>
      <c r="D4111" s="32" t="s">
        <v>11335</v>
      </c>
    </row>
    <row r="4112" spans="2:4" x14ac:dyDescent="0.3">
      <c r="B4112" s="33" t="s">
        <v>11336</v>
      </c>
      <c r="C4112" s="32" t="s">
        <v>11337</v>
      </c>
      <c r="D4112" s="32" t="s">
        <v>11338</v>
      </c>
    </row>
    <row r="4113" spans="2:4" x14ac:dyDescent="0.3">
      <c r="B4113" s="33" t="s">
        <v>11339</v>
      </c>
      <c r="C4113" s="32" t="s">
        <v>11340</v>
      </c>
      <c r="D4113" s="32" t="s">
        <v>11341</v>
      </c>
    </row>
    <row r="4114" spans="2:4" x14ac:dyDescent="0.3">
      <c r="B4114" s="33" t="s">
        <v>11342</v>
      </c>
      <c r="C4114" s="32" t="s">
        <v>11343</v>
      </c>
      <c r="D4114" s="32" t="s">
        <v>11344</v>
      </c>
    </row>
    <row r="4115" spans="2:4" x14ac:dyDescent="0.3">
      <c r="B4115" s="33" t="s">
        <v>11198</v>
      </c>
      <c r="C4115" s="32" t="s">
        <v>11345</v>
      </c>
      <c r="D4115" s="32" t="s">
        <v>11346</v>
      </c>
    </row>
    <row r="4116" spans="2:4" x14ac:dyDescent="0.3">
      <c r="B4116" s="33" t="s">
        <v>11347</v>
      </c>
      <c r="C4116" s="32" t="s">
        <v>11348</v>
      </c>
      <c r="D4116" s="32" t="s">
        <v>11349</v>
      </c>
    </row>
    <row r="4117" spans="2:4" x14ac:dyDescent="0.3">
      <c r="B4117" s="33" t="s">
        <v>11350</v>
      </c>
      <c r="C4117" s="32" t="s">
        <v>11351</v>
      </c>
      <c r="D4117" s="32" t="s">
        <v>11352</v>
      </c>
    </row>
    <row r="4118" spans="2:4" x14ac:dyDescent="0.3">
      <c r="B4118" s="33" t="s">
        <v>11353</v>
      </c>
      <c r="C4118" s="32" t="s">
        <v>11354</v>
      </c>
      <c r="D4118" s="32" t="s">
        <v>11355</v>
      </c>
    </row>
    <row r="4119" spans="2:4" x14ac:dyDescent="0.3">
      <c r="B4119" s="33" t="s">
        <v>11356</v>
      </c>
      <c r="C4119" s="32" t="s">
        <v>11357</v>
      </c>
      <c r="D4119" s="32" t="s">
        <v>11358</v>
      </c>
    </row>
    <row r="4120" spans="2:4" x14ac:dyDescent="0.3">
      <c r="B4120" s="33" t="s">
        <v>11359</v>
      </c>
      <c r="C4120" s="32" t="s">
        <v>11360</v>
      </c>
      <c r="D4120" s="32" t="s">
        <v>11361</v>
      </c>
    </row>
    <row r="4121" spans="2:4" x14ac:dyDescent="0.3">
      <c r="B4121" s="33" t="s">
        <v>11362</v>
      </c>
      <c r="C4121" s="32" t="s">
        <v>11363</v>
      </c>
      <c r="D4121" s="32" t="s">
        <v>11364</v>
      </c>
    </row>
    <row r="4122" spans="2:4" x14ac:dyDescent="0.3">
      <c r="B4122" s="33" t="s">
        <v>11350</v>
      </c>
      <c r="C4122" s="32" t="s">
        <v>11365</v>
      </c>
      <c r="D4122" s="32" t="s">
        <v>11366</v>
      </c>
    </row>
    <row r="4123" spans="2:4" x14ac:dyDescent="0.3">
      <c r="B4123" s="33" t="s">
        <v>11367</v>
      </c>
      <c r="C4123" s="32" t="s">
        <v>11368</v>
      </c>
      <c r="D4123" s="32" t="s">
        <v>11369</v>
      </c>
    </row>
    <row r="4124" spans="2:4" x14ac:dyDescent="0.3">
      <c r="B4124" s="33" t="s">
        <v>11350</v>
      </c>
      <c r="C4124" s="32" t="s">
        <v>11370</v>
      </c>
      <c r="D4124" s="32" t="s">
        <v>11371</v>
      </c>
    </row>
    <row r="4125" spans="2:4" x14ac:dyDescent="0.3">
      <c r="B4125" s="33" t="s">
        <v>287</v>
      </c>
      <c r="C4125" s="32" t="s">
        <v>11372</v>
      </c>
      <c r="D4125" s="32" t="s">
        <v>11373</v>
      </c>
    </row>
    <row r="4126" spans="2:4" x14ac:dyDescent="0.3">
      <c r="B4126" s="33" t="s">
        <v>11374</v>
      </c>
      <c r="C4126" s="32" t="s">
        <v>11375</v>
      </c>
      <c r="D4126" s="32" t="s">
        <v>11376</v>
      </c>
    </row>
    <row r="4127" spans="2:4" x14ac:dyDescent="0.3">
      <c r="B4127" s="33" t="s">
        <v>1455</v>
      </c>
      <c r="C4127" s="32" t="s">
        <v>11377</v>
      </c>
      <c r="D4127" s="32" t="s">
        <v>11378</v>
      </c>
    </row>
    <row r="4128" spans="2:4" x14ac:dyDescent="0.3">
      <c r="B4128" s="33" t="s">
        <v>11379</v>
      </c>
      <c r="C4128" s="32" t="s">
        <v>11380</v>
      </c>
      <c r="D4128" s="32" t="s">
        <v>11381</v>
      </c>
    </row>
    <row r="4129" spans="2:4" x14ac:dyDescent="0.3">
      <c r="B4129" s="33" t="s">
        <v>11382</v>
      </c>
      <c r="C4129" s="32" t="s">
        <v>11383</v>
      </c>
      <c r="D4129" s="32" t="s">
        <v>11384</v>
      </c>
    </row>
    <row r="4130" spans="2:4" x14ac:dyDescent="0.3">
      <c r="B4130" s="33" t="s">
        <v>11385</v>
      </c>
      <c r="C4130" s="32" t="s">
        <v>11386</v>
      </c>
      <c r="D4130" s="32" t="s">
        <v>11387</v>
      </c>
    </row>
    <row r="4131" spans="2:4" x14ac:dyDescent="0.3">
      <c r="B4131" s="33" t="s">
        <v>11198</v>
      </c>
      <c r="C4131" s="32" t="s">
        <v>11388</v>
      </c>
      <c r="D4131" s="32" t="s">
        <v>11389</v>
      </c>
    </row>
    <row r="4132" spans="2:4" x14ac:dyDescent="0.3">
      <c r="B4132" s="33" t="s">
        <v>11390</v>
      </c>
      <c r="C4132" s="32" t="s">
        <v>11391</v>
      </c>
      <c r="D4132" s="32" t="s">
        <v>11392</v>
      </c>
    </row>
    <row r="4133" spans="2:4" x14ac:dyDescent="0.3">
      <c r="B4133" s="33" t="s">
        <v>11393</v>
      </c>
      <c r="C4133" s="32" t="s">
        <v>11394</v>
      </c>
      <c r="D4133" s="32" t="s">
        <v>11395</v>
      </c>
    </row>
    <row r="4134" spans="2:4" x14ac:dyDescent="0.3">
      <c r="B4134" s="33" t="s">
        <v>11396</v>
      </c>
      <c r="C4134" s="32" t="s">
        <v>11397</v>
      </c>
      <c r="D4134" s="32" t="s">
        <v>11398</v>
      </c>
    </row>
    <row r="4135" spans="2:4" x14ac:dyDescent="0.3">
      <c r="B4135" s="33" t="s">
        <v>11399</v>
      </c>
      <c r="C4135" s="32" t="s">
        <v>11400</v>
      </c>
      <c r="D4135" s="32" t="s">
        <v>11401</v>
      </c>
    </row>
    <row r="4136" spans="2:4" x14ac:dyDescent="0.3">
      <c r="B4136" s="33" t="s">
        <v>11402</v>
      </c>
      <c r="C4136" s="32" t="s">
        <v>11403</v>
      </c>
      <c r="D4136" s="32" t="s">
        <v>11404</v>
      </c>
    </row>
    <row r="4137" spans="2:4" x14ac:dyDescent="0.3">
      <c r="B4137" s="33" t="s">
        <v>11405</v>
      </c>
      <c r="C4137" s="32" t="s">
        <v>11406</v>
      </c>
      <c r="D4137" s="32" t="s">
        <v>11407</v>
      </c>
    </row>
    <row r="4138" spans="2:4" x14ac:dyDescent="0.3">
      <c r="B4138" s="33" t="s">
        <v>11408</v>
      </c>
      <c r="C4138" s="32" t="s">
        <v>11409</v>
      </c>
      <c r="D4138" s="32" t="s">
        <v>11408</v>
      </c>
    </row>
    <row r="4139" spans="2:4" x14ac:dyDescent="0.3">
      <c r="B4139" s="33" t="s">
        <v>11410</v>
      </c>
      <c r="C4139" s="32" t="s">
        <v>11411</v>
      </c>
      <c r="D4139" s="32" t="s">
        <v>11412</v>
      </c>
    </row>
    <row r="4140" spans="2:4" x14ac:dyDescent="0.3">
      <c r="B4140" s="33" t="s">
        <v>11413</v>
      </c>
      <c r="C4140" s="32" t="s">
        <v>11414</v>
      </c>
      <c r="D4140" s="32" t="s">
        <v>11415</v>
      </c>
    </row>
    <row r="4141" spans="2:4" x14ac:dyDescent="0.3">
      <c r="B4141" s="33" t="s">
        <v>11416</v>
      </c>
      <c r="C4141" s="32" t="s">
        <v>11417</v>
      </c>
      <c r="D4141" s="32" t="s">
        <v>11418</v>
      </c>
    </row>
    <row r="4142" spans="2:4" x14ac:dyDescent="0.3">
      <c r="B4142" s="33" t="s">
        <v>11419</v>
      </c>
      <c r="C4142" s="32" t="s">
        <v>11420</v>
      </c>
      <c r="D4142" s="32" t="s">
        <v>11421</v>
      </c>
    </row>
    <row r="4143" spans="2:4" x14ac:dyDescent="0.3">
      <c r="B4143" s="33" t="s">
        <v>11422</v>
      </c>
      <c r="C4143" s="32" t="s">
        <v>11423</v>
      </c>
      <c r="D4143" s="32" t="s">
        <v>11424</v>
      </c>
    </row>
    <row r="4144" spans="2:4" x14ac:dyDescent="0.3">
      <c r="B4144" s="33" t="s">
        <v>11268</v>
      </c>
      <c r="C4144" s="32" t="s">
        <v>11425</v>
      </c>
      <c r="D4144" s="32" t="s">
        <v>11426</v>
      </c>
    </row>
    <row r="4145" spans="2:4" x14ac:dyDescent="0.3">
      <c r="B4145" s="33" t="s">
        <v>11427</v>
      </c>
      <c r="C4145" s="32" t="s">
        <v>11428</v>
      </c>
      <c r="D4145" s="32" t="s">
        <v>11429</v>
      </c>
    </row>
    <row r="4146" spans="2:4" x14ac:dyDescent="0.3">
      <c r="B4146" s="33" t="s">
        <v>11430</v>
      </c>
      <c r="C4146" s="32" t="s">
        <v>11431</v>
      </c>
      <c r="D4146" s="32" t="s">
        <v>11432</v>
      </c>
    </row>
    <row r="4147" spans="2:4" x14ac:dyDescent="0.3">
      <c r="B4147" s="33" t="s">
        <v>11433</v>
      </c>
      <c r="C4147" s="32" t="s">
        <v>11434</v>
      </c>
      <c r="D4147" s="32" t="s">
        <v>11435</v>
      </c>
    </row>
    <row r="4148" spans="2:4" x14ac:dyDescent="0.3">
      <c r="B4148" s="33" t="s">
        <v>11436</v>
      </c>
      <c r="C4148" s="32" t="s">
        <v>11437</v>
      </c>
      <c r="D4148" s="32" t="s">
        <v>11438</v>
      </c>
    </row>
    <row r="4149" spans="2:4" x14ac:dyDescent="0.3">
      <c r="B4149" s="33" t="s">
        <v>11439</v>
      </c>
      <c r="C4149" s="32" t="s">
        <v>11440</v>
      </c>
      <c r="D4149" s="32" t="s">
        <v>11441</v>
      </c>
    </row>
    <row r="4150" spans="2:4" x14ac:dyDescent="0.3">
      <c r="B4150" s="33" t="s">
        <v>11442</v>
      </c>
      <c r="C4150" s="32" t="s">
        <v>11443</v>
      </c>
      <c r="D4150" s="32" t="s">
        <v>11444</v>
      </c>
    </row>
    <row r="4151" spans="2:4" x14ac:dyDescent="0.3">
      <c r="B4151" s="33" t="s">
        <v>11445</v>
      </c>
      <c r="C4151" s="32" t="s">
        <v>11446</v>
      </c>
      <c r="D4151" s="32" t="s">
        <v>11447</v>
      </c>
    </row>
    <row r="4152" spans="2:4" x14ac:dyDescent="0.3">
      <c r="B4152" s="33" t="s">
        <v>11449</v>
      </c>
      <c r="C4152" s="32" t="s">
        <v>11450</v>
      </c>
      <c r="D4152" s="32" t="s">
        <v>11451</v>
      </c>
    </row>
    <row r="4153" spans="2:4" x14ac:dyDescent="0.3">
      <c r="B4153" s="33" t="s">
        <v>11452</v>
      </c>
      <c r="C4153" s="32" t="s">
        <v>11453</v>
      </c>
      <c r="D4153" s="32" t="s">
        <v>11454</v>
      </c>
    </row>
    <row r="4154" spans="2:4" x14ac:dyDescent="0.3">
      <c r="B4154" s="33" t="s">
        <v>11455</v>
      </c>
      <c r="C4154" s="32" t="s">
        <v>11456</v>
      </c>
      <c r="D4154" s="32" t="s">
        <v>11457</v>
      </c>
    </row>
    <row r="4155" spans="2:4" x14ac:dyDescent="0.3">
      <c r="B4155" s="33" t="s">
        <v>118</v>
      </c>
      <c r="C4155" s="32" t="s">
        <v>11458</v>
      </c>
      <c r="D4155" s="32" t="s">
        <v>119</v>
      </c>
    </row>
    <row r="4156" spans="2:4" x14ac:dyDescent="0.3">
      <c r="B4156" s="33" t="s">
        <v>11459</v>
      </c>
      <c r="C4156" s="32" t="s">
        <v>11460</v>
      </c>
      <c r="D4156" s="32" t="s">
        <v>11461</v>
      </c>
    </row>
    <row r="4157" spans="2:4" x14ac:dyDescent="0.3">
      <c r="B4157" s="33" t="s">
        <v>11462</v>
      </c>
      <c r="C4157" s="32" t="s">
        <v>11463</v>
      </c>
      <c r="D4157" s="32" t="s">
        <v>11464</v>
      </c>
    </row>
    <row r="4158" spans="2:4" x14ac:dyDescent="0.3">
      <c r="B4158" s="33" t="s">
        <v>11367</v>
      </c>
      <c r="C4158" s="32" t="s">
        <v>11465</v>
      </c>
      <c r="D4158" s="32" t="s">
        <v>11466</v>
      </c>
    </row>
    <row r="4159" spans="2:4" x14ac:dyDescent="0.3">
      <c r="B4159" s="33" t="s">
        <v>11467</v>
      </c>
      <c r="C4159" s="32" t="s">
        <v>11468</v>
      </c>
      <c r="D4159" s="32" t="s">
        <v>11469</v>
      </c>
    </row>
    <row r="4160" spans="2:4" x14ac:dyDescent="0.3">
      <c r="B4160" s="33" t="s">
        <v>11470</v>
      </c>
      <c r="C4160" s="32" t="s">
        <v>11471</v>
      </c>
      <c r="D4160" s="32" t="s">
        <v>11472</v>
      </c>
    </row>
    <row r="4161" spans="2:4" x14ac:dyDescent="0.3">
      <c r="B4161" s="33" t="s">
        <v>11473</v>
      </c>
      <c r="C4161" s="32" t="s">
        <v>11474</v>
      </c>
      <c r="D4161" s="32" t="s">
        <v>11475</v>
      </c>
    </row>
    <row r="4162" spans="2:4" x14ac:dyDescent="0.3">
      <c r="B4162" s="33" t="s">
        <v>11347</v>
      </c>
      <c r="C4162" s="32" t="s">
        <v>11476</v>
      </c>
      <c r="D4162" s="32" t="s">
        <v>11477</v>
      </c>
    </row>
    <row r="4163" spans="2:4" x14ac:dyDescent="0.3">
      <c r="B4163" s="33" t="s">
        <v>11478</v>
      </c>
      <c r="C4163" s="32" t="s">
        <v>11479</v>
      </c>
      <c r="D4163" s="32" t="s">
        <v>36718</v>
      </c>
    </row>
    <row r="4164" spans="2:4" x14ac:dyDescent="0.3">
      <c r="B4164" s="33" t="s">
        <v>11480</v>
      </c>
      <c r="C4164" s="32" t="s">
        <v>11481</v>
      </c>
      <c r="D4164" s="32" t="s">
        <v>11482</v>
      </c>
    </row>
    <row r="4165" spans="2:4" x14ac:dyDescent="0.3">
      <c r="B4165" s="33" t="s">
        <v>11483</v>
      </c>
      <c r="C4165" s="32" t="s">
        <v>11484</v>
      </c>
      <c r="D4165" s="32" t="s">
        <v>11485</v>
      </c>
    </row>
    <row r="4166" spans="2:4" x14ac:dyDescent="0.3">
      <c r="B4166" s="33" t="s">
        <v>11486</v>
      </c>
      <c r="C4166" s="32" t="s">
        <v>11487</v>
      </c>
      <c r="D4166" s="32" t="s">
        <v>11488</v>
      </c>
    </row>
    <row r="4167" spans="2:4" x14ac:dyDescent="0.3">
      <c r="B4167" s="33" t="s">
        <v>11489</v>
      </c>
      <c r="C4167" s="32" t="s">
        <v>11490</v>
      </c>
      <c r="D4167" s="32" t="s">
        <v>11491</v>
      </c>
    </row>
    <row r="4168" spans="2:4" x14ac:dyDescent="0.3">
      <c r="B4168" s="33" t="s">
        <v>11086</v>
      </c>
      <c r="C4168" s="32" t="s">
        <v>11492</v>
      </c>
      <c r="D4168" s="32" t="s">
        <v>11493</v>
      </c>
    </row>
    <row r="4169" spans="2:4" x14ac:dyDescent="0.3">
      <c r="B4169" s="33" t="s">
        <v>11494</v>
      </c>
      <c r="C4169" s="32" t="s">
        <v>11495</v>
      </c>
      <c r="D4169" s="32" t="s">
        <v>11496</v>
      </c>
    </row>
    <row r="4170" spans="2:4" x14ac:dyDescent="0.3">
      <c r="B4170" s="33" t="s">
        <v>11497</v>
      </c>
      <c r="C4170" s="32" t="s">
        <v>11498</v>
      </c>
      <c r="D4170" s="32" t="s">
        <v>11499</v>
      </c>
    </row>
    <row r="4171" spans="2:4" x14ac:dyDescent="0.3">
      <c r="B4171" s="33" t="s">
        <v>11500</v>
      </c>
      <c r="C4171" s="32" t="s">
        <v>11501</v>
      </c>
      <c r="D4171" s="32" t="s">
        <v>11502</v>
      </c>
    </row>
    <row r="4172" spans="2:4" x14ac:dyDescent="0.3">
      <c r="B4172" s="33" t="s">
        <v>11503</v>
      </c>
      <c r="C4172" s="32" t="s">
        <v>11504</v>
      </c>
      <c r="D4172" s="32" t="s">
        <v>11505</v>
      </c>
    </row>
    <row r="4173" spans="2:4" x14ac:dyDescent="0.3">
      <c r="B4173" s="33" t="s">
        <v>11506</v>
      </c>
      <c r="C4173" s="32" t="s">
        <v>11507</v>
      </c>
      <c r="D4173" s="32" t="s">
        <v>11508</v>
      </c>
    </row>
    <row r="4174" spans="2:4" x14ac:dyDescent="0.3">
      <c r="B4174" s="33" t="s">
        <v>11509</v>
      </c>
      <c r="C4174" s="32" t="s">
        <v>11510</v>
      </c>
      <c r="D4174" s="32" t="s">
        <v>11511</v>
      </c>
    </row>
    <row r="4175" spans="2:4" x14ac:dyDescent="0.3">
      <c r="B4175" s="33" t="s">
        <v>11512</v>
      </c>
      <c r="C4175" s="32" t="s">
        <v>11513</v>
      </c>
      <c r="D4175" s="32" t="s">
        <v>11514</v>
      </c>
    </row>
    <row r="4176" spans="2:4" x14ac:dyDescent="0.3">
      <c r="B4176" s="33" t="s">
        <v>11515</v>
      </c>
      <c r="C4176" s="32" t="s">
        <v>11516</v>
      </c>
      <c r="D4176" s="32" t="s">
        <v>11517</v>
      </c>
    </row>
    <row r="4177" spans="2:4" x14ac:dyDescent="0.3">
      <c r="B4177" s="33" t="s">
        <v>11518</v>
      </c>
      <c r="C4177" s="32" t="s">
        <v>11519</v>
      </c>
      <c r="D4177" s="32" t="s">
        <v>11520</v>
      </c>
    </row>
    <row r="4178" spans="2:4" x14ac:dyDescent="0.3">
      <c r="B4178" s="33" t="s">
        <v>11521</v>
      </c>
      <c r="C4178" s="32" t="s">
        <v>11522</v>
      </c>
      <c r="D4178" s="32" t="s">
        <v>11523</v>
      </c>
    </row>
    <row r="4179" spans="2:4" x14ac:dyDescent="0.3">
      <c r="B4179" s="33" t="s">
        <v>11524</v>
      </c>
      <c r="C4179" s="32" t="s">
        <v>11525</v>
      </c>
      <c r="D4179" s="32" t="s">
        <v>11526</v>
      </c>
    </row>
    <row r="4180" spans="2:4" x14ac:dyDescent="0.3">
      <c r="B4180" s="33" t="s">
        <v>11110</v>
      </c>
      <c r="C4180" s="32" t="s">
        <v>11527</v>
      </c>
      <c r="D4180" s="32" t="s">
        <v>11528</v>
      </c>
    </row>
    <row r="4181" spans="2:4" x14ac:dyDescent="0.3">
      <c r="B4181" s="33" t="s">
        <v>11529</v>
      </c>
      <c r="C4181" s="32" t="s">
        <v>11530</v>
      </c>
      <c r="D4181" s="32" t="s">
        <v>11531</v>
      </c>
    </row>
    <row r="4182" spans="2:4" x14ac:dyDescent="0.3">
      <c r="B4182" s="33" t="s">
        <v>11532</v>
      </c>
      <c r="C4182" s="32" t="s">
        <v>11533</v>
      </c>
      <c r="D4182" s="32" t="s">
        <v>11534</v>
      </c>
    </row>
    <row r="4183" spans="2:4" x14ac:dyDescent="0.3">
      <c r="B4183" s="33" t="s">
        <v>11506</v>
      </c>
      <c r="C4183" s="32" t="s">
        <v>11535</v>
      </c>
      <c r="D4183" s="32" t="s">
        <v>11536</v>
      </c>
    </row>
    <row r="4184" spans="2:4" x14ac:dyDescent="0.3">
      <c r="B4184" s="33" t="s">
        <v>11532</v>
      </c>
      <c r="C4184" s="32" t="s">
        <v>11537</v>
      </c>
      <c r="D4184" s="32" t="s">
        <v>11538</v>
      </c>
    </row>
    <row r="4185" spans="2:4" x14ac:dyDescent="0.3">
      <c r="B4185" s="33" t="s">
        <v>11539</v>
      </c>
      <c r="C4185" s="32" t="s">
        <v>11540</v>
      </c>
      <c r="D4185" s="32" t="s">
        <v>11541</v>
      </c>
    </row>
    <row r="4186" spans="2:4" x14ac:dyDescent="0.3">
      <c r="B4186" s="33" t="s">
        <v>11542</v>
      </c>
      <c r="C4186" s="32" t="s">
        <v>11543</v>
      </c>
      <c r="D4186" s="32" t="s">
        <v>11544</v>
      </c>
    </row>
    <row r="4187" spans="2:4" x14ac:dyDescent="0.3">
      <c r="B4187" s="33" t="s">
        <v>11545</v>
      </c>
      <c r="C4187" s="32" t="s">
        <v>11546</v>
      </c>
      <c r="D4187" s="32" t="s">
        <v>11547</v>
      </c>
    </row>
    <row r="4188" spans="2:4" x14ac:dyDescent="0.3">
      <c r="B4188" s="33" t="s">
        <v>11548</v>
      </c>
      <c r="C4188" s="32" t="s">
        <v>11549</v>
      </c>
      <c r="D4188" s="32" t="s">
        <v>11550</v>
      </c>
    </row>
    <row r="4189" spans="2:4" x14ac:dyDescent="0.3">
      <c r="B4189" s="33" t="s">
        <v>11551</v>
      </c>
      <c r="C4189" s="32" t="s">
        <v>11552</v>
      </c>
      <c r="D4189" s="32" t="s">
        <v>11553</v>
      </c>
    </row>
    <row r="4190" spans="2:4" x14ac:dyDescent="0.3">
      <c r="B4190" s="33" t="s">
        <v>11554</v>
      </c>
      <c r="C4190" s="32" t="s">
        <v>11555</v>
      </c>
      <c r="D4190" s="32" t="s">
        <v>11556</v>
      </c>
    </row>
    <row r="4191" spans="2:4" x14ac:dyDescent="0.3">
      <c r="B4191" s="33" t="s">
        <v>10288</v>
      </c>
      <c r="C4191" s="32" t="s">
        <v>11557</v>
      </c>
      <c r="D4191" s="32" t="s">
        <v>11558</v>
      </c>
    </row>
    <row r="4192" spans="2:4" x14ac:dyDescent="0.3">
      <c r="B4192" s="33" t="s">
        <v>11559</v>
      </c>
      <c r="C4192" s="32" t="s">
        <v>11560</v>
      </c>
      <c r="D4192" s="32" t="s">
        <v>11561</v>
      </c>
    </row>
    <row r="4193" spans="2:4" x14ac:dyDescent="0.3">
      <c r="B4193" s="33" t="s">
        <v>11562</v>
      </c>
      <c r="C4193" s="32" t="s">
        <v>11563</v>
      </c>
      <c r="D4193" s="32" t="s">
        <v>11564</v>
      </c>
    </row>
    <row r="4194" spans="2:4" x14ac:dyDescent="0.3">
      <c r="B4194" s="33" t="s">
        <v>11565</v>
      </c>
      <c r="C4194" s="32" t="s">
        <v>11566</v>
      </c>
      <c r="D4194" s="32" t="s">
        <v>11567</v>
      </c>
    </row>
    <row r="4195" spans="2:4" x14ac:dyDescent="0.3">
      <c r="B4195" s="33" t="s">
        <v>11568</v>
      </c>
      <c r="C4195" s="32" t="s">
        <v>11569</v>
      </c>
      <c r="D4195" s="32" t="s">
        <v>37182</v>
      </c>
    </row>
    <row r="4196" spans="2:4" x14ac:dyDescent="0.3">
      <c r="B4196" s="33" t="s">
        <v>11570</v>
      </c>
      <c r="C4196" s="32" t="s">
        <v>11571</v>
      </c>
      <c r="D4196" s="32" t="s">
        <v>11572</v>
      </c>
    </row>
    <row r="4197" spans="2:4" x14ac:dyDescent="0.3">
      <c r="B4197" s="33" t="s">
        <v>11573</v>
      </c>
      <c r="C4197" s="32" t="s">
        <v>11574</v>
      </c>
      <c r="D4197" s="32" t="s">
        <v>11575</v>
      </c>
    </row>
    <row r="4198" spans="2:4" x14ac:dyDescent="0.3">
      <c r="B4198" s="33" t="s">
        <v>11576</v>
      </c>
      <c r="C4198" s="32" t="s">
        <v>11577</v>
      </c>
      <c r="D4198" s="32" t="s">
        <v>11578</v>
      </c>
    </row>
    <row r="4199" spans="2:4" x14ac:dyDescent="0.3">
      <c r="B4199" s="33" t="s">
        <v>11579</v>
      </c>
      <c r="C4199" s="32" t="s">
        <v>11580</v>
      </c>
      <c r="D4199" s="32" t="s">
        <v>11581</v>
      </c>
    </row>
    <row r="4200" spans="2:4" x14ac:dyDescent="0.3">
      <c r="B4200" s="33" t="s">
        <v>11582</v>
      </c>
      <c r="C4200" s="32" t="s">
        <v>11583</v>
      </c>
      <c r="D4200" s="32" t="s">
        <v>11584</v>
      </c>
    </row>
    <row r="4201" spans="2:4" x14ac:dyDescent="0.3">
      <c r="B4201" s="33" t="s">
        <v>11585</v>
      </c>
      <c r="C4201" s="32" t="s">
        <v>11586</v>
      </c>
      <c r="D4201" s="32" t="s">
        <v>37183</v>
      </c>
    </row>
    <row r="4202" spans="2:4" x14ac:dyDescent="0.3">
      <c r="B4202" s="33" t="s">
        <v>11587</v>
      </c>
      <c r="C4202" s="32" t="s">
        <v>11588</v>
      </c>
      <c r="D4202" s="32" t="s">
        <v>11589</v>
      </c>
    </row>
    <row r="4203" spans="2:4" x14ac:dyDescent="0.3">
      <c r="B4203" s="33" t="s">
        <v>11590</v>
      </c>
      <c r="C4203" s="32" t="s">
        <v>11591</v>
      </c>
      <c r="D4203" s="32" t="s">
        <v>11592</v>
      </c>
    </row>
    <row r="4204" spans="2:4" x14ac:dyDescent="0.3">
      <c r="B4204" s="33" t="s">
        <v>11593</v>
      </c>
      <c r="C4204" s="32" t="s">
        <v>11594</v>
      </c>
      <c r="D4204" s="32" t="s">
        <v>11595</v>
      </c>
    </row>
    <row r="4205" spans="2:4" x14ac:dyDescent="0.3">
      <c r="B4205" s="33" t="s">
        <v>11596</v>
      </c>
      <c r="C4205" s="32" t="s">
        <v>11597</v>
      </c>
      <c r="D4205" s="32" t="s">
        <v>11598</v>
      </c>
    </row>
    <row r="4206" spans="2:4" x14ac:dyDescent="0.3">
      <c r="B4206" s="33" t="s">
        <v>11083</v>
      </c>
      <c r="C4206" s="32" t="s">
        <v>11599</v>
      </c>
      <c r="D4206" s="32" t="s">
        <v>11600</v>
      </c>
    </row>
    <row r="4207" spans="2:4" x14ac:dyDescent="0.3">
      <c r="B4207" s="33" t="s">
        <v>11601</v>
      </c>
      <c r="C4207" s="32" t="s">
        <v>11602</v>
      </c>
      <c r="D4207" s="32" t="s">
        <v>11603</v>
      </c>
    </row>
    <row r="4208" spans="2:4" x14ac:dyDescent="0.3">
      <c r="B4208" s="33" t="s">
        <v>11604</v>
      </c>
      <c r="C4208" s="32" t="s">
        <v>11605</v>
      </c>
      <c r="D4208" s="32" t="s">
        <v>11606</v>
      </c>
    </row>
    <row r="4209" spans="2:4" x14ac:dyDescent="0.3">
      <c r="B4209" s="33" t="s">
        <v>11178</v>
      </c>
      <c r="C4209" s="32" t="s">
        <v>11607</v>
      </c>
      <c r="D4209" s="32" t="s">
        <v>37184</v>
      </c>
    </row>
    <row r="4210" spans="2:4" x14ac:dyDescent="0.3">
      <c r="B4210" s="33" t="s">
        <v>11608</v>
      </c>
      <c r="C4210" s="32" t="s">
        <v>11609</v>
      </c>
      <c r="D4210" s="32" t="s">
        <v>11610</v>
      </c>
    </row>
    <row r="4211" spans="2:4" x14ac:dyDescent="0.3">
      <c r="B4211" s="33" t="s">
        <v>11611</v>
      </c>
      <c r="C4211" s="32" t="s">
        <v>11612</v>
      </c>
      <c r="D4211" s="32" t="s">
        <v>11613</v>
      </c>
    </row>
    <row r="4212" spans="2:4" x14ac:dyDescent="0.3">
      <c r="B4212" s="33" t="s">
        <v>11614</v>
      </c>
      <c r="C4212" s="32" t="s">
        <v>11615</v>
      </c>
      <c r="D4212" s="32" t="s">
        <v>11616</v>
      </c>
    </row>
    <row r="4213" spans="2:4" x14ac:dyDescent="0.3">
      <c r="B4213" s="33" t="s">
        <v>11617</v>
      </c>
      <c r="C4213" s="32" t="s">
        <v>11618</v>
      </c>
      <c r="D4213" s="32" t="s">
        <v>11619</v>
      </c>
    </row>
    <row r="4214" spans="2:4" x14ac:dyDescent="0.3">
      <c r="B4214" s="33" t="s">
        <v>11393</v>
      </c>
      <c r="C4214" s="32" t="s">
        <v>11620</v>
      </c>
      <c r="D4214" s="32" t="s">
        <v>11621</v>
      </c>
    </row>
    <row r="4215" spans="2:4" x14ac:dyDescent="0.3">
      <c r="B4215" s="33" t="s">
        <v>11622</v>
      </c>
      <c r="C4215" s="32" t="s">
        <v>11623</v>
      </c>
      <c r="D4215" s="32" t="s">
        <v>11624</v>
      </c>
    </row>
    <row r="4216" spans="2:4" x14ac:dyDescent="0.3">
      <c r="B4216" s="33" t="s">
        <v>11625</v>
      </c>
      <c r="C4216" s="32" t="s">
        <v>11626</v>
      </c>
      <c r="D4216" s="32" t="s">
        <v>11627</v>
      </c>
    </row>
    <row r="4217" spans="2:4" x14ac:dyDescent="0.3">
      <c r="B4217" s="33" t="s">
        <v>11629</v>
      </c>
      <c r="C4217" s="32" t="s">
        <v>11630</v>
      </c>
      <c r="D4217" s="32" t="s">
        <v>11631</v>
      </c>
    </row>
    <row r="4218" spans="2:4" x14ac:dyDescent="0.3">
      <c r="B4218" s="33" t="s">
        <v>11632</v>
      </c>
      <c r="C4218" s="32" t="s">
        <v>11633</v>
      </c>
      <c r="D4218" s="32" t="s">
        <v>11634</v>
      </c>
    </row>
    <row r="4219" spans="2:4" x14ac:dyDescent="0.3">
      <c r="B4219" s="33" t="s">
        <v>11629</v>
      </c>
      <c r="C4219" s="32" t="s">
        <v>11635</v>
      </c>
      <c r="D4219" s="32" t="s">
        <v>11636</v>
      </c>
    </row>
    <row r="4220" spans="2:4" x14ac:dyDescent="0.3">
      <c r="B4220" s="33" t="s">
        <v>11637</v>
      </c>
      <c r="C4220" s="32" t="s">
        <v>11638</v>
      </c>
      <c r="D4220" s="32" t="s">
        <v>11639</v>
      </c>
    </row>
    <row r="4221" spans="2:4" x14ac:dyDescent="0.3">
      <c r="B4221" s="33" t="s">
        <v>11640</v>
      </c>
      <c r="C4221" s="32" t="s">
        <v>11641</v>
      </c>
      <c r="D4221" s="32" t="s">
        <v>11642</v>
      </c>
    </row>
    <row r="4222" spans="2:4" x14ac:dyDescent="0.3">
      <c r="B4222" s="33" t="s">
        <v>11643</v>
      </c>
      <c r="C4222" s="32" t="s">
        <v>11644</v>
      </c>
      <c r="D4222" s="32" t="s">
        <v>11645</v>
      </c>
    </row>
    <row r="4223" spans="2:4" x14ac:dyDescent="0.3">
      <c r="B4223" s="33" t="s">
        <v>11646</v>
      </c>
      <c r="C4223" s="32" t="s">
        <v>11647</v>
      </c>
      <c r="D4223" s="32" t="s">
        <v>11648</v>
      </c>
    </row>
    <row r="4224" spans="2:4" x14ac:dyDescent="0.3">
      <c r="B4224" s="33" t="s">
        <v>11649</v>
      </c>
      <c r="C4224" s="32" t="s">
        <v>11650</v>
      </c>
      <c r="D4224" s="32" t="s">
        <v>11651</v>
      </c>
    </row>
    <row r="4225" spans="2:4" x14ac:dyDescent="0.3">
      <c r="B4225" s="33" t="s">
        <v>11652</v>
      </c>
      <c r="C4225" s="32" t="s">
        <v>11653</v>
      </c>
      <c r="D4225" s="32" t="s">
        <v>11654</v>
      </c>
    </row>
    <row r="4226" spans="2:4" x14ac:dyDescent="0.3">
      <c r="B4226" s="33" t="s">
        <v>11655</v>
      </c>
      <c r="C4226" s="32" t="s">
        <v>11656</v>
      </c>
      <c r="D4226" s="32" t="s">
        <v>11657</v>
      </c>
    </row>
    <row r="4227" spans="2:4" x14ac:dyDescent="0.3">
      <c r="B4227" s="33" t="s">
        <v>11658</v>
      </c>
      <c r="C4227" s="32" t="s">
        <v>11659</v>
      </c>
      <c r="D4227" s="32" t="s">
        <v>11660</v>
      </c>
    </row>
    <row r="4228" spans="2:4" x14ac:dyDescent="0.3">
      <c r="B4228" s="33" t="s">
        <v>11661</v>
      </c>
      <c r="C4228" s="32" t="s">
        <v>11662</v>
      </c>
      <c r="D4228" s="32" t="s">
        <v>11663</v>
      </c>
    </row>
    <row r="4229" spans="2:4" x14ac:dyDescent="0.3">
      <c r="B4229" s="33" t="s">
        <v>11664</v>
      </c>
      <c r="C4229" s="32" t="s">
        <v>11665</v>
      </c>
      <c r="D4229" s="32" t="s">
        <v>11666</v>
      </c>
    </row>
    <row r="4230" spans="2:4" x14ac:dyDescent="0.3">
      <c r="B4230" s="33" t="s">
        <v>11667</v>
      </c>
      <c r="C4230" s="32" t="s">
        <v>11668</v>
      </c>
      <c r="D4230" s="32" t="s">
        <v>11669</v>
      </c>
    </row>
    <row r="4231" spans="2:4" x14ac:dyDescent="0.3">
      <c r="B4231" s="33" t="s">
        <v>11670</v>
      </c>
      <c r="C4231" s="32" t="s">
        <v>11671</v>
      </c>
      <c r="D4231" s="32" t="s">
        <v>11672</v>
      </c>
    </row>
    <row r="4232" spans="2:4" x14ac:dyDescent="0.3">
      <c r="B4232" s="33" t="s">
        <v>11673</v>
      </c>
      <c r="C4232" s="32" t="s">
        <v>11674</v>
      </c>
      <c r="D4232" s="32" t="s">
        <v>11675</v>
      </c>
    </row>
    <row r="4233" spans="2:4" x14ac:dyDescent="0.3">
      <c r="B4233" s="33" t="s">
        <v>11676</v>
      </c>
      <c r="C4233" s="32" t="s">
        <v>11677</v>
      </c>
      <c r="D4233" s="32" t="s">
        <v>11678</v>
      </c>
    </row>
    <row r="4234" spans="2:4" x14ac:dyDescent="0.3">
      <c r="B4234" s="33" t="s">
        <v>11679</v>
      </c>
      <c r="C4234" s="32" t="s">
        <v>11680</v>
      </c>
      <c r="D4234" s="32" t="s">
        <v>11681</v>
      </c>
    </row>
    <row r="4235" spans="2:4" x14ac:dyDescent="0.3">
      <c r="B4235" s="33" t="s">
        <v>11682</v>
      </c>
      <c r="C4235" s="32" t="s">
        <v>11683</v>
      </c>
      <c r="D4235" s="32" t="s">
        <v>11684</v>
      </c>
    </row>
    <row r="4236" spans="2:4" x14ac:dyDescent="0.3">
      <c r="B4236" s="33" t="s">
        <v>11670</v>
      </c>
      <c r="C4236" s="32" t="s">
        <v>11685</v>
      </c>
      <c r="D4236" s="32" t="s">
        <v>11686</v>
      </c>
    </row>
    <row r="4237" spans="2:4" x14ac:dyDescent="0.3">
      <c r="B4237" s="33" t="s">
        <v>11687</v>
      </c>
      <c r="C4237" s="32" t="s">
        <v>11688</v>
      </c>
      <c r="D4237" s="32" t="s">
        <v>11687</v>
      </c>
    </row>
    <row r="4238" spans="2:4" x14ac:dyDescent="0.3">
      <c r="B4238" s="33" t="s">
        <v>11689</v>
      </c>
      <c r="C4238" s="32" t="s">
        <v>11690</v>
      </c>
      <c r="D4238" s="32" t="s">
        <v>11691</v>
      </c>
    </row>
    <row r="4239" spans="2:4" x14ac:dyDescent="0.3">
      <c r="B4239" s="33" t="s">
        <v>5121</v>
      </c>
      <c r="C4239" s="32" t="s">
        <v>11692</v>
      </c>
      <c r="D4239" s="32" t="s">
        <v>11693</v>
      </c>
    </row>
    <row r="4240" spans="2:4" x14ac:dyDescent="0.3">
      <c r="B4240" s="33" t="s">
        <v>11694</v>
      </c>
      <c r="C4240" s="32" t="s">
        <v>11695</v>
      </c>
      <c r="D4240" s="32" t="s">
        <v>11696</v>
      </c>
    </row>
    <row r="4241" spans="2:4" x14ac:dyDescent="0.3">
      <c r="B4241" s="33" t="s">
        <v>11697</v>
      </c>
      <c r="C4241" s="32" t="s">
        <v>11698</v>
      </c>
      <c r="D4241" s="32" t="s">
        <v>11699</v>
      </c>
    </row>
    <row r="4242" spans="2:4" x14ac:dyDescent="0.3">
      <c r="B4242" s="33" t="s">
        <v>11700</v>
      </c>
      <c r="C4242" s="32" t="s">
        <v>11701</v>
      </c>
      <c r="D4242" s="32" t="s">
        <v>11702</v>
      </c>
    </row>
    <row r="4243" spans="2:4" x14ac:dyDescent="0.3">
      <c r="B4243" s="33" t="s">
        <v>11703</v>
      </c>
      <c r="C4243" s="32" t="s">
        <v>11704</v>
      </c>
      <c r="D4243" s="32" t="s">
        <v>11703</v>
      </c>
    </row>
    <row r="4244" spans="2:4" x14ac:dyDescent="0.3">
      <c r="B4244" s="33" t="s">
        <v>11396</v>
      </c>
      <c r="C4244" s="32" t="s">
        <v>11705</v>
      </c>
      <c r="D4244" s="32" t="s">
        <v>11706</v>
      </c>
    </row>
    <row r="4245" spans="2:4" x14ac:dyDescent="0.3">
      <c r="B4245" s="33" t="s">
        <v>11707</v>
      </c>
      <c r="C4245" s="32" t="s">
        <v>11708</v>
      </c>
      <c r="D4245" s="32" t="s">
        <v>11709</v>
      </c>
    </row>
    <row r="4246" spans="2:4" x14ac:dyDescent="0.3">
      <c r="B4246" s="33" t="s">
        <v>11710</v>
      </c>
      <c r="C4246" s="32" t="s">
        <v>11711</v>
      </c>
      <c r="D4246" s="32" t="s">
        <v>11712</v>
      </c>
    </row>
    <row r="4247" spans="2:4" x14ac:dyDescent="0.3">
      <c r="B4247" s="33" t="s">
        <v>11713</v>
      </c>
      <c r="C4247" s="32" t="s">
        <v>11714</v>
      </c>
      <c r="D4247" s="32" t="s">
        <v>11715</v>
      </c>
    </row>
    <row r="4248" spans="2:4" x14ac:dyDescent="0.3">
      <c r="B4248" s="33" t="s">
        <v>11716</v>
      </c>
      <c r="C4248" s="32" t="s">
        <v>11717</v>
      </c>
      <c r="D4248" s="32" t="s">
        <v>11718</v>
      </c>
    </row>
    <row r="4249" spans="2:4" x14ac:dyDescent="0.3">
      <c r="B4249" s="33" t="s">
        <v>11719</v>
      </c>
      <c r="C4249" s="32" t="s">
        <v>11720</v>
      </c>
      <c r="D4249" s="32" t="s">
        <v>11721</v>
      </c>
    </row>
    <row r="4250" spans="2:4" x14ac:dyDescent="0.3">
      <c r="B4250" s="33" t="s">
        <v>11722</v>
      </c>
      <c r="C4250" s="32" t="s">
        <v>11723</v>
      </c>
      <c r="D4250" s="32" t="s">
        <v>11724</v>
      </c>
    </row>
    <row r="4251" spans="2:4" x14ac:dyDescent="0.3">
      <c r="B4251" s="33" t="s">
        <v>11725</v>
      </c>
      <c r="C4251" s="32" t="s">
        <v>11726</v>
      </c>
      <c r="D4251" s="32" t="s">
        <v>11727</v>
      </c>
    </row>
    <row r="4252" spans="2:4" x14ac:dyDescent="0.3">
      <c r="B4252" s="33" t="s">
        <v>11728</v>
      </c>
      <c r="C4252" s="32" t="s">
        <v>11729</v>
      </c>
      <c r="D4252" s="32" t="s">
        <v>11730</v>
      </c>
    </row>
    <row r="4253" spans="2:4" x14ac:dyDescent="0.3">
      <c r="B4253" s="33" t="s">
        <v>11731</v>
      </c>
      <c r="C4253" s="32" t="s">
        <v>11732</v>
      </c>
      <c r="D4253" s="32" t="s">
        <v>11733</v>
      </c>
    </row>
    <row r="4254" spans="2:4" x14ac:dyDescent="0.3">
      <c r="B4254" s="33" t="s">
        <v>11734</v>
      </c>
      <c r="C4254" s="32" t="s">
        <v>11735</v>
      </c>
      <c r="D4254" s="32" t="s">
        <v>11736</v>
      </c>
    </row>
    <row r="4255" spans="2:4" x14ac:dyDescent="0.3">
      <c r="B4255" s="33" t="s">
        <v>11608</v>
      </c>
      <c r="C4255" s="32" t="s">
        <v>11737</v>
      </c>
      <c r="D4255" s="32" t="s">
        <v>11738</v>
      </c>
    </row>
    <row r="4256" spans="2:4" x14ac:dyDescent="0.3">
      <c r="B4256" s="33" t="s">
        <v>11739</v>
      </c>
      <c r="C4256" s="32" t="s">
        <v>11740</v>
      </c>
      <c r="D4256" s="32" t="s">
        <v>11741</v>
      </c>
    </row>
    <row r="4257" spans="2:4" x14ac:dyDescent="0.3">
      <c r="B4257" s="33" t="s">
        <v>11742</v>
      </c>
      <c r="C4257" s="32" t="s">
        <v>11743</v>
      </c>
      <c r="D4257" s="32" t="s">
        <v>11742</v>
      </c>
    </row>
    <row r="4258" spans="2:4" x14ac:dyDescent="0.3">
      <c r="B4258" s="33" t="s">
        <v>11744</v>
      </c>
      <c r="C4258" s="32" t="s">
        <v>11745</v>
      </c>
      <c r="D4258" s="32" t="s">
        <v>11746</v>
      </c>
    </row>
    <row r="4259" spans="2:4" x14ac:dyDescent="0.3">
      <c r="B4259" s="33" t="s">
        <v>11747</v>
      </c>
      <c r="C4259" s="32" t="s">
        <v>11748</v>
      </c>
      <c r="D4259" s="32" t="s">
        <v>11749</v>
      </c>
    </row>
    <row r="4260" spans="2:4" x14ac:dyDescent="0.3">
      <c r="B4260" s="33" t="s">
        <v>11750</v>
      </c>
      <c r="C4260" s="32" t="s">
        <v>11751</v>
      </c>
      <c r="D4260" s="32" t="s">
        <v>37185</v>
      </c>
    </row>
    <row r="4261" spans="2:4" x14ac:dyDescent="0.3">
      <c r="B4261" s="33" t="s">
        <v>11752</v>
      </c>
      <c r="C4261" s="32" t="s">
        <v>11753</v>
      </c>
      <c r="D4261" s="32" t="s">
        <v>11752</v>
      </c>
    </row>
    <row r="4262" spans="2:4" x14ac:dyDescent="0.3">
      <c r="B4262" s="33" t="s">
        <v>11754</v>
      </c>
      <c r="C4262" s="32" t="s">
        <v>11755</v>
      </c>
      <c r="D4262" s="32" t="s">
        <v>11756</v>
      </c>
    </row>
    <row r="4263" spans="2:4" x14ac:dyDescent="0.3">
      <c r="B4263" s="33" t="s">
        <v>11757</v>
      </c>
      <c r="C4263" s="32" t="s">
        <v>11758</v>
      </c>
      <c r="D4263" s="32" t="s">
        <v>11759</v>
      </c>
    </row>
    <row r="4264" spans="2:4" x14ac:dyDescent="0.3">
      <c r="B4264" s="33" t="s">
        <v>11760</v>
      </c>
      <c r="C4264" s="32" t="s">
        <v>11761</v>
      </c>
      <c r="D4264" s="32" t="s">
        <v>11762</v>
      </c>
    </row>
    <row r="4265" spans="2:4" x14ac:dyDescent="0.3">
      <c r="B4265" s="33" t="s">
        <v>11763</v>
      </c>
      <c r="C4265" s="32" t="s">
        <v>11764</v>
      </c>
      <c r="D4265" s="32" t="s">
        <v>37186</v>
      </c>
    </row>
    <row r="4266" spans="2:4" x14ac:dyDescent="0.3">
      <c r="B4266" s="33" t="s">
        <v>11765</v>
      </c>
      <c r="C4266" s="32" t="s">
        <v>11766</v>
      </c>
      <c r="D4266" s="32" t="s">
        <v>11765</v>
      </c>
    </row>
    <row r="4267" spans="2:4" x14ac:dyDescent="0.3">
      <c r="B4267" s="33" t="s">
        <v>11767</v>
      </c>
      <c r="C4267" s="32" t="s">
        <v>11768</v>
      </c>
      <c r="D4267" s="32" t="s">
        <v>11769</v>
      </c>
    </row>
    <row r="4268" spans="2:4" x14ac:dyDescent="0.3">
      <c r="B4268" s="33" t="s">
        <v>11770</v>
      </c>
      <c r="C4268" s="32" t="s">
        <v>11771</v>
      </c>
      <c r="D4268" s="32" t="s">
        <v>11772</v>
      </c>
    </row>
    <row r="4269" spans="2:4" x14ac:dyDescent="0.3">
      <c r="B4269" s="33" t="s">
        <v>11773</v>
      </c>
      <c r="C4269" s="32" t="s">
        <v>11774</v>
      </c>
      <c r="D4269" s="32" t="s">
        <v>11775</v>
      </c>
    </row>
    <row r="4270" spans="2:4" x14ac:dyDescent="0.3">
      <c r="B4270" s="33" t="s">
        <v>11776</v>
      </c>
      <c r="C4270" s="32" t="s">
        <v>11777</v>
      </c>
      <c r="D4270" s="32" t="s">
        <v>11778</v>
      </c>
    </row>
    <row r="4271" spans="2:4" x14ac:dyDescent="0.3">
      <c r="B4271" s="33" t="s">
        <v>11059</v>
      </c>
      <c r="C4271" s="32" t="s">
        <v>11779</v>
      </c>
      <c r="D4271" s="32" t="s">
        <v>11780</v>
      </c>
    </row>
    <row r="4272" spans="2:4" x14ac:dyDescent="0.3">
      <c r="B4272" s="33" t="s">
        <v>11781</v>
      </c>
      <c r="C4272" s="32" t="s">
        <v>11782</v>
      </c>
      <c r="D4272" s="32" t="s">
        <v>36719</v>
      </c>
    </row>
    <row r="4273" spans="2:4" x14ac:dyDescent="0.3">
      <c r="B4273" s="33" t="s">
        <v>11783</v>
      </c>
      <c r="C4273" s="32" t="s">
        <v>11784</v>
      </c>
      <c r="D4273" s="32" t="s">
        <v>11785</v>
      </c>
    </row>
    <row r="4274" spans="2:4" x14ac:dyDescent="0.3">
      <c r="B4274" s="33" t="s">
        <v>11786</v>
      </c>
      <c r="C4274" s="32" t="s">
        <v>11787</v>
      </c>
      <c r="D4274" s="32" t="s">
        <v>11786</v>
      </c>
    </row>
    <row r="4275" spans="2:4" x14ac:dyDescent="0.3">
      <c r="B4275" s="33" t="s">
        <v>11788</v>
      </c>
      <c r="C4275" s="32" t="s">
        <v>11789</v>
      </c>
      <c r="D4275" s="32" t="s">
        <v>11790</v>
      </c>
    </row>
    <row r="4276" spans="2:4" x14ac:dyDescent="0.3">
      <c r="B4276" s="33" t="s">
        <v>11791</v>
      </c>
      <c r="C4276" s="32" t="s">
        <v>11792</v>
      </c>
      <c r="D4276" s="32" t="s">
        <v>11793</v>
      </c>
    </row>
    <row r="4277" spans="2:4" x14ac:dyDescent="0.3">
      <c r="B4277" s="33" t="s">
        <v>11794</v>
      </c>
      <c r="C4277" s="32" t="s">
        <v>11795</v>
      </c>
      <c r="D4277" s="32" t="s">
        <v>11796</v>
      </c>
    </row>
    <row r="4278" spans="2:4" x14ac:dyDescent="0.3">
      <c r="B4278" s="33" t="s">
        <v>11797</v>
      </c>
      <c r="C4278" s="32" t="s">
        <v>11798</v>
      </c>
      <c r="D4278" s="32" t="s">
        <v>11799</v>
      </c>
    </row>
    <row r="4279" spans="2:4" x14ac:dyDescent="0.3">
      <c r="B4279" s="33" t="s">
        <v>11800</v>
      </c>
      <c r="C4279" s="32" t="s">
        <v>11801</v>
      </c>
      <c r="D4279" s="32" t="s">
        <v>11802</v>
      </c>
    </row>
    <row r="4280" spans="2:4" x14ac:dyDescent="0.3">
      <c r="B4280" s="33" t="s">
        <v>11803</v>
      </c>
      <c r="C4280" s="32" t="s">
        <v>11804</v>
      </c>
      <c r="D4280" s="32" t="s">
        <v>11805</v>
      </c>
    </row>
    <row r="4281" spans="2:4" x14ac:dyDescent="0.3">
      <c r="B4281" s="33" t="s">
        <v>11763</v>
      </c>
      <c r="C4281" s="32" t="s">
        <v>11806</v>
      </c>
      <c r="D4281" s="32" t="s">
        <v>11807</v>
      </c>
    </row>
    <row r="4282" spans="2:4" x14ac:dyDescent="0.3">
      <c r="B4282" s="33" t="s">
        <v>11808</v>
      </c>
      <c r="C4282" s="32" t="s">
        <v>11809</v>
      </c>
      <c r="D4282" s="32" t="s">
        <v>11810</v>
      </c>
    </row>
    <row r="4283" spans="2:4" x14ac:dyDescent="0.3">
      <c r="B4283" s="33" t="s">
        <v>11811</v>
      </c>
      <c r="C4283" s="32" t="s">
        <v>11812</v>
      </c>
      <c r="D4283" s="32" t="s">
        <v>11813</v>
      </c>
    </row>
    <row r="4284" spans="2:4" x14ac:dyDescent="0.3">
      <c r="B4284" s="33" t="s">
        <v>11814</v>
      </c>
      <c r="C4284" s="32" t="s">
        <v>11815</v>
      </c>
      <c r="D4284" s="32" t="s">
        <v>11816</v>
      </c>
    </row>
    <row r="4285" spans="2:4" x14ac:dyDescent="0.3">
      <c r="B4285" s="33" t="s">
        <v>11817</v>
      </c>
      <c r="C4285" s="32" t="s">
        <v>11818</v>
      </c>
      <c r="D4285" s="32" t="s">
        <v>11819</v>
      </c>
    </row>
    <row r="4286" spans="2:4" x14ac:dyDescent="0.3">
      <c r="B4286" s="33" t="s">
        <v>11760</v>
      </c>
      <c r="C4286" s="32" t="s">
        <v>11820</v>
      </c>
      <c r="D4286" s="32" t="s">
        <v>11821</v>
      </c>
    </row>
    <row r="4287" spans="2:4" x14ac:dyDescent="0.3">
      <c r="B4287" s="33" t="s">
        <v>11822</v>
      </c>
      <c r="C4287" s="32" t="s">
        <v>11823</v>
      </c>
      <c r="D4287" s="32" t="s">
        <v>11824</v>
      </c>
    </row>
    <row r="4288" spans="2:4" x14ac:dyDescent="0.3">
      <c r="B4288" s="33" t="s">
        <v>11825</v>
      </c>
      <c r="C4288" s="32" t="s">
        <v>11826</v>
      </c>
      <c r="D4288" s="32" t="s">
        <v>11827</v>
      </c>
    </row>
    <row r="4289" spans="2:4" x14ac:dyDescent="0.3">
      <c r="B4289" s="33" t="s">
        <v>11652</v>
      </c>
      <c r="C4289" s="32" t="s">
        <v>11828</v>
      </c>
      <c r="D4289" s="32" t="s">
        <v>11829</v>
      </c>
    </row>
    <row r="4290" spans="2:4" x14ac:dyDescent="0.3">
      <c r="B4290" s="33" t="s">
        <v>11830</v>
      </c>
      <c r="C4290" s="32" t="s">
        <v>11831</v>
      </c>
      <c r="D4290" s="32" t="s">
        <v>11832</v>
      </c>
    </row>
    <row r="4291" spans="2:4" x14ac:dyDescent="0.3">
      <c r="B4291" s="33" t="s">
        <v>8725</v>
      </c>
      <c r="C4291" s="32" t="s">
        <v>11833</v>
      </c>
      <c r="D4291" s="32" t="s">
        <v>11834</v>
      </c>
    </row>
    <row r="4292" spans="2:4" x14ac:dyDescent="0.3">
      <c r="B4292" s="33" t="s">
        <v>11083</v>
      </c>
      <c r="C4292" s="32" t="s">
        <v>11835</v>
      </c>
      <c r="D4292" s="32" t="s">
        <v>11836</v>
      </c>
    </row>
    <row r="4293" spans="2:4" x14ac:dyDescent="0.3">
      <c r="B4293" s="33" t="s">
        <v>11837</v>
      </c>
      <c r="C4293" s="32" t="s">
        <v>11838</v>
      </c>
      <c r="D4293" s="32" t="s">
        <v>11839</v>
      </c>
    </row>
    <row r="4294" spans="2:4" x14ac:dyDescent="0.3">
      <c r="B4294" s="33" t="s">
        <v>11840</v>
      </c>
      <c r="C4294" s="32" t="s">
        <v>11841</v>
      </c>
      <c r="D4294" s="32" t="s">
        <v>11842</v>
      </c>
    </row>
    <row r="4295" spans="2:4" x14ac:dyDescent="0.3">
      <c r="B4295" s="33" t="s">
        <v>11843</v>
      </c>
      <c r="C4295" s="32" t="s">
        <v>11844</v>
      </c>
      <c r="D4295" s="32" t="s">
        <v>11845</v>
      </c>
    </row>
    <row r="4296" spans="2:4" x14ac:dyDescent="0.3">
      <c r="B4296" s="33" t="s">
        <v>11846</v>
      </c>
      <c r="C4296" s="32" t="s">
        <v>11847</v>
      </c>
      <c r="D4296" s="32" t="s">
        <v>11848</v>
      </c>
    </row>
    <row r="4297" spans="2:4" x14ac:dyDescent="0.3">
      <c r="B4297" s="33" t="s">
        <v>11849</v>
      </c>
      <c r="C4297" s="32" t="s">
        <v>11850</v>
      </c>
      <c r="D4297" s="32" t="s">
        <v>11851</v>
      </c>
    </row>
    <row r="4298" spans="2:4" x14ac:dyDescent="0.3">
      <c r="B4298" s="33" t="s">
        <v>11852</v>
      </c>
      <c r="C4298" s="32" t="s">
        <v>11853</v>
      </c>
      <c r="D4298" s="32" t="s">
        <v>11854</v>
      </c>
    </row>
    <row r="4299" spans="2:4" x14ac:dyDescent="0.3">
      <c r="B4299" s="33" t="s">
        <v>11855</v>
      </c>
      <c r="C4299" s="32" t="s">
        <v>11856</v>
      </c>
      <c r="D4299" s="32" t="s">
        <v>11855</v>
      </c>
    </row>
    <row r="4300" spans="2:4" x14ac:dyDescent="0.3">
      <c r="B4300" s="33" t="s">
        <v>11857</v>
      </c>
      <c r="C4300" s="32" t="s">
        <v>11858</v>
      </c>
      <c r="D4300" s="32" t="s">
        <v>11859</v>
      </c>
    </row>
    <row r="4301" spans="2:4" x14ac:dyDescent="0.3">
      <c r="B4301" s="33" t="s">
        <v>11860</v>
      </c>
      <c r="C4301" s="32" t="s">
        <v>11861</v>
      </c>
      <c r="D4301" s="32" t="s">
        <v>11860</v>
      </c>
    </row>
    <row r="4302" spans="2:4" x14ac:dyDescent="0.3">
      <c r="B4302" s="33" t="s">
        <v>11862</v>
      </c>
      <c r="C4302" s="32" t="s">
        <v>11863</v>
      </c>
      <c r="D4302" s="32" t="s">
        <v>11864</v>
      </c>
    </row>
    <row r="4303" spans="2:4" x14ac:dyDescent="0.3">
      <c r="B4303" s="33" t="s">
        <v>11865</v>
      </c>
      <c r="C4303" s="32" t="s">
        <v>11866</v>
      </c>
      <c r="D4303" s="32" t="s">
        <v>11867</v>
      </c>
    </row>
    <row r="4304" spans="2:4" x14ac:dyDescent="0.3">
      <c r="B4304" s="33" t="s">
        <v>11868</v>
      </c>
      <c r="C4304" s="32" t="s">
        <v>11869</v>
      </c>
      <c r="D4304" s="32" t="s">
        <v>11870</v>
      </c>
    </row>
    <row r="4305" spans="2:4" x14ac:dyDescent="0.3">
      <c r="B4305" s="33" t="s">
        <v>11871</v>
      </c>
      <c r="C4305" s="32" t="s">
        <v>11872</v>
      </c>
      <c r="D4305" s="32" t="s">
        <v>11871</v>
      </c>
    </row>
    <row r="4306" spans="2:4" x14ac:dyDescent="0.3">
      <c r="B4306" s="33" t="s">
        <v>11873</v>
      </c>
      <c r="C4306" s="32" t="s">
        <v>11874</v>
      </c>
      <c r="D4306" s="32" t="s">
        <v>11873</v>
      </c>
    </row>
    <row r="4307" spans="2:4" x14ac:dyDescent="0.3">
      <c r="B4307" s="33" t="s">
        <v>11875</v>
      </c>
      <c r="C4307" s="32" t="s">
        <v>11876</v>
      </c>
      <c r="D4307" s="32" t="s">
        <v>11877</v>
      </c>
    </row>
    <row r="4308" spans="2:4" x14ac:dyDescent="0.3">
      <c r="B4308" s="33" t="s">
        <v>11878</v>
      </c>
      <c r="C4308" s="32" t="s">
        <v>11879</v>
      </c>
      <c r="D4308" s="32" t="s">
        <v>11880</v>
      </c>
    </row>
    <row r="4309" spans="2:4" x14ac:dyDescent="0.3">
      <c r="B4309" s="33" t="s">
        <v>11881</v>
      </c>
      <c r="C4309" s="32" t="s">
        <v>11882</v>
      </c>
      <c r="D4309" s="32" t="s">
        <v>11883</v>
      </c>
    </row>
    <row r="4310" spans="2:4" x14ac:dyDescent="0.3">
      <c r="B4310" s="33" t="s">
        <v>11884</v>
      </c>
      <c r="C4310" s="32" t="s">
        <v>11885</v>
      </c>
      <c r="D4310" s="32" t="s">
        <v>11886</v>
      </c>
    </row>
    <row r="4311" spans="2:4" x14ac:dyDescent="0.3">
      <c r="B4311" s="33" t="s">
        <v>11887</v>
      </c>
      <c r="C4311" s="32" t="s">
        <v>11888</v>
      </c>
      <c r="D4311" s="32" t="s">
        <v>11889</v>
      </c>
    </row>
    <row r="4312" spans="2:4" x14ac:dyDescent="0.3">
      <c r="B4312" s="33" t="s">
        <v>11890</v>
      </c>
      <c r="C4312" s="32" t="s">
        <v>11891</v>
      </c>
      <c r="D4312" s="32" t="s">
        <v>11892</v>
      </c>
    </row>
    <row r="4313" spans="2:4" x14ac:dyDescent="0.3">
      <c r="B4313" s="33" t="s">
        <v>11110</v>
      </c>
      <c r="C4313" s="32" t="s">
        <v>11893</v>
      </c>
      <c r="D4313" s="32" t="s">
        <v>11894</v>
      </c>
    </row>
    <row r="4314" spans="2:4" x14ac:dyDescent="0.3">
      <c r="B4314" s="33" t="s">
        <v>11895</v>
      </c>
      <c r="C4314" s="32" t="s">
        <v>11896</v>
      </c>
      <c r="D4314" s="32" t="s">
        <v>11897</v>
      </c>
    </row>
    <row r="4315" spans="2:4" x14ac:dyDescent="0.3">
      <c r="B4315" s="33" t="s">
        <v>16</v>
      </c>
      <c r="C4315" s="32" t="s">
        <v>11898</v>
      </c>
      <c r="D4315" s="32" t="s">
        <v>17</v>
      </c>
    </row>
    <row r="4316" spans="2:4" x14ac:dyDescent="0.3">
      <c r="B4316" s="33" t="s">
        <v>11899</v>
      </c>
      <c r="C4316" s="32" t="s">
        <v>11900</v>
      </c>
      <c r="D4316" s="32" t="s">
        <v>11901</v>
      </c>
    </row>
    <row r="4317" spans="2:4" x14ac:dyDescent="0.3">
      <c r="B4317" s="33" t="s">
        <v>11902</v>
      </c>
      <c r="C4317" s="32" t="s">
        <v>11903</v>
      </c>
      <c r="D4317" s="32" t="s">
        <v>11904</v>
      </c>
    </row>
    <row r="4318" spans="2:4" x14ac:dyDescent="0.3">
      <c r="B4318" s="33" t="s">
        <v>11902</v>
      </c>
      <c r="C4318" s="32" t="s">
        <v>11905</v>
      </c>
      <c r="D4318" s="32" t="s">
        <v>11906</v>
      </c>
    </row>
    <row r="4319" spans="2:4" x14ac:dyDescent="0.3">
      <c r="B4319" s="33" t="s">
        <v>103</v>
      </c>
      <c r="C4319" s="32" t="s">
        <v>11907</v>
      </c>
      <c r="D4319" s="32" t="s">
        <v>104</v>
      </c>
    </row>
    <row r="4320" spans="2:4" x14ac:dyDescent="0.3">
      <c r="B4320" s="33" t="s">
        <v>11908</v>
      </c>
      <c r="C4320" s="32" t="s">
        <v>11909</v>
      </c>
      <c r="D4320" s="32" t="s">
        <v>11910</v>
      </c>
    </row>
    <row r="4321" spans="2:4" x14ac:dyDescent="0.3">
      <c r="B4321" s="33" t="s">
        <v>11911</v>
      </c>
      <c r="C4321" s="32" t="s">
        <v>11912</v>
      </c>
      <c r="D4321" s="32" t="s">
        <v>11913</v>
      </c>
    </row>
    <row r="4322" spans="2:4" x14ac:dyDescent="0.3">
      <c r="B4322" s="33" t="s">
        <v>11914</v>
      </c>
      <c r="C4322" s="32" t="s">
        <v>11915</v>
      </c>
      <c r="D4322" s="32" t="s">
        <v>11916</v>
      </c>
    </row>
    <row r="4323" spans="2:4" x14ac:dyDescent="0.3">
      <c r="B4323" s="33" t="s">
        <v>11917</v>
      </c>
      <c r="C4323" s="32" t="s">
        <v>11918</v>
      </c>
      <c r="D4323" s="32" t="s">
        <v>11919</v>
      </c>
    </row>
    <row r="4324" spans="2:4" x14ac:dyDescent="0.3">
      <c r="B4324" s="33" t="s">
        <v>11920</v>
      </c>
      <c r="C4324" s="32" t="s">
        <v>11921</v>
      </c>
      <c r="D4324" s="32" t="s">
        <v>11922</v>
      </c>
    </row>
    <row r="4325" spans="2:4" x14ac:dyDescent="0.3">
      <c r="B4325" s="33" t="s">
        <v>11923</v>
      </c>
      <c r="C4325" s="32" t="s">
        <v>11924</v>
      </c>
      <c r="D4325" s="32" t="s">
        <v>11925</v>
      </c>
    </row>
    <row r="4326" spans="2:4" x14ac:dyDescent="0.3">
      <c r="B4326" s="33" t="s">
        <v>11926</v>
      </c>
      <c r="C4326" s="32" t="s">
        <v>11927</v>
      </c>
      <c r="D4326" s="32" t="s">
        <v>11928</v>
      </c>
    </row>
    <row r="4327" spans="2:4" x14ac:dyDescent="0.3">
      <c r="B4327" s="33" t="s">
        <v>11929</v>
      </c>
      <c r="C4327" s="32" t="s">
        <v>11930</v>
      </c>
      <c r="D4327" s="32" t="s">
        <v>11931</v>
      </c>
    </row>
    <row r="4328" spans="2:4" x14ac:dyDescent="0.3">
      <c r="B4328" s="33" t="s">
        <v>11929</v>
      </c>
      <c r="C4328" s="32" t="s">
        <v>11932</v>
      </c>
      <c r="D4328" s="32" t="s">
        <v>11933</v>
      </c>
    </row>
    <row r="4329" spans="2:4" x14ac:dyDescent="0.3">
      <c r="B4329" s="33" t="s">
        <v>11934</v>
      </c>
      <c r="C4329" s="32" t="s">
        <v>11935</v>
      </c>
      <c r="D4329" s="32" t="s">
        <v>11936</v>
      </c>
    </row>
    <row r="4330" spans="2:4" x14ac:dyDescent="0.3">
      <c r="B4330" s="33" t="s">
        <v>11937</v>
      </c>
      <c r="C4330" s="32" t="s">
        <v>11938</v>
      </c>
      <c r="D4330" s="32" t="s">
        <v>11939</v>
      </c>
    </row>
    <row r="4331" spans="2:4" x14ac:dyDescent="0.3">
      <c r="B4331" s="33" t="s">
        <v>11940</v>
      </c>
      <c r="C4331" s="32" t="s">
        <v>11941</v>
      </c>
      <c r="D4331" s="32" t="s">
        <v>11942</v>
      </c>
    </row>
    <row r="4332" spans="2:4" x14ac:dyDescent="0.3">
      <c r="B4332" s="33" t="s">
        <v>11943</v>
      </c>
      <c r="C4332" s="32" t="s">
        <v>11944</v>
      </c>
      <c r="D4332" s="32" t="s">
        <v>11945</v>
      </c>
    </row>
    <row r="4333" spans="2:4" x14ac:dyDescent="0.3">
      <c r="B4333" s="33" t="s">
        <v>16</v>
      </c>
      <c r="C4333" s="32" t="s">
        <v>11946</v>
      </c>
      <c r="D4333" s="32" t="s">
        <v>11947</v>
      </c>
    </row>
    <row r="4334" spans="2:4" x14ac:dyDescent="0.3">
      <c r="B4334" s="33" t="s">
        <v>11234</v>
      </c>
      <c r="C4334" s="32" t="s">
        <v>11948</v>
      </c>
      <c r="D4334" s="32" t="s">
        <v>11949</v>
      </c>
    </row>
    <row r="4335" spans="2:4" x14ac:dyDescent="0.3">
      <c r="B4335" s="33" t="s">
        <v>11950</v>
      </c>
      <c r="C4335" s="32" t="s">
        <v>11951</v>
      </c>
      <c r="D4335" s="32" t="s">
        <v>11952</v>
      </c>
    </row>
    <row r="4336" spans="2:4" x14ac:dyDescent="0.3">
      <c r="B4336" s="33" t="s">
        <v>11953</v>
      </c>
      <c r="C4336" s="32" t="s">
        <v>11954</v>
      </c>
      <c r="D4336" s="32" t="s">
        <v>11955</v>
      </c>
    </row>
    <row r="4337" spans="2:4" x14ac:dyDescent="0.3">
      <c r="B4337" s="33" t="s">
        <v>11956</v>
      </c>
      <c r="C4337" s="32" t="s">
        <v>11957</v>
      </c>
      <c r="D4337" s="32" t="s">
        <v>11958</v>
      </c>
    </row>
    <row r="4338" spans="2:4" x14ac:dyDescent="0.3">
      <c r="B4338" s="33" t="s">
        <v>11959</v>
      </c>
      <c r="C4338" s="32" t="s">
        <v>11960</v>
      </c>
      <c r="D4338" s="32" t="s">
        <v>11961</v>
      </c>
    </row>
    <row r="4339" spans="2:4" x14ac:dyDescent="0.3">
      <c r="B4339" s="33" t="s">
        <v>9699</v>
      </c>
      <c r="C4339" s="32" t="s">
        <v>11962</v>
      </c>
      <c r="D4339" s="32" t="s">
        <v>37187</v>
      </c>
    </row>
    <row r="4340" spans="2:4" x14ac:dyDescent="0.3">
      <c r="B4340" s="33" t="s">
        <v>11963</v>
      </c>
      <c r="C4340" s="32" t="s">
        <v>11964</v>
      </c>
      <c r="D4340" s="32" t="s">
        <v>11965</v>
      </c>
    </row>
    <row r="4341" spans="2:4" x14ac:dyDescent="0.3">
      <c r="B4341" s="33" t="s">
        <v>11966</v>
      </c>
      <c r="C4341" s="32" t="s">
        <v>11967</v>
      </c>
      <c r="D4341" s="32" t="s">
        <v>11968</v>
      </c>
    </row>
    <row r="4342" spans="2:4" x14ac:dyDescent="0.3">
      <c r="B4342" s="33" t="s">
        <v>11969</v>
      </c>
      <c r="C4342" s="32" t="s">
        <v>11970</v>
      </c>
      <c r="D4342" s="32" t="s">
        <v>11971</v>
      </c>
    </row>
    <row r="4343" spans="2:4" x14ac:dyDescent="0.3">
      <c r="B4343" s="33" t="s">
        <v>11972</v>
      </c>
      <c r="C4343" s="32" t="s">
        <v>11973</v>
      </c>
      <c r="D4343" s="32" t="s">
        <v>11974</v>
      </c>
    </row>
    <row r="4344" spans="2:4" x14ac:dyDescent="0.3">
      <c r="B4344" s="33" t="s">
        <v>11975</v>
      </c>
      <c r="C4344" s="32" t="s">
        <v>11976</v>
      </c>
      <c r="D4344" s="32" t="s">
        <v>11977</v>
      </c>
    </row>
    <row r="4345" spans="2:4" x14ac:dyDescent="0.3">
      <c r="B4345" s="33" t="s">
        <v>11978</v>
      </c>
      <c r="C4345" s="32" t="s">
        <v>11979</v>
      </c>
      <c r="D4345" s="32" t="s">
        <v>11980</v>
      </c>
    </row>
    <row r="4346" spans="2:4" x14ac:dyDescent="0.3">
      <c r="B4346" s="33" t="s">
        <v>11981</v>
      </c>
      <c r="C4346" s="32" t="s">
        <v>11982</v>
      </c>
      <c r="D4346" s="32" t="s">
        <v>11983</v>
      </c>
    </row>
    <row r="4347" spans="2:4" x14ac:dyDescent="0.3">
      <c r="B4347" s="33" t="s">
        <v>11984</v>
      </c>
      <c r="C4347" s="32" t="s">
        <v>11985</v>
      </c>
      <c r="D4347" s="32" t="s">
        <v>11986</v>
      </c>
    </row>
    <row r="4348" spans="2:4" x14ac:dyDescent="0.3">
      <c r="B4348" s="33" t="s">
        <v>4274</v>
      </c>
      <c r="C4348" s="32" t="s">
        <v>11987</v>
      </c>
      <c r="D4348" s="32" t="s">
        <v>11988</v>
      </c>
    </row>
    <row r="4349" spans="2:4" x14ac:dyDescent="0.3">
      <c r="B4349" s="33" t="s">
        <v>11989</v>
      </c>
      <c r="C4349" s="32" t="s">
        <v>11990</v>
      </c>
      <c r="D4349" s="32" t="s">
        <v>11991</v>
      </c>
    </row>
    <row r="4350" spans="2:4" x14ac:dyDescent="0.3">
      <c r="B4350" s="33" t="s">
        <v>11992</v>
      </c>
      <c r="C4350" s="32" t="s">
        <v>11993</v>
      </c>
      <c r="D4350" s="32" t="s">
        <v>11994</v>
      </c>
    </row>
    <row r="4351" spans="2:4" x14ac:dyDescent="0.3">
      <c r="B4351" s="33" t="s">
        <v>11995</v>
      </c>
      <c r="C4351" s="32" t="s">
        <v>11996</v>
      </c>
      <c r="D4351" s="32" t="s">
        <v>11997</v>
      </c>
    </row>
    <row r="4352" spans="2:4" x14ac:dyDescent="0.3">
      <c r="B4352" s="33" t="s">
        <v>11998</v>
      </c>
      <c r="C4352" s="32" t="s">
        <v>11999</v>
      </c>
      <c r="D4352" s="32" t="s">
        <v>12000</v>
      </c>
    </row>
    <row r="4353" spans="2:4" x14ac:dyDescent="0.3">
      <c r="B4353" s="33" t="s">
        <v>11652</v>
      </c>
      <c r="C4353" s="32" t="s">
        <v>12001</v>
      </c>
      <c r="D4353" s="32" t="s">
        <v>12002</v>
      </c>
    </row>
    <row r="4354" spans="2:4" x14ac:dyDescent="0.3">
      <c r="B4354" s="33" t="s">
        <v>12003</v>
      </c>
      <c r="C4354" s="32" t="s">
        <v>12004</v>
      </c>
      <c r="D4354" s="32" t="s">
        <v>12005</v>
      </c>
    </row>
    <row r="4355" spans="2:4" x14ac:dyDescent="0.3">
      <c r="B4355" s="33" t="s">
        <v>12006</v>
      </c>
      <c r="C4355" s="32" t="s">
        <v>12007</v>
      </c>
      <c r="D4355" s="32" t="s">
        <v>12008</v>
      </c>
    </row>
    <row r="4356" spans="2:4" x14ac:dyDescent="0.3">
      <c r="B4356" s="33" t="s">
        <v>12010</v>
      </c>
      <c r="C4356" s="32" t="s">
        <v>12011</v>
      </c>
      <c r="D4356" s="32" t="s">
        <v>12012</v>
      </c>
    </row>
    <row r="4357" spans="2:4" x14ac:dyDescent="0.3">
      <c r="B4357" s="33" t="s">
        <v>12013</v>
      </c>
      <c r="C4357" s="32" t="s">
        <v>12014</v>
      </c>
      <c r="D4357" s="32" t="s">
        <v>12015</v>
      </c>
    </row>
    <row r="4358" spans="2:4" x14ac:dyDescent="0.3">
      <c r="B4358" s="33" t="s">
        <v>11083</v>
      </c>
      <c r="C4358" s="32" t="s">
        <v>12016</v>
      </c>
      <c r="D4358" s="32" t="s">
        <v>12017</v>
      </c>
    </row>
    <row r="4359" spans="2:4" x14ac:dyDescent="0.3">
      <c r="B4359" s="33" t="s">
        <v>12018</v>
      </c>
      <c r="C4359" s="32" t="s">
        <v>12019</v>
      </c>
      <c r="D4359" s="32" t="s">
        <v>12020</v>
      </c>
    </row>
    <row r="4360" spans="2:4" x14ac:dyDescent="0.3">
      <c r="B4360" s="33" t="s">
        <v>12021</v>
      </c>
      <c r="C4360" s="32" t="s">
        <v>12022</v>
      </c>
      <c r="D4360" s="32" t="s">
        <v>12023</v>
      </c>
    </row>
    <row r="4361" spans="2:4" x14ac:dyDescent="0.3">
      <c r="B4361" s="33" t="s">
        <v>12024</v>
      </c>
      <c r="C4361" s="32" t="s">
        <v>12025</v>
      </c>
      <c r="D4361" s="32" t="s">
        <v>12026</v>
      </c>
    </row>
    <row r="4362" spans="2:4" x14ac:dyDescent="0.3">
      <c r="B4362" s="33" t="s">
        <v>12027</v>
      </c>
      <c r="C4362" s="32" t="s">
        <v>12028</v>
      </c>
      <c r="D4362" s="32" t="s">
        <v>12029</v>
      </c>
    </row>
    <row r="4363" spans="2:4" x14ac:dyDescent="0.3">
      <c r="B4363" s="33" t="s">
        <v>12030</v>
      </c>
      <c r="C4363" s="32" t="s">
        <v>12031</v>
      </c>
      <c r="D4363" s="32" t="s">
        <v>12032</v>
      </c>
    </row>
    <row r="4364" spans="2:4" x14ac:dyDescent="0.3">
      <c r="B4364" s="33" t="s">
        <v>12033</v>
      </c>
      <c r="C4364" s="32" t="s">
        <v>12034</v>
      </c>
      <c r="D4364" s="32" t="s">
        <v>37188</v>
      </c>
    </row>
    <row r="4365" spans="2:4" x14ac:dyDescent="0.3">
      <c r="B4365" s="33" t="s">
        <v>12035</v>
      </c>
      <c r="C4365" s="32" t="s">
        <v>12036</v>
      </c>
      <c r="D4365" s="32" t="s">
        <v>12037</v>
      </c>
    </row>
    <row r="4366" spans="2:4" x14ac:dyDescent="0.3">
      <c r="B4366" s="33" t="s">
        <v>12038</v>
      </c>
      <c r="C4366" s="32" t="s">
        <v>12039</v>
      </c>
      <c r="D4366" s="32" t="s">
        <v>12040</v>
      </c>
    </row>
    <row r="4367" spans="2:4" x14ac:dyDescent="0.3">
      <c r="B4367" s="33" t="s">
        <v>12041</v>
      </c>
      <c r="C4367" s="32" t="s">
        <v>12042</v>
      </c>
      <c r="D4367" s="32" t="s">
        <v>12043</v>
      </c>
    </row>
    <row r="4368" spans="2:4" x14ac:dyDescent="0.3">
      <c r="B4368" s="33" t="s">
        <v>11995</v>
      </c>
      <c r="C4368" s="32" t="s">
        <v>12044</v>
      </c>
      <c r="D4368" s="32" t="s">
        <v>12045</v>
      </c>
    </row>
    <row r="4369" spans="2:4" x14ac:dyDescent="0.3">
      <c r="B4369" s="33" t="s">
        <v>12046</v>
      </c>
      <c r="C4369" s="32" t="s">
        <v>12047</v>
      </c>
      <c r="D4369" s="32" t="s">
        <v>12048</v>
      </c>
    </row>
    <row r="4370" spans="2:4" x14ac:dyDescent="0.3">
      <c r="B4370" s="33" t="s">
        <v>12009</v>
      </c>
      <c r="C4370" s="32" t="s">
        <v>12049</v>
      </c>
      <c r="D4370" s="32" t="s">
        <v>12050</v>
      </c>
    </row>
    <row r="4371" spans="2:4" x14ac:dyDescent="0.3">
      <c r="B4371" s="33" t="s">
        <v>12051</v>
      </c>
      <c r="C4371" s="32" t="s">
        <v>12052</v>
      </c>
      <c r="D4371" s="32" t="s">
        <v>12051</v>
      </c>
    </row>
    <row r="4372" spans="2:4" x14ac:dyDescent="0.3">
      <c r="B4372" s="33" t="s">
        <v>12053</v>
      </c>
      <c r="C4372" s="32" t="s">
        <v>12054</v>
      </c>
      <c r="D4372" s="32" t="s">
        <v>12055</v>
      </c>
    </row>
    <row r="4373" spans="2:4" x14ac:dyDescent="0.3">
      <c r="B4373" s="33" t="s">
        <v>11943</v>
      </c>
      <c r="C4373" s="32" t="s">
        <v>12056</v>
      </c>
      <c r="D4373" s="32" t="s">
        <v>12057</v>
      </c>
    </row>
    <row r="4374" spans="2:4" x14ac:dyDescent="0.3">
      <c r="B4374" s="33" t="s">
        <v>12058</v>
      </c>
      <c r="C4374" s="32" t="s">
        <v>12059</v>
      </c>
      <c r="D4374" s="32" t="s">
        <v>12060</v>
      </c>
    </row>
    <row r="4375" spans="2:4" x14ac:dyDescent="0.3">
      <c r="B4375" s="33" t="s">
        <v>12061</v>
      </c>
      <c r="C4375" s="32" t="s">
        <v>12062</v>
      </c>
      <c r="D4375" s="32" t="s">
        <v>12063</v>
      </c>
    </row>
    <row r="4376" spans="2:4" x14ac:dyDescent="0.3">
      <c r="B4376" s="33" t="s">
        <v>12064</v>
      </c>
      <c r="C4376" s="32" t="s">
        <v>12065</v>
      </c>
      <c r="D4376" s="32" t="s">
        <v>12066</v>
      </c>
    </row>
    <row r="4377" spans="2:4" x14ac:dyDescent="0.3">
      <c r="B4377" s="33" t="s">
        <v>12067</v>
      </c>
      <c r="C4377" s="32" t="s">
        <v>12068</v>
      </c>
      <c r="D4377" s="32" t="s">
        <v>12069</v>
      </c>
    </row>
    <row r="4378" spans="2:4" x14ac:dyDescent="0.3">
      <c r="B4378" s="33" t="s">
        <v>12070</v>
      </c>
      <c r="C4378" s="32" t="s">
        <v>12071</v>
      </c>
      <c r="D4378" s="32" t="s">
        <v>12071</v>
      </c>
    </row>
    <row r="4379" spans="2:4" x14ac:dyDescent="0.3">
      <c r="B4379" s="33" t="s">
        <v>12072</v>
      </c>
      <c r="C4379" s="32" t="s">
        <v>12073</v>
      </c>
      <c r="D4379" s="32" t="s">
        <v>12074</v>
      </c>
    </row>
    <row r="4380" spans="2:4" x14ac:dyDescent="0.3">
      <c r="B4380" s="33" t="s">
        <v>12075</v>
      </c>
      <c r="C4380" s="32" t="s">
        <v>12076</v>
      </c>
      <c r="D4380" s="32" t="s">
        <v>12077</v>
      </c>
    </row>
    <row r="4381" spans="2:4" x14ac:dyDescent="0.3">
      <c r="B4381" s="33" t="s">
        <v>12078</v>
      </c>
      <c r="C4381" s="32" t="s">
        <v>12079</v>
      </c>
      <c r="D4381" s="32" t="s">
        <v>12080</v>
      </c>
    </row>
    <row r="4382" spans="2:4" x14ac:dyDescent="0.3">
      <c r="B4382" s="33" t="s">
        <v>12081</v>
      </c>
      <c r="C4382" s="32" t="s">
        <v>12082</v>
      </c>
      <c r="D4382" s="32" t="s">
        <v>12081</v>
      </c>
    </row>
    <row r="4383" spans="2:4" x14ac:dyDescent="0.3">
      <c r="B4383" s="33" t="s">
        <v>12083</v>
      </c>
      <c r="C4383" s="32" t="s">
        <v>12084</v>
      </c>
      <c r="D4383" s="32" t="s">
        <v>12085</v>
      </c>
    </row>
    <row r="4384" spans="2:4" x14ac:dyDescent="0.3">
      <c r="B4384" s="33" t="s">
        <v>12086</v>
      </c>
      <c r="C4384" s="32" t="s">
        <v>12087</v>
      </c>
      <c r="D4384" s="32" t="s">
        <v>12088</v>
      </c>
    </row>
    <row r="4385" spans="2:4" x14ac:dyDescent="0.3">
      <c r="B4385" s="33" t="s">
        <v>12089</v>
      </c>
      <c r="C4385" s="32" t="s">
        <v>12090</v>
      </c>
      <c r="D4385" s="32" t="s">
        <v>12091</v>
      </c>
    </row>
    <row r="4386" spans="2:4" x14ac:dyDescent="0.3">
      <c r="B4386" s="33" t="s">
        <v>12092</v>
      </c>
      <c r="C4386" s="32" t="s">
        <v>12093</v>
      </c>
      <c r="D4386" s="32" t="s">
        <v>12094</v>
      </c>
    </row>
    <row r="4387" spans="2:4" x14ac:dyDescent="0.3">
      <c r="B4387" s="33" t="s">
        <v>12095</v>
      </c>
      <c r="C4387" s="32" t="s">
        <v>12096</v>
      </c>
      <c r="D4387" s="32" t="s">
        <v>12097</v>
      </c>
    </row>
    <row r="4388" spans="2:4" x14ac:dyDescent="0.3">
      <c r="B4388" s="33" t="s">
        <v>23847</v>
      </c>
      <c r="C4388" s="32" t="s">
        <v>36720</v>
      </c>
      <c r="D4388" s="32" t="s">
        <v>36721</v>
      </c>
    </row>
    <row r="4389" spans="2:4" x14ac:dyDescent="0.3">
      <c r="B4389" s="33" t="s">
        <v>12098</v>
      </c>
      <c r="C4389" s="32" t="s">
        <v>12099</v>
      </c>
      <c r="D4389" s="32" t="s">
        <v>12100</v>
      </c>
    </row>
    <row r="4390" spans="2:4" x14ac:dyDescent="0.3">
      <c r="B4390" s="33" t="s">
        <v>12101</v>
      </c>
      <c r="C4390" s="32" t="s">
        <v>12102</v>
      </c>
      <c r="D4390" s="32" t="s">
        <v>12103</v>
      </c>
    </row>
    <row r="4391" spans="2:4" x14ac:dyDescent="0.3">
      <c r="B4391" s="33" t="s">
        <v>12104</v>
      </c>
      <c r="C4391" s="32" t="s">
        <v>12105</v>
      </c>
      <c r="D4391" s="32" t="s">
        <v>12106</v>
      </c>
    </row>
    <row r="4392" spans="2:4" x14ac:dyDescent="0.3">
      <c r="B4392" s="33" t="s">
        <v>12107</v>
      </c>
      <c r="C4392" s="32" t="s">
        <v>12108</v>
      </c>
      <c r="D4392" s="32" t="s">
        <v>12109</v>
      </c>
    </row>
    <row r="4393" spans="2:4" x14ac:dyDescent="0.3">
      <c r="B4393" s="33" t="s">
        <v>12110</v>
      </c>
      <c r="C4393" s="32" t="s">
        <v>12111</v>
      </c>
      <c r="D4393" s="32" t="s">
        <v>12112</v>
      </c>
    </row>
    <row r="4394" spans="2:4" x14ac:dyDescent="0.3">
      <c r="B4394" s="33" t="s">
        <v>12107</v>
      </c>
      <c r="C4394" s="32" t="s">
        <v>12113</v>
      </c>
      <c r="D4394" s="32" t="s">
        <v>12114</v>
      </c>
    </row>
    <row r="4395" spans="2:4" x14ac:dyDescent="0.3">
      <c r="B4395" s="33" t="s">
        <v>12115</v>
      </c>
      <c r="C4395" s="32" t="s">
        <v>12116</v>
      </c>
      <c r="D4395" s="32" t="s">
        <v>12117</v>
      </c>
    </row>
    <row r="4396" spans="2:4" x14ac:dyDescent="0.3">
      <c r="B4396" s="33" t="s">
        <v>9860</v>
      </c>
      <c r="C4396" s="32" t="s">
        <v>12118</v>
      </c>
      <c r="D4396" s="32" t="s">
        <v>9860</v>
      </c>
    </row>
    <row r="4397" spans="2:4" x14ac:dyDescent="0.3">
      <c r="B4397" s="33" t="s">
        <v>11673</v>
      </c>
      <c r="C4397" s="32" t="s">
        <v>12119</v>
      </c>
      <c r="D4397" s="32" t="s">
        <v>12120</v>
      </c>
    </row>
    <row r="4398" spans="2:4" x14ac:dyDescent="0.3">
      <c r="B4398" s="33" t="s">
        <v>12121</v>
      </c>
      <c r="C4398" s="32" t="s">
        <v>12122</v>
      </c>
      <c r="D4398" s="32" t="s">
        <v>12123</v>
      </c>
    </row>
    <row r="4399" spans="2:4" x14ac:dyDescent="0.3">
      <c r="B4399" s="33" t="s">
        <v>12124</v>
      </c>
      <c r="C4399" s="32" t="s">
        <v>12125</v>
      </c>
      <c r="D4399" s="32" t="s">
        <v>12126</v>
      </c>
    </row>
    <row r="4400" spans="2:4" x14ac:dyDescent="0.3">
      <c r="B4400" s="33" t="s">
        <v>12127</v>
      </c>
      <c r="C4400" s="32" t="s">
        <v>12128</v>
      </c>
      <c r="D4400" s="32" t="s">
        <v>12129</v>
      </c>
    </row>
    <row r="4401" spans="2:4" x14ac:dyDescent="0.3">
      <c r="B4401" s="33" t="s">
        <v>11034</v>
      </c>
      <c r="C4401" s="32" t="s">
        <v>12130</v>
      </c>
      <c r="D4401" s="32" t="s">
        <v>12131</v>
      </c>
    </row>
    <row r="4402" spans="2:4" x14ac:dyDescent="0.3">
      <c r="B4402" s="33" t="s">
        <v>12132</v>
      </c>
      <c r="C4402" s="32" t="s">
        <v>12133</v>
      </c>
      <c r="D4402" s="32" t="s">
        <v>12134</v>
      </c>
    </row>
    <row r="4403" spans="2:4" x14ac:dyDescent="0.3">
      <c r="B4403" s="33" t="s">
        <v>12135</v>
      </c>
      <c r="C4403" s="32" t="s">
        <v>12136</v>
      </c>
      <c r="D4403" s="32" t="s">
        <v>12137</v>
      </c>
    </row>
    <row r="4404" spans="2:4" x14ac:dyDescent="0.3">
      <c r="B4404" s="33" t="s">
        <v>12138</v>
      </c>
      <c r="C4404" s="32" t="s">
        <v>12139</v>
      </c>
      <c r="D4404" s="32" t="s">
        <v>12140</v>
      </c>
    </row>
    <row r="4405" spans="2:4" x14ac:dyDescent="0.3">
      <c r="B4405" s="33" t="s">
        <v>12141</v>
      </c>
      <c r="C4405" s="32" t="s">
        <v>12142</v>
      </c>
      <c r="D4405" s="32" t="s">
        <v>12143</v>
      </c>
    </row>
    <row r="4406" spans="2:4" x14ac:dyDescent="0.3">
      <c r="B4406" s="33" t="s">
        <v>12144</v>
      </c>
      <c r="C4406" s="32" t="s">
        <v>12145</v>
      </c>
      <c r="D4406" s="32" t="s">
        <v>12146</v>
      </c>
    </row>
    <row r="4407" spans="2:4" x14ac:dyDescent="0.3">
      <c r="B4407" s="33" t="s">
        <v>11268</v>
      </c>
      <c r="C4407" s="32" t="s">
        <v>12147</v>
      </c>
      <c r="D4407" s="32" t="s">
        <v>12148</v>
      </c>
    </row>
    <row r="4408" spans="2:4" x14ac:dyDescent="0.3">
      <c r="B4408" s="33" t="s">
        <v>11159</v>
      </c>
      <c r="C4408" s="32" t="s">
        <v>12149</v>
      </c>
      <c r="D4408" s="32" t="s">
        <v>12150</v>
      </c>
    </row>
    <row r="4409" spans="2:4" x14ac:dyDescent="0.3">
      <c r="B4409" s="33" t="s">
        <v>12151</v>
      </c>
      <c r="C4409" s="32" t="s">
        <v>12152</v>
      </c>
      <c r="D4409" s="32" t="s">
        <v>12153</v>
      </c>
    </row>
    <row r="4410" spans="2:4" x14ac:dyDescent="0.3">
      <c r="B4410" s="33" t="s">
        <v>12154</v>
      </c>
      <c r="C4410" s="32" t="s">
        <v>12155</v>
      </c>
      <c r="D4410" s="32" t="s">
        <v>12156</v>
      </c>
    </row>
    <row r="4411" spans="2:4" x14ac:dyDescent="0.3">
      <c r="B4411" s="33" t="s">
        <v>12157</v>
      </c>
      <c r="C4411" s="32" t="s">
        <v>12158</v>
      </c>
      <c r="D4411" s="32" t="s">
        <v>12159</v>
      </c>
    </row>
    <row r="4412" spans="2:4" x14ac:dyDescent="0.3">
      <c r="B4412" s="33" t="s">
        <v>12160</v>
      </c>
      <c r="C4412" s="32" t="s">
        <v>12161</v>
      </c>
      <c r="D4412" s="32" t="s">
        <v>12162</v>
      </c>
    </row>
    <row r="4413" spans="2:4" x14ac:dyDescent="0.3">
      <c r="B4413" s="33" t="s">
        <v>12160</v>
      </c>
      <c r="C4413" s="32" t="s">
        <v>12163</v>
      </c>
      <c r="D4413" s="32" t="s">
        <v>12164</v>
      </c>
    </row>
    <row r="4414" spans="2:4" x14ac:dyDescent="0.3">
      <c r="B4414" s="33" t="s">
        <v>12165</v>
      </c>
      <c r="C4414" s="32" t="s">
        <v>12166</v>
      </c>
      <c r="D4414" s="32" t="s">
        <v>12167</v>
      </c>
    </row>
    <row r="4415" spans="2:4" x14ac:dyDescent="0.3">
      <c r="B4415" s="33" t="s">
        <v>12168</v>
      </c>
      <c r="C4415" s="32" t="s">
        <v>12169</v>
      </c>
      <c r="D4415" s="32" t="s">
        <v>12170</v>
      </c>
    </row>
    <row r="4416" spans="2:4" x14ac:dyDescent="0.3">
      <c r="B4416" s="33" t="s">
        <v>12171</v>
      </c>
      <c r="C4416" s="32" t="s">
        <v>12172</v>
      </c>
      <c r="D4416" s="32" t="s">
        <v>12173</v>
      </c>
    </row>
    <row r="4417" spans="2:4" x14ac:dyDescent="0.3">
      <c r="B4417" s="33" t="s">
        <v>12174</v>
      </c>
      <c r="C4417" s="32" t="s">
        <v>12175</v>
      </c>
      <c r="D4417" s="32" t="s">
        <v>12176</v>
      </c>
    </row>
    <row r="4418" spans="2:4" x14ac:dyDescent="0.3">
      <c r="B4418" s="33" t="s">
        <v>12177</v>
      </c>
      <c r="C4418" s="32" t="s">
        <v>12178</v>
      </c>
      <c r="D4418" s="32" t="s">
        <v>12179</v>
      </c>
    </row>
    <row r="4419" spans="2:4" x14ac:dyDescent="0.3">
      <c r="B4419" s="33" t="s">
        <v>12180</v>
      </c>
      <c r="C4419" s="32" t="s">
        <v>12181</v>
      </c>
      <c r="D4419" s="32" t="s">
        <v>12182</v>
      </c>
    </row>
    <row r="4420" spans="2:4" x14ac:dyDescent="0.3">
      <c r="B4420" s="33" t="s">
        <v>12180</v>
      </c>
      <c r="C4420" s="32" t="s">
        <v>12183</v>
      </c>
      <c r="D4420" s="32" t="s">
        <v>12184</v>
      </c>
    </row>
    <row r="4421" spans="2:4" x14ac:dyDescent="0.3">
      <c r="B4421" s="33" t="s">
        <v>12177</v>
      </c>
      <c r="C4421" s="32" t="s">
        <v>12185</v>
      </c>
      <c r="D4421" s="32" t="s">
        <v>12186</v>
      </c>
    </row>
    <row r="4422" spans="2:4" x14ac:dyDescent="0.3">
      <c r="B4422" s="33" t="s">
        <v>12187</v>
      </c>
      <c r="C4422" s="32" t="s">
        <v>12188</v>
      </c>
      <c r="D4422" s="32" t="s">
        <v>12189</v>
      </c>
    </row>
    <row r="4423" spans="2:4" x14ac:dyDescent="0.3">
      <c r="B4423" s="33" t="s">
        <v>12190</v>
      </c>
      <c r="C4423" s="32" t="s">
        <v>12191</v>
      </c>
      <c r="D4423" s="32" t="s">
        <v>12192</v>
      </c>
    </row>
    <row r="4424" spans="2:4" x14ac:dyDescent="0.3">
      <c r="B4424" s="33" t="s">
        <v>12193</v>
      </c>
      <c r="C4424" s="32" t="s">
        <v>12194</v>
      </c>
      <c r="D4424" s="32" t="s">
        <v>12195</v>
      </c>
    </row>
    <row r="4425" spans="2:4" x14ac:dyDescent="0.3">
      <c r="B4425" s="33" t="s">
        <v>12196</v>
      </c>
      <c r="C4425" s="32" t="s">
        <v>12197</v>
      </c>
      <c r="D4425" s="32" t="s">
        <v>12198</v>
      </c>
    </row>
    <row r="4426" spans="2:4" x14ac:dyDescent="0.3">
      <c r="B4426" s="33" t="s">
        <v>12199</v>
      </c>
      <c r="C4426" s="32" t="s">
        <v>12200</v>
      </c>
      <c r="D4426" s="32" t="s">
        <v>12201</v>
      </c>
    </row>
    <row r="4427" spans="2:4" x14ac:dyDescent="0.3">
      <c r="B4427" s="33" t="s">
        <v>11814</v>
      </c>
      <c r="C4427" s="32" t="s">
        <v>12202</v>
      </c>
      <c r="D4427" s="32" t="s">
        <v>12203</v>
      </c>
    </row>
    <row r="4428" spans="2:4" x14ac:dyDescent="0.3">
      <c r="B4428" s="33" t="s">
        <v>12204</v>
      </c>
      <c r="C4428" s="32" t="s">
        <v>12205</v>
      </c>
      <c r="D4428" s="32" t="s">
        <v>12206</v>
      </c>
    </row>
    <row r="4429" spans="2:4" x14ac:dyDescent="0.3">
      <c r="B4429" s="33" t="s">
        <v>12207</v>
      </c>
      <c r="C4429" s="32" t="s">
        <v>12208</v>
      </c>
      <c r="D4429" s="32" t="s">
        <v>12209</v>
      </c>
    </row>
    <row r="4430" spans="2:4" x14ac:dyDescent="0.3">
      <c r="B4430" s="33" t="s">
        <v>12210</v>
      </c>
      <c r="C4430" s="32" t="s">
        <v>12211</v>
      </c>
      <c r="D4430" s="32" t="s">
        <v>12212</v>
      </c>
    </row>
    <row r="4431" spans="2:4" x14ac:dyDescent="0.3">
      <c r="B4431" s="33" t="s">
        <v>12213</v>
      </c>
      <c r="C4431" s="32" t="s">
        <v>12214</v>
      </c>
      <c r="D4431" s="32" t="s">
        <v>12215</v>
      </c>
    </row>
    <row r="4432" spans="2:4" x14ac:dyDescent="0.3">
      <c r="B4432" s="33" t="s">
        <v>12216</v>
      </c>
      <c r="C4432" s="32" t="s">
        <v>12217</v>
      </c>
      <c r="D4432" s="32" t="s">
        <v>12218</v>
      </c>
    </row>
    <row r="4433" spans="2:4" x14ac:dyDescent="0.3">
      <c r="B4433" s="33" t="s">
        <v>12219</v>
      </c>
      <c r="C4433" s="32" t="s">
        <v>12220</v>
      </c>
      <c r="D4433" s="32" t="s">
        <v>12221</v>
      </c>
    </row>
    <row r="4434" spans="2:4" x14ac:dyDescent="0.3">
      <c r="B4434" s="33" t="s">
        <v>11515</v>
      </c>
      <c r="C4434" s="32" t="s">
        <v>37189</v>
      </c>
      <c r="D4434" s="32" t="s">
        <v>37190</v>
      </c>
    </row>
    <row r="4435" spans="2:4" x14ac:dyDescent="0.3">
      <c r="B4435" s="33" t="s">
        <v>12222</v>
      </c>
      <c r="C4435" s="32" t="s">
        <v>12223</v>
      </c>
      <c r="D4435" s="32" t="s">
        <v>12222</v>
      </c>
    </row>
    <row r="4436" spans="2:4" x14ac:dyDescent="0.3">
      <c r="B4436" s="33" t="s">
        <v>12224</v>
      </c>
      <c r="C4436" s="32" t="s">
        <v>12225</v>
      </c>
      <c r="D4436" s="32" t="s">
        <v>12226</v>
      </c>
    </row>
    <row r="4437" spans="2:4" x14ac:dyDescent="0.3">
      <c r="B4437" s="33" t="s">
        <v>12227</v>
      </c>
      <c r="C4437" s="32" t="s">
        <v>12228</v>
      </c>
      <c r="D4437" s="32" t="s">
        <v>12229</v>
      </c>
    </row>
    <row r="4438" spans="2:4" x14ac:dyDescent="0.3">
      <c r="B4438" s="33" t="s">
        <v>9110</v>
      </c>
      <c r="C4438" s="32" t="s">
        <v>12230</v>
      </c>
      <c r="D4438" s="32" t="s">
        <v>12231</v>
      </c>
    </row>
    <row r="4439" spans="2:4" x14ac:dyDescent="0.3">
      <c r="B4439" s="33" t="s">
        <v>11673</v>
      </c>
      <c r="C4439" s="32" t="s">
        <v>12232</v>
      </c>
      <c r="D4439" s="32" t="s">
        <v>12233</v>
      </c>
    </row>
    <row r="4440" spans="2:4" x14ac:dyDescent="0.3">
      <c r="B4440" s="33" t="s">
        <v>12234</v>
      </c>
      <c r="C4440" s="32" t="s">
        <v>12235</v>
      </c>
      <c r="D4440" s="32" t="s">
        <v>12236</v>
      </c>
    </row>
    <row r="4441" spans="2:4" x14ac:dyDescent="0.3">
      <c r="B4441" s="33" t="s">
        <v>12227</v>
      </c>
      <c r="C4441" s="32" t="s">
        <v>12237</v>
      </c>
      <c r="D4441" s="32" t="s">
        <v>12238</v>
      </c>
    </row>
    <row r="4442" spans="2:4" x14ac:dyDescent="0.3">
      <c r="B4442" s="33" t="s">
        <v>12239</v>
      </c>
      <c r="C4442" s="32" t="s">
        <v>12240</v>
      </c>
      <c r="D4442" s="32" t="s">
        <v>12241</v>
      </c>
    </row>
    <row r="4443" spans="2:4" x14ac:dyDescent="0.3">
      <c r="B4443" s="33" t="s">
        <v>12227</v>
      </c>
      <c r="C4443" s="32" t="s">
        <v>12242</v>
      </c>
      <c r="D4443" s="32" t="s">
        <v>12243</v>
      </c>
    </row>
    <row r="4444" spans="2:4" x14ac:dyDescent="0.3">
      <c r="B4444" s="33" t="s">
        <v>12244</v>
      </c>
      <c r="C4444" s="32" t="s">
        <v>12245</v>
      </c>
      <c r="D4444" s="32" t="s">
        <v>12246</v>
      </c>
    </row>
    <row r="4445" spans="2:4" x14ac:dyDescent="0.3">
      <c r="B4445" s="33" t="s">
        <v>11175</v>
      </c>
      <c r="C4445" s="32" t="s">
        <v>12247</v>
      </c>
      <c r="D4445" s="32" t="s">
        <v>12248</v>
      </c>
    </row>
    <row r="4446" spans="2:4" x14ac:dyDescent="0.3">
      <c r="B4446" s="33" t="s">
        <v>12249</v>
      </c>
      <c r="C4446" s="32" t="s">
        <v>12250</v>
      </c>
      <c r="D4446" s="32" t="s">
        <v>12251</v>
      </c>
    </row>
    <row r="4447" spans="2:4" x14ac:dyDescent="0.3">
      <c r="B4447" s="33" t="s">
        <v>12252</v>
      </c>
      <c r="C4447" s="32" t="s">
        <v>12253</v>
      </c>
      <c r="D4447" s="32" t="s">
        <v>12254</v>
      </c>
    </row>
    <row r="4448" spans="2:4" x14ac:dyDescent="0.3">
      <c r="B4448" s="33" t="s">
        <v>12255</v>
      </c>
      <c r="C4448" s="32" t="s">
        <v>12256</v>
      </c>
      <c r="D4448" s="32" t="s">
        <v>12257</v>
      </c>
    </row>
    <row r="4449" spans="2:4" x14ac:dyDescent="0.3">
      <c r="B4449" s="33" t="s">
        <v>12258</v>
      </c>
      <c r="C4449" s="32" t="s">
        <v>12259</v>
      </c>
      <c r="D4449" s="32" t="s">
        <v>12260</v>
      </c>
    </row>
    <row r="4450" spans="2:4" x14ac:dyDescent="0.3">
      <c r="B4450" s="33" t="s">
        <v>12261</v>
      </c>
      <c r="C4450" s="32" t="s">
        <v>12262</v>
      </c>
      <c r="D4450" s="32" t="s">
        <v>12263</v>
      </c>
    </row>
    <row r="4451" spans="2:4" x14ac:dyDescent="0.3">
      <c r="B4451" s="33" t="s">
        <v>12264</v>
      </c>
      <c r="C4451" s="32" t="s">
        <v>12265</v>
      </c>
      <c r="D4451" s="32" t="s">
        <v>12266</v>
      </c>
    </row>
    <row r="4452" spans="2:4" x14ac:dyDescent="0.3">
      <c r="B4452" s="33" t="s">
        <v>12267</v>
      </c>
      <c r="C4452" s="32" t="s">
        <v>12268</v>
      </c>
      <c r="D4452" s="32" t="s">
        <v>12269</v>
      </c>
    </row>
    <row r="4453" spans="2:4" x14ac:dyDescent="0.3">
      <c r="B4453" s="33" t="s">
        <v>12270</v>
      </c>
      <c r="C4453" s="32" t="s">
        <v>12271</v>
      </c>
      <c r="D4453" s="32" t="s">
        <v>12272</v>
      </c>
    </row>
    <row r="4454" spans="2:4" x14ac:dyDescent="0.3">
      <c r="B4454" s="33" t="s">
        <v>12273</v>
      </c>
      <c r="C4454" s="32" t="s">
        <v>12274</v>
      </c>
      <c r="D4454" s="32" t="s">
        <v>12275</v>
      </c>
    </row>
    <row r="4455" spans="2:4" x14ac:dyDescent="0.3">
      <c r="B4455" s="33" t="s">
        <v>12276</v>
      </c>
      <c r="C4455" s="32" t="s">
        <v>12277</v>
      </c>
      <c r="D4455" s="32" t="s">
        <v>12278</v>
      </c>
    </row>
    <row r="4456" spans="2:4" x14ac:dyDescent="0.3">
      <c r="B4456" s="33" t="s">
        <v>12279</v>
      </c>
      <c r="C4456" s="32" t="s">
        <v>12280</v>
      </c>
      <c r="D4456" s="32" t="s">
        <v>12281</v>
      </c>
    </row>
    <row r="4457" spans="2:4" x14ac:dyDescent="0.3">
      <c r="B4457" s="33" t="s">
        <v>12282</v>
      </c>
      <c r="C4457" s="32" t="s">
        <v>12283</v>
      </c>
      <c r="D4457" s="32" t="s">
        <v>12284</v>
      </c>
    </row>
    <row r="4458" spans="2:4" x14ac:dyDescent="0.3">
      <c r="B4458" s="33" t="s">
        <v>12285</v>
      </c>
      <c r="C4458" s="32" t="s">
        <v>12286</v>
      </c>
      <c r="D4458" s="32" t="s">
        <v>12287</v>
      </c>
    </row>
    <row r="4459" spans="2:4" x14ac:dyDescent="0.3">
      <c r="B4459" s="33" t="s">
        <v>12288</v>
      </c>
      <c r="C4459" s="32" t="s">
        <v>12289</v>
      </c>
      <c r="D4459" s="32" t="s">
        <v>12290</v>
      </c>
    </row>
    <row r="4460" spans="2:4" x14ac:dyDescent="0.3">
      <c r="B4460" s="33" t="s">
        <v>12291</v>
      </c>
      <c r="C4460" s="32" t="s">
        <v>12292</v>
      </c>
      <c r="D4460" s="32" t="s">
        <v>12293</v>
      </c>
    </row>
    <row r="4461" spans="2:4" x14ac:dyDescent="0.3">
      <c r="B4461" s="33" t="s">
        <v>12294</v>
      </c>
      <c r="C4461" s="32" t="s">
        <v>12295</v>
      </c>
      <c r="D4461" s="32" t="s">
        <v>12294</v>
      </c>
    </row>
    <row r="4462" spans="2:4" x14ac:dyDescent="0.3">
      <c r="B4462" s="33" t="s">
        <v>12296</v>
      </c>
      <c r="C4462" s="32" t="s">
        <v>12297</v>
      </c>
      <c r="D4462" s="32" t="s">
        <v>12298</v>
      </c>
    </row>
    <row r="4463" spans="2:4" x14ac:dyDescent="0.3">
      <c r="B4463" s="33" t="s">
        <v>12299</v>
      </c>
      <c r="C4463" s="32" t="s">
        <v>12300</v>
      </c>
      <c r="D4463" s="32" t="s">
        <v>12299</v>
      </c>
    </row>
    <row r="4464" spans="2:4" x14ac:dyDescent="0.3">
      <c r="B4464" s="33" t="s">
        <v>12301</v>
      </c>
      <c r="C4464" s="32" t="s">
        <v>12302</v>
      </c>
      <c r="D4464" s="32" t="s">
        <v>12303</v>
      </c>
    </row>
    <row r="4465" spans="2:4" x14ac:dyDescent="0.3">
      <c r="B4465" s="33" t="s">
        <v>12304</v>
      </c>
      <c r="C4465" s="32" t="s">
        <v>12305</v>
      </c>
      <c r="D4465" s="32" t="s">
        <v>12306</v>
      </c>
    </row>
    <row r="4466" spans="2:4" x14ac:dyDescent="0.3">
      <c r="B4466" s="33" t="s">
        <v>12307</v>
      </c>
      <c r="C4466" s="32" t="s">
        <v>12308</v>
      </c>
      <c r="D4466" s="32" t="s">
        <v>36826</v>
      </c>
    </row>
    <row r="4467" spans="2:4" x14ac:dyDescent="0.3">
      <c r="B4467" s="33" t="s">
        <v>12309</v>
      </c>
      <c r="C4467" s="32" t="s">
        <v>12310</v>
      </c>
      <c r="D4467" s="32" t="s">
        <v>12311</v>
      </c>
    </row>
    <row r="4468" spans="2:4" x14ac:dyDescent="0.3">
      <c r="B4468" s="33" t="s">
        <v>12312</v>
      </c>
      <c r="C4468" s="32" t="s">
        <v>12313</v>
      </c>
      <c r="D4468" s="32" t="s">
        <v>12314</v>
      </c>
    </row>
    <row r="4469" spans="2:4" x14ac:dyDescent="0.3">
      <c r="B4469" s="33" t="s">
        <v>12315</v>
      </c>
      <c r="C4469" s="32" t="s">
        <v>12316</v>
      </c>
      <c r="D4469" s="32" t="s">
        <v>12317</v>
      </c>
    </row>
    <row r="4470" spans="2:4" x14ac:dyDescent="0.3">
      <c r="B4470" s="33" t="s">
        <v>12318</v>
      </c>
      <c r="C4470" s="32" t="s">
        <v>12319</v>
      </c>
      <c r="D4470" s="32" t="s">
        <v>12318</v>
      </c>
    </row>
    <row r="4471" spans="2:4" x14ac:dyDescent="0.3">
      <c r="B4471" s="33" t="s">
        <v>12315</v>
      </c>
      <c r="C4471" s="32" t="s">
        <v>12320</v>
      </c>
      <c r="D4471" s="32" t="s">
        <v>12321</v>
      </c>
    </row>
    <row r="4472" spans="2:4" x14ac:dyDescent="0.3">
      <c r="B4472" s="33" t="s">
        <v>12322</v>
      </c>
      <c r="C4472" s="32" t="s">
        <v>12323</v>
      </c>
      <c r="D4472" s="32" t="s">
        <v>12324</v>
      </c>
    </row>
    <row r="4473" spans="2:4" x14ac:dyDescent="0.3">
      <c r="B4473" s="33" t="s">
        <v>12322</v>
      </c>
      <c r="C4473" s="32" t="s">
        <v>12325</v>
      </c>
      <c r="D4473" s="32" t="s">
        <v>12326</v>
      </c>
    </row>
    <row r="4474" spans="2:4" x14ac:dyDescent="0.3">
      <c r="B4474" s="33" t="s">
        <v>12327</v>
      </c>
      <c r="C4474" s="32" t="s">
        <v>12328</v>
      </c>
      <c r="D4474" s="32" t="s">
        <v>12329</v>
      </c>
    </row>
    <row r="4475" spans="2:4" x14ac:dyDescent="0.3">
      <c r="B4475" s="33" t="s">
        <v>11336</v>
      </c>
      <c r="C4475" s="32" t="s">
        <v>12330</v>
      </c>
      <c r="D4475" s="32" t="s">
        <v>12331</v>
      </c>
    </row>
    <row r="4476" spans="2:4" x14ac:dyDescent="0.3">
      <c r="B4476" s="33" t="s">
        <v>12332</v>
      </c>
      <c r="C4476" s="32" t="s">
        <v>12333</v>
      </c>
      <c r="D4476" s="32" t="s">
        <v>36827</v>
      </c>
    </row>
    <row r="4477" spans="2:4" x14ac:dyDescent="0.3">
      <c r="B4477" s="33" t="s">
        <v>12334</v>
      </c>
      <c r="C4477" s="32" t="s">
        <v>12335</v>
      </c>
      <c r="D4477" s="32" t="s">
        <v>12336</v>
      </c>
    </row>
    <row r="4478" spans="2:4" x14ac:dyDescent="0.3">
      <c r="B4478" s="33" t="s">
        <v>11532</v>
      </c>
      <c r="C4478" s="32" t="s">
        <v>12337</v>
      </c>
      <c r="D4478" s="32" t="s">
        <v>12338</v>
      </c>
    </row>
    <row r="4479" spans="2:4" x14ac:dyDescent="0.3">
      <c r="B4479" s="33" t="s">
        <v>12339</v>
      </c>
      <c r="C4479" s="32" t="s">
        <v>12340</v>
      </c>
      <c r="D4479" s="32" t="s">
        <v>12341</v>
      </c>
    </row>
    <row r="4480" spans="2:4" x14ac:dyDescent="0.3">
      <c r="B4480" s="33" t="s">
        <v>12342</v>
      </c>
      <c r="C4480" s="32" t="s">
        <v>12343</v>
      </c>
      <c r="D4480" s="32" t="s">
        <v>12344</v>
      </c>
    </row>
    <row r="4481" spans="2:4" x14ac:dyDescent="0.3">
      <c r="B4481" s="33" t="s">
        <v>12345</v>
      </c>
      <c r="C4481" s="32" t="s">
        <v>12346</v>
      </c>
      <c r="D4481" s="32" t="s">
        <v>12347</v>
      </c>
    </row>
    <row r="4482" spans="2:4" x14ac:dyDescent="0.3">
      <c r="B4482" s="33" t="s">
        <v>12348</v>
      </c>
      <c r="C4482" s="32" t="s">
        <v>12349</v>
      </c>
      <c r="D4482" s="32" t="s">
        <v>12350</v>
      </c>
    </row>
    <row r="4483" spans="2:4" x14ac:dyDescent="0.3">
      <c r="B4483" s="33" t="s">
        <v>12351</v>
      </c>
      <c r="C4483" s="32" t="s">
        <v>12352</v>
      </c>
      <c r="D4483" s="32" t="s">
        <v>12353</v>
      </c>
    </row>
    <row r="4484" spans="2:4" x14ac:dyDescent="0.3">
      <c r="B4484" s="33" t="s">
        <v>12354</v>
      </c>
      <c r="C4484" s="32" t="s">
        <v>12355</v>
      </c>
      <c r="D4484" s="32" t="s">
        <v>12356</v>
      </c>
    </row>
    <row r="4485" spans="2:4" x14ac:dyDescent="0.3">
      <c r="B4485" s="33" t="s">
        <v>12357</v>
      </c>
      <c r="C4485" s="32" t="s">
        <v>12358</v>
      </c>
      <c r="D4485" s="32" t="s">
        <v>12359</v>
      </c>
    </row>
    <row r="4486" spans="2:4" x14ac:dyDescent="0.3">
      <c r="B4486" s="33" t="s">
        <v>12360</v>
      </c>
      <c r="C4486" s="32" t="s">
        <v>12361</v>
      </c>
      <c r="D4486" s="32" t="s">
        <v>12362</v>
      </c>
    </row>
    <row r="4487" spans="2:4" x14ac:dyDescent="0.3">
      <c r="B4487" s="33" t="s">
        <v>12363</v>
      </c>
      <c r="C4487" s="32" t="s">
        <v>12364</v>
      </c>
      <c r="D4487" s="32" t="s">
        <v>12365</v>
      </c>
    </row>
    <row r="4488" spans="2:4" x14ac:dyDescent="0.3">
      <c r="B4488" s="33" t="s">
        <v>12366</v>
      </c>
      <c r="C4488" s="32" t="s">
        <v>12367</v>
      </c>
      <c r="D4488" s="32" t="s">
        <v>12368</v>
      </c>
    </row>
    <row r="4489" spans="2:4" x14ac:dyDescent="0.3">
      <c r="B4489" s="33" t="s">
        <v>12369</v>
      </c>
      <c r="C4489" s="32" t="s">
        <v>12370</v>
      </c>
      <c r="D4489" s="32" t="s">
        <v>12371</v>
      </c>
    </row>
    <row r="4490" spans="2:4" x14ac:dyDescent="0.3">
      <c r="B4490" s="33" t="s">
        <v>12372</v>
      </c>
      <c r="C4490" s="32" t="s">
        <v>12373</v>
      </c>
      <c r="D4490" s="32" t="s">
        <v>12374</v>
      </c>
    </row>
    <row r="4491" spans="2:4" x14ac:dyDescent="0.3">
      <c r="B4491" s="33" t="s">
        <v>12375</v>
      </c>
      <c r="C4491" s="32" t="s">
        <v>12376</v>
      </c>
      <c r="D4491" s="32" t="s">
        <v>12377</v>
      </c>
    </row>
    <row r="4492" spans="2:4" x14ac:dyDescent="0.3">
      <c r="B4492" s="33" t="s">
        <v>12378</v>
      </c>
      <c r="C4492" s="32" t="s">
        <v>12379</v>
      </c>
      <c r="D4492" s="32" t="s">
        <v>12380</v>
      </c>
    </row>
    <row r="4493" spans="2:4" x14ac:dyDescent="0.3">
      <c r="B4493" s="33" t="s">
        <v>12381</v>
      </c>
      <c r="C4493" s="32" t="s">
        <v>12382</v>
      </c>
      <c r="D4493" s="32" t="s">
        <v>12383</v>
      </c>
    </row>
    <row r="4494" spans="2:4" x14ac:dyDescent="0.3">
      <c r="B4494" s="33" t="s">
        <v>12375</v>
      </c>
      <c r="C4494" s="32" t="s">
        <v>12384</v>
      </c>
      <c r="D4494" s="32" t="s">
        <v>12385</v>
      </c>
    </row>
    <row r="4495" spans="2:4" x14ac:dyDescent="0.3">
      <c r="B4495" s="33" t="s">
        <v>12375</v>
      </c>
      <c r="C4495" s="32" t="s">
        <v>12386</v>
      </c>
      <c r="D4495" s="32" t="s">
        <v>12387</v>
      </c>
    </row>
    <row r="4496" spans="2:4" x14ac:dyDescent="0.3">
      <c r="B4496" s="33" t="s">
        <v>12388</v>
      </c>
      <c r="C4496" s="32" t="s">
        <v>12389</v>
      </c>
      <c r="D4496" s="32" t="s">
        <v>12390</v>
      </c>
    </row>
    <row r="4497" spans="2:4" x14ac:dyDescent="0.3">
      <c r="B4497" s="33" t="s">
        <v>12391</v>
      </c>
      <c r="C4497" s="32" t="s">
        <v>12392</v>
      </c>
      <c r="D4497" s="32" t="s">
        <v>12393</v>
      </c>
    </row>
    <row r="4498" spans="2:4" x14ac:dyDescent="0.3">
      <c r="B4498" s="33" t="s">
        <v>12394</v>
      </c>
      <c r="C4498" s="32" t="s">
        <v>12395</v>
      </c>
      <c r="D4498" s="32" t="s">
        <v>12396</v>
      </c>
    </row>
    <row r="4499" spans="2:4" x14ac:dyDescent="0.3">
      <c r="B4499" s="33" t="s">
        <v>12397</v>
      </c>
      <c r="C4499" s="32" t="s">
        <v>12398</v>
      </c>
      <c r="D4499" s="32" t="s">
        <v>12399</v>
      </c>
    </row>
    <row r="4500" spans="2:4" x14ac:dyDescent="0.3">
      <c r="B4500" s="33" t="s">
        <v>12400</v>
      </c>
      <c r="C4500" s="32" t="s">
        <v>12401</v>
      </c>
      <c r="D4500" s="32" t="s">
        <v>12402</v>
      </c>
    </row>
    <row r="4501" spans="2:4" x14ac:dyDescent="0.3">
      <c r="B4501" s="33" t="s">
        <v>12397</v>
      </c>
      <c r="C4501" s="32" t="s">
        <v>12403</v>
      </c>
      <c r="D4501" s="32" t="s">
        <v>12404</v>
      </c>
    </row>
    <row r="4502" spans="2:4" x14ac:dyDescent="0.3">
      <c r="B4502" s="33" t="s">
        <v>12405</v>
      </c>
      <c r="C4502" s="32" t="s">
        <v>12406</v>
      </c>
      <c r="D4502" s="32" t="s">
        <v>12407</v>
      </c>
    </row>
    <row r="4503" spans="2:4" x14ac:dyDescent="0.3">
      <c r="B4503" s="33" t="s">
        <v>12408</v>
      </c>
      <c r="C4503" s="32" t="s">
        <v>12409</v>
      </c>
      <c r="D4503" s="32" t="s">
        <v>12410</v>
      </c>
    </row>
    <row r="4504" spans="2:4" x14ac:dyDescent="0.3">
      <c r="B4504" s="33" t="s">
        <v>12411</v>
      </c>
      <c r="C4504" s="32" t="s">
        <v>12412</v>
      </c>
      <c r="D4504" s="32" t="s">
        <v>12413</v>
      </c>
    </row>
    <row r="4505" spans="2:4" x14ac:dyDescent="0.3">
      <c r="B4505" s="33" t="s">
        <v>12414</v>
      </c>
      <c r="C4505" s="32" t="s">
        <v>12415</v>
      </c>
      <c r="D4505" s="32" t="s">
        <v>12416</v>
      </c>
    </row>
    <row r="4506" spans="2:4" x14ac:dyDescent="0.3">
      <c r="B4506" s="33" t="s">
        <v>12417</v>
      </c>
      <c r="C4506" s="32" t="s">
        <v>12418</v>
      </c>
      <c r="D4506" s="32" t="s">
        <v>12419</v>
      </c>
    </row>
    <row r="4507" spans="2:4" x14ac:dyDescent="0.3">
      <c r="B4507" s="33" t="s">
        <v>12420</v>
      </c>
      <c r="C4507" s="32" t="s">
        <v>12421</v>
      </c>
      <c r="D4507" s="32" t="s">
        <v>12422</v>
      </c>
    </row>
    <row r="4508" spans="2:4" x14ac:dyDescent="0.3">
      <c r="B4508" s="33" t="s">
        <v>12423</v>
      </c>
      <c r="C4508" s="32" t="s">
        <v>12424</v>
      </c>
      <c r="D4508" s="32" t="s">
        <v>12425</v>
      </c>
    </row>
    <row r="4509" spans="2:4" x14ac:dyDescent="0.3">
      <c r="B4509" s="33" t="s">
        <v>12426</v>
      </c>
      <c r="C4509" s="32" t="s">
        <v>12427</v>
      </c>
      <c r="D4509" s="32" t="s">
        <v>12428</v>
      </c>
    </row>
    <row r="4510" spans="2:4" x14ac:dyDescent="0.3">
      <c r="B4510" s="33" t="s">
        <v>12429</v>
      </c>
      <c r="C4510" s="32" t="s">
        <v>12430</v>
      </c>
      <c r="D4510" s="32" t="s">
        <v>12431</v>
      </c>
    </row>
    <row r="4511" spans="2:4" x14ac:dyDescent="0.3">
      <c r="B4511" s="33" t="s">
        <v>12432</v>
      </c>
      <c r="C4511" s="32" t="s">
        <v>12433</v>
      </c>
      <c r="D4511" s="32" t="s">
        <v>12434</v>
      </c>
    </row>
    <row r="4512" spans="2:4" x14ac:dyDescent="0.3">
      <c r="B4512" s="33" t="s">
        <v>12435</v>
      </c>
      <c r="C4512" s="32" t="s">
        <v>12436</v>
      </c>
      <c r="D4512" s="32" t="s">
        <v>12437</v>
      </c>
    </row>
    <row r="4513" spans="2:4" x14ac:dyDescent="0.3">
      <c r="B4513" s="33" t="s">
        <v>12438</v>
      </c>
      <c r="C4513" s="32" t="s">
        <v>12439</v>
      </c>
      <c r="D4513" s="32" t="s">
        <v>12440</v>
      </c>
    </row>
    <row r="4514" spans="2:4" x14ac:dyDescent="0.3">
      <c r="B4514" s="33" t="s">
        <v>12441</v>
      </c>
      <c r="C4514" s="32" t="s">
        <v>12442</v>
      </c>
      <c r="D4514" s="32" t="s">
        <v>12443</v>
      </c>
    </row>
    <row r="4515" spans="2:4" x14ac:dyDescent="0.3">
      <c r="B4515" s="33" t="s">
        <v>12444</v>
      </c>
      <c r="C4515" s="32" t="s">
        <v>12445</v>
      </c>
      <c r="D4515" s="32" t="s">
        <v>12446</v>
      </c>
    </row>
    <row r="4516" spans="2:4" x14ac:dyDescent="0.3">
      <c r="B4516" s="33" t="s">
        <v>12447</v>
      </c>
      <c r="C4516" s="32" t="s">
        <v>12448</v>
      </c>
      <c r="D4516" s="32" t="s">
        <v>12449</v>
      </c>
    </row>
    <row r="4517" spans="2:4" x14ac:dyDescent="0.3">
      <c r="B4517" s="33" t="s">
        <v>12450</v>
      </c>
      <c r="C4517" s="32" t="s">
        <v>12451</v>
      </c>
      <c r="D4517" s="32" t="s">
        <v>12452</v>
      </c>
    </row>
    <row r="4518" spans="2:4" x14ac:dyDescent="0.3">
      <c r="B4518" s="33" t="s">
        <v>12441</v>
      </c>
      <c r="C4518" s="32" t="s">
        <v>12453</v>
      </c>
      <c r="D4518" s="32" t="s">
        <v>12441</v>
      </c>
    </row>
    <row r="4519" spans="2:4" x14ac:dyDescent="0.3">
      <c r="B4519" s="33" t="s">
        <v>12454</v>
      </c>
      <c r="C4519" s="32" t="s">
        <v>12455</v>
      </c>
      <c r="D4519" s="32" t="s">
        <v>12456</v>
      </c>
    </row>
    <row r="4520" spans="2:4" x14ac:dyDescent="0.3">
      <c r="B4520" s="33" t="s">
        <v>12457</v>
      </c>
      <c r="C4520" s="32" t="s">
        <v>12458</v>
      </c>
      <c r="D4520" s="32" t="s">
        <v>12459</v>
      </c>
    </row>
    <row r="4521" spans="2:4" x14ac:dyDescent="0.3">
      <c r="B4521" s="33" t="s">
        <v>12460</v>
      </c>
      <c r="C4521" s="32" t="s">
        <v>12461</v>
      </c>
      <c r="D4521" s="32" t="s">
        <v>12462</v>
      </c>
    </row>
    <row r="4522" spans="2:4" x14ac:dyDescent="0.3">
      <c r="B4522" s="33" t="s">
        <v>12463</v>
      </c>
      <c r="C4522" s="32" t="s">
        <v>12464</v>
      </c>
      <c r="D4522" s="32" t="s">
        <v>12465</v>
      </c>
    </row>
    <row r="4523" spans="2:4" x14ac:dyDescent="0.3">
      <c r="B4523" s="33" t="s">
        <v>12466</v>
      </c>
      <c r="C4523" s="32" t="s">
        <v>12467</v>
      </c>
      <c r="D4523" s="32" t="s">
        <v>12468</v>
      </c>
    </row>
    <row r="4524" spans="2:4" x14ac:dyDescent="0.3">
      <c r="B4524" s="33" t="s">
        <v>12469</v>
      </c>
      <c r="C4524" s="32" t="s">
        <v>12470</v>
      </c>
      <c r="D4524" s="32" t="s">
        <v>12471</v>
      </c>
    </row>
    <row r="4525" spans="2:4" x14ac:dyDescent="0.3">
      <c r="B4525" s="33" t="s">
        <v>10866</v>
      </c>
      <c r="C4525" s="32" t="s">
        <v>12472</v>
      </c>
      <c r="D4525" s="32" t="s">
        <v>12473</v>
      </c>
    </row>
    <row r="4526" spans="2:4" x14ac:dyDescent="0.3">
      <c r="B4526" s="33" t="s">
        <v>12474</v>
      </c>
      <c r="C4526" s="32" t="s">
        <v>12475</v>
      </c>
      <c r="D4526" s="32" t="s">
        <v>12476</v>
      </c>
    </row>
    <row r="4527" spans="2:4" x14ac:dyDescent="0.3">
      <c r="B4527" s="33" t="s">
        <v>12477</v>
      </c>
      <c r="C4527" s="32" t="s">
        <v>12478</v>
      </c>
      <c r="D4527" s="32" t="s">
        <v>12479</v>
      </c>
    </row>
    <row r="4528" spans="2:4" x14ac:dyDescent="0.3">
      <c r="B4528" s="33" t="s">
        <v>12480</v>
      </c>
      <c r="C4528" s="32" t="s">
        <v>12481</v>
      </c>
      <c r="D4528" s="32" t="s">
        <v>12480</v>
      </c>
    </row>
    <row r="4529" spans="2:4" x14ac:dyDescent="0.3">
      <c r="B4529" s="33" t="s">
        <v>12482</v>
      </c>
      <c r="C4529" s="32" t="s">
        <v>12483</v>
      </c>
      <c r="D4529" s="32" t="s">
        <v>12484</v>
      </c>
    </row>
    <row r="4530" spans="2:4" x14ac:dyDescent="0.3">
      <c r="B4530" s="33" t="s">
        <v>12485</v>
      </c>
      <c r="C4530" s="32" t="s">
        <v>12486</v>
      </c>
      <c r="D4530" s="32" t="s">
        <v>12487</v>
      </c>
    </row>
    <row r="4531" spans="2:4" x14ac:dyDescent="0.3">
      <c r="B4531" s="33" t="s">
        <v>12457</v>
      </c>
      <c r="C4531" s="32" t="s">
        <v>12488</v>
      </c>
      <c r="D4531" s="32" t="s">
        <v>12489</v>
      </c>
    </row>
    <row r="4532" spans="2:4" x14ac:dyDescent="0.3">
      <c r="B4532" s="33" t="s">
        <v>12490</v>
      </c>
      <c r="C4532" s="32" t="s">
        <v>12491</v>
      </c>
      <c r="D4532" s="32" t="s">
        <v>12492</v>
      </c>
    </row>
    <row r="4533" spans="2:4" x14ac:dyDescent="0.3">
      <c r="B4533" s="33" t="s">
        <v>12493</v>
      </c>
      <c r="C4533" s="32" t="s">
        <v>12494</v>
      </c>
      <c r="D4533" s="32" t="s">
        <v>12495</v>
      </c>
    </row>
    <row r="4534" spans="2:4" x14ac:dyDescent="0.3">
      <c r="B4534" s="33" t="s">
        <v>12496</v>
      </c>
      <c r="C4534" s="32" t="s">
        <v>12497</v>
      </c>
      <c r="D4534" s="32" t="s">
        <v>12498</v>
      </c>
    </row>
    <row r="4535" spans="2:4" x14ac:dyDescent="0.3">
      <c r="B4535" s="33" t="s">
        <v>12499</v>
      </c>
      <c r="C4535" s="32" t="s">
        <v>12500</v>
      </c>
      <c r="D4535" s="32" t="s">
        <v>12501</v>
      </c>
    </row>
    <row r="4536" spans="2:4" x14ac:dyDescent="0.3">
      <c r="B4536" s="33" t="s">
        <v>12502</v>
      </c>
      <c r="C4536" s="32" t="s">
        <v>12503</v>
      </c>
      <c r="D4536" s="32" t="s">
        <v>12504</v>
      </c>
    </row>
    <row r="4537" spans="2:4" x14ac:dyDescent="0.3">
      <c r="B4537" s="33" t="s">
        <v>12505</v>
      </c>
      <c r="C4537" s="32" t="s">
        <v>12506</v>
      </c>
      <c r="D4537" s="32" t="s">
        <v>12507</v>
      </c>
    </row>
    <row r="4538" spans="2:4" x14ac:dyDescent="0.3">
      <c r="B4538" s="33" t="s">
        <v>12508</v>
      </c>
      <c r="C4538" s="32" t="s">
        <v>12509</v>
      </c>
      <c r="D4538" s="32" t="s">
        <v>12510</v>
      </c>
    </row>
    <row r="4539" spans="2:4" x14ac:dyDescent="0.3">
      <c r="B4539" s="33" t="s">
        <v>12511</v>
      </c>
      <c r="C4539" s="32" t="s">
        <v>12512</v>
      </c>
      <c r="D4539" s="32" t="s">
        <v>12513</v>
      </c>
    </row>
    <row r="4540" spans="2:4" x14ac:dyDescent="0.3">
      <c r="B4540" s="33" t="s">
        <v>12514</v>
      </c>
      <c r="C4540" s="32" t="s">
        <v>12515</v>
      </c>
      <c r="D4540" s="32" t="s">
        <v>12516</v>
      </c>
    </row>
    <row r="4541" spans="2:4" x14ac:dyDescent="0.3">
      <c r="B4541" s="33" t="s">
        <v>12517</v>
      </c>
      <c r="C4541" s="32" t="s">
        <v>12518</v>
      </c>
      <c r="D4541" s="32" t="s">
        <v>12519</v>
      </c>
    </row>
    <row r="4542" spans="2:4" x14ac:dyDescent="0.3">
      <c r="B4542" s="33" t="s">
        <v>12520</v>
      </c>
      <c r="C4542" s="32" t="s">
        <v>12521</v>
      </c>
      <c r="D4542" s="32" t="s">
        <v>12522</v>
      </c>
    </row>
    <row r="4543" spans="2:4" x14ac:dyDescent="0.3">
      <c r="B4543" s="33" t="s">
        <v>12523</v>
      </c>
      <c r="C4543" s="32" t="s">
        <v>12524</v>
      </c>
      <c r="D4543" s="32" t="s">
        <v>12525</v>
      </c>
    </row>
    <row r="4544" spans="2:4" x14ac:dyDescent="0.3">
      <c r="B4544" s="33" t="s">
        <v>12526</v>
      </c>
      <c r="C4544" s="32" t="s">
        <v>12527</v>
      </c>
      <c r="D4544" s="32" t="s">
        <v>12528</v>
      </c>
    </row>
    <row r="4545" spans="2:4" x14ac:dyDescent="0.3">
      <c r="B4545" s="33" t="s">
        <v>12529</v>
      </c>
      <c r="C4545" s="32" t="s">
        <v>12530</v>
      </c>
      <c r="D4545" s="32" t="s">
        <v>12531</v>
      </c>
    </row>
    <row r="4546" spans="2:4" x14ac:dyDescent="0.3">
      <c r="B4546" s="33" t="s">
        <v>12532</v>
      </c>
      <c r="C4546" s="32" t="s">
        <v>12533</v>
      </c>
      <c r="D4546" s="32" t="s">
        <v>12534</v>
      </c>
    </row>
    <row r="4547" spans="2:4" x14ac:dyDescent="0.3">
      <c r="B4547" s="33" t="s">
        <v>12535</v>
      </c>
      <c r="C4547" s="32" t="s">
        <v>12536</v>
      </c>
      <c r="D4547" s="32" t="s">
        <v>12537</v>
      </c>
    </row>
    <row r="4548" spans="2:4" x14ac:dyDescent="0.3">
      <c r="B4548" s="33" t="s">
        <v>12538</v>
      </c>
      <c r="C4548" s="32" t="s">
        <v>12539</v>
      </c>
      <c r="D4548" s="32" t="s">
        <v>12540</v>
      </c>
    </row>
    <row r="4549" spans="2:4" x14ac:dyDescent="0.3">
      <c r="B4549" s="33" t="s">
        <v>12541</v>
      </c>
      <c r="C4549" s="32" t="s">
        <v>12542</v>
      </c>
      <c r="D4549" s="32" t="s">
        <v>12543</v>
      </c>
    </row>
    <row r="4550" spans="2:4" x14ac:dyDescent="0.3">
      <c r="B4550" s="33" t="s">
        <v>12544</v>
      </c>
      <c r="C4550" s="32" t="s">
        <v>12545</v>
      </c>
      <c r="D4550" s="32" t="s">
        <v>12546</v>
      </c>
    </row>
    <row r="4551" spans="2:4" x14ac:dyDescent="0.3">
      <c r="B4551" s="33" t="s">
        <v>12547</v>
      </c>
      <c r="C4551" s="32" t="s">
        <v>12548</v>
      </c>
      <c r="D4551" s="32" t="s">
        <v>12549</v>
      </c>
    </row>
    <row r="4552" spans="2:4" x14ac:dyDescent="0.3">
      <c r="B4552" s="33" t="s">
        <v>12550</v>
      </c>
      <c r="C4552" s="32" t="s">
        <v>12551</v>
      </c>
      <c r="D4552" s="32" t="s">
        <v>12552</v>
      </c>
    </row>
    <row r="4553" spans="2:4" x14ac:dyDescent="0.3">
      <c r="B4553" s="33" t="s">
        <v>12553</v>
      </c>
      <c r="C4553" s="32" t="s">
        <v>12554</v>
      </c>
      <c r="D4553" s="32" t="s">
        <v>12555</v>
      </c>
    </row>
    <row r="4554" spans="2:4" x14ac:dyDescent="0.3">
      <c r="B4554" s="33" t="s">
        <v>12556</v>
      </c>
      <c r="C4554" s="32" t="s">
        <v>12557</v>
      </c>
      <c r="D4554" s="32" t="s">
        <v>12558</v>
      </c>
    </row>
    <row r="4555" spans="2:4" x14ac:dyDescent="0.3">
      <c r="B4555" s="33" t="s">
        <v>12438</v>
      </c>
      <c r="C4555" s="32" t="s">
        <v>12559</v>
      </c>
      <c r="D4555" s="32" t="s">
        <v>12560</v>
      </c>
    </row>
    <row r="4556" spans="2:4" x14ac:dyDescent="0.3">
      <c r="B4556" s="33" t="s">
        <v>12561</v>
      </c>
      <c r="C4556" s="32" t="s">
        <v>12562</v>
      </c>
      <c r="D4556" s="32" t="s">
        <v>12563</v>
      </c>
    </row>
    <row r="4557" spans="2:4" x14ac:dyDescent="0.3">
      <c r="B4557" s="33" t="s">
        <v>12564</v>
      </c>
      <c r="C4557" s="32" t="s">
        <v>12565</v>
      </c>
      <c r="D4557" s="32" t="s">
        <v>12566</v>
      </c>
    </row>
    <row r="4558" spans="2:4" x14ac:dyDescent="0.3">
      <c r="B4558" s="33" t="s">
        <v>12567</v>
      </c>
      <c r="C4558" s="32" t="s">
        <v>12568</v>
      </c>
      <c r="D4558" s="32" t="s">
        <v>12569</v>
      </c>
    </row>
    <row r="4559" spans="2:4" x14ac:dyDescent="0.3">
      <c r="B4559" s="33" t="s">
        <v>12570</v>
      </c>
      <c r="C4559" s="32" t="s">
        <v>12571</v>
      </c>
      <c r="D4559" s="32" t="s">
        <v>12572</v>
      </c>
    </row>
    <row r="4560" spans="2:4" x14ac:dyDescent="0.3">
      <c r="B4560" s="33" t="s">
        <v>12573</v>
      </c>
      <c r="C4560" s="32" t="s">
        <v>12574</v>
      </c>
      <c r="D4560" s="32" t="s">
        <v>12575</v>
      </c>
    </row>
    <row r="4561" spans="2:4" x14ac:dyDescent="0.3">
      <c r="B4561" s="33" t="s">
        <v>12576</v>
      </c>
      <c r="C4561" s="32" t="s">
        <v>12577</v>
      </c>
      <c r="D4561" s="32" t="s">
        <v>12578</v>
      </c>
    </row>
    <row r="4562" spans="2:4" x14ac:dyDescent="0.3">
      <c r="B4562" s="33" t="s">
        <v>12579</v>
      </c>
      <c r="C4562" s="32" t="s">
        <v>12580</v>
      </c>
      <c r="D4562" s="32" t="s">
        <v>12581</v>
      </c>
    </row>
    <row r="4563" spans="2:4" x14ac:dyDescent="0.3">
      <c r="B4563" s="33" t="s">
        <v>12582</v>
      </c>
      <c r="C4563" s="32" t="s">
        <v>12583</v>
      </c>
      <c r="D4563" s="32" t="s">
        <v>12584</v>
      </c>
    </row>
    <row r="4564" spans="2:4" x14ac:dyDescent="0.3">
      <c r="B4564" s="33" t="s">
        <v>12585</v>
      </c>
      <c r="C4564" s="32" t="s">
        <v>12586</v>
      </c>
      <c r="D4564" s="32" t="s">
        <v>12587</v>
      </c>
    </row>
    <row r="4565" spans="2:4" x14ac:dyDescent="0.3">
      <c r="B4565" s="33" t="s">
        <v>12588</v>
      </c>
      <c r="C4565" s="32" t="s">
        <v>12589</v>
      </c>
      <c r="D4565" s="32" t="s">
        <v>12590</v>
      </c>
    </row>
    <row r="4566" spans="2:4" x14ac:dyDescent="0.3">
      <c r="B4566" s="33" t="s">
        <v>12591</v>
      </c>
      <c r="C4566" s="32" t="s">
        <v>12592</v>
      </c>
      <c r="D4566" s="32" t="s">
        <v>12593</v>
      </c>
    </row>
    <row r="4567" spans="2:4" x14ac:dyDescent="0.3">
      <c r="B4567" s="33" t="s">
        <v>12594</v>
      </c>
      <c r="C4567" s="32" t="s">
        <v>12595</v>
      </c>
      <c r="D4567" s="32" t="s">
        <v>12596</v>
      </c>
    </row>
    <row r="4568" spans="2:4" x14ac:dyDescent="0.3">
      <c r="B4568" s="33" t="s">
        <v>9450</v>
      </c>
      <c r="C4568" s="32" t="s">
        <v>12598</v>
      </c>
      <c r="D4568" s="32" t="s">
        <v>12599</v>
      </c>
    </row>
    <row r="4569" spans="2:4" x14ac:dyDescent="0.3">
      <c r="B4569" s="33" t="s">
        <v>12600</v>
      </c>
      <c r="C4569" s="32" t="s">
        <v>12601</v>
      </c>
      <c r="D4569" s="32" t="s">
        <v>12602</v>
      </c>
    </row>
    <row r="4570" spans="2:4" x14ac:dyDescent="0.3">
      <c r="B4570" s="33" t="s">
        <v>12603</v>
      </c>
      <c r="C4570" s="32" t="s">
        <v>12604</v>
      </c>
      <c r="D4570" s="32" t="s">
        <v>12605</v>
      </c>
    </row>
    <row r="4571" spans="2:4" x14ac:dyDescent="0.3">
      <c r="B4571" s="33" t="s">
        <v>12606</v>
      </c>
      <c r="C4571" s="32" t="s">
        <v>12607</v>
      </c>
      <c r="D4571" s="32" t="s">
        <v>12608</v>
      </c>
    </row>
    <row r="4572" spans="2:4" x14ac:dyDescent="0.3">
      <c r="B4572" s="33" t="s">
        <v>12438</v>
      </c>
      <c r="C4572" s="32" t="s">
        <v>12609</v>
      </c>
      <c r="D4572" s="32" t="s">
        <v>12610</v>
      </c>
    </row>
    <row r="4573" spans="2:4" x14ac:dyDescent="0.3">
      <c r="B4573" s="33" t="s">
        <v>12611</v>
      </c>
      <c r="C4573" s="32" t="s">
        <v>12612</v>
      </c>
      <c r="D4573" s="32" t="s">
        <v>12613</v>
      </c>
    </row>
    <row r="4574" spans="2:4" x14ac:dyDescent="0.3">
      <c r="B4574" s="33" t="s">
        <v>12614</v>
      </c>
      <c r="C4574" s="32" t="s">
        <v>12615</v>
      </c>
      <c r="D4574" s="32" t="s">
        <v>12616</v>
      </c>
    </row>
    <row r="4575" spans="2:4" x14ac:dyDescent="0.3">
      <c r="B4575" s="33" t="s">
        <v>12617</v>
      </c>
      <c r="C4575" s="32" t="s">
        <v>12618</v>
      </c>
      <c r="D4575" s="32" t="s">
        <v>12619</v>
      </c>
    </row>
    <row r="4576" spans="2:4" x14ac:dyDescent="0.3">
      <c r="B4576" s="33" t="s">
        <v>12620</v>
      </c>
      <c r="C4576" s="32" t="s">
        <v>12621</v>
      </c>
      <c r="D4576" s="32" t="s">
        <v>12622</v>
      </c>
    </row>
    <row r="4577" spans="2:4" x14ac:dyDescent="0.3">
      <c r="B4577" s="33" t="s">
        <v>12623</v>
      </c>
      <c r="C4577" s="32" t="s">
        <v>12624</v>
      </c>
      <c r="D4577" s="32" t="s">
        <v>12625</v>
      </c>
    </row>
    <row r="4578" spans="2:4" x14ac:dyDescent="0.3">
      <c r="B4578" s="33" t="s">
        <v>12626</v>
      </c>
      <c r="C4578" s="32" t="s">
        <v>12627</v>
      </c>
      <c r="D4578" s="32" t="s">
        <v>12628</v>
      </c>
    </row>
    <row r="4579" spans="2:4" x14ac:dyDescent="0.3">
      <c r="B4579" s="33" t="s">
        <v>12629</v>
      </c>
      <c r="C4579" s="32" t="s">
        <v>12630</v>
      </c>
      <c r="D4579" s="32" t="s">
        <v>12631</v>
      </c>
    </row>
    <row r="4580" spans="2:4" x14ac:dyDescent="0.3">
      <c r="B4580" s="33" t="s">
        <v>12632</v>
      </c>
      <c r="C4580" s="32" t="s">
        <v>12633</v>
      </c>
      <c r="D4580" s="32" t="s">
        <v>12634</v>
      </c>
    </row>
    <row r="4581" spans="2:4" x14ac:dyDescent="0.3">
      <c r="B4581" s="33" t="s">
        <v>12632</v>
      </c>
      <c r="C4581" s="32" t="s">
        <v>12635</v>
      </c>
      <c r="D4581" s="32" t="s">
        <v>12636</v>
      </c>
    </row>
    <row r="4582" spans="2:4" x14ac:dyDescent="0.3">
      <c r="B4582" s="33" t="s">
        <v>12541</v>
      </c>
      <c r="C4582" s="32" t="s">
        <v>12637</v>
      </c>
      <c r="D4582" s="32" t="s">
        <v>12638</v>
      </c>
    </row>
    <row r="4583" spans="2:4" x14ac:dyDescent="0.3">
      <c r="B4583" s="33" t="s">
        <v>12639</v>
      </c>
      <c r="C4583" s="32" t="s">
        <v>12640</v>
      </c>
      <c r="D4583" s="32" t="s">
        <v>12641</v>
      </c>
    </row>
    <row r="4584" spans="2:4" x14ac:dyDescent="0.3">
      <c r="B4584" s="33" t="s">
        <v>12642</v>
      </c>
      <c r="C4584" s="32" t="s">
        <v>12643</v>
      </c>
      <c r="D4584" s="32" t="s">
        <v>12644</v>
      </c>
    </row>
    <row r="4585" spans="2:4" x14ac:dyDescent="0.3">
      <c r="B4585" s="33" t="s">
        <v>12645</v>
      </c>
      <c r="C4585" s="32" t="s">
        <v>12646</v>
      </c>
      <c r="D4585" s="32" t="s">
        <v>12647</v>
      </c>
    </row>
    <row r="4586" spans="2:4" x14ac:dyDescent="0.3">
      <c r="B4586" s="33" t="s">
        <v>12648</v>
      </c>
      <c r="C4586" s="32" t="s">
        <v>12649</v>
      </c>
      <c r="D4586" s="32" t="s">
        <v>12650</v>
      </c>
    </row>
    <row r="4587" spans="2:4" x14ac:dyDescent="0.3">
      <c r="B4587" s="33" t="s">
        <v>12651</v>
      </c>
      <c r="C4587" s="32" t="s">
        <v>12652</v>
      </c>
      <c r="D4587" s="32" t="s">
        <v>12653</v>
      </c>
    </row>
    <row r="4588" spans="2:4" x14ac:dyDescent="0.3">
      <c r="B4588" s="33" t="s">
        <v>12654</v>
      </c>
      <c r="C4588" s="32" t="s">
        <v>12655</v>
      </c>
      <c r="D4588" s="32" t="s">
        <v>12656</v>
      </c>
    </row>
    <row r="4589" spans="2:4" x14ac:dyDescent="0.3">
      <c r="B4589" s="33" t="s">
        <v>12657</v>
      </c>
      <c r="C4589" s="32" t="s">
        <v>12658</v>
      </c>
      <c r="D4589" s="32" t="s">
        <v>12659</v>
      </c>
    </row>
    <row r="4590" spans="2:4" x14ac:dyDescent="0.3">
      <c r="B4590" s="33" t="s">
        <v>12660</v>
      </c>
      <c r="C4590" s="32" t="s">
        <v>12661</v>
      </c>
      <c r="D4590" s="32" t="s">
        <v>12662</v>
      </c>
    </row>
    <row r="4591" spans="2:4" x14ac:dyDescent="0.3">
      <c r="B4591" s="33" t="s">
        <v>12663</v>
      </c>
      <c r="C4591" s="32" t="s">
        <v>12664</v>
      </c>
      <c r="D4591" s="32" t="s">
        <v>12665</v>
      </c>
    </row>
    <row r="4592" spans="2:4" x14ac:dyDescent="0.3">
      <c r="B4592" s="33" t="s">
        <v>5576</v>
      </c>
      <c r="C4592" s="32" t="s">
        <v>12666</v>
      </c>
      <c r="D4592" s="32" t="s">
        <v>12667</v>
      </c>
    </row>
    <row r="4593" spans="2:4" x14ac:dyDescent="0.3">
      <c r="B4593" s="33" t="s">
        <v>12668</v>
      </c>
      <c r="C4593" s="32" t="s">
        <v>12669</v>
      </c>
      <c r="D4593" s="32" t="s">
        <v>12670</v>
      </c>
    </row>
    <row r="4594" spans="2:4" x14ac:dyDescent="0.3">
      <c r="B4594" s="33" t="s">
        <v>12671</v>
      </c>
      <c r="C4594" s="32" t="s">
        <v>12672</v>
      </c>
      <c r="D4594" s="32" t="s">
        <v>12673</v>
      </c>
    </row>
    <row r="4595" spans="2:4" x14ac:dyDescent="0.3">
      <c r="B4595" s="33" t="s">
        <v>12674</v>
      </c>
      <c r="C4595" s="32" t="s">
        <v>12675</v>
      </c>
      <c r="D4595" s="32" t="s">
        <v>12676</v>
      </c>
    </row>
    <row r="4596" spans="2:4" x14ac:dyDescent="0.3">
      <c r="B4596" s="33" t="s">
        <v>12677</v>
      </c>
      <c r="C4596" s="32" t="s">
        <v>12678</v>
      </c>
      <c r="D4596" s="32" t="s">
        <v>12679</v>
      </c>
    </row>
    <row r="4597" spans="2:4" x14ac:dyDescent="0.3">
      <c r="B4597" s="33" t="s">
        <v>12680</v>
      </c>
      <c r="C4597" s="32" t="s">
        <v>12681</v>
      </c>
      <c r="D4597" s="32" t="s">
        <v>12682</v>
      </c>
    </row>
    <row r="4598" spans="2:4" x14ac:dyDescent="0.3">
      <c r="B4598" s="33" t="s">
        <v>12683</v>
      </c>
      <c r="C4598" s="32" t="s">
        <v>12684</v>
      </c>
      <c r="D4598" s="32" t="s">
        <v>12685</v>
      </c>
    </row>
    <row r="4599" spans="2:4" x14ac:dyDescent="0.3">
      <c r="B4599" s="33" t="s">
        <v>12683</v>
      </c>
      <c r="C4599" s="32" t="s">
        <v>12686</v>
      </c>
      <c r="D4599" s="32" t="s">
        <v>12687</v>
      </c>
    </row>
    <row r="4600" spans="2:4" x14ac:dyDescent="0.3">
      <c r="B4600" s="33" t="s">
        <v>12688</v>
      </c>
      <c r="C4600" s="32" t="s">
        <v>12689</v>
      </c>
      <c r="D4600" s="32" t="s">
        <v>12690</v>
      </c>
    </row>
    <row r="4601" spans="2:4" x14ac:dyDescent="0.3">
      <c r="B4601" s="33" t="s">
        <v>12691</v>
      </c>
      <c r="C4601" s="32" t="s">
        <v>12692</v>
      </c>
      <c r="D4601" s="32" t="s">
        <v>12693</v>
      </c>
    </row>
    <row r="4602" spans="2:4" x14ac:dyDescent="0.3">
      <c r="B4602" s="33" t="s">
        <v>12694</v>
      </c>
      <c r="C4602" s="32" t="s">
        <v>12695</v>
      </c>
      <c r="D4602" s="32" t="s">
        <v>12696</v>
      </c>
    </row>
    <row r="4603" spans="2:4" x14ac:dyDescent="0.3">
      <c r="B4603" s="33" t="s">
        <v>7072</v>
      </c>
      <c r="C4603" s="32" t="s">
        <v>12697</v>
      </c>
      <c r="D4603" s="32" t="s">
        <v>12698</v>
      </c>
    </row>
    <row r="4604" spans="2:4" x14ac:dyDescent="0.3">
      <c r="B4604" s="33" t="s">
        <v>12699</v>
      </c>
      <c r="C4604" s="32" t="s">
        <v>12700</v>
      </c>
      <c r="D4604" s="32" t="s">
        <v>12701</v>
      </c>
    </row>
    <row r="4605" spans="2:4" x14ac:dyDescent="0.3">
      <c r="B4605" s="33" t="s">
        <v>12702</v>
      </c>
      <c r="C4605" s="32" t="s">
        <v>12703</v>
      </c>
      <c r="D4605" s="32" t="s">
        <v>12704</v>
      </c>
    </row>
    <row r="4606" spans="2:4" x14ac:dyDescent="0.3">
      <c r="B4606" s="33" t="s">
        <v>12705</v>
      </c>
      <c r="C4606" s="32" t="s">
        <v>12706</v>
      </c>
      <c r="D4606" s="32" t="s">
        <v>12705</v>
      </c>
    </row>
    <row r="4607" spans="2:4" x14ac:dyDescent="0.3">
      <c r="B4607" s="33" t="s">
        <v>12705</v>
      </c>
      <c r="C4607" s="32" t="s">
        <v>12707</v>
      </c>
      <c r="D4607" s="32" t="s">
        <v>12708</v>
      </c>
    </row>
    <row r="4608" spans="2:4" x14ac:dyDescent="0.3">
      <c r="B4608" s="33" t="s">
        <v>12709</v>
      </c>
      <c r="C4608" s="32" t="s">
        <v>12710</v>
      </c>
      <c r="D4608" s="32" t="s">
        <v>12711</v>
      </c>
    </row>
    <row r="4609" spans="2:4" x14ac:dyDescent="0.3">
      <c r="B4609" s="33" t="s">
        <v>12712</v>
      </c>
      <c r="C4609" s="32" t="s">
        <v>12713</v>
      </c>
      <c r="D4609" s="32" t="s">
        <v>12714</v>
      </c>
    </row>
    <row r="4610" spans="2:4" x14ac:dyDescent="0.3">
      <c r="B4610" s="33" t="s">
        <v>12715</v>
      </c>
      <c r="C4610" s="32" t="s">
        <v>12716</v>
      </c>
      <c r="D4610" s="32" t="s">
        <v>12717</v>
      </c>
    </row>
    <row r="4611" spans="2:4" x14ac:dyDescent="0.3">
      <c r="B4611" s="33" t="s">
        <v>12718</v>
      </c>
      <c r="C4611" s="32" t="s">
        <v>12719</v>
      </c>
      <c r="D4611" s="32" t="s">
        <v>12720</v>
      </c>
    </row>
    <row r="4612" spans="2:4" x14ac:dyDescent="0.3">
      <c r="B4612" s="33" t="s">
        <v>12381</v>
      </c>
      <c r="C4612" s="32" t="s">
        <v>12721</v>
      </c>
      <c r="D4612" s="32" t="s">
        <v>12722</v>
      </c>
    </row>
    <row r="4613" spans="2:4" x14ac:dyDescent="0.3">
      <c r="B4613" s="33" t="s">
        <v>12723</v>
      </c>
      <c r="C4613" s="32" t="s">
        <v>12724</v>
      </c>
      <c r="D4613" s="32" t="s">
        <v>12725</v>
      </c>
    </row>
    <row r="4614" spans="2:4" x14ac:dyDescent="0.3">
      <c r="B4614" s="33" t="s">
        <v>12726</v>
      </c>
      <c r="C4614" s="32" t="s">
        <v>12727</v>
      </c>
      <c r="D4614" s="32" t="s">
        <v>12728</v>
      </c>
    </row>
    <row r="4615" spans="2:4" x14ac:dyDescent="0.3">
      <c r="B4615" s="33" t="s">
        <v>12729</v>
      </c>
      <c r="C4615" s="32" t="s">
        <v>12730</v>
      </c>
      <c r="D4615" s="32" t="s">
        <v>12731</v>
      </c>
    </row>
    <row r="4616" spans="2:4" x14ac:dyDescent="0.3">
      <c r="B4616" s="33" t="s">
        <v>12732</v>
      </c>
      <c r="C4616" s="32" t="s">
        <v>12733</v>
      </c>
      <c r="D4616" s="32" t="s">
        <v>12734</v>
      </c>
    </row>
    <row r="4617" spans="2:4" x14ac:dyDescent="0.3">
      <c r="B4617" s="33" t="s">
        <v>12735</v>
      </c>
      <c r="C4617" s="32" t="s">
        <v>12736</v>
      </c>
      <c r="D4617" s="32" t="s">
        <v>12737</v>
      </c>
    </row>
    <row r="4618" spans="2:4" x14ac:dyDescent="0.3">
      <c r="B4618" s="33" t="s">
        <v>12732</v>
      </c>
      <c r="C4618" s="32" t="s">
        <v>12738</v>
      </c>
      <c r="D4618" s="32" t="s">
        <v>12739</v>
      </c>
    </row>
    <row r="4619" spans="2:4" x14ac:dyDescent="0.3">
      <c r="B4619" s="33" t="s">
        <v>12740</v>
      </c>
      <c r="C4619" s="32" t="s">
        <v>12741</v>
      </c>
      <c r="D4619" s="32" t="s">
        <v>12742</v>
      </c>
    </row>
    <row r="4620" spans="2:4" x14ac:dyDescent="0.3">
      <c r="B4620" s="33" t="s">
        <v>12743</v>
      </c>
      <c r="C4620" s="32" t="s">
        <v>12744</v>
      </c>
      <c r="D4620" s="32" t="s">
        <v>12745</v>
      </c>
    </row>
    <row r="4621" spans="2:4" x14ac:dyDescent="0.3">
      <c r="B4621" s="33" t="s">
        <v>12746</v>
      </c>
      <c r="C4621" s="32" t="s">
        <v>12747</v>
      </c>
      <c r="D4621" s="32" t="s">
        <v>12748</v>
      </c>
    </row>
    <row r="4622" spans="2:4" x14ac:dyDescent="0.3">
      <c r="B4622" s="33" t="s">
        <v>12749</v>
      </c>
      <c r="C4622" s="32" t="s">
        <v>12750</v>
      </c>
      <c r="D4622" s="32" t="s">
        <v>12751</v>
      </c>
    </row>
    <row r="4623" spans="2:4" x14ac:dyDescent="0.3">
      <c r="B4623" s="33" t="s">
        <v>12752</v>
      </c>
      <c r="C4623" s="32" t="s">
        <v>12753</v>
      </c>
      <c r="D4623" s="32" t="s">
        <v>12754</v>
      </c>
    </row>
    <row r="4624" spans="2:4" x14ac:dyDescent="0.3">
      <c r="B4624" s="33" t="s">
        <v>12755</v>
      </c>
      <c r="C4624" s="32" t="s">
        <v>12756</v>
      </c>
      <c r="D4624" s="32" t="s">
        <v>12757</v>
      </c>
    </row>
    <row r="4625" spans="2:4" x14ac:dyDescent="0.3">
      <c r="B4625" s="33" t="s">
        <v>12758</v>
      </c>
      <c r="C4625" s="32" t="s">
        <v>12759</v>
      </c>
      <c r="D4625" s="32" t="s">
        <v>12760</v>
      </c>
    </row>
    <row r="4626" spans="2:4" x14ac:dyDescent="0.3">
      <c r="B4626" s="33" t="s">
        <v>12761</v>
      </c>
      <c r="C4626" s="32" t="s">
        <v>12762</v>
      </c>
      <c r="D4626" s="32" t="s">
        <v>12763</v>
      </c>
    </row>
    <row r="4627" spans="2:4" x14ac:dyDescent="0.3">
      <c r="B4627" s="33" t="s">
        <v>12764</v>
      </c>
      <c r="C4627" s="32" t="s">
        <v>12765</v>
      </c>
      <c r="D4627" s="32" t="s">
        <v>12766</v>
      </c>
    </row>
    <row r="4628" spans="2:4" x14ac:dyDescent="0.3">
      <c r="B4628" s="33" t="s">
        <v>12767</v>
      </c>
      <c r="C4628" s="32" t="s">
        <v>12768</v>
      </c>
      <c r="D4628" s="32" t="s">
        <v>12769</v>
      </c>
    </row>
    <row r="4629" spans="2:4" x14ac:dyDescent="0.3">
      <c r="B4629" s="33" t="s">
        <v>12466</v>
      </c>
      <c r="C4629" s="32" t="s">
        <v>12770</v>
      </c>
      <c r="D4629" s="32" t="s">
        <v>12771</v>
      </c>
    </row>
    <row r="4630" spans="2:4" x14ac:dyDescent="0.3">
      <c r="B4630" s="33" t="s">
        <v>12772</v>
      </c>
      <c r="C4630" s="32" t="s">
        <v>12773</v>
      </c>
      <c r="D4630" s="32" t="s">
        <v>12774</v>
      </c>
    </row>
    <row r="4631" spans="2:4" x14ac:dyDescent="0.3">
      <c r="B4631" s="33" t="s">
        <v>12775</v>
      </c>
      <c r="C4631" s="32" t="s">
        <v>12776</v>
      </c>
      <c r="D4631" s="32" t="s">
        <v>12777</v>
      </c>
    </row>
    <row r="4632" spans="2:4" x14ac:dyDescent="0.3">
      <c r="B4632" s="33" t="s">
        <v>12772</v>
      </c>
      <c r="C4632" s="32" t="s">
        <v>12778</v>
      </c>
      <c r="D4632" s="32" t="s">
        <v>12779</v>
      </c>
    </row>
    <row r="4633" spans="2:4" x14ac:dyDescent="0.3">
      <c r="B4633" s="33" t="s">
        <v>12780</v>
      </c>
      <c r="C4633" s="32" t="s">
        <v>12781</v>
      </c>
      <c r="D4633" s="32" t="s">
        <v>12782</v>
      </c>
    </row>
    <row r="4634" spans="2:4" x14ac:dyDescent="0.3">
      <c r="B4634" s="33" t="s">
        <v>12783</v>
      </c>
      <c r="C4634" s="32" t="s">
        <v>12784</v>
      </c>
      <c r="D4634" s="32" t="s">
        <v>12785</v>
      </c>
    </row>
    <row r="4635" spans="2:4" x14ac:dyDescent="0.3">
      <c r="B4635" s="33" t="s">
        <v>12786</v>
      </c>
      <c r="C4635" s="32" t="s">
        <v>12787</v>
      </c>
      <c r="D4635" s="32" t="s">
        <v>12788</v>
      </c>
    </row>
    <row r="4636" spans="2:4" x14ac:dyDescent="0.3">
      <c r="B4636" s="33" t="s">
        <v>37410</v>
      </c>
      <c r="C4636" s="32" t="s">
        <v>37411</v>
      </c>
      <c r="D4636" s="32" t="s">
        <v>37412</v>
      </c>
    </row>
    <row r="4637" spans="2:4" x14ac:dyDescent="0.3">
      <c r="B4637" s="33" t="s">
        <v>12789</v>
      </c>
      <c r="C4637" s="32" t="s">
        <v>12790</v>
      </c>
      <c r="D4637" s="32" t="s">
        <v>12791</v>
      </c>
    </row>
    <row r="4638" spans="2:4" x14ac:dyDescent="0.3">
      <c r="B4638" s="33" t="s">
        <v>12792</v>
      </c>
      <c r="C4638" s="32" t="s">
        <v>12793</v>
      </c>
      <c r="D4638" s="32" t="s">
        <v>12794</v>
      </c>
    </row>
    <row r="4639" spans="2:4" x14ac:dyDescent="0.3">
      <c r="B4639" s="33" t="s">
        <v>12795</v>
      </c>
      <c r="C4639" s="32" t="s">
        <v>12796</v>
      </c>
      <c r="D4639" s="32" t="s">
        <v>12797</v>
      </c>
    </row>
    <row r="4640" spans="2:4" x14ac:dyDescent="0.3">
      <c r="B4640" s="33" t="s">
        <v>12798</v>
      </c>
      <c r="C4640" s="32" t="s">
        <v>12799</v>
      </c>
      <c r="D4640" s="32" t="s">
        <v>12800</v>
      </c>
    </row>
    <row r="4641" spans="2:4" x14ac:dyDescent="0.3">
      <c r="B4641" s="33" t="s">
        <v>12801</v>
      </c>
      <c r="C4641" s="32" t="s">
        <v>12802</v>
      </c>
      <c r="D4641" s="32" t="s">
        <v>12803</v>
      </c>
    </row>
    <row r="4642" spans="2:4" x14ac:dyDescent="0.3">
      <c r="B4642" s="33" t="s">
        <v>132</v>
      </c>
      <c r="C4642" s="32" t="s">
        <v>12804</v>
      </c>
      <c r="D4642" s="32" t="s">
        <v>133</v>
      </c>
    </row>
    <row r="4643" spans="2:4" x14ac:dyDescent="0.3">
      <c r="B4643" s="33" t="s">
        <v>12805</v>
      </c>
      <c r="C4643" s="32" t="s">
        <v>12806</v>
      </c>
      <c r="D4643" s="32" t="s">
        <v>12807</v>
      </c>
    </row>
    <row r="4644" spans="2:4" x14ac:dyDescent="0.3">
      <c r="B4644" s="33" t="s">
        <v>12808</v>
      </c>
      <c r="C4644" s="32" t="s">
        <v>12809</v>
      </c>
      <c r="D4644" s="32" t="s">
        <v>12810</v>
      </c>
    </row>
    <row r="4645" spans="2:4" x14ac:dyDescent="0.3">
      <c r="B4645" s="33" t="s">
        <v>12811</v>
      </c>
      <c r="C4645" s="32" t="s">
        <v>12812</v>
      </c>
      <c r="D4645" s="32" t="s">
        <v>12813</v>
      </c>
    </row>
    <row r="4646" spans="2:4" x14ac:dyDescent="0.3">
      <c r="B4646" s="33" t="s">
        <v>2942</v>
      </c>
      <c r="C4646" s="32" t="s">
        <v>12814</v>
      </c>
      <c r="D4646" s="32" t="s">
        <v>12815</v>
      </c>
    </row>
    <row r="4647" spans="2:4" x14ac:dyDescent="0.3">
      <c r="B4647" s="33" t="s">
        <v>12816</v>
      </c>
      <c r="C4647" s="32" t="s">
        <v>12817</v>
      </c>
      <c r="D4647" s="32" t="s">
        <v>12818</v>
      </c>
    </row>
    <row r="4648" spans="2:4" x14ac:dyDescent="0.3">
      <c r="B4648" s="33" t="s">
        <v>12819</v>
      </c>
      <c r="C4648" s="32" t="s">
        <v>12820</v>
      </c>
      <c r="D4648" s="32" t="s">
        <v>12821</v>
      </c>
    </row>
    <row r="4649" spans="2:4" x14ac:dyDescent="0.3">
      <c r="B4649" s="33" t="s">
        <v>12822</v>
      </c>
      <c r="C4649" s="32" t="s">
        <v>12823</v>
      </c>
      <c r="D4649" s="32" t="s">
        <v>12824</v>
      </c>
    </row>
    <row r="4650" spans="2:4" x14ac:dyDescent="0.3">
      <c r="B4650" s="33" t="s">
        <v>12825</v>
      </c>
      <c r="C4650" s="32" t="s">
        <v>12826</v>
      </c>
      <c r="D4650" s="32" t="s">
        <v>12827</v>
      </c>
    </row>
    <row r="4651" spans="2:4" x14ac:dyDescent="0.3">
      <c r="B4651" s="33" t="s">
        <v>12828</v>
      </c>
      <c r="C4651" s="32" t="s">
        <v>12829</v>
      </c>
      <c r="D4651" s="32" t="s">
        <v>12830</v>
      </c>
    </row>
    <row r="4652" spans="2:4" x14ac:dyDescent="0.3">
      <c r="B4652" s="33" t="s">
        <v>12831</v>
      </c>
      <c r="C4652" s="32" t="s">
        <v>12832</v>
      </c>
      <c r="D4652" s="32" t="s">
        <v>12833</v>
      </c>
    </row>
    <row r="4653" spans="2:4" x14ac:dyDescent="0.3">
      <c r="B4653" s="33" t="s">
        <v>12834</v>
      </c>
      <c r="C4653" s="32" t="s">
        <v>12835</v>
      </c>
      <c r="D4653" s="32" t="s">
        <v>12836</v>
      </c>
    </row>
    <row r="4654" spans="2:4" x14ac:dyDescent="0.3">
      <c r="B4654" s="33" t="s">
        <v>12837</v>
      </c>
      <c r="C4654" s="32" t="s">
        <v>12838</v>
      </c>
      <c r="D4654" s="32" t="s">
        <v>12839</v>
      </c>
    </row>
    <row r="4655" spans="2:4" x14ac:dyDescent="0.3">
      <c r="B4655" s="33" t="s">
        <v>623</v>
      </c>
      <c r="C4655" s="32" t="s">
        <v>12840</v>
      </c>
      <c r="D4655" s="32" t="s">
        <v>36828</v>
      </c>
    </row>
    <row r="4656" spans="2:4" x14ac:dyDescent="0.3">
      <c r="B4656" s="33" t="s">
        <v>9571</v>
      </c>
      <c r="C4656" s="32" t="s">
        <v>12841</v>
      </c>
      <c r="D4656" s="32" t="s">
        <v>12842</v>
      </c>
    </row>
    <row r="4657" spans="2:4" x14ac:dyDescent="0.3">
      <c r="B4657" s="33" t="s">
        <v>12843</v>
      </c>
      <c r="C4657" s="32" t="s">
        <v>12844</v>
      </c>
      <c r="D4657" s="32" t="s">
        <v>12845</v>
      </c>
    </row>
    <row r="4658" spans="2:4" x14ac:dyDescent="0.3">
      <c r="B4658" s="33" t="s">
        <v>12846</v>
      </c>
      <c r="C4658" s="32" t="s">
        <v>12847</v>
      </c>
      <c r="D4658" s="32" t="s">
        <v>12848</v>
      </c>
    </row>
    <row r="4659" spans="2:4" x14ac:dyDescent="0.3">
      <c r="B4659" s="33" t="s">
        <v>12849</v>
      </c>
      <c r="C4659" s="32" t="s">
        <v>12850</v>
      </c>
      <c r="D4659" s="32" t="s">
        <v>12851</v>
      </c>
    </row>
    <row r="4660" spans="2:4" x14ac:dyDescent="0.3">
      <c r="B4660" s="33" t="s">
        <v>12852</v>
      </c>
      <c r="C4660" s="32" t="s">
        <v>12853</v>
      </c>
      <c r="D4660" s="32" t="s">
        <v>12854</v>
      </c>
    </row>
    <row r="4661" spans="2:4" x14ac:dyDescent="0.3">
      <c r="B4661" s="33" t="s">
        <v>12855</v>
      </c>
      <c r="C4661" s="32" t="s">
        <v>12856</v>
      </c>
      <c r="D4661" s="32" t="s">
        <v>12857</v>
      </c>
    </row>
    <row r="4662" spans="2:4" x14ac:dyDescent="0.3">
      <c r="B4662" s="33" t="s">
        <v>12858</v>
      </c>
      <c r="C4662" s="32" t="s">
        <v>12859</v>
      </c>
      <c r="D4662" s="32" t="s">
        <v>12860</v>
      </c>
    </row>
    <row r="4663" spans="2:4" x14ac:dyDescent="0.3">
      <c r="B4663" s="33" t="s">
        <v>12861</v>
      </c>
      <c r="C4663" s="32" t="s">
        <v>12862</v>
      </c>
      <c r="D4663" s="32" t="s">
        <v>12863</v>
      </c>
    </row>
    <row r="4664" spans="2:4" x14ac:dyDescent="0.3">
      <c r="B4664" s="33" t="s">
        <v>12864</v>
      </c>
      <c r="C4664" s="32" t="s">
        <v>12865</v>
      </c>
      <c r="D4664" s="32" t="s">
        <v>12866</v>
      </c>
    </row>
    <row r="4665" spans="2:4" x14ac:dyDescent="0.3">
      <c r="B4665" s="33" t="s">
        <v>12867</v>
      </c>
      <c r="C4665" s="32" t="s">
        <v>12868</v>
      </c>
      <c r="D4665" s="32" t="s">
        <v>12869</v>
      </c>
    </row>
    <row r="4666" spans="2:4" x14ac:dyDescent="0.3">
      <c r="B4666" s="33" t="s">
        <v>12870</v>
      </c>
      <c r="C4666" s="32" t="s">
        <v>12871</v>
      </c>
      <c r="D4666" s="32" t="s">
        <v>12872</v>
      </c>
    </row>
    <row r="4667" spans="2:4" x14ac:dyDescent="0.3">
      <c r="B4667" s="33" t="s">
        <v>12873</v>
      </c>
      <c r="C4667" s="32" t="s">
        <v>12874</v>
      </c>
      <c r="D4667" s="32" t="s">
        <v>12875</v>
      </c>
    </row>
    <row r="4668" spans="2:4" x14ac:dyDescent="0.3">
      <c r="B4668" s="33" t="s">
        <v>12876</v>
      </c>
      <c r="C4668" s="32" t="s">
        <v>12877</v>
      </c>
      <c r="D4668" s="32" t="s">
        <v>12878</v>
      </c>
    </row>
    <row r="4669" spans="2:4" x14ac:dyDescent="0.3">
      <c r="B4669" s="33" t="s">
        <v>12879</v>
      </c>
      <c r="C4669" s="32" t="s">
        <v>12880</v>
      </c>
      <c r="D4669" s="32" t="s">
        <v>12879</v>
      </c>
    </row>
    <row r="4670" spans="2:4" x14ac:dyDescent="0.3">
      <c r="B4670" s="33" t="s">
        <v>12881</v>
      </c>
      <c r="C4670" s="32" t="s">
        <v>12882</v>
      </c>
      <c r="D4670" s="32" t="s">
        <v>12883</v>
      </c>
    </row>
    <row r="4671" spans="2:4" x14ac:dyDescent="0.3">
      <c r="B4671" s="33" t="s">
        <v>12884</v>
      </c>
      <c r="C4671" s="32" t="s">
        <v>12885</v>
      </c>
      <c r="D4671" s="32" t="s">
        <v>12886</v>
      </c>
    </row>
    <row r="4672" spans="2:4" x14ac:dyDescent="0.3">
      <c r="B4672" s="33" t="s">
        <v>12887</v>
      </c>
      <c r="C4672" s="32" t="s">
        <v>12888</v>
      </c>
      <c r="D4672" s="32" t="s">
        <v>12889</v>
      </c>
    </row>
    <row r="4673" spans="2:4" x14ac:dyDescent="0.3">
      <c r="B4673" s="33" t="s">
        <v>12890</v>
      </c>
      <c r="C4673" s="32" t="s">
        <v>12891</v>
      </c>
      <c r="D4673" s="32" t="s">
        <v>12892</v>
      </c>
    </row>
    <row r="4674" spans="2:4" x14ac:dyDescent="0.3">
      <c r="B4674" s="33" t="s">
        <v>12828</v>
      </c>
      <c r="C4674" s="32" t="s">
        <v>12893</v>
      </c>
      <c r="D4674" s="32" t="s">
        <v>12894</v>
      </c>
    </row>
    <row r="4675" spans="2:4" x14ac:dyDescent="0.3">
      <c r="B4675" s="33" t="s">
        <v>12887</v>
      </c>
      <c r="C4675" s="32" t="s">
        <v>12895</v>
      </c>
      <c r="D4675" s="32" t="s">
        <v>12896</v>
      </c>
    </row>
    <row r="4676" spans="2:4" x14ac:dyDescent="0.3">
      <c r="B4676" s="33" t="s">
        <v>12897</v>
      </c>
      <c r="C4676" s="32" t="s">
        <v>12898</v>
      </c>
      <c r="D4676" s="32" t="s">
        <v>12899</v>
      </c>
    </row>
    <row r="4677" spans="2:4" x14ac:dyDescent="0.3">
      <c r="B4677" s="33" t="s">
        <v>12887</v>
      </c>
      <c r="C4677" s="32" t="s">
        <v>12900</v>
      </c>
      <c r="D4677" s="32" t="s">
        <v>12901</v>
      </c>
    </row>
    <row r="4678" spans="2:4" x14ac:dyDescent="0.3">
      <c r="B4678" s="33" t="s">
        <v>12902</v>
      </c>
      <c r="C4678" s="32" t="s">
        <v>12903</v>
      </c>
      <c r="D4678" s="32" t="s">
        <v>12904</v>
      </c>
    </row>
    <row r="4679" spans="2:4" x14ac:dyDescent="0.3">
      <c r="B4679" s="33" t="s">
        <v>12905</v>
      </c>
      <c r="C4679" s="32" t="s">
        <v>12906</v>
      </c>
      <c r="D4679" s="32" t="s">
        <v>12907</v>
      </c>
    </row>
    <row r="4680" spans="2:4" x14ac:dyDescent="0.3">
      <c r="B4680" s="33" t="s">
        <v>12887</v>
      </c>
      <c r="C4680" s="32" t="s">
        <v>12908</v>
      </c>
      <c r="D4680" s="32" t="s">
        <v>12909</v>
      </c>
    </row>
    <row r="4681" spans="2:4" x14ac:dyDescent="0.3">
      <c r="B4681" s="33" t="s">
        <v>12887</v>
      </c>
      <c r="C4681" s="32" t="s">
        <v>12910</v>
      </c>
      <c r="D4681" s="32" t="s">
        <v>37191</v>
      </c>
    </row>
    <row r="4682" spans="2:4" x14ac:dyDescent="0.3">
      <c r="B4682" s="33" t="s">
        <v>12911</v>
      </c>
      <c r="C4682" s="32" t="s">
        <v>12912</v>
      </c>
      <c r="D4682" s="32" t="s">
        <v>12913</v>
      </c>
    </row>
    <row r="4683" spans="2:4" x14ac:dyDescent="0.3">
      <c r="B4683" s="33" t="s">
        <v>12914</v>
      </c>
      <c r="C4683" s="32" t="s">
        <v>12915</v>
      </c>
      <c r="D4683" s="32" t="s">
        <v>12916</v>
      </c>
    </row>
    <row r="4684" spans="2:4" x14ac:dyDescent="0.3">
      <c r="B4684" s="33" t="s">
        <v>12388</v>
      </c>
      <c r="C4684" s="32" t="s">
        <v>12917</v>
      </c>
      <c r="D4684" s="32" t="s">
        <v>12918</v>
      </c>
    </row>
    <row r="4685" spans="2:4" x14ac:dyDescent="0.3">
      <c r="B4685" s="33" t="s">
        <v>4357</v>
      </c>
      <c r="C4685" s="32" t="s">
        <v>36829</v>
      </c>
      <c r="D4685" s="32" t="s">
        <v>36830</v>
      </c>
    </row>
    <row r="4686" spans="2:4" x14ac:dyDescent="0.3">
      <c r="B4686" s="33" t="s">
        <v>12919</v>
      </c>
      <c r="C4686" s="32" t="s">
        <v>12920</v>
      </c>
      <c r="D4686" s="32" t="s">
        <v>12921</v>
      </c>
    </row>
    <row r="4687" spans="2:4" x14ac:dyDescent="0.3">
      <c r="B4687" s="33" t="s">
        <v>12922</v>
      </c>
      <c r="C4687" s="32" t="s">
        <v>12923</v>
      </c>
      <c r="D4687" s="32" t="s">
        <v>12924</v>
      </c>
    </row>
    <row r="4688" spans="2:4" x14ac:dyDescent="0.3">
      <c r="B4688" s="33" t="s">
        <v>12925</v>
      </c>
      <c r="C4688" s="32" t="s">
        <v>12926</v>
      </c>
      <c r="D4688" s="32" t="s">
        <v>12927</v>
      </c>
    </row>
    <row r="4689" spans="2:4" x14ac:dyDescent="0.3">
      <c r="B4689" s="33" t="s">
        <v>12928</v>
      </c>
      <c r="C4689" s="32" t="s">
        <v>12929</v>
      </c>
      <c r="D4689" s="32" t="s">
        <v>12930</v>
      </c>
    </row>
    <row r="4690" spans="2:4" x14ac:dyDescent="0.3">
      <c r="B4690" s="33" t="s">
        <v>12746</v>
      </c>
      <c r="C4690" s="32" t="s">
        <v>12931</v>
      </c>
      <c r="D4690" s="32" t="s">
        <v>12932</v>
      </c>
    </row>
    <row r="4691" spans="2:4" x14ac:dyDescent="0.3">
      <c r="B4691" s="33" t="s">
        <v>12933</v>
      </c>
      <c r="C4691" s="32" t="s">
        <v>12934</v>
      </c>
      <c r="D4691" s="32" t="s">
        <v>12935</v>
      </c>
    </row>
    <row r="4692" spans="2:4" x14ac:dyDescent="0.3">
      <c r="B4692" s="33" t="s">
        <v>12936</v>
      </c>
      <c r="C4692" s="32" t="s">
        <v>12937</v>
      </c>
      <c r="D4692" s="32" t="s">
        <v>12938</v>
      </c>
    </row>
    <row r="4693" spans="2:4" x14ac:dyDescent="0.3">
      <c r="B4693" s="33" t="s">
        <v>12939</v>
      </c>
      <c r="C4693" s="32" t="s">
        <v>12940</v>
      </c>
      <c r="D4693" s="32" t="s">
        <v>12941</v>
      </c>
    </row>
    <row r="4694" spans="2:4" x14ac:dyDescent="0.3">
      <c r="B4694" s="33" t="s">
        <v>12942</v>
      </c>
      <c r="C4694" s="32" t="s">
        <v>12943</v>
      </c>
      <c r="D4694" s="32" t="s">
        <v>12944</v>
      </c>
    </row>
    <row r="4695" spans="2:4" x14ac:dyDescent="0.3">
      <c r="B4695" s="33" t="s">
        <v>12945</v>
      </c>
      <c r="C4695" s="32" t="s">
        <v>12946</v>
      </c>
      <c r="D4695" s="32" t="s">
        <v>12947</v>
      </c>
    </row>
    <row r="4696" spans="2:4" x14ac:dyDescent="0.3">
      <c r="B4696" s="33" t="s">
        <v>12948</v>
      </c>
      <c r="C4696" s="32" t="s">
        <v>12949</v>
      </c>
      <c r="D4696" s="32" t="s">
        <v>12950</v>
      </c>
    </row>
    <row r="4697" spans="2:4" x14ac:dyDescent="0.3">
      <c r="B4697" s="33" t="s">
        <v>12951</v>
      </c>
      <c r="C4697" s="32" t="s">
        <v>12952</v>
      </c>
      <c r="D4697" s="32" t="s">
        <v>12953</v>
      </c>
    </row>
    <row r="4698" spans="2:4" x14ac:dyDescent="0.3">
      <c r="B4698" s="33" t="s">
        <v>12954</v>
      </c>
      <c r="C4698" s="32" t="s">
        <v>12955</v>
      </c>
      <c r="D4698" s="32" t="s">
        <v>12956</v>
      </c>
    </row>
    <row r="4699" spans="2:4" x14ac:dyDescent="0.3">
      <c r="B4699" s="33" t="s">
        <v>12957</v>
      </c>
      <c r="C4699" s="32" t="s">
        <v>12958</v>
      </c>
      <c r="D4699" s="32" t="s">
        <v>12959</v>
      </c>
    </row>
    <row r="4700" spans="2:4" x14ac:dyDescent="0.3">
      <c r="B4700" s="33" t="s">
        <v>12960</v>
      </c>
      <c r="C4700" s="32" t="s">
        <v>12961</v>
      </c>
      <c r="D4700" s="32" t="s">
        <v>12962</v>
      </c>
    </row>
    <row r="4701" spans="2:4" x14ac:dyDescent="0.3">
      <c r="B4701" s="33" t="s">
        <v>12538</v>
      </c>
      <c r="C4701" s="32" t="s">
        <v>12963</v>
      </c>
      <c r="D4701" s="32" t="s">
        <v>12964</v>
      </c>
    </row>
    <row r="4702" spans="2:4" x14ac:dyDescent="0.3">
      <c r="B4702" s="33" t="s">
        <v>12965</v>
      </c>
      <c r="C4702" s="32" t="s">
        <v>12966</v>
      </c>
      <c r="D4702" s="32" t="s">
        <v>12967</v>
      </c>
    </row>
    <row r="4703" spans="2:4" x14ac:dyDescent="0.3">
      <c r="B4703" s="33" t="s">
        <v>623</v>
      </c>
      <c r="C4703" s="32" t="s">
        <v>12968</v>
      </c>
      <c r="D4703" s="32" t="s">
        <v>623</v>
      </c>
    </row>
    <row r="4704" spans="2:4" x14ac:dyDescent="0.3">
      <c r="B4704" s="33" t="s">
        <v>12969</v>
      </c>
      <c r="C4704" s="32" t="s">
        <v>12970</v>
      </c>
      <c r="D4704" s="32" t="s">
        <v>12971</v>
      </c>
    </row>
    <row r="4705" spans="2:4" x14ac:dyDescent="0.3">
      <c r="B4705" s="33" t="s">
        <v>12972</v>
      </c>
      <c r="C4705" s="32" t="s">
        <v>12973</v>
      </c>
      <c r="D4705" s="32" t="s">
        <v>12974</v>
      </c>
    </row>
    <row r="4706" spans="2:4" x14ac:dyDescent="0.3">
      <c r="B4706" s="33" t="s">
        <v>12975</v>
      </c>
      <c r="C4706" s="32" t="s">
        <v>12976</v>
      </c>
      <c r="D4706" s="32" t="s">
        <v>12977</v>
      </c>
    </row>
    <row r="4707" spans="2:4" x14ac:dyDescent="0.3">
      <c r="B4707" s="33" t="s">
        <v>12978</v>
      </c>
      <c r="C4707" s="32" t="s">
        <v>12979</v>
      </c>
      <c r="D4707" s="32" t="s">
        <v>12980</v>
      </c>
    </row>
    <row r="4708" spans="2:4" x14ac:dyDescent="0.3">
      <c r="B4708" s="33" t="s">
        <v>12981</v>
      </c>
      <c r="C4708" s="32" t="s">
        <v>12982</v>
      </c>
      <c r="D4708" s="32" t="s">
        <v>12983</v>
      </c>
    </row>
    <row r="4709" spans="2:4" x14ac:dyDescent="0.3">
      <c r="B4709" s="33" t="s">
        <v>12984</v>
      </c>
      <c r="C4709" s="32" t="s">
        <v>12985</v>
      </c>
      <c r="D4709" s="32" t="s">
        <v>12986</v>
      </c>
    </row>
    <row r="4710" spans="2:4" x14ac:dyDescent="0.3">
      <c r="B4710" s="33" t="s">
        <v>12987</v>
      </c>
      <c r="C4710" s="32" t="s">
        <v>12988</v>
      </c>
      <c r="D4710" s="32" t="s">
        <v>12989</v>
      </c>
    </row>
    <row r="4711" spans="2:4" x14ac:dyDescent="0.3">
      <c r="B4711" s="33" t="s">
        <v>12990</v>
      </c>
      <c r="C4711" s="32" t="s">
        <v>12991</v>
      </c>
      <c r="D4711" s="32" t="s">
        <v>12992</v>
      </c>
    </row>
    <row r="4712" spans="2:4" x14ac:dyDescent="0.3">
      <c r="B4712" s="33" t="s">
        <v>12993</v>
      </c>
      <c r="C4712" s="32" t="s">
        <v>12994</v>
      </c>
      <c r="D4712" s="32" t="s">
        <v>12995</v>
      </c>
    </row>
    <row r="4713" spans="2:4" x14ac:dyDescent="0.3">
      <c r="B4713" s="33" t="s">
        <v>12996</v>
      </c>
      <c r="C4713" s="32" t="s">
        <v>12997</v>
      </c>
      <c r="D4713" s="32" t="s">
        <v>12998</v>
      </c>
    </row>
    <row r="4714" spans="2:4" x14ac:dyDescent="0.3">
      <c r="B4714" s="33" t="s">
        <v>12999</v>
      </c>
      <c r="C4714" s="32" t="s">
        <v>13000</v>
      </c>
      <c r="D4714" s="32" t="s">
        <v>13001</v>
      </c>
    </row>
    <row r="4715" spans="2:4" x14ac:dyDescent="0.3">
      <c r="B4715" s="33" t="s">
        <v>13002</v>
      </c>
      <c r="C4715" s="32" t="s">
        <v>13003</v>
      </c>
      <c r="D4715" s="32" t="s">
        <v>13004</v>
      </c>
    </row>
    <row r="4716" spans="2:4" x14ac:dyDescent="0.3">
      <c r="B4716" s="33" t="s">
        <v>13005</v>
      </c>
      <c r="C4716" s="32" t="s">
        <v>13006</v>
      </c>
      <c r="D4716" s="32" t="s">
        <v>13007</v>
      </c>
    </row>
    <row r="4717" spans="2:4" x14ac:dyDescent="0.3">
      <c r="B4717" s="33" t="s">
        <v>13008</v>
      </c>
      <c r="C4717" s="32" t="s">
        <v>13009</v>
      </c>
      <c r="D4717" s="32" t="s">
        <v>13010</v>
      </c>
    </row>
    <row r="4718" spans="2:4" x14ac:dyDescent="0.3">
      <c r="B4718" s="33" t="s">
        <v>13008</v>
      </c>
      <c r="C4718" s="32" t="s">
        <v>13011</v>
      </c>
      <c r="D4718" s="32" t="s">
        <v>13012</v>
      </c>
    </row>
    <row r="4719" spans="2:4" x14ac:dyDescent="0.3">
      <c r="B4719" s="33" t="s">
        <v>13008</v>
      </c>
      <c r="C4719" s="32" t="s">
        <v>13013</v>
      </c>
      <c r="D4719" s="32" t="s">
        <v>37192</v>
      </c>
    </row>
    <row r="4720" spans="2:4" x14ac:dyDescent="0.3">
      <c r="B4720" s="33" t="s">
        <v>13014</v>
      </c>
      <c r="C4720" s="32" t="s">
        <v>13015</v>
      </c>
      <c r="D4720" s="32" t="s">
        <v>13016</v>
      </c>
    </row>
    <row r="4721" spans="2:4" x14ac:dyDescent="0.3">
      <c r="B4721" s="33" t="s">
        <v>13017</v>
      </c>
      <c r="C4721" s="32" t="s">
        <v>13018</v>
      </c>
      <c r="D4721" s="32" t="s">
        <v>13019</v>
      </c>
    </row>
    <row r="4722" spans="2:4" x14ac:dyDescent="0.3">
      <c r="B4722" s="33" t="s">
        <v>13020</v>
      </c>
      <c r="C4722" s="32" t="s">
        <v>13021</v>
      </c>
      <c r="D4722" s="32" t="s">
        <v>13022</v>
      </c>
    </row>
    <row r="4723" spans="2:4" x14ac:dyDescent="0.3">
      <c r="B4723" s="33" t="s">
        <v>13023</v>
      </c>
      <c r="C4723" s="32" t="s">
        <v>13024</v>
      </c>
      <c r="D4723" s="32" t="s">
        <v>13023</v>
      </c>
    </row>
    <row r="4724" spans="2:4" x14ac:dyDescent="0.3">
      <c r="B4724" s="33" t="s">
        <v>13025</v>
      </c>
      <c r="C4724" s="32" t="s">
        <v>13026</v>
      </c>
      <c r="D4724" s="32" t="s">
        <v>13027</v>
      </c>
    </row>
    <row r="4725" spans="2:4" x14ac:dyDescent="0.3">
      <c r="B4725" s="33" t="s">
        <v>13028</v>
      </c>
      <c r="C4725" s="32" t="s">
        <v>13029</v>
      </c>
      <c r="D4725" s="32" t="s">
        <v>13030</v>
      </c>
    </row>
    <row r="4726" spans="2:4" x14ac:dyDescent="0.3">
      <c r="B4726" s="33" t="s">
        <v>13031</v>
      </c>
      <c r="C4726" s="32" t="s">
        <v>13032</v>
      </c>
      <c r="D4726" s="32" t="s">
        <v>13033</v>
      </c>
    </row>
    <row r="4727" spans="2:4" x14ac:dyDescent="0.3">
      <c r="B4727" s="33" t="s">
        <v>13034</v>
      </c>
      <c r="C4727" s="32" t="s">
        <v>13035</v>
      </c>
      <c r="D4727" s="32" t="s">
        <v>13036</v>
      </c>
    </row>
    <row r="4728" spans="2:4" x14ac:dyDescent="0.3">
      <c r="B4728" s="33" t="s">
        <v>13037</v>
      </c>
      <c r="C4728" s="32" t="s">
        <v>13038</v>
      </c>
      <c r="D4728" s="32" t="s">
        <v>13039</v>
      </c>
    </row>
    <row r="4729" spans="2:4" x14ac:dyDescent="0.3">
      <c r="B4729" s="33" t="s">
        <v>6839</v>
      </c>
      <c r="C4729" s="32" t="s">
        <v>13040</v>
      </c>
      <c r="D4729" s="32" t="s">
        <v>13041</v>
      </c>
    </row>
    <row r="4730" spans="2:4" x14ac:dyDescent="0.3">
      <c r="B4730" s="33" t="s">
        <v>13042</v>
      </c>
      <c r="C4730" s="32" t="s">
        <v>13043</v>
      </c>
      <c r="D4730" s="32" t="s">
        <v>13044</v>
      </c>
    </row>
    <row r="4731" spans="2:4" x14ac:dyDescent="0.3">
      <c r="B4731" s="33" t="s">
        <v>13045</v>
      </c>
      <c r="C4731" s="32" t="s">
        <v>13046</v>
      </c>
      <c r="D4731" s="32" t="s">
        <v>13047</v>
      </c>
    </row>
    <row r="4732" spans="2:4" x14ac:dyDescent="0.3">
      <c r="B4732" s="33" t="s">
        <v>13048</v>
      </c>
      <c r="C4732" s="32" t="s">
        <v>13049</v>
      </c>
      <c r="D4732" s="32" t="s">
        <v>13050</v>
      </c>
    </row>
    <row r="4733" spans="2:4" x14ac:dyDescent="0.3">
      <c r="B4733" s="33" t="s">
        <v>3880</v>
      </c>
      <c r="C4733" s="32" t="s">
        <v>13051</v>
      </c>
      <c r="D4733" s="32" t="s">
        <v>13052</v>
      </c>
    </row>
    <row r="4734" spans="2:4" x14ac:dyDescent="0.3">
      <c r="B4734" s="33" t="s">
        <v>13053</v>
      </c>
      <c r="C4734" s="32" t="s">
        <v>13054</v>
      </c>
      <c r="D4734" s="32" t="s">
        <v>13055</v>
      </c>
    </row>
    <row r="4735" spans="2:4" x14ac:dyDescent="0.3">
      <c r="B4735" s="33" t="s">
        <v>13056</v>
      </c>
      <c r="C4735" s="32" t="s">
        <v>13057</v>
      </c>
      <c r="D4735" s="32" t="s">
        <v>13058</v>
      </c>
    </row>
    <row r="4736" spans="2:4" x14ac:dyDescent="0.3">
      <c r="B4736" s="33" t="s">
        <v>13059</v>
      </c>
      <c r="C4736" s="32" t="s">
        <v>13060</v>
      </c>
      <c r="D4736" s="32" t="s">
        <v>13061</v>
      </c>
    </row>
    <row r="4737" spans="2:4" x14ac:dyDescent="0.3">
      <c r="B4737" s="33" t="s">
        <v>13062</v>
      </c>
      <c r="C4737" s="32" t="s">
        <v>13063</v>
      </c>
      <c r="D4737" s="32" t="s">
        <v>13064</v>
      </c>
    </row>
    <row r="4738" spans="2:4" x14ac:dyDescent="0.3">
      <c r="B4738" s="33" t="s">
        <v>13065</v>
      </c>
      <c r="C4738" s="32" t="s">
        <v>13066</v>
      </c>
      <c r="D4738" s="32" t="s">
        <v>13067</v>
      </c>
    </row>
    <row r="4739" spans="2:4" x14ac:dyDescent="0.3">
      <c r="B4739" s="33" t="s">
        <v>13068</v>
      </c>
      <c r="C4739" s="32" t="s">
        <v>13069</v>
      </c>
      <c r="D4739" s="32" t="s">
        <v>13070</v>
      </c>
    </row>
    <row r="4740" spans="2:4" x14ac:dyDescent="0.3">
      <c r="B4740" s="33" t="s">
        <v>13071</v>
      </c>
      <c r="C4740" s="32" t="s">
        <v>13072</v>
      </c>
      <c r="D4740" s="32" t="s">
        <v>13073</v>
      </c>
    </row>
    <row r="4741" spans="2:4" x14ac:dyDescent="0.3">
      <c r="B4741" s="33" t="s">
        <v>13074</v>
      </c>
      <c r="C4741" s="32" t="s">
        <v>13075</v>
      </c>
      <c r="D4741" s="32" t="s">
        <v>13076</v>
      </c>
    </row>
    <row r="4742" spans="2:4" x14ac:dyDescent="0.3">
      <c r="B4742" s="33" t="s">
        <v>3576</v>
      </c>
      <c r="C4742" s="32" t="s">
        <v>13077</v>
      </c>
      <c r="D4742" s="32" t="s">
        <v>13078</v>
      </c>
    </row>
    <row r="4743" spans="2:4" x14ac:dyDescent="0.3">
      <c r="B4743" s="33" t="s">
        <v>13079</v>
      </c>
      <c r="C4743" s="32" t="s">
        <v>13080</v>
      </c>
      <c r="D4743" s="32" t="s">
        <v>13081</v>
      </c>
    </row>
    <row r="4744" spans="2:4" x14ac:dyDescent="0.3">
      <c r="B4744" s="33" t="s">
        <v>13082</v>
      </c>
      <c r="C4744" s="32" t="s">
        <v>13083</v>
      </c>
      <c r="D4744" s="32" t="s">
        <v>13084</v>
      </c>
    </row>
    <row r="4745" spans="2:4" x14ac:dyDescent="0.3">
      <c r="B4745" s="33" t="s">
        <v>13085</v>
      </c>
      <c r="C4745" s="32" t="s">
        <v>13086</v>
      </c>
      <c r="D4745" s="32" t="s">
        <v>13087</v>
      </c>
    </row>
    <row r="4746" spans="2:4" x14ac:dyDescent="0.3">
      <c r="B4746" s="33" t="s">
        <v>3576</v>
      </c>
      <c r="C4746" s="32" t="s">
        <v>13088</v>
      </c>
      <c r="D4746" s="32" t="s">
        <v>13089</v>
      </c>
    </row>
    <row r="4747" spans="2:4" x14ac:dyDescent="0.3">
      <c r="B4747" s="33" t="s">
        <v>13090</v>
      </c>
      <c r="C4747" s="32" t="s">
        <v>13091</v>
      </c>
      <c r="D4747" s="32" t="s">
        <v>13092</v>
      </c>
    </row>
    <row r="4748" spans="2:4" x14ac:dyDescent="0.3">
      <c r="B4748" s="33" t="s">
        <v>13093</v>
      </c>
      <c r="C4748" s="32" t="s">
        <v>13094</v>
      </c>
      <c r="D4748" s="32" t="s">
        <v>13095</v>
      </c>
    </row>
    <row r="4749" spans="2:4" x14ac:dyDescent="0.3">
      <c r="B4749" s="33" t="s">
        <v>13096</v>
      </c>
      <c r="C4749" s="32" t="s">
        <v>13097</v>
      </c>
      <c r="D4749" s="32" t="s">
        <v>13098</v>
      </c>
    </row>
    <row r="4750" spans="2:4" x14ac:dyDescent="0.3">
      <c r="B4750" s="33" t="s">
        <v>13099</v>
      </c>
      <c r="C4750" s="32" t="s">
        <v>13100</v>
      </c>
      <c r="D4750" s="32" t="s">
        <v>13101</v>
      </c>
    </row>
    <row r="4751" spans="2:4" x14ac:dyDescent="0.3">
      <c r="B4751" s="33" t="s">
        <v>13102</v>
      </c>
      <c r="C4751" s="32" t="s">
        <v>13103</v>
      </c>
      <c r="D4751" s="32" t="s">
        <v>13104</v>
      </c>
    </row>
    <row r="4752" spans="2:4" x14ac:dyDescent="0.3">
      <c r="B4752" s="33" t="s">
        <v>13105</v>
      </c>
      <c r="C4752" s="32" t="s">
        <v>13106</v>
      </c>
      <c r="D4752" s="32" t="s">
        <v>13107</v>
      </c>
    </row>
    <row r="4753" spans="2:4" x14ac:dyDescent="0.3">
      <c r="B4753" s="33" t="s">
        <v>13108</v>
      </c>
      <c r="C4753" s="32" t="s">
        <v>13109</v>
      </c>
      <c r="D4753" s="32" t="s">
        <v>13110</v>
      </c>
    </row>
    <row r="4754" spans="2:4" x14ac:dyDescent="0.3">
      <c r="B4754" s="33" t="s">
        <v>13111</v>
      </c>
      <c r="C4754" s="32" t="s">
        <v>13112</v>
      </c>
      <c r="D4754" s="32" t="s">
        <v>13113</v>
      </c>
    </row>
    <row r="4755" spans="2:4" x14ac:dyDescent="0.3">
      <c r="B4755" s="33" t="s">
        <v>13114</v>
      </c>
      <c r="C4755" s="32" t="s">
        <v>13115</v>
      </c>
      <c r="D4755" s="32" t="s">
        <v>13116</v>
      </c>
    </row>
    <row r="4756" spans="2:4" x14ac:dyDescent="0.3">
      <c r="B4756" s="33" t="s">
        <v>13117</v>
      </c>
      <c r="C4756" s="32" t="s">
        <v>13118</v>
      </c>
      <c r="D4756" s="32" t="s">
        <v>13119</v>
      </c>
    </row>
    <row r="4757" spans="2:4" x14ac:dyDescent="0.3">
      <c r="B4757" s="33" t="s">
        <v>13120</v>
      </c>
      <c r="C4757" s="32" t="s">
        <v>13121</v>
      </c>
      <c r="D4757" s="32" t="s">
        <v>13120</v>
      </c>
    </row>
    <row r="4758" spans="2:4" x14ac:dyDescent="0.3">
      <c r="B4758" s="33" t="s">
        <v>13122</v>
      </c>
      <c r="C4758" s="32" t="s">
        <v>13123</v>
      </c>
      <c r="D4758" s="32" t="s">
        <v>13124</v>
      </c>
    </row>
    <row r="4759" spans="2:4" x14ac:dyDescent="0.3">
      <c r="B4759" s="33" t="s">
        <v>13125</v>
      </c>
      <c r="C4759" s="32" t="s">
        <v>13126</v>
      </c>
      <c r="D4759" s="32" t="s">
        <v>13127</v>
      </c>
    </row>
    <row r="4760" spans="2:4" x14ac:dyDescent="0.3">
      <c r="B4760" s="33" t="s">
        <v>13128</v>
      </c>
      <c r="C4760" s="32" t="s">
        <v>13129</v>
      </c>
      <c r="D4760" s="32" t="s">
        <v>13130</v>
      </c>
    </row>
    <row r="4761" spans="2:4" x14ac:dyDescent="0.3">
      <c r="B4761" s="33" t="s">
        <v>13131</v>
      </c>
      <c r="C4761" s="32" t="s">
        <v>13132</v>
      </c>
      <c r="D4761" s="32" t="s">
        <v>13133</v>
      </c>
    </row>
    <row r="4762" spans="2:4" x14ac:dyDescent="0.3">
      <c r="B4762" s="33" t="s">
        <v>13134</v>
      </c>
      <c r="C4762" s="32" t="s">
        <v>13135</v>
      </c>
      <c r="D4762" s="32" t="s">
        <v>13136</v>
      </c>
    </row>
    <row r="4763" spans="2:4" x14ac:dyDescent="0.3">
      <c r="B4763" s="33" t="s">
        <v>2787</v>
      </c>
      <c r="C4763" s="32" t="s">
        <v>13137</v>
      </c>
      <c r="D4763" s="32" t="s">
        <v>13138</v>
      </c>
    </row>
    <row r="4764" spans="2:4" x14ac:dyDescent="0.3">
      <c r="B4764" s="33" t="s">
        <v>100</v>
      </c>
      <c r="C4764" s="32" t="s">
        <v>13139</v>
      </c>
      <c r="D4764" s="32" t="s">
        <v>101</v>
      </c>
    </row>
    <row r="4765" spans="2:4" x14ac:dyDescent="0.3">
      <c r="B4765" s="33" t="s">
        <v>13140</v>
      </c>
      <c r="C4765" s="32" t="s">
        <v>13141</v>
      </c>
      <c r="D4765" s="32" t="s">
        <v>13142</v>
      </c>
    </row>
    <row r="4766" spans="2:4" x14ac:dyDescent="0.3">
      <c r="B4766" s="33" t="s">
        <v>12834</v>
      </c>
      <c r="C4766" s="32" t="s">
        <v>13143</v>
      </c>
      <c r="D4766" s="32" t="s">
        <v>13144</v>
      </c>
    </row>
    <row r="4767" spans="2:4" x14ac:dyDescent="0.3">
      <c r="B4767" s="33" t="s">
        <v>100</v>
      </c>
      <c r="C4767" s="32" t="s">
        <v>13145</v>
      </c>
      <c r="D4767" s="32" t="s">
        <v>13146</v>
      </c>
    </row>
    <row r="4768" spans="2:4" x14ac:dyDescent="0.3">
      <c r="B4768" s="33" t="s">
        <v>100</v>
      </c>
      <c r="C4768" s="32" t="s">
        <v>13147</v>
      </c>
      <c r="D4768" s="32" t="s">
        <v>13148</v>
      </c>
    </row>
    <row r="4769" spans="2:4" x14ac:dyDescent="0.3">
      <c r="B4769" s="33" t="s">
        <v>13149</v>
      </c>
      <c r="C4769" s="32" t="s">
        <v>13150</v>
      </c>
      <c r="D4769" s="32" t="s">
        <v>13151</v>
      </c>
    </row>
    <row r="4770" spans="2:4" x14ac:dyDescent="0.3">
      <c r="B4770" s="33" t="s">
        <v>13152</v>
      </c>
      <c r="C4770" s="32" t="s">
        <v>13153</v>
      </c>
      <c r="D4770" s="32" t="s">
        <v>13154</v>
      </c>
    </row>
    <row r="4771" spans="2:4" x14ac:dyDescent="0.3">
      <c r="B4771" s="33" t="s">
        <v>13155</v>
      </c>
      <c r="C4771" s="32" t="s">
        <v>13156</v>
      </c>
      <c r="D4771" s="32" t="s">
        <v>13157</v>
      </c>
    </row>
    <row r="4772" spans="2:4" x14ac:dyDescent="0.3">
      <c r="B4772" s="33" t="s">
        <v>13158</v>
      </c>
      <c r="C4772" s="32" t="s">
        <v>13159</v>
      </c>
      <c r="D4772" s="32" t="s">
        <v>13160</v>
      </c>
    </row>
    <row r="4773" spans="2:4" x14ac:dyDescent="0.3">
      <c r="B4773" s="33" t="s">
        <v>13160</v>
      </c>
      <c r="C4773" s="32" t="s">
        <v>13161</v>
      </c>
      <c r="D4773" s="32" t="s">
        <v>13162</v>
      </c>
    </row>
    <row r="4774" spans="2:4" x14ac:dyDescent="0.3">
      <c r="B4774" s="33" t="s">
        <v>13163</v>
      </c>
      <c r="C4774" s="32" t="s">
        <v>13164</v>
      </c>
      <c r="D4774" s="32" t="s">
        <v>13165</v>
      </c>
    </row>
    <row r="4775" spans="2:4" x14ac:dyDescent="0.3">
      <c r="B4775" s="33" t="s">
        <v>13166</v>
      </c>
      <c r="C4775" s="32" t="s">
        <v>13167</v>
      </c>
      <c r="D4775" s="32" t="s">
        <v>13168</v>
      </c>
    </row>
    <row r="4776" spans="2:4" x14ac:dyDescent="0.3">
      <c r="B4776" s="33" t="s">
        <v>12718</v>
      </c>
      <c r="C4776" s="32" t="s">
        <v>13169</v>
      </c>
      <c r="D4776" s="32" t="s">
        <v>13170</v>
      </c>
    </row>
    <row r="4777" spans="2:4" x14ac:dyDescent="0.3">
      <c r="B4777" s="33" t="s">
        <v>13166</v>
      </c>
      <c r="C4777" s="32" t="s">
        <v>13171</v>
      </c>
      <c r="D4777" s="32" t="s">
        <v>13172</v>
      </c>
    </row>
    <row r="4778" spans="2:4" x14ac:dyDescent="0.3">
      <c r="B4778" s="33" t="s">
        <v>12718</v>
      </c>
      <c r="C4778" s="32" t="s">
        <v>13173</v>
      </c>
      <c r="D4778" s="32" t="s">
        <v>13174</v>
      </c>
    </row>
    <row r="4779" spans="2:4" x14ac:dyDescent="0.3">
      <c r="B4779" s="33" t="s">
        <v>13175</v>
      </c>
      <c r="C4779" s="32" t="s">
        <v>13176</v>
      </c>
      <c r="D4779" s="32" t="s">
        <v>13177</v>
      </c>
    </row>
    <row r="4780" spans="2:4" x14ac:dyDescent="0.3">
      <c r="B4780" s="33" t="s">
        <v>13178</v>
      </c>
      <c r="C4780" s="32" t="s">
        <v>13179</v>
      </c>
      <c r="D4780" s="32" t="s">
        <v>13180</v>
      </c>
    </row>
    <row r="4781" spans="2:4" x14ac:dyDescent="0.3">
      <c r="B4781" s="33" t="s">
        <v>13181</v>
      </c>
      <c r="C4781" s="32" t="s">
        <v>13182</v>
      </c>
      <c r="D4781" s="32" t="s">
        <v>13183</v>
      </c>
    </row>
    <row r="4782" spans="2:4" x14ac:dyDescent="0.3">
      <c r="B4782" s="33" t="s">
        <v>13184</v>
      </c>
      <c r="C4782" s="32" t="s">
        <v>13185</v>
      </c>
      <c r="D4782" s="32" t="s">
        <v>13186</v>
      </c>
    </row>
    <row r="4783" spans="2:4" x14ac:dyDescent="0.3">
      <c r="B4783" s="33" t="s">
        <v>13187</v>
      </c>
      <c r="C4783" s="32" t="s">
        <v>13188</v>
      </c>
      <c r="D4783" s="32" t="s">
        <v>13187</v>
      </c>
    </row>
    <row r="4784" spans="2:4" x14ac:dyDescent="0.3">
      <c r="B4784" s="33" t="s">
        <v>13189</v>
      </c>
      <c r="C4784" s="32" t="s">
        <v>13190</v>
      </c>
      <c r="D4784" s="32" t="s">
        <v>13191</v>
      </c>
    </row>
    <row r="4785" spans="2:4" x14ac:dyDescent="0.3">
      <c r="B4785" s="33" t="s">
        <v>12849</v>
      </c>
      <c r="C4785" s="32" t="s">
        <v>13192</v>
      </c>
      <c r="D4785" s="32" t="s">
        <v>13193</v>
      </c>
    </row>
    <row r="4786" spans="2:4" x14ac:dyDescent="0.3">
      <c r="B4786" s="33" t="s">
        <v>13194</v>
      </c>
      <c r="C4786" s="32" t="s">
        <v>13195</v>
      </c>
      <c r="D4786" s="32" t="s">
        <v>13194</v>
      </c>
    </row>
    <row r="4787" spans="2:4" x14ac:dyDescent="0.3">
      <c r="B4787" s="33" t="s">
        <v>13196</v>
      </c>
      <c r="C4787" s="32" t="s">
        <v>13197</v>
      </c>
      <c r="D4787" s="32" t="s">
        <v>13198</v>
      </c>
    </row>
    <row r="4788" spans="2:4" x14ac:dyDescent="0.3">
      <c r="B4788" s="33" t="s">
        <v>13199</v>
      </c>
      <c r="C4788" s="32" t="s">
        <v>13200</v>
      </c>
      <c r="D4788" s="32" t="s">
        <v>13199</v>
      </c>
    </row>
    <row r="4789" spans="2:4" x14ac:dyDescent="0.3">
      <c r="B4789" s="33" t="s">
        <v>13201</v>
      </c>
      <c r="C4789" s="32" t="s">
        <v>13202</v>
      </c>
      <c r="D4789" s="32" t="s">
        <v>13203</v>
      </c>
    </row>
    <row r="4790" spans="2:4" x14ac:dyDescent="0.3">
      <c r="B4790" s="33" t="s">
        <v>13204</v>
      </c>
      <c r="C4790" s="32" t="s">
        <v>13205</v>
      </c>
      <c r="D4790" s="32" t="s">
        <v>13206</v>
      </c>
    </row>
    <row r="4791" spans="2:4" x14ac:dyDescent="0.3">
      <c r="B4791" s="33" t="s">
        <v>13207</v>
      </c>
      <c r="C4791" s="32" t="s">
        <v>13208</v>
      </c>
      <c r="D4791" s="32" t="s">
        <v>13209</v>
      </c>
    </row>
    <row r="4792" spans="2:4" x14ac:dyDescent="0.3">
      <c r="B4792" s="33" t="s">
        <v>13210</v>
      </c>
      <c r="C4792" s="32" t="s">
        <v>13211</v>
      </c>
      <c r="D4792" s="32" t="s">
        <v>13212</v>
      </c>
    </row>
    <row r="4793" spans="2:4" x14ac:dyDescent="0.3">
      <c r="B4793" s="33" t="s">
        <v>36831</v>
      </c>
      <c r="C4793" s="32" t="s">
        <v>36832</v>
      </c>
      <c r="D4793" s="32" t="s">
        <v>36833</v>
      </c>
    </row>
    <row r="4794" spans="2:4" x14ac:dyDescent="0.3">
      <c r="B4794" s="33" t="s">
        <v>13213</v>
      </c>
      <c r="C4794" s="32" t="s">
        <v>13214</v>
      </c>
      <c r="D4794" s="32" t="s">
        <v>13215</v>
      </c>
    </row>
    <row r="4795" spans="2:4" x14ac:dyDescent="0.3">
      <c r="B4795" s="33" t="s">
        <v>13216</v>
      </c>
      <c r="C4795" s="32" t="s">
        <v>13217</v>
      </c>
      <c r="D4795" s="32" t="s">
        <v>13218</v>
      </c>
    </row>
    <row r="4796" spans="2:4" x14ac:dyDescent="0.3">
      <c r="B4796" s="33" t="s">
        <v>13219</v>
      </c>
      <c r="C4796" s="32" t="s">
        <v>13220</v>
      </c>
      <c r="D4796" s="32" t="s">
        <v>13221</v>
      </c>
    </row>
    <row r="4797" spans="2:4" x14ac:dyDescent="0.3">
      <c r="B4797" s="33" t="s">
        <v>13222</v>
      </c>
      <c r="C4797" s="32" t="s">
        <v>13223</v>
      </c>
      <c r="D4797" s="32" t="s">
        <v>13224</v>
      </c>
    </row>
    <row r="4798" spans="2:4" x14ac:dyDescent="0.3">
      <c r="B4798" s="33" t="s">
        <v>1112</v>
      </c>
      <c r="C4798" s="32" t="s">
        <v>13225</v>
      </c>
      <c r="D4798" s="32" t="s">
        <v>13226</v>
      </c>
    </row>
    <row r="4799" spans="2:4" x14ac:dyDescent="0.3">
      <c r="B4799" s="33" t="s">
        <v>13227</v>
      </c>
      <c r="C4799" s="32" t="s">
        <v>13228</v>
      </c>
      <c r="D4799" s="32" t="s">
        <v>13229</v>
      </c>
    </row>
    <row r="4800" spans="2:4" x14ac:dyDescent="0.3">
      <c r="B4800" s="33" t="s">
        <v>13230</v>
      </c>
      <c r="C4800" s="32" t="s">
        <v>13231</v>
      </c>
      <c r="D4800" s="32" t="s">
        <v>13232</v>
      </c>
    </row>
    <row r="4801" spans="2:4" x14ac:dyDescent="0.3">
      <c r="B4801" s="33" t="s">
        <v>13233</v>
      </c>
      <c r="C4801" s="32" t="s">
        <v>13234</v>
      </c>
      <c r="D4801" s="32" t="s">
        <v>13235</v>
      </c>
    </row>
    <row r="4802" spans="2:4" x14ac:dyDescent="0.3">
      <c r="B4802" s="33" t="s">
        <v>13236</v>
      </c>
      <c r="C4802" s="32" t="s">
        <v>13237</v>
      </c>
      <c r="D4802" s="32" t="s">
        <v>13238</v>
      </c>
    </row>
    <row r="4803" spans="2:4" x14ac:dyDescent="0.3">
      <c r="B4803" s="33" t="s">
        <v>13236</v>
      </c>
      <c r="C4803" s="32" t="s">
        <v>13239</v>
      </c>
      <c r="D4803" s="32" t="s">
        <v>13240</v>
      </c>
    </row>
    <row r="4804" spans="2:4" x14ac:dyDescent="0.3">
      <c r="B4804" s="33" t="s">
        <v>13241</v>
      </c>
      <c r="C4804" s="32" t="s">
        <v>13242</v>
      </c>
      <c r="D4804" s="32" t="s">
        <v>13243</v>
      </c>
    </row>
    <row r="4805" spans="2:4" x14ac:dyDescent="0.3">
      <c r="B4805" s="33" t="s">
        <v>13244</v>
      </c>
      <c r="C4805" s="32" t="s">
        <v>13245</v>
      </c>
      <c r="D4805" s="32" t="s">
        <v>13246</v>
      </c>
    </row>
    <row r="4806" spans="2:4" x14ac:dyDescent="0.3">
      <c r="B4806" s="33" t="s">
        <v>13247</v>
      </c>
      <c r="C4806" s="32" t="s">
        <v>13248</v>
      </c>
      <c r="D4806" s="32" t="s">
        <v>13249</v>
      </c>
    </row>
    <row r="4807" spans="2:4" x14ac:dyDescent="0.3">
      <c r="B4807" s="33" t="s">
        <v>13250</v>
      </c>
      <c r="C4807" s="32" t="s">
        <v>13251</v>
      </c>
      <c r="D4807" s="32" t="s">
        <v>13252</v>
      </c>
    </row>
    <row r="4808" spans="2:4" x14ac:dyDescent="0.3">
      <c r="B4808" s="33" t="s">
        <v>12529</v>
      </c>
      <c r="C4808" s="32" t="s">
        <v>13253</v>
      </c>
      <c r="D4808" s="32" t="s">
        <v>13254</v>
      </c>
    </row>
    <row r="4809" spans="2:4" x14ac:dyDescent="0.3">
      <c r="B4809" s="33" t="s">
        <v>13255</v>
      </c>
      <c r="C4809" s="32" t="s">
        <v>13256</v>
      </c>
      <c r="D4809" s="32" t="s">
        <v>13257</v>
      </c>
    </row>
    <row r="4810" spans="2:4" x14ac:dyDescent="0.3">
      <c r="B4810" s="33" t="s">
        <v>13258</v>
      </c>
      <c r="C4810" s="32" t="s">
        <v>13259</v>
      </c>
      <c r="D4810" s="32" t="s">
        <v>13260</v>
      </c>
    </row>
    <row r="4811" spans="2:4" x14ac:dyDescent="0.3">
      <c r="B4811" s="33" t="s">
        <v>13261</v>
      </c>
      <c r="C4811" s="32" t="s">
        <v>13262</v>
      </c>
      <c r="D4811" s="32" t="s">
        <v>13263</v>
      </c>
    </row>
    <row r="4812" spans="2:4" x14ac:dyDescent="0.3">
      <c r="B4812" s="33" t="s">
        <v>13241</v>
      </c>
      <c r="C4812" s="32" t="s">
        <v>13264</v>
      </c>
      <c r="D4812" s="32" t="s">
        <v>13265</v>
      </c>
    </row>
    <row r="4813" spans="2:4" x14ac:dyDescent="0.3">
      <c r="B4813" s="33" t="s">
        <v>37008</v>
      </c>
      <c r="C4813" s="32" t="s">
        <v>37009</v>
      </c>
      <c r="D4813" s="32" t="s">
        <v>37010</v>
      </c>
    </row>
    <row r="4814" spans="2:4" x14ac:dyDescent="0.3">
      <c r="B4814" s="33" t="s">
        <v>13266</v>
      </c>
      <c r="C4814" s="32" t="s">
        <v>13267</v>
      </c>
      <c r="D4814" s="32" t="s">
        <v>13268</v>
      </c>
    </row>
    <row r="4815" spans="2:4" x14ac:dyDescent="0.3">
      <c r="B4815" s="33" t="s">
        <v>13269</v>
      </c>
      <c r="C4815" s="32" t="s">
        <v>13270</v>
      </c>
      <c r="D4815" s="32" t="s">
        <v>13271</v>
      </c>
    </row>
    <row r="4816" spans="2:4" x14ac:dyDescent="0.3">
      <c r="B4816" s="33" t="s">
        <v>13272</v>
      </c>
      <c r="C4816" s="32" t="s">
        <v>13273</v>
      </c>
      <c r="D4816" s="32" t="s">
        <v>13274</v>
      </c>
    </row>
    <row r="4817" spans="2:4" x14ac:dyDescent="0.3">
      <c r="B4817" s="33" t="s">
        <v>7208</v>
      </c>
      <c r="C4817" s="32" t="s">
        <v>13275</v>
      </c>
      <c r="D4817" s="32" t="s">
        <v>13276</v>
      </c>
    </row>
    <row r="4818" spans="2:4" x14ac:dyDescent="0.3">
      <c r="B4818" s="33" t="s">
        <v>13277</v>
      </c>
      <c r="C4818" s="32" t="s">
        <v>13278</v>
      </c>
      <c r="D4818" s="32" t="s">
        <v>13279</v>
      </c>
    </row>
    <row r="4819" spans="2:4" x14ac:dyDescent="0.3">
      <c r="B4819" s="33" t="s">
        <v>12663</v>
      </c>
      <c r="C4819" s="32" t="s">
        <v>13280</v>
      </c>
      <c r="D4819" s="32" t="s">
        <v>13281</v>
      </c>
    </row>
    <row r="4820" spans="2:4" x14ac:dyDescent="0.3">
      <c r="B4820" s="33" t="s">
        <v>13282</v>
      </c>
      <c r="C4820" s="32" t="s">
        <v>13283</v>
      </c>
      <c r="D4820" s="32" t="s">
        <v>13284</v>
      </c>
    </row>
    <row r="4821" spans="2:4" x14ac:dyDescent="0.3">
      <c r="B4821" s="33" t="s">
        <v>13285</v>
      </c>
      <c r="C4821" s="32" t="s">
        <v>13286</v>
      </c>
      <c r="D4821" s="32" t="s">
        <v>13287</v>
      </c>
    </row>
    <row r="4822" spans="2:4" x14ac:dyDescent="0.3">
      <c r="B4822" s="33" t="s">
        <v>13288</v>
      </c>
      <c r="C4822" s="32" t="s">
        <v>13289</v>
      </c>
      <c r="D4822" s="32" t="s">
        <v>13290</v>
      </c>
    </row>
    <row r="4823" spans="2:4" x14ac:dyDescent="0.3">
      <c r="B4823" s="33" t="s">
        <v>13291</v>
      </c>
      <c r="C4823" s="32" t="s">
        <v>13292</v>
      </c>
      <c r="D4823" s="32" t="s">
        <v>13293</v>
      </c>
    </row>
    <row r="4824" spans="2:4" x14ac:dyDescent="0.3">
      <c r="B4824" s="33" t="s">
        <v>13294</v>
      </c>
      <c r="C4824" s="32" t="s">
        <v>13295</v>
      </c>
      <c r="D4824" s="32" t="s">
        <v>13296</v>
      </c>
    </row>
    <row r="4825" spans="2:4" x14ac:dyDescent="0.3">
      <c r="B4825" s="33" t="s">
        <v>12984</v>
      </c>
      <c r="C4825" s="32" t="s">
        <v>13297</v>
      </c>
      <c r="D4825" s="32" t="s">
        <v>13298</v>
      </c>
    </row>
    <row r="4826" spans="2:4" x14ac:dyDescent="0.3">
      <c r="B4826" s="33" t="s">
        <v>13299</v>
      </c>
      <c r="C4826" s="32" t="s">
        <v>13300</v>
      </c>
      <c r="D4826" s="32" t="s">
        <v>13301</v>
      </c>
    </row>
    <row r="4827" spans="2:4" x14ac:dyDescent="0.3">
      <c r="B4827" s="33" t="s">
        <v>13302</v>
      </c>
      <c r="C4827" s="32" t="s">
        <v>13303</v>
      </c>
      <c r="D4827" s="32" t="s">
        <v>13304</v>
      </c>
    </row>
    <row r="4828" spans="2:4" x14ac:dyDescent="0.3">
      <c r="B4828" s="33" t="s">
        <v>13305</v>
      </c>
      <c r="C4828" s="32" t="s">
        <v>13306</v>
      </c>
      <c r="D4828" s="32" t="s">
        <v>13307</v>
      </c>
    </row>
    <row r="4829" spans="2:4" x14ac:dyDescent="0.3">
      <c r="B4829" s="33" t="s">
        <v>13308</v>
      </c>
      <c r="C4829" s="32" t="s">
        <v>13309</v>
      </c>
      <c r="D4829" s="32" t="s">
        <v>13310</v>
      </c>
    </row>
    <row r="4830" spans="2:4" x14ac:dyDescent="0.3">
      <c r="B4830" s="33" t="s">
        <v>12828</v>
      </c>
      <c r="C4830" s="32" t="s">
        <v>13311</v>
      </c>
      <c r="D4830" s="32" t="s">
        <v>13312</v>
      </c>
    </row>
    <row r="4831" spans="2:4" x14ac:dyDescent="0.3">
      <c r="B4831" s="33" t="s">
        <v>13313</v>
      </c>
      <c r="C4831" s="32" t="s">
        <v>13314</v>
      </c>
      <c r="D4831" s="32" t="s">
        <v>13315</v>
      </c>
    </row>
    <row r="4832" spans="2:4" x14ac:dyDescent="0.3">
      <c r="B4832" s="33" t="s">
        <v>13316</v>
      </c>
      <c r="C4832" s="32" t="s">
        <v>13317</v>
      </c>
      <c r="D4832" s="32" t="s">
        <v>13318</v>
      </c>
    </row>
    <row r="4833" spans="2:4" x14ac:dyDescent="0.3">
      <c r="B4833" s="33" t="s">
        <v>12529</v>
      </c>
      <c r="C4833" s="32" t="s">
        <v>13319</v>
      </c>
      <c r="D4833" s="32" t="s">
        <v>13320</v>
      </c>
    </row>
    <row r="4834" spans="2:4" x14ac:dyDescent="0.3">
      <c r="B4834" s="33" t="s">
        <v>13308</v>
      </c>
      <c r="C4834" s="32" t="s">
        <v>13321</v>
      </c>
      <c r="D4834" s="32" t="s">
        <v>13322</v>
      </c>
    </row>
    <row r="4835" spans="2:4" x14ac:dyDescent="0.3">
      <c r="B4835" s="33" t="s">
        <v>13323</v>
      </c>
      <c r="C4835" s="32" t="s">
        <v>13324</v>
      </c>
      <c r="D4835" s="32" t="s">
        <v>13325</v>
      </c>
    </row>
    <row r="4836" spans="2:4" x14ac:dyDescent="0.3">
      <c r="B4836" s="33" t="s">
        <v>13266</v>
      </c>
      <c r="C4836" s="32" t="s">
        <v>13326</v>
      </c>
      <c r="D4836" s="32" t="s">
        <v>13327</v>
      </c>
    </row>
    <row r="4837" spans="2:4" x14ac:dyDescent="0.3">
      <c r="B4837" s="33" t="s">
        <v>13328</v>
      </c>
      <c r="C4837" s="32" t="s">
        <v>13329</v>
      </c>
      <c r="D4837" s="32" t="s">
        <v>13330</v>
      </c>
    </row>
    <row r="4838" spans="2:4" x14ac:dyDescent="0.3">
      <c r="B4838" s="33" t="s">
        <v>13331</v>
      </c>
      <c r="C4838" s="32" t="s">
        <v>13332</v>
      </c>
      <c r="D4838" s="32" t="s">
        <v>13333</v>
      </c>
    </row>
    <row r="4839" spans="2:4" x14ac:dyDescent="0.3">
      <c r="B4839" s="33" t="s">
        <v>13272</v>
      </c>
      <c r="C4839" s="32" t="s">
        <v>13334</v>
      </c>
      <c r="D4839" s="32" t="s">
        <v>13335</v>
      </c>
    </row>
    <row r="4840" spans="2:4" x14ac:dyDescent="0.3">
      <c r="B4840" s="33" t="s">
        <v>13336</v>
      </c>
      <c r="C4840" s="32" t="s">
        <v>13337</v>
      </c>
      <c r="D4840" s="32" t="s">
        <v>13338</v>
      </c>
    </row>
    <row r="4841" spans="2:4" x14ac:dyDescent="0.3">
      <c r="B4841" s="33" t="s">
        <v>12749</v>
      </c>
      <c r="C4841" s="32" t="s">
        <v>13339</v>
      </c>
      <c r="D4841" s="32" t="s">
        <v>13340</v>
      </c>
    </row>
    <row r="4842" spans="2:4" x14ac:dyDescent="0.3">
      <c r="B4842" s="33" t="s">
        <v>13341</v>
      </c>
      <c r="C4842" s="32" t="s">
        <v>13342</v>
      </c>
      <c r="D4842" s="32" t="s">
        <v>13343</v>
      </c>
    </row>
    <row r="4843" spans="2:4" x14ac:dyDescent="0.3">
      <c r="B4843" s="33" t="s">
        <v>13344</v>
      </c>
      <c r="C4843" s="32" t="s">
        <v>13345</v>
      </c>
      <c r="D4843" s="32" t="s">
        <v>13346</v>
      </c>
    </row>
    <row r="4844" spans="2:4" x14ac:dyDescent="0.3">
      <c r="B4844" s="33" t="s">
        <v>12597</v>
      </c>
      <c r="C4844" s="32" t="s">
        <v>13347</v>
      </c>
      <c r="D4844" s="32" t="s">
        <v>13348</v>
      </c>
    </row>
    <row r="4845" spans="2:4" x14ac:dyDescent="0.3">
      <c r="B4845" s="33" t="s">
        <v>13349</v>
      </c>
      <c r="C4845" s="32" t="s">
        <v>13350</v>
      </c>
      <c r="D4845" s="32" t="s">
        <v>13351</v>
      </c>
    </row>
    <row r="4846" spans="2:4" x14ac:dyDescent="0.3">
      <c r="B4846" s="33" t="s">
        <v>13352</v>
      </c>
      <c r="C4846" s="32" t="s">
        <v>13353</v>
      </c>
      <c r="D4846" s="32" t="s">
        <v>13354</v>
      </c>
    </row>
    <row r="4847" spans="2:4" x14ac:dyDescent="0.3">
      <c r="B4847" s="33" t="s">
        <v>12597</v>
      </c>
      <c r="C4847" s="32" t="s">
        <v>13355</v>
      </c>
      <c r="D4847" s="32" t="s">
        <v>13356</v>
      </c>
    </row>
    <row r="4848" spans="2:4" x14ac:dyDescent="0.3">
      <c r="B4848" s="33" t="s">
        <v>12597</v>
      </c>
      <c r="C4848" s="32" t="s">
        <v>36667</v>
      </c>
      <c r="D4848" s="32" t="s">
        <v>36668</v>
      </c>
    </row>
    <row r="4849" spans="2:4" x14ac:dyDescent="0.3">
      <c r="B4849" s="33" t="s">
        <v>13357</v>
      </c>
      <c r="C4849" s="32" t="s">
        <v>13358</v>
      </c>
      <c r="D4849" s="32" t="s">
        <v>13359</v>
      </c>
    </row>
    <row r="4850" spans="2:4" x14ac:dyDescent="0.3">
      <c r="B4850" s="33" t="s">
        <v>13360</v>
      </c>
      <c r="C4850" s="32" t="s">
        <v>13361</v>
      </c>
      <c r="D4850" s="32" t="s">
        <v>37193</v>
      </c>
    </row>
    <row r="4851" spans="2:4" x14ac:dyDescent="0.3">
      <c r="B4851" s="33" t="s">
        <v>13362</v>
      </c>
      <c r="C4851" s="32" t="s">
        <v>13363</v>
      </c>
      <c r="D4851" s="32" t="s">
        <v>13364</v>
      </c>
    </row>
    <row r="4852" spans="2:4" x14ac:dyDescent="0.3">
      <c r="B4852" s="33" t="s">
        <v>13365</v>
      </c>
      <c r="C4852" s="32" t="s">
        <v>13366</v>
      </c>
      <c r="D4852" s="32" t="s">
        <v>13367</v>
      </c>
    </row>
    <row r="4853" spans="2:4" x14ac:dyDescent="0.3">
      <c r="B4853" s="33" t="s">
        <v>13368</v>
      </c>
      <c r="C4853" s="32" t="s">
        <v>13369</v>
      </c>
      <c r="D4853" s="32" t="s">
        <v>13370</v>
      </c>
    </row>
    <row r="4854" spans="2:4" x14ac:dyDescent="0.3">
      <c r="B4854" s="33" t="s">
        <v>13371</v>
      </c>
      <c r="C4854" s="32" t="s">
        <v>13372</v>
      </c>
      <c r="D4854" s="32" t="s">
        <v>13373</v>
      </c>
    </row>
    <row r="4855" spans="2:4" x14ac:dyDescent="0.3">
      <c r="B4855" s="33" t="s">
        <v>13374</v>
      </c>
      <c r="C4855" s="32" t="s">
        <v>13375</v>
      </c>
      <c r="D4855" s="32" t="s">
        <v>13376</v>
      </c>
    </row>
    <row r="4856" spans="2:4" x14ac:dyDescent="0.3">
      <c r="B4856" s="33" t="s">
        <v>13377</v>
      </c>
      <c r="C4856" s="32" t="s">
        <v>13378</v>
      </c>
      <c r="D4856" s="32" t="s">
        <v>13379</v>
      </c>
    </row>
    <row r="4857" spans="2:4" x14ac:dyDescent="0.3">
      <c r="B4857" s="33" t="s">
        <v>12538</v>
      </c>
      <c r="C4857" s="32" t="s">
        <v>13380</v>
      </c>
      <c r="D4857" s="32" t="s">
        <v>13381</v>
      </c>
    </row>
    <row r="4858" spans="2:4" x14ac:dyDescent="0.3">
      <c r="B4858" s="33" t="s">
        <v>13382</v>
      </c>
      <c r="C4858" s="32" t="s">
        <v>13383</v>
      </c>
      <c r="D4858" s="32" t="s">
        <v>13384</v>
      </c>
    </row>
    <row r="4859" spans="2:4" x14ac:dyDescent="0.3">
      <c r="B4859" s="33" t="s">
        <v>13385</v>
      </c>
      <c r="C4859" s="32" t="s">
        <v>13386</v>
      </c>
      <c r="D4859" s="32" t="s">
        <v>13387</v>
      </c>
    </row>
    <row r="4860" spans="2:4" x14ac:dyDescent="0.3">
      <c r="B4860" s="33" t="s">
        <v>13388</v>
      </c>
      <c r="C4860" s="32" t="s">
        <v>13389</v>
      </c>
      <c r="D4860" s="32" t="s">
        <v>13390</v>
      </c>
    </row>
    <row r="4861" spans="2:4" x14ac:dyDescent="0.3">
      <c r="B4861" s="33" t="s">
        <v>13391</v>
      </c>
      <c r="C4861" s="32" t="s">
        <v>13392</v>
      </c>
      <c r="D4861" s="32" t="s">
        <v>13393</v>
      </c>
    </row>
    <row r="4862" spans="2:4" x14ac:dyDescent="0.3">
      <c r="B4862" s="33" t="s">
        <v>13394</v>
      </c>
      <c r="C4862" s="32" t="s">
        <v>13395</v>
      </c>
      <c r="D4862" s="32" t="s">
        <v>13396</v>
      </c>
    </row>
    <row r="4863" spans="2:4" x14ac:dyDescent="0.3">
      <c r="B4863" s="33" t="s">
        <v>13397</v>
      </c>
      <c r="C4863" s="32" t="s">
        <v>13398</v>
      </c>
      <c r="D4863" s="32" t="s">
        <v>13399</v>
      </c>
    </row>
    <row r="4864" spans="2:4" x14ac:dyDescent="0.3">
      <c r="B4864" s="33" t="s">
        <v>13397</v>
      </c>
      <c r="C4864" s="32" t="s">
        <v>13400</v>
      </c>
      <c r="D4864" s="32" t="s">
        <v>13401</v>
      </c>
    </row>
    <row r="4865" spans="2:4" x14ac:dyDescent="0.3">
      <c r="B4865" s="33" t="s">
        <v>13175</v>
      </c>
      <c r="C4865" s="32" t="s">
        <v>13402</v>
      </c>
      <c r="D4865" s="32" t="s">
        <v>13403</v>
      </c>
    </row>
    <row r="4866" spans="2:4" x14ac:dyDescent="0.3">
      <c r="B4866" s="33" t="s">
        <v>13404</v>
      </c>
      <c r="C4866" s="32" t="s">
        <v>13405</v>
      </c>
      <c r="D4866" s="32" t="s">
        <v>13406</v>
      </c>
    </row>
    <row r="4867" spans="2:4" x14ac:dyDescent="0.3">
      <c r="B4867" s="33" t="s">
        <v>161</v>
      </c>
      <c r="C4867" s="32" t="s">
        <v>13407</v>
      </c>
      <c r="D4867" s="32" t="s">
        <v>160</v>
      </c>
    </row>
    <row r="4868" spans="2:4" x14ac:dyDescent="0.3">
      <c r="B4868" s="33" t="s">
        <v>13408</v>
      </c>
      <c r="C4868" s="32" t="s">
        <v>13409</v>
      </c>
      <c r="D4868" s="32" t="s">
        <v>13410</v>
      </c>
    </row>
    <row r="4869" spans="2:4" x14ac:dyDescent="0.3">
      <c r="B4869" s="33" t="s">
        <v>13411</v>
      </c>
      <c r="C4869" s="32" t="s">
        <v>13412</v>
      </c>
      <c r="D4869" s="32" t="s">
        <v>13413</v>
      </c>
    </row>
    <row r="4870" spans="2:4" x14ac:dyDescent="0.3">
      <c r="B4870" s="33" t="s">
        <v>13414</v>
      </c>
      <c r="C4870" s="32" t="s">
        <v>13415</v>
      </c>
      <c r="D4870" s="32" t="s">
        <v>13416</v>
      </c>
    </row>
    <row r="4871" spans="2:4" x14ac:dyDescent="0.3">
      <c r="B4871" s="33" t="s">
        <v>13414</v>
      </c>
      <c r="C4871" s="32" t="s">
        <v>13417</v>
      </c>
      <c r="D4871" s="32" t="s">
        <v>13418</v>
      </c>
    </row>
    <row r="4872" spans="2:4" x14ac:dyDescent="0.3">
      <c r="B4872" s="33" t="s">
        <v>161</v>
      </c>
      <c r="C4872" s="32" t="s">
        <v>13419</v>
      </c>
      <c r="D4872" s="32" t="s">
        <v>13420</v>
      </c>
    </row>
    <row r="4873" spans="2:4" x14ac:dyDescent="0.3">
      <c r="B4873" s="33" t="s">
        <v>13421</v>
      </c>
      <c r="C4873" s="32" t="s">
        <v>13422</v>
      </c>
      <c r="D4873" s="32" t="s">
        <v>13423</v>
      </c>
    </row>
    <row r="4874" spans="2:4" x14ac:dyDescent="0.3">
      <c r="B4874" s="33" t="s">
        <v>12463</v>
      </c>
      <c r="C4874" s="32" t="s">
        <v>13424</v>
      </c>
      <c r="D4874" s="32" t="s">
        <v>13425</v>
      </c>
    </row>
    <row r="4875" spans="2:4" x14ac:dyDescent="0.3">
      <c r="B4875" s="33" t="s">
        <v>13426</v>
      </c>
      <c r="C4875" s="32" t="s">
        <v>13427</v>
      </c>
      <c r="D4875" s="32" t="s">
        <v>13428</v>
      </c>
    </row>
    <row r="4876" spans="2:4" x14ac:dyDescent="0.3">
      <c r="B4876" s="33" t="s">
        <v>13429</v>
      </c>
      <c r="C4876" s="32" t="s">
        <v>13430</v>
      </c>
      <c r="D4876" s="32" t="s">
        <v>13431</v>
      </c>
    </row>
    <row r="4877" spans="2:4" x14ac:dyDescent="0.3">
      <c r="B4877" s="33" t="s">
        <v>13432</v>
      </c>
      <c r="C4877" s="32" t="s">
        <v>13433</v>
      </c>
      <c r="D4877" s="32" t="s">
        <v>13434</v>
      </c>
    </row>
    <row r="4878" spans="2:4" x14ac:dyDescent="0.3">
      <c r="B4878" s="33" t="s">
        <v>13429</v>
      </c>
      <c r="C4878" s="32" t="s">
        <v>13435</v>
      </c>
      <c r="D4878" s="32" t="s">
        <v>13436</v>
      </c>
    </row>
    <row r="4879" spans="2:4" x14ac:dyDescent="0.3">
      <c r="B4879" s="33" t="s">
        <v>13437</v>
      </c>
      <c r="C4879" s="32" t="s">
        <v>13438</v>
      </c>
      <c r="D4879" s="32" t="s">
        <v>13439</v>
      </c>
    </row>
    <row r="4880" spans="2:4" x14ac:dyDescent="0.3">
      <c r="B4880" s="33" t="s">
        <v>13440</v>
      </c>
      <c r="C4880" s="32" t="s">
        <v>13441</v>
      </c>
      <c r="D4880" s="32" t="s">
        <v>13442</v>
      </c>
    </row>
    <row r="4881" spans="2:4" x14ac:dyDescent="0.3">
      <c r="B4881" s="33" t="s">
        <v>13443</v>
      </c>
      <c r="C4881" s="32" t="s">
        <v>13444</v>
      </c>
      <c r="D4881" s="32" t="s">
        <v>13445</v>
      </c>
    </row>
    <row r="4882" spans="2:4" x14ac:dyDescent="0.3">
      <c r="B4882" s="33" t="s">
        <v>13446</v>
      </c>
      <c r="C4882" s="32" t="s">
        <v>13447</v>
      </c>
      <c r="D4882" s="32" t="s">
        <v>13448</v>
      </c>
    </row>
    <row r="4883" spans="2:4" x14ac:dyDescent="0.3">
      <c r="B4883" s="33" t="s">
        <v>13449</v>
      </c>
      <c r="C4883" s="32" t="s">
        <v>13450</v>
      </c>
      <c r="D4883" s="32" t="s">
        <v>13451</v>
      </c>
    </row>
    <row r="4884" spans="2:4" x14ac:dyDescent="0.3">
      <c r="B4884" s="33" t="s">
        <v>13452</v>
      </c>
      <c r="C4884" s="32" t="s">
        <v>13453</v>
      </c>
      <c r="D4884" s="32" t="s">
        <v>13454</v>
      </c>
    </row>
    <row r="4885" spans="2:4" x14ac:dyDescent="0.3">
      <c r="B4885" s="33" t="s">
        <v>13452</v>
      </c>
      <c r="C4885" s="32" t="s">
        <v>13455</v>
      </c>
      <c r="D4885" s="32" t="s">
        <v>13456</v>
      </c>
    </row>
    <row r="4886" spans="2:4" x14ac:dyDescent="0.3">
      <c r="B4886" s="33" t="s">
        <v>13457</v>
      </c>
      <c r="C4886" s="32" t="s">
        <v>13458</v>
      </c>
      <c r="D4886" s="32" t="s">
        <v>13459</v>
      </c>
    </row>
    <row r="4887" spans="2:4" x14ac:dyDescent="0.3">
      <c r="B4887" s="33" t="s">
        <v>13429</v>
      </c>
      <c r="C4887" s="32" t="s">
        <v>13460</v>
      </c>
      <c r="D4887" s="32" t="s">
        <v>13461</v>
      </c>
    </row>
    <row r="4888" spans="2:4" x14ac:dyDescent="0.3">
      <c r="B4888" s="33" t="s">
        <v>13462</v>
      </c>
      <c r="C4888" s="32" t="s">
        <v>36834</v>
      </c>
      <c r="D4888" s="32" t="s">
        <v>36835</v>
      </c>
    </row>
    <row r="4889" spans="2:4" x14ac:dyDescent="0.3">
      <c r="B4889" s="33" t="s">
        <v>13463</v>
      </c>
      <c r="C4889" s="32" t="s">
        <v>13464</v>
      </c>
      <c r="D4889" s="32" t="s">
        <v>13465</v>
      </c>
    </row>
    <row r="4890" spans="2:4" x14ac:dyDescent="0.3">
      <c r="B4890" s="33" t="s">
        <v>13466</v>
      </c>
      <c r="C4890" s="32" t="s">
        <v>13467</v>
      </c>
      <c r="D4890" s="32" t="s">
        <v>13468</v>
      </c>
    </row>
    <row r="4891" spans="2:4" x14ac:dyDescent="0.3">
      <c r="B4891" s="33" t="s">
        <v>13469</v>
      </c>
      <c r="C4891" s="32" t="s">
        <v>13470</v>
      </c>
      <c r="D4891" s="32" t="s">
        <v>13469</v>
      </c>
    </row>
    <row r="4892" spans="2:4" x14ac:dyDescent="0.3">
      <c r="B4892" s="33" t="s">
        <v>13471</v>
      </c>
      <c r="C4892" s="32" t="s">
        <v>13472</v>
      </c>
      <c r="D4892" s="32" t="s">
        <v>13473</v>
      </c>
    </row>
    <row r="4893" spans="2:4" x14ac:dyDescent="0.3">
      <c r="B4893" s="33" t="s">
        <v>13474</v>
      </c>
      <c r="C4893" s="32" t="s">
        <v>13475</v>
      </c>
      <c r="D4893" s="32" t="s">
        <v>13476</v>
      </c>
    </row>
    <row r="4894" spans="2:4" x14ac:dyDescent="0.3">
      <c r="B4894" s="33" t="s">
        <v>13469</v>
      </c>
      <c r="C4894" s="32" t="s">
        <v>13477</v>
      </c>
      <c r="D4894" s="32" t="s">
        <v>13478</v>
      </c>
    </row>
    <row r="4895" spans="2:4" x14ac:dyDescent="0.3">
      <c r="B4895" s="33" t="s">
        <v>13469</v>
      </c>
      <c r="C4895" s="32" t="s">
        <v>13479</v>
      </c>
      <c r="D4895" s="32" t="s">
        <v>13480</v>
      </c>
    </row>
    <row r="4896" spans="2:4" x14ac:dyDescent="0.3">
      <c r="B4896" s="33" t="s">
        <v>13481</v>
      </c>
      <c r="C4896" s="32" t="s">
        <v>13482</v>
      </c>
      <c r="D4896" s="32" t="s">
        <v>13483</v>
      </c>
    </row>
    <row r="4897" spans="2:4" x14ac:dyDescent="0.3">
      <c r="B4897" s="33" t="s">
        <v>13484</v>
      </c>
      <c r="C4897" s="32" t="s">
        <v>13485</v>
      </c>
      <c r="D4897" s="32" t="s">
        <v>13486</v>
      </c>
    </row>
    <row r="4898" spans="2:4" x14ac:dyDescent="0.3">
      <c r="B4898" s="33" t="s">
        <v>13487</v>
      </c>
      <c r="C4898" s="32" t="s">
        <v>13488</v>
      </c>
      <c r="D4898" s="32" t="s">
        <v>13489</v>
      </c>
    </row>
    <row r="4899" spans="2:4" x14ac:dyDescent="0.3">
      <c r="B4899" s="33" t="s">
        <v>13490</v>
      </c>
      <c r="C4899" s="32" t="s">
        <v>13491</v>
      </c>
      <c r="D4899" s="32" t="s">
        <v>13492</v>
      </c>
    </row>
    <row r="4900" spans="2:4" x14ac:dyDescent="0.3">
      <c r="B4900" s="33" t="s">
        <v>13493</v>
      </c>
      <c r="C4900" s="32" t="s">
        <v>13494</v>
      </c>
      <c r="D4900" s="32" t="s">
        <v>13495</v>
      </c>
    </row>
    <row r="4901" spans="2:4" x14ac:dyDescent="0.3">
      <c r="B4901" s="33" t="s">
        <v>13496</v>
      </c>
      <c r="C4901" s="32" t="s">
        <v>13497</v>
      </c>
      <c r="D4901" s="32" t="s">
        <v>13498</v>
      </c>
    </row>
    <row r="4902" spans="2:4" x14ac:dyDescent="0.3">
      <c r="B4902" s="33" t="s">
        <v>13499</v>
      </c>
      <c r="C4902" s="32" t="s">
        <v>13500</v>
      </c>
      <c r="D4902" s="32" t="s">
        <v>13501</v>
      </c>
    </row>
    <row r="4903" spans="2:4" x14ac:dyDescent="0.3">
      <c r="B4903" s="33" t="s">
        <v>13502</v>
      </c>
      <c r="C4903" s="32" t="s">
        <v>13503</v>
      </c>
      <c r="D4903" s="32" t="s">
        <v>13504</v>
      </c>
    </row>
    <row r="4904" spans="2:4" x14ac:dyDescent="0.3">
      <c r="B4904" s="33" t="s">
        <v>13505</v>
      </c>
      <c r="C4904" s="32" t="s">
        <v>13506</v>
      </c>
      <c r="D4904" s="32" t="s">
        <v>36836</v>
      </c>
    </row>
    <row r="4905" spans="2:4" x14ac:dyDescent="0.3">
      <c r="B4905" s="33" t="s">
        <v>13507</v>
      </c>
      <c r="C4905" s="32" t="s">
        <v>13508</v>
      </c>
      <c r="D4905" s="32" t="s">
        <v>13509</v>
      </c>
    </row>
    <row r="4906" spans="2:4" x14ac:dyDescent="0.3">
      <c r="B4906" s="33" t="s">
        <v>13510</v>
      </c>
      <c r="C4906" s="32" t="s">
        <v>13511</v>
      </c>
      <c r="D4906" s="32" t="s">
        <v>13512</v>
      </c>
    </row>
    <row r="4907" spans="2:4" x14ac:dyDescent="0.3">
      <c r="B4907" s="33" t="s">
        <v>13513</v>
      </c>
      <c r="C4907" s="32" t="s">
        <v>13514</v>
      </c>
      <c r="D4907" s="32" t="s">
        <v>13515</v>
      </c>
    </row>
    <row r="4908" spans="2:4" x14ac:dyDescent="0.3">
      <c r="B4908" s="33" t="s">
        <v>13507</v>
      </c>
      <c r="C4908" s="32" t="s">
        <v>13516</v>
      </c>
      <c r="D4908" s="32" t="s">
        <v>13517</v>
      </c>
    </row>
    <row r="4909" spans="2:4" x14ac:dyDescent="0.3">
      <c r="B4909" s="33" t="s">
        <v>13507</v>
      </c>
      <c r="C4909" s="32" t="s">
        <v>13518</v>
      </c>
      <c r="D4909" s="32" t="s">
        <v>13519</v>
      </c>
    </row>
    <row r="4910" spans="2:4" x14ac:dyDescent="0.3">
      <c r="B4910" s="33" t="s">
        <v>13520</v>
      </c>
      <c r="C4910" s="32" t="s">
        <v>13521</v>
      </c>
      <c r="D4910" s="32" t="s">
        <v>13522</v>
      </c>
    </row>
    <row r="4911" spans="2:4" x14ac:dyDescent="0.3">
      <c r="B4911" s="33" t="s">
        <v>13520</v>
      </c>
      <c r="C4911" s="32" t="s">
        <v>13523</v>
      </c>
      <c r="D4911" s="32" t="s">
        <v>13524</v>
      </c>
    </row>
    <row r="4912" spans="2:4" x14ac:dyDescent="0.3">
      <c r="B4912" s="33" t="s">
        <v>13525</v>
      </c>
      <c r="C4912" s="32" t="s">
        <v>13526</v>
      </c>
      <c r="D4912" s="32" t="s">
        <v>13527</v>
      </c>
    </row>
    <row r="4913" spans="2:4" x14ac:dyDescent="0.3">
      <c r="B4913" s="33" t="s">
        <v>13528</v>
      </c>
      <c r="C4913" s="32" t="s">
        <v>13529</v>
      </c>
      <c r="D4913" s="32" t="s">
        <v>13530</v>
      </c>
    </row>
    <row r="4914" spans="2:4" x14ac:dyDescent="0.3">
      <c r="B4914" s="33" t="s">
        <v>13531</v>
      </c>
      <c r="C4914" s="32" t="s">
        <v>13532</v>
      </c>
      <c r="D4914" s="32" t="s">
        <v>13533</v>
      </c>
    </row>
    <row r="4915" spans="2:4" x14ac:dyDescent="0.3">
      <c r="B4915" s="33" t="s">
        <v>13534</v>
      </c>
      <c r="C4915" s="32" t="s">
        <v>13535</v>
      </c>
      <c r="D4915" s="32" t="s">
        <v>13536</v>
      </c>
    </row>
    <row r="4916" spans="2:4" x14ac:dyDescent="0.3">
      <c r="B4916" s="33" t="s">
        <v>13537</v>
      </c>
      <c r="C4916" s="32" t="s">
        <v>13538</v>
      </c>
      <c r="D4916" s="32" t="s">
        <v>13539</v>
      </c>
    </row>
    <row r="4917" spans="2:4" x14ac:dyDescent="0.3">
      <c r="B4917" s="33" t="s">
        <v>13540</v>
      </c>
      <c r="C4917" s="32" t="s">
        <v>13541</v>
      </c>
      <c r="D4917" s="32" t="s">
        <v>13542</v>
      </c>
    </row>
    <row r="4918" spans="2:4" x14ac:dyDescent="0.3">
      <c r="B4918" s="33" t="s">
        <v>12897</v>
      </c>
      <c r="C4918" s="32" t="s">
        <v>13543</v>
      </c>
      <c r="D4918" s="32" t="s">
        <v>13544</v>
      </c>
    </row>
    <row r="4919" spans="2:4" x14ac:dyDescent="0.3">
      <c r="B4919" s="33" t="s">
        <v>13545</v>
      </c>
      <c r="C4919" s="32" t="s">
        <v>13546</v>
      </c>
      <c r="D4919" s="32" t="s">
        <v>13547</v>
      </c>
    </row>
    <row r="4920" spans="2:4" x14ac:dyDescent="0.3">
      <c r="B4920" s="33" t="s">
        <v>13548</v>
      </c>
      <c r="C4920" s="32" t="s">
        <v>13549</v>
      </c>
      <c r="D4920" s="32" t="s">
        <v>13550</v>
      </c>
    </row>
    <row r="4921" spans="2:4" x14ac:dyDescent="0.3">
      <c r="B4921" s="33" t="s">
        <v>13551</v>
      </c>
      <c r="C4921" s="32" t="s">
        <v>13552</v>
      </c>
      <c r="D4921" s="32" t="s">
        <v>13553</v>
      </c>
    </row>
    <row r="4922" spans="2:4" x14ac:dyDescent="0.3">
      <c r="B4922" s="33" t="s">
        <v>13554</v>
      </c>
      <c r="C4922" s="32" t="s">
        <v>13555</v>
      </c>
      <c r="D4922" s="32" t="s">
        <v>13556</v>
      </c>
    </row>
    <row r="4923" spans="2:4" x14ac:dyDescent="0.3">
      <c r="B4923" s="33" t="s">
        <v>13557</v>
      </c>
      <c r="C4923" s="32" t="s">
        <v>13558</v>
      </c>
      <c r="D4923" s="32" t="s">
        <v>13559</v>
      </c>
    </row>
    <row r="4924" spans="2:4" x14ac:dyDescent="0.3">
      <c r="B4924" s="33" t="s">
        <v>13560</v>
      </c>
      <c r="C4924" s="32" t="s">
        <v>13561</v>
      </c>
      <c r="D4924" s="32" t="s">
        <v>13562</v>
      </c>
    </row>
    <row r="4925" spans="2:4" x14ac:dyDescent="0.3">
      <c r="B4925" s="33" t="s">
        <v>13563</v>
      </c>
      <c r="C4925" s="32" t="s">
        <v>13564</v>
      </c>
      <c r="D4925" s="32" t="s">
        <v>13565</v>
      </c>
    </row>
    <row r="4926" spans="2:4" x14ac:dyDescent="0.3">
      <c r="B4926" s="33" t="s">
        <v>11917</v>
      </c>
      <c r="C4926" s="32" t="s">
        <v>13566</v>
      </c>
      <c r="D4926" s="32" t="s">
        <v>13567</v>
      </c>
    </row>
    <row r="4927" spans="2:4" x14ac:dyDescent="0.3">
      <c r="B4927" s="33" t="s">
        <v>13568</v>
      </c>
      <c r="C4927" s="32" t="s">
        <v>13569</v>
      </c>
      <c r="D4927" s="32" t="s">
        <v>13570</v>
      </c>
    </row>
    <row r="4928" spans="2:4" x14ac:dyDescent="0.3">
      <c r="B4928" s="33" t="s">
        <v>13571</v>
      </c>
      <c r="C4928" s="32" t="s">
        <v>13572</v>
      </c>
      <c r="D4928" s="32" t="s">
        <v>13573</v>
      </c>
    </row>
    <row r="4929" spans="2:4" x14ac:dyDescent="0.3">
      <c r="B4929" s="33" t="s">
        <v>13574</v>
      </c>
      <c r="C4929" s="32" t="s">
        <v>13575</v>
      </c>
      <c r="D4929" s="32" t="s">
        <v>13576</v>
      </c>
    </row>
    <row r="4930" spans="2:4" x14ac:dyDescent="0.3">
      <c r="B4930" s="33" t="s">
        <v>77</v>
      </c>
      <c r="C4930" s="32" t="s">
        <v>13577</v>
      </c>
      <c r="D4930" s="32" t="s">
        <v>78</v>
      </c>
    </row>
    <row r="4931" spans="2:4" x14ac:dyDescent="0.3">
      <c r="B4931" s="33" t="s">
        <v>77</v>
      </c>
      <c r="C4931" s="32" t="s">
        <v>13578</v>
      </c>
      <c r="D4931" s="32" t="s">
        <v>13579</v>
      </c>
    </row>
    <row r="4932" spans="2:4" x14ac:dyDescent="0.3">
      <c r="B4932" s="33" t="s">
        <v>13580</v>
      </c>
      <c r="C4932" s="32" t="s">
        <v>13581</v>
      </c>
      <c r="D4932" s="32" t="s">
        <v>13582</v>
      </c>
    </row>
    <row r="4933" spans="2:4" x14ac:dyDescent="0.3">
      <c r="B4933" s="33" t="s">
        <v>1115</v>
      </c>
      <c r="C4933" s="32" t="s">
        <v>13583</v>
      </c>
      <c r="D4933" s="32" t="s">
        <v>13584</v>
      </c>
    </row>
    <row r="4934" spans="2:4" x14ac:dyDescent="0.3">
      <c r="B4934" s="33" t="s">
        <v>11989</v>
      </c>
      <c r="C4934" s="32" t="s">
        <v>13585</v>
      </c>
      <c r="D4934" s="32" t="s">
        <v>13586</v>
      </c>
    </row>
    <row r="4935" spans="2:4" x14ac:dyDescent="0.3">
      <c r="B4935" s="33" t="s">
        <v>13587</v>
      </c>
      <c r="C4935" s="32" t="s">
        <v>13588</v>
      </c>
      <c r="D4935" s="32" t="s">
        <v>13589</v>
      </c>
    </row>
    <row r="4936" spans="2:4" x14ac:dyDescent="0.3">
      <c r="B4936" s="33" t="s">
        <v>13590</v>
      </c>
      <c r="C4936" s="32" t="s">
        <v>13591</v>
      </c>
      <c r="D4936" s="32" t="s">
        <v>13592</v>
      </c>
    </row>
    <row r="4937" spans="2:4" x14ac:dyDescent="0.3">
      <c r="B4937" s="33" t="s">
        <v>13590</v>
      </c>
      <c r="C4937" s="32" t="s">
        <v>37194</v>
      </c>
      <c r="D4937" s="32" t="s">
        <v>37195</v>
      </c>
    </row>
    <row r="4938" spans="2:4" x14ac:dyDescent="0.3">
      <c r="B4938" s="33" t="s">
        <v>13593</v>
      </c>
      <c r="C4938" s="32" t="s">
        <v>13594</v>
      </c>
      <c r="D4938" s="32" t="s">
        <v>13595</v>
      </c>
    </row>
    <row r="4939" spans="2:4" x14ac:dyDescent="0.3">
      <c r="B4939" s="33" t="s">
        <v>13596</v>
      </c>
      <c r="C4939" s="32" t="s">
        <v>13597</v>
      </c>
      <c r="D4939" s="32" t="s">
        <v>13598</v>
      </c>
    </row>
    <row r="4940" spans="2:4" x14ac:dyDescent="0.3">
      <c r="B4940" s="33" t="s">
        <v>13599</v>
      </c>
      <c r="C4940" s="32" t="s">
        <v>13600</v>
      </c>
      <c r="D4940" s="32" t="s">
        <v>13601</v>
      </c>
    </row>
    <row r="4941" spans="2:4" x14ac:dyDescent="0.3">
      <c r="B4941" s="33" t="s">
        <v>13602</v>
      </c>
      <c r="C4941" s="32" t="s">
        <v>13603</v>
      </c>
      <c r="D4941" s="32" t="s">
        <v>13604</v>
      </c>
    </row>
    <row r="4942" spans="2:4" x14ac:dyDescent="0.3">
      <c r="B4942" s="33" t="s">
        <v>13605</v>
      </c>
      <c r="C4942" s="32" t="s">
        <v>13606</v>
      </c>
      <c r="D4942" s="32" t="s">
        <v>13607</v>
      </c>
    </row>
    <row r="4943" spans="2:4" x14ac:dyDescent="0.3">
      <c r="B4943" s="33" t="s">
        <v>13608</v>
      </c>
      <c r="C4943" s="32" t="s">
        <v>13609</v>
      </c>
      <c r="D4943" s="32" t="s">
        <v>13610</v>
      </c>
    </row>
    <row r="4944" spans="2:4" x14ac:dyDescent="0.3">
      <c r="B4944" s="33" t="s">
        <v>13611</v>
      </c>
      <c r="C4944" s="32" t="s">
        <v>13612</v>
      </c>
      <c r="D4944" s="32" t="s">
        <v>13613</v>
      </c>
    </row>
    <row r="4945" spans="2:4" x14ac:dyDescent="0.3">
      <c r="B4945" s="33" t="s">
        <v>13614</v>
      </c>
      <c r="C4945" s="32" t="s">
        <v>13615</v>
      </c>
      <c r="D4945" s="32" t="s">
        <v>13616</v>
      </c>
    </row>
    <row r="4946" spans="2:4" x14ac:dyDescent="0.3">
      <c r="B4946" s="33" t="s">
        <v>13617</v>
      </c>
      <c r="C4946" s="32" t="s">
        <v>13618</v>
      </c>
      <c r="D4946" s="32" t="s">
        <v>13617</v>
      </c>
    </row>
    <row r="4947" spans="2:4" x14ac:dyDescent="0.3">
      <c r="B4947" s="33" t="s">
        <v>13619</v>
      </c>
      <c r="C4947" s="32" t="s">
        <v>13620</v>
      </c>
      <c r="D4947" s="32" t="s">
        <v>13621</v>
      </c>
    </row>
    <row r="4948" spans="2:4" x14ac:dyDescent="0.3">
      <c r="B4948" s="33" t="s">
        <v>13622</v>
      </c>
      <c r="C4948" s="32" t="s">
        <v>13623</v>
      </c>
      <c r="D4948" s="32" t="s">
        <v>13624</v>
      </c>
    </row>
    <row r="4949" spans="2:4" x14ac:dyDescent="0.3">
      <c r="B4949" s="33" t="s">
        <v>13625</v>
      </c>
      <c r="C4949" s="32" t="s">
        <v>13626</v>
      </c>
      <c r="D4949" s="32" t="s">
        <v>13627</v>
      </c>
    </row>
    <row r="4950" spans="2:4" x14ac:dyDescent="0.3">
      <c r="B4950" s="33" t="s">
        <v>12677</v>
      </c>
      <c r="C4950" s="32" t="s">
        <v>13628</v>
      </c>
      <c r="D4950" s="32" t="s">
        <v>13629</v>
      </c>
    </row>
    <row r="4951" spans="2:4" x14ac:dyDescent="0.3">
      <c r="B4951" s="33" t="s">
        <v>12573</v>
      </c>
      <c r="C4951" s="32" t="s">
        <v>13630</v>
      </c>
      <c r="D4951" s="32" t="s">
        <v>13631</v>
      </c>
    </row>
    <row r="4952" spans="2:4" x14ac:dyDescent="0.3">
      <c r="B4952" s="33" t="s">
        <v>2864</v>
      </c>
      <c r="C4952" s="32" t="s">
        <v>13632</v>
      </c>
      <c r="D4952" s="32" t="s">
        <v>13633</v>
      </c>
    </row>
    <row r="4953" spans="2:4" x14ac:dyDescent="0.3">
      <c r="B4953" s="33" t="s">
        <v>13634</v>
      </c>
      <c r="C4953" s="32" t="s">
        <v>13635</v>
      </c>
      <c r="D4953" s="32" t="s">
        <v>13636</v>
      </c>
    </row>
    <row r="4954" spans="2:4" x14ac:dyDescent="0.3">
      <c r="B4954" s="33" t="s">
        <v>13637</v>
      </c>
      <c r="C4954" s="32" t="s">
        <v>13638</v>
      </c>
      <c r="D4954" s="32" t="s">
        <v>13639</v>
      </c>
    </row>
    <row r="4955" spans="2:4" x14ac:dyDescent="0.3">
      <c r="B4955" s="33" t="s">
        <v>13640</v>
      </c>
      <c r="C4955" s="32" t="s">
        <v>13641</v>
      </c>
      <c r="D4955" s="32" t="s">
        <v>13642</v>
      </c>
    </row>
    <row r="4956" spans="2:4" x14ac:dyDescent="0.3">
      <c r="B4956" s="33" t="s">
        <v>13643</v>
      </c>
      <c r="C4956" s="32" t="s">
        <v>13644</v>
      </c>
      <c r="D4956" s="32" t="s">
        <v>13645</v>
      </c>
    </row>
    <row r="4957" spans="2:4" x14ac:dyDescent="0.3">
      <c r="B4957" s="33" t="s">
        <v>13646</v>
      </c>
      <c r="C4957" s="32" t="s">
        <v>13647</v>
      </c>
      <c r="D4957" s="32" t="s">
        <v>13648</v>
      </c>
    </row>
    <row r="4958" spans="2:4" x14ac:dyDescent="0.3">
      <c r="B4958" s="33" t="s">
        <v>13649</v>
      </c>
      <c r="C4958" s="32" t="s">
        <v>13650</v>
      </c>
      <c r="D4958" s="32" t="s">
        <v>13651</v>
      </c>
    </row>
    <row r="4959" spans="2:4" x14ac:dyDescent="0.3">
      <c r="B4959" s="33" t="s">
        <v>13652</v>
      </c>
      <c r="C4959" s="32" t="s">
        <v>13653</v>
      </c>
      <c r="D4959" s="32" t="s">
        <v>13654</v>
      </c>
    </row>
    <row r="4960" spans="2:4" x14ac:dyDescent="0.3">
      <c r="B4960" s="33" t="s">
        <v>13655</v>
      </c>
      <c r="C4960" s="32" t="s">
        <v>13656</v>
      </c>
      <c r="D4960" s="32" t="s">
        <v>13657</v>
      </c>
    </row>
    <row r="4961" spans="2:4" x14ac:dyDescent="0.3">
      <c r="B4961" s="33" t="s">
        <v>12388</v>
      </c>
      <c r="C4961" s="32" t="s">
        <v>13658</v>
      </c>
      <c r="D4961" s="32" t="s">
        <v>13659</v>
      </c>
    </row>
    <row r="4962" spans="2:4" x14ac:dyDescent="0.3">
      <c r="B4962" s="33" t="s">
        <v>12485</v>
      </c>
      <c r="C4962" s="32" t="s">
        <v>13660</v>
      </c>
      <c r="D4962" s="32" t="s">
        <v>13661</v>
      </c>
    </row>
    <row r="4963" spans="2:4" x14ac:dyDescent="0.3">
      <c r="B4963" s="33" t="s">
        <v>13662</v>
      </c>
      <c r="C4963" s="32" t="s">
        <v>13663</v>
      </c>
      <c r="D4963" s="32" t="s">
        <v>13664</v>
      </c>
    </row>
    <row r="4964" spans="2:4" x14ac:dyDescent="0.3">
      <c r="B4964" s="33" t="s">
        <v>12490</v>
      </c>
      <c r="C4964" s="32" t="s">
        <v>13665</v>
      </c>
      <c r="D4964" s="32" t="s">
        <v>13666</v>
      </c>
    </row>
    <row r="4965" spans="2:4" x14ac:dyDescent="0.3">
      <c r="B4965" s="33" t="s">
        <v>13667</v>
      </c>
      <c r="C4965" s="32" t="s">
        <v>13668</v>
      </c>
      <c r="D4965" s="32" t="s">
        <v>13669</v>
      </c>
    </row>
    <row r="4966" spans="2:4" x14ac:dyDescent="0.3">
      <c r="B4966" s="33" t="s">
        <v>13670</v>
      </c>
      <c r="C4966" s="32" t="s">
        <v>13671</v>
      </c>
      <c r="D4966" s="32" t="s">
        <v>13672</v>
      </c>
    </row>
    <row r="4967" spans="2:4" x14ac:dyDescent="0.3">
      <c r="B4967" s="33" t="s">
        <v>13673</v>
      </c>
      <c r="C4967" s="32" t="s">
        <v>13674</v>
      </c>
      <c r="D4967" s="32" t="s">
        <v>13675</v>
      </c>
    </row>
    <row r="4968" spans="2:4" x14ac:dyDescent="0.3">
      <c r="B4968" s="33" t="s">
        <v>13676</v>
      </c>
      <c r="C4968" s="32" t="s">
        <v>13677</v>
      </c>
      <c r="D4968" s="32" t="s">
        <v>13678</v>
      </c>
    </row>
    <row r="4969" spans="2:4" x14ac:dyDescent="0.3">
      <c r="B4969" s="33" t="s">
        <v>13676</v>
      </c>
      <c r="C4969" s="32" t="s">
        <v>13679</v>
      </c>
      <c r="D4969" s="32" t="s">
        <v>13680</v>
      </c>
    </row>
    <row r="4970" spans="2:4" x14ac:dyDescent="0.3">
      <c r="B4970" s="33" t="s">
        <v>13462</v>
      </c>
      <c r="C4970" s="32" t="s">
        <v>13681</v>
      </c>
      <c r="D4970" s="32" t="s">
        <v>13682</v>
      </c>
    </row>
    <row r="4971" spans="2:4" x14ac:dyDescent="0.3">
      <c r="B4971" s="33" t="s">
        <v>13683</v>
      </c>
      <c r="C4971" s="32" t="s">
        <v>13684</v>
      </c>
      <c r="D4971" s="32" t="s">
        <v>13685</v>
      </c>
    </row>
    <row r="4972" spans="2:4" x14ac:dyDescent="0.3">
      <c r="B4972" s="33" t="s">
        <v>13686</v>
      </c>
      <c r="C4972" s="32" t="s">
        <v>13687</v>
      </c>
      <c r="D4972" s="32" t="s">
        <v>13688</v>
      </c>
    </row>
    <row r="4973" spans="2:4" x14ac:dyDescent="0.3">
      <c r="B4973" s="33" t="s">
        <v>13673</v>
      </c>
      <c r="C4973" s="32" t="s">
        <v>13689</v>
      </c>
      <c r="D4973" s="32" t="s">
        <v>13673</v>
      </c>
    </row>
    <row r="4974" spans="2:4" x14ac:dyDescent="0.3">
      <c r="B4974" s="33" t="s">
        <v>13690</v>
      </c>
      <c r="C4974" s="32" t="s">
        <v>13691</v>
      </c>
      <c r="D4974" s="32" t="s">
        <v>13692</v>
      </c>
    </row>
    <row r="4975" spans="2:4" x14ac:dyDescent="0.3">
      <c r="B4975" s="33" t="s">
        <v>13693</v>
      </c>
      <c r="C4975" s="32" t="s">
        <v>13694</v>
      </c>
      <c r="D4975" s="32" t="s">
        <v>13695</v>
      </c>
    </row>
    <row r="4976" spans="2:4" x14ac:dyDescent="0.3">
      <c r="B4976" s="33" t="s">
        <v>13696</v>
      </c>
      <c r="C4976" s="32" t="s">
        <v>13697</v>
      </c>
      <c r="D4976" s="32" t="s">
        <v>13698</v>
      </c>
    </row>
    <row r="4977" spans="2:4" x14ac:dyDescent="0.3">
      <c r="B4977" s="33" t="s">
        <v>13699</v>
      </c>
      <c r="C4977" s="32" t="s">
        <v>13700</v>
      </c>
      <c r="D4977" s="32" t="s">
        <v>13699</v>
      </c>
    </row>
    <row r="4978" spans="2:4" x14ac:dyDescent="0.3">
      <c r="B4978" s="33" t="s">
        <v>13701</v>
      </c>
      <c r="C4978" s="32" t="s">
        <v>13702</v>
      </c>
      <c r="D4978" s="32" t="s">
        <v>13703</v>
      </c>
    </row>
    <row r="4979" spans="2:4" x14ac:dyDescent="0.3">
      <c r="B4979" s="33" t="s">
        <v>13704</v>
      </c>
      <c r="C4979" s="32" t="s">
        <v>13705</v>
      </c>
      <c r="D4979" s="32" t="s">
        <v>13706</v>
      </c>
    </row>
    <row r="4980" spans="2:4" x14ac:dyDescent="0.3">
      <c r="B4980" s="33" t="s">
        <v>13707</v>
      </c>
      <c r="C4980" s="32" t="s">
        <v>13708</v>
      </c>
      <c r="D4980" s="32" t="s">
        <v>13709</v>
      </c>
    </row>
    <row r="4981" spans="2:4" x14ac:dyDescent="0.3">
      <c r="B4981" s="33" t="s">
        <v>13710</v>
      </c>
      <c r="C4981" s="32" t="s">
        <v>13711</v>
      </c>
      <c r="D4981" s="32" t="s">
        <v>13712</v>
      </c>
    </row>
    <row r="4982" spans="2:4" x14ac:dyDescent="0.3">
      <c r="B4982" s="33" t="s">
        <v>13713</v>
      </c>
      <c r="C4982" s="32" t="s">
        <v>13714</v>
      </c>
      <c r="D4982" s="32" t="s">
        <v>13715</v>
      </c>
    </row>
    <row r="4983" spans="2:4" x14ac:dyDescent="0.3">
      <c r="B4983" s="33" t="s">
        <v>13713</v>
      </c>
      <c r="C4983" s="32" t="s">
        <v>13716</v>
      </c>
      <c r="D4983" s="32" t="s">
        <v>13717</v>
      </c>
    </row>
    <row r="4984" spans="2:4" x14ac:dyDescent="0.3">
      <c r="B4984" s="33" t="s">
        <v>13718</v>
      </c>
      <c r="C4984" s="32" t="s">
        <v>13719</v>
      </c>
      <c r="D4984" s="32" t="s">
        <v>13720</v>
      </c>
    </row>
    <row r="4985" spans="2:4" x14ac:dyDescent="0.3">
      <c r="B4985" s="33" t="s">
        <v>13718</v>
      </c>
      <c r="C4985" s="32" t="s">
        <v>13721</v>
      </c>
      <c r="D4985" s="32" t="s">
        <v>13722</v>
      </c>
    </row>
    <row r="4986" spans="2:4" x14ac:dyDescent="0.3">
      <c r="B4986" s="33" t="s">
        <v>13723</v>
      </c>
      <c r="C4986" s="32" t="s">
        <v>13724</v>
      </c>
      <c r="D4986" s="32" t="s">
        <v>13725</v>
      </c>
    </row>
    <row r="4987" spans="2:4" x14ac:dyDescent="0.3">
      <c r="B4987" s="33" t="s">
        <v>13726</v>
      </c>
      <c r="C4987" s="32" t="s">
        <v>13727</v>
      </c>
      <c r="D4987" s="32" t="s">
        <v>13728</v>
      </c>
    </row>
    <row r="4988" spans="2:4" x14ac:dyDescent="0.3">
      <c r="B4988" s="33" t="s">
        <v>13729</v>
      </c>
      <c r="C4988" s="32" t="s">
        <v>13730</v>
      </c>
      <c r="D4988" s="32" t="s">
        <v>13731</v>
      </c>
    </row>
    <row r="4989" spans="2:4" x14ac:dyDescent="0.3">
      <c r="B4989" s="33" t="s">
        <v>13732</v>
      </c>
      <c r="C4989" s="32" t="s">
        <v>13733</v>
      </c>
      <c r="D4989" s="32" t="s">
        <v>13734</v>
      </c>
    </row>
    <row r="4990" spans="2:4" x14ac:dyDescent="0.3">
      <c r="B4990" s="33" t="s">
        <v>13735</v>
      </c>
      <c r="C4990" s="32" t="s">
        <v>13736</v>
      </c>
      <c r="D4990" s="32" t="s">
        <v>13737</v>
      </c>
    </row>
    <row r="4991" spans="2:4" x14ac:dyDescent="0.3">
      <c r="B4991" s="33" t="s">
        <v>13738</v>
      </c>
      <c r="C4991" s="32" t="s">
        <v>13739</v>
      </c>
      <c r="D4991" s="32" t="s">
        <v>13740</v>
      </c>
    </row>
    <row r="4992" spans="2:4" x14ac:dyDescent="0.3">
      <c r="B4992" s="33" t="s">
        <v>13741</v>
      </c>
      <c r="C4992" s="32" t="s">
        <v>13742</v>
      </c>
      <c r="D4992" s="32" t="s">
        <v>13743</v>
      </c>
    </row>
    <row r="4993" spans="2:4" x14ac:dyDescent="0.3">
      <c r="B4993" s="33" t="s">
        <v>13744</v>
      </c>
      <c r="C4993" s="32" t="s">
        <v>13745</v>
      </c>
      <c r="D4993" s="32" t="s">
        <v>13746</v>
      </c>
    </row>
    <row r="4994" spans="2:4" x14ac:dyDescent="0.3">
      <c r="B4994" s="33" t="s">
        <v>13747</v>
      </c>
      <c r="C4994" s="32" t="s">
        <v>13748</v>
      </c>
      <c r="D4994" s="32" t="s">
        <v>13749</v>
      </c>
    </row>
    <row r="4995" spans="2:4" x14ac:dyDescent="0.3">
      <c r="B4995" s="33" t="s">
        <v>13735</v>
      </c>
      <c r="C4995" s="32" t="s">
        <v>13750</v>
      </c>
      <c r="D4995" s="32" t="s">
        <v>13751</v>
      </c>
    </row>
    <row r="4996" spans="2:4" x14ac:dyDescent="0.3">
      <c r="B4996" s="33" t="s">
        <v>13752</v>
      </c>
      <c r="C4996" s="32" t="s">
        <v>13753</v>
      </c>
      <c r="D4996" s="32" t="s">
        <v>13754</v>
      </c>
    </row>
    <row r="4997" spans="2:4" x14ac:dyDescent="0.3">
      <c r="B4997" s="33" t="s">
        <v>13755</v>
      </c>
      <c r="C4997" s="32" t="s">
        <v>13756</v>
      </c>
      <c r="D4997" s="32" t="s">
        <v>13757</v>
      </c>
    </row>
    <row r="4998" spans="2:4" x14ac:dyDescent="0.3">
      <c r="B4998" s="33" t="s">
        <v>13758</v>
      </c>
      <c r="C4998" s="32" t="s">
        <v>13759</v>
      </c>
      <c r="D4998" s="32" t="s">
        <v>13760</v>
      </c>
    </row>
    <row r="4999" spans="2:4" x14ac:dyDescent="0.3">
      <c r="B4999" s="33" t="s">
        <v>13761</v>
      </c>
      <c r="C4999" s="32" t="s">
        <v>13762</v>
      </c>
      <c r="D4999" s="32" t="s">
        <v>13763</v>
      </c>
    </row>
    <row r="5000" spans="2:4" x14ac:dyDescent="0.3">
      <c r="B5000" s="33" t="s">
        <v>13761</v>
      </c>
      <c r="C5000" s="32" t="s">
        <v>13764</v>
      </c>
      <c r="D5000" s="32" t="s">
        <v>13765</v>
      </c>
    </row>
    <row r="5001" spans="2:4" x14ac:dyDescent="0.3">
      <c r="B5001" s="33" t="s">
        <v>13766</v>
      </c>
      <c r="C5001" s="32" t="s">
        <v>13767</v>
      </c>
      <c r="D5001" s="32" t="s">
        <v>13768</v>
      </c>
    </row>
    <row r="5002" spans="2:4" x14ac:dyDescent="0.3">
      <c r="B5002" s="33" t="s">
        <v>13769</v>
      </c>
      <c r="C5002" s="32" t="s">
        <v>13770</v>
      </c>
      <c r="D5002" s="32" t="s">
        <v>13771</v>
      </c>
    </row>
    <row r="5003" spans="2:4" x14ac:dyDescent="0.3">
      <c r="B5003" s="33" t="s">
        <v>37011</v>
      </c>
      <c r="C5003" s="32" t="s">
        <v>37012</v>
      </c>
      <c r="D5003" s="32" t="s">
        <v>37013</v>
      </c>
    </row>
    <row r="5004" spans="2:4" x14ac:dyDescent="0.3">
      <c r="B5004" s="33" t="s">
        <v>13772</v>
      </c>
      <c r="C5004" s="32" t="s">
        <v>13773</v>
      </c>
      <c r="D5004" s="32" t="s">
        <v>13774</v>
      </c>
    </row>
    <row r="5005" spans="2:4" x14ac:dyDescent="0.3">
      <c r="B5005" s="33" t="s">
        <v>13841</v>
      </c>
      <c r="C5005" s="32" t="s">
        <v>37196</v>
      </c>
      <c r="D5005" s="32" t="s">
        <v>37197</v>
      </c>
    </row>
    <row r="5006" spans="2:4" x14ac:dyDescent="0.3">
      <c r="B5006" s="33" t="s">
        <v>13775</v>
      </c>
      <c r="C5006" s="32" t="s">
        <v>13776</v>
      </c>
      <c r="D5006" s="32" t="s">
        <v>13777</v>
      </c>
    </row>
    <row r="5007" spans="2:4" x14ac:dyDescent="0.3">
      <c r="B5007" s="33" t="s">
        <v>13778</v>
      </c>
      <c r="C5007" s="32" t="s">
        <v>13779</v>
      </c>
      <c r="D5007" s="32" t="s">
        <v>13780</v>
      </c>
    </row>
    <row r="5008" spans="2:4" x14ac:dyDescent="0.3">
      <c r="B5008" s="33" t="s">
        <v>13781</v>
      </c>
      <c r="C5008" s="32" t="s">
        <v>13782</v>
      </c>
      <c r="D5008" s="32" t="s">
        <v>13783</v>
      </c>
    </row>
    <row r="5009" spans="2:4" x14ac:dyDescent="0.3">
      <c r="B5009" s="33" t="s">
        <v>13781</v>
      </c>
      <c r="C5009" s="32" t="s">
        <v>13784</v>
      </c>
      <c r="D5009" s="32" t="s">
        <v>13785</v>
      </c>
    </row>
    <row r="5010" spans="2:4" x14ac:dyDescent="0.3">
      <c r="B5010" s="33" t="s">
        <v>13786</v>
      </c>
      <c r="C5010" s="32" t="s">
        <v>13787</v>
      </c>
      <c r="D5010" s="32" t="s">
        <v>13788</v>
      </c>
    </row>
    <row r="5011" spans="2:4" x14ac:dyDescent="0.3">
      <c r="B5011" s="33" t="s">
        <v>13789</v>
      </c>
      <c r="C5011" s="32" t="s">
        <v>13790</v>
      </c>
      <c r="D5011" s="32" t="s">
        <v>13791</v>
      </c>
    </row>
    <row r="5012" spans="2:4" x14ac:dyDescent="0.3">
      <c r="B5012" s="33" t="s">
        <v>13792</v>
      </c>
      <c r="C5012" s="32" t="s">
        <v>13793</v>
      </c>
      <c r="D5012" s="32" t="s">
        <v>13794</v>
      </c>
    </row>
    <row r="5013" spans="2:4" x14ac:dyDescent="0.3">
      <c r="B5013" s="33" t="s">
        <v>13795</v>
      </c>
      <c r="C5013" s="32" t="s">
        <v>13796</v>
      </c>
      <c r="D5013" s="32" t="s">
        <v>13797</v>
      </c>
    </row>
    <row r="5014" spans="2:4" x14ac:dyDescent="0.3">
      <c r="B5014" s="33" t="s">
        <v>13798</v>
      </c>
      <c r="C5014" s="32" t="s">
        <v>13799</v>
      </c>
      <c r="D5014" s="32" t="s">
        <v>13800</v>
      </c>
    </row>
    <row r="5015" spans="2:4" x14ac:dyDescent="0.3">
      <c r="B5015" s="33" t="s">
        <v>13744</v>
      </c>
      <c r="C5015" s="32" t="s">
        <v>13801</v>
      </c>
      <c r="D5015" s="32" t="s">
        <v>13802</v>
      </c>
    </row>
    <row r="5016" spans="2:4" x14ac:dyDescent="0.3">
      <c r="B5016" s="33" t="s">
        <v>13803</v>
      </c>
      <c r="C5016" s="32" t="s">
        <v>13804</v>
      </c>
      <c r="D5016" s="32" t="s">
        <v>13805</v>
      </c>
    </row>
    <row r="5017" spans="2:4" x14ac:dyDescent="0.3">
      <c r="B5017" s="33" t="s">
        <v>13806</v>
      </c>
      <c r="C5017" s="32" t="s">
        <v>13807</v>
      </c>
      <c r="D5017" s="32" t="s">
        <v>13808</v>
      </c>
    </row>
    <row r="5018" spans="2:4" x14ac:dyDescent="0.3">
      <c r="B5018" s="33" t="s">
        <v>13809</v>
      </c>
      <c r="C5018" s="32" t="s">
        <v>13810</v>
      </c>
      <c r="D5018" s="32" t="s">
        <v>13811</v>
      </c>
    </row>
    <row r="5019" spans="2:4" x14ac:dyDescent="0.3">
      <c r="B5019" s="33" t="s">
        <v>13812</v>
      </c>
      <c r="C5019" s="32" t="s">
        <v>13813</v>
      </c>
      <c r="D5019" s="32" t="s">
        <v>13814</v>
      </c>
    </row>
    <row r="5020" spans="2:4" x14ac:dyDescent="0.3">
      <c r="B5020" s="33" t="s">
        <v>13815</v>
      </c>
      <c r="C5020" s="32" t="s">
        <v>13816</v>
      </c>
      <c r="D5020" s="32" t="s">
        <v>13817</v>
      </c>
    </row>
    <row r="5021" spans="2:4" x14ac:dyDescent="0.3">
      <c r="B5021" s="33" t="s">
        <v>13818</v>
      </c>
      <c r="C5021" s="32" t="s">
        <v>13819</v>
      </c>
      <c r="D5021" s="32" t="s">
        <v>13820</v>
      </c>
    </row>
    <row r="5022" spans="2:4" x14ac:dyDescent="0.3">
      <c r="B5022" s="33" t="s">
        <v>13821</v>
      </c>
      <c r="C5022" s="32" t="s">
        <v>13822</v>
      </c>
      <c r="D5022" s="32" t="s">
        <v>13823</v>
      </c>
    </row>
    <row r="5023" spans="2:4" x14ac:dyDescent="0.3">
      <c r="B5023" s="33" t="s">
        <v>13824</v>
      </c>
      <c r="C5023" s="32" t="s">
        <v>13825</v>
      </c>
      <c r="D5023" s="32" t="s">
        <v>13826</v>
      </c>
    </row>
    <row r="5024" spans="2:4" x14ac:dyDescent="0.3">
      <c r="B5024" s="33" t="s">
        <v>13827</v>
      </c>
      <c r="C5024" s="32" t="s">
        <v>13828</v>
      </c>
      <c r="D5024" s="32" t="s">
        <v>13829</v>
      </c>
    </row>
    <row r="5025" spans="2:4" x14ac:dyDescent="0.3">
      <c r="B5025" s="33" t="s">
        <v>13830</v>
      </c>
      <c r="C5025" s="32" t="s">
        <v>13831</v>
      </c>
      <c r="D5025" s="32" t="s">
        <v>13832</v>
      </c>
    </row>
    <row r="5026" spans="2:4" x14ac:dyDescent="0.3">
      <c r="B5026" s="33" t="s">
        <v>9096</v>
      </c>
      <c r="C5026" s="32" t="s">
        <v>13833</v>
      </c>
      <c r="D5026" s="32" t="s">
        <v>13834</v>
      </c>
    </row>
    <row r="5027" spans="2:4" x14ac:dyDescent="0.3">
      <c r="B5027" s="33" t="s">
        <v>13835</v>
      </c>
      <c r="C5027" s="32" t="s">
        <v>13836</v>
      </c>
      <c r="D5027" s="32" t="s">
        <v>13837</v>
      </c>
    </row>
    <row r="5028" spans="2:4" x14ac:dyDescent="0.3">
      <c r="B5028" s="33" t="s">
        <v>13838</v>
      </c>
      <c r="C5028" s="32" t="s">
        <v>13839</v>
      </c>
      <c r="D5028" s="32" t="s">
        <v>13840</v>
      </c>
    </row>
    <row r="5029" spans="2:4" x14ac:dyDescent="0.3">
      <c r="B5029" s="33" t="s">
        <v>13841</v>
      </c>
      <c r="C5029" s="32" t="s">
        <v>13842</v>
      </c>
      <c r="D5029" s="32" t="s">
        <v>13843</v>
      </c>
    </row>
    <row r="5030" spans="2:4" x14ac:dyDescent="0.3">
      <c r="B5030" s="33" t="s">
        <v>13844</v>
      </c>
      <c r="C5030" s="32" t="s">
        <v>13845</v>
      </c>
      <c r="D5030" s="32" t="s">
        <v>13846</v>
      </c>
    </row>
    <row r="5031" spans="2:4" x14ac:dyDescent="0.3">
      <c r="B5031" s="33" t="s">
        <v>13847</v>
      </c>
      <c r="C5031" s="32" t="s">
        <v>13848</v>
      </c>
      <c r="D5031" s="32" t="s">
        <v>13849</v>
      </c>
    </row>
    <row r="5032" spans="2:4" x14ac:dyDescent="0.3">
      <c r="B5032" s="33" t="s">
        <v>13850</v>
      </c>
      <c r="C5032" s="32" t="s">
        <v>13851</v>
      </c>
      <c r="D5032" s="32" t="s">
        <v>13852</v>
      </c>
    </row>
    <row r="5033" spans="2:4" x14ac:dyDescent="0.3">
      <c r="B5033" s="33" t="s">
        <v>13853</v>
      </c>
      <c r="C5033" s="32" t="s">
        <v>13854</v>
      </c>
      <c r="D5033" s="32" t="s">
        <v>13855</v>
      </c>
    </row>
    <row r="5034" spans="2:4" x14ac:dyDescent="0.3">
      <c r="B5034" s="33" t="s">
        <v>13856</v>
      </c>
      <c r="C5034" s="32" t="s">
        <v>13857</v>
      </c>
      <c r="D5034" s="32" t="s">
        <v>13858</v>
      </c>
    </row>
    <row r="5035" spans="2:4" x14ac:dyDescent="0.3">
      <c r="B5035" s="33" t="s">
        <v>13859</v>
      </c>
      <c r="C5035" s="32" t="s">
        <v>13860</v>
      </c>
      <c r="D5035" s="32" t="s">
        <v>13861</v>
      </c>
    </row>
    <row r="5036" spans="2:4" x14ac:dyDescent="0.3">
      <c r="B5036" s="33" t="s">
        <v>13862</v>
      </c>
      <c r="C5036" s="32" t="s">
        <v>13863</v>
      </c>
      <c r="D5036" s="32" t="s">
        <v>13864</v>
      </c>
    </row>
    <row r="5037" spans="2:4" x14ac:dyDescent="0.3">
      <c r="B5037" s="33" t="s">
        <v>13865</v>
      </c>
      <c r="C5037" s="32" t="s">
        <v>13866</v>
      </c>
      <c r="D5037" s="32" t="s">
        <v>13867</v>
      </c>
    </row>
    <row r="5038" spans="2:4" x14ac:dyDescent="0.3">
      <c r="B5038" s="33" t="s">
        <v>13868</v>
      </c>
      <c r="C5038" s="32" t="s">
        <v>13869</v>
      </c>
      <c r="D5038" s="32" t="s">
        <v>13870</v>
      </c>
    </row>
    <row r="5039" spans="2:4" x14ac:dyDescent="0.3">
      <c r="B5039" s="33" t="s">
        <v>13871</v>
      </c>
      <c r="C5039" s="32" t="s">
        <v>13872</v>
      </c>
      <c r="D5039" s="32" t="s">
        <v>13873</v>
      </c>
    </row>
    <row r="5040" spans="2:4" x14ac:dyDescent="0.3">
      <c r="B5040" s="33" t="s">
        <v>13874</v>
      </c>
      <c r="C5040" s="32" t="s">
        <v>13875</v>
      </c>
      <c r="D5040" s="32" t="s">
        <v>13876</v>
      </c>
    </row>
    <row r="5041" spans="2:4" x14ac:dyDescent="0.3">
      <c r="B5041" s="33" t="s">
        <v>13877</v>
      </c>
      <c r="C5041" s="32" t="s">
        <v>13878</v>
      </c>
      <c r="D5041" s="32" t="s">
        <v>13879</v>
      </c>
    </row>
    <row r="5042" spans="2:4" x14ac:dyDescent="0.3">
      <c r="B5042" s="33" t="s">
        <v>13880</v>
      </c>
      <c r="C5042" s="32" t="s">
        <v>13881</v>
      </c>
      <c r="D5042" s="32" t="s">
        <v>13882</v>
      </c>
    </row>
    <row r="5043" spans="2:4" x14ac:dyDescent="0.3">
      <c r="B5043" s="33" t="s">
        <v>13883</v>
      </c>
      <c r="C5043" s="32" t="s">
        <v>13884</v>
      </c>
      <c r="D5043" s="32" t="s">
        <v>13885</v>
      </c>
    </row>
    <row r="5044" spans="2:4" x14ac:dyDescent="0.3">
      <c r="B5044" s="33" t="s">
        <v>13886</v>
      </c>
      <c r="C5044" s="32" t="s">
        <v>13887</v>
      </c>
      <c r="D5044" s="32" t="s">
        <v>13888</v>
      </c>
    </row>
    <row r="5045" spans="2:4" x14ac:dyDescent="0.3">
      <c r="B5045" s="33" t="s">
        <v>13889</v>
      </c>
      <c r="C5045" s="32" t="s">
        <v>13890</v>
      </c>
      <c r="D5045" s="32" t="s">
        <v>13891</v>
      </c>
    </row>
    <row r="5046" spans="2:4" x14ac:dyDescent="0.3">
      <c r="B5046" s="33" t="s">
        <v>13892</v>
      </c>
      <c r="C5046" s="32" t="s">
        <v>13893</v>
      </c>
      <c r="D5046" s="32" t="s">
        <v>13894</v>
      </c>
    </row>
    <row r="5047" spans="2:4" x14ac:dyDescent="0.3">
      <c r="B5047" s="33" t="s">
        <v>13895</v>
      </c>
      <c r="C5047" s="32" t="s">
        <v>13896</v>
      </c>
      <c r="D5047" s="32" t="s">
        <v>13897</v>
      </c>
    </row>
    <row r="5048" spans="2:4" x14ac:dyDescent="0.3">
      <c r="B5048" s="33" t="s">
        <v>13827</v>
      </c>
      <c r="C5048" s="32" t="s">
        <v>13898</v>
      </c>
      <c r="D5048" s="32" t="s">
        <v>13899</v>
      </c>
    </row>
    <row r="5049" spans="2:4" x14ac:dyDescent="0.3">
      <c r="B5049" s="33" t="s">
        <v>13873</v>
      </c>
      <c r="C5049" s="32" t="s">
        <v>13900</v>
      </c>
      <c r="D5049" s="32" t="s">
        <v>13901</v>
      </c>
    </row>
    <row r="5050" spans="2:4" x14ac:dyDescent="0.3">
      <c r="B5050" s="33" t="s">
        <v>13902</v>
      </c>
      <c r="C5050" s="32" t="s">
        <v>13903</v>
      </c>
      <c r="D5050" s="32" t="s">
        <v>13904</v>
      </c>
    </row>
    <row r="5051" spans="2:4" x14ac:dyDescent="0.3">
      <c r="B5051" s="33" t="s">
        <v>13905</v>
      </c>
      <c r="C5051" s="32" t="s">
        <v>13906</v>
      </c>
      <c r="D5051" s="32" t="s">
        <v>13907</v>
      </c>
    </row>
    <row r="5052" spans="2:4" x14ac:dyDescent="0.3">
      <c r="B5052" s="33" t="s">
        <v>13908</v>
      </c>
      <c r="C5052" s="32" t="s">
        <v>13909</v>
      </c>
      <c r="D5052" s="32" t="s">
        <v>13910</v>
      </c>
    </row>
    <row r="5053" spans="2:4" x14ac:dyDescent="0.3">
      <c r="B5053" s="33" t="s">
        <v>13911</v>
      </c>
      <c r="C5053" s="32" t="s">
        <v>13912</v>
      </c>
      <c r="D5053" s="32" t="s">
        <v>13913</v>
      </c>
    </row>
    <row r="5054" spans="2:4" x14ac:dyDescent="0.3">
      <c r="B5054" s="33" t="s">
        <v>13914</v>
      </c>
      <c r="C5054" s="32" t="s">
        <v>13915</v>
      </c>
      <c r="D5054" s="32" t="s">
        <v>13916</v>
      </c>
    </row>
    <row r="5055" spans="2:4" x14ac:dyDescent="0.3">
      <c r="B5055" s="33" t="s">
        <v>13917</v>
      </c>
      <c r="C5055" s="32" t="s">
        <v>13918</v>
      </c>
      <c r="D5055" s="32" t="s">
        <v>13919</v>
      </c>
    </row>
    <row r="5056" spans="2:4" x14ac:dyDescent="0.3">
      <c r="B5056" s="33" t="s">
        <v>13920</v>
      </c>
      <c r="C5056" s="32" t="s">
        <v>13921</v>
      </c>
      <c r="D5056" s="32" t="s">
        <v>13922</v>
      </c>
    </row>
    <row r="5057" spans="2:4" x14ac:dyDescent="0.3">
      <c r="B5057" s="33" t="s">
        <v>13923</v>
      </c>
      <c r="C5057" s="32" t="s">
        <v>13924</v>
      </c>
      <c r="D5057" s="32" t="s">
        <v>13925</v>
      </c>
    </row>
    <row r="5058" spans="2:4" x14ac:dyDescent="0.3">
      <c r="B5058" s="33" t="s">
        <v>13926</v>
      </c>
      <c r="C5058" s="32" t="s">
        <v>13927</v>
      </c>
      <c r="D5058" s="32" t="s">
        <v>13928</v>
      </c>
    </row>
    <row r="5059" spans="2:4" x14ac:dyDescent="0.3">
      <c r="B5059" s="33" t="s">
        <v>13929</v>
      </c>
      <c r="C5059" s="32" t="s">
        <v>13930</v>
      </c>
      <c r="D5059" s="32" t="s">
        <v>13931</v>
      </c>
    </row>
    <row r="5060" spans="2:4" x14ac:dyDescent="0.3">
      <c r="B5060" s="33" t="s">
        <v>3883</v>
      </c>
      <c r="C5060" s="32" t="s">
        <v>13932</v>
      </c>
      <c r="D5060" s="32" t="s">
        <v>13933</v>
      </c>
    </row>
    <row r="5061" spans="2:4" x14ac:dyDescent="0.3">
      <c r="B5061" s="33" t="s">
        <v>13934</v>
      </c>
      <c r="C5061" s="32" t="s">
        <v>13935</v>
      </c>
      <c r="D5061" s="32" t="s">
        <v>13936</v>
      </c>
    </row>
    <row r="5062" spans="2:4" x14ac:dyDescent="0.3">
      <c r="B5062" s="33" t="s">
        <v>13937</v>
      </c>
      <c r="C5062" s="32" t="s">
        <v>13938</v>
      </c>
      <c r="D5062" s="32" t="s">
        <v>13939</v>
      </c>
    </row>
    <row r="5063" spans="2:4" x14ac:dyDescent="0.3">
      <c r="B5063" s="33" t="s">
        <v>13940</v>
      </c>
      <c r="C5063" s="32" t="s">
        <v>13941</v>
      </c>
      <c r="D5063" s="32" t="s">
        <v>13942</v>
      </c>
    </row>
    <row r="5064" spans="2:4" x14ac:dyDescent="0.3">
      <c r="B5064" s="33" t="s">
        <v>13943</v>
      </c>
      <c r="C5064" s="32" t="s">
        <v>13944</v>
      </c>
      <c r="D5064" s="32" t="s">
        <v>13945</v>
      </c>
    </row>
    <row r="5065" spans="2:4" x14ac:dyDescent="0.3">
      <c r="B5065" s="33" t="s">
        <v>13929</v>
      </c>
      <c r="C5065" s="32" t="s">
        <v>13946</v>
      </c>
      <c r="D5065" s="32" t="s">
        <v>13947</v>
      </c>
    </row>
    <row r="5066" spans="2:4" x14ac:dyDescent="0.3">
      <c r="B5066" s="33" t="s">
        <v>13948</v>
      </c>
      <c r="C5066" s="32" t="s">
        <v>13949</v>
      </c>
      <c r="D5066" s="32" t="s">
        <v>13950</v>
      </c>
    </row>
    <row r="5067" spans="2:4" x14ac:dyDescent="0.3">
      <c r="B5067" s="33" t="s">
        <v>13948</v>
      </c>
      <c r="C5067" s="32" t="s">
        <v>13951</v>
      </c>
      <c r="D5067" s="32" t="s">
        <v>13952</v>
      </c>
    </row>
    <row r="5068" spans="2:4" x14ac:dyDescent="0.3">
      <c r="B5068" s="33" t="s">
        <v>13953</v>
      </c>
      <c r="C5068" s="32" t="s">
        <v>13954</v>
      </c>
      <c r="D5068" s="32" t="s">
        <v>13955</v>
      </c>
    </row>
    <row r="5069" spans="2:4" x14ac:dyDescent="0.3">
      <c r="B5069" s="33" t="s">
        <v>13775</v>
      </c>
      <c r="C5069" s="32" t="s">
        <v>13956</v>
      </c>
      <c r="D5069" s="32" t="s">
        <v>13957</v>
      </c>
    </row>
    <row r="5070" spans="2:4" x14ac:dyDescent="0.3">
      <c r="B5070" s="33" t="s">
        <v>13958</v>
      </c>
      <c r="C5070" s="32" t="s">
        <v>13959</v>
      </c>
      <c r="D5070" s="32" t="s">
        <v>13960</v>
      </c>
    </row>
    <row r="5071" spans="2:4" x14ac:dyDescent="0.3">
      <c r="B5071" s="33" t="s">
        <v>13961</v>
      </c>
      <c r="C5071" s="32" t="s">
        <v>13962</v>
      </c>
      <c r="D5071" s="32" t="s">
        <v>13963</v>
      </c>
    </row>
    <row r="5072" spans="2:4" x14ac:dyDescent="0.3">
      <c r="B5072" s="33" t="s">
        <v>13964</v>
      </c>
      <c r="C5072" s="32" t="s">
        <v>13965</v>
      </c>
      <c r="D5072" s="32" t="s">
        <v>13966</v>
      </c>
    </row>
    <row r="5073" spans="2:4" x14ac:dyDescent="0.3">
      <c r="B5073" s="33" t="s">
        <v>13967</v>
      </c>
      <c r="C5073" s="32" t="s">
        <v>13968</v>
      </c>
      <c r="D5073" s="32" t="s">
        <v>36837</v>
      </c>
    </row>
    <row r="5074" spans="2:4" x14ac:dyDescent="0.3">
      <c r="B5074" s="33" t="s">
        <v>13969</v>
      </c>
      <c r="C5074" s="32" t="s">
        <v>13970</v>
      </c>
      <c r="D5074" s="32" t="s">
        <v>13971</v>
      </c>
    </row>
    <row r="5075" spans="2:4" x14ac:dyDescent="0.3">
      <c r="B5075" s="33" t="s">
        <v>13972</v>
      </c>
      <c r="C5075" s="32" t="s">
        <v>13973</v>
      </c>
      <c r="D5075" s="32" t="s">
        <v>13974</v>
      </c>
    </row>
    <row r="5076" spans="2:4" x14ac:dyDescent="0.3">
      <c r="B5076" s="33" t="s">
        <v>13972</v>
      </c>
      <c r="C5076" s="32" t="s">
        <v>13975</v>
      </c>
      <c r="D5076" s="32" t="s">
        <v>13976</v>
      </c>
    </row>
    <row r="5077" spans="2:4" x14ac:dyDescent="0.3">
      <c r="B5077" s="33" t="s">
        <v>13977</v>
      </c>
      <c r="C5077" s="32" t="s">
        <v>13978</v>
      </c>
      <c r="D5077" s="32" t="s">
        <v>13979</v>
      </c>
    </row>
    <row r="5078" spans="2:4" x14ac:dyDescent="0.3">
      <c r="B5078" s="33" t="s">
        <v>13977</v>
      </c>
      <c r="C5078" s="32" t="s">
        <v>13980</v>
      </c>
      <c r="D5078" s="32" t="s">
        <v>13981</v>
      </c>
    </row>
    <row r="5079" spans="2:4" x14ac:dyDescent="0.3">
      <c r="B5079" s="33" t="s">
        <v>13982</v>
      </c>
      <c r="C5079" s="32" t="s">
        <v>13983</v>
      </c>
      <c r="D5079" s="32" t="s">
        <v>13984</v>
      </c>
    </row>
    <row r="5080" spans="2:4" x14ac:dyDescent="0.3">
      <c r="B5080" s="33" t="s">
        <v>13985</v>
      </c>
      <c r="C5080" s="32" t="s">
        <v>13986</v>
      </c>
      <c r="D5080" s="32" t="s">
        <v>13987</v>
      </c>
    </row>
    <row r="5081" spans="2:4" x14ac:dyDescent="0.3">
      <c r="B5081" s="33" t="s">
        <v>13988</v>
      </c>
      <c r="C5081" s="32" t="s">
        <v>13989</v>
      </c>
      <c r="D5081" s="32" t="s">
        <v>13990</v>
      </c>
    </row>
    <row r="5082" spans="2:4" x14ac:dyDescent="0.3">
      <c r="B5082" s="33" t="s">
        <v>13812</v>
      </c>
      <c r="C5082" s="32" t="s">
        <v>13991</v>
      </c>
      <c r="D5082" s="32" t="s">
        <v>13992</v>
      </c>
    </row>
    <row r="5083" spans="2:4" x14ac:dyDescent="0.3">
      <c r="B5083" s="33" t="s">
        <v>13993</v>
      </c>
      <c r="C5083" s="32" t="s">
        <v>13994</v>
      </c>
      <c r="D5083" s="32" t="s">
        <v>13995</v>
      </c>
    </row>
    <row r="5084" spans="2:4" x14ac:dyDescent="0.3">
      <c r="B5084" s="33" t="s">
        <v>13993</v>
      </c>
      <c r="C5084" s="32" t="s">
        <v>13996</v>
      </c>
      <c r="D5084" s="32" t="s">
        <v>13997</v>
      </c>
    </row>
    <row r="5085" spans="2:4" x14ac:dyDescent="0.3">
      <c r="B5085" s="33" t="s">
        <v>13998</v>
      </c>
      <c r="C5085" s="32" t="s">
        <v>13999</v>
      </c>
      <c r="D5085" s="32" t="s">
        <v>14000</v>
      </c>
    </row>
    <row r="5086" spans="2:4" x14ac:dyDescent="0.3">
      <c r="B5086" s="33" t="s">
        <v>14001</v>
      </c>
      <c r="C5086" s="32" t="s">
        <v>14002</v>
      </c>
      <c r="D5086" s="32" t="s">
        <v>14003</v>
      </c>
    </row>
    <row r="5087" spans="2:4" x14ac:dyDescent="0.3">
      <c r="B5087" s="33" t="s">
        <v>14004</v>
      </c>
      <c r="C5087" s="32" t="s">
        <v>14005</v>
      </c>
      <c r="D5087" s="32" t="s">
        <v>14006</v>
      </c>
    </row>
    <row r="5088" spans="2:4" x14ac:dyDescent="0.3">
      <c r="B5088" s="33" t="s">
        <v>14007</v>
      </c>
      <c r="C5088" s="32" t="s">
        <v>14008</v>
      </c>
      <c r="D5088" s="32" t="s">
        <v>14009</v>
      </c>
    </row>
    <row r="5089" spans="2:4" x14ac:dyDescent="0.3">
      <c r="B5089" s="33" t="s">
        <v>14010</v>
      </c>
      <c r="C5089" s="32" t="s">
        <v>14011</v>
      </c>
      <c r="D5089" s="32" t="s">
        <v>14012</v>
      </c>
    </row>
    <row r="5090" spans="2:4" x14ac:dyDescent="0.3">
      <c r="B5090" s="33" t="s">
        <v>14013</v>
      </c>
      <c r="C5090" s="32" t="s">
        <v>14014</v>
      </c>
      <c r="D5090" s="32" t="s">
        <v>14015</v>
      </c>
    </row>
    <row r="5091" spans="2:4" x14ac:dyDescent="0.3">
      <c r="B5091" s="33" t="s">
        <v>14016</v>
      </c>
      <c r="C5091" s="32" t="s">
        <v>14017</v>
      </c>
      <c r="D5091" s="32" t="s">
        <v>14018</v>
      </c>
    </row>
    <row r="5092" spans="2:4" x14ac:dyDescent="0.3">
      <c r="B5092" s="33" t="s">
        <v>37198</v>
      </c>
      <c r="C5092" s="32" t="s">
        <v>37199</v>
      </c>
      <c r="D5092" s="32" t="s">
        <v>37200</v>
      </c>
    </row>
    <row r="5093" spans="2:4" x14ac:dyDescent="0.3">
      <c r="B5093" s="33" t="s">
        <v>14019</v>
      </c>
      <c r="C5093" s="32" t="s">
        <v>14020</v>
      </c>
      <c r="D5093" s="32" t="s">
        <v>14021</v>
      </c>
    </row>
    <row r="5094" spans="2:4" x14ac:dyDescent="0.3">
      <c r="B5094" s="33" t="s">
        <v>14022</v>
      </c>
      <c r="C5094" s="32" t="s">
        <v>14023</v>
      </c>
      <c r="D5094" s="32" t="s">
        <v>14022</v>
      </c>
    </row>
    <row r="5095" spans="2:4" x14ac:dyDescent="0.3">
      <c r="B5095" s="33" t="s">
        <v>14024</v>
      </c>
      <c r="C5095" s="32" t="s">
        <v>14025</v>
      </c>
      <c r="D5095" s="32" t="s">
        <v>14026</v>
      </c>
    </row>
    <row r="5096" spans="2:4" x14ac:dyDescent="0.3">
      <c r="B5096" s="33" t="s">
        <v>14027</v>
      </c>
      <c r="C5096" s="32" t="s">
        <v>14028</v>
      </c>
      <c r="D5096" s="32" t="s">
        <v>14029</v>
      </c>
    </row>
    <row r="5097" spans="2:4" x14ac:dyDescent="0.3">
      <c r="B5097" s="33" t="s">
        <v>14030</v>
      </c>
      <c r="C5097" s="32" t="s">
        <v>14031</v>
      </c>
      <c r="D5097" s="32" t="s">
        <v>14032</v>
      </c>
    </row>
    <row r="5098" spans="2:4" x14ac:dyDescent="0.3">
      <c r="B5098" s="33" t="s">
        <v>14033</v>
      </c>
      <c r="C5098" s="32" t="s">
        <v>14034</v>
      </c>
      <c r="D5098" s="32" t="s">
        <v>14035</v>
      </c>
    </row>
    <row r="5099" spans="2:4" x14ac:dyDescent="0.3">
      <c r="B5099" s="33" t="s">
        <v>4896</v>
      </c>
      <c r="C5099" s="32" t="s">
        <v>14036</v>
      </c>
      <c r="D5099" s="32" t="s">
        <v>14037</v>
      </c>
    </row>
    <row r="5100" spans="2:4" x14ac:dyDescent="0.3">
      <c r="B5100" s="33" t="s">
        <v>4896</v>
      </c>
      <c r="C5100" s="32" t="s">
        <v>14038</v>
      </c>
      <c r="D5100" s="32" t="s">
        <v>14039</v>
      </c>
    </row>
    <row r="5101" spans="2:4" x14ac:dyDescent="0.3">
      <c r="B5101" s="33" t="s">
        <v>14832</v>
      </c>
      <c r="C5101" s="32" t="s">
        <v>36722</v>
      </c>
      <c r="D5101" s="32" t="s">
        <v>36723</v>
      </c>
    </row>
    <row r="5102" spans="2:4" x14ac:dyDescent="0.3">
      <c r="B5102" s="33" t="s">
        <v>14040</v>
      </c>
      <c r="C5102" s="32" t="s">
        <v>14041</v>
      </c>
      <c r="D5102" s="32" t="s">
        <v>14040</v>
      </c>
    </row>
    <row r="5103" spans="2:4" x14ac:dyDescent="0.3">
      <c r="B5103" s="33" t="s">
        <v>14042</v>
      </c>
      <c r="C5103" s="32" t="s">
        <v>14043</v>
      </c>
      <c r="D5103" s="32" t="s">
        <v>14044</v>
      </c>
    </row>
    <row r="5104" spans="2:4" x14ac:dyDescent="0.3">
      <c r="B5104" s="33" t="s">
        <v>14045</v>
      </c>
      <c r="C5104" s="32" t="s">
        <v>14046</v>
      </c>
      <c r="D5104" s="32" t="s">
        <v>14047</v>
      </c>
    </row>
    <row r="5105" spans="2:4" x14ac:dyDescent="0.3">
      <c r="B5105" s="33" t="s">
        <v>14048</v>
      </c>
      <c r="C5105" s="32" t="s">
        <v>14049</v>
      </c>
      <c r="D5105" s="32" t="s">
        <v>14050</v>
      </c>
    </row>
    <row r="5106" spans="2:4" x14ac:dyDescent="0.3">
      <c r="B5106" s="33" t="s">
        <v>14051</v>
      </c>
      <c r="C5106" s="32" t="s">
        <v>14052</v>
      </c>
      <c r="D5106" s="32" t="s">
        <v>14053</v>
      </c>
    </row>
    <row r="5107" spans="2:4" x14ac:dyDescent="0.3">
      <c r="B5107" s="33" t="s">
        <v>14054</v>
      </c>
      <c r="C5107" s="32" t="s">
        <v>14055</v>
      </c>
      <c r="D5107" s="32" t="s">
        <v>14056</v>
      </c>
    </row>
    <row r="5108" spans="2:4" x14ac:dyDescent="0.3">
      <c r="B5108" s="33" t="s">
        <v>14057</v>
      </c>
      <c r="C5108" s="32" t="s">
        <v>14058</v>
      </c>
      <c r="D5108" s="32" t="s">
        <v>14059</v>
      </c>
    </row>
    <row r="5109" spans="2:4" x14ac:dyDescent="0.3">
      <c r="B5109" s="33" t="s">
        <v>14060</v>
      </c>
      <c r="C5109" s="32" t="s">
        <v>14061</v>
      </c>
      <c r="D5109" s="32" t="s">
        <v>14062</v>
      </c>
    </row>
    <row r="5110" spans="2:4" x14ac:dyDescent="0.3">
      <c r="B5110" s="33" t="s">
        <v>14063</v>
      </c>
      <c r="C5110" s="32" t="s">
        <v>14064</v>
      </c>
      <c r="D5110" s="32" t="s">
        <v>14065</v>
      </c>
    </row>
    <row r="5111" spans="2:4" x14ac:dyDescent="0.3">
      <c r="B5111" s="33" t="s">
        <v>14066</v>
      </c>
      <c r="C5111" s="32" t="s">
        <v>14067</v>
      </c>
      <c r="D5111" s="32" t="s">
        <v>14068</v>
      </c>
    </row>
    <row r="5112" spans="2:4" x14ac:dyDescent="0.3">
      <c r="B5112" s="33" t="s">
        <v>14069</v>
      </c>
      <c r="C5112" s="32" t="s">
        <v>14070</v>
      </c>
      <c r="D5112" s="32" t="s">
        <v>14071</v>
      </c>
    </row>
    <row r="5113" spans="2:4" x14ac:dyDescent="0.3">
      <c r="B5113" s="33" t="s">
        <v>14072</v>
      </c>
      <c r="C5113" s="32" t="s">
        <v>14073</v>
      </c>
      <c r="D5113" s="32" t="s">
        <v>14074</v>
      </c>
    </row>
    <row r="5114" spans="2:4" x14ac:dyDescent="0.3">
      <c r="B5114" s="33" t="s">
        <v>14075</v>
      </c>
      <c r="C5114" s="32" t="s">
        <v>14076</v>
      </c>
      <c r="D5114" s="32" t="s">
        <v>14077</v>
      </c>
    </row>
    <row r="5115" spans="2:4" x14ac:dyDescent="0.3">
      <c r="B5115" s="33" t="s">
        <v>14078</v>
      </c>
      <c r="C5115" s="32" t="s">
        <v>14079</v>
      </c>
      <c r="D5115" s="32" t="s">
        <v>14080</v>
      </c>
    </row>
    <row r="5116" spans="2:4" x14ac:dyDescent="0.3">
      <c r="B5116" s="33" t="s">
        <v>14081</v>
      </c>
      <c r="C5116" s="32" t="s">
        <v>14082</v>
      </c>
      <c r="D5116" s="32" t="s">
        <v>14083</v>
      </c>
    </row>
    <row r="5117" spans="2:4" x14ac:dyDescent="0.3">
      <c r="B5117" s="33" t="s">
        <v>14084</v>
      </c>
      <c r="C5117" s="32" t="s">
        <v>14085</v>
      </c>
      <c r="D5117" s="32" t="s">
        <v>14086</v>
      </c>
    </row>
    <row r="5118" spans="2:4" x14ac:dyDescent="0.3">
      <c r="B5118" s="33" t="s">
        <v>14087</v>
      </c>
      <c r="C5118" s="32" t="s">
        <v>14088</v>
      </c>
      <c r="D5118" s="32" t="s">
        <v>14089</v>
      </c>
    </row>
    <row r="5119" spans="2:4" x14ac:dyDescent="0.3">
      <c r="B5119" s="33" t="s">
        <v>14090</v>
      </c>
      <c r="C5119" s="32" t="s">
        <v>14091</v>
      </c>
      <c r="D5119" s="32" t="s">
        <v>37014</v>
      </c>
    </row>
    <row r="5120" spans="2:4" x14ac:dyDescent="0.3">
      <c r="B5120" s="33" t="s">
        <v>14092</v>
      </c>
      <c r="C5120" s="32" t="s">
        <v>14093</v>
      </c>
      <c r="D5120" s="32" t="s">
        <v>14094</v>
      </c>
    </row>
    <row r="5121" spans="2:4" x14ac:dyDescent="0.3">
      <c r="B5121" s="33" t="s">
        <v>1816</v>
      </c>
      <c r="C5121" s="32" t="s">
        <v>14095</v>
      </c>
      <c r="D5121" s="32" t="s">
        <v>14096</v>
      </c>
    </row>
    <row r="5122" spans="2:4" x14ac:dyDescent="0.3">
      <c r="B5122" s="33" t="s">
        <v>14097</v>
      </c>
      <c r="C5122" s="32" t="s">
        <v>14098</v>
      </c>
      <c r="D5122" s="32" t="s">
        <v>14099</v>
      </c>
    </row>
    <row r="5123" spans="2:4" x14ac:dyDescent="0.3">
      <c r="B5123" s="33" t="s">
        <v>1570</v>
      </c>
      <c r="C5123" s="32" t="s">
        <v>14100</v>
      </c>
      <c r="D5123" s="32" t="s">
        <v>14101</v>
      </c>
    </row>
    <row r="5124" spans="2:4" x14ac:dyDescent="0.3">
      <c r="B5124" s="33" t="s">
        <v>1570</v>
      </c>
      <c r="C5124" s="32" t="s">
        <v>14102</v>
      </c>
      <c r="D5124" s="32" t="s">
        <v>14103</v>
      </c>
    </row>
    <row r="5125" spans="2:4" x14ac:dyDescent="0.3">
      <c r="B5125" s="33" t="s">
        <v>14104</v>
      </c>
      <c r="C5125" s="32" t="s">
        <v>14105</v>
      </c>
      <c r="D5125" s="32" t="s">
        <v>14106</v>
      </c>
    </row>
    <row r="5126" spans="2:4" x14ac:dyDescent="0.3">
      <c r="B5126" s="33" t="s">
        <v>14107</v>
      </c>
      <c r="C5126" s="32" t="s">
        <v>14108</v>
      </c>
      <c r="D5126" s="32" t="s">
        <v>14109</v>
      </c>
    </row>
    <row r="5127" spans="2:4" x14ac:dyDescent="0.3">
      <c r="B5127" s="33" t="s">
        <v>14110</v>
      </c>
      <c r="C5127" s="32" t="s">
        <v>14111</v>
      </c>
      <c r="D5127" s="32" t="s">
        <v>14110</v>
      </c>
    </row>
    <row r="5128" spans="2:4" x14ac:dyDescent="0.3">
      <c r="B5128" s="33" t="s">
        <v>14112</v>
      </c>
      <c r="C5128" s="32" t="s">
        <v>14113</v>
      </c>
      <c r="D5128" s="32" t="s">
        <v>14114</v>
      </c>
    </row>
    <row r="5129" spans="2:4" x14ac:dyDescent="0.3">
      <c r="B5129" s="33" t="s">
        <v>14115</v>
      </c>
      <c r="C5129" s="32" t="s">
        <v>14116</v>
      </c>
      <c r="D5129" s="32" t="s">
        <v>14117</v>
      </c>
    </row>
    <row r="5130" spans="2:4" x14ac:dyDescent="0.3">
      <c r="B5130" s="33" t="s">
        <v>14118</v>
      </c>
      <c r="C5130" s="32" t="s">
        <v>14119</v>
      </c>
      <c r="D5130" s="32" t="s">
        <v>14120</v>
      </c>
    </row>
    <row r="5131" spans="2:4" x14ac:dyDescent="0.3">
      <c r="B5131" s="33" t="s">
        <v>14121</v>
      </c>
      <c r="C5131" s="32" t="s">
        <v>14122</v>
      </c>
      <c r="D5131" s="32" t="s">
        <v>14123</v>
      </c>
    </row>
    <row r="5132" spans="2:4" x14ac:dyDescent="0.3">
      <c r="B5132" s="33" t="s">
        <v>14124</v>
      </c>
      <c r="C5132" s="32" t="s">
        <v>14125</v>
      </c>
      <c r="D5132" s="32" t="s">
        <v>14126</v>
      </c>
    </row>
    <row r="5133" spans="2:4" x14ac:dyDescent="0.3">
      <c r="B5133" s="33" t="s">
        <v>14127</v>
      </c>
      <c r="C5133" s="32" t="s">
        <v>14128</v>
      </c>
      <c r="D5133" s="32" t="s">
        <v>14129</v>
      </c>
    </row>
    <row r="5134" spans="2:4" x14ac:dyDescent="0.3">
      <c r="B5134" s="33" t="s">
        <v>127</v>
      </c>
      <c r="C5134" s="32" t="s">
        <v>14130</v>
      </c>
      <c r="D5134" s="32" t="s">
        <v>14131</v>
      </c>
    </row>
    <row r="5135" spans="2:4" x14ac:dyDescent="0.3">
      <c r="B5135" s="33" t="s">
        <v>14132</v>
      </c>
      <c r="C5135" s="32" t="s">
        <v>14133</v>
      </c>
      <c r="D5135" s="32" t="s">
        <v>14134</v>
      </c>
    </row>
    <row r="5136" spans="2:4" x14ac:dyDescent="0.3">
      <c r="B5136" s="33" t="s">
        <v>14756</v>
      </c>
      <c r="C5136" s="32" t="s">
        <v>37015</v>
      </c>
      <c r="D5136" s="32" t="s">
        <v>37016</v>
      </c>
    </row>
    <row r="5137" spans="2:4" x14ac:dyDescent="0.3">
      <c r="B5137" s="33" t="s">
        <v>14135</v>
      </c>
      <c r="C5137" s="32" t="s">
        <v>14136</v>
      </c>
      <c r="D5137" s="32" t="s">
        <v>14137</v>
      </c>
    </row>
    <row r="5138" spans="2:4" x14ac:dyDescent="0.3">
      <c r="B5138" s="33" t="s">
        <v>14138</v>
      </c>
      <c r="C5138" s="32" t="s">
        <v>14139</v>
      </c>
      <c r="D5138" s="32" t="s">
        <v>14140</v>
      </c>
    </row>
    <row r="5139" spans="2:4" x14ac:dyDescent="0.3">
      <c r="B5139" s="33" t="s">
        <v>14141</v>
      </c>
      <c r="C5139" s="32" t="s">
        <v>14142</v>
      </c>
      <c r="D5139" s="32" t="s">
        <v>14143</v>
      </c>
    </row>
    <row r="5140" spans="2:4" x14ac:dyDescent="0.3">
      <c r="B5140" s="33" t="s">
        <v>14144</v>
      </c>
      <c r="C5140" s="32" t="s">
        <v>14145</v>
      </c>
      <c r="D5140" s="32" t="s">
        <v>14146</v>
      </c>
    </row>
    <row r="5141" spans="2:4" x14ac:dyDescent="0.3">
      <c r="B5141" s="33" t="s">
        <v>14147</v>
      </c>
      <c r="C5141" s="32" t="s">
        <v>14148</v>
      </c>
      <c r="D5141" s="32" t="s">
        <v>14149</v>
      </c>
    </row>
    <row r="5142" spans="2:4" x14ac:dyDescent="0.3">
      <c r="B5142" s="33" t="s">
        <v>14150</v>
      </c>
      <c r="C5142" s="32" t="s">
        <v>14151</v>
      </c>
      <c r="D5142" s="32" t="s">
        <v>14152</v>
      </c>
    </row>
    <row r="5143" spans="2:4" x14ac:dyDescent="0.3">
      <c r="B5143" s="33" t="s">
        <v>14153</v>
      </c>
      <c r="C5143" s="32" t="s">
        <v>14154</v>
      </c>
      <c r="D5143" s="32" t="s">
        <v>14155</v>
      </c>
    </row>
    <row r="5144" spans="2:4" x14ac:dyDescent="0.3">
      <c r="B5144" s="33" t="s">
        <v>14156</v>
      </c>
      <c r="C5144" s="32" t="s">
        <v>14157</v>
      </c>
      <c r="D5144" s="32" t="s">
        <v>14158</v>
      </c>
    </row>
    <row r="5145" spans="2:4" x14ac:dyDescent="0.3">
      <c r="B5145" s="33" t="s">
        <v>14159</v>
      </c>
      <c r="C5145" s="32" t="s">
        <v>14160</v>
      </c>
      <c r="D5145" s="32" t="s">
        <v>14161</v>
      </c>
    </row>
    <row r="5146" spans="2:4" x14ac:dyDescent="0.3">
      <c r="B5146" s="33" t="s">
        <v>14162</v>
      </c>
      <c r="C5146" s="32" t="s">
        <v>14163</v>
      </c>
      <c r="D5146" s="32" t="s">
        <v>14164</v>
      </c>
    </row>
    <row r="5147" spans="2:4" x14ac:dyDescent="0.3">
      <c r="B5147" s="33" t="s">
        <v>14165</v>
      </c>
      <c r="C5147" s="32" t="s">
        <v>14166</v>
      </c>
      <c r="D5147" s="32" t="s">
        <v>14167</v>
      </c>
    </row>
    <row r="5148" spans="2:4" x14ac:dyDescent="0.3">
      <c r="B5148" s="33" t="s">
        <v>14168</v>
      </c>
      <c r="C5148" s="32" t="s">
        <v>14169</v>
      </c>
      <c r="D5148" s="32" t="s">
        <v>14170</v>
      </c>
    </row>
    <row r="5149" spans="2:4" x14ac:dyDescent="0.3">
      <c r="B5149" s="33" t="s">
        <v>14171</v>
      </c>
      <c r="C5149" s="32" t="s">
        <v>14172</v>
      </c>
      <c r="D5149" s="32" t="s">
        <v>14173</v>
      </c>
    </row>
    <row r="5150" spans="2:4" x14ac:dyDescent="0.3">
      <c r="B5150" s="33" t="s">
        <v>14174</v>
      </c>
      <c r="C5150" s="32" t="s">
        <v>14175</v>
      </c>
      <c r="D5150" s="32" t="s">
        <v>14176</v>
      </c>
    </row>
    <row r="5151" spans="2:4" x14ac:dyDescent="0.3">
      <c r="B5151" s="33" t="s">
        <v>14115</v>
      </c>
      <c r="C5151" s="32" t="s">
        <v>14177</v>
      </c>
      <c r="D5151" s="32" t="s">
        <v>14178</v>
      </c>
    </row>
    <row r="5152" spans="2:4" x14ac:dyDescent="0.3">
      <c r="B5152" s="33" t="s">
        <v>14179</v>
      </c>
      <c r="C5152" s="32" t="s">
        <v>14180</v>
      </c>
      <c r="D5152" s="32" t="s">
        <v>14179</v>
      </c>
    </row>
    <row r="5153" spans="2:4" x14ac:dyDescent="0.3">
      <c r="B5153" s="33" t="s">
        <v>14181</v>
      </c>
      <c r="C5153" s="32" t="s">
        <v>14182</v>
      </c>
      <c r="D5153" s="32" t="s">
        <v>14183</v>
      </c>
    </row>
    <row r="5154" spans="2:4" x14ac:dyDescent="0.3">
      <c r="B5154" s="33" t="s">
        <v>14184</v>
      </c>
      <c r="C5154" s="32" t="s">
        <v>14185</v>
      </c>
      <c r="D5154" s="32" t="s">
        <v>14186</v>
      </c>
    </row>
    <row r="5155" spans="2:4" x14ac:dyDescent="0.3">
      <c r="B5155" s="33" t="s">
        <v>14165</v>
      </c>
      <c r="C5155" s="32" t="s">
        <v>14187</v>
      </c>
      <c r="D5155" s="32" t="s">
        <v>14188</v>
      </c>
    </row>
    <row r="5156" spans="2:4" x14ac:dyDescent="0.3">
      <c r="B5156" s="33" t="s">
        <v>14189</v>
      </c>
      <c r="C5156" s="32" t="s">
        <v>14190</v>
      </c>
      <c r="D5156" s="32" t="s">
        <v>14191</v>
      </c>
    </row>
    <row r="5157" spans="2:4" x14ac:dyDescent="0.3">
      <c r="B5157" s="33" t="s">
        <v>14192</v>
      </c>
      <c r="C5157" s="32" t="s">
        <v>14193</v>
      </c>
      <c r="D5157" s="32" t="s">
        <v>14194</v>
      </c>
    </row>
    <row r="5158" spans="2:4" x14ac:dyDescent="0.3">
      <c r="B5158" s="33" t="s">
        <v>14195</v>
      </c>
      <c r="C5158" s="32" t="s">
        <v>14196</v>
      </c>
      <c r="D5158" s="32" t="s">
        <v>14195</v>
      </c>
    </row>
    <row r="5159" spans="2:4" x14ac:dyDescent="0.3">
      <c r="B5159" s="33" t="s">
        <v>14197</v>
      </c>
      <c r="C5159" s="32" t="s">
        <v>14198</v>
      </c>
      <c r="D5159" s="32" t="s">
        <v>14199</v>
      </c>
    </row>
    <row r="5160" spans="2:4" x14ac:dyDescent="0.3">
      <c r="B5160" s="33" t="s">
        <v>14197</v>
      </c>
      <c r="C5160" s="32" t="s">
        <v>14200</v>
      </c>
      <c r="D5160" s="32" t="s">
        <v>14201</v>
      </c>
    </row>
    <row r="5161" spans="2:4" x14ac:dyDescent="0.3">
      <c r="B5161" s="33" t="s">
        <v>14202</v>
      </c>
      <c r="C5161" s="32" t="s">
        <v>14203</v>
      </c>
      <c r="D5161" s="32" t="s">
        <v>14204</v>
      </c>
    </row>
    <row r="5162" spans="2:4" x14ac:dyDescent="0.3">
      <c r="B5162" s="33" t="s">
        <v>14205</v>
      </c>
      <c r="C5162" s="32" t="s">
        <v>14206</v>
      </c>
      <c r="D5162" s="32" t="s">
        <v>14207</v>
      </c>
    </row>
    <row r="5163" spans="2:4" x14ac:dyDescent="0.3">
      <c r="B5163" s="33" t="s">
        <v>14208</v>
      </c>
      <c r="C5163" s="32" t="s">
        <v>14209</v>
      </c>
      <c r="D5163" s="32" t="s">
        <v>14210</v>
      </c>
    </row>
    <row r="5164" spans="2:4" x14ac:dyDescent="0.3">
      <c r="B5164" s="33" t="s">
        <v>14211</v>
      </c>
      <c r="C5164" s="32" t="s">
        <v>14212</v>
      </c>
      <c r="D5164" s="32" t="s">
        <v>14213</v>
      </c>
    </row>
    <row r="5165" spans="2:4" x14ac:dyDescent="0.3">
      <c r="B5165" s="33" t="s">
        <v>14214</v>
      </c>
      <c r="C5165" s="32" t="s">
        <v>14215</v>
      </c>
      <c r="D5165" s="32" t="s">
        <v>14216</v>
      </c>
    </row>
    <row r="5166" spans="2:4" x14ac:dyDescent="0.3">
      <c r="B5166" s="33" t="s">
        <v>14217</v>
      </c>
      <c r="C5166" s="32" t="s">
        <v>14218</v>
      </c>
      <c r="D5166" s="32" t="s">
        <v>14219</v>
      </c>
    </row>
    <row r="5167" spans="2:4" x14ac:dyDescent="0.3">
      <c r="B5167" s="33" t="s">
        <v>14220</v>
      </c>
      <c r="C5167" s="32" t="s">
        <v>14221</v>
      </c>
      <c r="D5167" s="32" t="s">
        <v>14222</v>
      </c>
    </row>
    <row r="5168" spans="2:4" x14ac:dyDescent="0.3">
      <c r="B5168" s="33" t="s">
        <v>14223</v>
      </c>
      <c r="C5168" s="32" t="s">
        <v>14224</v>
      </c>
      <c r="D5168" s="32" t="s">
        <v>14225</v>
      </c>
    </row>
    <row r="5169" spans="2:4" x14ac:dyDescent="0.3">
      <c r="B5169" s="33" t="s">
        <v>14226</v>
      </c>
      <c r="C5169" s="32" t="s">
        <v>14227</v>
      </c>
      <c r="D5169" s="32" t="s">
        <v>14228</v>
      </c>
    </row>
    <row r="5170" spans="2:4" x14ac:dyDescent="0.3">
      <c r="B5170" s="33" t="s">
        <v>14229</v>
      </c>
      <c r="C5170" s="32" t="s">
        <v>14230</v>
      </c>
      <c r="D5170" s="32" t="s">
        <v>13778</v>
      </c>
    </row>
    <row r="5171" spans="2:4" x14ac:dyDescent="0.3">
      <c r="B5171" s="33" t="s">
        <v>14231</v>
      </c>
      <c r="C5171" s="32" t="s">
        <v>14232</v>
      </c>
      <c r="D5171" s="32" t="s">
        <v>14233</v>
      </c>
    </row>
    <row r="5172" spans="2:4" x14ac:dyDescent="0.3">
      <c r="B5172" s="33" t="s">
        <v>14234</v>
      </c>
      <c r="C5172" s="32" t="s">
        <v>14235</v>
      </c>
      <c r="D5172" s="32" t="s">
        <v>14236</v>
      </c>
    </row>
    <row r="5173" spans="2:4" x14ac:dyDescent="0.3">
      <c r="B5173" s="33" t="s">
        <v>14237</v>
      </c>
      <c r="C5173" s="32" t="s">
        <v>14238</v>
      </c>
      <c r="D5173" s="32" t="s">
        <v>14239</v>
      </c>
    </row>
    <row r="5174" spans="2:4" x14ac:dyDescent="0.3">
      <c r="B5174" s="33" t="s">
        <v>14240</v>
      </c>
      <c r="C5174" s="32" t="s">
        <v>14241</v>
      </c>
      <c r="D5174" s="32" t="s">
        <v>14242</v>
      </c>
    </row>
    <row r="5175" spans="2:4" x14ac:dyDescent="0.3">
      <c r="B5175" s="33" t="s">
        <v>14243</v>
      </c>
      <c r="C5175" s="32" t="s">
        <v>14244</v>
      </c>
      <c r="D5175" s="32" t="s">
        <v>14245</v>
      </c>
    </row>
    <row r="5176" spans="2:4" x14ac:dyDescent="0.3">
      <c r="B5176" s="33" t="s">
        <v>13847</v>
      </c>
      <c r="C5176" s="32" t="s">
        <v>14246</v>
      </c>
      <c r="D5176" s="32" t="s">
        <v>14247</v>
      </c>
    </row>
    <row r="5177" spans="2:4" x14ac:dyDescent="0.3">
      <c r="B5177" s="33" t="s">
        <v>14240</v>
      </c>
      <c r="C5177" s="32" t="s">
        <v>14248</v>
      </c>
      <c r="D5177" s="32" t="s">
        <v>14249</v>
      </c>
    </row>
    <row r="5178" spans="2:4" x14ac:dyDescent="0.3">
      <c r="B5178" s="33" t="s">
        <v>14250</v>
      </c>
      <c r="C5178" s="32" t="s">
        <v>14251</v>
      </c>
      <c r="D5178" s="32" t="s">
        <v>14252</v>
      </c>
    </row>
    <row r="5179" spans="2:4" x14ac:dyDescent="0.3">
      <c r="B5179" s="33" t="s">
        <v>14253</v>
      </c>
      <c r="C5179" s="32" t="s">
        <v>14254</v>
      </c>
      <c r="D5179" s="32" t="s">
        <v>14255</v>
      </c>
    </row>
    <row r="5180" spans="2:4" x14ac:dyDescent="0.3">
      <c r="B5180" s="33" t="s">
        <v>14256</v>
      </c>
      <c r="C5180" s="32" t="s">
        <v>14257</v>
      </c>
      <c r="D5180" s="32" t="s">
        <v>14258</v>
      </c>
    </row>
    <row r="5181" spans="2:4" x14ac:dyDescent="0.3">
      <c r="B5181" s="33" t="s">
        <v>14259</v>
      </c>
      <c r="C5181" s="32" t="s">
        <v>14260</v>
      </c>
      <c r="D5181" s="32" t="s">
        <v>14261</v>
      </c>
    </row>
    <row r="5182" spans="2:4" x14ac:dyDescent="0.3">
      <c r="B5182" s="33" t="s">
        <v>14262</v>
      </c>
      <c r="C5182" s="32" t="s">
        <v>14263</v>
      </c>
      <c r="D5182" s="32" t="s">
        <v>14264</v>
      </c>
    </row>
    <row r="5183" spans="2:4" x14ac:dyDescent="0.3">
      <c r="B5183" s="33" t="s">
        <v>14265</v>
      </c>
      <c r="C5183" s="32" t="s">
        <v>14266</v>
      </c>
      <c r="D5183" s="32" t="s">
        <v>14267</v>
      </c>
    </row>
    <row r="5184" spans="2:4" x14ac:dyDescent="0.3">
      <c r="B5184" s="33" t="s">
        <v>14268</v>
      </c>
      <c r="C5184" s="32" t="s">
        <v>14269</v>
      </c>
      <c r="D5184" s="32" t="s">
        <v>14270</v>
      </c>
    </row>
    <row r="5185" spans="2:4" x14ac:dyDescent="0.3">
      <c r="B5185" s="33" t="s">
        <v>14271</v>
      </c>
      <c r="C5185" s="32" t="s">
        <v>14272</v>
      </c>
      <c r="D5185" s="32" t="s">
        <v>14273</v>
      </c>
    </row>
    <row r="5186" spans="2:4" x14ac:dyDescent="0.3">
      <c r="B5186" s="33" t="s">
        <v>14274</v>
      </c>
      <c r="C5186" s="32" t="s">
        <v>14275</v>
      </c>
      <c r="D5186" s="32" t="s">
        <v>14276</v>
      </c>
    </row>
    <row r="5187" spans="2:4" x14ac:dyDescent="0.3">
      <c r="B5187" s="33" t="s">
        <v>14277</v>
      </c>
      <c r="C5187" s="32" t="s">
        <v>14278</v>
      </c>
      <c r="D5187" s="32" t="s">
        <v>14279</v>
      </c>
    </row>
    <row r="5188" spans="2:4" x14ac:dyDescent="0.3">
      <c r="B5188" s="33" t="s">
        <v>6814</v>
      </c>
      <c r="C5188" s="32" t="s">
        <v>14280</v>
      </c>
      <c r="D5188" s="32" t="s">
        <v>14281</v>
      </c>
    </row>
    <row r="5189" spans="2:4" x14ac:dyDescent="0.3">
      <c r="B5189" s="33" t="s">
        <v>14282</v>
      </c>
      <c r="C5189" s="32" t="s">
        <v>14283</v>
      </c>
      <c r="D5189" s="32" t="s">
        <v>37201</v>
      </c>
    </row>
    <row r="5190" spans="2:4" x14ac:dyDescent="0.3">
      <c r="B5190" s="33" t="s">
        <v>14284</v>
      </c>
      <c r="C5190" s="32" t="s">
        <v>14285</v>
      </c>
      <c r="D5190" s="32" t="s">
        <v>14286</v>
      </c>
    </row>
    <row r="5191" spans="2:4" x14ac:dyDescent="0.3">
      <c r="B5191" s="33" t="s">
        <v>14284</v>
      </c>
      <c r="C5191" s="32" t="s">
        <v>14287</v>
      </c>
      <c r="D5191" s="32" t="s">
        <v>14288</v>
      </c>
    </row>
    <row r="5192" spans="2:4" x14ac:dyDescent="0.3">
      <c r="B5192" s="33" t="s">
        <v>14289</v>
      </c>
      <c r="C5192" s="32" t="s">
        <v>14290</v>
      </c>
      <c r="D5192" s="32" t="s">
        <v>14291</v>
      </c>
    </row>
    <row r="5193" spans="2:4" x14ac:dyDescent="0.3">
      <c r="B5193" s="33" t="s">
        <v>12951</v>
      </c>
      <c r="C5193" s="32" t="s">
        <v>14292</v>
      </c>
      <c r="D5193" s="32" t="s">
        <v>14293</v>
      </c>
    </row>
    <row r="5194" spans="2:4" x14ac:dyDescent="0.3">
      <c r="B5194" s="33" t="s">
        <v>13871</v>
      </c>
      <c r="C5194" s="32" t="s">
        <v>14294</v>
      </c>
      <c r="D5194" s="32" t="s">
        <v>14295</v>
      </c>
    </row>
    <row r="5195" spans="2:4" x14ac:dyDescent="0.3">
      <c r="B5195" s="33" t="s">
        <v>14296</v>
      </c>
      <c r="C5195" s="32" t="s">
        <v>37202</v>
      </c>
      <c r="D5195" s="32" t="s">
        <v>37203</v>
      </c>
    </row>
    <row r="5196" spans="2:4" x14ac:dyDescent="0.3">
      <c r="B5196" s="33" t="s">
        <v>14296</v>
      </c>
      <c r="C5196" s="32" t="s">
        <v>14297</v>
      </c>
      <c r="D5196" s="32" t="s">
        <v>14298</v>
      </c>
    </row>
    <row r="5197" spans="2:4" x14ac:dyDescent="0.3">
      <c r="B5197" s="33" t="s">
        <v>14299</v>
      </c>
      <c r="C5197" s="32" t="s">
        <v>14300</v>
      </c>
      <c r="D5197" s="32" t="s">
        <v>14301</v>
      </c>
    </row>
    <row r="5198" spans="2:4" x14ac:dyDescent="0.3">
      <c r="B5198" s="33" t="s">
        <v>14302</v>
      </c>
      <c r="C5198" s="32" t="s">
        <v>14303</v>
      </c>
      <c r="D5198" s="32" t="s">
        <v>14304</v>
      </c>
    </row>
    <row r="5199" spans="2:4" x14ac:dyDescent="0.3">
      <c r="B5199" s="33" t="s">
        <v>14296</v>
      </c>
      <c r="C5199" s="32" t="s">
        <v>14305</v>
      </c>
      <c r="D5199" s="32" t="s">
        <v>14306</v>
      </c>
    </row>
    <row r="5200" spans="2:4" x14ac:dyDescent="0.3">
      <c r="B5200" s="33" t="s">
        <v>14307</v>
      </c>
      <c r="C5200" s="32" t="s">
        <v>14308</v>
      </c>
      <c r="D5200" s="32" t="s">
        <v>14309</v>
      </c>
    </row>
    <row r="5201" spans="2:4" x14ac:dyDescent="0.3">
      <c r="B5201" s="33" t="s">
        <v>14310</v>
      </c>
      <c r="C5201" s="32" t="s">
        <v>14311</v>
      </c>
      <c r="D5201" s="32" t="s">
        <v>14312</v>
      </c>
    </row>
    <row r="5202" spans="2:4" x14ac:dyDescent="0.3">
      <c r="B5202" s="33" t="s">
        <v>14313</v>
      </c>
      <c r="C5202" s="32" t="s">
        <v>14314</v>
      </c>
      <c r="D5202" s="32" t="s">
        <v>14315</v>
      </c>
    </row>
    <row r="5203" spans="2:4" x14ac:dyDescent="0.3">
      <c r="B5203" s="33" t="s">
        <v>14316</v>
      </c>
      <c r="C5203" s="32" t="s">
        <v>14317</v>
      </c>
      <c r="D5203" s="32" t="s">
        <v>14318</v>
      </c>
    </row>
    <row r="5204" spans="2:4" x14ac:dyDescent="0.3">
      <c r="B5204" s="33" t="s">
        <v>13812</v>
      </c>
      <c r="C5204" s="32" t="s">
        <v>14319</v>
      </c>
      <c r="D5204" s="32" t="s">
        <v>14320</v>
      </c>
    </row>
    <row r="5205" spans="2:4" x14ac:dyDescent="0.3">
      <c r="B5205" s="33" t="s">
        <v>14321</v>
      </c>
      <c r="C5205" s="32" t="s">
        <v>14322</v>
      </c>
      <c r="D5205" s="32" t="s">
        <v>14323</v>
      </c>
    </row>
    <row r="5206" spans="2:4" x14ac:dyDescent="0.3">
      <c r="B5206" s="33" t="s">
        <v>14192</v>
      </c>
      <c r="C5206" s="32" t="s">
        <v>14324</v>
      </c>
      <c r="D5206" s="32" t="s">
        <v>14325</v>
      </c>
    </row>
    <row r="5207" spans="2:4" x14ac:dyDescent="0.3">
      <c r="B5207" s="33" t="s">
        <v>14326</v>
      </c>
      <c r="C5207" s="32" t="s">
        <v>14327</v>
      </c>
      <c r="D5207" s="32" t="s">
        <v>14328</v>
      </c>
    </row>
    <row r="5208" spans="2:4" x14ac:dyDescent="0.3">
      <c r="B5208" s="33" t="s">
        <v>14321</v>
      </c>
      <c r="C5208" s="32" t="s">
        <v>14329</v>
      </c>
      <c r="D5208" s="32" t="s">
        <v>14330</v>
      </c>
    </row>
    <row r="5209" spans="2:4" x14ac:dyDescent="0.3">
      <c r="B5209" s="33" t="s">
        <v>14331</v>
      </c>
      <c r="C5209" s="32" t="s">
        <v>14332</v>
      </c>
      <c r="D5209" s="32" t="s">
        <v>14333</v>
      </c>
    </row>
    <row r="5210" spans="2:4" x14ac:dyDescent="0.3">
      <c r="B5210" s="33" t="s">
        <v>14334</v>
      </c>
      <c r="C5210" s="32" t="s">
        <v>14335</v>
      </c>
      <c r="D5210" s="32" t="s">
        <v>14336</v>
      </c>
    </row>
    <row r="5211" spans="2:4" x14ac:dyDescent="0.3">
      <c r="B5211" s="33" t="s">
        <v>14337</v>
      </c>
      <c r="C5211" s="32" t="s">
        <v>14338</v>
      </c>
      <c r="D5211" s="32" t="s">
        <v>14339</v>
      </c>
    </row>
    <row r="5212" spans="2:4" x14ac:dyDescent="0.3">
      <c r="B5212" s="33" t="s">
        <v>9986</v>
      </c>
      <c r="C5212" s="32" t="s">
        <v>14340</v>
      </c>
      <c r="D5212" s="32" t="s">
        <v>14341</v>
      </c>
    </row>
    <row r="5213" spans="2:4" x14ac:dyDescent="0.3">
      <c r="B5213" s="33" t="s">
        <v>14342</v>
      </c>
      <c r="C5213" s="32" t="s">
        <v>14343</v>
      </c>
      <c r="D5213" s="32" t="s">
        <v>14344</v>
      </c>
    </row>
    <row r="5214" spans="2:4" x14ac:dyDescent="0.3">
      <c r="B5214" s="33" t="s">
        <v>14345</v>
      </c>
      <c r="C5214" s="32" t="s">
        <v>14346</v>
      </c>
      <c r="D5214" s="32" t="s">
        <v>14345</v>
      </c>
    </row>
    <row r="5215" spans="2:4" x14ac:dyDescent="0.3">
      <c r="B5215" s="33" t="s">
        <v>14347</v>
      </c>
      <c r="C5215" s="32" t="s">
        <v>14348</v>
      </c>
      <c r="D5215" s="32" t="s">
        <v>14349</v>
      </c>
    </row>
    <row r="5216" spans="2:4" x14ac:dyDescent="0.3">
      <c r="B5216" s="33" t="s">
        <v>14350</v>
      </c>
      <c r="C5216" s="32" t="s">
        <v>14351</v>
      </c>
      <c r="D5216" s="32" t="s">
        <v>14352</v>
      </c>
    </row>
    <row r="5217" spans="2:4" x14ac:dyDescent="0.3">
      <c r="B5217" s="33" t="s">
        <v>14353</v>
      </c>
      <c r="C5217" s="32" t="s">
        <v>14354</v>
      </c>
      <c r="D5217" s="32" t="s">
        <v>14355</v>
      </c>
    </row>
    <row r="5218" spans="2:4" x14ac:dyDescent="0.3">
      <c r="B5218" s="33" t="s">
        <v>14356</v>
      </c>
      <c r="C5218" s="32" t="s">
        <v>14357</v>
      </c>
      <c r="D5218" s="32" t="s">
        <v>14358</v>
      </c>
    </row>
    <row r="5219" spans="2:4" x14ac:dyDescent="0.3">
      <c r="B5219" s="33" t="s">
        <v>14359</v>
      </c>
      <c r="C5219" s="32" t="s">
        <v>14360</v>
      </c>
      <c r="D5219" s="32" t="s">
        <v>14361</v>
      </c>
    </row>
    <row r="5220" spans="2:4" x14ac:dyDescent="0.3">
      <c r="B5220" s="33" t="s">
        <v>14362</v>
      </c>
      <c r="C5220" s="32" t="s">
        <v>14363</v>
      </c>
      <c r="D5220" s="32" t="s">
        <v>14364</v>
      </c>
    </row>
    <row r="5221" spans="2:4" x14ac:dyDescent="0.3">
      <c r="B5221" s="33" t="s">
        <v>14365</v>
      </c>
      <c r="C5221" s="32" t="s">
        <v>14366</v>
      </c>
      <c r="D5221" s="32" t="s">
        <v>14367</v>
      </c>
    </row>
    <row r="5222" spans="2:4" x14ac:dyDescent="0.3">
      <c r="B5222" s="33" t="s">
        <v>13815</v>
      </c>
      <c r="C5222" s="32" t="s">
        <v>14368</v>
      </c>
      <c r="D5222" s="32" t="s">
        <v>14369</v>
      </c>
    </row>
    <row r="5223" spans="2:4" x14ac:dyDescent="0.3">
      <c r="B5223" s="33" t="s">
        <v>14370</v>
      </c>
      <c r="C5223" s="32" t="s">
        <v>14371</v>
      </c>
      <c r="D5223" s="32" t="s">
        <v>14372</v>
      </c>
    </row>
    <row r="5224" spans="2:4" x14ac:dyDescent="0.3">
      <c r="B5224" s="33" t="s">
        <v>14373</v>
      </c>
      <c r="C5224" s="32" t="s">
        <v>14374</v>
      </c>
      <c r="D5224" s="32" t="s">
        <v>14375</v>
      </c>
    </row>
    <row r="5225" spans="2:4" x14ac:dyDescent="0.3">
      <c r="B5225" s="33" t="s">
        <v>7757</v>
      </c>
      <c r="C5225" s="32" t="s">
        <v>14376</v>
      </c>
      <c r="D5225" s="32" t="s">
        <v>14377</v>
      </c>
    </row>
    <row r="5226" spans="2:4" x14ac:dyDescent="0.3">
      <c r="B5226" s="33" t="s">
        <v>14378</v>
      </c>
      <c r="C5226" s="32" t="s">
        <v>14379</v>
      </c>
      <c r="D5226" s="32" t="s">
        <v>14380</v>
      </c>
    </row>
    <row r="5227" spans="2:4" x14ac:dyDescent="0.3">
      <c r="B5227" s="33" t="s">
        <v>14381</v>
      </c>
      <c r="C5227" s="32" t="s">
        <v>14382</v>
      </c>
      <c r="D5227" s="32" t="s">
        <v>14383</v>
      </c>
    </row>
    <row r="5228" spans="2:4" x14ac:dyDescent="0.3">
      <c r="B5228" s="33" t="s">
        <v>14384</v>
      </c>
      <c r="C5228" s="32" t="s">
        <v>14385</v>
      </c>
      <c r="D5228" s="32" t="s">
        <v>14386</v>
      </c>
    </row>
    <row r="5229" spans="2:4" x14ac:dyDescent="0.3">
      <c r="B5229" s="33" t="s">
        <v>14387</v>
      </c>
      <c r="C5229" s="32" t="s">
        <v>14388</v>
      </c>
      <c r="D5229" s="32" t="s">
        <v>14389</v>
      </c>
    </row>
    <row r="5230" spans="2:4" x14ac:dyDescent="0.3">
      <c r="B5230" s="33" t="s">
        <v>14390</v>
      </c>
      <c r="C5230" s="32" t="s">
        <v>14391</v>
      </c>
      <c r="D5230" s="32" t="s">
        <v>14392</v>
      </c>
    </row>
    <row r="5231" spans="2:4" x14ac:dyDescent="0.3">
      <c r="B5231" s="33" t="s">
        <v>14393</v>
      </c>
      <c r="C5231" s="32" t="s">
        <v>14394</v>
      </c>
      <c r="D5231" s="32" t="s">
        <v>14395</v>
      </c>
    </row>
    <row r="5232" spans="2:4" x14ac:dyDescent="0.3">
      <c r="B5232" s="33" t="s">
        <v>13967</v>
      </c>
      <c r="C5232" s="32" t="s">
        <v>36838</v>
      </c>
      <c r="D5232" s="32" t="s">
        <v>36839</v>
      </c>
    </row>
    <row r="5233" spans="2:4" x14ac:dyDescent="0.3">
      <c r="B5233" s="33" t="s">
        <v>14396</v>
      </c>
      <c r="C5233" s="32" t="s">
        <v>14397</v>
      </c>
      <c r="D5233" s="32" t="s">
        <v>14398</v>
      </c>
    </row>
    <row r="5234" spans="2:4" x14ac:dyDescent="0.3">
      <c r="B5234" s="33" t="s">
        <v>14399</v>
      </c>
      <c r="C5234" s="32" t="s">
        <v>14400</v>
      </c>
      <c r="D5234" s="32" t="s">
        <v>14401</v>
      </c>
    </row>
    <row r="5235" spans="2:4" x14ac:dyDescent="0.3">
      <c r="B5235" s="33" t="s">
        <v>14402</v>
      </c>
      <c r="C5235" s="32" t="s">
        <v>14403</v>
      </c>
      <c r="D5235" s="32" t="s">
        <v>14404</v>
      </c>
    </row>
    <row r="5236" spans="2:4" x14ac:dyDescent="0.3">
      <c r="B5236" s="33" t="s">
        <v>14405</v>
      </c>
      <c r="C5236" s="32" t="s">
        <v>14406</v>
      </c>
      <c r="D5236" s="32" t="s">
        <v>14407</v>
      </c>
    </row>
    <row r="5237" spans="2:4" x14ac:dyDescent="0.3">
      <c r="B5237" s="33" t="s">
        <v>13812</v>
      </c>
      <c r="C5237" s="32" t="s">
        <v>14408</v>
      </c>
      <c r="D5237" s="32" t="s">
        <v>14409</v>
      </c>
    </row>
    <row r="5238" spans="2:4" x14ac:dyDescent="0.3">
      <c r="B5238" s="33" t="s">
        <v>14410</v>
      </c>
      <c r="C5238" s="32" t="s">
        <v>36840</v>
      </c>
      <c r="D5238" s="32" t="s">
        <v>36841</v>
      </c>
    </row>
    <row r="5239" spans="2:4" x14ac:dyDescent="0.3">
      <c r="B5239" s="33" t="s">
        <v>14411</v>
      </c>
      <c r="C5239" s="32" t="s">
        <v>14412</v>
      </c>
      <c r="D5239" s="32" t="s">
        <v>14413</v>
      </c>
    </row>
    <row r="5240" spans="2:4" x14ac:dyDescent="0.3">
      <c r="B5240" s="33" t="s">
        <v>14414</v>
      </c>
      <c r="C5240" s="32" t="s">
        <v>14415</v>
      </c>
      <c r="D5240" s="32" t="s">
        <v>14416</v>
      </c>
    </row>
    <row r="5241" spans="2:4" x14ac:dyDescent="0.3">
      <c r="B5241" s="33" t="s">
        <v>14417</v>
      </c>
      <c r="C5241" s="32" t="s">
        <v>14418</v>
      </c>
      <c r="D5241" s="32" t="s">
        <v>14419</v>
      </c>
    </row>
    <row r="5242" spans="2:4" x14ac:dyDescent="0.3">
      <c r="B5242" s="33" t="s">
        <v>14420</v>
      </c>
      <c r="C5242" s="32" t="s">
        <v>14421</v>
      </c>
      <c r="D5242" s="32" t="s">
        <v>14422</v>
      </c>
    </row>
    <row r="5243" spans="2:4" x14ac:dyDescent="0.3">
      <c r="B5243" s="33" t="s">
        <v>14423</v>
      </c>
      <c r="C5243" s="32" t="s">
        <v>14424</v>
      </c>
      <c r="D5243" s="32" t="s">
        <v>37204</v>
      </c>
    </row>
    <row r="5244" spans="2:4" x14ac:dyDescent="0.3">
      <c r="B5244" s="33" t="s">
        <v>14425</v>
      </c>
      <c r="C5244" s="32" t="s">
        <v>14426</v>
      </c>
      <c r="D5244" s="32" t="s">
        <v>14427</v>
      </c>
    </row>
    <row r="5245" spans="2:4" x14ac:dyDescent="0.3">
      <c r="B5245" s="33" t="s">
        <v>14428</v>
      </c>
      <c r="C5245" s="32" t="s">
        <v>14429</v>
      </c>
      <c r="D5245" s="32" t="s">
        <v>14430</v>
      </c>
    </row>
    <row r="5246" spans="2:4" x14ac:dyDescent="0.3">
      <c r="B5246" s="33" t="s">
        <v>14428</v>
      </c>
      <c r="C5246" s="32" t="s">
        <v>14431</v>
      </c>
      <c r="D5246" s="32" t="s">
        <v>14432</v>
      </c>
    </row>
    <row r="5247" spans="2:4" x14ac:dyDescent="0.3">
      <c r="B5247" s="33" t="s">
        <v>14433</v>
      </c>
      <c r="C5247" s="32" t="s">
        <v>14434</v>
      </c>
      <c r="D5247" s="32" t="s">
        <v>14435</v>
      </c>
    </row>
    <row r="5248" spans="2:4" x14ac:dyDescent="0.3">
      <c r="B5248" s="33" t="s">
        <v>14436</v>
      </c>
      <c r="C5248" s="32" t="s">
        <v>14437</v>
      </c>
      <c r="D5248" s="32" t="s">
        <v>14438</v>
      </c>
    </row>
    <row r="5249" spans="2:4" x14ac:dyDescent="0.3">
      <c r="B5249" s="33" t="s">
        <v>14439</v>
      </c>
      <c r="C5249" s="32" t="s">
        <v>14440</v>
      </c>
      <c r="D5249" s="32" t="s">
        <v>14441</v>
      </c>
    </row>
    <row r="5250" spans="2:4" x14ac:dyDescent="0.3">
      <c r="B5250" s="33" t="s">
        <v>14250</v>
      </c>
      <c r="C5250" s="32" t="s">
        <v>14442</v>
      </c>
      <c r="D5250" s="32" t="s">
        <v>14250</v>
      </c>
    </row>
    <row r="5251" spans="2:4" x14ac:dyDescent="0.3">
      <c r="B5251" s="33" t="s">
        <v>11628</v>
      </c>
      <c r="C5251" s="32" t="s">
        <v>14443</v>
      </c>
      <c r="D5251" s="32" t="s">
        <v>11628</v>
      </c>
    </row>
    <row r="5252" spans="2:4" x14ac:dyDescent="0.3">
      <c r="B5252" s="33" t="s">
        <v>14250</v>
      </c>
      <c r="C5252" s="32" t="s">
        <v>14444</v>
      </c>
      <c r="D5252" s="32" t="s">
        <v>14445</v>
      </c>
    </row>
    <row r="5253" spans="2:4" x14ac:dyDescent="0.3">
      <c r="B5253" s="33" t="s">
        <v>14250</v>
      </c>
      <c r="C5253" s="32" t="s">
        <v>14446</v>
      </c>
      <c r="D5253" s="32" t="s">
        <v>14447</v>
      </c>
    </row>
    <row r="5254" spans="2:4" x14ac:dyDescent="0.3">
      <c r="B5254" s="33" t="s">
        <v>14448</v>
      </c>
      <c r="C5254" s="32" t="s">
        <v>14449</v>
      </c>
      <c r="D5254" s="32" t="s">
        <v>14450</v>
      </c>
    </row>
    <row r="5255" spans="2:4" x14ac:dyDescent="0.3">
      <c r="B5255" s="33" t="s">
        <v>14451</v>
      </c>
      <c r="C5255" s="32" t="s">
        <v>14452</v>
      </c>
      <c r="D5255" s="32" t="s">
        <v>14453</v>
      </c>
    </row>
    <row r="5256" spans="2:4" x14ac:dyDescent="0.3">
      <c r="B5256" s="33" t="s">
        <v>14454</v>
      </c>
      <c r="C5256" s="32" t="s">
        <v>14455</v>
      </c>
      <c r="D5256" s="32" t="s">
        <v>14454</v>
      </c>
    </row>
    <row r="5257" spans="2:4" x14ac:dyDescent="0.3">
      <c r="B5257" s="33" t="s">
        <v>13806</v>
      </c>
      <c r="C5257" s="32" t="s">
        <v>14456</v>
      </c>
      <c r="D5257" s="32" t="s">
        <v>13806</v>
      </c>
    </row>
    <row r="5258" spans="2:4" x14ac:dyDescent="0.3">
      <c r="B5258" s="33" t="s">
        <v>13917</v>
      </c>
      <c r="C5258" s="32" t="s">
        <v>14457</v>
      </c>
      <c r="D5258" s="32" t="s">
        <v>13917</v>
      </c>
    </row>
    <row r="5259" spans="2:4" x14ac:dyDescent="0.3">
      <c r="B5259" s="33" t="s">
        <v>14458</v>
      </c>
      <c r="C5259" s="32" t="s">
        <v>14459</v>
      </c>
      <c r="D5259" s="32" t="s">
        <v>14458</v>
      </c>
    </row>
    <row r="5260" spans="2:4" x14ac:dyDescent="0.3">
      <c r="B5260" s="33" t="s">
        <v>14460</v>
      </c>
      <c r="C5260" s="32" t="s">
        <v>14461</v>
      </c>
      <c r="D5260" s="32" t="s">
        <v>14460</v>
      </c>
    </row>
    <row r="5261" spans="2:4" x14ac:dyDescent="0.3">
      <c r="B5261" s="33" t="s">
        <v>13859</v>
      </c>
      <c r="C5261" s="32" t="s">
        <v>14462</v>
      </c>
      <c r="D5261" s="32" t="s">
        <v>13859</v>
      </c>
    </row>
    <row r="5262" spans="2:4" x14ac:dyDescent="0.3">
      <c r="B5262" s="33" t="s">
        <v>14463</v>
      </c>
      <c r="C5262" s="32" t="s">
        <v>14464</v>
      </c>
      <c r="D5262" s="32" t="s">
        <v>14465</v>
      </c>
    </row>
    <row r="5263" spans="2:4" x14ac:dyDescent="0.3">
      <c r="B5263" s="33" t="s">
        <v>37205</v>
      </c>
      <c r="C5263" s="32" t="s">
        <v>37206</v>
      </c>
      <c r="D5263" s="32" t="s">
        <v>37207</v>
      </c>
    </row>
    <row r="5264" spans="2:4" x14ac:dyDescent="0.3">
      <c r="B5264" s="33" t="s">
        <v>14465</v>
      </c>
      <c r="C5264" s="32" t="s">
        <v>14466</v>
      </c>
      <c r="D5264" s="32" t="s">
        <v>14467</v>
      </c>
    </row>
    <row r="5265" spans="2:4" x14ac:dyDescent="0.3">
      <c r="B5265" s="33" t="s">
        <v>14468</v>
      </c>
      <c r="C5265" s="32" t="s">
        <v>14469</v>
      </c>
      <c r="D5265" s="32" t="s">
        <v>14470</v>
      </c>
    </row>
    <row r="5266" spans="2:4" x14ac:dyDescent="0.3">
      <c r="B5266" s="33" t="s">
        <v>14471</v>
      </c>
      <c r="C5266" s="32" t="s">
        <v>14472</v>
      </c>
      <c r="D5266" s="32" t="s">
        <v>14471</v>
      </c>
    </row>
    <row r="5267" spans="2:4" x14ac:dyDescent="0.3">
      <c r="B5267" s="33" t="s">
        <v>14473</v>
      </c>
      <c r="C5267" s="32" t="s">
        <v>14474</v>
      </c>
      <c r="D5267" s="32" t="s">
        <v>14475</v>
      </c>
    </row>
    <row r="5268" spans="2:4" x14ac:dyDescent="0.3">
      <c r="B5268" s="33" t="s">
        <v>14476</v>
      </c>
      <c r="C5268" s="32" t="s">
        <v>14477</v>
      </c>
      <c r="D5268" s="32" t="s">
        <v>14478</v>
      </c>
    </row>
    <row r="5269" spans="2:4" x14ac:dyDescent="0.3">
      <c r="B5269" s="33" t="s">
        <v>14473</v>
      </c>
      <c r="C5269" s="32" t="s">
        <v>14479</v>
      </c>
      <c r="D5269" s="32" t="s">
        <v>14480</v>
      </c>
    </row>
    <row r="5270" spans="2:4" x14ac:dyDescent="0.3">
      <c r="B5270" s="33" t="s">
        <v>14481</v>
      </c>
      <c r="C5270" s="32" t="s">
        <v>14482</v>
      </c>
      <c r="D5270" s="32" t="s">
        <v>14483</v>
      </c>
    </row>
    <row r="5271" spans="2:4" x14ac:dyDescent="0.3">
      <c r="B5271" s="33" t="s">
        <v>14481</v>
      </c>
      <c r="C5271" s="32" t="s">
        <v>14484</v>
      </c>
      <c r="D5271" s="32" t="s">
        <v>14485</v>
      </c>
    </row>
    <row r="5272" spans="2:4" x14ac:dyDescent="0.3">
      <c r="B5272" s="33" t="s">
        <v>14486</v>
      </c>
      <c r="C5272" s="32" t="s">
        <v>14487</v>
      </c>
      <c r="D5272" s="32" t="s">
        <v>14486</v>
      </c>
    </row>
    <row r="5273" spans="2:4" x14ac:dyDescent="0.3">
      <c r="B5273" s="33" t="s">
        <v>14488</v>
      </c>
      <c r="C5273" s="32" t="s">
        <v>14489</v>
      </c>
      <c r="D5273" s="32" t="s">
        <v>14488</v>
      </c>
    </row>
    <row r="5274" spans="2:4" x14ac:dyDescent="0.3">
      <c r="B5274" s="33" t="s">
        <v>14490</v>
      </c>
      <c r="C5274" s="32" t="s">
        <v>14491</v>
      </c>
      <c r="D5274" s="32" t="s">
        <v>14492</v>
      </c>
    </row>
    <row r="5275" spans="2:4" x14ac:dyDescent="0.3">
      <c r="B5275" s="33" t="s">
        <v>14024</v>
      </c>
      <c r="C5275" s="32" t="s">
        <v>14493</v>
      </c>
      <c r="D5275" s="32" t="s">
        <v>14494</v>
      </c>
    </row>
    <row r="5276" spans="2:4" x14ac:dyDescent="0.3">
      <c r="B5276" s="33" t="s">
        <v>14495</v>
      </c>
      <c r="C5276" s="32" t="s">
        <v>14496</v>
      </c>
      <c r="D5276" s="32" t="s">
        <v>14497</v>
      </c>
    </row>
    <row r="5277" spans="2:4" x14ac:dyDescent="0.3">
      <c r="B5277" s="33" t="s">
        <v>14498</v>
      </c>
      <c r="C5277" s="32" t="s">
        <v>14499</v>
      </c>
      <c r="D5277" s="32" t="s">
        <v>14500</v>
      </c>
    </row>
    <row r="5278" spans="2:4" x14ac:dyDescent="0.3">
      <c r="B5278" s="33" t="s">
        <v>4733</v>
      </c>
      <c r="C5278" s="32" t="s">
        <v>14501</v>
      </c>
      <c r="D5278" s="32" t="s">
        <v>14502</v>
      </c>
    </row>
    <row r="5279" spans="2:4" x14ac:dyDescent="0.3">
      <c r="B5279" s="33" t="s">
        <v>4733</v>
      </c>
      <c r="C5279" s="32" t="s">
        <v>14503</v>
      </c>
      <c r="D5279" s="32" t="s">
        <v>14504</v>
      </c>
    </row>
    <row r="5280" spans="2:4" x14ac:dyDescent="0.3">
      <c r="B5280" s="33" t="s">
        <v>14505</v>
      </c>
      <c r="C5280" s="32" t="s">
        <v>14506</v>
      </c>
      <c r="D5280" s="32" t="s">
        <v>14507</v>
      </c>
    </row>
    <row r="5281" spans="2:4" x14ac:dyDescent="0.3">
      <c r="B5281" s="33" t="s">
        <v>14508</v>
      </c>
      <c r="C5281" s="32" t="s">
        <v>14509</v>
      </c>
      <c r="D5281" s="32" t="s">
        <v>14510</v>
      </c>
    </row>
    <row r="5282" spans="2:4" x14ac:dyDescent="0.3">
      <c r="B5282" s="33" t="s">
        <v>14511</v>
      </c>
      <c r="C5282" s="32" t="s">
        <v>14512</v>
      </c>
      <c r="D5282" s="32" t="s">
        <v>14513</v>
      </c>
    </row>
    <row r="5283" spans="2:4" x14ac:dyDescent="0.3">
      <c r="B5283" s="33" t="s">
        <v>14514</v>
      </c>
      <c r="C5283" s="32" t="s">
        <v>14515</v>
      </c>
      <c r="D5283" s="32" t="s">
        <v>14516</v>
      </c>
    </row>
    <row r="5284" spans="2:4" x14ac:dyDescent="0.3">
      <c r="B5284" s="33" t="s">
        <v>8505</v>
      </c>
      <c r="C5284" s="32" t="s">
        <v>14517</v>
      </c>
      <c r="D5284" s="32" t="s">
        <v>14518</v>
      </c>
    </row>
    <row r="5285" spans="2:4" x14ac:dyDescent="0.3">
      <c r="B5285" s="33" t="s">
        <v>14519</v>
      </c>
      <c r="C5285" s="32" t="s">
        <v>14520</v>
      </c>
      <c r="D5285" s="32" t="s">
        <v>14521</v>
      </c>
    </row>
    <row r="5286" spans="2:4" x14ac:dyDescent="0.3">
      <c r="B5286" s="33" t="s">
        <v>14522</v>
      </c>
      <c r="C5286" s="32" t="s">
        <v>14523</v>
      </c>
      <c r="D5286" s="32" t="s">
        <v>14524</v>
      </c>
    </row>
    <row r="5287" spans="2:4" x14ac:dyDescent="0.3">
      <c r="B5287" s="33" t="s">
        <v>14522</v>
      </c>
      <c r="C5287" s="32" t="s">
        <v>14525</v>
      </c>
      <c r="D5287" s="32" t="s">
        <v>14526</v>
      </c>
    </row>
    <row r="5288" spans="2:4" x14ac:dyDescent="0.3">
      <c r="B5288" s="33" t="s">
        <v>14527</v>
      </c>
      <c r="C5288" s="32" t="s">
        <v>14528</v>
      </c>
      <c r="D5288" s="32" t="s">
        <v>14529</v>
      </c>
    </row>
    <row r="5289" spans="2:4" x14ac:dyDescent="0.3">
      <c r="B5289" s="33" t="s">
        <v>14530</v>
      </c>
      <c r="C5289" s="32" t="s">
        <v>14531</v>
      </c>
      <c r="D5289" s="32" t="s">
        <v>14530</v>
      </c>
    </row>
    <row r="5290" spans="2:4" x14ac:dyDescent="0.3">
      <c r="B5290" s="33" t="s">
        <v>14532</v>
      </c>
      <c r="C5290" s="32" t="s">
        <v>14533</v>
      </c>
      <c r="D5290" s="32" t="s">
        <v>14534</v>
      </c>
    </row>
    <row r="5291" spans="2:4" x14ac:dyDescent="0.3">
      <c r="B5291" s="33" t="s">
        <v>14535</v>
      </c>
      <c r="C5291" s="32" t="s">
        <v>14536</v>
      </c>
      <c r="D5291" s="32" t="s">
        <v>14537</v>
      </c>
    </row>
    <row r="5292" spans="2:4" x14ac:dyDescent="0.3">
      <c r="B5292" s="33" t="s">
        <v>8908</v>
      </c>
      <c r="C5292" s="32" t="s">
        <v>14538</v>
      </c>
      <c r="D5292" s="32" t="s">
        <v>8908</v>
      </c>
    </row>
    <row r="5293" spans="2:4" x14ac:dyDescent="0.3">
      <c r="B5293" s="33" t="s">
        <v>14539</v>
      </c>
      <c r="C5293" s="32" t="s">
        <v>14540</v>
      </c>
      <c r="D5293" s="32" t="s">
        <v>14541</v>
      </c>
    </row>
    <row r="5294" spans="2:4" x14ac:dyDescent="0.3">
      <c r="B5294" s="33" t="s">
        <v>14542</v>
      </c>
      <c r="C5294" s="32" t="s">
        <v>14543</v>
      </c>
      <c r="D5294" s="32" t="s">
        <v>14544</v>
      </c>
    </row>
    <row r="5295" spans="2:4" x14ac:dyDescent="0.3">
      <c r="B5295" s="33" t="s">
        <v>8908</v>
      </c>
      <c r="C5295" s="32" t="s">
        <v>14545</v>
      </c>
      <c r="D5295" s="32" t="s">
        <v>14546</v>
      </c>
    </row>
    <row r="5296" spans="2:4" x14ac:dyDescent="0.3">
      <c r="B5296" s="33" t="s">
        <v>14378</v>
      </c>
      <c r="C5296" s="32" t="s">
        <v>14547</v>
      </c>
      <c r="D5296" s="32" t="s">
        <v>14548</v>
      </c>
    </row>
    <row r="5297" spans="2:4" x14ac:dyDescent="0.3">
      <c r="B5297" s="33" t="s">
        <v>14381</v>
      </c>
      <c r="C5297" s="32" t="s">
        <v>14549</v>
      </c>
      <c r="D5297" s="32" t="s">
        <v>14550</v>
      </c>
    </row>
    <row r="5298" spans="2:4" x14ac:dyDescent="0.3">
      <c r="B5298" s="33" t="s">
        <v>4733</v>
      </c>
      <c r="C5298" s="32" t="s">
        <v>14551</v>
      </c>
      <c r="D5298" s="32" t="s">
        <v>14552</v>
      </c>
    </row>
    <row r="5299" spans="2:4" x14ac:dyDescent="0.3">
      <c r="B5299" s="33" t="s">
        <v>14553</v>
      </c>
      <c r="C5299" s="32" t="s">
        <v>14554</v>
      </c>
      <c r="D5299" s="32" t="s">
        <v>14555</v>
      </c>
    </row>
    <row r="5300" spans="2:4" x14ac:dyDescent="0.3">
      <c r="B5300" s="33" t="s">
        <v>14556</v>
      </c>
      <c r="C5300" s="32" t="s">
        <v>14557</v>
      </c>
      <c r="D5300" s="32" t="s">
        <v>14558</v>
      </c>
    </row>
    <row r="5301" spans="2:4" x14ac:dyDescent="0.3">
      <c r="B5301" s="33" t="s">
        <v>14559</v>
      </c>
      <c r="C5301" s="32" t="s">
        <v>14560</v>
      </c>
      <c r="D5301" s="32" t="s">
        <v>14561</v>
      </c>
    </row>
    <row r="5302" spans="2:4" x14ac:dyDescent="0.3">
      <c r="B5302" s="33" t="s">
        <v>14562</v>
      </c>
      <c r="C5302" s="32" t="s">
        <v>14563</v>
      </c>
      <c r="D5302" s="32" t="s">
        <v>14564</v>
      </c>
    </row>
    <row r="5303" spans="2:4" x14ac:dyDescent="0.3">
      <c r="B5303" s="33" t="s">
        <v>14033</v>
      </c>
      <c r="C5303" s="32" t="s">
        <v>14565</v>
      </c>
      <c r="D5303" s="32" t="s">
        <v>14566</v>
      </c>
    </row>
    <row r="5304" spans="2:4" x14ac:dyDescent="0.3">
      <c r="B5304" s="33" t="s">
        <v>8908</v>
      </c>
      <c r="C5304" s="32" t="s">
        <v>14567</v>
      </c>
      <c r="D5304" s="32" t="s">
        <v>14568</v>
      </c>
    </row>
    <row r="5305" spans="2:4" x14ac:dyDescent="0.3">
      <c r="B5305" s="33" t="s">
        <v>14569</v>
      </c>
      <c r="C5305" s="32" t="s">
        <v>14570</v>
      </c>
      <c r="D5305" s="32" t="s">
        <v>14571</v>
      </c>
    </row>
    <row r="5306" spans="2:4" x14ac:dyDescent="0.3">
      <c r="B5306" s="33" t="s">
        <v>14572</v>
      </c>
      <c r="C5306" s="32" t="s">
        <v>14573</v>
      </c>
      <c r="D5306" s="32" t="s">
        <v>14574</v>
      </c>
    </row>
    <row r="5307" spans="2:4" x14ac:dyDescent="0.3">
      <c r="B5307" s="33" t="s">
        <v>14575</v>
      </c>
      <c r="C5307" s="32" t="s">
        <v>14576</v>
      </c>
      <c r="D5307" s="32" t="s">
        <v>14577</v>
      </c>
    </row>
    <row r="5308" spans="2:4" x14ac:dyDescent="0.3">
      <c r="B5308" s="33" t="s">
        <v>14578</v>
      </c>
      <c r="C5308" s="32" t="s">
        <v>14579</v>
      </c>
      <c r="D5308" s="32" t="s">
        <v>14580</v>
      </c>
    </row>
    <row r="5309" spans="2:4" x14ac:dyDescent="0.3">
      <c r="B5309" s="33" t="s">
        <v>8908</v>
      </c>
      <c r="C5309" s="32" t="s">
        <v>14581</v>
      </c>
      <c r="D5309" s="32" t="s">
        <v>14582</v>
      </c>
    </row>
    <row r="5310" spans="2:4" x14ac:dyDescent="0.3">
      <c r="B5310" s="33" t="s">
        <v>14583</v>
      </c>
      <c r="C5310" s="32" t="s">
        <v>14584</v>
      </c>
      <c r="D5310" s="32" t="s">
        <v>14585</v>
      </c>
    </row>
    <row r="5311" spans="2:4" x14ac:dyDescent="0.3">
      <c r="B5311" s="33" t="s">
        <v>14586</v>
      </c>
      <c r="C5311" s="32" t="s">
        <v>14587</v>
      </c>
      <c r="D5311" s="32" t="s">
        <v>14588</v>
      </c>
    </row>
    <row r="5312" spans="2:4" x14ac:dyDescent="0.3">
      <c r="B5312" s="33" t="s">
        <v>8908</v>
      </c>
      <c r="C5312" s="32" t="s">
        <v>14589</v>
      </c>
      <c r="D5312" s="32" t="s">
        <v>14590</v>
      </c>
    </row>
    <row r="5313" spans="2:4" x14ac:dyDescent="0.3">
      <c r="B5313" s="33" t="s">
        <v>14591</v>
      </c>
      <c r="C5313" s="32" t="s">
        <v>14592</v>
      </c>
      <c r="D5313" s="32" t="s">
        <v>14593</v>
      </c>
    </row>
    <row r="5314" spans="2:4" x14ac:dyDescent="0.3">
      <c r="B5314" s="33" t="s">
        <v>13850</v>
      </c>
      <c r="C5314" s="32" t="s">
        <v>14594</v>
      </c>
      <c r="D5314" s="32" t="s">
        <v>14595</v>
      </c>
    </row>
    <row r="5315" spans="2:4" x14ac:dyDescent="0.3">
      <c r="B5315" s="33" t="s">
        <v>14596</v>
      </c>
      <c r="C5315" s="32" t="s">
        <v>14597</v>
      </c>
      <c r="D5315" s="32" t="s">
        <v>14598</v>
      </c>
    </row>
    <row r="5316" spans="2:4" x14ac:dyDescent="0.3">
      <c r="B5316" s="33" t="s">
        <v>14599</v>
      </c>
      <c r="C5316" s="32" t="s">
        <v>14600</v>
      </c>
      <c r="D5316" s="32" t="s">
        <v>14601</v>
      </c>
    </row>
    <row r="5317" spans="2:4" x14ac:dyDescent="0.3">
      <c r="B5317" s="33" t="s">
        <v>14602</v>
      </c>
      <c r="C5317" s="32" t="s">
        <v>14603</v>
      </c>
      <c r="D5317" s="32" t="s">
        <v>14604</v>
      </c>
    </row>
    <row r="5318" spans="2:4" x14ac:dyDescent="0.3">
      <c r="B5318" s="33" t="s">
        <v>14250</v>
      </c>
      <c r="C5318" s="32" t="s">
        <v>14605</v>
      </c>
      <c r="D5318" s="32" t="s">
        <v>14606</v>
      </c>
    </row>
    <row r="5319" spans="2:4" x14ac:dyDescent="0.3">
      <c r="B5319" s="33" t="s">
        <v>13943</v>
      </c>
      <c r="C5319" s="32" t="s">
        <v>14607</v>
      </c>
      <c r="D5319" s="32" t="s">
        <v>14608</v>
      </c>
    </row>
    <row r="5320" spans="2:4" x14ac:dyDescent="0.3">
      <c r="B5320" s="33" t="s">
        <v>14609</v>
      </c>
      <c r="C5320" s="32" t="s">
        <v>14610</v>
      </c>
      <c r="D5320" s="32" t="s">
        <v>14611</v>
      </c>
    </row>
    <row r="5321" spans="2:4" x14ac:dyDescent="0.3">
      <c r="B5321" s="33" t="s">
        <v>14612</v>
      </c>
      <c r="C5321" s="32" t="s">
        <v>14613</v>
      </c>
      <c r="D5321" s="32" t="s">
        <v>14614</v>
      </c>
    </row>
    <row r="5322" spans="2:4" x14ac:dyDescent="0.3">
      <c r="B5322" s="33" t="s">
        <v>14615</v>
      </c>
      <c r="C5322" s="32" t="s">
        <v>14616</v>
      </c>
      <c r="D5322" s="32" t="s">
        <v>14617</v>
      </c>
    </row>
    <row r="5323" spans="2:4" x14ac:dyDescent="0.3">
      <c r="B5323" s="33" t="s">
        <v>14618</v>
      </c>
      <c r="C5323" s="32" t="s">
        <v>14619</v>
      </c>
      <c r="D5323" s="32" t="s">
        <v>14620</v>
      </c>
    </row>
    <row r="5324" spans="2:4" x14ac:dyDescent="0.3">
      <c r="B5324" s="33" t="s">
        <v>14621</v>
      </c>
      <c r="C5324" s="32" t="s">
        <v>14622</v>
      </c>
      <c r="D5324" s="32" t="s">
        <v>14623</v>
      </c>
    </row>
    <row r="5325" spans="2:4" x14ac:dyDescent="0.3">
      <c r="B5325" s="33" t="s">
        <v>14624</v>
      </c>
      <c r="C5325" s="32" t="s">
        <v>14625</v>
      </c>
      <c r="D5325" s="32" t="s">
        <v>14626</v>
      </c>
    </row>
    <row r="5326" spans="2:4" x14ac:dyDescent="0.3">
      <c r="B5326" s="33" t="s">
        <v>14627</v>
      </c>
      <c r="C5326" s="32" t="s">
        <v>14628</v>
      </c>
      <c r="D5326" s="32" t="s">
        <v>14629</v>
      </c>
    </row>
    <row r="5327" spans="2:4" x14ac:dyDescent="0.3">
      <c r="B5327" s="33" t="s">
        <v>14630</v>
      </c>
      <c r="C5327" s="32" t="s">
        <v>14631</v>
      </c>
      <c r="D5327" s="32" t="s">
        <v>14632</v>
      </c>
    </row>
    <row r="5328" spans="2:4" x14ac:dyDescent="0.3">
      <c r="B5328" s="33" t="s">
        <v>14633</v>
      </c>
      <c r="C5328" s="32" t="s">
        <v>14634</v>
      </c>
      <c r="D5328" s="32" t="s">
        <v>14635</v>
      </c>
    </row>
    <row r="5329" spans="2:4" x14ac:dyDescent="0.3">
      <c r="B5329" s="33" t="s">
        <v>14527</v>
      </c>
      <c r="C5329" s="32" t="s">
        <v>14636</v>
      </c>
      <c r="D5329" s="32" t="s">
        <v>14637</v>
      </c>
    </row>
    <row r="5330" spans="2:4" x14ac:dyDescent="0.3">
      <c r="B5330" s="33" t="s">
        <v>14638</v>
      </c>
      <c r="C5330" s="32" t="s">
        <v>14639</v>
      </c>
      <c r="D5330" s="32" t="s">
        <v>14640</v>
      </c>
    </row>
    <row r="5331" spans="2:4" x14ac:dyDescent="0.3">
      <c r="B5331" s="33" t="s">
        <v>14641</v>
      </c>
      <c r="C5331" s="32" t="s">
        <v>14642</v>
      </c>
      <c r="D5331" s="32" t="s">
        <v>14643</v>
      </c>
    </row>
    <row r="5332" spans="2:4" x14ac:dyDescent="0.3">
      <c r="B5332" s="33" t="s">
        <v>14641</v>
      </c>
      <c r="C5332" s="32" t="s">
        <v>14644</v>
      </c>
      <c r="D5332" s="32" t="s">
        <v>14645</v>
      </c>
    </row>
    <row r="5333" spans="2:4" x14ac:dyDescent="0.3">
      <c r="B5333" s="33" t="s">
        <v>14646</v>
      </c>
      <c r="C5333" s="32" t="s">
        <v>14647</v>
      </c>
      <c r="D5333" s="32" t="s">
        <v>14648</v>
      </c>
    </row>
    <row r="5334" spans="2:4" x14ac:dyDescent="0.3">
      <c r="B5334" s="33" t="s">
        <v>14649</v>
      </c>
      <c r="C5334" s="32" t="s">
        <v>14650</v>
      </c>
      <c r="D5334" s="32" t="s">
        <v>14649</v>
      </c>
    </row>
    <row r="5335" spans="2:4" x14ac:dyDescent="0.3">
      <c r="B5335" s="33" t="s">
        <v>14016</v>
      </c>
      <c r="C5335" s="32" t="s">
        <v>14651</v>
      </c>
      <c r="D5335" s="32" t="s">
        <v>14652</v>
      </c>
    </row>
    <row r="5336" spans="2:4" x14ac:dyDescent="0.3">
      <c r="B5336" s="33" t="s">
        <v>14653</v>
      </c>
      <c r="C5336" s="32" t="s">
        <v>14654</v>
      </c>
      <c r="D5336" s="32" t="s">
        <v>14655</v>
      </c>
    </row>
    <row r="5337" spans="2:4" x14ac:dyDescent="0.3">
      <c r="B5337" s="33" t="s">
        <v>14656</v>
      </c>
      <c r="C5337" s="32" t="s">
        <v>14657</v>
      </c>
      <c r="D5337" s="32" t="s">
        <v>14658</v>
      </c>
    </row>
    <row r="5338" spans="2:4" x14ac:dyDescent="0.3">
      <c r="B5338" s="33" t="s">
        <v>14659</v>
      </c>
      <c r="C5338" s="32" t="s">
        <v>14660</v>
      </c>
      <c r="D5338" s="32" t="s">
        <v>14661</v>
      </c>
    </row>
    <row r="5339" spans="2:4" x14ac:dyDescent="0.3">
      <c r="B5339" s="33" t="s">
        <v>14662</v>
      </c>
      <c r="C5339" s="32" t="s">
        <v>14663</v>
      </c>
      <c r="D5339" s="32" t="s">
        <v>14664</v>
      </c>
    </row>
    <row r="5340" spans="2:4" x14ac:dyDescent="0.3">
      <c r="B5340" s="33" t="s">
        <v>14665</v>
      </c>
      <c r="C5340" s="32" t="s">
        <v>14666</v>
      </c>
      <c r="D5340" s="32" t="s">
        <v>14667</v>
      </c>
    </row>
    <row r="5341" spans="2:4" x14ac:dyDescent="0.3">
      <c r="B5341" s="33" t="s">
        <v>14542</v>
      </c>
      <c r="C5341" s="32" t="s">
        <v>14668</v>
      </c>
      <c r="D5341" s="32" t="s">
        <v>14669</v>
      </c>
    </row>
    <row r="5342" spans="2:4" x14ac:dyDescent="0.3">
      <c r="B5342" s="33" t="s">
        <v>14670</v>
      </c>
      <c r="C5342" s="32" t="s">
        <v>14671</v>
      </c>
      <c r="D5342" s="32" t="s">
        <v>14672</v>
      </c>
    </row>
    <row r="5343" spans="2:4" x14ac:dyDescent="0.3">
      <c r="B5343" s="33" t="s">
        <v>14673</v>
      </c>
      <c r="C5343" s="32" t="s">
        <v>14674</v>
      </c>
      <c r="D5343" s="32" t="s">
        <v>14675</v>
      </c>
    </row>
    <row r="5344" spans="2:4" x14ac:dyDescent="0.3">
      <c r="B5344" s="33" t="s">
        <v>14676</v>
      </c>
      <c r="C5344" s="32" t="s">
        <v>14677</v>
      </c>
      <c r="D5344" s="32" t="s">
        <v>14678</v>
      </c>
    </row>
    <row r="5345" spans="2:4" x14ac:dyDescent="0.3">
      <c r="B5345" s="33" t="s">
        <v>37208</v>
      </c>
      <c r="C5345" s="32" t="s">
        <v>37209</v>
      </c>
      <c r="D5345" s="32" t="s">
        <v>37210</v>
      </c>
    </row>
    <row r="5346" spans="2:4" x14ac:dyDescent="0.3">
      <c r="B5346" s="33" t="s">
        <v>14679</v>
      </c>
      <c r="C5346" s="32" t="s">
        <v>14680</v>
      </c>
      <c r="D5346" s="32" t="s">
        <v>14681</v>
      </c>
    </row>
    <row r="5347" spans="2:4" x14ac:dyDescent="0.3">
      <c r="B5347" s="33" t="s">
        <v>14682</v>
      </c>
      <c r="C5347" s="32" t="s">
        <v>14683</v>
      </c>
      <c r="D5347" s="32" t="s">
        <v>14684</v>
      </c>
    </row>
    <row r="5348" spans="2:4" x14ac:dyDescent="0.3">
      <c r="B5348" s="33" t="s">
        <v>14685</v>
      </c>
      <c r="C5348" s="32" t="s">
        <v>14686</v>
      </c>
      <c r="D5348" s="32" t="s">
        <v>14687</v>
      </c>
    </row>
    <row r="5349" spans="2:4" x14ac:dyDescent="0.3">
      <c r="B5349" s="33" t="s">
        <v>7069</v>
      </c>
      <c r="C5349" s="32" t="s">
        <v>14688</v>
      </c>
      <c r="D5349" s="32" t="s">
        <v>14689</v>
      </c>
    </row>
    <row r="5350" spans="2:4" x14ac:dyDescent="0.3">
      <c r="B5350" s="33" t="s">
        <v>14690</v>
      </c>
      <c r="C5350" s="32" t="s">
        <v>14691</v>
      </c>
      <c r="D5350" s="32" t="s">
        <v>14692</v>
      </c>
    </row>
    <row r="5351" spans="2:4" x14ac:dyDescent="0.3">
      <c r="B5351" s="33" t="s">
        <v>14693</v>
      </c>
      <c r="C5351" s="32" t="s">
        <v>14694</v>
      </c>
      <c r="D5351" s="32" t="s">
        <v>14695</v>
      </c>
    </row>
    <row r="5352" spans="2:4" x14ac:dyDescent="0.3">
      <c r="B5352" s="33" t="s">
        <v>14414</v>
      </c>
      <c r="C5352" s="32" t="s">
        <v>14696</v>
      </c>
      <c r="D5352" s="32" t="s">
        <v>14697</v>
      </c>
    </row>
    <row r="5353" spans="2:4" x14ac:dyDescent="0.3">
      <c r="B5353" s="33" t="s">
        <v>14698</v>
      </c>
      <c r="C5353" s="32" t="s">
        <v>14699</v>
      </c>
      <c r="D5353" s="32" t="s">
        <v>14700</v>
      </c>
    </row>
    <row r="5354" spans="2:4" x14ac:dyDescent="0.3">
      <c r="B5354" s="33" t="s">
        <v>2385</v>
      </c>
      <c r="C5354" s="32" t="s">
        <v>14701</v>
      </c>
      <c r="D5354" s="32" t="s">
        <v>14702</v>
      </c>
    </row>
    <row r="5355" spans="2:4" x14ac:dyDescent="0.3">
      <c r="B5355" s="33" t="s">
        <v>14703</v>
      </c>
      <c r="C5355" s="32" t="s">
        <v>14704</v>
      </c>
      <c r="D5355" s="32" t="s">
        <v>14705</v>
      </c>
    </row>
    <row r="5356" spans="2:4" x14ac:dyDescent="0.3">
      <c r="B5356" s="33" t="s">
        <v>14706</v>
      </c>
      <c r="C5356" s="32" t="s">
        <v>14707</v>
      </c>
      <c r="D5356" s="32" t="s">
        <v>14708</v>
      </c>
    </row>
    <row r="5357" spans="2:4" x14ac:dyDescent="0.3">
      <c r="B5357" s="33" t="s">
        <v>14709</v>
      </c>
      <c r="C5357" s="32" t="s">
        <v>14710</v>
      </c>
      <c r="D5357" s="32" t="s">
        <v>14711</v>
      </c>
    </row>
    <row r="5358" spans="2:4" x14ac:dyDescent="0.3">
      <c r="B5358" s="33" t="s">
        <v>14712</v>
      </c>
      <c r="C5358" s="32" t="s">
        <v>14713</v>
      </c>
      <c r="D5358" s="32" t="s">
        <v>14714</v>
      </c>
    </row>
    <row r="5359" spans="2:4" x14ac:dyDescent="0.3">
      <c r="B5359" s="33" t="s">
        <v>14715</v>
      </c>
      <c r="C5359" s="32" t="s">
        <v>14716</v>
      </c>
      <c r="D5359" s="32" t="s">
        <v>14717</v>
      </c>
    </row>
    <row r="5360" spans="2:4" x14ac:dyDescent="0.3">
      <c r="B5360" s="33" t="s">
        <v>14715</v>
      </c>
      <c r="C5360" s="32" t="s">
        <v>14718</v>
      </c>
      <c r="D5360" s="32" t="s">
        <v>14719</v>
      </c>
    </row>
    <row r="5361" spans="2:4" x14ac:dyDescent="0.3">
      <c r="B5361" s="33" t="s">
        <v>14720</v>
      </c>
      <c r="C5361" s="32" t="s">
        <v>14721</v>
      </c>
      <c r="D5361" s="32" t="s">
        <v>14722</v>
      </c>
    </row>
    <row r="5362" spans="2:4" x14ac:dyDescent="0.3">
      <c r="B5362" s="33" t="s">
        <v>14723</v>
      </c>
      <c r="C5362" s="32" t="s">
        <v>14724</v>
      </c>
      <c r="D5362" s="32" t="s">
        <v>14725</v>
      </c>
    </row>
    <row r="5363" spans="2:4" x14ac:dyDescent="0.3">
      <c r="B5363" s="33" t="s">
        <v>14726</v>
      </c>
      <c r="C5363" s="32" t="s">
        <v>14727</v>
      </c>
      <c r="D5363" s="32" t="s">
        <v>14728</v>
      </c>
    </row>
    <row r="5364" spans="2:4" x14ac:dyDescent="0.3">
      <c r="B5364" s="33" t="s">
        <v>14729</v>
      </c>
      <c r="C5364" s="32" t="s">
        <v>14730</v>
      </c>
      <c r="D5364" s="32" t="s">
        <v>14731</v>
      </c>
    </row>
    <row r="5365" spans="2:4" x14ac:dyDescent="0.3">
      <c r="B5365" s="33" t="s">
        <v>14732</v>
      </c>
      <c r="C5365" s="32" t="s">
        <v>14733</v>
      </c>
      <c r="D5365" s="32" t="s">
        <v>14734</v>
      </c>
    </row>
    <row r="5366" spans="2:4" x14ac:dyDescent="0.3">
      <c r="B5366" s="33" t="s">
        <v>37211</v>
      </c>
      <c r="C5366" s="32" t="s">
        <v>37212</v>
      </c>
      <c r="D5366" s="32" t="s">
        <v>37213</v>
      </c>
    </row>
    <row r="5367" spans="2:4" x14ac:dyDescent="0.3">
      <c r="B5367" s="33" t="s">
        <v>14735</v>
      </c>
      <c r="C5367" s="32" t="s">
        <v>14736</v>
      </c>
      <c r="D5367" s="32" t="s">
        <v>14737</v>
      </c>
    </row>
    <row r="5368" spans="2:4" x14ac:dyDescent="0.3">
      <c r="B5368" s="33" t="s">
        <v>14738</v>
      </c>
      <c r="C5368" s="32" t="s">
        <v>14739</v>
      </c>
      <c r="D5368" s="32" t="s">
        <v>14740</v>
      </c>
    </row>
    <row r="5369" spans="2:4" x14ac:dyDescent="0.3">
      <c r="B5369" s="33" t="s">
        <v>14741</v>
      </c>
      <c r="C5369" s="32" t="s">
        <v>14742</v>
      </c>
      <c r="D5369" s="32" t="s">
        <v>14743</v>
      </c>
    </row>
    <row r="5370" spans="2:4" x14ac:dyDescent="0.3">
      <c r="B5370" s="33" t="s">
        <v>14744</v>
      </c>
      <c r="C5370" s="32" t="s">
        <v>14745</v>
      </c>
      <c r="D5370" s="32" t="s">
        <v>14746</v>
      </c>
    </row>
    <row r="5371" spans="2:4" x14ac:dyDescent="0.3">
      <c r="B5371" s="33" t="s">
        <v>14747</v>
      </c>
      <c r="C5371" s="32" t="s">
        <v>14748</v>
      </c>
      <c r="D5371" s="32" t="s">
        <v>14749</v>
      </c>
    </row>
    <row r="5372" spans="2:4" x14ac:dyDescent="0.3">
      <c r="B5372" s="33" t="s">
        <v>14750</v>
      </c>
      <c r="C5372" s="32" t="s">
        <v>14751</v>
      </c>
      <c r="D5372" s="32" t="s">
        <v>14752</v>
      </c>
    </row>
    <row r="5373" spans="2:4" x14ac:dyDescent="0.3">
      <c r="B5373" s="33" t="s">
        <v>14753</v>
      </c>
      <c r="C5373" s="32" t="s">
        <v>14754</v>
      </c>
      <c r="D5373" s="32" t="s">
        <v>14755</v>
      </c>
    </row>
    <row r="5374" spans="2:4" x14ac:dyDescent="0.3">
      <c r="B5374" s="33" t="s">
        <v>14757</v>
      </c>
      <c r="C5374" s="32" t="s">
        <v>14758</v>
      </c>
      <c r="D5374" s="32" t="s">
        <v>14759</v>
      </c>
    </row>
    <row r="5375" spans="2:4" x14ac:dyDescent="0.3">
      <c r="B5375" s="33" t="s">
        <v>14757</v>
      </c>
      <c r="C5375" s="32" t="s">
        <v>14760</v>
      </c>
      <c r="D5375" s="32" t="s">
        <v>14761</v>
      </c>
    </row>
    <row r="5376" spans="2:4" x14ac:dyDescent="0.3">
      <c r="B5376" s="33" t="s">
        <v>14762</v>
      </c>
      <c r="C5376" s="32" t="s">
        <v>14763</v>
      </c>
      <c r="D5376" s="32" t="s">
        <v>14764</v>
      </c>
    </row>
    <row r="5377" spans="2:4" x14ac:dyDescent="0.3">
      <c r="B5377" s="33" t="s">
        <v>14757</v>
      </c>
      <c r="C5377" s="32" t="s">
        <v>14765</v>
      </c>
      <c r="D5377" s="32" t="s">
        <v>14766</v>
      </c>
    </row>
    <row r="5378" spans="2:4" x14ac:dyDescent="0.3">
      <c r="B5378" s="33" t="s">
        <v>14767</v>
      </c>
      <c r="C5378" s="32" t="s">
        <v>14768</v>
      </c>
      <c r="D5378" s="32" t="s">
        <v>14769</v>
      </c>
    </row>
    <row r="5379" spans="2:4" x14ac:dyDescent="0.3">
      <c r="B5379" s="33" t="s">
        <v>14770</v>
      </c>
      <c r="C5379" s="32" t="s">
        <v>14771</v>
      </c>
      <c r="D5379" s="32" t="s">
        <v>14772</v>
      </c>
    </row>
    <row r="5380" spans="2:4" x14ac:dyDescent="0.3">
      <c r="B5380" s="33" t="s">
        <v>14773</v>
      </c>
      <c r="C5380" s="32" t="s">
        <v>14774</v>
      </c>
      <c r="D5380" s="32" t="s">
        <v>14775</v>
      </c>
    </row>
    <row r="5381" spans="2:4" x14ac:dyDescent="0.3">
      <c r="B5381" s="33" t="s">
        <v>14776</v>
      </c>
      <c r="C5381" s="32" t="s">
        <v>14777</v>
      </c>
      <c r="D5381" s="32" t="s">
        <v>14778</v>
      </c>
    </row>
    <row r="5382" spans="2:4" x14ac:dyDescent="0.3">
      <c r="B5382" s="33" t="s">
        <v>14779</v>
      </c>
      <c r="C5382" s="32" t="s">
        <v>14780</v>
      </c>
      <c r="D5382" s="32" t="s">
        <v>14781</v>
      </c>
    </row>
    <row r="5383" spans="2:4" x14ac:dyDescent="0.3">
      <c r="B5383" s="33" t="s">
        <v>14782</v>
      </c>
      <c r="C5383" s="32" t="s">
        <v>14783</v>
      </c>
      <c r="D5383" s="32" t="s">
        <v>14784</v>
      </c>
    </row>
    <row r="5384" spans="2:4" x14ac:dyDescent="0.3">
      <c r="B5384" s="33" t="s">
        <v>14785</v>
      </c>
      <c r="C5384" s="32" t="s">
        <v>14786</v>
      </c>
      <c r="D5384" s="32" t="s">
        <v>14787</v>
      </c>
    </row>
    <row r="5385" spans="2:4" x14ac:dyDescent="0.3">
      <c r="B5385" s="33" t="s">
        <v>14788</v>
      </c>
      <c r="C5385" s="32" t="s">
        <v>14789</v>
      </c>
      <c r="D5385" s="32" t="s">
        <v>14790</v>
      </c>
    </row>
    <row r="5386" spans="2:4" x14ac:dyDescent="0.3">
      <c r="B5386" s="33" t="s">
        <v>14791</v>
      </c>
      <c r="C5386" s="32" t="s">
        <v>14792</v>
      </c>
      <c r="D5386" s="32" t="s">
        <v>14793</v>
      </c>
    </row>
    <row r="5387" spans="2:4" x14ac:dyDescent="0.3">
      <c r="B5387" s="33" t="s">
        <v>14791</v>
      </c>
      <c r="C5387" s="32" t="s">
        <v>14794</v>
      </c>
      <c r="D5387" s="32" t="s">
        <v>14795</v>
      </c>
    </row>
    <row r="5388" spans="2:4" x14ac:dyDescent="0.3">
      <c r="B5388" s="33" t="s">
        <v>14796</v>
      </c>
      <c r="C5388" s="32" t="s">
        <v>14797</v>
      </c>
      <c r="D5388" s="32" t="s">
        <v>14798</v>
      </c>
    </row>
    <row r="5389" spans="2:4" x14ac:dyDescent="0.3">
      <c r="B5389" s="33" t="s">
        <v>13895</v>
      </c>
      <c r="C5389" s="32" t="s">
        <v>14799</v>
      </c>
      <c r="D5389" s="32" t="s">
        <v>14800</v>
      </c>
    </row>
    <row r="5390" spans="2:4" x14ac:dyDescent="0.3">
      <c r="B5390" s="33" t="s">
        <v>14801</v>
      </c>
      <c r="C5390" s="32" t="s">
        <v>14802</v>
      </c>
      <c r="D5390" s="32" t="s">
        <v>14803</v>
      </c>
    </row>
    <row r="5391" spans="2:4" x14ac:dyDescent="0.3">
      <c r="B5391" s="33" t="s">
        <v>14804</v>
      </c>
      <c r="C5391" s="32" t="s">
        <v>14805</v>
      </c>
      <c r="D5391" s="32" t="s">
        <v>14806</v>
      </c>
    </row>
    <row r="5392" spans="2:4" x14ac:dyDescent="0.3">
      <c r="B5392" s="33" t="s">
        <v>14807</v>
      </c>
      <c r="C5392" s="32" t="s">
        <v>14808</v>
      </c>
      <c r="D5392" s="32" t="s">
        <v>14809</v>
      </c>
    </row>
    <row r="5393" spans="2:4" x14ac:dyDescent="0.3">
      <c r="B5393" s="33" t="s">
        <v>13806</v>
      </c>
      <c r="C5393" s="32" t="s">
        <v>14810</v>
      </c>
      <c r="D5393" s="32" t="s">
        <v>14811</v>
      </c>
    </row>
    <row r="5394" spans="2:4" x14ac:dyDescent="0.3">
      <c r="B5394" s="33" t="s">
        <v>14812</v>
      </c>
      <c r="C5394" s="32" t="s">
        <v>14813</v>
      </c>
      <c r="D5394" s="32" t="s">
        <v>14814</v>
      </c>
    </row>
    <row r="5395" spans="2:4" x14ac:dyDescent="0.3">
      <c r="B5395" s="33" t="s">
        <v>14815</v>
      </c>
      <c r="C5395" s="32" t="s">
        <v>14816</v>
      </c>
      <c r="D5395" s="32" t="s">
        <v>14817</v>
      </c>
    </row>
    <row r="5396" spans="2:4" x14ac:dyDescent="0.3">
      <c r="B5396" s="33" t="s">
        <v>14818</v>
      </c>
      <c r="C5396" s="32" t="s">
        <v>14819</v>
      </c>
      <c r="D5396" s="32" t="s">
        <v>14820</v>
      </c>
    </row>
    <row r="5397" spans="2:4" x14ac:dyDescent="0.3">
      <c r="B5397" s="33" t="s">
        <v>14812</v>
      </c>
      <c r="C5397" s="32" t="s">
        <v>14821</v>
      </c>
      <c r="D5397" s="32" t="s">
        <v>14822</v>
      </c>
    </row>
    <row r="5398" spans="2:4" x14ac:dyDescent="0.3">
      <c r="B5398" s="33" t="s">
        <v>14823</v>
      </c>
      <c r="C5398" s="32" t="s">
        <v>14824</v>
      </c>
      <c r="D5398" s="32" t="s">
        <v>14825</v>
      </c>
    </row>
    <row r="5399" spans="2:4" x14ac:dyDescent="0.3">
      <c r="B5399" s="33" t="s">
        <v>14826</v>
      </c>
      <c r="C5399" s="32" t="s">
        <v>14827</v>
      </c>
      <c r="D5399" s="32" t="s">
        <v>14828</v>
      </c>
    </row>
    <row r="5400" spans="2:4" x14ac:dyDescent="0.3">
      <c r="B5400" s="33" t="s">
        <v>14829</v>
      </c>
      <c r="C5400" s="32" t="s">
        <v>14830</v>
      </c>
      <c r="D5400" s="32" t="s">
        <v>14831</v>
      </c>
    </row>
    <row r="5401" spans="2:4" x14ac:dyDescent="0.3">
      <c r="B5401" s="33" t="s">
        <v>14832</v>
      </c>
      <c r="C5401" s="32" t="s">
        <v>14833</v>
      </c>
      <c r="D5401" s="32" t="s">
        <v>14834</v>
      </c>
    </row>
    <row r="5402" spans="2:4" x14ac:dyDescent="0.3">
      <c r="B5402" s="33" t="s">
        <v>14812</v>
      </c>
      <c r="C5402" s="32" t="s">
        <v>14835</v>
      </c>
      <c r="D5402" s="32" t="s">
        <v>14836</v>
      </c>
    </row>
    <row r="5403" spans="2:4" x14ac:dyDescent="0.3">
      <c r="B5403" s="33" t="s">
        <v>1570</v>
      </c>
      <c r="C5403" s="32" t="s">
        <v>14837</v>
      </c>
      <c r="D5403" s="32" t="s">
        <v>14838</v>
      </c>
    </row>
    <row r="5404" spans="2:4" x14ac:dyDescent="0.3">
      <c r="B5404" s="33" t="s">
        <v>14839</v>
      </c>
      <c r="C5404" s="32" t="s">
        <v>14840</v>
      </c>
      <c r="D5404" s="32" t="s">
        <v>14841</v>
      </c>
    </row>
    <row r="5405" spans="2:4" x14ac:dyDescent="0.3">
      <c r="B5405" s="33" t="s">
        <v>14842</v>
      </c>
      <c r="C5405" s="32" t="s">
        <v>14843</v>
      </c>
      <c r="D5405" s="32" t="s">
        <v>14844</v>
      </c>
    </row>
    <row r="5406" spans="2:4" x14ac:dyDescent="0.3">
      <c r="B5406" s="33" t="s">
        <v>14845</v>
      </c>
      <c r="C5406" s="32" t="s">
        <v>14846</v>
      </c>
      <c r="D5406" s="32" t="s">
        <v>14847</v>
      </c>
    </row>
    <row r="5407" spans="2:4" x14ac:dyDescent="0.3">
      <c r="B5407" s="33" t="s">
        <v>6650</v>
      </c>
      <c r="C5407" s="32" t="s">
        <v>14848</v>
      </c>
      <c r="D5407" s="32" t="s">
        <v>14849</v>
      </c>
    </row>
    <row r="5408" spans="2:4" x14ac:dyDescent="0.3">
      <c r="B5408" s="33" t="s">
        <v>14812</v>
      </c>
      <c r="C5408" s="32" t="s">
        <v>14850</v>
      </c>
      <c r="D5408" s="32" t="s">
        <v>14851</v>
      </c>
    </row>
    <row r="5409" spans="2:4" x14ac:dyDescent="0.3">
      <c r="B5409" s="33" t="s">
        <v>14852</v>
      </c>
      <c r="C5409" s="32" t="s">
        <v>14853</v>
      </c>
      <c r="D5409" s="32" t="s">
        <v>14854</v>
      </c>
    </row>
    <row r="5410" spans="2:4" x14ac:dyDescent="0.3">
      <c r="B5410" s="33" t="s">
        <v>14855</v>
      </c>
      <c r="C5410" s="32" t="s">
        <v>14856</v>
      </c>
      <c r="D5410" s="32" t="s">
        <v>14857</v>
      </c>
    </row>
    <row r="5411" spans="2:4" x14ac:dyDescent="0.3">
      <c r="B5411" s="33" t="s">
        <v>14858</v>
      </c>
      <c r="C5411" s="32" t="s">
        <v>14859</v>
      </c>
      <c r="D5411" s="32" t="s">
        <v>14860</v>
      </c>
    </row>
    <row r="5412" spans="2:4" x14ac:dyDescent="0.3">
      <c r="B5412" s="33" t="s">
        <v>14861</v>
      </c>
      <c r="C5412" s="32" t="s">
        <v>14862</v>
      </c>
      <c r="D5412" s="32" t="s">
        <v>14863</v>
      </c>
    </row>
    <row r="5413" spans="2:4" x14ac:dyDescent="0.3">
      <c r="B5413" s="33" t="s">
        <v>14864</v>
      </c>
      <c r="C5413" s="32" t="s">
        <v>14865</v>
      </c>
      <c r="D5413" s="32" t="s">
        <v>14866</v>
      </c>
    </row>
    <row r="5414" spans="2:4" x14ac:dyDescent="0.3">
      <c r="B5414" s="33" t="s">
        <v>13948</v>
      </c>
      <c r="C5414" s="32" t="s">
        <v>14867</v>
      </c>
      <c r="D5414" s="32" t="s">
        <v>14868</v>
      </c>
    </row>
    <row r="5415" spans="2:4" x14ac:dyDescent="0.3">
      <c r="B5415" s="33" t="s">
        <v>37214</v>
      </c>
      <c r="C5415" s="32" t="s">
        <v>14869</v>
      </c>
      <c r="D5415" s="32" t="s">
        <v>37215</v>
      </c>
    </row>
    <row r="5416" spans="2:4" x14ac:dyDescent="0.3">
      <c r="B5416" s="33" t="s">
        <v>37216</v>
      </c>
      <c r="C5416" s="32" t="s">
        <v>14870</v>
      </c>
      <c r="D5416" s="32" t="s">
        <v>37217</v>
      </c>
    </row>
    <row r="5417" spans="2:4" x14ac:dyDescent="0.3">
      <c r="B5417" s="33" t="s">
        <v>14871</v>
      </c>
      <c r="C5417" s="32" t="s">
        <v>14872</v>
      </c>
      <c r="D5417" s="32" t="s">
        <v>14873</v>
      </c>
    </row>
    <row r="5418" spans="2:4" x14ac:dyDescent="0.3">
      <c r="B5418" s="33" t="s">
        <v>14874</v>
      </c>
      <c r="C5418" s="32" t="s">
        <v>14875</v>
      </c>
      <c r="D5418" s="32" t="s">
        <v>14876</v>
      </c>
    </row>
    <row r="5419" spans="2:4" x14ac:dyDescent="0.3">
      <c r="B5419" s="33" t="s">
        <v>14877</v>
      </c>
      <c r="C5419" s="32" t="s">
        <v>14878</v>
      </c>
      <c r="D5419" s="32" t="s">
        <v>14879</v>
      </c>
    </row>
    <row r="5420" spans="2:4" x14ac:dyDescent="0.3">
      <c r="B5420" s="33" t="s">
        <v>14880</v>
      </c>
      <c r="C5420" s="32" t="s">
        <v>14881</v>
      </c>
      <c r="D5420" s="32" t="s">
        <v>14882</v>
      </c>
    </row>
    <row r="5421" spans="2:4" x14ac:dyDescent="0.3">
      <c r="B5421" s="33" t="s">
        <v>14883</v>
      </c>
      <c r="C5421" s="32" t="s">
        <v>14884</v>
      </c>
      <c r="D5421" s="32" t="s">
        <v>14885</v>
      </c>
    </row>
    <row r="5422" spans="2:4" x14ac:dyDescent="0.3">
      <c r="B5422" s="33" t="s">
        <v>14886</v>
      </c>
      <c r="C5422" s="32" t="s">
        <v>14887</v>
      </c>
      <c r="D5422" s="32" t="s">
        <v>14888</v>
      </c>
    </row>
    <row r="5423" spans="2:4" x14ac:dyDescent="0.3">
      <c r="B5423" s="33" t="s">
        <v>14889</v>
      </c>
      <c r="C5423" s="32" t="s">
        <v>14890</v>
      </c>
      <c r="D5423" s="32" t="s">
        <v>14891</v>
      </c>
    </row>
    <row r="5424" spans="2:4" x14ac:dyDescent="0.3">
      <c r="B5424" s="33" t="s">
        <v>14892</v>
      </c>
      <c r="C5424" s="32" t="s">
        <v>14893</v>
      </c>
      <c r="D5424" s="32" t="s">
        <v>14894</v>
      </c>
    </row>
    <row r="5425" spans="2:4" x14ac:dyDescent="0.3">
      <c r="B5425" s="33" t="s">
        <v>14895</v>
      </c>
      <c r="C5425" s="32" t="s">
        <v>14896</v>
      </c>
      <c r="D5425" s="32" t="s">
        <v>14897</v>
      </c>
    </row>
    <row r="5426" spans="2:4" x14ac:dyDescent="0.3">
      <c r="B5426" s="33" t="s">
        <v>14842</v>
      </c>
      <c r="C5426" s="32" t="s">
        <v>14898</v>
      </c>
      <c r="D5426" s="32" t="s">
        <v>14899</v>
      </c>
    </row>
    <row r="5427" spans="2:4" x14ac:dyDescent="0.3">
      <c r="B5427" s="33" t="s">
        <v>14900</v>
      </c>
      <c r="C5427" s="32" t="s">
        <v>14901</v>
      </c>
      <c r="D5427" s="32" t="s">
        <v>14902</v>
      </c>
    </row>
    <row r="5428" spans="2:4" x14ac:dyDescent="0.3">
      <c r="B5428" s="33" t="s">
        <v>14903</v>
      </c>
      <c r="C5428" s="32" t="s">
        <v>14904</v>
      </c>
      <c r="D5428" s="32" t="s">
        <v>14905</v>
      </c>
    </row>
    <row r="5429" spans="2:4" x14ac:dyDescent="0.3">
      <c r="B5429" s="33" t="s">
        <v>14906</v>
      </c>
      <c r="C5429" s="32" t="s">
        <v>14907</v>
      </c>
      <c r="D5429" s="32" t="s">
        <v>14908</v>
      </c>
    </row>
    <row r="5430" spans="2:4" x14ac:dyDescent="0.3">
      <c r="B5430" s="33" t="s">
        <v>14909</v>
      </c>
      <c r="C5430" s="32" t="s">
        <v>14910</v>
      </c>
      <c r="D5430" s="32" t="s">
        <v>14911</v>
      </c>
    </row>
    <row r="5431" spans="2:4" x14ac:dyDescent="0.3">
      <c r="B5431" s="33" t="s">
        <v>14912</v>
      </c>
      <c r="C5431" s="32" t="s">
        <v>14913</v>
      </c>
      <c r="D5431" s="32" t="s">
        <v>14914</v>
      </c>
    </row>
    <row r="5432" spans="2:4" x14ac:dyDescent="0.3">
      <c r="B5432" s="33" t="s">
        <v>14915</v>
      </c>
      <c r="C5432" s="32" t="s">
        <v>14916</v>
      </c>
      <c r="D5432" s="32" t="s">
        <v>14917</v>
      </c>
    </row>
    <row r="5433" spans="2:4" x14ac:dyDescent="0.3">
      <c r="B5433" s="33" t="s">
        <v>14918</v>
      </c>
      <c r="C5433" s="32" t="s">
        <v>14919</v>
      </c>
      <c r="D5433" s="32" t="s">
        <v>14920</v>
      </c>
    </row>
    <row r="5434" spans="2:4" x14ac:dyDescent="0.3">
      <c r="B5434" s="33" t="s">
        <v>36724</v>
      </c>
      <c r="C5434" s="32" t="s">
        <v>36725</v>
      </c>
      <c r="D5434" s="32" t="s">
        <v>36726</v>
      </c>
    </row>
    <row r="5435" spans="2:4" x14ac:dyDescent="0.3">
      <c r="B5435" s="33" t="s">
        <v>14921</v>
      </c>
      <c r="C5435" s="32" t="s">
        <v>14922</v>
      </c>
      <c r="D5435" s="32" t="s">
        <v>14923</v>
      </c>
    </row>
    <row r="5436" spans="2:4" x14ac:dyDescent="0.3">
      <c r="B5436" s="33" t="s">
        <v>14313</v>
      </c>
      <c r="C5436" s="32" t="s">
        <v>14924</v>
      </c>
      <c r="D5436" s="32" t="s">
        <v>14925</v>
      </c>
    </row>
    <row r="5437" spans="2:4" x14ac:dyDescent="0.3">
      <c r="B5437" s="33" t="s">
        <v>14926</v>
      </c>
      <c r="C5437" s="32" t="s">
        <v>14927</v>
      </c>
      <c r="D5437" s="32" t="s">
        <v>14928</v>
      </c>
    </row>
    <row r="5438" spans="2:4" x14ac:dyDescent="0.3">
      <c r="B5438" s="33" t="s">
        <v>14929</v>
      </c>
      <c r="C5438" s="32" t="s">
        <v>14930</v>
      </c>
      <c r="D5438" s="32" t="s">
        <v>14931</v>
      </c>
    </row>
    <row r="5439" spans="2:4" x14ac:dyDescent="0.3">
      <c r="B5439" s="33" t="s">
        <v>14932</v>
      </c>
      <c r="C5439" s="32" t="s">
        <v>14933</v>
      </c>
      <c r="D5439" s="32" t="s">
        <v>14934</v>
      </c>
    </row>
    <row r="5440" spans="2:4" x14ac:dyDescent="0.3">
      <c r="B5440" s="33" t="s">
        <v>14144</v>
      </c>
      <c r="C5440" s="32" t="s">
        <v>14935</v>
      </c>
      <c r="D5440" s="32" t="s">
        <v>14936</v>
      </c>
    </row>
    <row r="5441" spans="2:4" x14ac:dyDescent="0.3">
      <c r="B5441" s="33" t="s">
        <v>14937</v>
      </c>
      <c r="C5441" s="32" t="s">
        <v>14938</v>
      </c>
      <c r="D5441" s="32" t="s">
        <v>14939</v>
      </c>
    </row>
    <row r="5442" spans="2:4" x14ac:dyDescent="0.3">
      <c r="B5442" s="33" t="s">
        <v>14940</v>
      </c>
      <c r="C5442" s="32" t="s">
        <v>14941</v>
      </c>
      <c r="D5442" s="32" t="s">
        <v>14942</v>
      </c>
    </row>
    <row r="5443" spans="2:4" x14ac:dyDescent="0.3">
      <c r="B5443" s="33" t="s">
        <v>14943</v>
      </c>
      <c r="C5443" s="32" t="s">
        <v>14944</v>
      </c>
      <c r="D5443" s="32" t="s">
        <v>14945</v>
      </c>
    </row>
    <row r="5444" spans="2:4" x14ac:dyDescent="0.3">
      <c r="B5444" s="33" t="s">
        <v>14921</v>
      </c>
      <c r="C5444" s="32" t="s">
        <v>14946</v>
      </c>
      <c r="D5444" s="32" t="s">
        <v>14947</v>
      </c>
    </row>
    <row r="5445" spans="2:4" x14ac:dyDescent="0.3">
      <c r="B5445" s="33" t="s">
        <v>14940</v>
      </c>
      <c r="C5445" s="32" t="s">
        <v>14948</v>
      </c>
      <c r="D5445" s="32" t="s">
        <v>14949</v>
      </c>
    </row>
    <row r="5446" spans="2:4" x14ac:dyDescent="0.3">
      <c r="B5446" s="33" t="s">
        <v>14950</v>
      </c>
      <c r="C5446" s="32" t="s">
        <v>14951</v>
      </c>
      <c r="D5446" s="32" t="s">
        <v>14952</v>
      </c>
    </row>
    <row r="5447" spans="2:4" x14ac:dyDescent="0.3">
      <c r="B5447" s="33" t="s">
        <v>14953</v>
      </c>
      <c r="C5447" s="32" t="s">
        <v>14954</v>
      </c>
      <c r="D5447" s="32" t="s">
        <v>14955</v>
      </c>
    </row>
    <row r="5448" spans="2:4" x14ac:dyDescent="0.3">
      <c r="B5448" s="33" t="s">
        <v>14956</v>
      </c>
      <c r="C5448" s="32" t="s">
        <v>14957</v>
      </c>
      <c r="D5448" s="32" t="s">
        <v>14958</v>
      </c>
    </row>
    <row r="5449" spans="2:4" x14ac:dyDescent="0.3">
      <c r="B5449" s="33" t="s">
        <v>14959</v>
      </c>
      <c r="C5449" s="32" t="s">
        <v>14960</v>
      </c>
      <c r="D5449" s="32" t="s">
        <v>14961</v>
      </c>
    </row>
    <row r="5450" spans="2:4" x14ac:dyDescent="0.3">
      <c r="B5450" s="33" t="s">
        <v>13895</v>
      </c>
      <c r="C5450" s="32" t="s">
        <v>14962</v>
      </c>
      <c r="D5450" s="32" t="s">
        <v>14963</v>
      </c>
    </row>
    <row r="5451" spans="2:4" x14ac:dyDescent="0.3">
      <c r="B5451" s="33" t="s">
        <v>14964</v>
      </c>
      <c r="C5451" s="32" t="s">
        <v>14965</v>
      </c>
      <c r="D5451" s="32" t="s">
        <v>14966</v>
      </c>
    </row>
    <row r="5452" spans="2:4" x14ac:dyDescent="0.3">
      <c r="B5452" s="33" t="s">
        <v>14967</v>
      </c>
      <c r="C5452" s="32" t="s">
        <v>14968</v>
      </c>
      <c r="D5452" s="32" t="s">
        <v>14969</v>
      </c>
    </row>
    <row r="5453" spans="2:4" x14ac:dyDescent="0.3">
      <c r="B5453" s="33" t="s">
        <v>14970</v>
      </c>
      <c r="C5453" s="32" t="s">
        <v>14971</v>
      </c>
      <c r="D5453" s="32" t="s">
        <v>14972</v>
      </c>
    </row>
    <row r="5454" spans="2:4" x14ac:dyDescent="0.3">
      <c r="B5454" s="33" t="s">
        <v>14973</v>
      </c>
      <c r="C5454" s="32" t="s">
        <v>14974</v>
      </c>
      <c r="D5454" s="32" t="s">
        <v>14975</v>
      </c>
    </row>
    <row r="5455" spans="2:4" x14ac:dyDescent="0.3">
      <c r="B5455" s="33" t="s">
        <v>14048</v>
      </c>
      <c r="C5455" s="32" t="s">
        <v>14976</v>
      </c>
      <c r="D5455" s="32" t="s">
        <v>14977</v>
      </c>
    </row>
    <row r="5456" spans="2:4" x14ac:dyDescent="0.3">
      <c r="B5456" s="33" t="s">
        <v>14978</v>
      </c>
      <c r="C5456" s="32" t="s">
        <v>14979</v>
      </c>
      <c r="D5456" s="32" t="s">
        <v>14980</v>
      </c>
    </row>
    <row r="5457" spans="2:4" x14ac:dyDescent="0.3">
      <c r="B5457" s="33" t="s">
        <v>14578</v>
      </c>
      <c r="C5457" s="32" t="s">
        <v>14981</v>
      </c>
      <c r="D5457" s="32" t="s">
        <v>14982</v>
      </c>
    </row>
    <row r="5458" spans="2:4" x14ac:dyDescent="0.3">
      <c r="B5458" s="33" t="s">
        <v>14670</v>
      </c>
      <c r="C5458" s="32" t="s">
        <v>14983</v>
      </c>
      <c r="D5458" s="32" t="s">
        <v>14984</v>
      </c>
    </row>
    <row r="5459" spans="2:4" x14ac:dyDescent="0.3">
      <c r="B5459" s="33" t="s">
        <v>14985</v>
      </c>
      <c r="C5459" s="32" t="s">
        <v>14986</v>
      </c>
      <c r="D5459" s="32" t="s">
        <v>14987</v>
      </c>
    </row>
    <row r="5460" spans="2:4" x14ac:dyDescent="0.3">
      <c r="B5460" s="33" t="s">
        <v>14988</v>
      </c>
      <c r="C5460" s="32" t="s">
        <v>14989</v>
      </c>
      <c r="D5460" s="32" t="s">
        <v>14990</v>
      </c>
    </row>
    <row r="5461" spans="2:4" x14ac:dyDescent="0.3">
      <c r="B5461" s="33" t="s">
        <v>14991</v>
      </c>
      <c r="C5461" s="32" t="s">
        <v>14992</v>
      </c>
      <c r="D5461" s="32" t="s">
        <v>14993</v>
      </c>
    </row>
    <row r="5462" spans="2:4" x14ac:dyDescent="0.3">
      <c r="B5462" s="33" t="s">
        <v>14994</v>
      </c>
      <c r="C5462" s="32" t="s">
        <v>14995</v>
      </c>
      <c r="D5462" s="32" t="s">
        <v>14996</v>
      </c>
    </row>
    <row r="5463" spans="2:4" x14ac:dyDescent="0.3">
      <c r="B5463" s="33" t="s">
        <v>14997</v>
      </c>
      <c r="C5463" s="32" t="s">
        <v>14998</v>
      </c>
      <c r="D5463" s="32" t="s">
        <v>14999</v>
      </c>
    </row>
    <row r="5464" spans="2:4" x14ac:dyDescent="0.3">
      <c r="B5464" s="33" t="s">
        <v>15000</v>
      </c>
      <c r="C5464" s="32" t="s">
        <v>15001</v>
      </c>
      <c r="D5464" s="32" t="s">
        <v>15002</v>
      </c>
    </row>
    <row r="5465" spans="2:4" x14ac:dyDescent="0.3">
      <c r="B5465" s="33" t="s">
        <v>13895</v>
      </c>
      <c r="C5465" s="32" t="s">
        <v>15003</v>
      </c>
      <c r="D5465" s="32" t="s">
        <v>15004</v>
      </c>
    </row>
    <row r="5466" spans="2:4" x14ac:dyDescent="0.3">
      <c r="B5466" s="33" t="s">
        <v>14405</v>
      </c>
      <c r="C5466" s="32" t="s">
        <v>15005</v>
      </c>
      <c r="D5466" s="32" t="s">
        <v>15006</v>
      </c>
    </row>
    <row r="5467" spans="2:4" x14ac:dyDescent="0.3">
      <c r="B5467" s="33" t="s">
        <v>15007</v>
      </c>
      <c r="C5467" s="32" t="s">
        <v>15008</v>
      </c>
      <c r="D5467" s="32" t="s">
        <v>15007</v>
      </c>
    </row>
    <row r="5468" spans="2:4" x14ac:dyDescent="0.3">
      <c r="B5468" s="33" t="s">
        <v>15009</v>
      </c>
      <c r="C5468" s="32" t="s">
        <v>15010</v>
      </c>
      <c r="D5468" s="32" t="s">
        <v>36727</v>
      </c>
    </row>
    <row r="5469" spans="2:4" x14ac:dyDescent="0.3">
      <c r="B5469" s="33" t="s">
        <v>15011</v>
      </c>
      <c r="C5469" s="32" t="s">
        <v>15012</v>
      </c>
      <c r="D5469" s="32" t="s">
        <v>15013</v>
      </c>
    </row>
    <row r="5470" spans="2:4" x14ac:dyDescent="0.3">
      <c r="B5470" s="33" t="s">
        <v>15014</v>
      </c>
      <c r="C5470" s="32" t="s">
        <v>15015</v>
      </c>
      <c r="D5470" s="32" t="s">
        <v>15016</v>
      </c>
    </row>
    <row r="5471" spans="2:4" x14ac:dyDescent="0.3">
      <c r="B5471" s="33" t="s">
        <v>15017</v>
      </c>
      <c r="C5471" s="32" t="s">
        <v>15018</v>
      </c>
      <c r="D5471" s="32" t="s">
        <v>15019</v>
      </c>
    </row>
    <row r="5472" spans="2:4" x14ac:dyDescent="0.3">
      <c r="B5472" s="33" t="s">
        <v>15020</v>
      </c>
      <c r="C5472" s="32" t="s">
        <v>15021</v>
      </c>
      <c r="D5472" s="32" t="s">
        <v>15020</v>
      </c>
    </row>
    <row r="5473" spans="2:4" x14ac:dyDescent="0.3">
      <c r="B5473" s="33" t="s">
        <v>15022</v>
      </c>
      <c r="C5473" s="32" t="s">
        <v>15023</v>
      </c>
      <c r="D5473" s="32" t="s">
        <v>15024</v>
      </c>
    </row>
    <row r="5474" spans="2:4" x14ac:dyDescent="0.3">
      <c r="B5474" s="33" t="s">
        <v>15025</v>
      </c>
      <c r="C5474" s="32" t="s">
        <v>15026</v>
      </c>
      <c r="D5474" s="32" t="s">
        <v>15025</v>
      </c>
    </row>
    <row r="5475" spans="2:4" x14ac:dyDescent="0.3">
      <c r="B5475" s="33" t="s">
        <v>15027</v>
      </c>
      <c r="C5475" s="32" t="s">
        <v>15028</v>
      </c>
      <c r="D5475" s="32" t="s">
        <v>15029</v>
      </c>
    </row>
    <row r="5476" spans="2:4" x14ac:dyDescent="0.3">
      <c r="B5476" s="33" t="s">
        <v>15030</v>
      </c>
      <c r="C5476" s="32" t="s">
        <v>15031</v>
      </c>
      <c r="D5476" s="32" t="s">
        <v>15030</v>
      </c>
    </row>
    <row r="5477" spans="2:4" x14ac:dyDescent="0.3">
      <c r="B5477" s="33" t="s">
        <v>15032</v>
      </c>
      <c r="C5477" s="32" t="s">
        <v>15033</v>
      </c>
      <c r="D5477" s="32" t="s">
        <v>15034</v>
      </c>
    </row>
    <row r="5478" spans="2:4" x14ac:dyDescent="0.3">
      <c r="B5478" s="33" t="s">
        <v>15035</v>
      </c>
      <c r="C5478" s="32" t="s">
        <v>15036</v>
      </c>
      <c r="D5478" s="32" t="s">
        <v>15037</v>
      </c>
    </row>
    <row r="5479" spans="2:4" x14ac:dyDescent="0.3">
      <c r="B5479" s="33" t="s">
        <v>15038</v>
      </c>
      <c r="C5479" s="32" t="s">
        <v>15039</v>
      </c>
      <c r="D5479" s="32" t="s">
        <v>15040</v>
      </c>
    </row>
    <row r="5480" spans="2:4" x14ac:dyDescent="0.3">
      <c r="B5480" s="33" t="s">
        <v>9634</v>
      </c>
      <c r="C5480" s="32" t="s">
        <v>15041</v>
      </c>
      <c r="D5480" s="32" t="s">
        <v>9634</v>
      </c>
    </row>
    <row r="5481" spans="2:4" x14ac:dyDescent="0.3">
      <c r="B5481" s="33" t="s">
        <v>9634</v>
      </c>
      <c r="C5481" s="32" t="s">
        <v>15042</v>
      </c>
      <c r="D5481" s="32" t="s">
        <v>15043</v>
      </c>
    </row>
    <row r="5482" spans="2:4" x14ac:dyDescent="0.3">
      <c r="B5482" s="33" t="s">
        <v>15044</v>
      </c>
      <c r="C5482" s="32" t="s">
        <v>15045</v>
      </c>
      <c r="D5482" s="32" t="s">
        <v>15044</v>
      </c>
    </row>
    <row r="5483" spans="2:4" x14ac:dyDescent="0.3">
      <c r="B5483" s="33" t="s">
        <v>15046</v>
      </c>
      <c r="C5483" s="32" t="s">
        <v>15047</v>
      </c>
      <c r="D5483" s="32" t="s">
        <v>15048</v>
      </c>
    </row>
    <row r="5484" spans="2:4" x14ac:dyDescent="0.3">
      <c r="B5484" s="33" t="s">
        <v>15049</v>
      </c>
      <c r="C5484" s="32" t="s">
        <v>15050</v>
      </c>
      <c r="D5484" s="32" t="s">
        <v>15051</v>
      </c>
    </row>
    <row r="5485" spans="2:4" x14ac:dyDescent="0.3">
      <c r="B5485" s="33" t="s">
        <v>15052</v>
      </c>
      <c r="C5485" s="32" t="s">
        <v>15053</v>
      </c>
      <c r="D5485" s="32" t="s">
        <v>15054</v>
      </c>
    </row>
    <row r="5486" spans="2:4" x14ac:dyDescent="0.3">
      <c r="B5486" s="33" t="s">
        <v>15055</v>
      </c>
      <c r="C5486" s="32" t="s">
        <v>15056</v>
      </c>
      <c r="D5486" s="32" t="s">
        <v>15057</v>
      </c>
    </row>
    <row r="5487" spans="2:4" x14ac:dyDescent="0.3">
      <c r="B5487" s="33" t="s">
        <v>15058</v>
      </c>
      <c r="C5487" s="32" t="s">
        <v>15059</v>
      </c>
      <c r="D5487" s="32" t="s">
        <v>15060</v>
      </c>
    </row>
    <row r="5488" spans="2:4" x14ac:dyDescent="0.3">
      <c r="B5488" s="33" t="s">
        <v>15061</v>
      </c>
      <c r="C5488" s="32" t="s">
        <v>15062</v>
      </c>
      <c r="D5488" s="32" t="s">
        <v>15063</v>
      </c>
    </row>
    <row r="5489" spans="2:4" x14ac:dyDescent="0.3">
      <c r="B5489" s="33" t="s">
        <v>15064</v>
      </c>
      <c r="C5489" s="32" t="s">
        <v>15065</v>
      </c>
      <c r="D5489" s="32" t="s">
        <v>37218</v>
      </c>
    </row>
    <row r="5490" spans="2:4" x14ac:dyDescent="0.3">
      <c r="B5490" s="33" t="s">
        <v>15066</v>
      </c>
      <c r="C5490" s="32" t="s">
        <v>15067</v>
      </c>
      <c r="D5490" s="32" t="s">
        <v>15068</v>
      </c>
    </row>
    <row r="5491" spans="2:4" x14ac:dyDescent="0.3">
      <c r="B5491" s="33" t="s">
        <v>15052</v>
      </c>
      <c r="C5491" s="32" t="s">
        <v>15069</v>
      </c>
      <c r="D5491" s="32" t="s">
        <v>15070</v>
      </c>
    </row>
    <row r="5492" spans="2:4" x14ac:dyDescent="0.3">
      <c r="B5492" s="33" t="s">
        <v>15071</v>
      </c>
      <c r="C5492" s="32" t="s">
        <v>15072</v>
      </c>
      <c r="D5492" s="32" t="s">
        <v>15073</v>
      </c>
    </row>
    <row r="5493" spans="2:4" x14ac:dyDescent="0.3">
      <c r="B5493" s="33" t="s">
        <v>15074</v>
      </c>
      <c r="C5493" s="32" t="s">
        <v>15075</v>
      </c>
      <c r="D5493" s="32" t="s">
        <v>15076</v>
      </c>
    </row>
    <row r="5494" spans="2:4" x14ac:dyDescent="0.3">
      <c r="B5494" s="33" t="s">
        <v>15077</v>
      </c>
      <c r="C5494" s="32" t="s">
        <v>15078</v>
      </c>
      <c r="D5494" s="32" t="s">
        <v>15079</v>
      </c>
    </row>
    <row r="5495" spans="2:4" x14ac:dyDescent="0.3">
      <c r="B5495" s="33" t="s">
        <v>15080</v>
      </c>
      <c r="C5495" s="32" t="s">
        <v>15081</v>
      </c>
      <c r="D5495" s="32" t="s">
        <v>15082</v>
      </c>
    </row>
    <row r="5496" spans="2:4" x14ac:dyDescent="0.3">
      <c r="B5496" s="33" t="s">
        <v>15080</v>
      </c>
      <c r="C5496" s="32" t="s">
        <v>15083</v>
      </c>
      <c r="D5496" s="32" t="s">
        <v>15084</v>
      </c>
    </row>
    <row r="5497" spans="2:4" x14ac:dyDescent="0.3">
      <c r="B5497" s="33" t="s">
        <v>15085</v>
      </c>
      <c r="C5497" s="32" t="s">
        <v>15086</v>
      </c>
      <c r="D5497" s="32" t="s">
        <v>15087</v>
      </c>
    </row>
    <row r="5498" spans="2:4" x14ac:dyDescent="0.3">
      <c r="B5498" s="33" t="s">
        <v>15088</v>
      </c>
      <c r="C5498" s="32" t="s">
        <v>15089</v>
      </c>
      <c r="D5498" s="32" t="s">
        <v>15090</v>
      </c>
    </row>
    <row r="5499" spans="2:4" x14ac:dyDescent="0.3">
      <c r="B5499" s="33" t="s">
        <v>15109</v>
      </c>
      <c r="C5499" s="32" t="s">
        <v>36842</v>
      </c>
      <c r="D5499" s="32" t="s">
        <v>36843</v>
      </c>
    </row>
    <row r="5500" spans="2:4" x14ac:dyDescent="0.3">
      <c r="B5500" s="33" t="s">
        <v>15091</v>
      </c>
      <c r="C5500" s="32" t="s">
        <v>15092</v>
      </c>
      <c r="D5500" s="32" t="s">
        <v>15093</v>
      </c>
    </row>
    <row r="5501" spans="2:4" x14ac:dyDescent="0.3">
      <c r="B5501" s="33" t="s">
        <v>15094</v>
      </c>
      <c r="C5501" s="32" t="s">
        <v>15095</v>
      </c>
      <c r="D5501" s="32" t="s">
        <v>15096</v>
      </c>
    </row>
    <row r="5502" spans="2:4" x14ac:dyDescent="0.3">
      <c r="B5502" s="33" t="s">
        <v>15097</v>
      </c>
      <c r="C5502" s="32" t="s">
        <v>15098</v>
      </c>
      <c r="D5502" s="32" t="s">
        <v>15099</v>
      </c>
    </row>
    <row r="5503" spans="2:4" x14ac:dyDescent="0.3">
      <c r="B5503" s="33" t="s">
        <v>15100</v>
      </c>
      <c r="C5503" s="32" t="s">
        <v>15101</v>
      </c>
      <c r="D5503" s="32" t="s">
        <v>15102</v>
      </c>
    </row>
    <row r="5504" spans="2:4" x14ac:dyDescent="0.3">
      <c r="B5504" s="33" t="s">
        <v>15103</v>
      </c>
      <c r="C5504" s="32" t="s">
        <v>15104</v>
      </c>
      <c r="D5504" s="32" t="s">
        <v>15105</v>
      </c>
    </row>
    <row r="5505" spans="2:4" x14ac:dyDescent="0.3">
      <c r="B5505" s="33" t="s">
        <v>15106</v>
      </c>
      <c r="C5505" s="32" t="s">
        <v>15107</v>
      </c>
      <c r="D5505" s="32" t="s">
        <v>15108</v>
      </c>
    </row>
    <row r="5506" spans="2:4" x14ac:dyDescent="0.3">
      <c r="B5506" s="33" t="s">
        <v>15110</v>
      </c>
      <c r="C5506" s="32" t="s">
        <v>15111</v>
      </c>
      <c r="D5506" s="32" t="s">
        <v>15112</v>
      </c>
    </row>
    <row r="5507" spans="2:4" x14ac:dyDescent="0.3">
      <c r="B5507" s="33" t="s">
        <v>15113</v>
      </c>
      <c r="C5507" s="32" t="s">
        <v>15114</v>
      </c>
      <c r="D5507" s="32" t="s">
        <v>15115</v>
      </c>
    </row>
    <row r="5508" spans="2:4" x14ac:dyDescent="0.3">
      <c r="B5508" s="33" t="s">
        <v>15116</v>
      </c>
      <c r="C5508" s="32" t="s">
        <v>15117</v>
      </c>
      <c r="D5508" s="32" t="s">
        <v>15118</v>
      </c>
    </row>
    <row r="5509" spans="2:4" x14ac:dyDescent="0.3">
      <c r="B5509" s="33" t="s">
        <v>2204</v>
      </c>
      <c r="C5509" s="32" t="s">
        <v>15119</v>
      </c>
      <c r="D5509" s="32" t="s">
        <v>15120</v>
      </c>
    </row>
    <row r="5510" spans="2:4" x14ac:dyDescent="0.3">
      <c r="B5510" s="33" t="s">
        <v>15121</v>
      </c>
      <c r="C5510" s="32" t="s">
        <v>15122</v>
      </c>
      <c r="D5510" s="32" t="s">
        <v>15123</v>
      </c>
    </row>
    <row r="5511" spans="2:4" x14ac:dyDescent="0.3">
      <c r="B5511" s="33" t="s">
        <v>15124</v>
      </c>
      <c r="C5511" s="32" t="s">
        <v>15125</v>
      </c>
      <c r="D5511" s="32" t="s">
        <v>15126</v>
      </c>
    </row>
    <row r="5512" spans="2:4" x14ac:dyDescent="0.3">
      <c r="B5512" s="33" t="s">
        <v>15127</v>
      </c>
      <c r="C5512" s="32" t="s">
        <v>15128</v>
      </c>
      <c r="D5512" s="32" t="s">
        <v>15129</v>
      </c>
    </row>
    <row r="5513" spans="2:4" x14ac:dyDescent="0.3">
      <c r="B5513" s="33" t="s">
        <v>15130</v>
      </c>
      <c r="C5513" s="32" t="s">
        <v>15131</v>
      </c>
      <c r="D5513" s="32" t="s">
        <v>15132</v>
      </c>
    </row>
    <row r="5514" spans="2:4" x14ac:dyDescent="0.3">
      <c r="B5514" s="33" t="s">
        <v>15133</v>
      </c>
      <c r="C5514" s="32" t="s">
        <v>15134</v>
      </c>
      <c r="D5514" s="32" t="s">
        <v>15135</v>
      </c>
    </row>
    <row r="5515" spans="2:4" x14ac:dyDescent="0.3">
      <c r="B5515" s="33" t="s">
        <v>15133</v>
      </c>
      <c r="C5515" s="32" t="s">
        <v>15136</v>
      </c>
      <c r="D5515" s="32" t="s">
        <v>15137</v>
      </c>
    </row>
    <row r="5516" spans="2:4" x14ac:dyDescent="0.3">
      <c r="B5516" s="33" t="s">
        <v>15138</v>
      </c>
      <c r="C5516" s="32" t="s">
        <v>15139</v>
      </c>
      <c r="D5516" s="32" t="s">
        <v>15140</v>
      </c>
    </row>
    <row r="5517" spans="2:4" x14ac:dyDescent="0.3">
      <c r="B5517" s="33" t="s">
        <v>15141</v>
      </c>
      <c r="C5517" s="32" t="s">
        <v>15142</v>
      </c>
      <c r="D5517" s="32" t="s">
        <v>15143</v>
      </c>
    </row>
    <row r="5518" spans="2:4" x14ac:dyDescent="0.3">
      <c r="B5518" s="33" t="s">
        <v>15144</v>
      </c>
      <c r="C5518" s="32" t="s">
        <v>15145</v>
      </c>
      <c r="D5518" s="32" t="s">
        <v>15146</v>
      </c>
    </row>
    <row r="5519" spans="2:4" x14ac:dyDescent="0.3">
      <c r="B5519" s="33" t="s">
        <v>13288</v>
      </c>
      <c r="C5519" s="32" t="s">
        <v>15147</v>
      </c>
      <c r="D5519" s="32" t="s">
        <v>15148</v>
      </c>
    </row>
    <row r="5520" spans="2:4" x14ac:dyDescent="0.3">
      <c r="B5520" s="33" t="s">
        <v>15149</v>
      </c>
      <c r="C5520" s="32" t="s">
        <v>15150</v>
      </c>
      <c r="D5520" s="32" t="s">
        <v>15151</v>
      </c>
    </row>
    <row r="5521" spans="2:4" x14ac:dyDescent="0.3">
      <c r="B5521" s="33" t="s">
        <v>15152</v>
      </c>
      <c r="C5521" s="32" t="s">
        <v>15153</v>
      </c>
      <c r="D5521" s="32" t="s">
        <v>15154</v>
      </c>
    </row>
    <row r="5522" spans="2:4" x14ac:dyDescent="0.3">
      <c r="B5522" s="33" t="s">
        <v>15155</v>
      </c>
      <c r="C5522" s="32" t="s">
        <v>15156</v>
      </c>
      <c r="D5522" s="32" t="s">
        <v>15157</v>
      </c>
    </row>
    <row r="5523" spans="2:4" x14ac:dyDescent="0.3">
      <c r="B5523" s="33" t="s">
        <v>15158</v>
      </c>
      <c r="C5523" s="32" t="s">
        <v>15159</v>
      </c>
      <c r="D5523" s="32" t="s">
        <v>15160</v>
      </c>
    </row>
    <row r="5524" spans="2:4" x14ac:dyDescent="0.3">
      <c r="B5524" s="33" t="s">
        <v>15161</v>
      </c>
      <c r="C5524" s="32" t="s">
        <v>15162</v>
      </c>
      <c r="D5524" s="32" t="s">
        <v>15163</v>
      </c>
    </row>
    <row r="5525" spans="2:4" x14ac:dyDescent="0.3">
      <c r="B5525" s="33" t="s">
        <v>15164</v>
      </c>
      <c r="C5525" s="32" t="s">
        <v>15165</v>
      </c>
      <c r="D5525" s="32" t="s">
        <v>15164</v>
      </c>
    </row>
    <row r="5526" spans="2:4" x14ac:dyDescent="0.3">
      <c r="B5526" s="33" t="s">
        <v>15166</v>
      </c>
      <c r="C5526" s="32" t="s">
        <v>15167</v>
      </c>
      <c r="D5526" s="32" t="s">
        <v>15168</v>
      </c>
    </row>
    <row r="5527" spans="2:4" x14ac:dyDescent="0.3">
      <c r="B5527" s="33" t="s">
        <v>15169</v>
      </c>
      <c r="C5527" s="32" t="s">
        <v>15170</v>
      </c>
      <c r="D5527" s="32" t="s">
        <v>15171</v>
      </c>
    </row>
    <row r="5528" spans="2:4" x14ac:dyDescent="0.3">
      <c r="B5528" s="33" t="s">
        <v>15172</v>
      </c>
      <c r="C5528" s="32" t="s">
        <v>15173</v>
      </c>
      <c r="D5528" s="32" t="s">
        <v>15174</v>
      </c>
    </row>
    <row r="5529" spans="2:4" x14ac:dyDescent="0.3">
      <c r="B5529" s="33" t="s">
        <v>15172</v>
      </c>
      <c r="C5529" s="32" t="s">
        <v>15175</v>
      </c>
      <c r="D5529" s="32" t="s">
        <v>15176</v>
      </c>
    </row>
    <row r="5530" spans="2:4" x14ac:dyDescent="0.3">
      <c r="B5530" s="33" t="s">
        <v>15177</v>
      </c>
      <c r="C5530" s="32" t="s">
        <v>15178</v>
      </c>
      <c r="D5530" s="32" t="s">
        <v>15179</v>
      </c>
    </row>
    <row r="5531" spans="2:4" x14ac:dyDescent="0.3">
      <c r="B5531" s="33" t="s">
        <v>15180</v>
      </c>
      <c r="C5531" s="32" t="s">
        <v>15181</v>
      </c>
      <c r="D5531" s="32" t="s">
        <v>15182</v>
      </c>
    </row>
    <row r="5532" spans="2:4" x14ac:dyDescent="0.3">
      <c r="B5532" s="33" t="s">
        <v>15183</v>
      </c>
      <c r="C5532" s="32" t="s">
        <v>15184</v>
      </c>
      <c r="D5532" s="32" t="s">
        <v>15185</v>
      </c>
    </row>
    <row r="5533" spans="2:4" x14ac:dyDescent="0.3">
      <c r="B5533" s="33" t="s">
        <v>15186</v>
      </c>
      <c r="C5533" s="32" t="s">
        <v>15187</v>
      </c>
      <c r="D5533" s="32" t="s">
        <v>15188</v>
      </c>
    </row>
    <row r="5534" spans="2:4" x14ac:dyDescent="0.3">
      <c r="B5534" s="33" t="s">
        <v>15189</v>
      </c>
      <c r="C5534" s="32" t="s">
        <v>15190</v>
      </c>
      <c r="D5534" s="32" t="s">
        <v>15191</v>
      </c>
    </row>
    <row r="5535" spans="2:4" x14ac:dyDescent="0.3">
      <c r="B5535" s="33" t="s">
        <v>15192</v>
      </c>
      <c r="C5535" s="32" t="s">
        <v>15193</v>
      </c>
      <c r="D5535" s="32" t="s">
        <v>15194</v>
      </c>
    </row>
    <row r="5536" spans="2:4" x14ac:dyDescent="0.3">
      <c r="B5536" s="33" t="s">
        <v>15195</v>
      </c>
      <c r="C5536" s="32" t="s">
        <v>15196</v>
      </c>
      <c r="D5536" s="32" t="s">
        <v>15197</v>
      </c>
    </row>
    <row r="5537" spans="2:4" x14ac:dyDescent="0.3">
      <c r="B5537" s="33" t="s">
        <v>15192</v>
      </c>
      <c r="C5537" s="32" t="s">
        <v>15198</v>
      </c>
      <c r="D5537" s="32" t="s">
        <v>15199</v>
      </c>
    </row>
    <row r="5538" spans="2:4" x14ac:dyDescent="0.3">
      <c r="B5538" s="33" t="s">
        <v>15200</v>
      </c>
      <c r="C5538" s="32" t="s">
        <v>15201</v>
      </c>
      <c r="D5538" s="32" t="s">
        <v>15202</v>
      </c>
    </row>
    <row r="5539" spans="2:4" x14ac:dyDescent="0.3">
      <c r="B5539" s="33" t="s">
        <v>15203</v>
      </c>
      <c r="C5539" s="32" t="s">
        <v>15204</v>
      </c>
      <c r="D5539" s="32" t="s">
        <v>15205</v>
      </c>
    </row>
    <row r="5540" spans="2:4" x14ac:dyDescent="0.3">
      <c r="B5540" s="33" t="s">
        <v>106</v>
      </c>
      <c r="C5540" s="32" t="s">
        <v>15206</v>
      </c>
      <c r="D5540" s="32" t="s">
        <v>15207</v>
      </c>
    </row>
    <row r="5541" spans="2:4" x14ac:dyDescent="0.3">
      <c r="B5541" s="33" t="s">
        <v>15208</v>
      </c>
      <c r="C5541" s="32" t="s">
        <v>15209</v>
      </c>
      <c r="D5541" s="32" t="s">
        <v>15210</v>
      </c>
    </row>
    <row r="5542" spans="2:4" x14ac:dyDescent="0.3">
      <c r="B5542" s="33" t="s">
        <v>15127</v>
      </c>
      <c r="C5542" s="32" t="s">
        <v>15211</v>
      </c>
      <c r="D5542" s="32" t="s">
        <v>15212</v>
      </c>
    </row>
    <row r="5543" spans="2:4" x14ac:dyDescent="0.3">
      <c r="B5543" s="33" t="s">
        <v>15213</v>
      </c>
      <c r="C5543" s="32" t="s">
        <v>15214</v>
      </c>
      <c r="D5543" s="32" t="s">
        <v>15215</v>
      </c>
    </row>
    <row r="5544" spans="2:4" x14ac:dyDescent="0.3">
      <c r="B5544" s="33" t="s">
        <v>15216</v>
      </c>
      <c r="C5544" s="32" t="s">
        <v>15217</v>
      </c>
      <c r="D5544" s="32" t="s">
        <v>15218</v>
      </c>
    </row>
    <row r="5545" spans="2:4" x14ac:dyDescent="0.3">
      <c r="B5545" s="33" t="s">
        <v>15219</v>
      </c>
      <c r="C5545" s="32" t="s">
        <v>15220</v>
      </c>
      <c r="D5545" s="32" t="s">
        <v>15221</v>
      </c>
    </row>
    <row r="5546" spans="2:4" x14ac:dyDescent="0.3">
      <c r="B5546" s="33" t="s">
        <v>15222</v>
      </c>
      <c r="C5546" s="32" t="s">
        <v>15223</v>
      </c>
      <c r="D5546" s="32" t="s">
        <v>15224</v>
      </c>
    </row>
    <row r="5547" spans="2:4" x14ac:dyDescent="0.3">
      <c r="B5547" s="33" t="s">
        <v>15225</v>
      </c>
      <c r="C5547" s="32" t="s">
        <v>15226</v>
      </c>
      <c r="D5547" s="32" t="s">
        <v>15227</v>
      </c>
    </row>
    <row r="5548" spans="2:4" x14ac:dyDescent="0.3">
      <c r="B5548" s="33" t="s">
        <v>15228</v>
      </c>
      <c r="C5548" s="32" t="s">
        <v>15229</v>
      </c>
      <c r="D5548" s="32" t="s">
        <v>15230</v>
      </c>
    </row>
    <row r="5549" spans="2:4" x14ac:dyDescent="0.3">
      <c r="B5549" s="33" t="s">
        <v>15231</v>
      </c>
      <c r="C5549" s="32" t="s">
        <v>15232</v>
      </c>
      <c r="D5549" s="32" t="s">
        <v>15233</v>
      </c>
    </row>
    <row r="5550" spans="2:4" x14ac:dyDescent="0.3">
      <c r="B5550" s="33" t="s">
        <v>15234</v>
      </c>
      <c r="C5550" s="32" t="s">
        <v>15235</v>
      </c>
      <c r="D5550" s="32" t="s">
        <v>15236</v>
      </c>
    </row>
    <row r="5551" spans="2:4" x14ac:dyDescent="0.3">
      <c r="B5551" s="33" t="s">
        <v>1623</v>
      </c>
      <c r="C5551" s="32" t="s">
        <v>15237</v>
      </c>
      <c r="D5551" s="32" t="s">
        <v>15238</v>
      </c>
    </row>
    <row r="5552" spans="2:4" x14ac:dyDescent="0.3">
      <c r="B5552" s="33" t="s">
        <v>15239</v>
      </c>
      <c r="C5552" s="32" t="s">
        <v>15240</v>
      </c>
      <c r="D5552" s="32" t="s">
        <v>15241</v>
      </c>
    </row>
    <row r="5553" spans="2:4" x14ac:dyDescent="0.3">
      <c r="B5553" s="33" t="s">
        <v>15242</v>
      </c>
      <c r="C5553" s="32" t="s">
        <v>15243</v>
      </c>
      <c r="D5553" s="32" t="s">
        <v>15244</v>
      </c>
    </row>
    <row r="5554" spans="2:4" x14ac:dyDescent="0.3">
      <c r="B5554" s="33" t="s">
        <v>15049</v>
      </c>
      <c r="C5554" s="32" t="s">
        <v>15245</v>
      </c>
      <c r="D5554" s="32" t="s">
        <v>15246</v>
      </c>
    </row>
    <row r="5555" spans="2:4" x14ac:dyDescent="0.3">
      <c r="B5555" s="33" t="s">
        <v>15247</v>
      </c>
      <c r="C5555" s="32" t="s">
        <v>15248</v>
      </c>
      <c r="D5555" s="32" t="s">
        <v>15249</v>
      </c>
    </row>
    <row r="5556" spans="2:4" x14ac:dyDescent="0.3">
      <c r="B5556" s="33" t="s">
        <v>15250</v>
      </c>
      <c r="C5556" s="32" t="s">
        <v>15251</v>
      </c>
      <c r="D5556" s="32" t="s">
        <v>15252</v>
      </c>
    </row>
    <row r="5557" spans="2:4" x14ac:dyDescent="0.3">
      <c r="B5557" s="33" t="s">
        <v>15253</v>
      </c>
      <c r="C5557" s="32" t="s">
        <v>15254</v>
      </c>
      <c r="D5557" s="32" t="s">
        <v>15255</v>
      </c>
    </row>
    <row r="5558" spans="2:4" x14ac:dyDescent="0.3">
      <c r="B5558" s="33" t="s">
        <v>15256</v>
      </c>
      <c r="C5558" s="32" t="s">
        <v>15257</v>
      </c>
      <c r="D5558" s="32" t="s">
        <v>15258</v>
      </c>
    </row>
    <row r="5559" spans="2:4" x14ac:dyDescent="0.3">
      <c r="B5559" s="33" t="s">
        <v>15259</v>
      </c>
      <c r="C5559" s="32" t="s">
        <v>15260</v>
      </c>
      <c r="D5559" s="32" t="s">
        <v>15261</v>
      </c>
    </row>
    <row r="5560" spans="2:4" x14ac:dyDescent="0.3">
      <c r="B5560" s="33" t="s">
        <v>15262</v>
      </c>
      <c r="C5560" s="32" t="s">
        <v>15263</v>
      </c>
      <c r="D5560" s="32" t="s">
        <v>15264</v>
      </c>
    </row>
    <row r="5561" spans="2:4" x14ac:dyDescent="0.3">
      <c r="B5561" s="33" t="s">
        <v>15265</v>
      </c>
      <c r="C5561" s="32" t="s">
        <v>15266</v>
      </c>
      <c r="D5561" s="32" t="s">
        <v>15267</v>
      </c>
    </row>
    <row r="5562" spans="2:4" x14ac:dyDescent="0.3">
      <c r="B5562" s="33" t="s">
        <v>15268</v>
      </c>
      <c r="C5562" s="32" t="s">
        <v>15269</v>
      </c>
      <c r="D5562" s="32" t="s">
        <v>15270</v>
      </c>
    </row>
    <row r="5563" spans="2:4" x14ac:dyDescent="0.3">
      <c r="B5563" s="33" t="s">
        <v>15271</v>
      </c>
      <c r="C5563" s="32" t="s">
        <v>15272</v>
      </c>
      <c r="D5563" s="32" t="s">
        <v>15273</v>
      </c>
    </row>
    <row r="5564" spans="2:4" x14ac:dyDescent="0.3">
      <c r="B5564" s="33" t="s">
        <v>15274</v>
      </c>
      <c r="C5564" s="32" t="s">
        <v>15275</v>
      </c>
      <c r="D5564" s="32" t="s">
        <v>15276</v>
      </c>
    </row>
    <row r="5565" spans="2:4" x14ac:dyDescent="0.3">
      <c r="B5565" s="33" t="s">
        <v>15277</v>
      </c>
      <c r="C5565" s="32" t="s">
        <v>15278</v>
      </c>
      <c r="D5565" s="32" t="s">
        <v>15279</v>
      </c>
    </row>
    <row r="5566" spans="2:4" x14ac:dyDescent="0.3">
      <c r="B5566" s="33" t="s">
        <v>15280</v>
      </c>
      <c r="C5566" s="32" t="s">
        <v>15281</v>
      </c>
      <c r="D5566" s="32" t="s">
        <v>15282</v>
      </c>
    </row>
    <row r="5567" spans="2:4" x14ac:dyDescent="0.3">
      <c r="B5567" s="33" t="s">
        <v>15283</v>
      </c>
      <c r="C5567" s="32" t="s">
        <v>15284</v>
      </c>
      <c r="D5567" s="32" t="s">
        <v>15285</v>
      </c>
    </row>
    <row r="5568" spans="2:4" x14ac:dyDescent="0.3">
      <c r="B5568" s="33" t="s">
        <v>15286</v>
      </c>
      <c r="C5568" s="32" t="s">
        <v>15287</v>
      </c>
      <c r="D5568" s="32" t="s">
        <v>15288</v>
      </c>
    </row>
    <row r="5569" spans="2:4" x14ac:dyDescent="0.3">
      <c r="B5569" s="33" t="s">
        <v>15286</v>
      </c>
      <c r="C5569" s="32" t="s">
        <v>15289</v>
      </c>
      <c r="D5569" s="32" t="s">
        <v>15290</v>
      </c>
    </row>
    <row r="5570" spans="2:4" x14ac:dyDescent="0.3">
      <c r="B5570" s="33" t="s">
        <v>15291</v>
      </c>
      <c r="C5570" s="32" t="s">
        <v>15292</v>
      </c>
      <c r="D5570" s="32" t="s">
        <v>15293</v>
      </c>
    </row>
    <row r="5571" spans="2:4" x14ac:dyDescent="0.3">
      <c r="B5571" s="33" t="s">
        <v>15294</v>
      </c>
      <c r="C5571" s="32" t="s">
        <v>15295</v>
      </c>
      <c r="D5571" s="32" t="s">
        <v>15296</v>
      </c>
    </row>
    <row r="5572" spans="2:4" x14ac:dyDescent="0.3">
      <c r="B5572" s="33" t="s">
        <v>15297</v>
      </c>
      <c r="C5572" s="32" t="s">
        <v>15298</v>
      </c>
      <c r="D5572" s="32" t="s">
        <v>15299</v>
      </c>
    </row>
    <row r="5573" spans="2:4" x14ac:dyDescent="0.3">
      <c r="B5573" s="33" t="s">
        <v>15300</v>
      </c>
      <c r="C5573" s="32" t="s">
        <v>15301</v>
      </c>
      <c r="D5573" s="32" t="s">
        <v>15302</v>
      </c>
    </row>
    <row r="5574" spans="2:4" x14ac:dyDescent="0.3">
      <c r="B5574" s="33" t="s">
        <v>15303</v>
      </c>
      <c r="C5574" s="32" t="s">
        <v>15304</v>
      </c>
      <c r="D5574" s="32" t="s">
        <v>15305</v>
      </c>
    </row>
    <row r="5575" spans="2:4" x14ac:dyDescent="0.3">
      <c r="B5575" s="33" t="s">
        <v>15306</v>
      </c>
      <c r="C5575" s="32" t="s">
        <v>15307</v>
      </c>
      <c r="D5575" s="32" t="s">
        <v>15308</v>
      </c>
    </row>
    <row r="5576" spans="2:4" x14ac:dyDescent="0.3">
      <c r="B5576" s="33" t="s">
        <v>15309</v>
      </c>
      <c r="C5576" s="32" t="s">
        <v>15310</v>
      </c>
      <c r="D5576" s="32" t="s">
        <v>15311</v>
      </c>
    </row>
    <row r="5577" spans="2:4" x14ac:dyDescent="0.3">
      <c r="B5577" s="33" t="s">
        <v>15312</v>
      </c>
      <c r="C5577" s="32" t="s">
        <v>15313</v>
      </c>
      <c r="D5577" s="32" t="s">
        <v>15314</v>
      </c>
    </row>
    <row r="5578" spans="2:4" x14ac:dyDescent="0.3">
      <c r="B5578" s="33" t="s">
        <v>15315</v>
      </c>
      <c r="C5578" s="32" t="s">
        <v>15316</v>
      </c>
      <c r="D5578" s="32" t="s">
        <v>15317</v>
      </c>
    </row>
    <row r="5579" spans="2:4" x14ac:dyDescent="0.3">
      <c r="B5579" s="33" t="s">
        <v>15318</v>
      </c>
      <c r="C5579" s="32" t="s">
        <v>15319</v>
      </c>
      <c r="D5579" s="32" t="s">
        <v>15320</v>
      </c>
    </row>
    <row r="5580" spans="2:4" x14ac:dyDescent="0.3">
      <c r="B5580" s="33" t="s">
        <v>15321</v>
      </c>
      <c r="C5580" s="32" t="s">
        <v>15322</v>
      </c>
      <c r="D5580" s="32" t="s">
        <v>15323</v>
      </c>
    </row>
    <row r="5581" spans="2:4" x14ac:dyDescent="0.3">
      <c r="B5581" s="33" t="s">
        <v>15324</v>
      </c>
      <c r="C5581" s="32" t="s">
        <v>15325</v>
      </c>
      <c r="D5581" s="32" t="s">
        <v>15326</v>
      </c>
    </row>
    <row r="5582" spans="2:4" x14ac:dyDescent="0.3">
      <c r="B5582" s="33" t="s">
        <v>15327</v>
      </c>
      <c r="C5582" s="32" t="s">
        <v>15328</v>
      </c>
      <c r="D5582" s="32" t="s">
        <v>15329</v>
      </c>
    </row>
    <row r="5583" spans="2:4" x14ac:dyDescent="0.3">
      <c r="B5583" s="33" t="s">
        <v>15330</v>
      </c>
      <c r="C5583" s="32" t="s">
        <v>15331</v>
      </c>
      <c r="D5583" s="32" t="s">
        <v>15332</v>
      </c>
    </row>
    <row r="5584" spans="2:4" x14ac:dyDescent="0.3">
      <c r="B5584" s="33" t="s">
        <v>15333</v>
      </c>
      <c r="C5584" s="32" t="s">
        <v>15334</v>
      </c>
      <c r="D5584" s="32" t="s">
        <v>36844</v>
      </c>
    </row>
    <row r="5585" spans="2:4" x14ac:dyDescent="0.3">
      <c r="B5585" s="33" t="s">
        <v>15335</v>
      </c>
      <c r="C5585" s="32" t="s">
        <v>15336</v>
      </c>
      <c r="D5585" s="32" t="s">
        <v>15337</v>
      </c>
    </row>
    <row r="5586" spans="2:4" x14ac:dyDescent="0.3">
      <c r="B5586" s="33" t="s">
        <v>15338</v>
      </c>
      <c r="C5586" s="32" t="s">
        <v>15339</v>
      </c>
      <c r="D5586" s="32" t="s">
        <v>15340</v>
      </c>
    </row>
    <row r="5587" spans="2:4" x14ac:dyDescent="0.3">
      <c r="B5587" s="33" t="s">
        <v>15341</v>
      </c>
      <c r="C5587" s="32" t="s">
        <v>15342</v>
      </c>
      <c r="D5587" s="32" t="s">
        <v>15343</v>
      </c>
    </row>
    <row r="5588" spans="2:4" x14ac:dyDescent="0.3">
      <c r="B5588" s="33" t="s">
        <v>15344</v>
      </c>
      <c r="C5588" s="32" t="s">
        <v>15345</v>
      </c>
      <c r="D5588" s="32" t="s">
        <v>15346</v>
      </c>
    </row>
    <row r="5589" spans="2:4" x14ac:dyDescent="0.3">
      <c r="B5589" s="33" t="s">
        <v>37017</v>
      </c>
      <c r="C5589" s="32" t="s">
        <v>37018</v>
      </c>
      <c r="D5589" s="32" t="s">
        <v>37019</v>
      </c>
    </row>
    <row r="5590" spans="2:4" x14ac:dyDescent="0.3">
      <c r="B5590" s="33" t="s">
        <v>15347</v>
      </c>
      <c r="C5590" s="32" t="s">
        <v>15348</v>
      </c>
      <c r="D5590" s="32" t="s">
        <v>15349</v>
      </c>
    </row>
    <row r="5591" spans="2:4" x14ac:dyDescent="0.3">
      <c r="B5591" s="33" t="s">
        <v>15350</v>
      </c>
      <c r="C5591" s="32" t="s">
        <v>15351</v>
      </c>
      <c r="D5591" s="32" t="s">
        <v>15352</v>
      </c>
    </row>
    <row r="5592" spans="2:4" x14ac:dyDescent="0.3">
      <c r="B5592" s="33" t="s">
        <v>11875</v>
      </c>
      <c r="C5592" s="32" t="s">
        <v>15353</v>
      </c>
      <c r="D5592" s="32" t="s">
        <v>15354</v>
      </c>
    </row>
    <row r="5593" spans="2:4" x14ac:dyDescent="0.3">
      <c r="B5593" s="33" t="s">
        <v>15355</v>
      </c>
      <c r="C5593" s="32" t="s">
        <v>15356</v>
      </c>
      <c r="D5593" s="32" t="s">
        <v>15357</v>
      </c>
    </row>
    <row r="5594" spans="2:4" x14ac:dyDescent="0.3">
      <c r="B5594" s="33" t="s">
        <v>15358</v>
      </c>
      <c r="C5594" s="32" t="s">
        <v>15359</v>
      </c>
      <c r="D5594" s="32" t="s">
        <v>15360</v>
      </c>
    </row>
    <row r="5595" spans="2:4" x14ac:dyDescent="0.3">
      <c r="B5595" s="33" t="s">
        <v>15361</v>
      </c>
      <c r="C5595" s="32" t="s">
        <v>15362</v>
      </c>
      <c r="D5595" s="32" t="s">
        <v>15363</v>
      </c>
    </row>
    <row r="5596" spans="2:4" x14ac:dyDescent="0.3">
      <c r="B5596" s="33" t="s">
        <v>15364</v>
      </c>
      <c r="C5596" s="32" t="s">
        <v>15365</v>
      </c>
      <c r="D5596" s="32" t="s">
        <v>15366</v>
      </c>
    </row>
    <row r="5597" spans="2:4" x14ac:dyDescent="0.3">
      <c r="B5597" s="33" t="s">
        <v>15367</v>
      </c>
      <c r="C5597" s="32" t="s">
        <v>15368</v>
      </c>
      <c r="D5597" s="32" t="s">
        <v>15369</v>
      </c>
    </row>
    <row r="5598" spans="2:4" x14ac:dyDescent="0.3">
      <c r="B5598" s="33" t="s">
        <v>15370</v>
      </c>
      <c r="C5598" s="32" t="s">
        <v>15371</v>
      </c>
      <c r="D5598" s="32" t="s">
        <v>15372</v>
      </c>
    </row>
    <row r="5599" spans="2:4" x14ac:dyDescent="0.3">
      <c r="B5599" s="33" t="s">
        <v>15373</v>
      </c>
      <c r="C5599" s="32" t="s">
        <v>15374</v>
      </c>
      <c r="D5599" s="32" t="s">
        <v>15375</v>
      </c>
    </row>
    <row r="5600" spans="2:4" x14ac:dyDescent="0.3">
      <c r="B5600" s="33" t="s">
        <v>15376</v>
      </c>
      <c r="C5600" s="32" t="s">
        <v>15377</v>
      </c>
      <c r="D5600" s="32" t="s">
        <v>15378</v>
      </c>
    </row>
    <row r="5601" spans="2:4" x14ac:dyDescent="0.3">
      <c r="B5601" s="33" t="s">
        <v>15379</v>
      </c>
      <c r="C5601" s="32" t="s">
        <v>15380</v>
      </c>
      <c r="D5601" s="32" t="s">
        <v>15381</v>
      </c>
    </row>
    <row r="5602" spans="2:4" x14ac:dyDescent="0.3">
      <c r="B5602" s="33" t="s">
        <v>15382</v>
      </c>
      <c r="C5602" s="32" t="s">
        <v>15383</v>
      </c>
      <c r="D5602" s="32" t="s">
        <v>15384</v>
      </c>
    </row>
    <row r="5603" spans="2:4" x14ac:dyDescent="0.3">
      <c r="B5603" s="33" t="s">
        <v>15385</v>
      </c>
      <c r="C5603" s="32" t="s">
        <v>15386</v>
      </c>
      <c r="D5603" s="32" t="s">
        <v>15387</v>
      </c>
    </row>
    <row r="5604" spans="2:4" x14ac:dyDescent="0.3">
      <c r="B5604" s="33" t="s">
        <v>25</v>
      </c>
      <c r="C5604" s="32" t="s">
        <v>15388</v>
      </c>
      <c r="D5604" s="32" t="s">
        <v>15389</v>
      </c>
    </row>
    <row r="5605" spans="2:4" x14ac:dyDescent="0.3">
      <c r="B5605" s="33" t="s">
        <v>27</v>
      </c>
      <c r="C5605" s="32" t="s">
        <v>15390</v>
      </c>
      <c r="D5605" s="32" t="s">
        <v>15391</v>
      </c>
    </row>
    <row r="5606" spans="2:4" x14ac:dyDescent="0.3">
      <c r="B5606" s="33" t="s">
        <v>15392</v>
      </c>
      <c r="C5606" s="32" t="s">
        <v>15393</v>
      </c>
      <c r="D5606" s="32" t="s">
        <v>15394</v>
      </c>
    </row>
    <row r="5607" spans="2:4" x14ac:dyDescent="0.3">
      <c r="B5607" s="33" t="s">
        <v>115</v>
      </c>
      <c r="C5607" s="32" t="s">
        <v>15395</v>
      </c>
      <c r="D5607" s="32" t="s">
        <v>116</v>
      </c>
    </row>
    <row r="5608" spans="2:4" x14ac:dyDescent="0.3">
      <c r="B5608" s="33" t="s">
        <v>526</v>
      </c>
      <c r="C5608" s="32" t="s">
        <v>15396</v>
      </c>
      <c r="D5608" s="32" t="s">
        <v>15397</v>
      </c>
    </row>
    <row r="5609" spans="2:4" x14ac:dyDescent="0.3">
      <c r="B5609" s="33" t="s">
        <v>15398</v>
      </c>
      <c r="C5609" s="32" t="s">
        <v>15399</v>
      </c>
      <c r="D5609" s="32" t="s">
        <v>15400</v>
      </c>
    </row>
    <row r="5610" spans="2:4" x14ac:dyDescent="0.3">
      <c r="B5610" s="33" t="s">
        <v>15401</v>
      </c>
      <c r="C5610" s="32" t="s">
        <v>15402</v>
      </c>
      <c r="D5610" s="32" t="s">
        <v>15403</v>
      </c>
    </row>
    <row r="5611" spans="2:4" x14ac:dyDescent="0.3">
      <c r="B5611" s="33" t="s">
        <v>15404</v>
      </c>
      <c r="C5611" s="32" t="s">
        <v>15405</v>
      </c>
      <c r="D5611" s="32" t="s">
        <v>15406</v>
      </c>
    </row>
    <row r="5612" spans="2:4" x14ac:dyDescent="0.3">
      <c r="B5612" s="33" t="s">
        <v>15401</v>
      </c>
      <c r="C5612" s="32" t="s">
        <v>15407</v>
      </c>
      <c r="D5612" s="32" t="s">
        <v>15408</v>
      </c>
    </row>
    <row r="5613" spans="2:4" x14ac:dyDescent="0.3">
      <c r="B5613" s="33" t="s">
        <v>15409</v>
      </c>
      <c r="C5613" s="32" t="s">
        <v>15410</v>
      </c>
      <c r="D5613" s="32" t="s">
        <v>15411</v>
      </c>
    </row>
    <row r="5614" spans="2:4" x14ac:dyDescent="0.3">
      <c r="B5614" s="33" t="s">
        <v>15412</v>
      </c>
      <c r="C5614" s="32" t="s">
        <v>15413</v>
      </c>
      <c r="D5614" s="32" t="s">
        <v>15414</v>
      </c>
    </row>
    <row r="5615" spans="2:4" x14ac:dyDescent="0.3">
      <c r="B5615" s="33" t="s">
        <v>15415</v>
      </c>
      <c r="C5615" s="32" t="s">
        <v>15416</v>
      </c>
      <c r="D5615" s="32" t="s">
        <v>15417</v>
      </c>
    </row>
    <row r="5616" spans="2:4" x14ac:dyDescent="0.3">
      <c r="B5616" s="33" t="s">
        <v>15418</v>
      </c>
      <c r="C5616" s="32" t="s">
        <v>15419</v>
      </c>
      <c r="D5616" s="32" t="s">
        <v>15420</v>
      </c>
    </row>
    <row r="5617" spans="2:4" x14ac:dyDescent="0.3">
      <c r="B5617" s="33" t="s">
        <v>15421</v>
      </c>
      <c r="C5617" s="32" t="s">
        <v>15422</v>
      </c>
      <c r="D5617" s="32" t="s">
        <v>15423</v>
      </c>
    </row>
    <row r="5618" spans="2:4" x14ac:dyDescent="0.3">
      <c r="B5618" s="33" t="s">
        <v>15424</v>
      </c>
      <c r="C5618" s="32" t="s">
        <v>15425</v>
      </c>
      <c r="D5618" s="32" t="s">
        <v>15426</v>
      </c>
    </row>
    <row r="5619" spans="2:4" x14ac:dyDescent="0.3">
      <c r="B5619" s="33" t="s">
        <v>15427</v>
      </c>
      <c r="C5619" s="32" t="s">
        <v>15428</v>
      </c>
      <c r="D5619" s="32" t="s">
        <v>15429</v>
      </c>
    </row>
    <row r="5620" spans="2:4" x14ac:dyDescent="0.3">
      <c r="B5620" s="33" t="s">
        <v>15430</v>
      </c>
      <c r="C5620" s="32" t="s">
        <v>15431</v>
      </c>
      <c r="D5620" s="32" t="s">
        <v>15432</v>
      </c>
    </row>
    <row r="5621" spans="2:4" x14ac:dyDescent="0.3">
      <c r="B5621" s="33" t="s">
        <v>15433</v>
      </c>
      <c r="C5621" s="32" t="s">
        <v>15434</v>
      </c>
      <c r="D5621" s="32" t="s">
        <v>15435</v>
      </c>
    </row>
    <row r="5622" spans="2:4" x14ac:dyDescent="0.3">
      <c r="B5622" s="33" t="s">
        <v>15436</v>
      </c>
      <c r="C5622" s="32" t="s">
        <v>15437</v>
      </c>
      <c r="D5622" s="32" t="s">
        <v>15438</v>
      </c>
    </row>
    <row r="5623" spans="2:4" x14ac:dyDescent="0.3">
      <c r="B5623" s="33" t="s">
        <v>2442</v>
      </c>
      <c r="C5623" s="32" t="s">
        <v>15439</v>
      </c>
      <c r="D5623" s="32" t="s">
        <v>15440</v>
      </c>
    </row>
    <row r="5624" spans="2:4" x14ac:dyDescent="0.3">
      <c r="B5624" s="33" t="s">
        <v>15441</v>
      </c>
      <c r="C5624" s="32" t="s">
        <v>15442</v>
      </c>
      <c r="D5624" s="32" t="s">
        <v>15443</v>
      </c>
    </row>
    <row r="5625" spans="2:4" x14ac:dyDescent="0.3">
      <c r="B5625" s="33" t="s">
        <v>15444</v>
      </c>
      <c r="C5625" s="32" t="s">
        <v>15445</v>
      </c>
      <c r="D5625" s="32" t="s">
        <v>15446</v>
      </c>
    </row>
    <row r="5626" spans="2:4" x14ac:dyDescent="0.3">
      <c r="B5626" s="33" t="s">
        <v>15447</v>
      </c>
      <c r="C5626" s="32" t="s">
        <v>15448</v>
      </c>
      <c r="D5626" s="32" t="s">
        <v>15447</v>
      </c>
    </row>
    <row r="5627" spans="2:4" x14ac:dyDescent="0.3">
      <c r="B5627" s="33" t="s">
        <v>15449</v>
      </c>
      <c r="C5627" s="32" t="s">
        <v>15450</v>
      </c>
      <c r="D5627" s="32" t="s">
        <v>15451</v>
      </c>
    </row>
    <row r="5628" spans="2:4" x14ac:dyDescent="0.3">
      <c r="B5628" s="33" t="s">
        <v>15452</v>
      </c>
      <c r="C5628" s="32" t="s">
        <v>15453</v>
      </c>
      <c r="D5628" s="32" t="s">
        <v>15454</v>
      </c>
    </row>
    <row r="5629" spans="2:4" x14ac:dyDescent="0.3">
      <c r="B5629" s="33" t="s">
        <v>15455</v>
      </c>
      <c r="C5629" s="32" t="s">
        <v>15456</v>
      </c>
      <c r="D5629" s="32" t="s">
        <v>15455</v>
      </c>
    </row>
    <row r="5630" spans="2:4" x14ac:dyDescent="0.3">
      <c r="B5630" s="33" t="s">
        <v>15457</v>
      </c>
      <c r="C5630" s="32" t="s">
        <v>15458</v>
      </c>
      <c r="D5630" s="32" t="s">
        <v>15459</v>
      </c>
    </row>
    <row r="5631" spans="2:4" x14ac:dyDescent="0.3">
      <c r="B5631" s="33" t="s">
        <v>15460</v>
      </c>
      <c r="C5631" s="32" t="s">
        <v>15461</v>
      </c>
      <c r="D5631" s="32" t="s">
        <v>15462</v>
      </c>
    </row>
    <row r="5632" spans="2:4" x14ac:dyDescent="0.3">
      <c r="B5632" s="33" t="s">
        <v>15463</v>
      </c>
      <c r="C5632" s="32" t="s">
        <v>15464</v>
      </c>
      <c r="D5632" s="32" t="s">
        <v>15465</v>
      </c>
    </row>
    <row r="5633" spans="2:4" x14ac:dyDescent="0.3">
      <c r="B5633" s="33" t="s">
        <v>15058</v>
      </c>
      <c r="C5633" s="32" t="s">
        <v>15466</v>
      </c>
      <c r="D5633" s="32" t="s">
        <v>15467</v>
      </c>
    </row>
    <row r="5634" spans="2:4" x14ac:dyDescent="0.3">
      <c r="B5634" s="33" t="s">
        <v>15468</v>
      </c>
      <c r="C5634" s="32" t="s">
        <v>15469</v>
      </c>
      <c r="D5634" s="32" t="s">
        <v>15470</v>
      </c>
    </row>
    <row r="5635" spans="2:4" x14ac:dyDescent="0.3">
      <c r="B5635" s="33" t="s">
        <v>15471</v>
      </c>
      <c r="C5635" s="32" t="s">
        <v>15472</v>
      </c>
      <c r="D5635" s="32" t="s">
        <v>15473</v>
      </c>
    </row>
    <row r="5636" spans="2:4" x14ac:dyDescent="0.3">
      <c r="B5636" s="33" t="s">
        <v>15463</v>
      </c>
      <c r="C5636" s="32" t="s">
        <v>15474</v>
      </c>
      <c r="D5636" s="32" t="s">
        <v>15475</v>
      </c>
    </row>
    <row r="5637" spans="2:4" x14ac:dyDescent="0.3">
      <c r="B5637" s="33" t="s">
        <v>15476</v>
      </c>
      <c r="C5637" s="32" t="s">
        <v>15477</v>
      </c>
      <c r="D5637" s="32" t="s">
        <v>15478</v>
      </c>
    </row>
    <row r="5638" spans="2:4" x14ac:dyDescent="0.3">
      <c r="B5638" s="33" t="s">
        <v>15479</v>
      </c>
      <c r="C5638" s="32" t="s">
        <v>15480</v>
      </c>
      <c r="D5638" s="32" t="s">
        <v>15481</v>
      </c>
    </row>
    <row r="5639" spans="2:4" x14ac:dyDescent="0.3">
      <c r="B5639" s="33" t="s">
        <v>15482</v>
      </c>
      <c r="C5639" s="32" t="s">
        <v>15483</v>
      </c>
      <c r="D5639" s="32" t="s">
        <v>15484</v>
      </c>
    </row>
    <row r="5640" spans="2:4" x14ac:dyDescent="0.3">
      <c r="B5640" s="33" t="s">
        <v>15485</v>
      </c>
      <c r="C5640" s="32" t="s">
        <v>15486</v>
      </c>
      <c r="D5640" s="32" t="s">
        <v>15487</v>
      </c>
    </row>
    <row r="5641" spans="2:4" x14ac:dyDescent="0.3">
      <c r="B5641" s="33" t="s">
        <v>15488</v>
      </c>
      <c r="C5641" s="32" t="s">
        <v>15489</v>
      </c>
      <c r="D5641" s="32" t="s">
        <v>15490</v>
      </c>
    </row>
    <row r="5642" spans="2:4" x14ac:dyDescent="0.3">
      <c r="B5642" s="33" t="s">
        <v>15491</v>
      </c>
      <c r="C5642" s="32" t="s">
        <v>15492</v>
      </c>
      <c r="D5642" s="32" t="s">
        <v>15493</v>
      </c>
    </row>
    <row r="5643" spans="2:4" x14ac:dyDescent="0.3">
      <c r="B5643" s="33" t="s">
        <v>15494</v>
      </c>
      <c r="C5643" s="32" t="s">
        <v>15495</v>
      </c>
      <c r="D5643" s="32" t="s">
        <v>15496</v>
      </c>
    </row>
    <row r="5644" spans="2:4" x14ac:dyDescent="0.3">
      <c r="B5644" s="33" t="s">
        <v>15497</v>
      </c>
      <c r="C5644" s="32" t="s">
        <v>15498</v>
      </c>
      <c r="D5644" s="32" t="s">
        <v>15497</v>
      </c>
    </row>
    <row r="5645" spans="2:4" x14ac:dyDescent="0.3">
      <c r="B5645" s="33" t="s">
        <v>15497</v>
      </c>
      <c r="C5645" s="32" t="s">
        <v>15499</v>
      </c>
      <c r="D5645" s="32" t="s">
        <v>15500</v>
      </c>
    </row>
    <row r="5646" spans="2:4" x14ac:dyDescent="0.3">
      <c r="B5646" s="33" t="s">
        <v>15501</v>
      </c>
      <c r="C5646" s="32" t="s">
        <v>15502</v>
      </c>
      <c r="D5646" s="32" t="s">
        <v>15503</v>
      </c>
    </row>
    <row r="5647" spans="2:4" x14ac:dyDescent="0.3">
      <c r="B5647" s="33" t="s">
        <v>4449</v>
      </c>
      <c r="C5647" s="32" t="s">
        <v>15504</v>
      </c>
      <c r="D5647" s="32" t="s">
        <v>4449</v>
      </c>
    </row>
    <row r="5648" spans="2:4" x14ac:dyDescent="0.3">
      <c r="B5648" s="33" t="s">
        <v>15485</v>
      </c>
      <c r="C5648" s="32" t="s">
        <v>15505</v>
      </c>
      <c r="D5648" s="32" t="s">
        <v>15506</v>
      </c>
    </row>
    <row r="5649" spans="2:4" x14ac:dyDescent="0.3">
      <c r="B5649" s="33" t="s">
        <v>15507</v>
      </c>
      <c r="C5649" s="32" t="s">
        <v>15508</v>
      </c>
      <c r="D5649" s="32" t="s">
        <v>15509</v>
      </c>
    </row>
    <row r="5650" spans="2:4" x14ac:dyDescent="0.3">
      <c r="B5650" s="33" t="s">
        <v>15510</v>
      </c>
      <c r="C5650" s="32" t="s">
        <v>15511</v>
      </c>
      <c r="D5650" s="32" t="s">
        <v>15512</v>
      </c>
    </row>
    <row r="5651" spans="2:4" x14ac:dyDescent="0.3">
      <c r="B5651" s="33" t="s">
        <v>15513</v>
      </c>
      <c r="C5651" s="32" t="s">
        <v>15514</v>
      </c>
      <c r="D5651" s="32" t="s">
        <v>15515</v>
      </c>
    </row>
    <row r="5652" spans="2:4" x14ac:dyDescent="0.3">
      <c r="B5652" s="33" t="s">
        <v>15516</v>
      </c>
      <c r="C5652" s="32" t="s">
        <v>15517</v>
      </c>
      <c r="D5652" s="32" t="s">
        <v>15518</v>
      </c>
    </row>
    <row r="5653" spans="2:4" x14ac:dyDescent="0.3">
      <c r="B5653" s="33" t="s">
        <v>15519</v>
      </c>
      <c r="C5653" s="32" t="s">
        <v>15520</v>
      </c>
      <c r="D5653" s="32" t="s">
        <v>15521</v>
      </c>
    </row>
    <row r="5654" spans="2:4" x14ac:dyDescent="0.3">
      <c r="B5654" s="33" t="s">
        <v>15392</v>
      </c>
      <c r="C5654" s="32" t="s">
        <v>15522</v>
      </c>
      <c r="D5654" s="32" t="s">
        <v>15523</v>
      </c>
    </row>
    <row r="5655" spans="2:4" x14ac:dyDescent="0.3">
      <c r="B5655" s="33" t="s">
        <v>15080</v>
      </c>
      <c r="C5655" s="32" t="s">
        <v>15524</v>
      </c>
      <c r="D5655" s="32" t="s">
        <v>15525</v>
      </c>
    </row>
    <row r="5656" spans="2:4" x14ac:dyDescent="0.3">
      <c r="B5656" s="33" t="s">
        <v>15526</v>
      </c>
      <c r="C5656" s="32" t="s">
        <v>15527</v>
      </c>
      <c r="D5656" s="32" t="s">
        <v>15528</v>
      </c>
    </row>
    <row r="5657" spans="2:4" x14ac:dyDescent="0.3">
      <c r="B5657" s="33" t="s">
        <v>15529</v>
      </c>
      <c r="C5657" s="32" t="s">
        <v>15530</v>
      </c>
      <c r="D5657" s="32" t="s">
        <v>15531</v>
      </c>
    </row>
    <row r="5658" spans="2:4" x14ac:dyDescent="0.3">
      <c r="B5658" s="33" t="s">
        <v>15532</v>
      </c>
      <c r="C5658" s="32" t="s">
        <v>15533</v>
      </c>
      <c r="D5658" s="32" t="s">
        <v>15534</v>
      </c>
    </row>
    <row r="5659" spans="2:4" x14ac:dyDescent="0.3">
      <c r="B5659" s="33" t="s">
        <v>8524</v>
      </c>
      <c r="C5659" s="32" t="s">
        <v>15535</v>
      </c>
      <c r="D5659" s="32" t="s">
        <v>15536</v>
      </c>
    </row>
    <row r="5660" spans="2:4" x14ac:dyDescent="0.3">
      <c r="B5660" s="33" t="s">
        <v>15537</v>
      </c>
      <c r="C5660" s="32" t="s">
        <v>15538</v>
      </c>
      <c r="D5660" s="32" t="s">
        <v>15539</v>
      </c>
    </row>
    <row r="5661" spans="2:4" x14ac:dyDescent="0.3">
      <c r="B5661" s="33" t="s">
        <v>15540</v>
      </c>
      <c r="C5661" s="32" t="s">
        <v>15541</v>
      </c>
      <c r="D5661" s="32" t="s">
        <v>15542</v>
      </c>
    </row>
    <row r="5662" spans="2:4" x14ac:dyDescent="0.3">
      <c r="B5662" s="33" t="s">
        <v>15543</v>
      </c>
      <c r="C5662" s="32" t="s">
        <v>15544</v>
      </c>
      <c r="D5662" s="32" t="s">
        <v>15545</v>
      </c>
    </row>
    <row r="5663" spans="2:4" x14ac:dyDescent="0.3">
      <c r="B5663" s="33" t="s">
        <v>15364</v>
      </c>
      <c r="C5663" s="32" t="s">
        <v>15546</v>
      </c>
      <c r="D5663" s="32" t="s">
        <v>15547</v>
      </c>
    </row>
    <row r="5664" spans="2:4" x14ac:dyDescent="0.3">
      <c r="B5664" s="33" t="s">
        <v>9682</v>
      </c>
      <c r="C5664" s="32" t="s">
        <v>15548</v>
      </c>
      <c r="D5664" s="32" t="s">
        <v>15549</v>
      </c>
    </row>
    <row r="5665" spans="2:4" x14ac:dyDescent="0.3">
      <c r="B5665" s="33" t="s">
        <v>15550</v>
      </c>
      <c r="C5665" s="32" t="s">
        <v>15551</v>
      </c>
      <c r="D5665" s="32" t="s">
        <v>37219</v>
      </c>
    </row>
    <row r="5666" spans="2:4" x14ac:dyDescent="0.3">
      <c r="B5666" s="33" t="s">
        <v>15494</v>
      </c>
      <c r="C5666" s="32" t="s">
        <v>15552</v>
      </c>
      <c r="D5666" s="32" t="s">
        <v>15553</v>
      </c>
    </row>
    <row r="5667" spans="2:4" x14ac:dyDescent="0.3">
      <c r="B5667" s="33" t="s">
        <v>15554</v>
      </c>
      <c r="C5667" s="32" t="s">
        <v>15555</v>
      </c>
      <c r="D5667" s="32" t="s">
        <v>15556</v>
      </c>
    </row>
    <row r="5668" spans="2:4" x14ac:dyDescent="0.3">
      <c r="B5668" s="33" t="s">
        <v>15557</v>
      </c>
      <c r="C5668" s="32" t="s">
        <v>15558</v>
      </c>
      <c r="D5668" s="32" t="s">
        <v>15559</v>
      </c>
    </row>
    <row r="5669" spans="2:4" x14ac:dyDescent="0.3">
      <c r="B5669" s="33" t="s">
        <v>15560</v>
      </c>
      <c r="C5669" s="32" t="s">
        <v>15561</v>
      </c>
      <c r="D5669" s="32" t="s">
        <v>15562</v>
      </c>
    </row>
    <row r="5670" spans="2:4" x14ac:dyDescent="0.3">
      <c r="B5670" s="33" t="s">
        <v>15529</v>
      </c>
      <c r="C5670" s="32" t="s">
        <v>37220</v>
      </c>
      <c r="D5670" s="32" t="s">
        <v>37221</v>
      </c>
    </row>
    <row r="5671" spans="2:4" x14ac:dyDescent="0.3">
      <c r="B5671" s="33" t="s">
        <v>15563</v>
      </c>
      <c r="C5671" s="32" t="s">
        <v>15564</v>
      </c>
      <c r="D5671" s="32" t="s">
        <v>15563</v>
      </c>
    </row>
    <row r="5672" spans="2:4" x14ac:dyDescent="0.3">
      <c r="B5672" s="33" t="s">
        <v>15565</v>
      </c>
      <c r="C5672" s="32" t="s">
        <v>15566</v>
      </c>
      <c r="D5672" s="32" t="s">
        <v>15567</v>
      </c>
    </row>
    <row r="5673" spans="2:4" x14ac:dyDescent="0.3">
      <c r="B5673" s="33" t="s">
        <v>15568</v>
      </c>
      <c r="C5673" s="32" t="s">
        <v>15569</v>
      </c>
      <c r="D5673" s="32" t="s">
        <v>15570</v>
      </c>
    </row>
    <row r="5674" spans="2:4" x14ac:dyDescent="0.3">
      <c r="B5674" s="33" t="s">
        <v>15571</v>
      </c>
      <c r="C5674" s="32" t="s">
        <v>15572</v>
      </c>
      <c r="D5674" s="32" t="s">
        <v>15573</v>
      </c>
    </row>
    <row r="5675" spans="2:4" x14ac:dyDescent="0.3">
      <c r="B5675" s="33" t="s">
        <v>15574</v>
      </c>
      <c r="C5675" s="32" t="s">
        <v>15575</v>
      </c>
      <c r="D5675" s="32" t="s">
        <v>15576</v>
      </c>
    </row>
    <row r="5676" spans="2:4" x14ac:dyDescent="0.3">
      <c r="B5676" s="33" t="s">
        <v>15577</v>
      </c>
      <c r="C5676" s="32" t="s">
        <v>15578</v>
      </c>
      <c r="D5676" s="32" t="s">
        <v>15579</v>
      </c>
    </row>
    <row r="5677" spans="2:4" x14ac:dyDescent="0.3">
      <c r="B5677" s="33" t="s">
        <v>15580</v>
      </c>
      <c r="C5677" s="32" t="s">
        <v>15581</v>
      </c>
      <c r="D5677" s="32" t="s">
        <v>15582</v>
      </c>
    </row>
    <row r="5678" spans="2:4" x14ac:dyDescent="0.3">
      <c r="B5678" s="33" t="s">
        <v>15583</v>
      </c>
      <c r="C5678" s="32" t="s">
        <v>15584</v>
      </c>
      <c r="D5678" s="32" t="s">
        <v>15585</v>
      </c>
    </row>
    <row r="5679" spans="2:4" x14ac:dyDescent="0.3">
      <c r="B5679" s="33" t="s">
        <v>15586</v>
      </c>
      <c r="C5679" s="32" t="s">
        <v>15587</v>
      </c>
      <c r="D5679" s="32" t="s">
        <v>15588</v>
      </c>
    </row>
    <row r="5680" spans="2:4" x14ac:dyDescent="0.3">
      <c r="B5680" s="33" t="s">
        <v>15589</v>
      </c>
      <c r="C5680" s="32" t="s">
        <v>15590</v>
      </c>
      <c r="D5680" s="32" t="s">
        <v>15591</v>
      </c>
    </row>
    <row r="5681" spans="2:4" x14ac:dyDescent="0.3">
      <c r="B5681" s="33" t="s">
        <v>12671</v>
      </c>
      <c r="C5681" s="32" t="s">
        <v>15592</v>
      </c>
      <c r="D5681" s="32" t="s">
        <v>15593</v>
      </c>
    </row>
    <row r="5682" spans="2:4" x14ac:dyDescent="0.3">
      <c r="B5682" s="33" t="s">
        <v>15594</v>
      </c>
      <c r="C5682" s="32" t="s">
        <v>15595</v>
      </c>
      <c r="D5682" s="32" t="s">
        <v>15596</v>
      </c>
    </row>
    <row r="5683" spans="2:4" x14ac:dyDescent="0.3">
      <c r="B5683" s="33" t="s">
        <v>15597</v>
      </c>
      <c r="C5683" s="32" t="s">
        <v>15598</v>
      </c>
      <c r="D5683" s="32" t="s">
        <v>15599</v>
      </c>
    </row>
    <row r="5684" spans="2:4" x14ac:dyDescent="0.3">
      <c r="B5684" s="33" t="s">
        <v>15600</v>
      </c>
      <c r="C5684" s="32" t="s">
        <v>15601</v>
      </c>
      <c r="D5684" s="32" t="s">
        <v>15602</v>
      </c>
    </row>
    <row r="5685" spans="2:4" x14ac:dyDescent="0.3">
      <c r="B5685" s="33" t="s">
        <v>15603</v>
      </c>
      <c r="C5685" s="32" t="s">
        <v>15604</v>
      </c>
      <c r="D5685" s="32" t="s">
        <v>15605</v>
      </c>
    </row>
    <row r="5686" spans="2:4" x14ac:dyDescent="0.3">
      <c r="B5686" s="33" t="s">
        <v>15606</v>
      </c>
      <c r="C5686" s="32" t="s">
        <v>15607</v>
      </c>
      <c r="D5686" s="32" t="s">
        <v>15608</v>
      </c>
    </row>
    <row r="5687" spans="2:4" x14ac:dyDescent="0.3">
      <c r="B5687" s="33" t="s">
        <v>15609</v>
      </c>
      <c r="C5687" s="32" t="s">
        <v>15610</v>
      </c>
      <c r="D5687" s="32" t="s">
        <v>15611</v>
      </c>
    </row>
    <row r="5688" spans="2:4" x14ac:dyDescent="0.3">
      <c r="B5688" s="33" t="s">
        <v>15612</v>
      </c>
      <c r="C5688" s="32" t="s">
        <v>15613</v>
      </c>
      <c r="D5688" s="32" t="s">
        <v>15614</v>
      </c>
    </row>
    <row r="5689" spans="2:4" x14ac:dyDescent="0.3">
      <c r="B5689" s="33" t="s">
        <v>15615</v>
      </c>
      <c r="C5689" s="32" t="s">
        <v>15616</v>
      </c>
      <c r="D5689" s="32" t="s">
        <v>15617</v>
      </c>
    </row>
    <row r="5690" spans="2:4" x14ac:dyDescent="0.3">
      <c r="B5690" s="33" t="s">
        <v>15618</v>
      </c>
      <c r="C5690" s="32" t="s">
        <v>15619</v>
      </c>
      <c r="D5690" s="32" t="s">
        <v>15620</v>
      </c>
    </row>
    <row r="5691" spans="2:4" x14ac:dyDescent="0.3">
      <c r="B5691" s="33" t="s">
        <v>15621</v>
      </c>
      <c r="C5691" s="32" t="s">
        <v>15622</v>
      </c>
      <c r="D5691" s="32" t="s">
        <v>15623</v>
      </c>
    </row>
    <row r="5692" spans="2:4" x14ac:dyDescent="0.3">
      <c r="B5692" s="33" t="s">
        <v>15624</v>
      </c>
      <c r="C5692" s="32" t="s">
        <v>15625</v>
      </c>
      <c r="D5692" s="32" t="s">
        <v>15626</v>
      </c>
    </row>
    <row r="5693" spans="2:4" x14ac:dyDescent="0.3">
      <c r="B5693" s="33" t="s">
        <v>15627</v>
      </c>
      <c r="C5693" s="32" t="s">
        <v>15628</v>
      </c>
      <c r="D5693" s="32" t="s">
        <v>15629</v>
      </c>
    </row>
    <row r="5694" spans="2:4" x14ac:dyDescent="0.3">
      <c r="B5694" s="33" t="s">
        <v>15630</v>
      </c>
      <c r="C5694" s="32" t="s">
        <v>15631</v>
      </c>
      <c r="D5694" s="32" t="s">
        <v>15632</v>
      </c>
    </row>
    <row r="5695" spans="2:4" x14ac:dyDescent="0.3">
      <c r="B5695" s="33" t="s">
        <v>15633</v>
      </c>
      <c r="C5695" s="32" t="s">
        <v>15634</v>
      </c>
      <c r="D5695" s="32" t="s">
        <v>15635</v>
      </c>
    </row>
    <row r="5696" spans="2:4" x14ac:dyDescent="0.3">
      <c r="B5696" s="33" t="s">
        <v>15636</v>
      </c>
      <c r="C5696" s="32" t="s">
        <v>15637</v>
      </c>
      <c r="D5696" s="32" t="s">
        <v>15638</v>
      </c>
    </row>
    <row r="5697" spans="2:4" x14ac:dyDescent="0.3">
      <c r="B5697" s="33" t="s">
        <v>15639</v>
      </c>
      <c r="C5697" s="32" t="s">
        <v>15640</v>
      </c>
      <c r="D5697" s="32" t="s">
        <v>15641</v>
      </c>
    </row>
    <row r="5698" spans="2:4" x14ac:dyDescent="0.3">
      <c r="B5698" s="33" t="s">
        <v>15642</v>
      </c>
      <c r="C5698" s="32" t="s">
        <v>15643</v>
      </c>
      <c r="D5698" s="32" t="s">
        <v>15644</v>
      </c>
    </row>
    <row r="5699" spans="2:4" x14ac:dyDescent="0.3">
      <c r="B5699" s="33" t="s">
        <v>15642</v>
      </c>
      <c r="C5699" s="32" t="s">
        <v>15645</v>
      </c>
      <c r="D5699" s="32" t="s">
        <v>15646</v>
      </c>
    </row>
    <row r="5700" spans="2:4" x14ac:dyDescent="0.3">
      <c r="B5700" s="33" t="s">
        <v>15291</v>
      </c>
      <c r="C5700" s="32" t="s">
        <v>15647</v>
      </c>
      <c r="D5700" s="32" t="s">
        <v>15648</v>
      </c>
    </row>
    <row r="5701" spans="2:4" x14ac:dyDescent="0.3">
      <c r="B5701" s="33" t="s">
        <v>15649</v>
      </c>
      <c r="C5701" s="32" t="s">
        <v>15650</v>
      </c>
      <c r="D5701" s="32" t="s">
        <v>15651</v>
      </c>
    </row>
    <row r="5702" spans="2:4" x14ac:dyDescent="0.3">
      <c r="B5702" s="33" t="s">
        <v>15652</v>
      </c>
      <c r="C5702" s="32" t="s">
        <v>15653</v>
      </c>
      <c r="D5702" s="32" t="s">
        <v>15654</v>
      </c>
    </row>
    <row r="5703" spans="2:4" x14ac:dyDescent="0.3">
      <c r="B5703" s="33" t="s">
        <v>15655</v>
      </c>
      <c r="C5703" s="32" t="s">
        <v>15656</v>
      </c>
      <c r="D5703" s="32" t="s">
        <v>15657</v>
      </c>
    </row>
    <row r="5704" spans="2:4" x14ac:dyDescent="0.3">
      <c r="B5704" s="33" t="s">
        <v>15658</v>
      </c>
      <c r="C5704" s="32" t="s">
        <v>15659</v>
      </c>
      <c r="D5704" s="32" t="s">
        <v>15660</v>
      </c>
    </row>
    <row r="5705" spans="2:4" x14ac:dyDescent="0.3">
      <c r="B5705" s="33" t="s">
        <v>15661</v>
      </c>
      <c r="C5705" s="32" t="s">
        <v>15662</v>
      </c>
      <c r="D5705" s="32" t="s">
        <v>37222</v>
      </c>
    </row>
    <row r="5706" spans="2:4" x14ac:dyDescent="0.3">
      <c r="B5706" s="33" t="s">
        <v>15663</v>
      </c>
      <c r="C5706" s="32" t="s">
        <v>15664</v>
      </c>
      <c r="D5706" s="32" t="s">
        <v>15665</v>
      </c>
    </row>
    <row r="5707" spans="2:4" x14ac:dyDescent="0.3">
      <c r="B5707" s="33" t="s">
        <v>15058</v>
      </c>
      <c r="C5707" s="32" t="s">
        <v>15666</v>
      </c>
      <c r="D5707" s="32" t="s">
        <v>15667</v>
      </c>
    </row>
    <row r="5708" spans="2:4" x14ac:dyDescent="0.3">
      <c r="B5708" s="33" t="s">
        <v>15668</v>
      </c>
      <c r="C5708" s="32" t="s">
        <v>15669</v>
      </c>
      <c r="D5708" s="32" t="s">
        <v>15670</v>
      </c>
    </row>
    <row r="5709" spans="2:4" x14ac:dyDescent="0.3">
      <c r="B5709" s="33" t="s">
        <v>15671</v>
      </c>
      <c r="C5709" s="32" t="s">
        <v>15672</v>
      </c>
      <c r="D5709" s="32" t="s">
        <v>36728</v>
      </c>
    </row>
    <row r="5710" spans="2:4" x14ac:dyDescent="0.3">
      <c r="B5710" s="33" t="s">
        <v>15673</v>
      </c>
      <c r="C5710" s="32" t="s">
        <v>15674</v>
      </c>
      <c r="D5710" s="32" t="s">
        <v>15673</v>
      </c>
    </row>
    <row r="5711" spans="2:4" x14ac:dyDescent="0.3">
      <c r="B5711" s="33" t="s">
        <v>15675</v>
      </c>
      <c r="C5711" s="32" t="s">
        <v>15676</v>
      </c>
      <c r="D5711" s="32" t="s">
        <v>15677</v>
      </c>
    </row>
    <row r="5712" spans="2:4" x14ac:dyDescent="0.3">
      <c r="B5712" s="33" t="s">
        <v>15678</v>
      </c>
      <c r="C5712" s="32" t="s">
        <v>15679</v>
      </c>
      <c r="D5712" s="32" t="s">
        <v>15680</v>
      </c>
    </row>
    <row r="5713" spans="2:4" x14ac:dyDescent="0.3">
      <c r="B5713" s="33" t="s">
        <v>15681</v>
      </c>
      <c r="C5713" s="32" t="s">
        <v>15682</v>
      </c>
      <c r="D5713" s="32" t="s">
        <v>15683</v>
      </c>
    </row>
    <row r="5714" spans="2:4" x14ac:dyDescent="0.3">
      <c r="B5714" s="33" t="s">
        <v>15684</v>
      </c>
      <c r="C5714" s="32" t="s">
        <v>15685</v>
      </c>
      <c r="D5714" s="32" t="s">
        <v>15686</v>
      </c>
    </row>
    <row r="5715" spans="2:4" x14ac:dyDescent="0.3">
      <c r="B5715" s="33" t="s">
        <v>15684</v>
      </c>
      <c r="C5715" s="32" t="s">
        <v>15687</v>
      </c>
      <c r="D5715" s="32" t="s">
        <v>15688</v>
      </c>
    </row>
    <row r="5716" spans="2:4" x14ac:dyDescent="0.3">
      <c r="B5716" s="33" t="s">
        <v>15689</v>
      </c>
      <c r="C5716" s="32" t="s">
        <v>15690</v>
      </c>
      <c r="D5716" s="32" t="s">
        <v>15691</v>
      </c>
    </row>
    <row r="5717" spans="2:4" x14ac:dyDescent="0.3">
      <c r="B5717" s="33" t="s">
        <v>15692</v>
      </c>
      <c r="C5717" s="32" t="s">
        <v>15693</v>
      </c>
      <c r="D5717" s="32" t="s">
        <v>15694</v>
      </c>
    </row>
    <row r="5718" spans="2:4" x14ac:dyDescent="0.3">
      <c r="B5718" s="33" t="s">
        <v>15695</v>
      </c>
      <c r="C5718" s="32" t="s">
        <v>15696</v>
      </c>
      <c r="D5718" s="32" t="s">
        <v>15697</v>
      </c>
    </row>
    <row r="5719" spans="2:4" x14ac:dyDescent="0.3">
      <c r="B5719" s="33" t="s">
        <v>15684</v>
      </c>
      <c r="C5719" s="32" t="s">
        <v>15698</v>
      </c>
      <c r="D5719" s="32" t="s">
        <v>15684</v>
      </c>
    </row>
    <row r="5720" spans="2:4" x14ac:dyDescent="0.3">
      <c r="B5720" s="33" t="s">
        <v>15699</v>
      </c>
      <c r="C5720" s="32" t="s">
        <v>15700</v>
      </c>
      <c r="D5720" s="32" t="s">
        <v>15701</v>
      </c>
    </row>
    <row r="5721" spans="2:4" x14ac:dyDescent="0.3">
      <c r="B5721" s="33" t="s">
        <v>15702</v>
      </c>
      <c r="C5721" s="32" t="s">
        <v>15703</v>
      </c>
      <c r="D5721" s="32" t="s">
        <v>15704</v>
      </c>
    </row>
    <row r="5722" spans="2:4" x14ac:dyDescent="0.3">
      <c r="B5722" s="33" t="s">
        <v>15705</v>
      </c>
      <c r="C5722" s="32" t="s">
        <v>15706</v>
      </c>
      <c r="D5722" s="32" t="s">
        <v>15707</v>
      </c>
    </row>
    <row r="5723" spans="2:4" x14ac:dyDescent="0.3">
      <c r="B5723" s="33" t="s">
        <v>15708</v>
      </c>
      <c r="C5723" s="32" t="s">
        <v>15709</v>
      </c>
      <c r="D5723" s="32" t="s">
        <v>15710</v>
      </c>
    </row>
    <row r="5724" spans="2:4" x14ac:dyDescent="0.3">
      <c r="B5724" s="33" t="s">
        <v>15711</v>
      </c>
      <c r="C5724" s="32" t="s">
        <v>15712</v>
      </c>
      <c r="D5724" s="32" t="s">
        <v>15713</v>
      </c>
    </row>
    <row r="5725" spans="2:4" x14ac:dyDescent="0.3">
      <c r="B5725" s="33" t="s">
        <v>15714</v>
      </c>
      <c r="C5725" s="32" t="s">
        <v>15715</v>
      </c>
      <c r="D5725" s="32" t="s">
        <v>15716</v>
      </c>
    </row>
    <row r="5726" spans="2:4" x14ac:dyDescent="0.3">
      <c r="B5726" s="33" t="s">
        <v>15717</v>
      </c>
      <c r="C5726" s="32" t="s">
        <v>15718</v>
      </c>
      <c r="D5726" s="32" t="s">
        <v>15719</v>
      </c>
    </row>
    <row r="5727" spans="2:4" x14ac:dyDescent="0.3">
      <c r="B5727" s="33" t="s">
        <v>15720</v>
      </c>
      <c r="C5727" s="32" t="s">
        <v>15721</v>
      </c>
      <c r="D5727" s="32" t="s">
        <v>15722</v>
      </c>
    </row>
    <row r="5728" spans="2:4" x14ac:dyDescent="0.3">
      <c r="B5728" s="33" t="s">
        <v>15723</v>
      </c>
      <c r="C5728" s="32" t="s">
        <v>15724</v>
      </c>
      <c r="D5728" s="32" t="s">
        <v>15725</v>
      </c>
    </row>
    <row r="5729" spans="2:4" x14ac:dyDescent="0.3">
      <c r="B5729" s="33" t="s">
        <v>15726</v>
      </c>
      <c r="C5729" s="32" t="s">
        <v>15727</v>
      </c>
      <c r="D5729" s="32" t="s">
        <v>15728</v>
      </c>
    </row>
    <row r="5730" spans="2:4" x14ac:dyDescent="0.3">
      <c r="B5730" s="33" t="s">
        <v>15729</v>
      </c>
      <c r="C5730" s="32" t="s">
        <v>15730</v>
      </c>
      <c r="D5730" s="32" t="s">
        <v>15731</v>
      </c>
    </row>
    <row r="5731" spans="2:4" x14ac:dyDescent="0.3">
      <c r="B5731" s="33" t="s">
        <v>15732</v>
      </c>
      <c r="C5731" s="32" t="s">
        <v>15733</v>
      </c>
      <c r="D5731" s="32" t="s">
        <v>15734</v>
      </c>
    </row>
    <row r="5732" spans="2:4" x14ac:dyDescent="0.3">
      <c r="B5732" s="33" t="s">
        <v>15735</v>
      </c>
      <c r="C5732" s="32" t="s">
        <v>15736</v>
      </c>
      <c r="D5732" s="32" t="s">
        <v>15737</v>
      </c>
    </row>
    <row r="5733" spans="2:4" x14ac:dyDescent="0.3">
      <c r="B5733" s="33" t="s">
        <v>15738</v>
      </c>
      <c r="C5733" s="32" t="s">
        <v>15739</v>
      </c>
      <c r="D5733" s="32" t="s">
        <v>15740</v>
      </c>
    </row>
    <row r="5734" spans="2:4" x14ac:dyDescent="0.3">
      <c r="B5734" s="33" t="s">
        <v>15732</v>
      </c>
      <c r="C5734" s="32" t="s">
        <v>15741</v>
      </c>
      <c r="D5734" s="32" t="s">
        <v>15742</v>
      </c>
    </row>
    <row r="5735" spans="2:4" x14ac:dyDescent="0.3">
      <c r="B5735" s="33" t="s">
        <v>15743</v>
      </c>
      <c r="C5735" s="32" t="s">
        <v>15744</v>
      </c>
      <c r="D5735" s="32" t="s">
        <v>15744</v>
      </c>
    </row>
    <row r="5736" spans="2:4" x14ac:dyDescent="0.3">
      <c r="B5736" s="33" t="s">
        <v>15745</v>
      </c>
      <c r="C5736" s="32" t="s">
        <v>15746</v>
      </c>
      <c r="D5736" s="32" t="s">
        <v>15747</v>
      </c>
    </row>
    <row r="5737" spans="2:4" x14ac:dyDescent="0.3">
      <c r="B5737" s="33" t="s">
        <v>15748</v>
      </c>
      <c r="C5737" s="32" t="s">
        <v>15749</v>
      </c>
      <c r="D5737" s="32" t="s">
        <v>15750</v>
      </c>
    </row>
    <row r="5738" spans="2:4" x14ac:dyDescent="0.3">
      <c r="B5738" s="33" t="s">
        <v>15751</v>
      </c>
      <c r="C5738" s="32" t="s">
        <v>15752</v>
      </c>
      <c r="D5738" s="32" t="s">
        <v>15753</v>
      </c>
    </row>
    <row r="5739" spans="2:4" x14ac:dyDescent="0.3">
      <c r="B5739" s="33" t="s">
        <v>15754</v>
      </c>
      <c r="C5739" s="32" t="s">
        <v>15755</v>
      </c>
      <c r="D5739" s="32" t="s">
        <v>15756</v>
      </c>
    </row>
    <row r="5740" spans="2:4" x14ac:dyDescent="0.3">
      <c r="B5740" s="33" t="s">
        <v>15757</v>
      </c>
      <c r="C5740" s="32" t="s">
        <v>15758</v>
      </c>
      <c r="D5740" s="32" t="s">
        <v>15759</v>
      </c>
    </row>
    <row r="5741" spans="2:4" x14ac:dyDescent="0.3">
      <c r="B5741" s="33" t="s">
        <v>15757</v>
      </c>
      <c r="C5741" s="32" t="s">
        <v>15760</v>
      </c>
      <c r="D5741" s="32" t="s">
        <v>15761</v>
      </c>
    </row>
    <row r="5742" spans="2:4" x14ac:dyDescent="0.3">
      <c r="B5742" s="33" t="s">
        <v>15762</v>
      </c>
      <c r="C5742" s="32" t="s">
        <v>15763</v>
      </c>
      <c r="D5742" s="32" t="s">
        <v>15764</v>
      </c>
    </row>
    <row r="5743" spans="2:4" x14ac:dyDescent="0.3">
      <c r="B5743" s="33" t="s">
        <v>15765</v>
      </c>
      <c r="C5743" s="32" t="s">
        <v>15766</v>
      </c>
      <c r="D5743" s="32" t="s">
        <v>15767</v>
      </c>
    </row>
    <row r="5744" spans="2:4" x14ac:dyDescent="0.3">
      <c r="B5744" s="33" t="s">
        <v>15768</v>
      </c>
      <c r="C5744" s="32" t="s">
        <v>15769</v>
      </c>
      <c r="D5744" s="32" t="s">
        <v>15770</v>
      </c>
    </row>
    <row r="5745" spans="2:4" x14ac:dyDescent="0.3">
      <c r="B5745" s="33" t="s">
        <v>15771</v>
      </c>
      <c r="C5745" s="32" t="s">
        <v>15772</v>
      </c>
      <c r="D5745" s="32" t="s">
        <v>15771</v>
      </c>
    </row>
    <row r="5746" spans="2:4" x14ac:dyDescent="0.3">
      <c r="B5746" s="33" t="s">
        <v>15773</v>
      </c>
      <c r="C5746" s="32" t="s">
        <v>15774</v>
      </c>
      <c r="D5746" s="32" t="s">
        <v>15775</v>
      </c>
    </row>
    <row r="5747" spans="2:4" x14ac:dyDescent="0.3">
      <c r="B5747" s="33" t="s">
        <v>15776</v>
      </c>
      <c r="C5747" s="32" t="s">
        <v>15777</v>
      </c>
      <c r="D5747" s="32" t="s">
        <v>15778</v>
      </c>
    </row>
    <row r="5748" spans="2:4" x14ac:dyDescent="0.3">
      <c r="B5748" s="33" t="s">
        <v>15658</v>
      </c>
      <c r="C5748" s="32" t="s">
        <v>15779</v>
      </c>
      <c r="D5748" s="32" t="s">
        <v>15780</v>
      </c>
    </row>
    <row r="5749" spans="2:4" x14ac:dyDescent="0.3">
      <c r="B5749" s="33" t="s">
        <v>15781</v>
      </c>
      <c r="C5749" s="32" t="s">
        <v>15782</v>
      </c>
      <c r="D5749" s="32" t="s">
        <v>15783</v>
      </c>
    </row>
    <row r="5750" spans="2:4" x14ac:dyDescent="0.3">
      <c r="B5750" s="33" t="s">
        <v>766</v>
      </c>
      <c r="C5750" s="32" t="s">
        <v>15784</v>
      </c>
      <c r="D5750" s="32" t="s">
        <v>15785</v>
      </c>
    </row>
    <row r="5751" spans="2:4" x14ac:dyDescent="0.3">
      <c r="B5751" s="33" t="s">
        <v>15786</v>
      </c>
      <c r="C5751" s="32" t="s">
        <v>15787</v>
      </c>
      <c r="D5751" s="32" t="s">
        <v>15788</v>
      </c>
    </row>
    <row r="5752" spans="2:4" x14ac:dyDescent="0.3">
      <c r="B5752" s="33" t="s">
        <v>4241</v>
      </c>
      <c r="C5752" s="32" t="s">
        <v>15789</v>
      </c>
      <c r="D5752" s="32" t="s">
        <v>15790</v>
      </c>
    </row>
    <row r="5753" spans="2:4" x14ac:dyDescent="0.3">
      <c r="B5753" s="33" t="s">
        <v>15791</v>
      </c>
      <c r="C5753" s="32" t="s">
        <v>15792</v>
      </c>
      <c r="D5753" s="32" t="s">
        <v>15793</v>
      </c>
    </row>
    <row r="5754" spans="2:4" x14ac:dyDescent="0.3">
      <c r="B5754" s="33" t="s">
        <v>15794</v>
      </c>
      <c r="C5754" s="32" t="s">
        <v>15795</v>
      </c>
      <c r="D5754" s="32" t="s">
        <v>15796</v>
      </c>
    </row>
    <row r="5755" spans="2:4" x14ac:dyDescent="0.3">
      <c r="B5755" s="33" t="s">
        <v>4241</v>
      </c>
      <c r="C5755" s="32" t="s">
        <v>15797</v>
      </c>
      <c r="D5755" s="32" t="s">
        <v>15798</v>
      </c>
    </row>
    <row r="5756" spans="2:4" x14ac:dyDescent="0.3">
      <c r="B5756" s="33" t="s">
        <v>4241</v>
      </c>
      <c r="C5756" s="32" t="s">
        <v>15799</v>
      </c>
      <c r="D5756" s="32" t="s">
        <v>15800</v>
      </c>
    </row>
    <row r="5757" spans="2:4" x14ac:dyDescent="0.3">
      <c r="B5757" s="33" t="s">
        <v>8202</v>
      </c>
      <c r="C5757" s="32" t="s">
        <v>15801</v>
      </c>
      <c r="D5757" s="32" t="s">
        <v>15802</v>
      </c>
    </row>
    <row r="5758" spans="2:4" x14ac:dyDescent="0.3">
      <c r="B5758" s="33" t="s">
        <v>4241</v>
      </c>
      <c r="C5758" s="32" t="s">
        <v>15803</v>
      </c>
      <c r="D5758" s="32" t="s">
        <v>15804</v>
      </c>
    </row>
    <row r="5759" spans="2:4" x14ac:dyDescent="0.3">
      <c r="B5759" s="33" t="s">
        <v>4241</v>
      </c>
      <c r="C5759" s="32" t="s">
        <v>15805</v>
      </c>
      <c r="D5759" s="32" t="s">
        <v>15806</v>
      </c>
    </row>
    <row r="5760" spans="2:4" x14ac:dyDescent="0.3">
      <c r="B5760" s="33" t="s">
        <v>15807</v>
      </c>
      <c r="C5760" s="32" t="s">
        <v>15808</v>
      </c>
      <c r="D5760" s="32" t="s">
        <v>15809</v>
      </c>
    </row>
    <row r="5761" spans="2:4" x14ac:dyDescent="0.3">
      <c r="B5761" s="33" t="s">
        <v>15810</v>
      </c>
      <c r="C5761" s="32" t="s">
        <v>15811</v>
      </c>
      <c r="D5761" s="32" t="s">
        <v>15812</v>
      </c>
    </row>
    <row r="5762" spans="2:4" x14ac:dyDescent="0.3">
      <c r="B5762" s="33" t="s">
        <v>15813</v>
      </c>
      <c r="C5762" s="32" t="s">
        <v>15814</v>
      </c>
      <c r="D5762" s="32" t="s">
        <v>15815</v>
      </c>
    </row>
    <row r="5763" spans="2:4" x14ac:dyDescent="0.3">
      <c r="B5763" s="33" t="s">
        <v>15816</v>
      </c>
      <c r="C5763" s="32" t="s">
        <v>15817</v>
      </c>
      <c r="D5763" s="32" t="s">
        <v>15818</v>
      </c>
    </row>
    <row r="5764" spans="2:4" x14ac:dyDescent="0.3">
      <c r="B5764" s="33" t="s">
        <v>15819</v>
      </c>
      <c r="C5764" s="32" t="s">
        <v>15820</v>
      </c>
      <c r="D5764" s="32" t="s">
        <v>15821</v>
      </c>
    </row>
    <row r="5765" spans="2:4" x14ac:dyDescent="0.3">
      <c r="B5765" s="33" t="s">
        <v>15822</v>
      </c>
      <c r="C5765" s="32" t="s">
        <v>15823</v>
      </c>
      <c r="D5765" s="32" t="s">
        <v>36845</v>
      </c>
    </row>
    <row r="5766" spans="2:4" x14ac:dyDescent="0.3">
      <c r="B5766" s="33" t="s">
        <v>12890</v>
      </c>
      <c r="C5766" s="32" t="s">
        <v>15824</v>
      </c>
      <c r="D5766" s="32" t="s">
        <v>15825</v>
      </c>
    </row>
    <row r="5767" spans="2:4" x14ac:dyDescent="0.3">
      <c r="B5767" s="33" t="s">
        <v>12890</v>
      </c>
      <c r="C5767" s="32" t="s">
        <v>15826</v>
      </c>
      <c r="D5767" s="32" t="s">
        <v>37223</v>
      </c>
    </row>
    <row r="5768" spans="2:4" x14ac:dyDescent="0.3">
      <c r="B5768" s="33" t="s">
        <v>13175</v>
      </c>
      <c r="C5768" s="32" t="s">
        <v>15827</v>
      </c>
      <c r="D5768" s="32" t="s">
        <v>15828</v>
      </c>
    </row>
    <row r="5769" spans="2:4" x14ac:dyDescent="0.3">
      <c r="B5769" s="33" t="s">
        <v>15829</v>
      </c>
      <c r="C5769" s="32" t="s">
        <v>15830</v>
      </c>
      <c r="D5769" s="32" t="s">
        <v>15831</v>
      </c>
    </row>
    <row r="5770" spans="2:4" x14ac:dyDescent="0.3">
      <c r="B5770" s="33" t="s">
        <v>15829</v>
      </c>
      <c r="C5770" s="32" t="s">
        <v>15832</v>
      </c>
      <c r="D5770" s="32" t="s">
        <v>15833</v>
      </c>
    </row>
    <row r="5771" spans="2:4" x14ac:dyDescent="0.3">
      <c r="B5771" s="33" t="s">
        <v>15834</v>
      </c>
      <c r="C5771" s="32" t="s">
        <v>15835</v>
      </c>
      <c r="D5771" s="32" t="s">
        <v>15834</v>
      </c>
    </row>
    <row r="5772" spans="2:4" x14ac:dyDescent="0.3">
      <c r="B5772" s="33" t="s">
        <v>15836</v>
      </c>
      <c r="C5772" s="32" t="s">
        <v>15837</v>
      </c>
      <c r="D5772" s="32" t="s">
        <v>15838</v>
      </c>
    </row>
    <row r="5773" spans="2:4" x14ac:dyDescent="0.3">
      <c r="B5773" s="33" t="s">
        <v>15839</v>
      </c>
      <c r="C5773" s="32" t="s">
        <v>15840</v>
      </c>
      <c r="D5773" s="32" t="s">
        <v>15841</v>
      </c>
    </row>
    <row r="5774" spans="2:4" x14ac:dyDescent="0.3">
      <c r="B5774" s="33" t="s">
        <v>15842</v>
      </c>
      <c r="C5774" s="32" t="s">
        <v>15843</v>
      </c>
      <c r="D5774" s="32" t="s">
        <v>37224</v>
      </c>
    </row>
    <row r="5775" spans="2:4" x14ac:dyDescent="0.3">
      <c r="B5775" s="33" t="s">
        <v>15845</v>
      </c>
      <c r="C5775" s="32" t="s">
        <v>15846</v>
      </c>
      <c r="D5775" s="32" t="s">
        <v>15844</v>
      </c>
    </row>
    <row r="5776" spans="2:4" x14ac:dyDescent="0.3">
      <c r="B5776" s="33" t="s">
        <v>15847</v>
      </c>
      <c r="C5776" s="32" t="s">
        <v>15848</v>
      </c>
      <c r="D5776" s="32" t="s">
        <v>15849</v>
      </c>
    </row>
    <row r="5777" spans="2:4" x14ac:dyDescent="0.3">
      <c r="B5777" s="33" t="s">
        <v>15850</v>
      </c>
      <c r="C5777" s="32" t="s">
        <v>15851</v>
      </c>
      <c r="D5777" s="32" t="s">
        <v>15852</v>
      </c>
    </row>
    <row r="5778" spans="2:4" x14ac:dyDescent="0.3">
      <c r="B5778" s="33" t="s">
        <v>15853</v>
      </c>
      <c r="C5778" s="32" t="s">
        <v>15854</v>
      </c>
      <c r="D5778" s="32" t="s">
        <v>15855</v>
      </c>
    </row>
    <row r="5779" spans="2:4" x14ac:dyDescent="0.3">
      <c r="B5779" s="33" t="s">
        <v>15856</v>
      </c>
      <c r="C5779" s="32" t="s">
        <v>15857</v>
      </c>
      <c r="D5779" s="32" t="s">
        <v>15858</v>
      </c>
    </row>
    <row r="5780" spans="2:4" x14ac:dyDescent="0.3">
      <c r="B5780" s="33" t="s">
        <v>15859</v>
      </c>
      <c r="C5780" s="32" t="s">
        <v>15860</v>
      </c>
      <c r="D5780" s="32" t="s">
        <v>15861</v>
      </c>
    </row>
    <row r="5781" spans="2:4" x14ac:dyDescent="0.3">
      <c r="B5781" s="33" t="s">
        <v>15862</v>
      </c>
      <c r="C5781" s="32" t="s">
        <v>15863</v>
      </c>
      <c r="D5781" s="32" t="s">
        <v>15864</v>
      </c>
    </row>
    <row r="5782" spans="2:4" x14ac:dyDescent="0.3">
      <c r="B5782" s="33" t="s">
        <v>15865</v>
      </c>
      <c r="C5782" s="32" t="s">
        <v>15866</v>
      </c>
      <c r="D5782" s="32" t="s">
        <v>15867</v>
      </c>
    </row>
    <row r="5783" spans="2:4" x14ac:dyDescent="0.3">
      <c r="B5783" s="33" t="s">
        <v>15868</v>
      </c>
      <c r="C5783" s="32" t="s">
        <v>15869</v>
      </c>
      <c r="D5783" s="32" t="s">
        <v>15870</v>
      </c>
    </row>
    <row r="5784" spans="2:4" x14ac:dyDescent="0.3">
      <c r="B5784" s="33" t="s">
        <v>15871</v>
      </c>
      <c r="C5784" s="32" t="s">
        <v>15872</v>
      </c>
      <c r="D5784" s="32" t="s">
        <v>15873</v>
      </c>
    </row>
    <row r="5785" spans="2:4" x14ac:dyDescent="0.3">
      <c r="B5785" s="33" t="s">
        <v>15874</v>
      </c>
      <c r="C5785" s="32" t="s">
        <v>15875</v>
      </c>
      <c r="D5785" s="32" t="s">
        <v>15876</v>
      </c>
    </row>
    <row r="5786" spans="2:4" x14ac:dyDescent="0.3">
      <c r="B5786" s="33" t="s">
        <v>15874</v>
      </c>
      <c r="C5786" s="32" t="s">
        <v>15877</v>
      </c>
      <c r="D5786" s="32" t="s">
        <v>15878</v>
      </c>
    </row>
    <row r="5787" spans="2:4" x14ac:dyDescent="0.3">
      <c r="B5787" s="33" t="s">
        <v>15879</v>
      </c>
      <c r="C5787" s="32" t="s">
        <v>15880</v>
      </c>
      <c r="D5787" s="32" t="s">
        <v>37225</v>
      </c>
    </row>
    <row r="5788" spans="2:4" x14ac:dyDescent="0.3">
      <c r="B5788" s="33" t="s">
        <v>15881</v>
      </c>
      <c r="C5788" s="32" t="s">
        <v>15882</v>
      </c>
      <c r="D5788" s="32" t="s">
        <v>15883</v>
      </c>
    </row>
    <row r="5789" spans="2:4" x14ac:dyDescent="0.3">
      <c r="B5789" s="33" t="s">
        <v>15884</v>
      </c>
      <c r="C5789" s="32" t="s">
        <v>15885</v>
      </c>
      <c r="D5789" s="32" t="s">
        <v>15886</v>
      </c>
    </row>
    <row r="5790" spans="2:4" x14ac:dyDescent="0.3">
      <c r="B5790" s="33" t="s">
        <v>15745</v>
      </c>
      <c r="C5790" s="32" t="s">
        <v>15887</v>
      </c>
      <c r="D5790" s="32" t="s">
        <v>15888</v>
      </c>
    </row>
    <row r="5791" spans="2:4" x14ac:dyDescent="0.3">
      <c r="B5791" s="33" t="s">
        <v>15889</v>
      </c>
      <c r="C5791" s="32" t="s">
        <v>15890</v>
      </c>
      <c r="D5791" s="32" t="s">
        <v>15891</v>
      </c>
    </row>
    <row r="5792" spans="2:4" x14ac:dyDescent="0.3">
      <c r="B5792" s="33" t="s">
        <v>15892</v>
      </c>
      <c r="C5792" s="32" t="s">
        <v>15893</v>
      </c>
      <c r="D5792" s="32" t="s">
        <v>15894</v>
      </c>
    </row>
    <row r="5793" spans="2:4" x14ac:dyDescent="0.3">
      <c r="B5793" s="33" t="s">
        <v>15895</v>
      </c>
      <c r="C5793" s="32" t="s">
        <v>15896</v>
      </c>
      <c r="D5793" s="32" t="s">
        <v>15897</v>
      </c>
    </row>
    <row r="5794" spans="2:4" x14ac:dyDescent="0.3">
      <c r="B5794" s="33" t="s">
        <v>15898</v>
      </c>
      <c r="C5794" s="32" t="s">
        <v>15899</v>
      </c>
      <c r="D5794" s="32" t="s">
        <v>15900</v>
      </c>
    </row>
    <row r="5795" spans="2:4" x14ac:dyDescent="0.3">
      <c r="B5795" s="33" t="s">
        <v>15901</v>
      </c>
      <c r="C5795" s="32" t="s">
        <v>15902</v>
      </c>
      <c r="D5795" s="32" t="s">
        <v>15903</v>
      </c>
    </row>
    <row r="5796" spans="2:4" x14ac:dyDescent="0.3">
      <c r="B5796" s="33" t="s">
        <v>15904</v>
      </c>
      <c r="C5796" s="32" t="s">
        <v>15905</v>
      </c>
      <c r="D5796" s="32" t="s">
        <v>15906</v>
      </c>
    </row>
    <row r="5797" spans="2:4" x14ac:dyDescent="0.3">
      <c r="B5797" s="33" t="s">
        <v>15907</v>
      </c>
      <c r="C5797" s="32" t="s">
        <v>15908</v>
      </c>
      <c r="D5797" s="32" t="s">
        <v>15909</v>
      </c>
    </row>
    <row r="5798" spans="2:4" x14ac:dyDescent="0.3">
      <c r="B5798" s="33" t="s">
        <v>15256</v>
      </c>
      <c r="C5798" s="32" t="s">
        <v>15910</v>
      </c>
      <c r="D5798" s="32" t="s">
        <v>15911</v>
      </c>
    </row>
    <row r="5799" spans="2:4" x14ac:dyDescent="0.3">
      <c r="B5799" s="33" t="s">
        <v>15912</v>
      </c>
      <c r="C5799" s="32" t="s">
        <v>15913</v>
      </c>
      <c r="D5799" s="32" t="s">
        <v>15914</v>
      </c>
    </row>
    <row r="5800" spans="2:4" x14ac:dyDescent="0.3">
      <c r="B5800" s="33" t="s">
        <v>15915</v>
      </c>
      <c r="C5800" s="32" t="s">
        <v>15916</v>
      </c>
      <c r="D5800" s="32" t="s">
        <v>15915</v>
      </c>
    </row>
    <row r="5801" spans="2:4" x14ac:dyDescent="0.3">
      <c r="B5801" s="33" t="s">
        <v>15917</v>
      </c>
      <c r="C5801" s="32" t="s">
        <v>15918</v>
      </c>
      <c r="D5801" s="32" t="s">
        <v>15919</v>
      </c>
    </row>
    <row r="5802" spans="2:4" x14ac:dyDescent="0.3">
      <c r="B5802" s="33" t="s">
        <v>15920</v>
      </c>
      <c r="C5802" s="32" t="s">
        <v>15921</v>
      </c>
      <c r="D5802" s="32" t="s">
        <v>15922</v>
      </c>
    </row>
    <row r="5803" spans="2:4" x14ac:dyDescent="0.3">
      <c r="B5803" s="33" t="s">
        <v>15923</v>
      </c>
      <c r="C5803" s="32" t="s">
        <v>15924</v>
      </c>
      <c r="D5803" s="32" t="s">
        <v>15925</v>
      </c>
    </row>
    <row r="5804" spans="2:4" x14ac:dyDescent="0.3">
      <c r="B5804" s="33" t="s">
        <v>15926</v>
      </c>
      <c r="C5804" s="32" t="s">
        <v>37020</v>
      </c>
      <c r="D5804" s="32" t="s">
        <v>37021</v>
      </c>
    </row>
    <row r="5805" spans="2:4" x14ac:dyDescent="0.3">
      <c r="B5805" s="33" t="s">
        <v>15926</v>
      </c>
      <c r="C5805" s="32" t="s">
        <v>15927</v>
      </c>
      <c r="D5805" s="32" t="s">
        <v>36729</v>
      </c>
    </row>
    <row r="5806" spans="2:4" x14ac:dyDescent="0.3">
      <c r="B5806" s="33" t="s">
        <v>15928</v>
      </c>
      <c r="C5806" s="32" t="s">
        <v>15929</v>
      </c>
      <c r="D5806" s="32" t="s">
        <v>15930</v>
      </c>
    </row>
    <row r="5807" spans="2:4" x14ac:dyDescent="0.3">
      <c r="B5807" s="33" t="s">
        <v>15931</v>
      </c>
      <c r="C5807" s="32" t="s">
        <v>15932</v>
      </c>
      <c r="D5807" s="32" t="s">
        <v>15933</v>
      </c>
    </row>
    <row r="5808" spans="2:4" x14ac:dyDescent="0.3">
      <c r="B5808" s="33" t="s">
        <v>15934</v>
      </c>
      <c r="C5808" s="32" t="s">
        <v>15935</v>
      </c>
      <c r="D5808" s="32" t="s">
        <v>15936</v>
      </c>
    </row>
    <row r="5809" spans="2:4" x14ac:dyDescent="0.3">
      <c r="B5809" s="33" t="s">
        <v>15937</v>
      </c>
      <c r="C5809" s="32" t="s">
        <v>15938</v>
      </c>
      <c r="D5809" s="32" t="s">
        <v>15939</v>
      </c>
    </row>
    <row r="5810" spans="2:4" x14ac:dyDescent="0.3">
      <c r="B5810" s="33" t="s">
        <v>15940</v>
      </c>
      <c r="C5810" s="32" t="s">
        <v>15941</v>
      </c>
      <c r="D5810" s="32" t="s">
        <v>15940</v>
      </c>
    </row>
    <row r="5811" spans="2:4" x14ac:dyDescent="0.3">
      <c r="B5811" s="33" t="s">
        <v>15942</v>
      </c>
      <c r="C5811" s="32" t="s">
        <v>15943</v>
      </c>
      <c r="D5811" s="32" t="s">
        <v>15944</v>
      </c>
    </row>
    <row r="5812" spans="2:4" x14ac:dyDescent="0.3">
      <c r="B5812" s="33" t="s">
        <v>15668</v>
      </c>
      <c r="C5812" s="32" t="s">
        <v>15945</v>
      </c>
      <c r="D5812" s="32" t="s">
        <v>15946</v>
      </c>
    </row>
    <row r="5813" spans="2:4" x14ac:dyDescent="0.3">
      <c r="B5813" s="33" t="s">
        <v>15947</v>
      </c>
      <c r="C5813" s="32" t="s">
        <v>15948</v>
      </c>
      <c r="D5813" s="32" t="s">
        <v>15949</v>
      </c>
    </row>
    <row r="5814" spans="2:4" x14ac:dyDescent="0.3">
      <c r="B5814" s="33" t="s">
        <v>15950</v>
      </c>
      <c r="C5814" s="32" t="s">
        <v>15951</v>
      </c>
      <c r="D5814" s="32" t="s">
        <v>15952</v>
      </c>
    </row>
    <row r="5815" spans="2:4" x14ac:dyDescent="0.3">
      <c r="B5815" s="33" t="s">
        <v>15370</v>
      </c>
      <c r="C5815" s="32" t="s">
        <v>15953</v>
      </c>
      <c r="D5815" s="32" t="s">
        <v>15954</v>
      </c>
    </row>
    <row r="5816" spans="2:4" x14ac:dyDescent="0.3">
      <c r="B5816" s="33" t="s">
        <v>15955</v>
      </c>
      <c r="C5816" s="32" t="s">
        <v>15956</v>
      </c>
      <c r="D5816" s="32" t="s">
        <v>15957</v>
      </c>
    </row>
    <row r="5817" spans="2:4" x14ac:dyDescent="0.3">
      <c r="B5817" s="33" t="s">
        <v>15958</v>
      </c>
      <c r="C5817" s="32" t="s">
        <v>15959</v>
      </c>
      <c r="D5817" s="32" t="s">
        <v>15960</v>
      </c>
    </row>
    <row r="5818" spans="2:4" x14ac:dyDescent="0.3">
      <c r="B5818" s="33" t="s">
        <v>15961</v>
      </c>
      <c r="C5818" s="32" t="s">
        <v>15962</v>
      </c>
      <c r="D5818" s="32" t="s">
        <v>15963</v>
      </c>
    </row>
    <row r="5819" spans="2:4" x14ac:dyDescent="0.3">
      <c r="B5819" s="33" t="s">
        <v>15964</v>
      </c>
      <c r="C5819" s="32" t="s">
        <v>15965</v>
      </c>
      <c r="D5819" s="32" t="s">
        <v>15966</v>
      </c>
    </row>
    <row r="5820" spans="2:4" x14ac:dyDescent="0.3">
      <c r="B5820" s="33" t="s">
        <v>15967</v>
      </c>
      <c r="C5820" s="32" t="s">
        <v>15968</v>
      </c>
      <c r="D5820" s="32" t="s">
        <v>15969</v>
      </c>
    </row>
    <row r="5821" spans="2:4" x14ac:dyDescent="0.3">
      <c r="B5821" s="33" t="s">
        <v>15955</v>
      </c>
      <c r="C5821" s="32" t="s">
        <v>15970</v>
      </c>
      <c r="D5821" s="32" t="s">
        <v>15971</v>
      </c>
    </row>
    <row r="5822" spans="2:4" x14ac:dyDescent="0.3">
      <c r="B5822" s="33" t="s">
        <v>15972</v>
      </c>
      <c r="C5822" s="32" t="s">
        <v>15973</v>
      </c>
      <c r="D5822" s="32" t="s">
        <v>15974</v>
      </c>
    </row>
    <row r="5823" spans="2:4" x14ac:dyDescent="0.3">
      <c r="B5823" s="33" t="s">
        <v>15975</v>
      </c>
      <c r="C5823" s="32" t="s">
        <v>15976</v>
      </c>
      <c r="D5823" s="32" t="s">
        <v>15977</v>
      </c>
    </row>
    <row r="5824" spans="2:4" x14ac:dyDescent="0.3">
      <c r="B5824" s="33" t="s">
        <v>15978</v>
      </c>
      <c r="C5824" s="32" t="s">
        <v>15979</v>
      </c>
      <c r="D5824" s="32" t="s">
        <v>15980</v>
      </c>
    </row>
    <row r="5825" spans="2:4" x14ac:dyDescent="0.3">
      <c r="B5825" s="33" t="s">
        <v>15981</v>
      </c>
      <c r="C5825" s="32" t="s">
        <v>15982</v>
      </c>
      <c r="D5825" s="32" t="s">
        <v>15983</v>
      </c>
    </row>
    <row r="5826" spans="2:4" x14ac:dyDescent="0.3">
      <c r="B5826" s="33" t="s">
        <v>15984</v>
      </c>
      <c r="C5826" s="32" t="s">
        <v>15985</v>
      </c>
      <c r="D5826" s="32" t="s">
        <v>15986</v>
      </c>
    </row>
    <row r="5827" spans="2:4" x14ac:dyDescent="0.3">
      <c r="B5827" s="33" t="s">
        <v>15987</v>
      </c>
      <c r="C5827" s="32" t="s">
        <v>15988</v>
      </c>
      <c r="D5827" s="32" t="s">
        <v>15989</v>
      </c>
    </row>
    <row r="5828" spans="2:4" x14ac:dyDescent="0.3">
      <c r="B5828" s="33" t="s">
        <v>9459</v>
      </c>
      <c r="C5828" s="32" t="s">
        <v>15990</v>
      </c>
      <c r="D5828" s="32" t="s">
        <v>15991</v>
      </c>
    </row>
    <row r="5829" spans="2:4" x14ac:dyDescent="0.3">
      <c r="B5829" s="33" t="s">
        <v>15992</v>
      </c>
      <c r="C5829" s="32" t="s">
        <v>15993</v>
      </c>
      <c r="D5829" s="32" t="s">
        <v>15994</v>
      </c>
    </row>
    <row r="5830" spans="2:4" x14ac:dyDescent="0.3">
      <c r="B5830" s="33" t="s">
        <v>15995</v>
      </c>
      <c r="C5830" s="32" t="s">
        <v>15996</v>
      </c>
      <c r="D5830" s="32" t="s">
        <v>15997</v>
      </c>
    </row>
    <row r="5831" spans="2:4" x14ac:dyDescent="0.3">
      <c r="B5831" s="33" t="s">
        <v>15998</v>
      </c>
      <c r="C5831" s="32" t="s">
        <v>15999</v>
      </c>
      <c r="D5831" s="32" t="s">
        <v>15998</v>
      </c>
    </row>
    <row r="5832" spans="2:4" x14ac:dyDescent="0.3">
      <c r="B5832" s="33" t="s">
        <v>16000</v>
      </c>
      <c r="C5832" s="32" t="s">
        <v>16001</v>
      </c>
      <c r="D5832" s="32" t="s">
        <v>16002</v>
      </c>
    </row>
    <row r="5833" spans="2:4" x14ac:dyDescent="0.3">
      <c r="B5833" s="33" t="s">
        <v>16003</v>
      </c>
      <c r="C5833" s="32" t="s">
        <v>16004</v>
      </c>
      <c r="D5833" s="32" t="s">
        <v>16005</v>
      </c>
    </row>
    <row r="5834" spans="2:4" x14ac:dyDescent="0.3">
      <c r="B5834" s="33" t="s">
        <v>16006</v>
      </c>
      <c r="C5834" s="32" t="s">
        <v>16007</v>
      </c>
      <c r="D5834" s="32" t="s">
        <v>16008</v>
      </c>
    </row>
    <row r="5835" spans="2:4" x14ac:dyDescent="0.3">
      <c r="B5835" s="33" t="s">
        <v>16006</v>
      </c>
      <c r="C5835" s="32" t="s">
        <v>16009</v>
      </c>
      <c r="D5835" s="32" t="s">
        <v>16010</v>
      </c>
    </row>
    <row r="5836" spans="2:4" x14ac:dyDescent="0.3">
      <c r="B5836" s="33" t="s">
        <v>15692</v>
      </c>
      <c r="C5836" s="32" t="s">
        <v>16011</v>
      </c>
      <c r="D5836" s="32" t="s">
        <v>16012</v>
      </c>
    </row>
    <row r="5837" spans="2:4" x14ac:dyDescent="0.3">
      <c r="B5837" s="33" t="s">
        <v>16013</v>
      </c>
      <c r="C5837" s="32" t="s">
        <v>16014</v>
      </c>
      <c r="D5837" s="32" t="s">
        <v>16015</v>
      </c>
    </row>
    <row r="5838" spans="2:4" x14ac:dyDescent="0.3">
      <c r="B5838" s="33" t="s">
        <v>16016</v>
      </c>
      <c r="C5838" s="32" t="s">
        <v>16017</v>
      </c>
      <c r="D5838" s="32" t="s">
        <v>16018</v>
      </c>
    </row>
    <row r="5839" spans="2:4" x14ac:dyDescent="0.3">
      <c r="B5839" s="33" t="s">
        <v>16019</v>
      </c>
      <c r="C5839" s="32" t="s">
        <v>16020</v>
      </c>
      <c r="D5839" s="32" t="s">
        <v>16021</v>
      </c>
    </row>
    <row r="5840" spans="2:4" x14ac:dyDescent="0.3">
      <c r="B5840" s="33" t="s">
        <v>16022</v>
      </c>
      <c r="C5840" s="32" t="s">
        <v>16023</v>
      </c>
      <c r="D5840" s="32" t="s">
        <v>16024</v>
      </c>
    </row>
    <row r="5841" spans="2:4" x14ac:dyDescent="0.3">
      <c r="B5841" s="33" t="s">
        <v>16025</v>
      </c>
      <c r="C5841" s="32" t="s">
        <v>16026</v>
      </c>
      <c r="D5841" s="32" t="s">
        <v>37226</v>
      </c>
    </row>
    <row r="5842" spans="2:4" x14ac:dyDescent="0.3">
      <c r="B5842" s="33" t="s">
        <v>16027</v>
      </c>
      <c r="C5842" s="32" t="s">
        <v>16028</v>
      </c>
      <c r="D5842" s="32" t="s">
        <v>16029</v>
      </c>
    </row>
    <row r="5843" spans="2:4" x14ac:dyDescent="0.3">
      <c r="B5843" s="33" t="s">
        <v>16030</v>
      </c>
      <c r="C5843" s="32" t="s">
        <v>16031</v>
      </c>
      <c r="D5843" s="32" t="s">
        <v>16032</v>
      </c>
    </row>
    <row r="5844" spans="2:4" x14ac:dyDescent="0.3">
      <c r="B5844" s="33" t="s">
        <v>16033</v>
      </c>
      <c r="C5844" s="32" t="s">
        <v>16034</v>
      </c>
      <c r="D5844" s="32" t="s">
        <v>16035</v>
      </c>
    </row>
    <row r="5845" spans="2:4" x14ac:dyDescent="0.3">
      <c r="B5845" s="33" t="s">
        <v>16036</v>
      </c>
      <c r="C5845" s="32" t="s">
        <v>16037</v>
      </c>
      <c r="D5845" s="32" t="s">
        <v>16038</v>
      </c>
    </row>
    <row r="5846" spans="2:4" x14ac:dyDescent="0.3">
      <c r="B5846" s="33" t="s">
        <v>15516</v>
      </c>
      <c r="C5846" s="32" t="s">
        <v>16039</v>
      </c>
      <c r="D5846" s="32" t="s">
        <v>16040</v>
      </c>
    </row>
    <row r="5847" spans="2:4" x14ac:dyDescent="0.3">
      <c r="B5847" s="33" t="s">
        <v>16041</v>
      </c>
      <c r="C5847" s="32" t="s">
        <v>16042</v>
      </c>
      <c r="D5847" s="32" t="s">
        <v>16041</v>
      </c>
    </row>
    <row r="5848" spans="2:4" x14ac:dyDescent="0.3">
      <c r="B5848" s="33" t="s">
        <v>16041</v>
      </c>
      <c r="C5848" s="32" t="s">
        <v>16043</v>
      </c>
      <c r="D5848" s="32" t="s">
        <v>16044</v>
      </c>
    </row>
    <row r="5849" spans="2:4" x14ac:dyDescent="0.3">
      <c r="B5849" s="33" t="s">
        <v>16045</v>
      </c>
      <c r="C5849" s="32" t="s">
        <v>16046</v>
      </c>
      <c r="D5849" s="32" t="s">
        <v>16047</v>
      </c>
    </row>
    <row r="5850" spans="2:4" x14ac:dyDescent="0.3">
      <c r="B5850" s="33" t="s">
        <v>16048</v>
      </c>
      <c r="C5850" s="32" t="s">
        <v>16049</v>
      </c>
      <c r="D5850" s="32" t="s">
        <v>16050</v>
      </c>
    </row>
    <row r="5851" spans="2:4" x14ac:dyDescent="0.3">
      <c r="B5851" s="33" t="s">
        <v>16048</v>
      </c>
      <c r="C5851" s="32" t="s">
        <v>16051</v>
      </c>
      <c r="D5851" s="32" t="s">
        <v>16052</v>
      </c>
    </row>
    <row r="5852" spans="2:4" x14ac:dyDescent="0.3">
      <c r="B5852" s="33" t="s">
        <v>16053</v>
      </c>
      <c r="C5852" s="32" t="s">
        <v>16054</v>
      </c>
      <c r="D5852" s="32" t="s">
        <v>16055</v>
      </c>
    </row>
    <row r="5853" spans="2:4" x14ac:dyDescent="0.3">
      <c r="B5853" s="33" t="s">
        <v>16056</v>
      </c>
      <c r="C5853" s="32" t="s">
        <v>16057</v>
      </c>
      <c r="D5853" s="32" t="s">
        <v>16058</v>
      </c>
    </row>
    <row r="5854" spans="2:4" x14ac:dyDescent="0.3">
      <c r="B5854" s="33" t="s">
        <v>16059</v>
      </c>
      <c r="C5854" s="32" t="s">
        <v>16060</v>
      </c>
      <c r="D5854" s="32" t="s">
        <v>16061</v>
      </c>
    </row>
    <row r="5855" spans="2:4" x14ac:dyDescent="0.3">
      <c r="B5855" s="33" t="s">
        <v>16059</v>
      </c>
      <c r="C5855" s="32" t="s">
        <v>16062</v>
      </c>
      <c r="D5855" s="32" t="s">
        <v>16063</v>
      </c>
    </row>
    <row r="5856" spans="2:4" x14ac:dyDescent="0.3">
      <c r="B5856" s="33" t="s">
        <v>16064</v>
      </c>
      <c r="C5856" s="32" t="s">
        <v>16065</v>
      </c>
      <c r="D5856" s="32" t="s">
        <v>16066</v>
      </c>
    </row>
    <row r="5857" spans="2:4" x14ac:dyDescent="0.3">
      <c r="B5857" s="33" t="s">
        <v>15333</v>
      </c>
      <c r="C5857" s="32" t="s">
        <v>16067</v>
      </c>
      <c r="D5857" s="32" t="s">
        <v>16068</v>
      </c>
    </row>
    <row r="5858" spans="2:4" x14ac:dyDescent="0.3">
      <c r="B5858" s="33" t="s">
        <v>16069</v>
      </c>
      <c r="C5858" s="32" t="s">
        <v>16070</v>
      </c>
      <c r="D5858" s="32" t="s">
        <v>16071</v>
      </c>
    </row>
    <row r="5859" spans="2:4" x14ac:dyDescent="0.3">
      <c r="B5859" s="33" t="s">
        <v>16072</v>
      </c>
      <c r="C5859" s="32" t="s">
        <v>16073</v>
      </c>
      <c r="D5859" s="32" t="s">
        <v>16074</v>
      </c>
    </row>
    <row r="5860" spans="2:4" x14ac:dyDescent="0.3">
      <c r="B5860" s="33" t="s">
        <v>16075</v>
      </c>
      <c r="C5860" s="32" t="s">
        <v>16076</v>
      </c>
      <c r="D5860" s="32" t="s">
        <v>16077</v>
      </c>
    </row>
    <row r="5861" spans="2:4" x14ac:dyDescent="0.3">
      <c r="B5861" s="33" t="s">
        <v>16078</v>
      </c>
      <c r="C5861" s="32" t="s">
        <v>16079</v>
      </c>
      <c r="D5861" s="32" t="s">
        <v>16080</v>
      </c>
    </row>
    <row r="5862" spans="2:4" x14ac:dyDescent="0.3">
      <c r="B5862" s="33" t="s">
        <v>16081</v>
      </c>
      <c r="C5862" s="32" t="s">
        <v>16082</v>
      </c>
      <c r="D5862" s="32" t="s">
        <v>16083</v>
      </c>
    </row>
    <row r="5863" spans="2:4" x14ac:dyDescent="0.3">
      <c r="B5863" s="33" t="s">
        <v>16084</v>
      </c>
      <c r="C5863" s="32" t="s">
        <v>16085</v>
      </c>
      <c r="D5863" s="32" t="s">
        <v>16086</v>
      </c>
    </row>
    <row r="5864" spans="2:4" x14ac:dyDescent="0.3">
      <c r="B5864" s="33" t="s">
        <v>9634</v>
      </c>
      <c r="C5864" s="32" t="s">
        <v>16087</v>
      </c>
      <c r="D5864" s="32" t="s">
        <v>16088</v>
      </c>
    </row>
    <row r="5865" spans="2:4" x14ac:dyDescent="0.3">
      <c r="B5865" s="33" t="s">
        <v>16089</v>
      </c>
      <c r="C5865" s="32" t="s">
        <v>16090</v>
      </c>
      <c r="D5865" s="32" t="s">
        <v>16091</v>
      </c>
    </row>
    <row r="5866" spans="2:4" x14ac:dyDescent="0.3">
      <c r="B5866" s="33" t="s">
        <v>15745</v>
      </c>
      <c r="C5866" s="32" t="s">
        <v>16092</v>
      </c>
      <c r="D5866" s="32" t="s">
        <v>16093</v>
      </c>
    </row>
    <row r="5867" spans="2:4" x14ac:dyDescent="0.3">
      <c r="B5867" s="33" t="s">
        <v>16084</v>
      </c>
      <c r="C5867" s="32" t="s">
        <v>16094</v>
      </c>
      <c r="D5867" s="32" t="s">
        <v>16095</v>
      </c>
    </row>
    <row r="5868" spans="2:4" x14ac:dyDescent="0.3">
      <c r="B5868" s="33" t="s">
        <v>16096</v>
      </c>
      <c r="C5868" s="32" t="s">
        <v>16097</v>
      </c>
      <c r="D5868" s="32" t="s">
        <v>16098</v>
      </c>
    </row>
    <row r="5869" spans="2:4" x14ac:dyDescent="0.3">
      <c r="B5869" s="33" t="s">
        <v>15427</v>
      </c>
      <c r="C5869" s="32" t="s">
        <v>16099</v>
      </c>
      <c r="D5869" s="32" t="s">
        <v>16100</v>
      </c>
    </row>
    <row r="5870" spans="2:4" x14ac:dyDescent="0.3">
      <c r="B5870" s="33" t="s">
        <v>16101</v>
      </c>
      <c r="C5870" s="32" t="s">
        <v>16102</v>
      </c>
      <c r="D5870" s="32" t="s">
        <v>16103</v>
      </c>
    </row>
    <row r="5871" spans="2:4" x14ac:dyDescent="0.3">
      <c r="B5871" s="33" t="s">
        <v>16104</v>
      </c>
      <c r="C5871" s="32" t="s">
        <v>16105</v>
      </c>
      <c r="D5871" s="32" t="s">
        <v>16106</v>
      </c>
    </row>
    <row r="5872" spans="2:4" x14ac:dyDescent="0.3">
      <c r="B5872" s="33" t="s">
        <v>16107</v>
      </c>
      <c r="C5872" s="32" t="s">
        <v>16108</v>
      </c>
      <c r="D5872" s="32" t="s">
        <v>16109</v>
      </c>
    </row>
    <row r="5873" spans="2:4" x14ac:dyDescent="0.3">
      <c r="B5873" s="33" t="s">
        <v>16110</v>
      </c>
      <c r="C5873" s="32" t="s">
        <v>16111</v>
      </c>
      <c r="D5873" s="32" t="s">
        <v>16112</v>
      </c>
    </row>
    <row r="5874" spans="2:4" x14ac:dyDescent="0.3">
      <c r="B5874" s="33" t="s">
        <v>15668</v>
      </c>
      <c r="C5874" s="32" t="s">
        <v>16113</v>
      </c>
      <c r="D5874" s="32" t="s">
        <v>16114</v>
      </c>
    </row>
    <row r="5875" spans="2:4" x14ac:dyDescent="0.3">
      <c r="B5875" s="33" t="s">
        <v>16115</v>
      </c>
      <c r="C5875" s="32" t="s">
        <v>16116</v>
      </c>
      <c r="D5875" s="32" t="s">
        <v>16117</v>
      </c>
    </row>
    <row r="5876" spans="2:4" x14ac:dyDescent="0.3">
      <c r="B5876" s="33" t="s">
        <v>16118</v>
      </c>
      <c r="C5876" s="32" t="s">
        <v>16119</v>
      </c>
      <c r="D5876" s="32" t="s">
        <v>16120</v>
      </c>
    </row>
    <row r="5877" spans="2:4" x14ac:dyDescent="0.3">
      <c r="B5877" s="33" t="s">
        <v>16121</v>
      </c>
      <c r="C5877" s="32" t="s">
        <v>16122</v>
      </c>
      <c r="D5877" s="32" t="s">
        <v>16123</v>
      </c>
    </row>
    <row r="5878" spans="2:4" x14ac:dyDescent="0.3">
      <c r="B5878" s="33" t="s">
        <v>16124</v>
      </c>
      <c r="C5878" s="32" t="s">
        <v>16125</v>
      </c>
      <c r="D5878" s="32" t="s">
        <v>16126</v>
      </c>
    </row>
    <row r="5879" spans="2:4" x14ac:dyDescent="0.3">
      <c r="B5879" s="33" t="s">
        <v>16127</v>
      </c>
      <c r="C5879" s="32" t="s">
        <v>16128</v>
      </c>
      <c r="D5879" s="32" t="s">
        <v>16129</v>
      </c>
    </row>
    <row r="5880" spans="2:4" x14ac:dyDescent="0.3">
      <c r="B5880" s="33" t="s">
        <v>16130</v>
      </c>
      <c r="C5880" s="32" t="s">
        <v>16131</v>
      </c>
      <c r="D5880" s="32" t="s">
        <v>16132</v>
      </c>
    </row>
    <row r="5881" spans="2:4" x14ac:dyDescent="0.3">
      <c r="B5881" s="33" t="s">
        <v>16133</v>
      </c>
      <c r="C5881" s="32" t="s">
        <v>16134</v>
      </c>
      <c r="D5881" s="32" t="s">
        <v>16135</v>
      </c>
    </row>
    <row r="5882" spans="2:4" x14ac:dyDescent="0.3">
      <c r="B5882" s="33" t="s">
        <v>16136</v>
      </c>
      <c r="C5882" s="32" t="s">
        <v>16137</v>
      </c>
      <c r="D5882" s="32" t="s">
        <v>16138</v>
      </c>
    </row>
    <row r="5883" spans="2:4" x14ac:dyDescent="0.3">
      <c r="B5883" s="33" t="s">
        <v>16139</v>
      </c>
      <c r="C5883" s="32" t="s">
        <v>16140</v>
      </c>
      <c r="D5883" s="32" t="s">
        <v>16141</v>
      </c>
    </row>
    <row r="5884" spans="2:4" x14ac:dyDescent="0.3">
      <c r="B5884" s="33" t="s">
        <v>16142</v>
      </c>
      <c r="C5884" s="32" t="s">
        <v>16143</v>
      </c>
      <c r="D5884" s="32" t="s">
        <v>16144</v>
      </c>
    </row>
    <row r="5885" spans="2:4" x14ac:dyDescent="0.3">
      <c r="B5885" s="33" t="s">
        <v>16145</v>
      </c>
      <c r="C5885" s="32" t="s">
        <v>16146</v>
      </c>
      <c r="D5885" s="32" t="s">
        <v>16147</v>
      </c>
    </row>
    <row r="5886" spans="2:4" x14ac:dyDescent="0.3">
      <c r="B5886" s="33" t="s">
        <v>15636</v>
      </c>
      <c r="C5886" s="32" t="s">
        <v>16148</v>
      </c>
      <c r="D5886" s="32" t="s">
        <v>16149</v>
      </c>
    </row>
    <row r="5887" spans="2:4" x14ac:dyDescent="0.3">
      <c r="B5887" s="33" t="s">
        <v>16150</v>
      </c>
      <c r="C5887" s="32" t="s">
        <v>16151</v>
      </c>
      <c r="D5887" s="32" t="s">
        <v>16152</v>
      </c>
    </row>
    <row r="5888" spans="2:4" x14ac:dyDescent="0.3">
      <c r="B5888" s="33" t="s">
        <v>16153</v>
      </c>
      <c r="C5888" s="32" t="s">
        <v>16154</v>
      </c>
      <c r="D5888" s="32" t="s">
        <v>16155</v>
      </c>
    </row>
    <row r="5889" spans="2:4" x14ac:dyDescent="0.3">
      <c r="B5889" s="33" t="s">
        <v>16156</v>
      </c>
      <c r="C5889" s="32" t="s">
        <v>16157</v>
      </c>
      <c r="D5889" s="32" t="s">
        <v>16158</v>
      </c>
    </row>
    <row r="5890" spans="2:4" x14ac:dyDescent="0.3">
      <c r="B5890" s="33" t="s">
        <v>16159</v>
      </c>
      <c r="C5890" s="32" t="s">
        <v>16160</v>
      </c>
      <c r="D5890" s="32" t="s">
        <v>16161</v>
      </c>
    </row>
    <row r="5891" spans="2:4" x14ac:dyDescent="0.3">
      <c r="B5891" s="33" t="s">
        <v>4156</v>
      </c>
      <c r="C5891" s="32" t="s">
        <v>16162</v>
      </c>
      <c r="D5891" s="32" t="s">
        <v>16163</v>
      </c>
    </row>
    <row r="5892" spans="2:4" x14ac:dyDescent="0.3">
      <c r="B5892" s="33" t="s">
        <v>16164</v>
      </c>
      <c r="C5892" s="32" t="s">
        <v>16165</v>
      </c>
      <c r="D5892" s="32" t="s">
        <v>16166</v>
      </c>
    </row>
    <row r="5893" spans="2:4" x14ac:dyDescent="0.3">
      <c r="B5893" s="33" t="s">
        <v>16167</v>
      </c>
      <c r="C5893" s="32" t="s">
        <v>16168</v>
      </c>
      <c r="D5893" s="32" t="s">
        <v>16169</v>
      </c>
    </row>
    <row r="5894" spans="2:4" x14ac:dyDescent="0.3">
      <c r="B5894" s="33" t="s">
        <v>16170</v>
      </c>
      <c r="C5894" s="32" t="s">
        <v>16171</v>
      </c>
      <c r="D5894" s="32" t="s">
        <v>16170</v>
      </c>
    </row>
    <row r="5895" spans="2:4" x14ac:dyDescent="0.3">
      <c r="B5895" s="33" t="s">
        <v>16172</v>
      </c>
      <c r="C5895" s="32" t="s">
        <v>16173</v>
      </c>
      <c r="D5895" s="32" t="s">
        <v>16174</v>
      </c>
    </row>
    <row r="5896" spans="2:4" x14ac:dyDescent="0.3">
      <c r="B5896" s="33" t="s">
        <v>16175</v>
      </c>
      <c r="C5896" s="32" t="s">
        <v>16176</v>
      </c>
      <c r="D5896" s="32" t="s">
        <v>16177</v>
      </c>
    </row>
    <row r="5897" spans="2:4" x14ac:dyDescent="0.3">
      <c r="B5897" s="33" t="s">
        <v>16178</v>
      </c>
      <c r="C5897" s="32" t="s">
        <v>16179</v>
      </c>
      <c r="D5897" s="32" t="s">
        <v>16180</v>
      </c>
    </row>
    <row r="5898" spans="2:4" x14ac:dyDescent="0.3">
      <c r="B5898" s="33" t="s">
        <v>16181</v>
      </c>
      <c r="C5898" s="32" t="s">
        <v>16182</v>
      </c>
      <c r="D5898" s="32" t="s">
        <v>16183</v>
      </c>
    </row>
    <row r="5899" spans="2:4" x14ac:dyDescent="0.3">
      <c r="B5899" s="33" t="s">
        <v>16184</v>
      </c>
      <c r="C5899" s="32" t="s">
        <v>16185</v>
      </c>
      <c r="D5899" s="32" t="s">
        <v>16186</v>
      </c>
    </row>
    <row r="5900" spans="2:4" x14ac:dyDescent="0.3">
      <c r="B5900" s="33" t="s">
        <v>16187</v>
      </c>
      <c r="C5900" s="32" t="s">
        <v>16188</v>
      </c>
      <c r="D5900" s="32" t="s">
        <v>16189</v>
      </c>
    </row>
    <row r="5901" spans="2:4" x14ac:dyDescent="0.3">
      <c r="B5901" s="33" t="s">
        <v>16190</v>
      </c>
      <c r="C5901" s="32" t="s">
        <v>16191</v>
      </c>
      <c r="D5901" s="32" t="s">
        <v>16192</v>
      </c>
    </row>
    <row r="5902" spans="2:4" x14ac:dyDescent="0.3">
      <c r="B5902" s="33" t="s">
        <v>16190</v>
      </c>
      <c r="C5902" s="32" t="s">
        <v>16193</v>
      </c>
      <c r="D5902" s="32" t="s">
        <v>16194</v>
      </c>
    </row>
    <row r="5903" spans="2:4" x14ac:dyDescent="0.3">
      <c r="B5903" s="33" t="s">
        <v>16195</v>
      </c>
      <c r="C5903" s="32" t="s">
        <v>16196</v>
      </c>
      <c r="D5903" s="32" t="s">
        <v>16197</v>
      </c>
    </row>
    <row r="5904" spans="2:4" x14ac:dyDescent="0.3">
      <c r="B5904" s="33" t="s">
        <v>16198</v>
      </c>
      <c r="C5904" s="32" t="s">
        <v>16199</v>
      </c>
      <c r="D5904" s="32" t="s">
        <v>16200</v>
      </c>
    </row>
    <row r="5905" spans="2:4" x14ac:dyDescent="0.3">
      <c r="B5905" s="33" t="s">
        <v>16201</v>
      </c>
      <c r="C5905" s="32" t="s">
        <v>16202</v>
      </c>
      <c r="D5905" s="32" t="s">
        <v>16203</v>
      </c>
    </row>
    <row r="5906" spans="2:4" x14ac:dyDescent="0.3">
      <c r="B5906" s="33" t="s">
        <v>16204</v>
      </c>
      <c r="C5906" s="32" t="s">
        <v>16205</v>
      </c>
      <c r="D5906" s="32" t="s">
        <v>16206</v>
      </c>
    </row>
    <row r="5907" spans="2:4" x14ac:dyDescent="0.3">
      <c r="B5907" s="33" t="s">
        <v>16204</v>
      </c>
      <c r="C5907" s="32" t="s">
        <v>16207</v>
      </c>
      <c r="D5907" s="32" t="s">
        <v>16208</v>
      </c>
    </row>
    <row r="5908" spans="2:4" x14ac:dyDescent="0.3">
      <c r="B5908" s="33" t="s">
        <v>16209</v>
      </c>
      <c r="C5908" s="32" t="s">
        <v>16210</v>
      </c>
      <c r="D5908" s="32" t="s">
        <v>16209</v>
      </c>
    </row>
    <row r="5909" spans="2:4" x14ac:dyDescent="0.3">
      <c r="B5909" s="33" t="s">
        <v>16211</v>
      </c>
      <c r="C5909" s="32" t="s">
        <v>16212</v>
      </c>
      <c r="D5909" s="32" t="s">
        <v>16213</v>
      </c>
    </row>
    <row r="5910" spans="2:4" x14ac:dyDescent="0.3">
      <c r="B5910" s="33" t="s">
        <v>8080</v>
      </c>
      <c r="C5910" s="32" t="s">
        <v>16214</v>
      </c>
      <c r="D5910" s="32" t="s">
        <v>16215</v>
      </c>
    </row>
    <row r="5911" spans="2:4" x14ac:dyDescent="0.3">
      <c r="B5911" s="33" t="s">
        <v>16216</v>
      </c>
      <c r="C5911" s="32" t="s">
        <v>16217</v>
      </c>
      <c r="D5911" s="32" t="s">
        <v>16218</v>
      </c>
    </row>
    <row r="5912" spans="2:4" x14ac:dyDescent="0.3">
      <c r="B5912" s="33" t="s">
        <v>16219</v>
      </c>
      <c r="C5912" s="32" t="s">
        <v>16220</v>
      </c>
      <c r="D5912" s="32" t="s">
        <v>16221</v>
      </c>
    </row>
    <row r="5913" spans="2:4" x14ac:dyDescent="0.3">
      <c r="B5913" s="33" t="s">
        <v>16222</v>
      </c>
      <c r="C5913" s="32" t="s">
        <v>16223</v>
      </c>
      <c r="D5913" s="32" t="s">
        <v>16224</v>
      </c>
    </row>
    <row r="5914" spans="2:4" x14ac:dyDescent="0.3">
      <c r="B5914" s="33" t="s">
        <v>9358</v>
      </c>
      <c r="C5914" s="32" t="s">
        <v>16225</v>
      </c>
      <c r="D5914" s="32" t="s">
        <v>16226</v>
      </c>
    </row>
    <row r="5915" spans="2:4" x14ac:dyDescent="0.3">
      <c r="B5915" s="33" t="s">
        <v>9358</v>
      </c>
      <c r="C5915" s="32" t="s">
        <v>16227</v>
      </c>
      <c r="D5915" s="32" t="s">
        <v>16228</v>
      </c>
    </row>
    <row r="5916" spans="2:4" x14ac:dyDescent="0.3">
      <c r="B5916" s="33" t="s">
        <v>16229</v>
      </c>
      <c r="C5916" s="32" t="s">
        <v>16230</v>
      </c>
      <c r="D5916" s="32" t="s">
        <v>16231</v>
      </c>
    </row>
    <row r="5917" spans="2:4" x14ac:dyDescent="0.3">
      <c r="B5917" s="33" t="s">
        <v>16232</v>
      </c>
      <c r="C5917" s="32" t="s">
        <v>16233</v>
      </c>
      <c r="D5917" s="32" t="s">
        <v>16232</v>
      </c>
    </row>
    <row r="5918" spans="2:4" x14ac:dyDescent="0.3">
      <c r="B5918" s="33" t="s">
        <v>16234</v>
      </c>
      <c r="C5918" s="32" t="s">
        <v>16235</v>
      </c>
      <c r="D5918" s="32" t="s">
        <v>16236</v>
      </c>
    </row>
    <row r="5919" spans="2:4" x14ac:dyDescent="0.3">
      <c r="B5919" s="33" t="s">
        <v>16237</v>
      </c>
      <c r="C5919" s="32" t="s">
        <v>16238</v>
      </c>
      <c r="D5919" s="32" t="s">
        <v>16239</v>
      </c>
    </row>
    <row r="5920" spans="2:4" x14ac:dyDescent="0.3">
      <c r="B5920" s="33" t="s">
        <v>16240</v>
      </c>
      <c r="C5920" s="32" t="s">
        <v>16241</v>
      </c>
      <c r="D5920" s="32" t="s">
        <v>16242</v>
      </c>
    </row>
    <row r="5921" spans="2:4" x14ac:dyDescent="0.3">
      <c r="B5921" s="33" t="s">
        <v>16243</v>
      </c>
      <c r="C5921" s="32" t="s">
        <v>16244</v>
      </c>
      <c r="D5921" s="32" t="s">
        <v>16245</v>
      </c>
    </row>
    <row r="5922" spans="2:4" x14ac:dyDescent="0.3">
      <c r="B5922" s="33" t="s">
        <v>16246</v>
      </c>
      <c r="C5922" s="32" t="s">
        <v>16247</v>
      </c>
      <c r="D5922" s="32" t="s">
        <v>16248</v>
      </c>
    </row>
    <row r="5923" spans="2:4" x14ac:dyDescent="0.3">
      <c r="B5923" s="33" t="s">
        <v>16249</v>
      </c>
      <c r="C5923" s="32" t="s">
        <v>16250</v>
      </c>
      <c r="D5923" s="32" t="s">
        <v>16251</v>
      </c>
    </row>
    <row r="5924" spans="2:4" x14ac:dyDescent="0.3">
      <c r="B5924" s="33" t="s">
        <v>16252</v>
      </c>
      <c r="C5924" s="32" t="s">
        <v>16253</v>
      </c>
      <c r="D5924" s="32" t="s">
        <v>16254</v>
      </c>
    </row>
    <row r="5925" spans="2:4" x14ac:dyDescent="0.3">
      <c r="B5925" s="33" t="s">
        <v>16255</v>
      </c>
      <c r="C5925" s="32" t="s">
        <v>16256</v>
      </c>
      <c r="D5925" s="32" t="s">
        <v>16257</v>
      </c>
    </row>
    <row r="5926" spans="2:4" x14ac:dyDescent="0.3">
      <c r="B5926" s="33" t="s">
        <v>16258</v>
      </c>
      <c r="C5926" s="32" t="s">
        <v>16259</v>
      </c>
      <c r="D5926" s="32" t="s">
        <v>16260</v>
      </c>
    </row>
    <row r="5927" spans="2:4" x14ac:dyDescent="0.3">
      <c r="B5927" s="33" t="s">
        <v>16219</v>
      </c>
      <c r="C5927" s="32" t="s">
        <v>16261</v>
      </c>
      <c r="D5927" s="32" t="s">
        <v>16262</v>
      </c>
    </row>
    <row r="5928" spans="2:4" x14ac:dyDescent="0.3">
      <c r="B5928" s="33" t="s">
        <v>16263</v>
      </c>
      <c r="C5928" s="32" t="s">
        <v>16264</v>
      </c>
      <c r="D5928" s="32" t="s">
        <v>16265</v>
      </c>
    </row>
    <row r="5929" spans="2:4" x14ac:dyDescent="0.3">
      <c r="B5929" s="33" t="s">
        <v>16266</v>
      </c>
      <c r="C5929" s="32" t="s">
        <v>16267</v>
      </c>
      <c r="D5929" s="32" t="s">
        <v>16268</v>
      </c>
    </row>
    <row r="5930" spans="2:4" x14ac:dyDescent="0.3">
      <c r="B5930" s="33" t="s">
        <v>16269</v>
      </c>
      <c r="C5930" s="32" t="s">
        <v>16270</v>
      </c>
      <c r="D5930" s="32" t="s">
        <v>16271</v>
      </c>
    </row>
    <row r="5931" spans="2:4" x14ac:dyDescent="0.3">
      <c r="B5931" s="33" t="s">
        <v>16272</v>
      </c>
      <c r="C5931" s="32" t="s">
        <v>16273</v>
      </c>
      <c r="D5931" s="32" t="s">
        <v>16274</v>
      </c>
    </row>
    <row r="5932" spans="2:4" x14ac:dyDescent="0.3">
      <c r="B5932" s="33" t="s">
        <v>16275</v>
      </c>
      <c r="C5932" s="32" t="s">
        <v>16276</v>
      </c>
      <c r="D5932" s="32" t="s">
        <v>16277</v>
      </c>
    </row>
    <row r="5933" spans="2:4" x14ac:dyDescent="0.3">
      <c r="B5933" s="33" t="s">
        <v>16278</v>
      </c>
      <c r="C5933" s="32" t="s">
        <v>16279</v>
      </c>
      <c r="D5933" s="32" t="s">
        <v>16280</v>
      </c>
    </row>
    <row r="5934" spans="2:4" x14ac:dyDescent="0.3">
      <c r="B5934" s="33" t="s">
        <v>16281</v>
      </c>
      <c r="C5934" s="32" t="s">
        <v>16282</v>
      </c>
      <c r="D5934" s="32" t="s">
        <v>16283</v>
      </c>
    </row>
    <row r="5935" spans="2:4" x14ac:dyDescent="0.3">
      <c r="B5935" s="33" t="s">
        <v>16284</v>
      </c>
      <c r="C5935" s="32" t="s">
        <v>16285</v>
      </c>
      <c r="D5935" s="32" t="s">
        <v>16286</v>
      </c>
    </row>
    <row r="5936" spans="2:4" x14ac:dyDescent="0.3">
      <c r="B5936" s="33" t="s">
        <v>16287</v>
      </c>
      <c r="C5936" s="32" t="s">
        <v>16288</v>
      </c>
      <c r="D5936" s="32" t="s">
        <v>16289</v>
      </c>
    </row>
    <row r="5937" spans="2:4" x14ac:dyDescent="0.3">
      <c r="B5937" s="33" t="s">
        <v>16290</v>
      </c>
      <c r="C5937" s="32" t="s">
        <v>16291</v>
      </c>
      <c r="D5937" s="32" t="s">
        <v>16292</v>
      </c>
    </row>
    <row r="5938" spans="2:4" x14ac:dyDescent="0.3">
      <c r="B5938" s="33" t="s">
        <v>16293</v>
      </c>
      <c r="C5938" s="32" t="s">
        <v>16294</v>
      </c>
      <c r="D5938" s="32" t="s">
        <v>16295</v>
      </c>
    </row>
    <row r="5939" spans="2:4" x14ac:dyDescent="0.3">
      <c r="B5939" s="33" t="s">
        <v>16296</v>
      </c>
      <c r="C5939" s="32" t="s">
        <v>16297</v>
      </c>
      <c r="D5939" s="32" t="s">
        <v>16296</v>
      </c>
    </row>
    <row r="5940" spans="2:4" x14ac:dyDescent="0.3">
      <c r="B5940" s="33" t="s">
        <v>16298</v>
      </c>
      <c r="C5940" s="32" t="s">
        <v>16299</v>
      </c>
      <c r="D5940" s="32" t="s">
        <v>16298</v>
      </c>
    </row>
    <row r="5941" spans="2:4" x14ac:dyDescent="0.3">
      <c r="B5941" s="33" t="s">
        <v>16300</v>
      </c>
      <c r="C5941" s="32" t="s">
        <v>16301</v>
      </c>
      <c r="D5941" s="32" t="s">
        <v>16302</v>
      </c>
    </row>
    <row r="5942" spans="2:4" x14ac:dyDescent="0.3">
      <c r="B5942" s="33" t="s">
        <v>16303</v>
      </c>
      <c r="C5942" s="32" t="s">
        <v>16304</v>
      </c>
      <c r="D5942" s="32" t="s">
        <v>16305</v>
      </c>
    </row>
    <row r="5943" spans="2:4" x14ac:dyDescent="0.3">
      <c r="B5943" s="33" t="s">
        <v>16306</v>
      </c>
      <c r="C5943" s="32" t="s">
        <v>16307</v>
      </c>
      <c r="D5943" s="32" t="s">
        <v>16308</v>
      </c>
    </row>
    <row r="5944" spans="2:4" x14ac:dyDescent="0.3">
      <c r="B5944" s="33" t="s">
        <v>16309</v>
      </c>
      <c r="C5944" s="32" t="s">
        <v>16310</v>
      </c>
      <c r="D5944" s="32" t="s">
        <v>16311</v>
      </c>
    </row>
    <row r="5945" spans="2:4" x14ac:dyDescent="0.3">
      <c r="B5945" s="33" t="s">
        <v>16312</v>
      </c>
      <c r="C5945" s="32" t="s">
        <v>16313</v>
      </c>
      <c r="D5945" s="32" t="s">
        <v>37227</v>
      </c>
    </row>
    <row r="5946" spans="2:4" x14ac:dyDescent="0.3">
      <c r="B5946" s="33" t="s">
        <v>16314</v>
      </c>
      <c r="C5946" s="32" t="s">
        <v>16315</v>
      </c>
      <c r="D5946" s="32" t="s">
        <v>16316</v>
      </c>
    </row>
    <row r="5947" spans="2:4" x14ac:dyDescent="0.3">
      <c r="B5947" s="33" t="s">
        <v>16298</v>
      </c>
      <c r="C5947" s="32" t="s">
        <v>16317</v>
      </c>
      <c r="D5947" s="32" t="s">
        <v>16318</v>
      </c>
    </row>
    <row r="5948" spans="2:4" x14ac:dyDescent="0.3">
      <c r="B5948" s="33" t="s">
        <v>16319</v>
      </c>
      <c r="C5948" s="32" t="s">
        <v>16320</v>
      </c>
      <c r="D5948" s="32" t="s">
        <v>16321</v>
      </c>
    </row>
    <row r="5949" spans="2:4" x14ac:dyDescent="0.3">
      <c r="B5949" s="33" t="s">
        <v>16322</v>
      </c>
      <c r="C5949" s="32" t="s">
        <v>16323</v>
      </c>
      <c r="D5949" s="32" t="s">
        <v>16324</v>
      </c>
    </row>
    <row r="5950" spans="2:4" x14ac:dyDescent="0.3">
      <c r="B5950" s="33" t="s">
        <v>16325</v>
      </c>
      <c r="C5950" s="32" t="s">
        <v>16326</v>
      </c>
      <c r="D5950" s="32" t="s">
        <v>16327</v>
      </c>
    </row>
    <row r="5951" spans="2:4" x14ac:dyDescent="0.3">
      <c r="B5951" s="33" t="s">
        <v>16328</v>
      </c>
      <c r="C5951" s="32" t="s">
        <v>16329</v>
      </c>
      <c r="D5951" s="32" t="s">
        <v>16330</v>
      </c>
    </row>
    <row r="5952" spans="2:4" x14ac:dyDescent="0.3">
      <c r="B5952" s="33" t="s">
        <v>16331</v>
      </c>
      <c r="C5952" s="32" t="s">
        <v>16332</v>
      </c>
      <c r="D5952" s="32" t="s">
        <v>16333</v>
      </c>
    </row>
    <row r="5953" spans="2:4" x14ac:dyDescent="0.3">
      <c r="B5953" s="33" t="s">
        <v>16334</v>
      </c>
      <c r="C5953" s="32" t="s">
        <v>16335</v>
      </c>
      <c r="D5953" s="32" t="s">
        <v>16336</v>
      </c>
    </row>
    <row r="5954" spans="2:4" x14ac:dyDescent="0.3">
      <c r="B5954" s="33" t="s">
        <v>16337</v>
      </c>
      <c r="C5954" s="32" t="s">
        <v>16338</v>
      </c>
      <c r="D5954" s="32" t="s">
        <v>16339</v>
      </c>
    </row>
    <row r="5955" spans="2:4" x14ac:dyDescent="0.3">
      <c r="B5955" s="33" t="s">
        <v>16340</v>
      </c>
      <c r="C5955" s="32" t="s">
        <v>16341</v>
      </c>
      <c r="D5955" s="32" t="s">
        <v>16342</v>
      </c>
    </row>
    <row r="5956" spans="2:4" x14ac:dyDescent="0.3">
      <c r="B5956" s="33" t="s">
        <v>16343</v>
      </c>
      <c r="C5956" s="32" t="s">
        <v>16344</v>
      </c>
      <c r="D5956" s="32" t="s">
        <v>16345</v>
      </c>
    </row>
    <row r="5957" spans="2:4" x14ac:dyDescent="0.3">
      <c r="B5957" s="33" t="s">
        <v>16346</v>
      </c>
      <c r="C5957" s="32" t="s">
        <v>16347</v>
      </c>
      <c r="D5957" s="32" t="s">
        <v>16348</v>
      </c>
    </row>
    <row r="5958" spans="2:4" x14ac:dyDescent="0.3">
      <c r="B5958" s="33" t="s">
        <v>16349</v>
      </c>
      <c r="C5958" s="32" t="s">
        <v>16350</v>
      </c>
      <c r="D5958" s="32" t="s">
        <v>16351</v>
      </c>
    </row>
    <row r="5959" spans="2:4" x14ac:dyDescent="0.3">
      <c r="B5959" s="33" t="s">
        <v>16352</v>
      </c>
      <c r="C5959" s="32" t="s">
        <v>16353</v>
      </c>
      <c r="D5959" s="32" t="s">
        <v>16354</v>
      </c>
    </row>
    <row r="5960" spans="2:4" x14ac:dyDescent="0.3">
      <c r="B5960" s="33" t="s">
        <v>9634</v>
      </c>
      <c r="C5960" s="32" t="s">
        <v>16355</v>
      </c>
      <c r="D5960" s="32" t="s">
        <v>16356</v>
      </c>
    </row>
    <row r="5961" spans="2:4" x14ac:dyDescent="0.3">
      <c r="B5961" s="33" t="s">
        <v>16357</v>
      </c>
      <c r="C5961" s="32" t="s">
        <v>16358</v>
      </c>
      <c r="D5961" s="32" t="s">
        <v>16357</v>
      </c>
    </row>
    <row r="5962" spans="2:4" x14ac:dyDescent="0.3">
      <c r="B5962" s="33" t="s">
        <v>16359</v>
      </c>
      <c r="C5962" s="32" t="s">
        <v>16360</v>
      </c>
      <c r="D5962" s="32" t="s">
        <v>16359</v>
      </c>
    </row>
    <row r="5963" spans="2:4" x14ac:dyDescent="0.3">
      <c r="B5963" s="33" t="s">
        <v>16361</v>
      </c>
      <c r="C5963" s="32" t="s">
        <v>16362</v>
      </c>
      <c r="D5963" s="32" t="s">
        <v>16363</v>
      </c>
    </row>
    <row r="5964" spans="2:4" x14ac:dyDescent="0.3">
      <c r="B5964" s="33" t="s">
        <v>16364</v>
      </c>
      <c r="C5964" s="32" t="s">
        <v>16365</v>
      </c>
      <c r="D5964" s="32" t="s">
        <v>16366</v>
      </c>
    </row>
    <row r="5965" spans="2:4" x14ac:dyDescent="0.3">
      <c r="B5965" s="33" t="s">
        <v>16367</v>
      </c>
      <c r="C5965" s="32" t="s">
        <v>16368</v>
      </c>
      <c r="D5965" s="32" t="s">
        <v>16369</v>
      </c>
    </row>
    <row r="5966" spans="2:4" x14ac:dyDescent="0.3">
      <c r="B5966" s="33" t="s">
        <v>16370</v>
      </c>
      <c r="C5966" s="32" t="s">
        <v>16371</v>
      </c>
      <c r="D5966" s="32" t="s">
        <v>16372</v>
      </c>
    </row>
    <row r="5967" spans="2:4" x14ac:dyDescent="0.3">
      <c r="B5967" s="33" t="s">
        <v>16373</v>
      </c>
      <c r="C5967" s="32" t="s">
        <v>16374</v>
      </c>
      <c r="D5967" s="32" t="s">
        <v>16375</v>
      </c>
    </row>
    <row r="5968" spans="2:4" x14ac:dyDescent="0.3">
      <c r="B5968" s="33" t="s">
        <v>16376</v>
      </c>
      <c r="C5968" s="32" t="s">
        <v>16377</v>
      </c>
      <c r="D5968" s="32" t="s">
        <v>16377</v>
      </c>
    </row>
    <row r="5969" spans="2:4" x14ac:dyDescent="0.3">
      <c r="B5969" s="33" t="s">
        <v>16378</v>
      </c>
      <c r="C5969" s="32" t="s">
        <v>16379</v>
      </c>
      <c r="D5969" s="32" t="s">
        <v>16380</v>
      </c>
    </row>
    <row r="5970" spans="2:4" x14ac:dyDescent="0.3">
      <c r="B5970" s="33" t="s">
        <v>16381</v>
      </c>
      <c r="C5970" s="32" t="s">
        <v>16382</v>
      </c>
      <c r="D5970" s="32" t="s">
        <v>36846</v>
      </c>
    </row>
    <row r="5971" spans="2:4" x14ac:dyDescent="0.3">
      <c r="B5971" s="33" t="s">
        <v>16381</v>
      </c>
      <c r="C5971" s="32" t="s">
        <v>36847</v>
      </c>
      <c r="D5971" s="32" t="s">
        <v>16383</v>
      </c>
    </row>
    <row r="5972" spans="2:4" x14ac:dyDescent="0.3">
      <c r="B5972" s="33" t="s">
        <v>16384</v>
      </c>
      <c r="C5972" s="32" t="s">
        <v>16385</v>
      </c>
      <c r="D5972" s="32" t="s">
        <v>16384</v>
      </c>
    </row>
    <row r="5973" spans="2:4" x14ac:dyDescent="0.3">
      <c r="B5973" s="33" t="s">
        <v>16386</v>
      </c>
      <c r="C5973" s="32" t="s">
        <v>16387</v>
      </c>
      <c r="D5973" s="32" t="s">
        <v>16388</v>
      </c>
    </row>
    <row r="5974" spans="2:4" x14ac:dyDescent="0.3">
      <c r="B5974" s="33" t="s">
        <v>16389</v>
      </c>
      <c r="C5974" s="32" t="s">
        <v>16390</v>
      </c>
      <c r="D5974" s="32" t="s">
        <v>16391</v>
      </c>
    </row>
    <row r="5975" spans="2:4" x14ac:dyDescent="0.3">
      <c r="B5975" s="33" t="s">
        <v>16392</v>
      </c>
      <c r="C5975" s="32" t="s">
        <v>16393</v>
      </c>
      <c r="D5975" s="32" t="s">
        <v>16394</v>
      </c>
    </row>
    <row r="5976" spans="2:4" x14ac:dyDescent="0.3">
      <c r="B5976" s="33" t="s">
        <v>16395</v>
      </c>
      <c r="C5976" s="32" t="s">
        <v>16396</v>
      </c>
      <c r="D5976" s="32" t="s">
        <v>16397</v>
      </c>
    </row>
    <row r="5977" spans="2:4" x14ac:dyDescent="0.3">
      <c r="B5977" s="33" t="s">
        <v>16395</v>
      </c>
      <c r="C5977" s="32" t="s">
        <v>16398</v>
      </c>
      <c r="D5977" s="32" t="s">
        <v>16399</v>
      </c>
    </row>
    <row r="5978" spans="2:4" x14ac:dyDescent="0.3">
      <c r="B5978" s="33" t="s">
        <v>16400</v>
      </c>
      <c r="C5978" s="32" t="s">
        <v>16401</v>
      </c>
      <c r="D5978" s="32" t="s">
        <v>16402</v>
      </c>
    </row>
    <row r="5979" spans="2:4" x14ac:dyDescent="0.3">
      <c r="B5979" s="33" t="s">
        <v>16403</v>
      </c>
      <c r="C5979" s="32" t="s">
        <v>16404</v>
      </c>
      <c r="D5979" s="32" t="s">
        <v>16405</v>
      </c>
    </row>
    <row r="5980" spans="2:4" x14ac:dyDescent="0.3">
      <c r="B5980" s="33" t="s">
        <v>16406</v>
      </c>
      <c r="C5980" s="32" t="s">
        <v>16407</v>
      </c>
      <c r="D5980" s="32" t="s">
        <v>16408</v>
      </c>
    </row>
    <row r="5981" spans="2:4" x14ac:dyDescent="0.3">
      <c r="B5981" s="33" t="s">
        <v>16409</v>
      </c>
      <c r="C5981" s="32" t="s">
        <v>16410</v>
      </c>
      <c r="D5981" s="32" t="s">
        <v>16411</v>
      </c>
    </row>
    <row r="5982" spans="2:4" x14ac:dyDescent="0.3">
      <c r="B5982" s="33" t="s">
        <v>16412</v>
      </c>
      <c r="C5982" s="32" t="s">
        <v>16413</v>
      </c>
      <c r="D5982" s="32" t="s">
        <v>16414</v>
      </c>
    </row>
    <row r="5983" spans="2:4" x14ac:dyDescent="0.3">
      <c r="B5983" s="33" t="s">
        <v>16415</v>
      </c>
      <c r="C5983" s="32" t="s">
        <v>16416</v>
      </c>
      <c r="D5983" s="32" t="s">
        <v>16417</v>
      </c>
    </row>
    <row r="5984" spans="2:4" x14ac:dyDescent="0.3">
      <c r="B5984" s="33" t="s">
        <v>16418</v>
      </c>
      <c r="C5984" s="32" t="s">
        <v>16419</v>
      </c>
      <c r="D5984" s="32" t="s">
        <v>16420</v>
      </c>
    </row>
    <row r="5985" spans="2:4" x14ac:dyDescent="0.3">
      <c r="B5985" s="33" t="s">
        <v>16421</v>
      </c>
      <c r="C5985" s="32" t="s">
        <v>16422</v>
      </c>
      <c r="D5985" s="32" t="s">
        <v>16423</v>
      </c>
    </row>
    <row r="5986" spans="2:4" x14ac:dyDescent="0.3">
      <c r="B5986" s="33" t="s">
        <v>16424</v>
      </c>
      <c r="C5986" s="32" t="s">
        <v>16425</v>
      </c>
      <c r="D5986" s="32" t="s">
        <v>16426</v>
      </c>
    </row>
    <row r="5987" spans="2:4" x14ac:dyDescent="0.3">
      <c r="B5987" s="33" t="s">
        <v>16427</v>
      </c>
      <c r="C5987" s="32" t="s">
        <v>16428</v>
      </c>
      <c r="D5987" s="32" t="s">
        <v>16429</v>
      </c>
    </row>
    <row r="5988" spans="2:4" x14ac:dyDescent="0.3">
      <c r="B5988" s="33" t="s">
        <v>16269</v>
      </c>
      <c r="C5988" s="32" t="s">
        <v>16430</v>
      </c>
      <c r="D5988" s="32" t="s">
        <v>16269</v>
      </c>
    </row>
    <row r="5989" spans="2:4" x14ac:dyDescent="0.3">
      <c r="B5989" s="33" t="s">
        <v>16431</v>
      </c>
      <c r="C5989" s="32" t="s">
        <v>16432</v>
      </c>
      <c r="D5989" s="32" t="s">
        <v>16433</v>
      </c>
    </row>
    <row r="5990" spans="2:4" x14ac:dyDescent="0.3">
      <c r="B5990" s="33" t="s">
        <v>16434</v>
      </c>
      <c r="C5990" s="32" t="s">
        <v>16435</v>
      </c>
      <c r="D5990" s="32" t="s">
        <v>16436</v>
      </c>
    </row>
    <row r="5991" spans="2:4" x14ac:dyDescent="0.3">
      <c r="B5991" s="33" t="s">
        <v>16437</v>
      </c>
      <c r="C5991" s="32" t="s">
        <v>16438</v>
      </c>
      <c r="D5991" s="32" t="s">
        <v>16439</v>
      </c>
    </row>
    <row r="5992" spans="2:4" x14ac:dyDescent="0.3">
      <c r="B5992" s="33" t="s">
        <v>16440</v>
      </c>
      <c r="C5992" s="32" t="s">
        <v>16441</v>
      </c>
      <c r="D5992" s="32" t="s">
        <v>16442</v>
      </c>
    </row>
    <row r="5993" spans="2:4" x14ac:dyDescent="0.3">
      <c r="B5993" s="33" t="s">
        <v>16443</v>
      </c>
      <c r="C5993" s="32" t="s">
        <v>16444</v>
      </c>
      <c r="D5993" s="32" t="s">
        <v>16445</v>
      </c>
    </row>
    <row r="5994" spans="2:4" x14ac:dyDescent="0.3">
      <c r="B5994" s="33" t="s">
        <v>16446</v>
      </c>
      <c r="C5994" s="32" t="s">
        <v>16447</v>
      </c>
      <c r="D5994" s="32" t="s">
        <v>16448</v>
      </c>
    </row>
    <row r="5995" spans="2:4" x14ac:dyDescent="0.3">
      <c r="B5995" s="33" t="s">
        <v>16427</v>
      </c>
      <c r="C5995" s="32" t="s">
        <v>16449</v>
      </c>
      <c r="D5995" s="32" t="s">
        <v>16450</v>
      </c>
    </row>
    <row r="5996" spans="2:4" x14ac:dyDescent="0.3">
      <c r="B5996" s="33" t="s">
        <v>16451</v>
      </c>
      <c r="C5996" s="32" t="s">
        <v>16452</v>
      </c>
      <c r="D5996" s="32" t="s">
        <v>16453</v>
      </c>
    </row>
    <row r="5997" spans="2:4" x14ac:dyDescent="0.3">
      <c r="B5997" s="33" t="s">
        <v>16454</v>
      </c>
      <c r="C5997" s="32" t="s">
        <v>16455</v>
      </c>
      <c r="D5997" s="32" t="s">
        <v>16456</v>
      </c>
    </row>
    <row r="5998" spans="2:4" x14ac:dyDescent="0.3">
      <c r="B5998" s="33" t="s">
        <v>5356</v>
      </c>
      <c r="C5998" s="32" t="s">
        <v>16457</v>
      </c>
      <c r="D5998" s="32" t="s">
        <v>16458</v>
      </c>
    </row>
    <row r="5999" spans="2:4" x14ac:dyDescent="0.3">
      <c r="B5999" s="33" t="s">
        <v>16459</v>
      </c>
      <c r="C5999" s="32" t="s">
        <v>16460</v>
      </c>
      <c r="D5999" s="32" t="s">
        <v>16461</v>
      </c>
    </row>
    <row r="6000" spans="2:4" x14ac:dyDescent="0.3">
      <c r="B6000" s="33" t="s">
        <v>16462</v>
      </c>
      <c r="C6000" s="32" t="s">
        <v>16463</v>
      </c>
      <c r="D6000" s="32" t="s">
        <v>16464</v>
      </c>
    </row>
    <row r="6001" spans="2:4" x14ac:dyDescent="0.3">
      <c r="B6001" s="33" t="s">
        <v>16465</v>
      </c>
      <c r="C6001" s="32" t="s">
        <v>16466</v>
      </c>
      <c r="D6001" s="32" t="s">
        <v>16467</v>
      </c>
    </row>
    <row r="6002" spans="2:4" x14ac:dyDescent="0.3">
      <c r="B6002" s="33" t="s">
        <v>16468</v>
      </c>
      <c r="C6002" s="32" t="s">
        <v>16469</v>
      </c>
      <c r="D6002" s="32" t="s">
        <v>16470</v>
      </c>
    </row>
    <row r="6003" spans="2:4" x14ac:dyDescent="0.3">
      <c r="B6003" s="33" t="s">
        <v>16471</v>
      </c>
      <c r="C6003" s="32" t="s">
        <v>16472</v>
      </c>
      <c r="D6003" s="32" t="s">
        <v>16473</v>
      </c>
    </row>
    <row r="6004" spans="2:4" x14ac:dyDescent="0.3">
      <c r="B6004" s="33" t="s">
        <v>12887</v>
      </c>
      <c r="C6004" s="32" t="s">
        <v>16474</v>
      </c>
      <c r="D6004" s="32" t="s">
        <v>16475</v>
      </c>
    </row>
    <row r="6005" spans="2:4" x14ac:dyDescent="0.3">
      <c r="B6005" s="33" t="s">
        <v>16476</v>
      </c>
      <c r="C6005" s="32" t="s">
        <v>16477</v>
      </c>
      <c r="D6005" s="32" t="s">
        <v>16478</v>
      </c>
    </row>
    <row r="6006" spans="2:4" x14ac:dyDescent="0.3">
      <c r="B6006" s="33" t="s">
        <v>16479</v>
      </c>
      <c r="C6006" s="32" t="s">
        <v>16480</v>
      </c>
      <c r="D6006" s="32" t="s">
        <v>16481</v>
      </c>
    </row>
    <row r="6007" spans="2:4" x14ac:dyDescent="0.3">
      <c r="B6007" s="33" t="s">
        <v>16482</v>
      </c>
      <c r="C6007" s="32" t="s">
        <v>16483</v>
      </c>
      <c r="D6007" s="32" t="s">
        <v>16484</v>
      </c>
    </row>
    <row r="6008" spans="2:4" x14ac:dyDescent="0.3">
      <c r="B6008" s="33" t="s">
        <v>16485</v>
      </c>
      <c r="C6008" s="32" t="s">
        <v>16486</v>
      </c>
      <c r="D6008" s="32" t="s">
        <v>16487</v>
      </c>
    </row>
    <row r="6009" spans="2:4" x14ac:dyDescent="0.3">
      <c r="B6009" s="33" t="s">
        <v>16485</v>
      </c>
      <c r="C6009" s="32" t="s">
        <v>16488</v>
      </c>
      <c r="D6009" s="32" t="s">
        <v>16489</v>
      </c>
    </row>
    <row r="6010" spans="2:4" x14ac:dyDescent="0.3">
      <c r="B6010" s="33" t="s">
        <v>16490</v>
      </c>
      <c r="C6010" s="32" t="s">
        <v>16491</v>
      </c>
      <c r="D6010" s="32" t="s">
        <v>16492</v>
      </c>
    </row>
    <row r="6011" spans="2:4" x14ac:dyDescent="0.3">
      <c r="B6011" s="33" t="s">
        <v>16493</v>
      </c>
      <c r="C6011" s="32" t="s">
        <v>16494</v>
      </c>
      <c r="D6011" s="32" t="s">
        <v>16495</v>
      </c>
    </row>
    <row r="6012" spans="2:4" x14ac:dyDescent="0.3">
      <c r="B6012" s="33" t="s">
        <v>16496</v>
      </c>
      <c r="C6012" s="32" t="s">
        <v>16497</v>
      </c>
      <c r="D6012" s="32" t="s">
        <v>16498</v>
      </c>
    </row>
    <row r="6013" spans="2:4" x14ac:dyDescent="0.3">
      <c r="B6013" s="33" t="s">
        <v>16499</v>
      </c>
      <c r="C6013" s="32" t="s">
        <v>16500</v>
      </c>
      <c r="D6013" s="32" t="s">
        <v>16501</v>
      </c>
    </row>
    <row r="6014" spans="2:4" x14ac:dyDescent="0.3">
      <c r="B6014" s="33" t="s">
        <v>16502</v>
      </c>
      <c r="C6014" s="32" t="s">
        <v>16503</v>
      </c>
      <c r="D6014" s="32" t="s">
        <v>16504</v>
      </c>
    </row>
    <row r="6015" spans="2:4" x14ac:dyDescent="0.3">
      <c r="B6015" s="33" t="s">
        <v>16505</v>
      </c>
      <c r="C6015" s="32" t="s">
        <v>16506</v>
      </c>
      <c r="D6015" s="32" t="s">
        <v>16507</v>
      </c>
    </row>
    <row r="6016" spans="2:4" x14ac:dyDescent="0.3">
      <c r="B6016" s="33" t="s">
        <v>16508</v>
      </c>
      <c r="C6016" s="32" t="s">
        <v>16509</v>
      </c>
      <c r="D6016" s="32" t="s">
        <v>16510</v>
      </c>
    </row>
    <row r="6017" spans="2:4" x14ac:dyDescent="0.3">
      <c r="B6017" s="33" t="s">
        <v>16511</v>
      </c>
      <c r="C6017" s="32" t="s">
        <v>16512</v>
      </c>
      <c r="D6017" s="32" t="s">
        <v>16513</v>
      </c>
    </row>
    <row r="6018" spans="2:4" x14ac:dyDescent="0.3">
      <c r="B6018" s="33" t="s">
        <v>16514</v>
      </c>
      <c r="C6018" s="32" t="s">
        <v>16515</v>
      </c>
      <c r="D6018" s="32" t="s">
        <v>16516</v>
      </c>
    </row>
    <row r="6019" spans="2:4" x14ac:dyDescent="0.3">
      <c r="B6019" s="33" t="s">
        <v>16517</v>
      </c>
      <c r="C6019" s="32" t="s">
        <v>16518</v>
      </c>
      <c r="D6019" s="32" t="s">
        <v>16519</v>
      </c>
    </row>
    <row r="6020" spans="2:4" x14ac:dyDescent="0.3">
      <c r="B6020" s="33" t="s">
        <v>16520</v>
      </c>
      <c r="C6020" s="32" t="s">
        <v>16521</v>
      </c>
      <c r="D6020" s="32" t="s">
        <v>16522</v>
      </c>
    </row>
    <row r="6021" spans="2:4" x14ac:dyDescent="0.3">
      <c r="B6021" s="33" t="s">
        <v>16523</v>
      </c>
      <c r="C6021" s="32" t="s">
        <v>16524</v>
      </c>
      <c r="D6021" s="32" t="s">
        <v>16525</v>
      </c>
    </row>
    <row r="6022" spans="2:4" x14ac:dyDescent="0.3">
      <c r="B6022" s="33" t="s">
        <v>16526</v>
      </c>
      <c r="C6022" s="32" t="s">
        <v>16527</v>
      </c>
      <c r="D6022" s="32" t="s">
        <v>16528</v>
      </c>
    </row>
    <row r="6023" spans="2:4" x14ac:dyDescent="0.3">
      <c r="B6023" s="33" t="s">
        <v>16529</v>
      </c>
      <c r="C6023" s="32" t="s">
        <v>16530</v>
      </c>
      <c r="D6023" s="32" t="s">
        <v>16531</v>
      </c>
    </row>
    <row r="6024" spans="2:4" x14ac:dyDescent="0.3">
      <c r="B6024" s="33" t="s">
        <v>16532</v>
      </c>
      <c r="C6024" s="32" t="s">
        <v>16533</v>
      </c>
      <c r="D6024" s="32" t="s">
        <v>16534</v>
      </c>
    </row>
    <row r="6025" spans="2:4" x14ac:dyDescent="0.3">
      <c r="B6025" s="33" t="s">
        <v>16532</v>
      </c>
      <c r="C6025" s="32" t="s">
        <v>16535</v>
      </c>
      <c r="D6025" s="32" t="s">
        <v>16536</v>
      </c>
    </row>
    <row r="6026" spans="2:4" x14ac:dyDescent="0.3">
      <c r="B6026" s="33" t="s">
        <v>16532</v>
      </c>
      <c r="C6026" s="32" t="s">
        <v>16537</v>
      </c>
      <c r="D6026" s="32" t="s">
        <v>16538</v>
      </c>
    </row>
    <row r="6027" spans="2:4" x14ac:dyDescent="0.3">
      <c r="B6027" s="33" t="s">
        <v>16539</v>
      </c>
      <c r="C6027" s="32" t="s">
        <v>16540</v>
      </c>
      <c r="D6027" s="32" t="s">
        <v>16541</v>
      </c>
    </row>
    <row r="6028" spans="2:4" x14ac:dyDescent="0.3">
      <c r="B6028" s="33" t="s">
        <v>16542</v>
      </c>
      <c r="C6028" s="32" t="s">
        <v>16543</v>
      </c>
      <c r="D6028" s="32" t="s">
        <v>16544</v>
      </c>
    </row>
    <row r="6029" spans="2:4" x14ac:dyDescent="0.3">
      <c r="B6029" s="33" t="s">
        <v>16545</v>
      </c>
      <c r="C6029" s="32" t="s">
        <v>16546</v>
      </c>
      <c r="D6029" s="32" t="s">
        <v>16547</v>
      </c>
    </row>
    <row r="6030" spans="2:4" x14ac:dyDescent="0.3">
      <c r="B6030" s="33" t="s">
        <v>16532</v>
      </c>
      <c r="C6030" s="32" t="s">
        <v>16548</v>
      </c>
      <c r="D6030" s="32" t="s">
        <v>16549</v>
      </c>
    </row>
    <row r="6031" spans="2:4" x14ac:dyDescent="0.3">
      <c r="B6031" s="33" t="s">
        <v>16550</v>
      </c>
      <c r="C6031" s="32" t="s">
        <v>16551</v>
      </c>
      <c r="D6031" s="32" t="s">
        <v>16552</v>
      </c>
    </row>
    <row r="6032" spans="2:4" x14ac:dyDescent="0.3">
      <c r="B6032" s="33" t="s">
        <v>16553</v>
      </c>
      <c r="C6032" s="32" t="s">
        <v>16554</v>
      </c>
      <c r="D6032" s="32" t="s">
        <v>16555</v>
      </c>
    </row>
    <row r="6033" spans="2:4" x14ac:dyDescent="0.3">
      <c r="B6033" s="33" t="s">
        <v>16556</v>
      </c>
      <c r="C6033" s="32" t="s">
        <v>16557</v>
      </c>
      <c r="D6033" s="32" t="s">
        <v>16558</v>
      </c>
    </row>
    <row r="6034" spans="2:4" x14ac:dyDescent="0.3">
      <c r="B6034" s="33" t="s">
        <v>16559</v>
      </c>
      <c r="C6034" s="32" t="s">
        <v>16560</v>
      </c>
      <c r="D6034" s="32" t="s">
        <v>16561</v>
      </c>
    </row>
    <row r="6035" spans="2:4" x14ac:dyDescent="0.3">
      <c r="B6035" s="33" t="s">
        <v>16562</v>
      </c>
      <c r="C6035" s="32" t="s">
        <v>16563</v>
      </c>
      <c r="D6035" s="32" t="s">
        <v>16564</v>
      </c>
    </row>
    <row r="6036" spans="2:4" x14ac:dyDescent="0.3">
      <c r="B6036" s="33" t="s">
        <v>16565</v>
      </c>
      <c r="C6036" s="32" t="s">
        <v>16566</v>
      </c>
      <c r="D6036" s="32" t="s">
        <v>16567</v>
      </c>
    </row>
    <row r="6037" spans="2:4" x14ac:dyDescent="0.3">
      <c r="B6037" s="33" t="s">
        <v>16539</v>
      </c>
      <c r="C6037" s="32" t="s">
        <v>16568</v>
      </c>
      <c r="D6037" s="32" t="s">
        <v>16569</v>
      </c>
    </row>
    <row r="6038" spans="2:4" x14ac:dyDescent="0.3">
      <c r="B6038" s="33" t="s">
        <v>16529</v>
      </c>
      <c r="C6038" s="32" t="s">
        <v>16570</v>
      </c>
      <c r="D6038" s="32" t="s">
        <v>16571</v>
      </c>
    </row>
    <row r="6039" spans="2:4" x14ac:dyDescent="0.3">
      <c r="B6039" s="33" t="s">
        <v>16572</v>
      </c>
      <c r="C6039" s="32" t="s">
        <v>16573</v>
      </c>
      <c r="D6039" s="32" t="s">
        <v>16574</v>
      </c>
    </row>
    <row r="6040" spans="2:4" x14ac:dyDescent="0.3">
      <c r="B6040" s="33" t="s">
        <v>16346</v>
      </c>
      <c r="C6040" s="32" t="s">
        <v>16575</v>
      </c>
      <c r="D6040" s="32" t="s">
        <v>16576</v>
      </c>
    </row>
    <row r="6041" spans="2:4" x14ac:dyDescent="0.3">
      <c r="B6041" s="33" t="s">
        <v>16577</v>
      </c>
      <c r="C6041" s="32" t="s">
        <v>16578</v>
      </c>
      <c r="D6041" s="32" t="s">
        <v>16579</v>
      </c>
    </row>
    <row r="6042" spans="2:4" x14ac:dyDescent="0.3">
      <c r="B6042" s="33" t="s">
        <v>16580</v>
      </c>
      <c r="C6042" s="32" t="s">
        <v>16581</v>
      </c>
      <c r="D6042" s="32" t="s">
        <v>16582</v>
      </c>
    </row>
    <row r="6043" spans="2:4" x14ac:dyDescent="0.3">
      <c r="B6043" s="33" t="s">
        <v>15519</v>
      </c>
      <c r="C6043" s="32" t="s">
        <v>16583</v>
      </c>
      <c r="D6043" s="32" t="s">
        <v>16584</v>
      </c>
    </row>
    <row r="6044" spans="2:4" x14ac:dyDescent="0.3">
      <c r="B6044" s="33" t="s">
        <v>16585</v>
      </c>
      <c r="C6044" s="32" t="s">
        <v>16586</v>
      </c>
      <c r="D6044" s="32" t="s">
        <v>16587</v>
      </c>
    </row>
    <row r="6045" spans="2:4" x14ac:dyDescent="0.3">
      <c r="B6045" s="33" t="s">
        <v>16588</v>
      </c>
      <c r="C6045" s="32" t="s">
        <v>16589</v>
      </c>
      <c r="D6045" s="32" t="s">
        <v>16590</v>
      </c>
    </row>
    <row r="6046" spans="2:4" x14ac:dyDescent="0.3">
      <c r="B6046" s="33" t="s">
        <v>16545</v>
      </c>
      <c r="C6046" s="32" t="s">
        <v>16591</v>
      </c>
      <c r="D6046" s="32" t="s">
        <v>16592</v>
      </c>
    </row>
    <row r="6047" spans="2:4" x14ac:dyDescent="0.3">
      <c r="B6047" s="33" t="s">
        <v>16593</v>
      </c>
      <c r="C6047" s="32" t="s">
        <v>16594</v>
      </c>
      <c r="D6047" s="32" t="s">
        <v>16595</v>
      </c>
    </row>
    <row r="6048" spans="2:4" x14ac:dyDescent="0.3">
      <c r="B6048" s="33" t="s">
        <v>16596</v>
      </c>
      <c r="C6048" s="32" t="s">
        <v>16597</v>
      </c>
      <c r="D6048" s="32" t="s">
        <v>16598</v>
      </c>
    </row>
    <row r="6049" spans="2:4" x14ac:dyDescent="0.3">
      <c r="B6049" s="33" t="s">
        <v>16532</v>
      </c>
      <c r="C6049" s="32" t="s">
        <v>16599</v>
      </c>
      <c r="D6049" s="32" t="s">
        <v>16600</v>
      </c>
    </row>
    <row r="6050" spans="2:4" x14ac:dyDescent="0.3">
      <c r="B6050" s="33" t="s">
        <v>37022</v>
      </c>
      <c r="C6050" s="32" t="s">
        <v>37023</v>
      </c>
      <c r="D6050" s="32" t="s">
        <v>37024</v>
      </c>
    </row>
    <row r="6051" spans="2:4" x14ac:dyDescent="0.3">
      <c r="B6051" s="33" t="s">
        <v>16601</v>
      </c>
      <c r="C6051" s="32" t="s">
        <v>16602</v>
      </c>
      <c r="D6051" s="32" t="s">
        <v>16603</v>
      </c>
    </row>
    <row r="6052" spans="2:4" x14ac:dyDescent="0.3">
      <c r="B6052" s="33" t="s">
        <v>16604</v>
      </c>
      <c r="C6052" s="32" t="s">
        <v>16605</v>
      </c>
      <c r="D6052" s="32" t="s">
        <v>16606</v>
      </c>
    </row>
    <row r="6053" spans="2:4" x14ac:dyDescent="0.3">
      <c r="B6053" s="33" t="s">
        <v>16607</v>
      </c>
      <c r="C6053" s="32" t="s">
        <v>16608</v>
      </c>
      <c r="D6053" s="32" t="s">
        <v>16609</v>
      </c>
    </row>
    <row r="6054" spans="2:4" x14ac:dyDescent="0.3">
      <c r="B6054" s="33" t="s">
        <v>16610</v>
      </c>
      <c r="C6054" s="32" t="s">
        <v>16611</v>
      </c>
      <c r="D6054" s="32" t="s">
        <v>16612</v>
      </c>
    </row>
    <row r="6055" spans="2:4" x14ac:dyDescent="0.3">
      <c r="B6055" s="33" t="s">
        <v>16613</v>
      </c>
      <c r="C6055" s="32" t="s">
        <v>16614</v>
      </c>
      <c r="D6055" s="32" t="s">
        <v>16615</v>
      </c>
    </row>
    <row r="6056" spans="2:4" x14ac:dyDescent="0.3">
      <c r="B6056" s="33" t="s">
        <v>16616</v>
      </c>
      <c r="C6056" s="32" t="s">
        <v>16617</v>
      </c>
      <c r="D6056" s="32" t="s">
        <v>16618</v>
      </c>
    </row>
    <row r="6057" spans="2:4" x14ac:dyDescent="0.3">
      <c r="B6057" s="33" t="s">
        <v>16619</v>
      </c>
      <c r="C6057" s="32" t="s">
        <v>16620</v>
      </c>
      <c r="D6057" s="32" t="s">
        <v>16621</v>
      </c>
    </row>
    <row r="6058" spans="2:4" x14ac:dyDescent="0.3">
      <c r="B6058" s="33" t="s">
        <v>16622</v>
      </c>
      <c r="C6058" s="32" t="s">
        <v>16623</v>
      </c>
      <c r="D6058" s="32" t="s">
        <v>16624</v>
      </c>
    </row>
    <row r="6059" spans="2:4" x14ac:dyDescent="0.3">
      <c r="B6059" s="33" t="s">
        <v>16532</v>
      </c>
      <c r="C6059" s="32" t="s">
        <v>16625</v>
      </c>
      <c r="D6059" s="32" t="s">
        <v>16626</v>
      </c>
    </row>
    <row r="6060" spans="2:4" x14ac:dyDescent="0.3">
      <c r="B6060" s="33" t="s">
        <v>16627</v>
      </c>
      <c r="C6060" s="32" t="s">
        <v>16628</v>
      </c>
      <c r="D6060" s="32" t="s">
        <v>16629</v>
      </c>
    </row>
    <row r="6061" spans="2:4" x14ac:dyDescent="0.3">
      <c r="B6061" s="33" t="s">
        <v>16630</v>
      </c>
      <c r="C6061" s="32" t="s">
        <v>16631</v>
      </c>
      <c r="D6061" s="32" t="s">
        <v>16632</v>
      </c>
    </row>
    <row r="6062" spans="2:4" x14ac:dyDescent="0.3">
      <c r="B6062" s="33" t="s">
        <v>16630</v>
      </c>
      <c r="C6062" s="32" t="s">
        <v>16633</v>
      </c>
      <c r="D6062" s="32" t="s">
        <v>16634</v>
      </c>
    </row>
    <row r="6063" spans="2:4" x14ac:dyDescent="0.3">
      <c r="B6063" s="33" t="s">
        <v>16556</v>
      </c>
      <c r="C6063" s="32" t="s">
        <v>16635</v>
      </c>
      <c r="D6063" s="32" t="s">
        <v>16636</v>
      </c>
    </row>
    <row r="6064" spans="2:4" x14ac:dyDescent="0.3">
      <c r="B6064" s="33" t="s">
        <v>16637</v>
      </c>
      <c r="C6064" s="32" t="s">
        <v>16638</v>
      </c>
      <c r="D6064" s="32" t="s">
        <v>16639</v>
      </c>
    </row>
    <row r="6065" spans="2:4" x14ac:dyDescent="0.3">
      <c r="B6065" s="33" t="s">
        <v>16640</v>
      </c>
      <c r="C6065" s="32" t="s">
        <v>16641</v>
      </c>
      <c r="D6065" s="32" t="s">
        <v>16642</v>
      </c>
    </row>
    <row r="6066" spans="2:4" x14ac:dyDescent="0.3">
      <c r="B6066" s="33" t="s">
        <v>16643</v>
      </c>
      <c r="C6066" s="32" t="s">
        <v>16644</v>
      </c>
      <c r="D6066" s="32" t="s">
        <v>16645</v>
      </c>
    </row>
    <row r="6067" spans="2:4" x14ac:dyDescent="0.3">
      <c r="B6067" s="33" t="s">
        <v>16646</v>
      </c>
      <c r="C6067" s="32" t="s">
        <v>16647</v>
      </c>
      <c r="D6067" s="32" t="s">
        <v>16648</v>
      </c>
    </row>
    <row r="6068" spans="2:4" x14ac:dyDescent="0.3">
      <c r="B6068" s="33" t="s">
        <v>16649</v>
      </c>
      <c r="C6068" s="32" t="s">
        <v>16650</v>
      </c>
      <c r="D6068" s="32" t="s">
        <v>16651</v>
      </c>
    </row>
    <row r="6069" spans="2:4" x14ac:dyDescent="0.3">
      <c r="B6069" s="33" t="s">
        <v>16649</v>
      </c>
      <c r="C6069" s="32" t="s">
        <v>16652</v>
      </c>
      <c r="D6069" s="32" t="s">
        <v>16653</v>
      </c>
    </row>
    <row r="6070" spans="2:4" x14ac:dyDescent="0.3">
      <c r="B6070" s="33" t="s">
        <v>16654</v>
      </c>
      <c r="C6070" s="32" t="s">
        <v>16655</v>
      </c>
      <c r="D6070" s="32" t="s">
        <v>16656</v>
      </c>
    </row>
    <row r="6071" spans="2:4" x14ac:dyDescent="0.3">
      <c r="B6071" s="33" t="s">
        <v>16657</v>
      </c>
      <c r="C6071" s="32" t="s">
        <v>16658</v>
      </c>
      <c r="D6071" s="32" t="s">
        <v>16659</v>
      </c>
    </row>
    <row r="6072" spans="2:4" x14ac:dyDescent="0.3">
      <c r="B6072" s="33" t="s">
        <v>16660</v>
      </c>
      <c r="C6072" s="32" t="s">
        <v>16661</v>
      </c>
      <c r="D6072" s="32" t="s">
        <v>16662</v>
      </c>
    </row>
    <row r="6073" spans="2:4" x14ac:dyDescent="0.3">
      <c r="B6073" s="33" t="s">
        <v>16663</v>
      </c>
      <c r="C6073" s="32" t="s">
        <v>16664</v>
      </c>
      <c r="D6073" s="32" t="s">
        <v>16665</v>
      </c>
    </row>
    <row r="6074" spans="2:4" x14ac:dyDescent="0.3">
      <c r="B6074" s="33" t="s">
        <v>16666</v>
      </c>
      <c r="C6074" s="32" t="s">
        <v>16667</v>
      </c>
      <c r="D6074" s="32" t="s">
        <v>16668</v>
      </c>
    </row>
    <row r="6075" spans="2:4" x14ac:dyDescent="0.3">
      <c r="B6075" s="33" t="s">
        <v>16669</v>
      </c>
      <c r="C6075" s="32" t="s">
        <v>16670</v>
      </c>
      <c r="D6075" s="32" t="s">
        <v>16671</v>
      </c>
    </row>
    <row r="6076" spans="2:4" x14ac:dyDescent="0.3">
      <c r="B6076" s="33" t="s">
        <v>16672</v>
      </c>
      <c r="C6076" s="32" t="s">
        <v>16673</v>
      </c>
      <c r="D6076" s="32" t="s">
        <v>16674</v>
      </c>
    </row>
    <row r="6077" spans="2:4" x14ac:dyDescent="0.3">
      <c r="B6077" s="33" t="s">
        <v>16675</v>
      </c>
      <c r="C6077" s="32" t="s">
        <v>16676</v>
      </c>
      <c r="D6077" s="32" t="s">
        <v>16677</v>
      </c>
    </row>
    <row r="6078" spans="2:4" x14ac:dyDescent="0.3">
      <c r="B6078" s="33" t="s">
        <v>16678</v>
      </c>
      <c r="C6078" s="32" t="s">
        <v>16679</v>
      </c>
      <c r="D6078" s="32" t="s">
        <v>16680</v>
      </c>
    </row>
    <row r="6079" spans="2:4" x14ac:dyDescent="0.3">
      <c r="B6079" s="33" t="s">
        <v>16681</v>
      </c>
      <c r="C6079" s="32" t="s">
        <v>16682</v>
      </c>
      <c r="D6079" s="32" t="s">
        <v>16683</v>
      </c>
    </row>
    <row r="6080" spans="2:4" x14ac:dyDescent="0.3">
      <c r="B6080" s="33" t="s">
        <v>16684</v>
      </c>
      <c r="C6080" s="32" t="s">
        <v>16685</v>
      </c>
      <c r="D6080" s="32" t="s">
        <v>16686</v>
      </c>
    </row>
    <row r="6081" spans="2:4" x14ac:dyDescent="0.3">
      <c r="B6081" s="33" t="s">
        <v>16687</v>
      </c>
      <c r="C6081" s="32" t="s">
        <v>16688</v>
      </c>
      <c r="D6081" s="32" t="s">
        <v>16689</v>
      </c>
    </row>
    <row r="6082" spans="2:4" x14ac:dyDescent="0.3">
      <c r="B6082" s="33" t="s">
        <v>16690</v>
      </c>
      <c r="C6082" s="32" t="s">
        <v>16691</v>
      </c>
      <c r="D6082" s="32" t="s">
        <v>16692</v>
      </c>
    </row>
    <row r="6083" spans="2:4" x14ac:dyDescent="0.3">
      <c r="B6083" s="33" t="s">
        <v>16693</v>
      </c>
      <c r="C6083" s="32" t="s">
        <v>16694</v>
      </c>
      <c r="D6083" s="32" t="s">
        <v>16693</v>
      </c>
    </row>
    <row r="6084" spans="2:4" x14ac:dyDescent="0.3">
      <c r="B6084" s="33" t="s">
        <v>16695</v>
      </c>
      <c r="C6084" s="32" t="s">
        <v>16696</v>
      </c>
      <c r="D6084" s="32" t="s">
        <v>16697</v>
      </c>
    </row>
    <row r="6085" spans="2:4" x14ac:dyDescent="0.3">
      <c r="B6085" s="33" t="s">
        <v>16559</v>
      </c>
      <c r="C6085" s="32" t="s">
        <v>16698</v>
      </c>
      <c r="D6085" s="32" t="s">
        <v>16699</v>
      </c>
    </row>
    <row r="6086" spans="2:4" x14ac:dyDescent="0.3">
      <c r="B6086" s="33" t="s">
        <v>16700</v>
      </c>
      <c r="C6086" s="32" t="s">
        <v>16701</v>
      </c>
      <c r="D6086" s="32" t="s">
        <v>16700</v>
      </c>
    </row>
    <row r="6087" spans="2:4" x14ac:dyDescent="0.3">
      <c r="B6087" s="33" t="s">
        <v>16702</v>
      </c>
      <c r="C6087" s="32" t="s">
        <v>16703</v>
      </c>
      <c r="D6087" s="32" t="s">
        <v>16704</v>
      </c>
    </row>
    <row r="6088" spans="2:4" x14ac:dyDescent="0.3">
      <c r="B6088" s="33" t="s">
        <v>37228</v>
      </c>
      <c r="C6088" s="32" t="s">
        <v>37229</v>
      </c>
      <c r="D6088" s="32" t="s">
        <v>37230</v>
      </c>
    </row>
    <row r="6089" spans="2:4" x14ac:dyDescent="0.3">
      <c r="B6089" s="33" t="s">
        <v>16346</v>
      </c>
      <c r="C6089" s="32" t="s">
        <v>37231</v>
      </c>
      <c r="D6089" s="32" t="s">
        <v>37232</v>
      </c>
    </row>
    <row r="6090" spans="2:4" x14ac:dyDescent="0.3">
      <c r="B6090" s="33" t="s">
        <v>16255</v>
      </c>
      <c r="C6090" s="32" t="s">
        <v>37233</v>
      </c>
      <c r="D6090" s="32" t="s">
        <v>37234</v>
      </c>
    </row>
    <row r="6091" spans="2:4" x14ac:dyDescent="0.3">
      <c r="B6091" s="33" t="s">
        <v>37235</v>
      </c>
      <c r="C6091" s="32" t="s">
        <v>37236</v>
      </c>
      <c r="D6091" s="32" t="s">
        <v>37237</v>
      </c>
    </row>
    <row r="6092" spans="2:4" x14ac:dyDescent="0.3">
      <c r="B6092" s="33" t="s">
        <v>16705</v>
      </c>
      <c r="C6092" s="32" t="s">
        <v>16706</v>
      </c>
      <c r="D6092" s="32" t="s">
        <v>16707</v>
      </c>
    </row>
    <row r="6093" spans="2:4" x14ac:dyDescent="0.3">
      <c r="B6093" s="33" t="s">
        <v>16708</v>
      </c>
      <c r="C6093" s="32" t="s">
        <v>16709</v>
      </c>
      <c r="D6093" s="32" t="s">
        <v>16710</v>
      </c>
    </row>
    <row r="6094" spans="2:4" x14ac:dyDescent="0.3">
      <c r="B6094" s="33" t="s">
        <v>16711</v>
      </c>
      <c r="C6094" s="32" t="s">
        <v>16712</v>
      </c>
      <c r="D6094" s="32" t="s">
        <v>16713</v>
      </c>
    </row>
    <row r="6095" spans="2:4" x14ac:dyDescent="0.3">
      <c r="B6095" s="33" t="s">
        <v>16714</v>
      </c>
      <c r="C6095" s="32" t="s">
        <v>16715</v>
      </c>
      <c r="D6095" s="32" t="s">
        <v>16716</v>
      </c>
    </row>
    <row r="6096" spans="2:4" x14ac:dyDescent="0.3">
      <c r="B6096" s="33" t="s">
        <v>9619</v>
      </c>
      <c r="C6096" s="32" t="s">
        <v>16717</v>
      </c>
      <c r="D6096" s="32" t="s">
        <v>16718</v>
      </c>
    </row>
    <row r="6097" spans="2:4" x14ac:dyDescent="0.3">
      <c r="B6097" s="33" t="s">
        <v>16719</v>
      </c>
      <c r="C6097" s="32" t="s">
        <v>16720</v>
      </c>
      <c r="D6097" s="32" t="s">
        <v>16721</v>
      </c>
    </row>
    <row r="6098" spans="2:4" x14ac:dyDescent="0.3">
      <c r="B6098" s="33" t="s">
        <v>16722</v>
      </c>
      <c r="C6098" s="32" t="s">
        <v>16723</v>
      </c>
      <c r="D6098" s="32" t="s">
        <v>16724</v>
      </c>
    </row>
    <row r="6099" spans="2:4" x14ac:dyDescent="0.3">
      <c r="B6099" s="33" t="s">
        <v>16725</v>
      </c>
      <c r="C6099" s="32" t="s">
        <v>16726</v>
      </c>
      <c r="D6099" s="32" t="s">
        <v>16727</v>
      </c>
    </row>
    <row r="6100" spans="2:4" x14ac:dyDescent="0.3">
      <c r="B6100" s="33" t="s">
        <v>16728</v>
      </c>
      <c r="C6100" s="32" t="s">
        <v>16729</v>
      </c>
      <c r="D6100" s="32" t="s">
        <v>16730</v>
      </c>
    </row>
    <row r="6101" spans="2:4" x14ac:dyDescent="0.3">
      <c r="B6101" s="33" t="s">
        <v>16731</v>
      </c>
      <c r="C6101" s="32" t="s">
        <v>16732</v>
      </c>
      <c r="D6101" s="32" t="s">
        <v>16733</v>
      </c>
    </row>
    <row r="6102" spans="2:4" x14ac:dyDescent="0.3">
      <c r="B6102" s="33" t="s">
        <v>16734</v>
      </c>
      <c r="C6102" s="32" t="s">
        <v>16735</v>
      </c>
      <c r="D6102" s="32" t="s">
        <v>16736</v>
      </c>
    </row>
    <row r="6103" spans="2:4" x14ac:dyDescent="0.3">
      <c r="B6103" s="33" t="s">
        <v>16737</v>
      </c>
      <c r="C6103" s="32" t="s">
        <v>16738</v>
      </c>
      <c r="D6103" s="32" t="s">
        <v>16739</v>
      </c>
    </row>
    <row r="6104" spans="2:4" x14ac:dyDescent="0.3">
      <c r="B6104" s="33" t="s">
        <v>16740</v>
      </c>
      <c r="C6104" s="32" t="s">
        <v>16741</v>
      </c>
      <c r="D6104" s="32" t="s">
        <v>16742</v>
      </c>
    </row>
    <row r="6105" spans="2:4" x14ac:dyDescent="0.3">
      <c r="B6105" s="33" t="s">
        <v>16743</v>
      </c>
      <c r="C6105" s="32" t="s">
        <v>16744</v>
      </c>
      <c r="D6105" s="32" t="s">
        <v>16745</v>
      </c>
    </row>
    <row r="6106" spans="2:4" x14ac:dyDescent="0.3">
      <c r="B6106" s="33" t="s">
        <v>16746</v>
      </c>
      <c r="C6106" s="32" t="s">
        <v>16747</v>
      </c>
      <c r="D6106" s="32" t="s">
        <v>16748</v>
      </c>
    </row>
    <row r="6107" spans="2:4" x14ac:dyDescent="0.3">
      <c r="B6107" s="33" t="s">
        <v>16749</v>
      </c>
      <c r="C6107" s="32" t="s">
        <v>16750</v>
      </c>
      <c r="D6107" s="32" t="s">
        <v>16751</v>
      </c>
    </row>
    <row r="6108" spans="2:4" x14ac:dyDescent="0.3">
      <c r="B6108" s="33" t="s">
        <v>16752</v>
      </c>
      <c r="C6108" s="32" t="s">
        <v>16753</v>
      </c>
      <c r="D6108" s="32" t="s">
        <v>16754</v>
      </c>
    </row>
    <row r="6109" spans="2:4" x14ac:dyDescent="0.3">
      <c r="B6109" s="33" t="s">
        <v>16755</v>
      </c>
      <c r="C6109" s="32" t="s">
        <v>16756</v>
      </c>
      <c r="D6109" s="32" t="s">
        <v>16757</v>
      </c>
    </row>
    <row r="6110" spans="2:4" x14ac:dyDescent="0.3">
      <c r="B6110" s="33" t="s">
        <v>16758</v>
      </c>
      <c r="C6110" s="32" t="s">
        <v>16759</v>
      </c>
      <c r="D6110" s="32" t="s">
        <v>16760</v>
      </c>
    </row>
    <row r="6111" spans="2:4" x14ac:dyDescent="0.3">
      <c r="B6111" s="33" t="s">
        <v>16758</v>
      </c>
      <c r="C6111" s="32" t="s">
        <v>16761</v>
      </c>
      <c r="D6111" s="32" t="s">
        <v>16762</v>
      </c>
    </row>
    <row r="6112" spans="2:4" x14ac:dyDescent="0.3">
      <c r="B6112" s="33" t="s">
        <v>16763</v>
      </c>
      <c r="C6112" s="32" t="s">
        <v>16764</v>
      </c>
      <c r="D6112" s="32" t="s">
        <v>16765</v>
      </c>
    </row>
    <row r="6113" spans="2:4" x14ac:dyDescent="0.3">
      <c r="B6113" s="33" t="s">
        <v>16766</v>
      </c>
      <c r="C6113" s="32" t="s">
        <v>16767</v>
      </c>
      <c r="D6113" s="32" t="s">
        <v>16768</v>
      </c>
    </row>
    <row r="6114" spans="2:4" x14ac:dyDescent="0.3">
      <c r="B6114" s="33" t="s">
        <v>16769</v>
      </c>
      <c r="C6114" s="32" t="s">
        <v>16770</v>
      </c>
      <c r="D6114" s="32" t="s">
        <v>16771</v>
      </c>
    </row>
    <row r="6115" spans="2:4" x14ac:dyDescent="0.3">
      <c r="B6115" s="33" t="s">
        <v>16772</v>
      </c>
      <c r="C6115" s="32" t="s">
        <v>16773</v>
      </c>
      <c r="D6115" s="32" t="s">
        <v>16774</v>
      </c>
    </row>
    <row r="6116" spans="2:4" x14ac:dyDescent="0.3">
      <c r="B6116" s="33" t="s">
        <v>16775</v>
      </c>
      <c r="C6116" s="32" t="s">
        <v>16776</v>
      </c>
      <c r="D6116" s="32" t="s">
        <v>16777</v>
      </c>
    </row>
    <row r="6117" spans="2:4" x14ac:dyDescent="0.3">
      <c r="B6117" s="33" t="s">
        <v>16778</v>
      </c>
      <c r="C6117" s="32" t="s">
        <v>16779</v>
      </c>
      <c r="D6117" s="32" t="s">
        <v>16780</v>
      </c>
    </row>
    <row r="6118" spans="2:4" x14ac:dyDescent="0.3">
      <c r="B6118" s="33" t="s">
        <v>37025</v>
      </c>
      <c r="C6118" s="32" t="s">
        <v>37026</v>
      </c>
      <c r="D6118" s="32" t="s">
        <v>37027</v>
      </c>
    </row>
    <row r="6119" spans="2:4" x14ac:dyDescent="0.3">
      <c r="B6119" s="33" t="s">
        <v>16781</v>
      </c>
      <c r="C6119" s="32" t="s">
        <v>16782</v>
      </c>
      <c r="D6119" s="32" t="s">
        <v>16783</v>
      </c>
    </row>
    <row r="6120" spans="2:4" x14ac:dyDescent="0.3">
      <c r="B6120" s="33" t="s">
        <v>121</v>
      </c>
      <c r="C6120" s="32" t="s">
        <v>16784</v>
      </c>
      <c r="D6120" s="32" t="s">
        <v>122</v>
      </c>
    </row>
    <row r="6121" spans="2:4" x14ac:dyDescent="0.3">
      <c r="B6121" s="33" t="s">
        <v>16785</v>
      </c>
      <c r="C6121" s="32" t="s">
        <v>16786</v>
      </c>
      <c r="D6121" s="32" t="s">
        <v>16787</v>
      </c>
    </row>
    <row r="6122" spans="2:4" x14ac:dyDescent="0.3">
      <c r="B6122" s="33" t="s">
        <v>16788</v>
      </c>
      <c r="C6122" s="32" t="s">
        <v>16789</v>
      </c>
      <c r="D6122" s="32" t="s">
        <v>16790</v>
      </c>
    </row>
    <row r="6123" spans="2:4" x14ac:dyDescent="0.3">
      <c r="B6123" s="33" t="s">
        <v>16791</v>
      </c>
      <c r="C6123" s="32" t="s">
        <v>16792</v>
      </c>
      <c r="D6123" s="32" t="s">
        <v>16793</v>
      </c>
    </row>
    <row r="6124" spans="2:4" x14ac:dyDescent="0.3">
      <c r="B6124" s="33" t="s">
        <v>16794</v>
      </c>
      <c r="C6124" s="32" t="s">
        <v>16795</v>
      </c>
      <c r="D6124" s="32" t="s">
        <v>16796</v>
      </c>
    </row>
    <row r="6125" spans="2:4" x14ac:dyDescent="0.3">
      <c r="B6125" s="33" t="s">
        <v>16290</v>
      </c>
      <c r="C6125" s="32" t="s">
        <v>16797</v>
      </c>
      <c r="D6125" s="32" t="s">
        <v>16798</v>
      </c>
    </row>
    <row r="6126" spans="2:4" x14ac:dyDescent="0.3">
      <c r="B6126" s="33" t="s">
        <v>16799</v>
      </c>
      <c r="C6126" s="32" t="s">
        <v>16800</v>
      </c>
      <c r="D6126" s="32" t="s">
        <v>16801</v>
      </c>
    </row>
    <row r="6127" spans="2:4" x14ac:dyDescent="0.3">
      <c r="B6127" s="33" t="s">
        <v>16802</v>
      </c>
      <c r="C6127" s="32" t="s">
        <v>16803</v>
      </c>
      <c r="D6127" s="32" t="s">
        <v>16804</v>
      </c>
    </row>
    <row r="6128" spans="2:4" x14ac:dyDescent="0.3">
      <c r="B6128" s="33" t="s">
        <v>16805</v>
      </c>
      <c r="C6128" s="32" t="s">
        <v>16806</v>
      </c>
      <c r="D6128" s="32" t="s">
        <v>16807</v>
      </c>
    </row>
    <row r="6129" spans="2:4" x14ac:dyDescent="0.3">
      <c r="B6129" s="33" t="s">
        <v>16808</v>
      </c>
      <c r="C6129" s="32" t="s">
        <v>16809</v>
      </c>
      <c r="D6129" s="32" t="s">
        <v>16810</v>
      </c>
    </row>
    <row r="6130" spans="2:4" x14ac:dyDescent="0.3">
      <c r="B6130" s="33" t="s">
        <v>16811</v>
      </c>
      <c r="C6130" s="32" t="s">
        <v>16812</v>
      </c>
      <c r="D6130" s="32" t="s">
        <v>16813</v>
      </c>
    </row>
    <row r="6131" spans="2:4" x14ac:dyDescent="0.3">
      <c r="B6131" s="33" t="s">
        <v>16814</v>
      </c>
      <c r="C6131" s="32" t="s">
        <v>16815</v>
      </c>
      <c r="D6131" s="32" t="s">
        <v>16816</v>
      </c>
    </row>
    <row r="6132" spans="2:4" x14ac:dyDescent="0.3">
      <c r="B6132" s="33" t="s">
        <v>15061</v>
      </c>
      <c r="C6132" s="32" t="s">
        <v>16817</v>
      </c>
      <c r="D6132" s="32" t="s">
        <v>15061</v>
      </c>
    </row>
    <row r="6133" spans="2:4" x14ac:dyDescent="0.3">
      <c r="B6133" s="33" t="s">
        <v>16818</v>
      </c>
      <c r="C6133" s="32" t="s">
        <v>16819</v>
      </c>
      <c r="D6133" s="32" t="s">
        <v>16820</v>
      </c>
    </row>
    <row r="6134" spans="2:4" x14ac:dyDescent="0.3">
      <c r="B6134" s="33" t="s">
        <v>16821</v>
      </c>
      <c r="C6134" s="32" t="s">
        <v>16822</v>
      </c>
      <c r="D6134" s="32" t="s">
        <v>16823</v>
      </c>
    </row>
    <row r="6135" spans="2:4" x14ac:dyDescent="0.3">
      <c r="B6135" s="33" t="s">
        <v>16824</v>
      </c>
      <c r="C6135" s="32" t="s">
        <v>16825</v>
      </c>
      <c r="D6135" s="32" t="s">
        <v>16826</v>
      </c>
    </row>
    <row r="6136" spans="2:4" x14ac:dyDescent="0.3">
      <c r="B6136" s="33" t="s">
        <v>16827</v>
      </c>
      <c r="C6136" s="32" t="s">
        <v>16828</v>
      </c>
      <c r="D6136" s="32" t="s">
        <v>16829</v>
      </c>
    </row>
    <row r="6137" spans="2:4" x14ac:dyDescent="0.3">
      <c r="B6137" s="33" t="s">
        <v>16830</v>
      </c>
      <c r="C6137" s="32" t="s">
        <v>16831</v>
      </c>
      <c r="D6137" s="32" t="s">
        <v>16832</v>
      </c>
    </row>
    <row r="6138" spans="2:4" x14ac:dyDescent="0.3">
      <c r="B6138" s="33" t="s">
        <v>16833</v>
      </c>
      <c r="C6138" s="32" t="s">
        <v>16834</v>
      </c>
      <c r="D6138" s="32" t="s">
        <v>16835</v>
      </c>
    </row>
    <row r="6139" spans="2:4" x14ac:dyDescent="0.3">
      <c r="B6139" s="33" t="s">
        <v>16836</v>
      </c>
      <c r="C6139" s="32" t="s">
        <v>16837</v>
      </c>
      <c r="D6139" s="32" t="s">
        <v>16838</v>
      </c>
    </row>
    <row r="6140" spans="2:4" x14ac:dyDescent="0.3">
      <c r="B6140" s="33" t="s">
        <v>16839</v>
      </c>
      <c r="C6140" s="32" t="s">
        <v>16840</v>
      </c>
      <c r="D6140" s="32" t="s">
        <v>16841</v>
      </c>
    </row>
    <row r="6141" spans="2:4" x14ac:dyDescent="0.3">
      <c r="B6141" s="33" t="s">
        <v>16842</v>
      </c>
      <c r="C6141" s="32" t="s">
        <v>16843</v>
      </c>
      <c r="D6141" s="32" t="s">
        <v>16844</v>
      </c>
    </row>
    <row r="6142" spans="2:4" x14ac:dyDescent="0.3">
      <c r="B6142" s="33" t="s">
        <v>16845</v>
      </c>
      <c r="C6142" s="32" t="s">
        <v>16846</v>
      </c>
      <c r="D6142" s="32" t="s">
        <v>16847</v>
      </c>
    </row>
    <row r="6143" spans="2:4" x14ac:dyDescent="0.3">
      <c r="B6143" s="33" t="s">
        <v>16482</v>
      </c>
      <c r="C6143" s="32" t="s">
        <v>16848</v>
      </c>
      <c r="D6143" s="32" t="s">
        <v>16849</v>
      </c>
    </row>
    <row r="6144" spans="2:4" x14ac:dyDescent="0.3">
      <c r="B6144" s="33" t="s">
        <v>16850</v>
      </c>
      <c r="C6144" s="32" t="s">
        <v>16851</v>
      </c>
      <c r="D6144" s="32" t="s">
        <v>16852</v>
      </c>
    </row>
    <row r="6145" spans="2:4" x14ac:dyDescent="0.3">
      <c r="B6145" s="33" t="s">
        <v>16853</v>
      </c>
      <c r="C6145" s="32" t="s">
        <v>16854</v>
      </c>
      <c r="D6145" s="32" t="s">
        <v>16855</v>
      </c>
    </row>
    <row r="6146" spans="2:4" x14ac:dyDescent="0.3">
      <c r="B6146" s="33" t="s">
        <v>16856</v>
      </c>
      <c r="C6146" s="32" t="s">
        <v>16857</v>
      </c>
      <c r="D6146" s="32" t="s">
        <v>16856</v>
      </c>
    </row>
    <row r="6147" spans="2:4" x14ac:dyDescent="0.3">
      <c r="B6147" s="33" t="s">
        <v>16858</v>
      </c>
      <c r="C6147" s="32" t="s">
        <v>16859</v>
      </c>
      <c r="D6147" s="32" t="s">
        <v>16860</v>
      </c>
    </row>
    <row r="6148" spans="2:4" x14ac:dyDescent="0.3">
      <c r="B6148" s="33" t="s">
        <v>16861</v>
      </c>
      <c r="C6148" s="32" t="s">
        <v>16862</v>
      </c>
      <c r="D6148" s="32" t="s">
        <v>16863</v>
      </c>
    </row>
    <row r="6149" spans="2:4" x14ac:dyDescent="0.3">
      <c r="B6149" s="33" t="s">
        <v>16864</v>
      </c>
      <c r="C6149" s="32" t="s">
        <v>16865</v>
      </c>
      <c r="D6149" s="32" t="s">
        <v>16866</v>
      </c>
    </row>
    <row r="6150" spans="2:4" x14ac:dyDescent="0.3">
      <c r="B6150" s="33" t="s">
        <v>16867</v>
      </c>
      <c r="C6150" s="32" t="s">
        <v>16868</v>
      </c>
      <c r="D6150" s="32" t="s">
        <v>16869</v>
      </c>
    </row>
    <row r="6151" spans="2:4" x14ac:dyDescent="0.3">
      <c r="B6151" s="33" t="s">
        <v>16870</v>
      </c>
      <c r="C6151" s="32" t="s">
        <v>16871</v>
      </c>
      <c r="D6151" s="32" t="s">
        <v>16872</v>
      </c>
    </row>
    <row r="6152" spans="2:4" x14ac:dyDescent="0.3">
      <c r="B6152" s="33" t="s">
        <v>16873</v>
      </c>
      <c r="C6152" s="32" t="s">
        <v>16874</v>
      </c>
      <c r="D6152" s="32" t="s">
        <v>16875</v>
      </c>
    </row>
    <row r="6153" spans="2:4" x14ac:dyDescent="0.3">
      <c r="B6153" s="33" t="s">
        <v>16876</v>
      </c>
      <c r="C6153" s="32" t="s">
        <v>16877</v>
      </c>
      <c r="D6153" s="32" t="s">
        <v>16876</v>
      </c>
    </row>
    <row r="6154" spans="2:4" x14ac:dyDescent="0.3">
      <c r="B6154" s="33" t="s">
        <v>16878</v>
      </c>
      <c r="C6154" s="32" t="s">
        <v>16879</v>
      </c>
      <c r="D6154" s="32" t="s">
        <v>16880</v>
      </c>
    </row>
    <row r="6155" spans="2:4" x14ac:dyDescent="0.3">
      <c r="B6155" s="33" t="s">
        <v>16881</v>
      </c>
      <c r="C6155" s="32" t="s">
        <v>16882</v>
      </c>
      <c r="D6155" s="32" t="s">
        <v>16883</v>
      </c>
    </row>
    <row r="6156" spans="2:4" x14ac:dyDescent="0.3">
      <c r="B6156" s="33" t="s">
        <v>16878</v>
      </c>
      <c r="C6156" s="32" t="s">
        <v>16884</v>
      </c>
      <c r="D6156" s="32" t="s">
        <v>16885</v>
      </c>
    </row>
    <row r="6157" spans="2:4" x14ac:dyDescent="0.3">
      <c r="B6157" s="33" t="s">
        <v>16886</v>
      </c>
      <c r="C6157" s="32" t="s">
        <v>16887</v>
      </c>
      <c r="D6157" s="32" t="s">
        <v>16886</v>
      </c>
    </row>
    <row r="6158" spans="2:4" x14ac:dyDescent="0.3">
      <c r="B6158" s="33" t="s">
        <v>16888</v>
      </c>
      <c r="C6158" s="32" t="s">
        <v>16889</v>
      </c>
      <c r="D6158" s="32" t="s">
        <v>16890</v>
      </c>
    </row>
    <row r="6159" spans="2:4" x14ac:dyDescent="0.3">
      <c r="B6159" s="33" t="s">
        <v>16891</v>
      </c>
      <c r="C6159" s="32" t="s">
        <v>16892</v>
      </c>
      <c r="D6159" s="32" t="s">
        <v>16893</v>
      </c>
    </row>
    <row r="6160" spans="2:4" x14ac:dyDescent="0.3">
      <c r="B6160" s="33" t="s">
        <v>16894</v>
      </c>
      <c r="C6160" s="32" t="s">
        <v>16895</v>
      </c>
      <c r="D6160" s="32" t="s">
        <v>16896</v>
      </c>
    </row>
    <row r="6161" spans="2:4" x14ac:dyDescent="0.3">
      <c r="B6161" s="33" t="s">
        <v>16897</v>
      </c>
      <c r="C6161" s="32" t="s">
        <v>16898</v>
      </c>
      <c r="D6161" s="32" t="s">
        <v>16899</v>
      </c>
    </row>
    <row r="6162" spans="2:4" x14ac:dyDescent="0.3">
      <c r="B6162" s="33" t="s">
        <v>16900</v>
      </c>
      <c r="C6162" s="32" t="s">
        <v>16901</v>
      </c>
      <c r="D6162" s="32" t="s">
        <v>16902</v>
      </c>
    </row>
    <row r="6163" spans="2:4" x14ac:dyDescent="0.3">
      <c r="B6163" s="33" t="s">
        <v>16903</v>
      </c>
      <c r="C6163" s="32" t="s">
        <v>16904</v>
      </c>
      <c r="D6163" s="32" t="s">
        <v>16905</v>
      </c>
    </row>
    <row r="6164" spans="2:4" x14ac:dyDescent="0.3">
      <c r="B6164" s="33" t="s">
        <v>16906</v>
      </c>
      <c r="C6164" s="32" t="s">
        <v>16907</v>
      </c>
      <c r="D6164" s="32" t="s">
        <v>16908</v>
      </c>
    </row>
    <row r="6165" spans="2:4" x14ac:dyDescent="0.3">
      <c r="B6165" s="33" t="s">
        <v>16909</v>
      </c>
      <c r="C6165" s="32" t="s">
        <v>16910</v>
      </c>
      <c r="D6165" s="32" t="s">
        <v>16911</v>
      </c>
    </row>
    <row r="6166" spans="2:4" x14ac:dyDescent="0.3">
      <c r="B6166" s="33" t="s">
        <v>16912</v>
      </c>
      <c r="C6166" s="32" t="s">
        <v>16913</v>
      </c>
      <c r="D6166" s="32" t="s">
        <v>16914</v>
      </c>
    </row>
    <row r="6167" spans="2:4" x14ac:dyDescent="0.3">
      <c r="B6167" s="33" t="s">
        <v>16915</v>
      </c>
      <c r="C6167" s="32" t="s">
        <v>16916</v>
      </c>
      <c r="D6167" s="32" t="s">
        <v>16917</v>
      </c>
    </row>
    <row r="6168" spans="2:4" x14ac:dyDescent="0.3">
      <c r="B6168" s="33" t="s">
        <v>16918</v>
      </c>
      <c r="C6168" s="32" t="s">
        <v>16919</v>
      </c>
      <c r="D6168" s="32" t="s">
        <v>16920</v>
      </c>
    </row>
    <row r="6169" spans="2:4" x14ac:dyDescent="0.3">
      <c r="B6169" s="33" t="s">
        <v>16921</v>
      </c>
      <c r="C6169" s="32" t="s">
        <v>16922</v>
      </c>
      <c r="D6169" s="32" t="s">
        <v>16923</v>
      </c>
    </row>
    <row r="6170" spans="2:4" x14ac:dyDescent="0.3">
      <c r="B6170" s="33" t="s">
        <v>16924</v>
      </c>
      <c r="C6170" s="32" t="s">
        <v>16925</v>
      </c>
      <c r="D6170" s="32" t="s">
        <v>16926</v>
      </c>
    </row>
    <row r="6171" spans="2:4" x14ac:dyDescent="0.3">
      <c r="B6171" s="33" t="s">
        <v>16927</v>
      </c>
      <c r="C6171" s="32" t="s">
        <v>16928</v>
      </c>
      <c r="D6171" s="32" t="s">
        <v>16929</v>
      </c>
    </row>
    <row r="6172" spans="2:4" x14ac:dyDescent="0.3">
      <c r="B6172" s="33" t="s">
        <v>16930</v>
      </c>
      <c r="C6172" s="32" t="s">
        <v>16931</v>
      </c>
      <c r="D6172" s="32" t="s">
        <v>16932</v>
      </c>
    </row>
    <row r="6173" spans="2:4" x14ac:dyDescent="0.3">
      <c r="B6173" s="33" t="s">
        <v>16933</v>
      </c>
      <c r="C6173" s="32" t="s">
        <v>16934</v>
      </c>
      <c r="D6173" s="32" t="s">
        <v>16935</v>
      </c>
    </row>
    <row r="6174" spans="2:4" x14ac:dyDescent="0.3">
      <c r="B6174" s="33" t="s">
        <v>16936</v>
      </c>
      <c r="C6174" s="32" t="s">
        <v>16937</v>
      </c>
      <c r="D6174" s="32" t="s">
        <v>16938</v>
      </c>
    </row>
    <row r="6175" spans="2:4" x14ac:dyDescent="0.3">
      <c r="B6175" s="33" t="s">
        <v>37238</v>
      </c>
      <c r="C6175" s="32" t="s">
        <v>37239</v>
      </c>
      <c r="D6175" s="32" t="s">
        <v>37240</v>
      </c>
    </row>
    <row r="6176" spans="2:4" x14ac:dyDescent="0.3">
      <c r="B6176" s="33" t="s">
        <v>16690</v>
      </c>
      <c r="C6176" s="32" t="s">
        <v>16939</v>
      </c>
      <c r="D6176" s="32" t="s">
        <v>16940</v>
      </c>
    </row>
    <row r="6177" spans="2:4" x14ac:dyDescent="0.3">
      <c r="B6177" s="33" t="s">
        <v>12154</v>
      </c>
      <c r="C6177" s="32" t="s">
        <v>16941</v>
      </c>
      <c r="D6177" s="32" t="s">
        <v>16942</v>
      </c>
    </row>
    <row r="6178" spans="2:4" x14ac:dyDescent="0.3">
      <c r="B6178" s="33" t="s">
        <v>16943</v>
      </c>
      <c r="C6178" s="32" t="s">
        <v>16944</v>
      </c>
      <c r="D6178" s="32" t="s">
        <v>16945</v>
      </c>
    </row>
    <row r="6179" spans="2:4" x14ac:dyDescent="0.3">
      <c r="B6179" s="33" t="s">
        <v>16946</v>
      </c>
      <c r="C6179" s="32" t="s">
        <v>16947</v>
      </c>
      <c r="D6179" s="32" t="s">
        <v>16948</v>
      </c>
    </row>
    <row r="6180" spans="2:4" x14ac:dyDescent="0.3">
      <c r="B6180" s="33" t="s">
        <v>16949</v>
      </c>
      <c r="C6180" s="32" t="s">
        <v>16950</v>
      </c>
      <c r="D6180" s="32" t="s">
        <v>16951</v>
      </c>
    </row>
    <row r="6181" spans="2:4" x14ac:dyDescent="0.3">
      <c r="B6181" s="33" t="s">
        <v>16952</v>
      </c>
      <c r="C6181" s="32" t="s">
        <v>16953</v>
      </c>
      <c r="D6181" s="32" t="s">
        <v>16954</v>
      </c>
    </row>
    <row r="6182" spans="2:4" x14ac:dyDescent="0.3">
      <c r="B6182" s="33" t="s">
        <v>16955</v>
      </c>
      <c r="C6182" s="32" t="s">
        <v>16956</v>
      </c>
      <c r="D6182" s="32" t="s">
        <v>16957</v>
      </c>
    </row>
    <row r="6183" spans="2:4" x14ac:dyDescent="0.3">
      <c r="B6183" s="33" t="s">
        <v>16958</v>
      </c>
      <c r="C6183" s="32" t="s">
        <v>16959</v>
      </c>
      <c r="D6183" s="32" t="s">
        <v>16960</v>
      </c>
    </row>
    <row r="6184" spans="2:4" x14ac:dyDescent="0.3">
      <c r="B6184" s="33" t="s">
        <v>16961</v>
      </c>
      <c r="C6184" s="32" t="s">
        <v>16962</v>
      </c>
      <c r="D6184" s="32" t="s">
        <v>16963</v>
      </c>
    </row>
    <row r="6185" spans="2:4" x14ac:dyDescent="0.3">
      <c r="B6185" s="33" t="s">
        <v>16964</v>
      </c>
      <c r="C6185" s="32" t="s">
        <v>16965</v>
      </c>
      <c r="D6185" s="32" t="s">
        <v>16966</v>
      </c>
    </row>
    <row r="6186" spans="2:4" x14ac:dyDescent="0.3">
      <c r="B6186" s="33" t="s">
        <v>16964</v>
      </c>
      <c r="C6186" s="32" t="s">
        <v>16967</v>
      </c>
      <c r="D6186" s="32" t="s">
        <v>16968</v>
      </c>
    </row>
    <row r="6187" spans="2:4" x14ac:dyDescent="0.3">
      <c r="B6187" s="33" t="s">
        <v>16969</v>
      </c>
      <c r="C6187" s="32" t="s">
        <v>16970</v>
      </c>
      <c r="D6187" s="32" t="s">
        <v>16971</v>
      </c>
    </row>
    <row r="6188" spans="2:4" x14ac:dyDescent="0.3">
      <c r="B6188" s="33" t="s">
        <v>16972</v>
      </c>
      <c r="C6188" s="32" t="s">
        <v>16973</v>
      </c>
      <c r="D6188" s="32" t="s">
        <v>16974</v>
      </c>
    </row>
    <row r="6189" spans="2:4" x14ac:dyDescent="0.3">
      <c r="B6189" s="33" t="s">
        <v>16975</v>
      </c>
      <c r="C6189" s="32" t="s">
        <v>16976</v>
      </c>
      <c r="D6189" s="32" t="s">
        <v>16977</v>
      </c>
    </row>
    <row r="6190" spans="2:4" x14ac:dyDescent="0.3">
      <c r="B6190" s="33" t="s">
        <v>9358</v>
      </c>
      <c r="C6190" s="32" t="s">
        <v>16978</v>
      </c>
      <c r="D6190" s="32" t="s">
        <v>16979</v>
      </c>
    </row>
    <row r="6191" spans="2:4" x14ac:dyDescent="0.3">
      <c r="B6191" s="33" t="s">
        <v>16975</v>
      </c>
      <c r="C6191" s="32" t="s">
        <v>16980</v>
      </c>
      <c r="D6191" s="32" t="s">
        <v>16981</v>
      </c>
    </row>
    <row r="6192" spans="2:4" x14ac:dyDescent="0.3">
      <c r="B6192" s="33" t="s">
        <v>16982</v>
      </c>
      <c r="C6192" s="32" t="s">
        <v>16983</v>
      </c>
      <c r="D6192" s="32" t="s">
        <v>16984</v>
      </c>
    </row>
    <row r="6193" spans="2:4" x14ac:dyDescent="0.3">
      <c r="B6193" s="33" t="s">
        <v>16985</v>
      </c>
      <c r="C6193" s="32" t="s">
        <v>16986</v>
      </c>
      <c r="D6193" s="32" t="s">
        <v>16987</v>
      </c>
    </row>
    <row r="6194" spans="2:4" x14ac:dyDescent="0.3">
      <c r="B6194" s="33" t="s">
        <v>16988</v>
      </c>
      <c r="C6194" s="32" t="s">
        <v>16989</v>
      </c>
      <c r="D6194" s="32" t="s">
        <v>16990</v>
      </c>
    </row>
    <row r="6195" spans="2:4" x14ac:dyDescent="0.3">
      <c r="B6195" s="33" t="s">
        <v>16991</v>
      </c>
      <c r="C6195" s="32" t="s">
        <v>16992</v>
      </c>
      <c r="D6195" s="32" t="s">
        <v>16993</v>
      </c>
    </row>
    <row r="6196" spans="2:4" x14ac:dyDescent="0.3">
      <c r="B6196" s="33" t="s">
        <v>16994</v>
      </c>
      <c r="C6196" s="32" t="s">
        <v>16995</v>
      </c>
      <c r="D6196" s="32" t="s">
        <v>16996</v>
      </c>
    </row>
    <row r="6197" spans="2:4" x14ac:dyDescent="0.3">
      <c r="B6197" s="33" t="s">
        <v>16997</v>
      </c>
      <c r="C6197" s="32" t="s">
        <v>16998</v>
      </c>
      <c r="D6197" s="32" t="s">
        <v>16999</v>
      </c>
    </row>
    <row r="6198" spans="2:4" x14ac:dyDescent="0.3">
      <c r="B6198" s="33" t="s">
        <v>17000</v>
      </c>
      <c r="C6198" s="32" t="s">
        <v>17001</v>
      </c>
      <c r="D6198" s="32" t="s">
        <v>17002</v>
      </c>
    </row>
    <row r="6199" spans="2:4" x14ac:dyDescent="0.3">
      <c r="B6199" s="33" t="s">
        <v>17003</v>
      </c>
      <c r="C6199" s="32" t="s">
        <v>17004</v>
      </c>
      <c r="D6199" s="32" t="s">
        <v>17005</v>
      </c>
    </row>
    <row r="6200" spans="2:4" x14ac:dyDescent="0.3">
      <c r="B6200" s="33" t="s">
        <v>17006</v>
      </c>
      <c r="C6200" s="32" t="s">
        <v>17007</v>
      </c>
      <c r="D6200" s="32" t="s">
        <v>17008</v>
      </c>
    </row>
    <row r="6201" spans="2:4" x14ac:dyDescent="0.3">
      <c r="B6201" s="33" t="s">
        <v>17009</v>
      </c>
      <c r="C6201" s="32" t="s">
        <v>17010</v>
      </c>
      <c r="D6201" s="32" t="s">
        <v>17011</v>
      </c>
    </row>
    <row r="6202" spans="2:4" x14ac:dyDescent="0.3">
      <c r="B6202" s="33" t="s">
        <v>17012</v>
      </c>
      <c r="C6202" s="32" t="s">
        <v>17013</v>
      </c>
      <c r="D6202" s="32" t="s">
        <v>17014</v>
      </c>
    </row>
    <row r="6203" spans="2:4" x14ac:dyDescent="0.3">
      <c r="B6203" s="33" t="s">
        <v>17015</v>
      </c>
      <c r="C6203" s="32" t="s">
        <v>17016</v>
      </c>
      <c r="D6203" s="32" t="s">
        <v>17017</v>
      </c>
    </row>
    <row r="6204" spans="2:4" x14ac:dyDescent="0.3">
      <c r="B6204" s="33" t="s">
        <v>17018</v>
      </c>
      <c r="C6204" s="32" t="s">
        <v>17019</v>
      </c>
      <c r="D6204" s="32" t="s">
        <v>17020</v>
      </c>
    </row>
    <row r="6205" spans="2:4" x14ac:dyDescent="0.3">
      <c r="B6205" s="33" t="s">
        <v>17021</v>
      </c>
      <c r="C6205" s="32" t="s">
        <v>17022</v>
      </c>
      <c r="D6205" s="32" t="s">
        <v>17023</v>
      </c>
    </row>
    <row r="6206" spans="2:4" x14ac:dyDescent="0.3">
      <c r="B6206" s="33" t="s">
        <v>17024</v>
      </c>
      <c r="C6206" s="32" t="s">
        <v>17025</v>
      </c>
      <c r="D6206" s="32" t="s">
        <v>17026</v>
      </c>
    </row>
    <row r="6207" spans="2:4" x14ac:dyDescent="0.3">
      <c r="B6207" s="33" t="s">
        <v>17027</v>
      </c>
      <c r="C6207" s="32" t="s">
        <v>17028</v>
      </c>
      <c r="D6207" s="32" t="s">
        <v>17029</v>
      </c>
    </row>
    <row r="6208" spans="2:4" x14ac:dyDescent="0.3">
      <c r="B6208" s="33" t="s">
        <v>16891</v>
      </c>
      <c r="C6208" s="32" t="s">
        <v>17030</v>
      </c>
      <c r="D6208" s="32" t="s">
        <v>16891</v>
      </c>
    </row>
    <row r="6209" spans="2:4" x14ac:dyDescent="0.3">
      <c r="B6209" s="33" t="s">
        <v>17031</v>
      </c>
      <c r="C6209" s="32" t="s">
        <v>17032</v>
      </c>
      <c r="D6209" s="32" t="s">
        <v>17031</v>
      </c>
    </row>
    <row r="6210" spans="2:4" x14ac:dyDescent="0.3">
      <c r="B6210" s="33" t="s">
        <v>17033</v>
      </c>
      <c r="C6210" s="32" t="s">
        <v>17034</v>
      </c>
      <c r="D6210" s="32" t="s">
        <v>17035</v>
      </c>
    </row>
    <row r="6211" spans="2:4" x14ac:dyDescent="0.3">
      <c r="B6211" s="33" t="s">
        <v>17036</v>
      </c>
      <c r="C6211" s="32" t="s">
        <v>17037</v>
      </c>
      <c r="D6211" s="32" t="s">
        <v>17038</v>
      </c>
    </row>
    <row r="6212" spans="2:4" x14ac:dyDescent="0.3">
      <c r="B6212" s="33" t="s">
        <v>17039</v>
      </c>
      <c r="C6212" s="32" t="s">
        <v>17040</v>
      </c>
      <c r="D6212" s="32" t="s">
        <v>17041</v>
      </c>
    </row>
    <row r="6213" spans="2:4" x14ac:dyDescent="0.3">
      <c r="B6213" s="33" t="s">
        <v>17042</v>
      </c>
      <c r="C6213" s="32" t="s">
        <v>17043</v>
      </c>
      <c r="D6213" s="32" t="s">
        <v>17044</v>
      </c>
    </row>
    <row r="6214" spans="2:4" x14ac:dyDescent="0.3">
      <c r="B6214" s="33" t="s">
        <v>17045</v>
      </c>
      <c r="C6214" s="32" t="s">
        <v>17046</v>
      </c>
      <c r="D6214" s="32" t="s">
        <v>17047</v>
      </c>
    </row>
    <row r="6215" spans="2:4" x14ac:dyDescent="0.3">
      <c r="B6215" s="33" t="s">
        <v>17048</v>
      </c>
      <c r="C6215" s="32" t="s">
        <v>17049</v>
      </c>
      <c r="D6215" s="32" t="s">
        <v>17050</v>
      </c>
    </row>
    <row r="6216" spans="2:4" x14ac:dyDescent="0.3">
      <c r="B6216" s="33" t="s">
        <v>17051</v>
      </c>
      <c r="C6216" s="32" t="s">
        <v>17052</v>
      </c>
      <c r="D6216" s="32" t="s">
        <v>17053</v>
      </c>
    </row>
    <row r="6217" spans="2:4" x14ac:dyDescent="0.3">
      <c r="B6217" s="33" t="s">
        <v>17054</v>
      </c>
      <c r="C6217" s="32" t="s">
        <v>17055</v>
      </c>
      <c r="D6217" s="32" t="s">
        <v>17056</v>
      </c>
    </row>
    <row r="6218" spans="2:4" x14ac:dyDescent="0.3">
      <c r="B6218" s="33" t="s">
        <v>17057</v>
      </c>
      <c r="C6218" s="32" t="s">
        <v>17058</v>
      </c>
      <c r="D6218" s="32" t="s">
        <v>17059</v>
      </c>
    </row>
    <row r="6219" spans="2:4" x14ac:dyDescent="0.3">
      <c r="B6219" s="33" t="s">
        <v>17060</v>
      </c>
      <c r="C6219" s="32" t="s">
        <v>17061</v>
      </c>
      <c r="D6219" s="32" t="s">
        <v>17062</v>
      </c>
    </row>
    <row r="6220" spans="2:4" x14ac:dyDescent="0.3">
      <c r="B6220" s="33" t="s">
        <v>17063</v>
      </c>
      <c r="C6220" s="32" t="s">
        <v>17064</v>
      </c>
      <c r="D6220" s="32" t="s">
        <v>17065</v>
      </c>
    </row>
    <row r="6221" spans="2:4" x14ac:dyDescent="0.3">
      <c r="B6221" s="33" t="s">
        <v>17066</v>
      </c>
      <c r="C6221" s="32" t="s">
        <v>17067</v>
      </c>
      <c r="D6221" s="32" t="s">
        <v>17068</v>
      </c>
    </row>
    <row r="6222" spans="2:4" x14ac:dyDescent="0.3">
      <c r="B6222" s="33" t="s">
        <v>17069</v>
      </c>
      <c r="C6222" s="32" t="s">
        <v>17070</v>
      </c>
      <c r="D6222" s="32" t="s">
        <v>17071</v>
      </c>
    </row>
    <row r="6223" spans="2:4" x14ac:dyDescent="0.3">
      <c r="B6223" s="33" t="s">
        <v>17072</v>
      </c>
      <c r="C6223" s="32" t="s">
        <v>17073</v>
      </c>
      <c r="D6223" s="32" t="s">
        <v>17074</v>
      </c>
    </row>
    <row r="6224" spans="2:4" x14ac:dyDescent="0.3">
      <c r="B6224" s="33" t="s">
        <v>17075</v>
      </c>
      <c r="C6224" s="32" t="s">
        <v>17076</v>
      </c>
      <c r="D6224" s="32" t="s">
        <v>17075</v>
      </c>
    </row>
    <row r="6225" spans="2:4" x14ac:dyDescent="0.3">
      <c r="B6225" s="33" t="s">
        <v>17077</v>
      </c>
      <c r="C6225" s="32" t="s">
        <v>17078</v>
      </c>
      <c r="D6225" s="32" t="s">
        <v>17079</v>
      </c>
    </row>
    <row r="6226" spans="2:4" x14ac:dyDescent="0.3">
      <c r="B6226" s="33" t="s">
        <v>16737</v>
      </c>
      <c r="C6226" s="32" t="s">
        <v>17080</v>
      </c>
      <c r="D6226" s="32" t="s">
        <v>17081</v>
      </c>
    </row>
    <row r="6227" spans="2:4" x14ac:dyDescent="0.3">
      <c r="B6227" s="33" t="s">
        <v>17082</v>
      </c>
      <c r="C6227" s="32" t="s">
        <v>17083</v>
      </c>
      <c r="D6227" s="32" t="s">
        <v>17084</v>
      </c>
    </row>
    <row r="6228" spans="2:4" x14ac:dyDescent="0.3">
      <c r="B6228" s="33" t="s">
        <v>17085</v>
      </c>
      <c r="C6228" s="32" t="s">
        <v>17086</v>
      </c>
      <c r="D6228" s="32" t="s">
        <v>17085</v>
      </c>
    </row>
    <row r="6229" spans="2:4" x14ac:dyDescent="0.3">
      <c r="B6229" s="33" t="s">
        <v>17087</v>
      </c>
      <c r="C6229" s="32" t="s">
        <v>17088</v>
      </c>
      <c r="D6229" s="32" t="s">
        <v>17089</v>
      </c>
    </row>
    <row r="6230" spans="2:4" x14ac:dyDescent="0.3">
      <c r="B6230" s="33" t="s">
        <v>17090</v>
      </c>
      <c r="C6230" s="32" t="s">
        <v>17091</v>
      </c>
      <c r="D6230" s="32" t="s">
        <v>17092</v>
      </c>
    </row>
    <row r="6231" spans="2:4" x14ac:dyDescent="0.3">
      <c r="B6231" s="33" t="s">
        <v>17093</v>
      </c>
      <c r="C6231" s="32" t="s">
        <v>17094</v>
      </c>
      <c r="D6231" s="32" t="s">
        <v>17095</v>
      </c>
    </row>
    <row r="6232" spans="2:4" x14ac:dyDescent="0.3">
      <c r="B6232" s="33" t="s">
        <v>17096</v>
      </c>
      <c r="C6232" s="32" t="s">
        <v>17097</v>
      </c>
      <c r="D6232" s="32" t="s">
        <v>17098</v>
      </c>
    </row>
    <row r="6233" spans="2:4" x14ac:dyDescent="0.3">
      <c r="B6233" s="33" t="s">
        <v>17099</v>
      </c>
      <c r="C6233" s="32" t="s">
        <v>17100</v>
      </c>
      <c r="D6233" s="32" t="s">
        <v>17101</v>
      </c>
    </row>
    <row r="6234" spans="2:4" x14ac:dyDescent="0.3">
      <c r="B6234" s="33" t="s">
        <v>17102</v>
      </c>
      <c r="C6234" s="32" t="s">
        <v>17103</v>
      </c>
      <c r="D6234" s="32" t="s">
        <v>17104</v>
      </c>
    </row>
    <row r="6235" spans="2:4" x14ac:dyDescent="0.3">
      <c r="B6235" s="33" t="s">
        <v>17105</v>
      </c>
      <c r="C6235" s="32" t="s">
        <v>17106</v>
      </c>
      <c r="D6235" s="32" t="s">
        <v>17107</v>
      </c>
    </row>
    <row r="6236" spans="2:4" x14ac:dyDescent="0.3">
      <c r="B6236" s="33" t="s">
        <v>17108</v>
      </c>
      <c r="C6236" s="32" t="s">
        <v>17109</v>
      </c>
      <c r="D6236" s="32" t="s">
        <v>17108</v>
      </c>
    </row>
    <row r="6237" spans="2:4" x14ac:dyDescent="0.3">
      <c r="B6237" s="33" t="s">
        <v>17110</v>
      </c>
      <c r="C6237" s="32" t="s">
        <v>17111</v>
      </c>
      <c r="D6237" s="32" t="s">
        <v>17112</v>
      </c>
    </row>
    <row r="6238" spans="2:4" x14ac:dyDescent="0.3">
      <c r="B6238" s="33" t="s">
        <v>17110</v>
      </c>
      <c r="C6238" s="32" t="s">
        <v>17113</v>
      </c>
      <c r="D6238" s="32" t="s">
        <v>17114</v>
      </c>
    </row>
    <row r="6239" spans="2:4" x14ac:dyDescent="0.3">
      <c r="B6239" s="33" t="s">
        <v>17115</v>
      </c>
      <c r="C6239" s="32" t="s">
        <v>17116</v>
      </c>
      <c r="D6239" s="32" t="s">
        <v>17117</v>
      </c>
    </row>
    <row r="6240" spans="2:4" x14ac:dyDescent="0.3">
      <c r="B6240" s="33" t="s">
        <v>17118</v>
      </c>
      <c r="C6240" s="32" t="s">
        <v>17119</v>
      </c>
      <c r="D6240" s="32" t="s">
        <v>17120</v>
      </c>
    </row>
    <row r="6241" spans="2:4" x14ac:dyDescent="0.3">
      <c r="B6241" s="33" t="s">
        <v>17121</v>
      </c>
      <c r="C6241" s="32" t="s">
        <v>17122</v>
      </c>
      <c r="D6241" s="32" t="s">
        <v>17123</v>
      </c>
    </row>
    <row r="6242" spans="2:4" x14ac:dyDescent="0.3">
      <c r="B6242" s="33" t="s">
        <v>17124</v>
      </c>
      <c r="C6242" s="32" t="s">
        <v>17125</v>
      </c>
      <c r="D6242" s="32" t="s">
        <v>17126</v>
      </c>
    </row>
    <row r="6243" spans="2:4" x14ac:dyDescent="0.3">
      <c r="B6243" s="33" t="s">
        <v>17127</v>
      </c>
      <c r="C6243" s="32" t="s">
        <v>17128</v>
      </c>
      <c r="D6243" s="32" t="s">
        <v>37241</v>
      </c>
    </row>
    <row r="6244" spans="2:4" x14ac:dyDescent="0.3">
      <c r="B6244" s="33" t="s">
        <v>17129</v>
      </c>
      <c r="C6244" s="32" t="s">
        <v>17130</v>
      </c>
      <c r="D6244" s="32" t="s">
        <v>17131</v>
      </c>
    </row>
    <row r="6245" spans="2:4" x14ac:dyDescent="0.3">
      <c r="B6245" s="33" t="s">
        <v>17132</v>
      </c>
      <c r="C6245" s="32" t="s">
        <v>17133</v>
      </c>
      <c r="D6245" s="32" t="s">
        <v>17134</v>
      </c>
    </row>
    <row r="6246" spans="2:4" x14ac:dyDescent="0.3">
      <c r="B6246" s="33" t="s">
        <v>17135</v>
      </c>
      <c r="C6246" s="32" t="s">
        <v>17136</v>
      </c>
      <c r="D6246" s="32" t="s">
        <v>17137</v>
      </c>
    </row>
    <row r="6247" spans="2:4" x14ac:dyDescent="0.3">
      <c r="B6247" s="33" t="s">
        <v>17138</v>
      </c>
      <c r="C6247" s="32" t="s">
        <v>17139</v>
      </c>
      <c r="D6247" s="32" t="s">
        <v>17140</v>
      </c>
    </row>
    <row r="6248" spans="2:4" x14ac:dyDescent="0.3">
      <c r="B6248" s="33" t="s">
        <v>17141</v>
      </c>
      <c r="C6248" s="32" t="s">
        <v>17142</v>
      </c>
      <c r="D6248" s="32" t="s">
        <v>17143</v>
      </c>
    </row>
    <row r="6249" spans="2:4" x14ac:dyDescent="0.3">
      <c r="B6249" s="33" t="s">
        <v>17144</v>
      </c>
      <c r="C6249" s="32" t="s">
        <v>17145</v>
      </c>
      <c r="D6249" s="32" t="s">
        <v>17146</v>
      </c>
    </row>
    <row r="6250" spans="2:4" x14ac:dyDescent="0.3">
      <c r="B6250" s="33" t="s">
        <v>17147</v>
      </c>
      <c r="C6250" s="32" t="s">
        <v>17148</v>
      </c>
      <c r="D6250" s="32" t="s">
        <v>17149</v>
      </c>
    </row>
    <row r="6251" spans="2:4" x14ac:dyDescent="0.3">
      <c r="B6251" s="33" t="s">
        <v>17150</v>
      </c>
      <c r="C6251" s="32" t="s">
        <v>17151</v>
      </c>
      <c r="D6251" s="32" t="s">
        <v>17152</v>
      </c>
    </row>
    <row r="6252" spans="2:4" x14ac:dyDescent="0.3">
      <c r="B6252" s="33" t="s">
        <v>17153</v>
      </c>
      <c r="C6252" s="32" t="s">
        <v>17154</v>
      </c>
      <c r="D6252" s="32" t="s">
        <v>17155</v>
      </c>
    </row>
    <row r="6253" spans="2:4" x14ac:dyDescent="0.3">
      <c r="B6253" s="33" t="s">
        <v>17156</v>
      </c>
      <c r="C6253" s="32" t="s">
        <v>17157</v>
      </c>
      <c r="D6253" s="32" t="s">
        <v>17158</v>
      </c>
    </row>
    <row r="6254" spans="2:4" x14ac:dyDescent="0.3">
      <c r="B6254" s="33" t="s">
        <v>17159</v>
      </c>
      <c r="C6254" s="32" t="s">
        <v>17160</v>
      </c>
      <c r="D6254" s="32" t="s">
        <v>37242</v>
      </c>
    </row>
    <row r="6255" spans="2:4" x14ac:dyDescent="0.3">
      <c r="B6255" s="33" t="s">
        <v>17161</v>
      </c>
      <c r="C6255" s="32" t="s">
        <v>17162</v>
      </c>
      <c r="D6255" s="32" t="s">
        <v>17163</v>
      </c>
    </row>
    <row r="6256" spans="2:4" x14ac:dyDescent="0.3">
      <c r="B6256" s="33" t="s">
        <v>17164</v>
      </c>
      <c r="C6256" s="32" t="s">
        <v>17165</v>
      </c>
      <c r="D6256" s="32" t="s">
        <v>17166</v>
      </c>
    </row>
    <row r="6257" spans="2:4" x14ac:dyDescent="0.3">
      <c r="B6257" s="33" t="s">
        <v>17167</v>
      </c>
      <c r="C6257" s="32" t="s">
        <v>17168</v>
      </c>
      <c r="D6257" s="32" t="s">
        <v>17167</v>
      </c>
    </row>
    <row r="6258" spans="2:4" x14ac:dyDescent="0.3">
      <c r="B6258" s="33" t="s">
        <v>17169</v>
      </c>
      <c r="C6258" s="32" t="s">
        <v>17170</v>
      </c>
      <c r="D6258" s="32" t="s">
        <v>17171</v>
      </c>
    </row>
    <row r="6259" spans="2:4" x14ac:dyDescent="0.3">
      <c r="B6259" s="33" t="s">
        <v>17172</v>
      </c>
      <c r="C6259" s="32" t="s">
        <v>17173</v>
      </c>
      <c r="D6259" s="32" t="s">
        <v>17172</v>
      </c>
    </row>
    <row r="6260" spans="2:4" x14ac:dyDescent="0.3">
      <c r="B6260" s="33" t="s">
        <v>17174</v>
      </c>
      <c r="C6260" s="32" t="s">
        <v>17175</v>
      </c>
      <c r="D6260" s="32" t="s">
        <v>17176</v>
      </c>
    </row>
    <row r="6261" spans="2:4" x14ac:dyDescent="0.3">
      <c r="B6261" s="33" t="s">
        <v>17177</v>
      </c>
      <c r="C6261" s="32" t="s">
        <v>17178</v>
      </c>
      <c r="D6261" s="32" t="s">
        <v>17179</v>
      </c>
    </row>
    <row r="6262" spans="2:4" x14ac:dyDescent="0.3">
      <c r="B6262" s="33" t="s">
        <v>17177</v>
      </c>
      <c r="C6262" s="32" t="s">
        <v>17180</v>
      </c>
      <c r="D6262" s="32" t="s">
        <v>17181</v>
      </c>
    </row>
    <row r="6263" spans="2:4" x14ac:dyDescent="0.3">
      <c r="B6263" s="33" t="s">
        <v>17182</v>
      </c>
      <c r="C6263" s="32" t="s">
        <v>17183</v>
      </c>
      <c r="D6263" s="32" t="s">
        <v>17184</v>
      </c>
    </row>
    <row r="6264" spans="2:4" x14ac:dyDescent="0.3">
      <c r="B6264" s="33" t="s">
        <v>17185</v>
      </c>
      <c r="C6264" s="32" t="s">
        <v>17186</v>
      </c>
      <c r="D6264" s="32" t="s">
        <v>17187</v>
      </c>
    </row>
    <row r="6265" spans="2:4" x14ac:dyDescent="0.3">
      <c r="B6265" s="33" t="s">
        <v>17188</v>
      </c>
      <c r="C6265" s="32" t="s">
        <v>17189</v>
      </c>
      <c r="D6265" s="32" t="s">
        <v>17190</v>
      </c>
    </row>
    <row r="6266" spans="2:4" x14ac:dyDescent="0.3">
      <c r="B6266" s="33" t="s">
        <v>17191</v>
      </c>
      <c r="C6266" s="32" t="s">
        <v>17192</v>
      </c>
      <c r="D6266" s="32" t="s">
        <v>17193</v>
      </c>
    </row>
    <row r="6267" spans="2:4" x14ac:dyDescent="0.3">
      <c r="B6267" s="33" t="s">
        <v>2371</v>
      </c>
      <c r="C6267" s="32" t="s">
        <v>17194</v>
      </c>
      <c r="D6267" s="32" t="s">
        <v>2371</v>
      </c>
    </row>
    <row r="6268" spans="2:4" x14ac:dyDescent="0.3">
      <c r="B6268" s="33" t="s">
        <v>2371</v>
      </c>
      <c r="C6268" s="32" t="s">
        <v>17195</v>
      </c>
      <c r="D6268" s="32" t="s">
        <v>17196</v>
      </c>
    </row>
    <row r="6269" spans="2:4" x14ac:dyDescent="0.3">
      <c r="B6269" s="33" t="s">
        <v>17197</v>
      </c>
      <c r="C6269" s="32" t="s">
        <v>17198</v>
      </c>
      <c r="D6269" s="32" t="s">
        <v>17199</v>
      </c>
    </row>
    <row r="6270" spans="2:4" x14ac:dyDescent="0.3">
      <c r="B6270" s="33" t="s">
        <v>17200</v>
      </c>
      <c r="C6270" s="32" t="s">
        <v>17201</v>
      </c>
      <c r="D6270" s="32" t="s">
        <v>17202</v>
      </c>
    </row>
    <row r="6271" spans="2:4" x14ac:dyDescent="0.3">
      <c r="B6271" s="33" t="s">
        <v>17203</v>
      </c>
      <c r="C6271" s="32" t="s">
        <v>17204</v>
      </c>
      <c r="D6271" s="32" t="s">
        <v>17205</v>
      </c>
    </row>
    <row r="6272" spans="2:4" x14ac:dyDescent="0.3">
      <c r="B6272" s="33" t="s">
        <v>17206</v>
      </c>
      <c r="C6272" s="32" t="s">
        <v>17207</v>
      </c>
      <c r="D6272" s="32" t="s">
        <v>17208</v>
      </c>
    </row>
    <row r="6273" spans="2:4" x14ac:dyDescent="0.3">
      <c r="B6273" s="33" t="s">
        <v>17209</v>
      </c>
      <c r="C6273" s="32" t="s">
        <v>17210</v>
      </c>
      <c r="D6273" s="32" t="s">
        <v>17211</v>
      </c>
    </row>
    <row r="6274" spans="2:4" x14ac:dyDescent="0.3">
      <c r="B6274" s="33" t="s">
        <v>17212</v>
      </c>
      <c r="C6274" s="32" t="s">
        <v>17213</v>
      </c>
      <c r="D6274" s="32" t="s">
        <v>17214</v>
      </c>
    </row>
    <row r="6275" spans="2:4" x14ac:dyDescent="0.3">
      <c r="B6275" s="33" t="s">
        <v>17215</v>
      </c>
      <c r="C6275" s="32" t="s">
        <v>17216</v>
      </c>
      <c r="D6275" s="32" t="s">
        <v>17217</v>
      </c>
    </row>
    <row r="6276" spans="2:4" x14ac:dyDescent="0.3">
      <c r="B6276" s="33" t="s">
        <v>17218</v>
      </c>
      <c r="C6276" s="32" t="s">
        <v>17219</v>
      </c>
      <c r="D6276" s="32" t="s">
        <v>17220</v>
      </c>
    </row>
    <row r="6277" spans="2:4" x14ac:dyDescent="0.3">
      <c r="B6277" s="33" t="s">
        <v>17221</v>
      </c>
      <c r="C6277" s="32" t="s">
        <v>17222</v>
      </c>
      <c r="D6277" s="32" t="s">
        <v>17223</v>
      </c>
    </row>
    <row r="6278" spans="2:4" x14ac:dyDescent="0.3">
      <c r="B6278" s="33" t="s">
        <v>17224</v>
      </c>
      <c r="C6278" s="32" t="s">
        <v>17225</v>
      </c>
      <c r="D6278" s="32" t="s">
        <v>17226</v>
      </c>
    </row>
    <row r="6279" spans="2:4" x14ac:dyDescent="0.3">
      <c r="B6279" s="33" t="s">
        <v>17227</v>
      </c>
      <c r="C6279" s="32" t="s">
        <v>17228</v>
      </c>
      <c r="D6279" s="32" t="s">
        <v>17229</v>
      </c>
    </row>
    <row r="6280" spans="2:4" x14ac:dyDescent="0.3">
      <c r="B6280" s="33" t="s">
        <v>17230</v>
      </c>
      <c r="C6280" s="32" t="s">
        <v>17231</v>
      </c>
      <c r="D6280" s="32" t="s">
        <v>17232</v>
      </c>
    </row>
    <row r="6281" spans="2:4" x14ac:dyDescent="0.3">
      <c r="B6281" s="33" t="s">
        <v>17233</v>
      </c>
      <c r="C6281" s="32" t="s">
        <v>17234</v>
      </c>
      <c r="D6281" s="32" t="s">
        <v>17235</v>
      </c>
    </row>
    <row r="6282" spans="2:4" x14ac:dyDescent="0.3">
      <c r="B6282" s="33" t="s">
        <v>17236</v>
      </c>
      <c r="C6282" s="32" t="s">
        <v>17237</v>
      </c>
      <c r="D6282" s="32" t="s">
        <v>17236</v>
      </c>
    </row>
    <row r="6283" spans="2:4" x14ac:dyDescent="0.3">
      <c r="B6283" s="33" t="s">
        <v>17238</v>
      </c>
      <c r="C6283" s="32" t="s">
        <v>17239</v>
      </c>
      <c r="D6283" s="32" t="s">
        <v>17240</v>
      </c>
    </row>
    <row r="6284" spans="2:4" x14ac:dyDescent="0.3">
      <c r="B6284" s="33" t="s">
        <v>17236</v>
      </c>
      <c r="C6284" s="32" t="s">
        <v>17241</v>
      </c>
      <c r="D6284" s="32" t="s">
        <v>17242</v>
      </c>
    </row>
    <row r="6285" spans="2:4" x14ac:dyDescent="0.3">
      <c r="B6285" s="33" t="s">
        <v>17243</v>
      </c>
      <c r="C6285" s="32" t="s">
        <v>17244</v>
      </c>
      <c r="D6285" s="32" t="s">
        <v>17245</v>
      </c>
    </row>
    <row r="6286" spans="2:4" x14ac:dyDescent="0.3">
      <c r="B6286" s="33" t="s">
        <v>17246</v>
      </c>
      <c r="C6286" s="32" t="s">
        <v>17247</v>
      </c>
      <c r="D6286" s="32" t="s">
        <v>17248</v>
      </c>
    </row>
    <row r="6287" spans="2:4" x14ac:dyDescent="0.3">
      <c r="B6287" s="33" t="s">
        <v>17249</v>
      </c>
      <c r="C6287" s="32" t="s">
        <v>17250</v>
      </c>
      <c r="D6287" s="32" t="s">
        <v>17251</v>
      </c>
    </row>
    <row r="6288" spans="2:4" x14ac:dyDescent="0.3">
      <c r="B6288" s="33" t="s">
        <v>17252</v>
      </c>
      <c r="C6288" s="32" t="s">
        <v>17253</v>
      </c>
      <c r="D6288" s="32" t="s">
        <v>17254</v>
      </c>
    </row>
    <row r="6289" spans="2:4" x14ac:dyDescent="0.3">
      <c r="B6289" s="33" t="s">
        <v>17255</v>
      </c>
      <c r="C6289" s="32" t="s">
        <v>17256</v>
      </c>
      <c r="D6289" s="32" t="s">
        <v>17255</v>
      </c>
    </row>
    <row r="6290" spans="2:4" x14ac:dyDescent="0.3">
      <c r="B6290" s="33" t="s">
        <v>17255</v>
      </c>
      <c r="C6290" s="32" t="s">
        <v>17257</v>
      </c>
      <c r="D6290" s="32" t="s">
        <v>17258</v>
      </c>
    </row>
    <row r="6291" spans="2:4" x14ac:dyDescent="0.3">
      <c r="B6291" s="33" t="s">
        <v>17259</v>
      </c>
      <c r="C6291" s="32" t="s">
        <v>17260</v>
      </c>
      <c r="D6291" s="32" t="s">
        <v>17261</v>
      </c>
    </row>
    <row r="6292" spans="2:4" x14ac:dyDescent="0.3">
      <c r="B6292" s="33" t="s">
        <v>17262</v>
      </c>
      <c r="C6292" s="32" t="s">
        <v>17263</v>
      </c>
      <c r="D6292" s="32" t="s">
        <v>17264</v>
      </c>
    </row>
    <row r="6293" spans="2:4" x14ac:dyDescent="0.3">
      <c r="B6293" s="33" t="s">
        <v>17265</v>
      </c>
      <c r="C6293" s="32" t="s">
        <v>17266</v>
      </c>
      <c r="D6293" s="32" t="s">
        <v>17267</v>
      </c>
    </row>
    <row r="6294" spans="2:4" x14ac:dyDescent="0.3">
      <c r="B6294" s="33" t="s">
        <v>17268</v>
      </c>
      <c r="C6294" s="32" t="s">
        <v>17269</v>
      </c>
      <c r="D6294" s="32" t="s">
        <v>17270</v>
      </c>
    </row>
    <row r="6295" spans="2:4" x14ac:dyDescent="0.3">
      <c r="B6295" s="33" t="s">
        <v>17271</v>
      </c>
      <c r="C6295" s="32" t="s">
        <v>17272</v>
      </c>
      <c r="D6295" s="32" t="s">
        <v>17273</v>
      </c>
    </row>
    <row r="6296" spans="2:4" x14ac:dyDescent="0.3">
      <c r="B6296" s="33" t="s">
        <v>17274</v>
      </c>
      <c r="C6296" s="32" t="s">
        <v>17275</v>
      </c>
      <c r="D6296" s="32" t="s">
        <v>17276</v>
      </c>
    </row>
    <row r="6297" spans="2:4" x14ac:dyDescent="0.3">
      <c r="B6297" s="33" t="s">
        <v>17277</v>
      </c>
      <c r="C6297" s="32" t="s">
        <v>17278</v>
      </c>
      <c r="D6297" s="32" t="s">
        <v>17279</v>
      </c>
    </row>
    <row r="6298" spans="2:4" x14ac:dyDescent="0.3">
      <c r="B6298" s="33" t="s">
        <v>17280</v>
      </c>
      <c r="C6298" s="32" t="s">
        <v>17281</v>
      </c>
      <c r="D6298" s="32" t="s">
        <v>17282</v>
      </c>
    </row>
    <row r="6299" spans="2:4" x14ac:dyDescent="0.3">
      <c r="B6299" s="33" t="s">
        <v>17283</v>
      </c>
      <c r="C6299" s="32" t="s">
        <v>17284</v>
      </c>
      <c r="D6299" s="32" t="s">
        <v>17285</v>
      </c>
    </row>
    <row r="6300" spans="2:4" x14ac:dyDescent="0.3">
      <c r="B6300" s="33" t="s">
        <v>17286</v>
      </c>
      <c r="C6300" s="32" t="s">
        <v>17287</v>
      </c>
      <c r="D6300" s="32" t="s">
        <v>17286</v>
      </c>
    </row>
    <row r="6301" spans="2:4" x14ac:dyDescent="0.3">
      <c r="B6301" s="33" t="s">
        <v>10815</v>
      </c>
      <c r="C6301" s="32" t="s">
        <v>17288</v>
      </c>
      <c r="D6301" s="32" t="s">
        <v>17289</v>
      </c>
    </row>
    <row r="6302" spans="2:4" x14ac:dyDescent="0.3">
      <c r="B6302" s="33" t="s">
        <v>10815</v>
      </c>
      <c r="C6302" s="32" t="s">
        <v>17290</v>
      </c>
      <c r="D6302" s="32" t="s">
        <v>17291</v>
      </c>
    </row>
    <row r="6303" spans="2:4" x14ac:dyDescent="0.3">
      <c r="B6303" s="33" t="s">
        <v>17292</v>
      </c>
      <c r="C6303" s="32" t="s">
        <v>17293</v>
      </c>
      <c r="D6303" s="32" t="s">
        <v>17294</v>
      </c>
    </row>
    <row r="6304" spans="2:4" x14ac:dyDescent="0.3">
      <c r="B6304" s="33" t="s">
        <v>17292</v>
      </c>
      <c r="C6304" s="32" t="s">
        <v>17295</v>
      </c>
      <c r="D6304" s="32" t="s">
        <v>17296</v>
      </c>
    </row>
    <row r="6305" spans="2:4" x14ac:dyDescent="0.3">
      <c r="B6305" s="33" t="s">
        <v>17297</v>
      </c>
      <c r="C6305" s="32" t="s">
        <v>17298</v>
      </c>
      <c r="D6305" s="32" t="s">
        <v>17299</v>
      </c>
    </row>
    <row r="6306" spans="2:4" x14ac:dyDescent="0.3">
      <c r="B6306" s="33" t="s">
        <v>17300</v>
      </c>
      <c r="C6306" s="32" t="s">
        <v>17301</v>
      </c>
      <c r="D6306" s="32" t="s">
        <v>17302</v>
      </c>
    </row>
    <row r="6307" spans="2:4" x14ac:dyDescent="0.3">
      <c r="B6307" s="33" t="s">
        <v>17303</v>
      </c>
      <c r="C6307" s="32" t="s">
        <v>17304</v>
      </c>
      <c r="D6307" s="32" t="s">
        <v>17305</v>
      </c>
    </row>
    <row r="6308" spans="2:4" x14ac:dyDescent="0.3">
      <c r="B6308" s="33" t="s">
        <v>17306</v>
      </c>
      <c r="C6308" s="32" t="s">
        <v>17307</v>
      </c>
      <c r="D6308" s="32" t="s">
        <v>17308</v>
      </c>
    </row>
    <row r="6309" spans="2:4" x14ac:dyDescent="0.3">
      <c r="B6309" s="33" t="s">
        <v>17309</v>
      </c>
      <c r="C6309" s="32" t="s">
        <v>17310</v>
      </c>
      <c r="D6309" s="32" t="s">
        <v>17311</v>
      </c>
    </row>
    <row r="6310" spans="2:4" x14ac:dyDescent="0.3">
      <c r="B6310" s="33" t="s">
        <v>17312</v>
      </c>
      <c r="C6310" s="32" t="s">
        <v>17313</v>
      </c>
      <c r="D6310" s="32" t="s">
        <v>17314</v>
      </c>
    </row>
    <row r="6311" spans="2:4" x14ac:dyDescent="0.3">
      <c r="B6311" s="33" t="s">
        <v>17315</v>
      </c>
      <c r="C6311" s="32" t="s">
        <v>17316</v>
      </c>
      <c r="D6311" s="32" t="s">
        <v>17317</v>
      </c>
    </row>
    <row r="6312" spans="2:4" x14ac:dyDescent="0.3">
      <c r="B6312" s="33" t="s">
        <v>17318</v>
      </c>
      <c r="C6312" s="32" t="s">
        <v>17319</v>
      </c>
      <c r="D6312" s="32" t="s">
        <v>17320</v>
      </c>
    </row>
    <row r="6313" spans="2:4" x14ac:dyDescent="0.3">
      <c r="B6313" s="33" t="s">
        <v>8455</v>
      </c>
      <c r="C6313" s="32" t="s">
        <v>17321</v>
      </c>
      <c r="D6313" s="32" t="s">
        <v>17322</v>
      </c>
    </row>
    <row r="6314" spans="2:4" x14ac:dyDescent="0.3">
      <c r="B6314" s="33" t="s">
        <v>17323</v>
      </c>
      <c r="C6314" s="32" t="s">
        <v>17324</v>
      </c>
      <c r="D6314" s="32" t="s">
        <v>17323</v>
      </c>
    </row>
    <row r="6315" spans="2:4" x14ac:dyDescent="0.3">
      <c r="B6315" s="33" t="s">
        <v>17325</v>
      </c>
      <c r="C6315" s="32" t="s">
        <v>17326</v>
      </c>
      <c r="D6315" s="32" t="s">
        <v>17327</v>
      </c>
    </row>
    <row r="6316" spans="2:4" x14ac:dyDescent="0.3">
      <c r="B6316" s="33" t="s">
        <v>17328</v>
      </c>
      <c r="C6316" s="32" t="s">
        <v>17329</v>
      </c>
      <c r="D6316" s="32" t="s">
        <v>17330</v>
      </c>
    </row>
    <row r="6317" spans="2:4" x14ac:dyDescent="0.3">
      <c r="B6317" s="33" t="s">
        <v>17331</v>
      </c>
      <c r="C6317" s="32" t="s">
        <v>17332</v>
      </c>
      <c r="D6317" s="32" t="s">
        <v>17333</v>
      </c>
    </row>
    <row r="6318" spans="2:4" x14ac:dyDescent="0.3">
      <c r="B6318" s="33" t="s">
        <v>17334</v>
      </c>
      <c r="C6318" s="32" t="s">
        <v>17335</v>
      </c>
      <c r="D6318" s="32" t="s">
        <v>36619</v>
      </c>
    </row>
    <row r="6319" spans="2:4" x14ac:dyDescent="0.3">
      <c r="B6319" s="33" t="s">
        <v>17336</v>
      </c>
      <c r="C6319" s="32" t="s">
        <v>17337</v>
      </c>
      <c r="D6319" s="32" t="s">
        <v>17338</v>
      </c>
    </row>
    <row r="6320" spans="2:4" x14ac:dyDescent="0.3">
      <c r="B6320" s="33" t="s">
        <v>17339</v>
      </c>
      <c r="C6320" s="32" t="s">
        <v>17340</v>
      </c>
      <c r="D6320" s="32" t="s">
        <v>17341</v>
      </c>
    </row>
    <row r="6321" spans="2:4" x14ac:dyDescent="0.3">
      <c r="B6321" s="33" t="s">
        <v>17096</v>
      </c>
      <c r="C6321" s="32" t="s">
        <v>17342</v>
      </c>
      <c r="D6321" s="32" t="s">
        <v>17343</v>
      </c>
    </row>
    <row r="6322" spans="2:4" x14ac:dyDescent="0.3">
      <c r="B6322" s="33" t="s">
        <v>17344</v>
      </c>
      <c r="C6322" s="32" t="s">
        <v>17345</v>
      </c>
      <c r="D6322" s="32" t="s">
        <v>17346</v>
      </c>
    </row>
    <row r="6323" spans="2:4" x14ac:dyDescent="0.3">
      <c r="B6323" s="33" t="s">
        <v>17339</v>
      </c>
      <c r="C6323" s="32" t="s">
        <v>17347</v>
      </c>
      <c r="D6323" s="32" t="s">
        <v>17348</v>
      </c>
    </row>
    <row r="6324" spans="2:4" x14ac:dyDescent="0.3">
      <c r="B6324" s="33" t="s">
        <v>17349</v>
      </c>
      <c r="C6324" s="32" t="s">
        <v>17350</v>
      </c>
      <c r="D6324" s="32" t="s">
        <v>17351</v>
      </c>
    </row>
    <row r="6325" spans="2:4" x14ac:dyDescent="0.3">
      <c r="B6325" s="33" t="s">
        <v>17352</v>
      </c>
      <c r="C6325" s="32" t="s">
        <v>17353</v>
      </c>
      <c r="D6325" s="32" t="s">
        <v>17352</v>
      </c>
    </row>
    <row r="6326" spans="2:4" x14ac:dyDescent="0.3">
      <c r="B6326" s="33" t="s">
        <v>17354</v>
      </c>
      <c r="C6326" s="32" t="s">
        <v>17355</v>
      </c>
      <c r="D6326" s="32" t="s">
        <v>17356</v>
      </c>
    </row>
    <row r="6327" spans="2:4" x14ac:dyDescent="0.3">
      <c r="B6327" s="33" t="s">
        <v>17357</v>
      </c>
      <c r="C6327" s="32" t="s">
        <v>17358</v>
      </c>
      <c r="D6327" s="32" t="s">
        <v>17359</v>
      </c>
    </row>
    <row r="6328" spans="2:4" x14ac:dyDescent="0.3">
      <c r="B6328" s="33" t="s">
        <v>17360</v>
      </c>
      <c r="C6328" s="32" t="s">
        <v>17361</v>
      </c>
      <c r="D6328" s="32" t="s">
        <v>17362</v>
      </c>
    </row>
    <row r="6329" spans="2:4" x14ac:dyDescent="0.3">
      <c r="B6329" s="33" t="s">
        <v>17363</v>
      </c>
      <c r="C6329" s="32" t="s">
        <v>17364</v>
      </c>
      <c r="D6329" s="32" t="s">
        <v>17365</v>
      </c>
    </row>
    <row r="6330" spans="2:4" x14ac:dyDescent="0.3">
      <c r="B6330" s="33" t="s">
        <v>17366</v>
      </c>
      <c r="C6330" s="32" t="s">
        <v>17367</v>
      </c>
      <c r="D6330" s="32" t="s">
        <v>17368</v>
      </c>
    </row>
    <row r="6331" spans="2:4" x14ac:dyDescent="0.3">
      <c r="B6331" s="33" t="s">
        <v>10181</v>
      </c>
      <c r="C6331" s="32" t="s">
        <v>17369</v>
      </c>
      <c r="D6331" s="32" t="s">
        <v>17370</v>
      </c>
    </row>
    <row r="6332" spans="2:4" x14ac:dyDescent="0.3">
      <c r="B6332" s="33" t="s">
        <v>17371</v>
      </c>
      <c r="C6332" s="32" t="s">
        <v>17372</v>
      </c>
      <c r="D6332" s="32" t="s">
        <v>17373</v>
      </c>
    </row>
    <row r="6333" spans="2:4" x14ac:dyDescent="0.3">
      <c r="B6333" s="33" t="s">
        <v>17374</v>
      </c>
      <c r="C6333" s="32" t="s">
        <v>17375</v>
      </c>
      <c r="D6333" s="32" t="s">
        <v>17376</v>
      </c>
    </row>
    <row r="6334" spans="2:4" x14ac:dyDescent="0.3">
      <c r="B6334" s="33" t="s">
        <v>37028</v>
      </c>
      <c r="C6334" s="32" t="s">
        <v>37029</v>
      </c>
      <c r="D6334" s="32" t="s">
        <v>37030</v>
      </c>
    </row>
    <row r="6335" spans="2:4" x14ac:dyDescent="0.3">
      <c r="B6335" s="33" t="s">
        <v>17377</v>
      </c>
      <c r="C6335" s="32" t="s">
        <v>17378</v>
      </c>
      <c r="D6335" s="32" t="s">
        <v>17379</v>
      </c>
    </row>
    <row r="6336" spans="2:4" x14ac:dyDescent="0.3">
      <c r="B6336" s="33" t="s">
        <v>17380</v>
      </c>
      <c r="C6336" s="32" t="s">
        <v>17381</v>
      </c>
      <c r="D6336" s="32" t="s">
        <v>17382</v>
      </c>
    </row>
    <row r="6337" spans="2:4" x14ac:dyDescent="0.3">
      <c r="B6337" s="33" t="s">
        <v>17383</v>
      </c>
      <c r="C6337" s="32" t="s">
        <v>17384</v>
      </c>
      <c r="D6337" s="32" t="s">
        <v>17385</v>
      </c>
    </row>
    <row r="6338" spans="2:4" x14ac:dyDescent="0.3">
      <c r="B6338" s="33" t="s">
        <v>17386</v>
      </c>
      <c r="C6338" s="32" t="s">
        <v>17387</v>
      </c>
      <c r="D6338" s="32" t="s">
        <v>17388</v>
      </c>
    </row>
    <row r="6339" spans="2:4" x14ac:dyDescent="0.3">
      <c r="B6339" s="33" t="s">
        <v>17376</v>
      </c>
      <c r="C6339" s="32" t="s">
        <v>17389</v>
      </c>
      <c r="D6339" s="32" t="s">
        <v>17390</v>
      </c>
    </row>
    <row r="6340" spans="2:4" x14ac:dyDescent="0.3">
      <c r="B6340" s="33" t="s">
        <v>17391</v>
      </c>
      <c r="C6340" s="32" t="s">
        <v>17392</v>
      </c>
      <c r="D6340" s="32" t="s">
        <v>17393</v>
      </c>
    </row>
    <row r="6341" spans="2:4" x14ac:dyDescent="0.3">
      <c r="B6341" s="33" t="s">
        <v>17394</v>
      </c>
      <c r="C6341" s="32" t="s">
        <v>17395</v>
      </c>
      <c r="D6341" s="32" t="s">
        <v>17394</v>
      </c>
    </row>
    <row r="6342" spans="2:4" x14ac:dyDescent="0.3">
      <c r="B6342" s="33" t="s">
        <v>17396</v>
      </c>
      <c r="C6342" s="32" t="s">
        <v>17397</v>
      </c>
      <c r="D6342" s="32" t="s">
        <v>17398</v>
      </c>
    </row>
    <row r="6343" spans="2:4" x14ac:dyDescent="0.3">
      <c r="B6343" s="33" t="s">
        <v>17399</v>
      </c>
      <c r="C6343" s="32" t="s">
        <v>17400</v>
      </c>
      <c r="D6343" s="32" t="s">
        <v>17401</v>
      </c>
    </row>
    <row r="6344" spans="2:4" x14ac:dyDescent="0.3">
      <c r="B6344" s="33" t="s">
        <v>17402</v>
      </c>
      <c r="C6344" s="32" t="s">
        <v>17403</v>
      </c>
      <c r="D6344" s="32" t="s">
        <v>17404</v>
      </c>
    </row>
    <row r="6345" spans="2:4" x14ac:dyDescent="0.3">
      <c r="B6345" s="33" t="s">
        <v>17405</v>
      </c>
      <c r="C6345" s="32" t="s">
        <v>17406</v>
      </c>
      <c r="D6345" s="32" t="s">
        <v>17407</v>
      </c>
    </row>
    <row r="6346" spans="2:4" x14ac:dyDescent="0.3">
      <c r="B6346" s="33" t="s">
        <v>17408</v>
      </c>
      <c r="C6346" s="32" t="s">
        <v>17409</v>
      </c>
      <c r="D6346" s="32" t="s">
        <v>17410</v>
      </c>
    </row>
    <row r="6347" spans="2:4" x14ac:dyDescent="0.3">
      <c r="B6347" s="33" t="s">
        <v>37243</v>
      </c>
      <c r="C6347" s="32" t="s">
        <v>37244</v>
      </c>
      <c r="D6347" s="32" t="s">
        <v>37245</v>
      </c>
    </row>
    <row r="6348" spans="2:4" x14ac:dyDescent="0.3">
      <c r="B6348" s="33" t="s">
        <v>17411</v>
      </c>
      <c r="C6348" s="32" t="s">
        <v>17412</v>
      </c>
      <c r="D6348" s="32" t="s">
        <v>17413</v>
      </c>
    </row>
    <row r="6349" spans="2:4" x14ac:dyDescent="0.3">
      <c r="B6349" s="33" t="s">
        <v>17414</v>
      </c>
      <c r="C6349" s="32" t="s">
        <v>17415</v>
      </c>
      <c r="D6349" s="32" t="s">
        <v>17416</v>
      </c>
    </row>
    <row r="6350" spans="2:4" x14ac:dyDescent="0.3">
      <c r="B6350" s="33" t="s">
        <v>17417</v>
      </c>
      <c r="C6350" s="32" t="s">
        <v>17418</v>
      </c>
      <c r="D6350" s="32" t="s">
        <v>17419</v>
      </c>
    </row>
    <row r="6351" spans="2:4" x14ac:dyDescent="0.3">
      <c r="B6351" s="33" t="s">
        <v>17420</v>
      </c>
      <c r="C6351" s="32" t="s">
        <v>17421</v>
      </c>
      <c r="D6351" s="32" t="s">
        <v>17422</v>
      </c>
    </row>
    <row r="6352" spans="2:4" x14ac:dyDescent="0.3">
      <c r="B6352" s="33" t="s">
        <v>17423</v>
      </c>
      <c r="C6352" s="32" t="s">
        <v>17424</v>
      </c>
      <c r="D6352" s="32" t="s">
        <v>17425</v>
      </c>
    </row>
    <row r="6353" spans="2:4" x14ac:dyDescent="0.3">
      <c r="B6353" s="33" t="s">
        <v>17426</v>
      </c>
      <c r="C6353" s="32" t="s">
        <v>17427</v>
      </c>
      <c r="D6353" s="32" t="s">
        <v>17428</v>
      </c>
    </row>
    <row r="6354" spans="2:4" x14ac:dyDescent="0.3">
      <c r="B6354" s="33" t="s">
        <v>17429</v>
      </c>
      <c r="C6354" s="32" t="s">
        <v>17430</v>
      </c>
      <c r="D6354" s="32" t="s">
        <v>17429</v>
      </c>
    </row>
    <row r="6355" spans="2:4" x14ac:dyDescent="0.3">
      <c r="B6355" s="33" t="s">
        <v>17431</v>
      </c>
      <c r="C6355" s="32" t="s">
        <v>17432</v>
      </c>
      <c r="D6355" s="32" t="s">
        <v>17433</v>
      </c>
    </row>
    <row r="6356" spans="2:4" x14ac:dyDescent="0.3">
      <c r="B6356" s="33" t="s">
        <v>17434</v>
      </c>
      <c r="C6356" s="32" t="s">
        <v>17435</v>
      </c>
      <c r="D6356" s="32" t="s">
        <v>17436</v>
      </c>
    </row>
    <row r="6357" spans="2:4" x14ac:dyDescent="0.3">
      <c r="B6357" s="33" t="s">
        <v>17437</v>
      </c>
      <c r="C6357" s="32" t="s">
        <v>17438</v>
      </c>
      <c r="D6357" s="32" t="s">
        <v>17439</v>
      </c>
    </row>
    <row r="6358" spans="2:4" x14ac:dyDescent="0.3">
      <c r="B6358" s="33" t="s">
        <v>17440</v>
      </c>
      <c r="C6358" s="32" t="s">
        <v>17441</v>
      </c>
      <c r="D6358" s="32" t="s">
        <v>17442</v>
      </c>
    </row>
    <row r="6359" spans="2:4" x14ac:dyDescent="0.3">
      <c r="B6359" s="33" t="s">
        <v>17440</v>
      </c>
      <c r="C6359" s="32" t="s">
        <v>17443</v>
      </c>
      <c r="D6359" s="32" t="s">
        <v>17444</v>
      </c>
    </row>
    <row r="6360" spans="2:4" x14ac:dyDescent="0.3">
      <c r="B6360" s="33" t="s">
        <v>17445</v>
      </c>
      <c r="C6360" s="32" t="s">
        <v>17446</v>
      </c>
      <c r="D6360" s="32" t="s">
        <v>17447</v>
      </c>
    </row>
    <row r="6361" spans="2:4" x14ac:dyDescent="0.3">
      <c r="B6361" s="33" t="s">
        <v>17448</v>
      </c>
      <c r="C6361" s="32" t="s">
        <v>17449</v>
      </c>
      <c r="D6361" s="32" t="s">
        <v>17450</v>
      </c>
    </row>
    <row r="6362" spans="2:4" x14ac:dyDescent="0.3">
      <c r="B6362" s="33" t="s">
        <v>17451</v>
      </c>
      <c r="C6362" s="32" t="s">
        <v>17452</v>
      </c>
      <c r="D6362" s="32" t="s">
        <v>17453</v>
      </c>
    </row>
    <row r="6363" spans="2:4" x14ac:dyDescent="0.3">
      <c r="B6363" s="33" t="s">
        <v>17440</v>
      </c>
      <c r="C6363" s="32" t="s">
        <v>17454</v>
      </c>
      <c r="D6363" s="32" t="s">
        <v>17455</v>
      </c>
    </row>
    <row r="6364" spans="2:4" x14ac:dyDescent="0.3">
      <c r="B6364" s="33" t="s">
        <v>17456</v>
      </c>
      <c r="C6364" s="32" t="s">
        <v>17457</v>
      </c>
      <c r="D6364" s="32" t="s">
        <v>17458</v>
      </c>
    </row>
    <row r="6365" spans="2:4" x14ac:dyDescent="0.3">
      <c r="B6365" s="33" t="s">
        <v>17459</v>
      </c>
      <c r="C6365" s="32" t="s">
        <v>17460</v>
      </c>
      <c r="D6365" s="32" t="s">
        <v>17461</v>
      </c>
    </row>
    <row r="6366" spans="2:4" x14ac:dyDescent="0.3">
      <c r="B6366" s="33" t="s">
        <v>17462</v>
      </c>
      <c r="C6366" s="32" t="s">
        <v>17463</v>
      </c>
      <c r="D6366" s="32" t="s">
        <v>17464</v>
      </c>
    </row>
    <row r="6367" spans="2:4" x14ac:dyDescent="0.3">
      <c r="B6367" s="33" t="s">
        <v>17465</v>
      </c>
      <c r="C6367" s="32" t="s">
        <v>17466</v>
      </c>
      <c r="D6367" s="32" t="s">
        <v>17467</v>
      </c>
    </row>
    <row r="6368" spans="2:4" x14ac:dyDescent="0.3">
      <c r="B6368" s="33" t="s">
        <v>17468</v>
      </c>
      <c r="C6368" s="32" t="s">
        <v>17469</v>
      </c>
      <c r="D6368" s="32" t="s">
        <v>17470</v>
      </c>
    </row>
    <row r="6369" spans="2:4" x14ac:dyDescent="0.3">
      <c r="B6369" s="33" t="s">
        <v>17471</v>
      </c>
      <c r="C6369" s="32" t="s">
        <v>17472</v>
      </c>
      <c r="D6369" s="32" t="s">
        <v>17473</v>
      </c>
    </row>
    <row r="6370" spans="2:4" x14ac:dyDescent="0.3">
      <c r="B6370" s="33" t="s">
        <v>17474</v>
      </c>
      <c r="C6370" s="32" t="s">
        <v>17475</v>
      </c>
      <c r="D6370" s="32" t="s">
        <v>17476</v>
      </c>
    </row>
    <row r="6371" spans="2:4" x14ac:dyDescent="0.3">
      <c r="B6371" s="33" t="s">
        <v>17477</v>
      </c>
      <c r="C6371" s="32" t="s">
        <v>17478</v>
      </c>
      <c r="D6371" s="32" t="s">
        <v>17479</v>
      </c>
    </row>
    <row r="6372" spans="2:4" x14ac:dyDescent="0.3">
      <c r="B6372" s="33" t="s">
        <v>17480</v>
      </c>
      <c r="C6372" s="32" t="s">
        <v>17481</v>
      </c>
      <c r="D6372" s="32" t="s">
        <v>17482</v>
      </c>
    </row>
    <row r="6373" spans="2:4" x14ac:dyDescent="0.3">
      <c r="B6373" s="33" t="s">
        <v>17483</v>
      </c>
      <c r="C6373" s="32" t="s">
        <v>17484</v>
      </c>
      <c r="D6373" s="32" t="s">
        <v>17485</v>
      </c>
    </row>
    <row r="6374" spans="2:4" x14ac:dyDescent="0.3">
      <c r="B6374" s="33" t="s">
        <v>17486</v>
      </c>
      <c r="C6374" s="32" t="s">
        <v>17487</v>
      </c>
      <c r="D6374" s="32" t="s">
        <v>17486</v>
      </c>
    </row>
    <row r="6375" spans="2:4" x14ac:dyDescent="0.3">
      <c r="B6375" s="33" t="s">
        <v>17488</v>
      </c>
      <c r="C6375" s="32" t="s">
        <v>17489</v>
      </c>
      <c r="D6375" s="32" t="s">
        <v>17489</v>
      </c>
    </row>
    <row r="6376" spans="2:4" x14ac:dyDescent="0.3">
      <c r="B6376" s="33" t="s">
        <v>17490</v>
      </c>
      <c r="C6376" s="32" t="s">
        <v>17491</v>
      </c>
      <c r="D6376" s="32" t="s">
        <v>17492</v>
      </c>
    </row>
    <row r="6377" spans="2:4" x14ac:dyDescent="0.3">
      <c r="B6377" s="33" t="s">
        <v>17493</v>
      </c>
      <c r="C6377" s="32" t="s">
        <v>17494</v>
      </c>
      <c r="D6377" s="32" t="s">
        <v>17495</v>
      </c>
    </row>
    <row r="6378" spans="2:4" x14ac:dyDescent="0.3">
      <c r="B6378" s="33" t="s">
        <v>17496</v>
      </c>
      <c r="C6378" s="32" t="s">
        <v>17497</v>
      </c>
      <c r="D6378" s="32" t="s">
        <v>17498</v>
      </c>
    </row>
    <row r="6379" spans="2:4" x14ac:dyDescent="0.3">
      <c r="B6379" s="33" t="s">
        <v>17499</v>
      </c>
      <c r="C6379" s="32" t="s">
        <v>17500</v>
      </c>
      <c r="D6379" s="32" t="s">
        <v>17501</v>
      </c>
    </row>
    <row r="6380" spans="2:4" x14ac:dyDescent="0.3">
      <c r="B6380" s="33" t="s">
        <v>17502</v>
      </c>
      <c r="C6380" s="32" t="s">
        <v>17503</v>
      </c>
      <c r="D6380" s="32" t="s">
        <v>17504</v>
      </c>
    </row>
    <row r="6381" spans="2:4" x14ac:dyDescent="0.3">
      <c r="B6381" s="33" t="s">
        <v>17505</v>
      </c>
      <c r="C6381" s="32" t="s">
        <v>17506</v>
      </c>
      <c r="D6381" s="32" t="s">
        <v>17507</v>
      </c>
    </row>
    <row r="6382" spans="2:4" x14ac:dyDescent="0.3">
      <c r="B6382" s="33" t="s">
        <v>17508</v>
      </c>
      <c r="C6382" s="32" t="s">
        <v>17509</v>
      </c>
      <c r="D6382" s="32" t="s">
        <v>17510</v>
      </c>
    </row>
    <row r="6383" spans="2:4" x14ac:dyDescent="0.3">
      <c r="B6383" s="33" t="s">
        <v>17511</v>
      </c>
      <c r="C6383" s="32" t="s">
        <v>17512</v>
      </c>
      <c r="D6383" s="32" t="s">
        <v>17513</v>
      </c>
    </row>
    <row r="6384" spans="2:4" x14ac:dyDescent="0.3">
      <c r="B6384" s="33" t="s">
        <v>17514</v>
      </c>
      <c r="C6384" s="32" t="s">
        <v>17515</v>
      </c>
      <c r="D6384" s="32" t="s">
        <v>17516</v>
      </c>
    </row>
    <row r="6385" spans="2:4" x14ac:dyDescent="0.3">
      <c r="B6385" s="33" t="s">
        <v>17517</v>
      </c>
      <c r="C6385" s="32" t="s">
        <v>17518</v>
      </c>
      <c r="D6385" s="32" t="s">
        <v>17519</v>
      </c>
    </row>
    <row r="6386" spans="2:4" x14ac:dyDescent="0.3">
      <c r="B6386" s="33" t="s">
        <v>17520</v>
      </c>
      <c r="C6386" s="32" t="s">
        <v>17521</v>
      </c>
      <c r="D6386" s="32" t="s">
        <v>17522</v>
      </c>
    </row>
    <row r="6387" spans="2:4" x14ac:dyDescent="0.3">
      <c r="B6387" s="33" t="s">
        <v>17523</v>
      </c>
      <c r="C6387" s="32" t="s">
        <v>17524</v>
      </c>
      <c r="D6387" s="32" t="s">
        <v>17525</v>
      </c>
    </row>
    <row r="6388" spans="2:4" x14ac:dyDescent="0.3">
      <c r="B6388" s="33" t="s">
        <v>17526</v>
      </c>
      <c r="C6388" s="32" t="s">
        <v>17527</v>
      </c>
      <c r="D6388" s="32" t="s">
        <v>17528</v>
      </c>
    </row>
    <row r="6389" spans="2:4" x14ac:dyDescent="0.3">
      <c r="B6389" s="33" t="s">
        <v>17529</v>
      </c>
      <c r="C6389" s="32" t="s">
        <v>17530</v>
      </c>
      <c r="D6389" s="32" t="s">
        <v>17531</v>
      </c>
    </row>
    <row r="6390" spans="2:4" x14ac:dyDescent="0.3">
      <c r="B6390" s="33" t="s">
        <v>17532</v>
      </c>
      <c r="C6390" s="32" t="s">
        <v>17533</v>
      </c>
      <c r="D6390" s="32" t="s">
        <v>17534</v>
      </c>
    </row>
    <row r="6391" spans="2:4" x14ac:dyDescent="0.3">
      <c r="B6391" s="33" t="s">
        <v>17535</v>
      </c>
      <c r="C6391" s="32" t="s">
        <v>17536</v>
      </c>
      <c r="D6391" s="32" t="s">
        <v>17537</v>
      </c>
    </row>
    <row r="6392" spans="2:4" x14ac:dyDescent="0.3">
      <c r="B6392" s="33" t="s">
        <v>17538</v>
      </c>
      <c r="C6392" s="32" t="s">
        <v>17539</v>
      </c>
      <c r="D6392" s="32" t="s">
        <v>17540</v>
      </c>
    </row>
    <row r="6393" spans="2:4" x14ac:dyDescent="0.3">
      <c r="B6393" s="33" t="s">
        <v>17541</v>
      </c>
      <c r="C6393" s="32" t="s">
        <v>17542</v>
      </c>
      <c r="D6393" s="32" t="s">
        <v>17543</v>
      </c>
    </row>
    <row r="6394" spans="2:4" x14ac:dyDescent="0.3">
      <c r="B6394" s="33" t="s">
        <v>17544</v>
      </c>
      <c r="C6394" s="32" t="s">
        <v>17545</v>
      </c>
      <c r="D6394" s="32" t="s">
        <v>17546</v>
      </c>
    </row>
    <row r="6395" spans="2:4" x14ac:dyDescent="0.3">
      <c r="B6395" s="33" t="s">
        <v>37031</v>
      </c>
      <c r="C6395" s="32" t="s">
        <v>37032</v>
      </c>
      <c r="D6395" s="32" t="s">
        <v>37033</v>
      </c>
    </row>
    <row r="6396" spans="2:4" x14ac:dyDescent="0.3">
      <c r="B6396" s="33" t="s">
        <v>17547</v>
      </c>
      <c r="C6396" s="32" t="s">
        <v>17548</v>
      </c>
      <c r="D6396" s="32" t="s">
        <v>17549</v>
      </c>
    </row>
    <row r="6397" spans="2:4" x14ac:dyDescent="0.3">
      <c r="B6397" s="33" t="s">
        <v>17550</v>
      </c>
      <c r="C6397" s="32" t="s">
        <v>17551</v>
      </c>
      <c r="D6397" s="32" t="s">
        <v>17552</v>
      </c>
    </row>
    <row r="6398" spans="2:4" x14ac:dyDescent="0.3">
      <c r="B6398" s="33" t="s">
        <v>17553</v>
      </c>
      <c r="C6398" s="32" t="s">
        <v>17554</v>
      </c>
      <c r="D6398" s="32" t="s">
        <v>17555</v>
      </c>
    </row>
    <row r="6399" spans="2:4" x14ac:dyDescent="0.3">
      <c r="B6399" s="33" t="s">
        <v>17556</v>
      </c>
      <c r="C6399" s="32" t="s">
        <v>17557</v>
      </c>
      <c r="D6399" s="32" t="s">
        <v>17558</v>
      </c>
    </row>
    <row r="6400" spans="2:4" x14ac:dyDescent="0.3">
      <c r="B6400" s="33" t="s">
        <v>17559</v>
      </c>
      <c r="C6400" s="32" t="s">
        <v>17560</v>
      </c>
      <c r="D6400" s="32" t="s">
        <v>17561</v>
      </c>
    </row>
    <row r="6401" spans="2:4" x14ac:dyDescent="0.3">
      <c r="B6401" s="33" t="s">
        <v>17562</v>
      </c>
      <c r="C6401" s="32" t="s">
        <v>17563</v>
      </c>
      <c r="D6401" s="32" t="s">
        <v>17564</v>
      </c>
    </row>
    <row r="6402" spans="2:4" x14ac:dyDescent="0.3">
      <c r="B6402" s="33" t="s">
        <v>17565</v>
      </c>
      <c r="C6402" s="32" t="s">
        <v>17566</v>
      </c>
      <c r="D6402" s="32" t="s">
        <v>17567</v>
      </c>
    </row>
    <row r="6403" spans="2:4" x14ac:dyDescent="0.3">
      <c r="B6403" s="33" t="s">
        <v>17568</v>
      </c>
      <c r="C6403" s="32" t="s">
        <v>17569</v>
      </c>
      <c r="D6403" s="32" t="s">
        <v>17570</v>
      </c>
    </row>
    <row r="6404" spans="2:4" x14ac:dyDescent="0.3">
      <c r="B6404" s="33" t="s">
        <v>17571</v>
      </c>
      <c r="C6404" s="32" t="s">
        <v>17572</v>
      </c>
      <c r="D6404" s="32" t="s">
        <v>17573</v>
      </c>
    </row>
    <row r="6405" spans="2:4" x14ac:dyDescent="0.3">
      <c r="B6405" s="33" t="s">
        <v>17574</v>
      </c>
      <c r="C6405" s="32" t="s">
        <v>17575</v>
      </c>
      <c r="D6405" s="32" t="s">
        <v>17576</v>
      </c>
    </row>
    <row r="6406" spans="2:4" x14ac:dyDescent="0.3">
      <c r="B6406" s="33" t="s">
        <v>17577</v>
      </c>
      <c r="C6406" s="32" t="s">
        <v>17578</v>
      </c>
      <c r="D6406" s="32" t="s">
        <v>17579</v>
      </c>
    </row>
    <row r="6407" spans="2:4" x14ac:dyDescent="0.3">
      <c r="B6407" s="33" t="s">
        <v>17580</v>
      </c>
      <c r="C6407" s="32" t="s">
        <v>17581</v>
      </c>
      <c r="D6407" s="32" t="s">
        <v>17582</v>
      </c>
    </row>
    <row r="6408" spans="2:4" x14ac:dyDescent="0.3">
      <c r="B6408" s="33" t="s">
        <v>17583</v>
      </c>
      <c r="C6408" s="32" t="s">
        <v>17584</v>
      </c>
      <c r="D6408" s="32" t="s">
        <v>17585</v>
      </c>
    </row>
    <row r="6409" spans="2:4" x14ac:dyDescent="0.3">
      <c r="B6409" s="33" t="s">
        <v>17586</v>
      </c>
      <c r="C6409" s="32" t="s">
        <v>17587</v>
      </c>
      <c r="D6409" s="32" t="s">
        <v>17588</v>
      </c>
    </row>
    <row r="6410" spans="2:4" x14ac:dyDescent="0.3">
      <c r="B6410" s="33" t="s">
        <v>17589</v>
      </c>
      <c r="C6410" s="32" t="s">
        <v>17590</v>
      </c>
      <c r="D6410" s="32" t="s">
        <v>17591</v>
      </c>
    </row>
    <row r="6411" spans="2:4" x14ac:dyDescent="0.3">
      <c r="B6411" s="33" t="s">
        <v>17592</v>
      </c>
      <c r="C6411" s="32" t="s">
        <v>17593</v>
      </c>
      <c r="D6411" s="32" t="s">
        <v>17594</v>
      </c>
    </row>
    <row r="6412" spans="2:4" x14ac:dyDescent="0.3">
      <c r="B6412" s="33" t="s">
        <v>17595</v>
      </c>
      <c r="C6412" s="32" t="s">
        <v>17596</v>
      </c>
      <c r="D6412" s="32" t="s">
        <v>17597</v>
      </c>
    </row>
    <row r="6413" spans="2:4" x14ac:dyDescent="0.3">
      <c r="B6413" s="33" t="s">
        <v>17598</v>
      </c>
      <c r="C6413" s="32" t="s">
        <v>17599</v>
      </c>
      <c r="D6413" s="32" t="s">
        <v>17600</v>
      </c>
    </row>
    <row r="6414" spans="2:4" x14ac:dyDescent="0.3">
      <c r="B6414" s="33" t="s">
        <v>17601</v>
      </c>
      <c r="C6414" s="32" t="s">
        <v>17602</v>
      </c>
      <c r="D6414" s="32" t="s">
        <v>17603</v>
      </c>
    </row>
    <row r="6415" spans="2:4" x14ac:dyDescent="0.3">
      <c r="B6415" s="33" t="s">
        <v>17604</v>
      </c>
      <c r="C6415" s="32" t="s">
        <v>17605</v>
      </c>
      <c r="D6415" s="32" t="s">
        <v>17606</v>
      </c>
    </row>
    <row r="6416" spans="2:4" x14ac:dyDescent="0.3">
      <c r="B6416" s="33" t="s">
        <v>17607</v>
      </c>
      <c r="C6416" s="32" t="s">
        <v>17608</v>
      </c>
      <c r="D6416" s="32" t="s">
        <v>17609</v>
      </c>
    </row>
    <row r="6417" spans="2:4" x14ac:dyDescent="0.3">
      <c r="B6417" s="33" t="s">
        <v>17610</v>
      </c>
      <c r="C6417" s="32" t="s">
        <v>17611</v>
      </c>
      <c r="D6417" s="32" t="s">
        <v>17612</v>
      </c>
    </row>
    <row r="6418" spans="2:4" x14ac:dyDescent="0.3">
      <c r="B6418" s="33" t="s">
        <v>17613</v>
      </c>
      <c r="C6418" s="32" t="s">
        <v>17614</v>
      </c>
      <c r="D6418" s="32" t="s">
        <v>36730</v>
      </c>
    </row>
    <row r="6419" spans="2:4" x14ac:dyDescent="0.3">
      <c r="B6419" s="33" t="s">
        <v>17615</v>
      </c>
      <c r="C6419" s="32" t="s">
        <v>17616</v>
      </c>
      <c r="D6419" s="32" t="s">
        <v>17617</v>
      </c>
    </row>
    <row r="6420" spans="2:4" x14ac:dyDescent="0.3">
      <c r="B6420" s="33" t="s">
        <v>17615</v>
      </c>
      <c r="C6420" s="32" t="s">
        <v>17618</v>
      </c>
      <c r="D6420" s="32" t="s">
        <v>17619</v>
      </c>
    </row>
    <row r="6421" spans="2:4" x14ac:dyDescent="0.3">
      <c r="B6421" s="33" t="s">
        <v>17620</v>
      </c>
      <c r="C6421" s="32" t="s">
        <v>17621</v>
      </c>
      <c r="D6421" s="32" t="s">
        <v>17622</v>
      </c>
    </row>
    <row r="6422" spans="2:4" x14ac:dyDescent="0.3">
      <c r="B6422" s="33" t="s">
        <v>17623</v>
      </c>
      <c r="C6422" s="32" t="s">
        <v>17624</v>
      </c>
      <c r="D6422" s="32" t="s">
        <v>17625</v>
      </c>
    </row>
    <row r="6423" spans="2:4" x14ac:dyDescent="0.3">
      <c r="B6423" s="33" t="s">
        <v>17623</v>
      </c>
      <c r="C6423" s="32" t="s">
        <v>17626</v>
      </c>
      <c r="D6423" s="32" t="s">
        <v>17627</v>
      </c>
    </row>
    <row r="6424" spans="2:4" x14ac:dyDescent="0.3">
      <c r="B6424" s="33" t="s">
        <v>17628</v>
      </c>
      <c r="C6424" s="32" t="s">
        <v>17629</v>
      </c>
      <c r="D6424" s="32" t="s">
        <v>17630</v>
      </c>
    </row>
    <row r="6425" spans="2:4" x14ac:dyDescent="0.3">
      <c r="B6425" s="33" t="s">
        <v>17631</v>
      </c>
      <c r="C6425" s="32" t="s">
        <v>17632</v>
      </c>
      <c r="D6425" s="32" t="s">
        <v>17633</v>
      </c>
    </row>
    <row r="6426" spans="2:4" x14ac:dyDescent="0.3">
      <c r="B6426" s="33" t="s">
        <v>17634</v>
      </c>
      <c r="C6426" s="32" t="s">
        <v>17635</v>
      </c>
      <c r="D6426" s="32" t="s">
        <v>17636</v>
      </c>
    </row>
    <row r="6427" spans="2:4" x14ac:dyDescent="0.3">
      <c r="B6427" s="33" t="s">
        <v>17637</v>
      </c>
      <c r="C6427" s="32" t="s">
        <v>17638</v>
      </c>
      <c r="D6427" s="32" t="s">
        <v>17639</v>
      </c>
    </row>
    <row r="6428" spans="2:4" x14ac:dyDescent="0.3">
      <c r="B6428" s="33" t="s">
        <v>17640</v>
      </c>
      <c r="C6428" s="32" t="s">
        <v>17641</v>
      </c>
      <c r="D6428" s="32" t="s">
        <v>17642</v>
      </c>
    </row>
    <row r="6429" spans="2:4" x14ac:dyDescent="0.3">
      <c r="B6429" s="33" t="s">
        <v>17643</v>
      </c>
      <c r="C6429" s="32" t="s">
        <v>17644</v>
      </c>
      <c r="D6429" s="32" t="s">
        <v>17645</v>
      </c>
    </row>
    <row r="6430" spans="2:4" x14ac:dyDescent="0.3">
      <c r="B6430" s="33" t="s">
        <v>17646</v>
      </c>
      <c r="C6430" s="32" t="s">
        <v>17647</v>
      </c>
      <c r="D6430" s="32" t="s">
        <v>17648</v>
      </c>
    </row>
    <row r="6431" spans="2:4" x14ac:dyDescent="0.3">
      <c r="B6431" s="33" t="s">
        <v>17649</v>
      </c>
      <c r="C6431" s="32" t="s">
        <v>17650</v>
      </c>
      <c r="D6431" s="32" t="s">
        <v>17651</v>
      </c>
    </row>
    <row r="6432" spans="2:4" x14ac:dyDescent="0.3">
      <c r="B6432" s="33" t="s">
        <v>17652</v>
      </c>
      <c r="C6432" s="32" t="s">
        <v>17653</v>
      </c>
      <c r="D6432" s="32" t="s">
        <v>17654</v>
      </c>
    </row>
    <row r="6433" spans="2:4" x14ac:dyDescent="0.3">
      <c r="B6433" s="33" t="s">
        <v>17655</v>
      </c>
      <c r="C6433" s="32" t="s">
        <v>17656</v>
      </c>
      <c r="D6433" s="32" t="s">
        <v>17657</v>
      </c>
    </row>
    <row r="6434" spans="2:4" x14ac:dyDescent="0.3">
      <c r="B6434" s="33" t="s">
        <v>17658</v>
      </c>
      <c r="C6434" s="32" t="s">
        <v>17659</v>
      </c>
      <c r="D6434" s="32" t="s">
        <v>17660</v>
      </c>
    </row>
    <row r="6435" spans="2:4" x14ac:dyDescent="0.3">
      <c r="B6435" s="33" t="s">
        <v>17661</v>
      </c>
      <c r="C6435" s="32" t="s">
        <v>17662</v>
      </c>
      <c r="D6435" s="32" t="s">
        <v>17661</v>
      </c>
    </row>
    <row r="6436" spans="2:4" x14ac:dyDescent="0.3">
      <c r="B6436" s="33" t="s">
        <v>17663</v>
      </c>
      <c r="C6436" s="32" t="s">
        <v>17664</v>
      </c>
      <c r="D6436" s="32" t="s">
        <v>17665</v>
      </c>
    </row>
    <row r="6437" spans="2:4" x14ac:dyDescent="0.3">
      <c r="B6437" s="33" t="s">
        <v>17666</v>
      </c>
      <c r="C6437" s="32" t="s">
        <v>17667</v>
      </c>
      <c r="D6437" s="32" t="s">
        <v>17668</v>
      </c>
    </row>
    <row r="6438" spans="2:4" x14ac:dyDescent="0.3">
      <c r="B6438" s="33" t="s">
        <v>17669</v>
      </c>
      <c r="C6438" s="32" t="s">
        <v>17670</v>
      </c>
      <c r="D6438" s="32" t="s">
        <v>17671</v>
      </c>
    </row>
    <row r="6439" spans="2:4" x14ac:dyDescent="0.3">
      <c r="B6439" s="33" t="s">
        <v>17672</v>
      </c>
      <c r="C6439" s="32" t="s">
        <v>17673</v>
      </c>
      <c r="D6439" s="32" t="s">
        <v>17674</v>
      </c>
    </row>
    <row r="6440" spans="2:4" x14ac:dyDescent="0.3">
      <c r="B6440" s="33" t="s">
        <v>17675</v>
      </c>
      <c r="C6440" s="32" t="s">
        <v>17676</v>
      </c>
      <c r="D6440" s="32" t="s">
        <v>17677</v>
      </c>
    </row>
    <row r="6441" spans="2:4" x14ac:dyDescent="0.3">
      <c r="B6441" s="33" t="s">
        <v>17678</v>
      </c>
      <c r="C6441" s="32" t="s">
        <v>17679</v>
      </c>
      <c r="D6441" s="32" t="s">
        <v>17680</v>
      </c>
    </row>
    <row r="6442" spans="2:4" x14ac:dyDescent="0.3">
      <c r="B6442" s="33" t="s">
        <v>17681</v>
      </c>
      <c r="C6442" s="32" t="s">
        <v>17682</v>
      </c>
      <c r="D6442" s="32" t="s">
        <v>17683</v>
      </c>
    </row>
    <row r="6443" spans="2:4" x14ac:dyDescent="0.3">
      <c r="B6443" s="33" t="s">
        <v>17669</v>
      </c>
      <c r="C6443" s="32" t="s">
        <v>17684</v>
      </c>
      <c r="D6443" s="32" t="s">
        <v>17685</v>
      </c>
    </row>
    <row r="6444" spans="2:4" x14ac:dyDescent="0.3">
      <c r="B6444" s="33" t="s">
        <v>17686</v>
      </c>
      <c r="C6444" s="32" t="s">
        <v>17687</v>
      </c>
      <c r="D6444" s="32" t="s">
        <v>17688</v>
      </c>
    </row>
    <row r="6445" spans="2:4" x14ac:dyDescent="0.3">
      <c r="B6445" s="33" t="s">
        <v>17689</v>
      </c>
      <c r="C6445" s="32" t="s">
        <v>17690</v>
      </c>
      <c r="D6445" s="32" t="s">
        <v>17691</v>
      </c>
    </row>
    <row r="6446" spans="2:4" x14ac:dyDescent="0.3">
      <c r="B6446" s="33" t="s">
        <v>17692</v>
      </c>
      <c r="C6446" s="32" t="s">
        <v>17693</v>
      </c>
      <c r="D6446" s="32" t="s">
        <v>17694</v>
      </c>
    </row>
    <row r="6447" spans="2:4" x14ac:dyDescent="0.3">
      <c r="B6447" s="33" t="s">
        <v>17695</v>
      </c>
      <c r="C6447" s="32" t="s">
        <v>17696</v>
      </c>
      <c r="D6447" s="32" t="s">
        <v>17697</v>
      </c>
    </row>
    <row r="6448" spans="2:4" x14ac:dyDescent="0.3">
      <c r="B6448" s="33" t="s">
        <v>17698</v>
      </c>
      <c r="C6448" s="32" t="s">
        <v>17699</v>
      </c>
      <c r="D6448" s="32" t="s">
        <v>17700</v>
      </c>
    </row>
    <row r="6449" spans="2:4" x14ac:dyDescent="0.3">
      <c r="B6449" s="33" t="s">
        <v>17701</v>
      </c>
      <c r="C6449" s="32" t="s">
        <v>17702</v>
      </c>
      <c r="D6449" s="32" t="s">
        <v>17703</v>
      </c>
    </row>
    <row r="6450" spans="2:4" x14ac:dyDescent="0.3">
      <c r="B6450" s="33" t="s">
        <v>17704</v>
      </c>
      <c r="C6450" s="32" t="s">
        <v>17705</v>
      </c>
      <c r="D6450" s="32" t="s">
        <v>17706</v>
      </c>
    </row>
    <row r="6451" spans="2:4" x14ac:dyDescent="0.3">
      <c r="B6451" s="33" t="s">
        <v>17707</v>
      </c>
      <c r="C6451" s="32" t="s">
        <v>17708</v>
      </c>
      <c r="D6451" s="32" t="s">
        <v>17709</v>
      </c>
    </row>
    <row r="6452" spans="2:4" x14ac:dyDescent="0.3">
      <c r="B6452" s="33" t="s">
        <v>17710</v>
      </c>
      <c r="C6452" s="32" t="s">
        <v>17711</v>
      </c>
      <c r="D6452" s="32" t="s">
        <v>17712</v>
      </c>
    </row>
    <row r="6453" spans="2:4" x14ac:dyDescent="0.3">
      <c r="B6453" s="33" t="s">
        <v>17710</v>
      </c>
      <c r="C6453" s="32" t="s">
        <v>17713</v>
      </c>
      <c r="D6453" s="32" t="s">
        <v>17714</v>
      </c>
    </row>
    <row r="6454" spans="2:4" x14ac:dyDescent="0.3">
      <c r="B6454" s="33" t="s">
        <v>17715</v>
      </c>
      <c r="C6454" s="32" t="s">
        <v>17716</v>
      </c>
      <c r="D6454" s="32" t="s">
        <v>17717</v>
      </c>
    </row>
    <row r="6455" spans="2:4" x14ac:dyDescent="0.3">
      <c r="B6455" s="33" t="s">
        <v>17718</v>
      </c>
      <c r="C6455" s="32" t="s">
        <v>17719</v>
      </c>
      <c r="D6455" s="32" t="s">
        <v>17720</v>
      </c>
    </row>
    <row r="6456" spans="2:4" x14ac:dyDescent="0.3">
      <c r="B6456" s="33" t="s">
        <v>17718</v>
      </c>
      <c r="C6456" s="32" t="s">
        <v>17721</v>
      </c>
      <c r="D6456" s="32" t="s">
        <v>17722</v>
      </c>
    </row>
    <row r="6457" spans="2:4" x14ac:dyDescent="0.3">
      <c r="B6457" s="33" t="s">
        <v>17723</v>
      </c>
      <c r="C6457" s="32" t="s">
        <v>17724</v>
      </c>
      <c r="D6457" s="32" t="s">
        <v>17725</v>
      </c>
    </row>
    <row r="6458" spans="2:4" x14ac:dyDescent="0.3">
      <c r="B6458" s="33" t="s">
        <v>17726</v>
      </c>
      <c r="C6458" s="32" t="s">
        <v>17727</v>
      </c>
      <c r="D6458" s="32" t="s">
        <v>17728</v>
      </c>
    </row>
    <row r="6459" spans="2:4" x14ac:dyDescent="0.3">
      <c r="B6459" s="33" t="s">
        <v>17729</v>
      </c>
      <c r="C6459" s="32" t="s">
        <v>17730</v>
      </c>
      <c r="D6459" s="32" t="s">
        <v>17731</v>
      </c>
    </row>
    <row r="6460" spans="2:4" x14ac:dyDescent="0.3">
      <c r="B6460" s="33" t="s">
        <v>17732</v>
      </c>
      <c r="C6460" s="32" t="s">
        <v>17733</v>
      </c>
      <c r="D6460" s="32" t="s">
        <v>17734</v>
      </c>
    </row>
    <row r="6461" spans="2:4" x14ac:dyDescent="0.3">
      <c r="B6461" s="33" t="s">
        <v>17735</v>
      </c>
      <c r="C6461" s="32" t="s">
        <v>17736</v>
      </c>
      <c r="D6461" s="32" t="s">
        <v>17737</v>
      </c>
    </row>
    <row r="6462" spans="2:4" x14ac:dyDescent="0.3">
      <c r="B6462" s="33" t="s">
        <v>17426</v>
      </c>
      <c r="C6462" s="32" t="s">
        <v>17738</v>
      </c>
      <c r="D6462" s="32" t="s">
        <v>17739</v>
      </c>
    </row>
    <row r="6463" spans="2:4" x14ac:dyDescent="0.3">
      <c r="B6463" s="33" t="s">
        <v>17740</v>
      </c>
      <c r="C6463" s="32" t="s">
        <v>17741</v>
      </c>
      <c r="D6463" s="32" t="s">
        <v>17742</v>
      </c>
    </row>
    <row r="6464" spans="2:4" x14ac:dyDescent="0.3">
      <c r="B6464" s="33" t="s">
        <v>17743</v>
      </c>
      <c r="C6464" s="32" t="s">
        <v>17744</v>
      </c>
      <c r="D6464" s="32" t="s">
        <v>17745</v>
      </c>
    </row>
    <row r="6465" spans="2:4" x14ac:dyDescent="0.3">
      <c r="B6465" s="33" t="s">
        <v>17746</v>
      </c>
      <c r="C6465" s="32" t="s">
        <v>17747</v>
      </c>
      <c r="D6465" s="32" t="s">
        <v>17748</v>
      </c>
    </row>
    <row r="6466" spans="2:4" x14ac:dyDescent="0.3">
      <c r="B6466" s="33" t="s">
        <v>17749</v>
      </c>
      <c r="C6466" s="32" t="s">
        <v>17750</v>
      </c>
      <c r="D6466" s="32" t="s">
        <v>17751</v>
      </c>
    </row>
    <row r="6467" spans="2:4" x14ac:dyDescent="0.3">
      <c r="B6467" s="33" t="s">
        <v>17752</v>
      </c>
      <c r="C6467" s="32" t="s">
        <v>17753</v>
      </c>
      <c r="D6467" s="32" t="s">
        <v>17754</v>
      </c>
    </row>
    <row r="6468" spans="2:4" x14ac:dyDescent="0.3">
      <c r="B6468" s="33" t="s">
        <v>17755</v>
      </c>
      <c r="C6468" s="32" t="s">
        <v>17756</v>
      </c>
      <c r="D6468" s="32" t="s">
        <v>37246</v>
      </c>
    </row>
    <row r="6469" spans="2:4" x14ac:dyDescent="0.3">
      <c r="B6469" s="33" t="s">
        <v>17755</v>
      </c>
      <c r="C6469" s="32" t="s">
        <v>17757</v>
      </c>
      <c r="D6469" s="32" t="s">
        <v>17758</v>
      </c>
    </row>
    <row r="6470" spans="2:4" x14ac:dyDescent="0.3">
      <c r="B6470" s="33" t="s">
        <v>17759</v>
      </c>
      <c r="C6470" s="32" t="s">
        <v>17760</v>
      </c>
      <c r="D6470" s="32" t="s">
        <v>17761</v>
      </c>
    </row>
    <row r="6471" spans="2:4" x14ac:dyDescent="0.3">
      <c r="B6471" s="33" t="s">
        <v>17762</v>
      </c>
      <c r="C6471" s="32" t="s">
        <v>17763</v>
      </c>
      <c r="D6471" s="32" t="s">
        <v>17764</v>
      </c>
    </row>
    <row r="6472" spans="2:4" x14ac:dyDescent="0.3">
      <c r="B6472" s="33" t="s">
        <v>17765</v>
      </c>
      <c r="C6472" s="32" t="s">
        <v>17766</v>
      </c>
      <c r="D6472" s="32" t="s">
        <v>17767</v>
      </c>
    </row>
    <row r="6473" spans="2:4" x14ac:dyDescent="0.3">
      <c r="B6473" s="33" t="s">
        <v>17768</v>
      </c>
      <c r="C6473" s="32" t="s">
        <v>17769</v>
      </c>
      <c r="D6473" s="32" t="s">
        <v>17770</v>
      </c>
    </row>
    <row r="6474" spans="2:4" x14ac:dyDescent="0.3">
      <c r="B6474" s="33" t="s">
        <v>17771</v>
      </c>
      <c r="C6474" s="32" t="s">
        <v>17772</v>
      </c>
      <c r="D6474" s="32" t="s">
        <v>17773</v>
      </c>
    </row>
    <row r="6475" spans="2:4" x14ac:dyDescent="0.3">
      <c r="B6475" s="33" t="s">
        <v>17774</v>
      </c>
      <c r="C6475" s="32" t="s">
        <v>17775</v>
      </c>
      <c r="D6475" s="32" t="s">
        <v>17776</v>
      </c>
    </row>
    <row r="6476" spans="2:4" x14ac:dyDescent="0.3">
      <c r="B6476" s="33" t="s">
        <v>17777</v>
      </c>
      <c r="C6476" s="32" t="s">
        <v>17778</v>
      </c>
      <c r="D6476" s="32" t="s">
        <v>17779</v>
      </c>
    </row>
    <row r="6477" spans="2:4" x14ac:dyDescent="0.3">
      <c r="B6477" s="33" t="s">
        <v>17780</v>
      </c>
      <c r="C6477" s="32" t="s">
        <v>17781</v>
      </c>
      <c r="D6477" s="32" t="s">
        <v>17782</v>
      </c>
    </row>
    <row r="6478" spans="2:4" x14ac:dyDescent="0.3">
      <c r="B6478" s="33" t="s">
        <v>17783</v>
      </c>
      <c r="C6478" s="32" t="s">
        <v>17784</v>
      </c>
      <c r="D6478" s="32" t="s">
        <v>17785</v>
      </c>
    </row>
    <row r="6479" spans="2:4" x14ac:dyDescent="0.3">
      <c r="B6479" s="33" t="s">
        <v>17786</v>
      </c>
      <c r="C6479" s="32" t="s">
        <v>17787</v>
      </c>
      <c r="D6479" s="32" t="s">
        <v>17788</v>
      </c>
    </row>
    <row r="6480" spans="2:4" x14ac:dyDescent="0.3">
      <c r="B6480" s="33" t="s">
        <v>17789</v>
      </c>
      <c r="C6480" s="32" t="s">
        <v>17790</v>
      </c>
      <c r="D6480" s="32" t="s">
        <v>17791</v>
      </c>
    </row>
    <row r="6481" spans="2:4" x14ac:dyDescent="0.3">
      <c r="B6481" s="33" t="s">
        <v>17792</v>
      </c>
      <c r="C6481" s="32" t="s">
        <v>17793</v>
      </c>
      <c r="D6481" s="32" t="s">
        <v>17794</v>
      </c>
    </row>
    <row r="6482" spans="2:4" x14ac:dyDescent="0.3">
      <c r="B6482" s="33" t="s">
        <v>17462</v>
      </c>
      <c r="C6482" s="32" t="s">
        <v>17795</v>
      </c>
      <c r="D6482" s="32" t="s">
        <v>17796</v>
      </c>
    </row>
    <row r="6483" spans="2:4" x14ac:dyDescent="0.3">
      <c r="B6483" s="33" t="s">
        <v>17797</v>
      </c>
      <c r="C6483" s="32" t="s">
        <v>17798</v>
      </c>
      <c r="D6483" s="32" t="s">
        <v>17799</v>
      </c>
    </row>
    <row r="6484" spans="2:4" x14ac:dyDescent="0.3">
      <c r="B6484" s="33" t="s">
        <v>17800</v>
      </c>
      <c r="C6484" s="32" t="s">
        <v>17801</v>
      </c>
      <c r="D6484" s="32" t="s">
        <v>17802</v>
      </c>
    </row>
    <row r="6485" spans="2:4" x14ac:dyDescent="0.3">
      <c r="B6485" s="33" t="s">
        <v>8390</v>
      </c>
      <c r="C6485" s="32" t="s">
        <v>17803</v>
      </c>
      <c r="D6485" s="32" t="s">
        <v>17804</v>
      </c>
    </row>
    <row r="6486" spans="2:4" x14ac:dyDescent="0.3">
      <c r="B6486" s="33" t="s">
        <v>17805</v>
      </c>
      <c r="C6486" s="32" t="s">
        <v>17806</v>
      </c>
      <c r="D6486" s="32" t="s">
        <v>17807</v>
      </c>
    </row>
    <row r="6487" spans="2:4" x14ac:dyDescent="0.3">
      <c r="B6487" s="33" t="s">
        <v>17808</v>
      </c>
      <c r="C6487" s="32" t="s">
        <v>17809</v>
      </c>
      <c r="D6487" s="32" t="s">
        <v>17810</v>
      </c>
    </row>
    <row r="6488" spans="2:4" x14ac:dyDescent="0.3">
      <c r="B6488" s="33" t="s">
        <v>17811</v>
      </c>
      <c r="C6488" s="32" t="s">
        <v>17812</v>
      </c>
      <c r="D6488" s="32" t="s">
        <v>17813</v>
      </c>
    </row>
    <row r="6489" spans="2:4" x14ac:dyDescent="0.3">
      <c r="B6489" s="33" t="s">
        <v>17814</v>
      </c>
      <c r="C6489" s="32" t="s">
        <v>17815</v>
      </c>
      <c r="D6489" s="32" t="s">
        <v>17816</v>
      </c>
    </row>
    <row r="6490" spans="2:4" x14ac:dyDescent="0.3">
      <c r="B6490" s="33" t="s">
        <v>17817</v>
      </c>
      <c r="C6490" s="32" t="s">
        <v>17818</v>
      </c>
      <c r="D6490" s="32" t="s">
        <v>17819</v>
      </c>
    </row>
    <row r="6491" spans="2:4" x14ac:dyDescent="0.3">
      <c r="B6491" s="33" t="s">
        <v>17820</v>
      </c>
      <c r="C6491" s="32" t="s">
        <v>17821</v>
      </c>
      <c r="D6491" s="32" t="s">
        <v>17822</v>
      </c>
    </row>
    <row r="6492" spans="2:4" x14ac:dyDescent="0.3">
      <c r="B6492" s="33" t="s">
        <v>17823</v>
      </c>
      <c r="C6492" s="32" t="s">
        <v>17824</v>
      </c>
      <c r="D6492" s="32" t="s">
        <v>17825</v>
      </c>
    </row>
    <row r="6493" spans="2:4" x14ac:dyDescent="0.3">
      <c r="B6493" s="33" t="s">
        <v>17826</v>
      </c>
      <c r="C6493" s="32" t="s">
        <v>17827</v>
      </c>
      <c r="D6493" s="32" t="s">
        <v>17828</v>
      </c>
    </row>
    <row r="6494" spans="2:4" x14ac:dyDescent="0.3">
      <c r="B6494" s="33" t="s">
        <v>17829</v>
      </c>
      <c r="C6494" s="32" t="s">
        <v>17830</v>
      </c>
      <c r="D6494" s="32" t="s">
        <v>17831</v>
      </c>
    </row>
    <row r="6495" spans="2:4" x14ac:dyDescent="0.3">
      <c r="B6495" s="33" t="s">
        <v>17704</v>
      </c>
      <c r="C6495" s="32" t="s">
        <v>17832</v>
      </c>
      <c r="D6495" s="32" t="s">
        <v>17833</v>
      </c>
    </row>
    <row r="6496" spans="2:4" x14ac:dyDescent="0.3">
      <c r="B6496" s="33" t="s">
        <v>17834</v>
      </c>
      <c r="C6496" s="32" t="s">
        <v>17835</v>
      </c>
      <c r="D6496" s="32" t="s">
        <v>17836</v>
      </c>
    </row>
    <row r="6497" spans="2:4" x14ac:dyDescent="0.3">
      <c r="B6497" s="33" t="s">
        <v>17837</v>
      </c>
      <c r="C6497" s="32" t="s">
        <v>17838</v>
      </c>
      <c r="D6497" s="32" t="s">
        <v>17839</v>
      </c>
    </row>
    <row r="6498" spans="2:4" x14ac:dyDescent="0.3">
      <c r="B6498" s="33" t="s">
        <v>17840</v>
      </c>
      <c r="C6498" s="32" t="s">
        <v>17841</v>
      </c>
      <c r="D6498" s="32" t="s">
        <v>17842</v>
      </c>
    </row>
    <row r="6499" spans="2:4" x14ac:dyDescent="0.3">
      <c r="B6499" s="33" t="s">
        <v>17843</v>
      </c>
      <c r="C6499" s="32" t="s">
        <v>17844</v>
      </c>
      <c r="D6499" s="32" t="s">
        <v>17845</v>
      </c>
    </row>
    <row r="6500" spans="2:4" x14ac:dyDescent="0.3">
      <c r="B6500" s="33" t="s">
        <v>17846</v>
      </c>
      <c r="C6500" s="32" t="s">
        <v>17847</v>
      </c>
      <c r="D6500" s="32" t="s">
        <v>17848</v>
      </c>
    </row>
    <row r="6501" spans="2:4" x14ac:dyDescent="0.3">
      <c r="B6501" s="33" t="s">
        <v>17849</v>
      </c>
      <c r="C6501" s="32" t="s">
        <v>17850</v>
      </c>
      <c r="D6501" s="32" t="s">
        <v>17851</v>
      </c>
    </row>
    <row r="6502" spans="2:4" x14ac:dyDescent="0.3">
      <c r="B6502" s="33" t="s">
        <v>37247</v>
      </c>
      <c r="C6502" s="32" t="s">
        <v>37248</v>
      </c>
      <c r="D6502" s="32" t="s">
        <v>37249</v>
      </c>
    </row>
    <row r="6503" spans="2:4" x14ac:dyDescent="0.3">
      <c r="B6503" s="33" t="s">
        <v>17852</v>
      </c>
      <c r="C6503" s="32" t="s">
        <v>17853</v>
      </c>
      <c r="D6503" s="32" t="s">
        <v>17854</v>
      </c>
    </row>
    <row r="6504" spans="2:4" x14ac:dyDescent="0.3">
      <c r="B6504" s="33" t="s">
        <v>17855</v>
      </c>
      <c r="C6504" s="32" t="s">
        <v>17856</v>
      </c>
      <c r="D6504" s="32" t="s">
        <v>17857</v>
      </c>
    </row>
    <row r="6505" spans="2:4" x14ac:dyDescent="0.3">
      <c r="B6505" s="33" t="s">
        <v>17858</v>
      </c>
      <c r="C6505" s="32" t="s">
        <v>17859</v>
      </c>
      <c r="D6505" s="32" t="s">
        <v>17860</v>
      </c>
    </row>
    <row r="6506" spans="2:4" x14ac:dyDescent="0.3">
      <c r="B6506" s="33" t="s">
        <v>17861</v>
      </c>
      <c r="C6506" s="32" t="s">
        <v>17862</v>
      </c>
      <c r="D6506" s="32" t="s">
        <v>17863</v>
      </c>
    </row>
    <row r="6507" spans="2:4" x14ac:dyDescent="0.3">
      <c r="B6507" s="33" t="s">
        <v>17864</v>
      </c>
      <c r="C6507" s="32" t="s">
        <v>17865</v>
      </c>
      <c r="D6507" s="32" t="s">
        <v>17866</v>
      </c>
    </row>
    <row r="6508" spans="2:4" x14ac:dyDescent="0.3">
      <c r="B6508" s="33" t="s">
        <v>17867</v>
      </c>
      <c r="C6508" s="32" t="s">
        <v>17868</v>
      </c>
      <c r="D6508" s="32" t="s">
        <v>17869</v>
      </c>
    </row>
    <row r="6509" spans="2:4" x14ac:dyDescent="0.3">
      <c r="B6509" s="33" t="s">
        <v>17870</v>
      </c>
      <c r="C6509" s="32" t="s">
        <v>17871</v>
      </c>
      <c r="D6509" s="32" t="s">
        <v>17872</v>
      </c>
    </row>
    <row r="6510" spans="2:4" x14ac:dyDescent="0.3">
      <c r="B6510" s="33" t="s">
        <v>17873</v>
      </c>
      <c r="C6510" s="32" t="s">
        <v>17874</v>
      </c>
      <c r="D6510" s="32" t="s">
        <v>17875</v>
      </c>
    </row>
    <row r="6511" spans="2:4" x14ac:dyDescent="0.3">
      <c r="B6511" s="33" t="s">
        <v>17876</v>
      </c>
      <c r="C6511" s="32" t="s">
        <v>17877</v>
      </c>
      <c r="D6511" s="32" t="s">
        <v>17878</v>
      </c>
    </row>
    <row r="6512" spans="2:4" x14ac:dyDescent="0.3">
      <c r="B6512" s="33" t="s">
        <v>17879</v>
      </c>
      <c r="C6512" s="32" t="s">
        <v>17880</v>
      </c>
      <c r="D6512" s="32" t="s">
        <v>17881</v>
      </c>
    </row>
    <row r="6513" spans="2:4" x14ac:dyDescent="0.3">
      <c r="B6513" s="33" t="s">
        <v>17882</v>
      </c>
      <c r="C6513" s="32" t="s">
        <v>17883</v>
      </c>
      <c r="D6513" s="32" t="s">
        <v>17884</v>
      </c>
    </row>
    <row r="6514" spans="2:4" x14ac:dyDescent="0.3">
      <c r="B6514" s="33" t="s">
        <v>17885</v>
      </c>
      <c r="C6514" s="32" t="s">
        <v>17886</v>
      </c>
      <c r="D6514" s="32" t="s">
        <v>17887</v>
      </c>
    </row>
    <row r="6515" spans="2:4" x14ac:dyDescent="0.3">
      <c r="B6515" s="33" t="s">
        <v>17888</v>
      </c>
      <c r="C6515" s="32" t="s">
        <v>17889</v>
      </c>
      <c r="D6515" s="32" t="s">
        <v>17890</v>
      </c>
    </row>
    <row r="6516" spans="2:4" x14ac:dyDescent="0.3">
      <c r="B6516" s="33" t="s">
        <v>17891</v>
      </c>
      <c r="C6516" s="32" t="s">
        <v>17892</v>
      </c>
      <c r="D6516" s="32" t="s">
        <v>17893</v>
      </c>
    </row>
    <row r="6517" spans="2:4" x14ac:dyDescent="0.3">
      <c r="B6517" s="33" t="s">
        <v>9926</v>
      </c>
      <c r="C6517" s="32" t="s">
        <v>17894</v>
      </c>
      <c r="D6517" s="32" t="s">
        <v>17895</v>
      </c>
    </row>
    <row r="6518" spans="2:4" x14ac:dyDescent="0.3">
      <c r="B6518" s="33" t="s">
        <v>17499</v>
      </c>
      <c r="C6518" s="32" t="s">
        <v>17896</v>
      </c>
      <c r="D6518" s="32" t="s">
        <v>17897</v>
      </c>
    </row>
    <row r="6519" spans="2:4" x14ac:dyDescent="0.3">
      <c r="B6519" s="33" t="s">
        <v>4503</v>
      </c>
      <c r="C6519" s="32" t="s">
        <v>17898</v>
      </c>
      <c r="D6519" s="32" t="s">
        <v>17899</v>
      </c>
    </row>
    <row r="6520" spans="2:4" x14ac:dyDescent="0.3">
      <c r="B6520" s="33" t="s">
        <v>4503</v>
      </c>
      <c r="C6520" s="32" t="s">
        <v>17900</v>
      </c>
      <c r="D6520" s="32" t="s">
        <v>17901</v>
      </c>
    </row>
    <row r="6521" spans="2:4" x14ac:dyDescent="0.3">
      <c r="B6521" s="33" t="s">
        <v>4503</v>
      </c>
      <c r="C6521" s="32" t="s">
        <v>17902</v>
      </c>
      <c r="D6521" s="32" t="s">
        <v>17903</v>
      </c>
    </row>
    <row r="6522" spans="2:4" x14ac:dyDescent="0.3">
      <c r="B6522" s="33" t="s">
        <v>4503</v>
      </c>
      <c r="C6522" s="32" t="s">
        <v>17904</v>
      </c>
      <c r="D6522" s="32" t="s">
        <v>17905</v>
      </c>
    </row>
    <row r="6523" spans="2:4" x14ac:dyDescent="0.3">
      <c r="B6523" s="33" t="s">
        <v>17906</v>
      </c>
      <c r="C6523" s="32" t="s">
        <v>17907</v>
      </c>
      <c r="D6523" s="32" t="s">
        <v>17908</v>
      </c>
    </row>
    <row r="6524" spans="2:4" x14ac:dyDescent="0.3">
      <c r="B6524" s="33" t="s">
        <v>4503</v>
      </c>
      <c r="C6524" s="32" t="s">
        <v>17909</v>
      </c>
      <c r="D6524" s="32" t="s">
        <v>17910</v>
      </c>
    </row>
    <row r="6525" spans="2:4" x14ac:dyDescent="0.3">
      <c r="B6525" s="33" t="s">
        <v>17911</v>
      </c>
      <c r="C6525" s="32" t="s">
        <v>17912</v>
      </c>
      <c r="D6525" s="32" t="s">
        <v>17913</v>
      </c>
    </row>
    <row r="6526" spans="2:4" x14ac:dyDescent="0.3">
      <c r="B6526" s="33" t="s">
        <v>17914</v>
      </c>
      <c r="C6526" s="32" t="s">
        <v>17915</v>
      </c>
      <c r="D6526" s="32" t="s">
        <v>17916</v>
      </c>
    </row>
    <row r="6527" spans="2:4" x14ac:dyDescent="0.3">
      <c r="B6527" s="33" t="s">
        <v>17917</v>
      </c>
      <c r="C6527" s="32" t="s">
        <v>17918</v>
      </c>
      <c r="D6527" s="32" t="s">
        <v>17919</v>
      </c>
    </row>
    <row r="6528" spans="2:4" x14ac:dyDescent="0.3">
      <c r="B6528" s="33" t="s">
        <v>17920</v>
      </c>
      <c r="C6528" s="32" t="s">
        <v>17921</v>
      </c>
      <c r="D6528" s="32" t="s">
        <v>17922</v>
      </c>
    </row>
    <row r="6529" spans="2:4" x14ac:dyDescent="0.3">
      <c r="B6529" s="33" t="s">
        <v>17923</v>
      </c>
      <c r="C6529" s="32" t="s">
        <v>17924</v>
      </c>
      <c r="D6529" s="32" t="s">
        <v>17925</v>
      </c>
    </row>
    <row r="6530" spans="2:4" x14ac:dyDescent="0.3">
      <c r="B6530" s="33" t="s">
        <v>17926</v>
      </c>
      <c r="C6530" s="32" t="s">
        <v>17927</v>
      </c>
      <c r="D6530" s="32" t="s">
        <v>17928</v>
      </c>
    </row>
    <row r="6531" spans="2:4" x14ac:dyDescent="0.3">
      <c r="B6531" s="33" t="s">
        <v>15892</v>
      </c>
      <c r="C6531" s="32" t="s">
        <v>17929</v>
      </c>
      <c r="D6531" s="32" t="s">
        <v>17930</v>
      </c>
    </row>
    <row r="6532" spans="2:4" x14ac:dyDescent="0.3">
      <c r="B6532" s="33" t="s">
        <v>17931</v>
      </c>
      <c r="C6532" s="32" t="s">
        <v>17932</v>
      </c>
      <c r="D6532" s="32" t="s">
        <v>17933</v>
      </c>
    </row>
    <row r="6533" spans="2:4" x14ac:dyDescent="0.3">
      <c r="B6533" s="33" t="s">
        <v>17934</v>
      </c>
      <c r="C6533" s="32" t="s">
        <v>17935</v>
      </c>
      <c r="D6533" s="32" t="s">
        <v>17936</v>
      </c>
    </row>
    <row r="6534" spans="2:4" x14ac:dyDescent="0.3">
      <c r="B6534" s="33" t="s">
        <v>17937</v>
      </c>
      <c r="C6534" s="32" t="s">
        <v>17938</v>
      </c>
      <c r="D6534" s="32" t="s">
        <v>17939</v>
      </c>
    </row>
    <row r="6535" spans="2:4" x14ac:dyDescent="0.3">
      <c r="B6535" s="33" t="s">
        <v>17940</v>
      </c>
      <c r="C6535" s="32" t="s">
        <v>17941</v>
      </c>
      <c r="D6535" s="32" t="s">
        <v>17942</v>
      </c>
    </row>
    <row r="6536" spans="2:4" x14ac:dyDescent="0.3">
      <c r="B6536" s="33" t="s">
        <v>17943</v>
      </c>
      <c r="C6536" s="32" t="s">
        <v>17944</v>
      </c>
      <c r="D6536" s="32" t="s">
        <v>17945</v>
      </c>
    </row>
    <row r="6537" spans="2:4" x14ac:dyDescent="0.3">
      <c r="B6537" s="33" t="s">
        <v>17946</v>
      </c>
      <c r="C6537" s="32" t="s">
        <v>17947</v>
      </c>
      <c r="D6537" s="32" t="s">
        <v>17948</v>
      </c>
    </row>
    <row r="6538" spans="2:4" x14ac:dyDescent="0.3">
      <c r="B6538" s="33" t="s">
        <v>17949</v>
      </c>
      <c r="C6538" s="32" t="s">
        <v>17950</v>
      </c>
      <c r="D6538" s="32" t="s">
        <v>17951</v>
      </c>
    </row>
    <row r="6539" spans="2:4" x14ac:dyDescent="0.3">
      <c r="B6539" s="33" t="s">
        <v>17923</v>
      </c>
      <c r="C6539" s="32" t="s">
        <v>17952</v>
      </c>
      <c r="D6539" s="32" t="s">
        <v>17953</v>
      </c>
    </row>
    <row r="6540" spans="2:4" x14ac:dyDescent="0.3">
      <c r="B6540" s="33" t="s">
        <v>17954</v>
      </c>
      <c r="C6540" s="32" t="s">
        <v>17955</v>
      </c>
      <c r="D6540" s="32" t="s">
        <v>17956</v>
      </c>
    </row>
    <row r="6541" spans="2:4" x14ac:dyDescent="0.3">
      <c r="B6541" s="33" t="s">
        <v>17957</v>
      </c>
      <c r="C6541" s="32" t="s">
        <v>17958</v>
      </c>
      <c r="D6541" s="32" t="s">
        <v>17959</v>
      </c>
    </row>
    <row r="6542" spans="2:4" x14ac:dyDescent="0.3">
      <c r="B6542" s="33" t="s">
        <v>17960</v>
      </c>
      <c r="C6542" s="32" t="s">
        <v>17961</v>
      </c>
      <c r="D6542" s="32" t="s">
        <v>17962</v>
      </c>
    </row>
    <row r="6543" spans="2:4" x14ac:dyDescent="0.3">
      <c r="B6543" s="33" t="s">
        <v>17963</v>
      </c>
      <c r="C6543" s="32" t="s">
        <v>17964</v>
      </c>
      <c r="D6543" s="32" t="s">
        <v>17965</v>
      </c>
    </row>
    <row r="6544" spans="2:4" x14ac:dyDescent="0.3">
      <c r="B6544" s="33" t="s">
        <v>17966</v>
      </c>
      <c r="C6544" s="32" t="s">
        <v>17967</v>
      </c>
      <c r="D6544" s="32" t="s">
        <v>17968</v>
      </c>
    </row>
    <row r="6545" spans="2:4" x14ac:dyDescent="0.3">
      <c r="B6545" s="33" t="s">
        <v>17969</v>
      </c>
      <c r="C6545" s="32" t="s">
        <v>17970</v>
      </c>
      <c r="D6545" s="32" t="s">
        <v>17971</v>
      </c>
    </row>
    <row r="6546" spans="2:4" x14ac:dyDescent="0.3">
      <c r="B6546" s="33" t="s">
        <v>17972</v>
      </c>
      <c r="C6546" s="32" t="s">
        <v>17973</v>
      </c>
      <c r="D6546" s="32" t="s">
        <v>17974</v>
      </c>
    </row>
    <row r="6547" spans="2:4" x14ac:dyDescent="0.3">
      <c r="B6547" s="33" t="s">
        <v>7208</v>
      </c>
      <c r="C6547" s="32" t="s">
        <v>17975</v>
      </c>
      <c r="D6547" s="32" t="s">
        <v>17976</v>
      </c>
    </row>
    <row r="6548" spans="2:4" x14ac:dyDescent="0.3">
      <c r="B6548" s="33" t="s">
        <v>7208</v>
      </c>
      <c r="C6548" s="32" t="s">
        <v>17977</v>
      </c>
      <c r="D6548" s="32" t="s">
        <v>17978</v>
      </c>
    </row>
    <row r="6549" spans="2:4" x14ac:dyDescent="0.3">
      <c r="B6549" s="33" t="s">
        <v>17979</v>
      </c>
      <c r="C6549" s="32" t="s">
        <v>17980</v>
      </c>
      <c r="D6549" s="32" t="s">
        <v>17981</v>
      </c>
    </row>
    <row r="6550" spans="2:4" x14ac:dyDescent="0.3">
      <c r="B6550" s="33" t="s">
        <v>17982</v>
      </c>
      <c r="C6550" s="32" t="s">
        <v>17983</v>
      </c>
      <c r="D6550" s="32" t="s">
        <v>17984</v>
      </c>
    </row>
    <row r="6551" spans="2:4" x14ac:dyDescent="0.3">
      <c r="B6551" s="33" t="s">
        <v>17985</v>
      </c>
      <c r="C6551" s="32" t="s">
        <v>17986</v>
      </c>
      <c r="D6551" s="32" t="s">
        <v>17987</v>
      </c>
    </row>
    <row r="6552" spans="2:4" x14ac:dyDescent="0.3">
      <c r="B6552" s="33" t="s">
        <v>17988</v>
      </c>
      <c r="C6552" s="32" t="s">
        <v>17989</v>
      </c>
      <c r="D6552" s="32" t="s">
        <v>17990</v>
      </c>
    </row>
    <row r="6553" spans="2:4" x14ac:dyDescent="0.3">
      <c r="B6553" s="33" t="s">
        <v>17991</v>
      </c>
      <c r="C6553" s="32" t="s">
        <v>17992</v>
      </c>
      <c r="D6553" s="32" t="s">
        <v>17993</v>
      </c>
    </row>
    <row r="6554" spans="2:4" x14ac:dyDescent="0.3">
      <c r="B6554" s="33" t="s">
        <v>17994</v>
      </c>
      <c r="C6554" s="32" t="s">
        <v>17995</v>
      </c>
      <c r="D6554" s="32" t="s">
        <v>17996</v>
      </c>
    </row>
    <row r="6555" spans="2:4" x14ac:dyDescent="0.3">
      <c r="B6555" s="33" t="s">
        <v>17997</v>
      </c>
      <c r="C6555" s="32" t="s">
        <v>17998</v>
      </c>
      <c r="D6555" s="32" t="s">
        <v>17999</v>
      </c>
    </row>
    <row r="6556" spans="2:4" x14ac:dyDescent="0.3">
      <c r="B6556" s="33" t="s">
        <v>18000</v>
      </c>
      <c r="C6556" s="32" t="s">
        <v>18001</v>
      </c>
      <c r="D6556" s="32" t="s">
        <v>18002</v>
      </c>
    </row>
    <row r="6557" spans="2:4" x14ac:dyDescent="0.3">
      <c r="B6557" s="33" t="s">
        <v>18003</v>
      </c>
      <c r="C6557" s="32" t="s">
        <v>18004</v>
      </c>
      <c r="D6557" s="32" t="s">
        <v>18005</v>
      </c>
    </row>
    <row r="6558" spans="2:4" x14ac:dyDescent="0.3">
      <c r="B6558" s="33" t="s">
        <v>18006</v>
      </c>
      <c r="C6558" s="32" t="s">
        <v>18007</v>
      </c>
      <c r="D6558" s="32" t="s">
        <v>18006</v>
      </c>
    </row>
    <row r="6559" spans="2:4" x14ac:dyDescent="0.3">
      <c r="B6559" s="33" t="s">
        <v>18008</v>
      </c>
      <c r="C6559" s="32" t="s">
        <v>18009</v>
      </c>
      <c r="D6559" s="32" t="s">
        <v>18010</v>
      </c>
    </row>
    <row r="6560" spans="2:4" x14ac:dyDescent="0.3">
      <c r="B6560" s="33" t="s">
        <v>18011</v>
      </c>
      <c r="C6560" s="32" t="s">
        <v>18012</v>
      </c>
      <c r="D6560" s="32" t="s">
        <v>18013</v>
      </c>
    </row>
    <row r="6561" spans="2:4" x14ac:dyDescent="0.3">
      <c r="B6561" s="33" t="s">
        <v>18014</v>
      </c>
      <c r="C6561" s="32" t="s">
        <v>18015</v>
      </c>
      <c r="D6561" s="32" t="s">
        <v>18016</v>
      </c>
    </row>
    <row r="6562" spans="2:4" x14ac:dyDescent="0.3">
      <c r="B6562" s="33" t="s">
        <v>18014</v>
      </c>
      <c r="C6562" s="32" t="s">
        <v>18017</v>
      </c>
      <c r="D6562" s="32" t="s">
        <v>18018</v>
      </c>
    </row>
    <row r="6563" spans="2:4" x14ac:dyDescent="0.3">
      <c r="B6563" s="33" t="s">
        <v>18019</v>
      </c>
      <c r="C6563" s="32" t="s">
        <v>18020</v>
      </c>
      <c r="D6563" s="32" t="s">
        <v>18021</v>
      </c>
    </row>
    <row r="6564" spans="2:4" x14ac:dyDescent="0.3">
      <c r="B6564" s="33" t="s">
        <v>18022</v>
      </c>
      <c r="C6564" s="32" t="s">
        <v>18023</v>
      </c>
      <c r="D6564" s="32" t="s">
        <v>18024</v>
      </c>
    </row>
    <row r="6565" spans="2:4" x14ac:dyDescent="0.3">
      <c r="B6565" s="33" t="s">
        <v>18025</v>
      </c>
      <c r="C6565" s="32" t="s">
        <v>18026</v>
      </c>
      <c r="D6565" s="32" t="s">
        <v>18025</v>
      </c>
    </row>
    <row r="6566" spans="2:4" x14ac:dyDescent="0.3">
      <c r="B6566" s="33" t="s">
        <v>15061</v>
      </c>
      <c r="C6566" s="32" t="s">
        <v>18027</v>
      </c>
      <c r="D6566" s="32" t="s">
        <v>18028</v>
      </c>
    </row>
    <row r="6567" spans="2:4" x14ac:dyDescent="0.3">
      <c r="B6567" s="33" t="s">
        <v>18029</v>
      </c>
      <c r="C6567" s="32" t="s">
        <v>18030</v>
      </c>
      <c r="D6567" s="32" t="s">
        <v>18031</v>
      </c>
    </row>
    <row r="6568" spans="2:4" x14ac:dyDescent="0.3">
      <c r="B6568" s="33" t="s">
        <v>18032</v>
      </c>
      <c r="C6568" s="32" t="s">
        <v>18033</v>
      </c>
      <c r="D6568" s="32" t="s">
        <v>18034</v>
      </c>
    </row>
    <row r="6569" spans="2:4" x14ac:dyDescent="0.3">
      <c r="B6569" s="33" t="s">
        <v>18035</v>
      </c>
      <c r="C6569" s="32" t="s">
        <v>18036</v>
      </c>
      <c r="D6569" s="32" t="s">
        <v>18037</v>
      </c>
    </row>
    <row r="6570" spans="2:4" x14ac:dyDescent="0.3">
      <c r="B6570" s="33" t="s">
        <v>17526</v>
      </c>
      <c r="C6570" s="32" t="s">
        <v>18038</v>
      </c>
      <c r="D6570" s="32" t="s">
        <v>18039</v>
      </c>
    </row>
    <row r="6571" spans="2:4" x14ac:dyDescent="0.3">
      <c r="B6571" s="33" t="s">
        <v>18040</v>
      </c>
      <c r="C6571" s="32" t="s">
        <v>18041</v>
      </c>
      <c r="D6571" s="32" t="s">
        <v>18042</v>
      </c>
    </row>
    <row r="6572" spans="2:4" x14ac:dyDescent="0.3">
      <c r="B6572" s="33" t="s">
        <v>18043</v>
      </c>
      <c r="C6572" s="32" t="s">
        <v>18044</v>
      </c>
      <c r="D6572" s="32" t="s">
        <v>18045</v>
      </c>
    </row>
    <row r="6573" spans="2:4" x14ac:dyDescent="0.3">
      <c r="B6573" s="33" t="s">
        <v>18046</v>
      </c>
      <c r="C6573" s="32" t="s">
        <v>18047</v>
      </c>
      <c r="D6573" s="32" t="s">
        <v>18048</v>
      </c>
    </row>
    <row r="6574" spans="2:4" x14ac:dyDescent="0.3">
      <c r="B6574" s="33" t="s">
        <v>18049</v>
      </c>
      <c r="C6574" s="32" t="s">
        <v>18050</v>
      </c>
      <c r="D6574" s="32" t="s">
        <v>18051</v>
      </c>
    </row>
    <row r="6575" spans="2:4" x14ac:dyDescent="0.3">
      <c r="B6575" s="33" t="s">
        <v>18052</v>
      </c>
      <c r="C6575" s="32" t="s">
        <v>18053</v>
      </c>
      <c r="D6575" s="32" t="s">
        <v>18054</v>
      </c>
    </row>
    <row r="6576" spans="2:4" x14ac:dyDescent="0.3">
      <c r="B6576" s="33" t="s">
        <v>18055</v>
      </c>
      <c r="C6576" s="32" t="s">
        <v>18056</v>
      </c>
      <c r="D6576" s="32" t="s">
        <v>18057</v>
      </c>
    </row>
    <row r="6577" spans="2:4" x14ac:dyDescent="0.3">
      <c r="B6577" s="33" t="s">
        <v>18058</v>
      </c>
      <c r="C6577" s="32" t="s">
        <v>18059</v>
      </c>
      <c r="D6577" s="32" t="s">
        <v>18060</v>
      </c>
    </row>
    <row r="6578" spans="2:4" x14ac:dyDescent="0.3">
      <c r="B6578" s="33" t="s">
        <v>18061</v>
      </c>
      <c r="C6578" s="32" t="s">
        <v>18062</v>
      </c>
      <c r="D6578" s="32" t="s">
        <v>18063</v>
      </c>
    </row>
    <row r="6579" spans="2:4" x14ac:dyDescent="0.3">
      <c r="B6579" s="33" t="s">
        <v>18064</v>
      </c>
      <c r="C6579" s="32" t="s">
        <v>18065</v>
      </c>
      <c r="D6579" s="32" t="s">
        <v>18066</v>
      </c>
    </row>
    <row r="6580" spans="2:4" x14ac:dyDescent="0.3">
      <c r="B6580" s="33" t="s">
        <v>18067</v>
      </c>
      <c r="C6580" s="32" t="s">
        <v>18068</v>
      </c>
      <c r="D6580" s="32" t="s">
        <v>18069</v>
      </c>
    </row>
    <row r="6581" spans="2:4" x14ac:dyDescent="0.3">
      <c r="B6581" s="33" t="s">
        <v>18070</v>
      </c>
      <c r="C6581" s="32" t="s">
        <v>18071</v>
      </c>
      <c r="D6581" s="32" t="s">
        <v>18072</v>
      </c>
    </row>
    <row r="6582" spans="2:4" x14ac:dyDescent="0.3">
      <c r="B6582" s="33" t="s">
        <v>18073</v>
      </c>
      <c r="C6582" s="32" t="s">
        <v>18074</v>
      </c>
      <c r="D6582" s="32" t="s">
        <v>18075</v>
      </c>
    </row>
    <row r="6583" spans="2:4" x14ac:dyDescent="0.3">
      <c r="B6583" s="33" t="s">
        <v>37250</v>
      </c>
      <c r="C6583" s="32" t="s">
        <v>37251</v>
      </c>
      <c r="D6583" s="32" t="s">
        <v>37252</v>
      </c>
    </row>
    <row r="6584" spans="2:4" x14ac:dyDescent="0.3">
      <c r="B6584" s="33" t="s">
        <v>18076</v>
      </c>
      <c r="C6584" s="32" t="s">
        <v>18077</v>
      </c>
      <c r="D6584" s="32" t="s">
        <v>18078</v>
      </c>
    </row>
    <row r="6585" spans="2:4" x14ac:dyDescent="0.3">
      <c r="B6585" s="33" t="s">
        <v>18079</v>
      </c>
      <c r="C6585" s="32" t="s">
        <v>18080</v>
      </c>
      <c r="D6585" s="32" t="s">
        <v>18081</v>
      </c>
    </row>
    <row r="6586" spans="2:4" x14ac:dyDescent="0.3">
      <c r="B6586" s="33" t="s">
        <v>37413</v>
      </c>
      <c r="C6586" s="32" t="s">
        <v>37414</v>
      </c>
      <c r="D6586" s="32" t="s">
        <v>37415</v>
      </c>
    </row>
    <row r="6587" spans="2:4" x14ac:dyDescent="0.3">
      <c r="B6587" s="33" t="s">
        <v>17777</v>
      </c>
      <c r="C6587" s="32" t="s">
        <v>18082</v>
      </c>
      <c r="D6587" s="32" t="s">
        <v>18083</v>
      </c>
    </row>
    <row r="6588" spans="2:4" x14ac:dyDescent="0.3">
      <c r="B6588" s="33" t="s">
        <v>18084</v>
      </c>
      <c r="C6588" s="32" t="s">
        <v>18085</v>
      </c>
      <c r="D6588" s="32" t="s">
        <v>18086</v>
      </c>
    </row>
    <row r="6589" spans="2:4" x14ac:dyDescent="0.3">
      <c r="B6589" s="33" t="s">
        <v>18087</v>
      </c>
      <c r="C6589" s="32" t="s">
        <v>18088</v>
      </c>
      <c r="D6589" s="32" t="s">
        <v>18087</v>
      </c>
    </row>
    <row r="6590" spans="2:4" x14ac:dyDescent="0.3">
      <c r="B6590" s="33" t="s">
        <v>18089</v>
      </c>
      <c r="C6590" s="32" t="s">
        <v>18090</v>
      </c>
      <c r="D6590" s="32" t="s">
        <v>18091</v>
      </c>
    </row>
    <row r="6591" spans="2:4" x14ac:dyDescent="0.3">
      <c r="B6591" s="33" t="s">
        <v>18092</v>
      </c>
      <c r="C6591" s="32" t="s">
        <v>18093</v>
      </c>
      <c r="D6591" s="32" t="s">
        <v>18094</v>
      </c>
    </row>
    <row r="6592" spans="2:4" x14ac:dyDescent="0.3">
      <c r="B6592" s="33" t="s">
        <v>18095</v>
      </c>
      <c r="C6592" s="32" t="s">
        <v>18096</v>
      </c>
      <c r="D6592" s="32" t="s">
        <v>18097</v>
      </c>
    </row>
    <row r="6593" spans="2:4" x14ac:dyDescent="0.3">
      <c r="B6593" s="33" t="s">
        <v>37253</v>
      </c>
      <c r="C6593" s="32" t="s">
        <v>37254</v>
      </c>
      <c r="D6593" s="32" t="s">
        <v>37255</v>
      </c>
    </row>
    <row r="6594" spans="2:4" x14ac:dyDescent="0.3">
      <c r="B6594" s="33" t="s">
        <v>18098</v>
      </c>
      <c r="C6594" s="32" t="s">
        <v>18099</v>
      </c>
      <c r="D6594" s="32" t="s">
        <v>18100</v>
      </c>
    </row>
    <row r="6595" spans="2:4" x14ac:dyDescent="0.3">
      <c r="B6595" s="33" t="s">
        <v>17726</v>
      </c>
      <c r="C6595" s="32" t="s">
        <v>18101</v>
      </c>
      <c r="D6595" s="32" t="s">
        <v>18102</v>
      </c>
    </row>
    <row r="6596" spans="2:4" x14ac:dyDescent="0.3">
      <c r="B6596" s="33" t="s">
        <v>18103</v>
      </c>
      <c r="C6596" s="32" t="s">
        <v>18104</v>
      </c>
      <c r="D6596" s="32" t="s">
        <v>18105</v>
      </c>
    </row>
    <row r="6597" spans="2:4" x14ac:dyDescent="0.3">
      <c r="B6597" s="33" t="s">
        <v>18106</v>
      </c>
      <c r="C6597" s="32" t="s">
        <v>18107</v>
      </c>
      <c r="D6597" s="32" t="s">
        <v>18108</v>
      </c>
    </row>
    <row r="6598" spans="2:4" x14ac:dyDescent="0.3">
      <c r="B6598" s="33" t="s">
        <v>18109</v>
      </c>
      <c r="C6598" s="32" t="s">
        <v>18110</v>
      </c>
      <c r="D6598" s="32" t="s">
        <v>18109</v>
      </c>
    </row>
    <row r="6599" spans="2:4" x14ac:dyDescent="0.3">
      <c r="B6599" s="33" t="s">
        <v>18111</v>
      </c>
      <c r="C6599" s="32" t="s">
        <v>18112</v>
      </c>
      <c r="D6599" s="32" t="s">
        <v>18113</v>
      </c>
    </row>
    <row r="6600" spans="2:4" x14ac:dyDescent="0.3">
      <c r="B6600" s="33" t="s">
        <v>18114</v>
      </c>
      <c r="C6600" s="32" t="s">
        <v>18115</v>
      </c>
      <c r="D6600" s="32" t="s">
        <v>18116</v>
      </c>
    </row>
    <row r="6601" spans="2:4" x14ac:dyDescent="0.3">
      <c r="B6601" s="33" t="s">
        <v>18117</v>
      </c>
      <c r="C6601" s="32" t="s">
        <v>18118</v>
      </c>
      <c r="D6601" s="32" t="s">
        <v>18119</v>
      </c>
    </row>
    <row r="6602" spans="2:4" x14ac:dyDescent="0.3">
      <c r="B6602" s="33" t="s">
        <v>14284</v>
      </c>
      <c r="C6602" s="32" t="s">
        <v>18120</v>
      </c>
      <c r="D6602" s="32" t="s">
        <v>18121</v>
      </c>
    </row>
    <row r="6603" spans="2:4" x14ac:dyDescent="0.3">
      <c r="B6603" s="33" t="s">
        <v>36731</v>
      </c>
      <c r="C6603" s="32" t="s">
        <v>36732</v>
      </c>
      <c r="D6603" s="32" t="s">
        <v>36733</v>
      </c>
    </row>
    <row r="6604" spans="2:4" x14ac:dyDescent="0.3">
      <c r="B6604" s="33" t="s">
        <v>18122</v>
      </c>
      <c r="C6604" s="32" t="s">
        <v>18123</v>
      </c>
      <c r="D6604" s="32" t="s">
        <v>18124</v>
      </c>
    </row>
    <row r="6605" spans="2:4" x14ac:dyDescent="0.3">
      <c r="B6605" s="33" t="s">
        <v>18125</v>
      </c>
      <c r="C6605" s="32" t="s">
        <v>18126</v>
      </c>
      <c r="D6605" s="32" t="s">
        <v>18127</v>
      </c>
    </row>
    <row r="6606" spans="2:4" x14ac:dyDescent="0.3">
      <c r="B6606" s="33" t="s">
        <v>18128</v>
      </c>
      <c r="C6606" s="32" t="s">
        <v>18129</v>
      </c>
      <c r="D6606" s="32" t="s">
        <v>18130</v>
      </c>
    </row>
    <row r="6607" spans="2:4" x14ac:dyDescent="0.3">
      <c r="B6607" s="33" t="s">
        <v>18131</v>
      </c>
      <c r="C6607" s="32" t="s">
        <v>18132</v>
      </c>
      <c r="D6607" s="32" t="s">
        <v>18133</v>
      </c>
    </row>
    <row r="6608" spans="2:4" x14ac:dyDescent="0.3">
      <c r="B6608" s="33" t="s">
        <v>18134</v>
      </c>
      <c r="C6608" s="32" t="s">
        <v>18135</v>
      </c>
      <c r="D6608" s="32" t="s">
        <v>18136</v>
      </c>
    </row>
    <row r="6609" spans="2:4" x14ac:dyDescent="0.3">
      <c r="B6609" s="33" t="s">
        <v>18137</v>
      </c>
      <c r="C6609" s="32" t="s">
        <v>18138</v>
      </c>
      <c r="D6609" s="32" t="s">
        <v>18139</v>
      </c>
    </row>
    <row r="6610" spans="2:4" x14ac:dyDescent="0.3">
      <c r="B6610" s="33" t="s">
        <v>18140</v>
      </c>
      <c r="C6610" s="32" t="s">
        <v>18141</v>
      </c>
      <c r="D6610" s="32" t="s">
        <v>18142</v>
      </c>
    </row>
    <row r="6611" spans="2:4" x14ac:dyDescent="0.3">
      <c r="B6611" s="33" t="s">
        <v>18143</v>
      </c>
      <c r="C6611" s="32" t="s">
        <v>18144</v>
      </c>
      <c r="D6611" s="32" t="s">
        <v>18145</v>
      </c>
    </row>
    <row r="6612" spans="2:4" x14ac:dyDescent="0.3">
      <c r="B6612" s="33" t="s">
        <v>18146</v>
      </c>
      <c r="C6612" s="32" t="s">
        <v>18147</v>
      </c>
      <c r="D6612" s="32" t="s">
        <v>18148</v>
      </c>
    </row>
    <row r="6613" spans="2:4" x14ac:dyDescent="0.3">
      <c r="B6613" s="33" t="s">
        <v>17538</v>
      </c>
      <c r="C6613" s="32" t="s">
        <v>18149</v>
      </c>
      <c r="D6613" s="32" t="s">
        <v>18150</v>
      </c>
    </row>
    <row r="6614" spans="2:4" x14ac:dyDescent="0.3">
      <c r="B6614" s="33" t="s">
        <v>18151</v>
      </c>
      <c r="C6614" s="32" t="s">
        <v>18152</v>
      </c>
      <c r="D6614" s="32" t="s">
        <v>18153</v>
      </c>
    </row>
    <row r="6615" spans="2:4" x14ac:dyDescent="0.3">
      <c r="B6615" s="33" t="s">
        <v>18154</v>
      </c>
      <c r="C6615" s="32" t="s">
        <v>18155</v>
      </c>
      <c r="D6615" s="32" t="s">
        <v>18156</v>
      </c>
    </row>
    <row r="6616" spans="2:4" x14ac:dyDescent="0.3">
      <c r="B6616" s="33" t="s">
        <v>18157</v>
      </c>
      <c r="C6616" s="32" t="s">
        <v>18158</v>
      </c>
      <c r="D6616" s="32" t="s">
        <v>18159</v>
      </c>
    </row>
    <row r="6617" spans="2:4" x14ac:dyDescent="0.3">
      <c r="B6617" s="33" t="s">
        <v>18160</v>
      </c>
      <c r="C6617" s="32" t="s">
        <v>18161</v>
      </c>
      <c r="D6617" s="32" t="s">
        <v>18162</v>
      </c>
    </row>
    <row r="6618" spans="2:4" x14ac:dyDescent="0.3">
      <c r="B6618" s="33" t="s">
        <v>17792</v>
      </c>
      <c r="C6618" s="32" t="s">
        <v>18163</v>
      </c>
      <c r="D6618" s="32" t="s">
        <v>18164</v>
      </c>
    </row>
    <row r="6619" spans="2:4" x14ac:dyDescent="0.3">
      <c r="B6619" s="33" t="s">
        <v>18165</v>
      </c>
      <c r="C6619" s="32" t="s">
        <v>18166</v>
      </c>
      <c r="D6619" s="32" t="s">
        <v>18167</v>
      </c>
    </row>
    <row r="6620" spans="2:4" x14ac:dyDescent="0.3">
      <c r="B6620" s="33" t="s">
        <v>18168</v>
      </c>
      <c r="C6620" s="32" t="s">
        <v>18169</v>
      </c>
      <c r="D6620" s="32" t="s">
        <v>18170</v>
      </c>
    </row>
    <row r="6621" spans="2:4" x14ac:dyDescent="0.3">
      <c r="B6621" s="33" t="s">
        <v>18171</v>
      </c>
      <c r="C6621" s="32" t="s">
        <v>18172</v>
      </c>
      <c r="D6621" s="32" t="s">
        <v>18173</v>
      </c>
    </row>
    <row r="6622" spans="2:4" x14ac:dyDescent="0.3">
      <c r="B6622" s="33" t="s">
        <v>18174</v>
      </c>
      <c r="C6622" s="32" t="s">
        <v>18175</v>
      </c>
      <c r="D6622" s="32" t="s">
        <v>18176</v>
      </c>
    </row>
    <row r="6623" spans="2:4" x14ac:dyDescent="0.3">
      <c r="B6623" s="33" t="s">
        <v>18079</v>
      </c>
      <c r="C6623" s="32" t="s">
        <v>18177</v>
      </c>
      <c r="D6623" s="32" t="s">
        <v>18178</v>
      </c>
    </row>
    <row r="6624" spans="2:4" x14ac:dyDescent="0.3">
      <c r="B6624" s="33" t="s">
        <v>17704</v>
      </c>
      <c r="C6624" s="32" t="s">
        <v>18179</v>
      </c>
      <c r="D6624" s="32" t="s">
        <v>18180</v>
      </c>
    </row>
    <row r="6625" spans="2:4" x14ac:dyDescent="0.3">
      <c r="B6625" s="33" t="s">
        <v>18181</v>
      </c>
      <c r="C6625" s="32" t="s">
        <v>18182</v>
      </c>
      <c r="D6625" s="32" t="s">
        <v>18183</v>
      </c>
    </row>
    <row r="6626" spans="2:4" x14ac:dyDescent="0.3">
      <c r="B6626" s="33" t="s">
        <v>17800</v>
      </c>
      <c r="C6626" s="32" t="s">
        <v>18184</v>
      </c>
      <c r="D6626" s="32" t="s">
        <v>18185</v>
      </c>
    </row>
    <row r="6627" spans="2:4" x14ac:dyDescent="0.3">
      <c r="B6627" s="33" t="s">
        <v>17982</v>
      </c>
      <c r="C6627" s="32" t="s">
        <v>18186</v>
      </c>
      <c r="D6627" s="32" t="s">
        <v>18187</v>
      </c>
    </row>
    <row r="6628" spans="2:4" x14ac:dyDescent="0.3">
      <c r="B6628" s="33" t="s">
        <v>18188</v>
      </c>
      <c r="C6628" s="32" t="s">
        <v>18189</v>
      </c>
      <c r="D6628" s="32" t="s">
        <v>18190</v>
      </c>
    </row>
    <row r="6629" spans="2:4" x14ac:dyDescent="0.3">
      <c r="B6629" s="33" t="s">
        <v>165</v>
      </c>
      <c r="C6629" s="32" t="s">
        <v>18191</v>
      </c>
      <c r="D6629" s="32" t="s">
        <v>37092</v>
      </c>
    </row>
    <row r="6630" spans="2:4" x14ac:dyDescent="0.3">
      <c r="B6630" s="33" t="s">
        <v>18192</v>
      </c>
      <c r="C6630" s="32" t="s">
        <v>18193</v>
      </c>
      <c r="D6630" s="32" t="s">
        <v>18194</v>
      </c>
    </row>
    <row r="6631" spans="2:4" x14ac:dyDescent="0.3">
      <c r="B6631" s="33" t="s">
        <v>18195</v>
      </c>
      <c r="C6631" s="32" t="s">
        <v>18196</v>
      </c>
      <c r="D6631" s="32" t="s">
        <v>18197</v>
      </c>
    </row>
    <row r="6632" spans="2:4" x14ac:dyDescent="0.3">
      <c r="B6632" s="33" t="s">
        <v>18198</v>
      </c>
      <c r="C6632" s="32" t="s">
        <v>18199</v>
      </c>
      <c r="D6632" s="32" t="s">
        <v>18200</v>
      </c>
    </row>
    <row r="6633" spans="2:4" x14ac:dyDescent="0.3">
      <c r="B6633" s="33" t="s">
        <v>18201</v>
      </c>
      <c r="C6633" s="32" t="s">
        <v>18202</v>
      </c>
      <c r="D6633" s="32" t="s">
        <v>18203</v>
      </c>
    </row>
    <row r="6634" spans="2:4" x14ac:dyDescent="0.3">
      <c r="B6634" s="33" t="s">
        <v>18204</v>
      </c>
      <c r="C6634" s="32" t="s">
        <v>18205</v>
      </c>
      <c r="D6634" s="32" t="s">
        <v>18206</v>
      </c>
    </row>
    <row r="6635" spans="2:4" x14ac:dyDescent="0.3">
      <c r="B6635" s="33" t="s">
        <v>18207</v>
      </c>
      <c r="C6635" s="32" t="s">
        <v>18208</v>
      </c>
      <c r="D6635" s="32" t="s">
        <v>18209</v>
      </c>
    </row>
    <row r="6636" spans="2:4" x14ac:dyDescent="0.3">
      <c r="B6636" s="33" t="s">
        <v>18210</v>
      </c>
      <c r="C6636" s="32" t="s">
        <v>18211</v>
      </c>
      <c r="D6636" s="32" t="s">
        <v>18212</v>
      </c>
    </row>
    <row r="6637" spans="2:4" x14ac:dyDescent="0.3">
      <c r="B6637" s="33" t="s">
        <v>18213</v>
      </c>
      <c r="C6637" s="32" t="s">
        <v>18214</v>
      </c>
      <c r="D6637" s="32" t="s">
        <v>18215</v>
      </c>
    </row>
    <row r="6638" spans="2:4" x14ac:dyDescent="0.3">
      <c r="B6638" s="33" t="s">
        <v>18216</v>
      </c>
      <c r="C6638" s="32" t="s">
        <v>18217</v>
      </c>
      <c r="D6638" s="32" t="s">
        <v>18218</v>
      </c>
    </row>
    <row r="6639" spans="2:4" x14ac:dyDescent="0.3">
      <c r="B6639" s="33" t="s">
        <v>18219</v>
      </c>
      <c r="C6639" s="32" t="s">
        <v>18220</v>
      </c>
      <c r="D6639" s="32" t="s">
        <v>18221</v>
      </c>
    </row>
    <row r="6640" spans="2:4" x14ac:dyDescent="0.3">
      <c r="B6640" s="33" t="s">
        <v>18222</v>
      </c>
      <c r="C6640" s="32" t="s">
        <v>18223</v>
      </c>
      <c r="D6640" s="32" t="s">
        <v>18224</v>
      </c>
    </row>
    <row r="6641" spans="2:4" x14ac:dyDescent="0.3">
      <c r="B6641" s="33" t="s">
        <v>18225</v>
      </c>
      <c r="C6641" s="32" t="s">
        <v>18226</v>
      </c>
      <c r="D6641" s="32" t="s">
        <v>18227</v>
      </c>
    </row>
    <row r="6642" spans="2:4" x14ac:dyDescent="0.3">
      <c r="B6642" s="33" t="s">
        <v>18225</v>
      </c>
      <c r="C6642" s="32" t="s">
        <v>18228</v>
      </c>
      <c r="D6642" s="32" t="s">
        <v>18229</v>
      </c>
    </row>
    <row r="6643" spans="2:4" x14ac:dyDescent="0.3">
      <c r="B6643" s="33" t="s">
        <v>18230</v>
      </c>
      <c r="C6643" s="32" t="s">
        <v>18231</v>
      </c>
      <c r="D6643" s="32" t="s">
        <v>18232</v>
      </c>
    </row>
    <row r="6644" spans="2:4" x14ac:dyDescent="0.3">
      <c r="B6644" s="33" t="s">
        <v>18233</v>
      </c>
      <c r="C6644" s="32" t="s">
        <v>18234</v>
      </c>
      <c r="D6644" s="32" t="s">
        <v>18235</v>
      </c>
    </row>
    <row r="6645" spans="2:4" x14ac:dyDescent="0.3">
      <c r="B6645" s="33" t="s">
        <v>18236</v>
      </c>
      <c r="C6645" s="32" t="s">
        <v>18237</v>
      </c>
      <c r="D6645" s="32" t="s">
        <v>18236</v>
      </c>
    </row>
    <row r="6646" spans="2:4" x14ac:dyDescent="0.3">
      <c r="B6646" s="33" t="s">
        <v>18238</v>
      </c>
      <c r="C6646" s="32" t="s">
        <v>18239</v>
      </c>
      <c r="D6646" s="32" t="s">
        <v>18240</v>
      </c>
    </row>
    <row r="6647" spans="2:4" x14ac:dyDescent="0.3">
      <c r="B6647" s="33" t="s">
        <v>18241</v>
      </c>
      <c r="C6647" s="32" t="s">
        <v>18242</v>
      </c>
      <c r="D6647" s="32" t="s">
        <v>18243</v>
      </c>
    </row>
    <row r="6648" spans="2:4" x14ac:dyDescent="0.3">
      <c r="B6648" s="33" t="s">
        <v>18244</v>
      </c>
      <c r="C6648" s="32" t="s">
        <v>18245</v>
      </c>
      <c r="D6648" s="32" t="s">
        <v>18246</v>
      </c>
    </row>
    <row r="6649" spans="2:4" x14ac:dyDescent="0.3">
      <c r="B6649" s="33" t="s">
        <v>18247</v>
      </c>
      <c r="C6649" s="32" t="s">
        <v>18248</v>
      </c>
      <c r="D6649" s="32" t="s">
        <v>18249</v>
      </c>
    </row>
    <row r="6650" spans="2:4" x14ac:dyDescent="0.3">
      <c r="B6650" s="33" t="s">
        <v>18250</v>
      </c>
      <c r="C6650" s="32" t="s">
        <v>18251</v>
      </c>
      <c r="D6650" s="32" t="s">
        <v>18252</v>
      </c>
    </row>
    <row r="6651" spans="2:4" x14ac:dyDescent="0.3">
      <c r="B6651" s="33" t="s">
        <v>18253</v>
      </c>
      <c r="C6651" s="32" t="s">
        <v>18254</v>
      </c>
      <c r="D6651" s="32" t="s">
        <v>18255</v>
      </c>
    </row>
    <row r="6652" spans="2:4" x14ac:dyDescent="0.3">
      <c r="B6652" s="33" t="s">
        <v>18256</v>
      </c>
      <c r="C6652" s="32" t="s">
        <v>18257</v>
      </c>
      <c r="D6652" s="32" t="s">
        <v>18258</v>
      </c>
    </row>
    <row r="6653" spans="2:4" x14ac:dyDescent="0.3">
      <c r="B6653" s="33" t="s">
        <v>18259</v>
      </c>
      <c r="C6653" s="32" t="s">
        <v>18260</v>
      </c>
      <c r="D6653" s="32" t="s">
        <v>18261</v>
      </c>
    </row>
    <row r="6654" spans="2:4" x14ac:dyDescent="0.3">
      <c r="B6654" s="33" t="s">
        <v>18262</v>
      </c>
      <c r="C6654" s="32" t="s">
        <v>18263</v>
      </c>
      <c r="D6654" s="32" t="s">
        <v>18264</v>
      </c>
    </row>
    <row r="6655" spans="2:4" x14ac:dyDescent="0.3">
      <c r="B6655" s="33" t="s">
        <v>18265</v>
      </c>
      <c r="C6655" s="32" t="s">
        <v>18266</v>
      </c>
      <c r="D6655" s="32" t="s">
        <v>18267</v>
      </c>
    </row>
    <row r="6656" spans="2:4" x14ac:dyDescent="0.3">
      <c r="B6656" s="33" t="s">
        <v>18268</v>
      </c>
      <c r="C6656" s="32" t="s">
        <v>18269</v>
      </c>
      <c r="D6656" s="32" t="s">
        <v>18270</v>
      </c>
    </row>
    <row r="6657" spans="2:4" x14ac:dyDescent="0.3">
      <c r="B6657" s="33" t="s">
        <v>18271</v>
      </c>
      <c r="C6657" s="32" t="s">
        <v>18272</v>
      </c>
      <c r="D6657" s="32" t="s">
        <v>18273</v>
      </c>
    </row>
    <row r="6658" spans="2:4" x14ac:dyDescent="0.3">
      <c r="B6658" s="33" t="s">
        <v>18274</v>
      </c>
      <c r="C6658" s="32" t="s">
        <v>18275</v>
      </c>
      <c r="D6658" s="32" t="s">
        <v>18276</v>
      </c>
    </row>
    <row r="6659" spans="2:4" x14ac:dyDescent="0.3">
      <c r="B6659" s="33" t="s">
        <v>18277</v>
      </c>
      <c r="C6659" s="32" t="s">
        <v>18278</v>
      </c>
      <c r="D6659" s="32" t="s">
        <v>18279</v>
      </c>
    </row>
    <row r="6660" spans="2:4" x14ac:dyDescent="0.3">
      <c r="B6660" s="33" t="s">
        <v>18280</v>
      </c>
      <c r="C6660" s="32" t="s">
        <v>18281</v>
      </c>
      <c r="D6660" s="32" t="s">
        <v>18282</v>
      </c>
    </row>
    <row r="6661" spans="2:4" x14ac:dyDescent="0.3">
      <c r="B6661" s="33" t="s">
        <v>18283</v>
      </c>
      <c r="C6661" s="32" t="s">
        <v>18284</v>
      </c>
      <c r="D6661" s="32" t="s">
        <v>18283</v>
      </c>
    </row>
    <row r="6662" spans="2:4" x14ac:dyDescent="0.3">
      <c r="B6662" s="33" t="s">
        <v>18285</v>
      </c>
      <c r="C6662" s="32" t="s">
        <v>18286</v>
      </c>
      <c r="D6662" s="32" t="s">
        <v>18287</v>
      </c>
    </row>
    <row r="6663" spans="2:4" x14ac:dyDescent="0.3">
      <c r="B6663" s="33" t="s">
        <v>18288</v>
      </c>
      <c r="C6663" s="32" t="s">
        <v>18289</v>
      </c>
      <c r="D6663" s="32" t="s">
        <v>18290</v>
      </c>
    </row>
    <row r="6664" spans="2:4" x14ac:dyDescent="0.3">
      <c r="B6664" s="33" t="s">
        <v>18291</v>
      </c>
      <c r="C6664" s="32" t="s">
        <v>18292</v>
      </c>
      <c r="D6664" s="32" t="s">
        <v>36734</v>
      </c>
    </row>
    <row r="6665" spans="2:4" x14ac:dyDescent="0.3">
      <c r="B6665" s="33" t="s">
        <v>18293</v>
      </c>
      <c r="C6665" s="32" t="s">
        <v>18294</v>
      </c>
      <c r="D6665" s="32" t="s">
        <v>18295</v>
      </c>
    </row>
    <row r="6666" spans="2:4" x14ac:dyDescent="0.3">
      <c r="B6666" s="33" t="s">
        <v>18296</v>
      </c>
      <c r="C6666" s="32" t="s">
        <v>18297</v>
      </c>
      <c r="D6666" s="32" t="s">
        <v>18298</v>
      </c>
    </row>
    <row r="6667" spans="2:4" x14ac:dyDescent="0.3">
      <c r="B6667" s="33" t="s">
        <v>18299</v>
      </c>
      <c r="C6667" s="32" t="s">
        <v>18300</v>
      </c>
      <c r="D6667" s="32" t="s">
        <v>18301</v>
      </c>
    </row>
    <row r="6668" spans="2:4" x14ac:dyDescent="0.3">
      <c r="B6668" s="33" t="s">
        <v>18302</v>
      </c>
      <c r="C6668" s="32" t="s">
        <v>18303</v>
      </c>
      <c r="D6668" s="32" t="s">
        <v>18304</v>
      </c>
    </row>
    <row r="6669" spans="2:4" x14ac:dyDescent="0.3">
      <c r="B6669" s="33" t="s">
        <v>18305</v>
      </c>
      <c r="C6669" s="32" t="s">
        <v>18306</v>
      </c>
      <c r="D6669" s="32" t="s">
        <v>18307</v>
      </c>
    </row>
    <row r="6670" spans="2:4" x14ac:dyDescent="0.3">
      <c r="B6670" s="33" t="s">
        <v>18308</v>
      </c>
      <c r="C6670" s="32" t="s">
        <v>18309</v>
      </c>
      <c r="D6670" s="32" t="s">
        <v>18310</v>
      </c>
    </row>
    <row r="6671" spans="2:4" x14ac:dyDescent="0.3">
      <c r="B6671" s="33" t="s">
        <v>18311</v>
      </c>
      <c r="C6671" s="32" t="s">
        <v>18312</v>
      </c>
      <c r="D6671" s="32" t="s">
        <v>18313</v>
      </c>
    </row>
    <row r="6672" spans="2:4" x14ac:dyDescent="0.3">
      <c r="B6672" s="33" t="s">
        <v>18314</v>
      </c>
      <c r="C6672" s="32" t="s">
        <v>18315</v>
      </c>
      <c r="D6672" s="32" t="s">
        <v>18314</v>
      </c>
    </row>
    <row r="6673" spans="2:4" x14ac:dyDescent="0.3">
      <c r="B6673" s="33" t="s">
        <v>18316</v>
      </c>
      <c r="C6673" s="32" t="s">
        <v>18317</v>
      </c>
      <c r="D6673" s="32" t="s">
        <v>18318</v>
      </c>
    </row>
    <row r="6674" spans="2:4" x14ac:dyDescent="0.3">
      <c r="B6674" s="33" t="s">
        <v>18316</v>
      </c>
      <c r="C6674" s="32" t="s">
        <v>18319</v>
      </c>
      <c r="D6674" s="32" t="s">
        <v>18320</v>
      </c>
    </row>
    <row r="6675" spans="2:4" x14ac:dyDescent="0.3">
      <c r="B6675" s="33" t="s">
        <v>18321</v>
      </c>
      <c r="C6675" s="32" t="s">
        <v>18322</v>
      </c>
      <c r="D6675" s="32" t="s">
        <v>18323</v>
      </c>
    </row>
    <row r="6676" spans="2:4" x14ac:dyDescent="0.3">
      <c r="B6676" s="33" t="s">
        <v>18324</v>
      </c>
      <c r="C6676" s="32" t="s">
        <v>18325</v>
      </c>
      <c r="D6676" s="32" t="s">
        <v>18326</v>
      </c>
    </row>
    <row r="6677" spans="2:4" x14ac:dyDescent="0.3">
      <c r="B6677" s="33" t="s">
        <v>3043</v>
      </c>
      <c r="C6677" s="32" t="s">
        <v>18327</v>
      </c>
      <c r="D6677" s="32" t="s">
        <v>18328</v>
      </c>
    </row>
    <row r="6678" spans="2:4" x14ac:dyDescent="0.3">
      <c r="B6678" s="33" t="s">
        <v>18329</v>
      </c>
      <c r="C6678" s="32" t="s">
        <v>18330</v>
      </c>
      <c r="D6678" s="32" t="s">
        <v>18331</v>
      </c>
    </row>
    <row r="6679" spans="2:4" x14ac:dyDescent="0.3">
      <c r="B6679" s="33" t="s">
        <v>18332</v>
      </c>
      <c r="C6679" s="32" t="s">
        <v>18333</v>
      </c>
      <c r="D6679" s="32" t="s">
        <v>18334</v>
      </c>
    </row>
    <row r="6680" spans="2:4" x14ac:dyDescent="0.3">
      <c r="B6680" s="33" t="s">
        <v>18335</v>
      </c>
      <c r="C6680" s="32" t="s">
        <v>18336</v>
      </c>
      <c r="D6680" s="32" t="s">
        <v>18337</v>
      </c>
    </row>
    <row r="6681" spans="2:4" x14ac:dyDescent="0.3">
      <c r="B6681" s="33" t="s">
        <v>18338</v>
      </c>
      <c r="C6681" s="32" t="s">
        <v>18339</v>
      </c>
      <c r="D6681" s="32" t="s">
        <v>18340</v>
      </c>
    </row>
    <row r="6682" spans="2:4" x14ac:dyDescent="0.3">
      <c r="B6682" s="33" t="s">
        <v>18341</v>
      </c>
      <c r="C6682" s="32" t="s">
        <v>18342</v>
      </c>
      <c r="D6682" s="32" t="s">
        <v>18343</v>
      </c>
    </row>
    <row r="6683" spans="2:4" x14ac:dyDescent="0.3">
      <c r="B6683" s="33" t="s">
        <v>18344</v>
      </c>
      <c r="C6683" s="32" t="s">
        <v>18345</v>
      </c>
      <c r="D6683" s="32" t="s">
        <v>18346</v>
      </c>
    </row>
    <row r="6684" spans="2:4" x14ac:dyDescent="0.3">
      <c r="B6684" s="33" t="s">
        <v>36735</v>
      </c>
      <c r="C6684" s="32" t="s">
        <v>36736</v>
      </c>
      <c r="D6684" s="32" t="s">
        <v>36737</v>
      </c>
    </row>
    <row r="6685" spans="2:4" x14ac:dyDescent="0.3">
      <c r="B6685" s="33" t="s">
        <v>18347</v>
      </c>
      <c r="C6685" s="32" t="s">
        <v>18348</v>
      </c>
      <c r="D6685" s="32" t="s">
        <v>18349</v>
      </c>
    </row>
    <row r="6686" spans="2:4" x14ac:dyDescent="0.3">
      <c r="B6686" s="33" t="s">
        <v>18350</v>
      </c>
      <c r="C6686" s="32" t="s">
        <v>18351</v>
      </c>
      <c r="D6686" s="32" t="s">
        <v>18352</v>
      </c>
    </row>
    <row r="6687" spans="2:4" x14ac:dyDescent="0.3">
      <c r="B6687" s="33" t="s">
        <v>18353</v>
      </c>
      <c r="C6687" s="32" t="s">
        <v>18354</v>
      </c>
      <c r="D6687" s="32" t="s">
        <v>18355</v>
      </c>
    </row>
    <row r="6688" spans="2:4" x14ac:dyDescent="0.3">
      <c r="B6688" s="33" t="s">
        <v>18356</v>
      </c>
      <c r="C6688" s="32" t="s">
        <v>18357</v>
      </c>
      <c r="D6688" s="32" t="s">
        <v>18358</v>
      </c>
    </row>
    <row r="6689" spans="2:4" x14ac:dyDescent="0.3">
      <c r="B6689" s="33" t="s">
        <v>18359</v>
      </c>
      <c r="C6689" s="32" t="s">
        <v>18360</v>
      </c>
      <c r="D6689" s="32" t="s">
        <v>18361</v>
      </c>
    </row>
    <row r="6690" spans="2:4" x14ac:dyDescent="0.3">
      <c r="B6690" s="33" t="s">
        <v>18362</v>
      </c>
      <c r="C6690" s="32" t="s">
        <v>18363</v>
      </c>
      <c r="D6690" s="32" t="s">
        <v>18364</v>
      </c>
    </row>
    <row r="6691" spans="2:4" x14ac:dyDescent="0.3">
      <c r="B6691" s="33" t="s">
        <v>18365</v>
      </c>
      <c r="C6691" s="32" t="s">
        <v>18366</v>
      </c>
      <c r="D6691" s="32" t="s">
        <v>18367</v>
      </c>
    </row>
    <row r="6692" spans="2:4" x14ac:dyDescent="0.3">
      <c r="B6692" s="33" t="s">
        <v>18368</v>
      </c>
      <c r="C6692" s="32" t="s">
        <v>18369</v>
      </c>
      <c r="D6692" s="32" t="s">
        <v>18370</v>
      </c>
    </row>
    <row r="6693" spans="2:4" x14ac:dyDescent="0.3">
      <c r="B6693" s="33" t="s">
        <v>18371</v>
      </c>
      <c r="C6693" s="32" t="s">
        <v>18372</v>
      </c>
      <c r="D6693" s="32" t="s">
        <v>18373</v>
      </c>
    </row>
    <row r="6694" spans="2:4" x14ac:dyDescent="0.3">
      <c r="B6694" s="33" t="s">
        <v>18374</v>
      </c>
      <c r="C6694" s="32" t="s">
        <v>18375</v>
      </c>
      <c r="D6694" s="32" t="s">
        <v>18376</v>
      </c>
    </row>
    <row r="6695" spans="2:4" x14ac:dyDescent="0.3">
      <c r="B6695" s="33" t="s">
        <v>18377</v>
      </c>
      <c r="C6695" s="32" t="s">
        <v>18378</v>
      </c>
      <c r="D6695" s="32" t="s">
        <v>18377</v>
      </c>
    </row>
    <row r="6696" spans="2:4" x14ac:dyDescent="0.3">
      <c r="B6696" s="33" t="s">
        <v>18379</v>
      </c>
      <c r="C6696" s="32" t="s">
        <v>18380</v>
      </c>
      <c r="D6696" s="32" t="s">
        <v>18381</v>
      </c>
    </row>
    <row r="6697" spans="2:4" x14ac:dyDescent="0.3">
      <c r="B6697" s="33" t="s">
        <v>18382</v>
      </c>
      <c r="C6697" s="32" t="s">
        <v>18383</v>
      </c>
      <c r="D6697" s="32" t="s">
        <v>36848</v>
      </c>
    </row>
    <row r="6698" spans="2:4" x14ac:dyDescent="0.3">
      <c r="B6698" s="33" t="s">
        <v>18384</v>
      </c>
      <c r="C6698" s="32" t="s">
        <v>18385</v>
      </c>
      <c r="D6698" s="32" t="s">
        <v>18386</v>
      </c>
    </row>
    <row r="6699" spans="2:4" x14ac:dyDescent="0.3">
      <c r="B6699" s="33" t="s">
        <v>18387</v>
      </c>
      <c r="C6699" s="32" t="s">
        <v>18388</v>
      </c>
      <c r="D6699" s="32" t="s">
        <v>18389</v>
      </c>
    </row>
    <row r="6700" spans="2:4" x14ac:dyDescent="0.3">
      <c r="B6700" s="33" t="s">
        <v>18390</v>
      </c>
      <c r="C6700" s="32" t="s">
        <v>18391</v>
      </c>
      <c r="D6700" s="32" t="s">
        <v>18392</v>
      </c>
    </row>
    <row r="6701" spans="2:4" x14ac:dyDescent="0.3">
      <c r="B6701" s="33" t="s">
        <v>18393</v>
      </c>
      <c r="C6701" s="32" t="s">
        <v>18394</v>
      </c>
      <c r="D6701" s="32" t="s">
        <v>18395</v>
      </c>
    </row>
    <row r="6702" spans="2:4" x14ac:dyDescent="0.3">
      <c r="B6702" s="33" t="s">
        <v>18396</v>
      </c>
      <c r="C6702" s="32" t="s">
        <v>18397</v>
      </c>
      <c r="D6702" s="32" t="s">
        <v>18398</v>
      </c>
    </row>
    <row r="6703" spans="2:4" x14ac:dyDescent="0.3">
      <c r="B6703" s="33" t="s">
        <v>18399</v>
      </c>
      <c r="C6703" s="32" t="s">
        <v>18400</v>
      </c>
      <c r="D6703" s="32" t="s">
        <v>18401</v>
      </c>
    </row>
    <row r="6704" spans="2:4" x14ac:dyDescent="0.3">
      <c r="B6704" s="33" t="s">
        <v>18402</v>
      </c>
      <c r="C6704" s="32" t="s">
        <v>18403</v>
      </c>
      <c r="D6704" s="32" t="s">
        <v>18404</v>
      </c>
    </row>
    <row r="6705" spans="2:4" x14ac:dyDescent="0.3">
      <c r="B6705" s="33" t="s">
        <v>18402</v>
      </c>
      <c r="C6705" s="32" t="s">
        <v>18405</v>
      </c>
      <c r="D6705" s="32" t="s">
        <v>18406</v>
      </c>
    </row>
    <row r="6706" spans="2:4" x14ac:dyDescent="0.3">
      <c r="B6706" s="33" t="s">
        <v>18407</v>
      </c>
      <c r="C6706" s="32" t="s">
        <v>18408</v>
      </c>
      <c r="D6706" s="32" t="s">
        <v>18409</v>
      </c>
    </row>
    <row r="6707" spans="2:4" x14ac:dyDescent="0.3">
      <c r="B6707" s="33" t="s">
        <v>18410</v>
      </c>
      <c r="C6707" s="32" t="s">
        <v>18411</v>
      </c>
      <c r="D6707" s="32" t="s">
        <v>18410</v>
      </c>
    </row>
    <row r="6708" spans="2:4" x14ac:dyDescent="0.3">
      <c r="B6708" s="33" t="s">
        <v>18410</v>
      </c>
      <c r="C6708" s="32" t="s">
        <v>18412</v>
      </c>
      <c r="D6708" s="32" t="s">
        <v>18413</v>
      </c>
    </row>
    <row r="6709" spans="2:4" x14ac:dyDescent="0.3">
      <c r="B6709" s="33" t="s">
        <v>18414</v>
      </c>
      <c r="C6709" s="32" t="s">
        <v>18415</v>
      </c>
      <c r="D6709" s="32" t="s">
        <v>18416</v>
      </c>
    </row>
    <row r="6710" spans="2:4" x14ac:dyDescent="0.3">
      <c r="B6710" s="33" t="s">
        <v>18417</v>
      </c>
      <c r="C6710" s="32" t="s">
        <v>18418</v>
      </c>
      <c r="D6710" s="32" t="s">
        <v>18419</v>
      </c>
    </row>
    <row r="6711" spans="2:4" x14ac:dyDescent="0.3">
      <c r="B6711" s="33" t="s">
        <v>18420</v>
      </c>
      <c r="C6711" s="32" t="s">
        <v>18421</v>
      </c>
      <c r="D6711" s="32" t="s">
        <v>18422</v>
      </c>
    </row>
    <row r="6712" spans="2:4" x14ac:dyDescent="0.3">
      <c r="B6712" s="33" t="s">
        <v>18423</v>
      </c>
      <c r="C6712" s="32" t="s">
        <v>18424</v>
      </c>
      <c r="D6712" s="32" t="s">
        <v>18425</v>
      </c>
    </row>
    <row r="6713" spans="2:4" x14ac:dyDescent="0.3">
      <c r="B6713" s="33" t="s">
        <v>18426</v>
      </c>
      <c r="C6713" s="32" t="s">
        <v>18427</v>
      </c>
      <c r="D6713" s="32" t="s">
        <v>18428</v>
      </c>
    </row>
    <row r="6714" spans="2:4" x14ac:dyDescent="0.3">
      <c r="B6714" s="33" t="s">
        <v>18429</v>
      </c>
      <c r="C6714" s="32" t="s">
        <v>18430</v>
      </c>
      <c r="D6714" s="32" t="s">
        <v>18431</v>
      </c>
    </row>
    <row r="6715" spans="2:4" x14ac:dyDescent="0.3">
      <c r="B6715" s="33" t="s">
        <v>18432</v>
      </c>
      <c r="C6715" s="32" t="s">
        <v>18433</v>
      </c>
      <c r="D6715" s="32" t="s">
        <v>18432</v>
      </c>
    </row>
    <row r="6716" spans="2:4" x14ac:dyDescent="0.3">
      <c r="B6716" s="33" t="s">
        <v>18434</v>
      </c>
      <c r="C6716" s="32" t="s">
        <v>18435</v>
      </c>
      <c r="D6716" s="32" t="s">
        <v>18436</v>
      </c>
    </row>
    <row r="6717" spans="2:4" x14ac:dyDescent="0.3">
      <c r="B6717" s="33" t="s">
        <v>18437</v>
      </c>
      <c r="C6717" s="32" t="s">
        <v>18438</v>
      </c>
      <c r="D6717" s="32" t="s">
        <v>18437</v>
      </c>
    </row>
    <row r="6718" spans="2:4" x14ac:dyDescent="0.3">
      <c r="B6718" s="33" t="s">
        <v>18439</v>
      </c>
      <c r="C6718" s="32" t="s">
        <v>18440</v>
      </c>
      <c r="D6718" s="32" t="s">
        <v>18439</v>
      </c>
    </row>
    <row r="6719" spans="2:4" x14ac:dyDescent="0.3">
      <c r="B6719" s="33" t="s">
        <v>18441</v>
      </c>
      <c r="C6719" s="32" t="s">
        <v>18442</v>
      </c>
      <c r="D6719" s="32" t="s">
        <v>18441</v>
      </c>
    </row>
    <row r="6720" spans="2:4" x14ac:dyDescent="0.3">
      <c r="B6720" s="33" t="s">
        <v>18443</v>
      </c>
      <c r="C6720" s="32" t="s">
        <v>18444</v>
      </c>
      <c r="D6720" s="32" t="s">
        <v>36849</v>
      </c>
    </row>
    <row r="6721" spans="2:4" x14ac:dyDescent="0.3">
      <c r="B6721" s="33" t="s">
        <v>18445</v>
      </c>
      <c r="C6721" s="32" t="s">
        <v>18446</v>
      </c>
      <c r="D6721" s="32" t="s">
        <v>18447</v>
      </c>
    </row>
    <row r="6722" spans="2:4" x14ac:dyDescent="0.3">
      <c r="B6722" s="33" t="s">
        <v>18448</v>
      </c>
      <c r="C6722" s="32" t="s">
        <v>18449</v>
      </c>
      <c r="D6722" s="32" t="s">
        <v>18450</v>
      </c>
    </row>
    <row r="6723" spans="2:4" x14ac:dyDescent="0.3">
      <c r="B6723" s="33" t="s">
        <v>18451</v>
      </c>
      <c r="C6723" s="32" t="s">
        <v>18452</v>
      </c>
      <c r="D6723" s="32" t="s">
        <v>18453</v>
      </c>
    </row>
    <row r="6724" spans="2:4" x14ac:dyDescent="0.3">
      <c r="B6724" s="33" t="s">
        <v>18454</v>
      </c>
      <c r="C6724" s="32" t="s">
        <v>18455</v>
      </c>
      <c r="D6724" s="32" t="s">
        <v>18456</v>
      </c>
    </row>
    <row r="6725" spans="2:4" x14ac:dyDescent="0.3">
      <c r="B6725" s="33" t="s">
        <v>18457</v>
      </c>
      <c r="C6725" s="32" t="s">
        <v>18458</v>
      </c>
      <c r="D6725" s="32" t="s">
        <v>18459</v>
      </c>
    </row>
    <row r="6726" spans="2:4" x14ac:dyDescent="0.3">
      <c r="B6726" s="33" t="s">
        <v>18460</v>
      </c>
      <c r="C6726" s="32" t="s">
        <v>18461</v>
      </c>
      <c r="D6726" s="32" t="s">
        <v>18462</v>
      </c>
    </row>
    <row r="6727" spans="2:4" x14ac:dyDescent="0.3">
      <c r="B6727" s="33" t="s">
        <v>18463</v>
      </c>
      <c r="C6727" s="32" t="s">
        <v>18464</v>
      </c>
      <c r="D6727" s="32" t="s">
        <v>18465</v>
      </c>
    </row>
    <row r="6728" spans="2:4" x14ac:dyDescent="0.3">
      <c r="B6728" s="33" t="s">
        <v>18463</v>
      </c>
      <c r="C6728" s="32" t="s">
        <v>18466</v>
      </c>
      <c r="D6728" s="32" t="s">
        <v>18467</v>
      </c>
    </row>
    <row r="6729" spans="2:4" x14ac:dyDescent="0.3">
      <c r="B6729" s="33" t="s">
        <v>18468</v>
      </c>
      <c r="C6729" s="32" t="s">
        <v>18469</v>
      </c>
      <c r="D6729" s="32" t="s">
        <v>18470</v>
      </c>
    </row>
    <row r="6730" spans="2:4" x14ac:dyDescent="0.3">
      <c r="B6730" s="33" t="s">
        <v>18471</v>
      </c>
      <c r="C6730" s="32" t="s">
        <v>18472</v>
      </c>
      <c r="D6730" s="32" t="s">
        <v>18473</v>
      </c>
    </row>
    <row r="6731" spans="2:4" x14ac:dyDescent="0.3">
      <c r="B6731" s="33" t="s">
        <v>18474</v>
      </c>
      <c r="C6731" s="32" t="s">
        <v>18475</v>
      </c>
      <c r="D6731" s="32" t="s">
        <v>18476</v>
      </c>
    </row>
    <row r="6732" spans="2:4" x14ac:dyDescent="0.3">
      <c r="B6732" s="33" t="s">
        <v>18477</v>
      </c>
      <c r="C6732" s="32" t="s">
        <v>18478</v>
      </c>
      <c r="D6732" s="32" t="s">
        <v>18479</v>
      </c>
    </row>
    <row r="6733" spans="2:4" x14ac:dyDescent="0.3">
      <c r="B6733" s="33" t="s">
        <v>18480</v>
      </c>
      <c r="C6733" s="32" t="s">
        <v>18481</v>
      </c>
      <c r="D6733" s="32" t="s">
        <v>18482</v>
      </c>
    </row>
    <row r="6734" spans="2:4" x14ac:dyDescent="0.3">
      <c r="B6734" s="33" t="s">
        <v>18483</v>
      </c>
      <c r="C6734" s="32" t="s">
        <v>18484</v>
      </c>
      <c r="D6734" s="32" t="s">
        <v>18485</v>
      </c>
    </row>
    <row r="6735" spans="2:4" x14ac:dyDescent="0.3">
      <c r="B6735" s="33" t="s">
        <v>18483</v>
      </c>
      <c r="C6735" s="32" t="s">
        <v>18486</v>
      </c>
      <c r="D6735" s="32" t="s">
        <v>18487</v>
      </c>
    </row>
    <row r="6736" spans="2:4" x14ac:dyDescent="0.3">
      <c r="B6736" s="33" t="s">
        <v>18488</v>
      </c>
      <c r="C6736" s="32" t="s">
        <v>18489</v>
      </c>
      <c r="D6736" s="32" t="s">
        <v>18490</v>
      </c>
    </row>
    <row r="6737" spans="2:4" x14ac:dyDescent="0.3">
      <c r="B6737" s="33" t="s">
        <v>18491</v>
      </c>
      <c r="C6737" s="32" t="s">
        <v>18492</v>
      </c>
      <c r="D6737" s="32" t="s">
        <v>18493</v>
      </c>
    </row>
    <row r="6738" spans="2:4" x14ac:dyDescent="0.3">
      <c r="B6738" s="33" t="s">
        <v>18494</v>
      </c>
      <c r="C6738" s="32" t="s">
        <v>18495</v>
      </c>
      <c r="D6738" s="32" t="s">
        <v>18496</v>
      </c>
    </row>
    <row r="6739" spans="2:4" x14ac:dyDescent="0.3">
      <c r="B6739" s="33" t="s">
        <v>18432</v>
      </c>
      <c r="C6739" s="32" t="s">
        <v>18497</v>
      </c>
      <c r="D6739" s="32" t="s">
        <v>18498</v>
      </c>
    </row>
    <row r="6740" spans="2:4" x14ac:dyDescent="0.3">
      <c r="B6740" s="33" t="s">
        <v>18499</v>
      </c>
      <c r="C6740" s="32" t="s">
        <v>18500</v>
      </c>
      <c r="D6740" s="32" t="s">
        <v>18501</v>
      </c>
    </row>
    <row r="6741" spans="2:4" x14ac:dyDescent="0.3">
      <c r="B6741" s="33" t="s">
        <v>18502</v>
      </c>
      <c r="C6741" s="32" t="s">
        <v>18503</v>
      </c>
      <c r="D6741" s="32" t="s">
        <v>18504</v>
      </c>
    </row>
    <row r="6742" spans="2:4" x14ac:dyDescent="0.3">
      <c r="B6742" s="33" t="s">
        <v>18505</v>
      </c>
      <c r="C6742" s="32" t="s">
        <v>18506</v>
      </c>
      <c r="D6742" s="32" t="s">
        <v>18507</v>
      </c>
    </row>
    <row r="6743" spans="2:4" x14ac:dyDescent="0.3">
      <c r="B6743" s="33" t="s">
        <v>18508</v>
      </c>
      <c r="C6743" s="32" t="s">
        <v>18509</v>
      </c>
      <c r="D6743" s="32" t="s">
        <v>18510</v>
      </c>
    </row>
    <row r="6744" spans="2:4" x14ac:dyDescent="0.3">
      <c r="B6744" s="33" t="s">
        <v>18511</v>
      </c>
      <c r="C6744" s="32" t="s">
        <v>18512</v>
      </c>
      <c r="D6744" s="32" t="s">
        <v>18513</v>
      </c>
    </row>
    <row r="6745" spans="2:4" x14ac:dyDescent="0.3">
      <c r="B6745" s="33" t="s">
        <v>18514</v>
      </c>
      <c r="C6745" s="32" t="s">
        <v>18515</v>
      </c>
      <c r="D6745" s="32" t="s">
        <v>18516</v>
      </c>
    </row>
    <row r="6746" spans="2:4" x14ac:dyDescent="0.3">
      <c r="B6746" s="33" t="s">
        <v>18517</v>
      </c>
      <c r="C6746" s="32" t="s">
        <v>18518</v>
      </c>
      <c r="D6746" s="32" t="s">
        <v>18519</v>
      </c>
    </row>
    <row r="6747" spans="2:4" x14ac:dyDescent="0.3">
      <c r="B6747" s="33" t="s">
        <v>18520</v>
      </c>
      <c r="C6747" s="32" t="s">
        <v>18521</v>
      </c>
      <c r="D6747" s="32" t="s">
        <v>18522</v>
      </c>
    </row>
    <row r="6748" spans="2:4" x14ac:dyDescent="0.3">
      <c r="B6748" s="33" t="s">
        <v>18514</v>
      </c>
      <c r="C6748" s="32" t="s">
        <v>18523</v>
      </c>
      <c r="D6748" s="32" t="s">
        <v>18514</v>
      </c>
    </row>
    <row r="6749" spans="2:4" x14ac:dyDescent="0.3">
      <c r="B6749" s="33" t="s">
        <v>37256</v>
      </c>
      <c r="C6749" s="32" t="s">
        <v>37257</v>
      </c>
      <c r="D6749" s="32" t="s">
        <v>37258</v>
      </c>
    </row>
    <row r="6750" spans="2:4" x14ac:dyDescent="0.3">
      <c r="B6750" s="33" t="s">
        <v>18524</v>
      </c>
      <c r="C6750" s="32" t="s">
        <v>18525</v>
      </c>
      <c r="D6750" s="32" t="s">
        <v>18526</v>
      </c>
    </row>
    <row r="6751" spans="2:4" x14ac:dyDescent="0.3">
      <c r="B6751" s="33" t="s">
        <v>18527</v>
      </c>
      <c r="C6751" s="32" t="s">
        <v>18528</v>
      </c>
      <c r="D6751" s="32" t="s">
        <v>18529</v>
      </c>
    </row>
    <row r="6752" spans="2:4" x14ac:dyDescent="0.3">
      <c r="B6752" s="33" t="s">
        <v>18530</v>
      </c>
      <c r="C6752" s="32" t="s">
        <v>18531</v>
      </c>
      <c r="D6752" s="32" t="s">
        <v>18532</v>
      </c>
    </row>
    <row r="6753" spans="2:4" x14ac:dyDescent="0.3">
      <c r="B6753" s="33" t="s">
        <v>18533</v>
      </c>
      <c r="C6753" s="32" t="s">
        <v>18534</v>
      </c>
      <c r="D6753" s="32" t="s">
        <v>18535</v>
      </c>
    </row>
    <row r="6754" spans="2:4" x14ac:dyDescent="0.3">
      <c r="B6754" s="33" t="s">
        <v>18536</v>
      </c>
      <c r="C6754" s="32" t="s">
        <v>18537</v>
      </c>
      <c r="D6754" s="32" t="s">
        <v>18538</v>
      </c>
    </row>
    <row r="6755" spans="2:4" x14ac:dyDescent="0.3">
      <c r="B6755" s="33" t="s">
        <v>18539</v>
      </c>
      <c r="C6755" s="32" t="s">
        <v>18540</v>
      </c>
      <c r="D6755" s="32" t="s">
        <v>18541</v>
      </c>
    </row>
    <row r="6756" spans="2:4" x14ac:dyDescent="0.3">
      <c r="B6756" s="33" t="s">
        <v>18530</v>
      </c>
      <c r="C6756" s="32" t="s">
        <v>18542</v>
      </c>
      <c r="D6756" s="32" t="s">
        <v>18543</v>
      </c>
    </row>
    <row r="6757" spans="2:4" x14ac:dyDescent="0.3">
      <c r="B6757" s="33" t="s">
        <v>18544</v>
      </c>
      <c r="C6757" s="32" t="s">
        <v>18545</v>
      </c>
      <c r="D6757" s="32" t="s">
        <v>18546</v>
      </c>
    </row>
    <row r="6758" spans="2:4" x14ac:dyDescent="0.3">
      <c r="B6758" s="33" t="s">
        <v>18547</v>
      </c>
      <c r="C6758" s="32" t="s">
        <v>18548</v>
      </c>
      <c r="D6758" s="32" t="s">
        <v>18549</v>
      </c>
    </row>
    <row r="6759" spans="2:4" x14ac:dyDescent="0.3">
      <c r="B6759" s="33" t="s">
        <v>18550</v>
      </c>
      <c r="C6759" s="32" t="s">
        <v>18551</v>
      </c>
      <c r="D6759" s="32" t="s">
        <v>18552</v>
      </c>
    </row>
    <row r="6760" spans="2:4" x14ac:dyDescent="0.3">
      <c r="B6760" s="33" t="s">
        <v>18553</v>
      </c>
      <c r="C6760" s="32" t="s">
        <v>18554</v>
      </c>
      <c r="D6760" s="32" t="s">
        <v>18555</v>
      </c>
    </row>
    <row r="6761" spans="2:4" x14ac:dyDescent="0.3">
      <c r="B6761" s="33" t="s">
        <v>18556</v>
      </c>
      <c r="C6761" s="32" t="s">
        <v>18557</v>
      </c>
      <c r="D6761" s="32" t="s">
        <v>18558</v>
      </c>
    </row>
    <row r="6762" spans="2:4" x14ac:dyDescent="0.3">
      <c r="B6762" s="33" t="s">
        <v>18559</v>
      </c>
      <c r="C6762" s="32" t="s">
        <v>18560</v>
      </c>
      <c r="D6762" s="32" t="s">
        <v>18561</v>
      </c>
    </row>
    <row r="6763" spans="2:4" x14ac:dyDescent="0.3">
      <c r="B6763" s="33" t="s">
        <v>18562</v>
      </c>
      <c r="C6763" s="32" t="s">
        <v>18563</v>
      </c>
      <c r="D6763" s="32" t="s">
        <v>18564</v>
      </c>
    </row>
    <row r="6764" spans="2:4" x14ac:dyDescent="0.3">
      <c r="B6764" s="33" t="s">
        <v>74</v>
      </c>
      <c r="C6764" s="32" t="s">
        <v>18565</v>
      </c>
      <c r="D6764" s="32" t="s">
        <v>18566</v>
      </c>
    </row>
    <row r="6765" spans="2:4" x14ac:dyDescent="0.3">
      <c r="B6765" s="33" t="s">
        <v>18567</v>
      </c>
      <c r="C6765" s="32" t="s">
        <v>18568</v>
      </c>
      <c r="D6765" s="32" t="s">
        <v>18569</v>
      </c>
    </row>
    <row r="6766" spans="2:4" x14ac:dyDescent="0.3">
      <c r="B6766" s="33" t="s">
        <v>74</v>
      </c>
      <c r="C6766" s="32" t="s">
        <v>18570</v>
      </c>
      <c r="D6766" s="32" t="s">
        <v>18571</v>
      </c>
    </row>
    <row r="6767" spans="2:4" x14ac:dyDescent="0.3">
      <c r="B6767" s="33" t="s">
        <v>18572</v>
      </c>
      <c r="C6767" s="32" t="s">
        <v>18573</v>
      </c>
      <c r="D6767" s="32" t="s">
        <v>18574</v>
      </c>
    </row>
    <row r="6768" spans="2:4" x14ac:dyDescent="0.3">
      <c r="B6768" s="33" t="s">
        <v>18575</v>
      </c>
      <c r="C6768" s="32" t="s">
        <v>18576</v>
      </c>
      <c r="D6768" s="32" t="s">
        <v>18577</v>
      </c>
    </row>
    <row r="6769" spans="2:4" x14ac:dyDescent="0.3">
      <c r="B6769" s="33" t="s">
        <v>18578</v>
      </c>
      <c r="C6769" s="32" t="s">
        <v>18579</v>
      </c>
      <c r="D6769" s="32" t="s">
        <v>18580</v>
      </c>
    </row>
    <row r="6770" spans="2:4" x14ac:dyDescent="0.3">
      <c r="B6770" s="33" t="s">
        <v>74</v>
      </c>
      <c r="C6770" s="32" t="s">
        <v>18581</v>
      </c>
      <c r="D6770" s="32" t="s">
        <v>75</v>
      </c>
    </row>
    <row r="6771" spans="2:4" x14ac:dyDescent="0.3">
      <c r="B6771" s="33" t="s">
        <v>18582</v>
      </c>
      <c r="C6771" s="32" t="s">
        <v>18583</v>
      </c>
      <c r="D6771" s="32" t="s">
        <v>18584</v>
      </c>
    </row>
    <row r="6772" spans="2:4" x14ac:dyDescent="0.3">
      <c r="B6772" s="33" t="s">
        <v>18585</v>
      </c>
      <c r="C6772" s="32" t="s">
        <v>18586</v>
      </c>
      <c r="D6772" s="32" t="s">
        <v>18587</v>
      </c>
    </row>
    <row r="6773" spans="2:4" x14ac:dyDescent="0.3">
      <c r="B6773" s="33" t="s">
        <v>18588</v>
      </c>
      <c r="C6773" s="32" t="s">
        <v>18589</v>
      </c>
      <c r="D6773" s="32" t="s">
        <v>18590</v>
      </c>
    </row>
    <row r="6774" spans="2:4" x14ac:dyDescent="0.3">
      <c r="B6774" s="33" t="s">
        <v>37259</v>
      </c>
      <c r="C6774" s="32" t="s">
        <v>18591</v>
      </c>
      <c r="D6774" s="32" t="s">
        <v>18592</v>
      </c>
    </row>
    <row r="6775" spans="2:4" x14ac:dyDescent="0.3">
      <c r="B6775" s="33" t="s">
        <v>18593</v>
      </c>
      <c r="C6775" s="32" t="s">
        <v>18594</v>
      </c>
      <c r="D6775" s="32" t="s">
        <v>18595</v>
      </c>
    </row>
    <row r="6776" spans="2:4" x14ac:dyDescent="0.3">
      <c r="B6776" s="33" t="s">
        <v>18596</v>
      </c>
      <c r="C6776" s="32" t="s">
        <v>18597</v>
      </c>
      <c r="D6776" s="32" t="s">
        <v>18598</v>
      </c>
    </row>
    <row r="6777" spans="2:4" x14ac:dyDescent="0.3">
      <c r="B6777" s="33" t="s">
        <v>18599</v>
      </c>
      <c r="C6777" s="32" t="s">
        <v>18600</v>
      </c>
      <c r="D6777" s="32" t="s">
        <v>18601</v>
      </c>
    </row>
    <row r="6778" spans="2:4" x14ac:dyDescent="0.3">
      <c r="B6778" s="33" t="s">
        <v>18602</v>
      </c>
      <c r="C6778" s="32" t="s">
        <v>18603</v>
      </c>
      <c r="D6778" s="32" t="s">
        <v>18604</v>
      </c>
    </row>
    <row r="6779" spans="2:4" x14ac:dyDescent="0.3">
      <c r="B6779" s="33" t="s">
        <v>18605</v>
      </c>
      <c r="C6779" s="32" t="s">
        <v>18606</v>
      </c>
      <c r="D6779" s="32" t="s">
        <v>18607</v>
      </c>
    </row>
    <row r="6780" spans="2:4" x14ac:dyDescent="0.3">
      <c r="B6780" s="33" t="s">
        <v>18608</v>
      </c>
      <c r="C6780" s="32" t="s">
        <v>18609</v>
      </c>
      <c r="D6780" s="32" t="s">
        <v>18610</v>
      </c>
    </row>
    <row r="6781" spans="2:4" x14ac:dyDescent="0.3">
      <c r="B6781" s="33" t="s">
        <v>18611</v>
      </c>
      <c r="C6781" s="32" t="s">
        <v>18612</v>
      </c>
      <c r="D6781" s="32" t="s">
        <v>18613</v>
      </c>
    </row>
    <row r="6782" spans="2:4" x14ac:dyDescent="0.3">
      <c r="B6782" s="33" t="s">
        <v>18614</v>
      </c>
      <c r="C6782" s="32" t="s">
        <v>18615</v>
      </c>
      <c r="D6782" s="32" t="s">
        <v>18616</v>
      </c>
    </row>
    <row r="6783" spans="2:4" x14ac:dyDescent="0.3">
      <c r="B6783" s="33" t="s">
        <v>18617</v>
      </c>
      <c r="C6783" s="32" t="s">
        <v>18618</v>
      </c>
      <c r="D6783" s="32" t="s">
        <v>18617</v>
      </c>
    </row>
    <row r="6784" spans="2:4" x14ac:dyDescent="0.3">
      <c r="B6784" s="33" t="s">
        <v>18619</v>
      </c>
      <c r="C6784" s="32" t="s">
        <v>18620</v>
      </c>
      <c r="D6784" s="32" t="s">
        <v>18621</v>
      </c>
    </row>
    <row r="6785" spans="2:4" x14ac:dyDescent="0.3">
      <c r="B6785" s="33" t="s">
        <v>18622</v>
      </c>
      <c r="C6785" s="32" t="s">
        <v>18623</v>
      </c>
      <c r="D6785" s="32" t="s">
        <v>18624</v>
      </c>
    </row>
    <row r="6786" spans="2:4" x14ac:dyDescent="0.3">
      <c r="B6786" s="33" t="s">
        <v>18625</v>
      </c>
      <c r="C6786" s="32" t="s">
        <v>18626</v>
      </c>
      <c r="D6786" s="32" t="s">
        <v>18627</v>
      </c>
    </row>
    <row r="6787" spans="2:4" x14ac:dyDescent="0.3">
      <c r="B6787" s="33" t="s">
        <v>18611</v>
      </c>
      <c r="C6787" s="32" t="s">
        <v>18628</v>
      </c>
      <c r="D6787" s="32" t="s">
        <v>18629</v>
      </c>
    </row>
    <row r="6788" spans="2:4" x14ac:dyDescent="0.3">
      <c r="B6788" s="33" t="s">
        <v>18630</v>
      </c>
      <c r="C6788" s="32" t="s">
        <v>18631</v>
      </c>
      <c r="D6788" s="32" t="s">
        <v>18632</v>
      </c>
    </row>
    <row r="6789" spans="2:4" x14ac:dyDescent="0.3">
      <c r="B6789" s="33" t="s">
        <v>18633</v>
      </c>
      <c r="C6789" s="32" t="s">
        <v>18634</v>
      </c>
      <c r="D6789" s="32" t="s">
        <v>18635</v>
      </c>
    </row>
    <row r="6790" spans="2:4" x14ac:dyDescent="0.3">
      <c r="B6790" s="33" t="s">
        <v>18636</v>
      </c>
      <c r="C6790" s="32" t="s">
        <v>18637</v>
      </c>
      <c r="D6790" s="32" t="s">
        <v>18638</v>
      </c>
    </row>
    <row r="6791" spans="2:4" x14ac:dyDescent="0.3">
      <c r="B6791" s="33" t="s">
        <v>18639</v>
      </c>
      <c r="C6791" s="32" t="s">
        <v>18640</v>
      </c>
      <c r="D6791" s="32" t="s">
        <v>18641</v>
      </c>
    </row>
    <row r="6792" spans="2:4" x14ac:dyDescent="0.3">
      <c r="B6792" s="33" t="s">
        <v>18642</v>
      </c>
      <c r="C6792" s="32" t="s">
        <v>18643</v>
      </c>
      <c r="D6792" s="32" t="s">
        <v>18644</v>
      </c>
    </row>
    <row r="6793" spans="2:4" x14ac:dyDescent="0.3">
      <c r="B6793" s="33" t="s">
        <v>18562</v>
      </c>
      <c r="C6793" s="32" t="s">
        <v>18645</v>
      </c>
      <c r="D6793" s="32" t="s">
        <v>36850</v>
      </c>
    </row>
    <row r="6794" spans="2:4" x14ac:dyDescent="0.3">
      <c r="B6794" s="33" t="s">
        <v>3886</v>
      </c>
      <c r="C6794" s="32" t="s">
        <v>18646</v>
      </c>
      <c r="D6794" s="32" t="s">
        <v>18647</v>
      </c>
    </row>
    <row r="6795" spans="2:4" x14ac:dyDescent="0.3">
      <c r="B6795" s="33" t="s">
        <v>18648</v>
      </c>
      <c r="C6795" s="32" t="s">
        <v>18649</v>
      </c>
      <c r="D6795" s="32" t="s">
        <v>18650</v>
      </c>
    </row>
    <row r="6796" spans="2:4" x14ac:dyDescent="0.3">
      <c r="B6796" s="33" t="s">
        <v>18651</v>
      </c>
      <c r="C6796" s="32" t="s">
        <v>18652</v>
      </c>
      <c r="D6796" s="32" t="s">
        <v>18653</v>
      </c>
    </row>
    <row r="6797" spans="2:4" x14ac:dyDescent="0.3">
      <c r="B6797" s="33" t="s">
        <v>18654</v>
      </c>
      <c r="C6797" s="32" t="s">
        <v>18655</v>
      </c>
      <c r="D6797" s="32" t="s">
        <v>18654</v>
      </c>
    </row>
    <row r="6798" spans="2:4" x14ac:dyDescent="0.3">
      <c r="B6798" s="33" t="s">
        <v>18656</v>
      </c>
      <c r="C6798" s="32" t="s">
        <v>18657</v>
      </c>
      <c r="D6798" s="32" t="s">
        <v>18658</v>
      </c>
    </row>
    <row r="6799" spans="2:4" x14ac:dyDescent="0.3">
      <c r="B6799" s="33" t="s">
        <v>18659</v>
      </c>
      <c r="C6799" s="32" t="s">
        <v>18660</v>
      </c>
      <c r="D6799" s="32" t="s">
        <v>18661</v>
      </c>
    </row>
    <row r="6800" spans="2:4" x14ac:dyDescent="0.3">
      <c r="B6800" s="33" t="s">
        <v>18662</v>
      </c>
      <c r="C6800" s="32" t="s">
        <v>18663</v>
      </c>
      <c r="D6800" s="32" t="s">
        <v>18664</v>
      </c>
    </row>
    <row r="6801" spans="2:4" x14ac:dyDescent="0.3">
      <c r="B6801" s="33" t="s">
        <v>18665</v>
      </c>
      <c r="C6801" s="32" t="s">
        <v>18666</v>
      </c>
      <c r="D6801" s="32" t="s">
        <v>18667</v>
      </c>
    </row>
    <row r="6802" spans="2:4" x14ac:dyDescent="0.3">
      <c r="B6802" s="33" t="s">
        <v>18668</v>
      </c>
      <c r="C6802" s="32" t="s">
        <v>18669</v>
      </c>
      <c r="D6802" s="32" t="s">
        <v>18670</v>
      </c>
    </row>
    <row r="6803" spans="2:4" x14ac:dyDescent="0.3">
      <c r="B6803" s="33" t="s">
        <v>18671</v>
      </c>
      <c r="C6803" s="32" t="s">
        <v>18672</v>
      </c>
      <c r="D6803" s="32" t="s">
        <v>18673</v>
      </c>
    </row>
    <row r="6804" spans="2:4" x14ac:dyDescent="0.3">
      <c r="B6804" s="33" t="s">
        <v>3886</v>
      </c>
      <c r="C6804" s="32" t="s">
        <v>18674</v>
      </c>
      <c r="D6804" s="32" t="s">
        <v>18675</v>
      </c>
    </row>
    <row r="6805" spans="2:4" x14ac:dyDescent="0.3">
      <c r="B6805" s="33" t="s">
        <v>18662</v>
      </c>
      <c r="C6805" s="32" t="s">
        <v>18676</v>
      </c>
      <c r="D6805" s="32" t="s">
        <v>18677</v>
      </c>
    </row>
    <row r="6806" spans="2:4" x14ac:dyDescent="0.3">
      <c r="B6806" s="33" t="s">
        <v>18678</v>
      </c>
      <c r="C6806" s="32" t="s">
        <v>18679</v>
      </c>
      <c r="D6806" s="32" t="s">
        <v>18680</v>
      </c>
    </row>
    <row r="6807" spans="2:4" x14ac:dyDescent="0.3">
      <c r="B6807" s="33" t="s">
        <v>18678</v>
      </c>
      <c r="C6807" s="32" t="s">
        <v>18681</v>
      </c>
      <c r="D6807" s="32" t="s">
        <v>18682</v>
      </c>
    </row>
    <row r="6808" spans="2:4" x14ac:dyDescent="0.3">
      <c r="B6808" s="33" t="s">
        <v>50</v>
      </c>
      <c r="C6808" s="32" t="s">
        <v>18683</v>
      </c>
      <c r="D6808" s="32" t="s">
        <v>18684</v>
      </c>
    </row>
    <row r="6809" spans="2:4" x14ac:dyDescent="0.3">
      <c r="B6809" s="33" t="s">
        <v>18685</v>
      </c>
      <c r="C6809" s="32" t="s">
        <v>18686</v>
      </c>
      <c r="D6809" s="32" t="s">
        <v>18687</v>
      </c>
    </row>
    <row r="6810" spans="2:4" x14ac:dyDescent="0.3">
      <c r="B6810" s="33" t="s">
        <v>18688</v>
      </c>
      <c r="C6810" s="32" t="s">
        <v>18689</v>
      </c>
      <c r="D6810" s="32" t="s">
        <v>18690</v>
      </c>
    </row>
    <row r="6811" spans="2:4" x14ac:dyDescent="0.3">
      <c r="B6811" s="33" t="s">
        <v>18691</v>
      </c>
      <c r="C6811" s="32" t="s">
        <v>18692</v>
      </c>
      <c r="D6811" s="32" t="s">
        <v>18693</v>
      </c>
    </row>
    <row r="6812" spans="2:4" x14ac:dyDescent="0.3">
      <c r="B6812" s="33" t="s">
        <v>18694</v>
      </c>
      <c r="C6812" s="32" t="s">
        <v>18695</v>
      </c>
      <c r="D6812" s="32" t="s">
        <v>18694</v>
      </c>
    </row>
    <row r="6813" spans="2:4" x14ac:dyDescent="0.3">
      <c r="B6813" s="33" t="s">
        <v>18696</v>
      </c>
      <c r="C6813" s="32" t="s">
        <v>18697</v>
      </c>
      <c r="D6813" s="32" t="s">
        <v>18698</v>
      </c>
    </row>
    <row r="6814" spans="2:4" x14ac:dyDescent="0.3">
      <c r="B6814" s="33" t="s">
        <v>9881</v>
      </c>
      <c r="C6814" s="32" t="s">
        <v>18699</v>
      </c>
      <c r="D6814" s="32" t="s">
        <v>18700</v>
      </c>
    </row>
    <row r="6815" spans="2:4" x14ac:dyDescent="0.3">
      <c r="B6815" s="33" t="s">
        <v>18701</v>
      </c>
      <c r="C6815" s="32" t="s">
        <v>18702</v>
      </c>
      <c r="D6815" s="32" t="s">
        <v>18703</v>
      </c>
    </row>
    <row r="6816" spans="2:4" x14ac:dyDescent="0.3">
      <c r="B6816" s="33" t="s">
        <v>18553</v>
      </c>
      <c r="C6816" s="32" t="s">
        <v>18704</v>
      </c>
      <c r="D6816" s="32" t="s">
        <v>18705</v>
      </c>
    </row>
    <row r="6817" spans="2:4" x14ac:dyDescent="0.3">
      <c r="B6817" s="33" t="s">
        <v>9881</v>
      </c>
      <c r="C6817" s="32" t="s">
        <v>18706</v>
      </c>
      <c r="D6817" s="32" t="s">
        <v>18707</v>
      </c>
    </row>
    <row r="6818" spans="2:4" x14ac:dyDescent="0.3">
      <c r="B6818" s="33" t="s">
        <v>18708</v>
      </c>
      <c r="C6818" s="32" t="s">
        <v>18709</v>
      </c>
      <c r="D6818" s="32" t="s">
        <v>18710</v>
      </c>
    </row>
    <row r="6819" spans="2:4" x14ac:dyDescent="0.3">
      <c r="B6819" s="33" t="s">
        <v>18711</v>
      </c>
      <c r="C6819" s="32" t="s">
        <v>18712</v>
      </c>
      <c r="D6819" s="32" t="s">
        <v>18713</v>
      </c>
    </row>
    <row r="6820" spans="2:4" x14ac:dyDescent="0.3">
      <c r="B6820" s="33" t="s">
        <v>18714</v>
      </c>
      <c r="C6820" s="32" t="s">
        <v>18715</v>
      </c>
      <c r="D6820" s="32" t="s">
        <v>18716</v>
      </c>
    </row>
    <row r="6821" spans="2:4" x14ac:dyDescent="0.3">
      <c r="B6821" s="33" t="s">
        <v>18717</v>
      </c>
      <c r="C6821" s="32" t="s">
        <v>18718</v>
      </c>
      <c r="D6821" s="32" t="s">
        <v>18719</v>
      </c>
    </row>
    <row r="6822" spans="2:4" x14ac:dyDescent="0.3">
      <c r="B6822" s="33" t="s">
        <v>18720</v>
      </c>
      <c r="C6822" s="32" t="s">
        <v>18721</v>
      </c>
      <c r="D6822" s="32" t="s">
        <v>18722</v>
      </c>
    </row>
    <row r="6823" spans="2:4" x14ac:dyDescent="0.3">
      <c r="B6823" s="33" t="s">
        <v>18723</v>
      </c>
      <c r="C6823" s="32" t="s">
        <v>18724</v>
      </c>
      <c r="D6823" s="32" t="s">
        <v>18725</v>
      </c>
    </row>
    <row r="6824" spans="2:4" x14ac:dyDescent="0.3">
      <c r="B6824" s="33" t="s">
        <v>18726</v>
      </c>
      <c r="C6824" s="32" t="s">
        <v>18727</v>
      </c>
      <c r="D6824" s="32" t="s">
        <v>18728</v>
      </c>
    </row>
    <row r="6825" spans="2:4" x14ac:dyDescent="0.3">
      <c r="B6825" s="33" t="s">
        <v>18729</v>
      </c>
      <c r="C6825" s="32" t="s">
        <v>18730</v>
      </c>
      <c r="D6825" s="32" t="s">
        <v>18731</v>
      </c>
    </row>
    <row r="6826" spans="2:4" x14ac:dyDescent="0.3">
      <c r="B6826" s="33" t="s">
        <v>18662</v>
      </c>
      <c r="C6826" s="32" t="s">
        <v>18732</v>
      </c>
      <c r="D6826" s="32" t="s">
        <v>18733</v>
      </c>
    </row>
    <row r="6827" spans="2:4" x14ac:dyDescent="0.3">
      <c r="B6827" s="33" t="s">
        <v>18720</v>
      </c>
      <c r="C6827" s="32" t="s">
        <v>18734</v>
      </c>
      <c r="D6827" s="32" t="s">
        <v>18735</v>
      </c>
    </row>
    <row r="6828" spans="2:4" x14ac:dyDescent="0.3">
      <c r="B6828" s="33" t="s">
        <v>18736</v>
      </c>
      <c r="C6828" s="32" t="s">
        <v>18737</v>
      </c>
      <c r="D6828" s="32" t="s">
        <v>18738</v>
      </c>
    </row>
    <row r="6829" spans="2:4" x14ac:dyDescent="0.3">
      <c r="B6829" s="33" t="s">
        <v>18662</v>
      </c>
      <c r="C6829" s="32" t="s">
        <v>18739</v>
      </c>
      <c r="D6829" s="32" t="s">
        <v>18740</v>
      </c>
    </row>
    <row r="6830" spans="2:4" x14ac:dyDescent="0.3">
      <c r="B6830" s="33" t="s">
        <v>18741</v>
      </c>
      <c r="C6830" s="32" t="s">
        <v>18742</v>
      </c>
      <c r="D6830" s="32" t="s">
        <v>18743</v>
      </c>
    </row>
    <row r="6831" spans="2:4" x14ac:dyDescent="0.3">
      <c r="B6831" s="33" t="s">
        <v>18744</v>
      </c>
      <c r="C6831" s="32" t="s">
        <v>18745</v>
      </c>
      <c r="D6831" s="32" t="s">
        <v>18746</v>
      </c>
    </row>
    <row r="6832" spans="2:4" x14ac:dyDescent="0.3">
      <c r="B6832" s="33" t="s">
        <v>18747</v>
      </c>
      <c r="C6832" s="32" t="s">
        <v>18748</v>
      </c>
      <c r="D6832" s="32" t="s">
        <v>18749</v>
      </c>
    </row>
    <row r="6833" spans="2:4" x14ac:dyDescent="0.3">
      <c r="B6833" s="33" t="s">
        <v>18750</v>
      </c>
      <c r="C6833" s="32" t="s">
        <v>18751</v>
      </c>
      <c r="D6833" s="32" t="s">
        <v>18752</v>
      </c>
    </row>
    <row r="6834" spans="2:4" x14ac:dyDescent="0.3">
      <c r="B6834" s="33" t="s">
        <v>18753</v>
      </c>
      <c r="C6834" s="32" t="s">
        <v>18754</v>
      </c>
      <c r="D6834" s="32" t="s">
        <v>18755</v>
      </c>
    </row>
    <row r="6835" spans="2:4" x14ac:dyDescent="0.3">
      <c r="B6835" s="33" t="s">
        <v>18756</v>
      </c>
      <c r="C6835" s="32" t="s">
        <v>18757</v>
      </c>
      <c r="D6835" s="32" t="s">
        <v>18758</v>
      </c>
    </row>
    <row r="6836" spans="2:4" x14ac:dyDescent="0.3">
      <c r="B6836" s="33" t="s">
        <v>18759</v>
      </c>
      <c r="C6836" s="32" t="s">
        <v>18760</v>
      </c>
      <c r="D6836" s="32" t="s">
        <v>18761</v>
      </c>
    </row>
    <row r="6837" spans="2:4" x14ac:dyDescent="0.3">
      <c r="B6837" s="33" t="s">
        <v>18762</v>
      </c>
      <c r="C6837" s="32" t="s">
        <v>18763</v>
      </c>
      <c r="D6837" s="32" t="s">
        <v>18764</v>
      </c>
    </row>
    <row r="6838" spans="2:4" x14ac:dyDescent="0.3">
      <c r="B6838" s="33" t="s">
        <v>18765</v>
      </c>
      <c r="C6838" s="32" t="s">
        <v>18766</v>
      </c>
      <c r="D6838" s="32" t="s">
        <v>18767</v>
      </c>
    </row>
    <row r="6839" spans="2:4" x14ac:dyDescent="0.3">
      <c r="B6839" s="33" t="s">
        <v>18768</v>
      </c>
      <c r="C6839" s="32" t="s">
        <v>18769</v>
      </c>
      <c r="D6839" s="32" t="s">
        <v>18770</v>
      </c>
    </row>
    <row r="6840" spans="2:4" x14ac:dyDescent="0.3">
      <c r="B6840" s="33" t="s">
        <v>18771</v>
      </c>
      <c r="C6840" s="32" t="s">
        <v>18772</v>
      </c>
      <c r="D6840" s="32" t="s">
        <v>18773</v>
      </c>
    </row>
    <row r="6841" spans="2:4" x14ac:dyDescent="0.3">
      <c r="B6841" s="33" t="s">
        <v>18774</v>
      </c>
      <c r="C6841" s="32" t="s">
        <v>18775</v>
      </c>
      <c r="D6841" s="32" t="s">
        <v>18776</v>
      </c>
    </row>
    <row r="6842" spans="2:4" x14ac:dyDescent="0.3">
      <c r="B6842" s="33" t="s">
        <v>18777</v>
      </c>
      <c r="C6842" s="32" t="s">
        <v>18778</v>
      </c>
      <c r="D6842" s="32" t="s">
        <v>18779</v>
      </c>
    </row>
    <row r="6843" spans="2:4" x14ac:dyDescent="0.3">
      <c r="B6843" s="33" t="s">
        <v>18780</v>
      </c>
      <c r="C6843" s="32" t="s">
        <v>18781</v>
      </c>
      <c r="D6843" s="32" t="s">
        <v>18782</v>
      </c>
    </row>
    <row r="6844" spans="2:4" x14ac:dyDescent="0.3">
      <c r="B6844" s="33" t="s">
        <v>18783</v>
      </c>
      <c r="C6844" s="32" t="s">
        <v>18784</v>
      </c>
      <c r="D6844" s="32" t="s">
        <v>18785</v>
      </c>
    </row>
    <row r="6845" spans="2:4" x14ac:dyDescent="0.3">
      <c r="B6845" s="33" t="s">
        <v>18786</v>
      </c>
      <c r="C6845" s="32" t="s">
        <v>18787</v>
      </c>
      <c r="D6845" s="32" t="s">
        <v>18786</v>
      </c>
    </row>
    <row r="6846" spans="2:4" x14ac:dyDescent="0.3">
      <c r="B6846" s="33" t="s">
        <v>18788</v>
      </c>
      <c r="C6846" s="32" t="s">
        <v>18789</v>
      </c>
      <c r="D6846" s="32" t="s">
        <v>18790</v>
      </c>
    </row>
    <row r="6847" spans="2:4" x14ac:dyDescent="0.3">
      <c r="B6847" s="33" t="s">
        <v>18786</v>
      </c>
      <c r="C6847" s="32" t="s">
        <v>18791</v>
      </c>
      <c r="D6847" s="32" t="s">
        <v>18792</v>
      </c>
    </row>
    <row r="6848" spans="2:4" x14ac:dyDescent="0.3">
      <c r="B6848" s="33" t="s">
        <v>18793</v>
      </c>
      <c r="C6848" s="32" t="s">
        <v>18794</v>
      </c>
      <c r="D6848" s="32" t="s">
        <v>18795</v>
      </c>
    </row>
    <row r="6849" spans="2:4" x14ac:dyDescent="0.3">
      <c r="B6849" s="33" t="s">
        <v>18696</v>
      </c>
      <c r="C6849" s="32" t="s">
        <v>18796</v>
      </c>
      <c r="D6849" s="32" t="s">
        <v>18797</v>
      </c>
    </row>
    <row r="6850" spans="2:4" x14ac:dyDescent="0.3">
      <c r="B6850" s="33" t="s">
        <v>18798</v>
      </c>
      <c r="C6850" s="32" t="s">
        <v>18799</v>
      </c>
      <c r="D6850" s="32" t="s">
        <v>18800</v>
      </c>
    </row>
    <row r="6851" spans="2:4" x14ac:dyDescent="0.3">
      <c r="B6851" s="33" t="s">
        <v>18801</v>
      </c>
      <c r="C6851" s="32" t="s">
        <v>18802</v>
      </c>
      <c r="D6851" s="32" t="s">
        <v>83</v>
      </c>
    </row>
    <row r="6852" spans="2:4" x14ac:dyDescent="0.3">
      <c r="B6852" s="33" t="s">
        <v>18803</v>
      </c>
      <c r="C6852" s="32" t="s">
        <v>18804</v>
      </c>
      <c r="D6852" s="32" t="s">
        <v>18803</v>
      </c>
    </row>
    <row r="6853" spans="2:4" x14ac:dyDescent="0.3">
      <c r="B6853" s="33" t="s">
        <v>18805</v>
      </c>
      <c r="C6853" s="32" t="s">
        <v>18806</v>
      </c>
      <c r="D6853" s="32" t="s">
        <v>18807</v>
      </c>
    </row>
    <row r="6854" spans="2:4" x14ac:dyDescent="0.3">
      <c r="B6854" s="33" t="s">
        <v>18808</v>
      </c>
      <c r="C6854" s="32" t="s">
        <v>18809</v>
      </c>
      <c r="D6854" s="32" t="s">
        <v>18810</v>
      </c>
    </row>
    <row r="6855" spans="2:4" x14ac:dyDescent="0.3">
      <c r="B6855" s="33" t="s">
        <v>18811</v>
      </c>
      <c r="C6855" s="32" t="s">
        <v>18812</v>
      </c>
      <c r="D6855" s="32" t="s">
        <v>18813</v>
      </c>
    </row>
    <row r="6856" spans="2:4" x14ac:dyDescent="0.3">
      <c r="B6856" s="33" t="s">
        <v>18814</v>
      </c>
      <c r="C6856" s="32" t="s">
        <v>18815</v>
      </c>
      <c r="D6856" s="32" t="s">
        <v>18816</v>
      </c>
    </row>
    <row r="6857" spans="2:4" x14ac:dyDescent="0.3">
      <c r="B6857" s="33" t="s">
        <v>18817</v>
      </c>
      <c r="C6857" s="32" t="s">
        <v>18818</v>
      </c>
      <c r="D6857" s="32" t="s">
        <v>18819</v>
      </c>
    </row>
    <row r="6858" spans="2:4" x14ac:dyDescent="0.3">
      <c r="B6858" s="33" t="s">
        <v>18820</v>
      </c>
      <c r="C6858" s="32" t="s">
        <v>18821</v>
      </c>
      <c r="D6858" s="32" t="s">
        <v>18822</v>
      </c>
    </row>
    <row r="6859" spans="2:4" x14ac:dyDescent="0.3">
      <c r="B6859" s="33" t="s">
        <v>18823</v>
      </c>
      <c r="C6859" s="32" t="s">
        <v>18824</v>
      </c>
      <c r="D6859" s="32" t="s">
        <v>18825</v>
      </c>
    </row>
    <row r="6860" spans="2:4" x14ac:dyDescent="0.3">
      <c r="B6860" s="33" t="s">
        <v>18826</v>
      </c>
      <c r="C6860" s="32" t="s">
        <v>18827</v>
      </c>
      <c r="D6860" s="32" t="s">
        <v>18828</v>
      </c>
    </row>
    <row r="6861" spans="2:4" x14ac:dyDescent="0.3">
      <c r="B6861" s="33" t="s">
        <v>18829</v>
      </c>
      <c r="C6861" s="32" t="s">
        <v>18830</v>
      </c>
      <c r="D6861" s="32" t="s">
        <v>18831</v>
      </c>
    </row>
    <row r="6862" spans="2:4" x14ac:dyDescent="0.3">
      <c r="B6862" s="33" t="s">
        <v>18832</v>
      </c>
      <c r="C6862" s="32" t="s">
        <v>18833</v>
      </c>
      <c r="D6862" s="32" t="s">
        <v>18834</v>
      </c>
    </row>
    <row r="6863" spans="2:4" x14ac:dyDescent="0.3">
      <c r="B6863" s="33" t="s">
        <v>18835</v>
      </c>
      <c r="C6863" s="32" t="s">
        <v>18836</v>
      </c>
      <c r="D6863" s="32" t="s">
        <v>18837</v>
      </c>
    </row>
    <row r="6864" spans="2:4" x14ac:dyDescent="0.3">
      <c r="B6864" s="33" t="s">
        <v>7507</v>
      </c>
      <c r="C6864" s="32" t="s">
        <v>18838</v>
      </c>
      <c r="D6864" s="32" t="s">
        <v>18839</v>
      </c>
    </row>
    <row r="6865" spans="2:4" x14ac:dyDescent="0.3">
      <c r="B6865" s="33" t="s">
        <v>7507</v>
      </c>
      <c r="C6865" s="32" t="s">
        <v>18840</v>
      </c>
      <c r="D6865" s="32" t="s">
        <v>18841</v>
      </c>
    </row>
    <row r="6866" spans="2:4" x14ac:dyDescent="0.3">
      <c r="B6866" s="33" t="s">
        <v>18842</v>
      </c>
      <c r="C6866" s="32" t="s">
        <v>18843</v>
      </c>
      <c r="D6866" s="32" t="s">
        <v>18844</v>
      </c>
    </row>
    <row r="6867" spans="2:4" x14ac:dyDescent="0.3">
      <c r="B6867" s="33" t="s">
        <v>18845</v>
      </c>
      <c r="C6867" s="32" t="s">
        <v>18846</v>
      </c>
      <c r="D6867" s="32" t="s">
        <v>18847</v>
      </c>
    </row>
    <row r="6868" spans="2:4" x14ac:dyDescent="0.3">
      <c r="B6868" s="33" t="s">
        <v>18848</v>
      </c>
      <c r="C6868" s="32" t="s">
        <v>18849</v>
      </c>
      <c r="D6868" s="32" t="s">
        <v>18850</v>
      </c>
    </row>
    <row r="6869" spans="2:4" x14ac:dyDescent="0.3">
      <c r="B6869" s="33" t="s">
        <v>18851</v>
      </c>
      <c r="C6869" s="32" t="s">
        <v>18852</v>
      </c>
      <c r="D6869" s="32" t="s">
        <v>18853</v>
      </c>
    </row>
    <row r="6870" spans="2:4" x14ac:dyDescent="0.3">
      <c r="B6870" s="33" t="s">
        <v>18854</v>
      </c>
      <c r="C6870" s="32" t="s">
        <v>18855</v>
      </c>
      <c r="D6870" s="32" t="s">
        <v>18856</v>
      </c>
    </row>
    <row r="6871" spans="2:4" x14ac:dyDescent="0.3">
      <c r="B6871" s="33" t="s">
        <v>18857</v>
      </c>
      <c r="C6871" s="32" t="s">
        <v>18858</v>
      </c>
      <c r="D6871" s="32" t="s">
        <v>18859</v>
      </c>
    </row>
    <row r="6872" spans="2:4" x14ac:dyDescent="0.3">
      <c r="B6872" s="33" t="s">
        <v>18860</v>
      </c>
      <c r="C6872" s="32" t="s">
        <v>18861</v>
      </c>
      <c r="D6872" s="32" t="s">
        <v>18862</v>
      </c>
    </row>
    <row r="6873" spans="2:4" x14ac:dyDescent="0.3">
      <c r="B6873" s="33" t="s">
        <v>18863</v>
      </c>
      <c r="C6873" s="32" t="s">
        <v>18864</v>
      </c>
      <c r="D6873" s="32" t="s">
        <v>18865</v>
      </c>
    </row>
    <row r="6874" spans="2:4" x14ac:dyDescent="0.3">
      <c r="B6874" s="33" t="s">
        <v>18866</v>
      </c>
      <c r="C6874" s="32" t="s">
        <v>18867</v>
      </c>
      <c r="D6874" s="32" t="s">
        <v>18868</v>
      </c>
    </row>
    <row r="6875" spans="2:4" x14ac:dyDescent="0.3">
      <c r="B6875" s="33" t="s">
        <v>37260</v>
      </c>
      <c r="C6875" s="32" t="s">
        <v>37261</v>
      </c>
      <c r="D6875" s="32" t="s">
        <v>37262</v>
      </c>
    </row>
    <row r="6876" spans="2:4" x14ac:dyDescent="0.3">
      <c r="B6876" s="33" t="s">
        <v>18866</v>
      </c>
      <c r="C6876" s="32" t="s">
        <v>18869</v>
      </c>
      <c r="D6876" s="32" t="s">
        <v>18870</v>
      </c>
    </row>
    <row r="6877" spans="2:4" x14ac:dyDescent="0.3">
      <c r="B6877" s="33" t="s">
        <v>18842</v>
      </c>
      <c r="C6877" s="32" t="s">
        <v>18871</v>
      </c>
      <c r="D6877" s="32" t="s">
        <v>18872</v>
      </c>
    </row>
    <row r="6878" spans="2:4" x14ac:dyDescent="0.3">
      <c r="B6878" s="33" t="s">
        <v>18873</v>
      </c>
      <c r="C6878" s="32" t="s">
        <v>18874</v>
      </c>
      <c r="D6878" s="32" t="s">
        <v>18875</v>
      </c>
    </row>
    <row r="6879" spans="2:4" x14ac:dyDescent="0.3">
      <c r="B6879" s="33" t="s">
        <v>18777</v>
      </c>
      <c r="C6879" s="32" t="s">
        <v>18876</v>
      </c>
      <c r="D6879" s="32" t="s">
        <v>18877</v>
      </c>
    </row>
    <row r="6880" spans="2:4" x14ac:dyDescent="0.3">
      <c r="B6880" s="33" t="s">
        <v>18878</v>
      </c>
      <c r="C6880" s="32" t="s">
        <v>18879</v>
      </c>
      <c r="D6880" s="32" t="s">
        <v>18880</v>
      </c>
    </row>
    <row r="6881" spans="2:4" x14ac:dyDescent="0.3">
      <c r="B6881" s="33" t="s">
        <v>18881</v>
      </c>
      <c r="C6881" s="32" t="s">
        <v>18882</v>
      </c>
      <c r="D6881" s="32" t="s">
        <v>18883</v>
      </c>
    </row>
    <row r="6882" spans="2:4" x14ac:dyDescent="0.3">
      <c r="B6882" s="33" t="s">
        <v>18884</v>
      </c>
      <c r="C6882" s="32" t="s">
        <v>18885</v>
      </c>
      <c r="D6882" s="32" t="s">
        <v>18884</v>
      </c>
    </row>
    <row r="6883" spans="2:4" x14ac:dyDescent="0.3">
      <c r="B6883" s="33" t="s">
        <v>18886</v>
      </c>
      <c r="C6883" s="32" t="s">
        <v>18887</v>
      </c>
      <c r="D6883" s="32" t="s">
        <v>18888</v>
      </c>
    </row>
    <row r="6884" spans="2:4" x14ac:dyDescent="0.3">
      <c r="B6884" s="33" t="s">
        <v>18729</v>
      </c>
      <c r="C6884" s="32" t="s">
        <v>18889</v>
      </c>
      <c r="D6884" s="32" t="s">
        <v>18890</v>
      </c>
    </row>
    <row r="6885" spans="2:4" x14ac:dyDescent="0.3">
      <c r="B6885" s="33" t="s">
        <v>6522</v>
      </c>
      <c r="C6885" s="32" t="s">
        <v>18891</v>
      </c>
      <c r="D6885" s="32" t="s">
        <v>18892</v>
      </c>
    </row>
    <row r="6886" spans="2:4" x14ac:dyDescent="0.3">
      <c r="B6886" s="33" t="s">
        <v>68</v>
      </c>
      <c r="C6886" s="32" t="s">
        <v>18893</v>
      </c>
      <c r="D6886" s="32" t="s">
        <v>69</v>
      </c>
    </row>
    <row r="6887" spans="2:4" x14ac:dyDescent="0.3">
      <c r="B6887" s="33" t="s">
        <v>18894</v>
      </c>
      <c r="C6887" s="32" t="s">
        <v>18895</v>
      </c>
      <c r="D6887" s="32" t="s">
        <v>18896</v>
      </c>
    </row>
    <row r="6888" spans="2:4" x14ac:dyDescent="0.3">
      <c r="B6888" s="33" t="s">
        <v>18897</v>
      </c>
      <c r="C6888" s="32" t="s">
        <v>18898</v>
      </c>
      <c r="D6888" s="32" t="s">
        <v>18899</v>
      </c>
    </row>
    <row r="6889" spans="2:4" x14ac:dyDescent="0.3">
      <c r="B6889" s="33" t="s">
        <v>18900</v>
      </c>
      <c r="C6889" s="32" t="s">
        <v>18901</v>
      </c>
      <c r="D6889" s="32" t="s">
        <v>18902</v>
      </c>
    </row>
    <row r="6890" spans="2:4" x14ac:dyDescent="0.3">
      <c r="B6890" s="33" t="s">
        <v>18903</v>
      </c>
      <c r="C6890" s="32" t="s">
        <v>18904</v>
      </c>
      <c r="D6890" s="32" t="s">
        <v>18905</v>
      </c>
    </row>
    <row r="6891" spans="2:4" x14ac:dyDescent="0.3">
      <c r="B6891" s="33" t="s">
        <v>18906</v>
      </c>
      <c r="C6891" s="32" t="s">
        <v>18907</v>
      </c>
      <c r="D6891" s="32" t="s">
        <v>18908</v>
      </c>
    </row>
    <row r="6892" spans="2:4" x14ac:dyDescent="0.3">
      <c r="B6892" s="33" t="s">
        <v>18832</v>
      </c>
      <c r="C6892" s="32" t="s">
        <v>18909</v>
      </c>
      <c r="D6892" s="32" t="s">
        <v>18910</v>
      </c>
    </row>
    <row r="6893" spans="2:4" x14ac:dyDescent="0.3">
      <c r="B6893" s="33" t="s">
        <v>18911</v>
      </c>
      <c r="C6893" s="32" t="s">
        <v>18912</v>
      </c>
      <c r="D6893" s="32" t="s">
        <v>18913</v>
      </c>
    </row>
    <row r="6894" spans="2:4" x14ac:dyDescent="0.3">
      <c r="B6894" s="33" t="s">
        <v>18914</v>
      </c>
      <c r="C6894" s="32" t="s">
        <v>18915</v>
      </c>
      <c r="D6894" s="32" t="s">
        <v>18916</v>
      </c>
    </row>
    <row r="6895" spans="2:4" x14ac:dyDescent="0.3">
      <c r="B6895" s="33" t="s">
        <v>18917</v>
      </c>
      <c r="C6895" s="32" t="s">
        <v>18918</v>
      </c>
      <c r="D6895" s="32" t="s">
        <v>18919</v>
      </c>
    </row>
    <row r="6896" spans="2:4" x14ac:dyDescent="0.3">
      <c r="B6896" s="33" t="s">
        <v>18920</v>
      </c>
      <c r="C6896" s="32" t="s">
        <v>18921</v>
      </c>
      <c r="D6896" s="32" t="s">
        <v>18922</v>
      </c>
    </row>
    <row r="6897" spans="2:4" x14ac:dyDescent="0.3">
      <c r="B6897" s="33" t="s">
        <v>18923</v>
      </c>
      <c r="C6897" s="32" t="s">
        <v>18924</v>
      </c>
      <c r="D6897" s="32" t="s">
        <v>18925</v>
      </c>
    </row>
    <row r="6898" spans="2:4" x14ac:dyDescent="0.3">
      <c r="B6898" s="33" t="s">
        <v>18884</v>
      </c>
      <c r="C6898" s="32" t="s">
        <v>18926</v>
      </c>
      <c r="D6898" s="32" t="s">
        <v>18927</v>
      </c>
    </row>
    <row r="6899" spans="2:4" x14ac:dyDescent="0.3">
      <c r="B6899" s="33" t="s">
        <v>18928</v>
      </c>
      <c r="C6899" s="32" t="s">
        <v>18929</v>
      </c>
      <c r="D6899" s="32" t="s">
        <v>18930</v>
      </c>
    </row>
    <row r="6900" spans="2:4" x14ac:dyDescent="0.3">
      <c r="B6900" s="33" t="s">
        <v>18931</v>
      </c>
      <c r="C6900" s="32" t="s">
        <v>18932</v>
      </c>
      <c r="D6900" s="32" t="s">
        <v>18933</v>
      </c>
    </row>
    <row r="6901" spans="2:4" x14ac:dyDescent="0.3">
      <c r="B6901" s="33" t="s">
        <v>18934</v>
      </c>
      <c r="C6901" s="32" t="s">
        <v>18935</v>
      </c>
      <c r="D6901" s="32" t="s">
        <v>18936</v>
      </c>
    </row>
    <row r="6902" spans="2:4" x14ac:dyDescent="0.3">
      <c r="B6902" s="33" t="s">
        <v>18931</v>
      </c>
      <c r="C6902" s="32" t="s">
        <v>18937</v>
      </c>
      <c r="D6902" s="32" t="s">
        <v>18938</v>
      </c>
    </row>
    <row r="6903" spans="2:4" x14ac:dyDescent="0.3">
      <c r="B6903" s="33" t="s">
        <v>18939</v>
      </c>
      <c r="C6903" s="32" t="s">
        <v>18940</v>
      </c>
      <c r="D6903" s="32" t="s">
        <v>18941</v>
      </c>
    </row>
    <row r="6904" spans="2:4" x14ac:dyDescent="0.3">
      <c r="B6904" s="33" t="s">
        <v>18931</v>
      </c>
      <c r="C6904" s="32" t="s">
        <v>18942</v>
      </c>
      <c r="D6904" s="32" t="s">
        <v>18943</v>
      </c>
    </row>
    <row r="6905" spans="2:4" x14ac:dyDescent="0.3">
      <c r="B6905" s="33" t="s">
        <v>18884</v>
      </c>
      <c r="C6905" s="32" t="s">
        <v>18944</v>
      </c>
      <c r="D6905" s="32" t="s">
        <v>18945</v>
      </c>
    </row>
    <row r="6906" spans="2:4" x14ac:dyDescent="0.3">
      <c r="B6906" s="33" t="s">
        <v>18946</v>
      </c>
      <c r="C6906" s="32" t="s">
        <v>18947</v>
      </c>
      <c r="D6906" s="32" t="s">
        <v>18948</v>
      </c>
    </row>
    <row r="6907" spans="2:4" x14ac:dyDescent="0.3">
      <c r="B6907" s="33" t="s">
        <v>18648</v>
      </c>
      <c r="C6907" s="32" t="s">
        <v>18949</v>
      </c>
      <c r="D6907" s="32" t="s">
        <v>18950</v>
      </c>
    </row>
    <row r="6908" spans="2:4" x14ac:dyDescent="0.3">
      <c r="B6908" s="33" t="s">
        <v>14237</v>
      </c>
      <c r="C6908" s="32" t="s">
        <v>18951</v>
      </c>
      <c r="D6908" s="32" t="s">
        <v>18952</v>
      </c>
    </row>
    <row r="6909" spans="2:4" x14ac:dyDescent="0.3">
      <c r="B6909" s="33" t="s">
        <v>18953</v>
      </c>
      <c r="C6909" s="32" t="s">
        <v>18954</v>
      </c>
      <c r="D6909" s="32" t="s">
        <v>18955</v>
      </c>
    </row>
    <row r="6910" spans="2:4" x14ac:dyDescent="0.3">
      <c r="B6910" s="33" t="s">
        <v>18956</v>
      </c>
      <c r="C6910" s="32" t="s">
        <v>18957</v>
      </c>
      <c r="D6910" s="32" t="s">
        <v>18958</v>
      </c>
    </row>
    <row r="6911" spans="2:4" x14ac:dyDescent="0.3">
      <c r="B6911" s="33" t="s">
        <v>18368</v>
      </c>
      <c r="C6911" s="32" t="s">
        <v>18959</v>
      </c>
      <c r="D6911" s="32" t="s">
        <v>18960</v>
      </c>
    </row>
    <row r="6912" spans="2:4" x14ac:dyDescent="0.3">
      <c r="B6912" s="33" t="s">
        <v>18961</v>
      </c>
      <c r="C6912" s="32" t="s">
        <v>18962</v>
      </c>
      <c r="D6912" s="32" t="s">
        <v>18963</v>
      </c>
    </row>
    <row r="6913" spans="2:4" x14ac:dyDescent="0.3">
      <c r="B6913" s="33" t="s">
        <v>18964</v>
      </c>
      <c r="C6913" s="32" t="s">
        <v>18965</v>
      </c>
      <c r="D6913" s="32" t="s">
        <v>18966</v>
      </c>
    </row>
    <row r="6914" spans="2:4" x14ac:dyDescent="0.3">
      <c r="B6914" s="33" t="s">
        <v>18967</v>
      </c>
      <c r="C6914" s="32" t="s">
        <v>18968</v>
      </c>
      <c r="D6914" s="32" t="s">
        <v>18969</v>
      </c>
    </row>
    <row r="6915" spans="2:4" x14ac:dyDescent="0.3">
      <c r="B6915" s="33" t="s">
        <v>18970</v>
      </c>
      <c r="C6915" s="32" t="s">
        <v>18971</v>
      </c>
      <c r="D6915" s="32" t="s">
        <v>18972</v>
      </c>
    </row>
    <row r="6916" spans="2:4" x14ac:dyDescent="0.3">
      <c r="B6916" s="33" t="s">
        <v>18973</v>
      </c>
      <c r="C6916" s="32" t="s">
        <v>18974</v>
      </c>
      <c r="D6916" s="32" t="s">
        <v>18975</v>
      </c>
    </row>
    <row r="6917" spans="2:4" x14ac:dyDescent="0.3">
      <c r="B6917" s="33" t="s">
        <v>18976</v>
      </c>
      <c r="C6917" s="32" t="s">
        <v>18977</v>
      </c>
      <c r="D6917" s="32" t="s">
        <v>18978</v>
      </c>
    </row>
    <row r="6918" spans="2:4" x14ac:dyDescent="0.3">
      <c r="B6918" s="33" t="s">
        <v>18979</v>
      </c>
      <c r="C6918" s="32" t="s">
        <v>18980</v>
      </c>
      <c r="D6918" s="32" t="s">
        <v>18981</v>
      </c>
    </row>
    <row r="6919" spans="2:4" x14ac:dyDescent="0.3">
      <c r="B6919" s="33" t="s">
        <v>18368</v>
      </c>
      <c r="C6919" s="32" t="s">
        <v>18982</v>
      </c>
      <c r="D6919" s="32" t="s">
        <v>18983</v>
      </c>
    </row>
    <row r="6920" spans="2:4" x14ac:dyDescent="0.3">
      <c r="B6920" s="33" t="s">
        <v>18984</v>
      </c>
      <c r="C6920" s="32" t="s">
        <v>18985</v>
      </c>
      <c r="D6920" s="32" t="s">
        <v>18986</v>
      </c>
    </row>
    <row r="6921" spans="2:4" x14ac:dyDescent="0.3">
      <c r="B6921" s="33" t="s">
        <v>18987</v>
      </c>
      <c r="C6921" s="32" t="s">
        <v>18988</v>
      </c>
      <c r="D6921" s="32" t="s">
        <v>18989</v>
      </c>
    </row>
    <row r="6922" spans="2:4" x14ac:dyDescent="0.3">
      <c r="B6922" s="33" t="s">
        <v>18990</v>
      </c>
      <c r="C6922" s="32" t="s">
        <v>18991</v>
      </c>
      <c r="D6922" s="32" t="s">
        <v>18992</v>
      </c>
    </row>
    <row r="6923" spans="2:4" x14ac:dyDescent="0.3">
      <c r="B6923" s="33" t="s">
        <v>18993</v>
      </c>
      <c r="C6923" s="32" t="s">
        <v>18994</v>
      </c>
      <c r="D6923" s="32" t="s">
        <v>18995</v>
      </c>
    </row>
    <row r="6924" spans="2:4" x14ac:dyDescent="0.3">
      <c r="B6924" s="33" t="s">
        <v>18996</v>
      </c>
      <c r="C6924" s="32" t="s">
        <v>18997</v>
      </c>
      <c r="D6924" s="32" t="s">
        <v>18998</v>
      </c>
    </row>
    <row r="6925" spans="2:4" x14ac:dyDescent="0.3">
      <c r="B6925" s="33" t="s">
        <v>18999</v>
      </c>
      <c r="C6925" s="32" t="s">
        <v>19000</v>
      </c>
      <c r="D6925" s="32" t="s">
        <v>19001</v>
      </c>
    </row>
    <row r="6926" spans="2:4" x14ac:dyDescent="0.3">
      <c r="B6926" s="33" t="s">
        <v>19002</v>
      </c>
      <c r="C6926" s="32" t="s">
        <v>19003</v>
      </c>
      <c r="D6926" s="32" t="s">
        <v>19002</v>
      </c>
    </row>
    <row r="6927" spans="2:4" x14ac:dyDescent="0.3">
      <c r="B6927" s="33" t="s">
        <v>18451</v>
      </c>
      <c r="C6927" s="32" t="s">
        <v>19004</v>
      </c>
      <c r="D6927" s="32" t="s">
        <v>19005</v>
      </c>
    </row>
    <row r="6928" spans="2:4" x14ac:dyDescent="0.3">
      <c r="B6928" s="33" t="s">
        <v>18659</v>
      </c>
      <c r="C6928" s="32" t="s">
        <v>19006</v>
      </c>
      <c r="D6928" s="32" t="s">
        <v>19007</v>
      </c>
    </row>
    <row r="6929" spans="2:4" x14ac:dyDescent="0.3">
      <c r="B6929" s="33" t="s">
        <v>19008</v>
      </c>
      <c r="C6929" s="32" t="s">
        <v>19009</v>
      </c>
      <c r="D6929" s="32" t="s">
        <v>19010</v>
      </c>
    </row>
    <row r="6930" spans="2:4" x14ac:dyDescent="0.3">
      <c r="B6930" s="33" t="s">
        <v>19011</v>
      </c>
      <c r="C6930" s="32" t="s">
        <v>19012</v>
      </c>
      <c r="D6930" s="32" t="s">
        <v>19013</v>
      </c>
    </row>
    <row r="6931" spans="2:4" x14ac:dyDescent="0.3">
      <c r="B6931" s="33" t="s">
        <v>18596</v>
      </c>
      <c r="C6931" s="32" t="s">
        <v>19014</v>
      </c>
      <c r="D6931" s="32" t="s">
        <v>19015</v>
      </c>
    </row>
    <row r="6932" spans="2:4" x14ac:dyDescent="0.3">
      <c r="B6932" s="33" t="s">
        <v>19016</v>
      </c>
      <c r="C6932" s="32" t="s">
        <v>19017</v>
      </c>
      <c r="D6932" s="32" t="s">
        <v>19018</v>
      </c>
    </row>
    <row r="6933" spans="2:4" x14ac:dyDescent="0.3">
      <c r="B6933" s="33" t="s">
        <v>19019</v>
      </c>
      <c r="C6933" s="32" t="s">
        <v>19020</v>
      </c>
      <c r="D6933" s="32" t="s">
        <v>19021</v>
      </c>
    </row>
    <row r="6934" spans="2:4" x14ac:dyDescent="0.3">
      <c r="B6934" s="33" t="s">
        <v>19022</v>
      </c>
      <c r="C6934" s="32" t="s">
        <v>19023</v>
      </c>
      <c r="D6934" s="32" t="s">
        <v>19024</v>
      </c>
    </row>
    <row r="6935" spans="2:4" x14ac:dyDescent="0.3">
      <c r="B6935" s="33" t="s">
        <v>19025</v>
      </c>
      <c r="C6935" s="32" t="s">
        <v>19026</v>
      </c>
      <c r="D6935" s="32" t="s">
        <v>19027</v>
      </c>
    </row>
    <row r="6936" spans="2:4" x14ac:dyDescent="0.3">
      <c r="B6936" s="33" t="s">
        <v>18808</v>
      </c>
      <c r="C6936" s="32" t="s">
        <v>19028</v>
      </c>
      <c r="D6936" s="32" t="s">
        <v>19029</v>
      </c>
    </row>
    <row r="6937" spans="2:4" x14ac:dyDescent="0.3">
      <c r="B6937" s="33" t="s">
        <v>37416</v>
      </c>
      <c r="C6937" s="32" t="s">
        <v>37417</v>
      </c>
      <c r="D6937" s="32" t="s">
        <v>37418</v>
      </c>
    </row>
    <row r="6938" spans="2:4" x14ac:dyDescent="0.3">
      <c r="B6938" s="33" t="s">
        <v>19030</v>
      </c>
      <c r="C6938" s="32" t="s">
        <v>19031</v>
      </c>
      <c r="D6938" s="32" t="s">
        <v>19032</v>
      </c>
    </row>
    <row r="6939" spans="2:4" x14ac:dyDescent="0.3">
      <c r="B6939" s="33" t="s">
        <v>19033</v>
      </c>
      <c r="C6939" s="32" t="s">
        <v>19034</v>
      </c>
      <c r="D6939" s="32" t="s">
        <v>19035</v>
      </c>
    </row>
    <row r="6940" spans="2:4" x14ac:dyDescent="0.3">
      <c r="B6940" s="33" t="s">
        <v>19036</v>
      </c>
      <c r="C6940" s="32" t="s">
        <v>19037</v>
      </c>
      <c r="D6940" s="32" t="s">
        <v>19038</v>
      </c>
    </row>
    <row r="6941" spans="2:4" x14ac:dyDescent="0.3">
      <c r="B6941" s="33" t="s">
        <v>19039</v>
      </c>
      <c r="C6941" s="32" t="s">
        <v>19040</v>
      </c>
      <c r="D6941" s="32" t="s">
        <v>19041</v>
      </c>
    </row>
    <row r="6942" spans="2:4" x14ac:dyDescent="0.3">
      <c r="B6942" s="33" t="s">
        <v>19042</v>
      </c>
      <c r="C6942" s="32" t="s">
        <v>19043</v>
      </c>
      <c r="D6942" s="32" t="s">
        <v>19042</v>
      </c>
    </row>
    <row r="6943" spans="2:4" x14ac:dyDescent="0.3">
      <c r="B6943" s="33" t="s">
        <v>19044</v>
      </c>
      <c r="C6943" s="32" t="s">
        <v>19045</v>
      </c>
      <c r="D6943" s="32" t="s">
        <v>19046</v>
      </c>
    </row>
    <row r="6944" spans="2:4" x14ac:dyDescent="0.3">
      <c r="B6944" s="33" t="s">
        <v>19047</v>
      </c>
      <c r="C6944" s="32" t="s">
        <v>19048</v>
      </c>
      <c r="D6944" s="32" t="s">
        <v>19049</v>
      </c>
    </row>
    <row r="6945" spans="2:4" x14ac:dyDescent="0.3">
      <c r="B6945" s="33" t="s">
        <v>11518</v>
      </c>
      <c r="C6945" s="32" t="s">
        <v>19050</v>
      </c>
      <c r="D6945" s="32" t="s">
        <v>11518</v>
      </c>
    </row>
    <row r="6946" spans="2:4" x14ac:dyDescent="0.3">
      <c r="B6946" s="33" t="s">
        <v>11518</v>
      </c>
      <c r="C6946" s="32" t="s">
        <v>19051</v>
      </c>
      <c r="D6946" s="32" t="s">
        <v>19052</v>
      </c>
    </row>
    <row r="6947" spans="2:4" x14ac:dyDescent="0.3">
      <c r="B6947" s="33" t="s">
        <v>18917</v>
      </c>
      <c r="C6947" s="32" t="s">
        <v>19053</v>
      </c>
      <c r="D6947" s="32" t="s">
        <v>19054</v>
      </c>
    </row>
    <row r="6948" spans="2:4" x14ac:dyDescent="0.3">
      <c r="B6948" s="33" t="s">
        <v>19055</v>
      </c>
      <c r="C6948" s="32" t="s">
        <v>19056</v>
      </c>
      <c r="D6948" s="32" t="s">
        <v>19057</v>
      </c>
    </row>
    <row r="6949" spans="2:4" x14ac:dyDescent="0.3">
      <c r="B6949" s="33" t="s">
        <v>19058</v>
      </c>
      <c r="C6949" s="32" t="s">
        <v>19059</v>
      </c>
      <c r="D6949" s="32" t="s">
        <v>19060</v>
      </c>
    </row>
    <row r="6950" spans="2:4" x14ac:dyDescent="0.3">
      <c r="B6950" s="33" t="s">
        <v>19061</v>
      </c>
      <c r="C6950" s="32" t="s">
        <v>19062</v>
      </c>
      <c r="D6950" s="32" t="s">
        <v>19063</v>
      </c>
    </row>
    <row r="6951" spans="2:4" x14ac:dyDescent="0.3">
      <c r="B6951" s="33" t="s">
        <v>19064</v>
      </c>
      <c r="C6951" s="32" t="s">
        <v>19065</v>
      </c>
      <c r="D6951" s="32" t="s">
        <v>19066</v>
      </c>
    </row>
    <row r="6952" spans="2:4" x14ac:dyDescent="0.3">
      <c r="B6952" s="33" t="s">
        <v>19067</v>
      </c>
      <c r="C6952" s="32" t="s">
        <v>19068</v>
      </c>
      <c r="D6952" s="32" t="s">
        <v>19069</v>
      </c>
    </row>
    <row r="6953" spans="2:4" x14ac:dyDescent="0.3">
      <c r="B6953" s="33" t="s">
        <v>19070</v>
      </c>
      <c r="C6953" s="32" t="s">
        <v>19071</v>
      </c>
      <c r="D6953" s="32" t="s">
        <v>19072</v>
      </c>
    </row>
    <row r="6954" spans="2:4" x14ac:dyDescent="0.3">
      <c r="B6954" s="33" t="s">
        <v>19073</v>
      </c>
      <c r="C6954" s="32" t="s">
        <v>19074</v>
      </c>
      <c r="D6954" s="32" t="s">
        <v>19075</v>
      </c>
    </row>
    <row r="6955" spans="2:4" x14ac:dyDescent="0.3">
      <c r="B6955" s="33" t="s">
        <v>19076</v>
      </c>
      <c r="C6955" s="32" t="s">
        <v>19077</v>
      </c>
      <c r="D6955" s="32" t="s">
        <v>19078</v>
      </c>
    </row>
    <row r="6956" spans="2:4" x14ac:dyDescent="0.3">
      <c r="B6956" s="33" t="s">
        <v>19079</v>
      </c>
      <c r="C6956" s="32" t="s">
        <v>19080</v>
      </c>
      <c r="D6956" s="32" t="s">
        <v>19081</v>
      </c>
    </row>
    <row r="6957" spans="2:4" x14ac:dyDescent="0.3">
      <c r="B6957" s="33" t="s">
        <v>19082</v>
      </c>
      <c r="C6957" s="32" t="s">
        <v>19083</v>
      </c>
      <c r="D6957" s="32" t="s">
        <v>19084</v>
      </c>
    </row>
    <row r="6958" spans="2:4" x14ac:dyDescent="0.3">
      <c r="B6958" s="33" t="s">
        <v>19085</v>
      </c>
      <c r="C6958" s="32" t="s">
        <v>19086</v>
      </c>
      <c r="D6958" s="32" t="s">
        <v>19087</v>
      </c>
    </row>
    <row r="6959" spans="2:4" x14ac:dyDescent="0.3">
      <c r="B6959" s="33" t="s">
        <v>19088</v>
      </c>
      <c r="C6959" s="32" t="s">
        <v>19089</v>
      </c>
      <c r="D6959" s="32" t="s">
        <v>19090</v>
      </c>
    </row>
    <row r="6960" spans="2:4" x14ac:dyDescent="0.3">
      <c r="B6960" s="33" t="s">
        <v>19091</v>
      </c>
      <c r="C6960" s="32" t="s">
        <v>19092</v>
      </c>
      <c r="D6960" s="32" t="s">
        <v>19093</v>
      </c>
    </row>
    <row r="6961" spans="2:4" x14ac:dyDescent="0.3">
      <c r="B6961" s="33" t="s">
        <v>19091</v>
      </c>
      <c r="C6961" s="32" t="s">
        <v>19094</v>
      </c>
      <c r="D6961" s="32" t="s">
        <v>19095</v>
      </c>
    </row>
    <row r="6962" spans="2:4" x14ac:dyDescent="0.3">
      <c r="B6962" s="33" t="s">
        <v>19096</v>
      </c>
      <c r="C6962" s="32" t="s">
        <v>19097</v>
      </c>
      <c r="D6962" s="32" t="s">
        <v>19098</v>
      </c>
    </row>
    <row r="6963" spans="2:4" x14ac:dyDescent="0.3">
      <c r="B6963" s="33" t="s">
        <v>19099</v>
      </c>
      <c r="C6963" s="32" t="s">
        <v>19100</v>
      </c>
      <c r="D6963" s="32" t="s">
        <v>19101</v>
      </c>
    </row>
    <row r="6964" spans="2:4" x14ac:dyDescent="0.3">
      <c r="B6964" s="33" t="s">
        <v>19088</v>
      </c>
      <c r="C6964" s="32" t="s">
        <v>19102</v>
      </c>
      <c r="D6964" s="32" t="s">
        <v>19103</v>
      </c>
    </row>
    <row r="6965" spans="2:4" x14ac:dyDescent="0.3">
      <c r="B6965" s="33" t="s">
        <v>19104</v>
      </c>
      <c r="C6965" s="32" t="s">
        <v>19105</v>
      </c>
      <c r="D6965" s="32" t="s">
        <v>19106</v>
      </c>
    </row>
    <row r="6966" spans="2:4" x14ac:dyDescent="0.3">
      <c r="B6966" s="33" t="s">
        <v>19107</v>
      </c>
      <c r="C6966" s="32" t="s">
        <v>19108</v>
      </c>
      <c r="D6966" s="32" t="s">
        <v>19109</v>
      </c>
    </row>
    <row r="6967" spans="2:4" x14ac:dyDescent="0.3">
      <c r="B6967" s="33" t="s">
        <v>19104</v>
      </c>
      <c r="C6967" s="32" t="s">
        <v>19110</v>
      </c>
      <c r="D6967" s="32" t="s">
        <v>19111</v>
      </c>
    </row>
    <row r="6968" spans="2:4" x14ac:dyDescent="0.3">
      <c r="B6968" s="33" t="s">
        <v>19104</v>
      </c>
      <c r="C6968" s="32" t="s">
        <v>19112</v>
      </c>
      <c r="D6968" s="32" t="s">
        <v>19113</v>
      </c>
    </row>
    <row r="6969" spans="2:4" x14ac:dyDescent="0.3">
      <c r="B6969" s="33" t="s">
        <v>19114</v>
      </c>
      <c r="C6969" s="32" t="s">
        <v>19115</v>
      </c>
      <c r="D6969" s="32" t="s">
        <v>19116</v>
      </c>
    </row>
    <row r="6970" spans="2:4" x14ac:dyDescent="0.3">
      <c r="B6970" s="33" t="s">
        <v>19117</v>
      </c>
      <c r="C6970" s="32" t="s">
        <v>19118</v>
      </c>
      <c r="D6970" s="32" t="s">
        <v>19119</v>
      </c>
    </row>
    <row r="6971" spans="2:4" x14ac:dyDescent="0.3">
      <c r="B6971" s="33" t="s">
        <v>19120</v>
      </c>
      <c r="C6971" s="32" t="s">
        <v>19121</v>
      </c>
      <c r="D6971" s="32" t="s">
        <v>19120</v>
      </c>
    </row>
    <row r="6972" spans="2:4" x14ac:dyDescent="0.3">
      <c r="B6972" s="33" t="s">
        <v>19019</v>
      </c>
      <c r="C6972" s="32" t="s">
        <v>19122</v>
      </c>
      <c r="D6972" s="32" t="s">
        <v>19123</v>
      </c>
    </row>
    <row r="6973" spans="2:4" x14ac:dyDescent="0.3">
      <c r="B6973" s="33" t="s">
        <v>7069</v>
      </c>
      <c r="C6973" s="32" t="s">
        <v>19124</v>
      </c>
      <c r="D6973" s="32" t="s">
        <v>19125</v>
      </c>
    </row>
    <row r="6974" spans="2:4" x14ac:dyDescent="0.3">
      <c r="B6974" s="33" t="s">
        <v>19126</v>
      </c>
      <c r="C6974" s="32" t="s">
        <v>19127</v>
      </c>
      <c r="D6974" s="32" t="s">
        <v>19128</v>
      </c>
    </row>
    <row r="6975" spans="2:4" x14ac:dyDescent="0.3">
      <c r="B6975" s="33" t="s">
        <v>19129</v>
      </c>
      <c r="C6975" s="32" t="s">
        <v>19130</v>
      </c>
      <c r="D6975" s="32" t="s">
        <v>19131</v>
      </c>
    </row>
    <row r="6976" spans="2:4" x14ac:dyDescent="0.3">
      <c r="B6976" s="33" t="s">
        <v>19132</v>
      </c>
      <c r="C6976" s="32" t="s">
        <v>19133</v>
      </c>
      <c r="D6976" s="32" t="s">
        <v>19134</v>
      </c>
    </row>
    <row r="6977" spans="2:4" x14ac:dyDescent="0.3">
      <c r="B6977" s="33" t="s">
        <v>19135</v>
      </c>
      <c r="C6977" s="32" t="s">
        <v>19136</v>
      </c>
      <c r="D6977" s="32" t="s">
        <v>19137</v>
      </c>
    </row>
    <row r="6978" spans="2:4" x14ac:dyDescent="0.3">
      <c r="B6978" s="33" t="s">
        <v>19138</v>
      </c>
      <c r="C6978" s="32" t="s">
        <v>19139</v>
      </c>
      <c r="D6978" s="32" t="s">
        <v>19140</v>
      </c>
    </row>
    <row r="6979" spans="2:4" x14ac:dyDescent="0.3">
      <c r="B6979" s="33" t="s">
        <v>19141</v>
      </c>
      <c r="C6979" s="32" t="s">
        <v>19142</v>
      </c>
      <c r="D6979" s="32" t="s">
        <v>19143</v>
      </c>
    </row>
    <row r="6980" spans="2:4" x14ac:dyDescent="0.3">
      <c r="B6980" s="33" t="s">
        <v>18662</v>
      </c>
      <c r="C6980" s="32" t="s">
        <v>19144</v>
      </c>
      <c r="D6980" s="32" t="s">
        <v>19145</v>
      </c>
    </row>
    <row r="6981" spans="2:4" x14ac:dyDescent="0.3">
      <c r="B6981" s="33" t="s">
        <v>19146</v>
      </c>
      <c r="C6981" s="32" t="s">
        <v>19147</v>
      </c>
      <c r="D6981" s="32" t="s">
        <v>19148</v>
      </c>
    </row>
    <row r="6982" spans="2:4" x14ac:dyDescent="0.3">
      <c r="B6982" s="33" t="s">
        <v>19149</v>
      </c>
      <c r="C6982" s="32" t="s">
        <v>19150</v>
      </c>
      <c r="D6982" s="32" t="s">
        <v>19151</v>
      </c>
    </row>
    <row r="6983" spans="2:4" x14ac:dyDescent="0.3">
      <c r="B6983" s="33" t="s">
        <v>19152</v>
      </c>
      <c r="C6983" s="32" t="s">
        <v>19153</v>
      </c>
      <c r="D6983" s="32" t="s">
        <v>19154</v>
      </c>
    </row>
    <row r="6984" spans="2:4" x14ac:dyDescent="0.3">
      <c r="B6984" s="33" t="s">
        <v>19155</v>
      </c>
      <c r="C6984" s="32" t="s">
        <v>19156</v>
      </c>
      <c r="D6984" s="32" t="s">
        <v>19157</v>
      </c>
    </row>
    <row r="6985" spans="2:4" x14ac:dyDescent="0.3">
      <c r="B6985" s="33" t="s">
        <v>19158</v>
      </c>
      <c r="C6985" s="32" t="s">
        <v>19159</v>
      </c>
      <c r="D6985" s="32" t="s">
        <v>19160</v>
      </c>
    </row>
    <row r="6986" spans="2:4" x14ac:dyDescent="0.3">
      <c r="B6986" s="33" t="s">
        <v>19161</v>
      </c>
      <c r="C6986" s="32" t="s">
        <v>19162</v>
      </c>
      <c r="D6986" s="32" t="s">
        <v>19163</v>
      </c>
    </row>
    <row r="6987" spans="2:4" x14ac:dyDescent="0.3">
      <c r="B6987" s="33" t="s">
        <v>19164</v>
      </c>
      <c r="C6987" s="32" t="s">
        <v>19165</v>
      </c>
      <c r="D6987" s="32" t="s">
        <v>19166</v>
      </c>
    </row>
    <row r="6988" spans="2:4" x14ac:dyDescent="0.3">
      <c r="B6988" s="33" t="s">
        <v>9459</v>
      </c>
      <c r="C6988" s="32" t="s">
        <v>19167</v>
      </c>
      <c r="D6988" s="32" t="s">
        <v>19168</v>
      </c>
    </row>
    <row r="6989" spans="2:4" x14ac:dyDescent="0.3">
      <c r="B6989" s="33" t="s">
        <v>9459</v>
      </c>
      <c r="C6989" s="32" t="s">
        <v>19169</v>
      </c>
      <c r="D6989" s="32" t="s">
        <v>19170</v>
      </c>
    </row>
    <row r="6990" spans="2:4" x14ac:dyDescent="0.3">
      <c r="B6990" s="33" t="s">
        <v>19171</v>
      </c>
      <c r="C6990" s="32" t="s">
        <v>19172</v>
      </c>
      <c r="D6990" s="32" t="s">
        <v>19173</v>
      </c>
    </row>
    <row r="6991" spans="2:4" x14ac:dyDescent="0.3">
      <c r="B6991" s="33" t="s">
        <v>19174</v>
      </c>
      <c r="C6991" s="32" t="s">
        <v>19175</v>
      </c>
      <c r="D6991" s="32" t="s">
        <v>19176</v>
      </c>
    </row>
    <row r="6992" spans="2:4" x14ac:dyDescent="0.3">
      <c r="B6992" s="33" t="s">
        <v>19177</v>
      </c>
      <c r="C6992" s="32" t="s">
        <v>19178</v>
      </c>
      <c r="D6992" s="32" t="s">
        <v>19179</v>
      </c>
    </row>
    <row r="6993" spans="2:4" x14ac:dyDescent="0.3">
      <c r="B6993" s="33" t="s">
        <v>19180</v>
      </c>
      <c r="C6993" s="32" t="s">
        <v>19181</v>
      </c>
      <c r="D6993" s="32" t="s">
        <v>19182</v>
      </c>
    </row>
    <row r="6994" spans="2:4" x14ac:dyDescent="0.3">
      <c r="B6994" s="33" t="s">
        <v>19183</v>
      </c>
      <c r="C6994" s="32" t="s">
        <v>19184</v>
      </c>
      <c r="D6994" s="32" t="s">
        <v>19185</v>
      </c>
    </row>
    <row r="6995" spans="2:4" x14ac:dyDescent="0.3">
      <c r="B6995" s="33" t="s">
        <v>19186</v>
      </c>
      <c r="C6995" s="32" t="s">
        <v>19187</v>
      </c>
      <c r="D6995" s="32" t="s">
        <v>19188</v>
      </c>
    </row>
    <row r="6996" spans="2:4" x14ac:dyDescent="0.3">
      <c r="B6996" s="33" t="s">
        <v>19189</v>
      </c>
      <c r="C6996" s="32" t="s">
        <v>19190</v>
      </c>
      <c r="D6996" s="32" t="s">
        <v>19191</v>
      </c>
    </row>
    <row r="6997" spans="2:4" x14ac:dyDescent="0.3">
      <c r="B6997" s="33" t="s">
        <v>19192</v>
      </c>
      <c r="C6997" s="32" t="s">
        <v>19193</v>
      </c>
      <c r="D6997" s="32" t="s">
        <v>19194</v>
      </c>
    </row>
    <row r="6998" spans="2:4" x14ac:dyDescent="0.3">
      <c r="B6998" s="33" t="s">
        <v>19195</v>
      </c>
      <c r="C6998" s="32" t="s">
        <v>19196</v>
      </c>
      <c r="D6998" s="32" t="s">
        <v>19197</v>
      </c>
    </row>
    <row r="6999" spans="2:4" x14ac:dyDescent="0.3">
      <c r="B6999" s="33" t="s">
        <v>19198</v>
      </c>
      <c r="C6999" s="32" t="s">
        <v>19199</v>
      </c>
      <c r="D6999" s="32" t="s">
        <v>19200</v>
      </c>
    </row>
    <row r="7000" spans="2:4" x14ac:dyDescent="0.3">
      <c r="B7000" s="33" t="s">
        <v>19198</v>
      </c>
      <c r="C7000" s="32" t="s">
        <v>19201</v>
      </c>
      <c r="D7000" s="32" t="s">
        <v>19202</v>
      </c>
    </row>
    <row r="7001" spans="2:4" x14ac:dyDescent="0.3">
      <c r="B7001" s="33" t="s">
        <v>19203</v>
      </c>
      <c r="C7001" s="32" t="s">
        <v>19204</v>
      </c>
      <c r="D7001" s="32" t="s">
        <v>19203</v>
      </c>
    </row>
    <row r="7002" spans="2:4" x14ac:dyDescent="0.3">
      <c r="B7002" s="33" t="s">
        <v>19205</v>
      </c>
      <c r="C7002" s="32" t="s">
        <v>19206</v>
      </c>
      <c r="D7002" s="32" t="s">
        <v>19207</v>
      </c>
    </row>
    <row r="7003" spans="2:4" x14ac:dyDescent="0.3">
      <c r="B7003" s="33" t="s">
        <v>19208</v>
      </c>
      <c r="C7003" s="32" t="s">
        <v>19209</v>
      </c>
      <c r="D7003" s="32" t="s">
        <v>19210</v>
      </c>
    </row>
    <row r="7004" spans="2:4" x14ac:dyDescent="0.3">
      <c r="B7004" s="33" t="s">
        <v>19211</v>
      </c>
      <c r="C7004" s="32" t="s">
        <v>19212</v>
      </c>
      <c r="D7004" s="32" t="s">
        <v>19213</v>
      </c>
    </row>
    <row r="7005" spans="2:4" x14ac:dyDescent="0.3">
      <c r="B7005" s="33" t="s">
        <v>19214</v>
      </c>
      <c r="C7005" s="32" t="s">
        <v>19215</v>
      </c>
      <c r="D7005" s="32" t="s">
        <v>19216</v>
      </c>
    </row>
    <row r="7006" spans="2:4" x14ac:dyDescent="0.3">
      <c r="B7006" s="33" t="s">
        <v>19217</v>
      </c>
      <c r="C7006" s="32" t="s">
        <v>19218</v>
      </c>
      <c r="D7006" s="32" t="s">
        <v>19219</v>
      </c>
    </row>
    <row r="7007" spans="2:4" x14ac:dyDescent="0.3">
      <c r="B7007" s="33" t="s">
        <v>18562</v>
      </c>
      <c r="C7007" s="32" t="s">
        <v>19220</v>
      </c>
      <c r="D7007" s="32" t="s">
        <v>19221</v>
      </c>
    </row>
    <row r="7008" spans="2:4" x14ac:dyDescent="0.3">
      <c r="B7008" s="33" t="s">
        <v>19222</v>
      </c>
      <c r="C7008" s="32" t="s">
        <v>19223</v>
      </c>
      <c r="D7008" s="32" t="s">
        <v>19222</v>
      </c>
    </row>
    <row r="7009" spans="2:4" x14ac:dyDescent="0.3">
      <c r="B7009" s="33" t="s">
        <v>19224</v>
      </c>
      <c r="C7009" s="32" t="s">
        <v>19225</v>
      </c>
      <c r="D7009" s="32" t="s">
        <v>19226</v>
      </c>
    </row>
    <row r="7010" spans="2:4" x14ac:dyDescent="0.3">
      <c r="B7010" s="33" t="s">
        <v>18662</v>
      </c>
      <c r="C7010" s="32" t="s">
        <v>36633</v>
      </c>
      <c r="D7010" s="32" t="s">
        <v>36634</v>
      </c>
    </row>
    <row r="7011" spans="2:4" x14ac:dyDescent="0.3">
      <c r="B7011" s="33" t="s">
        <v>19227</v>
      </c>
      <c r="C7011" s="32" t="s">
        <v>19228</v>
      </c>
      <c r="D7011" s="32" t="s">
        <v>19229</v>
      </c>
    </row>
    <row r="7012" spans="2:4" x14ac:dyDescent="0.3">
      <c r="B7012" s="33" t="s">
        <v>19222</v>
      </c>
      <c r="C7012" s="32" t="s">
        <v>19230</v>
      </c>
      <c r="D7012" s="32" t="s">
        <v>19231</v>
      </c>
    </row>
    <row r="7013" spans="2:4" x14ac:dyDescent="0.3">
      <c r="B7013" s="33" t="s">
        <v>19232</v>
      </c>
      <c r="C7013" s="32" t="s">
        <v>19233</v>
      </c>
      <c r="D7013" s="32" t="s">
        <v>19234</v>
      </c>
    </row>
    <row r="7014" spans="2:4" x14ac:dyDescent="0.3">
      <c r="B7014" s="33" t="s">
        <v>19235</v>
      </c>
      <c r="C7014" s="32" t="s">
        <v>19236</v>
      </c>
      <c r="D7014" s="32" t="s">
        <v>19237</v>
      </c>
    </row>
    <row r="7015" spans="2:4" x14ac:dyDescent="0.3">
      <c r="B7015" s="33" t="s">
        <v>18562</v>
      </c>
      <c r="C7015" s="32" t="s">
        <v>19238</v>
      </c>
      <c r="D7015" s="32" t="s">
        <v>19239</v>
      </c>
    </row>
    <row r="7016" spans="2:4" x14ac:dyDescent="0.3">
      <c r="B7016" s="33" t="s">
        <v>19240</v>
      </c>
      <c r="C7016" s="32" t="s">
        <v>19241</v>
      </c>
      <c r="D7016" s="32" t="s">
        <v>19242</v>
      </c>
    </row>
    <row r="7017" spans="2:4" x14ac:dyDescent="0.3">
      <c r="B7017" s="33" t="s">
        <v>19243</v>
      </c>
      <c r="C7017" s="32" t="s">
        <v>19244</v>
      </c>
      <c r="D7017" s="32" t="s">
        <v>19245</v>
      </c>
    </row>
    <row r="7018" spans="2:4" x14ac:dyDescent="0.3">
      <c r="B7018" s="33" t="s">
        <v>19246</v>
      </c>
      <c r="C7018" s="32" t="s">
        <v>19247</v>
      </c>
      <c r="D7018" s="32" t="s">
        <v>19248</v>
      </c>
    </row>
    <row r="7019" spans="2:4" x14ac:dyDescent="0.3">
      <c r="B7019" s="33" t="s">
        <v>19249</v>
      </c>
      <c r="C7019" s="32" t="s">
        <v>19250</v>
      </c>
      <c r="D7019" s="32" t="s">
        <v>19251</v>
      </c>
    </row>
    <row r="7020" spans="2:4" x14ac:dyDescent="0.3">
      <c r="B7020" s="33" t="s">
        <v>19252</v>
      </c>
      <c r="C7020" s="32" t="s">
        <v>19253</v>
      </c>
      <c r="D7020" s="32" t="s">
        <v>19254</v>
      </c>
    </row>
    <row r="7021" spans="2:4" x14ac:dyDescent="0.3">
      <c r="B7021" s="33" t="s">
        <v>19255</v>
      </c>
      <c r="C7021" s="32" t="s">
        <v>19256</v>
      </c>
      <c r="D7021" s="32" t="s">
        <v>19255</v>
      </c>
    </row>
    <row r="7022" spans="2:4" x14ac:dyDescent="0.3">
      <c r="B7022" s="33" t="s">
        <v>19257</v>
      </c>
      <c r="C7022" s="32" t="s">
        <v>19258</v>
      </c>
      <c r="D7022" s="32" t="s">
        <v>19259</v>
      </c>
    </row>
    <row r="7023" spans="2:4" x14ac:dyDescent="0.3">
      <c r="B7023" s="33" t="s">
        <v>18964</v>
      </c>
      <c r="C7023" s="32" t="s">
        <v>19260</v>
      </c>
      <c r="D7023" s="32" t="s">
        <v>19261</v>
      </c>
    </row>
    <row r="7024" spans="2:4" x14ac:dyDescent="0.3">
      <c r="B7024" s="33" t="s">
        <v>19262</v>
      </c>
      <c r="C7024" s="32" t="s">
        <v>19263</v>
      </c>
      <c r="D7024" s="32" t="s">
        <v>19264</v>
      </c>
    </row>
    <row r="7025" spans="2:4" x14ac:dyDescent="0.3">
      <c r="B7025" s="33" t="s">
        <v>19265</v>
      </c>
      <c r="C7025" s="32" t="s">
        <v>19266</v>
      </c>
      <c r="D7025" s="32" t="s">
        <v>37263</v>
      </c>
    </row>
    <row r="7026" spans="2:4" x14ac:dyDescent="0.3">
      <c r="B7026" s="33" t="s">
        <v>19267</v>
      </c>
      <c r="C7026" s="32" t="s">
        <v>19268</v>
      </c>
      <c r="D7026" s="32" t="s">
        <v>19267</v>
      </c>
    </row>
    <row r="7027" spans="2:4" x14ac:dyDescent="0.3">
      <c r="B7027" s="33" t="s">
        <v>19269</v>
      </c>
      <c r="C7027" s="32" t="s">
        <v>19270</v>
      </c>
      <c r="D7027" s="32" t="s">
        <v>19271</v>
      </c>
    </row>
    <row r="7028" spans="2:4" x14ac:dyDescent="0.3">
      <c r="B7028" s="33" t="s">
        <v>19272</v>
      </c>
      <c r="C7028" s="32" t="s">
        <v>19273</v>
      </c>
      <c r="D7028" s="32" t="s">
        <v>19274</v>
      </c>
    </row>
    <row r="7029" spans="2:4" x14ac:dyDescent="0.3">
      <c r="B7029" s="33" t="s">
        <v>19275</v>
      </c>
      <c r="C7029" s="32" t="s">
        <v>19276</v>
      </c>
      <c r="D7029" s="32" t="s">
        <v>19277</v>
      </c>
    </row>
    <row r="7030" spans="2:4" x14ac:dyDescent="0.3">
      <c r="B7030" s="33" t="s">
        <v>19275</v>
      </c>
      <c r="C7030" s="32" t="s">
        <v>19278</v>
      </c>
      <c r="D7030" s="32" t="s">
        <v>19279</v>
      </c>
    </row>
    <row r="7031" spans="2:4" x14ac:dyDescent="0.3">
      <c r="B7031" s="33" t="s">
        <v>19280</v>
      </c>
      <c r="C7031" s="32" t="s">
        <v>19281</v>
      </c>
      <c r="D7031" s="32" t="s">
        <v>19282</v>
      </c>
    </row>
    <row r="7032" spans="2:4" x14ac:dyDescent="0.3">
      <c r="B7032" s="33" t="s">
        <v>19283</v>
      </c>
      <c r="C7032" s="32" t="s">
        <v>19284</v>
      </c>
      <c r="D7032" s="32" t="s">
        <v>19285</v>
      </c>
    </row>
    <row r="7033" spans="2:4" x14ac:dyDescent="0.3">
      <c r="B7033" s="33" t="s">
        <v>19280</v>
      </c>
      <c r="C7033" s="32" t="s">
        <v>19286</v>
      </c>
      <c r="D7033" s="32" t="s">
        <v>19287</v>
      </c>
    </row>
    <row r="7034" spans="2:4" x14ac:dyDescent="0.3">
      <c r="B7034" s="33" t="s">
        <v>19288</v>
      </c>
      <c r="C7034" s="32" t="s">
        <v>19289</v>
      </c>
      <c r="D7034" s="32" t="s">
        <v>19290</v>
      </c>
    </row>
    <row r="7035" spans="2:4" x14ac:dyDescent="0.3">
      <c r="B7035" s="33" t="s">
        <v>19291</v>
      </c>
      <c r="C7035" s="32" t="s">
        <v>19292</v>
      </c>
      <c r="D7035" s="32" t="s">
        <v>19293</v>
      </c>
    </row>
    <row r="7036" spans="2:4" x14ac:dyDescent="0.3">
      <c r="B7036" s="33" t="s">
        <v>19294</v>
      </c>
      <c r="C7036" s="32" t="s">
        <v>19295</v>
      </c>
      <c r="D7036" s="32" t="s">
        <v>19296</v>
      </c>
    </row>
    <row r="7037" spans="2:4" x14ac:dyDescent="0.3">
      <c r="B7037" s="33" t="s">
        <v>19297</v>
      </c>
      <c r="C7037" s="32" t="s">
        <v>19298</v>
      </c>
      <c r="D7037" s="32" t="s">
        <v>19299</v>
      </c>
    </row>
    <row r="7038" spans="2:4" x14ac:dyDescent="0.3">
      <c r="B7038" s="33" t="s">
        <v>19300</v>
      </c>
      <c r="C7038" s="32" t="s">
        <v>19301</v>
      </c>
      <c r="D7038" s="32" t="s">
        <v>19302</v>
      </c>
    </row>
    <row r="7039" spans="2:4" x14ac:dyDescent="0.3">
      <c r="B7039" s="33" t="s">
        <v>18953</v>
      </c>
      <c r="C7039" s="32" t="s">
        <v>36669</v>
      </c>
      <c r="D7039" s="32" t="s">
        <v>36670</v>
      </c>
    </row>
    <row r="7040" spans="2:4" x14ac:dyDescent="0.3">
      <c r="B7040" s="33" t="s">
        <v>19303</v>
      </c>
      <c r="C7040" s="32" t="s">
        <v>19304</v>
      </c>
      <c r="D7040" s="32" t="s">
        <v>19305</v>
      </c>
    </row>
    <row r="7041" spans="2:4" x14ac:dyDescent="0.3">
      <c r="B7041" s="33" t="s">
        <v>19306</v>
      </c>
      <c r="C7041" s="32" t="s">
        <v>19307</v>
      </c>
      <c r="D7041" s="32" t="s">
        <v>19308</v>
      </c>
    </row>
    <row r="7042" spans="2:4" x14ac:dyDescent="0.3">
      <c r="B7042" s="33" t="s">
        <v>19309</v>
      </c>
      <c r="C7042" s="32" t="s">
        <v>19310</v>
      </c>
      <c r="D7042" s="32" t="s">
        <v>19311</v>
      </c>
    </row>
    <row r="7043" spans="2:4" x14ac:dyDescent="0.3">
      <c r="B7043" s="33" t="s">
        <v>19312</v>
      </c>
      <c r="C7043" s="32" t="s">
        <v>19313</v>
      </c>
      <c r="D7043" s="32" t="s">
        <v>19314</v>
      </c>
    </row>
    <row r="7044" spans="2:4" x14ac:dyDescent="0.3">
      <c r="B7044" s="33" t="s">
        <v>19315</v>
      </c>
      <c r="C7044" s="32" t="s">
        <v>19316</v>
      </c>
      <c r="D7044" s="32" t="s">
        <v>19317</v>
      </c>
    </row>
    <row r="7045" spans="2:4" x14ac:dyDescent="0.3">
      <c r="B7045" s="33" t="s">
        <v>19318</v>
      </c>
      <c r="C7045" s="32" t="s">
        <v>19319</v>
      </c>
      <c r="D7045" s="32" t="s">
        <v>19320</v>
      </c>
    </row>
    <row r="7046" spans="2:4" x14ac:dyDescent="0.3">
      <c r="B7046" s="33" t="s">
        <v>19321</v>
      </c>
      <c r="C7046" s="32" t="s">
        <v>19322</v>
      </c>
      <c r="D7046" s="32" t="s">
        <v>19323</v>
      </c>
    </row>
    <row r="7047" spans="2:4" x14ac:dyDescent="0.3">
      <c r="B7047" s="33" t="s">
        <v>19318</v>
      </c>
      <c r="C7047" s="32" t="s">
        <v>19324</v>
      </c>
      <c r="D7047" s="32" t="s">
        <v>19325</v>
      </c>
    </row>
    <row r="7048" spans="2:4" x14ac:dyDescent="0.3">
      <c r="B7048" s="33" t="s">
        <v>19326</v>
      </c>
      <c r="C7048" s="32" t="s">
        <v>19327</v>
      </c>
      <c r="D7048" s="32" t="s">
        <v>19328</v>
      </c>
    </row>
    <row r="7049" spans="2:4" x14ac:dyDescent="0.3">
      <c r="B7049" s="33" t="s">
        <v>19329</v>
      </c>
      <c r="C7049" s="32" t="s">
        <v>19330</v>
      </c>
      <c r="D7049" s="32" t="s">
        <v>19331</v>
      </c>
    </row>
    <row r="7050" spans="2:4" x14ac:dyDescent="0.3">
      <c r="B7050" s="33" t="s">
        <v>37264</v>
      </c>
      <c r="C7050" s="32" t="s">
        <v>19333</v>
      </c>
      <c r="D7050" s="32" t="s">
        <v>37265</v>
      </c>
    </row>
    <row r="7051" spans="2:4" x14ac:dyDescent="0.3">
      <c r="B7051" s="33" t="s">
        <v>37266</v>
      </c>
      <c r="C7051" s="32" t="s">
        <v>37267</v>
      </c>
      <c r="D7051" s="32" t="s">
        <v>37268</v>
      </c>
    </row>
    <row r="7052" spans="2:4" x14ac:dyDescent="0.3">
      <c r="B7052" s="33" t="s">
        <v>19334</v>
      </c>
      <c r="C7052" s="32" t="s">
        <v>19335</v>
      </c>
      <c r="D7052" s="32" t="s">
        <v>19336</v>
      </c>
    </row>
    <row r="7053" spans="2:4" x14ac:dyDescent="0.3">
      <c r="B7053" s="33" t="s">
        <v>19337</v>
      </c>
      <c r="C7053" s="32" t="s">
        <v>19338</v>
      </c>
      <c r="D7053" s="32" t="s">
        <v>19339</v>
      </c>
    </row>
    <row r="7054" spans="2:4" x14ac:dyDescent="0.3">
      <c r="B7054" s="33" t="s">
        <v>19340</v>
      </c>
      <c r="C7054" s="32" t="s">
        <v>19341</v>
      </c>
      <c r="D7054" s="32" t="s">
        <v>19342</v>
      </c>
    </row>
    <row r="7055" spans="2:4" x14ac:dyDescent="0.3">
      <c r="B7055" s="33" t="s">
        <v>18311</v>
      </c>
      <c r="C7055" s="32" t="s">
        <v>19343</v>
      </c>
      <c r="D7055" s="32" t="s">
        <v>18311</v>
      </c>
    </row>
    <row r="7056" spans="2:4" x14ac:dyDescent="0.3">
      <c r="B7056" s="33" t="s">
        <v>19344</v>
      </c>
      <c r="C7056" s="32" t="s">
        <v>19345</v>
      </c>
      <c r="D7056" s="32" t="s">
        <v>19346</v>
      </c>
    </row>
    <row r="7057" spans="2:4" x14ac:dyDescent="0.3">
      <c r="B7057" s="33" t="s">
        <v>19312</v>
      </c>
      <c r="C7057" s="32" t="s">
        <v>19347</v>
      </c>
      <c r="D7057" s="32" t="s">
        <v>19348</v>
      </c>
    </row>
    <row r="7058" spans="2:4" x14ac:dyDescent="0.3">
      <c r="B7058" s="33" t="s">
        <v>18777</v>
      </c>
      <c r="C7058" s="32" t="s">
        <v>19349</v>
      </c>
      <c r="D7058" s="32" t="s">
        <v>18777</v>
      </c>
    </row>
    <row r="7059" spans="2:4" x14ac:dyDescent="0.3">
      <c r="B7059" s="33" t="s">
        <v>19350</v>
      </c>
      <c r="C7059" s="32" t="s">
        <v>19351</v>
      </c>
      <c r="D7059" s="32" t="s">
        <v>19352</v>
      </c>
    </row>
    <row r="7060" spans="2:4" x14ac:dyDescent="0.3">
      <c r="B7060" s="33" t="s">
        <v>19353</v>
      </c>
      <c r="C7060" s="32" t="s">
        <v>19354</v>
      </c>
      <c r="D7060" s="32" t="s">
        <v>19355</v>
      </c>
    </row>
    <row r="7061" spans="2:4" x14ac:dyDescent="0.3">
      <c r="B7061" s="33" t="s">
        <v>19356</v>
      </c>
      <c r="C7061" s="32" t="s">
        <v>19357</v>
      </c>
      <c r="D7061" s="32" t="s">
        <v>19358</v>
      </c>
    </row>
    <row r="7062" spans="2:4" x14ac:dyDescent="0.3">
      <c r="B7062" s="33" t="s">
        <v>19359</v>
      </c>
      <c r="C7062" s="32" t="s">
        <v>19360</v>
      </c>
      <c r="D7062" s="32" t="s">
        <v>19361</v>
      </c>
    </row>
    <row r="7063" spans="2:4" x14ac:dyDescent="0.3">
      <c r="B7063" s="33" t="s">
        <v>19362</v>
      </c>
      <c r="C7063" s="32" t="s">
        <v>19363</v>
      </c>
      <c r="D7063" s="32" t="s">
        <v>19364</v>
      </c>
    </row>
    <row r="7064" spans="2:4" x14ac:dyDescent="0.3">
      <c r="B7064" s="33" t="s">
        <v>19365</v>
      </c>
      <c r="C7064" s="32" t="s">
        <v>19366</v>
      </c>
      <c r="D7064" s="32" t="s">
        <v>19367</v>
      </c>
    </row>
    <row r="7065" spans="2:4" x14ac:dyDescent="0.3">
      <c r="B7065" s="33" t="s">
        <v>19356</v>
      </c>
      <c r="C7065" s="32" t="s">
        <v>19368</v>
      </c>
      <c r="D7065" s="32" t="s">
        <v>19369</v>
      </c>
    </row>
    <row r="7066" spans="2:4" x14ac:dyDescent="0.3">
      <c r="B7066" s="33" t="s">
        <v>19370</v>
      </c>
      <c r="C7066" s="32" t="s">
        <v>19371</v>
      </c>
      <c r="D7066" s="32" t="s">
        <v>19372</v>
      </c>
    </row>
    <row r="7067" spans="2:4" x14ac:dyDescent="0.3">
      <c r="B7067" s="33" t="s">
        <v>19356</v>
      </c>
      <c r="C7067" s="32" t="s">
        <v>19373</v>
      </c>
      <c r="D7067" s="32" t="s">
        <v>19374</v>
      </c>
    </row>
    <row r="7068" spans="2:4" x14ac:dyDescent="0.3">
      <c r="B7068" s="33" t="s">
        <v>19375</v>
      </c>
      <c r="C7068" s="32" t="s">
        <v>19376</v>
      </c>
      <c r="D7068" s="32" t="s">
        <v>19377</v>
      </c>
    </row>
    <row r="7069" spans="2:4" x14ac:dyDescent="0.3">
      <c r="B7069" s="33" t="s">
        <v>19378</v>
      </c>
      <c r="C7069" s="32" t="s">
        <v>19379</v>
      </c>
      <c r="D7069" s="32" t="s">
        <v>19380</v>
      </c>
    </row>
    <row r="7070" spans="2:4" x14ac:dyDescent="0.3">
      <c r="B7070" s="33" t="s">
        <v>19381</v>
      </c>
      <c r="C7070" s="32" t="s">
        <v>19382</v>
      </c>
      <c r="D7070" s="32" t="s">
        <v>19383</v>
      </c>
    </row>
    <row r="7071" spans="2:4" x14ac:dyDescent="0.3">
      <c r="B7071" s="33" t="s">
        <v>19384</v>
      </c>
      <c r="C7071" s="32" t="s">
        <v>19385</v>
      </c>
      <c r="D7071" s="32" t="s">
        <v>19386</v>
      </c>
    </row>
    <row r="7072" spans="2:4" x14ac:dyDescent="0.3">
      <c r="B7072" s="33" t="s">
        <v>19387</v>
      </c>
      <c r="C7072" s="32" t="s">
        <v>19388</v>
      </c>
      <c r="D7072" s="32" t="s">
        <v>19389</v>
      </c>
    </row>
    <row r="7073" spans="2:4" x14ac:dyDescent="0.3">
      <c r="B7073" s="33" t="s">
        <v>19390</v>
      </c>
      <c r="C7073" s="32" t="s">
        <v>19391</v>
      </c>
      <c r="D7073" s="32" t="s">
        <v>19392</v>
      </c>
    </row>
    <row r="7074" spans="2:4" x14ac:dyDescent="0.3">
      <c r="B7074" s="33" t="s">
        <v>19393</v>
      </c>
      <c r="C7074" s="32" t="s">
        <v>19394</v>
      </c>
      <c r="D7074" s="32" t="s">
        <v>19395</v>
      </c>
    </row>
    <row r="7075" spans="2:4" x14ac:dyDescent="0.3">
      <c r="B7075" s="33" t="s">
        <v>19396</v>
      </c>
      <c r="C7075" s="32" t="s">
        <v>19397</v>
      </c>
      <c r="D7075" s="32" t="s">
        <v>19398</v>
      </c>
    </row>
    <row r="7076" spans="2:4" x14ac:dyDescent="0.3">
      <c r="B7076" s="33" t="s">
        <v>19399</v>
      </c>
      <c r="C7076" s="32" t="s">
        <v>19400</v>
      </c>
      <c r="D7076" s="32" t="s">
        <v>19401</v>
      </c>
    </row>
    <row r="7077" spans="2:4" x14ac:dyDescent="0.3">
      <c r="B7077" s="33" t="s">
        <v>19402</v>
      </c>
      <c r="C7077" s="32" t="s">
        <v>19403</v>
      </c>
      <c r="D7077" s="32" t="s">
        <v>19404</v>
      </c>
    </row>
    <row r="7078" spans="2:4" x14ac:dyDescent="0.3">
      <c r="B7078" s="33" t="s">
        <v>19405</v>
      </c>
      <c r="C7078" s="32" t="s">
        <v>19406</v>
      </c>
      <c r="D7078" s="32" t="s">
        <v>19407</v>
      </c>
    </row>
    <row r="7079" spans="2:4" x14ac:dyDescent="0.3">
      <c r="B7079" s="33" t="s">
        <v>19408</v>
      </c>
      <c r="C7079" s="32" t="s">
        <v>19409</v>
      </c>
      <c r="D7079" s="32" t="s">
        <v>19410</v>
      </c>
    </row>
    <row r="7080" spans="2:4" x14ac:dyDescent="0.3">
      <c r="B7080" s="33" t="s">
        <v>19411</v>
      </c>
      <c r="C7080" s="32" t="s">
        <v>19412</v>
      </c>
      <c r="D7080" s="32" t="s">
        <v>19413</v>
      </c>
    </row>
    <row r="7081" spans="2:4" x14ac:dyDescent="0.3">
      <c r="B7081" s="33" t="s">
        <v>19414</v>
      </c>
      <c r="C7081" s="32" t="s">
        <v>19415</v>
      </c>
      <c r="D7081" s="32" t="s">
        <v>19416</v>
      </c>
    </row>
    <row r="7082" spans="2:4" x14ac:dyDescent="0.3">
      <c r="B7082" s="33" t="s">
        <v>19417</v>
      </c>
      <c r="C7082" s="32" t="s">
        <v>19418</v>
      </c>
      <c r="D7082" s="32" t="s">
        <v>19419</v>
      </c>
    </row>
    <row r="7083" spans="2:4" x14ac:dyDescent="0.3">
      <c r="B7083" s="33" t="s">
        <v>19420</v>
      </c>
      <c r="C7083" s="32" t="s">
        <v>19421</v>
      </c>
      <c r="D7083" s="32" t="s">
        <v>19422</v>
      </c>
    </row>
    <row r="7084" spans="2:4" x14ac:dyDescent="0.3">
      <c r="B7084" s="33" t="s">
        <v>19423</v>
      </c>
      <c r="C7084" s="32" t="s">
        <v>19424</v>
      </c>
      <c r="D7084" s="32" t="s">
        <v>19425</v>
      </c>
    </row>
    <row r="7085" spans="2:4" x14ac:dyDescent="0.3">
      <c r="B7085" s="33" t="s">
        <v>11489</v>
      </c>
      <c r="C7085" s="32" t="s">
        <v>19426</v>
      </c>
      <c r="D7085" s="32" t="s">
        <v>19427</v>
      </c>
    </row>
    <row r="7086" spans="2:4" x14ac:dyDescent="0.3">
      <c r="B7086" s="33" t="s">
        <v>19428</v>
      </c>
      <c r="C7086" s="32" t="s">
        <v>19429</v>
      </c>
      <c r="D7086" s="32" t="s">
        <v>19428</v>
      </c>
    </row>
    <row r="7087" spans="2:4" x14ac:dyDescent="0.3">
      <c r="B7087" s="33" t="s">
        <v>19430</v>
      </c>
      <c r="C7087" s="32" t="s">
        <v>19431</v>
      </c>
      <c r="D7087" s="32" t="s">
        <v>19430</v>
      </c>
    </row>
    <row r="7088" spans="2:4" x14ac:dyDescent="0.3">
      <c r="B7088" s="33" t="s">
        <v>19432</v>
      </c>
      <c r="C7088" s="32" t="s">
        <v>19433</v>
      </c>
      <c r="D7088" s="32" t="s">
        <v>19434</v>
      </c>
    </row>
    <row r="7089" spans="2:4" x14ac:dyDescent="0.3">
      <c r="B7089" s="33" t="s">
        <v>19435</v>
      </c>
      <c r="C7089" s="32" t="s">
        <v>19436</v>
      </c>
      <c r="D7089" s="32" t="s">
        <v>19437</v>
      </c>
    </row>
    <row r="7090" spans="2:4" x14ac:dyDescent="0.3">
      <c r="B7090" s="33" t="s">
        <v>19438</v>
      </c>
      <c r="C7090" s="32" t="s">
        <v>19439</v>
      </c>
      <c r="D7090" s="32" t="s">
        <v>19440</v>
      </c>
    </row>
    <row r="7091" spans="2:4" x14ac:dyDescent="0.3">
      <c r="B7091" s="33" t="s">
        <v>19441</v>
      </c>
      <c r="C7091" s="32" t="s">
        <v>19442</v>
      </c>
      <c r="D7091" s="32" t="s">
        <v>19443</v>
      </c>
    </row>
    <row r="7092" spans="2:4" x14ac:dyDescent="0.3">
      <c r="B7092" s="33" t="s">
        <v>19444</v>
      </c>
      <c r="C7092" s="32" t="s">
        <v>19445</v>
      </c>
      <c r="D7092" s="32" t="s">
        <v>19446</v>
      </c>
    </row>
    <row r="7093" spans="2:4" x14ac:dyDescent="0.3">
      <c r="B7093" s="33" t="s">
        <v>19447</v>
      </c>
      <c r="C7093" s="32" t="s">
        <v>19448</v>
      </c>
      <c r="D7093" s="32" t="s">
        <v>19449</v>
      </c>
    </row>
    <row r="7094" spans="2:4" x14ac:dyDescent="0.3">
      <c r="B7094" s="33" t="s">
        <v>19450</v>
      </c>
      <c r="C7094" s="32" t="s">
        <v>19451</v>
      </c>
      <c r="D7094" s="32" t="s">
        <v>19452</v>
      </c>
    </row>
    <row r="7095" spans="2:4" x14ac:dyDescent="0.3">
      <c r="B7095" s="33" t="s">
        <v>19453</v>
      </c>
      <c r="C7095" s="32" t="s">
        <v>19454</v>
      </c>
      <c r="D7095" s="32" t="s">
        <v>19455</v>
      </c>
    </row>
    <row r="7096" spans="2:4" x14ac:dyDescent="0.3">
      <c r="B7096" s="33" t="s">
        <v>19444</v>
      </c>
      <c r="C7096" s="32" t="s">
        <v>19456</v>
      </c>
      <c r="D7096" s="32" t="s">
        <v>19457</v>
      </c>
    </row>
    <row r="7097" spans="2:4" x14ac:dyDescent="0.3">
      <c r="B7097" s="33" t="s">
        <v>19458</v>
      </c>
      <c r="C7097" s="32" t="s">
        <v>19459</v>
      </c>
      <c r="D7097" s="32" t="s">
        <v>19460</v>
      </c>
    </row>
    <row r="7098" spans="2:4" x14ac:dyDescent="0.3">
      <c r="B7098" s="33" t="s">
        <v>19461</v>
      </c>
      <c r="C7098" s="32" t="s">
        <v>19462</v>
      </c>
      <c r="D7098" s="32" t="s">
        <v>19463</v>
      </c>
    </row>
    <row r="7099" spans="2:4" x14ac:dyDescent="0.3">
      <c r="B7099" s="33" t="s">
        <v>19464</v>
      </c>
      <c r="C7099" s="32" t="s">
        <v>19465</v>
      </c>
      <c r="D7099" s="32" t="s">
        <v>19466</v>
      </c>
    </row>
    <row r="7100" spans="2:4" x14ac:dyDescent="0.3">
      <c r="B7100" s="33" t="s">
        <v>2731</v>
      </c>
      <c r="C7100" s="32" t="s">
        <v>19467</v>
      </c>
      <c r="D7100" s="32" t="s">
        <v>19468</v>
      </c>
    </row>
    <row r="7101" spans="2:4" x14ac:dyDescent="0.3">
      <c r="B7101" s="33" t="s">
        <v>19469</v>
      </c>
      <c r="C7101" s="32" t="s">
        <v>19470</v>
      </c>
      <c r="D7101" s="32" t="s">
        <v>19471</v>
      </c>
    </row>
    <row r="7102" spans="2:4" x14ac:dyDescent="0.3">
      <c r="B7102" s="33" t="s">
        <v>7929</v>
      </c>
      <c r="C7102" s="32" t="s">
        <v>19472</v>
      </c>
      <c r="D7102" s="32" t="s">
        <v>19473</v>
      </c>
    </row>
    <row r="7103" spans="2:4" x14ac:dyDescent="0.3">
      <c r="B7103" s="33" t="s">
        <v>19474</v>
      </c>
      <c r="C7103" s="32" t="s">
        <v>19475</v>
      </c>
      <c r="D7103" s="32" t="s">
        <v>19476</v>
      </c>
    </row>
    <row r="7104" spans="2:4" x14ac:dyDescent="0.3">
      <c r="B7104" s="33" t="s">
        <v>19477</v>
      </c>
      <c r="C7104" s="32" t="s">
        <v>19478</v>
      </c>
      <c r="D7104" s="32" t="s">
        <v>19479</v>
      </c>
    </row>
    <row r="7105" spans="2:4" x14ac:dyDescent="0.3">
      <c r="B7105" s="33" t="s">
        <v>19480</v>
      </c>
      <c r="C7105" s="32" t="s">
        <v>19481</v>
      </c>
      <c r="D7105" s="32" t="s">
        <v>19482</v>
      </c>
    </row>
    <row r="7106" spans="2:4" x14ac:dyDescent="0.3">
      <c r="B7106" s="33" t="s">
        <v>19477</v>
      </c>
      <c r="C7106" s="32" t="s">
        <v>19483</v>
      </c>
      <c r="D7106" s="32" t="s">
        <v>19484</v>
      </c>
    </row>
    <row r="7107" spans="2:4" x14ac:dyDescent="0.3">
      <c r="B7107" s="33" t="s">
        <v>19485</v>
      </c>
      <c r="C7107" s="32" t="s">
        <v>19486</v>
      </c>
      <c r="D7107" s="32" t="s">
        <v>19487</v>
      </c>
    </row>
    <row r="7108" spans="2:4" x14ac:dyDescent="0.3">
      <c r="B7108" s="33" t="s">
        <v>19488</v>
      </c>
      <c r="C7108" s="32" t="s">
        <v>19489</v>
      </c>
      <c r="D7108" s="32" t="s">
        <v>19490</v>
      </c>
    </row>
    <row r="7109" spans="2:4" x14ac:dyDescent="0.3">
      <c r="B7109" s="33" t="s">
        <v>19491</v>
      </c>
      <c r="C7109" s="32" t="s">
        <v>19492</v>
      </c>
      <c r="D7109" s="32" t="s">
        <v>19493</v>
      </c>
    </row>
    <row r="7110" spans="2:4" x14ac:dyDescent="0.3">
      <c r="B7110" s="33" t="s">
        <v>19494</v>
      </c>
      <c r="C7110" s="32" t="s">
        <v>19495</v>
      </c>
      <c r="D7110" s="32" t="s">
        <v>19496</v>
      </c>
    </row>
    <row r="7111" spans="2:4" x14ac:dyDescent="0.3">
      <c r="B7111" s="33" t="s">
        <v>19497</v>
      </c>
      <c r="C7111" s="32" t="s">
        <v>19498</v>
      </c>
      <c r="D7111" s="32" t="s">
        <v>19499</v>
      </c>
    </row>
    <row r="7112" spans="2:4" x14ac:dyDescent="0.3">
      <c r="B7112" s="33" t="s">
        <v>19500</v>
      </c>
      <c r="C7112" s="32" t="s">
        <v>19501</v>
      </c>
      <c r="D7112" s="32" t="s">
        <v>19502</v>
      </c>
    </row>
    <row r="7113" spans="2:4" x14ac:dyDescent="0.3">
      <c r="B7113" s="33" t="s">
        <v>19503</v>
      </c>
      <c r="C7113" s="32" t="s">
        <v>19504</v>
      </c>
      <c r="D7113" s="32" t="s">
        <v>19505</v>
      </c>
    </row>
    <row r="7114" spans="2:4" x14ac:dyDescent="0.3">
      <c r="B7114" s="33" t="s">
        <v>19506</v>
      </c>
      <c r="C7114" s="32" t="s">
        <v>19507</v>
      </c>
      <c r="D7114" s="32" t="s">
        <v>19508</v>
      </c>
    </row>
    <row r="7115" spans="2:4" x14ac:dyDescent="0.3">
      <c r="B7115" s="33" t="s">
        <v>130</v>
      </c>
      <c r="C7115" s="32" t="s">
        <v>19509</v>
      </c>
      <c r="D7115" s="32" t="s">
        <v>131</v>
      </c>
    </row>
    <row r="7116" spans="2:4" x14ac:dyDescent="0.3">
      <c r="B7116" s="33" t="s">
        <v>19510</v>
      </c>
      <c r="C7116" s="32" t="s">
        <v>19511</v>
      </c>
      <c r="D7116" s="32" t="s">
        <v>19512</v>
      </c>
    </row>
    <row r="7117" spans="2:4" x14ac:dyDescent="0.3">
      <c r="B7117" s="33" t="s">
        <v>7929</v>
      </c>
      <c r="C7117" s="32" t="s">
        <v>19513</v>
      </c>
      <c r="D7117" s="32" t="s">
        <v>19514</v>
      </c>
    </row>
    <row r="7118" spans="2:4" x14ac:dyDescent="0.3">
      <c r="B7118" s="33" t="s">
        <v>19515</v>
      </c>
      <c r="C7118" s="32" t="s">
        <v>19516</v>
      </c>
      <c r="D7118" s="32" t="s">
        <v>19517</v>
      </c>
    </row>
    <row r="7119" spans="2:4" x14ac:dyDescent="0.3">
      <c r="B7119" s="33" t="s">
        <v>19435</v>
      </c>
      <c r="C7119" s="32" t="s">
        <v>19518</v>
      </c>
      <c r="D7119" s="32" t="s">
        <v>19519</v>
      </c>
    </row>
    <row r="7120" spans="2:4" x14ac:dyDescent="0.3">
      <c r="B7120" s="33" t="s">
        <v>7929</v>
      </c>
      <c r="C7120" s="32" t="s">
        <v>19520</v>
      </c>
      <c r="D7120" s="32" t="s">
        <v>19521</v>
      </c>
    </row>
    <row r="7121" spans="2:4" x14ac:dyDescent="0.3">
      <c r="B7121" s="33" t="s">
        <v>19522</v>
      </c>
      <c r="C7121" s="32" t="s">
        <v>19523</v>
      </c>
      <c r="D7121" s="32" t="s">
        <v>19524</v>
      </c>
    </row>
    <row r="7122" spans="2:4" x14ac:dyDescent="0.3">
      <c r="B7122" s="33" t="s">
        <v>19525</v>
      </c>
      <c r="C7122" s="32" t="s">
        <v>19526</v>
      </c>
      <c r="D7122" s="32" t="s">
        <v>19527</v>
      </c>
    </row>
    <row r="7123" spans="2:4" x14ac:dyDescent="0.3">
      <c r="B7123" s="33" t="s">
        <v>7929</v>
      </c>
      <c r="C7123" s="32" t="s">
        <v>19528</v>
      </c>
      <c r="D7123" s="32" t="s">
        <v>19529</v>
      </c>
    </row>
    <row r="7124" spans="2:4" x14ac:dyDescent="0.3">
      <c r="B7124" s="33" t="s">
        <v>19530</v>
      </c>
      <c r="C7124" s="32" t="s">
        <v>19531</v>
      </c>
      <c r="D7124" s="32" t="s">
        <v>19532</v>
      </c>
    </row>
    <row r="7125" spans="2:4" x14ac:dyDescent="0.3">
      <c r="B7125" s="33" t="s">
        <v>19533</v>
      </c>
      <c r="C7125" s="32" t="s">
        <v>19534</v>
      </c>
      <c r="D7125" s="32" t="s">
        <v>19535</v>
      </c>
    </row>
    <row r="7126" spans="2:4" x14ac:dyDescent="0.3">
      <c r="B7126" s="33" t="s">
        <v>19522</v>
      </c>
      <c r="C7126" s="32" t="s">
        <v>19536</v>
      </c>
      <c r="D7126" s="32" t="s">
        <v>19537</v>
      </c>
    </row>
    <row r="7127" spans="2:4" x14ac:dyDescent="0.3">
      <c r="B7127" s="33" t="s">
        <v>19538</v>
      </c>
      <c r="C7127" s="32" t="s">
        <v>19539</v>
      </c>
      <c r="D7127" s="32" t="s">
        <v>19540</v>
      </c>
    </row>
    <row r="7128" spans="2:4" x14ac:dyDescent="0.3">
      <c r="B7128" s="33" t="s">
        <v>19541</v>
      </c>
      <c r="C7128" s="32" t="s">
        <v>19542</v>
      </c>
      <c r="D7128" s="32" t="s">
        <v>19543</v>
      </c>
    </row>
    <row r="7129" spans="2:4" x14ac:dyDescent="0.3">
      <c r="B7129" s="33" t="s">
        <v>19544</v>
      </c>
      <c r="C7129" s="32" t="s">
        <v>19545</v>
      </c>
      <c r="D7129" s="32" t="s">
        <v>19546</v>
      </c>
    </row>
    <row r="7130" spans="2:4" x14ac:dyDescent="0.3">
      <c r="B7130" s="33" t="s">
        <v>37269</v>
      </c>
      <c r="C7130" s="32" t="s">
        <v>37270</v>
      </c>
      <c r="D7130" s="32" t="s">
        <v>37271</v>
      </c>
    </row>
    <row r="7131" spans="2:4" x14ac:dyDescent="0.3">
      <c r="B7131" s="33" t="s">
        <v>19547</v>
      </c>
      <c r="C7131" s="32" t="s">
        <v>19548</v>
      </c>
      <c r="D7131" s="32" t="s">
        <v>19549</v>
      </c>
    </row>
    <row r="7132" spans="2:4" x14ac:dyDescent="0.3">
      <c r="B7132" s="33" t="s">
        <v>19550</v>
      </c>
      <c r="C7132" s="32" t="s">
        <v>19551</v>
      </c>
      <c r="D7132" s="32" t="s">
        <v>19552</v>
      </c>
    </row>
    <row r="7133" spans="2:4" x14ac:dyDescent="0.3">
      <c r="B7133" s="33" t="s">
        <v>19553</v>
      </c>
      <c r="C7133" s="32" t="s">
        <v>19554</v>
      </c>
      <c r="D7133" s="32" t="s">
        <v>19555</v>
      </c>
    </row>
    <row r="7134" spans="2:4" x14ac:dyDescent="0.3">
      <c r="B7134" s="33" t="s">
        <v>19556</v>
      </c>
      <c r="C7134" s="32" t="s">
        <v>19557</v>
      </c>
      <c r="D7134" s="32" t="s">
        <v>19558</v>
      </c>
    </row>
    <row r="7135" spans="2:4" x14ac:dyDescent="0.3">
      <c r="B7135" s="33" t="s">
        <v>19559</v>
      </c>
      <c r="C7135" s="32" t="s">
        <v>19560</v>
      </c>
      <c r="D7135" s="32" t="s">
        <v>19561</v>
      </c>
    </row>
    <row r="7136" spans="2:4" x14ac:dyDescent="0.3">
      <c r="B7136" s="33" t="s">
        <v>19562</v>
      </c>
      <c r="C7136" s="32" t="s">
        <v>19563</v>
      </c>
      <c r="D7136" s="32" t="s">
        <v>19564</v>
      </c>
    </row>
    <row r="7137" spans="2:4" x14ac:dyDescent="0.3">
      <c r="B7137" s="33" t="s">
        <v>19565</v>
      </c>
      <c r="C7137" s="32" t="s">
        <v>19566</v>
      </c>
      <c r="D7137" s="32" t="s">
        <v>19567</v>
      </c>
    </row>
    <row r="7138" spans="2:4" x14ac:dyDescent="0.3">
      <c r="B7138" s="33" t="s">
        <v>19568</v>
      </c>
      <c r="C7138" s="32" t="s">
        <v>19569</v>
      </c>
      <c r="D7138" s="32" t="s">
        <v>19570</v>
      </c>
    </row>
    <row r="7139" spans="2:4" x14ac:dyDescent="0.3">
      <c r="B7139" s="33" t="s">
        <v>19571</v>
      </c>
      <c r="C7139" s="32" t="s">
        <v>19572</v>
      </c>
      <c r="D7139" s="32" t="s">
        <v>19573</v>
      </c>
    </row>
    <row r="7140" spans="2:4" x14ac:dyDescent="0.3">
      <c r="B7140" s="33" t="s">
        <v>19574</v>
      </c>
      <c r="C7140" s="32" t="s">
        <v>19575</v>
      </c>
      <c r="D7140" s="32" t="s">
        <v>19576</v>
      </c>
    </row>
    <row r="7141" spans="2:4" x14ac:dyDescent="0.3">
      <c r="B7141" s="33" t="s">
        <v>19577</v>
      </c>
      <c r="C7141" s="32" t="s">
        <v>19578</v>
      </c>
      <c r="D7141" s="32" t="s">
        <v>19579</v>
      </c>
    </row>
    <row r="7142" spans="2:4" x14ac:dyDescent="0.3">
      <c r="B7142" s="33" t="s">
        <v>19580</v>
      </c>
      <c r="C7142" s="32" t="s">
        <v>19581</v>
      </c>
      <c r="D7142" s="32" t="s">
        <v>19582</v>
      </c>
    </row>
    <row r="7143" spans="2:4" x14ac:dyDescent="0.3">
      <c r="B7143" s="33" t="s">
        <v>163</v>
      </c>
      <c r="C7143" s="32" t="s">
        <v>19583</v>
      </c>
      <c r="D7143" s="32" t="s">
        <v>162</v>
      </c>
    </row>
    <row r="7144" spans="2:4" x14ac:dyDescent="0.3">
      <c r="B7144" s="33" t="s">
        <v>19584</v>
      </c>
      <c r="C7144" s="32" t="s">
        <v>19585</v>
      </c>
      <c r="D7144" s="32" t="s">
        <v>19586</v>
      </c>
    </row>
    <row r="7145" spans="2:4" x14ac:dyDescent="0.3">
      <c r="B7145" s="33" t="s">
        <v>19587</v>
      </c>
      <c r="C7145" s="32" t="s">
        <v>19588</v>
      </c>
      <c r="D7145" s="32" t="s">
        <v>19589</v>
      </c>
    </row>
    <row r="7146" spans="2:4" x14ac:dyDescent="0.3">
      <c r="B7146" s="33" t="s">
        <v>19590</v>
      </c>
      <c r="C7146" s="32" t="s">
        <v>19591</v>
      </c>
      <c r="D7146" s="32" t="s">
        <v>19592</v>
      </c>
    </row>
    <row r="7147" spans="2:4" x14ac:dyDescent="0.3">
      <c r="B7147" s="33" t="s">
        <v>19593</v>
      </c>
      <c r="C7147" s="32" t="s">
        <v>19594</v>
      </c>
      <c r="D7147" s="32" t="s">
        <v>19595</v>
      </c>
    </row>
    <row r="7148" spans="2:4" x14ac:dyDescent="0.3">
      <c r="B7148" s="33" t="s">
        <v>19596</v>
      </c>
      <c r="C7148" s="32" t="s">
        <v>19597</v>
      </c>
      <c r="D7148" s="32" t="s">
        <v>19598</v>
      </c>
    </row>
    <row r="7149" spans="2:4" x14ac:dyDescent="0.3">
      <c r="B7149" s="33" t="s">
        <v>19599</v>
      </c>
      <c r="C7149" s="32" t="s">
        <v>19600</v>
      </c>
      <c r="D7149" s="32" t="s">
        <v>19601</v>
      </c>
    </row>
    <row r="7150" spans="2:4" x14ac:dyDescent="0.3">
      <c r="B7150" s="33" t="s">
        <v>19602</v>
      </c>
      <c r="C7150" s="32" t="s">
        <v>19603</v>
      </c>
      <c r="D7150" s="32" t="s">
        <v>19604</v>
      </c>
    </row>
    <row r="7151" spans="2:4" x14ac:dyDescent="0.3">
      <c r="B7151" s="33" t="s">
        <v>19605</v>
      </c>
      <c r="C7151" s="32" t="s">
        <v>19606</v>
      </c>
      <c r="D7151" s="32" t="s">
        <v>19607</v>
      </c>
    </row>
    <row r="7152" spans="2:4" x14ac:dyDescent="0.3">
      <c r="B7152" s="33" t="s">
        <v>19608</v>
      </c>
      <c r="C7152" s="32" t="s">
        <v>19609</v>
      </c>
      <c r="D7152" s="32" t="s">
        <v>19610</v>
      </c>
    </row>
    <row r="7153" spans="2:4" x14ac:dyDescent="0.3">
      <c r="B7153" s="33" t="s">
        <v>2681</v>
      </c>
      <c r="C7153" s="32" t="s">
        <v>19611</v>
      </c>
      <c r="D7153" s="32" t="s">
        <v>19612</v>
      </c>
    </row>
    <row r="7154" spans="2:4" x14ac:dyDescent="0.3">
      <c r="B7154" s="33" t="s">
        <v>19613</v>
      </c>
      <c r="C7154" s="32" t="s">
        <v>19614</v>
      </c>
      <c r="D7154" s="32" t="s">
        <v>19615</v>
      </c>
    </row>
    <row r="7155" spans="2:4" x14ac:dyDescent="0.3">
      <c r="B7155" s="33" t="s">
        <v>7228</v>
      </c>
      <c r="C7155" s="32" t="s">
        <v>19616</v>
      </c>
      <c r="D7155" s="32" t="s">
        <v>19617</v>
      </c>
    </row>
    <row r="7156" spans="2:4" x14ac:dyDescent="0.3">
      <c r="B7156" s="33" t="s">
        <v>19618</v>
      </c>
      <c r="C7156" s="32" t="s">
        <v>19619</v>
      </c>
      <c r="D7156" s="32" t="s">
        <v>19620</v>
      </c>
    </row>
    <row r="7157" spans="2:4" x14ac:dyDescent="0.3">
      <c r="B7157" s="33" t="s">
        <v>19621</v>
      </c>
      <c r="C7157" s="32" t="s">
        <v>19622</v>
      </c>
      <c r="D7157" s="32" t="s">
        <v>19623</v>
      </c>
    </row>
    <row r="7158" spans="2:4" x14ac:dyDescent="0.3">
      <c r="B7158" s="33" t="s">
        <v>19624</v>
      </c>
      <c r="C7158" s="32" t="s">
        <v>19625</v>
      </c>
      <c r="D7158" s="32" t="s">
        <v>36738</v>
      </c>
    </row>
    <row r="7159" spans="2:4" x14ac:dyDescent="0.3">
      <c r="B7159" s="33" t="s">
        <v>19626</v>
      </c>
      <c r="C7159" s="32" t="s">
        <v>19627</v>
      </c>
      <c r="D7159" s="32" t="s">
        <v>37034</v>
      </c>
    </row>
    <row r="7160" spans="2:4" x14ac:dyDescent="0.3">
      <c r="B7160" s="33" t="s">
        <v>19628</v>
      </c>
      <c r="C7160" s="32" t="s">
        <v>19629</v>
      </c>
      <c r="D7160" s="32" t="s">
        <v>19630</v>
      </c>
    </row>
    <row r="7161" spans="2:4" x14ac:dyDescent="0.3">
      <c r="B7161" s="33" t="s">
        <v>19631</v>
      </c>
      <c r="C7161" s="32" t="s">
        <v>19632</v>
      </c>
      <c r="D7161" s="32" t="s">
        <v>19633</v>
      </c>
    </row>
    <row r="7162" spans="2:4" x14ac:dyDescent="0.3">
      <c r="B7162" s="33" t="s">
        <v>19634</v>
      </c>
      <c r="C7162" s="32" t="s">
        <v>19635</v>
      </c>
      <c r="D7162" s="32" t="s">
        <v>19636</v>
      </c>
    </row>
    <row r="7163" spans="2:4" x14ac:dyDescent="0.3">
      <c r="B7163" s="33" t="s">
        <v>19525</v>
      </c>
      <c r="C7163" s="32" t="s">
        <v>19637</v>
      </c>
      <c r="D7163" s="32" t="s">
        <v>19638</v>
      </c>
    </row>
    <row r="7164" spans="2:4" x14ac:dyDescent="0.3">
      <c r="B7164" s="33" t="s">
        <v>19639</v>
      </c>
      <c r="C7164" s="32" t="s">
        <v>19640</v>
      </c>
      <c r="D7164" s="32" t="s">
        <v>19641</v>
      </c>
    </row>
    <row r="7165" spans="2:4" x14ac:dyDescent="0.3">
      <c r="B7165" s="33" t="s">
        <v>19642</v>
      </c>
      <c r="C7165" s="32" t="s">
        <v>19643</v>
      </c>
      <c r="D7165" s="32" t="s">
        <v>19644</v>
      </c>
    </row>
    <row r="7166" spans="2:4" x14ac:dyDescent="0.3">
      <c r="B7166" s="33" t="s">
        <v>19645</v>
      </c>
      <c r="C7166" s="32" t="s">
        <v>19646</v>
      </c>
      <c r="D7166" s="32" t="s">
        <v>19647</v>
      </c>
    </row>
    <row r="7167" spans="2:4" x14ac:dyDescent="0.3">
      <c r="B7167" s="33" t="s">
        <v>19648</v>
      </c>
      <c r="C7167" s="32" t="s">
        <v>19649</v>
      </c>
      <c r="D7167" s="32" t="s">
        <v>19650</v>
      </c>
    </row>
    <row r="7168" spans="2:4" x14ac:dyDescent="0.3">
      <c r="B7168" s="33" t="s">
        <v>19651</v>
      </c>
      <c r="C7168" s="32" t="s">
        <v>19652</v>
      </c>
      <c r="D7168" s="32" t="s">
        <v>19653</v>
      </c>
    </row>
    <row r="7169" spans="2:4" x14ac:dyDescent="0.3">
      <c r="B7169" s="33" t="s">
        <v>19654</v>
      </c>
      <c r="C7169" s="32" t="s">
        <v>19655</v>
      </c>
      <c r="D7169" s="32" t="s">
        <v>19656</v>
      </c>
    </row>
    <row r="7170" spans="2:4" x14ac:dyDescent="0.3">
      <c r="B7170" s="33" t="s">
        <v>19657</v>
      </c>
      <c r="C7170" s="32" t="s">
        <v>19658</v>
      </c>
      <c r="D7170" s="32" t="s">
        <v>19659</v>
      </c>
    </row>
    <row r="7171" spans="2:4" x14ac:dyDescent="0.3">
      <c r="B7171" s="33" t="s">
        <v>19657</v>
      </c>
      <c r="C7171" s="32" t="s">
        <v>19660</v>
      </c>
      <c r="D7171" s="32" t="s">
        <v>19661</v>
      </c>
    </row>
    <row r="7172" spans="2:4" x14ac:dyDescent="0.3">
      <c r="B7172" s="33" t="s">
        <v>19662</v>
      </c>
      <c r="C7172" s="32" t="s">
        <v>19663</v>
      </c>
      <c r="D7172" s="32" t="s">
        <v>19664</v>
      </c>
    </row>
    <row r="7173" spans="2:4" x14ac:dyDescent="0.3">
      <c r="B7173" s="33" t="s">
        <v>19665</v>
      </c>
      <c r="C7173" s="32" t="s">
        <v>19666</v>
      </c>
      <c r="D7173" s="32" t="s">
        <v>19667</v>
      </c>
    </row>
    <row r="7174" spans="2:4" x14ac:dyDescent="0.3">
      <c r="B7174" s="33" t="s">
        <v>19668</v>
      </c>
      <c r="C7174" s="32" t="s">
        <v>19669</v>
      </c>
      <c r="D7174" s="32" t="s">
        <v>19670</v>
      </c>
    </row>
    <row r="7175" spans="2:4" x14ac:dyDescent="0.3">
      <c r="B7175" s="33" t="s">
        <v>19671</v>
      </c>
      <c r="C7175" s="32" t="s">
        <v>19672</v>
      </c>
      <c r="D7175" s="32" t="s">
        <v>19673</v>
      </c>
    </row>
    <row r="7176" spans="2:4" x14ac:dyDescent="0.3">
      <c r="B7176" s="33" t="s">
        <v>19674</v>
      </c>
      <c r="C7176" s="32" t="s">
        <v>19675</v>
      </c>
      <c r="D7176" s="32" t="s">
        <v>19674</v>
      </c>
    </row>
    <row r="7177" spans="2:4" x14ac:dyDescent="0.3">
      <c r="B7177" s="33" t="s">
        <v>19676</v>
      </c>
      <c r="C7177" s="32" t="s">
        <v>19677</v>
      </c>
      <c r="D7177" s="32" t="s">
        <v>19678</v>
      </c>
    </row>
    <row r="7178" spans="2:4" x14ac:dyDescent="0.3">
      <c r="B7178" s="33" t="s">
        <v>19679</v>
      </c>
      <c r="C7178" s="32" t="s">
        <v>19680</v>
      </c>
      <c r="D7178" s="32" t="s">
        <v>19681</v>
      </c>
    </row>
    <row r="7179" spans="2:4" x14ac:dyDescent="0.3">
      <c r="B7179" s="33" t="s">
        <v>19682</v>
      </c>
      <c r="C7179" s="32" t="s">
        <v>19683</v>
      </c>
      <c r="D7179" s="32" t="s">
        <v>19684</v>
      </c>
    </row>
    <row r="7180" spans="2:4" x14ac:dyDescent="0.3">
      <c r="B7180" s="33" t="s">
        <v>5199</v>
      </c>
      <c r="C7180" s="32" t="s">
        <v>36739</v>
      </c>
      <c r="D7180" s="32" t="s">
        <v>36740</v>
      </c>
    </row>
    <row r="7181" spans="2:4" x14ac:dyDescent="0.3">
      <c r="B7181" s="33" t="s">
        <v>19685</v>
      </c>
      <c r="C7181" s="32" t="s">
        <v>19686</v>
      </c>
      <c r="D7181" s="32" t="s">
        <v>19687</v>
      </c>
    </row>
    <row r="7182" spans="2:4" x14ac:dyDescent="0.3">
      <c r="B7182" s="33" t="s">
        <v>19688</v>
      </c>
      <c r="C7182" s="32" t="s">
        <v>19689</v>
      </c>
      <c r="D7182" s="32" t="s">
        <v>19690</v>
      </c>
    </row>
    <row r="7183" spans="2:4" x14ac:dyDescent="0.3">
      <c r="B7183" s="33" t="s">
        <v>877</v>
      </c>
      <c r="C7183" s="32" t="s">
        <v>19691</v>
      </c>
      <c r="D7183" s="32" t="s">
        <v>19692</v>
      </c>
    </row>
    <row r="7184" spans="2:4" x14ac:dyDescent="0.3">
      <c r="B7184" s="33" t="s">
        <v>19693</v>
      </c>
      <c r="C7184" s="32" t="s">
        <v>19694</v>
      </c>
      <c r="D7184" s="32" t="s">
        <v>19695</v>
      </c>
    </row>
    <row r="7185" spans="2:4" x14ac:dyDescent="0.3">
      <c r="B7185" s="33" t="s">
        <v>19696</v>
      </c>
      <c r="C7185" s="32" t="s">
        <v>19697</v>
      </c>
      <c r="D7185" s="32" t="s">
        <v>19698</v>
      </c>
    </row>
    <row r="7186" spans="2:4" x14ac:dyDescent="0.3">
      <c r="B7186" s="33" t="s">
        <v>19699</v>
      </c>
      <c r="C7186" s="32" t="s">
        <v>19700</v>
      </c>
      <c r="D7186" s="32" t="s">
        <v>19701</v>
      </c>
    </row>
    <row r="7187" spans="2:4" x14ac:dyDescent="0.3">
      <c r="B7187" s="33" t="s">
        <v>19702</v>
      </c>
      <c r="C7187" s="32" t="s">
        <v>19703</v>
      </c>
      <c r="D7187" s="32" t="s">
        <v>19704</v>
      </c>
    </row>
    <row r="7188" spans="2:4" x14ac:dyDescent="0.3">
      <c r="B7188" s="33" t="s">
        <v>19705</v>
      </c>
      <c r="C7188" s="32" t="s">
        <v>19706</v>
      </c>
      <c r="D7188" s="32" t="s">
        <v>19707</v>
      </c>
    </row>
    <row r="7189" spans="2:4" x14ac:dyDescent="0.3">
      <c r="B7189" s="33" t="s">
        <v>19708</v>
      </c>
      <c r="C7189" s="32" t="s">
        <v>19709</v>
      </c>
      <c r="D7189" s="32" t="s">
        <v>19710</v>
      </c>
    </row>
    <row r="7190" spans="2:4" x14ac:dyDescent="0.3">
      <c r="B7190" s="33" t="s">
        <v>19711</v>
      </c>
      <c r="C7190" s="32" t="s">
        <v>19712</v>
      </c>
      <c r="D7190" s="32" t="s">
        <v>19713</v>
      </c>
    </row>
    <row r="7191" spans="2:4" x14ac:dyDescent="0.3">
      <c r="B7191" s="33" t="s">
        <v>36851</v>
      </c>
      <c r="C7191" s="32" t="s">
        <v>36852</v>
      </c>
      <c r="D7191" s="32" t="s">
        <v>36853</v>
      </c>
    </row>
    <row r="7192" spans="2:4" x14ac:dyDescent="0.3">
      <c r="B7192" s="33" t="s">
        <v>19714</v>
      </c>
      <c r="C7192" s="32" t="s">
        <v>19715</v>
      </c>
      <c r="D7192" s="32" t="s">
        <v>19716</v>
      </c>
    </row>
    <row r="7193" spans="2:4" x14ac:dyDescent="0.3">
      <c r="B7193" s="33" t="s">
        <v>19717</v>
      </c>
      <c r="C7193" s="32" t="s">
        <v>19718</v>
      </c>
      <c r="D7193" s="32" t="s">
        <v>19719</v>
      </c>
    </row>
    <row r="7194" spans="2:4" x14ac:dyDescent="0.3">
      <c r="B7194" s="33" t="s">
        <v>15754</v>
      </c>
      <c r="C7194" s="32" t="s">
        <v>19720</v>
      </c>
      <c r="D7194" s="32" t="s">
        <v>19721</v>
      </c>
    </row>
    <row r="7195" spans="2:4" x14ac:dyDescent="0.3">
      <c r="B7195" s="33" t="s">
        <v>19722</v>
      </c>
      <c r="C7195" s="32" t="s">
        <v>19723</v>
      </c>
      <c r="D7195" s="32" t="s">
        <v>19724</v>
      </c>
    </row>
    <row r="7196" spans="2:4" x14ac:dyDescent="0.3">
      <c r="B7196" s="33" t="s">
        <v>19725</v>
      </c>
      <c r="C7196" s="32" t="s">
        <v>19726</v>
      </c>
      <c r="D7196" s="32" t="s">
        <v>19727</v>
      </c>
    </row>
    <row r="7197" spans="2:4" x14ac:dyDescent="0.3">
      <c r="B7197" s="33" t="s">
        <v>19728</v>
      </c>
      <c r="C7197" s="32" t="s">
        <v>19729</v>
      </c>
      <c r="D7197" s="32" t="s">
        <v>19730</v>
      </c>
    </row>
    <row r="7198" spans="2:4" x14ac:dyDescent="0.3">
      <c r="B7198" s="33" t="s">
        <v>19731</v>
      </c>
      <c r="C7198" s="32" t="s">
        <v>19732</v>
      </c>
      <c r="D7198" s="32" t="s">
        <v>19733</v>
      </c>
    </row>
    <row r="7199" spans="2:4" x14ac:dyDescent="0.3">
      <c r="B7199" s="33" t="s">
        <v>19734</v>
      </c>
      <c r="C7199" s="32" t="s">
        <v>19735</v>
      </c>
      <c r="D7199" s="32" t="s">
        <v>19736</v>
      </c>
    </row>
    <row r="7200" spans="2:4" x14ac:dyDescent="0.3">
      <c r="B7200" s="33" t="s">
        <v>19737</v>
      </c>
      <c r="C7200" s="32" t="s">
        <v>19738</v>
      </c>
      <c r="D7200" s="32" t="s">
        <v>19739</v>
      </c>
    </row>
    <row r="7201" spans="2:4" x14ac:dyDescent="0.3">
      <c r="B7201" s="33" t="s">
        <v>19740</v>
      </c>
      <c r="C7201" s="32" t="s">
        <v>19741</v>
      </c>
      <c r="D7201" s="32" t="s">
        <v>19742</v>
      </c>
    </row>
    <row r="7202" spans="2:4" x14ac:dyDescent="0.3">
      <c r="B7202" s="33" t="s">
        <v>19743</v>
      </c>
      <c r="C7202" s="32" t="s">
        <v>19744</v>
      </c>
      <c r="D7202" s="32" t="s">
        <v>19745</v>
      </c>
    </row>
    <row r="7203" spans="2:4" x14ac:dyDescent="0.3">
      <c r="B7203" s="33" t="s">
        <v>19740</v>
      </c>
      <c r="C7203" s="32" t="s">
        <v>19746</v>
      </c>
      <c r="D7203" s="32" t="s">
        <v>19747</v>
      </c>
    </row>
    <row r="7204" spans="2:4" x14ac:dyDescent="0.3">
      <c r="B7204" s="33" t="s">
        <v>19748</v>
      </c>
      <c r="C7204" s="32" t="s">
        <v>19749</v>
      </c>
      <c r="D7204" s="32" t="s">
        <v>19748</v>
      </c>
    </row>
    <row r="7205" spans="2:4" x14ac:dyDescent="0.3">
      <c r="B7205" s="33" t="s">
        <v>19740</v>
      </c>
      <c r="C7205" s="32" t="s">
        <v>19750</v>
      </c>
      <c r="D7205" s="32" t="s">
        <v>19751</v>
      </c>
    </row>
    <row r="7206" spans="2:4" x14ac:dyDescent="0.3">
      <c r="B7206" s="33" t="s">
        <v>7626</v>
      </c>
      <c r="C7206" s="32" t="s">
        <v>19752</v>
      </c>
      <c r="D7206" s="32" t="s">
        <v>19753</v>
      </c>
    </row>
    <row r="7207" spans="2:4" x14ac:dyDescent="0.3">
      <c r="B7207" s="33" t="s">
        <v>19754</v>
      </c>
      <c r="C7207" s="32" t="s">
        <v>19755</v>
      </c>
      <c r="D7207" s="32" t="s">
        <v>19756</v>
      </c>
    </row>
    <row r="7208" spans="2:4" x14ac:dyDescent="0.3">
      <c r="B7208" s="33" t="s">
        <v>19757</v>
      </c>
      <c r="C7208" s="32" t="s">
        <v>19758</v>
      </c>
      <c r="D7208" s="32" t="s">
        <v>19759</v>
      </c>
    </row>
    <row r="7209" spans="2:4" x14ac:dyDescent="0.3">
      <c r="B7209" s="33" t="s">
        <v>19760</v>
      </c>
      <c r="C7209" s="32" t="s">
        <v>19761</v>
      </c>
      <c r="D7209" s="32" t="s">
        <v>19762</v>
      </c>
    </row>
    <row r="7210" spans="2:4" x14ac:dyDescent="0.3">
      <c r="B7210" s="33" t="s">
        <v>19763</v>
      </c>
      <c r="C7210" s="32" t="s">
        <v>19764</v>
      </c>
      <c r="D7210" s="32" t="s">
        <v>19765</v>
      </c>
    </row>
    <row r="7211" spans="2:4" x14ac:dyDescent="0.3">
      <c r="B7211" s="33" t="s">
        <v>3576</v>
      </c>
      <c r="C7211" s="32" t="s">
        <v>19766</v>
      </c>
      <c r="D7211" s="32" t="s">
        <v>19767</v>
      </c>
    </row>
    <row r="7212" spans="2:4" x14ac:dyDescent="0.3">
      <c r="B7212" s="33" t="s">
        <v>19768</v>
      </c>
      <c r="C7212" s="32" t="s">
        <v>19769</v>
      </c>
      <c r="D7212" s="32" t="s">
        <v>19770</v>
      </c>
    </row>
    <row r="7213" spans="2:4" x14ac:dyDescent="0.3">
      <c r="B7213" s="33" t="s">
        <v>19771</v>
      </c>
      <c r="C7213" s="32" t="s">
        <v>19772</v>
      </c>
      <c r="D7213" s="32" t="s">
        <v>19773</v>
      </c>
    </row>
    <row r="7214" spans="2:4" x14ac:dyDescent="0.3">
      <c r="B7214" s="33" t="s">
        <v>19774</v>
      </c>
      <c r="C7214" s="32" t="s">
        <v>19775</v>
      </c>
      <c r="D7214" s="32" t="s">
        <v>19776</v>
      </c>
    </row>
    <row r="7215" spans="2:4" x14ac:dyDescent="0.3">
      <c r="B7215" s="33" t="s">
        <v>19777</v>
      </c>
      <c r="C7215" s="32" t="s">
        <v>19778</v>
      </c>
      <c r="D7215" s="32" t="s">
        <v>19779</v>
      </c>
    </row>
    <row r="7216" spans="2:4" x14ac:dyDescent="0.3">
      <c r="B7216" s="33" t="s">
        <v>19780</v>
      </c>
      <c r="C7216" s="32" t="s">
        <v>19781</v>
      </c>
      <c r="D7216" s="32" t="s">
        <v>19782</v>
      </c>
    </row>
    <row r="7217" spans="2:4" x14ac:dyDescent="0.3">
      <c r="B7217" s="33" t="s">
        <v>19740</v>
      </c>
      <c r="C7217" s="32" t="s">
        <v>19783</v>
      </c>
      <c r="D7217" s="32" t="s">
        <v>19784</v>
      </c>
    </row>
    <row r="7218" spans="2:4" x14ac:dyDescent="0.3">
      <c r="B7218" s="33" t="s">
        <v>19785</v>
      </c>
      <c r="C7218" s="32" t="s">
        <v>19786</v>
      </c>
      <c r="D7218" s="32" t="s">
        <v>19787</v>
      </c>
    </row>
    <row r="7219" spans="2:4" x14ac:dyDescent="0.3">
      <c r="B7219" s="33" t="s">
        <v>19788</v>
      </c>
      <c r="C7219" s="32" t="s">
        <v>19789</v>
      </c>
      <c r="D7219" s="32" t="s">
        <v>19790</v>
      </c>
    </row>
    <row r="7220" spans="2:4" x14ac:dyDescent="0.3">
      <c r="B7220" s="33" t="s">
        <v>19791</v>
      </c>
      <c r="C7220" s="32" t="s">
        <v>19792</v>
      </c>
      <c r="D7220" s="32" t="s">
        <v>19793</v>
      </c>
    </row>
    <row r="7221" spans="2:4" x14ac:dyDescent="0.3">
      <c r="B7221" s="33" t="s">
        <v>19740</v>
      </c>
      <c r="C7221" s="32" t="s">
        <v>19794</v>
      </c>
      <c r="D7221" s="32" t="s">
        <v>19795</v>
      </c>
    </row>
    <row r="7222" spans="2:4" x14ac:dyDescent="0.3">
      <c r="B7222" s="33" t="s">
        <v>19796</v>
      </c>
      <c r="C7222" s="32" t="s">
        <v>19797</v>
      </c>
      <c r="D7222" s="32" t="s">
        <v>19798</v>
      </c>
    </row>
    <row r="7223" spans="2:4" x14ac:dyDescent="0.3">
      <c r="B7223" s="33" t="s">
        <v>19799</v>
      </c>
      <c r="C7223" s="32" t="s">
        <v>19800</v>
      </c>
      <c r="D7223" s="32" t="s">
        <v>19801</v>
      </c>
    </row>
    <row r="7224" spans="2:4" x14ac:dyDescent="0.3">
      <c r="B7224" s="33" t="s">
        <v>19802</v>
      </c>
      <c r="C7224" s="32" t="s">
        <v>19803</v>
      </c>
      <c r="D7224" s="32" t="s">
        <v>19804</v>
      </c>
    </row>
    <row r="7225" spans="2:4" x14ac:dyDescent="0.3">
      <c r="B7225" s="33" t="s">
        <v>19805</v>
      </c>
      <c r="C7225" s="32" t="s">
        <v>19806</v>
      </c>
      <c r="D7225" s="32" t="s">
        <v>19807</v>
      </c>
    </row>
    <row r="7226" spans="2:4" x14ac:dyDescent="0.3">
      <c r="B7226" s="33" t="s">
        <v>19654</v>
      </c>
      <c r="C7226" s="32" t="s">
        <v>19808</v>
      </c>
      <c r="D7226" s="32" t="s">
        <v>19809</v>
      </c>
    </row>
    <row r="7227" spans="2:4" x14ac:dyDescent="0.3">
      <c r="B7227" s="33" t="s">
        <v>11445</v>
      </c>
      <c r="C7227" s="32" t="s">
        <v>19810</v>
      </c>
      <c r="D7227" s="32" t="s">
        <v>19811</v>
      </c>
    </row>
    <row r="7228" spans="2:4" x14ac:dyDescent="0.3">
      <c r="B7228" s="33" t="s">
        <v>11445</v>
      </c>
      <c r="C7228" s="32" t="s">
        <v>19812</v>
      </c>
      <c r="D7228" s="32" t="s">
        <v>19813</v>
      </c>
    </row>
    <row r="7229" spans="2:4" x14ac:dyDescent="0.3">
      <c r="B7229" s="33" t="s">
        <v>19814</v>
      </c>
      <c r="C7229" s="32" t="s">
        <v>19815</v>
      </c>
      <c r="D7229" s="32" t="s">
        <v>19816</v>
      </c>
    </row>
    <row r="7230" spans="2:4" x14ac:dyDescent="0.3">
      <c r="B7230" s="33" t="s">
        <v>19814</v>
      </c>
      <c r="C7230" s="32" t="s">
        <v>19817</v>
      </c>
      <c r="D7230" s="32" t="s">
        <v>19818</v>
      </c>
    </row>
    <row r="7231" spans="2:4" x14ac:dyDescent="0.3">
      <c r="B7231" s="33" t="s">
        <v>19819</v>
      </c>
      <c r="C7231" s="32" t="s">
        <v>19820</v>
      </c>
      <c r="D7231" s="32" t="s">
        <v>19821</v>
      </c>
    </row>
    <row r="7232" spans="2:4" x14ac:dyDescent="0.3">
      <c r="B7232" s="33" t="s">
        <v>37272</v>
      </c>
      <c r="C7232" s="32" t="s">
        <v>19822</v>
      </c>
      <c r="D7232" s="32" t="s">
        <v>37273</v>
      </c>
    </row>
    <row r="7233" spans="2:4" x14ac:dyDescent="0.3">
      <c r="B7233" s="33" t="s">
        <v>19823</v>
      </c>
      <c r="C7233" s="32" t="s">
        <v>19824</v>
      </c>
      <c r="D7233" s="32" t="s">
        <v>19825</v>
      </c>
    </row>
    <row r="7234" spans="2:4" x14ac:dyDescent="0.3">
      <c r="B7234" s="33" t="s">
        <v>19823</v>
      </c>
      <c r="C7234" s="32" t="s">
        <v>19826</v>
      </c>
      <c r="D7234" s="32" t="s">
        <v>19827</v>
      </c>
    </row>
    <row r="7235" spans="2:4" x14ac:dyDescent="0.3">
      <c r="B7235" s="33" t="s">
        <v>19828</v>
      </c>
      <c r="C7235" s="32" t="s">
        <v>19829</v>
      </c>
      <c r="D7235" s="32" t="s">
        <v>19828</v>
      </c>
    </row>
    <row r="7236" spans="2:4" x14ac:dyDescent="0.3">
      <c r="B7236" s="33" t="s">
        <v>19830</v>
      </c>
      <c r="C7236" s="32" t="s">
        <v>19831</v>
      </c>
      <c r="D7236" s="32" t="s">
        <v>19830</v>
      </c>
    </row>
    <row r="7237" spans="2:4" x14ac:dyDescent="0.3">
      <c r="B7237" s="33" t="s">
        <v>19832</v>
      </c>
      <c r="C7237" s="32" t="s">
        <v>19833</v>
      </c>
      <c r="D7237" s="32" t="s">
        <v>19834</v>
      </c>
    </row>
    <row r="7238" spans="2:4" x14ac:dyDescent="0.3">
      <c r="B7238" s="33" t="s">
        <v>19835</v>
      </c>
      <c r="C7238" s="32" t="s">
        <v>19836</v>
      </c>
      <c r="D7238" s="32" t="s">
        <v>19835</v>
      </c>
    </row>
    <row r="7239" spans="2:4" x14ac:dyDescent="0.3">
      <c r="B7239" s="33" t="s">
        <v>19837</v>
      </c>
      <c r="C7239" s="32" t="s">
        <v>19838</v>
      </c>
      <c r="D7239" s="32" t="s">
        <v>19839</v>
      </c>
    </row>
    <row r="7240" spans="2:4" x14ac:dyDescent="0.3">
      <c r="B7240" s="33" t="s">
        <v>4094</v>
      </c>
      <c r="C7240" s="32" t="s">
        <v>19840</v>
      </c>
      <c r="D7240" s="32" t="s">
        <v>19841</v>
      </c>
    </row>
    <row r="7241" spans="2:4" x14ac:dyDescent="0.3">
      <c r="B7241" s="33" t="s">
        <v>19842</v>
      </c>
      <c r="C7241" s="32" t="s">
        <v>19843</v>
      </c>
      <c r="D7241" s="32" t="s">
        <v>19844</v>
      </c>
    </row>
    <row r="7242" spans="2:4" x14ac:dyDescent="0.3">
      <c r="B7242" s="33" t="s">
        <v>19845</v>
      </c>
      <c r="C7242" s="32" t="s">
        <v>19846</v>
      </c>
      <c r="D7242" s="32" t="s">
        <v>19847</v>
      </c>
    </row>
    <row r="7243" spans="2:4" x14ac:dyDescent="0.3">
      <c r="B7243" s="33" t="s">
        <v>19848</v>
      </c>
      <c r="C7243" s="32" t="s">
        <v>19849</v>
      </c>
      <c r="D7243" s="32" t="s">
        <v>19850</v>
      </c>
    </row>
    <row r="7244" spans="2:4" x14ac:dyDescent="0.3">
      <c r="B7244" s="33" t="s">
        <v>19851</v>
      </c>
      <c r="C7244" s="32" t="s">
        <v>19852</v>
      </c>
      <c r="D7244" s="32" t="s">
        <v>19853</v>
      </c>
    </row>
    <row r="7245" spans="2:4" x14ac:dyDescent="0.3">
      <c r="B7245" s="33" t="s">
        <v>19854</v>
      </c>
      <c r="C7245" s="32" t="s">
        <v>19855</v>
      </c>
      <c r="D7245" s="32" t="s">
        <v>19856</v>
      </c>
    </row>
    <row r="7246" spans="2:4" x14ac:dyDescent="0.3">
      <c r="B7246" s="33" t="s">
        <v>19857</v>
      </c>
      <c r="C7246" s="32" t="s">
        <v>19858</v>
      </c>
      <c r="D7246" s="32" t="s">
        <v>19859</v>
      </c>
    </row>
    <row r="7247" spans="2:4" x14ac:dyDescent="0.3">
      <c r="B7247" s="33" t="s">
        <v>19860</v>
      </c>
      <c r="C7247" s="32" t="s">
        <v>19861</v>
      </c>
      <c r="D7247" s="32" t="s">
        <v>19862</v>
      </c>
    </row>
    <row r="7248" spans="2:4" x14ac:dyDescent="0.3">
      <c r="B7248" s="33" t="s">
        <v>19863</v>
      </c>
      <c r="C7248" s="32" t="s">
        <v>19864</v>
      </c>
      <c r="D7248" s="32" t="s">
        <v>19865</v>
      </c>
    </row>
    <row r="7249" spans="2:4" x14ac:dyDescent="0.3">
      <c r="B7249" s="33" t="s">
        <v>19866</v>
      </c>
      <c r="C7249" s="32" t="s">
        <v>19867</v>
      </c>
      <c r="D7249" s="32" t="s">
        <v>19866</v>
      </c>
    </row>
    <row r="7250" spans="2:4" x14ac:dyDescent="0.3">
      <c r="B7250" s="33" t="s">
        <v>19866</v>
      </c>
      <c r="C7250" s="32" t="s">
        <v>19868</v>
      </c>
      <c r="D7250" s="32" t="s">
        <v>19869</v>
      </c>
    </row>
    <row r="7251" spans="2:4" x14ac:dyDescent="0.3">
      <c r="B7251" s="33" t="s">
        <v>19870</v>
      </c>
      <c r="C7251" s="32" t="s">
        <v>19871</v>
      </c>
      <c r="D7251" s="32" t="s">
        <v>19872</v>
      </c>
    </row>
    <row r="7252" spans="2:4" x14ac:dyDescent="0.3">
      <c r="B7252" s="33" t="s">
        <v>19873</v>
      </c>
      <c r="C7252" s="32" t="s">
        <v>19874</v>
      </c>
      <c r="D7252" s="32" t="s">
        <v>19875</v>
      </c>
    </row>
    <row r="7253" spans="2:4" x14ac:dyDescent="0.3">
      <c r="B7253" s="33" t="s">
        <v>19876</v>
      </c>
      <c r="C7253" s="32" t="s">
        <v>19877</v>
      </c>
      <c r="D7253" s="32" t="s">
        <v>19878</v>
      </c>
    </row>
    <row r="7254" spans="2:4" x14ac:dyDescent="0.3">
      <c r="B7254" s="33" t="s">
        <v>19879</v>
      </c>
      <c r="C7254" s="32" t="s">
        <v>19880</v>
      </c>
      <c r="D7254" s="32" t="s">
        <v>19881</v>
      </c>
    </row>
    <row r="7255" spans="2:4" x14ac:dyDescent="0.3">
      <c r="B7255" s="33" t="s">
        <v>19882</v>
      </c>
      <c r="C7255" s="32" t="s">
        <v>19883</v>
      </c>
      <c r="D7255" s="32" t="s">
        <v>19884</v>
      </c>
    </row>
    <row r="7256" spans="2:4" x14ac:dyDescent="0.3">
      <c r="B7256" s="33" t="s">
        <v>19885</v>
      </c>
      <c r="C7256" s="32" t="s">
        <v>19886</v>
      </c>
      <c r="D7256" s="32" t="s">
        <v>19887</v>
      </c>
    </row>
    <row r="7257" spans="2:4" x14ac:dyDescent="0.3">
      <c r="B7257" s="33" t="s">
        <v>65</v>
      </c>
      <c r="C7257" s="32" t="s">
        <v>19888</v>
      </c>
      <c r="D7257" s="32" t="s">
        <v>66</v>
      </c>
    </row>
    <row r="7258" spans="2:4" x14ac:dyDescent="0.3">
      <c r="B7258" s="33" t="s">
        <v>19889</v>
      </c>
      <c r="C7258" s="32" t="s">
        <v>19890</v>
      </c>
      <c r="D7258" s="32" t="s">
        <v>19891</v>
      </c>
    </row>
    <row r="7259" spans="2:4" x14ac:dyDescent="0.3">
      <c r="B7259" s="33" t="s">
        <v>19892</v>
      </c>
      <c r="C7259" s="32" t="s">
        <v>19893</v>
      </c>
      <c r="D7259" s="32" t="s">
        <v>19894</v>
      </c>
    </row>
    <row r="7260" spans="2:4" x14ac:dyDescent="0.3">
      <c r="B7260" s="33" t="s">
        <v>19895</v>
      </c>
      <c r="C7260" s="32" t="s">
        <v>19896</v>
      </c>
      <c r="D7260" s="32" t="s">
        <v>19897</v>
      </c>
    </row>
    <row r="7261" spans="2:4" x14ac:dyDescent="0.3">
      <c r="B7261" s="33" t="s">
        <v>19898</v>
      </c>
      <c r="C7261" s="32" t="s">
        <v>19899</v>
      </c>
      <c r="D7261" s="32" t="s">
        <v>19900</v>
      </c>
    </row>
    <row r="7262" spans="2:4" x14ac:dyDescent="0.3">
      <c r="B7262" s="33" t="s">
        <v>19435</v>
      </c>
      <c r="C7262" s="32" t="s">
        <v>19901</v>
      </c>
      <c r="D7262" s="32" t="s">
        <v>19902</v>
      </c>
    </row>
    <row r="7263" spans="2:4" x14ac:dyDescent="0.3">
      <c r="B7263" s="33" t="s">
        <v>19903</v>
      </c>
      <c r="C7263" s="32" t="s">
        <v>19904</v>
      </c>
      <c r="D7263" s="32" t="s">
        <v>19905</v>
      </c>
    </row>
    <row r="7264" spans="2:4" x14ac:dyDescent="0.3">
      <c r="B7264" s="33" t="s">
        <v>19906</v>
      </c>
      <c r="C7264" s="32" t="s">
        <v>19907</v>
      </c>
      <c r="D7264" s="32" t="s">
        <v>19908</v>
      </c>
    </row>
    <row r="7265" spans="2:4" x14ac:dyDescent="0.3">
      <c r="B7265" s="33" t="s">
        <v>19909</v>
      </c>
      <c r="C7265" s="32" t="s">
        <v>19910</v>
      </c>
      <c r="D7265" s="32" t="s">
        <v>19911</v>
      </c>
    </row>
    <row r="7266" spans="2:4" x14ac:dyDescent="0.3">
      <c r="B7266" s="33" t="s">
        <v>19912</v>
      </c>
      <c r="C7266" s="32" t="s">
        <v>19913</v>
      </c>
      <c r="D7266" s="32" t="s">
        <v>19914</v>
      </c>
    </row>
    <row r="7267" spans="2:4" x14ac:dyDescent="0.3">
      <c r="B7267" s="33" t="s">
        <v>19915</v>
      </c>
      <c r="C7267" s="32" t="s">
        <v>19916</v>
      </c>
      <c r="D7267" s="32" t="s">
        <v>19917</v>
      </c>
    </row>
    <row r="7268" spans="2:4" x14ac:dyDescent="0.3">
      <c r="B7268" s="33" t="s">
        <v>19918</v>
      </c>
      <c r="C7268" s="32" t="s">
        <v>19919</v>
      </c>
      <c r="D7268" s="32" t="s">
        <v>19920</v>
      </c>
    </row>
    <row r="7269" spans="2:4" x14ac:dyDescent="0.3">
      <c r="B7269" s="33" t="s">
        <v>19921</v>
      </c>
      <c r="C7269" s="32" t="s">
        <v>19922</v>
      </c>
      <c r="D7269" s="32" t="s">
        <v>19923</v>
      </c>
    </row>
    <row r="7270" spans="2:4" x14ac:dyDescent="0.3">
      <c r="B7270" s="33" t="s">
        <v>19924</v>
      </c>
      <c r="C7270" s="32" t="s">
        <v>19925</v>
      </c>
      <c r="D7270" s="32" t="s">
        <v>19926</v>
      </c>
    </row>
    <row r="7271" spans="2:4" x14ac:dyDescent="0.3">
      <c r="B7271" s="33" t="s">
        <v>19915</v>
      </c>
      <c r="C7271" s="32" t="s">
        <v>19927</v>
      </c>
      <c r="D7271" s="32" t="s">
        <v>19928</v>
      </c>
    </row>
    <row r="7272" spans="2:4" x14ac:dyDescent="0.3">
      <c r="B7272" s="33" t="s">
        <v>19929</v>
      </c>
      <c r="C7272" s="32" t="s">
        <v>19930</v>
      </c>
      <c r="D7272" s="32" t="s">
        <v>19931</v>
      </c>
    </row>
    <row r="7273" spans="2:4" x14ac:dyDescent="0.3">
      <c r="B7273" s="33" t="s">
        <v>19932</v>
      </c>
      <c r="C7273" s="32" t="s">
        <v>19933</v>
      </c>
      <c r="D7273" s="32" t="s">
        <v>19934</v>
      </c>
    </row>
    <row r="7274" spans="2:4" x14ac:dyDescent="0.3">
      <c r="B7274" s="33" t="s">
        <v>19935</v>
      </c>
      <c r="C7274" s="32" t="s">
        <v>19936</v>
      </c>
      <c r="D7274" s="32" t="s">
        <v>19937</v>
      </c>
    </row>
    <row r="7275" spans="2:4" x14ac:dyDescent="0.3">
      <c r="B7275" s="33" t="s">
        <v>19938</v>
      </c>
      <c r="C7275" s="32" t="s">
        <v>19939</v>
      </c>
      <c r="D7275" s="32" t="s">
        <v>19940</v>
      </c>
    </row>
    <row r="7276" spans="2:4" x14ac:dyDescent="0.3">
      <c r="B7276" s="33" t="s">
        <v>19938</v>
      </c>
      <c r="C7276" s="32" t="s">
        <v>19941</v>
      </c>
      <c r="D7276" s="32" t="s">
        <v>19942</v>
      </c>
    </row>
    <row r="7277" spans="2:4" x14ac:dyDescent="0.3">
      <c r="B7277" s="33" t="s">
        <v>19938</v>
      </c>
      <c r="C7277" s="32" t="s">
        <v>19943</v>
      </c>
      <c r="D7277" s="32" t="s">
        <v>19944</v>
      </c>
    </row>
    <row r="7278" spans="2:4" x14ac:dyDescent="0.3">
      <c r="B7278" s="33" t="s">
        <v>19945</v>
      </c>
      <c r="C7278" s="32" t="s">
        <v>19946</v>
      </c>
      <c r="D7278" s="32" t="s">
        <v>19947</v>
      </c>
    </row>
    <row r="7279" spans="2:4" x14ac:dyDescent="0.3">
      <c r="B7279" s="33" t="s">
        <v>19948</v>
      </c>
      <c r="C7279" s="32" t="s">
        <v>19949</v>
      </c>
      <c r="D7279" s="32" t="s">
        <v>19950</v>
      </c>
    </row>
    <row r="7280" spans="2:4" x14ac:dyDescent="0.3">
      <c r="B7280" s="33" t="s">
        <v>19951</v>
      </c>
      <c r="C7280" s="32" t="s">
        <v>19952</v>
      </c>
      <c r="D7280" s="32" t="s">
        <v>19953</v>
      </c>
    </row>
    <row r="7281" spans="2:4" x14ac:dyDescent="0.3">
      <c r="B7281" s="33" t="s">
        <v>19932</v>
      </c>
      <c r="C7281" s="32" t="s">
        <v>19954</v>
      </c>
      <c r="D7281" s="32" t="s">
        <v>19955</v>
      </c>
    </row>
    <row r="7282" spans="2:4" x14ac:dyDescent="0.3">
      <c r="B7282" s="33" t="s">
        <v>19956</v>
      </c>
      <c r="C7282" s="32" t="s">
        <v>19957</v>
      </c>
      <c r="D7282" s="32" t="s">
        <v>19958</v>
      </c>
    </row>
    <row r="7283" spans="2:4" x14ac:dyDescent="0.3">
      <c r="B7283" s="33" t="s">
        <v>19959</v>
      </c>
      <c r="C7283" s="32" t="s">
        <v>19960</v>
      </c>
      <c r="D7283" s="32" t="s">
        <v>19961</v>
      </c>
    </row>
    <row r="7284" spans="2:4" x14ac:dyDescent="0.3">
      <c r="B7284" s="33" t="s">
        <v>36635</v>
      </c>
      <c r="C7284" s="32" t="s">
        <v>36636</v>
      </c>
      <c r="D7284" s="32" t="s">
        <v>36637</v>
      </c>
    </row>
    <row r="7285" spans="2:4" x14ac:dyDescent="0.3">
      <c r="B7285" s="33" t="s">
        <v>19962</v>
      </c>
      <c r="C7285" s="32" t="s">
        <v>19963</v>
      </c>
      <c r="D7285" s="32" t="s">
        <v>19964</v>
      </c>
    </row>
    <row r="7286" spans="2:4" x14ac:dyDescent="0.3">
      <c r="B7286" s="33" t="s">
        <v>19965</v>
      </c>
      <c r="C7286" s="32" t="s">
        <v>19966</v>
      </c>
      <c r="D7286" s="32" t="s">
        <v>19967</v>
      </c>
    </row>
    <row r="7287" spans="2:4" x14ac:dyDescent="0.3">
      <c r="B7287" s="33" t="s">
        <v>19968</v>
      </c>
      <c r="C7287" s="32" t="s">
        <v>19969</v>
      </c>
      <c r="D7287" s="32" t="s">
        <v>19970</v>
      </c>
    </row>
    <row r="7288" spans="2:4" x14ac:dyDescent="0.3">
      <c r="B7288" s="33" t="s">
        <v>19971</v>
      </c>
      <c r="C7288" s="32" t="s">
        <v>19972</v>
      </c>
      <c r="D7288" s="32" t="s">
        <v>19973</v>
      </c>
    </row>
    <row r="7289" spans="2:4" x14ac:dyDescent="0.3">
      <c r="B7289" s="33" t="s">
        <v>19974</v>
      </c>
      <c r="C7289" s="32" t="s">
        <v>19975</v>
      </c>
      <c r="D7289" s="32" t="s">
        <v>19976</v>
      </c>
    </row>
    <row r="7290" spans="2:4" x14ac:dyDescent="0.3">
      <c r="B7290" s="33" t="s">
        <v>19977</v>
      </c>
      <c r="C7290" s="32" t="s">
        <v>19978</v>
      </c>
      <c r="D7290" s="32" t="s">
        <v>19979</v>
      </c>
    </row>
    <row r="7291" spans="2:4" x14ac:dyDescent="0.3">
      <c r="B7291" s="33" t="s">
        <v>19948</v>
      </c>
      <c r="C7291" s="32" t="s">
        <v>19980</v>
      </c>
      <c r="D7291" s="32" t="s">
        <v>19981</v>
      </c>
    </row>
    <row r="7292" spans="2:4" x14ac:dyDescent="0.3">
      <c r="B7292" s="33" t="s">
        <v>19982</v>
      </c>
      <c r="C7292" s="32" t="s">
        <v>19983</v>
      </c>
      <c r="D7292" s="32" t="s">
        <v>19984</v>
      </c>
    </row>
    <row r="7293" spans="2:4" x14ac:dyDescent="0.3">
      <c r="B7293" s="33" t="s">
        <v>19985</v>
      </c>
      <c r="C7293" s="32" t="s">
        <v>19986</v>
      </c>
      <c r="D7293" s="32" t="s">
        <v>19987</v>
      </c>
    </row>
    <row r="7294" spans="2:4" x14ac:dyDescent="0.3">
      <c r="B7294" s="33" t="s">
        <v>19988</v>
      </c>
      <c r="C7294" s="32" t="s">
        <v>19989</v>
      </c>
      <c r="D7294" s="32" t="s">
        <v>19990</v>
      </c>
    </row>
    <row r="7295" spans="2:4" x14ac:dyDescent="0.3">
      <c r="B7295" s="33" t="s">
        <v>19991</v>
      </c>
      <c r="C7295" s="32" t="s">
        <v>19992</v>
      </c>
      <c r="D7295" s="32" t="s">
        <v>19993</v>
      </c>
    </row>
    <row r="7296" spans="2:4" x14ac:dyDescent="0.3">
      <c r="B7296" s="33" t="s">
        <v>19837</v>
      </c>
      <c r="C7296" s="32" t="s">
        <v>19994</v>
      </c>
      <c r="D7296" s="32" t="s">
        <v>19995</v>
      </c>
    </row>
    <row r="7297" spans="2:4" x14ac:dyDescent="0.3">
      <c r="B7297" s="33" t="s">
        <v>19996</v>
      </c>
      <c r="C7297" s="32" t="s">
        <v>19997</v>
      </c>
      <c r="D7297" s="32" t="s">
        <v>19998</v>
      </c>
    </row>
    <row r="7298" spans="2:4" x14ac:dyDescent="0.3">
      <c r="B7298" s="33" t="s">
        <v>19999</v>
      </c>
      <c r="C7298" s="32" t="s">
        <v>20000</v>
      </c>
      <c r="D7298" s="32" t="s">
        <v>20001</v>
      </c>
    </row>
    <row r="7299" spans="2:4" x14ac:dyDescent="0.3">
      <c r="B7299" s="33" t="s">
        <v>20002</v>
      </c>
      <c r="C7299" s="32" t="s">
        <v>20003</v>
      </c>
      <c r="D7299" s="32" t="s">
        <v>20002</v>
      </c>
    </row>
    <row r="7300" spans="2:4" x14ac:dyDescent="0.3">
      <c r="B7300" s="33" t="s">
        <v>20004</v>
      </c>
      <c r="C7300" s="32" t="s">
        <v>20005</v>
      </c>
      <c r="D7300" s="32" t="s">
        <v>20004</v>
      </c>
    </row>
    <row r="7301" spans="2:4" x14ac:dyDescent="0.3">
      <c r="B7301" s="33" t="s">
        <v>19624</v>
      </c>
      <c r="C7301" s="32" t="s">
        <v>20006</v>
      </c>
      <c r="D7301" s="32" t="s">
        <v>20007</v>
      </c>
    </row>
    <row r="7302" spans="2:4" x14ac:dyDescent="0.3">
      <c r="B7302" s="33" t="s">
        <v>20008</v>
      </c>
      <c r="C7302" s="32" t="s">
        <v>20009</v>
      </c>
      <c r="D7302" s="32" t="s">
        <v>20010</v>
      </c>
    </row>
    <row r="7303" spans="2:4" x14ac:dyDescent="0.3">
      <c r="B7303" s="33" t="s">
        <v>20011</v>
      </c>
      <c r="C7303" s="32" t="s">
        <v>20012</v>
      </c>
      <c r="D7303" s="32" t="s">
        <v>20013</v>
      </c>
    </row>
    <row r="7304" spans="2:4" x14ac:dyDescent="0.3">
      <c r="B7304" s="33" t="s">
        <v>20014</v>
      </c>
      <c r="C7304" s="32" t="s">
        <v>20015</v>
      </c>
      <c r="D7304" s="32" t="s">
        <v>20016</v>
      </c>
    </row>
    <row r="7305" spans="2:4" x14ac:dyDescent="0.3">
      <c r="B7305" s="33" t="s">
        <v>20017</v>
      </c>
      <c r="C7305" s="32" t="s">
        <v>20018</v>
      </c>
      <c r="D7305" s="32" t="s">
        <v>20019</v>
      </c>
    </row>
    <row r="7306" spans="2:4" x14ac:dyDescent="0.3">
      <c r="B7306" s="33" t="s">
        <v>20020</v>
      </c>
      <c r="C7306" s="32" t="s">
        <v>20021</v>
      </c>
      <c r="D7306" s="32" t="s">
        <v>20020</v>
      </c>
    </row>
    <row r="7307" spans="2:4" x14ac:dyDescent="0.3">
      <c r="B7307" s="33" t="s">
        <v>20022</v>
      </c>
      <c r="C7307" s="32" t="s">
        <v>20023</v>
      </c>
      <c r="D7307" s="32" t="s">
        <v>20024</v>
      </c>
    </row>
    <row r="7308" spans="2:4" x14ac:dyDescent="0.3">
      <c r="B7308" s="33" t="s">
        <v>20025</v>
      </c>
      <c r="C7308" s="32" t="s">
        <v>20026</v>
      </c>
      <c r="D7308" s="32" t="s">
        <v>20027</v>
      </c>
    </row>
    <row r="7309" spans="2:4" x14ac:dyDescent="0.3">
      <c r="B7309" s="33" t="s">
        <v>20028</v>
      </c>
      <c r="C7309" s="32" t="s">
        <v>20029</v>
      </c>
      <c r="D7309" s="32" t="s">
        <v>37274</v>
      </c>
    </row>
    <row r="7310" spans="2:4" x14ac:dyDescent="0.3">
      <c r="B7310" s="33" t="s">
        <v>20030</v>
      </c>
      <c r="C7310" s="32" t="s">
        <v>20031</v>
      </c>
      <c r="D7310" s="32" t="s">
        <v>20032</v>
      </c>
    </row>
    <row r="7311" spans="2:4" x14ac:dyDescent="0.3">
      <c r="B7311" s="33" t="s">
        <v>20033</v>
      </c>
      <c r="C7311" s="32" t="s">
        <v>20034</v>
      </c>
      <c r="D7311" s="32" t="s">
        <v>20035</v>
      </c>
    </row>
    <row r="7312" spans="2:4" x14ac:dyDescent="0.3">
      <c r="B7312" s="33" t="s">
        <v>20036</v>
      </c>
      <c r="C7312" s="32" t="s">
        <v>20037</v>
      </c>
      <c r="D7312" s="32" t="s">
        <v>20038</v>
      </c>
    </row>
    <row r="7313" spans="2:4" x14ac:dyDescent="0.3">
      <c r="B7313" s="33" t="s">
        <v>20039</v>
      </c>
      <c r="C7313" s="32" t="s">
        <v>20040</v>
      </c>
      <c r="D7313" s="32" t="s">
        <v>20041</v>
      </c>
    </row>
    <row r="7314" spans="2:4" x14ac:dyDescent="0.3">
      <c r="B7314" s="33" t="s">
        <v>20042</v>
      </c>
      <c r="C7314" s="32" t="s">
        <v>20043</v>
      </c>
      <c r="D7314" s="32" t="s">
        <v>20044</v>
      </c>
    </row>
    <row r="7315" spans="2:4" x14ac:dyDescent="0.3">
      <c r="B7315" s="33" t="s">
        <v>20045</v>
      </c>
      <c r="C7315" s="32" t="s">
        <v>20046</v>
      </c>
      <c r="D7315" s="32" t="s">
        <v>20047</v>
      </c>
    </row>
    <row r="7316" spans="2:4" x14ac:dyDescent="0.3">
      <c r="B7316" s="33" t="s">
        <v>20048</v>
      </c>
      <c r="C7316" s="32" t="s">
        <v>20049</v>
      </c>
      <c r="D7316" s="32" t="s">
        <v>20050</v>
      </c>
    </row>
    <row r="7317" spans="2:4" x14ac:dyDescent="0.3">
      <c r="B7317" s="33" t="s">
        <v>20039</v>
      </c>
      <c r="C7317" s="32" t="s">
        <v>36854</v>
      </c>
      <c r="D7317" s="32" t="s">
        <v>36855</v>
      </c>
    </row>
    <row r="7318" spans="2:4" x14ac:dyDescent="0.3">
      <c r="B7318" s="33" t="s">
        <v>20051</v>
      </c>
      <c r="C7318" s="32" t="s">
        <v>20052</v>
      </c>
      <c r="D7318" s="32" t="s">
        <v>20053</v>
      </c>
    </row>
    <row r="7319" spans="2:4" x14ac:dyDescent="0.3">
      <c r="B7319" s="33" t="s">
        <v>20054</v>
      </c>
      <c r="C7319" s="32" t="s">
        <v>20055</v>
      </c>
      <c r="D7319" s="32" t="s">
        <v>20056</v>
      </c>
    </row>
    <row r="7320" spans="2:4" x14ac:dyDescent="0.3">
      <c r="B7320" s="33" t="s">
        <v>20057</v>
      </c>
      <c r="C7320" s="32" t="s">
        <v>20058</v>
      </c>
      <c r="D7320" s="32" t="s">
        <v>20059</v>
      </c>
    </row>
    <row r="7321" spans="2:4" x14ac:dyDescent="0.3">
      <c r="B7321" s="33" t="s">
        <v>19488</v>
      </c>
      <c r="C7321" s="32" t="s">
        <v>20060</v>
      </c>
      <c r="D7321" s="32" t="s">
        <v>20061</v>
      </c>
    </row>
    <row r="7322" spans="2:4" x14ac:dyDescent="0.3">
      <c r="B7322" s="33" t="s">
        <v>4156</v>
      </c>
      <c r="C7322" s="32" t="s">
        <v>20062</v>
      </c>
      <c r="D7322" s="32" t="s">
        <v>20063</v>
      </c>
    </row>
    <row r="7323" spans="2:4" x14ac:dyDescent="0.3">
      <c r="B7323" s="33" t="s">
        <v>20064</v>
      </c>
      <c r="C7323" s="32" t="s">
        <v>20065</v>
      </c>
      <c r="D7323" s="32" t="s">
        <v>20066</v>
      </c>
    </row>
    <row r="7324" spans="2:4" x14ac:dyDescent="0.3">
      <c r="B7324" s="33" t="s">
        <v>20067</v>
      </c>
      <c r="C7324" s="32" t="s">
        <v>20068</v>
      </c>
      <c r="D7324" s="32" t="s">
        <v>20069</v>
      </c>
    </row>
    <row r="7325" spans="2:4" x14ac:dyDescent="0.3">
      <c r="B7325" s="33" t="s">
        <v>20070</v>
      </c>
      <c r="C7325" s="32" t="s">
        <v>20071</v>
      </c>
      <c r="D7325" s="32" t="s">
        <v>20070</v>
      </c>
    </row>
    <row r="7326" spans="2:4" x14ac:dyDescent="0.3">
      <c r="B7326" s="33" t="s">
        <v>20072</v>
      </c>
      <c r="C7326" s="32" t="s">
        <v>20073</v>
      </c>
      <c r="D7326" s="32" t="s">
        <v>20074</v>
      </c>
    </row>
    <row r="7327" spans="2:4" x14ac:dyDescent="0.3">
      <c r="B7327" s="33" t="s">
        <v>20075</v>
      </c>
      <c r="C7327" s="32" t="s">
        <v>20076</v>
      </c>
      <c r="D7327" s="32" t="s">
        <v>20077</v>
      </c>
    </row>
    <row r="7328" spans="2:4" x14ac:dyDescent="0.3">
      <c r="B7328" s="33" t="s">
        <v>19613</v>
      </c>
      <c r="C7328" s="32" t="s">
        <v>20078</v>
      </c>
      <c r="D7328" s="32" t="s">
        <v>20079</v>
      </c>
    </row>
    <row r="7329" spans="2:4" x14ac:dyDescent="0.3">
      <c r="B7329" s="33" t="s">
        <v>20080</v>
      </c>
      <c r="C7329" s="32" t="s">
        <v>20081</v>
      </c>
      <c r="D7329" s="32" t="s">
        <v>20082</v>
      </c>
    </row>
    <row r="7330" spans="2:4" x14ac:dyDescent="0.3">
      <c r="B7330" s="33" t="s">
        <v>20083</v>
      </c>
      <c r="C7330" s="32" t="s">
        <v>20084</v>
      </c>
      <c r="D7330" s="32" t="s">
        <v>20085</v>
      </c>
    </row>
    <row r="7331" spans="2:4" x14ac:dyDescent="0.3">
      <c r="B7331" s="33" t="s">
        <v>20086</v>
      </c>
      <c r="C7331" s="32" t="s">
        <v>20087</v>
      </c>
      <c r="D7331" s="32" t="s">
        <v>20088</v>
      </c>
    </row>
    <row r="7332" spans="2:4" x14ac:dyDescent="0.3">
      <c r="B7332" s="33" t="s">
        <v>20089</v>
      </c>
      <c r="C7332" s="32" t="s">
        <v>20090</v>
      </c>
      <c r="D7332" s="32" t="s">
        <v>20091</v>
      </c>
    </row>
    <row r="7333" spans="2:4" x14ac:dyDescent="0.3">
      <c r="B7333" s="33" t="s">
        <v>20092</v>
      </c>
      <c r="C7333" s="32" t="s">
        <v>20093</v>
      </c>
      <c r="D7333" s="32" t="s">
        <v>20094</v>
      </c>
    </row>
    <row r="7334" spans="2:4" x14ac:dyDescent="0.3">
      <c r="B7334" s="33" t="s">
        <v>20095</v>
      </c>
      <c r="C7334" s="32" t="s">
        <v>20096</v>
      </c>
      <c r="D7334" s="32" t="s">
        <v>20097</v>
      </c>
    </row>
    <row r="7335" spans="2:4" x14ac:dyDescent="0.3">
      <c r="B7335" s="33" t="s">
        <v>20098</v>
      </c>
      <c r="C7335" s="32" t="s">
        <v>20099</v>
      </c>
      <c r="D7335" s="32" t="s">
        <v>20100</v>
      </c>
    </row>
    <row r="7336" spans="2:4" x14ac:dyDescent="0.3">
      <c r="B7336" s="33" t="s">
        <v>20089</v>
      </c>
      <c r="C7336" s="32" t="s">
        <v>20101</v>
      </c>
      <c r="D7336" s="32" t="s">
        <v>20102</v>
      </c>
    </row>
    <row r="7337" spans="2:4" x14ac:dyDescent="0.3">
      <c r="B7337" s="33" t="s">
        <v>20103</v>
      </c>
      <c r="C7337" s="32" t="s">
        <v>20104</v>
      </c>
      <c r="D7337" s="32" t="s">
        <v>20105</v>
      </c>
    </row>
    <row r="7338" spans="2:4" x14ac:dyDescent="0.3">
      <c r="B7338" s="33" t="s">
        <v>20106</v>
      </c>
      <c r="C7338" s="32" t="s">
        <v>20107</v>
      </c>
      <c r="D7338" s="32" t="s">
        <v>20108</v>
      </c>
    </row>
    <row r="7339" spans="2:4" x14ac:dyDescent="0.3">
      <c r="B7339" s="33" t="s">
        <v>20109</v>
      </c>
      <c r="C7339" s="32" t="s">
        <v>20110</v>
      </c>
      <c r="D7339" s="32" t="s">
        <v>20111</v>
      </c>
    </row>
    <row r="7340" spans="2:4" x14ac:dyDescent="0.3">
      <c r="B7340" s="33" t="s">
        <v>20112</v>
      </c>
      <c r="C7340" s="32" t="s">
        <v>20113</v>
      </c>
      <c r="D7340" s="32" t="s">
        <v>20114</v>
      </c>
    </row>
    <row r="7341" spans="2:4" x14ac:dyDescent="0.3">
      <c r="B7341" s="33" t="s">
        <v>20115</v>
      </c>
      <c r="C7341" s="32" t="s">
        <v>20116</v>
      </c>
      <c r="D7341" s="32" t="s">
        <v>20117</v>
      </c>
    </row>
    <row r="7342" spans="2:4" x14ac:dyDescent="0.3">
      <c r="B7342" s="33" t="s">
        <v>20118</v>
      </c>
      <c r="C7342" s="32" t="s">
        <v>20119</v>
      </c>
      <c r="D7342" s="32" t="s">
        <v>20120</v>
      </c>
    </row>
    <row r="7343" spans="2:4" x14ac:dyDescent="0.3">
      <c r="B7343" s="33" t="s">
        <v>20118</v>
      </c>
      <c r="C7343" s="32" t="s">
        <v>20121</v>
      </c>
      <c r="D7343" s="32" t="s">
        <v>20122</v>
      </c>
    </row>
    <row r="7344" spans="2:4" x14ac:dyDescent="0.3">
      <c r="B7344" s="33" t="s">
        <v>20123</v>
      </c>
      <c r="C7344" s="32" t="s">
        <v>20124</v>
      </c>
      <c r="D7344" s="32" t="s">
        <v>20125</v>
      </c>
    </row>
    <row r="7345" spans="2:4" x14ac:dyDescent="0.3">
      <c r="B7345" s="33" t="s">
        <v>20126</v>
      </c>
      <c r="C7345" s="32" t="s">
        <v>20127</v>
      </c>
      <c r="D7345" s="32" t="s">
        <v>20128</v>
      </c>
    </row>
    <row r="7346" spans="2:4" x14ac:dyDescent="0.3">
      <c r="B7346" s="33" t="s">
        <v>20129</v>
      </c>
      <c r="C7346" s="32" t="s">
        <v>20130</v>
      </c>
      <c r="D7346" s="32" t="s">
        <v>20131</v>
      </c>
    </row>
    <row r="7347" spans="2:4" x14ac:dyDescent="0.3">
      <c r="B7347" s="33" t="s">
        <v>19780</v>
      </c>
      <c r="C7347" s="32" t="s">
        <v>20132</v>
      </c>
      <c r="D7347" s="32" t="s">
        <v>20133</v>
      </c>
    </row>
    <row r="7348" spans="2:4" x14ac:dyDescent="0.3">
      <c r="B7348" s="33" t="s">
        <v>20134</v>
      </c>
      <c r="C7348" s="32" t="s">
        <v>20135</v>
      </c>
      <c r="D7348" s="32" t="s">
        <v>20136</v>
      </c>
    </row>
    <row r="7349" spans="2:4" x14ac:dyDescent="0.3">
      <c r="B7349" s="33" t="s">
        <v>20039</v>
      </c>
      <c r="C7349" s="32" t="s">
        <v>20137</v>
      </c>
      <c r="D7349" s="32" t="s">
        <v>20138</v>
      </c>
    </row>
    <row r="7350" spans="2:4" x14ac:dyDescent="0.3">
      <c r="B7350" s="33" t="s">
        <v>20139</v>
      </c>
      <c r="C7350" s="32" t="s">
        <v>20140</v>
      </c>
      <c r="D7350" s="32" t="s">
        <v>20141</v>
      </c>
    </row>
    <row r="7351" spans="2:4" x14ac:dyDescent="0.3">
      <c r="B7351" s="33" t="s">
        <v>37275</v>
      </c>
      <c r="C7351" s="32" t="s">
        <v>37276</v>
      </c>
      <c r="D7351" s="32" t="s">
        <v>37277</v>
      </c>
    </row>
    <row r="7352" spans="2:4" x14ac:dyDescent="0.3">
      <c r="B7352" s="33" t="s">
        <v>20142</v>
      </c>
      <c r="C7352" s="32" t="s">
        <v>20143</v>
      </c>
      <c r="D7352" s="32" t="s">
        <v>20144</v>
      </c>
    </row>
    <row r="7353" spans="2:4" x14ac:dyDescent="0.3">
      <c r="B7353" s="33" t="s">
        <v>20145</v>
      </c>
      <c r="C7353" s="32" t="s">
        <v>20146</v>
      </c>
      <c r="D7353" s="32" t="s">
        <v>20147</v>
      </c>
    </row>
    <row r="7354" spans="2:4" x14ac:dyDescent="0.3">
      <c r="B7354" s="33" t="s">
        <v>20148</v>
      </c>
      <c r="C7354" s="32" t="s">
        <v>20149</v>
      </c>
      <c r="D7354" s="32" t="s">
        <v>20150</v>
      </c>
    </row>
    <row r="7355" spans="2:4" x14ac:dyDescent="0.3">
      <c r="B7355" s="33" t="s">
        <v>20151</v>
      </c>
      <c r="C7355" s="32" t="s">
        <v>20152</v>
      </c>
      <c r="D7355" s="32" t="s">
        <v>20153</v>
      </c>
    </row>
    <row r="7356" spans="2:4" x14ac:dyDescent="0.3">
      <c r="B7356" s="33" t="s">
        <v>20139</v>
      </c>
      <c r="C7356" s="32" t="s">
        <v>20154</v>
      </c>
      <c r="D7356" s="32" t="s">
        <v>20155</v>
      </c>
    </row>
    <row r="7357" spans="2:4" x14ac:dyDescent="0.3">
      <c r="B7357" s="33" t="s">
        <v>20156</v>
      </c>
      <c r="C7357" s="32" t="s">
        <v>20157</v>
      </c>
      <c r="D7357" s="32" t="s">
        <v>20158</v>
      </c>
    </row>
    <row r="7358" spans="2:4" x14ac:dyDescent="0.3">
      <c r="B7358" s="33" t="s">
        <v>20159</v>
      </c>
      <c r="C7358" s="32" t="s">
        <v>20160</v>
      </c>
      <c r="D7358" s="32" t="s">
        <v>20161</v>
      </c>
    </row>
    <row r="7359" spans="2:4" x14ac:dyDescent="0.3">
      <c r="B7359" s="33" t="s">
        <v>20162</v>
      </c>
      <c r="C7359" s="32" t="s">
        <v>20163</v>
      </c>
      <c r="D7359" s="32" t="s">
        <v>20164</v>
      </c>
    </row>
    <row r="7360" spans="2:4" x14ac:dyDescent="0.3">
      <c r="B7360" s="33" t="s">
        <v>20165</v>
      </c>
      <c r="C7360" s="32" t="s">
        <v>20166</v>
      </c>
      <c r="D7360" s="32" t="s">
        <v>20167</v>
      </c>
    </row>
    <row r="7361" spans="2:4" x14ac:dyDescent="0.3">
      <c r="B7361" s="33" t="s">
        <v>20168</v>
      </c>
      <c r="C7361" s="32" t="s">
        <v>20169</v>
      </c>
      <c r="D7361" s="32" t="s">
        <v>20170</v>
      </c>
    </row>
    <row r="7362" spans="2:4" x14ac:dyDescent="0.3">
      <c r="B7362" s="33" t="s">
        <v>20171</v>
      </c>
      <c r="C7362" s="32" t="s">
        <v>20172</v>
      </c>
      <c r="D7362" s="32" t="s">
        <v>20173</v>
      </c>
    </row>
    <row r="7363" spans="2:4" x14ac:dyDescent="0.3">
      <c r="B7363" s="33" t="s">
        <v>6432</v>
      </c>
      <c r="C7363" s="32" t="s">
        <v>20174</v>
      </c>
      <c r="D7363" s="32" t="s">
        <v>20175</v>
      </c>
    </row>
    <row r="7364" spans="2:4" x14ac:dyDescent="0.3">
      <c r="B7364" s="33" t="s">
        <v>20176</v>
      </c>
      <c r="C7364" s="32" t="s">
        <v>20177</v>
      </c>
      <c r="D7364" s="32" t="s">
        <v>20178</v>
      </c>
    </row>
    <row r="7365" spans="2:4" x14ac:dyDescent="0.3">
      <c r="B7365" s="33" t="s">
        <v>20176</v>
      </c>
      <c r="C7365" s="32" t="s">
        <v>20179</v>
      </c>
      <c r="D7365" s="32" t="s">
        <v>20176</v>
      </c>
    </row>
    <row r="7366" spans="2:4" x14ac:dyDescent="0.3">
      <c r="B7366" s="33" t="s">
        <v>20180</v>
      </c>
      <c r="C7366" s="32" t="s">
        <v>20181</v>
      </c>
      <c r="D7366" s="32" t="s">
        <v>20182</v>
      </c>
    </row>
    <row r="7367" spans="2:4" x14ac:dyDescent="0.3">
      <c r="B7367" s="33" t="s">
        <v>20183</v>
      </c>
      <c r="C7367" s="32" t="s">
        <v>20184</v>
      </c>
      <c r="D7367" s="32" t="s">
        <v>20185</v>
      </c>
    </row>
    <row r="7368" spans="2:4" x14ac:dyDescent="0.3">
      <c r="B7368" s="33" t="s">
        <v>20186</v>
      </c>
      <c r="C7368" s="32" t="s">
        <v>20187</v>
      </c>
      <c r="D7368" s="32" t="s">
        <v>20188</v>
      </c>
    </row>
    <row r="7369" spans="2:4" x14ac:dyDescent="0.3">
      <c r="B7369" s="33" t="s">
        <v>20189</v>
      </c>
      <c r="C7369" s="32" t="s">
        <v>20190</v>
      </c>
      <c r="D7369" s="32" t="s">
        <v>20191</v>
      </c>
    </row>
    <row r="7370" spans="2:4" x14ac:dyDescent="0.3">
      <c r="B7370" s="33" t="s">
        <v>20176</v>
      </c>
      <c r="C7370" s="32" t="s">
        <v>20192</v>
      </c>
      <c r="D7370" s="32" t="s">
        <v>20193</v>
      </c>
    </row>
    <row r="7371" spans="2:4" x14ac:dyDescent="0.3">
      <c r="B7371" s="33" t="s">
        <v>20194</v>
      </c>
      <c r="C7371" s="32" t="s">
        <v>20195</v>
      </c>
      <c r="D7371" s="32" t="s">
        <v>20196</v>
      </c>
    </row>
    <row r="7372" spans="2:4" x14ac:dyDescent="0.3">
      <c r="B7372" s="33" t="s">
        <v>20197</v>
      </c>
      <c r="C7372" s="32" t="s">
        <v>20198</v>
      </c>
      <c r="D7372" s="32" t="s">
        <v>20199</v>
      </c>
    </row>
    <row r="7373" spans="2:4" x14ac:dyDescent="0.3">
      <c r="B7373" s="33" t="s">
        <v>20200</v>
      </c>
      <c r="C7373" s="32" t="s">
        <v>20201</v>
      </c>
      <c r="D7373" s="32" t="s">
        <v>20202</v>
      </c>
    </row>
    <row r="7374" spans="2:4" x14ac:dyDescent="0.3">
      <c r="B7374" s="33" t="s">
        <v>20203</v>
      </c>
      <c r="C7374" s="32" t="s">
        <v>20204</v>
      </c>
      <c r="D7374" s="32" t="s">
        <v>20205</v>
      </c>
    </row>
    <row r="7375" spans="2:4" x14ac:dyDescent="0.3">
      <c r="B7375" s="33" t="s">
        <v>20206</v>
      </c>
      <c r="C7375" s="32" t="s">
        <v>20207</v>
      </c>
      <c r="D7375" s="32" t="s">
        <v>20208</v>
      </c>
    </row>
    <row r="7376" spans="2:4" x14ac:dyDescent="0.3">
      <c r="B7376" s="33" t="s">
        <v>20209</v>
      </c>
      <c r="C7376" s="32" t="s">
        <v>20210</v>
      </c>
      <c r="D7376" s="32" t="s">
        <v>20211</v>
      </c>
    </row>
    <row r="7377" spans="2:4" x14ac:dyDescent="0.3">
      <c r="B7377" s="33" t="s">
        <v>20212</v>
      </c>
      <c r="C7377" s="32" t="s">
        <v>20213</v>
      </c>
      <c r="D7377" s="32" t="s">
        <v>20214</v>
      </c>
    </row>
    <row r="7378" spans="2:4" x14ac:dyDescent="0.3">
      <c r="B7378" s="33" t="s">
        <v>20215</v>
      </c>
      <c r="C7378" s="32" t="s">
        <v>20216</v>
      </c>
      <c r="D7378" s="32" t="s">
        <v>20217</v>
      </c>
    </row>
    <row r="7379" spans="2:4" x14ac:dyDescent="0.3">
      <c r="B7379" s="33" t="s">
        <v>19503</v>
      </c>
      <c r="C7379" s="32" t="s">
        <v>20218</v>
      </c>
      <c r="D7379" s="32" t="s">
        <v>20219</v>
      </c>
    </row>
    <row r="7380" spans="2:4" x14ac:dyDescent="0.3">
      <c r="B7380" s="33" t="s">
        <v>20220</v>
      </c>
      <c r="C7380" s="32" t="s">
        <v>20221</v>
      </c>
      <c r="D7380" s="32" t="s">
        <v>20222</v>
      </c>
    </row>
    <row r="7381" spans="2:4" x14ac:dyDescent="0.3">
      <c r="B7381" s="33" t="s">
        <v>20223</v>
      </c>
      <c r="C7381" s="32" t="s">
        <v>20224</v>
      </c>
      <c r="D7381" s="32" t="s">
        <v>20225</v>
      </c>
    </row>
    <row r="7382" spans="2:4" x14ac:dyDescent="0.3">
      <c r="B7382" s="33" t="s">
        <v>20226</v>
      </c>
      <c r="C7382" s="32" t="s">
        <v>20227</v>
      </c>
      <c r="D7382" s="32" t="s">
        <v>20228</v>
      </c>
    </row>
    <row r="7383" spans="2:4" x14ac:dyDescent="0.3">
      <c r="B7383" s="33" t="s">
        <v>20229</v>
      </c>
      <c r="C7383" s="32" t="s">
        <v>20230</v>
      </c>
      <c r="D7383" s="32" t="s">
        <v>20231</v>
      </c>
    </row>
    <row r="7384" spans="2:4" x14ac:dyDescent="0.3">
      <c r="B7384" s="33" t="s">
        <v>20232</v>
      </c>
      <c r="C7384" s="32" t="s">
        <v>20233</v>
      </c>
      <c r="D7384" s="32" t="s">
        <v>20234</v>
      </c>
    </row>
    <row r="7385" spans="2:4" x14ac:dyDescent="0.3">
      <c r="B7385" s="33" t="s">
        <v>9657</v>
      </c>
      <c r="C7385" s="32" t="s">
        <v>20235</v>
      </c>
      <c r="D7385" s="32" t="s">
        <v>20236</v>
      </c>
    </row>
    <row r="7386" spans="2:4" x14ac:dyDescent="0.3">
      <c r="B7386" s="33" t="s">
        <v>20237</v>
      </c>
      <c r="C7386" s="32" t="s">
        <v>20238</v>
      </c>
      <c r="D7386" s="32" t="s">
        <v>20239</v>
      </c>
    </row>
    <row r="7387" spans="2:4" x14ac:dyDescent="0.3">
      <c r="B7387" s="33" t="s">
        <v>20240</v>
      </c>
      <c r="C7387" s="32" t="s">
        <v>20241</v>
      </c>
      <c r="D7387" s="32" t="s">
        <v>20242</v>
      </c>
    </row>
    <row r="7388" spans="2:4" x14ac:dyDescent="0.3">
      <c r="B7388" s="33" t="s">
        <v>20243</v>
      </c>
      <c r="C7388" s="32" t="s">
        <v>20244</v>
      </c>
      <c r="D7388" s="32" t="s">
        <v>20245</v>
      </c>
    </row>
    <row r="7389" spans="2:4" x14ac:dyDescent="0.3">
      <c r="B7389" s="33" t="s">
        <v>20246</v>
      </c>
      <c r="C7389" s="32" t="s">
        <v>20247</v>
      </c>
      <c r="D7389" s="32" t="s">
        <v>20248</v>
      </c>
    </row>
    <row r="7390" spans="2:4" x14ac:dyDescent="0.3">
      <c r="B7390" s="33" t="s">
        <v>19654</v>
      </c>
      <c r="C7390" s="32" t="s">
        <v>20249</v>
      </c>
      <c r="D7390" s="32" t="s">
        <v>20250</v>
      </c>
    </row>
    <row r="7391" spans="2:4" x14ac:dyDescent="0.3">
      <c r="B7391" s="33" t="s">
        <v>20251</v>
      </c>
      <c r="C7391" s="32" t="s">
        <v>20252</v>
      </c>
      <c r="D7391" s="32" t="s">
        <v>20253</v>
      </c>
    </row>
    <row r="7392" spans="2:4" x14ac:dyDescent="0.3">
      <c r="B7392" s="33" t="s">
        <v>20254</v>
      </c>
      <c r="C7392" s="32" t="s">
        <v>20255</v>
      </c>
      <c r="D7392" s="32" t="s">
        <v>20256</v>
      </c>
    </row>
    <row r="7393" spans="2:4" x14ac:dyDescent="0.3">
      <c r="B7393" s="33" t="s">
        <v>20215</v>
      </c>
      <c r="C7393" s="32" t="s">
        <v>20257</v>
      </c>
      <c r="D7393" s="32" t="s">
        <v>20258</v>
      </c>
    </row>
    <row r="7394" spans="2:4" x14ac:dyDescent="0.3">
      <c r="B7394" s="33" t="s">
        <v>9657</v>
      </c>
      <c r="C7394" s="32" t="s">
        <v>20259</v>
      </c>
      <c r="D7394" s="32" t="s">
        <v>20260</v>
      </c>
    </row>
    <row r="7395" spans="2:4" x14ac:dyDescent="0.3">
      <c r="B7395" s="33" t="s">
        <v>9657</v>
      </c>
      <c r="C7395" s="32" t="s">
        <v>20261</v>
      </c>
      <c r="D7395" s="32" t="s">
        <v>20262</v>
      </c>
    </row>
    <row r="7396" spans="2:4" x14ac:dyDescent="0.3">
      <c r="B7396" s="33" t="s">
        <v>20263</v>
      </c>
      <c r="C7396" s="32" t="s">
        <v>20264</v>
      </c>
      <c r="D7396" s="32" t="s">
        <v>20265</v>
      </c>
    </row>
    <row r="7397" spans="2:4" x14ac:dyDescent="0.3">
      <c r="B7397" s="33" t="s">
        <v>20266</v>
      </c>
      <c r="C7397" s="32" t="s">
        <v>20267</v>
      </c>
      <c r="D7397" s="32" t="s">
        <v>20266</v>
      </c>
    </row>
    <row r="7398" spans="2:4" x14ac:dyDescent="0.3">
      <c r="B7398" s="33" t="s">
        <v>20268</v>
      </c>
      <c r="C7398" s="32" t="s">
        <v>20269</v>
      </c>
      <c r="D7398" s="32" t="s">
        <v>20270</v>
      </c>
    </row>
    <row r="7399" spans="2:4" x14ac:dyDescent="0.3">
      <c r="B7399" s="33" t="s">
        <v>15208</v>
      </c>
      <c r="C7399" s="32" t="s">
        <v>20271</v>
      </c>
      <c r="D7399" s="32" t="s">
        <v>20272</v>
      </c>
    </row>
    <row r="7400" spans="2:4" x14ac:dyDescent="0.3">
      <c r="B7400" s="33" t="s">
        <v>20273</v>
      </c>
      <c r="C7400" s="32" t="s">
        <v>20274</v>
      </c>
      <c r="D7400" s="32" t="s">
        <v>20275</v>
      </c>
    </row>
    <row r="7401" spans="2:4" x14ac:dyDescent="0.3">
      <c r="B7401" s="33" t="s">
        <v>20276</v>
      </c>
      <c r="C7401" s="32" t="s">
        <v>20277</v>
      </c>
      <c r="D7401" s="32" t="s">
        <v>20278</v>
      </c>
    </row>
    <row r="7402" spans="2:4" x14ac:dyDescent="0.3">
      <c r="B7402" s="33" t="s">
        <v>20279</v>
      </c>
      <c r="C7402" s="32" t="s">
        <v>20280</v>
      </c>
      <c r="D7402" s="32" t="s">
        <v>20281</v>
      </c>
    </row>
    <row r="7403" spans="2:4" x14ac:dyDescent="0.3">
      <c r="B7403" s="33" t="s">
        <v>20282</v>
      </c>
      <c r="C7403" s="32" t="s">
        <v>20283</v>
      </c>
      <c r="D7403" s="32" t="s">
        <v>20284</v>
      </c>
    </row>
    <row r="7404" spans="2:4" x14ac:dyDescent="0.3">
      <c r="B7404" s="33" t="s">
        <v>20285</v>
      </c>
      <c r="C7404" s="32" t="s">
        <v>20286</v>
      </c>
      <c r="D7404" s="32" t="s">
        <v>20287</v>
      </c>
    </row>
    <row r="7405" spans="2:4" x14ac:dyDescent="0.3">
      <c r="B7405" s="33" t="s">
        <v>20288</v>
      </c>
      <c r="C7405" s="32" t="s">
        <v>20289</v>
      </c>
      <c r="D7405" s="32" t="s">
        <v>20290</v>
      </c>
    </row>
    <row r="7406" spans="2:4" x14ac:dyDescent="0.3">
      <c r="B7406" s="33" t="s">
        <v>20291</v>
      </c>
      <c r="C7406" s="32" t="s">
        <v>20292</v>
      </c>
      <c r="D7406" s="32" t="s">
        <v>20293</v>
      </c>
    </row>
    <row r="7407" spans="2:4" x14ac:dyDescent="0.3">
      <c r="B7407" s="33" t="s">
        <v>20294</v>
      </c>
      <c r="C7407" s="32" t="s">
        <v>20295</v>
      </c>
      <c r="D7407" s="32" t="s">
        <v>20296</v>
      </c>
    </row>
    <row r="7408" spans="2:4" x14ac:dyDescent="0.3">
      <c r="B7408" s="33" t="s">
        <v>20297</v>
      </c>
      <c r="C7408" s="32" t="s">
        <v>20298</v>
      </c>
      <c r="D7408" s="32" t="s">
        <v>20299</v>
      </c>
    </row>
    <row r="7409" spans="2:4" x14ac:dyDescent="0.3">
      <c r="B7409" s="33" t="s">
        <v>20300</v>
      </c>
      <c r="C7409" s="32" t="s">
        <v>20301</v>
      </c>
      <c r="D7409" s="32" t="s">
        <v>20302</v>
      </c>
    </row>
    <row r="7410" spans="2:4" x14ac:dyDescent="0.3">
      <c r="B7410" s="33" t="s">
        <v>20303</v>
      </c>
      <c r="C7410" s="32" t="s">
        <v>20304</v>
      </c>
      <c r="D7410" s="32" t="s">
        <v>20305</v>
      </c>
    </row>
    <row r="7411" spans="2:4" x14ac:dyDescent="0.3">
      <c r="B7411" s="33" t="s">
        <v>20306</v>
      </c>
      <c r="C7411" s="32" t="s">
        <v>20307</v>
      </c>
      <c r="D7411" s="32" t="s">
        <v>20308</v>
      </c>
    </row>
    <row r="7412" spans="2:4" x14ac:dyDescent="0.3">
      <c r="B7412" s="33" t="s">
        <v>20306</v>
      </c>
      <c r="C7412" s="32" t="s">
        <v>20309</v>
      </c>
      <c r="D7412" s="32" t="s">
        <v>20310</v>
      </c>
    </row>
    <row r="7413" spans="2:4" x14ac:dyDescent="0.3">
      <c r="B7413" s="33" t="s">
        <v>20311</v>
      </c>
      <c r="C7413" s="32" t="s">
        <v>20312</v>
      </c>
      <c r="D7413" s="32" t="s">
        <v>20313</v>
      </c>
    </row>
    <row r="7414" spans="2:4" x14ac:dyDescent="0.3">
      <c r="B7414" s="33" t="s">
        <v>20314</v>
      </c>
      <c r="C7414" s="32" t="s">
        <v>20315</v>
      </c>
      <c r="D7414" s="32" t="s">
        <v>20316</v>
      </c>
    </row>
    <row r="7415" spans="2:4" x14ac:dyDescent="0.3">
      <c r="B7415" s="33" t="s">
        <v>20317</v>
      </c>
      <c r="C7415" s="32" t="s">
        <v>20318</v>
      </c>
      <c r="D7415" s="32" t="s">
        <v>20319</v>
      </c>
    </row>
    <row r="7416" spans="2:4" x14ac:dyDescent="0.3">
      <c r="B7416" s="33" t="s">
        <v>7812</v>
      </c>
      <c r="C7416" s="32" t="s">
        <v>20320</v>
      </c>
      <c r="D7416" s="32" t="s">
        <v>20321</v>
      </c>
    </row>
    <row r="7417" spans="2:4" x14ac:dyDescent="0.3">
      <c r="B7417" s="33" t="s">
        <v>19909</v>
      </c>
      <c r="C7417" s="32" t="s">
        <v>20322</v>
      </c>
      <c r="D7417" s="32" t="s">
        <v>20323</v>
      </c>
    </row>
    <row r="7418" spans="2:4" x14ac:dyDescent="0.3">
      <c r="B7418" s="33" t="s">
        <v>20324</v>
      </c>
      <c r="C7418" s="32" t="s">
        <v>20325</v>
      </c>
      <c r="D7418" s="32" t="s">
        <v>20326</v>
      </c>
    </row>
    <row r="7419" spans="2:4" x14ac:dyDescent="0.3">
      <c r="B7419" s="33" t="s">
        <v>20327</v>
      </c>
      <c r="C7419" s="32" t="s">
        <v>20328</v>
      </c>
      <c r="D7419" s="32" t="s">
        <v>20329</v>
      </c>
    </row>
    <row r="7420" spans="2:4" x14ac:dyDescent="0.3">
      <c r="B7420" s="33" t="s">
        <v>20330</v>
      </c>
      <c r="C7420" s="32" t="s">
        <v>20331</v>
      </c>
      <c r="D7420" s="32" t="s">
        <v>20332</v>
      </c>
    </row>
    <row r="7421" spans="2:4" x14ac:dyDescent="0.3">
      <c r="B7421" s="33" t="s">
        <v>20333</v>
      </c>
      <c r="C7421" s="32" t="s">
        <v>20334</v>
      </c>
      <c r="D7421" s="32" t="s">
        <v>20335</v>
      </c>
    </row>
    <row r="7422" spans="2:4" x14ac:dyDescent="0.3">
      <c r="B7422" s="33" t="s">
        <v>20336</v>
      </c>
      <c r="C7422" s="32" t="s">
        <v>20337</v>
      </c>
      <c r="D7422" s="32" t="s">
        <v>20338</v>
      </c>
    </row>
    <row r="7423" spans="2:4" x14ac:dyDescent="0.3">
      <c r="B7423" s="33" t="s">
        <v>20336</v>
      </c>
      <c r="C7423" s="32" t="s">
        <v>36638</v>
      </c>
      <c r="D7423" s="32" t="s">
        <v>36639</v>
      </c>
    </row>
    <row r="7424" spans="2:4" x14ac:dyDescent="0.3">
      <c r="B7424" s="33" t="s">
        <v>20339</v>
      </c>
      <c r="C7424" s="32" t="s">
        <v>20340</v>
      </c>
      <c r="D7424" s="32" t="s">
        <v>37035</v>
      </c>
    </row>
    <row r="7425" spans="2:4" x14ac:dyDescent="0.3">
      <c r="B7425" s="33" t="s">
        <v>20341</v>
      </c>
      <c r="C7425" s="32" t="s">
        <v>20342</v>
      </c>
      <c r="D7425" s="32" t="s">
        <v>20343</v>
      </c>
    </row>
    <row r="7426" spans="2:4" x14ac:dyDescent="0.3">
      <c r="B7426" s="33" t="s">
        <v>20344</v>
      </c>
      <c r="C7426" s="32" t="s">
        <v>20345</v>
      </c>
      <c r="D7426" s="32" t="s">
        <v>20346</v>
      </c>
    </row>
    <row r="7427" spans="2:4" x14ac:dyDescent="0.3">
      <c r="B7427" s="33" t="s">
        <v>877</v>
      </c>
      <c r="C7427" s="32" t="s">
        <v>20347</v>
      </c>
      <c r="D7427" s="32" t="s">
        <v>20348</v>
      </c>
    </row>
    <row r="7428" spans="2:4" x14ac:dyDescent="0.3">
      <c r="B7428" s="33" t="s">
        <v>20349</v>
      </c>
      <c r="C7428" s="32" t="s">
        <v>20350</v>
      </c>
      <c r="D7428" s="32" t="s">
        <v>20351</v>
      </c>
    </row>
    <row r="7429" spans="2:4" x14ac:dyDescent="0.3">
      <c r="B7429" s="33" t="s">
        <v>20352</v>
      </c>
      <c r="C7429" s="32" t="s">
        <v>20353</v>
      </c>
      <c r="D7429" s="32" t="s">
        <v>20354</v>
      </c>
    </row>
    <row r="7430" spans="2:4" x14ac:dyDescent="0.3">
      <c r="B7430" s="33" t="s">
        <v>20339</v>
      </c>
      <c r="C7430" s="32" t="s">
        <v>20355</v>
      </c>
      <c r="D7430" s="32" t="s">
        <v>20356</v>
      </c>
    </row>
    <row r="7431" spans="2:4" x14ac:dyDescent="0.3">
      <c r="B7431" s="33" t="s">
        <v>20357</v>
      </c>
      <c r="C7431" s="32" t="s">
        <v>20358</v>
      </c>
      <c r="D7431" s="32" t="s">
        <v>20359</v>
      </c>
    </row>
    <row r="7432" spans="2:4" x14ac:dyDescent="0.3">
      <c r="B7432" s="33" t="s">
        <v>20360</v>
      </c>
      <c r="C7432" s="32" t="s">
        <v>20361</v>
      </c>
      <c r="D7432" s="32" t="s">
        <v>20362</v>
      </c>
    </row>
    <row r="7433" spans="2:4" x14ac:dyDescent="0.3">
      <c r="B7433" s="33" t="s">
        <v>20363</v>
      </c>
      <c r="C7433" s="32" t="s">
        <v>20364</v>
      </c>
      <c r="D7433" s="32" t="s">
        <v>20365</v>
      </c>
    </row>
    <row r="7434" spans="2:4" x14ac:dyDescent="0.3">
      <c r="B7434" s="33" t="s">
        <v>20366</v>
      </c>
      <c r="C7434" s="32" t="s">
        <v>20367</v>
      </c>
      <c r="D7434" s="32" t="s">
        <v>20368</v>
      </c>
    </row>
    <row r="7435" spans="2:4" x14ac:dyDescent="0.3">
      <c r="B7435" s="33" t="s">
        <v>19477</v>
      </c>
      <c r="C7435" s="32" t="s">
        <v>20369</v>
      </c>
      <c r="D7435" s="32" t="s">
        <v>20370</v>
      </c>
    </row>
    <row r="7436" spans="2:4" x14ac:dyDescent="0.3">
      <c r="B7436" s="33" t="s">
        <v>20371</v>
      </c>
      <c r="C7436" s="32" t="s">
        <v>20372</v>
      </c>
      <c r="D7436" s="32" t="s">
        <v>20373</v>
      </c>
    </row>
    <row r="7437" spans="2:4" x14ac:dyDescent="0.3">
      <c r="B7437" s="33" t="s">
        <v>12064</v>
      </c>
      <c r="C7437" s="32" t="s">
        <v>20374</v>
      </c>
      <c r="D7437" s="32" t="s">
        <v>20375</v>
      </c>
    </row>
    <row r="7438" spans="2:4" x14ac:dyDescent="0.3">
      <c r="B7438" s="33" t="s">
        <v>12064</v>
      </c>
      <c r="C7438" s="32" t="s">
        <v>20376</v>
      </c>
      <c r="D7438" s="32" t="s">
        <v>20377</v>
      </c>
    </row>
    <row r="7439" spans="2:4" x14ac:dyDescent="0.3">
      <c r="B7439" s="33" t="s">
        <v>20378</v>
      </c>
      <c r="C7439" s="32" t="s">
        <v>20379</v>
      </c>
      <c r="D7439" s="32" t="s">
        <v>20380</v>
      </c>
    </row>
    <row r="7440" spans="2:4" x14ac:dyDescent="0.3">
      <c r="B7440" s="33" t="s">
        <v>20381</v>
      </c>
      <c r="C7440" s="32" t="s">
        <v>20382</v>
      </c>
      <c r="D7440" s="32" t="s">
        <v>20383</v>
      </c>
    </row>
    <row r="7441" spans="2:4" x14ac:dyDescent="0.3">
      <c r="B7441" s="33" t="s">
        <v>17926</v>
      </c>
      <c r="C7441" s="32" t="s">
        <v>20384</v>
      </c>
      <c r="D7441" s="32" t="s">
        <v>20385</v>
      </c>
    </row>
    <row r="7442" spans="2:4" x14ac:dyDescent="0.3">
      <c r="B7442" s="33" t="s">
        <v>20386</v>
      </c>
      <c r="C7442" s="32" t="s">
        <v>20387</v>
      </c>
      <c r="D7442" s="32" t="s">
        <v>20388</v>
      </c>
    </row>
    <row r="7443" spans="2:4" x14ac:dyDescent="0.3">
      <c r="B7443" s="33" t="s">
        <v>20389</v>
      </c>
      <c r="C7443" s="32" t="s">
        <v>20390</v>
      </c>
      <c r="D7443" s="32" t="s">
        <v>20391</v>
      </c>
    </row>
    <row r="7444" spans="2:4" x14ac:dyDescent="0.3">
      <c r="B7444" s="33" t="s">
        <v>19682</v>
      </c>
      <c r="C7444" s="32" t="s">
        <v>20392</v>
      </c>
      <c r="D7444" s="32" t="s">
        <v>20393</v>
      </c>
    </row>
    <row r="7445" spans="2:4" x14ac:dyDescent="0.3">
      <c r="B7445" s="33" t="s">
        <v>20394</v>
      </c>
      <c r="C7445" s="32" t="s">
        <v>20395</v>
      </c>
      <c r="D7445" s="32" t="s">
        <v>20396</v>
      </c>
    </row>
    <row r="7446" spans="2:4" x14ac:dyDescent="0.3">
      <c r="B7446" s="33" t="s">
        <v>20397</v>
      </c>
      <c r="C7446" s="32" t="s">
        <v>20398</v>
      </c>
      <c r="D7446" s="32" t="s">
        <v>20399</v>
      </c>
    </row>
    <row r="7447" spans="2:4" x14ac:dyDescent="0.3">
      <c r="B7447" s="33" t="s">
        <v>20400</v>
      </c>
      <c r="C7447" s="32" t="s">
        <v>20401</v>
      </c>
      <c r="D7447" s="32" t="s">
        <v>20402</v>
      </c>
    </row>
    <row r="7448" spans="2:4" x14ac:dyDescent="0.3">
      <c r="B7448" s="33" t="s">
        <v>17926</v>
      </c>
      <c r="C7448" s="32" t="s">
        <v>20403</v>
      </c>
      <c r="D7448" s="32" t="s">
        <v>20404</v>
      </c>
    </row>
    <row r="7449" spans="2:4" x14ac:dyDescent="0.3">
      <c r="B7449" s="33" t="s">
        <v>19965</v>
      </c>
      <c r="C7449" s="32" t="s">
        <v>20405</v>
      </c>
      <c r="D7449" s="32" t="s">
        <v>20406</v>
      </c>
    </row>
    <row r="7450" spans="2:4" x14ac:dyDescent="0.3">
      <c r="B7450" s="33" t="s">
        <v>7353</v>
      </c>
      <c r="C7450" s="32" t="s">
        <v>20407</v>
      </c>
      <c r="D7450" s="32" t="s">
        <v>20408</v>
      </c>
    </row>
    <row r="7451" spans="2:4" x14ac:dyDescent="0.3">
      <c r="B7451" s="33" t="s">
        <v>20409</v>
      </c>
      <c r="C7451" s="32" t="s">
        <v>20410</v>
      </c>
      <c r="D7451" s="32" t="s">
        <v>20411</v>
      </c>
    </row>
    <row r="7452" spans="2:4" x14ac:dyDescent="0.3">
      <c r="B7452" s="33" t="s">
        <v>20412</v>
      </c>
      <c r="C7452" s="32" t="s">
        <v>20413</v>
      </c>
      <c r="D7452" s="32" t="s">
        <v>20414</v>
      </c>
    </row>
    <row r="7453" spans="2:4" x14ac:dyDescent="0.3">
      <c r="B7453" s="33" t="s">
        <v>20415</v>
      </c>
      <c r="C7453" s="32" t="s">
        <v>20416</v>
      </c>
      <c r="D7453" s="32" t="s">
        <v>20417</v>
      </c>
    </row>
    <row r="7454" spans="2:4" x14ac:dyDescent="0.3">
      <c r="B7454" s="33" t="s">
        <v>20418</v>
      </c>
      <c r="C7454" s="32" t="s">
        <v>20419</v>
      </c>
      <c r="D7454" s="32" t="s">
        <v>20420</v>
      </c>
    </row>
    <row r="7455" spans="2:4" x14ac:dyDescent="0.3">
      <c r="B7455" s="33" t="s">
        <v>19613</v>
      </c>
      <c r="C7455" s="32" t="s">
        <v>20421</v>
      </c>
      <c r="D7455" s="32" t="s">
        <v>20422</v>
      </c>
    </row>
    <row r="7456" spans="2:4" x14ac:dyDescent="0.3">
      <c r="B7456" s="33" t="s">
        <v>7532</v>
      </c>
      <c r="C7456" s="32" t="s">
        <v>20423</v>
      </c>
      <c r="D7456" s="32" t="s">
        <v>20424</v>
      </c>
    </row>
    <row r="7457" spans="2:4" x14ac:dyDescent="0.3">
      <c r="B7457" s="33" t="s">
        <v>37396</v>
      </c>
      <c r="C7457" s="32" t="s">
        <v>37397</v>
      </c>
      <c r="D7457" s="32" t="s">
        <v>37398</v>
      </c>
    </row>
    <row r="7458" spans="2:4" x14ac:dyDescent="0.3">
      <c r="B7458" s="33" t="s">
        <v>19837</v>
      </c>
      <c r="C7458" s="32" t="s">
        <v>20425</v>
      </c>
      <c r="D7458" s="32" t="s">
        <v>20426</v>
      </c>
    </row>
    <row r="7459" spans="2:4" x14ac:dyDescent="0.3">
      <c r="B7459" s="33" t="s">
        <v>20427</v>
      </c>
      <c r="C7459" s="32" t="s">
        <v>20428</v>
      </c>
      <c r="D7459" s="32" t="s">
        <v>20429</v>
      </c>
    </row>
    <row r="7460" spans="2:4" x14ac:dyDescent="0.3">
      <c r="B7460" s="33" t="s">
        <v>20430</v>
      </c>
      <c r="C7460" s="32" t="s">
        <v>20431</v>
      </c>
      <c r="D7460" s="32" t="s">
        <v>20432</v>
      </c>
    </row>
    <row r="7461" spans="2:4" x14ac:dyDescent="0.3">
      <c r="B7461" s="33" t="s">
        <v>20433</v>
      </c>
      <c r="C7461" s="32" t="s">
        <v>20434</v>
      </c>
      <c r="D7461" s="32" t="s">
        <v>20435</v>
      </c>
    </row>
    <row r="7462" spans="2:4" x14ac:dyDescent="0.3">
      <c r="B7462" s="33" t="s">
        <v>17926</v>
      </c>
      <c r="C7462" s="32" t="s">
        <v>20436</v>
      </c>
      <c r="D7462" s="32" t="s">
        <v>20437</v>
      </c>
    </row>
    <row r="7463" spans="2:4" x14ac:dyDescent="0.3">
      <c r="B7463" s="33" t="s">
        <v>20438</v>
      </c>
      <c r="C7463" s="32" t="s">
        <v>20439</v>
      </c>
      <c r="D7463" s="32" t="s">
        <v>20440</v>
      </c>
    </row>
    <row r="7464" spans="2:4" x14ac:dyDescent="0.3">
      <c r="B7464" s="33" t="s">
        <v>20441</v>
      </c>
      <c r="C7464" s="32" t="s">
        <v>20442</v>
      </c>
      <c r="D7464" s="32" t="s">
        <v>20443</v>
      </c>
    </row>
    <row r="7465" spans="2:4" x14ac:dyDescent="0.3">
      <c r="B7465" s="33" t="s">
        <v>20098</v>
      </c>
      <c r="C7465" s="32" t="s">
        <v>20444</v>
      </c>
      <c r="D7465" s="32" t="s">
        <v>20445</v>
      </c>
    </row>
    <row r="7466" spans="2:4" x14ac:dyDescent="0.3">
      <c r="B7466" s="33" t="s">
        <v>20446</v>
      </c>
      <c r="C7466" s="32" t="s">
        <v>20447</v>
      </c>
      <c r="D7466" s="32" t="s">
        <v>20448</v>
      </c>
    </row>
    <row r="7467" spans="2:4" x14ac:dyDescent="0.3">
      <c r="B7467" s="33" t="s">
        <v>20449</v>
      </c>
      <c r="C7467" s="32" t="s">
        <v>20450</v>
      </c>
      <c r="D7467" s="32" t="s">
        <v>20451</v>
      </c>
    </row>
    <row r="7468" spans="2:4" x14ac:dyDescent="0.3">
      <c r="B7468" s="33" t="s">
        <v>9324</v>
      </c>
      <c r="C7468" s="32" t="s">
        <v>20452</v>
      </c>
      <c r="D7468" s="32" t="s">
        <v>20453</v>
      </c>
    </row>
    <row r="7469" spans="2:4" x14ac:dyDescent="0.3">
      <c r="B7469" s="33" t="s">
        <v>20454</v>
      </c>
      <c r="C7469" s="32" t="s">
        <v>20455</v>
      </c>
      <c r="D7469" s="32" t="s">
        <v>20456</v>
      </c>
    </row>
    <row r="7470" spans="2:4" x14ac:dyDescent="0.3">
      <c r="B7470" s="33" t="s">
        <v>20457</v>
      </c>
      <c r="C7470" s="32" t="s">
        <v>20458</v>
      </c>
      <c r="D7470" s="32" t="s">
        <v>20459</v>
      </c>
    </row>
    <row r="7471" spans="2:4" x14ac:dyDescent="0.3">
      <c r="B7471" s="33" t="s">
        <v>20460</v>
      </c>
      <c r="C7471" s="32" t="s">
        <v>20461</v>
      </c>
      <c r="D7471" s="32" t="s">
        <v>20462</v>
      </c>
    </row>
    <row r="7472" spans="2:4" x14ac:dyDescent="0.3">
      <c r="B7472" s="33" t="s">
        <v>20463</v>
      </c>
      <c r="C7472" s="32" t="s">
        <v>20464</v>
      </c>
      <c r="D7472" s="32" t="s">
        <v>20465</v>
      </c>
    </row>
    <row r="7473" spans="2:4" x14ac:dyDescent="0.3">
      <c r="B7473" s="33" t="s">
        <v>19568</v>
      </c>
      <c r="C7473" s="32" t="s">
        <v>20466</v>
      </c>
      <c r="D7473" s="32" t="s">
        <v>20467</v>
      </c>
    </row>
    <row r="7474" spans="2:4" x14ac:dyDescent="0.3">
      <c r="B7474" s="33" t="s">
        <v>20468</v>
      </c>
      <c r="C7474" s="32" t="s">
        <v>20469</v>
      </c>
      <c r="D7474" s="32" t="s">
        <v>20470</v>
      </c>
    </row>
    <row r="7475" spans="2:4" x14ac:dyDescent="0.3">
      <c r="B7475" s="33" t="s">
        <v>20471</v>
      </c>
      <c r="C7475" s="32" t="s">
        <v>20472</v>
      </c>
      <c r="D7475" s="32" t="s">
        <v>20473</v>
      </c>
    </row>
    <row r="7476" spans="2:4" x14ac:dyDescent="0.3">
      <c r="B7476" s="33" t="s">
        <v>20474</v>
      </c>
      <c r="C7476" s="32" t="s">
        <v>20475</v>
      </c>
      <c r="D7476" s="32" t="s">
        <v>20476</v>
      </c>
    </row>
    <row r="7477" spans="2:4" x14ac:dyDescent="0.3">
      <c r="B7477" s="33" t="s">
        <v>19845</v>
      </c>
      <c r="C7477" s="32" t="s">
        <v>20477</v>
      </c>
      <c r="D7477" s="32" t="s">
        <v>20478</v>
      </c>
    </row>
    <row r="7478" spans="2:4" x14ac:dyDescent="0.3">
      <c r="B7478" s="33" t="s">
        <v>20479</v>
      </c>
      <c r="C7478" s="32" t="s">
        <v>20480</v>
      </c>
      <c r="D7478" s="32" t="s">
        <v>20481</v>
      </c>
    </row>
    <row r="7479" spans="2:4" x14ac:dyDescent="0.3">
      <c r="B7479" s="33" t="s">
        <v>19696</v>
      </c>
      <c r="C7479" s="32" t="s">
        <v>20482</v>
      </c>
      <c r="D7479" s="32" t="s">
        <v>20483</v>
      </c>
    </row>
    <row r="7480" spans="2:4" x14ac:dyDescent="0.3">
      <c r="B7480" s="33" t="s">
        <v>20484</v>
      </c>
      <c r="C7480" s="32" t="s">
        <v>20485</v>
      </c>
      <c r="D7480" s="32" t="s">
        <v>20486</v>
      </c>
    </row>
    <row r="7481" spans="2:4" x14ac:dyDescent="0.3">
      <c r="B7481" s="33" t="s">
        <v>20487</v>
      </c>
      <c r="C7481" s="32" t="s">
        <v>20488</v>
      </c>
      <c r="D7481" s="32" t="s">
        <v>20489</v>
      </c>
    </row>
    <row r="7482" spans="2:4" x14ac:dyDescent="0.3">
      <c r="B7482" s="33" t="s">
        <v>20490</v>
      </c>
      <c r="C7482" s="32" t="s">
        <v>20491</v>
      </c>
      <c r="D7482" s="32" t="s">
        <v>20492</v>
      </c>
    </row>
    <row r="7483" spans="2:4" x14ac:dyDescent="0.3">
      <c r="B7483" s="33" t="s">
        <v>20493</v>
      </c>
      <c r="C7483" s="32" t="s">
        <v>20494</v>
      </c>
      <c r="D7483" s="32" t="s">
        <v>20495</v>
      </c>
    </row>
    <row r="7484" spans="2:4" x14ac:dyDescent="0.3">
      <c r="B7484" s="33" t="s">
        <v>20496</v>
      </c>
      <c r="C7484" s="32" t="s">
        <v>20497</v>
      </c>
      <c r="D7484" s="32" t="s">
        <v>20498</v>
      </c>
    </row>
    <row r="7485" spans="2:4" x14ac:dyDescent="0.3">
      <c r="B7485" s="33" t="s">
        <v>20499</v>
      </c>
      <c r="C7485" s="32" t="s">
        <v>20500</v>
      </c>
      <c r="D7485" s="32" t="s">
        <v>20501</v>
      </c>
    </row>
    <row r="7486" spans="2:4" x14ac:dyDescent="0.3">
      <c r="B7486" s="33" t="s">
        <v>20502</v>
      </c>
      <c r="C7486" s="32" t="s">
        <v>20503</v>
      </c>
      <c r="D7486" s="32" t="s">
        <v>20504</v>
      </c>
    </row>
    <row r="7487" spans="2:4" x14ac:dyDescent="0.3">
      <c r="B7487" s="33" t="s">
        <v>20505</v>
      </c>
      <c r="C7487" s="32" t="s">
        <v>20506</v>
      </c>
      <c r="D7487" s="32" t="s">
        <v>20507</v>
      </c>
    </row>
    <row r="7488" spans="2:4" x14ac:dyDescent="0.3">
      <c r="B7488" s="33" t="s">
        <v>20508</v>
      </c>
      <c r="C7488" s="32" t="s">
        <v>20509</v>
      </c>
      <c r="D7488" s="32" t="s">
        <v>20510</v>
      </c>
    </row>
    <row r="7489" spans="2:4" x14ac:dyDescent="0.3">
      <c r="B7489" s="33" t="s">
        <v>20511</v>
      </c>
      <c r="C7489" s="32" t="s">
        <v>20512</v>
      </c>
      <c r="D7489" s="32" t="s">
        <v>20513</v>
      </c>
    </row>
    <row r="7490" spans="2:4" x14ac:dyDescent="0.3">
      <c r="B7490" s="33" t="s">
        <v>20514</v>
      </c>
      <c r="C7490" s="32" t="s">
        <v>20515</v>
      </c>
      <c r="D7490" s="32" t="s">
        <v>20516</v>
      </c>
    </row>
    <row r="7491" spans="2:4" x14ac:dyDescent="0.3">
      <c r="B7491" s="33" t="s">
        <v>20517</v>
      </c>
      <c r="C7491" s="32" t="s">
        <v>20518</v>
      </c>
      <c r="D7491" s="32" t="s">
        <v>20519</v>
      </c>
    </row>
    <row r="7492" spans="2:4" x14ac:dyDescent="0.3">
      <c r="B7492" s="33" t="s">
        <v>20520</v>
      </c>
      <c r="C7492" s="32" t="s">
        <v>20521</v>
      </c>
      <c r="D7492" s="32" t="s">
        <v>20522</v>
      </c>
    </row>
    <row r="7493" spans="2:4" x14ac:dyDescent="0.3">
      <c r="B7493" s="33" t="s">
        <v>20523</v>
      </c>
      <c r="C7493" s="32" t="s">
        <v>20524</v>
      </c>
      <c r="D7493" s="32" t="s">
        <v>20525</v>
      </c>
    </row>
    <row r="7494" spans="2:4" x14ac:dyDescent="0.3">
      <c r="B7494" s="33" t="s">
        <v>20526</v>
      </c>
      <c r="C7494" s="32" t="s">
        <v>20527</v>
      </c>
      <c r="D7494" s="32" t="s">
        <v>20528</v>
      </c>
    </row>
    <row r="7495" spans="2:4" x14ac:dyDescent="0.3">
      <c r="B7495" s="33" t="s">
        <v>20529</v>
      </c>
      <c r="C7495" s="32" t="s">
        <v>20530</v>
      </c>
      <c r="D7495" s="32" t="s">
        <v>20531</v>
      </c>
    </row>
    <row r="7496" spans="2:4" x14ac:dyDescent="0.3">
      <c r="B7496" s="33" t="s">
        <v>20532</v>
      </c>
      <c r="C7496" s="32" t="s">
        <v>20533</v>
      </c>
      <c r="D7496" s="32" t="s">
        <v>20534</v>
      </c>
    </row>
    <row r="7497" spans="2:4" x14ac:dyDescent="0.3">
      <c r="B7497" s="33" t="s">
        <v>4896</v>
      </c>
      <c r="C7497" s="32" t="s">
        <v>20535</v>
      </c>
      <c r="D7497" s="32" t="s">
        <v>20536</v>
      </c>
    </row>
    <row r="7498" spans="2:4" x14ac:dyDescent="0.3">
      <c r="B7498" s="33" t="s">
        <v>20537</v>
      </c>
      <c r="C7498" s="32" t="s">
        <v>20538</v>
      </c>
      <c r="D7498" s="32" t="s">
        <v>20539</v>
      </c>
    </row>
    <row r="7499" spans="2:4" x14ac:dyDescent="0.3">
      <c r="B7499" s="33" t="s">
        <v>20540</v>
      </c>
      <c r="C7499" s="32" t="s">
        <v>20541</v>
      </c>
      <c r="D7499" s="32" t="s">
        <v>20542</v>
      </c>
    </row>
    <row r="7500" spans="2:4" x14ac:dyDescent="0.3">
      <c r="B7500" s="33" t="s">
        <v>20543</v>
      </c>
      <c r="C7500" s="32" t="s">
        <v>20544</v>
      </c>
      <c r="D7500" s="32" t="s">
        <v>20545</v>
      </c>
    </row>
    <row r="7501" spans="2:4" x14ac:dyDescent="0.3">
      <c r="B7501" s="33" t="s">
        <v>19915</v>
      </c>
      <c r="C7501" s="32" t="s">
        <v>20546</v>
      </c>
      <c r="D7501" s="32" t="s">
        <v>20547</v>
      </c>
    </row>
    <row r="7502" spans="2:4" x14ac:dyDescent="0.3">
      <c r="B7502" s="33" t="s">
        <v>17926</v>
      </c>
      <c r="C7502" s="32" t="s">
        <v>20548</v>
      </c>
      <c r="D7502" s="32" t="s">
        <v>20549</v>
      </c>
    </row>
    <row r="7503" spans="2:4" x14ac:dyDescent="0.3">
      <c r="B7503" s="33" t="s">
        <v>20550</v>
      </c>
      <c r="C7503" s="32" t="s">
        <v>20551</v>
      </c>
      <c r="D7503" s="32" t="s">
        <v>20552</v>
      </c>
    </row>
    <row r="7504" spans="2:4" x14ac:dyDescent="0.3">
      <c r="B7504" s="33" t="s">
        <v>20553</v>
      </c>
      <c r="C7504" s="32" t="s">
        <v>20554</v>
      </c>
      <c r="D7504" s="32" t="s">
        <v>20555</v>
      </c>
    </row>
    <row r="7505" spans="2:4" x14ac:dyDescent="0.3">
      <c r="B7505" s="33" t="s">
        <v>4449</v>
      </c>
      <c r="C7505" s="32" t="s">
        <v>20556</v>
      </c>
      <c r="D7505" s="32" t="s">
        <v>20557</v>
      </c>
    </row>
    <row r="7506" spans="2:4" x14ac:dyDescent="0.3">
      <c r="B7506" s="33" t="s">
        <v>20558</v>
      </c>
      <c r="C7506" s="32" t="s">
        <v>20559</v>
      </c>
      <c r="D7506" s="32" t="s">
        <v>20560</v>
      </c>
    </row>
    <row r="7507" spans="2:4" x14ac:dyDescent="0.3">
      <c r="B7507" s="33" t="s">
        <v>17926</v>
      </c>
      <c r="C7507" s="32" t="s">
        <v>20561</v>
      </c>
      <c r="D7507" s="32" t="s">
        <v>20562</v>
      </c>
    </row>
    <row r="7508" spans="2:4" x14ac:dyDescent="0.3">
      <c r="B7508" s="33" t="s">
        <v>20563</v>
      </c>
      <c r="C7508" s="32" t="s">
        <v>20564</v>
      </c>
      <c r="D7508" s="32" t="s">
        <v>20565</v>
      </c>
    </row>
    <row r="7509" spans="2:4" x14ac:dyDescent="0.3">
      <c r="B7509" s="33" t="s">
        <v>20566</v>
      </c>
      <c r="C7509" s="32" t="s">
        <v>20567</v>
      </c>
      <c r="D7509" s="32" t="s">
        <v>20568</v>
      </c>
    </row>
    <row r="7510" spans="2:4" x14ac:dyDescent="0.3">
      <c r="B7510" s="33" t="s">
        <v>19530</v>
      </c>
      <c r="C7510" s="32" t="s">
        <v>20569</v>
      </c>
      <c r="D7510" s="32" t="s">
        <v>20570</v>
      </c>
    </row>
    <row r="7511" spans="2:4" x14ac:dyDescent="0.3">
      <c r="B7511" s="33" t="s">
        <v>20571</v>
      </c>
      <c r="C7511" s="32" t="s">
        <v>20572</v>
      </c>
      <c r="D7511" s="32" t="s">
        <v>20573</v>
      </c>
    </row>
    <row r="7512" spans="2:4" x14ac:dyDescent="0.3">
      <c r="B7512" s="33" t="s">
        <v>8555</v>
      </c>
      <c r="C7512" s="32" t="s">
        <v>20574</v>
      </c>
      <c r="D7512" s="32" t="s">
        <v>20575</v>
      </c>
    </row>
    <row r="7513" spans="2:4" x14ac:dyDescent="0.3">
      <c r="B7513" s="33" t="s">
        <v>20576</v>
      </c>
      <c r="C7513" s="32" t="s">
        <v>20577</v>
      </c>
      <c r="D7513" s="32" t="s">
        <v>20578</v>
      </c>
    </row>
    <row r="7514" spans="2:4" x14ac:dyDescent="0.3">
      <c r="B7514" s="33" t="s">
        <v>20579</v>
      </c>
      <c r="C7514" s="32" t="s">
        <v>20580</v>
      </c>
      <c r="D7514" s="32" t="s">
        <v>20581</v>
      </c>
    </row>
    <row r="7515" spans="2:4" x14ac:dyDescent="0.3">
      <c r="B7515" s="33" t="s">
        <v>18996</v>
      </c>
      <c r="C7515" s="32" t="s">
        <v>20582</v>
      </c>
      <c r="D7515" s="32" t="s">
        <v>20583</v>
      </c>
    </row>
    <row r="7516" spans="2:4" x14ac:dyDescent="0.3">
      <c r="B7516" s="33" t="s">
        <v>17926</v>
      </c>
      <c r="C7516" s="32" t="s">
        <v>20584</v>
      </c>
      <c r="D7516" s="32" t="s">
        <v>20585</v>
      </c>
    </row>
    <row r="7517" spans="2:4" x14ac:dyDescent="0.3">
      <c r="B7517" s="33" t="s">
        <v>16309</v>
      </c>
      <c r="C7517" s="32" t="s">
        <v>20586</v>
      </c>
      <c r="D7517" s="32" t="s">
        <v>20587</v>
      </c>
    </row>
    <row r="7518" spans="2:4" x14ac:dyDescent="0.3">
      <c r="B7518" s="33" t="s">
        <v>20589</v>
      </c>
      <c r="C7518" s="32" t="s">
        <v>20590</v>
      </c>
      <c r="D7518" s="32" t="s">
        <v>20591</v>
      </c>
    </row>
    <row r="7519" spans="2:4" x14ac:dyDescent="0.3">
      <c r="B7519" s="33" t="s">
        <v>20592</v>
      </c>
      <c r="C7519" s="32" t="s">
        <v>20593</v>
      </c>
      <c r="D7519" s="32" t="s">
        <v>20594</v>
      </c>
    </row>
    <row r="7520" spans="2:4" x14ac:dyDescent="0.3">
      <c r="B7520" s="33" t="s">
        <v>20595</v>
      </c>
      <c r="C7520" s="32" t="s">
        <v>20596</v>
      </c>
      <c r="D7520" s="32" t="s">
        <v>20597</v>
      </c>
    </row>
    <row r="7521" spans="2:4" x14ac:dyDescent="0.3">
      <c r="B7521" s="33" t="s">
        <v>10877</v>
      </c>
      <c r="C7521" s="32" t="s">
        <v>20598</v>
      </c>
      <c r="D7521" s="32" t="s">
        <v>20599</v>
      </c>
    </row>
    <row r="7522" spans="2:4" x14ac:dyDescent="0.3">
      <c r="B7522" s="33" t="s">
        <v>17926</v>
      </c>
      <c r="C7522" s="32" t="s">
        <v>20600</v>
      </c>
      <c r="D7522" s="32" t="s">
        <v>20601</v>
      </c>
    </row>
    <row r="7523" spans="2:4" x14ac:dyDescent="0.3">
      <c r="B7523" s="33" t="s">
        <v>20602</v>
      </c>
      <c r="C7523" s="32" t="s">
        <v>20603</v>
      </c>
      <c r="D7523" s="32" t="s">
        <v>20604</v>
      </c>
    </row>
    <row r="7524" spans="2:4" x14ac:dyDescent="0.3">
      <c r="B7524" s="33" t="s">
        <v>20064</v>
      </c>
      <c r="C7524" s="32" t="s">
        <v>20605</v>
      </c>
      <c r="D7524" s="32" t="s">
        <v>20606</v>
      </c>
    </row>
    <row r="7525" spans="2:4" x14ac:dyDescent="0.3">
      <c r="B7525" s="33" t="s">
        <v>19780</v>
      </c>
      <c r="C7525" s="32" t="s">
        <v>20607</v>
      </c>
      <c r="D7525" s="32" t="s">
        <v>20608</v>
      </c>
    </row>
    <row r="7526" spans="2:4" x14ac:dyDescent="0.3">
      <c r="B7526" s="33" t="s">
        <v>20609</v>
      </c>
      <c r="C7526" s="32" t="s">
        <v>20610</v>
      </c>
      <c r="D7526" s="32" t="s">
        <v>20611</v>
      </c>
    </row>
    <row r="7527" spans="2:4" x14ac:dyDescent="0.3">
      <c r="B7527" s="33" t="s">
        <v>20612</v>
      </c>
      <c r="C7527" s="32" t="s">
        <v>20613</v>
      </c>
      <c r="D7527" s="32" t="s">
        <v>20614</v>
      </c>
    </row>
    <row r="7528" spans="2:4" x14ac:dyDescent="0.3">
      <c r="B7528" s="33" t="s">
        <v>20615</v>
      </c>
      <c r="C7528" s="32" t="s">
        <v>20616</v>
      </c>
      <c r="D7528" s="32" t="s">
        <v>20617</v>
      </c>
    </row>
    <row r="7529" spans="2:4" x14ac:dyDescent="0.3">
      <c r="B7529" s="33" t="s">
        <v>20246</v>
      </c>
      <c r="C7529" s="32" t="s">
        <v>20618</v>
      </c>
      <c r="D7529" s="32" t="s">
        <v>20619</v>
      </c>
    </row>
    <row r="7530" spans="2:4" x14ac:dyDescent="0.3">
      <c r="B7530" s="33" t="s">
        <v>20620</v>
      </c>
      <c r="C7530" s="32" t="s">
        <v>20621</v>
      </c>
      <c r="D7530" s="32" t="s">
        <v>20622</v>
      </c>
    </row>
    <row r="7531" spans="2:4" x14ac:dyDescent="0.3">
      <c r="B7531" s="33" t="s">
        <v>20623</v>
      </c>
      <c r="C7531" s="32" t="s">
        <v>20624</v>
      </c>
      <c r="D7531" s="32" t="s">
        <v>20625</v>
      </c>
    </row>
    <row r="7532" spans="2:4" x14ac:dyDescent="0.3">
      <c r="B7532" s="33" t="s">
        <v>19915</v>
      </c>
      <c r="C7532" s="32" t="s">
        <v>20626</v>
      </c>
      <c r="D7532" s="32" t="s">
        <v>20627</v>
      </c>
    </row>
    <row r="7533" spans="2:4" x14ac:dyDescent="0.3">
      <c r="B7533" s="33" t="s">
        <v>6315</v>
      </c>
      <c r="C7533" s="32" t="s">
        <v>20628</v>
      </c>
      <c r="D7533" s="32" t="s">
        <v>20629</v>
      </c>
    </row>
    <row r="7534" spans="2:4" x14ac:dyDescent="0.3">
      <c r="B7534" s="33" t="s">
        <v>20630</v>
      </c>
      <c r="C7534" s="32" t="s">
        <v>20631</v>
      </c>
      <c r="D7534" s="32" t="s">
        <v>20632</v>
      </c>
    </row>
    <row r="7535" spans="2:4" x14ac:dyDescent="0.3">
      <c r="B7535" s="33" t="s">
        <v>20633</v>
      </c>
      <c r="C7535" s="32" t="s">
        <v>20634</v>
      </c>
      <c r="D7535" s="32" t="s">
        <v>20635</v>
      </c>
    </row>
    <row r="7536" spans="2:4" x14ac:dyDescent="0.3">
      <c r="B7536" s="33" t="s">
        <v>20636</v>
      </c>
      <c r="C7536" s="32" t="s">
        <v>20637</v>
      </c>
      <c r="D7536" s="32" t="s">
        <v>20638</v>
      </c>
    </row>
    <row r="7537" spans="2:4" x14ac:dyDescent="0.3">
      <c r="B7537" s="33" t="s">
        <v>20639</v>
      </c>
      <c r="C7537" s="32" t="s">
        <v>20640</v>
      </c>
      <c r="D7537" s="32" t="s">
        <v>20641</v>
      </c>
    </row>
    <row r="7538" spans="2:4" x14ac:dyDescent="0.3">
      <c r="B7538" s="33" t="s">
        <v>17926</v>
      </c>
      <c r="C7538" s="32" t="s">
        <v>20642</v>
      </c>
      <c r="D7538" s="32" t="s">
        <v>20643</v>
      </c>
    </row>
    <row r="7539" spans="2:4" x14ac:dyDescent="0.3">
      <c r="B7539" s="33" t="s">
        <v>20644</v>
      </c>
      <c r="C7539" s="32" t="s">
        <v>20645</v>
      </c>
      <c r="D7539" s="32" t="s">
        <v>20646</v>
      </c>
    </row>
    <row r="7540" spans="2:4" x14ac:dyDescent="0.3">
      <c r="B7540" s="33" t="s">
        <v>20647</v>
      </c>
      <c r="C7540" s="32" t="s">
        <v>20648</v>
      </c>
      <c r="D7540" s="32" t="s">
        <v>20649</v>
      </c>
    </row>
    <row r="7541" spans="2:4" x14ac:dyDescent="0.3">
      <c r="B7541" s="33" t="s">
        <v>20650</v>
      </c>
      <c r="C7541" s="32" t="s">
        <v>20651</v>
      </c>
      <c r="D7541" s="32" t="s">
        <v>20652</v>
      </c>
    </row>
    <row r="7542" spans="2:4" x14ac:dyDescent="0.3">
      <c r="B7542" s="33" t="s">
        <v>19654</v>
      </c>
      <c r="C7542" s="32" t="s">
        <v>20653</v>
      </c>
      <c r="D7542" s="32" t="s">
        <v>20654</v>
      </c>
    </row>
    <row r="7543" spans="2:4" x14ac:dyDescent="0.3">
      <c r="B7543" s="33" t="s">
        <v>20655</v>
      </c>
      <c r="C7543" s="32" t="s">
        <v>20656</v>
      </c>
      <c r="D7543" s="32" t="s">
        <v>20657</v>
      </c>
    </row>
    <row r="7544" spans="2:4" x14ac:dyDescent="0.3">
      <c r="B7544" s="33" t="s">
        <v>20658</v>
      </c>
      <c r="C7544" s="32" t="s">
        <v>20659</v>
      </c>
      <c r="D7544" s="32" t="s">
        <v>20660</v>
      </c>
    </row>
    <row r="7545" spans="2:4" x14ac:dyDescent="0.3">
      <c r="B7545" s="33" t="s">
        <v>20661</v>
      </c>
      <c r="C7545" s="32" t="s">
        <v>20662</v>
      </c>
      <c r="D7545" s="32" t="s">
        <v>20663</v>
      </c>
    </row>
    <row r="7546" spans="2:4" x14ac:dyDescent="0.3">
      <c r="B7546" s="33" t="s">
        <v>20664</v>
      </c>
      <c r="C7546" s="32" t="s">
        <v>20665</v>
      </c>
      <c r="D7546" s="32" t="s">
        <v>20666</v>
      </c>
    </row>
    <row r="7547" spans="2:4" x14ac:dyDescent="0.3">
      <c r="B7547" s="33" t="s">
        <v>20268</v>
      </c>
      <c r="C7547" s="32" t="s">
        <v>20667</v>
      </c>
      <c r="D7547" s="32" t="s">
        <v>20668</v>
      </c>
    </row>
    <row r="7548" spans="2:4" x14ac:dyDescent="0.3">
      <c r="B7548" s="33" t="s">
        <v>20669</v>
      </c>
      <c r="C7548" s="32" t="s">
        <v>20670</v>
      </c>
      <c r="D7548" s="32" t="s">
        <v>20671</v>
      </c>
    </row>
    <row r="7549" spans="2:4" x14ac:dyDescent="0.3">
      <c r="B7549" s="33" t="s">
        <v>20673</v>
      </c>
      <c r="C7549" s="32" t="s">
        <v>20674</v>
      </c>
      <c r="D7549" s="32" t="s">
        <v>20675</v>
      </c>
    </row>
    <row r="7550" spans="2:4" x14ac:dyDescent="0.3">
      <c r="B7550" s="33" t="s">
        <v>20676</v>
      </c>
      <c r="C7550" s="32" t="s">
        <v>20677</v>
      </c>
      <c r="D7550" s="32" t="s">
        <v>20678</v>
      </c>
    </row>
    <row r="7551" spans="2:4" x14ac:dyDescent="0.3">
      <c r="B7551" s="33" t="s">
        <v>19668</v>
      </c>
      <c r="C7551" s="32" t="s">
        <v>20679</v>
      </c>
      <c r="D7551" s="32" t="s">
        <v>20680</v>
      </c>
    </row>
    <row r="7552" spans="2:4" x14ac:dyDescent="0.3">
      <c r="B7552" s="33" t="s">
        <v>20681</v>
      </c>
      <c r="C7552" s="32" t="s">
        <v>20682</v>
      </c>
      <c r="D7552" s="32" t="s">
        <v>36741</v>
      </c>
    </row>
    <row r="7553" spans="2:4" x14ac:dyDescent="0.3">
      <c r="B7553" s="33" t="s">
        <v>20683</v>
      </c>
      <c r="C7553" s="32" t="s">
        <v>20684</v>
      </c>
      <c r="D7553" s="32" t="s">
        <v>20685</v>
      </c>
    </row>
    <row r="7554" spans="2:4" x14ac:dyDescent="0.3">
      <c r="B7554" s="33" t="s">
        <v>17926</v>
      </c>
      <c r="C7554" s="32" t="s">
        <v>20686</v>
      </c>
      <c r="D7554" s="32" t="s">
        <v>20687</v>
      </c>
    </row>
    <row r="7555" spans="2:4" x14ac:dyDescent="0.3">
      <c r="B7555" s="33" t="s">
        <v>13827</v>
      </c>
      <c r="C7555" s="32" t="s">
        <v>20688</v>
      </c>
      <c r="D7555" s="32" t="s">
        <v>20689</v>
      </c>
    </row>
    <row r="7556" spans="2:4" x14ac:dyDescent="0.3">
      <c r="B7556" s="33" t="s">
        <v>20690</v>
      </c>
      <c r="C7556" s="32" t="s">
        <v>20691</v>
      </c>
      <c r="D7556" s="32" t="s">
        <v>20692</v>
      </c>
    </row>
    <row r="7557" spans="2:4" x14ac:dyDescent="0.3">
      <c r="B7557" s="33" t="s">
        <v>8725</v>
      </c>
      <c r="C7557" s="32" t="s">
        <v>20693</v>
      </c>
      <c r="D7557" s="32" t="s">
        <v>20694</v>
      </c>
    </row>
    <row r="7558" spans="2:4" x14ac:dyDescent="0.3">
      <c r="B7558" s="33" t="s">
        <v>20695</v>
      </c>
      <c r="C7558" s="32" t="s">
        <v>20696</v>
      </c>
      <c r="D7558" s="32" t="s">
        <v>20697</v>
      </c>
    </row>
    <row r="7559" spans="2:4" x14ac:dyDescent="0.3">
      <c r="B7559" s="33" t="s">
        <v>20698</v>
      </c>
      <c r="C7559" s="32" t="s">
        <v>20699</v>
      </c>
      <c r="D7559" s="32" t="s">
        <v>20700</v>
      </c>
    </row>
    <row r="7560" spans="2:4" x14ac:dyDescent="0.3">
      <c r="B7560" s="33" t="s">
        <v>20701</v>
      </c>
      <c r="C7560" s="32" t="s">
        <v>20702</v>
      </c>
      <c r="D7560" s="32" t="s">
        <v>20703</v>
      </c>
    </row>
    <row r="7561" spans="2:4" x14ac:dyDescent="0.3">
      <c r="B7561" s="33" t="s">
        <v>20704</v>
      </c>
      <c r="C7561" s="32" t="s">
        <v>20705</v>
      </c>
      <c r="D7561" s="32" t="s">
        <v>20706</v>
      </c>
    </row>
    <row r="7562" spans="2:4" x14ac:dyDescent="0.3">
      <c r="B7562" s="33" t="s">
        <v>20707</v>
      </c>
      <c r="C7562" s="32" t="s">
        <v>20708</v>
      </c>
      <c r="D7562" s="32" t="s">
        <v>20709</v>
      </c>
    </row>
    <row r="7563" spans="2:4" x14ac:dyDescent="0.3">
      <c r="B7563" s="33" t="s">
        <v>7243</v>
      </c>
      <c r="C7563" s="32" t="s">
        <v>20710</v>
      </c>
      <c r="D7563" s="32" t="s">
        <v>20711</v>
      </c>
    </row>
    <row r="7564" spans="2:4" x14ac:dyDescent="0.3">
      <c r="B7564" s="33" t="s">
        <v>20712</v>
      </c>
      <c r="C7564" s="32" t="s">
        <v>20713</v>
      </c>
      <c r="D7564" s="32" t="s">
        <v>20714</v>
      </c>
    </row>
    <row r="7565" spans="2:4" x14ac:dyDescent="0.3">
      <c r="B7565" s="33" t="s">
        <v>20715</v>
      </c>
      <c r="C7565" s="32" t="s">
        <v>20716</v>
      </c>
      <c r="D7565" s="32" t="s">
        <v>20717</v>
      </c>
    </row>
    <row r="7566" spans="2:4" x14ac:dyDescent="0.3">
      <c r="B7566" s="33" t="s">
        <v>20718</v>
      </c>
      <c r="C7566" s="32" t="s">
        <v>20719</v>
      </c>
      <c r="D7566" s="32" t="s">
        <v>20720</v>
      </c>
    </row>
    <row r="7567" spans="2:4" x14ac:dyDescent="0.3">
      <c r="B7567" s="33" t="s">
        <v>20721</v>
      </c>
      <c r="C7567" s="32" t="s">
        <v>20722</v>
      </c>
      <c r="D7567" s="32" t="s">
        <v>20723</v>
      </c>
    </row>
    <row r="7568" spans="2:4" x14ac:dyDescent="0.3">
      <c r="B7568" s="33" t="s">
        <v>20724</v>
      </c>
      <c r="C7568" s="32" t="s">
        <v>20725</v>
      </c>
      <c r="D7568" s="32" t="s">
        <v>20726</v>
      </c>
    </row>
    <row r="7569" spans="2:4" x14ac:dyDescent="0.3">
      <c r="B7569" s="33" t="s">
        <v>20727</v>
      </c>
      <c r="C7569" s="32" t="s">
        <v>20728</v>
      </c>
      <c r="D7569" s="32" t="s">
        <v>20729</v>
      </c>
    </row>
    <row r="7570" spans="2:4" x14ac:dyDescent="0.3">
      <c r="B7570" s="33" t="s">
        <v>20730</v>
      </c>
      <c r="C7570" s="32" t="s">
        <v>20731</v>
      </c>
      <c r="D7570" s="32" t="s">
        <v>20732</v>
      </c>
    </row>
    <row r="7571" spans="2:4" x14ac:dyDescent="0.3">
      <c r="B7571" s="33" t="s">
        <v>20733</v>
      </c>
      <c r="C7571" s="32" t="s">
        <v>20734</v>
      </c>
      <c r="D7571" s="32" t="s">
        <v>20735</v>
      </c>
    </row>
    <row r="7572" spans="2:4" x14ac:dyDescent="0.3">
      <c r="B7572" s="33" t="s">
        <v>20736</v>
      </c>
      <c r="C7572" s="32" t="s">
        <v>20737</v>
      </c>
      <c r="D7572" s="32" t="s">
        <v>20738</v>
      </c>
    </row>
    <row r="7573" spans="2:4" x14ac:dyDescent="0.3">
      <c r="B7573" s="33" t="s">
        <v>20739</v>
      </c>
      <c r="C7573" s="32" t="s">
        <v>20740</v>
      </c>
      <c r="D7573" s="32" t="s">
        <v>20741</v>
      </c>
    </row>
    <row r="7574" spans="2:4" x14ac:dyDescent="0.3">
      <c r="B7574" s="33" t="s">
        <v>20742</v>
      </c>
      <c r="C7574" s="32" t="s">
        <v>20743</v>
      </c>
      <c r="D7574" s="32" t="s">
        <v>20744</v>
      </c>
    </row>
    <row r="7575" spans="2:4" x14ac:dyDescent="0.3">
      <c r="B7575" s="33" t="s">
        <v>20745</v>
      </c>
      <c r="C7575" s="32" t="s">
        <v>20746</v>
      </c>
      <c r="D7575" s="32" t="s">
        <v>20747</v>
      </c>
    </row>
    <row r="7576" spans="2:4" x14ac:dyDescent="0.3">
      <c r="B7576" s="33" t="s">
        <v>20748</v>
      </c>
      <c r="C7576" s="32" t="s">
        <v>20749</v>
      </c>
      <c r="D7576" s="32" t="s">
        <v>20750</v>
      </c>
    </row>
    <row r="7577" spans="2:4" x14ac:dyDescent="0.3">
      <c r="B7577" s="33" t="s">
        <v>20751</v>
      </c>
      <c r="C7577" s="32" t="s">
        <v>20752</v>
      </c>
      <c r="D7577" s="32" t="s">
        <v>20753</v>
      </c>
    </row>
    <row r="7578" spans="2:4" x14ac:dyDescent="0.3">
      <c r="B7578" s="33" t="s">
        <v>20748</v>
      </c>
      <c r="C7578" s="32" t="s">
        <v>20754</v>
      </c>
      <c r="D7578" s="32" t="s">
        <v>20755</v>
      </c>
    </row>
    <row r="7579" spans="2:4" x14ac:dyDescent="0.3">
      <c r="B7579" s="33" t="s">
        <v>8674</v>
      </c>
      <c r="C7579" s="32" t="s">
        <v>20756</v>
      </c>
      <c r="D7579" s="32" t="s">
        <v>20757</v>
      </c>
    </row>
    <row r="7580" spans="2:4" x14ac:dyDescent="0.3">
      <c r="B7580" s="33" t="s">
        <v>20758</v>
      </c>
      <c r="C7580" s="32" t="s">
        <v>20759</v>
      </c>
      <c r="D7580" s="32" t="s">
        <v>20760</v>
      </c>
    </row>
    <row r="7581" spans="2:4" x14ac:dyDescent="0.3">
      <c r="B7581" s="33" t="s">
        <v>20761</v>
      </c>
      <c r="C7581" s="32" t="s">
        <v>20762</v>
      </c>
      <c r="D7581" s="32" t="s">
        <v>20763</v>
      </c>
    </row>
    <row r="7582" spans="2:4" x14ac:dyDescent="0.3">
      <c r="B7582" s="33" t="s">
        <v>19819</v>
      </c>
      <c r="C7582" s="32" t="s">
        <v>20764</v>
      </c>
      <c r="D7582" s="32" t="s">
        <v>20765</v>
      </c>
    </row>
    <row r="7583" spans="2:4" x14ac:dyDescent="0.3">
      <c r="B7583" s="33" t="s">
        <v>20739</v>
      </c>
      <c r="C7583" s="32" t="s">
        <v>20766</v>
      </c>
      <c r="D7583" s="32" t="s">
        <v>20767</v>
      </c>
    </row>
    <row r="7584" spans="2:4" x14ac:dyDescent="0.3">
      <c r="B7584" s="33" t="s">
        <v>20768</v>
      </c>
      <c r="C7584" s="32" t="s">
        <v>20769</v>
      </c>
      <c r="D7584" s="32" t="s">
        <v>20770</v>
      </c>
    </row>
    <row r="7585" spans="2:4" x14ac:dyDescent="0.3">
      <c r="B7585" s="33" t="s">
        <v>20771</v>
      </c>
      <c r="C7585" s="32" t="s">
        <v>20772</v>
      </c>
      <c r="D7585" s="32" t="s">
        <v>20773</v>
      </c>
    </row>
    <row r="7586" spans="2:4" x14ac:dyDescent="0.3">
      <c r="B7586" s="33" t="s">
        <v>20774</v>
      </c>
      <c r="C7586" s="32" t="s">
        <v>20775</v>
      </c>
      <c r="D7586" s="32" t="s">
        <v>20776</v>
      </c>
    </row>
    <row r="7587" spans="2:4" x14ac:dyDescent="0.3">
      <c r="B7587" s="33" t="s">
        <v>20777</v>
      </c>
      <c r="C7587" s="32" t="s">
        <v>20778</v>
      </c>
      <c r="D7587" s="32" t="s">
        <v>20779</v>
      </c>
    </row>
    <row r="7588" spans="2:4" x14ac:dyDescent="0.3">
      <c r="B7588" s="33" t="s">
        <v>20780</v>
      </c>
      <c r="C7588" s="32" t="s">
        <v>20781</v>
      </c>
      <c r="D7588" s="32" t="s">
        <v>20782</v>
      </c>
    </row>
    <row r="7589" spans="2:4" x14ac:dyDescent="0.3">
      <c r="B7589" s="33" t="s">
        <v>20742</v>
      </c>
      <c r="C7589" s="32" t="s">
        <v>20783</v>
      </c>
      <c r="D7589" s="32" t="s">
        <v>20784</v>
      </c>
    </row>
    <row r="7590" spans="2:4" x14ac:dyDescent="0.3">
      <c r="B7590" s="33" t="s">
        <v>20785</v>
      </c>
      <c r="C7590" s="32" t="s">
        <v>20786</v>
      </c>
      <c r="D7590" s="32" t="s">
        <v>20787</v>
      </c>
    </row>
    <row r="7591" spans="2:4" x14ac:dyDescent="0.3">
      <c r="B7591" s="33" t="s">
        <v>20788</v>
      </c>
      <c r="C7591" s="32" t="s">
        <v>20789</v>
      </c>
      <c r="D7591" s="32" t="s">
        <v>20790</v>
      </c>
    </row>
    <row r="7592" spans="2:4" x14ac:dyDescent="0.3">
      <c r="B7592" s="33" t="s">
        <v>20791</v>
      </c>
      <c r="C7592" s="32" t="s">
        <v>20792</v>
      </c>
      <c r="D7592" s="32" t="s">
        <v>20793</v>
      </c>
    </row>
    <row r="7593" spans="2:4" x14ac:dyDescent="0.3">
      <c r="B7593" s="33" t="s">
        <v>20794</v>
      </c>
      <c r="C7593" s="32" t="s">
        <v>20795</v>
      </c>
      <c r="D7593" s="32" t="s">
        <v>20796</v>
      </c>
    </row>
    <row r="7594" spans="2:4" x14ac:dyDescent="0.3">
      <c r="B7594" s="33" t="s">
        <v>20797</v>
      </c>
      <c r="C7594" s="32" t="s">
        <v>20798</v>
      </c>
      <c r="D7594" s="32" t="s">
        <v>20799</v>
      </c>
    </row>
    <row r="7595" spans="2:4" x14ac:dyDescent="0.3">
      <c r="B7595" s="33" t="s">
        <v>20800</v>
      </c>
      <c r="C7595" s="32" t="s">
        <v>20801</v>
      </c>
      <c r="D7595" s="32" t="s">
        <v>20802</v>
      </c>
    </row>
    <row r="7596" spans="2:4" x14ac:dyDescent="0.3">
      <c r="B7596" s="33" t="s">
        <v>20803</v>
      </c>
      <c r="C7596" s="32" t="s">
        <v>20804</v>
      </c>
      <c r="D7596" s="32" t="s">
        <v>20805</v>
      </c>
    </row>
    <row r="7597" spans="2:4" x14ac:dyDescent="0.3">
      <c r="B7597" s="33" t="s">
        <v>20806</v>
      </c>
      <c r="C7597" s="32" t="s">
        <v>20807</v>
      </c>
      <c r="D7597" s="32" t="s">
        <v>20808</v>
      </c>
    </row>
    <row r="7598" spans="2:4" x14ac:dyDescent="0.3">
      <c r="B7598" s="33" t="s">
        <v>20809</v>
      </c>
      <c r="C7598" s="32" t="s">
        <v>20810</v>
      </c>
      <c r="D7598" s="32" t="s">
        <v>20811</v>
      </c>
    </row>
    <row r="7599" spans="2:4" x14ac:dyDescent="0.3">
      <c r="B7599" s="33" t="s">
        <v>18341</v>
      </c>
      <c r="C7599" s="32" t="s">
        <v>20812</v>
      </c>
      <c r="D7599" s="32" t="s">
        <v>20813</v>
      </c>
    </row>
    <row r="7600" spans="2:4" x14ac:dyDescent="0.3">
      <c r="B7600" s="33" t="s">
        <v>20814</v>
      </c>
      <c r="C7600" s="32" t="s">
        <v>20815</v>
      </c>
      <c r="D7600" s="32" t="s">
        <v>20816</v>
      </c>
    </row>
    <row r="7601" spans="2:4" x14ac:dyDescent="0.3">
      <c r="B7601" s="33" t="s">
        <v>19929</v>
      </c>
      <c r="C7601" s="32" t="s">
        <v>20817</v>
      </c>
      <c r="D7601" s="32" t="s">
        <v>20818</v>
      </c>
    </row>
    <row r="7602" spans="2:4" x14ac:dyDescent="0.3">
      <c r="B7602" s="33" t="s">
        <v>20819</v>
      </c>
      <c r="C7602" s="32" t="s">
        <v>20820</v>
      </c>
      <c r="D7602" s="32" t="s">
        <v>20821</v>
      </c>
    </row>
    <row r="7603" spans="2:4" x14ac:dyDescent="0.3">
      <c r="B7603" s="33" t="s">
        <v>20644</v>
      </c>
      <c r="C7603" s="32" t="s">
        <v>20822</v>
      </c>
      <c r="D7603" s="32" t="s">
        <v>20823</v>
      </c>
    </row>
    <row r="7604" spans="2:4" x14ac:dyDescent="0.3">
      <c r="B7604" s="33" t="s">
        <v>20824</v>
      </c>
      <c r="C7604" s="32" t="s">
        <v>20825</v>
      </c>
      <c r="D7604" s="32" t="s">
        <v>20826</v>
      </c>
    </row>
    <row r="7605" spans="2:4" x14ac:dyDescent="0.3">
      <c r="B7605" s="33" t="s">
        <v>20827</v>
      </c>
      <c r="C7605" s="32" t="s">
        <v>20828</v>
      </c>
      <c r="D7605" s="32" t="s">
        <v>20829</v>
      </c>
    </row>
    <row r="7606" spans="2:4" x14ac:dyDescent="0.3">
      <c r="B7606" s="33" t="s">
        <v>19754</v>
      </c>
      <c r="C7606" s="32" t="s">
        <v>20830</v>
      </c>
      <c r="D7606" s="32" t="s">
        <v>20831</v>
      </c>
    </row>
    <row r="7607" spans="2:4" x14ac:dyDescent="0.3">
      <c r="B7607" s="33" t="s">
        <v>20832</v>
      </c>
      <c r="C7607" s="32" t="s">
        <v>20833</v>
      </c>
      <c r="D7607" s="32" t="s">
        <v>20834</v>
      </c>
    </row>
    <row r="7608" spans="2:4" x14ac:dyDescent="0.3">
      <c r="B7608" s="33" t="s">
        <v>10288</v>
      </c>
      <c r="C7608" s="32" t="s">
        <v>20835</v>
      </c>
      <c r="D7608" s="32" t="s">
        <v>20836</v>
      </c>
    </row>
    <row r="7609" spans="2:4" x14ac:dyDescent="0.3">
      <c r="B7609" s="33" t="s">
        <v>20837</v>
      </c>
      <c r="C7609" s="32" t="s">
        <v>20838</v>
      </c>
      <c r="D7609" s="32" t="s">
        <v>20839</v>
      </c>
    </row>
    <row r="7610" spans="2:4" x14ac:dyDescent="0.3">
      <c r="B7610" s="33" t="s">
        <v>20840</v>
      </c>
      <c r="C7610" s="32" t="s">
        <v>20841</v>
      </c>
      <c r="D7610" s="32" t="s">
        <v>20842</v>
      </c>
    </row>
    <row r="7611" spans="2:4" x14ac:dyDescent="0.3">
      <c r="B7611" s="33" t="s">
        <v>20843</v>
      </c>
      <c r="C7611" s="32" t="s">
        <v>20844</v>
      </c>
      <c r="D7611" s="32" t="s">
        <v>20845</v>
      </c>
    </row>
    <row r="7612" spans="2:4" x14ac:dyDescent="0.3">
      <c r="B7612" s="33" t="s">
        <v>20846</v>
      </c>
      <c r="C7612" s="32" t="s">
        <v>20847</v>
      </c>
      <c r="D7612" s="32" t="s">
        <v>20848</v>
      </c>
    </row>
    <row r="7613" spans="2:4" x14ac:dyDescent="0.3">
      <c r="B7613" s="33" t="s">
        <v>20849</v>
      </c>
      <c r="C7613" s="32" t="s">
        <v>20850</v>
      </c>
      <c r="D7613" s="32" t="s">
        <v>20851</v>
      </c>
    </row>
    <row r="7614" spans="2:4" x14ac:dyDescent="0.3">
      <c r="B7614" s="33" t="s">
        <v>20303</v>
      </c>
      <c r="C7614" s="32" t="s">
        <v>20852</v>
      </c>
      <c r="D7614" s="32" t="s">
        <v>20853</v>
      </c>
    </row>
    <row r="7615" spans="2:4" x14ac:dyDescent="0.3">
      <c r="B7615" s="33" t="s">
        <v>20854</v>
      </c>
      <c r="C7615" s="32" t="s">
        <v>20855</v>
      </c>
      <c r="D7615" s="32" t="s">
        <v>20856</v>
      </c>
    </row>
    <row r="7616" spans="2:4" x14ac:dyDescent="0.3">
      <c r="B7616" s="33" t="s">
        <v>17926</v>
      </c>
      <c r="C7616" s="32" t="s">
        <v>20857</v>
      </c>
      <c r="D7616" s="32" t="s">
        <v>20858</v>
      </c>
    </row>
    <row r="7617" spans="2:4" x14ac:dyDescent="0.3">
      <c r="B7617" s="33" t="s">
        <v>20859</v>
      </c>
      <c r="C7617" s="32" t="s">
        <v>20860</v>
      </c>
      <c r="D7617" s="32" t="s">
        <v>20861</v>
      </c>
    </row>
    <row r="7618" spans="2:4" x14ac:dyDescent="0.3">
      <c r="B7618" s="33" t="s">
        <v>15519</v>
      </c>
      <c r="C7618" s="32" t="s">
        <v>20862</v>
      </c>
      <c r="D7618" s="32" t="s">
        <v>20863</v>
      </c>
    </row>
    <row r="7619" spans="2:4" x14ac:dyDescent="0.3">
      <c r="B7619" s="33" t="s">
        <v>17926</v>
      </c>
      <c r="C7619" s="32" t="s">
        <v>20864</v>
      </c>
      <c r="D7619" s="32" t="s">
        <v>20865</v>
      </c>
    </row>
    <row r="7620" spans="2:4" x14ac:dyDescent="0.3">
      <c r="B7620" s="33" t="s">
        <v>20866</v>
      </c>
      <c r="C7620" s="32" t="s">
        <v>20867</v>
      </c>
      <c r="D7620" s="32" t="s">
        <v>20868</v>
      </c>
    </row>
    <row r="7621" spans="2:4" x14ac:dyDescent="0.3">
      <c r="B7621" s="33" t="s">
        <v>20869</v>
      </c>
      <c r="C7621" s="32" t="s">
        <v>20870</v>
      </c>
      <c r="D7621" s="32" t="s">
        <v>20871</v>
      </c>
    </row>
    <row r="7622" spans="2:4" x14ac:dyDescent="0.3">
      <c r="B7622" s="33" t="s">
        <v>20872</v>
      </c>
      <c r="C7622" s="32" t="s">
        <v>20873</v>
      </c>
      <c r="D7622" s="32" t="s">
        <v>20874</v>
      </c>
    </row>
    <row r="7623" spans="2:4" x14ac:dyDescent="0.3">
      <c r="B7623" s="33" t="s">
        <v>20875</v>
      </c>
      <c r="C7623" s="32" t="s">
        <v>20876</v>
      </c>
      <c r="D7623" s="32" t="s">
        <v>20876</v>
      </c>
    </row>
    <row r="7624" spans="2:4" x14ac:dyDescent="0.3">
      <c r="B7624" s="33" t="s">
        <v>20877</v>
      </c>
      <c r="C7624" s="32" t="s">
        <v>20878</v>
      </c>
      <c r="D7624" s="32" t="s">
        <v>20879</v>
      </c>
    </row>
    <row r="7625" spans="2:4" x14ac:dyDescent="0.3">
      <c r="B7625" s="33" t="s">
        <v>20880</v>
      </c>
      <c r="C7625" s="32" t="s">
        <v>20881</v>
      </c>
      <c r="D7625" s="32" t="s">
        <v>20882</v>
      </c>
    </row>
    <row r="7626" spans="2:4" x14ac:dyDescent="0.3">
      <c r="B7626" s="33" t="s">
        <v>20883</v>
      </c>
      <c r="C7626" s="32" t="s">
        <v>20884</v>
      </c>
      <c r="D7626" s="32" t="s">
        <v>20885</v>
      </c>
    </row>
    <row r="7627" spans="2:4" x14ac:dyDescent="0.3">
      <c r="B7627" s="33" t="s">
        <v>20886</v>
      </c>
      <c r="C7627" s="32" t="s">
        <v>20887</v>
      </c>
      <c r="D7627" s="32" t="s">
        <v>20888</v>
      </c>
    </row>
    <row r="7628" spans="2:4" x14ac:dyDescent="0.3">
      <c r="B7628" s="33" t="s">
        <v>19845</v>
      </c>
      <c r="C7628" s="32" t="s">
        <v>20889</v>
      </c>
      <c r="D7628" s="32" t="s">
        <v>20890</v>
      </c>
    </row>
    <row r="7629" spans="2:4" x14ac:dyDescent="0.3">
      <c r="B7629" s="33" t="s">
        <v>20891</v>
      </c>
      <c r="C7629" s="32" t="s">
        <v>20892</v>
      </c>
      <c r="D7629" s="32" t="s">
        <v>20893</v>
      </c>
    </row>
    <row r="7630" spans="2:4" x14ac:dyDescent="0.3">
      <c r="B7630" s="33" t="s">
        <v>20894</v>
      </c>
      <c r="C7630" s="32" t="s">
        <v>20895</v>
      </c>
      <c r="D7630" s="32" t="s">
        <v>20896</v>
      </c>
    </row>
    <row r="7631" spans="2:4" x14ac:dyDescent="0.3">
      <c r="B7631" s="33" t="s">
        <v>20897</v>
      </c>
      <c r="C7631" s="32" t="s">
        <v>20898</v>
      </c>
      <c r="D7631" s="32" t="s">
        <v>20899</v>
      </c>
    </row>
    <row r="7632" spans="2:4" x14ac:dyDescent="0.3">
      <c r="B7632" s="33" t="s">
        <v>20900</v>
      </c>
      <c r="C7632" s="32" t="s">
        <v>20901</v>
      </c>
      <c r="D7632" s="32" t="s">
        <v>20902</v>
      </c>
    </row>
    <row r="7633" spans="2:4" x14ac:dyDescent="0.3">
      <c r="B7633" s="33" t="s">
        <v>20903</v>
      </c>
      <c r="C7633" s="32" t="s">
        <v>20904</v>
      </c>
      <c r="D7633" s="32" t="s">
        <v>20905</v>
      </c>
    </row>
    <row r="7634" spans="2:4" x14ac:dyDescent="0.3">
      <c r="B7634" s="33" t="s">
        <v>20906</v>
      </c>
      <c r="C7634" s="32" t="s">
        <v>20907</v>
      </c>
      <c r="D7634" s="32" t="s">
        <v>20908</v>
      </c>
    </row>
    <row r="7635" spans="2:4" x14ac:dyDescent="0.3">
      <c r="B7635" s="33" t="s">
        <v>20909</v>
      </c>
      <c r="C7635" s="32" t="s">
        <v>20910</v>
      </c>
      <c r="D7635" s="32" t="s">
        <v>20911</v>
      </c>
    </row>
    <row r="7636" spans="2:4" x14ac:dyDescent="0.3">
      <c r="B7636" s="33" t="s">
        <v>20912</v>
      </c>
      <c r="C7636" s="32" t="s">
        <v>20913</v>
      </c>
      <c r="D7636" s="32" t="s">
        <v>20914</v>
      </c>
    </row>
    <row r="7637" spans="2:4" x14ac:dyDescent="0.3">
      <c r="B7637" s="33" t="s">
        <v>20915</v>
      </c>
      <c r="C7637" s="32" t="s">
        <v>20916</v>
      </c>
      <c r="D7637" s="32" t="s">
        <v>20917</v>
      </c>
    </row>
    <row r="7638" spans="2:4" x14ac:dyDescent="0.3">
      <c r="B7638" s="33" t="s">
        <v>17926</v>
      </c>
      <c r="C7638" s="32" t="s">
        <v>20918</v>
      </c>
      <c r="D7638" s="32" t="s">
        <v>20919</v>
      </c>
    </row>
    <row r="7639" spans="2:4" x14ac:dyDescent="0.3">
      <c r="B7639" s="33" t="s">
        <v>20920</v>
      </c>
      <c r="C7639" s="32" t="s">
        <v>20921</v>
      </c>
      <c r="D7639" s="32" t="s">
        <v>20922</v>
      </c>
    </row>
    <row r="7640" spans="2:4" x14ac:dyDescent="0.3">
      <c r="B7640" s="33" t="s">
        <v>20923</v>
      </c>
      <c r="C7640" s="32" t="s">
        <v>20924</v>
      </c>
      <c r="D7640" s="32" t="s">
        <v>20925</v>
      </c>
    </row>
    <row r="7641" spans="2:4" x14ac:dyDescent="0.3">
      <c r="B7641" s="33" t="s">
        <v>20926</v>
      </c>
      <c r="C7641" s="32" t="s">
        <v>20927</v>
      </c>
      <c r="D7641" s="32" t="s">
        <v>20928</v>
      </c>
    </row>
    <row r="7642" spans="2:4" x14ac:dyDescent="0.3">
      <c r="B7642" s="33" t="s">
        <v>20929</v>
      </c>
      <c r="C7642" s="32" t="s">
        <v>20930</v>
      </c>
      <c r="D7642" s="32" t="s">
        <v>20931</v>
      </c>
    </row>
    <row r="7643" spans="2:4" x14ac:dyDescent="0.3">
      <c r="B7643" s="33" t="s">
        <v>20932</v>
      </c>
      <c r="C7643" s="32" t="s">
        <v>20933</v>
      </c>
      <c r="D7643" s="32" t="s">
        <v>20934</v>
      </c>
    </row>
    <row r="7644" spans="2:4" x14ac:dyDescent="0.3">
      <c r="B7644" s="33" t="s">
        <v>19696</v>
      </c>
      <c r="C7644" s="32" t="s">
        <v>37278</v>
      </c>
      <c r="D7644" s="32" t="s">
        <v>37279</v>
      </c>
    </row>
    <row r="7645" spans="2:4" x14ac:dyDescent="0.3">
      <c r="B7645" s="33" t="s">
        <v>20935</v>
      </c>
      <c r="C7645" s="32" t="s">
        <v>20936</v>
      </c>
      <c r="D7645" s="32" t="s">
        <v>20937</v>
      </c>
    </row>
    <row r="7646" spans="2:4" x14ac:dyDescent="0.3">
      <c r="B7646" s="33" t="s">
        <v>20742</v>
      </c>
      <c r="C7646" s="32" t="s">
        <v>20938</v>
      </c>
      <c r="D7646" s="32" t="s">
        <v>20939</v>
      </c>
    </row>
    <row r="7647" spans="2:4" x14ac:dyDescent="0.3">
      <c r="B7647" s="33" t="s">
        <v>20940</v>
      </c>
      <c r="C7647" s="32" t="s">
        <v>20941</v>
      </c>
      <c r="D7647" s="32" t="s">
        <v>20942</v>
      </c>
    </row>
    <row r="7648" spans="2:4" x14ac:dyDescent="0.3">
      <c r="B7648" s="33" t="s">
        <v>20943</v>
      </c>
      <c r="C7648" s="32" t="s">
        <v>20944</v>
      </c>
      <c r="D7648" s="32" t="s">
        <v>20945</v>
      </c>
    </row>
    <row r="7649" spans="2:4" x14ac:dyDescent="0.3">
      <c r="B7649" s="33" t="s">
        <v>20499</v>
      </c>
      <c r="C7649" s="32" t="s">
        <v>20946</v>
      </c>
      <c r="D7649" s="32" t="s">
        <v>20947</v>
      </c>
    </row>
    <row r="7650" spans="2:4" x14ac:dyDescent="0.3">
      <c r="B7650" s="33" t="s">
        <v>20948</v>
      </c>
      <c r="C7650" s="32" t="s">
        <v>20949</v>
      </c>
      <c r="D7650" s="32" t="s">
        <v>20950</v>
      </c>
    </row>
    <row r="7651" spans="2:4" x14ac:dyDescent="0.3">
      <c r="B7651" s="33" t="s">
        <v>20951</v>
      </c>
      <c r="C7651" s="32" t="s">
        <v>20952</v>
      </c>
      <c r="D7651" s="32" t="s">
        <v>20953</v>
      </c>
    </row>
    <row r="7652" spans="2:4" x14ac:dyDescent="0.3">
      <c r="B7652" s="33" t="s">
        <v>20954</v>
      </c>
      <c r="C7652" s="32" t="s">
        <v>20955</v>
      </c>
      <c r="D7652" s="32" t="s">
        <v>20956</v>
      </c>
    </row>
    <row r="7653" spans="2:4" x14ac:dyDescent="0.3">
      <c r="B7653" s="33" t="s">
        <v>20800</v>
      </c>
      <c r="C7653" s="32" t="s">
        <v>20957</v>
      </c>
      <c r="D7653" s="32" t="s">
        <v>20958</v>
      </c>
    </row>
    <row r="7654" spans="2:4" x14ac:dyDescent="0.3">
      <c r="B7654" s="33" t="s">
        <v>20800</v>
      </c>
      <c r="C7654" s="32" t="s">
        <v>20959</v>
      </c>
      <c r="D7654" s="32" t="s">
        <v>20960</v>
      </c>
    </row>
    <row r="7655" spans="2:4" x14ac:dyDescent="0.3">
      <c r="B7655" s="33" t="s">
        <v>20961</v>
      </c>
      <c r="C7655" s="32" t="s">
        <v>20962</v>
      </c>
      <c r="D7655" s="32" t="s">
        <v>20963</v>
      </c>
    </row>
    <row r="7656" spans="2:4" x14ac:dyDescent="0.3">
      <c r="B7656" s="33" t="s">
        <v>20964</v>
      </c>
      <c r="C7656" s="32" t="s">
        <v>20965</v>
      </c>
      <c r="D7656" s="32" t="s">
        <v>20966</v>
      </c>
    </row>
    <row r="7657" spans="2:4" x14ac:dyDescent="0.3">
      <c r="B7657" s="33" t="s">
        <v>20967</v>
      </c>
      <c r="C7657" s="32" t="s">
        <v>20968</v>
      </c>
      <c r="D7657" s="32" t="s">
        <v>20969</v>
      </c>
    </row>
    <row r="7658" spans="2:4" x14ac:dyDescent="0.3">
      <c r="B7658" s="33" t="s">
        <v>20970</v>
      </c>
      <c r="C7658" s="32" t="s">
        <v>20971</v>
      </c>
      <c r="D7658" s="32" t="s">
        <v>20972</v>
      </c>
    </row>
    <row r="7659" spans="2:4" x14ac:dyDescent="0.3">
      <c r="B7659" s="33" t="s">
        <v>20973</v>
      </c>
      <c r="C7659" s="32" t="s">
        <v>20974</v>
      </c>
      <c r="D7659" s="32" t="s">
        <v>20975</v>
      </c>
    </row>
    <row r="7660" spans="2:4" x14ac:dyDescent="0.3">
      <c r="B7660" s="33" t="s">
        <v>19553</v>
      </c>
      <c r="C7660" s="32" t="s">
        <v>20976</v>
      </c>
      <c r="D7660" s="32" t="s">
        <v>19553</v>
      </c>
    </row>
    <row r="7661" spans="2:4" x14ac:dyDescent="0.3">
      <c r="B7661" s="33" t="s">
        <v>20977</v>
      </c>
      <c r="C7661" s="32" t="s">
        <v>20978</v>
      </c>
      <c r="D7661" s="32" t="s">
        <v>20979</v>
      </c>
    </row>
    <row r="7662" spans="2:4" x14ac:dyDescent="0.3">
      <c r="B7662" s="33" t="s">
        <v>20980</v>
      </c>
      <c r="C7662" s="32" t="s">
        <v>20981</v>
      </c>
      <c r="D7662" s="32" t="s">
        <v>20980</v>
      </c>
    </row>
    <row r="7663" spans="2:4" x14ac:dyDescent="0.3">
      <c r="B7663" s="33" t="s">
        <v>19522</v>
      </c>
      <c r="C7663" s="32" t="s">
        <v>20982</v>
      </c>
      <c r="D7663" s="32" t="s">
        <v>19522</v>
      </c>
    </row>
    <row r="7664" spans="2:4" x14ac:dyDescent="0.3">
      <c r="B7664" s="33" t="s">
        <v>20983</v>
      </c>
      <c r="C7664" s="32" t="s">
        <v>20984</v>
      </c>
      <c r="D7664" s="32" t="s">
        <v>20985</v>
      </c>
    </row>
    <row r="7665" spans="2:4" x14ac:dyDescent="0.3">
      <c r="B7665" s="33" t="s">
        <v>20986</v>
      </c>
      <c r="C7665" s="32" t="s">
        <v>20987</v>
      </c>
      <c r="D7665" s="32" t="s">
        <v>20986</v>
      </c>
    </row>
    <row r="7666" spans="2:4" x14ac:dyDescent="0.3">
      <c r="B7666" s="33" t="s">
        <v>20988</v>
      </c>
      <c r="C7666" s="32" t="s">
        <v>20989</v>
      </c>
      <c r="D7666" s="32" t="s">
        <v>20990</v>
      </c>
    </row>
    <row r="7667" spans="2:4" x14ac:dyDescent="0.3">
      <c r="B7667" s="33" t="s">
        <v>20986</v>
      </c>
      <c r="C7667" s="32" t="s">
        <v>20991</v>
      </c>
      <c r="D7667" s="32" t="s">
        <v>20992</v>
      </c>
    </row>
    <row r="7668" spans="2:4" x14ac:dyDescent="0.3">
      <c r="B7668" s="33" t="s">
        <v>20993</v>
      </c>
      <c r="C7668" s="32" t="s">
        <v>20994</v>
      </c>
      <c r="D7668" s="32" t="s">
        <v>20995</v>
      </c>
    </row>
    <row r="7669" spans="2:4" x14ac:dyDescent="0.3">
      <c r="B7669" s="33" t="s">
        <v>20996</v>
      </c>
      <c r="C7669" s="32" t="s">
        <v>20997</v>
      </c>
      <c r="D7669" s="32" t="s">
        <v>20998</v>
      </c>
    </row>
    <row r="7670" spans="2:4" x14ac:dyDescent="0.3">
      <c r="B7670" s="33" t="s">
        <v>19682</v>
      </c>
      <c r="C7670" s="32" t="s">
        <v>20999</v>
      </c>
      <c r="D7670" s="32" t="s">
        <v>21000</v>
      </c>
    </row>
    <row r="7671" spans="2:4" x14ac:dyDescent="0.3">
      <c r="B7671" s="33" t="s">
        <v>21001</v>
      </c>
      <c r="C7671" s="32" t="s">
        <v>21002</v>
      </c>
      <c r="D7671" s="32" t="s">
        <v>21003</v>
      </c>
    </row>
    <row r="7672" spans="2:4" x14ac:dyDescent="0.3">
      <c r="B7672" s="33" t="s">
        <v>19488</v>
      </c>
      <c r="C7672" s="32" t="s">
        <v>21004</v>
      </c>
      <c r="D7672" s="32" t="s">
        <v>21005</v>
      </c>
    </row>
    <row r="7673" spans="2:4" x14ac:dyDescent="0.3">
      <c r="B7673" s="33" t="s">
        <v>21006</v>
      </c>
      <c r="C7673" s="32" t="s">
        <v>21007</v>
      </c>
      <c r="D7673" s="32" t="s">
        <v>21008</v>
      </c>
    </row>
    <row r="7674" spans="2:4" x14ac:dyDescent="0.3">
      <c r="B7674" s="33" t="s">
        <v>21009</v>
      </c>
      <c r="C7674" s="32" t="s">
        <v>21010</v>
      </c>
      <c r="D7674" s="32" t="s">
        <v>21011</v>
      </c>
    </row>
    <row r="7675" spans="2:4" x14ac:dyDescent="0.3">
      <c r="B7675" s="33" t="s">
        <v>21012</v>
      </c>
      <c r="C7675" s="32" t="s">
        <v>21013</v>
      </c>
      <c r="D7675" s="32" t="s">
        <v>21014</v>
      </c>
    </row>
    <row r="7676" spans="2:4" x14ac:dyDescent="0.3">
      <c r="B7676" s="33" t="s">
        <v>21012</v>
      </c>
      <c r="C7676" s="32" t="s">
        <v>21015</v>
      </c>
      <c r="D7676" s="32" t="s">
        <v>21016</v>
      </c>
    </row>
    <row r="7677" spans="2:4" x14ac:dyDescent="0.3">
      <c r="B7677" s="33" t="s">
        <v>21017</v>
      </c>
      <c r="C7677" s="32" t="s">
        <v>21018</v>
      </c>
      <c r="D7677" s="32" t="s">
        <v>21019</v>
      </c>
    </row>
    <row r="7678" spans="2:4" x14ac:dyDescent="0.3">
      <c r="B7678" s="33" t="s">
        <v>21020</v>
      </c>
      <c r="C7678" s="32" t="s">
        <v>21021</v>
      </c>
      <c r="D7678" s="32" t="s">
        <v>21022</v>
      </c>
    </row>
    <row r="7679" spans="2:4" x14ac:dyDescent="0.3">
      <c r="B7679" s="33" t="s">
        <v>21023</v>
      </c>
      <c r="C7679" s="32" t="s">
        <v>21024</v>
      </c>
      <c r="D7679" s="32" t="s">
        <v>21025</v>
      </c>
    </row>
    <row r="7680" spans="2:4" x14ac:dyDescent="0.3">
      <c r="B7680" s="33" t="s">
        <v>21026</v>
      </c>
      <c r="C7680" s="32" t="s">
        <v>21027</v>
      </c>
      <c r="D7680" s="32" t="s">
        <v>21028</v>
      </c>
    </row>
    <row r="7681" spans="2:4" x14ac:dyDescent="0.3">
      <c r="B7681" s="33" t="s">
        <v>21029</v>
      </c>
      <c r="C7681" s="32" t="s">
        <v>21030</v>
      </c>
      <c r="D7681" s="32" t="s">
        <v>21031</v>
      </c>
    </row>
    <row r="7682" spans="2:4" x14ac:dyDescent="0.3">
      <c r="B7682" s="33" t="s">
        <v>21032</v>
      </c>
      <c r="C7682" s="32" t="s">
        <v>21033</v>
      </c>
      <c r="D7682" s="32" t="s">
        <v>21034</v>
      </c>
    </row>
    <row r="7683" spans="2:4" x14ac:dyDescent="0.3">
      <c r="B7683" s="33" t="s">
        <v>19837</v>
      </c>
      <c r="C7683" s="32" t="s">
        <v>21035</v>
      </c>
      <c r="D7683" s="32" t="s">
        <v>21036</v>
      </c>
    </row>
    <row r="7684" spans="2:4" x14ac:dyDescent="0.3">
      <c r="B7684" s="33" t="s">
        <v>21037</v>
      </c>
      <c r="C7684" s="32" t="s">
        <v>21038</v>
      </c>
      <c r="D7684" s="32" t="s">
        <v>21039</v>
      </c>
    </row>
    <row r="7685" spans="2:4" x14ac:dyDescent="0.3">
      <c r="B7685" s="33" t="s">
        <v>21040</v>
      </c>
      <c r="C7685" s="32" t="s">
        <v>21041</v>
      </c>
      <c r="D7685" s="32" t="s">
        <v>21042</v>
      </c>
    </row>
    <row r="7686" spans="2:4" x14ac:dyDescent="0.3">
      <c r="B7686" s="33" t="s">
        <v>17817</v>
      </c>
      <c r="C7686" s="32" t="s">
        <v>21043</v>
      </c>
      <c r="D7686" s="32" t="s">
        <v>21044</v>
      </c>
    </row>
    <row r="7687" spans="2:4" x14ac:dyDescent="0.3">
      <c r="B7687" s="33" t="s">
        <v>21045</v>
      </c>
      <c r="C7687" s="32" t="s">
        <v>21046</v>
      </c>
      <c r="D7687" s="32" t="s">
        <v>21047</v>
      </c>
    </row>
    <row r="7688" spans="2:4" x14ac:dyDescent="0.3">
      <c r="B7688" s="33" t="s">
        <v>21048</v>
      </c>
      <c r="C7688" s="32" t="s">
        <v>21049</v>
      </c>
      <c r="D7688" s="32" t="s">
        <v>21050</v>
      </c>
    </row>
    <row r="7689" spans="2:4" x14ac:dyDescent="0.3">
      <c r="B7689" s="33" t="s">
        <v>21051</v>
      </c>
      <c r="C7689" s="32" t="s">
        <v>21052</v>
      </c>
      <c r="D7689" s="32" t="s">
        <v>21053</v>
      </c>
    </row>
    <row r="7690" spans="2:4" x14ac:dyDescent="0.3">
      <c r="B7690" s="33" t="s">
        <v>21054</v>
      </c>
      <c r="C7690" s="32" t="s">
        <v>21055</v>
      </c>
      <c r="D7690" s="32" t="s">
        <v>21056</v>
      </c>
    </row>
    <row r="7691" spans="2:4" x14ac:dyDescent="0.3">
      <c r="B7691" s="33" t="s">
        <v>21057</v>
      </c>
      <c r="C7691" s="32" t="s">
        <v>21058</v>
      </c>
      <c r="D7691" s="32" t="s">
        <v>21059</v>
      </c>
    </row>
    <row r="7692" spans="2:4" x14ac:dyDescent="0.3">
      <c r="B7692" s="33" t="s">
        <v>20827</v>
      </c>
      <c r="C7692" s="32" t="s">
        <v>21060</v>
      </c>
      <c r="D7692" s="32" t="s">
        <v>21061</v>
      </c>
    </row>
    <row r="7693" spans="2:4" x14ac:dyDescent="0.3">
      <c r="B7693" s="33" t="s">
        <v>21062</v>
      </c>
      <c r="C7693" s="32" t="s">
        <v>21063</v>
      </c>
      <c r="D7693" s="32" t="s">
        <v>21064</v>
      </c>
    </row>
    <row r="7694" spans="2:4" x14ac:dyDescent="0.3">
      <c r="B7694" s="33" t="s">
        <v>21065</v>
      </c>
      <c r="C7694" s="32" t="s">
        <v>21066</v>
      </c>
      <c r="D7694" s="32" t="s">
        <v>21067</v>
      </c>
    </row>
    <row r="7695" spans="2:4" x14ac:dyDescent="0.3">
      <c r="B7695" s="33" t="s">
        <v>21068</v>
      </c>
      <c r="C7695" s="32" t="s">
        <v>21069</v>
      </c>
      <c r="D7695" s="32" t="s">
        <v>21070</v>
      </c>
    </row>
    <row r="7696" spans="2:4" x14ac:dyDescent="0.3">
      <c r="B7696" s="33" t="s">
        <v>9036</v>
      </c>
      <c r="C7696" s="32" t="s">
        <v>21071</v>
      </c>
      <c r="D7696" s="32" t="s">
        <v>21072</v>
      </c>
    </row>
    <row r="7697" spans="2:4" x14ac:dyDescent="0.3">
      <c r="B7697" s="33" t="s">
        <v>9036</v>
      </c>
      <c r="C7697" s="32" t="s">
        <v>21073</v>
      </c>
      <c r="D7697" s="32" t="s">
        <v>21074</v>
      </c>
    </row>
    <row r="7698" spans="2:4" x14ac:dyDescent="0.3">
      <c r="B7698" s="33" t="s">
        <v>21075</v>
      </c>
      <c r="C7698" s="32" t="s">
        <v>21076</v>
      </c>
      <c r="D7698" s="32" t="s">
        <v>21077</v>
      </c>
    </row>
    <row r="7699" spans="2:4" x14ac:dyDescent="0.3">
      <c r="B7699" s="33" t="s">
        <v>21078</v>
      </c>
      <c r="C7699" s="32" t="s">
        <v>21079</v>
      </c>
      <c r="D7699" s="32" t="s">
        <v>21080</v>
      </c>
    </row>
    <row r="7700" spans="2:4" x14ac:dyDescent="0.3">
      <c r="B7700" s="33" t="s">
        <v>21081</v>
      </c>
      <c r="C7700" s="32" t="s">
        <v>21082</v>
      </c>
      <c r="D7700" s="32" t="s">
        <v>21083</v>
      </c>
    </row>
    <row r="7701" spans="2:4" x14ac:dyDescent="0.3">
      <c r="B7701" s="33" t="s">
        <v>9036</v>
      </c>
      <c r="C7701" s="32" t="s">
        <v>21084</v>
      </c>
      <c r="D7701" s="32" t="s">
        <v>21085</v>
      </c>
    </row>
    <row r="7702" spans="2:4" x14ac:dyDescent="0.3">
      <c r="B7702" s="33" t="s">
        <v>21086</v>
      </c>
      <c r="C7702" s="32" t="s">
        <v>21087</v>
      </c>
      <c r="D7702" s="32" t="s">
        <v>21088</v>
      </c>
    </row>
    <row r="7703" spans="2:4" x14ac:dyDescent="0.3">
      <c r="B7703" s="33" t="s">
        <v>21089</v>
      </c>
      <c r="C7703" s="32" t="s">
        <v>21090</v>
      </c>
      <c r="D7703" s="32" t="s">
        <v>21091</v>
      </c>
    </row>
    <row r="7704" spans="2:4" x14ac:dyDescent="0.3">
      <c r="B7704" s="33" t="s">
        <v>21089</v>
      </c>
      <c r="C7704" s="32" t="s">
        <v>21092</v>
      </c>
      <c r="D7704" s="32" t="s">
        <v>21093</v>
      </c>
    </row>
    <row r="7705" spans="2:4" x14ac:dyDescent="0.3">
      <c r="B7705" s="33" t="s">
        <v>21089</v>
      </c>
      <c r="C7705" s="32" t="s">
        <v>21094</v>
      </c>
      <c r="D7705" s="32" t="s">
        <v>21095</v>
      </c>
    </row>
    <row r="7706" spans="2:4" x14ac:dyDescent="0.3">
      <c r="B7706" s="33" t="s">
        <v>21096</v>
      </c>
      <c r="C7706" s="32" t="s">
        <v>21097</v>
      </c>
      <c r="D7706" s="32" t="s">
        <v>21098</v>
      </c>
    </row>
    <row r="7707" spans="2:4" x14ac:dyDescent="0.3">
      <c r="B7707" s="33" t="s">
        <v>21099</v>
      </c>
      <c r="C7707" s="32" t="s">
        <v>21100</v>
      </c>
      <c r="D7707" s="32" t="s">
        <v>21101</v>
      </c>
    </row>
    <row r="7708" spans="2:4" x14ac:dyDescent="0.3">
      <c r="B7708" s="33" t="s">
        <v>19728</v>
      </c>
      <c r="C7708" s="32" t="s">
        <v>21102</v>
      </c>
      <c r="D7708" s="32" t="s">
        <v>21103</v>
      </c>
    </row>
    <row r="7709" spans="2:4" x14ac:dyDescent="0.3">
      <c r="B7709" s="33" t="s">
        <v>19728</v>
      </c>
      <c r="C7709" s="32" t="s">
        <v>21104</v>
      </c>
      <c r="D7709" s="32" t="s">
        <v>21105</v>
      </c>
    </row>
    <row r="7710" spans="2:4" x14ac:dyDescent="0.3">
      <c r="B7710" s="33" t="s">
        <v>21106</v>
      </c>
      <c r="C7710" s="32" t="s">
        <v>21107</v>
      </c>
      <c r="D7710" s="32" t="s">
        <v>21108</v>
      </c>
    </row>
    <row r="7711" spans="2:4" x14ac:dyDescent="0.3">
      <c r="B7711" s="33" t="s">
        <v>21109</v>
      </c>
      <c r="C7711" s="32" t="s">
        <v>21110</v>
      </c>
      <c r="D7711" s="32" t="s">
        <v>21111</v>
      </c>
    </row>
    <row r="7712" spans="2:4" x14ac:dyDescent="0.3">
      <c r="B7712" s="33" t="s">
        <v>21112</v>
      </c>
      <c r="C7712" s="32" t="s">
        <v>21113</v>
      </c>
      <c r="D7712" s="32" t="s">
        <v>21114</v>
      </c>
    </row>
    <row r="7713" spans="2:4" x14ac:dyDescent="0.3">
      <c r="B7713" s="33" t="s">
        <v>21115</v>
      </c>
      <c r="C7713" s="32" t="s">
        <v>21116</v>
      </c>
      <c r="D7713" s="32" t="s">
        <v>21117</v>
      </c>
    </row>
    <row r="7714" spans="2:4" x14ac:dyDescent="0.3">
      <c r="B7714" s="33" t="s">
        <v>21118</v>
      </c>
      <c r="C7714" s="32" t="s">
        <v>21119</v>
      </c>
      <c r="D7714" s="32" t="s">
        <v>21120</v>
      </c>
    </row>
    <row r="7715" spans="2:4" x14ac:dyDescent="0.3">
      <c r="B7715" s="33" t="s">
        <v>21121</v>
      </c>
      <c r="C7715" s="32" t="s">
        <v>21122</v>
      </c>
      <c r="D7715" s="32" t="s">
        <v>130</v>
      </c>
    </row>
    <row r="7716" spans="2:4" x14ac:dyDescent="0.3">
      <c r="B7716" s="33" t="s">
        <v>21123</v>
      </c>
      <c r="C7716" s="32" t="s">
        <v>37280</v>
      </c>
      <c r="D7716" s="32" t="s">
        <v>37281</v>
      </c>
    </row>
    <row r="7717" spans="2:4" x14ac:dyDescent="0.3">
      <c r="B7717" s="33" t="s">
        <v>21124</v>
      </c>
      <c r="C7717" s="32" t="s">
        <v>21125</v>
      </c>
      <c r="D7717" s="32" t="s">
        <v>21126</v>
      </c>
    </row>
    <row r="7718" spans="2:4" x14ac:dyDescent="0.3">
      <c r="B7718" s="33" t="s">
        <v>21127</v>
      </c>
      <c r="C7718" s="32" t="s">
        <v>21128</v>
      </c>
      <c r="D7718" s="32" t="s">
        <v>21129</v>
      </c>
    </row>
    <row r="7719" spans="2:4" x14ac:dyDescent="0.3">
      <c r="B7719" s="33" t="s">
        <v>21130</v>
      </c>
      <c r="C7719" s="32" t="s">
        <v>21131</v>
      </c>
      <c r="D7719" s="32" t="s">
        <v>21132</v>
      </c>
    </row>
    <row r="7720" spans="2:4" x14ac:dyDescent="0.3">
      <c r="B7720" s="33" t="s">
        <v>21109</v>
      </c>
      <c r="C7720" s="32" t="s">
        <v>21133</v>
      </c>
      <c r="D7720" s="32" t="s">
        <v>21134</v>
      </c>
    </row>
    <row r="7721" spans="2:4" x14ac:dyDescent="0.3">
      <c r="B7721" s="33" t="s">
        <v>21109</v>
      </c>
      <c r="C7721" s="32" t="s">
        <v>21135</v>
      </c>
      <c r="D7721" s="32" t="s">
        <v>21136</v>
      </c>
    </row>
    <row r="7722" spans="2:4" x14ac:dyDescent="0.3">
      <c r="B7722" s="33" t="s">
        <v>21137</v>
      </c>
      <c r="C7722" s="32" t="s">
        <v>21138</v>
      </c>
      <c r="D7722" s="32" t="s">
        <v>21139</v>
      </c>
    </row>
    <row r="7723" spans="2:4" x14ac:dyDescent="0.3">
      <c r="B7723" s="33" t="s">
        <v>21140</v>
      </c>
      <c r="C7723" s="32" t="s">
        <v>21141</v>
      </c>
      <c r="D7723" s="32" t="s">
        <v>21142</v>
      </c>
    </row>
    <row r="7724" spans="2:4" x14ac:dyDescent="0.3">
      <c r="B7724" s="33" t="s">
        <v>19565</v>
      </c>
      <c r="C7724" s="32" t="s">
        <v>21143</v>
      </c>
      <c r="D7724" s="32" t="s">
        <v>21144</v>
      </c>
    </row>
    <row r="7725" spans="2:4" x14ac:dyDescent="0.3">
      <c r="B7725" s="33" t="s">
        <v>19760</v>
      </c>
      <c r="C7725" s="32" t="s">
        <v>21145</v>
      </c>
      <c r="D7725" s="32" t="s">
        <v>21146</v>
      </c>
    </row>
    <row r="7726" spans="2:4" x14ac:dyDescent="0.3">
      <c r="B7726" s="33" t="s">
        <v>21147</v>
      </c>
      <c r="C7726" s="32" t="s">
        <v>21148</v>
      </c>
      <c r="D7726" s="32" t="s">
        <v>21149</v>
      </c>
    </row>
    <row r="7727" spans="2:4" x14ac:dyDescent="0.3">
      <c r="B7727" s="33" t="s">
        <v>21150</v>
      </c>
      <c r="C7727" s="32" t="s">
        <v>21151</v>
      </c>
      <c r="D7727" s="32" t="s">
        <v>21152</v>
      </c>
    </row>
    <row r="7728" spans="2:4" x14ac:dyDescent="0.3">
      <c r="B7728" s="33" t="s">
        <v>21147</v>
      </c>
      <c r="C7728" s="32" t="s">
        <v>21153</v>
      </c>
      <c r="D7728" s="32" t="s">
        <v>21154</v>
      </c>
    </row>
    <row r="7729" spans="2:4" x14ac:dyDescent="0.3">
      <c r="B7729" s="33" t="s">
        <v>21155</v>
      </c>
      <c r="C7729" s="32" t="s">
        <v>21156</v>
      </c>
      <c r="D7729" s="32" t="s">
        <v>21157</v>
      </c>
    </row>
    <row r="7730" spans="2:4" x14ac:dyDescent="0.3">
      <c r="B7730" s="33" t="s">
        <v>21158</v>
      </c>
      <c r="C7730" s="32" t="s">
        <v>21159</v>
      </c>
      <c r="D7730" s="32" t="s">
        <v>21160</v>
      </c>
    </row>
    <row r="7731" spans="2:4" x14ac:dyDescent="0.3">
      <c r="B7731" s="33" t="s">
        <v>21126</v>
      </c>
      <c r="C7731" s="32" t="s">
        <v>21161</v>
      </c>
      <c r="D7731" s="32" t="s">
        <v>21162</v>
      </c>
    </row>
    <row r="7732" spans="2:4" x14ac:dyDescent="0.3">
      <c r="B7732" s="33" t="s">
        <v>21078</v>
      </c>
      <c r="C7732" s="32" t="s">
        <v>21163</v>
      </c>
      <c r="D7732" s="32" t="s">
        <v>21164</v>
      </c>
    </row>
    <row r="7733" spans="2:4" x14ac:dyDescent="0.3">
      <c r="B7733" s="33" t="s">
        <v>21165</v>
      </c>
      <c r="C7733" s="32" t="s">
        <v>21166</v>
      </c>
      <c r="D7733" s="32" t="s">
        <v>21167</v>
      </c>
    </row>
    <row r="7734" spans="2:4" x14ac:dyDescent="0.3">
      <c r="B7734" s="33" t="s">
        <v>21168</v>
      </c>
      <c r="C7734" s="32" t="s">
        <v>21169</v>
      </c>
      <c r="D7734" s="32" t="s">
        <v>21170</v>
      </c>
    </row>
    <row r="7735" spans="2:4" x14ac:dyDescent="0.3">
      <c r="B7735" s="33" t="s">
        <v>21171</v>
      </c>
      <c r="C7735" s="32" t="s">
        <v>21172</v>
      </c>
      <c r="D7735" s="32" t="s">
        <v>21173</v>
      </c>
    </row>
    <row r="7736" spans="2:4" x14ac:dyDescent="0.3">
      <c r="B7736" s="33" t="s">
        <v>21174</v>
      </c>
      <c r="C7736" s="32" t="s">
        <v>21175</v>
      </c>
      <c r="D7736" s="32" t="s">
        <v>21176</v>
      </c>
    </row>
    <row r="7737" spans="2:4" x14ac:dyDescent="0.3">
      <c r="B7737" s="33" t="s">
        <v>21177</v>
      </c>
      <c r="C7737" s="32" t="s">
        <v>21178</v>
      </c>
      <c r="D7737" s="32" t="s">
        <v>21179</v>
      </c>
    </row>
    <row r="7738" spans="2:4" x14ac:dyDescent="0.3">
      <c r="B7738" s="33" t="s">
        <v>21180</v>
      </c>
      <c r="C7738" s="32" t="s">
        <v>21181</v>
      </c>
      <c r="D7738" s="32" t="s">
        <v>37282</v>
      </c>
    </row>
    <row r="7739" spans="2:4" x14ac:dyDescent="0.3">
      <c r="B7739" s="33" t="s">
        <v>8908</v>
      </c>
      <c r="C7739" s="32" t="s">
        <v>21182</v>
      </c>
      <c r="D7739" s="32" t="s">
        <v>21183</v>
      </c>
    </row>
    <row r="7740" spans="2:4" x14ac:dyDescent="0.3">
      <c r="B7740" s="33" t="s">
        <v>21184</v>
      </c>
      <c r="C7740" s="32" t="s">
        <v>21185</v>
      </c>
      <c r="D7740" s="32" t="s">
        <v>21186</v>
      </c>
    </row>
    <row r="7741" spans="2:4" x14ac:dyDescent="0.3">
      <c r="B7741" s="33" t="s">
        <v>21187</v>
      </c>
      <c r="C7741" s="32" t="s">
        <v>21188</v>
      </c>
      <c r="D7741" s="32" t="s">
        <v>21189</v>
      </c>
    </row>
    <row r="7742" spans="2:4" x14ac:dyDescent="0.3">
      <c r="B7742" s="33" t="s">
        <v>21190</v>
      </c>
      <c r="C7742" s="32" t="s">
        <v>21191</v>
      </c>
      <c r="D7742" s="32" t="s">
        <v>21192</v>
      </c>
    </row>
    <row r="7743" spans="2:4" x14ac:dyDescent="0.3">
      <c r="B7743" s="33" t="s">
        <v>21193</v>
      </c>
      <c r="C7743" s="32" t="s">
        <v>21194</v>
      </c>
      <c r="D7743" s="32" t="s">
        <v>21195</v>
      </c>
    </row>
    <row r="7744" spans="2:4" x14ac:dyDescent="0.3">
      <c r="B7744" s="33" t="s">
        <v>21196</v>
      </c>
      <c r="C7744" s="32" t="s">
        <v>21197</v>
      </c>
      <c r="D7744" s="32" t="s">
        <v>21198</v>
      </c>
    </row>
    <row r="7745" spans="2:4" x14ac:dyDescent="0.3">
      <c r="B7745" s="33" t="s">
        <v>21199</v>
      </c>
      <c r="C7745" s="32" t="s">
        <v>21200</v>
      </c>
      <c r="D7745" s="32" t="s">
        <v>21201</v>
      </c>
    </row>
    <row r="7746" spans="2:4" x14ac:dyDescent="0.3">
      <c r="B7746" s="33" t="s">
        <v>21001</v>
      </c>
      <c r="C7746" s="32" t="s">
        <v>21202</v>
      </c>
      <c r="D7746" s="32" t="s">
        <v>21203</v>
      </c>
    </row>
    <row r="7747" spans="2:4" x14ac:dyDescent="0.3">
      <c r="B7747" s="33" t="s">
        <v>21204</v>
      </c>
      <c r="C7747" s="32" t="s">
        <v>21205</v>
      </c>
      <c r="D7747" s="32" t="s">
        <v>21206</v>
      </c>
    </row>
    <row r="7748" spans="2:4" x14ac:dyDescent="0.3">
      <c r="B7748" s="33" t="s">
        <v>21207</v>
      </c>
      <c r="C7748" s="32" t="s">
        <v>21208</v>
      </c>
      <c r="D7748" s="32" t="s">
        <v>21209</v>
      </c>
    </row>
    <row r="7749" spans="2:4" x14ac:dyDescent="0.3">
      <c r="B7749" s="33" t="s">
        <v>21210</v>
      </c>
      <c r="C7749" s="32" t="s">
        <v>21211</v>
      </c>
      <c r="D7749" s="32" t="s">
        <v>21212</v>
      </c>
    </row>
    <row r="7750" spans="2:4" x14ac:dyDescent="0.3">
      <c r="B7750" s="33" t="s">
        <v>21213</v>
      </c>
      <c r="C7750" s="32" t="s">
        <v>21214</v>
      </c>
      <c r="D7750" s="32" t="s">
        <v>21215</v>
      </c>
    </row>
    <row r="7751" spans="2:4" x14ac:dyDescent="0.3">
      <c r="B7751" s="33" t="s">
        <v>21216</v>
      </c>
      <c r="C7751" s="32" t="s">
        <v>21217</v>
      </c>
      <c r="D7751" s="32" t="s">
        <v>21218</v>
      </c>
    </row>
    <row r="7752" spans="2:4" x14ac:dyDescent="0.3">
      <c r="B7752" s="33" t="s">
        <v>21219</v>
      </c>
      <c r="C7752" s="32" t="s">
        <v>21220</v>
      </c>
      <c r="D7752" s="32" t="s">
        <v>21221</v>
      </c>
    </row>
    <row r="7753" spans="2:4" x14ac:dyDescent="0.3">
      <c r="B7753" s="33" t="s">
        <v>21222</v>
      </c>
      <c r="C7753" s="32" t="s">
        <v>21223</v>
      </c>
      <c r="D7753" s="32" t="s">
        <v>21224</v>
      </c>
    </row>
    <row r="7754" spans="2:4" x14ac:dyDescent="0.3">
      <c r="B7754" s="33" t="s">
        <v>21225</v>
      </c>
      <c r="C7754" s="32" t="s">
        <v>21226</v>
      </c>
      <c r="D7754" s="32" t="s">
        <v>21225</v>
      </c>
    </row>
    <row r="7755" spans="2:4" x14ac:dyDescent="0.3">
      <c r="B7755" s="33" t="s">
        <v>36856</v>
      </c>
      <c r="C7755" s="32" t="s">
        <v>36857</v>
      </c>
      <c r="D7755" s="32" t="s">
        <v>36858</v>
      </c>
    </row>
    <row r="7756" spans="2:4" x14ac:dyDescent="0.3">
      <c r="B7756" s="33" t="s">
        <v>21227</v>
      </c>
      <c r="C7756" s="32" t="s">
        <v>21228</v>
      </c>
      <c r="D7756" s="32" t="s">
        <v>21229</v>
      </c>
    </row>
    <row r="7757" spans="2:4" x14ac:dyDescent="0.3">
      <c r="B7757" s="33" t="s">
        <v>21230</v>
      </c>
      <c r="C7757" s="32" t="s">
        <v>21231</v>
      </c>
      <c r="D7757" s="32" t="s">
        <v>21232</v>
      </c>
    </row>
    <row r="7758" spans="2:4" x14ac:dyDescent="0.3">
      <c r="B7758" s="33" t="s">
        <v>21233</v>
      </c>
      <c r="C7758" s="32" t="s">
        <v>21234</v>
      </c>
      <c r="D7758" s="32" t="s">
        <v>21235</v>
      </c>
    </row>
    <row r="7759" spans="2:4" x14ac:dyDescent="0.3">
      <c r="B7759" s="33" t="s">
        <v>20672</v>
      </c>
      <c r="C7759" s="32" t="s">
        <v>21236</v>
      </c>
      <c r="D7759" s="32" t="s">
        <v>21237</v>
      </c>
    </row>
    <row r="7760" spans="2:4" x14ac:dyDescent="0.3">
      <c r="B7760" s="33" t="s">
        <v>21238</v>
      </c>
      <c r="C7760" s="32" t="s">
        <v>21239</v>
      </c>
      <c r="D7760" s="32" t="s">
        <v>21240</v>
      </c>
    </row>
    <row r="7761" spans="2:4" x14ac:dyDescent="0.3">
      <c r="B7761" s="33" t="s">
        <v>21241</v>
      </c>
      <c r="C7761" s="32" t="s">
        <v>21242</v>
      </c>
      <c r="D7761" s="32" t="s">
        <v>21243</v>
      </c>
    </row>
    <row r="7762" spans="2:4" x14ac:dyDescent="0.3">
      <c r="B7762" s="33" t="s">
        <v>21244</v>
      </c>
      <c r="C7762" s="32" t="s">
        <v>21245</v>
      </c>
      <c r="D7762" s="32" t="s">
        <v>21246</v>
      </c>
    </row>
    <row r="7763" spans="2:4" x14ac:dyDescent="0.3">
      <c r="B7763" s="33" t="s">
        <v>21247</v>
      </c>
      <c r="C7763" s="32" t="s">
        <v>21248</v>
      </c>
      <c r="D7763" s="32" t="s">
        <v>21249</v>
      </c>
    </row>
    <row r="7764" spans="2:4" x14ac:dyDescent="0.3">
      <c r="B7764" s="33" t="s">
        <v>20126</v>
      </c>
      <c r="C7764" s="32" t="s">
        <v>21250</v>
      </c>
      <c r="D7764" s="32" t="s">
        <v>21251</v>
      </c>
    </row>
    <row r="7765" spans="2:4" x14ac:dyDescent="0.3">
      <c r="B7765" s="33" t="s">
        <v>21252</v>
      </c>
      <c r="C7765" s="32" t="s">
        <v>21253</v>
      </c>
      <c r="D7765" s="32" t="s">
        <v>21254</v>
      </c>
    </row>
    <row r="7766" spans="2:4" x14ac:dyDescent="0.3">
      <c r="B7766" s="33" t="s">
        <v>21255</v>
      </c>
      <c r="C7766" s="32" t="s">
        <v>21256</v>
      </c>
      <c r="D7766" s="32" t="s">
        <v>21257</v>
      </c>
    </row>
    <row r="7767" spans="2:4" x14ac:dyDescent="0.3">
      <c r="B7767" s="33" t="s">
        <v>19932</v>
      </c>
      <c r="C7767" s="32" t="s">
        <v>21258</v>
      </c>
      <c r="D7767" s="32" t="s">
        <v>21259</v>
      </c>
    </row>
    <row r="7768" spans="2:4" x14ac:dyDescent="0.3">
      <c r="B7768" s="33" t="s">
        <v>21260</v>
      </c>
      <c r="C7768" s="32" t="s">
        <v>21261</v>
      </c>
      <c r="D7768" s="32" t="s">
        <v>21262</v>
      </c>
    </row>
    <row r="7769" spans="2:4" x14ac:dyDescent="0.3">
      <c r="B7769" s="33" t="s">
        <v>21263</v>
      </c>
      <c r="C7769" s="32" t="s">
        <v>21264</v>
      </c>
      <c r="D7769" s="32" t="s">
        <v>21265</v>
      </c>
    </row>
    <row r="7770" spans="2:4" x14ac:dyDescent="0.3">
      <c r="B7770" s="33" t="s">
        <v>21263</v>
      </c>
      <c r="C7770" s="32" t="s">
        <v>21266</v>
      </c>
      <c r="D7770" s="32" t="s">
        <v>21267</v>
      </c>
    </row>
    <row r="7771" spans="2:4" x14ac:dyDescent="0.3">
      <c r="B7771" s="33" t="s">
        <v>21263</v>
      </c>
      <c r="C7771" s="32" t="s">
        <v>21268</v>
      </c>
      <c r="D7771" s="32" t="s">
        <v>21269</v>
      </c>
    </row>
    <row r="7772" spans="2:4" x14ac:dyDescent="0.3">
      <c r="B7772" s="33" t="s">
        <v>15926</v>
      </c>
      <c r="C7772" s="32" t="s">
        <v>21270</v>
      </c>
      <c r="D7772" s="32" t="s">
        <v>21271</v>
      </c>
    </row>
    <row r="7773" spans="2:4" x14ac:dyDescent="0.3">
      <c r="B7773" s="33" t="s">
        <v>21272</v>
      </c>
      <c r="C7773" s="32" t="s">
        <v>21273</v>
      </c>
      <c r="D7773" s="32" t="s">
        <v>21274</v>
      </c>
    </row>
    <row r="7774" spans="2:4" x14ac:dyDescent="0.3">
      <c r="B7774" s="33" t="s">
        <v>21275</v>
      </c>
      <c r="C7774" s="32" t="s">
        <v>21276</v>
      </c>
      <c r="D7774" s="32" t="s">
        <v>21277</v>
      </c>
    </row>
    <row r="7775" spans="2:4" x14ac:dyDescent="0.3">
      <c r="B7775" s="33" t="s">
        <v>21263</v>
      </c>
      <c r="C7775" s="32" t="s">
        <v>21278</v>
      </c>
      <c r="D7775" s="32" t="s">
        <v>21279</v>
      </c>
    </row>
    <row r="7776" spans="2:4" x14ac:dyDescent="0.3">
      <c r="B7776" s="33" t="s">
        <v>21263</v>
      </c>
      <c r="C7776" s="32" t="s">
        <v>21280</v>
      </c>
      <c r="D7776" s="32" t="s">
        <v>21281</v>
      </c>
    </row>
    <row r="7777" spans="2:4" x14ac:dyDescent="0.3">
      <c r="B7777" s="33" t="s">
        <v>21282</v>
      </c>
      <c r="C7777" s="32" t="s">
        <v>21283</v>
      </c>
      <c r="D7777" s="32" t="s">
        <v>21284</v>
      </c>
    </row>
    <row r="7778" spans="2:4" x14ac:dyDescent="0.3">
      <c r="B7778" s="33" t="s">
        <v>21285</v>
      </c>
      <c r="C7778" s="32" t="s">
        <v>21286</v>
      </c>
      <c r="D7778" s="32" t="s">
        <v>21287</v>
      </c>
    </row>
    <row r="7779" spans="2:4" x14ac:dyDescent="0.3">
      <c r="B7779" s="33" t="s">
        <v>21288</v>
      </c>
      <c r="C7779" s="32" t="s">
        <v>21289</v>
      </c>
      <c r="D7779" s="32" t="s">
        <v>21290</v>
      </c>
    </row>
    <row r="7780" spans="2:4" x14ac:dyDescent="0.3">
      <c r="B7780" s="33" t="s">
        <v>21291</v>
      </c>
      <c r="C7780" s="32" t="s">
        <v>21292</v>
      </c>
      <c r="D7780" s="32" t="s">
        <v>21293</v>
      </c>
    </row>
    <row r="7781" spans="2:4" x14ac:dyDescent="0.3">
      <c r="B7781" s="33" t="s">
        <v>21294</v>
      </c>
      <c r="C7781" s="32" t="s">
        <v>21295</v>
      </c>
      <c r="D7781" s="32" t="s">
        <v>21294</v>
      </c>
    </row>
    <row r="7782" spans="2:4" x14ac:dyDescent="0.3">
      <c r="B7782" s="33" t="s">
        <v>21296</v>
      </c>
      <c r="C7782" s="32" t="s">
        <v>21297</v>
      </c>
      <c r="D7782" s="32" t="s">
        <v>21298</v>
      </c>
    </row>
    <row r="7783" spans="2:4" x14ac:dyDescent="0.3">
      <c r="B7783" s="33" t="s">
        <v>21299</v>
      </c>
      <c r="C7783" s="32" t="s">
        <v>21300</v>
      </c>
      <c r="D7783" s="32" t="s">
        <v>21301</v>
      </c>
    </row>
    <row r="7784" spans="2:4" x14ac:dyDescent="0.3">
      <c r="B7784" s="33" t="s">
        <v>21302</v>
      </c>
      <c r="C7784" s="32" t="s">
        <v>21303</v>
      </c>
      <c r="D7784" s="32" t="s">
        <v>21304</v>
      </c>
    </row>
    <row r="7785" spans="2:4" x14ac:dyDescent="0.3">
      <c r="B7785" s="33" t="s">
        <v>21305</v>
      </c>
      <c r="C7785" s="32" t="s">
        <v>21306</v>
      </c>
      <c r="D7785" s="32" t="s">
        <v>21307</v>
      </c>
    </row>
    <row r="7786" spans="2:4" x14ac:dyDescent="0.3">
      <c r="B7786" s="33" t="s">
        <v>21308</v>
      </c>
      <c r="C7786" s="32" t="s">
        <v>21309</v>
      </c>
      <c r="D7786" s="32" t="s">
        <v>21310</v>
      </c>
    </row>
    <row r="7787" spans="2:4" x14ac:dyDescent="0.3">
      <c r="B7787" s="33" t="s">
        <v>21001</v>
      </c>
      <c r="C7787" s="32" t="s">
        <v>21311</v>
      </c>
      <c r="D7787" s="32" t="s">
        <v>21312</v>
      </c>
    </row>
    <row r="7788" spans="2:4" x14ac:dyDescent="0.3">
      <c r="B7788" s="33" t="s">
        <v>21313</v>
      </c>
      <c r="C7788" s="32" t="s">
        <v>21314</v>
      </c>
      <c r="D7788" s="32" t="s">
        <v>21315</v>
      </c>
    </row>
    <row r="7789" spans="2:4" x14ac:dyDescent="0.3">
      <c r="B7789" s="33" t="s">
        <v>19996</v>
      </c>
      <c r="C7789" s="32" t="s">
        <v>21316</v>
      </c>
      <c r="D7789" s="32" t="s">
        <v>21317</v>
      </c>
    </row>
    <row r="7790" spans="2:4" x14ac:dyDescent="0.3">
      <c r="B7790" s="33" t="s">
        <v>21318</v>
      </c>
      <c r="C7790" s="32" t="s">
        <v>21319</v>
      </c>
      <c r="D7790" s="32" t="s">
        <v>21320</v>
      </c>
    </row>
    <row r="7791" spans="2:4" x14ac:dyDescent="0.3">
      <c r="B7791" s="33" t="s">
        <v>21321</v>
      </c>
      <c r="C7791" s="32" t="s">
        <v>21322</v>
      </c>
      <c r="D7791" s="32" t="s">
        <v>21323</v>
      </c>
    </row>
    <row r="7792" spans="2:4" x14ac:dyDescent="0.3">
      <c r="B7792" s="33" t="s">
        <v>21324</v>
      </c>
      <c r="C7792" s="32" t="s">
        <v>21325</v>
      </c>
      <c r="D7792" s="32" t="s">
        <v>21326</v>
      </c>
    </row>
    <row r="7793" spans="2:4" x14ac:dyDescent="0.3">
      <c r="B7793" s="33" t="s">
        <v>20983</v>
      </c>
      <c r="C7793" s="32" t="s">
        <v>21327</v>
      </c>
      <c r="D7793" s="32" t="s">
        <v>21328</v>
      </c>
    </row>
    <row r="7794" spans="2:4" x14ac:dyDescent="0.3">
      <c r="B7794" s="33" t="s">
        <v>21329</v>
      </c>
      <c r="C7794" s="32" t="s">
        <v>21330</v>
      </c>
      <c r="D7794" s="32" t="s">
        <v>21331</v>
      </c>
    </row>
    <row r="7795" spans="2:4" x14ac:dyDescent="0.3">
      <c r="B7795" s="33" t="s">
        <v>21332</v>
      </c>
      <c r="C7795" s="32" t="s">
        <v>21333</v>
      </c>
      <c r="D7795" s="32" t="s">
        <v>21334</v>
      </c>
    </row>
    <row r="7796" spans="2:4" x14ac:dyDescent="0.3">
      <c r="B7796" s="33" t="s">
        <v>21335</v>
      </c>
      <c r="C7796" s="32" t="s">
        <v>21336</v>
      </c>
      <c r="D7796" s="32" t="s">
        <v>21337</v>
      </c>
    </row>
    <row r="7797" spans="2:4" x14ac:dyDescent="0.3">
      <c r="B7797" s="33" t="s">
        <v>21338</v>
      </c>
      <c r="C7797" s="32" t="s">
        <v>21339</v>
      </c>
      <c r="D7797" s="32" t="s">
        <v>21340</v>
      </c>
    </row>
    <row r="7798" spans="2:4" x14ac:dyDescent="0.3">
      <c r="B7798" s="33" t="s">
        <v>21341</v>
      </c>
      <c r="C7798" s="32" t="s">
        <v>21342</v>
      </c>
      <c r="D7798" s="32" t="s">
        <v>21343</v>
      </c>
    </row>
    <row r="7799" spans="2:4" x14ac:dyDescent="0.3">
      <c r="B7799" s="33" t="s">
        <v>21344</v>
      </c>
      <c r="C7799" s="32" t="s">
        <v>21345</v>
      </c>
      <c r="D7799" s="32" t="s">
        <v>21346</v>
      </c>
    </row>
    <row r="7800" spans="2:4" x14ac:dyDescent="0.3">
      <c r="B7800" s="33" t="s">
        <v>21347</v>
      </c>
      <c r="C7800" s="32" t="s">
        <v>21348</v>
      </c>
      <c r="D7800" s="32" t="s">
        <v>21349</v>
      </c>
    </row>
    <row r="7801" spans="2:4" x14ac:dyDescent="0.3">
      <c r="B7801" s="33" t="s">
        <v>21350</v>
      </c>
      <c r="C7801" s="32" t="s">
        <v>21351</v>
      </c>
      <c r="D7801" s="32" t="s">
        <v>21352</v>
      </c>
    </row>
    <row r="7802" spans="2:4" x14ac:dyDescent="0.3">
      <c r="B7802" s="33" t="s">
        <v>21353</v>
      </c>
      <c r="C7802" s="32" t="s">
        <v>21354</v>
      </c>
      <c r="D7802" s="32" t="s">
        <v>21355</v>
      </c>
    </row>
    <row r="7803" spans="2:4" x14ac:dyDescent="0.3">
      <c r="B7803" s="33" t="s">
        <v>21356</v>
      </c>
      <c r="C7803" s="32" t="s">
        <v>21357</v>
      </c>
      <c r="D7803" s="32" t="s">
        <v>21358</v>
      </c>
    </row>
    <row r="7804" spans="2:4" x14ac:dyDescent="0.3">
      <c r="B7804" s="33" t="s">
        <v>36859</v>
      </c>
      <c r="C7804" s="32" t="s">
        <v>36860</v>
      </c>
      <c r="D7804" s="32" t="s">
        <v>36861</v>
      </c>
    </row>
    <row r="7805" spans="2:4" x14ac:dyDescent="0.3">
      <c r="B7805" s="33" t="s">
        <v>21359</v>
      </c>
      <c r="C7805" s="32" t="s">
        <v>21360</v>
      </c>
      <c r="D7805" s="32" t="s">
        <v>21361</v>
      </c>
    </row>
    <row r="7806" spans="2:4" x14ac:dyDescent="0.3">
      <c r="B7806" s="33" t="s">
        <v>21362</v>
      </c>
      <c r="C7806" s="32" t="s">
        <v>21363</v>
      </c>
      <c r="D7806" s="32" t="s">
        <v>21364</v>
      </c>
    </row>
    <row r="7807" spans="2:4" x14ac:dyDescent="0.3">
      <c r="B7807" s="33" t="s">
        <v>21365</v>
      </c>
      <c r="C7807" s="32" t="s">
        <v>21366</v>
      </c>
      <c r="D7807" s="32" t="s">
        <v>21367</v>
      </c>
    </row>
    <row r="7808" spans="2:4" x14ac:dyDescent="0.3">
      <c r="B7808" s="33" t="s">
        <v>21368</v>
      </c>
      <c r="C7808" s="32" t="s">
        <v>21369</v>
      </c>
      <c r="D7808" s="32" t="s">
        <v>21370</v>
      </c>
    </row>
    <row r="7809" spans="2:4" x14ac:dyDescent="0.3">
      <c r="B7809" s="33" t="s">
        <v>21371</v>
      </c>
      <c r="C7809" s="32" t="s">
        <v>21372</v>
      </c>
      <c r="D7809" s="32" t="s">
        <v>21373</v>
      </c>
    </row>
    <row r="7810" spans="2:4" x14ac:dyDescent="0.3">
      <c r="B7810" s="33" t="s">
        <v>21374</v>
      </c>
      <c r="C7810" s="32" t="s">
        <v>21375</v>
      </c>
      <c r="D7810" s="32" t="s">
        <v>21376</v>
      </c>
    </row>
    <row r="7811" spans="2:4" x14ac:dyDescent="0.3">
      <c r="B7811" s="33" t="s">
        <v>21377</v>
      </c>
      <c r="C7811" s="32" t="s">
        <v>21378</v>
      </c>
      <c r="D7811" s="32" t="s">
        <v>21379</v>
      </c>
    </row>
    <row r="7812" spans="2:4" x14ac:dyDescent="0.3">
      <c r="B7812" s="33" t="s">
        <v>21380</v>
      </c>
      <c r="C7812" s="32" t="s">
        <v>21381</v>
      </c>
      <c r="D7812" s="32" t="s">
        <v>37283</v>
      </c>
    </row>
    <row r="7813" spans="2:4" x14ac:dyDescent="0.3">
      <c r="B7813" s="33" t="s">
        <v>21382</v>
      </c>
      <c r="C7813" s="32" t="s">
        <v>21383</v>
      </c>
      <c r="D7813" s="32" t="s">
        <v>21384</v>
      </c>
    </row>
    <row r="7814" spans="2:4" x14ac:dyDescent="0.3">
      <c r="B7814" s="33" t="s">
        <v>19845</v>
      </c>
      <c r="C7814" s="32" t="s">
        <v>21385</v>
      </c>
      <c r="D7814" s="32" t="s">
        <v>36862</v>
      </c>
    </row>
    <row r="7815" spans="2:4" x14ac:dyDescent="0.3">
      <c r="B7815" s="33" t="s">
        <v>21386</v>
      </c>
      <c r="C7815" s="32" t="s">
        <v>21387</v>
      </c>
      <c r="D7815" s="32" t="s">
        <v>21388</v>
      </c>
    </row>
    <row r="7816" spans="2:4" x14ac:dyDescent="0.3">
      <c r="B7816" s="33" t="s">
        <v>21389</v>
      </c>
      <c r="C7816" s="32" t="s">
        <v>21390</v>
      </c>
      <c r="D7816" s="32" t="s">
        <v>21391</v>
      </c>
    </row>
    <row r="7817" spans="2:4" x14ac:dyDescent="0.3">
      <c r="B7817" s="33" t="s">
        <v>21392</v>
      </c>
      <c r="C7817" s="32" t="s">
        <v>21393</v>
      </c>
      <c r="D7817" s="32" t="s">
        <v>21394</v>
      </c>
    </row>
    <row r="7818" spans="2:4" x14ac:dyDescent="0.3">
      <c r="B7818" s="33" t="s">
        <v>1767</v>
      </c>
      <c r="C7818" s="32" t="s">
        <v>21395</v>
      </c>
      <c r="D7818" s="32" t="s">
        <v>21396</v>
      </c>
    </row>
    <row r="7819" spans="2:4" x14ac:dyDescent="0.3">
      <c r="B7819" s="33" t="s">
        <v>21397</v>
      </c>
      <c r="C7819" s="32" t="s">
        <v>21398</v>
      </c>
      <c r="D7819" s="32" t="s">
        <v>21399</v>
      </c>
    </row>
    <row r="7820" spans="2:4" x14ac:dyDescent="0.3">
      <c r="B7820" s="33" t="s">
        <v>1767</v>
      </c>
      <c r="C7820" s="32" t="s">
        <v>21400</v>
      </c>
      <c r="D7820" s="32" t="s">
        <v>21401</v>
      </c>
    </row>
    <row r="7821" spans="2:4" x14ac:dyDescent="0.3">
      <c r="B7821" s="33" t="s">
        <v>21402</v>
      </c>
      <c r="C7821" s="32" t="s">
        <v>21403</v>
      </c>
      <c r="D7821" s="32" t="s">
        <v>21404</v>
      </c>
    </row>
    <row r="7822" spans="2:4" x14ac:dyDescent="0.3">
      <c r="B7822" s="33" t="s">
        <v>2762</v>
      </c>
      <c r="C7822" s="32" t="s">
        <v>21405</v>
      </c>
      <c r="D7822" s="32" t="s">
        <v>21406</v>
      </c>
    </row>
    <row r="7823" spans="2:4" x14ac:dyDescent="0.3">
      <c r="B7823" s="33" t="s">
        <v>21407</v>
      </c>
      <c r="C7823" s="32" t="s">
        <v>21408</v>
      </c>
      <c r="D7823" s="32" t="s">
        <v>21409</v>
      </c>
    </row>
    <row r="7824" spans="2:4" x14ac:dyDescent="0.3">
      <c r="B7824" s="33" t="s">
        <v>21410</v>
      </c>
      <c r="C7824" s="32" t="s">
        <v>21411</v>
      </c>
      <c r="D7824" s="32" t="s">
        <v>21412</v>
      </c>
    </row>
    <row r="7825" spans="2:4" x14ac:dyDescent="0.3">
      <c r="B7825" s="33" t="s">
        <v>21413</v>
      </c>
      <c r="C7825" s="32" t="s">
        <v>21414</v>
      </c>
      <c r="D7825" s="32" t="s">
        <v>21415</v>
      </c>
    </row>
    <row r="7826" spans="2:4" x14ac:dyDescent="0.3">
      <c r="B7826" s="33" t="s">
        <v>21416</v>
      </c>
      <c r="C7826" s="32" t="s">
        <v>21417</v>
      </c>
      <c r="D7826" s="32" t="s">
        <v>21418</v>
      </c>
    </row>
    <row r="7827" spans="2:4" x14ac:dyDescent="0.3">
      <c r="B7827" s="33" t="s">
        <v>19799</v>
      </c>
      <c r="C7827" s="32" t="s">
        <v>21419</v>
      </c>
      <c r="D7827" s="32" t="s">
        <v>21420</v>
      </c>
    </row>
    <row r="7828" spans="2:4" x14ac:dyDescent="0.3">
      <c r="B7828" s="33" t="s">
        <v>21421</v>
      </c>
      <c r="C7828" s="32" t="s">
        <v>21422</v>
      </c>
      <c r="D7828" s="32" t="s">
        <v>21423</v>
      </c>
    </row>
    <row r="7829" spans="2:4" x14ac:dyDescent="0.3">
      <c r="B7829" s="33" t="s">
        <v>10472</v>
      </c>
      <c r="C7829" s="32" t="s">
        <v>21424</v>
      </c>
      <c r="D7829" s="32" t="s">
        <v>21425</v>
      </c>
    </row>
    <row r="7830" spans="2:4" x14ac:dyDescent="0.3">
      <c r="B7830" s="33" t="s">
        <v>21426</v>
      </c>
      <c r="C7830" s="32" t="s">
        <v>21427</v>
      </c>
      <c r="D7830" s="32" t="s">
        <v>21428</v>
      </c>
    </row>
    <row r="7831" spans="2:4" x14ac:dyDescent="0.3">
      <c r="B7831" s="33" t="s">
        <v>21429</v>
      </c>
      <c r="C7831" s="32" t="s">
        <v>21430</v>
      </c>
      <c r="D7831" s="32" t="s">
        <v>21431</v>
      </c>
    </row>
    <row r="7832" spans="2:4" x14ac:dyDescent="0.3">
      <c r="B7832" s="33" t="s">
        <v>21432</v>
      </c>
      <c r="C7832" s="32" t="s">
        <v>21433</v>
      </c>
      <c r="D7832" s="32" t="s">
        <v>21434</v>
      </c>
    </row>
    <row r="7833" spans="2:4" x14ac:dyDescent="0.3">
      <c r="B7833" s="33" t="s">
        <v>21435</v>
      </c>
      <c r="C7833" s="32" t="s">
        <v>21436</v>
      </c>
      <c r="D7833" s="32" t="s">
        <v>21437</v>
      </c>
    </row>
    <row r="7834" spans="2:4" x14ac:dyDescent="0.3">
      <c r="B7834" s="33" t="s">
        <v>20048</v>
      </c>
      <c r="C7834" s="32" t="s">
        <v>21438</v>
      </c>
      <c r="D7834" s="32" t="s">
        <v>21439</v>
      </c>
    </row>
    <row r="7835" spans="2:4" x14ac:dyDescent="0.3">
      <c r="B7835" s="33" t="s">
        <v>21440</v>
      </c>
      <c r="C7835" s="32" t="s">
        <v>21441</v>
      </c>
      <c r="D7835" s="32" t="s">
        <v>21442</v>
      </c>
    </row>
    <row r="7836" spans="2:4" x14ac:dyDescent="0.3">
      <c r="B7836" s="33" t="s">
        <v>37419</v>
      </c>
      <c r="C7836" s="32" t="s">
        <v>37420</v>
      </c>
      <c r="D7836" s="32" t="s">
        <v>37421</v>
      </c>
    </row>
    <row r="7837" spans="2:4" x14ac:dyDescent="0.3">
      <c r="B7837" s="33" t="s">
        <v>21443</v>
      </c>
      <c r="C7837" s="32" t="s">
        <v>21444</v>
      </c>
      <c r="D7837" s="32" t="s">
        <v>21443</v>
      </c>
    </row>
    <row r="7838" spans="2:4" x14ac:dyDescent="0.3">
      <c r="B7838" s="33" t="s">
        <v>21445</v>
      </c>
      <c r="C7838" s="32" t="s">
        <v>21446</v>
      </c>
      <c r="D7838" s="32" t="s">
        <v>21445</v>
      </c>
    </row>
    <row r="7839" spans="2:4" x14ac:dyDescent="0.3">
      <c r="B7839" s="33" t="s">
        <v>21447</v>
      </c>
      <c r="C7839" s="32" t="s">
        <v>21448</v>
      </c>
      <c r="D7839" s="32" t="s">
        <v>21449</v>
      </c>
    </row>
    <row r="7840" spans="2:4" x14ac:dyDescent="0.3">
      <c r="B7840" s="33" t="s">
        <v>21447</v>
      </c>
      <c r="C7840" s="32" t="s">
        <v>21450</v>
      </c>
      <c r="D7840" s="32" t="s">
        <v>21451</v>
      </c>
    </row>
    <row r="7841" spans="2:4" x14ac:dyDescent="0.3">
      <c r="B7841" s="33" t="s">
        <v>21452</v>
      </c>
      <c r="C7841" s="32" t="s">
        <v>21453</v>
      </c>
      <c r="D7841" s="32" t="s">
        <v>21452</v>
      </c>
    </row>
    <row r="7842" spans="2:4" x14ac:dyDescent="0.3">
      <c r="B7842" s="33" t="s">
        <v>21454</v>
      </c>
      <c r="C7842" s="32" t="s">
        <v>21455</v>
      </c>
      <c r="D7842" s="32" t="s">
        <v>21456</v>
      </c>
    </row>
    <row r="7843" spans="2:4" x14ac:dyDescent="0.3">
      <c r="B7843" s="33" t="s">
        <v>21457</v>
      </c>
      <c r="C7843" s="32" t="s">
        <v>21458</v>
      </c>
      <c r="D7843" s="32" t="s">
        <v>21459</v>
      </c>
    </row>
    <row r="7844" spans="2:4" x14ac:dyDescent="0.3">
      <c r="B7844" s="33" t="s">
        <v>21460</v>
      </c>
      <c r="C7844" s="32" t="s">
        <v>21461</v>
      </c>
      <c r="D7844" s="32" t="s">
        <v>21462</v>
      </c>
    </row>
    <row r="7845" spans="2:4" x14ac:dyDescent="0.3">
      <c r="B7845" s="33" t="s">
        <v>19453</v>
      </c>
      <c r="C7845" s="32" t="s">
        <v>21463</v>
      </c>
      <c r="D7845" s="32" t="s">
        <v>21464</v>
      </c>
    </row>
    <row r="7846" spans="2:4" x14ac:dyDescent="0.3">
      <c r="B7846" s="33" t="s">
        <v>21465</v>
      </c>
      <c r="C7846" s="32" t="s">
        <v>21466</v>
      </c>
      <c r="D7846" s="32" t="s">
        <v>21467</v>
      </c>
    </row>
    <row r="7847" spans="2:4" x14ac:dyDescent="0.3">
      <c r="B7847" s="33" t="s">
        <v>21468</v>
      </c>
      <c r="C7847" s="32" t="s">
        <v>21469</v>
      </c>
      <c r="D7847" s="32" t="s">
        <v>21470</v>
      </c>
    </row>
    <row r="7848" spans="2:4" x14ac:dyDescent="0.3">
      <c r="B7848" s="33" t="s">
        <v>19728</v>
      </c>
      <c r="C7848" s="32" t="s">
        <v>21471</v>
      </c>
      <c r="D7848" s="32" t="s">
        <v>19728</v>
      </c>
    </row>
    <row r="7849" spans="2:4" x14ac:dyDescent="0.3">
      <c r="B7849" s="33" t="s">
        <v>21472</v>
      </c>
      <c r="C7849" s="32" t="s">
        <v>21473</v>
      </c>
      <c r="D7849" s="32" t="s">
        <v>21474</v>
      </c>
    </row>
    <row r="7850" spans="2:4" x14ac:dyDescent="0.3">
      <c r="B7850" s="33" t="s">
        <v>21475</v>
      </c>
      <c r="C7850" s="32" t="s">
        <v>21476</v>
      </c>
      <c r="D7850" s="32" t="s">
        <v>21477</v>
      </c>
    </row>
    <row r="7851" spans="2:4" x14ac:dyDescent="0.3">
      <c r="B7851" s="33" t="s">
        <v>21478</v>
      </c>
      <c r="C7851" s="32" t="s">
        <v>21479</v>
      </c>
      <c r="D7851" s="32" t="s">
        <v>21478</v>
      </c>
    </row>
    <row r="7852" spans="2:4" x14ac:dyDescent="0.3">
      <c r="B7852" s="33" t="s">
        <v>21480</v>
      </c>
      <c r="C7852" s="32" t="s">
        <v>21481</v>
      </c>
      <c r="D7852" s="32" t="s">
        <v>21482</v>
      </c>
    </row>
    <row r="7853" spans="2:4" x14ac:dyDescent="0.3">
      <c r="B7853" s="33" t="s">
        <v>19688</v>
      </c>
      <c r="C7853" s="32" t="s">
        <v>21483</v>
      </c>
      <c r="D7853" s="32" t="s">
        <v>21484</v>
      </c>
    </row>
    <row r="7854" spans="2:4" x14ac:dyDescent="0.3">
      <c r="B7854" s="33" t="s">
        <v>21485</v>
      </c>
      <c r="C7854" s="32" t="s">
        <v>21486</v>
      </c>
      <c r="D7854" s="32" t="s">
        <v>21487</v>
      </c>
    </row>
    <row r="7855" spans="2:4" x14ac:dyDescent="0.3">
      <c r="B7855" s="33" t="s">
        <v>21488</v>
      </c>
      <c r="C7855" s="32" t="s">
        <v>21489</v>
      </c>
      <c r="D7855" s="32" t="s">
        <v>21490</v>
      </c>
    </row>
    <row r="7856" spans="2:4" x14ac:dyDescent="0.3">
      <c r="B7856" s="33" t="s">
        <v>21491</v>
      </c>
      <c r="C7856" s="32" t="s">
        <v>21492</v>
      </c>
      <c r="D7856" s="32" t="s">
        <v>21493</v>
      </c>
    </row>
    <row r="7857" spans="2:4" x14ac:dyDescent="0.3">
      <c r="B7857" s="33" t="s">
        <v>21494</v>
      </c>
      <c r="C7857" s="32" t="s">
        <v>21495</v>
      </c>
      <c r="D7857" s="32" t="s">
        <v>21496</v>
      </c>
    </row>
    <row r="7858" spans="2:4" x14ac:dyDescent="0.3">
      <c r="B7858" s="33" t="s">
        <v>20212</v>
      </c>
      <c r="C7858" s="32" t="s">
        <v>21497</v>
      </c>
      <c r="D7858" s="32" t="s">
        <v>21498</v>
      </c>
    </row>
    <row r="7859" spans="2:4" x14ac:dyDescent="0.3">
      <c r="B7859" s="33" t="s">
        <v>21499</v>
      </c>
      <c r="C7859" s="32" t="s">
        <v>21500</v>
      </c>
      <c r="D7859" s="32" t="s">
        <v>21501</v>
      </c>
    </row>
    <row r="7860" spans="2:4" x14ac:dyDescent="0.3">
      <c r="B7860" s="33" t="s">
        <v>21502</v>
      </c>
      <c r="C7860" s="32" t="s">
        <v>21503</v>
      </c>
      <c r="D7860" s="32" t="s">
        <v>21504</v>
      </c>
    </row>
    <row r="7861" spans="2:4" x14ac:dyDescent="0.3">
      <c r="B7861" s="33" t="s">
        <v>21505</v>
      </c>
      <c r="C7861" s="32" t="s">
        <v>21506</v>
      </c>
      <c r="D7861" s="32" t="s">
        <v>21507</v>
      </c>
    </row>
    <row r="7862" spans="2:4" x14ac:dyDescent="0.3">
      <c r="B7862" s="33" t="s">
        <v>21508</v>
      </c>
      <c r="C7862" s="32" t="s">
        <v>21509</v>
      </c>
      <c r="D7862" s="32" t="s">
        <v>21510</v>
      </c>
    </row>
    <row r="7863" spans="2:4" x14ac:dyDescent="0.3">
      <c r="B7863" s="33" t="s">
        <v>21511</v>
      </c>
      <c r="C7863" s="32" t="s">
        <v>21512</v>
      </c>
      <c r="D7863" s="32" t="s">
        <v>21513</v>
      </c>
    </row>
    <row r="7864" spans="2:4" x14ac:dyDescent="0.3">
      <c r="B7864" s="33" t="s">
        <v>21514</v>
      </c>
      <c r="C7864" s="32" t="s">
        <v>21515</v>
      </c>
      <c r="D7864" s="32" t="s">
        <v>21516</v>
      </c>
    </row>
    <row r="7865" spans="2:4" x14ac:dyDescent="0.3">
      <c r="B7865" s="33" t="s">
        <v>21511</v>
      </c>
      <c r="C7865" s="32" t="s">
        <v>21517</v>
      </c>
      <c r="D7865" s="32" t="s">
        <v>21518</v>
      </c>
    </row>
    <row r="7866" spans="2:4" x14ac:dyDescent="0.3">
      <c r="B7866" s="33" t="s">
        <v>21519</v>
      </c>
      <c r="C7866" s="32" t="s">
        <v>21520</v>
      </c>
      <c r="D7866" s="32" t="s">
        <v>21521</v>
      </c>
    </row>
    <row r="7867" spans="2:4" x14ac:dyDescent="0.3">
      <c r="B7867" s="33" t="s">
        <v>21522</v>
      </c>
      <c r="C7867" s="32" t="s">
        <v>21523</v>
      </c>
      <c r="D7867" s="32" t="s">
        <v>21524</v>
      </c>
    </row>
    <row r="7868" spans="2:4" x14ac:dyDescent="0.3">
      <c r="B7868" s="33" t="s">
        <v>21525</v>
      </c>
      <c r="C7868" s="32" t="s">
        <v>21526</v>
      </c>
      <c r="D7868" s="32" t="s">
        <v>21527</v>
      </c>
    </row>
    <row r="7869" spans="2:4" x14ac:dyDescent="0.3">
      <c r="B7869" s="33" t="s">
        <v>21528</v>
      </c>
      <c r="C7869" s="32" t="s">
        <v>21529</v>
      </c>
      <c r="D7869" s="32" t="s">
        <v>21530</v>
      </c>
    </row>
    <row r="7870" spans="2:4" x14ac:dyDescent="0.3">
      <c r="B7870" s="33" t="s">
        <v>21531</v>
      </c>
      <c r="C7870" s="32" t="s">
        <v>21532</v>
      </c>
      <c r="D7870" s="32" t="s">
        <v>21533</v>
      </c>
    </row>
    <row r="7871" spans="2:4" x14ac:dyDescent="0.3">
      <c r="B7871" s="33" t="s">
        <v>21534</v>
      </c>
      <c r="C7871" s="32" t="s">
        <v>21535</v>
      </c>
      <c r="D7871" s="32" t="s">
        <v>21536</v>
      </c>
    </row>
    <row r="7872" spans="2:4" x14ac:dyDescent="0.3">
      <c r="B7872" s="33" t="s">
        <v>21537</v>
      </c>
      <c r="C7872" s="32" t="s">
        <v>21538</v>
      </c>
      <c r="D7872" s="32" t="s">
        <v>21539</v>
      </c>
    </row>
    <row r="7873" spans="2:4" x14ac:dyDescent="0.3">
      <c r="B7873" s="33" t="s">
        <v>21540</v>
      </c>
      <c r="C7873" s="32" t="s">
        <v>21541</v>
      </c>
      <c r="D7873" s="32" t="s">
        <v>21542</v>
      </c>
    </row>
    <row r="7874" spans="2:4" x14ac:dyDescent="0.3">
      <c r="B7874" s="33" t="s">
        <v>21543</v>
      </c>
      <c r="C7874" s="32" t="s">
        <v>21544</v>
      </c>
      <c r="D7874" s="32" t="s">
        <v>21545</v>
      </c>
    </row>
    <row r="7875" spans="2:4" x14ac:dyDescent="0.3">
      <c r="B7875" s="33" t="s">
        <v>21546</v>
      </c>
      <c r="C7875" s="32" t="s">
        <v>21547</v>
      </c>
      <c r="D7875" s="32" t="s">
        <v>21548</v>
      </c>
    </row>
    <row r="7876" spans="2:4" x14ac:dyDescent="0.3">
      <c r="B7876" s="33" t="s">
        <v>21549</v>
      </c>
      <c r="C7876" s="32" t="s">
        <v>21550</v>
      </c>
      <c r="D7876" s="32" t="s">
        <v>21551</v>
      </c>
    </row>
    <row r="7877" spans="2:4" x14ac:dyDescent="0.3">
      <c r="B7877" s="33" t="s">
        <v>21511</v>
      </c>
      <c r="C7877" s="32" t="s">
        <v>21552</v>
      </c>
      <c r="D7877" s="32" t="s">
        <v>21553</v>
      </c>
    </row>
    <row r="7878" spans="2:4" x14ac:dyDescent="0.3">
      <c r="B7878" s="33" t="s">
        <v>21554</v>
      </c>
      <c r="C7878" s="32" t="s">
        <v>21555</v>
      </c>
      <c r="D7878" s="32" t="s">
        <v>21556</v>
      </c>
    </row>
    <row r="7879" spans="2:4" x14ac:dyDescent="0.3">
      <c r="B7879" s="33" t="s">
        <v>21557</v>
      </c>
      <c r="C7879" s="32" t="s">
        <v>21558</v>
      </c>
      <c r="D7879" s="32" t="s">
        <v>21559</v>
      </c>
    </row>
    <row r="7880" spans="2:4" x14ac:dyDescent="0.3">
      <c r="B7880" s="33" t="s">
        <v>21560</v>
      </c>
      <c r="C7880" s="32" t="s">
        <v>21561</v>
      </c>
      <c r="D7880" s="32" t="s">
        <v>21562</v>
      </c>
    </row>
    <row r="7881" spans="2:4" x14ac:dyDescent="0.3">
      <c r="B7881" s="33" t="s">
        <v>21563</v>
      </c>
      <c r="C7881" s="32" t="s">
        <v>21564</v>
      </c>
      <c r="D7881" s="32" t="s">
        <v>21565</v>
      </c>
    </row>
    <row r="7882" spans="2:4" x14ac:dyDescent="0.3">
      <c r="B7882" s="33" t="s">
        <v>21566</v>
      </c>
      <c r="C7882" s="32" t="s">
        <v>21567</v>
      </c>
      <c r="D7882" s="32" t="s">
        <v>21568</v>
      </c>
    </row>
    <row r="7883" spans="2:4" x14ac:dyDescent="0.3">
      <c r="B7883" s="33" t="s">
        <v>21569</v>
      </c>
      <c r="C7883" s="32" t="s">
        <v>21570</v>
      </c>
      <c r="D7883" s="32" t="s">
        <v>21571</v>
      </c>
    </row>
    <row r="7884" spans="2:4" x14ac:dyDescent="0.3">
      <c r="B7884" s="33" t="s">
        <v>21572</v>
      </c>
      <c r="C7884" s="32" t="s">
        <v>21573</v>
      </c>
      <c r="D7884" s="32" t="s">
        <v>21574</v>
      </c>
    </row>
    <row r="7885" spans="2:4" x14ac:dyDescent="0.3">
      <c r="B7885" s="33" t="s">
        <v>21575</v>
      </c>
      <c r="C7885" s="32" t="s">
        <v>21576</v>
      </c>
      <c r="D7885" s="32" t="s">
        <v>21577</v>
      </c>
    </row>
    <row r="7886" spans="2:4" x14ac:dyDescent="0.3">
      <c r="B7886" s="33" t="s">
        <v>21578</v>
      </c>
      <c r="C7886" s="32" t="s">
        <v>21579</v>
      </c>
      <c r="D7886" s="32" t="s">
        <v>21580</v>
      </c>
    </row>
    <row r="7887" spans="2:4" x14ac:dyDescent="0.3">
      <c r="B7887" s="33" t="s">
        <v>21581</v>
      </c>
      <c r="C7887" s="32" t="s">
        <v>21582</v>
      </c>
      <c r="D7887" s="32" t="s">
        <v>21583</v>
      </c>
    </row>
    <row r="7888" spans="2:4" x14ac:dyDescent="0.3">
      <c r="B7888" s="33" t="s">
        <v>19731</v>
      </c>
      <c r="C7888" s="32" t="s">
        <v>21584</v>
      </c>
      <c r="D7888" s="32" t="s">
        <v>21585</v>
      </c>
    </row>
    <row r="7889" spans="2:4" x14ac:dyDescent="0.3">
      <c r="B7889" s="33" t="s">
        <v>20623</v>
      </c>
      <c r="C7889" s="32" t="s">
        <v>21586</v>
      </c>
      <c r="D7889" s="32" t="s">
        <v>21587</v>
      </c>
    </row>
    <row r="7890" spans="2:4" x14ac:dyDescent="0.3">
      <c r="B7890" s="33" t="s">
        <v>21588</v>
      </c>
      <c r="C7890" s="32" t="s">
        <v>21589</v>
      </c>
      <c r="D7890" s="32" t="s">
        <v>21590</v>
      </c>
    </row>
    <row r="7891" spans="2:4" x14ac:dyDescent="0.3">
      <c r="B7891" s="33" t="s">
        <v>21591</v>
      </c>
      <c r="C7891" s="32" t="s">
        <v>21592</v>
      </c>
      <c r="D7891" s="32" t="s">
        <v>21593</v>
      </c>
    </row>
    <row r="7892" spans="2:4" x14ac:dyDescent="0.3">
      <c r="B7892" s="33" t="s">
        <v>21594</v>
      </c>
      <c r="C7892" s="32" t="s">
        <v>21595</v>
      </c>
      <c r="D7892" s="32" t="s">
        <v>21596</v>
      </c>
    </row>
    <row r="7893" spans="2:4" x14ac:dyDescent="0.3">
      <c r="B7893" s="33" t="s">
        <v>17669</v>
      </c>
      <c r="C7893" s="32" t="s">
        <v>21597</v>
      </c>
      <c r="D7893" s="32" t="s">
        <v>21598</v>
      </c>
    </row>
    <row r="7894" spans="2:4" x14ac:dyDescent="0.3">
      <c r="B7894" s="33" t="s">
        <v>21599</v>
      </c>
      <c r="C7894" s="32" t="s">
        <v>21600</v>
      </c>
      <c r="D7894" s="32" t="s">
        <v>21601</v>
      </c>
    </row>
    <row r="7895" spans="2:4" x14ac:dyDescent="0.3">
      <c r="B7895" s="33" t="s">
        <v>21602</v>
      </c>
      <c r="C7895" s="32" t="s">
        <v>21603</v>
      </c>
      <c r="D7895" s="32" t="s">
        <v>21604</v>
      </c>
    </row>
    <row r="7896" spans="2:4" x14ac:dyDescent="0.3">
      <c r="B7896" s="33" t="s">
        <v>21605</v>
      </c>
      <c r="C7896" s="32" t="s">
        <v>21606</v>
      </c>
      <c r="D7896" s="32" t="s">
        <v>21605</v>
      </c>
    </row>
    <row r="7897" spans="2:4" x14ac:dyDescent="0.3">
      <c r="B7897" s="33" t="s">
        <v>21602</v>
      </c>
      <c r="C7897" s="32" t="s">
        <v>21607</v>
      </c>
      <c r="D7897" s="32" t="s">
        <v>21608</v>
      </c>
    </row>
    <row r="7898" spans="2:4" x14ac:dyDescent="0.3">
      <c r="B7898" s="33" t="s">
        <v>21609</v>
      </c>
      <c r="C7898" s="32" t="s">
        <v>21610</v>
      </c>
      <c r="D7898" s="32" t="s">
        <v>21611</v>
      </c>
    </row>
    <row r="7899" spans="2:4" x14ac:dyDescent="0.3">
      <c r="B7899" s="33" t="s">
        <v>21602</v>
      </c>
      <c r="C7899" s="32" t="s">
        <v>21612</v>
      </c>
      <c r="D7899" s="32" t="s">
        <v>21613</v>
      </c>
    </row>
    <row r="7900" spans="2:4" x14ac:dyDescent="0.3">
      <c r="B7900" s="33" t="s">
        <v>21614</v>
      </c>
      <c r="C7900" s="32" t="s">
        <v>21615</v>
      </c>
      <c r="D7900" s="32" t="s">
        <v>21616</v>
      </c>
    </row>
    <row r="7901" spans="2:4" x14ac:dyDescent="0.3">
      <c r="B7901" s="33" t="s">
        <v>21617</v>
      </c>
      <c r="C7901" s="32" t="s">
        <v>21618</v>
      </c>
      <c r="D7901" s="32" t="s">
        <v>21619</v>
      </c>
    </row>
    <row r="7902" spans="2:4" x14ac:dyDescent="0.3">
      <c r="B7902" s="33" t="s">
        <v>21620</v>
      </c>
      <c r="C7902" s="32" t="s">
        <v>21621</v>
      </c>
      <c r="D7902" s="32" t="s">
        <v>21622</v>
      </c>
    </row>
    <row r="7903" spans="2:4" x14ac:dyDescent="0.3">
      <c r="B7903" s="33" t="s">
        <v>97</v>
      </c>
      <c r="C7903" s="32" t="s">
        <v>21623</v>
      </c>
      <c r="D7903" s="32" t="s">
        <v>98</v>
      </c>
    </row>
    <row r="7904" spans="2:4" x14ac:dyDescent="0.3">
      <c r="B7904" s="33" t="s">
        <v>21624</v>
      </c>
      <c r="C7904" s="32" t="s">
        <v>21625</v>
      </c>
      <c r="D7904" s="32" t="s">
        <v>21626</v>
      </c>
    </row>
    <row r="7905" spans="2:4" x14ac:dyDescent="0.3">
      <c r="B7905" s="33" t="s">
        <v>21627</v>
      </c>
      <c r="C7905" s="32" t="s">
        <v>21628</v>
      </c>
      <c r="D7905" s="32" t="s">
        <v>21629</v>
      </c>
    </row>
    <row r="7906" spans="2:4" x14ac:dyDescent="0.3">
      <c r="B7906" s="33" t="s">
        <v>21630</v>
      </c>
      <c r="C7906" s="32" t="s">
        <v>21631</v>
      </c>
      <c r="D7906" s="32" t="s">
        <v>21632</v>
      </c>
    </row>
    <row r="7907" spans="2:4" x14ac:dyDescent="0.3">
      <c r="B7907" s="33" t="s">
        <v>21633</v>
      </c>
      <c r="C7907" s="32" t="s">
        <v>21634</v>
      </c>
      <c r="D7907" s="32" t="s">
        <v>21635</v>
      </c>
    </row>
    <row r="7908" spans="2:4" x14ac:dyDescent="0.3">
      <c r="B7908" s="33" t="s">
        <v>21636</v>
      </c>
      <c r="C7908" s="32" t="s">
        <v>21637</v>
      </c>
      <c r="D7908" s="32" t="s">
        <v>21638</v>
      </c>
    </row>
    <row r="7909" spans="2:4" x14ac:dyDescent="0.3">
      <c r="B7909" s="33" t="s">
        <v>21639</v>
      </c>
      <c r="C7909" s="32" t="s">
        <v>21640</v>
      </c>
      <c r="D7909" s="32" t="s">
        <v>21641</v>
      </c>
    </row>
    <row r="7910" spans="2:4" x14ac:dyDescent="0.3">
      <c r="B7910" s="33" t="s">
        <v>21642</v>
      </c>
      <c r="C7910" s="32" t="s">
        <v>21643</v>
      </c>
      <c r="D7910" s="32" t="s">
        <v>21644</v>
      </c>
    </row>
    <row r="7911" spans="2:4" x14ac:dyDescent="0.3">
      <c r="B7911" s="33" t="s">
        <v>20054</v>
      </c>
      <c r="C7911" s="32" t="s">
        <v>21645</v>
      </c>
      <c r="D7911" s="32" t="s">
        <v>21646</v>
      </c>
    </row>
    <row r="7912" spans="2:4" x14ac:dyDescent="0.3">
      <c r="B7912" s="33" t="s">
        <v>21647</v>
      </c>
      <c r="C7912" s="32" t="s">
        <v>21648</v>
      </c>
      <c r="D7912" s="32" t="s">
        <v>21649</v>
      </c>
    </row>
    <row r="7913" spans="2:4" x14ac:dyDescent="0.3">
      <c r="B7913" s="33" t="s">
        <v>21650</v>
      </c>
      <c r="C7913" s="32" t="s">
        <v>21651</v>
      </c>
      <c r="D7913" s="32" t="s">
        <v>21652</v>
      </c>
    </row>
    <row r="7914" spans="2:4" x14ac:dyDescent="0.3">
      <c r="B7914" s="33" t="s">
        <v>21653</v>
      </c>
      <c r="C7914" s="32" t="s">
        <v>21654</v>
      </c>
      <c r="D7914" s="32" t="s">
        <v>21655</v>
      </c>
    </row>
    <row r="7915" spans="2:4" x14ac:dyDescent="0.3">
      <c r="B7915" s="33" t="s">
        <v>16312</v>
      </c>
      <c r="C7915" s="32" t="s">
        <v>21656</v>
      </c>
      <c r="D7915" s="32" t="s">
        <v>21657</v>
      </c>
    </row>
    <row r="7916" spans="2:4" x14ac:dyDescent="0.3">
      <c r="B7916" s="33" t="s">
        <v>21658</v>
      </c>
      <c r="C7916" s="32" t="s">
        <v>21659</v>
      </c>
      <c r="D7916" s="32" t="s">
        <v>21660</v>
      </c>
    </row>
    <row r="7917" spans="2:4" x14ac:dyDescent="0.3">
      <c r="B7917" s="33" t="s">
        <v>36640</v>
      </c>
      <c r="C7917" s="32" t="s">
        <v>36641</v>
      </c>
      <c r="D7917" s="32" t="s">
        <v>36642</v>
      </c>
    </row>
    <row r="7918" spans="2:4" x14ac:dyDescent="0.3">
      <c r="B7918" s="33" t="s">
        <v>20054</v>
      </c>
      <c r="C7918" s="32" t="s">
        <v>21661</v>
      </c>
      <c r="D7918" s="32" t="s">
        <v>21662</v>
      </c>
    </row>
    <row r="7919" spans="2:4" x14ac:dyDescent="0.3">
      <c r="B7919" s="33" t="s">
        <v>21663</v>
      </c>
      <c r="C7919" s="32" t="s">
        <v>21664</v>
      </c>
      <c r="D7919" s="32" t="s">
        <v>21665</v>
      </c>
    </row>
    <row r="7920" spans="2:4" x14ac:dyDescent="0.3">
      <c r="B7920" s="33" t="s">
        <v>19654</v>
      </c>
      <c r="C7920" s="32" t="s">
        <v>21666</v>
      </c>
      <c r="D7920" s="32" t="s">
        <v>21667</v>
      </c>
    </row>
    <row r="7921" spans="2:4" x14ac:dyDescent="0.3">
      <c r="B7921" s="33" t="s">
        <v>21668</v>
      </c>
      <c r="C7921" s="32" t="s">
        <v>21669</v>
      </c>
      <c r="D7921" s="32" t="s">
        <v>21670</v>
      </c>
    </row>
    <row r="7922" spans="2:4" x14ac:dyDescent="0.3">
      <c r="B7922" s="33" t="s">
        <v>21668</v>
      </c>
      <c r="C7922" s="32" t="s">
        <v>21671</v>
      </c>
      <c r="D7922" s="32" t="s">
        <v>21672</v>
      </c>
    </row>
    <row r="7923" spans="2:4" x14ac:dyDescent="0.3">
      <c r="B7923" s="33" t="s">
        <v>21673</v>
      </c>
      <c r="C7923" s="32" t="s">
        <v>21674</v>
      </c>
      <c r="D7923" s="32" t="s">
        <v>21675</v>
      </c>
    </row>
    <row r="7924" spans="2:4" x14ac:dyDescent="0.3">
      <c r="B7924" s="33" t="s">
        <v>21609</v>
      </c>
      <c r="C7924" s="32" t="s">
        <v>21676</v>
      </c>
      <c r="D7924" s="32" t="s">
        <v>21677</v>
      </c>
    </row>
    <row r="7925" spans="2:4" x14ac:dyDescent="0.3">
      <c r="B7925" s="33" t="s">
        <v>21678</v>
      </c>
      <c r="C7925" s="32" t="s">
        <v>21679</v>
      </c>
      <c r="D7925" s="32" t="s">
        <v>21680</v>
      </c>
    </row>
    <row r="7926" spans="2:4" x14ac:dyDescent="0.3">
      <c r="B7926" s="33" t="s">
        <v>21681</v>
      </c>
      <c r="C7926" s="32" t="s">
        <v>21682</v>
      </c>
      <c r="D7926" s="32" t="s">
        <v>21683</v>
      </c>
    </row>
    <row r="7927" spans="2:4" x14ac:dyDescent="0.3">
      <c r="B7927" s="33" t="s">
        <v>20054</v>
      </c>
      <c r="C7927" s="32" t="s">
        <v>21684</v>
      </c>
      <c r="D7927" s="32" t="s">
        <v>21685</v>
      </c>
    </row>
    <row r="7928" spans="2:4" x14ac:dyDescent="0.3">
      <c r="B7928" s="33" t="s">
        <v>21686</v>
      </c>
      <c r="C7928" s="32" t="s">
        <v>21687</v>
      </c>
      <c r="D7928" s="32" t="s">
        <v>21688</v>
      </c>
    </row>
    <row r="7929" spans="2:4" x14ac:dyDescent="0.3">
      <c r="B7929" s="33" t="s">
        <v>21689</v>
      </c>
      <c r="C7929" s="32" t="s">
        <v>21690</v>
      </c>
      <c r="D7929" s="32" t="s">
        <v>21691</v>
      </c>
    </row>
    <row r="7930" spans="2:4" x14ac:dyDescent="0.3">
      <c r="B7930" s="33" t="s">
        <v>21692</v>
      </c>
      <c r="C7930" s="32" t="s">
        <v>21693</v>
      </c>
      <c r="D7930" s="32" t="s">
        <v>21694</v>
      </c>
    </row>
    <row r="7931" spans="2:4" x14ac:dyDescent="0.3">
      <c r="B7931" s="33" t="s">
        <v>21695</v>
      </c>
      <c r="C7931" s="32" t="s">
        <v>21696</v>
      </c>
      <c r="D7931" s="32" t="s">
        <v>21697</v>
      </c>
    </row>
    <row r="7932" spans="2:4" x14ac:dyDescent="0.3">
      <c r="B7932" s="33" t="s">
        <v>21698</v>
      </c>
      <c r="C7932" s="32" t="s">
        <v>21699</v>
      </c>
      <c r="D7932" s="32" t="s">
        <v>21700</v>
      </c>
    </row>
    <row r="7933" spans="2:4" x14ac:dyDescent="0.3">
      <c r="B7933" s="33" t="s">
        <v>21689</v>
      </c>
      <c r="C7933" s="32" t="s">
        <v>21701</v>
      </c>
      <c r="D7933" s="32" t="s">
        <v>21702</v>
      </c>
    </row>
    <row r="7934" spans="2:4" x14ac:dyDescent="0.3">
      <c r="B7934" s="33" t="s">
        <v>21465</v>
      </c>
      <c r="C7934" s="32" t="s">
        <v>21703</v>
      </c>
      <c r="D7934" s="32" t="s">
        <v>21704</v>
      </c>
    </row>
    <row r="7935" spans="2:4" x14ac:dyDescent="0.3">
      <c r="B7935" s="33" t="s">
        <v>21705</v>
      </c>
      <c r="C7935" s="32" t="s">
        <v>21706</v>
      </c>
      <c r="D7935" s="32" t="s">
        <v>21707</v>
      </c>
    </row>
    <row r="7936" spans="2:4" x14ac:dyDescent="0.3">
      <c r="B7936" s="33" t="s">
        <v>21708</v>
      </c>
      <c r="C7936" s="32" t="s">
        <v>21709</v>
      </c>
      <c r="D7936" s="32" t="s">
        <v>21710</v>
      </c>
    </row>
    <row r="7937" spans="2:4" x14ac:dyDescent="0.3">
      <c r="B7937" s="33" t="s">
        <v>21711</v>
      </c>
      <c r="C7937" s="32" t="s">
        <v>21712</v>
      </c>
      <c r="D7937" s="32" t="s">
        <v>21713</v>
      </c>
    </row>
    <row r="7938" spans="2:4" x14ac:dyDescent="0.3">
      <c r="B7938" s="33" t="s">
        <v>5035</v>
      </c>
      <c r="C7938" s="32" t="s">
        <v>21714</v>
      </c>
      <c r="D7938" s="32" t="s">
        <v>21715</v>
      </c>
    </row>
    <row r="7939" spans="2:4" x14ac:dyDescent="0.3">
      <c r="B7939" s="33" t="s">
        <v>21678</v>
      </c>
      <c r="C7939" s="32" t="s">
        <v>21716</v>
      </c>
      <c r="D7939" s="32" t="s">
        <v>21717</v>
      </c>
    </row>
    <row r="7940" spans="2:4" x14ac:dyDescent="0.3">
      <c r="B7940" s="33" t="s">
        <v>21718</v>
      </c>
      <c r="C7940" s="32" t="s">
        <v>21719</v>
      </c>
      <c r="D7940" s="32" t="s">
        <v>21720</v>
      </c>
    </row>
    <row r="7941" spans="2:4" x14ac:dyDescent="0.3">
      <c r="B7941" s="33" t="s">
        <v>21721</v>
      </c>
      <c r="C7941" s="32" t="s">
        <v>21722</v>
      </c>
      <c r="D7941" s="32" t="s">
        <v>21723</v>
      </c>
    </row>
    <row r="7942" spans="2:4" x14ac:dyDescent="0.3">
      <c r="B7942" s="33" t="s">
        <v>21724</v>
      </c>
      <c r="C7942" s="32" t="s">
        <v>21725</v>
      </c>
      <c r="D7942" s="32" t="s">
        <v>21726</v>
      </c>
    </row>
    <row r="7943" spans="2:4" x14ac:dyDescent="0.3">
      <c r="B7943" s="33" t="s">
        <v>21727</v>
      </c>
      <c r="C7943" s="32" t="s">
        <v>21728</v>
      </c>
      <c r="D7943" s="32" t="s">
        <v>21729</v>
      </c>
    </row>
    <row r="7944" spans="2:4" x14ac:dyDescent="0.3">
      <c r="B7944" s="33" t="s">
        <v>21730</v>
      </c>
      <c r="C7944" s="32" t="s">
        <v>21731</v>
      </c>
      <c r="D7944" s="32" t="s">
        <v>21732</v>
      </c>
    </row>
    <row r="7945" spans="2:4" x14ac:dyDescent="0.3">
      <c r="B7945" s="33" t="s">
        <v>21733</v>
      </c>
      <c r="C7945" s="32" t="s">
        <v>21734</v>
      </c>
      <c r="D7945" s="32" t="s">
        <v>21735</v>
      </c>
    </row>
    <row r="7946" spans="2:4" x14ac:dyDescent="0.3">
      <c r="B7946" s="33" t="s">
        <v>20742</v>
      </c>
      <c r="C7946" s="32" t="s">
        <v>21736</v>
      </c>
      <c r="D7946" s="32" t="s">
        <v>21737</v>
      </c>
    </row>
    <row r="7947" spans="2:4" x14ac:dyDescent="0.3">
      <c r="B7947" s="33" t="s">
        <v>21738</v>
      </c>
      <c r="C7947" s="32" t="s">
        <v>21739</v>
      </c>
      <c r="D7947" s="32" t="s">
        <v>21740</v>
      </c>
    </row>
    <row r="7948" spans="2:4" x14ac:dyDescent="0.3">
      <c r="B7948" s="33" t="s">
        <v>21741</v>
      </c>
      <c r="C7948" s="32" t="s">
        <v>21742</v>
      </c>
      <c r="D7948" s="32" t="s">
        <v>21743</v>
      </c>
    </row>
    <row r="7949" spans="2:4" x14ac:dyDescent="0.3">
      <c r="B7949" s="33" t="s">
        <v>20054</v>
      </c>
      <c r="C7949" s="32" t="s">
        <v>21744</v>
      </c>
      <c r="D7949" s="32" t="s">
        <v>21745</v>
      </c>
    </row>
    <row r="7950" spans="2:4" x14ac:dyDescent="0.3">
      <c r="B7950" s="33" t="s">
        <v>21746</v>
      </c>
      <c r="C7950" s="32" t="s">
        <v>21747</v>
      </c>
      <c r="D7950" s="32" t="s">
        <v>21748</v>
      </c>
    </row>
    <row r="7951" spans="2:4" x14ac:dyDescent="0.3">
      <c r="B7951" s="33" t="s">
        <v>19974</v>
      </c>
      <c r="C7951" s="32" t="s">
        <v>21749</v>
      </c>
      <c r="D7951" s="32" t="s">
        <v>21750</v>
      </c>
    </row>
    <row r="7952" spans="2:4" x14ac:dyDescent="0.3">
      <c r="B7952" s="33" t="s">
        <v>21751</v>
      </c>
      <c r="C7952" s="32" t="s">
        <v>21752</v>
      </c>
      <c r="D7952" s="32" t="s">
        <v>21753</v>
      </c>
    </row>
    <row r="7953" spans="2:4" x14ac:dyDescent="0.3">
      <c r="B7953" s="33" t="s">
        <v>21754</v>
      </c>
      <c r="C7953" s="32" t="s">
        <v>21755</v>
      </c>
      <c r="D7953" s="32" t="s">
        <v>21756</v>
      </c>
    </row>
    <row r="7954" spans="2:4" x14ac:dyDescent="0.3">
      <c r="B7954" s="33" t="s">
        <v>21754</v>
      </c>
      <c r="C7954" s="32" t="s">
        <v>21757</v>
      </c>
      <c r="D7954" s="32" t="s">
        <v>21758</v>
      </c>
    </row>
    <row r="7955" spans="2:4" x14ac:dyDescent="0.3">
      <c r="B7955" s="33" t="s">
        <v>8202</v>
      </c>
      <c r="C7955" s="32" t="s">
        <v>21759</v>
      </c>
      <c r="D7955" s="32" t="s">
        <v>21760</v>
      </c>
    </row>
    <row r="7956" spans="2:4" x14ac:dyDescent="0.3">
      <c r="B7956" s="33" t="s">
        <v>21761</v>
      </c>
      <c r="C7956" s="32" t="s">
        <v>21762</v>
      </c>
      <c r="D7956" s="32" t="s">
        <v>21763</v>
      </c>
    </row>
    <row r="7957" spans="2:4" x14ac:dyDescent="0.3">
      <c r="B7957" s="33" t="s">
        <v>21764</v>
      </c>
      <c r="C7957" s="32" t="s">
        <v>21765</v>
      </c>
      <c r="D7957" s="32" t="s">
        <v>21766</v>
      </c>
    </row>
    <row r="7958" spans="2:4" x14ac:dyDescent="0.3">
      <c r="B7958" s="33" t="s">
        <v>21767</v>
      </c>
      <c r="C7958" s="32" t="s">
        <v>21768</v>
      </c>
      <c r="D7958" s="32" t="s">
        <v>21769</v>
      </c>
    </row>
    <row r="7959" spans="2:4" x14ac:dyDescent="0.3">
      <c r="B7959" s="33" t="s">
        <v>21770</v>
      </c>
      <c r="C7959" s="32" t="s">
        <v>21771</v>
      </c>
      <c r="D7959" s="32" t="s">
        <v>21772</v>
      </c>
    </row>
    <row r="7960" spans="2:4" x14ac:dyDescent="0.3">
      <c r="B7960" s="33" t="s">
        <v>21773</v>
      </c>
      <c r="C7960" s="32" t="s">
        <v>21774</v>
      </c>
      <c r="D7960" s="32" t="s">
        <v>21775</v>
      </c>
    </row>
    <row r="7961" spans="2:4" x14ac:dyDescent="0.3">
      <c r="B7961" s="33" t="s">
        <v>20360</v>
      </c>
      <c r="C7961" s="32" t="s">
        <v>21776</v>
      </c>
      <c r="D7961" s="32" t="s">
        <v>21777</v>
      </c>
    </row>
    <row r="7962" spans="2:4" x14ac:dyDescent="0.3">
      <c r="B7962" s="33" t="s">
        <v>21778</v>
      </c>
      <c r="C7962" s="32" t="s">
        <v>21779</v>
      </c>
      <c r="D7962" s="32" t="s">
        <v>21780</v>
      </c>
    </row>
    <row r="7963" spans="2:4" x14ac:dyDescent="0.3">
      <c r="B7963" s="33" t="s">
        <v>21781</v>
      </c>
      <c r="C7963" s="32" t="s">
        <v>21782</v>
      </c>
      <c r="D7963" s="32" t="s">
        <v>21783</v>
      </c>
    </row>
    <row r="7964" spans="2:4" x14ac:dyDescent="0.3">
      <c r="B7964" s="33" t="s">
        <v>21784</v>
      </c>
      <c r="C7964" s="32" t="s">
        <v>21785</v>
      </c>
      <c r="D7964" s="32" t="s">
        <v>21786</v>
      </c>
    </row>
    <row r="7965" spans="2:4" x14ac:dyDescent="0.3">
      <c r="B7965" s="33" t="s">
        <v>8202</v>
      </c>
      <c r="C7965" s="32" t="s">
        <v>21787</v>
      </c>
      <c r="D7965" s="32" t="s">
        <v>21788</v>
      </c>
    </row>
    <row r="7966" spans="2:4" x14ac:dyDescent="0.3">
      <c r="B7966" s="33" t="s">
        <v>21789</v>
      </c>
      <c r="C7966" s="32" t="s">
        <v>21790</v>
      </c>
      <c r="D7966" s="32" t="s">
        <v>21791</v>
      </c>
    </row>
    <row r="7967" spans="2:4" x14ac:dyDescent="0.3">
      <c r="B7967" s="33" t="s">
        <v>8202</v>
      </c>
      <c r="C7967" s="32" t="s">
        <v>21792</v>
      </c>
      <c r="D7967" s="32" t="s">
        <v>21793</v>
      </c>
    </row>
    <row r="7968" spans="2:4" x14ac:dyDescent="0.3">
      <c r="B7968" s="33" t="s">
        <v>21794</v>
      </c>
      <c r="C7968" s="32" t="s">
        <v>21795</v>
      </c>
      <c r="D7968" s="32" t="s">
        <v>21796</v>
      </c>
    </row>
    <row r="7969" spans="2:4" x14ac:dyDescent="0.3">
      <c r="B7969" s="33" t="s">
        <v>21171</v>
      </c>
      <c r="C7969" s="32" t="s">
        <v>21797</v>
      </c>
      <c r="D7969" s="32" t="s">
        <v>21798</v>
      </c>
    </row>
    <row r="7970" spans="2:4" x14ac:dyDescent="0.3">
      <c r="B7970" s="33" t="s">
        <v>21799</v>
      </c>
      <c r="C7970" s="32" t="s">
        <v>21800</v>
      </c>
      <c r="D7970" s="32" t="s">
        <v>21801</v>
      </c>
    </row>
    <row r="7971" spans="2:4" x14ac:dyDescent="0.3">
      <c r="B7971" s="33" t="s">
        <v>21802</v>
      </c>
      <c r="C7971" s="32" t="s">
        <v>21803</v>
      </c>
      <c r="D7971" s="32" t="s">
        <v>21804</v>
      </c>
    </row>
    <row r="7972" spans="2:4" x14ac:dyDescent="0.3">
      <c r="B7972" s="33" t="s">
        <v>1923</v>
      </c>
      <c r="C7972" s="32" t="s">
        <v>21805</v>
      </c>
      <c r="D7972" s="32" t="s">
        <v>21806</v>
      </c>
    </row>
    <row r="7973" spans="2:4" x14ac:dyDescent="0.3">
      <c r="B7973" s="33" t="s">
        <v>21807</v>
      </c>
      <c r="C7973" s="32" t="s">
        <v>21808</v>
      </c>
      <c r="D7973" s="32" t="s">
        <v>21809</v>
      </c>
    </row>
    <row r="7974" spans="2:4" x14ac:dyDescent="0.3">
      <c r="B7974" s="33" t="s">
        <v>21810</v>
      </c>
      <c r="C7974" s="32" t="s">
        <v>21811</v>
      </c>
      <c r="D7974" s="32" t="s">
        <v>21812</v>
      </c>
    </row>
    <row r="7975" spans="2:4" x14ac:dyDescent="0.3">
      <c r="B7975" s="33" t="s">
        <v>20471</v>
      </c>
      <c r="C7975" s="32" t="s">
        <v>21813</v>
      </c>
      <c r="D7975" s="32" t="s">
        <v>21814</v>
      </c>
    </row>
    <row r="7976" spans="2:4" x14ac:dyDescent="0.3">
      <c r="B7976" s="33" t="s">
        <v>21815</v>
      </c>
      <c r="C7976" s="32" t="s">
        <v>21816</v>
      </c>
      <c r="D7976" s="32" t="s">
        <v>21817</v>
      </c>
    </row>
    <row r="7977" spans="2:4" x14ac:dyDescent="0.3">
      <c r="B7977" s="33" t="s">
        <v>20151</v>
      </c>
      <c r="C7977" s="32" t="s">
        <v>21818</v>
      </c>
      <c r="D7977" s="32" t="s">
        <v>21819</v>
      </c>
    </row>
    <row r="7978" spans="2:4" x14ac:dyDescent="0.3">
      <c r="B7978" s="33" t="s">
        <v>21820</v>
      </c>
      <c r="C7978" s="32" t="s">
        <v>21821</v>
      </c>
      <c r="D7978" s="32" t="s">
        <v>21822</v>
      </c>
    </row>
    <row r="7979" spans="2:4" x14ac:dyDescent="0.3">
      <c r="B7979" s="33" t="s">
        <v>21823</v>
      </c>
      <c r="C7979" s="32" t="s">
        <v>21824</v>
      </c>
      <c r="D7979" s="32" t="s">
        <v>21825</v>
      </c>
    </row>
    <row r="7980" spans="2:4" x14ac:dyDescent="0.3">
      <c r="B7980" s="33" t="s">
        <v>21826</v>
      </c>
      <c r="C7980" s="32" t="s">
        <v>21827</v>
      </c>
      <c r="D7980" s="32" t="s">
        <v>21828</v>
      </c>
    </row>
    <row r="7981" spans="2:4" x14ac:dyDescent="0.3">
      <c r="B7981" s="33" t="s">
        <v>21829</v>
      </c>
      <c r="C7981" s="32" t="s">
        <v>21830</v>
      </c>
      <c r="D7981" s="32" t="s">
        <v>21831</v>
      </c>
    </row>
    <row r="7982" spans="2:4" x14ac:dyDescent="0.3">
      <c r="B7982" s="33" t="s">
        <v>21832</v>
      </c>
      <c r="C7982" s="32" t="s">
        <v>21833</v>
      </c>
      <c r="D7982" s="32" t="s">
        <v>21834</v>
      </c>
    </row>
    <row r="7983" spans="2:4" x14ac:dyDescent="0.3">
      <c r="B7983" s="33" t="s">
        <v>21835</v>
      </c>
      <c r="C7983" s="32" t="s">
        <v>21836</v>
      </c>
      <c r="D7983" s="32" t="s">
        <v>21837</v>
      </c>
    </row>
    <row r="7984" spans="2:4" x14ac:dyDescent="0.3">
      <c r="B7984" s="33" t="s">
        <v>21838</v>
      </c>
      <c r="C7984" s="32" t="s">
        <v>21839</v>
      </c>
      <c r="D7984" s="32" t="s">
        <v>21840</v>
      </c>
    </row>
    <row r="7985" spans="2:4" x14ac:dyDescent="0.3">
      <c r="B7985" s="33" t="s">
        <v>21841</v>
      </c>
      <c r="C7985" s="32" t="s">
        <v>21842</v>
      </c>
      <c r="D7985" s="32" t="s">
        <v>21843</v>
      </c>
    </row>
    <row r="7986" spans="2:4" x14ac:dyDescent="0.3">
      <c r="B7986" s="33" t="s">
        <v>21844</v>
      </c>
      <c r="C7986" s="32" t="s">
        <v>21845</v>
      </c>
      <c r="D7986" s="32" t="s">
        <v>21846</v>
      </c>
    </row>
    <row r="7987" spans="2:4" x14ac:dyDescent="0.3">
      <c r="B7987" s="33" t="s">
        <v>21847</v>
      </c>
      <c r="C7987" s="32" t="s">
        <v>21848</v>
      </c>
      <c r="D7987" s="32" t="s">
        <v>21849</v>
      </c>
    </row>
    <row r="7988" spans="2:4" x14ac:dyDescent="0.3">
      <c r="B7988" s="33" t="s">
        <v>20655</v>
      </c>
      <c r="C7988" s="32" t="s">
        <v>21850</v>
      </c>
      <c r="D7988" s="32" t="s">
        <v>21851</v>
      </c>
    </row>
    <row r="7989" spans="2:4" x14ac:dyDescent="0.3">
      <c r="B7989" s="33" t="s">
        <v>21852</v>
      </c>
      <c r="C7989" s="32" t="s">
        <v>21853</v>
      </c>
      <c r="D7989" s="32" t="s">
        <v>21854</v>
      </c>
    </row>
    <row r="7990" spans="2:4" x14ac:dyDescent="0.3">
      <c r="B7990" s="33" t="s">
        <v>21855</v>
      </c>
      <c r="C7990" s="32" t="s">
        <v>21856</v>
      </c>
      <c r="D7990" s="32" t="s">
        <v>21857</v>
      </c>
    </row>
    <row r="7991" spans="2:4" x14ac:dyDescent="0.3">
      <c r="B7991" s="33" t="s">
        <v>21858</v>
      </c>
      <c r="C7991" s="32" t="s">
        <v>21859</v>
      </c>
      <c r="D7991" s="32" t="s">
        <v>21860</v>
      </c>
    </row>
    <row r="7992" spans="2:4" x14ac:dyDescent="0.3">
      <c r="B7992" s="33" t="s">
        <v>1260</v>
      </c>
      <c r="C7992" s="32" t="s">
        <v>21861</v>
      </c>
      <c r="D7992" s="32" t="s">
        <v>21862</v>
      </c>
    </row>
    <row r="7993" spans="2:4" x14ac:dyDescent="0.3">
      <c r="B7993" s="33" t="s">
        <v>21863</v>
      </c>
      <c r="C7993" s="32" t="s">
        <v>21864</v>
      </c>
      <c r="D7993" s="32" t="s">
        <v>21865</v>
      </c>
    </row>
    <row r="7994" spans="2:4" x14ac:dyDescent="0.3">
      <c r="B7994" s="33" t="s">
        <v>21866</v>
      </c>
      <c r="C7994" s="32" t="s">
        <v>21867</v>
      </c>
      <c r="D7994" s="32" t="s">
        <v>21868</v>
      </c>
    </row>
    <row r="7995" spans="2:4" x14ac:dyDescent="0.3">
      <c r="B7995" s="33" t="s">
        <v>21869</v>
      </c>
      <c r="C7995" s="32" t="s">
        <v>21870</v>
      </c>
      <c r="D7995" s="32" t="s">
        <v>21871</v>
      </c>
    </row>
    <row r="7996" spans="2:4" x14ac:dyDescent="0.3">
      <c r="B7996" s="33" t="s">
        <v>21872</v>
      </c>
      <c r="C7996" s="32" t="s">
        <v>21873</v>
      </c>
      <c r="D7996" s="32" t="s">
        <v>21874</v>
      </c>
    </row>
    <row r="7997" spans="2:4" x14ac:dyDescent="0.3">
      <c r="B7997" s="33" t="s">
        <v>4120</v>
      </c>
      <c r="C7997" s="32" t="s">
        <v>21875</v>
      </c>
      <c r="D7997" s="32" t="s">
        <v>21876</v>
      </c>
    </row>
    <row r="7998" spans="2:4" x14ac:dyDescent="0.3">
      <c r="B7998" s="33" t="s">
        <v>21877</v>
      </c>
      <c r="C7998" s="32" t="s">
        <v>21878</v>
      </c>
      <c r="D7998" s="32" t="s">
        <v>21879</v>
      </c>
    </row>
    <row r="7999" spans="2:4" x14ac:dyDescent="0.3">
      <c r="B7999" s="33" t="s">
        <v>4120</v>
      </c>
      <c r="C7999" s="32" t="s">
        <v>21880</v>
      </c>
      <c r="D7999" s="32" t="s">
        <v>21881</v>
      </c>
    </row>
    <row r="8000" spans="2:4" x14ac:dyDescent="0.3">
      <c r="B8000" s="33" t="s">
        <v>21882</v>
      </c>
      <c r="C8000" s="32" t="s">
        <v>21883</v>
      </c>
      <c r="D8000" s="32" t="s">
        <v>21884</v>
      </c>
    </row>
    <row r="8001" spans="2:4" x14ac:dyDescent="0.3">
      <c r="B8001" s="33" t="s">
        <v>21885</v>
      </c>
      <c r="C8001" s="32" t="s">
        <v>21886</v>
      </c>
      <c r="D8001" s="32" t="s">
        <v>21887</v>
      </c>
    </row>
    <row r="8002" spans="2:4" x14ac:dyDescent="0.3">
      <c r="B8002" s="33" t="s">
        <v>21888</v>
      </c>
      <c r="C8002" s="32" t="s">
        <v>21889</v>
      </c>
      <c r="D8002" s="32" t="s">
        <v>21890</v>
      </c>
    </row>
    <row r="8003" spans="2:4" x14ac:dyDescent="0.3">
      <c r="B8003" s="33" t="s">
        <v>21891</v>
      </c>
      <c r="C8003" s="32" t="s">
        <v>21892</v>
      </c>
      <c r="D8003" s="32" t="s">
        <v>21893</v>
      </c>
    </row>
    <row r="8004" spans="2:4" x14ac:dyDescent="0.3">
      <c r="B8004" s="33" t="s">
        <v>8202</v>
      </c>
      <c r="C8004" s="32" t="s">
        <v>21894</v>
      </c>
      <c r="D8004" s="32" t="s">
        <v>21895</v>
      </c>
    </row>
    <row r="8005" spans="2:4" x14ac:dyDescent="0.3">
      <c r="B8005" s="33" t="s">
        <v>21896</v>
      </c>
      <c r="C8005" s="32" t="s">
        <v>21897</v>
      </c>
      <c r="D8005" s="32" t="s">
        <v>21898</v>
      </c>
    </row>
    <row r="8006" spans="2:4" x14ac:dyDescent="0.3">
      <c r="B8006" s="33" t="s">
        <v>21899</v>
      </c>
      <c r="C8006" s="32" t="s">
        <v>21900</v>
      </c>
      <c r="D8006" s="32" t="s">
        <v>21901</v>
      </c>
    </row>
    <row r="8007" spans="2:4" x14ac:dyDescent="0.3">
      <c r="B8007" s="33" t="s">
        <v>21902</v>
      </c>
      <c r="C8007" s="32" t="s">
        <v>21903</v>
      </c>
      <c r="D8007" s="32" t="s">
        <v>21904</v>
      </c>
    </row>
    <row r="8008" spans="2:4" x14ac:dyDescent="0.3">
      <c r="B8008" s="33" t="s">
        <v>21905</v>
      </c>
      <c r="C8008" s="32" t="s">
        <v>21906</v>
      </c>
      <c r="D8008" s="32" t="s">
        <v>21907</v>
      </c>
    </row>
    <row r="8009" spans="2:4" x14ac:dyDescent="0.3">
      <c r="B8009" s="33" t="s">
        <v>20932</v>
      </c>
      <c r="C8009" s="32" t="s">
        <v>21908</v>
      </c>
      <c r="D8009" s="32" t="s">
        <v>21909</v>
      </c>
    </row>
    <row r="8010" spans="2:4" x14ac:dyDescent="0.3">
      <c r="B8010" s="33" t="s">
        <v>21910</v>
      </c>
      <c r="C8010" s="32" t="s">
        <v>21911</v>
      </c>
      <c r="D8010" s="32" t="s">
        <v>21912</v>
      </c>
    </row>
    <row r="8011" spans="2:4" x14ac:dyDescent="0.3">
      <c r="B8011" s="33" t="s">
        <v>21913</v>
      </c>
      <c r="C8011" s="32" t="s">
        <v>21914</v>
      </c>
      <c r="D8011" s="32" t="s">
        <v>21915</v>
      </c>
    </row>
    <row r="8012" spans="2:4" x14ac:dyDescent="0.3">
      <c r="B8012" s="33" t="s">
        <v>8202</v>
      </c>
      <c r="C8012" s="32" t="s">
        <v>21916</v>
      </c>
      <c r="D8012" s="32" t="s">
        <v>21917</v>
      </c>
    </row>
    <row r="8013" spans="2:4" x14ac:dyDescent="0.3">
      <c r="B8013" s="33" t="s">
        <v>19541</v>
      </c>
      <c r="C8013" s="32" t="s">
        <v>21918</v>
      </c>
      <c r="D8013" s="32" t="s">
        <v>21919</v>
      </c>
    </row>
    <row r="8014" spans="2:4" x14ac:dyDescent="0.3">
      <c r="B8014" s="33" t="s">
        <v>21920</v>
      </c>
      <c r="C8014" s="32" t="s">
        <v>21921</v>
      </c>
      <c r="D8014" s="32" t="s">
        <v>21922</v>
      </c>
    </row>
    <row r="8015" spans="2:4" x14ac:dyDescent="0.3">
      <c r="B8015" s="33" t="s">
        <v>8202</v>
      </c>
      <c r="C8015" s="32" t="s">
        <v>21923</v>
      </c>
      <c r="D8015" s="32" t="s">
        <v>21924</v>
      </c>
    </row>
    <row r="8016" spans="2:4" x14ac:dyDescent="0.3">
      <c r="B8016" s="33" t="s">
        <v>21925</v>
      </c>
      <c r="C8016" s="32" t="s">
        <v>21926</v>
      </c>
      <c r="D8016" s="32" t="s">
        <v>21927</v>
      </c>
    </row>
    <row r="8017" spans="2:4" x14ac:dyDescent="0.3">
      <c r="B8017" s="33" t="s">
        <v>21928</v>
      </c>
      <c r="C8017" s="32" t="s">
        <v>21929</v>
      </c>
      <c r="D8017" s="32" t="s">
        <v>21930</v>
      </c>
    </row>
    <row r="8018" spans="2:4" x14ac:dyDescent="0.3">
      <c r="B8018" s="33" t="s">
        <v>21931</v>
      </c>
      <c r="C8018" s="32" t="s">
        <v>21932</v>
      </c>
      <c r="D8018" s="32" t="s">
        <v>21933</v>
      </c>
    </row>
    <row r="8019" spans="2:4" x14ac:dyDescent="0.3">
      <c r="B8019" s="33" t="s">
        <v>20263</v>
      </c>
      <c r="C8019" s="32" t="s">
        <v>21934</v>
      </c>
      <c r="D8019" s="32" t="s">
        <v>21935</v>
      </c>
    </row>
    <row r="8020" spans="2:4" x14ac:dyDescent="0.3">
      <c r="B8020" s="33" t="s">
        <v>21936</v>
      </c>
      <c r="C8020" s="32" t="s">
        <v>21937</v>
      </c>
      <c r="D8020" s="32" t="s">
        <v>21938</v>
      </c>
    </row>
    <row r="8021" spans="2:4" x14ac:dyDescent="0.3">
      <c r="B8021" s="33" t="s">
        <v>21939</v>
      </c>
      <c r="C8021" s="32" t="s">
        <v>21940</v>
      </c>
      <c r="D8021" s="32" t="s">
        <v>21941</v>
      </c>
    </row>
    <row r="8022" spans="2:4" x14ac:dyDescent="0.3">
      <c r="B8022" s="33" t="s">
        <v>21942</v>
      </c>
      <c r="C8022" s="32" t="s">
        <v>21943</v>
      </c>
      <c r="D8022" s="32" t="s">
        <v>21944</v>
      </c>
    </row>
    <row r="8023" spans="2:4" x14ac:dyDescent="0.3">
      <c r="B8023" s="33" t="s">
        <v>21945</v>
      </c>
      <c r="C8023" s="32" t="s">
        <v>21946</v>
      </c>
      <c r="D8023" s="32" t="s">
        <v>21947</v>
      </c>
    </row>
    <row r="8024" spans="2:4" x14ac:dyDescent="0.3">
      <c r="B8024" s="33" t="s">
        <v>21948</v>
      </c>
      <c r="C8024" s="32" t="s">
        <v>21949</v>
      </c>
      <c r="D8024" s="32" t="s">
        <v>21950</v>
      </c>
    </row>
    <row r="8025" spans="2:4" x14ac:dyDescent="0.3">
      <c r="B8025" s="33" t="s">
        <v>21658</v>
      </c>
      <c r="C8025" s="32" t="s">
        <v>21951</v>
      </c>
      <c r="D8025" s="32" t="s">
        <v>21952</v>
      </c>
    </row>
    <row r="8026" spans="2:4" x14ac:dyDescent="0.3">
      <c r="B8026" s="33" t="s">
        <v>18508</v>
      </c>
      <c r="C8026" s="32" t="s">
        <v>21953</v>
      </c>
      <c r="D8026" s="32" t="s">
        <v>21954</v>
      </c>
    </row>
    <row r="8027" spans="2:4" x14ac:dyDescent="0.3">
      <c r="B8027" s="33" t="s">
        <v>21955</v>
      </c>
      <c r="C8027" s="32" t="s">
        <v>21956</v>
      </c>
      <c r="D8027" s="32" t="s">
        <v>21955</v>
      </c>
    </row>
    <row r="8028" spans="2:4" x14ac:dyDescent="0.3">
      <c r="B8028" s="33" t="s">
        <v>941</v>
      </c>
      <c r="C8028" s="32" t="s">
        <v>21957</v>
      </c>
      <c r="D8028" s="32" t="s">
        <v>21958</v>
      </c>
    </row>
    <row r="8029" spans="2:4" x14ac:dyDescent="0.3">
      <c r="B8029" s="33" t="s">
        <v>21505</v>
      </c>
      <c r="C8029" s="32" t="s">
        <v>21959</v>
      </c>
      <c r="D8029" s="32" t="s">
        <v>21960</v>
      </c>
    </row>
    <row r="8030" spans="2:4" x14ac:dyDescent="0.3">
      <c r="B8030" s="33" t="s">
        <v>21961</v>
      </c>
      <c r="C8030" s="32" t="s">
        <v>21962</v>
      </c>
      <c r="D8030" s="32" t="s">
        <v>21963</v>
      </c>
    </row>
    <row r="8031" spans="2:4" x14ac:dyDescent="0.3">
      <c r="B8031" s="33" t="s">
        <v>21964</v>
      </c>
      <c r="C8031" s="32" t="s">
        <v>21965</v>
      </c>
      <c r="D8031" s="32" t="s">
        <v>21966</v>
      </c>
    </row>
    <row r="8032" spans="2:4" x14ac:dyDescent="0.3">
      <c r="B8032" s="33" t="s">
        <v>21967</v>
      </c>
      <c r="C8032" s="32" t="s">
        <v>21968</v>
      </c>
      <c r="D8032" s="32" t="s">
        <v>21969</v>
      </c>
    </row>
    <row r="8033" spans="2:4" x14ac:dyDescent="0.3">
      <c r="B8033" s="33" t="s">
        <v>21948</v>
      </c>
      <c r="C8033" s="32" t="s">
        <v>21970</v>
      </c>
      <c r="D8033" s="32" t="s">
        <v>21971</v>
      </c>
    </row>
    <row r="8034" spans="2:4" x14ac:dyDescent="0.3">
      <c r="B8034" s="33" t="s">
        <v>21972</v>
      </c>
      <c r="C8034" s="32" t="s">
        <v>21973</v>
      </c>
      <c r="D8034" s="32" t="s">
        <v>21974</v>
      </c>
    </row>
    <row r="8035" spans="2:4" x14ac:dyDescent="0.3">
      <c r="B8035" s="33" t="s">
        <v>21975</v>
      </c>
      <c r="C8035" s="32" t="s">
        <v>21976</v>
      </c>
      <c r="D8035" s="32" t="s">
        <v>21977</v>
      </c>
    </row>
    <row r="8036" spans="2:4" x14ac:dyDescent="0.3">
      <c r="B8036" s="33" t="s">
        <v>21978</v>
      </c>
      <c r="C8036" s="32" t="s">
        <v>21979</v>
      </c>
      <c r="D8036" s="32" t="s">
        <v>21980</v>
      </c>
    </row>
    <row r="8037" spans="2:4" x14ac:dyDescent="0.3">
      <c r="B8037" s="33" t="s">
        <v>36742</v>
      </c>
      <c r="C8037" s="32" t="s">
        <v>36743</v>
      </c>
      <c r="D8037" s="32" t="s">
        <v>36744</v>
      </c>
    </row>
    <row r="8038" spans="2:4" x14ac:dyDescent="0.3">
      <c r="B8038" s="33" t="s">
        <v>21981</v>
      </c>
      <c r="C8038" s="32" t="s">
        <v>21982</v>
      </c>
      <c r="D8038" s="32" t="s">
        <v>21983</v>
      </c>
    </row>
    <row r="8039" spans="2:4" x14ac:dyDescent="0.3">
      <c r="B8039" s="33" t="s">
        <v>21984</v>
      </c>
      <c r="C8039" s="32" t="s">
        <v>21985</v>
      </c>
      <c r="D8039" s="32" t="s">
        <v>21986</v>
      </c>
    </row>
    <row r="8040" spans="2:4" x14ac:dyDescent="0.3">
      <c r="B8040" s="33" t="s">
        <v>21987</v>
      </c>
      <c r="C8040" s="32" t="s">
        <v>21988</v>
      </c>
      <c r="D8040" s="32" t="s">
        <v>21989</v>
      </c>
    </row>
    <row r="8041" spans="2:4" x14ac:dyDescent="0.3">
      <c r="B8041" s="33" t="s">
        <v>21990</v>
      </c>
      <c r="C8041" s="32" t="s">
        <v>21991</v>
      </c>
      <c r="D8041" s="32" t="s">
        <v>21992</v>
      </c>
    </row>
    <row r="8042" spans="2:4" x14ac:dyDescent="0.3">
      <c r="B8042" s="33" t="s">
        <v>21514</v>
      </c>
      <c r="C8042" s="32" t="s">
        <v>21993</v>
      </c>
      <c r="D8042" s="32" t="s">
        <v>21994</v>
      </c>
    </row>
    <row r="8043" spans="2:4" x14ac:dyDescent="0.3">
      <c r="B8043" s="33" t="s">
        <v>21995</v>
      </c>
      <c r="C8043" s="32" t="s">
        <v>21996</v>
      </c>
      <c r="D8043" s="32" t="s">
        <v>21997</v>
      </c>
    </row>
    <row r="8044" spans="2:4" x14ac:dyDescent="0.3">
      <c r="B8044" s="33" t="s">
        <v>21998</v>
      </c>
      <c r="C8044" s="32" t="s">
        <v>21999</v>
      </c>
      <c r="D8044" s="32" t="s">
        <v>22000</v>
      </c>
    </row>
    <row r="8045" spans="2:4" x14ac:dyDescent="0.3">
      <c r="B8045" s="33" t="s">
        <v>22001</v>
      </c>
      <c r="C8045" s="32" t="s">
        <v>22002</v>
      </c>
      <c r="D8045" s="32" t="s">
        <v>22003</v>
      </c>
    </row>
    <row r="8046" spans="2:4" x14ac:dyDescent="0.3">
      <c r="B8046" s="33" t="s">
        <v>22004</v>
      </c>
      <c r="C8046" s="32" t="s">
        <v>22005</v>
      </c>
      <c r="D8046" s="32" t="s">
        <v>22006</v>
      </c>
    </row>
    <row r="8047" spans="2:4" x14ac:dyDescent="0.3">
      <c r="B8047" s="33" t="s">
        <v>21147</v>
      </c>
      <c r="C8047" s="32" t="s">
        <v>22007</v>
      </c>
      <c r="D8047" s="32" t="s">
        <v>22008</v>
      </c>
    </row>
    <row r="8048" spans="2:4" x14ac:dyDescent="0.3">
      <c r="B8048" s="33" t="s">
        <v>22009</v>
      </c>
      <c r="C8048" s="32" t="s">
        <v>22010</v>
      </c>
      <c r="D8048" s="32" t="s">
        <v>22011</v>
      </c>
    </row>
    <row r="8049" spans="2:4" x14ac:dyDescent="0.3">
      <c r="B8049" s="33" t="s">
        <v>22012</v>
      </c>
      <c r="C8049" s="32" t="s">
        <v>22013</v>
      </c>
      <c r="D8049" s="32" t="s">
        <v>22014</v>
      </c>
    </row>
    <row r="8050" spans="2:4" x14ac:dyDescent="0.3">
      <c r="B8050" s="33" t="s">
        <v>22015</v>
      </c>
      <c r="C8050" s="32" t="s">
        <v>22016</v>
      </c>
      <c r="D8050" s="32" t="s">
        <v>22017</v>
      </c>
    </row>
    <row r="8051" spans="2:4" x14ac:dyDescent="0.3">
      <c r="B8051" s="33" t="s">
        <v>36643</v>
      </c>
      <c r="C8051" s="32" t="s">
        <v>36644</v>
      </c>
      <c r="D8051" s="32" t="s">
        <v>36645</v>
      </c>
    </row>
    <row r="8052" spans="2:4" x14ac:dyDescent="0.3">
      <c r="B8052" s="33" t="s">
        <v>15754</v>
      </c>
      <c r="C8052" s="32" t="s">
        <v>22018</v>
      </c>
      <c r="D8052" s="32" t="s">
        <v>22019</v>
      </c>
    </row>
    <row r="8053" spans="2:4" x14ac:dyDescent="0.3">
      <c r="B8053" s="33" t="s">
        <v>22020</v>
      </c>
      <c r="C8053" s="32" t="s">
        <v>22021</v>
      </c>
      <c r="D8053" s="32" t="s">
        <v>22022</v>
      </c>
    </row>
    <row r="8054" spans="2:4" x14ac:dyDescent="0.3">
      <c r="B8054" s="33" t="s">
        <v>22023</v>
      </c>
      <c r="C8054" s="32" t="s">
        <v>22024</v>
      </c>
      <c r="D8054" s="32" t="s">
        <v>22025</v>
      </c>
    </row>
    <row r="8055" spans="2:4" x14ac:dyDescent="0.3">
      <c r="B8055" s="33" t="s">
        <v>36863</v>
      </c>
      <c r="C8055" s="32" t="s">
        <v>36864</v>
      </c>
      <c r="D8055" s="32" t="s">
        <v>36865</v>
      </c>
    </row>
    <row r="8056" spans="2:4" x14ac:dyDescent="0.3">
      <c r="B8056" s="33" t="s">
        <v>22026</v>
      </c>
      <c r="C8056" s="32" t="s">
        <v>22027</v>
      </c>
      <c r="D8056" s="32" t="s">
        <v>22028</v>
      </c>
    </row>
    <row r="8057" spans="2:4" x14ac:dyDescent="0.3">
      <c r="B8057" s="33" t="s">
        <v>22029</v>
      </c>
      <c r="C8057" s="32" t="s">
        <v>22030</v>
      </c>
      <c r="D8057" s="32" t="s">
        <v>22031</v>
      </c>
    </row>
    <row r="8058" spans="2:4" x14ac:dyDescent="0.3">
      <c r="B8058" s="33" t="s">
        <v>36646</v>
      </c>
      <c r="C8058" s="32" t="s">
        <v>36647</v>
      </c>
      <c r="D8058" s="32" t="s">
        <v>36648</v>
      </c>
    </row>
    <row r="8059" spans="2:4" x14ac:dyDescent="0.3">
      <c r="B8059" s="33" t="s">
        <v>22032</v>
      </c>
      <c r="C8059" s="32" t="s">
        <v>22033</v>
      </c>
      <c r="D8059" s="32" t="s">
        <v>22034</v>
      </c>
    </row>
    <row r="8060" spans="2:4" x14ac:dyDescent="0.3">
      <c r="B8060" s="33" t="s">
        <v>22035</v>
      </c>
      <c r="C8060" s="32" t="s">
        <v>22036</v>
      </c>
      <c r="D8060" s="32" t="s">
        <v>22037</v>
      </c>
    </row>
    <row r="8061" spans="2:4" x14ac:dyDescent="0.3">
      <c r="B8061" s="33" t="s">
        <v>22038</v>
      </c>
      <c r="C8061" s="32" t="s">
        <v>22039</v>
      </c>
      <c r="D8061" s="32" t="s">
        <v>22040</v>
      </c>
    </row>
    <row r="8062" spans="2:4" x14ac:dyDescent="0.3">
      <c r="B8062" s="33" t="s">
        <v>22041</v>
      </c>
      <c r="C8062" s="32" t="s">
        <v>22042</v>
      </c>
      <c r="D8062" s="32" t="s">
        <v>22041</v>
      </c>
    </row>
    <row r="8063" spans="2:4" x14ac:dyDescent="0.3">
      <c r="B8063" s="33" t="s">
        <v>22043</v>
      </c>
      <c r="C8063" s="32" t="s">
        <v>22044</v>
      </c>
      <c r="D8063" s="32" t="s">
        <v>22045</v>
      </c>
    </row>
    <row r="8064" spans="2:4" x14ac:dyDescent="0.3">
      <c r="B8064" s="33" t="s">
        <v>22046</v>
      </c>
      <c r="C8064" s="32" t="s">
        <v>22047</v>
      </c>
      <c r="D8064" s="32" t="s">
        <v>22046</v>
      </c>
    </row>
    <row r="8065" spans="2:4" x14ac:dyDescent="0.3">
      <c r="B8065" s="33" t="s">
        <v>2063</v>
      </c>
      <c r="C8065" s="32" t="s">
        <v>22048</v>
      </c>
      <c r="D8065" s="32" t="s">
        <v>22049</v>
      </c>
    </row>
    <row r="8066" spans="2:4" x14ac:dyDescent="0.3">
      <c r="B8066" s="33" t="s">
        <v>20785</v>
      </c>
      <c r="C8066" s="32" t="s">
        <v>22050</v>
      </c>
      <c r="D8066" s="32" t="s">
        <v>22051</v>
      </c>
    </row>
    <row r="8067" spans="2:4" x14ac:dyDescent="0.3">
      <c r="B8067" s="33" t="s">
        <v>20126</v>
      </c>
      <c r="C8067" s="32" t="s">
        <v>22052</v>
      </c>
      <c r="D8067" s="32" t="s">
        <v>22053</v>
      </c>
    </row>
    <row r="8068" spans="2:4" x14ac:dyDescent="0.3">
      <c r="B8068" s="33" t="s">
        <v>19574</v>
      </c>
      <c r="C8068" s="32" t="s">
        <v>22054</v>
      </c>
      <c r="D8068" s="32" t="s">
        <v>19574</v>
      </c>
    </row>
    <row r="8069" spans="2:4" x14ac:dyDescent="0.3">
      <c r="B8069" s="33" t="s">
        <v>19705</v>
      </c>
      <c r="C8069" s="32" t="s">
        <v>22055</v>
      </c>
      <c r="D8069" s="32" t="s">
        <v>22056</v>
      </c>
    </row>
    <row r="8070" spans="2:4" x14ac:dyDescent="0.3">
      <c r="B8070" s="33" t="s">
        <v>21362</v>
      </c>
      <c r="C8070" s="32" t="s">
        <v>22057</v>
      </c>
      <c r="D8070" s="32" t="s">
        <v>22058</v>
      </c>
    </row>
    <row r="8071" spans="2:4" x14ac:dyDescent="0.3">
      <c r="B8071" s="33" t="s">
        <v>16309</v>
      </c>
      <c r="C8071" s="32" t="s">
        <v>22059</v>
      </c>
      <c r="D8071" s="32" t="s">
        <v>22060</v>
      </c>
    </row>
    <row r="8072" spans="2:4" x14ac:dyDescent="0.3">
      <c r="B8072" s="33" t="s">
        <v>22061</v>
      </c>
      <c r="C8072" s="32" t="s">
        <v>22062</v>
      </c>
      <c r="D8072" s="32" t="s">
        <v>22063</v>
      </c>
    </row>
    <row r="8073" spans="2:4" x14ac:dyDescent="0.3">
      <c r="B8073" s="33" t="s">
        <v>22064</v>
      </c>
      <c r="C8073" s="32" t="s">
        <v>22065</v>
      </c>
      <c r="D8073" s="32" t="s">
        <v>22066</v>
      </c>
    </row>
    <row r="8074" spans="2:4" x14ac:dyDescent="0.3">
      <c r="B8074" s="33" t="s">
        <v>22067</v>
      </c>
      <c r="C8074" s="32" t="s">
        <v>22068</v>
      </c>
      <c r="D8074" s="32" t="s">
        <v>22067</v>
      </c>
    </row>
    <row r="8075" spans="2:4" x14ac:dyDescent="0.3">
      <c r="B8075" s="33" t="s">
        <v>21285</v>
      </c>
      <c r="C8075" s="32" t="s">
        <v>22069</v>
      </c>
      <c r="D8075" s="32" t="s">
        <v>22070</v>
      </c>
    </row>
    <row r="8076" spans="2:4" x14ac:dyDescent="0.3">
      <c r="B8076" s="33" t="s">
        <v>21285</v>
      </c>
      <c r="C8076" s="32" t="s">
        <v>22071</v>
      </c>
      <c r="D8076" s="32" t="s">
        <v>22072</v>
      </c>
    </row>
    <row r="8077" spans="2:4" x14ac:dyDescent="0.3">
      <c r="B8077" s="33" t="s">
        <v>22073</v>
      </c>
      <c r="C8077" s="32" t="s">
        <v>22074</v>
      </c>
      <c r="D8077" s="32" t="s">
        <v>22075</v>
      </c>
    </row>
    <row r="8078" spans="2:4" x14ac:dyDescent="0.3">
      <c r="B8078" s="33" t="s">
        <v>20529</v>
      </c>
      <c r="C8078" s="32" t="s">
        <v>22076</v>
      </c>
      <c r="D8078" s="32" t="s">
        <v>22077</v>
      </c>
    </row>
    <row r="8079" spans="2:4" x14ac:dyDescent="0.3">
      <c r="B8079" s="33" t="s">
        <v>22078</v>
      </c>
      <c r="C8079" s="32" t="s">
        <v>22079</v>
      </c>
      <c r="D8079" s="32" t="s">
        <v>22080</v>
      </c>
    </row>
    <row r="8080" spans="2:4" x14ac:dyDescent="0.3">
      <c r="B8080" s="33" t="s">
        <v>9036</v>
      </c>
      <c r="C8080" s="32" t="s">
        <v>22081</v>
      </c>
      <c r="D8080" s="32" t="s">
        <v>22082</v>
      </c>
    </row>
    <row r="8081" spans="2:4" x14ac:dyDescent="0.3">
      <c r="B8081" s="33" t="s">
        <v>22083</v>
      </c>
      <c r="C8081" s="32" t="s">
        <v>22084</v>
      </c>
      <c r="D8081" s="32" t="s">
        <v>22085</v>
      </c>
    </row>
    <row r="8082" spans="2:4" x14ac:dyDescent="0.3">
      <c r="B8082" s="33" t="s">
        <v>22086</v>
      </c>
      <c r="C8082" s="32" t="s">
        <v>22087</v>
      </c>
      <c r="D8082" s="32" t="s">
        <v>22088</v>
      </c>
    </row>
    <row r="8083" spans="2:4" x14ac:dyDescent="0.3">
      <c r="B8083" s="33" t="s">
        <v>22089</v>
      </c>
      <c r="C8083" s="32" t="s">
        <v>22090</v>
      </c>
      <c r="D8083" s="32" t="s">
        <v>22091</v>
      </c>
    </row>
    <row r="8084" spans="2:4" x14ac:dyDescent="0.3">
      <c r="B8084" s="33" t="s">
        <v>19488</v>
      </c>
      <c r="C8084" s="32" t="s">
        <v>22092</v>
      </c>
      <c r="D8084" s="32" t="s">
        <v>22093</v>
      </c>
    </row>
    <row r="8085" spans="2:4" x14ac:dyDescent="0.3">
      <c r="B8085" s="33" t="s">
        <v>19488</v>
      </c>
      <c r="C8085" s="32" t="s">
        <v>22094</v>
      </c>
      <c r="D8085" s="32" t="s">
        <v>22095</v>
      </c>
    </row>
    <row r="8086" spans="2:4" x14ac:dyDescent="0.3">
      <c r="B8086" s="33" t="s">
        <v>21115</v>
      </c>
      <c r="C8086" s="32" t="s">
        <v>22096</v>
      </c>
      <c r="D8086" s="32" t="s">
        <v>22097</v>
      </c>
    </row>
    <row r="8087" spans="2:4" x14ac:dyDescent="0.3">
      <c r="B8087" s="33" t="s">
        <v>22089</v>
      </c>
      <c r="C8087" s="32" t="s">
        <v>22098</v>
      </c>
      <c r="D8087" s="32" t="s">
        <v>22099</v>
      </c>
    </row>
    <row r="8088" spans="2:4" x14ac:dyDescent="0.3">
      <c r="B8088" s="33" t="s">
        <v>22015</v>
      </c>
      <c r="C8088" s="32" t="s">
        <v>22100</v>
      </c>
      <c r="D8088" s="32" t="s">
        <v>22101</v>
      </c>
    </row>
    <row r="8089" spans="2:4" x14ac:dyDescent="0.3">
      <c r="B8089" s="33" t="s">
        <v>22102</v>
      </c>
      <c r="C8089" s="32" t="s">
        <v>22103</v>
      </c>
      <c r="D8089" s="32" t="s">
        <v>22104</v>
      </c>
    </row>
    <row r="8090" spans="2:4" x14ac:dyDescent="0.3">
      <c r="B8090" s="33" t="s">
        <v>22105</v>
      </c>
      <c r="C8090" s="32" t="s">
        <v>22106</v>
      </c>
      <c r="D8090" s="32" t="s">
        <v>22107</v>
      </c>
    </row>
    <row r="8091" spans="2:4" x14ac:dyDescent="0.3">
      <c r="B8091" s="33" t="s">
        <v>22108</v>
      </c>
      <c r="C8091" s="32" t="s">
        <v>22109</v>
      </c>
      <c r="D8091" s="32" t="s">
        <v>22110</v>
      </c>
    </row>
    <row r="8092" spans="2:4" x14ac:dyDescent="0.3">
      <c r="B8092" s="33" t="s">
        <v>22111</v>
      </c>
      <c r="C8092" s="32" t="s">
        <v>22112</v>
      </c>
      <c r="D8092" s="32" t="s">
        <v>22113</v>
      </c>
    </row>
    <row r="8093" spans="2:4" x14ac:dyDescent="0.3">
      <c r="B8093" s="33" t="s">
        <v>20788</v>
      </c>
      <c r="C8093" s="32" t="s">
        <v>22114</v>
      </c>
      <c r="D8093" s="32" t="s">
        <v>22115</v>
      </c>
    </row>
    <row r="8094" spans="2:4" x14ac:dyDescent="0.3">
      <c r="B8094" s="33" t="s">
        <v>22116</v>
      </c>
      <c r="C8094" s="32" t="s">
        <v>22117</v>
      </c>
      <c r="D8094" s="32" t="s">
        <v>22118</v>
      </c>
    </row>
    <row r="8095" spans="2:4" x14ac:dyDescent="0.3">
      <c r="B8095" s="33" t="s">
        <v>2787</v>
      </c>
      <c r="C8095" s="32" t="s">
        <v>22119</v>
      </c>
      <c r="D8095" s="32" t="s">
        <v>22120</v>
      </c>
    </row>
    <row r="8096" spans="2:4" x14ac:dyDescent="0.3">
      <c r="B8096" s="33" t="s">
        <v>20827</v>
      </c>
      <c r="C8096" s="32" t="s">
        <v>22121</v>
      </c>
      <c r="D8096" s="32" t="s">
        <v>22122</v>
      </c>
    </row>
    <row r="8097" spans="2:4" x14ac:dyDescent="0.3">
      <c r="B8097" s="33" t="s">
        <v>22123</v>
      </c>
      <c r="C8097" s="32" t="s">
        <v>22124</v>
      </c>
      <c r="D8097" s="32" t="s">
        <v>22125</v>
      </c>
    </row>
    <row r="8098" spans="2:4" x14ac:dyDescent="0.3">
      <c r="B8098" s="33" t="s">
        <v>22126</v>
      </c>
      <c r="C8098" s="32" t="s">
        <v>22127</v>
      </c>
      <c r="D8098" s="32" t="s">
        <v>22128</v>
      </c>
    </row>
    <row r="8099" spans="2:4" x14ac:dyDescent="0.3">
      <c r="B8099" s="33" t="s">
        <v>22129</v>
      </c>
      <c r="C8099" s="32" t="s">
        <v>22130</v>
      </c>
      <c r="D8099" s="32" t="s">
        <v>22131</v>
      </c>
    </row>
    <row r="8100" spans="2:4" x14ac:dyDescent="0.3">
      <c r="B8100" s="33" t="s">
        <v>22132</v>
      </c>
      <c r="C8100" s="32" t="s">
        <v>22133</v>
      </c>
      <c r="D8100" s="32" t="s">
        <v>37284</v>
      </c>
    </row>
    <row r="8101" spans="2:4" x14ac:dyDescent="0.3">
      <c r="B8101" s="33" t="s">
        <v>8725</v>
      </c>
      <c r="C8101" s="32" t="s">
        <v>22134</v>
      </c>
      <c r="D8101" s="32" t="s">
        <v>22135</v>
      </c>
    </row>
    <row r="8102" spans="2:4" x14ac:dyDescent="0.3">
      <c r="B8102" s="33" t="s">
        <v>22136</v>
      </c>
      <c r="C8102" s="32" t="s">
        <v>22137</v>
      </c>
      <c r="D8102" s="32" t="s">
        <v>22138</v>
      </c>
    </row>
    <row r="8103" spans="2:4" x14ac:dyDescent="0.3">
      <c r="B8103" s="33" t="s">
        <v>22139</v>
      </c>
      <c r="C8103" s="32" t="s">
        <v>22140</v>
      </c>
      <c r="D8103" s="32" t="s">
        <v>22141</v>
      </c>
    </row>
    <row r="8104" spans="2:4" x14ac:dyDescent="0.3">
      <c r="B8104" s="33" t="s">
        <v>19458</v>
      </c>
      <c r="C8104" s="32" t="s">
        <v>22142</v>
      </c>
      <c r="D8104" s="32" t="s">
        <v>22143</v>
      </c>
    </row>
    <row r="8105" spans="2:4" x14ac:dyDescent="0.3">
      <c r="B8105" s="33" t="s">
        <v>22144</v>
      </c>
      <c r="C8105" s="32" t="s">
        <v>22145</v>
      </c>
      <c r="D8105" s="32" t="s">
        <v>22146</v>
      </c>
    </row>
    <row r="8106" spans="2:4" x14ac:dyDescent="0.3">
      <c r="B8106" s="33" t="s">
        <v>22147</v>
      </c>
      <c r="C8106" s="32" t="s">
        <v>22148</v>
      </c>
      <c r="D8106" s="32" t="s">
        <v>22149</v>
      </c>
    </row>
    <row r="8107" spans="2:4" x14ac:dyDescent="0.3">
      <c r="B8107" s="33" t="s">
        <v>22150</v>
      </c>
      <c r="C8107" s="32" t="s">
        <v>22151</v>
      </c>
      <c r="D8107" s="32" t="s">
        <v>22152</v>
      </c>
    </row>
    <row r="8108" spans="2:4" x14ac:dyDescent="0.3">
      <c r="B8108" s="33" t="s">
        <v>7433</v>
      </c>
      <c r="C8108" s="32" t="s">
        <v>22153</v>
      </c>
      <c r="D8108" s="32" t="s">
        <v>22154</v>
      </c>
    </row>
    <row r="8109" spans="2:4" x14ac:dyDescent="0.3">
      <c r="B8109" s="33" t="s">
        <v>22155</v>
      </c>
      <c r="C8109" s="32" t="s">
        <v>22156</v>
      </c>
      <c r="D8109" s="32" t="s">
        <v>22157</v>
      </c>
    </row>
    <row r="8110" spans="2:4" x14ac:dyDescent="0.3">
      <c r="B8110" s="33" t="s">
        <v>22158</v>
      </c>
      <c r="C8110" s="32" t="s">
        <v>22159</v>
      </c>
      <c r="D8110" s="32" t="s">
        <v>22160</v>
      </c>
    </row>
    <row r="8111" spans="2:4" x14ac:dyDescent="0.3">
      <c r="B8111" s="33" t="s">
        <v>22161</v>
      </c>
      <c r="C8111" s="32" t="s">
        <v>22162</v>
      </c>
      <c r="D8111" s="32" t="s">
        <v>22163</v>
      </c>
    </row>
    <row r="8112" spans="2:4" x14ac:dyDescent="0.3">
      <c r="B8112" s="33" t="s">
        <v>22158</v>
      </c>
      <c r="C8112" s="32" t="s">
        <v>22164</v>
      </c>
      <c r="D8112" s="32" t="s">
        <v>22165</v>
      </c>
    </row>
    <row r="8113" spans="2:4" x14ac:dyDescent="0.3">
      <c r="B8113" s="33" t="s">
        <v>22166</v>
      </c>
      <c r="C8113" s="32" t="s">
        <v>22167</v>
      </c>
      <c r="D8113" s="32" t="s">
        <v>22168</v>
      </c>
    </row>
    <row r="8114" spans="2:4" x14ac:dyDescent="0.3">
      <c r="B8114" s="33" t="s">
        <v>22169</v>
      </c>
      <c r="C8114" s="32" t="s">
        <v>22170</v>
      </c>
      <c r="D8114" s="32" t="s">
        <v>22171</v>
      </c>
    </row>
    <row r="8115" spans="2:4" x14ac:dyDescent="0.3">
      <c r="B8115" s="33" t="s">
        <v>22172</v>
      </c>
      <c r="C8115" s="32" t="s">
        <v>22173</v>
      </c>
      <c r="D8115" s="32" t="s">
        <v>22174</v>
      </c>
    </row>
    <row r="8116" spans="2:4" x14ac:dyDescent="0.3">
      <c r="B8116" s="33" t="s">
        <v>22158</v>
      </c>
      <c r="C8116" s="32" t="s">
        <v>22175</v>
      </c>
      <c r="D8116" s="32" t="s">
        <v>22176</v>
      </c>
    </row>
    <row r="8117" spans="2:4" x14ac:dyDescent="0.3">
      <c r="B8117" s="33" t="s">
        <v>21374</v>
      </c>
      <c r="C8117" s="32" t="s">
        <v>22177</v>
      </c>
      <c r="D8117" s="32" t="s">
        <v>22178</v>
      </c>
    </row>
    <row r="8118" spans="2:4" x14ac:dyDescent="0.3">
      <c r="B8118" s="33" t="s">
        <v>22179</v>
      </c>
      <c r="C8118" s="32" t="s">
        <v>22180</v>
      </c>
      <c r="D8118" s="32" t="s">
        <v>22181</v>
      </c>
    </row>
    <row r="8119" spans="2:4" x14ac:dyDescent="0.3">
      <c r="B8119" s="33" t="s">
        <v>22182</v>
      </c>
      <c r="C8119" s="32" t="s">
        <v>22183</v>
      </c>
      <c r="D8119" s="32" t="s">
        <v>22184</v>
      </c>
    </row>
    <row r="8120" spans="2:4" x14ac:dyDescent="0.3">
      <c r="B8120" s="33" t="s">
        <v>36649</v>
      </c>
      <c r="C8120" s="32" t="s">
        <v>36650</v>
      </c>
      <c r="D8120" s="32" t="s">
        <v>36651</v>
      </c>
    </row>
    <row r="8121" spans="2:4" x14ac:dyDescent="0.3">
      <c r="B8121" s="33" t="s">
        <v>22185</v>
      </c>
      <c r="C8121" s="32" t="s">
        <v>22186</v>
      </c>
      <c r="D8121" s="32" t="s">
        <v>22187</v>
      </c>
    </row>
    <row r="8122" spans="2:4" x14ac:dyDescent="0.3">
      <c r="B8122" s="33" t="s">
        <v>20814</v>
      </c>
      <c r="C8122" s="32" t="s">
        <v>22188</v>
      </c>
      <c r="D8122" s="32" t="s">
        <v>22189</v>
      </c>
    </row>
    <row r="8123" spans="2:4" x14ac:dyDescent="0.3">
      <c r="B8123" s="33" t="s">
        <v>20303</v>
      </c>
      <c r="C8123" s="32" t="s">
        <v>22190</v>
      </c>
      <c r="D8123" s="32" t="s">
        <v>22191</v>
      </c>
    </row>
    <row r="8124" spans="2:4" x14ac:dyDescent="0.3">
      <c r="B8124" s="33" t="s">
        <v>22192</v>
      </c>
      <c r="C8124" s="32" t="s">
        <v>22193</v>
      </c>
      <c r="D8124" s="32" t="s">
        <v>22194</v>
      </c>
    </row>
    <row r="8125" spans="2:4" x14ac:dyDescent="0.3">
      <c r="B8125" s="33" t="s">
        <v>22195</v>
      </c>
      <c r="C8125" s="32" t="s">
        <v>22196</v>
      </c>
      <c r="D8125" s="32" t="s">
        <v>22195</v>
      </c>
    </row>
    <row r="8126" spans="2:4" x14ac:dyDescent="0.3">
      <c r="B8126" s="33" t="s">
        <v>19796</v>
      </c>
      <c r="C8126" s="32" t="s">
        <v>22197</v>
      </c>
      <c r="D8126" s="32" t="s">
        <v>22198</v>
      </c>
    </row>
    <row r="8127" spans="2:4" x14ac:dyDescent="0.3">
      <c r="B8127" s="33" t="s">
        <v>22199</v>
      </c>
      <c r="C8127" s="32" t="s">
        <v>22200</v>
      </c>
      <c r="D8127" s="32" t="s">
        <v>37285</v>
      </c>
    </row>
    <row r="8128" spans="2:4" x14ac:dyDescent="0.3">
      <c r="B8128" s="33" t="s">
        <v>22201</v>
      </c>
      <c r="C8128" s="32" t="s">
        <v>22202</v>
      </c>
      <c r="D8128" s="32" t="s">
        <v>22203</v>
      </c>
    </row>
    <row r="8129" spans="2:4" x14ac:dyDescent="0.3">
      <c r="B8129" s="33" t="s">
        <v>22204</v>
      </c>
      <c r="C8129" s="32" t="s">
        <v>22205</v>
      </c>
      <c r="D8129" s="32" t="s">
        <v>22206</v>
      </c>
    </row>
    <row r="8130" spans="2:4" x14ac:dyDescent="0.3">
      <c r="B8130" s="33" t="s">
        <v>22206</v>
      </c>
      <c r="C8130" s="32" t="s">
        <v>22207</v>
      </c>
      <c r="D8130" s="32" t="s">
        <v>22208</v>
      </c>
    </row>
    <row r="8131" spans="2:4" x14ac:dyDescent="0.3">
      <c r="B8131" s="33" t="s">
        <v>22209</v>
      </c>
      <c r="C8131" s="32" t="s">
        <v>22210</v>
      </c>
      <c r="D8131" s="32" t="s">
        <v>22211</v>
      </c>
    </row>
    <row r="8132" spans="2:4" x14ac:dyDescent="0.3">
      <c r="B8132" s="33" t="s">
        <v>22212</v>
      </c>
      <c r="C8132" s="32" t="s">
        <v>22213</v>
      </c>
      <c r="D8132" s="32" t="s">
        <v>22214</v>
      </c>
    </row>
    <row r="8133" spans="2:4" x14ac:dyDescent="0.3">
      <c r="B8133" s="33" t="s">
        <v>22215</v>
      </c>
      <c r="C8133" s="32" t="s">
        <v>22216</v>
      </c>
      <c r="D8133" s="32" t="s">
        <v>22217</v>
      </c>
    </row>
    <row r="8134" spans="2:4" x14ac:dyDescent="0.3">
      <c r="B8134" s="33" t="s">
        <v>22218</v>
      </c>
      <c r="C8134" s="32" t="s">
        <v>22219</v>
      </c>
      <c r="D8134" s="32" t="s">
        <v>22220</v>
      </c>
    </row>
    <row r="8135" spans="2:4" x14ac:dyDescent="0.3">
      <c r="B8135" s="33" t="s">
        <v>22221</v>
      </c>
      <c r="C8135" s="32" t="s">
        <v>22222</v>
      </c>
      <c r="D8135" s="32" t="s">
        <v>22223</v>
      </c>
    </row>
    <row r="8136" spans="2:4" x14ac:dyDescent="0.3">
      <c r="B8136" s="33" t="s">
        <v>17669</v>
      </c>
      <c r="C8136" s="32" t="s">
        <v>22224</v>
      </c>
      <c r="D8136" s="32" t="s">
        <v>22225</v>
      </c>
    </row>
    <row r="8137" spans="2:4" x14ac:dyDescent="0.3">
      <c r="B8137" s="33" t="s">
        <v>22226</v>
      </c>
      <c r="C8137" s="32" t="s">
        <v>22227</v>
      </c>
      <c r="D8137" s="32" t="s">
        <v>22228</v>
      </c>
    </row>
    <row r="8138" spans="2:4" x14ac:dyDescent="0.3">
      <c r="B8138" s="33" t="s">
        <v>22229</v>
      </c>
      <c r="C8138" s="32" t="s">
        <v>22230</v>
      </c>
      <c r="D8138" s="32" t="s">
        <v>22231</v>
      </c>
    </row>
    <row r="8139" spans="2:4" x14ac:dyDescent="0.3">
      <c r="B8139" s="33" t="s">
        <v>5035</v>
      </c>
      <c r="C8139" s="32" t="s">
        <v>22232</v>
      </c>
      <c r="D8139" s="32" t="s">
        <v>22233</v>
      </c>
    </row>
    <row r="8140" spans="2:4" x14ac:dyDescent="0.3">
      <c r="B8140" s="33" t="s">
        <v>20875</v>
      </c>
      <c r="C8140" s="32" t="s">
        <v>22234</v>
      </c>
      <c r="D8140" s="32" t="s">
        <v>22235</v>
      </c>
    </row>
    <row r="8141" spans="2:4" x14ac:dyDescent="0.3">
      <c r="B8141" s="33" t="s">
        <v>22236</v>
      </c>
      <c r="C8141" s="32" t="s">
        <v>22237</v>
      </c>
      <c r="D8141" s="32" t="s">
        <v>22238</v>
      </c>
    </row>
    <row r="8142" spans="2:4" x14ac:dyDescent="0.3">
      <c r="B8142" s="33" t="s">
        <v>22239</v>
      </c>
      <c r="C8142" s="32" t="s">
        <v>22240</v>
      </c>
      <c r="D8142" s="32" t="s">
        <v>22241</v>
      </c>
    </row>
    <row r="8143" spans="2:4" x14ac:dyDescent="0.3">
      <c r="B8143" s="33" t="s">
        <v>22242</v>
      </c>
      <c r="C8143" s="32" t="s">
        <v>22243</v>
      </c>
      <c r="D8143" s="32" t="s">
        <v>22244</v>
      </c>
    </row>
    <row r="8144" spans="2:4" x14ac:dyDescent="0.3">
      <c r="B8144" s="33" t="s">
        <v>22242</v>
      </c>
      <c r="C8144" s="32" t="s">
        <v>22245</v>
      </c>
      <c r="D8144" s="32" t="s">
        <v>22246</v>
      </c>
    </row>
    <row r="8145" spans="2:4" x14ac:dyDescent="0.3">
      <c r="B8145" s="33" t="s">
        <v>22247</v>
      </c>
      <c r="C8145" s="32" t="s">
        <v>22248</v>
      </c>
      <c r="D8145" s="32" t="s">
        <v>22249</v>
      </c>
    </row>
    <row r="8146" spans="2:4" x14ac:dyDescent="0.3">
      <c r="B8146" s="33" t="s">
        <v>22250</v>
      </c>
      <c r="C8146" s="32" t="s">
        <v>22251</v>
      </c>
      <c r="D8146" s="32" t="s">
        <v>22252</v>
      </c>
    </row>
    <row r="8147" spans="2:4" x14ac:dyDescent="0.3">
      <c r="B8147" s="33" t="s">
        <v>22253</v>
      </c>
      <c r="C8147" s="32" t="s">
        <v>22254</v>
      </c>
      <c r="D8147" s="32" t="s">
        <v>22255</v>
      </c>
    </row>
    <row r="8148" spans="2:4" x14ac:dyDescent="0.3">
      <c r="B8148" s="33" t="s">
        <v>22256</v>
      </c>
      <c r="C8148" s="32" t="s">
        <v>22257</v>
      </c>
      <c r="D8148" s="32" t="s">
        <v>22258</v>
      </c>
    </row>
    <row r="8149" spans="2:4" x14ac:dyDescent="0.3">
      <c r="B8149" s="33" t="s">
        <v>22259</v>
      </c>
      <c r="C8149" s="32" t="s">
        <v>22260</v>
      </c>
      <c r="D8149" s="32" t="s">
        <v>22261</v>
      </c>
    </row>
    <row r="8150" spans="2:4" x14ac:dyDescent="0.3">
      <c r="B8150" s="33" t="s">
        <v>20273</v>
      </c>
      <c r="C8150" s="32" t="s">
        <v>22262</v>
      </c>
      <c r="D8150" s="32" t="s">
        <v>22263</v>
      </c>
    </row>
    <row r="8151" spans="2:4" x14ac:dyDescent="0.3">
      <c r="B8151" s="33" t="s">
        <v>22264</v>
      </c>
      <c r="C8151" s="32" t="s">
        <v>22265</v>
      </c>
      <c r="D8151" s="32" t="s">
        <v>22266</v>
      </c>
    </row>
    <row r="8152" spans="2:4" x14ac:dyDescent="0.3">
      <c r="B8152" s="33" t="s">
        <v>22264</v>
      </c>
      <c r="C8152" s="32" t="s">
        <v>22267</v>
      </c>
      <c r="D8152" s="32" t="s">
        <v>22268</v>
      </c>
    </row>
    <row r="8153" spans="2:4" x14ac:dyDescent="0.3">
      <c r="B8153" s="33" t="s">
        <v>19477</v>
      </c>
      <c r="C8153" s="32" t="s">
        <v>22269</v>
      </c>
      <c r="D8153" s="32" t="s">
        <v>22270</v>
      </c>
    </row>
    <row r="8154" spans="2:4" x14ac:dyDescent="0.3">
      <c r="B8154" s="33" t="s">
        <v>22271</v>
      </c>
      <c r="C8154" s="32" t="s">
        <v>22272</v>
      </c>
      <c r="D8154" s="32" t="s">
        <v>22273</v>
      </c>
    </row>
    <row r="8155" spans="2:4" x14ac:dyDescent="0.3">
      <c r="B8155" s="33" t="s">
        <v>22274</v>
      </c>
      <c r="C8155" s="32" t="s">
        <v>22275</v>
      </c>
      <c r="D8155" s="32" t="s">
        <v>22276</v>
      </c>
    </row>
    <row r="8156" spans="2:4" x14ac:dyDescent="0.3">
      <c r="B8156" s="33" t="s">
        <v>22253</v>
      </c>
      <c r="C8156" s="32" t="s">
        <v>22277</v>
      </c>
      <c r="D8156" s="32" t="s">
        <v>22278</v>
      </c>
    </row>
    <row r="8157" spans="2:4" x14ac:dyDescent="0.3">
      <c r="B8157" s="33" t="s">
        <v>22279</v>
      </c>
      <c r="C8157" s="32" t="s">
        <v>22280</v>
      </c>
      <c r="D8157" s="32" t="s">
        <v>22281</v>
      </c>
    </row>
    <row r="8158" spans="2:4" x14ac:dyDescent="0.3">
      <c r="B8158" s="33" t="s">
        <v>22282</v>
      </c>
      <c r="C8158" s="32" t="s">
        <v>22283</v>
      </c>
      <c r="D8158" s="32" t="s">
        <v>22284</v>
      </c>
    </row>
    <row r="8159" spans="2:4" x14ac:dyDescent="0.3">
      <c r="B8159" s="33" t="s">
        <v>22285</v>
      </c>
      <c r="C8159" s="32" t="s">
        <v>22286</v>
      </c>
      <c r="D8159" s="32" t="s">
        <v>22287</v>
      </c>
    </row>
    <row r="8160" spans="2:4" x14ac:dyDescent="0.3">
      <c r="B8160" s="33" t="s">
        <v>22288</v>
      </c>
      <c r="C8160" s="32" t="s">
        <v>22289</v>
      </c>
      <c r="D8160" s="32" t="s">
        <v>22290</v>
      </c>
    </row>
    <row r="8161" spans="2:4" x14ac:dyDescent="0.3">
      <c r="B8161" s="33" t="s">
        <v>22291</v>
      </c>
      <c r="C8161" s="32" t="s">
        <v>22292</v>
      </c>
      <c r="D8161" s="32" t="s">
        <v>22293</v>
      </c>
    </row>
    <row r="8162" spans="2:4" x14ac:dyDescent="0.3">
      <c r="B8162" s="33" t="s">
        <v>22294</v>
      </c>
      <c r="C8162" s="32" t="s">
        <v>22295</v>
      </c>
      <c r="D8162" s="32" t="s">
        <v>22296</v>
      </c>
    </row>
    <row r="8163" spans="2:4" x14ac:dyDescent="0.3">
      <c r="B8163" s="33" t="s">
        <v>22297</v>
      </c>
      <c r="C8163" s="32" t="s">
        <v>22298</v>
      </c>
      <c r="D8163" s="32" t="s">
        <v>22299</v>
      </c>
    </row>
    <row r="8164" spans="2:4" x14ac:dyDescent="0.3">
      <c r="B8164" s="33" t="s">
        <v>22300</v>
      </c>
      <c r="C8164" s="32" t="s">
        <v>22301</v>
      </c>
      <c r="D8164" s="32" t="s">
        <v>22302</v>
      </c>
    </row>
    <row r="8165" spans="2:4" x14ac:dyDescent="0.3">
      <c r="B8165" s="33" t="s">
        <v>22303</v>
      </c>
      <c r="C8165" s="32" t="s">
        <v>22304</v>
      </c>
      <c r="D8165" s="32" t="s">
        <v>22305</v>
      </c>
    </row>
    <row r="8166" spans="2:4" x14ac:dyDescent="0.3">
      <c r="B8166" s="33" t="s">
        <v>22306</v>
      </c>
      <c r="C8166" s="32" t="s">
        <v>22307</v>
      </c>
      <c r="D8166" s="32" t="s">
        <v>22308</v>
      </c>
    </row>
    <row r="8167" spans="2:4" x14ac:dyDescent="0.3">
      <c r="B8167" s="33" t="s">
        <v>22309</v>
      </c>
      <c r="C8167" s="32" t="s">
        <v>22310</v>
      </c>
      <c r="D8167" s="32" t="s">
        <v>22311</v>
      </c>
    </row>
    <row r="8168" spans="2:4" x14ac:dyDescent="0.3">
      <c r="B8168" s="33" t="s">
        <v>22312</v>
      </c>
      <c r="C8168" s="32" t="s">
        <v>22313</v>
      </c>
      <c r="D8168" s="32" t="s">
        <v>22314</v>
      </c>
    </row>
    <row r="8169" spans="2:4" x14ac:dyDescent="0.3">
      <c r="B8169" s="33" t="s">
        <v>22314</v>
      </c>
      <c r="C8169" s="32" t="s">
        <v>22315</v>
      </c>
      <c r="D8169" s="32" t="s">
        <v>22316</v>
      </c>
    </row>
    <row r="8170" spans="2:4" x14ac:dyDescent="0.3">
      <c r="B8170" s="33" t="s">
        <v>22317</v>
      </c>
      <c r="C8170" s="32" t="s">
        <v>22318</v>
      </c>
      <c r="D8170" s="32" t="s">
        <v>22319</v>
      </c>
    </row>
    <row r="8171" spans="2:4" x14ac:dyDescent="0.3">
      <c r="B8171" s="33" t="s">
        <v>22320</v>
      </c>
      <c r="C8171" s="32" t="s">
        <v>22321</v>
      </c>
      <c r="D8171" s="32" t="s">
        <v>22322</v>
      </c>
    </row>
    <row r="8172" spans="2:4" x14ac:dyDescent="0.3">
      <c r="B8172" s="33" t="s">
        <v>22323</v>
      </c>
      <c r="C8172" s="32" t="s">
        <v>22324</v>
      </c>
      <c r="D8172" s="32" t="s">
        <v>22325</v>
      </c>
    </row>
    <row r="8173" spans="2:4" x14ac:dyDescent="0.3">
      <c r="B8173" s="33" t="s">
        <v>5520</v>
      </c>
      <c r="C8173" s="32" t="s">
        <v>22326</v>
      </c>
      <c r="D8173" s="32" t="s">
        <v>22327</v>
      </c>
    </row>
    <row r="8174" spans="2:4" x14ac:dyDescent="0.3">
      <c r="B8174" s="33" t="s">
        <v>22328</v>
      </c>
      <c r="C8174" s="32" t="s">
        <v>22329</v>
      </c>
      <c r="D8174" s="32" t="s">
        <v>22330</v>
      </c>
    </row>
    <row r="8175" spans="2:4" x14ac:dyDescent="0.3">
      <c r="B8175" s="33" t="s">
        <v>22331</v>
      </c>
      <c r="C8175" s="32" t="s">
        <v>22332</v>
      </c>
      <c r="D8175" s="32" t="s">
        <v>36745</v>
      </c>
    </row>
    <row r="8176" spans="2:4" x14ac:dyDescent="0.3">
      <c r="B8176" s="33" t="s">
        <v>22333</v>
      </c>
      <c r="C8176" s="32" t="s">
        <v>22334</v>
      </c>
      <c r="D8176" s="32" t="s">
        <v>22335</v>
      </c>
    </row>
    <row r="8177" spans="2:4" x14ac:dyDescent="0.3">
      <c r="B8177" s="33" t="s">
        <v>22336</v>
      </c>
      <c r="C8177" s="32" t="s">
        <v>22337</v>
      </c>
      <c r="D8177" s="32" t="s">
        <v>36746</v>
      </c>
    </row>
    <row r="8178" spans="2:4" x14ac:dyDescent="0.3">
      <c r="B8178" s="33" t="s">
        <v>22336</v>
      </c>
      <c r="C8178" s="32" t="s">
        <v>22338</v>
      </c>
      <c r="D8178" s="32" t="s">
        <v>22339</v>
      </c>
    </row>
    <row r="8179" spans="2:4" x14ac:dyDescent="0.3">
      <c r="B8179" s="33" t="s">
        <v>22340</v>
      </c>
      <c r="C8179" s="32" t="s">
        <v>22341</v>
      </c>
      <c r="D8179" s="32" t="s">
        <v>22342</v>
      </c>
    </row>
    <row r="8180" spans="2:4" x14ac:dyDescent="0.3">
      <c r="B8180" s="33" t="s">
        <v>22343</v>
      </c>
      <c r="C8180" s="32" t="s">
        <v>22344</v>
      </c>
      <c r="D8180" s="32" t="s">
        <v>22345</v>
      </c>
    </row>
    <row r="8181" spans="2:4" x14ac:dyDescent="0.3">
      <c r="B8181" s="33" t="s">
        <v>22346</v>
      </c>
      <c r="C8181" s="32" t="s">
        <v>22347</v>
      </c>
      <c r="D8181" s="32" t="s">
        <v>22348</v>
      </c>
    </row>
    <row r="8182" spans="2:4" x14ac:dyDescent="0.3">
      <c r="B8182" s="33" t="s">
        <v>22349</v>
      </c>
      <c r="C8182" s="32" t="s">
        <v>22350</v>
      </c>
      <c r="D8182" s="32" t="s">
        <v>22351</v>
      </c>
    </row>
    <row r="8183" spans="2:4" x14ac:dyDescent="0.3">
      <c r="B8183" s="33" t="s">
        <v>22352</v>
      </c>
      <c r="C8183" s="32" t="s">
        <v>22353</v>
      </c>
      <c r="D8183" s="32" t="s">
        <v>22354</v>
      </c>
    </row>
    <row r="8184" spans="2:4" x14ac:dyDescent="0.3">
      <c r="B8184" s="33" t="s">
        <v>22355</v>
      </c>
      <c r="C8184" s="32" t="s">
        <v>22356</v>
      </c>
      <c r="D8184" s="32" t="s">
        <v>22357</v>
      </c>
    </row>
    <row r="8185" spans="2:4" x14ac:dyDescent="0.3">
      <c r="B8185" s="33" t="s">
        <v>22358</v>
      </c>
      <c r="C8185" s="32" t="s">
        <v>22359</v>
      </c>
      <c r="D8185" s="32" t="s">
        <v>22360</v>
      </c>
    </row>
    <row r="8186" spans="2:4" x14ac:dyDescent="0.3">
      <c r="B8186" s="33" t="s">
        <v>22361</v>
      </c>
      <c r="C8186" s="32" t="s">
        <v>22362</v>
      </c>
      <c r="D8186" s="32" t="s">
        <v>22363</v>
      </c>
    </row>
    <row r="8187" spans="2:4" x14ac:dyDescent="0.3">
      <c r="B8187" s="33" t="s">
        <v>22364</v>
      </c>
      <c r="C8187" s="32" t="s">
        <v>22365</v>
      </c>
      <c r="D8187" s="32" t="s">
        <v>22366</v>
      </c>
    </row>
    <row r="8188" spans="2:4" x14ac:dyDescent="0.3">
      <c r="B8188" s="33" t="s">
        <v>22367</v>
      </c>
      <c r="C8188" s="32" t="s">
        <v>22368</v>
      </c>
      <c r="D8188" s="32" t="s">
        <v>22369</v>
      </c>
    </row>
    <row r="8189" spans="2:4" x14ac:dyDescent="0.3">
      <c r="B8189" s="33" t="s">
        <v>22370</v>
      </c>
      <c r="C8189" s="32" t="s">
        <v>22371</v>
      </c>
      <c r="D8189" s="32" t="s">
        <v>22372</v>
      </c>
    </row>
    <row r="8190" spans="2:4" x14ac:dyDescent="0.3">
      <c r="B8190" s="33" t="s">
        <v>22373</v>
      </c>
      <c r="C8190" s="32" t="s">
        <v>22374</v>
      </c>
      <c r="D8190" s="32" t="s">
        <v>22375</v>
      </c>
    </row>
    <row r="8191" spans="2:4" x14ac:dyDescent="0.3">
      <c r="B8191" s="33" t="s">
        <v>22376</v>
      </c>
      <c r="C8191" s="32" t="s">
        <v>22377</v>
      </c>
      <c r="D8191" s="32" t="s">
        <v>22378</v>
      </c>
    </row>
    <row r="8192" spans="2:4" x14ac:dyDescent="0.3">
      <c r="B8192" s="33" t="s">
        <v>22380</v>
      </c>
      <c r="C8192" s="32" t="s">
        <v>22381</v>
      </c>
      <c r="D8192" s="32" t="s">
        <v>22382</v>
      </c>
    </row>
    <row r="8193" spans="2:4" x14ac:dyDescent="0.3">
      <c r="B8193" s="33" t="s">
        <v>22383</v>
      </c>
      <c r="C8193" s="32" t="s">
        <v>22384</v>
      </c>
      <c r="D8193" s="32" t="s">
        <v>22385</v>
      </c>
    </row>
    <row r="8194" spans="2:4" x14ac:dyDescent="0.3">
      <c r="B8194" s="33" t="s">
        <v>22386</v>
      </c>
      <c r="C8194" s="32" t="s">
        <v>22387</v>
      </c>
      <c r="D8194" s="32" t="s">
        <v>22388</v>
      </c>
    </row>
    <row r="8195" spans="2:4" x14ac:dyDescent="0.3">
      <c r="B8195" s="33" t="s">
        <v>22389</v>
      </c>
      <c r="C8195" s="32" t="s">
        <v>22390</v>
      </c>
      <c r="D8195" s="32" t="s">
        <v>22391</v>
      </c>
    </row>
    <row r="8196" spans="2:4" x14ac:dyDescent="0.3">
      <c r="B8196" s="33" t="s">
        <v>22392</v>
      </c>
      <c r="C8196" s="32" t="s">
        <v>22393</v>
      </c>
      <c r="D8196" s="32" t="s">
        <v>22394</v>
      </c>
    </row>
    <row r="8197" spans="2:4" x14ac:dyDescent="0.3">
      <c r="B8197" s="33" t="s">
        <v>22395</v>
      </c>
      <c r="C8197" s="32" t="s">
        <v>22396</v>
      </c>
      <c r="D8197" s="32" t="s">
        <v>22397</v>
      </c>
    </row>
    <row r="8198" spans="2:4" x14ac:dyDescent="0.3">
      <c r="B8198" s="33" t="s">
        <v>22398</v>
      </c>
      <c r="C8198" s="32" t="s">
        <v>22399</v>
      </c>
      <c r="D8198" s="32" t="s">
        <v>22400</v>
      </c>
    </row>
    <row r="8199" spans="2:4" x14ac:dyDescent="0.3">
      <c r="B8199" s="33" t="s">
        <v>22401</v>
      </c>
      <c r="C8199" s="32" t="s">
        <v>22402</v>
      </c>
      <c r="D8199" s="32" t="s">
        <v>22403</v>
      </c>
    </row>
    <row r="8200" spans="2:4" x14ac:dyDescent="0.3">
      <c r="B8200" s="33" t="s">
        <v>22404</v>
      </c>
      <c r="C8200" s="32" t="s">
        <v>22405</v>
      </c>
      <c r="D8200" s="32" t="s">
        <v>22406</v>
      </c>
    </row>
    <row r="8201" spans="2:4" x14ac:dyDescent="0.3">
      <c r="B8201" s="33" t="s">
        <v>22407</v>
      </c>
      <c r="C8201" s="32" t="s">
        <v>22408</v>
      </c>
      <c r="D8201" s="32" t="s">
        <v>22409</v>
      </c>
    </row>
    <row r="8202" spans="2:4" x14ac:dyDescent="0.3">
      <c r="B8202" s="33" t="s">
        <v>22401</v>
      </c>
      <c r="C8202" s="32" t="s">
        <v>22410</v>
      </c>
      <c r="D8202" s="32" t="s">
        <v>22411</v>
      </c>
    </row>
    <row r="8203" spans="2:4" x14ac:dyDescent="0.3">
      <c r="B8203" s="33" t="s">
        <v>22412</v>
      </c>
      <c r="C8203" s="32" t="s">
        <v>22413</v>
      </c>
      <c r="D8203" s="32" t="s">
        <v>22414</v>
      </c>
    </row>
    <row r="8204" spans="2:4" x14ac:dyDescent="0.3">
      <c r="B8204" s="33" t="s">
        <v>22415</v>
      </c>
      <c r="C8204" s="32" t="s">
        <v>22416</v>
      </c>
      <c r="D8204" s="32" t="s">
        <v>22417</v>
      </c>
    </row>
    <row r="8205" spans="2:4" x14ac:dyDescent="0.3">
      <c r="B8205" s="33" t="s">
        <v>22418</v>
      </c>
      <c r="C8205" s="32" t="s">
        <v>22419</v>
      </c>
      <c r="D8205" s="32" t="s">
        <v>22420</v>
      </c>
    </row>
    <row r="8206" spans="2:4" x14ac:dyDescent="0.3">
      <c r="B8206" s="33" t="s">
        <v>16520</v>
      </c>
      <c r="C8206" s="32" t="s">
        <v>22421</v>
      </c>
      <c r="D8206" s="32" t="s">
        <v>22422</v>
      </c>
    </row>
    <row r="8207" spans="2:4" x14ac:dyDescent="0.3">
      <c r="B8207" s="33" t="s">
        <v>22423</v>
      </c>
      <c r="C8207" s="32" t="s">
        <v>22424</v>
      </c>
      <c r="D8207" s="32" t="s">
        <v>22425</v>
      </c>
    </row>
    <row r="8208" spans="2:4" x14ac:dyDescent="0.3">
      <c r="B8208" s="33" t="s">
        <v>71</v>
      </c>
      <c r="C8208" s="32" t="s">
        <v>22426</v>
      </c>
      <c r="D8208" s="32" t="s">
        <v>72</v>
      </c>
    </row>
    <row r="8209" spans="2:4" x14ac:dyDescent="0.3">
      <c r="B8209" s="33" t="s">
        <v>22427</v>
      </c>
      <c r="C8209" s="32" t="s">
        <v>22428</v>
      </c>
      <c r="D8209" s="32" t="s">
        <v>22429</v>
      </c>
    </row>
    <row r="8210" spans="2:4" x14ac:dyDescent="0.3">
      <c r="B8210" s="33" t="s">
        <v>22430</v>
      </c>
      <c r="C8210" s="32" t="s">
        <v>22431</v>
      </c>
      <c r="D8210" s="32" t="s">
        <v>22432</v>
      </c>
    </row>
    <row r="8211" spans="2:4" x14ac:dyDescent="0.3">
      <c r="B8211" s="33" t="s">
        <v>22433</v>
      </c>
      <c r="C8211" s="32" t="s">
        <v>22434</v>
      </c>
      <c r="D8211" s="32" t="s">
        <v>22435</v>
      </c>
    </row>
    <row r="8212" spans="2:4" x14ac:dyDescent="0.3">
      <c r="B8212" s="33" t="s">
        <v>22436</v>
      </c>
      <c r="C8212" s="32" t="s">
        <v>22437</v>
      </c>
      <c r="D8212" s="32" t="s">
        <v>22438</v>
      </c>
    </row>
    <row r="8213" spans="2:4" x14ac:dyDescent="0.3">
      <c r="B8213" s="33" t="s">
        <v>22439</v>
      </c>
      <c r="C8213" s="32" t="s">
        <v>22440</v>
      </c>
      <c r="D8213" s="32" t="s">
        <v>22441</v>
      </c>
    </row>
    <row r="8214" spans="2:4" x14ac:dyDescent="0.3">
      <c r="B8214" s="33" t="s">
        <v>22442</v>
      </c>
      <c r="C8214" s="32" t="s">
        <v>22443</v>
      </c>
      <c r="D8214" s="32" t="s">
        <v>22444</v>
      </c>
    </row>
    <row r="8215" spans="2:4" x14ac:dyDescent="0.3">
      <c r="B8215" s="33" t="s">
        <v>22445</v>
      </c>
      <c r="C8215" s="32" t="s">
        <v>22446</v>
      </c>
      <c r="D8215" s="32" t="s">
        <v>22447</v>
      </c>
    </row>
    <row r="8216" spans="2:4" x14ac:dyDescent="0.3">
      <c r="B8216" s="33" t="s">
        <v>2376</v>
      </c>
      <c r="C8216" s="32" t="s">
        <v>22448</v>
      </c>
      <c r="D8216" s="32" t="s">
        <v>22449</v>
      </c>
    </row>
    <row r="8217" spans="2:4" x14ac:dyDescent="0.3">
      <c r="B8217" s="33" t="s">
        <v>22450</v>
      </c>
      <c r="C8217" s="32" t="s">
        <v>22451</v>
      </c>
      <c r="D8217" s="32" t="s">
        <v>22452</v>
      </c>
    </row>
    <row r="8218" spans="2:4" x14ac:dyDescent="0.3">
      <c r="B8218" s="33" t="s">
        <v>22453</v>
      </c>
      <c r="C8218" s="32" t="s">
        <v>22454</v>
      </c>
      <c r="D8218" s="32" t="s">
        <v>22455</v>
      </c>
    </row>
    <row r="8219" spans="2:4" x14ac:dyDescent="0.3">
      <c r="B8219" s="33" t="s">
        <v>22456</v>
      </c>
      <c r="C8219" s="32" t="s">
        <v>22457</v>
      </c>
      <c r="D8219" s="32" t="s">
        <v>22458</v>
      </c>
    </row>
    <row r="8220" spans="2:4" x14ac:dyDescent="0.3">
      <c r="B8220" s="33" t="s">
        <v>22459</v>
      </c>
      <c r="C8220" s="32" t="s">
        <v>22460</v>
      </c>
      <c r="D8220" s="32" t="s">
        <v>22461</v>
      </c>
    </row>
    <row r="8221" spans="2:4" x14ac:dyDescent="0.3">
      <c r="B8221" s="33" t="s">
        <v>22462</v>
      </c>
      <c r="C8221" s="32" t="s">
        <v>22463</v>
      </c>
      <c r="D8221" s="32" t="s">
        <v>22464</v>
      </c>
    </row>
    <row r="8222" spans="2:4" x14ac:dyDescent="0.3">
      <c r="B8222" s="33" t="s">
        <v>22465</v>
      </c>
      <c r="C8222" s="32" t="s">
        <v>22466</v>
      </c>
      <c r="D8222" s="32" t="s">
        <v>22467</v>
      </c>
    </row>
    <row r="8223" spans="2:4" x14ac:dyDescent="0.3">
      <c r="B8223" s="33" t="s">
        <v>22468</v>
      </c>
      <c r="C8223" s="32" t="s">
        <v>22469</v>
      </c>
      <c r="D8223" s="32" t="s">
        <v>22470</v>
      </c>
    </row>
    <row r="8224" spans="2:4" x14ac:dyDescent="0.3">
      <c r="B8224" s="33" t="s">
        <v>22468</v>
      </c>
      <c r="C8224" s="32" t="s">
        <v>22471</v>
      </c>
      <c r="D8224" s="32" t="s">
        <v>22472</v>
      </c>
    </row>
    <row r="8225" spans="2:4" x14ac:dyDescent="0.3">
      <c r="B8225" s="33" t="s">
        <v>22468</v>
      </c>
      <c r="C8225" s="32" t="s">
        <v>22473</v>
      </c>
      <c r="D8225" s="32" t="s">
        <v>22474</v>
      </c>
    </row>
    <row r="8226" spans="2:4" x14ac:dyDescent="0.3">
      <c r="B8226" s="33" t="s">
        <v>22475</v>
      </c>
      <c r="C8226" s="32" t="s">
        <v>22476</v>
      </c>
      <c r="D8226" s="32" t="s">
        <v>22475</v>
      </c>
    </row>
    <row r="8227" spans="2:4" x14ac:dyDescent="0.3">
      <c r="B8227" s="33" t="s">
        <v>22477</v>
      </c>
      <c r="C8227" s="32" t="s">
        <v>22478</v>
      </c>
      <c r="D8227" s="32" t="s">
        <v>22479</v>
      </c>
    </row>
    <row r="8228" spans="2:4" x14ac:dyDescent="0.3">
      <c r="B8228" s="33" t="s">
        <v>22480</v>
      </c>
      <c r="C8228" s="32" t="s">
        <v>22481</v>
      </c>
      <c r="D8228" s="32" t="s">
        <v>22482</v>
      </c>
    </row>
    <row r="8229" spans="2:4" x14ac:dyDescent="0.3">
      <c r="B8229" s="33" t="s">
        <v>22483</v>
      </c>
      <c r="C8229" s="32" t="s">
        <v>22484</v>
      </c>
      <c r="D8229" s="32" t="s">
        <v>22485</v>
      </c>
    </row>
    <row r="8230" spans="2:4" x14ac:dyDescent="0.3">
      <c r="B8230" s="33" t="s">
        <v>22486</v>
      </c>
      <c r="C8230" s="32" t="s">
        <v>22487</v>
      </c>
      <c r="D8230" s="32" t="s">
        <v>22488</v>
      </c>
    </row>
    <row r="8231" spans="2:4" x14ac:dyDescent="0.3">
      <c r="B8231" s="33" t="s">
        <v>22489</v>
      </c>
      <c r="C8231" s="32" t="s">
        <v>22490</v>
      </c>
      <c r="D8231" s="32" t="s">
        <v>22491</v>
      </c>
    </row>
    <row r="8232" spans="2:4" x14ac:dyDescent="0.3">
      <c r="B8232" s="33" t="s">
        <v>22492</v>
      </c>
      <c r="C8232" s="32" t="s">
        <v>22493</v>
      </c>
      <c r="D8232" s="32" t="s">
        <v>22494</v>
      </c>
    </row>
    <row r="8233" spans="2:4" x14ac:dyDescent="0.3">
      <c r="B8233" s="33" t="s">
        <v>22495</v>
      </c>
      <c r="C8233" s="32" t="s">
        <v>22496</v>
      </c>
      <c r="D8233" s="32" t="s">
        <v>22497</v>
      </c>
    </row>
    <row r="8234" spans="2:4" x14ac:dyDescent="0.3">
      <c r="B8234" s="33" t="s">
        <v>22498</v>
      </c>
      <c r="C8234" s="32" t="s">
        <v>22499</v>
      </c>
      <c r="D8234" s="32" t="s">
        <v>22500</v>
      </c>
    </row>
    <row r="8235" spans="2:4" x14ac:dyDescent="0.3">
      <c r="B8235" s="33" t="s">
        <v>22501</v>
      </c>
      <c r="C8235" s="32" t="s">
        <v>22502</v>
      </c>
      <c r="D8235" s="32" t="s">
        <v>22503</v>
      </c>
    </row>
    <row r="8236" spans="2:4" x14ac:dyDescent="0.3">
      <c r="B8236" s="33" t="s">
        <v>22504</v>
      </c>
      <c r="C8236" s="32" t="s">
        <v>22505</v>
      </c>
      <c r="D8236" s="32" t="s">
        <v>22506</v>
      </c>
    </row>
    <row r="8237" spans="2:4" x14ac:dyDescent="0.3">
      <c r="B8237" s="33" t="s">
        <v>22507</v>
      </c>
      <c r="C8237" s="32" t="s">
        <v>22508</v>
      </c>
      <c r="D8237" s="32" t="s">
        <v>22509</v>
      </c>
    </row>
    <row r="8238" spans="2:4" x14ac:dyDescent="0.3">
      <c r="B8238" s="33" t="s">
        <v>22510</v>
      </c>
      <c r="C8238" s="32" t="s">
        <v>22511</v>
      </c>
      <c r="D8238" s="32" t="s">
        <v>22512</v>
      </c>
    </row>
    <row r="8239" spans="2:4" x14ac:dyDescent="0.3">
      <c r="B8239" s="33" t="s">
        <v>22513</v>
      </c>
      <c r="C8239" s="32" t="s">
        <v>22514</v>
      </c>
      <c r="D8239" s="32" t="s">
        <v>22515</v>
      </c>
    </row>
    <row r="8240" spans="2:4" x14ac:dyDescent="0.3">
      <c r="B8240" s="33" t="s">
        <v>22516</v>
      </c>
      <c r="C8240" s="32" t="s">
        <v>22517</v>
      </c>
      <c r="D8240" s="32" t="s">
        <v>22518</v>
      </c>
    </row>
    <row r="8241" spans="2:4" x14ac:dyDescent="0.3">
      <c r="B8241" s="33" t="s">
        <v>22519</v>
      </c>
      <c r="C8241" s="32" t="s">
        <v>22520</v>
      </c>
      <c r="D8241" s="32" t="s">
        <v>22521</v>
      </c>
    </row>
    <row r="8242" spans="2:4" x14ac:dyDescent="0.3">
      <c r="B8242" s="33" t="s">
        <v>22510</v>
      </c>
      <c r="C8242" s="32" t="s">
        <v>22522</v>
      </c>
      <c r="D8242" s="32" t="s">
        <v>22523</v>
      </c>
    </row>
    <row r="8243" spans="2:4" x14ac:dyDescent="0.3">
      <c r="B8243" s="33" t="s">
        <v>22524</v>
      </c>
      <c r="C8243" s="32" t="s">
        <v>22525</v>
      </c>
      <c r="D8243" s="32" t="s">
        <v>22526</v>
      </c>
    </row>
    <row r="8244" spans="2:4" x14ac:dyDescent="0.3">
      <c r="B8244" s="33" t="s">
        <v>22527</v>
      </c>
      <c r="C8244" s="32" t="s">
        <v>22528</v>
      </c>
      <c r="D8244" s="32" t="s">
        <v>22529</v>
      </c>
    </row>
    <row r="8245" spans="2:4" x14ac:dyDescent="0.3">
      <c r="B8245" s="33" t="s">
        <v>22530</v>
      </c>
      <c r="C8245" s="32" t="s">
        <v>22531</v>
      </c>
      <c r="D8245" s="32" t="s">
        <v>22532</v>
      </c>
    </row>
    <row r="8246" spans="2:4" x14ac:dyDescent="0.3">
      <c r="B8246" s="33" t="s">
        <v>7069</v>
      </c>
      <c r="C8246" s="32" t="s">
        <v>22533</v>
      </c>
      <c r="D8246" s="32" t="s">
        <v>22534</v>
      </c>
    </row>
    <row r="8247" spans="2:4" x14ac:dyDescent="0.3">
      <c r="B8247" s="33" t="s">
        <v>22535</v>
      </c>
      <c r="C8247" s="32" t="s">
        <v>22536</v>
      </c>
      <c r="D8247" s="32" t="s">
        <v>22537</v>
      </c>
    </row>
    <row r="8248" spans="2:4" x14ac:dyDescent="0.3">
      <c r="B8248" s="33" t="s">
        <v>7069</v>
      </c>
      <c r="C8248" s="32" t="s">
        <v>22538</v>
      </c>
      <c r="D8248" s="32" t="s">
        <v>22539</v>
      </c>
    </row>
    <row r="8249" spans="2:4" x14ac:dyDescent="0.3">
      <c r="B8249" s="33" t="s">
        <v>22540</v>
      </c>
      <c r="C8249" s="32" t="s">
        <v>22541</v>
      </c>
      <c r="D8249" s="32" t="s">
        <v>22540</v>
      </c>
    </row>
    <row r="8250" spans="2:4" x14ac:dyDescent="0.3">
      <c r="B8250" s="33" t="s">
        <v>22542</v>
      </c>
      <c r="C8250" s="32" t="s">
        <v>22543</v>
      </c>
      <c r="D8250" s="32" t="s">
        <v>22544</v>
      </c>
    </row>
    <row r="8251" spans="2:4" x14ac:dyDescent="0.3">
      <c r="B8251" s="33" t="s">
        <v>22545</v>
      </c>
      <c r="C8251" s="32" t="s">
        <v>22546</v>
      </c>
      <c r="D8251" s="32" t="s">
        <v>22547</v>
      </c>
    </row>
    <row r="8252" spans="2:4" x14ac:dyDescent="0.3">
      <c r="B8252" s="33" t="s">
        <v>22548</v>
      </c>
      <c r="C8252" s="32" t="s">
        <v>22549</v>
      </c>
      <c r="D8252" s="32" t="s">
        <v>22550</v>
      </c>
    </row>
    <row r="8253" spans="2:4" x14ac:dyDescent="0.3">
      <c r="B8253" s="33" t="s">
        <v>22551</v>
      </c>
      <c r="C8253" s="32" t="s">
        <v>22552</v>
      </c>
      <c r="D8253" s="32" t="s">
        <v>22553</v>
      </c>
    </row>
    <row r="8254" spans="2:4" x14ac:dyDescent="0.3">
      <c r="B8254" s="33" t="s">
        <v>22554</v>
      </c>
      <c r="C8254" s="32" t="s">
        <v>22555</v>
      </c>
      <c r="D8254" s="32" t="s">
        <v>22556</v>
      </c>
    </row>
    <row r="8255" spans="2:4" x14ac:dyDescent="0.3">
      <c r="B8255" s="33" t="s">
        <v>22557</v>
      </c>
      <c r="C8255" s="32" t="s">
        <v>22558</v>
      </c>
      <c r="D8255" s="32" t="s">
        <v>22559</v>
      </c>
    </row>
    <row r="8256" spans="2:4" x14ac:dyDescent="0.3">
      <c r="B8256" s="33" t="s">
        <v>22560</v>
      </c>
      <c r="C8256" s="32" t="s">
        <v>22561</v>
      </c>
      <c r="D8256" s="32" t="s">
        <v>22562</v>
      </c>
    </row>
    <row r="8257" spans="2:4" x14ac:dyDescent="0.3">
      <c r="B8257" s="33" t="s">
        <v>22563</v>
      </c>
      <c r="C8257" s="32" t="s">
        <v>22564</v>
      </c>
      <c r="D8257" s="32" t="s">
        <v>22565</v>
      </c>
    </row>
    <row r="8258" spans="2:4" x14ac:dyDescent="0.3">
      <c r="B8258" s="33" t="s">
        <v>22566</v>
      </c>
      <c r="C8258" s="32" t="s">
        <v>22567</v>
      </c>
      <c r="D8258" s="32" t="s">
        <v>22568</v>
      </c>
    </row>
    <row r="8259" spans="2:4" x14ac:dyDescent="0.3">
      <c r="B8259" s="33" t="s">
        <v>22569</v>
      </c>
      <c r="C8259" s="32" t="s">
        <v>22570</v>
      </c>
      <c r="D8259" s="32" t="s">
        <v>22571</v>
      </c>
    </row>
    <row r="8260" spans="2:4" x14ac:dyDescent="0.3">
      <c r="B8260" s="33" t="s">
        <v>22572</v>
      </c>
      <c r="C8260" s="32" t="s">
        <v>22573</v>
      </c>
      <c r="D8260" s="32" t="s">
        <v>22574</v>
      </c>
    </row>
    <row r="8261" spans="2:4" x14ac:dyDescent="0.3">
      <c r="B8261" s="33" t="s">
        <v>22575</v>
      </c>
      <c r="C8261" s="32" t="s">
        <v>22576</v>
      </c>
      <c r="D8261" s="32" t="s">
        <v>22577</v>
      </c>
    </row>
    <row r="8262" spans="2:4" x14ac:dyDescent="0.3">
      <c r="B8262" s="33" t="s">
        <v>22578</v>
      </c>
      <c r="C8262" s="32" t="s">
        <v>22579</v>
      </c>
      <c r="D8262" s="32" t="s">
        <v>22580</v>
      </c>
    </row>
    <row r="8263" spans="2:4" x14ac:dyDescent="0.3">
      <c r="B8263" s="33" t="s">
        <v>22581</v>
      </c>
      <c r="C8263" s="32" t="s">
        <v>22582</v>
      </c>
      <c r="D8263" s="32" t="s">
        <v>22583</v>
      </c>
    </row>
    <row r="8264" spans="2:4" x14ac:dyDescent="0.3">
      <c r="B8264" s="33" t="s">
        <v>22548</v>
      </c>
      <c r="C8264" s="32" t="s">
        <v>22584</v>
      </c>
      <c r="D8264" s="32" t="s">
        <v>22585</v>
      </c>
    </row>
    <row r="8265" spans="2:4" x14ac:dyDescent="0.3">
      <c r="B8265" s="33" t="s">
        <v>22586</v>
      </c>
      <c r="C8265" s="32" t="s">
        <v>22587</v>
      </c>
      <c r="D8265" s="32" t="s">
        <v>22588</v>
      </c>
    </row>
    <row r="8266" spans="2:4" x14ac:dyDescent="0.3">
      <c r="B8266" s="33" t="s">
        <v>22560</v>
      </c>
      <c r="C8266" s="32" t="s">
        <v>22589</v>
      </c>
      <c r="D8266" s="32" t="s">
        <v>22590</v>
      </c>
    </row>
    <row r="8267" spans="2:4" x14ac:dyDescent="0.3">
      <c r="B8267" s="33" t="s">
        <v>22591</v>
      </c>
      <c r="C8267" s="32" t="s">
        <v>22592</v>
      </c>
      <c r="D8267" s="32" t="s">
        <v>22593</v>
      </c>
    </row>
    <row r="8268" spans="2:4" x14ac:dyDescent="0.3">
      <c r="B8268" s="33" t="s">
        <v>22594</v>
      </c>
      <c r="C8268" s="32" t="s">
        <v>22595</v>
      </c>
      <c r="D8268" s="32" t="s">
        <v>36747</v>
      </c>
    </row>
    <row r="8269" spans="2:4" x14ac:dyDescent="0.3">
      <c r="B8269" s="33" t="s">
        <v>22596</v>
      </c>
      <c r="C8269" s="32" t="s">
        <v>22597</v>
      </c>
      <c r="D8269" s="32" t="s">
        <v>22598</v>
      </c>
    </row>
    <row r="8270" spans="2:4" x14ac:dyDescent="0.3">
      <c r="B8270" s="33" t="s">
        <v>22599</v>
      </c>
      <c r="C8270" s="32" t="s">
        <v>22600</v>
      </c>
      <c r="D8270" s="32" t="s">
        <v>22601</v>
      </c>
    </row>
    <row r="8271" spans="2:4" x14ac:dyDescent="0.3">
      <c r="B8271" s="33" t="s">
        <v>22602</v>
      </c>
      <c r="C8271" s="32" t="s">
        <v>22603</v>
      </c>
      <c r="D8271" s="32" t="s">
        <v>22604</v>
      </c>
    </row>
    <row r="8272" spans="2:4" x14ac:dyDescent="0.3">
      <c r="B8272" s="33" t="s">
        <v>1979</v>
      </c>
      <c r="C8272" s="32" t="s">
        <v>22605</v>
      </c>
      <c r="D8272" s="32" t="s">
        <v>22606</v>
      </c>
    </row>
    <row r="8273" spans="2:4" x14ac:dyDescent="0.3">
      <c r="B8273" s="33" t="s">
        <v>22607</v>
      </c>
      <c r="C8273" s="32" t="s">
        <v>22608</v>
      </c>
      <c r="D8273" s="32" t="s">
        <v>22609</v>
      </c>
    </row>
    <row r="8274" spans="2:4" x14ac:dyDescent="0.3">
      <c r="B8274" s="33" t="s">
        <v>22439</v>
      </c>
      <c r="C8274" s="32" t="s">
        <v>22610</v>
      </c>
      <c r="D8274" s="32" t="s">
        <v>22611</v>
      </c>
    </row>
    <row r="8275" spans="2:4" x14ac:dyDescent="0.3">
      <c r="B8275" s="33" t="s">
        <v>22612</v>
      </c>
      <c r="C8275" s="32" t="s">
        <v>22613</v>
      </c>
      <c r="D8275" s="32" t="s">
        <v>22614</v>
      </c>
    </row>
    <row r="8276" spans="2:4" x14ac:dyDescent="0.3">
      <c r="B8276" s="33" t="s">
        <v>22615</v>
      </c>
      <c r="C8276" s="32" t="s">
        <v>22616</v>
      </c>
      <c r="D8276" s="32" t="s">
        <v>22617</v>
      </c>
    </row>
    <row r="8277" spans="2:4" x14ac:dyDescent="0.3">
      <c r="B8277" s="33" t="s">
        <v>18341</v>
      </c>
      <c r="C8277" s="32" t="s">
        <v>22618</v>
      </c>
      <c r="D8277" s="32" t="s">
        <v>22619</v>
      </c>
    </row>
    <row r="8278" spans="2:4" x14ac:dyDescent="0.3">
      <c r="B8278" s="33" t="s">
        <v>22620</v>
      </c>
      <c r="C8278" s="32" t="s">
        <v>22621</v>
      </c>
      <c r="D8278" s="32" t="s">
        <v>22622</v>
      </c>
    </row>
    <row r="8279" spans="2:4" x14ac:dyDescent="0.3">
      <c r="B8279" s="33" t="s">
        <v>22620</v>
      </c>
      <c r="C8279" s="32" t="s">
        <v>22623</v>
      </c>
      <c r="D8279" s="32" t="s">
        <v>22624</v>
      </c>
    </row>
    <row r="8280" spans="2:4" x14ac:dyDescent="0.3">
      <c r="B8280" s="33" t="s">
        <v>22625</v>
      </c>
      <c r="C8280" s="32" t="s">
        <v>22626</v>
      </c>
      <c r="D8280" s="32" t="s">
        <v>22627</v>
      </c>
    </row>
    <row r="8281" spans="2:4" x14ac:dyDescent="0.3">
      <c r="B8281" s="33" t="s">
        <v>22628</v>
      </c>
      <c r="C8281" s="32" t="s">
        <v>22629</v>
      </c>
      <c r="D8281" s="32" t="s">
        <v>22630</v>
      </c>
    </row>
    <row r="8282" spans="2:4" x14ac:dyDescent="0.3">
      <c r="B8282" s="33" t="s">
        <v>22631</v>
      </c>
      <c r="C8282" s="32" t="s">
        <v>22632</v>
      </c>
      <c r="D8282" s="32" t="s">
        <v>22633</v>
      </c>
    </row>
    <row r="8283" spans="2:4" x14ac:dyDescent="0.3">
      <c r="B8283" s="33" t="s">
        <v>22634</v>
      </c>
      <c r="C8283" s="32" t="s">
        <v>22635</v>
      </c>
      <c r="D8283" s="32" t="s">
        <v>22636</v>
      </c>
    </row>
    <row r="8284" spans="2:4" x14ac:dyDescent="0.3">
      <c r="B8284" s="33" t="s">
        <v>22637</v>
      </c>
      <c r="C8284" s="32" t="s">
        <v>22638</v>
      </c>
      <c r="D8284" s="32" t="s">
        <v>22639</v>
      </c>
    </row>
    <row r="8285" spans="2:4" x14ac:dyDescent="0.3">
      <c r="B8285" s="33" t="s">
        <v>22640</v>
      </c>
      <c r="C8285" s="32" t="s">
        <v>22641</v>
      </c>
      <c r="D8285" s="32" t="s">
        <v>22642</v>
      </c>
    </row>
    <row r="8286" spans="2:4" x14ac:dyDescent="0.3">
      <c r="B8286" s="33" t="s">
        <v>22643</v>
      </c>
      <c r="C8286" s="32" t="s">
        <v>22644</v>
      </c>
      <c r="D8286" s="32" t="s">
        <v>22645</v>
      </c>
    </row>
    <row r="8287" spans="2:4" x14ac:dyDescent="0.3">
      <c r="B8287" s="33" t="s">
        <v>22646</v>
      </c>
      <c r="C8287" s="32" t="s">
        <v>22647</v>
      </c>
      <c r="D8287" s="32" t="s">
        <v>22648</v>
      </c>
    </row>
    <row r="8288" spans="2:4" x14ac:dyDescent="0.3">
      <c r="B8288" s="33" t="s">
        <v>22649</v>
      </c>
      <c r="C8288" s="32" t="s">
        <v>22650</v>
      </c>
      <c r="D8288" s="32" t="s">
        <v>22651</v>
      </c>
    </row>
    <row r="8289" spans="2:4" x14ac:dyDescent="0.3">
      <c r="B8289" s="33" t="s">
        <v>22652</v>
      </c>
      <c r="C8289" s="32" t="s">
        <v>22653</v>
      </c>
      <c r="D8289" s="32" t="s">
        <v>22654</v>
      </c>
    </row>
    <row r="8290" spans="2:4" x14ac:dyDescent="0.3">
      <c r="B8290" s="33" t="s">
        <v>22655</v>
      </c>
      <c r="C8290" s="32" t="s">
        <v>22656</v>
      </c>
      <c r="D8290" s="32" t="s">
        <v>22657</v>
      </c>
    </row>
    <row r="8291" spans="2:4" x14ac:dyDescent="0.3">
      <c r="B8291" s="33" t="s">
        <v>22658</v>
      </c>
      <c r="C8291" s="32" t="s">
        <v>22659</v>
      </c>
      <c r="D8291" s="32" t="s">
        <v>22660</v>
      </c>
    </row>
    <row r="8292" spans="2:4" x14ac:dyDescent="0.3">
      <c r="B8292" s="33" t="s">
        <v>22661</v>
      </c>
      <c r="C8292" s="32" t="s">
        <v>22662</v>
      </c>
      <c r="D8292" s="32" t="s">
        <v>22663</v>
      </c>
    </row>
    <row r="8293" spans="2:4" x14ac:dyDescent="0.3">
      <c r="B8293" s="33" t="s">
        <v>22379</v>
      </c>
      <c r="C8293" s="32" t="s">
        <v>22664</v>
      </c>
      <c r="D8293" s="32" t="s">
        <v>22665</v>
      </c>
    </row>
    <row r="8294" spans="2:4" x14ac:dyDescent="0.3">
      <c r="B8294" s="33" t="s">
        <v>22666</v>
      </c>
      <c r="C8294" s="32" t="s">
        <v>22667</v>
      </c>
      <c r="D8294" s="32" t="s">
        <v>22666</v>
      </c>
    </row>
    <row r="8295" spans="2:4" x14ac:dyDescent="0.3">
      <c r="B8295" s="33" t="s">
        <v>22668</v>
      </c>
      <c r="C8295" s="32" t="s">
        <v>22669</v>
      </c>
      <c r="D8295" s="32" t="s">
        <v>22670</v>
      </c>
    </row>
    <row r="8296" spans="2:4" x14ac:dyDescent="0.3">
      <c r="B8296" s="33" t="s">
        <v>22671</v>
      </c>
      <c r="C8296" s="32" t="s">
        <v>22672</v>
      </c>
      <c r="D8296" s="32" t="s">
        <v>22673</v>
      </c>
    </row>
    <row r="8297" spans="2:4" x14ac:dyDescent="0.3">
      <c r="B8297" s="33" t="s">
        <v>22674</v>
      </c>
      <c r="C8297" s="32" t="s">
        <v>22675</v>
      </c>
      <c r="D8297" s="32" t="s">
        <v>22676</v>
      </c>
    </row>
    <row r="8298" spans="2:4" x14ac:dyDescent="0.3">
      <c r="B8298" s="33" t="s">
        <v>22677</v>
      </c>
      <c r="C8298" s="32" t="s">
        <v>22678</v>
      </c>
      <c r="D8298" s="32" t="s">
        <v>22679</v>
      </c>
    </row>
    <row r="8299" spans="2:4" x14ac:dyDescent="0.3">
      <c r="B8299" s="33" t="s">
        <v>22680</v>
      </c>
      <c r="C8299" s="32" t="s">
        <v>22681</v>
      </c>
      <c r="D8299" s="32" t="s">
        <v>22680</v>
      </c>
    </row>
    <row r="8300" spans="2:4" x14ac:dyDescent="0.3">
      <c r="B8300" s="33" t="s">
        <v>22682</v>
      </c>
      <c r="C8300" s="32" t="s">
        <v>22683</v>
      </c>
      <c r="D8300" s="32" t="s">
        <v>22684</v>
      </c>
    </row>
    <row r="8301" spans="2:4" x14ac:dyDescent="0.3">
      <c r="B8301" s="33" t="s">
        <v>22685</v>
      </c>
      <c r="C8301" s="32" t="s">
        <v>22686</v>
      </c>
      <c r="D8301" s="32" t="s">
        <v>22687</v>
      </c>
    </row>
    <row r="8302" spans="2:4" x14ac:dyDescent="0.3">
      <c r="B8302" s="33" t="s">
        <v>22379</v>
      </c>
      <c r="C8302" s="32" t="s">
        <v>22688</v>
      </c>
      <c r="D8302" s="32" t="s">
        <v>22689</v>
      </c>
    </row>
    <row r="8303" spans="2:4" x14ac:dyDescent="0.3">
      <c r="B8303" s="33" t="s">
        <v>22690</v>
      </c>
      <c r="C8303" s="32" t="s">
        <v>22691</v>
      </c>
      <c r="D8303" s="32" t="s">
        <v>22692</v>
      </c>
    </row>
    <row r="8304" spans="2:4" x14ac:dyDescent="0.3">
      <c r="B8304" s="33" t="s">
        <v>22693</v>
      </c>
      <c r="C8304" s="32" t="s">
        <v>22694</v>
      </c>
      <c r="D8304" s="32" t="s">
        <v>22695</v>
      </c>
    </row>
    <row r="8305" spans="2:4" x14ac:dyDescent="0.3">
      <c r="B8305" s="33" t="s">
        <v>22696</v>
      </c>
      <c r="C8305" s="32" t="s">
        <v>22697</v>
      </c>
      <c r="D8305" s="32" t="s">
        <v>22698</v>
      </c>
    </row>
    <row r="8306" spans="2:4" x14ac:dyDescent="0.3">
      <c r="B8306" s="33" t="s">
        <v>22699</v>
      </c>
      <c r="C8306" s="32" t="s">
        <v>22700</v>
      </c>
      <c r="D8306" s="32" t="s">
        <v>22701</v>
      </c>
    </row>
    <row r="8307" spans="2:4" x14ac:dyDescent="0.3">
      <c r="B8307" s="33" t="s">
        <v>22702</v>
      </c>
      <c r="C8307" s="32" t="s">
        <v>22703</v>
      </c>
      <c r="D8307" s="32" t="s">
        <v>22704</v>
      </c>
    </row>
    <row r="8308" spans="2:4" x14ac:dyDescent="0.3">
      <c r="B8308" s="33" t="s">
        <v>22705</v>
      </c>
      <c r="C8308" s="32" t="s">
        <v>22706</v>
      </c>
      <c r="D8308" s="32" t="s">
        <v>22707</v>
      </c>
    </row>
    <row r="8309" spans="2:4" x14ac:dyDescent="0.3">
      <c r="B8309" s="33" t="s">
        <v>22708</v>
      </c>
      <c r="C8309" s="32" t="s">
        <v>22709</v>
      </c>
      <c r="D8309" s="32" t="s">
        <v>22710</v>
      </c>
    </row>
    <row r="8310" spans="2:4" x14ac:dyDescent="0.3">
      <c r="B8310" s="33" t="s">
        <v>22711</v>
      </c>
      <c r="C8310" s="32" t="s">
        <v>22712</v>
      </c>
      <c r="D8310" s="32" t="s">
        <v>22713</v>
      </c>
    </row>
    <row r="8311" spans="2:4" x14ac:dyDescent="0.3">
      <c r="B8311" s="33" t="s">
        <v>22714</v>
      </c>
      <c r="C8311" s="32" t="s">
        <v>22715</v>
      </c>
      <c r="D8311" s="32" t="s">
        <v>22716</v>
      </c>
    </row>
    <row r="8312" spans="2:4" x14ac:dyDescent="0.3">
      <c r="B8312" s="33" t="s">
        <v>22717</v>
      </c>
      <c r="C8312" s="32" t="s">
        <v>22718</v>
      </c>
      <c r="D8312" s="32" t="s">
        <v>22719</v>
      </c>
    </row>
    <row r="8313" spans="2:4" x14ac:dyDescent="0.3">
      <c r="B8313" s="33" t="s">
        <v>36748</v>
      </c>
      <c r="C8313" s="32" t="s">
        <v>36749</v>
      </c>
      <c r="D8313" s="32" t="s">
        <v>36750</v>
      </c>
    </row>
    <row r="8314" spans="2:4" x14ac:dyDescent="0.3">
      <c r="B8314" s="33" t="s">
        <v>22720</v>
      </c>
      <c r="C8314" s="32" t="s">
        <v>22721</v>
      </c>
      <c r="D8314" s="32" t="s">
        <v>22722</v>
      </c>
    </row>
    <row r="8315" spans="2:4" x14ac:dyDescent="0.3">
      <c r="B8315" s="33" t="s">
        <v>22723</v>
      </c>
      <c r="C8315" s="32" t="s">
        <v>22724</v>
      </c>
      <c r="D8315" s="32" t="s">
        <v>22725</v>
      </c>
    </row>
    <row r="8316" spans="2:4" x14ac:dyDescent="0.3">
      <c r="B8316" s="33" t="s">
        <v>22726</v>
      </c>
      <c r="C8316" s="32" t="s">
        <v>22727</v>
      </c>
      <c r="D8316" s="32" t="s">
        <v>22726</v>
      </c>
    </row>
    <row r="8317" spans="2:4" x14ac:dyDescent="0.3">
      <c r="B8317" s="33" t="s">
        <v>22728</v>
      </c>
      <c r="C8317" s="32" t="s">
        <v>22729</v>
      </c>
      <c r="D8317" s="32" t="s">
        <v>22730</v>
      </c>
    </row>
    <row r="8318" spans="2:4" x14ac:dyDescent="0.3">
      <c r="B8318" s="33" t="s">
        <v>22731</v>
      </c>
      <c r="C8318" s="32" t="s">
        <v>22732</v>
      </c>
      <c r="D8318" s="32" t="s">
        <v>22733</v>
      </c>
    </row>
    <row r="8319" spans="2:4" x14ac:dyDescent="0.3">
      <c r="B8319" s="33" t="s">
        <v>22734</v>
      </c>
      <c r="C8319" s="32" t="s">
        <v>22735</v>
      </c>
      <c r="D8319" s="32" t="s">
        <v>22736</v>
      </c>
    </row>
    <row r="8320" spans="2:4" x14ac:dyDescent="0.3">
      <c r="B8320" s="33" t="s">
        <v>22737</v>
      </c>
      <c r="C8320" s="32" t="s">
        <v>22738</v>
      </c>
      <c r="D8320" s="32" t="s">
        <v>22737</v>
      </c>
    </row>
    <row r="8321" spans="2:4" x14ac:dyDescent="0.3">
      <c r="B8321" s="33" t="s">
        <v>22739</v>
      </c>
      <c r="C8321" s="32" t="s">
        <v>22740</v>
      </c>
      <c r="D8321" s="32" t="s">
        <v>22741</v>
      </c>
    </row>
    <row r="8322" spans="2:4" x14ac:dyDescent="0.3">
      <c r="B8322" s="33" t="s">
        <v>22742</v>
      </c>
      <c r="C8322" s="32" t="s">
        <v>22743</v>
      </c>
      <c r="D8322" s="32" t="s">
        <v>22744</v>
      </c>
    </row>
    <row r="8323" spans="2:4" x14ac:dyDescent="0.3">
      <c r="B8323" s="33" t="s">
        <v>22745</v>
      </c>
      <c r="C8323" s="32" t="s">
        <v>22746</v>
      </c>
      <c r="D8323" s="32" t="s">
        <v>22747</v>
      </c>
    </row>
    <row r="8324" spans="2:4" x14ac:dyDescent="0.3">
      <c r="B8324" s="33" t="s">
        <v>22748</v>
      </c>
      <c r="C8324" s="32" t="s">
        <v>22749</v>
      </c>
      <c r="D8324" s="32" t="s">
        <v>22750</v>
      </c>
    </row>
    <row r="8325" spans="2:4" x14ac:dyDescent="0.3">
      <c r="B8325" s="33" t="s">
        <v>22751</v>
      </c>
      <c r="C8325" s="32" t="s">
        <v>22752</v>
      </c>
      <c r="D8325" s="32" t="s">
        <v>22753</v>
      </c>
    </row>
    <row r="8326" spans="2:4" x14ac:dyDescent="0.3">
      <c r="B8326" s="33" t="s">
        <v>22754</v>
      </c>
      <c r="C8326" s="32" t="s">
        <v>22755</v>
      </c>
      <c r="D8326" s="32" t="s">
        <v>22756</v>
      </c>
    </row>
    <row r="8327" spans="2:4" x14ac:dyDescent="0.3">
      <c r="B8327" s="33" t="s">
        <v>22757</v>
      </c>
      <c r="C8327" s="32" t="s">
        <v>22758</v>
      </c>
      <c r="D8327" s="32" t="s">
        <v>22759</v>
      </c>
    </row>
    <row r="8328" spans="2:4" x14ac:dyDescent="0.3">
      <c r="B8328" s="33" t="s">
        <v>22760</v>
      </c>
      <c r="C8328" s="32" t="s">
        <v>22761</v>
      </c>
      <c r="D8328" s="32" t="s">
        <v>22762</v>
      </c>
    </row>
    <row r="8329" spans="2:4" x14ac:dyDescent="0.3">
      <c r="B8329" s="33" t="s">
        <v>4156</v>
      </c>
      <c r="C8329" s="32" t="s">
        <v>22763</v>
      </c>
      <c r="D8329" s="32" t="s">
        <v>22764</v>
      </c>
    </row>
    <row r="8330" spans="2:4" x14ac:dyDescent="0.3">
      <c r="B8330" s="33" t="s">
        <v>22765</v>
      </c>
      <c r="C8330" s="32" t="s">
        <v>22766</v>
      </c>
      <c r="D8330" s="32" t="s">
        <v>22767</v>
      </c>
    </row>
    <row r="8331" spans="2:4" x14ac:dyDescent="0.3">
      <c r="B8331" s="33" t="s">
        <v>22768</v>
      </c>
      <c r="C8331" s="32" t="s">
        <v>22769</v>
      </c>
      <c r="D8331" s="32" t="s">
        <v>22770</v>
      </c>
    </row>
    <row r="8332" spans="2:4" x14ac:dyDescent="0.3">
      <c r="B8332" s="33" t="s">
        <v>22771</v>
      </c>
      <c r="C8332" s="32" t="s">
        <v>22772</v>
      </c>
      <c r="D8332" s="32" t="s">
        <v>22773</v>
      </c>
    </row>
    <row r="8333" spans="2:4" x14ac:dyDescent="0.3">
      <c r="B8333" s="33" t="s">
        <v>22774</v>
      </c>
      <c r="C8333" s="32" t="s">
        <v>22775</v>
      </c>
      <c r="D8333" s="32" t="s">
        <v>22776</v>
      </c>
    </row>
    <row r="8334" spans="2:4" x14ac:dyDescent="0.3">
      <c r="B8334" s="33" t="s">
        <v>22777</v>
      </c>
      <c r="C8334" s="32" t="s">
        <v>22778</v>
      </c>
      <c r="D8334" s="32" t="s">
        <v>22779</v>
      </c>
    </row>
    <row r="8335" spans="2:4" x14ac:dyDescent="0.3">
      <c r="B8335" s="33" t="s">
        <v>22780</v>
      </c>
      <c r="C8335" s="32" t="s">
        <v>22781</v>
      </c>
      <c r="D8335" s="32" t="s">
        <v>22782</v>
      </c>
    </row>
    <row r="8336" spans="2:4" x14ac:dyDescent="0.3">
      <c r="B8336" s="33" t="s">
        <v>22783</v>
      </c>
      <c r="C8336" s="32" t="s">
        <v>22784</v>
      </c>
      <c r="D8336" s="32" t="s">
        <v>22785</v>
      </c>
    </row>
    <row r="8337" spans="2:4" x14ac:dyDescent="0.3">
      <c r="B8337" s="33" t="s">
        <v>22786</v>
      </c>
      <c r="C8337" s="32" t="s">
        <v>22787</v>
      </c>
      <c r="D8337" s="32" t="s">
        <v>22788</v>
      </c>
    </row>
    <row r="8338" spans="2:4" x14ac:dyDescent="0.3">
      <c r="B8338" s="33" t="s">
        <v>22789</v>
      </c>
      <c r="C8338" s="32" t="s">
        <v>22790</v>
      </c>
      <c r="D8338" s="32" t="s">
        <v>22791</v>
      </c>
    </row>
    <row r="8339" spans="2:4" x14ac:dyDescent="0.3">
      <c r="B8339" s="33" t="s">
        <v>19104</v>
      </c>
      <c r="C8339" s="32" t="s">
        <v>22792</v>
      </c>
      <c r="D8339" s="32" t="s">
        <v>22793</v>
      </c>
    </row>
    <row r="8340" spans="2:4" x14ac:dyDescent="0.3">
      <c r="B8340" s="33" t="s">
        <v>22789</v>
      </c>
      <c r="C8340" s="32" t="s">
        <v>22794</v>
      </c>
      <c r="D8340" s="32" t="s">
        <v>22789</v>
      </c>
    </row>
    <row r="8341" spans="2:4" x14ac:dyDescent="0.3">
      <c r="B8341" s="33" t="s">
        <v>22795</v>
      </c>
      <c r="C8341" s="32" t="s">
        <v>22796</v>
      </c>
      <c r="D8341" s="32" t="s">
        <v>22797</v>
      </c>
    </row>
    <row r="8342" spans="2:4" x14ac:dyDescent="0.3">
      <c r="B8342" s="33" t="s">
        <v>22798</v>
      </c>
      <c r="C8342" s="32" t="s">
        <v>22799</v>
      </c>
      <c r="D8342" s="32" t="s">
        <v>22800</v>
      </c>
    </row>
    <row r="8343" spans="2:4" x14ac:dyDescent="0.3">
      <c r="B8343" s="33" t="s">
        <v>1570</v>
      </c>
      <c r="C8343" s="32" t="s">
        <v>22801</v>
      </c>
      <c r="D8343" s="32" t="s">
        <v>22802</v>
      </c>
    </row>
    <row r="8344" spans="2:4" x14ac:dyDescent="0.3">
      <c r="B8344" s="33" t="s">
        <v>22803</v>
      </c>
      <c r="C8344" s="32" t="s">
        <v>22804</v>
      </c>
      <c r="D8344" s="32" t="s">
        <v>22805</v>
      </c>
    </row>
    <row r="8345" spans="2:4" x14ac:dyDescent="0.3">
      <c r="B8345" s="33" t="s">
        <v>22806</v>
      </c>
      <c r="C8345" s="32" t="s">
        <v>22807</v>
      </c>
      <c r="D8345" s="32" t="s">
        <v>22808</v>
      </c>
    </row>
    <row r="8346" spans="2:4" x14ac:dyDescent="0.3">
      <c r="B8346" s="33" t="s">
        <v>22809</v>
      </c>
      <c r="C8346" s="32" t="s">
        <v>22810</v>
      </c>
      <c r="D8346" s="32" t="s">
        <v>22811</v>
      </c>
    </row>
    <row r="8347" spans="2:4" x14ac:dyDescent="0.3">
      <c r="B8347" s="33" t="s">
        <v>22812</v>
      </c>
      <c r="C8347" s="32" t="s">
        <v>22813</v>
      </c>
      <c r="D8347" s="32" t="s">
        <v>22814</v>
      </c>
    </row>
    <row r="8348" spans="2:4" x14ac:dyDescent="0.3">
      <c r="B8348" s="33" t="s">
        <v>22815</v>
      </c>
      <c r="C8348" s="32" t="s">
        <v>22816</v>
      </c>
      <c r="D8348" s="32" t="s">
        <v>22817</v>
      </c>
    </row>
    <row r="8349" spans="2:4" x14ac:dyDescent="0.3">
      <c r="B8349" s="33" t="s">
        <v>22818</v>
      </c>
      <c r="C8349" s="32" t="s">
        <v>22819</v>
      </c>
      <c r="D8349" s="32" t="s">
        <v>22818</v>
      </c>
    </row>
    <row r="8350" spans="2:4" x14ac:dyDescent="0.3">
      <c r="B8350" s="33" t="s">
        <v>22820</v>
      </c>
      <c r="C8350" s="32" t="s">
        <v>22821</v>
      </c>
      <c r="D8350" s="32" t="s">
        <v>22822</v>
      </c>
    </row>
    <row r="8351" spans="2:4" x14ac:dyDescent="0.3">
      <c r="B8351" s="33" t="s">
        <v>22823</v>
      </c>
      <c r="C8351" s="32" t="s">
        <v>22824</v>
      </c>
      <c r="D8351" s="32" t="s">
        <v>22825</v>
      </c>
    </row>
    <row r="8352" spans="2:4" x14ac:dyDescent="0.3">
      <c r="B8352" s="33" t="s">
        <v>2376</v>
      </c>
      <c r="C8352" s="32" t="s">
        <v>22826</v>
      </c>
      <c r="D8352" s="32" t="s">
        <v>22827</v>
      </c>
    </row>
    <row r="8353" spans="2:4" x14ac:dyDescent="0.3">
      <c r="B8353" s="33" t="s">
        <v>22828</v>
      </c>
      <c r="C8353" s="32" t="s">
        <v>22829</v>
      </c>
      <c r="D8353" s="32" t="s">
        <v>22830</v>
      </c>
    </row>
    <row r="8354" spans="2:4" x14ac:dyDescent="0.3">
      <c r="B8354" s="33" t="s">
        <v>22831</v>
      </c>
      <c r="C8354" s="32" t="s">
        <v>22832</v>
      </c>
      <c r="D8354" s="32" t="s">
        <v>22833</v>
      </c>
    </row>
    <row r="8355" spans="2:4" x14ac:dyDescent="0.3">
      <c r="B8355" s="33" t="s">
        <v>22834</v>
      </c>
      <c r="C8355" s="32" t="s">
        <v>22835</v>
      </c>
      <c r="D8355" s="32" t="s">
        <v>22836</v>
      </c>
    </row>
    <row r="8356" spans="2:4" x14ac:dyDescent="0.3">
      <c r="B8356" s="33" t="s">
        <v>22837</v>
      </c>
      <c r="C8356" s="32" t="s">
        <v>22838</v>
      </c>
      <c r="D8356" s="32" t="s">
        <v>22839</v>
      </c>
    </row>
    <row r="8357" spans="2:4" x14ac:dyDescent="0.3">
      <c r="B8357" s="33" t="s">
        <v>22840</v>
      </c>
      <c r="C8357" s="32" t="s">
        <v>22841</v>
      </c>
      <c r="D8357" s="32" t="s">
        <v>22842</v>
      </c>
    </row>
    <row r="8358" spans="2:4" x14ac:dyDescent="0.3">
      <c r="B8358" s="33" t="s">
        <v>22843</v>
      </c>
      <c r="C8358" s="32" t="s">
        <v>22844</v>
      </c>
      <c r="D8358" s="32" t="s">
        <v>22845</v>
      </c>
    </row>
    <row r="8359" spans="2:4" x14ac:dyDescent="0.3">
      <c r="B8359" s="33" t="s">
        <v>22846</v>
      </c>
      <c r="C8359" s="32" t="s">
        <v>22847</v>
      </c>
      <c r="D8359" s="32" t="s">
        <v>22848</v>
      </c>
    </row>
    <row r="8360" spans="2:4" x14ac:dyDescent="0.3">
      <c r="B8360" s="33" t="s">
        <v>22637</v>
      </c>
      <c r="C8360" s="32" t="s">
        <v>22849</v>
      </c>
      <c r="D8360" s="32" t="s">
        <v>22850</v>
      </c>
    </row>
    <row r="8361" spans="2:4" x14ac:dyDescent="0.3">
      <c r="B8361" s="33" t="s">
        <v>22851</v>
      </c>
      <c r="C8361" s="32" t="s">
        <v>22852</v>
      </c>
      <c r="D8361" s="32" t="s">
        <v>22853</v>
      </c>
    </row>
    <row r="8362" spans="2:4" x14ac:dyDescent="0.3">
      <c r="B8362" s="33" t="s">
        <v>22854</v>
      </c>
      <c r="C8362" s="32" t="s">
        <v>22855</v>
      </c>
      <c r="D8362" s="32" t="s">
        <v>22856</v>
      </c>
    </row>
    <row r="8363" spans="2:4" x14ac:dyDescent="0.3">
      <c r="B8363" s="33" t="s">
        <v>22857</v>
      </c>
      <c r="C8363" s="32" t="s">
        <v>22858</v>
      </c>
      <c r="D8363" s="32" t="s">
        <v>22859</v>
      </c>
    </row>
    <row r="8364" spans="2:4" x14ac:dyDescent="0.3">
      <c r="B8364" s="33" t="s">
        <v>22860</v>
      </c>
      <c r="C8364" s="32" t="s">
        <v>22861</v>
      </c>
      <c r="D8364" s="32" t="s">
        <v>22862</v>
      </c>
    </row>
    <row r="8365" spans="2:4" x14ac:dyDescent="0.3">
      <c r="B8365" s="33" t="s">
        <v>22863</v>
      </c>
      <c r="C8365" s="32" t="s">
        <v>22864</v>
      </c>
      <c r="D8365" s="32" t="s">
        <v>22865</v>
      </c>
    </row>
    <row r="8366" spans="2:4" x14ac:dyDescent="0.3">
      <c r="B8366" s="33" t="s">
        <v>22866</v>
      </c>
      <c r="C8366" s="32" t="s">
        <v>22867</v>
      </c>
      <c r="D8366" s="32" t="s">
        <v>22868</v>
      </c>
    </row>
    <row r="8367" spans="2:4" x14ac:dyDescent="0.3">
      <c r="B8367" s="33" t="s">
        <v>22869</v>
      </c>
      <c r="C8367" s="32" t="s">
        <v>22870</v>
      </c>
      <c r="D8367" s="32" t="s">
        <v>22869</v>
      </c>
    </row>
    <row r="8368" spans="2:4" x14ac:dyDescent="0.3">
      <c r="B8368" s="33" t="s">
        <v>22871</v>
      </c>
      <c r="C8368" s="32" t="s">
        <v>22872</v>
      </c>
      <c r="D8368" s="32" t="s">
        <v>22873</v>
      </c>
    </row>
    <row r="8369" spans="2:4" x14ac:dyDescent="0.3">
      <c r="B8369" s="33" t="s">
        <v>22874</v>
      </c>
      <c r="C8369" s="32" t="s">
        <v>22875</v>
      </c>
      <c r="D8369" s="32" t="s">
        <v>22876</v>
      </c>
    </row>
    <row r="8370" spans="2:4" x14ac:dyDescent="0.3">
      <c r="B8370" s="33" t="s">
        <v>22877</v>
      </c>
      <c r="C8370" s="32" t="s">
        <v>22878</v>
      </c>
      <c r="D8370" s="32" t="s">
        <v>22879</v>
      </c>
    </row>
    <row r="8371" spans="2:4" x14ac:dyDescent="0.3">
      <c r="B8371" s="33" t="s">
        <v>22880</v>
      </c>
      <c r="C8371" s="32" t="s">
        <v>22881</v>
      </c>
      <c r="D8371" s="32" t="s">
        <v>22882</v>
      </c>
    </row>
    <row r="8372" spans="2:4" x14ac:dyDescent="0.3">
      <c r="B8372" s="33" t="s">
        <v>22883</v>
      </c>
      <c r="C8372" s="32" t="s">
        <v>22884</v>
      </c>
      <c r="D8372" s="32" t="s">
        <v>22885</v>
      </c>
    </row>
    <row r="8373" spans="2:4" x14ac:dyDescent="0.3">
      <c r="B8373" s="33" t="s">
        <v>37036</v>
      </c>
      <c r="C8373" s="32" t="s">
        <v>37037</v>
      </c>
      <c r="D8373" s="32" t="s">
        <v>37038</v>
      </c>
    </row>
    <row r="8374" spans="2:4" x14ac:dyDescent="0.3">
      <c r="B8374" s="33" t="s">
        <v>22886</v>
      </c>
      <c r="C8374" s="32" t="s">
        <v>22887</v>
      </c>
      <c r="D8374" s="32" t="s">
        <v>22888</v>
      </c>
    </row>
    <row r="8375" spans="2:4" x14ac:dyDescent="0.3">
      <c r="B8375" s="33" t="s">
        <v>22889</v>
      </c>
      <c r="C8375" s="32" t="s">
        <v>22890</v>
      </c>
      <c r="D8375" s="32" t="s">
        <v>22891</v>
      </c>
    </row>
    <row r="8376" spans="2:4" x14ac:dyDescent="0.3">
      <c r="B8376" s="33" t="s">
        <v>22892</v>
      </c>
      <c r="C8376" s="32" t="s">
        <v>22893</v>
      </c>
      <c r="D8376" s="32" t="s">
        <v>22894</v>
      </c>
    </row>
    <row r="8377" spans="2:4" x14ac:dyDescent="0.3">
      <c r="B8377" s="33" t="s">
        <v>22895</v>
      </c>
      <c r="C8377" s="32" t="s">
        <v>22896</v>
      </c>
      <c r="D8377" s="32" t="s">
        <v>22897</v>
      </c>
    </row>
    <row r="8378" spans="2:4" x14ac:dyDescent="0.3">
      <c r="B8378" s="33" t="s">
        <v>22789</v>
      </c>
      <c r="C8378" s="32" t="s">
        <v>22898</v>
      </c>
      <c r="D8378" s="32" t="s">
        <v>22899</v>
      </c>
    </row>
    <row r="8379" spans="2:4" x14ac:dyDescent="0.3">
      <c r="B8379" s="33" t="s">
        <v>22900</v>
      </c>
      <c r="C8379" s="32" t="s">
        <v>22901</v>
      </c>
      <c r="D8379" s="32" t="s">
        <v>22902</v>
      </c>
    </row>
    <row r="8380" spans="2:4" x14ac:dyDescent="0.3">
      <c r="B8380" s="33" t="s">
        <v>22871</v>
      </c>
      <c r="C8380" s="32" t="s">
        <v>22903</v>
      </c>
      <c r="D8380" s="32" t="s">
        <v>22904</v>
      </c>
    </row>
    <row r="8381" spans="2:4" x14ac:dyDescent="0.3">
      <c r="B8381" s="33" t="s">
        <v>22905</v>
      </c>
      <c r="C8381" s="32" t="s">
        <v>22906</v>
      </c>
      <c r="D8381" s="32" t="s">
        <v>22907</v>
      </c>
    </row>
    <row r="8382" spans="2:4" x14ac:dyDescent="0.3">
      <c r="B8382" s="33" t="s">
        <v>22908</v>
      </c>
      <c r="C8382" s="32" t="s">
        <v>22909</v>
      </c>
      <c r="D8382" s="32" t="s">
        <v>22910</v>
      </c>
    </row>
    <row r="8383" spans="2:4" x14ac:dyDescent="0.3">
      <c r="B8383" s="33" t="s">
        <v>22911</v>
      </c>
      <c r="C8383" s="32" t="s">
        <v>22912</v>
      </c>
      <c r="D8383" s="32" t="s">
        <v>22911</v>
      </c>
    </row>
    <row r="8384" spans="2:4" x14ac:dyDescent="0.3">
      <c r="B8384" s="33" t="s">
        <v>22911</v>
      </c>
      <c r="C8384" s="32" t="s">
        <v>22913</v>
      </c>
      <c r="D8384" s="32" t="s">
        <v>22914</v>
      </c>
    </row>
    <row r="8385" spans="2:4" x14ac:dyDescent="0.3">
      <c r="B8385" s="33" t="s">
        <v>22915</v>
      </c>
      <c r="C8385" s="32" t="s">
        <v>22916</v>
      </c>
      <c r="D8385" s="32" t="s">
        <v>22917</v>
      </c>
    </row>
    <row r="8386" spans="2:4" x14ac:dyDescent="0.3">
      <c r="B8386" s="33" t="s">
        <v>22918</v>
      </c>
      <c r="C8386" s="32" t="s">
        <v>22919</v>
      </c>
      <c r="D8386" s="32" t="s">
        <v>22920</v>
      </c>
    </row>
    <row r="8387" spans="2:4" x14ac:dyDescent="0.3">
      <c r="B8387" s="33" t="s">
        <v>22921</v>
      </c>
      <c r="C8387" s="32" t="s">
        <v>22922</v>
      </c>
      <c r="D8387" s="32" t="s">
        <v>22923</v>
      </c>
    </row>
    <row r="8388" spans="2:4" x14ac:dyDescent="0.3">
      <c r="B8388" s="33" t="s">
        <v>22924</v>
      </c>
      <c r="C8388" s="32" t="s">
        <v>22925</v>
      </c>
      <c r="D8388" s="32" t="s">
        <v>22926</v>
      </c>
    </row>
    <row r="8389" spans="2:4" x14ac:dyDescent="0.3">
      <c r="B8389" s="33" t="s">
        <v>22927</v>
      </c>
      <c r="C8389" s="32" t="s">
        <v>22928</v>
      </c>
      <c r="D8389" s="32" t="s">
        <v>22929</v>
      </c>
    </row>
    <row r="8390" spans="2:4" x14ac:dyDescent="0.3">
      <c r="B8390" s="33" t="s">
        <v>22717</v>
      </c>
      <c r="C8390" s="32" t="s">
        <v>22930</v>
      </c>
      <c r="D8390" s="32" t="s">
        <v>22931</v>
      </c>
    </row>
    <row r="8391" spans="2:4" x14ac:dyDescent="0.3">
      <c r="B8391" s="33" t="s">
        <v>22932</v>
      </c>
      <c r="C8391" s="32" t="s">
        <v>22933</v>
      </c>
      <c r="D8391" s="32" t="s">
        <v>22934</v>
      </c>
    </row>
    <row r="8392" spans="2:4" x14ac:dyDescent="0.3">
      <c r="B8392" s="33" t="s">
        <v>22935</v>
      </c>
      <c r="C8392" s="32" t="s">
        <v>22936</v>
      </c>
      <c r="D8392" s="32" t="s">
        <v>22937</v>
      </c>
    </row>
    <row r="8393" spans="2:4" x14ac:dyDescent="0.3">
      <c r="B8393" s="33" t="s">
        <v>22637</v>
      </c>
      <c r="C8393" s="32" t="s">
        <v>22938</v>
      </c>
      <c r="D8393" s="32" t="s">
        <v>22939</v>
      </c>
    </row>
    <row r="8394" spans="2:4" x14ac:dyDescent="0.3">
      <c r="B8394" s="33" t="s">
        <v>22940</v>
      </c>
      <c r="C8394" s="32" t="s">
        <v>22941</v>
      </c>
      <c r="D8394" s="32" t="s">
        <v>22942</v>
      </c>
    </row>
    <row r="8395" spans="2:4" x14ac:dyDescent="0.3">
      <c r="B8395" s="33" t="s">
        <v>22943</v>
      </c>
      <c r="C8395" s="32" t="s">
        <v>22944</v>
      </c>
      <c r="D8395" s="32" t="s">
        <v>22945</v>
      </c>
    </row>
    <row r="8396" spans="2:4" x14ac:dyDescent="0.3">
      <c r="B8396" s="33" t="s">
        <v>22946</v>
      </c>
      <c r="C8396" s="32" t="s">
        <v>22947</v>
      </c>
      <c r="D8396" s="32" t="s">
        <v>22948</v>
      </c>
    </row>
    <row r="8397" spans="2:4" x14ac:dyDescent="0.3">
      <c r="B8397" s="33" t="s">
        <v>22949</v>
      </c>
      <c r="C8397" s="32" t="s">
        <v>22950</v>
      </c>
      <c r="D8397" s="32" t="s">
        <v>22949</v>
      </c>
    </row>
    <row r="8398" spans="2:4" x14ac:dyDescent="0.3">
      <c r="B8398" s="33" t="s">
        <v>22951</v>
      </c>
      <c r="C8398" s="32" t="s">
        <v>22952</v>
      </c>
      <c r="D8398" s="32" t="s">
        <v>22953</v>
      </c>
    </row>
    <row r="8399" spans="2:4" x14ac:dyDescent="0.3">
      <c r="B8399" s="33" t="s">
        <v>22954</v>
      </c>
      <c r="C8399" s="32" t="s">
        <v>22955</v>
      </c>
      <c r="D8399" s="32" t="s">
        <v>22956</v>
      </c>
    </row>
    <row r="8400" spans="2:4" x14ac:dyDescent="0.3">
      <c r="B8400" s="33" t="s">
        <v>22957</v>
      </c>
      <c r="C8400" s="32" t="s">
        <v>22958</v>
      </c>
      <c r="D8400" s="32" t="s">
        <v>22959</v>
      </c>
    </row>
    <row r="8401" spans="2:4" x14ac:dyDescent="0.3">
      <c r="B8401" s="33" t="s">
        <v>22960</v>
      </c>
      <c r="C8401" s="32" t="s">
        <v>22961</v>
      </c>
      <c r="D8401" s="32" t="s">
        <v>22962</v>
      </c>
    </row>
    <row r="8402" spans="2:4" x14ac:dyDescent="0.3">
      <c r="B8402" s="33" t="s">
        <v>22963</v>
      </c>
      <c r="C8402" s="32" t="s">
        <v>22964</v>
      </c>
      <c r="D8402" s="32" t="s">
        <v>22965</v>
      </c>
    </row>
    <row r="8403" spans="2:4" x14ac:dyDescent="0.3">
      <c r="B8403" s="33" t="s">
        <v>22966</v>
      </c>
      <c r="C8403" s="32" t="s">
        <v>22967</v>
      </c>
      <c r="D8403" s="32" t="s">
        <v>22968</v>
      </c>
    </row>
    <row r="8404" spans="2:4" x14ac:dyDescent="0.3">
      <c r="B8404" s="33" t="s">
        <v>22969</v>
      </c>
      <c r="C8404" s="32" t="s">
        <v>22970</v>
      </c>
      <c r="D8404" s="32" t="s">
        <v>22971</v>
      </c>
    </row>
    <row r="8405" spans="2:4" x14ac:dyDescent="0.3">
      <c r="B8405" s="33" t="s">
        <v>22972</v>
      </c>
      <c r="C8405" s="32" t="s">
        <v>22973</v>
      </c>
      <c r="D8405" s="32" t="s">
        <v>22974</v>
      </c>
    </row>
    <row r="8406" spans="2:4" x14ac:dyDescent="0.3">
      <c r="B8406" s="33" t="s">
        <v>22975</v>
      </c>
      <c r="C8406" s="32" t="s">
        <v>22976</v>
      </c>
      <c r="D8406" s="32" t="s">
        <v>36866</v>
      </c>
    </row>
    <row r="8407" spans="2:4" x14ac:dyDescent="0.3">
      <c r="B8407" s="33" t="s">
        <v>22977</v>
      </c>
      <c r="C8407" s="32" t="s">
        <v>22978</v>
      </c>
      <c r="D8407" s="32" t="s">
        <v>22979</v>
      </c>
    </row>
    <row r="8408" spans="2:4" x14ac:dyDescent="0.3">
      <c r="B8408" s="33" t="s">
        <v>22980</v>
      </c>
      <c r="C8408" s="32" t="s">
        <v>22981</v>
      </c>
      <c r="D8408" s="32" t="s">
        <v>22980</v>
      </c>
    </row>
    <row r="8409" spans="2:4" x14ac:dyDescent="0.3">
      <c r="B8409" s="33" t="s">
        <v>22982</v>
      </c>
      <c r="C8409" s="32" t="s">
        <v>22983</v>
      </c>
      <c r="D8409" s="32" t="s">
        <v>22984</v>
      </c>
    </row>
    <row r="8410" spans="2:4" x14ac:dyDescent="0.3">
      <c r="B8410" s="33" t="s">
        <v>22985</v>
      </c>
      <c r="C8410" s="32" t="s">
        <v>22986</v>
      </c>
      <c r="D8410" s="32" t="s">
        <v>22987</v>
      </c>
    </row>
    <row r="8411" spans="2:4" x14ac:dyDescent="0.3">
      <c r="B8411" s="33" t="s">
        <v>22988</v>
      </c>
      <c r="C8411" s="32" t="s">
        <v>22989</v>
      </c>
      <c r="D8411" s="32" t="s">
        <v>22990</v>
      </c>
    </row>
    <row r="8412" spans="2:4" x14ac:dyDescent="0.3">
      <c r="B8412" s="33" t="s">
        <v>22991</v>
      </c>
      <c r="C8412" s="32" t="s">
        <v>22992</v>
      </c>
      <c r="D8412" s="32" t="s">
        <v>22993</v>
      </c>
    </row>
    <row r="8413" spans="2:4" x14ac:dyDescent="0.3">
      <c r="B8413" s="33" t="s">
        <v>22994</v>
      </c>
      <c r="C8413" s="32" t="s">
        <v>22995</v>
      </c>
      <c r="D8413" s="32" t="s">
        <v>22996</v>
      </c>
    </row>
    <row r="8414" spans="2:4" x14ac:dyDescent="0.3">
      <c r="B8414" s="33" t="s">
        <v>22997</v>
      </c>
      <c r="C8414" s="32" t="s">
        <v>22998</v>
      </c>
      <c r="D8414" s="32" t="s">
        <v>22999</v>
      </c>
    </row>
    <row r="8415" spans="2:4" x14ac:dyDescent="0.3">
      <c r="B8415" s="33" t="s">
        <v>23000</v>
      </c>
      <c r="C8415" s="32" t="s">
        <v>23001</v>
      </c>
      <c r="D8415" s="32" t="s">
        <v>23002</v>
      </c>
    </row>
    <row r="8416" spans="2:4" x14ac:dyDescent="0.3">
      <c r="B8416" s="33" t="s">
        <v>23003</v>
      </c>
      <c r="C8416" s="32" t="s">
        <v>23004</v>
      </c>
      <c r="D8416" s="32" t="s">
        <v>23005</v>
      </c>
    </row>
    <row r="8417" spans="2:4" x14ac:dyDescent="0.3">
      <c r="B8417" s="33" t="s">
        <v>23006</v>
      </c>
      <c r="C8417" s="32" t="s">
        <v>23007</v>
      </c>
      <c r="D8417" s="32" t="s">
        <v>23008</v>
      </c>
    </row>
    <row r="8418" spans="2:4" x14ac:dyDescent="0.3">
      <c r="B8418" s="33" t="s">
        <v>23009</v>
      </c>
      <c r="C8418" s="32" t="s">
        <v>23010</v>
      </c>
      <c r="D8418" s="32" t="s">
        <v>23011</v>
      </c>
    </row>
    <row r="8419" spans="2:4" x14ac:dyDescent="0.3">
      <c r="B8419" s="33" t="s">
        <v>23012</v>
      </c>
      <c r="C8419" s="32" t="s">
        <v>23013</v>
      </c>
      <c r="D8419" s="32" t="s">
        <v>23014</v>
      </c>
    </row>
    <row r="8420" spans="2:4" x14ac:dyDescent="0.3">
      <c r="B8420" s="33" t="s">
        <v>22548</v>
      </c>
      <c r="C8420" s="32" t="s">
        <v>23015</v>
      </c>
      <c r="D8420" s="32" t="s">
        <v>23016</v>
      </c>
    </row>
    <row r="8421" spans="2:4" x14ac:dyDescent="0.3">
      <c r="B8421" s="33" t="s">
        <v>23017</v>
      </c>
      <c r="C8421" s="32" t="s">
        <v>23018</v>
      </c>
      <c r="D8421" s="32" t="s">
        <v>23019</v>
      </c>
    </row>
    <row r="8422" spans="2:4" x14ac:dyDescent="0.3">
      <c r="B8422" s="33" t="s">
        <v>23020</v>
      </c>
      <c r="C8422" s="32" t="s">
        <v>23021</v>
      </c>
      <c r="D8422" s="32" t="s">
        <v>23022</v>
      </c>
    </row>
    <row r="8423" spans="2:4" x14ac:dyDescent="0.3">
      <c r="B8423" s="33" t="s">
        <v>23023</v>
      </c>
      <c r="C8423" s="32" t="s">
        <v>23024</v>
      </c>
      <c r="D8423" s="32" t="s">
        <v>23025</v>
      </c>
    </row>
    <row r="8424" spans="2:4" x14ac:dyDescent="0.3">
      <c r="B8424" s="33" t="s">
        <v>23026</v>
      </c>
      <c r="C8424" s="32" t="s">
        <v>23027</v>
      </c>
      <c r="D8424" s="32" t="s">
        <v>23028</v>
      </c>
    </row>
    <row r="8425" spans="2:4" x14ac:dyDescent="0.3">
      <c r="B8425" s="33" t="s">
        <v>23029</v>
      </c>
      <c r="C8425" s="32" t="s">
        <v>23030</v>
      </c>
      <c r="D8425" s="32" t="s">
        <v>23031</v>
      </c>
    </row>
    <row r="8426" spans="2:4" x14ac:dyDescent="0.3">
      <c r="B8426" s="33" t="s">
        <v>23032</v>
      </c>
      <c r="C8426" s="32" t="s">
        <v>23033</v>
      </c>
      <c r="D8426" s="32" t="s">
        <v>23034</v>
      </c>
    </row>
    <row r="8427" spans="2:4" x14ac:dyDescent="0.3">
      <c r="B8427" s="33" t="s">
        <v>23035</v>
      </c>
      <c r="C8427" s="32" t="s">
        <v>23036</v>
      </c>
      <c r="D8427" s="32" t="s">
        <v>23037</v>
      </c>
    </row>
    <row r="8428" spans="2:4" x14ac:dyDescent="0.3">
      <c r="B8428" s="33" t="s">
        <v>23038</v>
      </c>
      <c r="C8428" s="32" t="s">
        <v>23039</v>
      </c>
      <c r="D8428" s="32" t="s">
        <v>23040</v>
      </c>
    </row>
    <row r="8429" spans="2:4" x14ac:dyDescent="0.3">
      <c r="B8429" s="33" t="s">
        <v>23041</v>
      </c>
      <c r="C8429" s="32" t="s">
        <v>23042</v>
      </c>
      <c r="D8429" s="32" t="s">
        <v>23043</v>
      </c>
    </row>
    <row r="8430" spans="2:4" x14ac:dyDescent="0.3">
      <c r="B8430" s="33" t="s">
        <v>21252</v>
      </c>
      <c r="C8430" s="32" t="s">
        <v>23044</v>
      </c>
      <c r="D8430" s="32" t="s">
        <v>23045</v>
      </c>
    </row>
    <row r="8431" spans="2:4" x14ac:dyDescent="0.3">
      <c r="B8431" s="33" t="s">
        <v>23046</v>
      </c>
      <c r="C8431" s="32" t="s">
        <v>23047</v>
      </c>
      <c r="D8431" s="32" t="s">
        <v>23048</v>
      </c>
    </row>
    <row r="8432" spans="2:4" x14ac:dyDescent="0.3">
      <c r="B8432" s="33" t="s">
        <v>16681</v>
      </c>
      <c r="C8432" s="32" t="s">
        <v>23049</v>
      </c>
      <c r="D8432" s="32" t="s">
        <v>23050</v>
      </c>
    </row>
    <row r="8433" spans="2:4" x14ac:dyDescent="0.3">
      <c r="B8433" s="33" t="s">
        <v>23051</v>
      </c>
      <c r="C8433" s="32" t="s">
        <v>23052</v>
      </c>
      <c r="D8433" s="32" t="s">
        <v>23053</v>
      </c>
    </row>
    <row r="8434" spans="2:4" x14ac:dyDescent="0.3">
      <c r="B8434" s="33" t="s">
        <v>36751</v>
      </c>
      <c r="C8434" s="32" t="s">
        <v>37286</v>
      </c>
      <c r="D8434" s="32" t="s">
        <v>37287</v>
      </c>
    </row>
    <row r="8435" spans="2:4" x14ac:dyDescent="0.3">
      <c r="B8435" s="33" t="s">
        <v>23054</v>
      </c>
      <c r="C8435" s="32" t="s">
        <v>23055</v>
      </c>
      <c r="D8435" s="32" t="s">
        <v>23056</v>
      </c>
    </row>
    <row r="8436" spans="2:4" x14ac:dyDescent="0.3">
      <c r="B8436" s="33" t="s">
        <v>23057</v>
      </c>
      <c r="C8436" s="32" t="s">
        <v>23058</v>
      </c>
      <c r="D8436" s="32" t="s">
        <v>23059</v>
      </c>
    </row>
    <row r="8437" spans="2:4" x14ac:dyDescent="0.3">
      <c r="B8437" s="33" t="s">
        <v>23060</v>
      </c>
      <c r="C8437" s="32" t="s">
        <v>23061</v>
      </c>
      <c r="D8437" s="32" t="s">
        <v>23062</v>
      </c>
    </row>
    <row r="8438" spans="2:4" x14ac:dyDescent="0.3">
      <c r="B8438" s="33" t="s">
        <v>23063</v>
      </c>
      <c r="C8438" s="32" t="s">
        <v>23064</v>
      </c>
      <c r="D8438" s="32" t="s">
        <v>23065</v>
      </c>
    </row>
    <row r="8439" spans="2:4" x14ac:dyDescent="0.3">
      <c r="B8439" s="33" t="s">
        <v>23066</v>
      </c>
      <c r="C8439" s="32" t="s">
        <v>23067</v>
      </c>
      <c r="D8439" s="32" t="s">
        <v>23068</v>
      </c>
    </row>
    <row r="8440" spans="2:4" x14ac:dyDescent="0.3">
      <c r="B8440" s="33" t="s">
        <v>23069</v>
      </c>
      <c r="C8440" s="32" t="s">
        <v>23070</v>
      </c>
      <c r="D8440" s="32" t="s">
        <v>23071</v>
      </c>
    </row>
    <row r="8441" spans="2:4" x14ac:dyDescent="0.3">
      <c r="B8441" s="33" t="s">
        <v>23072</v>
      </c>
      <c r="C8441" s="32" t="s">
        <v>23073</v>
      </c>
      <c r="D8441" s="32" t="s">
        <v>23074</v>
      </c>
    </row>
    <row r="8442" spans="2:4" x14ac:dyDescent="0.3">
      <c r="B8442" s="33" t="s">
        <v>23075</v>
      </c>
      <c r="C8442" s="32" t="s">
        <v>23076</v>
      </c>
      <c r="D8442" s="32" t="s">
        <v>23077</v>
      </c>
    </row>
    <row r="8443" spans="2:4" x14ac:dyDescent="0.3">
      <c r="B8443" s="33" t="s">
        <v>23078</v>
      </c>
      <c r="C8443" s="32" t="s">
        <v>23079</v>
      </c>
      <c r="D8443" s="32" t="s">
        <v>23080</v>
      </c>
    </row>
    <row r="8444" spans="2:4" x14ac:dyDescent="0.3">
      <c r="B8444" s="33" t="s">
        <v>23081</v>
      </c>
      <c r="C8444" s="32" t="s">
        <v>23082</v>
      </c>
      <c r="D8444" s="32" t="s">
        <v>23083</v>
      </c>
    </row>
    <row r="8445" spans="2:4" x14ac:dyDescent="0.3">
      <c r="B8445" s="33" t="s">
        <v>23084</v>
      </c>
      <c r="C8445" s="32" t="s">
        <v>23085</v>
      </c>
      <c r="D8445" s="32" t="s">
        <v>23084</v>
      </c>
    </row>
    <row r="8446" spans="2:4" x14ac:dyDescent="0.3">
      <c r="B8446" s="33" t="s">
        <v>23086</v>
      </c>
      <c r="C8446" s="32" t="s">
        <v>23087</v>
      </c>
      <c r="D8446" s="32" t="s">
        <v>23088</v>
      </c>
    </row>
    <row r="8447" spans="2:4" x14ac:dyDescent="0.3">
      <c r="B8447" s="33" t="s">
        <v>23089</v>
      </c>
      <c r="C8447" s="32" t="s">
        <v>23090</v>
      </c>
      <c r="D8447" s="32" t="s">
        <v>23091</v>
      </c>
    </row>
    <row r="8448" spans="2:4" x14ac:dyDescent="0.3">
      <c r="B8448" s="33" t="s">
        <v>23092</v>
      </c>
      <c r="C8448" s="32" t="s">
        <v>23093</v>
      </c>
      <c r="D8448" s="32" t="s">
        <v>23094</v>
      </c>
    </row>
    <row r="8449" spans="2:4" x14ac:dyDescent="0.3">
      <c r="B8449" s="33" t="s">
        <v>23095</v>
      </c>
      <c r="C8449" s="32" t="s">
        <v>23096</v>
      </c>
      <c r="D8449" s="32" t="s">
        <v>23097</v>
      </c>
    </row>
    <row r="8450" spans="2:4" x14ac:dyDescent="0.3">
      <c r="B8450" s="33" t="s">
        <v>23098</v>
      </c>
      <c r="C8450" s="32" t="s">
        <v>23099</v>
      </c>
      <c r="D8450" s="32" t="s">
        <v>23100</v>
      </c>
    </row>
    <row r="8451" spans="2:4" x14ac:dyDescent="0.3">
      <c r="B8451" s="33" t="s">
        <v>23101</v>
      </c>
      <c r="C8451" s="32" t="s">
        <v>23102</v>
      </c>
      <c r="D8451" s="32" t="s">
        <v>23103</v>
      </c>
    </row>
    <row r="8452" spans="2:4" x14ac:dyDescent="0.3">
      <c r="B8452" s="33" t="s">
        <v>23104</v>
      </c>
      <c r="C8452" s="32" t="s">
        <v>23105</v>
      </c>
      <c r="D8452" s="32" t="s">
        <v>23106</v>
      </c>
    </row>
    <row r="8453" spans="2:4" x14ac:dyDescent="0.3">
      <c r="B8453" s="33" t="s">
        <v>23107</v>
      </c>
      <c r="C8453" s="32" t="s">
        <v>23108</v>
      </c>
      <c r="D8453" s="32" t="s">
        <v>23109</v>
      </c>
    </row>
    <row r="8454" spans="2:4" x14ac:dyDescent="0.3">
      <c r="B8454" s="33" t="s">
        <v>23110</v>
      </c>
      <c r="C8454" s="32" t="s">
        <v>23111</v>
      </c>
      <c r="D8454" s="32" t="s">
        <v>23112</v>
      </c>
    </row>
    <row r="8455" spans="2:4" x14ac:dyDescent="0.3">
      <c r="B8455" s="33" t="s">
        <v>23113</v>
      </c>
      <c r="C8455" s="32" t="s">
        <v>23114</v>
      </c>
      <c r="D8455" s="32" t="s">
        <v>23115</v>
      </c>
    </row>
    <row r="8456" spans="2:4" x14ac:dyDescent="0.3">
      <c r="B8456" s="33" t="s">
        <v>23116</v>
      </c>
      <c r="C8456" s="32" t="s">
        <v>23117</v>
      </c>
      <c r="D8456" s="32" t="s">
        <v>23118</v>
      </c>
    </row>
    <row r="8457" spans="2:4" x14ac:dyDescent="0.3">
      <c r="B8457" s="33" t="s">
        <v>23119</v>
      </c>
      <c r="C8457" s="32" t="s">
        <v>23120</v>
      </c>
      <c r="D8457" s="32" t="s">
        <v>23121</v>
      </c>
    </row>
    <row r="8458" spans="2:4" x14ac:dyDescent="0.3">
      <c r="B8458" s="33" t="s">
        <v>23122</v>
      </c>
      <c r="C8458" s="32" t="s">
        <v>23123</v>
      </c>
      <c r="D8458" s="32" t="s">
        <v>23124</v>
      </c>
    </row>
    <row r="8459" spans="2:4" x14ac:dyDescent="0.3">
      <c r="B8459" s="33" t="s">
        <v>23000</v>
      </c>
      <c r="C8459" s="32" t="s">
        <v>23125</v>
      </c>
      <c r="D8459" s="32" t="s">
        <v>23126</v>
      </c>
    </row>
    <row r="8460" spans="2:4" x14ac:dyDescent="0.3">
      <c r="B8460" s="33" t="s">
        <v>23127</v>
      </c>
      <c r="C8460" s="32" t="s">
        <v>23128</v>
      </c>
      <c r="D8460" s="32" t="s">
        <v>23129</v>
      </c>
    </row>
    <row r="8461" spans="2:4" x14ac:dyDescent="0.3">
      <c r="B8461" s="33" t="s">
        <v>23130</v>
      </c>
      <c r="C8461" s="32" t="s">
        <v>23131</v>
      </c>
      <c r="D8461" s="32" t="s">
        <v>23132</v>
      </c>
    </row>
    <row r="8462" spans="2:4" x14ac:dyDescent="0.3">
      <c r="B8462" s="33" t="s">
        <v>23133</v>
      </c>
      <c r="C8462" s="32" t="s">
        <v>23134</v>
      </c>
      <c r="D8462" s="32" t="s">
        <v>23135</v>
      </c>
    </row>
    <row r="8463" spans="2:4" x14ac:dyDescent="0.3">
      <c r="B8463" s="33" t="s">
        <v>23136</v>
      </c>
      <c r="C8463" s="32" t="s">
        <v>23137</v>
      </c>
      <c r="D8463" s="32" t="s">
        <v>23138</v>
      </c>
    </row>
    <row r="8464" spans="2:4" x14ac:dyDescent="0.3">
      <c r="B8464" s="33" t="s">
        <v>23139</v>
      </c>
      <c r="C8464" s="32" t="s">
        <v>23140</v>
      </c>
      <c r="D8464" s="32" t="s">
        <v>23141</v>
      </c>
    </row>
    <row r="8465" spans="2:4" x14ac:dyDescent="0.3">
      <c r="B8465" s="33" t="s">
        <v>23142</v>
      </c>
      <c r="C8465" s="32" t="s">
        <v>23143</v>
      </c>
      <c r="D8465" s="32" t="s">
        <v>23144</v>
      </c>
    </row>
    <row r="8466" spans="2:4" x14ac:dyDescent="0.3">
      <c r="B8466" s="33" t="s">
        <v>3245</v>
      </c>
      <c r="C8466" s="32" t="s">
        <v>23145</v>
      </c>
      <c r="D8466" s="32" t="s">
        <v>3245</v>
      </c>
    </row>
    <row r="8467" spans="2:4" x14ac:dyDescent="0.3">
      <c r="B8467" s="33" t="s">
        <v>23146</v>
      </c>
      <c r="C8467" s="32" t="s">
        <v>23147</v>
      </c>
      <c r="D8467" s="32" t="s">
        <v>23148</v>
      </c>
    </row>
    <row r="8468" spans="2:4" x14ac:dyDescent="0.3">
      <c r="B8468" s="33" t="s">
        <v>3245</v>
      </c>
      <c r="C8468" s="32" t="s">
        <v>23149</v>
      </c>
      <c r="D8468" s="32" t="s">
        <v>23150</v>
      </c>
    </row>
    <row r="8469" spans="2:4" x14ac:dyDescent="0.3">
      <c r="B8469" s="33" t="s">
        <v>23151</v>
      </c>
      <c r="C8469" s="32" t="s">
        <v>23152</v>
      </c>
      <c r="D8469" s="32" t="s">
        <v>23153</v>
      </c>
    </row>
    <row r="8470" spans="2:4" x14ac:dyDescent="0.3">
      <c r="B8470" s="33" t="s">
        <v>23154</v>
      </c>
      <c r="C8470" s="32" t="s">
        <v>23155</v>
      </c>
      <c r="D8470" s="32" t="s">
        <v>23156</v>
      </c>
    </row>
    <row r="8471" spans="2:4" x14ac:dyDescent="0.3">
      <c r="B8471" s="33" t="s">
        <v>23157</v>
      </c>
      <c r="C8471" s="32" t="s">
        <v>23158</v>
      </c>
      <c r="D8471" s="32" t="s">
        <v>23159</v>
      </c>
    </row>
    <row r="8472" spans="2:4" x14ac:dyDescent="0.3">
      <c r="B8472" s="33" t="s">
        <v>23160</v>
      </c>
      <c r="C8472" s="32" t="s">
        <v>23161</v>
      </c>
      <c r="D8472" s="32" t="s">
        <v>23162</v>
      </c>
    </row>
    <row r="8473" spans="2:4" x14ac:dyDescent="0.3">
      <c r="B8473" s="33" t="s">
        <v>23163</v>
      </c>
      <c r="C8473" s="32" t="s">
        <v>23164</v>
      </c>
      <c r="D8473" s="32" t="s">
        <v>23165</v>
      </c>
    </row>
    <row r="8474" spans="2:4" x14ac:dyDescent="0.3">
      <c r="B8474" s="33" t="s">
        <v>23166</v>
      </c>
      <c r="C8474" s="32" t="s">
        <v>23167</v>
      </c>
      <c r="D8474" s="32" t="s">
        <v>23168</v>
      </c>
    </row>
    <row r="8475" spans="2:4" x14ac:dyDescent="0.3">
      <c r="B8475" s="33" t="s">
        <v>23169</v>
      </c>
      <c r="C8475" s="32" t="s">
        <v>23170</v>
      </c>
      <c r="D8475" s="32" t="s">
        <v>23171</v>
      </c>
    </row>
    <row r="8476" spans="2:4" x14ac:dyDescent="0.3">
      <c r="B8476" s="33" t="s">
        <v>23172</v>
      </c>
      <c r="C8476" s="32" t="s">
        <v>23173</v>
      </c>
      <c r="D8476" s="32" t="s">
        <v>23174</v>
      </c>
    </row>
    <row r="8477" spans="2:4" x14ac:dyDescent="0.3">
      <c r="B8477" s="33" t="s">
        <v>23175</v>
      </c>
      <c r="C8477" s="32" t="s">
        <v>23176</v>
      </c>
      <c r="D8477" s="32" t="s">
        <v>23177</v>
      </c>
    </row>
    <row r="8478" spans="2:4" x14ac:dyDescent="0.3">
      <c r="B8478" s="33" t="s">
        <v>23060</v>
      </c>
      <c r="C8478" s="32" t="s">
        <v>23178</v>
      </c>
      <c r="D8478" s="32" t="s">
        <v>23179</v>
      </c>
    </row>
    <row r="8479" spans="2:4" x14ac:dyDescent="0.3">
      <c r="B8479" s="33" t="s">
        <v>23180</v>
      </c>
      <c r="C8479" s="32" t="s">
        <v>23181</v>
      </c>
      <c r="D8479" s="32" t="s">
        <v>23182</v>
      </c>
    </row>
    <row r="8480" spans="2:4" x14ac:dyDescent="0.3">
      <c r="B8480" s="33" t="s">
        <v>23183</v>
      </c>
      <c r="C8480" s="32" t="s">
        <v>23184</v>
      </c>
      <c r="D8480" s="32" t="s">
        <v>23185</v>
      </c>
    </row>
    <row r="8481" spans="2:4" x14ac:dyDescent="0.3">
      <c r="B8481" s="33" t="s">
        <v>11590</v>
      </c>
      <c r="C8481" s="32" t="s">
        <v>23186</v>
      </c>
      <c r="D8481" s="32" t="s">
        <v>23187</v>
      </c>
    </row>
    <row r="8482" spans="2:4" x14ac:dyDescent="0.3">
      <c r="B8482" s="33" t="s">
        <v>23188</v>
      </c>
      <c r="C8482" s="32" t="s">
        <v>23189</v>
      </c>
      <c r="D8482" s="32" t="s">
        <v>23188</v>
      </c>
    </row>
    <row r="8483" spans="2:4" x14ac:dyDescent="0.3">
      <c r="B8483" s="33" t="s">
        <v>23190</v>
      </c>
      <c r="C8483" s="32" t="s">
        <v>23191</v>
      </c>
      <c r="D8483" s="32" t="s">
        <v>23192</v>
      </c>
    </row>
    <row r="8484" spans="2:4" x14ac:dyDescent="0.3">
      <c r="B8484" s="33" t="s">
        <v>23193</v>
      </c>
      <c r="C8484" s="32" t="s">
        <v>23194</v>
      </c>
      <c r="D8484" s="32" t="s">
        <v>23195</v>
      </c>
    </row>
    <row r="8485" spans="2:4" x14ac:dyDescent="0.3">
      <c r="B8485" s="33" t="s">
        <v>23196</v>
      </c>
      <c r="C8485" s="32" t="s">
        <v>23197</v>
      </c>
      <c r="D8485" s="32" t="s">
        <v>23198</v>
      </c>
    </row>
    <row r="8486" spans="2:4" x14ac:dyDescent="0.3">
      <c r="B8486" s="33" t="s">
        <v>23199</v>
      </c>
      <c r="C8486" s="32" t="s">
        <v>23200</v>
      </c>
      <c r="D8486" s="32" t="s">
        <v>23201</v>
      </c>
    </row>
    <row r="8487" spans="2:4" x14ac:dyDescent="0.3">
      <c r="B8487" s="33" t="s">
        <v>23202</v>
      </c>
      <c r="C8487" s="32" t="s">
        <v>23203</v>
      </c>
      <c r="D8487" s="32" t="s">
        <v>23204</v>
      </c>
    </row>
    <row r="8488" spans="2:4" x14ac:dyDescent="0.3">
      <c r="B8488" s="33" t="s">
        <v>23205</v>
      </c>
      <c r="C8488" s="32" t="s">
        <v>23206</v>
      </c>
      <c r="D8488" s="32" t="s">
        <v>23207</v>
      </c>
    </row>
    <row r="8489" spans="2:4" x14ac:dyDescent="0.3">
      <c r="B8489" s="33" t="s">
        <v>23208</v>
      </c>
      <c r="C8489" s="32" t="s">
        <v>23209</v>
      </c>
      <c r="D8489" s="32" t="s">
        <v>23210</v>
      </c>
    </row>
    <row r="8490" spans="2:4" x14ac:dyDescent="0.3">
      <c r="B8490" s="33" t="s">
        <v>23211</v>
      </c>
      <c r="C8490" s="32" t="s">
        <v>23212</v>
      </c>
      <c r="D8490" s="32" t="s">
        <v>23213</v>
      </c>
    </row>
    <row r="8491" spans="2:4" x14ac:dyDescent="0.3">
      <c r="B8491" s="33" t="s">
        <v>23214</v>
      </c>
      <c r="C8491" s="32" t="s">
        <v>23215</v>
      </c>
      <c r="D8491" s="32" t="s">
        <v>23216</v>
      </c>
    </row>
    <row r="8492" spans="2:4" x14ac:dyDescent="0.3">
      <c r="B8492" s="33" t="s">
        <v>23217</v>
      </c>
      <c r="C8492" s="32" t="s">
        <v>23218</v>
      </c>
      <c r="D8492" s="32" t="s">
        <v>23217</v>
      </c>
    </row>
    <row r="8493" spans="2:4" x14ac:dyDescent="0.3">
      <c r="B8493" s="33" t="s">
        <v>23219</v>
      </c>
      <c r="C8493" s="32" t="s">
        <v>23220</v>
      </c>
      <c r="D8493" s="32" t="s">
        <v>23221</v>
      </c>
    </row>
    <row r="8494" spans="2:4" x14ac:dyDescent="0.3">
      <c r="B8494" s="33" t="s">
        <v>23222</v>
      </c>
      <c r="C8494" s="32" t="s">
        <v>23223</v>
      </c>
      <c r="D8494" s="32" t="s">
        <v>23224</v>
      </c>
    </row>
    <row r="8495" spans="2:4" x14ac:dyDescent="0.3">
      <c r="B8495" s="33" t="s">
        <v>23225</v>
      </c>
      <c r="C8495" s="32" t="s">
        <v>23226</v>
      </c>
      <c r="D8495" s="32" t="s">
        <v>23227</v>
      </c>
    </row>
    <row r="8496" spans="2:4" x14ac:dyDescent="0.3">
      <c r="B8496" s="33" t="s">
        <v>23228</v>
      </c>
      <c r="C8496" s="32" t="s">
        <v>23229</v>
      </c>
      <c r="D8496" s="32" t="s">
        <v>23230</v>
      </c>
    </row>
    <row r="8497" spans="2:4" x14ac:dyDescent="0.3">
      <c r="B8497" s="33" t="s">
        <v>23231</v>
      </c>
      <c r="C8497" s="32" t="s">
        <v>23232</v>
      </c>
      <c r="D8497" s="32" t="s">
        <v>23233</v>
      </c>
    </row>
    <row r="8498" spans="2:4" x14ac:dyDescent="0.3">
      <c r="B8498" s="33" t="s">
        <v>23234</v>
      </c>
      <c r="C8498" s="32" t="s">
        <v>23235</v>
      </c>
      <c r="D8498" s="32" t="s">
        <v>23236</v>
      </c>
    </row>
    <row r="8499" spans="2:4" x14ac:dyDescent="0.3">
      <c r="B8499" s="33" t="s">
        <v>23237</v>
      </c>
      <c r="C8499" s="32" t="s">
        <v>23238</v>
      </c>
      <c r="D8499" s="32" t="s">
        <v>23239</v>
      </c>
    </row>
    <row r="8500" spans="2:4" x14ac:dyDescent="0.3">
      <c r="B8500" s="33" t="s">
        <v>23240</v>
      </c>
      <c r="C8500" s="32" t="s">
        <v>23241</v>
      </c>
      <c r="D8500" s="32" t="s">
        <v>23242</v>
      </c>
    </row>
    <row r="8501" spans="2:4" x14ac:dyDescent="0.3">
      <c r="B8501" s="33" t="s">
        <v>23243</v>
      </c>
      <c r="C8501" s="32" t="s">
        <v>23244</v>
      </c>
      <c r="D8501" s="32" t="s">
        <v>23245</v>
      </c>
    </row>
    <row r="8502" spans="2:4" x14ac:dyDescent="0.3">
      <c r="B8502" s="33" t="s">
        <v>22969</v>
      </c>
      <c r="C8502" s="32" t="s">
        <v>23246</v>
      </c>
      <c r="D8502" s="32" t="s">
        <v>23247</v>
      </c>
    </row>
    <row r="8503" spans="2:4" x14ac:dyDescent="0.3">
      <c r="B8503" s="33" t="s">
        <v>23248</v>
      </c>
      <c r="C8503" s="32" t="s">
        <v>23249</v>
      </c>
      <c r="D8503" s="32" t="s">
        <v>23250</v>
      </c>
    </row>
    <row r="8504" spans="2:4" x14ac:dyDescent="0.3">
      <c r="B8504" s="33" t="s">
        <v>23251</v>
      </c>
      <c r="C8504" s="32" t="s">
        <v>23252</v>
      </c>
      <c r="D8504" s="32" t="s">
        <v>23253</v>
      </c>
    </row>
    <row r="8505" spans="2:4" x14ac:dyDescent="0.3">
      <c r="B8505" s="33" t="s">
        <v>23254</v>
      </c>
      <c r="C8505" s="32" t="s">
        <v>23255</v>
      </c>
      <c r="D8505" s="32" t="s">
        <v>23256</v>
      </c>
    </row>
    <row r="8506" spans="2:4" x14ac:dyDescent="0.3">
      <c r="B8506" s="33" t="s">
        <v>22370</v>
      </c>
      <c r="C8506" s="32" t="s">
        <v>23257</v>
      </c>
      <c r="D8506" s="32" t="s">
        <v>23258</v>
      </c>
    </row>
    <row r="8507" spans="2:4" x14ac:dyDescent="0.3">
      <c r="B8507" s="33" t="s">
        <v>23259</v>
      </c>
      <c r="C8507" s="32" t="s">
        <v>23260</v>
      </c>
      <c r="D8507" s="32" t="s">
        <v>23261</v>
      </c>
    </row>
    <row r="8508" spans="2:4" x14ac:dyDescent="0.3">
      <c r="B8508" s="33" t="s">
        <v>23262</v>
      </c>
      <c r="C8508" s="32" t="s">
        <v>23263</v>
      </c>
      <c r="D8508" s="32" t="s">
        <v>23264</v>
      </c>
    </row>
    <row r="8509" spans="2:4" x14ac:dyDescent="0.3">
      <c r="B8509" s="33" t="s">
        <v>23265</v>
      </c>
      <c r="C8509" s="32" t="s">
        <v>23266</v>
      </c>
      <c r="D8509" s="32" t="s">
        <v>23267</v>
      </c>
    </row>
    <row r="8510" spans="2:4" x14ac:dyDescent="0.3">
      <c r="B8510" s="33" t="s">
        <v>23268</v>
      </c>
      <c r="C8510" s="32" t="s">
        <v>23269</v>
      </c>
      <c r="D8510" s="32" t="s">
        <v>23270</v>
      </c>
    </row>
    <row r="8511" spans="2:4" x14ac:dyDescent="0.3">
      <c r="B8511" s="33" t="s">
        <v>23271</v>
      </c>
      <c r="C8511" s="32" t="s">
        <v>23272</v>
      </c>
      <c r="D8511" s="32" t="s">
        <v>23273</v>
      </c>
    </row>
    <row r="8512" spans="2:4" x14ac:dyDescent="0.3">
      <c r="B8512" s="33" t="s">
        <v>23274</v>
      </c>
      <c r="C8512" s="32" t="s">
        <v>23275</v>
      </c>
      <c r="D8512" s="32" t="s">
        <v>23276</v>
      </c>
    </row>
    <row r="8513" spans="2:4" x14ac:dyDescent="0.3">
      <c r="B8513" s="33" t="s">
        <v>23277</v>
      </c>
      <c r="C8513" s="32" t="s">
        <v>23278</v>
      </c>
      <c r="D8513" s="32" t="s">
        <v>23279</v>
      </c>
    </row>
    <row r="8514" spans="2:4" x14ac:dyDescent="0.3">
      <c r="B8514" s="33" t="s">
        <v>22708</v>
      </c>
      <c r="C8514" s="32" t="s">
        <v>23280</v>
      </c>
      <c r="D8514" s="32" t="s">
        <v>23281</v>
      </c>
    </row>
    <row r="8515" spans="2:4" x14ac:dyDescent="0.3">
      <c r="B8515" s="33" t="s">
        <v>22685</v>
      </c>
      <c r="C8515" s="32" t="s">
        <v>23282</v>
      </c>
      <c r="D8515" s="32" t="s">
        <v>22685</v>
      </c>
    </row>
    <row r="8516" spans="2:4" x14ac:dyDescent="0.3">
      <c r="B8516" s="33" t="s">
        <v>23283</v>
      </c>
      <c r="C8516" s="32" t="s">
        <v>23284</v>
      </c>
      <c r="D8516" s="32" t="s">
        <v>23283</v>
      </c>
    </row>
    <row r="8517" spans="2:4" x14ac:dyDescent="0.3">
      <c r="B8517" s="33" t="s">
        <v>23285</v>
      </c>
      <c r="C8517" s="32" t="s">
        <v>23286</v>
      </c>
      <c r="D8517" s="32" t="s">
        <v>23285</v>
      </c>
    </row>
    <row r="8518" spans="2:4" x14ac:dyDescent="0.3">
      <c r="B8518" s="33" t="s">
        <v>23287</v>
      </c>
      <c r="C8518" s="32" t="s">
        <v>23288</v>
      </c>
      <c r="D8518" s="32" t="s">
        <v>23289</v>
      </c>
    </row>
    <row r="8519" spans="2:4" x14ac:dyDescent="0.3">
      <c r="B8519" s="33" t="s">
        <v>22655</v>
      </c>
      <c r="C8519" s="32" t="s">
        <v>23290</v>
      </c>
      <c r="D8519" s="32" t="s">
        <v>23291</v>
      </c>
    </row>
    <row r="8520" spans="2:4" x14ac:dyDescent="0.3">
      <c r="B8520" s="33" t="s">
        <v>23292</v>
      </c>
      <c r="C8520" s="32" t="s">
        <v>23293</v>
      </c>
      <c r="D8520" s="32" t="s">
        <v>23294</v>
      </c>
    </row>
    <row r="8521" spans="2:4" x14ac:dyDescent="0.3">
      <c r="B8521" s="33" t="s">
        <v>23295</v>
      </c>
      <c r="C8521" s="32" t="s">
        <v>23296</v>
      </c>
      <c r="D8521" s="32" t="s">
        <v>23297</v>
      </c>
    </row>
    <row r="8522" spans="2:4" x14ac:dyDescent="0.3">
      <c r="B8522" s="33" t="s">
        <v>23298</v>
      </c>
      <c r="C8522" s="32" t="s">
        <v>23299</v>
      </c>
      <c r="D8522" s="32" t="s">
        <v>23300</v>
      </c>
    </row>
    <row r="8523" spans="2:4" x14ac:dyDescent="0.3">
      <c r="B8523" s="33" t="s">
        <v>23301</v>
      </c>
      <c r="C8523" s="32" t="s">
        <v>23302</v>
      </c>
      <c r="D8523" s="32" t="s">
        <v>23303</v>
      </c>
    </row>
    <row r="8524" spans="2:4" x14ac:dyDescent="0.3">
      <c r="B8524" s="33" t="s">
        <v>23304</v>
      </c>
      <c r="C8524" s="32" t="s">
        <v>23305</v>
      </c>
      <c r="D8524" s="32" t="s">
        <v>23306</v>
      </c>
    </row>
    <row r="8525" spans="2:4" x14ac:dyDescent="0.3">
      <c r="B8525" s="33" t="s">
        <v>23307</v>
      </c>
      <c r="C8525" s="32" t="s">
        <v>23308</v>
      </c>
      <c r="D8525" s="32" t="s">
        <v>23309</v>
      </c>
    </row>
    <row r="8526" spans="2:4" x14ac:dyDescent="0.3">
      <c r="B8526" s="33" t="s">
        <v>23310</v>
      </c>
      <c r="C8526" s="32" t="s">
        <v>23311</v>
      </c>
      <c r="D8526" s="32" t="s">
        <v>23312</v>
      </c>
    </row>
    <row r="8527" spans="2:4" x14ac:dyDescent="0.3">
      <c r="B8527" s="33" t="s">
        <v>23313</v>
      </c>
      <c r="C8527" s="32" t="s">
        <v>23314</v>
      </c>
      <c r="D8527" s="32" t="s">
        <v>23315</v>
      </c>
    </row>
    <row r="8528" spans="2:4" x14ac:dyDescent="0.3">
      <c r="B8528" s="33" t="s">
        <v>23316</v>
      </c>
      <c r="C8528" s="32" t="s">
        <v>23317</v>
      </c>
      <c r="D8528" s="32" t="s">
        <v>23318</v>
      </c>
    </row>
    <row r="8529" spans="2:4" x14ac:dyDescent="0.3">
      <c r="B8529" s="33" t="s">
        <v>23319</v>
      </c>
      <c r="C8529" s="32" t="s">
        <v>23320</v>
      </c>
      <c r="D8529" s="32" t="s">
        <v>23321</v>
      </c>
    </row>
    <row r="8530" spans="2:4" x14ac:dyDescent="0.3">
      <c r="B8530" s="33" t="s">
        <v>23322</v>
      </c>
      <c r="C8530" s="32" t="s">
        <v>23323</v>
      </c>
      <c r="D8530" s="32" t="s">
        <v>23324</v>
      </c>
    </row>
    <row r="8531" spans="2:4" x14ac:dyDescent="0.3">
      <c r="B8531" s="33" t="s">
        <v>23325</v>
      </c>
      <c r="C8531" s="32" t="s">
        <v>23326</v>
      </c>
      <c r="D8531" s="32" t="s">
        <v>23327</v>
      </c>
    </row>
    <row r="8532" spans="2:4" x14ac:dyDescent="0.3">
      <c r="B8532" s="33" t="s">
        <v>23315</v>
      </c>
      <c r="C8532" s="32" t="s">
        <v>23328</v>
      </c>
      <c r="D8532" s="32" t="s">
        <v>23329</v>
      </c>
    </row>
    <row r="8533" spans="2:4" x14ac:dyDescent="0.3">
      <c r="B8533" s="33" t="s">
        <v>23330</v>
      </c>
      <c r="C8533" s="32" t="s">
        <v>23331</v>
      </c>
      <c r="D8533" s="32" t="s">
        <v>23332</v>
      </c>
    </row>
    <row r="8534" spans="2:4" x14ac:dyDescent="0.3">
      <c r="B8534" s="33" t="s">
        <v>23333</v>
      </c>
      <c r="C8534" s="32" t="s">
        <v>23334</v>
      </c>
      <c r="D8534" s="32" t="s">
        <v>23333</v>
      </c>
    </row>
    <row r="8535" spans="2:4" x14ac:dyDescent="0.3">
      <c r="B8535" s="33" t="s">
        <v>23335</v>
      </c>
      <c r="C8535" s="32" t="s">
        <v>23336</v>
      </c>
      <c r="D8535" s="32" t="s">
        <v>23337</v>
      </c>
    </row>
    <row r="8536" spans="2:4" x14ac:dyDescent="0.3">
      <c r="B8536" s="33" t="s">
        <v>23338</v>
      </c>
      <c r="C8536" s="32" t="s">
        <v>23339</v>
      </c>
      <c r="D8536" s="32" t="s">
        <v>23340</v>
      </c>
    </row>
    <row r="8537" spans="2:4" x14ac:dyDescent="0.3">
      <c r="B8537" s="33" t="s">
        <v>23341</v>
      </c>
      <c r="C8537" s="32" t="s">
        <v>23342</v>
      </c>
      <c r="D8537" s="32" t="s">
        <v>23343</v>
      </c>
    </row>
    <row r="8538" spans="2:4" x14ac:dyDescent="0.3">
      <c r="B8538" s="33" t="s">
        <v>23344</v>
      </c>
      <c r="C8538" s="32" t="s">
        <v>23345</v>
      </c>
      <c r="D8538" s="32" t="s">
        <v>23346</v>
      </c>
    </row>
    <row r="8539" spans="2:4" x14ac:dyDescent="0.3">
      <c r="B8539" s="33" t="s">
        <v>23347</v>
      </c>
      <c r="C8539" s="32" t="s">
        <v>23348</v>
      </c>
      <c r="D8539" s="32" t="s">
        <v>23349</v>
      </c>
    </row>
    <row r="8540" spans="2:4" x14ac:dyDescent="0.3">
      <c r="B8540" s="33" t="s">
        <v>37288</v>
      </c>
      <c r="C8540" s="32" t="s">
        <v>37289</v>
      </c>
      <c r="D8540" s="32" t="s">
        <v>37290</v>
      </c>
    </row>
    <row r="8541" spans="2:4" x14ac:dyDescent="0.3">
      <c r="B8541" s="33" t="s">
        <v>23350</v>
      </c>
      <c r="C8541" s="32" t="s">
        <v>23351</v>
      </c>
      <c r="D8541" s="32" t="s">
        <v>23352</v>
      </c>
    </row>
    <row r="8542" spans="2:4" x14ac:dyDescent="0.3">
      <c r="B8542" s="33" t="s">
        <v>23353</v>
      </c>
      <c r="C8542" s="32" t="s">
        <v>23354</v>
      </c>
      <c r="D8542" s="32" t="s">
        <v>23355</v>
      </c>
    </row>
    <row r="8543" spans="2:4" x14ac:dyDescent="0.3">
      <c r="B8543" s="33" t="s">
        <v>23356</v>
      </c>
      <c r="C8543" s="32" t="s">
        <v>23357</v>
      </c>
      <c r="D8543" s="32" t="s">
        <v>23358</v>
      </c>
    </row>
    <row r="8544" spans="2:4" x14ac:dyDescent="0.3">
      <c r="B8544" s="33" t="s">
        <v>23359</v>
      </c>
      <c r="C8544" s="32" t="s">
        <v>23360</v>
      </c>
      <c r="D8544" s="32" t="s">
        <v>23361</v>
      </c>
    </row>
    <row r="8545" spans="2:4" x14ac:dyDescent="0.3">
      <c r="B8545" s="33" t="s">
        <v>23362</v>
      </c>
      <c r="C8545" s="32" t="s">
        <v>23363</v>
      </c>
      <c r="D8545" s="32" t="s">
        <v>23364</v>
      </c>
    </row>
    <row r="8546" spans="2:4" x14ac:dyDescent="0.3">
      <c r="B8546" s="33" t="s">
        <v>23365</v>
      </c>
      <c r="C8546" s="32" t="s">
        <v>23366</v>
      </c>
      <c r="D8546" s="32" t="s">
        <v>23367</v>
      </c>
    </row>
    <row r="8547" spans="2:4" x14ac:dyDescent="0.3">
      <c r="B8547" s="33" t="s">
        <v>23368</v>
      </c>
      <c r="C8547" s="32" t="s">
        <v>23369</v>
      </c>
      <c r="D8547" s="32" t="s">
        <v>23370</v>
      </c>
    </row>
    <row r="8548" spans="2:4" x14ac:dyDescent="0.3">
      <c r="B8548" s="33" t="s">
        <v>23371</v>
      </c>
      <c r="C8548" s="32" t="s">
        <v>23372</v>
      </c>
      <c r="D8548" s="32" t="s">
        <v>23371</v>
      </c>
    </row>
    <row r="8549" spans="2:4" x14ac:dyDescent="0.3">
      <c r="B8549" s="33" t="s">
        <v>23373</v>
      </c>
      <c r="C8549" s="32" t="s">
        <v>23374</v>
      </c>
      <c r="D8549" s="32" t="s">
        <v>23375</v>
      </c>
    </row>
    <row r="8550" spans="2:4" x14ac:dyDescent="0.3">
      <c r="B8550" s="33" t="s">
        <v>23376</v>
      </c>
      <c r="C8550" s="32" t="s">
        <v>23377</v>
      </c>
      <c r="D8550" s="32" t="s">
        <v>23378</v>
      </c>
    </row>
    <row r="8551" spans="2:4" x14ac:dyDescent="0.3">
      <c r="B8551" s="33" t="s">
        <v>23379</v>
      </c>
      <c r="C8551" s="32" t="s">
        <v>23380</v>
      </c>
      <c r="D8551" s="32" t="s">
        <v>23381</v>
      </c>
    </row>
    <row r="8552" spans="2:4" x14ac:dyDescent="0.3">
      <c r="B8552" s="33" t="s">
        <v>23382</v>
      </c>
      <c r="C8552" s="32" t="s">
        <v>23383</v>
      </c>
      <c r="D8552" s="32" t="s">
        <v>23384</v>
      </c>
    </row>
    <row r="8553" spans="2:4" x14ac:dyDescent="0.3">
      <c r="B8553" s="33" t="s">
        <v>23385</v>
      </c>
      <c r="C8553" s="32" t="s">
        <v>23386</v>
      </c>
      <c r="D8553" s="32" t="s">
        <v>23387</v>
      </c>
    </row>
    <row r="8554" spans="2:4" x14ac:dyDescent="0.3">
      <c r="B8554" s="33" t="s">
        <v>23388</v>
      </c>
      <c r="C8554" s="32" t="s">
        <v>23389</v>
      </c>
      <c r="D8554" s="32" t="s">
        <v>23390</v>
      </c>
    </row>
    <row r="8555" spans="2:4" x14ac:dyDescent="0.3">
      <c r="B8555" s="33" t="s">
        <v>23391</v>
      </c>
      <c r="C8555" s="32" t="s">
        <v>23392</v>
      </c>
      <c r="D8555" s="32" t="s">
        <v>23393</v>
      </c>
    </row>
    <row r="8556" spans="2:4" x14ac:dyDescent="0.3">
      <c r="B8556" s="33" t="s">
        <v>939</v>
      </c>
      <c r="C8556" s="32" t="s">
        <v>23394</v>
      </c>
      <c r="D8556" s="32" t="s">
        <v>23395</v>
      </c>
    </row>
    <row r="8557" spans="2:4" x14ac:dyDescent="0.3">
      <c r="B8557" s="33" t="s">
        <v>23396</v>
      </c>
      <c r="C8557" s="32" t="s">
        <v>23397</v>
      </c>
      <c r="D8557" s="32" t="s">
        <v>23398</v>
      </c>
    </row>
    <row r="8558" spans="2:4" x14ac:dyDescent="0.3">
      <c r="B8558" s="33" t="s">
        <v>23399</v>
      </c>
      <c r="C8558" s="32" t="s">
        <v>23400</v>
      </c>
      <c r="D8558" s="32" t="s">
        <v>23401</v>
      </c>
    </row>
    <row r="8559" spans="2:4" x14ac:dyDescent="0.3">
      <c r="B8559" s="33" t="s">
        <v>23402</v>
      </c>
      <c r="C8559" s="32" t="s">
        <v>23403</v>
      </c>
      <c r="D8559" s="32" t="s">
        <v>23404</v>
      </c>
    </row>
    <row r="8560" spans="2:4" x14ac:dyDescent="0.3">
      <c r="B8560" s="33" t="s">
        <v>23405</v>
      </c>
      <c r="C8560" s="32" t="s">
        <v>23406</v>
      </c>
      <c r="D8560" s="32" t="s">
        <v>23407</v>
      </c>
    </row>
    <row r="8561" spans="2:4" x14ac:dyDescent="0.3">
      <c r="B8561" s="33" t="s">
        <v>23408</v>
      </c>
      <c r="C8561" s="32" t="s">
        <v>23409</v>
      </c>
      <c r="D8561" s="32" t="s">
        <v>23410</v>
      </c>
    </row>
    <row r="8562" spans="2:4" x14ac:dyDescent="0.3">
      <c r="B8562" s="33" t="s">
        <v>23411</v>
      </c>
      <c r="C8562" s="32" t="s">
        <v>23412</v>
      </c>
      <c r="D8562" s="32" t="s">
        <v>23413</v>
      </c>
    </row>
    <row r="8563" spans="2:4" x14ac:dyDescent="0.3">
      <c r="B8563" s="33" t="s">
        <v>23414</v>
      </c>
      <c r="C8563" s="32" t="s">
        <v>23415</v>
      </c>
      <c r="D8563" s="32" t="s">
        <v>23416</v>
      </c>
    </row>
    <row r="8564" spans="2:4" x14ac:dyDescent="0.3">
      <c r="B8564" s="33" t="s">
        <v>23417</v>
      </c>
      <c r="C8564" s="32" t="s">
        <v>23418</v>
      </c>
      <c r="D8564" s="32" t="s">
        <v>23419</v>
      </c>
    </row>
    <row r="8565" spans="2:4" x14ac:dyDescent="0.3">
      <c r="B8565" s="33" t="s">
        <v>23420</v>
      </c>
      <c r="C8565" s="32" t="s">
        <v>23421</v>
      </c>
      <c r="D8565" s="32" t="s">
        <v>23422</v>
      </c>
    </row>
    <row r="8566" spans="2:4" x14ac:dyDescent="0.3">
      <c r="B8566" s="33" t="s">
        <v>23423</v>
      </c>
      <c r="C8566" s="32" t="s">
        <v>23424</v>
      </c>
      <c r="D8566" s="32" t="s">
        <v>23425</v>
      </c>
    </row>
    <row r="8567" spans="2:4" x14ac:dyDescent="0.3">
      <c r="B8567" s="33" t="s">
        <v>23426</v>
      </c>
      <c r="C8567" s="32" t="s">
        <v>23427</v>
      </c>
      <c r="D8567" s="32" t="s">
        <v>23428</v>
      </c>
    </row>
    <row r="8568" spans="2:4" x14ac:dyDescent="0.3">
      <c r="B8568" s="33" t="s">
        <v>23429</v>
      </c>
      <c r="C8568" s="32" t="s">
        <v>23430</v>
      </c>
      <c r="D8568" s="32" t="s">
        <v>23431</v>
      </c>
    </row>
    <row r="8569" spans="2:4" x14ac:dyDescent="0.3">
      <c r="B8569" s="33" t="s">
        <v>23432</v>
      </c>
      <c r="C8569" s="32" t="s">
        <v>23433</v>
      </c>
      <c r="D8569" s="32" t="s">
        <v>23434</v>
      </c>
    </row>
    <row r="8570" spans="2:4" x14ac:dyDescent="0.3">
      <c r="B8570" s="33" t="s">
        <v>23435</v>
      </c>
      <c r="C8570" s="32" t="s">
        <v>23436</v>
      </c>
      <c r="D8570" s="32" t="s">
        <v>23437</v>
      </c>
    </row>
    <row r="8571" spans="2:4" x14ac:dyDescent="0.3">
      <c r="B8571" s="33" t="s">
        <v>23438</v>
      </c>
      <c r="C8571" s="32" t="s">
        <v>23439</v>
      </c>
      <c r="D8571" s="32" t="s">
        <v>23440</v>
      </c>
    </row>
    <row r="8572" spans="2:4" x14ac:dyDescent="0.3">
      <c r="B8572" s="33" t="s">
        <v>23441</v>
      </c>
      <c r="C8572" s="32" t="s">
        <v>23442</v>
      </c>
      <c r="D8572" s="32" t="s">
        <v>23443</v>
      </c>
    </row>
    <row r="8573" spans="2:4" x14ac:dyDescent="0.3">
      <c r="B8573" s="33" t="s">
        <v>23444</v>
      </c>
      <c r="C8573" s="32" t="s">
        <v>23445</v>
      </c>
      <c r="D8573" s="32" t="s">
        <v>23446</v>
      </c>
    </row>
    <row r="8574" spans="2:4" x14ac:dyDescent="0.3">
      <c r="B8574" s="33" t="s">
        <v>23447</v>
      </c>
      <c r="C8574" s="32" t="s">
        <v>23448</v>
      </c>
      <c r="D8574" s="32" t="s">
        <v>36752</v>
      </c>
    </row>
    <row r="8575" spans="2:4" x14ac:dyDescent="0.3">
      <c r="B8575" s="33" t="s">
        <v>23449</v>
      </c>
      <c r="C8575" s="32" t="s">
        <v>23450</v>
      </c>
      <c r="D8575" s="32" t="s">
        <v>23451</v>
      </c>
    </row>
    <row r="8576" spans="2:4" x14ac:dyDescent="0.3">
      <c r="B8576" s="33" t="s">
        <v>23452</v>
      </c>
      <c r="C8576" s="32" t="s">
        <v>23453</v>
      </c>
      <c r="D8576" s="32" t="s">
        <v>23454</v>
      </c>
    </row>
    <row r="8577" spans="2:4" x14ac:dyDescent="0.3">
      <c r="B8577" s="33" t="s">
        <v>23455</v>
      </c>
      <c r="C8577" s="32" t="s">
        <v>23456</v>
      </c>
      <c r="D8577" s="32" t="s">
        <v>23457</v>
      </c>
    </row>
    <row r="8578" spans="2:4" x14ac:dyDescent="0.3">
      <c r="B8578" s="33" t="s">
        <v>23458</v>
      </c>
      <c r="C8578" s="32" t="s">
        <v>23459</v>
      </c>
      <c r="D8578" s="32" t="s">
        <v>23460</v>
      </c>
    </row>
    <row r="8579" spans="2:4" x14ac:dyDescent="0.3">
      <c r="B8579" s="33" t="s">
        <v>23461</v>
      </c>
      <c r="C8579" s="32" t="s">
        <v>23462</v>
      </c>
      <c r="D8579" s="32" t="s">
        <v>23463</v>
      </c>
    </row>
    <row r="8580" spans="2:4" x14ac:dyDescent="0.3">
      <c r="B8580" s="33" t="s">
        <v>23464</v>
      </c>
      <c r="C8580" s="32" t="s">
        <v>23465</v>
      </c>
      <c r="D8580" s="32" t="s">
        <v>23466</v>
      </c>
    </row>
    <row r="8581" spans="2:4" x14ac:dyDescent="0.3">
      <c r="B8581" s="33" t="s">
        <v>23322</v>
      </c>
      <c r="C8581" s="32" t="s">
        <v>23467</v>
      </c>
      <c r="D8581" s="32" t="s">
        <v>23468</v>
      </c>
    </row>
    <row r="8582" spans="2:4" x14ac:dyDescent="0.3">
      <c r="B8582" s="33" t="s">
        <v>23469</v>
      </c>
      <c r="C8582" s="32" t="s">
        <v>23470</v>
      </c>
      <c r="D8582" s="32" t="s">
        <v>23471</v>
      </c>
    </row>
    <row r="8583" spans="2:4" x14ac:dyDescent="0.3">
      <c r="B8583" s="33" t="s">
        <v>23472</v>
      </c>
      <c r="C8583" s="32" t="s">
        <v>23473</v>
      </c>
      <c r="D8583" s="32" t="s">
        <v>23474</v>
      </c>
    </row>
    <row r="8584" spans="2:4" x14ac:dyDescent="0.3">
      <c r="B8584" s="33" t="s">
        <v>23475</v>
      </c>
      <c r="C8584" s="32" t="s">
        <v>23476</v>
      </c>
      <c r="D8584" s="32" t="s">
        <v>23477</v>
      </c>
    </row>
    <row r="8585" spans="2:4" x14ac:dyDescent="0.3">
      <c r="B8585" s="33" t="s">
        <v>23478</v>
      </c>
      <c r="C8585" s="32" t="s">
        <v>23479</v>
      </c>
      <c r="D8585" s="32" t="s">
        <v>23480</v>
      </c>
    </row>
    <row r="8586" spans="2:4" x14ac:dyDescent="0.3">
      <c r="B8586" s="33" t="s">
        <v>23481</v>
      </c>
      <c r="C8586" s="32" t="s">
        <v>23482</v>
      </c>
      <c r="D8586" s="32" t="s">
        <v>23483</v>
      </c>
    </row>
    <row r="8587" spans="2:4" x14ac:dyDescent="0.3">
      <c r="B8587" s="33" t="s">
        <v>23481</v>
      </c>
      <c r="C8587" s="32" t="s">
        <v>23484</v>
      </c>
      <c r="D8587" s="32" t="s">
        <v>23485</v>
      </c>
    </row>
    <row r="8588" spans="2:4" x14ac:dyDescent="0.3">
      <c r="B8588" s="33" t="s">
        <v>23486</v>
      </c>
      <c r="C8588" s="32" t="s">
        <v>23487</v>
      </c>
      <c r="D8588" s="32" t="s">
        <v>23488</v>
      </c>
    </row>
    <row r="8589" spans="2:4" x14ac:dyDescent="0.3">
      <c r="B8589" s="33" t="s">
        <v>23489</v>
      </c>
      <c r="C8589" s="32" t="s">
        <v>23490</v>
      </c>
      <c r="D8589" s="32" t="s">
        <v>23491</v>
      </c>
    </row>
    <row r="8590" spans="2:4" x14ac:dyDescent="0.3">
      <c r="B8590" s="33" t="s">
        <v>23492</v>
      </c>
      <c r="C8590" s="32" t="s">
        <v>23493</v>
      </c>
      <c r="D8590" s="32" t="s">
        <v>23494</v>
      </c>
    </row>
    <row r="8591" spans="2:4" x14ac:dyDescent="0.3">
      <c r="B8591" s="33" t="s">
        <v>23495</v>
      </c>
      <c r="C8591" s="32" t="s">
        <v>23496</v>
      </c>
      <c r="D8591" s="32" t="s">
        <v>23497</v>
      </c>
    </row>
    <row r="8592" spans="2:4" x14ac:dyDescent="0.3">
      <c r="B8592" s="33" t="s">
        <v>23498</v>
      </c>
      <c r="C8592" s="32" t="s">
        <v>23499</v>
      </c>
      <c r="D8592" s="32" t="s">
        <v>23500</v>
      </c>
    </row>
    <row r="8593" spans="2:4" x14ac:dyDescent="0.3">
      <c r="B8593" s="33" t="s">
        <v>92</v>
      </c>
      <c r="C8593" s="32" t="s">
        <v>23501</v>
      </c>
      <c r="D8593" s="32" t="s">
        <v>92</v>
      </c>
    </row>
    <row r="8594" spans="2:4" x14ac:dyDescent="0.3">
      <c r="B8594" s="33" t="s">
        <v>23502</v>
      </c>
      <c r="C8594" s="32" t="s">
        <v>23503</v>
      </c>
      <c r="D8594" s="32" t="s">
        <v>23504</v>
      </c>
    </row>
    <row r="8595" spans="2:4" x14ac:dyDescent="0.3">
      <c r="B8595" s="33" t="s">
        <v>23505</v>
      </c>
      <c r="C8595" s="32" t="s">
        <v>23506</v>
      </c>
      <c r="D8595" s="32" t="s">
        <v>23507</v>
      </c>
    </row>
    <row r="8596" spans="2:4" x14ac:dyDescent="0.3">
      <c r="B8596" s="33" t="s">
        <v>23508</v>
      </c>
      <c r="C8596" s="32" t="s">
        <v>23509</v>
      </c>
      <c r="D8596" s="32" t="s">
        <v>23510</v>
      </c>
    </row>
    <row r="8597" spans="2:4" x14ac:dyDescent="0.3">
      <c r="B8597" s="33" t="s">
        <v>23511</v>
      </c>
      <c r="C8597" s="32" t="s">
        <v>23512</v>
      </c>
      <c r="D8597" s="32" t="s">
        <v>23513</v>
      </c>
    </row>
    <row r="8598" spans="2:4" x14ac:dyDescent="0.3">
      <c r="B8598" s="33" t="s">
        <v>23514</v>
      </c>
      <c r="C8598" s="32" t="s">
        <v>23515</v>
      </c>
      <c r="D8598" s="32" t="s">
        <v>23516</v>
      </c>
    </row>
    <row r="8599" spans="2:4" x14ac:dyDescent="0.3">
      <c r="B8599" s="33" t="s">
        <v>23517</v>
      </c>
      <c r="C8599" s="32" t="s">
        <v>23518</v>
      </c>
      <c r="D8599" s="32" t="s">
        <v>23519</v>
      </c>
    </row>
    <row r="8600" spans="2:4" x14ac:dyDescent="0.3">
      <c r="B8600" s="33" t="s">
        <v>23520</v>
      </c>
      <c r="C8600" s="32" t="s">
        <v>23521</v>
      </c>
      <c r="D8600" s="32" t="s">
        <v>23522</v>
      </c>
    </row>
    <row r="8601" spans="2:4" x14ac:dyDescent="0.3">
      <c r="B8601" s="33" t="s">
        <v>23520</v>
      </c>
      <c r="C8601" s="32" t="s">
        <v>23523</v>
      </c>
      <c r="D8601" s="32" t="s">
        <v>23524</v>
      </c>
    </row>
    <row r="8602" spans="2:4" x14ac:dyDescent="0.3">
      <c r="B8602" s="33" t="s">
        <v>23525</v>
      </c>
      <c r="C8602" s="32" t="s">
        <v>23526</v>
      </c>
      <c r="D8602" s="32" t="s">
        <v>23527</v>
      </c>
    </row>
    <row r="8603" spans="2:4" x14ac:dyDescent="0.3">
      <c r="B8603" s="33" t="s">
        <v>23527</v>
      </c>
      <c r="C8603" s="32" t="s">
        <v>23528</v>
      </c>
      <c r="D8603" s="32" t="s">
        <v>23529</v>
      </c>
    </row>
    <row r="8604" spans="2:4" x14ac:dyDescent="0.3">
      <c r="B8604" s="33" t="s">
        <v>23530</v>
      </c>
      <c r="C8604" s="32" t="s">
        <v>23531</v>
      </c>
      <c r="D8604" s="32" t="s">
        <v>23532</v>
      </c>
    </row>
    <row r="8605" spans="2:4" x14ac:dyDescent="0.3">
      <c r="B8605" s="33" t="s">
        <v>23533</v>
      </c>
      <c r="C8605" s="32" t="s">
        <v>23534</v>
      </c>
      <c r="D8605" s="32" t="s">
        <v>23535</v>
      </c>
    </row>
    <row r="8606" spans="2:4" x14ac:dyDescent="0.3">
      <c r="B8606" s="33" t="s">
        <v>23536</v>
      </c>
      <c r="C8606" s="32" t="s">
        <v>23537</v>
      </c>
      <c r="D8606" s="32" t="s">
        <v>37291</v>
      </c>
    </row>
    <row r="8607" spans="2:4" x14ac:dyDescent="0.3">
      <c r="B8607" s="33" t="s">
        <v>23533</v>
      </c>
      <c r="C8607" s="32" t="s">
        <v>23538</v>
      </c>
      <c r="D8607" s="32" t="s">
        <v>23539</v>
      </c>
    </row>
    <row r="8608" spans="2:4" x14ac:dyDescent="0.3">
      <c r="B8608" s="33" t="s">
        <v>23533</v>
      </c>
      <c r="C8608" s="32" t="s">
        <v>23540</v>
      </c>
      <c r="D8608" s="32" t="s">
        <v>23541</v>
      </c>
    </row>
    <row r="8609" spans="2:4" x14ac:dyDescent="0.3">
      <c r="B8609" s="33" t="s">
        <v>23542</v>
      </c>
      <c r="C8609" s="32" t="s">
        <v>23543</v>
      </c>
      <c r="D8609" s="32" t="s">
        <v>23544</v>
      </c>
    </row>
    <row r="8610" spans="2:4" x14ac:dyDescent="0.3">
      <c r="B8610" s="33" t="s">
        <v>23542</v>
      </c>
      <c r="C8610" s="32" t="s">
        <v>23545</v>
      </c>
      <c r="D8610" s="32" t="s">
        <v>23546</v>
      </c>
    </row>
    <row r="8611" spans="2:4" x14ac:dyDescent="0.3">
      <c r="B8611" s="33" t="s">
        <v>23547</v>
      </c>
      <c r="C8611" s="32" t="s">
        <v>23548</v>
      </c>
      <c r="D8611" s="32" t="s">
        <v>23549</v>
      </c>
    </row>
    <row r="8612" spans="2:4" x14ac:dyDescent="0.3">
      <c r="B8612" s="33" t="s">
        <v>23550</v>
      </c>
      <c r="C8612" s="32" t="s">
        <v>23551</v>
      </c>
      <c r="D8612" s="32" t="s">
        <v>23552</v>
      </c>
    </row>
    <row r="8613" spans="2:4" x14ac:dyDescent="0.3">
      <c r="B8613" s="33" t="s">
        <v>23553</v>
      </c>
      <c r="C8613" s="32" t="s">
        <v>23554</v>
      </c>
      <c r="D8613" s="32" t="s">
        <v>23553</v>
      </c>
    </row>
    <row r="8614" spans="2:4" x14ac:dyDescent="0.3">
      <c r="B8614" s="33" t="s">
        <v>23555</v>
      </c>
      <c r="C8614" s="32" t="s">
        <v>23556</v>
      </c>
      <c r="D8614" s="32" t="s">
        <v>23557</v>
      </c>
    </row>
    <row r="8615" spans="2:4" x14ac:dyDescent="0.3">
      <c r="B8615" s="33" t="s">
        <v>23558</v>
      </c>
      <c r="C8615" s="32" t="s">
        <v>23559</v>
      </c>
      <c r="D8615" s="32" t="s">
        <v>23560</v>
      </c>
    </row>
    <row r="8616" spans="2:4" x14ac:dyDescent="0.3">
      <c r="B8616" s="33" t="s">
        <v>23561</v>
      </c>
      <c r="C8616" s="32" t="s">
        <v>23562</v>
      </c>
      <c r="D8616" s="32" t="s">
        <v>23563</v>
      </c>
    </row>
    <row r="8617" spans="2:4" x14ac:dyDescent="0.3">
      <c r="B8617" s="33" t="s">
        <v>23564</v>
      </c>
      <c r="C8617" s="32" t="s">
        <v>23565</v>
      </c>
      <c r="D8617" s="32" t="s">
        <v>23566</v>
      </c>
    </row>
    <row r="8618" spans="2:4" x14ac:dyDescent="0.3">
      <c r="B8618" s="33" t="s">
        <v>23567</v>
      </c>
      <c r="C8618" s="32" t="s">
        <v>23568</v>
      </c>
      <c r="D8618" s="32" t="s">
        <v>23569</v>
      </c>
    </row>
    <row r="8619" spans="2:4" x14ac:dyDescent="0.3">
      <c r="B8619" s="33" t="s">
        <v>23570</v>
      </c>
      <c r="C8619" s="32" t="s">
        <v>23571</v>
      </c>
      <c r="D8619" s="32" t="s">
        <v>23572</v>
      </c>
    </row>
    <row r="8620" spans="2:4" x14ac:dyDescent="0.3">
      <c r="B8620" s="33" t="s">
        <v>23573</v>
      </c>
      <c r="C8620" s="32" t="s">
        <v>23574</v>
      </c>
      <c r="D8620" s="32" t="s">
        <v>23575</v>
      </c>
    </row>
    <row r="8621" spans="2:4" x14ac:dyDescent="0.3">
      <c r="B8621" s="33" t="s">
        <v>23573</v>
      </c>
      <c r="C8621" s="32" t="s">
        <v>23576</v>
      </c>
      <c r="D8621" s="32" t="s">
        <v>23577</v>
      </c>
    </row>
    <row r="8622" spans="2:4" x14ac:dyDescent="0.3">
      <c r="B8622" s="33" t="s">
        <v>23578</v>
      </c>
      <c r="C8622" s="32" t="s">
        <v>23579</v>
      </c>
      <c r="D8622" s="32" t="s">
        <v>23580</v>
      </c>
    </row>
    <row r="8623" spans="2:4" x14ac:dyDescent="0.3">
      <c r="B8623" s="33" t="s">
        <v>23368</v>
      </c>
      <c r="C8623" s="32" t="s">
        <v>23581</v>
      </c>
      <c r="D8623" s="32" t="s">
        <v>23582</v>
      </c>
    </row>
    <row r="8624" spans="2:4" x14ac:dyDescent="0.3">
      <c r="B8624" s="33" t="s">
        <v>6939</v>
      </c>
      <c r="C8624" s="32" t="s">
        <v>23583</v>
      </c>
      <c r="D8624" s="32" t="s">
        <v>23584</v>
      </c>
    </row>
    <row r="8625" spans="2:4" x14ac:dyDescent="0.3">
      <c r="B8625" s="33" t="s">
        <v>13045</v>
      </c>
      <c r="C8625" s="32" t="s">
        <v>23585</v>
      </c>
      <c r="D8625" s="32" t="s">
        <v>23586</v>
      </c>
    </row>
    <row r="8626" spans="2:4" x14ac:dyDescent="0.3">
      <c r="B8626" s="33" t="s">
        <v>23511</v>
      </c>
      <c r="C8626" s="32" t="s">
        <v>23587</v>
      </c>
      <c r="D8626" s="32" t="s">
        <v>23588</v>
      </c>
    </row>
    <row r="8627" spans="2:4" x14ac:dyDescent="0.3">
      <c r="B8627" s="33" t="s">
        <v>23589</v>
      </c>
      <c r="C8627" s="32" t="s">
        <v>23590</v>
      </c>
      <c r="D8627" s="32" t="s">
        <v>23589</v>
      </c>
    </row>
    <row r="8628" spans="2:4" x14ac:dyDescent="0.3">
      <c r="B8628" s="33" t="s">
        <v>23591</v>
      </c>
      <c r="C8628" s="32" t="s">
        <v>23592</v>
      </c>
      <c r="D8628" s="32" t="s">
        <v>23593</v>
      </c>
    </row>
    <row r="8629" spans="2:4" x14ac:dyDescent="0.3">
      <c r="B8629" s="33" t="s">
        <v>23594</v>
      </c>
      <c r="C8629" s="32" t="s">
        <v>23595</v>
      </c>
      <c r="D8629" s="32" t="s">
        <v>23596</v>
      </c>
    </row>
    <row r="8630" spans="2:4" x14ac:dyDescent="0.3">
      <c r="B8630" s="33" t="s">
        <v>23597</v>
      </c>
      <c r="C8630" s="32" t="s">
        <v>23598</v>
      </c>
      <c r="D8630" s="32" t="s">
        <v>23599</v>
      </c>
    </row>
    <row r="8631" spans="2:4" x14ac:dyDescent="0.3">
      <c r="B8631" s="33" t="s">
        <v>23600</v>
      </c>
      <c r="C8631" s="32" t="s">
        <v>23601</v>
      </c>
      <c r="D8631" s="32" t="s">
        <v>23602</v>
      </c>
    </row>
    <row r="8632" spans="2:4" x14ac:dyDescent="0.3">
      <c r="B8632" s="33" t="s">
        <v>23350</v>
      </c>
      <c r="C8632" s="32" t="s">
        <v>23603</v>
      </c>
      <c r="D8632" s="32" t="s">
        <v>23604</v>
      </c>
    </row>
    <row r="8633" spans="2:4" x14ac:dyDescent="0.3">
      <c r="B8633" s="33" t="s">
        <v>15208</v>
      </c>
      <c r="C8633" s="32" t="s">
        <v>23605</v>
      </c>
      <c r="D8633" s="32" t="s">
        <v>23606</v>
      </c>
    </row>
    <row r="8634" spans="2:4" x14ac:dyDescent="0.3">
      <c r="B8634" s="33" t="s">
        <v>23344</v>
      </c>
      <c r="C8634" s="32" t="s">
        <v>23607</v>
      </c>
      <c r="D8634" s="32" t="s">
        <v>23608</v>
      </c>
    </row>
    <row r="8635" spans="2:4" x14ac:dyDescent="0.3">
      <c r="B8635" s="33" t="s">
        <v>23609</v>
      </c>
      <c r="C8635" s="32" t="s">
        <v>23610</v>
      </c>
      <c r="D8635" s="32" t="s">
        <v>23611</v>
      </c>
    </row>
    <row r="8636" spans="2:4" x14ac:dyDescent="0.3">
      <c r="B8636" s="33" t="s">
        <v>23612</v>
      </c>
      <c r="C8636" s="32" t="s">
        <v>23613</v>
      </c>
      <c r="D8636" s="32" t="s">
        <v>23614</v>
      </c>
    </row>
    <row r="8637" spans="2:4" x14ac:dyDescent="0.3">
      <c r="B8637" s="33" t="s">
        <v>23615</v>
      </c>
      <c r="C8637" s="32" t="s">
        <v>23616</v>
      </c>
      <c r="D8637" s="32" t="s">
        <v>23617</v>
      </c>
    </row>
    <row r="8638" spans="2:4" x14ac:dyDescent="0.3">
      <c r="B8638" s="33" t="s">
        <v>23618</v>
      </c>
      <c r="C8638" s="32" t="s">
        <v>23619</v>
      </c>
      <c r="D8638" s="32" t="s">
        <v>23620</v>
      </c>
    </row>
    <row r="8639" spans="2:4" x14ac:dyDescent="0.3">
      <c r="B8639" s="33" t="s">
        <v>23621</v>
      </c>
      <c r="C8639" s="32" t="s">
        <v>23622</v>
      </c>
      <c r="D8639" s="32" t="s">
        <v>23623</v>
      </c>
    </row>
    <row r="8640" spans="2:4" x14ac:dyDescent="0.3">
      <c r="B8640" s="33" t="s">
        <v>23624</v>
      </c>
      <c r="C8640" s="32" t="s">
        <v>23625</v>
      </c>
      <c r="D8640" s="32" t="s">
        <v>23626</v>
      </c>
    </row>
    <row r="8641" spans="2:4" x14ac:dyDescent="0.3">
      <c r="B8641" s="33" t="s">
        <v>23627</v>
      </c>
      <c r="C8641" s="32" t="s">
        <v>23628</v>
      </c>
      <c r="D8641" s="32" t="s">
        <v>23629</v>
      </c>
    </row>
    <row r="8642" spans="2:4" x14ac:dyDescent="0.3">
      <c r="B8642" s="33" t="s">
        <v>23630</v>
      </c>
      <c r="C8642" s="32" t="s">
        <v>23631</v>
      </c>
      <c r="D8642" s="32" t="s">
        <v>23632</v>
      </c>
    </row>
    <row r="8643" spans="2:4" x14ac:dyDescent="0.3">
      <c r="B8643" s="33" t="s">
        <v>15208</v>
      </c>
      <c r="C8643" s="32" t="s">
        <v>23633</v>
      </c>
      <c r="D8643" s="32" t="s">
        <v>23634</v>
      </c>
    </row>
    <row r="8644" spans="2:4" x14ac:dyDescent="0.3">
      <c r="B8644" s="33" t="s">
        <v>23635</v>
      </c>
      <c r="C8644" s="32" t="s">
        <v>23636</v>
      </c>
      <c r="D8644" s="32" t="s">
        <v>23637</v>
      </c>
    </row>
    <row r="8645" spans="2:4" x14ac:dyDescent="0.3">
      <c r="B8645" s="33" t="s">
        <v>23638</v>
      </c>
      <c r="C8645" s="32" t="s">
        <v>23639</v>
      </c>
      <c r="D8645" s="32" t="s">
        <v>23640</v>
      </c>
    </row>
    <row r="8646" spans="2:4" x14ac:dyDescent="0.3">
      <c r="B8646" s="33" t="s">
        <v>23641</v>
      </c>
      <c r="C8646" s="32" t="s">
        <v>23642</v>
      </c>
      <c r="D8646" s="32" t="s">
        <v>23643</v>
      </c>
    </row>
    <row r="8647" spans="2:4" x14ac:dyDescent="0.3">
      <c r="B8647" s="33" t="s">
        <v>23644</v>
      </c>
      <c r="C8647" s="32" t="s">
        <v>23645</v>
      </c>
      <c r="D8647" s="32" t="s">
        <v>23646</v>
      </c>
    </row>
    <row r="8648" spans="2:4" x14ac:dyDescent="0.3">
      <c r="B8648" s="33" t="s">
        <v>9222</v>
      </c>
      <c r="C8648" s="32" t="s">
        <v>23647</v>
      </c>
      <c r="D8648" s="32" t="s">
        <v>23648</v>
      </c>
    </row>
    <row r="8649" spans="2:4" x14ac:dyDescent="0.3">
      <c r="B8649" s="33" t="s">
        <v>23649</v>
      </c>
      <c r="C8649" s="32" t="s">
        <v>23650</v>
      </c>
      <c r="D8649" s="32" t="s">
        <v>23651</v>
      </c>
    </row>
    <row r="8650" spans="2:4" x14ac:dyDescent="0.3">
      <c r="B8650" s="33" t="s">
        <v>23652</v>
      </c>
      <c r="C8650" s="32" t="s">
        <v>23653</v>
      </c>
      <c r="D8650" s="32" t="s">
        <v>23654</v>
      </c>
    </row>
    <row r="8651" spans="2:4" x14ac:dyDescent="0.3">
      <c r="B8651" s="33" t="s">
        <v>23655</v>
      </c>
      <c r="C8651" s="32" t="s">
        <v>23656</v>
      </c>
      <c r="D8651" s="32" t="s">
        <v>36867</v>
      </c>
    </row>
    <row r="8652" spans="2:4" x14ac:dyDescent="0.3">
      <c r="B8652" s="33" t="s">
        <v>23657</v>
      </c>
      <c r="C8652" s="32" t="s">
        <v>23658</v>
      </c>
      <c r="D8652" s="32" t="s">
        <v>23659</v>
      </c>
    </row>
    <row r="8653" spans="2:4" x14ac:dyDescent="0.3">
      <c r="B8653" s="33" t="s">
        <v>23660</v>
      </c>
      <c r="C8653" s="32" t="s">
        <v>23661</v>
      </c>
      <c r="D8653" s="32" t="s">
        <v>23662</v>
      </c>
    </row>
    <row r="8654" spans="2:4" x14ac:dyDescent="0.3">
      <c r="B8654" s="33" t="s">
        <v>23663</v>
      </c>
      <c r="C8654" s="32" t="s">
        <v>23664</v>
      </c>
      <c r="D8654" s="32" t="s">
        <v>23665</v>
      </c>
    </row>
    <row r="8655" spans="2:4" x14ac:dyDescent="0.3">
      <c r="B8655" s="33" t="s">
        <v>23666</v>
      </c>
      <c r="C8655" s="32" t="s">
        <v>23667</v>
      </c>
      <c r="D8655" s="32" t="s">
        <v>23668</v>
      </c>
    </row>
    <row r="8656" spans="2:4" x14ac:dyDescent="0.3">
      <c r="B8656" s="33" t="s">
        <v>23669</v>
      </c>
      <c r="C8656" s="32" t="s">
        <v>23670</v>
      </c>
      <c r="D8656" s="32" t="s">
        <v>23671</v>
      </c>
    </row>
    <row r="8657" spans="2:4" x14ac:dyDescent="0.3">
      <c r="B8657" s="33" t="s">
        <v>19791</v>
      </c>
      <c r="C8657" s="32" t="s">
        <v>23672</v>
      </c>
      <c r="D8657" s="32" t="s">
        <v>23673</v>
      </c>
    </row>
    <row r="8658" spans="2:4" x14ac:dyDescent="0.3">
      <c r="B8658" s="33" t="s">
        <v>23666</v>
      </c>
      <c r="C8658" s="32" t="s">
        <v>23674</v>
      </c>
      <c r="D8658" s="32" t="s">
        <v>23675</v>
      </c>
    </row>
    <row r="8659" spans="2:4" x14ac:dyDescent="0.3">
      <c r="B8659" s="33" t="s">
        <v>23676</v>
      </c>
      <c r="C8659" s="32" t="s">
        <v>23677</v>
      </c>
      <c r="D8659" s="32" t="s">
        <v>37292</v>
      </c>
    </row>
    <row r="8660" spans="2:4" x14ac:dyDescent="0.3">
      <c r="B8660" s="33" t="s">
        <v>23678</v>
      </c>
      <c r="C8660" s="32" t="s">
        <v>23679</v>
      </c>
      <c r="D8660" s="32" t="s">
        <v>23680</v>
      </c>
    </row>
    <row r="8661" spans="2:4" x14ac:dyDescent="0.3">
      <c r="B8661" s="33" t="s">
        <v>12334</v>
      </c>
      <c r="C8661" s="32" t="s">
        <v>23681</v>
      </c>
      <c r="D8661" s="32" t="s">
        <v>37293</v>
      </c>
    </row>
    <row r="8662" spans="2:4" x14ac:dyDescent="0.3">
      <c r="B8662" s="33" t="s">
        <v>18744</v>
      </c>
      <c r="C8662" s="32" t="s">
        <v>23682</v>
      </c>
      <c r="D8662" s="32" t="s">
        <v>23683</v>
      </c>
    </row>
    <row r="8663" spans="2:4" x14ac:dyDescent="0.3">
      <c r="B8663" s="33" t="s">
        <v>23684</v>
      </c>
      <c r="C8663" s="32" t="s">
        <v>23685</v>
      </c>
      <c r="D8663" s="32" t="s">
        <v>23686</v>
      </c>
    </row>
    <row r="8664" spans="2:4" x14ac:dyDescent="0.3">
      <c r="B8664" s="33" t="s">
        <v>23687</v>
      </c>
      <c r="C8664" s="32" t="s">
        <v>23688</v>
      </c>
      <c r="D8664" s="32" t="s">
        <v>23689</v>
      </c>
    </row>
    <row r="8665" spans="2:4" x14ac:dyDescent="0.3">
      <c r="B8665" s="33" t="s">
        <v>23690</v>
      </c>
      <c r="C8665" s="32" t="s">
        <v>23691</v>
      </c>
      <c r="D8665" s="32" t="s">
        <v>23692</v>
      </c>
    </row>
    <row r="8666" spans="2:4" x14ac:dyDescent="0.3">
      <c r="B8666" s="33" t="s">
        <v>23693</v>
      </c>
      <c r="C8666" s="32" t="s">
        <v>23694</v>
      </c>
      <c r="D8666" s="32" t="s">
        <v>23695</v>
      </c>
    </row>
    <row r="8667" spans="2:4" x14ac:dyDescent="0.3">
      <c r="B8667" s="33" t="s">
        <v>23696</v>
      </c>
      <c r="C8667" s="32" t="s">
        <v>23697</v>
      </c>
      <c r="D8667" s="32" t="s">
        <v>23698</v>
      </c>
    </row>
    <row r="8668" spans="2:4" x14ac:dyDescent="0.3">
      <c r="B8668" s="33" t="s">
        <v>23699</v>
      </c>
      <c r="C8668" s="32" t="s">
        <v>23700</v>
      </c>
      <c r="D8668" s="32" t="s">
        <v>23699</v>
      </c>
    </row>
    <row r="8669" spans="2:4" x14ac:dyDescent="0.3">
      <c r="B8669" s="33" t="s">
        <v>23701</v>
      </c>
      <c r="C8669" s="32" t="s">
        <v>23702</v>
      </c>
      <c r="D8669" s="32" t="s">
        <v>23703</v>
      </c>
    </row>
    <row r="8670" spans="2:4" x14ac:dyDescent="0.3">
      <c r="B8670" s="33" t="s">
        <v>37294</v>
      </c>
      <c r="C8670" s="32" t="s">
        <v>37295</v>
      </c>
      <c r="D8670" s="32" t="s">
        <v>37296</v>
      </c>
    </row>
    <row r="8671" spans="2:4" x14ac:dyDescent="0.3">
      <c r="B8671" s="33" t="s">
        <v>23704</v>
      </c>
      <c r="C8671" s="32" t="s">
        <v>23705</v>
      </c>
      <c r="D8671" s="32" t="s">
        <v>23706</v>
      </c>
    </row>
    <row r="8672" spans="2:4" x14ac:dyDescent="0.3">
      <c r="B8672" s="33" t="s">
        <v>23347</v>
      </c>
      <c r="C8672" s="32" t="s">
        <v>23707</v>
      </c>
      <c r="D8672" s="32" t="s">
        <v>23708</v>
      </c>
    </row>
    <row r="8673" spans="2:4" x14ac:dyDescent="0.3">
      <c r="B8673" s="33" t="s">
        <v>23322</v>
      </c>
      <c r="C8673" s="32" t="s">
        <v>23709</v>
      </c>
      <c r="D8673" s="32" t="s">
        <v>23710</v>
      </c>
    </row>
    <row r="8674" spans="2:4" x14ac:dyDescent="0.3">
      <c r="B8674" s="33" t="s">
        <v>23711</v>
      </c>
      <c r="C8674" s="32" t="s">
        <v>23712</v>
      </c>
      <c r="D8674" s="32" t="s">
        <v>23711</v>
      </c>
    </row>
    <row r="8675" spans="2:4" x14ac:dyDescent="0.3">
      <c r="B8675" s="33" t="s">
        <v>23713</v>
      </c>
      <c r="C8675" s="32" t="s">
        <v>23714</v>
      </c>
      <c r="D8675" s="32" t="s">
        <v>23715</v>
      </c>
    </row>
    <row r="8676" spans="2:4" x14ac:dyDescent="0.3">
      <c r="B8676" s="33" t="s">
        <v>23716</v>
      </c>
      <c r="C8676" s="32" t="s">
        <v>23717</v>
      </c>
      <c r="D8676" s="32" t="s">
        <v>23718</v>
      </c>
    </row>
    <row r="8677" spans="2:4" x14ac:dyDescent="0.3">
      <c r="B8677" s="33" t="s">
        <v>23719</v>
      </c>
      <c r="C8677" s="32" t="s">
        <v>23720</v>
      </c>
      <c r="D8677" s="32" t="s">
        <v>23721</v>
      </c>
    </row>
    <row r="8678" spans="2:4" x14ac:dyDescent="0.3">
      <c r="B8678" s="33" t="s">
        <v>23722</v>
      </c>
      <c r="C8678" s="32" t="s">
        <v>23723</v>
      </c>
      <c r="D8678" s="32" t="s">
        <v>23724</v>
      </c>
    </row>
    <row r="8679" spans="2:4" x14ac:dyDescent="0.3">
      <c r="B8679" s="33" t="s">
        <v>23725</v>
      </c>
      <c r="C8679" s="32" t="s">
        <v>23726</v>
      </c>
      <c r="D8679" s="32" t="s">
        <v>23727</v>
      </c>
    </row>
    <row r="8680" spans="2:4" x14ac:dyDescent="0.3">
      <c r="B8680" s="33" t="s">
        <v>23728</v>
      </c>
      <c r="C8680" s="32" t="s">
        <v>23729</v>
      </c>
      <c r="D8680" s="32" t="s">
        <v>23730</v>
      </c>
    </row>
    <row r="8681" spans="2:4" x14ac:dyDescent="0.3">
      <c r="B8681" s="33" t="s">
        <v>23731</v>
      </c>
      <c r="C8681" s="32" t="s">
        <v>23732</v>
      </c>
      <c r="D8681" s="32" t="s">
        <v>23733</v>
      </c>
    </row>
    <row r="8682" spans="2:4" x14ac:dyDescent="0.3">
      <c r="B8682" s="33" t="s">
        <v>23734</v>
      </c>
      <c r="C8682" s="32" t="s">
        <v>23735</v>
      </c>
      <c r="D8682" s="32" t="s">
        <v>23734</v>
      </c>
    </row>
    <row r="8683" spans="2:4" x14ac:dyDescent="0.3">
      <c r="B8683" s="33" t="s">
        <v>23736</v>
      </c>
      <c r="C8683" s="32" t="s">
        <v>23737</v>
      </c>
      <c r="D8683" s="32" t="s">
        <v>23738</v>
      </c>
    </row>
    <row r="8684" spans="2:4" x14ac:dyDescent="0.3">
      <c r="B8684" s="33" t="s">
        <v>23736</v>
      </c>
      <c r="C8684" s="32" t="s">
        <v>23739</v>
      </c>
      <c r="D8684" s="32" t="s">
        <v>23740</v>
      </c>
    </row>
    <row r="8685" spans="2:4" x14ac:dyDescent="0.3">
      <c r="B8685" s="33" t="s">
        <v>8740</v>
      </c>
      <c r="C8685" s="32" t="s">
        <v>23741</v>
      </c>
      <c r="D8685" s="32" t="s">
        <v>23742</v>
      </c>
    </row>
    <row r="8686" spans="2:4" x14ac:dyDescent="0.3">
      <c r="B8686" s="33" t="s">
        <v>8740</v>
      </c>
      <c r="C8686" s="32" t="s">
        <v>23743</v>
      </c>
      <c r="D8686" s="32" t="s">
        <v>36868</v>
      </c>
    </row>
    <row r="8687" spans="2:4" x14ac:dyDescent="0.3">
      <c r="B8687" s="33" t="s">
        <v>23744</v>
      </c>
      <c r="C8687" s="32" t="s">
        <v>23745</v>
      </c>
      <c r="D8687" s="32" t="s">
        <v>23746</v>
      </c>
    </row>
    <row r="8688" spans="2:4" x14ac:dyDescent="0.3">
      <c r="B8688" s="33" t="s">
        <v>23747</v>
      </c>
      <c r="C8688" s="32" t="s">
        <v>23748</v>
      </c>
      <c r="D8688" s="32" t="s">
        <v>23749</v>
      </c>
    </row>
    <row r="8689" spans="2:4" x14ac:dyDescent="0.3">
      <c r="B8689" s="33" t="s">
        <v>23750</v>
      </c>
      <c r="C8689" s="32" t="s">
        <v>23751</v>
      </c>
      <c r="D8689" s="32" t="s">
        <v>23752</v>
      </c>
    </row>
    <row r="8690" spans="2:4" x14ac:dyDescent="0.3">
      <c r="B8690" s="33" t="s">
        <v>8740</v>
      </c>
      <c r="C8690" s="32" t="s">
        <v>23753</v>
      </c>
      <c r="D8690" s="32" t="s">
        <v>23754</v>
      </c>
    </row>
    <row r="8691" spans="2:4" x14ac:dyDescent="0.3">
      <c r="B8691" s="33" t="s">
        <v>23755</v>
      </c>
      <c r="C8691" s="32" t="s">
        <v>23756</v>
      </c>
      <c r="D8691" s="32" t="s">
        <v>23757</v>
      </c>
    </row>
    <row r="8692" spans="2:4" x14ac:dyDescent="0.3">
      <c r="B8692" s="33" t="s">
        <v>23758</v>
      </c>
      <c r="C8692" s="32" t="s">
        <v>23759</v>
      </c>
      <c r="D8692" s="32" t="s">
        <v>23760</v>
      </c>
    </row>
    <row r="8693" spans="2:4" x14ac:dyDescent="0.3">
      <c r="B8693" s="33" t="s">
        <v>23761</v>
      </c>
      <c r="C8693" s="32" t="s">
        <v>23762</v>
      </c>
      <c r="D8693" s="32" t="s">
        <v>23763</v>
      </c>
    </row>
    <row r="8694" spans="2:4" x14ac:dyDescent="0.3">
      <c r="B8694" s="33" t="s">
        <v>23764</v>
      </c>
      <c r="C8694" s="32" t="s">
        <v>23765</v>
      </c>
      <c r="D8694" s="32" t="s">
        <v>23766</v>
      </c>
    </row>
    <row r="8695" spans="2:4" x14ac:dyDescent="0.3">
      <c r="B8695" s="33" t="s">
        <v>23767</v>
      </c>
      <c r="C8695" s="32" t="s">
        <v>23768</v>
      </c>
      <c r="D8695" s="32" t="s">
        <v>23769</v>
      </c>
    </row>
    <row r="8696" spans="2:4" x14ac:dyDescent="0.3">
      <c r="B8696" s="33" t="s">
        <v>23770</v>
      </c>
      <c r="C8696" s="32" t="s">
        <v>23771</v>
      </c>
      <c r="D8696" s="32" t="s">
        <v>23772</v>
      </c>
    </row>
    <row r="8697" spans="2:4" x14ac:dyDescent="0.3">
      <c r="B8697" s="33" t="s">
        <v>23773</v>
      </c>
      <c r="C8697" s="32" t="s">
        <v>23774</v>
      </c>
      <c r="D8697" s="32" t="s">
        <v>23773</v>
      </c>
    </row>
    <row r="8698" spans="2:4" x14ac:dyDescent="0.3">
      <c r="B8698" s="33" t="s">
        <v>23773</v>
      </c>
      <c r="C8698" s="32" t="s">
        <v>23775</v>
      </c>
      <c r="D8698" s="32" t="s">
        <v>23776</v>
      </c>
    </row>
    <row r="8699" spans="2:4" x14ac:dyDescent="0.3">
      <c r="B8699" s="33" t="s">
        <v>23777</v>
      </c>
      <c r="C8699" s="32" t="s">
        <v>23778</v>
      </c>
      <c r="D8699" s="32" t="s">
        <v>23777</v>
      </c>
    </row>
    <row r="8700" spans="2:4" x14ac:dyDescent="0.3">
      <c r="B8700" s="33" t="s">
        <v>23779</v>
      </c>
      <c r="C8700" s="32" t="s">
        <v>23780</v>
      </c>
      <c r="D8700" s="32" t="s">
        <v>23781</v>
      </c>
    </row>
    <row r="8701" spans="2:4" x14ac:dyDescent="0.3">
      <c r="B8701" s="33" t="s">
        <v>23782</v>
      </c>
      <c r="C8701" s="32" t="s">
        <v>23783</v>
      </c>
      <c r="D8701" s="32" t="s">
        <v>23784</v>
      </c>
    </row>
    <row r="8702" spans="2:4" x14ac:dyDescent="0.3">
      <c r="B8702" s="33" t="s">
        <v>23785</v>
      </c>
      <c r="C8702" s="32" t="s">
        <v>23786</v>
      </c>
      <c r="D8702" s="32" t="s">
        <v>23787</v>
      </c>
    </row>
    <row r="8703" spans="2:4" x14ac:dyDescent="0.3">
      <c r="B8703" s="33" t="s">
        <v>23788</v>
      </c>
      <c r="C8703" s="32" t="s">
        <v>23789</v>
      </c>
      <c r="D8703" s="32" t="s">
        <v>23790</v>
      </c>
    </row>
    <row r="8704" spans="2:4" x14ac:dyDescent="0.3">
      <c r="B8704" s="33" t="s">
        <v>23791</v>
      </c>
      <c r="C8704" s="32" t="s">
        <v>23792</v>
      </c>
      <c r="D8704" s="32" t="s">
        <v>23793</v>
      </c>
    </row>
    <row r="8705" spans="2:4" x14ac:dyDescent="0.3">
      <c r="B8705" s="33" t="s">
        <v>23794</v>
      </c>
      <c r="C8705" s="32" t="s">
        <v>23795</v>
      </c>
      <c r="D8705" s="32" t="s">
        <v>23796</v>
      </c>
    </row>
    <row r="8706" spans="2:4" x14ac:dyDescent="0.3">
      <c r="B8706" s="33" t="s">
        <v>23797</v>
      </c>
      <c r="C8706" s="32" t="s">
        <v>23798</v>
      </c>
      <c r="D8706" s="32" t="s">
        <v>23799</v>
      </c>
    </row>
    <row r="8707" spans="2:4" x14ac:dyDescent="0.3">
      <c r="B8707" s="33" t="s">
        <v>23800</v>
      </c>
      <c r="C8707" s="32" t="s">
        <v>23801</v>
      </c>
      <c r="D8707" s="32" t="s">
        <v>23802</v>
      </c>
    </row>
    <row r="8708" spans="2:4" x14ac:dyDescent="0.3">
      <c r="B8708" s="33" t="s">
        <v>23803</v>
      </c>
      <c r="C8708" s="32" t="s">
        <v>23804</v>
      </c>
      <c r="D8708" s="32" t="s">
        <v>23805</v>
      </c>
    </row>
    <row r="8709" spans="2:4" x14ac:dyDescent="0.3">
      <c r="B8709" s="33" t="s">
        <v>23806</v>
      </c>
      <c r="C8709" s="32" t="s">
        <v>23807</v>
      </c>
      <c r="D8709" s="32" t="s">
        <v>23808</v>
      </c>
    </row>
    <row r="8710" spans="2:4" x14ac:dyDescent="0.3">
      <c r="B8710" s="33" t="s">
        <v>23809</v>
      </c>
      <c r="C8710" s="32" t="s">
        <v>23810</v>
      </c>
      <c r="D8710" s="32" t="s">
        <v>23811</v>
      </c>
    </row>
    <row r="8711" spans="2:4" x14ac:dyDescent="0.3">
      <c r="B8711" s="33" t="s">
        <v>23399</v>
      </c>
      <c r="C8711" s="32" t="s">
        <v>23812</v>
      </c>
      <c r="D8711" s="32" t="s">
        <v>23813</v>
      </c>
    </row>
    <row r="8712" spans="2:4" x14ac:dyDescent="0.3">
      <c r="B8712" s="33" t="s">
        <v>23814</v>
      </c>
      <c r="C8712" s="32" t="s">
        <v>23815</v>
      </c>
      <c r="D8712" s="32" t="s">
        <v>23816</v>
      </c>
    </row>
    <row r="8713" spans="2:4" x14ac:dyDescent="0.3">
      <c r="B8713" s="33" t="s">
        <v>23817</v>
      </c>
      <c r="C8713" s="32" t="s">
        <v>23818</v>
      </c>
      <c r="D8713" s="32" t="s">
        <v>23819</v>
      </c>
    </row>
    <row r="8714" spans="2:4" x14ac:dyDescent="0.3">
      <c r="B8714" s="33" t="s">
        <v>23820</v>
      </c>
      <c r="C8714" s="32" t="s">
        <v>23821</v>
      </c>
      <c r="D8714" s="32" t="s">
        <v>23822</v>
      </c>
    </row>
    <row r="8715" spans="2:4" x14ac:dyDescent="0.3">
      <c r="B8715" s="33" t="s">
        <v>23823</v>
      </c>
      <c r="C8715" s="32" t="s">
        <v>23824</v>
      </c>
      <c r="D8715" s="32" t="s">
        <v>23825</v>
      </c>
    </row>
    <row r="8716" spans="2:4" x14ac:dyDescent="0.3">
      <c r="B8716" s="33" t="s">
        <v>23826</v>
      </c>
      <c r="C8716" s="32" t="s">
        <v>23827</v>
      </c>
      <c r="D8716" s="32" t="s">
        <v>36869</v>
      </c>
    </row>
    <row r="8717" spans="2:4" x14ac:dyDescent="0.3">
      <c r="B8717" s="33" t="s">
        <v>23828</v>
      </c>
      <c r="C8717" s="32" t="s">
        <v>23829</v>
      </c>
      <c r="D8717" s="32" t="s">
        <v>23830</v>
      </c>
    </row>
    <row r="8718" spans="2:4" x14ac:dyDescent="0.3">
      <c r="B8718" s="33" t="s">
        <v>23831</v>
      </c>
      <c r="C8718" s="32" t="s">
        <v>23832</v>
      </c>
      <c r="D8718" s="32" t="s">
        <v>23833</v>
      </c>
    </row>
    <row r="8719" spans="2:4" x14ac:dyDescent="0.3">
      <c r="B8719" s="33" t="s">
        <v>23834</v>
      </c>
      <c r="C8719" s="32" t="s">
        <v>23835</v>
      </c>
      <c r="D8719" s="32" t="s">
        <v>23836</v>
      </c>
    </row>
    <row r="8720" spans="2:4" x14ac:dyDescent="0.3">
      <c r="B8720" s="33" t="s">
        <v>23837</v>
      </c>
      <c r="C8720" s="32" t="s">
        <v>23838</v>
      </c>
      <c r="D8720" s="32" t="s">
        <v>23839</v>
      </c>
    </row>
    <row r="8721" spans="2:4" x14ac:dyDescent="0.3">
      <c r="B8721" s="33" t="s">
        <v>23847</v>
      </c>
      <c r="C8721" s="32" t="s">
        <v>37297</v>
      </c>
      <c r="D8721" s="32" t="s">
        <v>37298</v>
      </c>
    </row>
    <row r="8722" spans="2:4" x14ac:dyDescent="0.3">
      <c r="B8722" s="33" t="s">
        <v>23840</v>
      </c>
      <c r="C8722" s="32" t="s">
        <v>23841</v>
      </c>
      <c r="D8722" s="32" t="s">
        <v>23842</v>
      </c>
    </row>
    <row r="8723" spans="2:4" x14ac:dyDescent="0.3">
      <c r="B8723" s="33" t="s">
        <v>23814</v>
      </c>
      <c r="C8723" s="32" t="s">
        <v>23843</v>
      </c>
      <c r="D8723" s="32" t="s">
        <v>23844</v>
      </c>
    </row>
    <row r="8724" spans="2:4" x14ac:dyDescent="0.3">
      <c r="B8724" s="33" t="s">
        <v>17920</v>
      </c>
      <c r="C8724" s="32" t="s">
        <v>23845</v>
      </c>
      <c r="D8724" s="32" t="s">
        <v>23846</v>
      </c>
    </row>
    <row r="8725" spans="2:4" x14ac:dyDescent="0.3">
      <c r="B8725" s="33" t="s">
        <v>23847</v>
      </c>
      <c r="C8725" s="32" t="s">
        <v>23848</v>
      </c>
      <c r="D8725" s="32" t="s">
        <v>23849</v>
      </c>
    </row>
    <row r="8726" spans="2:4" x14ac:dyDescent="0.3">
      <c r="B8726" s="33" t="s">
        <v>23850</v>
      </c>
      <c r="C8726" s="32" t="s">
        <v>23851</v>
      </c>
      <c r="D8726" s="32" t="s">
        <v>23852</v>
      </c>
    </row>
    <row r="8727" spans="2:4" x14ac:dyDescent="0.3">
      <c r="B8727" s="33" t="s">
        <v>23853</v>
      </c>
      <c r="C8727" s="32" t="s">
        <v>23854</v>
      </c>
      <c r="D8727" s="32" t="s">
        <v>23855</v>
      </c>
    </row>
    <row r="8728" spans="2:4" x14ac:dyDescent="0.3">
      <c r="B8728" s="33" t="s">
        <v>23856</v>
      </c>
      <c r="C8728" s="32" t="s">
        <v>23857</v>
      </c>
      <c r="D8728" s="32" t="s">
        <v>23858</v>
      </c>
    </row>
    <row r="8729" spans="2:4" x14ac:dyDescent="0.3">
      <c r="B8729" s="33" t="s">
        <v>23859</v>
      </c>
      <c r="C8729" s="32" t="s">
        <v>23860</v>
      </c>
      <c r="D8729" s="32" t="s">
        <v>23861</v>
      </c>
    </row>
    <row r="8730" spans="2:4" x14ac:dyDescent="0.3">
      <c r="B8730" s="33" t="s">
        <v>23862</v>
      </c>
      <c r="C8730" s="32" t="s">
        <v>23863</v>
      </c>
      <c r="D8730" s="32" t="s">
        <v>23864</v>
      </c>
    </row>
    <row r="8731" spans="2:4" x14ac:dyDescent="0.3">
      <c r="B8731" s="33" t="s">
        <v>23859</v>
      </c>
      <c r="C8731" s="32" t="s">
        <v>23865</v>
      </c>
      <c r="D8731" s="32" t="s">
        <v>23866</v>
      </c>
    </row>
    <row r="8732" spans="2:4" x14ac:dyDescent="0.3">
      <c r="B8732" s="33" t="s">
        <v>23867</v>
      </c>
      <c r="C8732" s="32" t="s">
        <v>23868</v>
      </c>
      <c r="D8732" s="32" t="s">
        <v>23869</v>
      </c>
    </row>
    <row r="8733" spans="2:4" x14ac:dyDescent="0.3">
      <c r="B8733" s="33" t="s">
        <v>23814</v>
      </c>
      <c r="C8733" s="32" t="s">
        <v>23870</v>
      </c>
      <c r="D8733" s="32" t="s">
        <v>23871</v>
      </c>
    </row>
    <row r="8734" spans="2:4" x14ac:dyDescent="0.3">
      <c r="B8734" s="33" t="s">
        <v>23872</v>
      </c>
      <c r="C8734" s="32" t="s">
        <v>23873</v>
      </c>
      <c r="D8734" s="32" t="s">
        <v>23874</v>
      </c>
    </row>
    <row r="8735" spans="2:4" x14ac:dyDescent="0.3">
      <c r="B8735" s="33" t="s">
        <v>23872</v>
      </c>
      <c r="C8735" s="32" t="s">
        <v>23875</v>
      </c>
      <c r="D8735" s="32" t="s">
        <v>23876</v>
      </c>
    </row>
    <row r="8736" spans="2:4" x14ac:dyDescent="0.3">
      <c r="B8736" s="33" t="s">
        <v>23877</v>
      </c>
      <c r="C8736" s="32" t="s">
        <v>23878</v>
      </c>
      <c r="D8736" s="32" t="s">
        <v>23879</v>
      </c>
    </row>
    <row r="8737" spans="2:4" x14ac:dyDescent="0.3">
      <c r="B8737" s="33" t="s">
        <v>23880</v>
      </c>
      <c r="C8737" s="32" t="s">
        <v>23881</v>
      </c>
      <c r="D8737" s="32" t="s">
        <v>23882</v>
      </c>
    </row>
    <row r="8738" spans="2:4" x14ac:dyDescent="0.3">
      <c r="B8738" s="33" t="s">
        <v>13741</v>
      </c>
      <c r="C8738" s="32" t="s">
        <v>23883</v>
      </c>
      <c r="D8738" s="32" t="s">
        <v>13741</v>
      </c>
    </row>
    <row r="8739" spans="2:4" x14ac:dyDescent="0.3">
      <c r="B8739" s="33" t="s">
        <v>23884</v>
      </c>
      <c r="C8739" s="32" t="s">
        <v>23885</v>
      </c>
      <c r="D8739" s="32" t="s">
        <v>23886</v>
      </c>
    </row>
    <row r="8740" spans="2:4" x14ac:dyDescent="0.3">
      <c r="B8740" s="33" t="s">
        <v>15675</v>
      </c>
      <c r="C8740" s="32" t="s">
        <v>23887</v>
      </c>
      <c r="D8740" s="32" t="s">
        <v>23888</v>
      </c>
    </row>
    <row r="8741" spans="2:4" x14ac:dyDescent="0.3">
      <c r="B8741" s="33" t="s">
        <v>23889</v>
      </c>
      <c r="C8741" s="32" t="s">
        <v>23890</v>
      </c>
      <c r="D8741" s="32" t="s">
        <v>23891</v>
      </c>
    </row>
    <row r="8742" spans="2:4" x14ac:dyDescent="0.3">
      <c r="B8742" s="33" t="s">
        <v>23892</v>
      </c>
      <c r="C8742" s="32" t="s">
        <v>23893</v>
      </c>
      <c r="D8742" s="32" t="s">
        <v>23894</v>
      </c>
    </row>
    <row r="8743" spans="2:4" x14ac:dyDescent="0.3">
      <c r="B8743" s="33" t="s">
        <v>23895</v>
      </c>
      <c r="C8743" s="32" t="s">
        <v>23896</v>
      </c>
      <c r="D8743" s="32" t="s">
        <v>23897</v>
      </c>
    </row>
    <row r="8744" spans="2:4" x14ac:dyDescent="0.3">
      <c r="B8744" s="33" t="s">
        <v>23898</v>
      </c>
      <c r="C8744" s="32" t="s">
        <v>23899</v>
      </c>
      <c r="D8744" s="32" t="s">
        <v>23900</v>
      </c>
    </row>
    <row r="8745" spans="2:4" x14ac:dyDescent="0.3">
      <c r="B8745" s="33" t="s">
        <v>23901</v>
      </c>
      <c r="C8745" s="32" t="s">
        <v>23902</v>
      </c>
      <c r="D8745" s="32" t="s">
        <v>23903</v>
      </c>
    </row>
    <row r="8746" spans="2:4" x14ac:dyDescent="0.3">
      <c r="B8746" s="33" t="s">
        <v>23904</v>
      </c>
      <c r="C8746" s="32" t="s">
        <v>23905</v>
      </c>
      <c r="D8746" s="32" t="s">
        <v>23906</v>
      </c>
    </row>
    <row r="8747" spans="2:4" x14ac:dyDescent="0.3">
      <c r="B8747" s="33" t="s">
        <v>23907</v>
      </c>
      <c r="C8747" s="32" t="s">
        <v>23908</v>
      </c>
      <c r="D8747" s="32" t="s">
        <v>23909</v>
      </c>
    </row>
    <row r="8748" spans="2:4" x14ac:dyDescent="0.3">
      <c r="B8748" s="33" t="s">
        <v>23910</v>
      </c>
      <c r="C8748" s="32" t="s">
        <v>23911</v>
      </c>
      <c r="D8748" s="32" t="s">
        <v>23912</v>
      </c>
    </row>
    <row r="8749" spans="2:4" x14ac:dyDescent="0.3">
      <c r="B8749" s="33" t="s">
        <v>23913</v>
      </c>
      <c r="C8749" s="32" t="s">
        <v>23914</v>
      </c>
      <c r="D8749" s="32" t="s">
        <v>23915</v>
      </c>
    </row>
    <row r="8750" spans="2:4" x14ac:dyDescent="0.3">
      <c r="B8750" s="33" t="s">
        <v>23916</v>
      </c>
      <c r="C8750" s="32" t="s">
        <v>23917</v>
      </c>
      <c r="D8750" s="32" t="s">
        <v>23918</v>
      </c>
    </row>
    <row r="8751" spans="2:4" x14ac:dyDescent="0.3">
      <c r="B8751" s="33" t="s">
        <v>23831</v>
      </c>
      <c r="C8751" s="32" t="s">
        <v>23919</v>
      </c>
      <c r="D8751" s="32" t="s">
        <v>23920</v>
      </c>
    </row>
    <row r="8752" spans="2:4" x14ac:dyDescent="0.3">
      <c r="B8752" s="33" t="s">
        <v>23921</v>
      </c>
      <c r="C8752" s="32" t="s">
        <v>23922</v>
      </c>
      <c r="D8752" s="32" t="s">
        <v>23923</v>
      </c>
    </row>
    <row r="8753" spans="2:4" x14ac:dyDescent="0.3">
      <c r="B8753" s="33" t="s">
        <v>23924</v>
      </c>
      <c r="C8753" s="32" t="s">
        <v>23925</v>
      </c>
      <c r="D8753" s="32" t="s">
        <v>23926</v>
      </c>
    </row>
    <row r="8754" spans="2:4" x14ac:dyDescent="0.3">
      <c r="B8754" s="33" t="s">
        <v>23927</v>
      </c>
      <c r="C8754" s="32" t="s">
        <v>23928</v>
      </c>
      <c r="D8754" s="32" t="s">
        <v>23929</v>
      </c>
    </row>
    <row r="8755" spans="2:4" x14ac:dyDescent="0.3">
      <c r="B8755" s="33" t="s">
        <v>11148</v>
      </c>
      <c r="C8755" s="32" t="s">
        <v>23930</v>
      </c>
      <c r="D8755" s="32" t="s">
        <v>23931</v>
      </c>
    </row>
    <row r="8756" spans="2:4" x14ac:dyDescent="0.3">
      <c r="B8756" s="33" t="s">
        <v>23932</v>
      </c>
      <c r="C8756" s="32" t="s">
        <v>23933</v>
      </c>
      <c r="D8756" s="32" t="s">
        <v>23934</v>
      </c>
    </row>
    <row r="8757" spans="2:4" x14ac:dyDescent="0.3">
      <c r="B8757" s="33" t="s">
        <v>23764</v>
      </c>
      <c r="C8757" s="32" t="s">
        <v>23935</v>
      </c>
      <c r="D8757" s="32" t="s">
        <v>23764</v>
      </c>
    </row>
    <row r="8758" spans="2:4" x14ac:dyDescent="0.3">
      <c r="B8758" s="33" t="s">
        <v>23936</v>
      </c>
      <c r="C8758" s="32" t="s">
        <v>23937</v>
      </c>
      <c r="D8758" s="32" t="s">
        <v>23938</v>
      </c>
    </row>
    <row r="8759" spans="2:4" x14ac:dyDescent="0.3">
      <c r="B8759" s="33" t="s">
        <v>23939</v>
      </c>
      <c r="C8759" s="32" t="s">
        <v>23940</v>
      </c>
      <c r="D8759" s="32" t="s">
        <v>23939</v>
      </c>
    </row>
    <row r="8760" spans="2:4" x14ac:dyDescent="0.3">
      <c r="B8760" s="33" t="s">
        <v>23941</v>
      </c>
      <c r="C8760" s="32" t="s">
        <v>23942</v>
      </c>
      <c r="D8760" s="32" t="s">
        <v>23943</v>
      </c>
    </row>
    <row r="8761" spans="2:4" x14ac:dyDescent="0.3">
      <c r="B8761" s="33" t="s">
        <v>23944</v>
      </c>
      <c r="C8761" s="32" t="s">
        <v>23945</v>
      </c>
      <c r="D8761" s="32" t="s">
        <v>23946</v>
      </c>
    </row>
    <row r="8762" spans="2:4" x14ac:dyDescent="0.3">
      <c r="B8762" s="33" t="s">
        <v>23947</v>
      </c>
      <c r="C8762" s="32" t="s">
        <v>23948</v>
      </c>
      <c r="D8762" s="32" t="s">
        <v>23949</v>
      </c>
    </row>
    <row r="8763" spans="2:4" x14ac:dyDescent="0.3">
      <c r="B8763" s="33" t="s">
        <v>23950</v>
      </c>
      <c r="C8763" s="32" t="s">
        <v>23951</v>
      </c>
      <c r="D8763" s="32" t="s">
        <v>23952</v>
      </c>
    </row>
    <row r="8764" spans="2:4" x14ac:dyDescent="0.3">
      <c r="B8764" s="33" t="s">
        <v>23953</v>
      </c>
      <c r="C8764" s="32" t="s">
        <v>23954</v>
      </c>
      <c r="D8764" s="32" t="s">
        <v>23955</v>
      </c>
    </row>
    <row r="8765" spans="2:4" x14ac:dyDescent="0.3">
      <c r="B8765" s="33" t="s">
        <v>23956</v>
      </c>
      <c r="C8765" s="32" t="s">
        <v>23957</v>
      </c>
      <c r="D8765" s="32" t="s">
        <v>23958</v>
      </c>
    </row>
    <row r="8766" spans="2:4" x14ac:dyDescent="0.3">
      <c r="B8766" s="33" t="s">
        <v>23959</v>
      </c>
      <c r="C8766" s="32" t="s">
        <v>23960</v>
      </c>
      <c r="D8766" s="32" t="s">
        <v>23961</v>
      </c>
    </row>
    <row r="8767" spans="2:4" x14ac:dyDescent="0.3">
      <c r="B8767" s="33" t="s">
        <v>23962</v>
      </c>
      <c r="C8767" s="32" t="s">
        <v>23963</v>
      </c>
      <c r="D8767" s="32" t="s">
        <v>23964</v>
      </c>
    </row>
    <row r="8768" spans="2:4" x14ac:dyDescent="0.3">
      <c r="B8768" s="33" t="s">
        <v>23962</v>
      </c>
      <c r="C8768" s="32" t="s">
        <v>23965</v>
      </c>
      <c r="D8768" s="32" t="s">
        <v>23966</v>
      </c>
    </row>
    <row r="8769" spans="2:4" x14ac:dyDescent="0.3">
      <c r="B8769" s="33" t="s">
        <v>23967</v>
      </c>
      <c r="C8769" s="32" t="s">
        <v>23968</v>
      </c>
      <c r="D8769" s="32" t="s">
        <v>23969</v>
      </c>
    </row>
    <row r="8770" spans="2:4" x14ac:dyDescent="0.3">
      <c r="B8770" s="33" t="s">
        <v>7251</v>
      </c>
      <c r="C8770" s="32" t="s">
        <v>23970</v>
      </c>
      <c r="D8770" s="32" t="s">
        <v>23971</v>
      </c>
    </row>
    <row r="8771" spans="2:4" x14ac:dyDescent="0.3">
      <c r="B8771" s="33" t="s">
        <v>23972</v>
      </c>
      <c r="C8771" s="32" t="s">
        <v>23973</v>
      </c>
      <c r="D8771" s="32" t="s">
        <v>23974</v>
      </c>
    </row>
    <row r="8772" spans="2:4" x14ac:dyDescent="0.3">
      <c r="B8772" s="33" t="s">
        <v>23975</v>
      </c>
      <c r="C8772" s="32" t="s">
        <v>23976</v>
      </c>
      <c r="D8772" s="32" t="s">
        <v>23975</v>
      </c>
    </row>
    <row r="8773" spans="2:4" x14ac:dyDescent="0.3">
      <c r="B8773" s="33" t="s">
        <v>23977</v>
      </c>
      <c r="C8773" s="32" t="s">
        <v>23978</v>
      </c>
      <c r="D8773" s="32" t="s">
        <v>23979</v>
      </c>
    </row>
    <row r="8774" spans="2:4" x14ac:dyDescent="0.3">
      <c r="B8774" s="33" t="s">
        <v>23980</v>
      </c>
      <c r="C8774" s="32" t="s">
        <v>23981</v>
      </c>
      <c r="D8774" s="32" t="s">
        <v>23982</v>
      </c>
    </row>
    <row r="8775" spans="2:4" x14ac:dyDescent="0.3">
      <c r="B8775" s="33" t="s">
        <v>23983</v>
      </c>
      <c r="C8775" s="32" t="s">
        <v>23984</v>
      </c>
      <c r="D8775" s="32" t="s">
        <v>23985</v>
      </c>
    </row>
    <row r="8776" spans="2:4" x14ac:dyDescent="0.3">
      <c r="B8776" s="33" t="s">
        <v>23986</v>
      </c>
      <c r="C8776" s="32" t="s">
        <v>23987</v>
      </c>
      <c r="D8776" s="32" t="s">
        <v>23988</v>
      </c>
    </row>
    <row r="8777" spans="2:4" x14ac:dyDescent="0.3">
      <c r="B8777" s="33" t="s">
        <v>23983</v>
      </c>
      <c r="C8777" s="32" t="s">
        <v>23989</v>
      </c>
      <c r="D8777" s="32" t="s">
        <v>23990</v>
      </c>
    </row>
    <row r="8778" spans="2:4" x14ac:dyDescent="0.3">
      <c r="B8778" s="33" t="s">
        <v>23977</v>
      </c>
      <c r="C8778" s="32" t="s">
        <v>23991</v>
      </c>
      <c r="D8778" s="32" t="s">
        <v>23992</v>
      </c>
    </row>
    <row r="8779" spans="2:4" x14ac:dyDescent="0.3">
      <c r="B8779" s="33" t="s">
        <v>23993</v>
      </c>
      <c r="C8779" s="32" t="s">
        <v>23994</v>
      </c>
      <c r="D8779" s="32" t="s">
        <v>23995</v>
      </c>
    </row>
    <row r="8780" spans="2:4" x14ac:dyDescent="0.3">
      <c r="B8780" s="33" t="s">
        <v>23996</v>
      </c>
      <c r="C8780" s="32" t="s">
        <v>23997</v>
      </c>
      <c r="D8780" s="32" t="s">
        <v>36870</v>
      </c>
    </row>
    <row r="8781" spans="2:4" x14ac:dyDescent="0.3">
      <c r="B8781" s="33" t="s">
        <v>13741</v>
      </c>
      <c r="C8781" s="32" t="s">
        <v>23998</v>
      </c>
      <c r="D8781" s="32" t="s">
        <v>23999</v>
      </c>
    </row>
    <row r="8782" spans="2:4" x14ac:dyDescent="0.3">
      <c r="B8782" s="33" t="s">
        <v>24000</v>
      </c>
      <c r="C8782" s="32" t="s">
        <v>24001</v>
      </c>
      <c r="D8782" s="32" t="s">
        <v>24002</v>
      </c>
    </row>
    <row r="8783" spans="2:4" x14ac:dyDescent="0.3">
      <c r="B8783" s="33" t="s">
        <v>24003</v>
      </c>
      <c r="C8783" s="32" t="s">
        <v>24004</v>
      </c>
      <c r="D8783" s="32" t="s">
        <v>24005</v>
      </c>
    </row>
    <row r="8784" spans="2:4" x14ac:dyDescent="0.3">
      <c r="B8784" s="33" t="s">
        <v>24006</v>
      </c>
      <c r="C8784" s="32" t="s">
        <v>24007</v>
      </c>
      <c r="D8784" s="32" t="s">
        <v>24008</v>
      </c>
    </row>
    <row r="8785" spans="2:4" x14ac:dyDescent="0.3">
      <c r="B8785" s="33" t="s">
        <v>24009</v>
      </c>
      <c r="C8785" s="32" t="s">
        <v>24010</v>
      </c>
      <c r="D8785" s="32" t="s">
        <v>24011</v>
      </c>
    </row>
    <row r="8786" spans="2:4" x14ac:dyDescent="0.3">
      <c r="B8786" s="33" t="s">
        <v>24012</v>
      </c>
      <c r="C8786" s="32" t="s">
        <v>24013</v>
      </c>
      <c r="D8786" s="32" t="s">
        <v>24014</v>
      </c>
    </row>
    <row r="8787" spans="2:4" x14ac:dyDescent="0.3">
      <c r="B8787" s="33" t="s">
        <v>24015</v>
      </c>
      <c r="C8787" s="32" t="s">
        <v>24016</v>
      </c>
      <c r="D8787" s="32" t="s">
        <v>24017</v>
      </c>
    </row>
    <row r="8788" spans="2:4" x14ac:dyDescent="0.3">
      <c r="B8788" s="33" t="s">
        <v>3014</v>
      </c>
      <c r="C8788" s="32" t="s">
        <v>24018</v>
      </c>
      <c r="D8788" s="32" t="s">
        <v>24019</v>
      </c>
    </row>
    <row r="8789" spans="2:4" x14ac:dyDescent="0.3">
      <c r="B8789" s="33" t="s">
        <v>23936</v>
      </c>
      <c r="C8789" s="32" t="s">
        <v>24020</v>
      </c>
      <c r="D8789" s="32" t="s">
        <v>24021</v>
      </c>
    </row>
    <row r="8790" spans="2:4" x14ac:dyDescent="0.3">
      <c r="B8790" s="33" t="s">
        <v>24022</v>
      </c>
      <c r="C8790" s="32" t="s">
        <v>24023</v>
      </c>
      <c r="D8790" s="32" t="s">
        <v>24024</v>
      </c>
    </row>
    <row r="8791" spans="2:4" x14ac:dyDescent="0.3">
      <c r="B8791" s="33" t="s">
        <v>23701</v>
      </c>
      <c r="C8791" s="32" t="s">
        <v>24025</v>
      </c>
      <c r="D8791" s="32" t="s">
        <v>24026</v>
      </c>
    </row>
    <row r="8792" spans="2:4" x14ac:dyDescent="0.3">
      <c r="B8792" s="33" t="s">
        <v>24022</v>
      </c>
      <c r="C8792" s="32" t="s">
        <v>24027</v>
      </c>
      <c r="D8792" s="32" t="s">
        <v>24028</v>
      </c>
    </row>
    <row r="8793" spans="2:4" x14ac:dyDescent="0.3">
      <c r="B8793" s="33" t="s">
        <v>24022</v>
      </c>
      <c r="C8793" s="32" t="s">
        <v>24029</v>
      </c>
      <c r="D8793" s="32" t="s">
        <v>24030</v>
      </c>
    </row>
    <row r="8794" spans="2:4" x14ac:dyDescent="0.3">
      <c r="B8794" s="33" t="s">
        <v>24031</v>
      </c>
      <c r="C8794" s="32" t="s">
        <v>24032</v>
      </c>
      <c r="D8794" s="32" t="s">
        <v>24033</v>
      </c>
    </row>
    <row r="8795" spans="2:4" x14ac:dyDescent="0.3">
      <c r="B8795" s="33" t="s">
        <v>24034</v>
      </c>
      <c r="C8795" s="32" t="s">
        <v>24035</v>
      </c>
      <c r="D8795" s="32" t="s">
        <v>24036</v>
      </c>
    </row>
    <row r="8796" spans="2:4" x14ac:dyDescent="0.3">
      <c r="B8796" s="33" t="s">
        <v>24037</v>
      </c>
      <c r="C8796" s="32" t="s">
        <v>24038</v>
      </c>
      <c r="D8796" s="32" t="s">
        <v>24039</v>
      </c>
    </row>
    <row r="8797" spans="2:4" x14ac:dyDescent="0.3">
      <c r="B8797" s="33" t="s">
        <v>24040</v>
      </c>
      <c r="C8797" s="32" t="s">
        <v>24041</v>
      </c>
      <c r="D8797" s="32" t="s">
        <v>24042</v>
      </c>
    </row>
    <row r="8798" spans="2:4" x14ac:dyDescent="0.3">
      <c r="B8798" s="33" t="s">
        <v>24043</v>
      </c>
      <c r="C8798" s="32" t="s">
        <v>24044</v>
      </c>
      <c r="D8798" s="32" t="s">
        <v>24045</v>
      </c>
    </row>
    <row r="8799" spans="2:4" x14ac:dyDescent="0.3">
      <c r="B8799" s="33" t="s">
        <v>24046</v>
      </c>
      <c r="C8799" s="32" t="s">
        <v>24047</v>
      </c>
      <c r="D8799" s="32" t="s">
        <v>24048</v>
      </c>
    </row>
    <row r="8800" spans="2:4" x14ac:dyDescent="0.3">
      <c r="B8800" s="33" t="s">
        <v>24049</v>
      </c>
      <c r="C8800" s="32" t="s">
        <v>24050</v>
      </c>
      <c r="D8800" s="32" t="s">
        <v>24051</v>
      </c>
    </row>
    <row r="8801" spans="2:4" x14ac:dyDescent="0.3">
      <c r="B8801" s="33" t="s">
        <v>24052</v>
      </c>
      <c r="C8801" s="32" t="s">
        <v>24053</v>
      </c>
      <c r="D8801" s="32" t="s">
        <v>24054</v>
      </c>
    </row>
    <row r="8802" spans="2:4" x14ac:dyDescent="0.3">
      <c r="B8802" s="33" t="s">
        <v>24055</v>
      </c>
      <c r="C8802" s="32" t="s">
        <v>24056</v>
      </c>
      <c r="D8802" s="32" t="s">
        <v>24057</v>
      </c>
    </row>
    <row r="8803" spans="2:4" x14ac:dyDescent="0.3">
      <c r="B8803" s="33" t="s">
        <v>24058</v>
      </c>
      <c r="C8803" s="32" t="s">
        <v>24059</v>
      </c>
      <c r="D8803" s="32" t="s">
        <v>24058</v>
      </c>
    </row>
    <row r="8804" spans="2:4" x14ac:dyDescent="0.3">
      <c r="B8804" s="33" t="s">
        <v>24060</v>
      </c>
      <c r="C8804" s="32" t="s">
        <v>24061</v>
      </c>
      <c r="D8804" s="32" t="s">
        <v>24062</v>
      </c>
    </row>
    <row r="8805" spans="2:4" x14ac:dyDescent="0.3">
      <c r="B8805" s="33" t="s">
        <v>24063</v>
      </c>
      <c r="C8805" s="32" t="s">
        <v>24064</v>
      </c>
      <c r="D8805" s="32" t="s">
        <v>24065</v>
      </c>
    </row>
    <row r="8806" spans="2:4" x14ac:dyDescent="0.3">
      <c r="B8806" s="33" t="s">
        <v>24066</v>
      </c>
      <c r="C8806" s="32" t="s">
        <v>24067</v>
      </c>
      <c r="D8806" s="32" t="s">
        <v>24068</v>
      </c>
    </row>
    <row r="8807" spans="2:4" x14ac:dyDescent="0.3">
      <c r="B8807" s="33" t="s">
        <v>24069</v>
      </c>
      <c r="C8807" s="32" t="s">
        <v>24070</v>
      </c>
      <c r="D8807" s="32" t="s">
        <v>24071</v>
      </c>
    </row>
    <row r="8808" spans="2:4" x14ac:dyDescent="0.3">
      <c r="B8808" s="33" t="s">
        <v>24072</v>
      </c>
      <c r="C8808" s="32" t="s">
        <v>24073</v>
      </c>
      <c r="D8808" s="32" t="s">
        <v>24074</v>
      </c>
    </row>
    <row r="8809" spans="2:4" x14ac:dyDescent="0.3">
      <c r="B8809" s="33" t="s">
        <v>16434</v>
      </c>
      <c r="C8809" s="32" t="s">
        <v>24075</v>
      </c>
      <c r="D8809" s="32" t="s">
        <v>24076</v>
      </c>
    </row>
    <row r="8810" spans="2:4" x14ac:dyDescent="0.3">
      <c r="B8810" s="33" t="s">
        <v>24077</v>
      </c>
      <c r="C8810" s="32" t="s">
        <v>24078</v>
      </c>
      <c r="D8810" s="32" t="s">
        <v>24079</v>
      </c>
    </row>
    <row r="8811" spans="2:4" x14ac:dyDescent="0.3">
      <c r="B8811" s="33" t="s">
        <v>24080</v>
      </c>
      <c r="C8811" s="32" t="s">
        <v>24081</v>
      </c>
      <c r="D8811" s="32" t="s">
        <v>24082</v>
      </c>
    </row>
    <row r="8812" spans="2:4" x14ac:dyDescent="0.3">
      <c r="B8812" s="33" t="s">
        <v>24083</v>
      </c>
      <c r="C8812" s="32" t="s">
        <v>24084</v>
      </c>
      <c r="D8812" s="32" t="s">
        <v>24085</v>
      </c>
    </row>
    <row r="8813" spans="2:4" x14ac:dyDescent="0.3">
      <c r="B8813" s="33" t="s">
        <v>24086</v>
      </c>
      <c r="C8813" s="32" t="s">
        <v>24087</v>
      </c>
      <c r="D8813" s="32" t="s">
        <v>24088</v>
      </c>
    </row>
    <row r="8814" spans="2:4" x14ac:dyDescent="0.3">
      <c r="B8814" s="33" t="s">
        <v>24089</v>
      </c>
      <c r="C8814" s="32" t="s">
        <v>24090</v>
      </c>
      <c r="D8814" s="32" t="s">
        <v>24091</v>
      </c>
    </row>
    <row r="8815" spans="2:4" x14ac:dyDescent="0.3">
      <c r="B8815" s="33" t="s">
        <v>24092</v>
      </c>
      <c r="C8815" s="32" t="s">
        <v>24093</v>
      </c>
      <c r="D8815" s="32" t="s">
        <v>24094</v>
      </c>
    </row>
    <row r="8816" spans="2:4" x14ac:dyDescent="0.3">
      <c r="B8816" s="33" t="s">
        <v>24095</v>
      </c>
      <c r="C8816" s="32" t="s">
        <v>24096</v>
      </c>
      <c r="D8816" s="32" t="s">
        <v>24097</v>
      </c>
    </row>
    <row r="8817" spans="2:4" x14ac:dyDescent="0.3">
      <c r="B8817" s="33" t="s">
        <v>24098</v>
      </c>
      <c r="C8817" s="32" t="s">
        <v>24099</v>
      </c>
      <c r="D8817" s="32" t="s">
        <v>24100</v>
      </c>
    </row>
    <row r="8818" spans="2:4" x14ac:dyDescent="0.3">
      <c r="B8818" s="33" t="s">
        <v>24101</v>
      </c>
      <c r="C8818" s="32" t="s">
        <v>24102</v>
      </c>
      <c r="D8818" s="32" t="s">
        <v>24103</v>
      </c>
    </row>
    <row r="8819" spans="2:4" x14ac:dyDescent="0.3">
      <c r="B8819" s="33" t="s">
        <v>24104</v>
      </c>
      <c r="C8819" s="32" t="s">
        <v>24105</v>
      </c>
      <c r="D8819" s="32" t="s">
        <v>24106</v>
      </c>
    </row>
    <row r="8820" spans="2:4" x14ac:dyDescent="0.3">
      <c r="B8820" s="33" t="s">
        <v>24104</v>
      </c>
      <c r="C8820" s="32" t="s">
        <v>24107</v>
      </c>
      <c r="D8820" s="32" t="s">
        <v>24108</v>
      </c>
    </row>
    <row r="8821" spans="2:4" x14ac:dyDescent="0.3">
      <c r="B8821" s="33" t="s">
        <v>24109</v>
      </c>
      <c r="C8821" s="32" t="s">
        <v>24110</v>
      </c>
      <c r="D8821" s="32" t="s">
        <v>24111</v>
      </c>
    </row>
    <row r="8822" spans="2:4" x14ac:dyDescent="0.3">
      <c r="B8822" s="33" t="s">
        <v>24112</v>
      </c>
      <c r="C8822" s="32" t="s">
        <v>24113</v>
      </c>
      <c r="D8822" s="32" t="s">
        <v>24114</v>
      </c>
    </row>
    <row r="8823" spans="2:4" x14ac:dyDescent="0.3">
      <c r="B8823" s="33" t="s">
        <v>24115</v>
      </c>
      <c r="C8823" s="32" t="s">
        <v>24116</v>
      </c>
      <c r="D8823" s="32" t="s">
        <v>24117</v>
      </c>
    </row>
    <row r="8824" spans="2:4" x14ac:dyDescent="0.3">
      <c r="B8824" s="33" t="s">
        <v>24118</v>
      </c>
      <c r="C8824" s="32" t="s">
        <v>24119</v>
      </c>
      <c r="D8824" s="32" t="s">
        <v>24120</v>
      </c>
    </row>
    <row r="8825" spans="2:4" x14ac:dyDescent="0.3">
      <c r="B8825" s="33" t="s">
        <v>24121</v>
      </c>
      <c r="C8825" s="32" t="s">
        <v>24122</v>
      </c>
      <c r="D8825" s="32" t="s">
        <v>24123</v>
      </c>
    </row>
    <row r="8826" spans="2:4" x14ac:dyDescent="0.3">
      <c r="B8826" s="33" t="s">
        <v>24124</v>
      </c>
      <c r="C8826" s="32" t="s">
        <v>24125</v>
      </c>
      <c r="D8826" s="32" t="s">
        <v>24126</v>
      </c>
    </row>
    <row r="8827" spans="2:4" x14ac:dyDescent="0.3">
      <c r="B8827" s="33" t="s">
        <v>24127</v>
      </c>
      <c r="C8827" s="32" t="s">
        <v>24128</v>
      </c>
      <c r="D8827" s="32" t="s">
        <v>37299</v>
      </c>
    </row>
    <row r="8828" spans="2:4" x14ac:dyDescent="0.3">
      <c r="B8828" s="33" t="s">
        <v>24129</v>
      </c>
      <c r="C8828" s="32" t="s">
        <v>24130</v>
      </c>
      <c r="D8828" s="32" t="s">
        <v>24131</v>
      </c>
    </row>
    <row r="8829" spans="2:4" x14ac:dyDescent="0.3">
      <c r="B8829" s="33" t="s">
        <v>24132</v>
      </c>
      <c r="C8829" s="32" t="s">
        <v>24133</v>
      </c>
      <c r="D8829" s="32" t="s">
        <v>24134</v>
      </c>
    </row>
    <row r="8830" spans="2:4" x14ac:dyDescent="0.3">
      <c r="B8830" s="33" t="s">
        <v>6127</v>
      </c>
      <c r="C8830" s="32" t="s">
        <v>24135</v>
      </c>
      <c r="D8830" s="32" t="s">
        <v>24136</v>
      </c>
    </row>
    <row r="8831" spans="2:4" x14ac:dyDescent="0.3">
      <c r="B8831" s="33" t="s">
        <v>24137</v>
      </c>
      <c r="C8831" s="32" t="s">
        <v>24138</v>
      </c>
      <c r="D8831" s="32" t="s">
        <v>24139</v>
      </c>
    </row>
    <row r="8832" spans="2:4" x14ac:dyDescent="0.3">
      <c r="B8832" s="33" t="s">
        <v>24140</v>
      </c>
      <c r="C8832" s="32" t="s">
        <v>24141</v>
      </c>
      <c r="D8832" s="32" t="s">
        <v>24142</v>
      </c>
    </row>
    <row r="8833" spans="2:4" x14ac:dyDescent="0.3">
      <c r="B8833" s="33" t="s">
        <v>24143</v>
      </c>
      <c r="C8833" s="32" t="s">
        <v>24144</v>
      </c>
      <c r="D8833" s="32" t="s">
        <v>24145</v>
      </c>
    </row>
    <row r="8834" spans="2:4" x14ac:dyDescent="0.3">
      <c r="B8834" s="33" t="s">
        <v>24146</v>
      </c>
      <c r="C8834" s="32" t="s">
        <v>24147</v>
      </c>
      <c r="D8834" s="32" t="s">
        <v>24148</v>
      </c>
    </row>
    <row r="8835" spans="2:4" x14ac:dyDescent="0.3">
      <c r="B8835" s="33" t="s">
        <v>6303</v>
      </c>
      <c r="C8835" s="32" t="s">
        <v>24149</v>
      </c>
      <c r="D8835" s="32" t="s">
        <v>24150</v>
      </c>
    </row>
    <row r="8836" spans="2:4" x14ac:dyDescent="0.3">
      <c r="B8836" s="33" t="s">
        <v>6303</v>
      </c>
      <c r="C8836" s="32" t="s">
        <v>24151</v>
      </c>
      <c r="D8836" s="32" t="s">
        <v>24152</v>
      </c>
    </row>
    <row r="8837" spans="2:4" x14ac:dyDescent="0.3">
      <c r="B8837" s="33" t="s">
        <v>24153</v>
      </c>
      <c r="C8837" s="32" t="s">
        <v>24154</v>
      </c>
      <c r="D8837" s="32" t="s">
        <v>24155</v>
      </c>
    </row>
    <row r="8838" spans="2:4" x14ac:dyDescent="0.3">
      <c r="B8838" s="33" t="s">
        <v>24156</v>
      </c>
      <c r="C8838" s="32" t="s">
        <v>24157</v>
      </c>
      <c r="D8838" s="32" t="s">
        <v>24158</v>
      </c>
    </row>
    <row r="8839" spans="2:4" x14ac:dyDescent="0.3">
      <c r="B8839" s="33" t="s">
        <v>15265</v>
      </c>
      <c r="C8839" s="32" t="s">
        <v>24159</v>
      </c>
      <c r="D8839" s="32" t="s">
        <v>24160</v>
      </c>
    </row>
    <row r="8840" spans="2:4" x14ac:dyDescent="0.3">
      <c r="B8840" s="33" t="s">
        <v>15265</v>
      </c>
      <c r="C8840" s="32" t="s">
        <v>24161</v>
      </c>
      <c r="D8840" s="32" t="s">
        <v>24162</v>
      </c>
    </row>
    <row r="8841" spans="2:4" x14ac:dyDescent="0.3">
      <c r="B8841" s="33" t="s">
        <v>24163</v>
      </c>
      <c r="C8841" s="32" t="s">
        <v>24164</v>
      </c>
      <c r="D8841" s="32" t="s">
        <v>24165</v>
      </c>
    </row>
    <row r="8842" spans="2:4" x14ac:dyDescent="0.3">
      <c r="B8842" s="33" t="s">
        <v>24166</v>
      </c>
      <c r="C8842" s="32" t="s">
        <v>24167</v>
      </c>
      <c r="D8842" s="32" t="s">
        <v>24168</v>
      </c>
    </row>
    <row r="8843" spans="2:4" x14ac:dyDescent="0.3">
      <c r="B8843" s="33" t="s">
        <v>24169</v>
      </c>
      <c r="C8843" s="32" t="s">
        <v>24170</v>
      </c>
      <c r="D8843" s="32" t="s">
        <v>24171</v>
      </c>
    </row>
    <row r="8844" spans="2:4" x14ac:dyDescent="0.3">
      <c r="B8844" s="33" t="s">
        <v>15265</v>
      </c>
      <c r="C8844" s="32" t="s">
        <v>24172</v>
      </c>
      <c r="D8844" s="32" t="s">
        <v>24173</v>
      </c>
    </row>
    <row r="8845" spans="2:4" x14ac:dyDescent="0.3">
      <c r="B8845" s="33" t="s">
        <v>24174</v>
      </c>
      <c r="C8845" s="32" t="s">
        <v>24175</v>
      </c>
      <c r="D8845" s="32" t="s">
        <v>24176</v>
      </c>
    </row>
    <row r="8846" spans="2:4" x14ac:dyDescent="0.3">
      <c r="B8846" s="33" t="s">
        <v>37039</v>
      </c>
      <c r="C8846" s="32" t="s">
        <v>37040</v>
      </c>
      <c r="D8846" s="32" t="s">
        <v>37041</v>
      </c>
    </row>
    <row r="8847" spans="2:4" x14ac:dyDescent="0.3">
      <c r="B8847" s="33" t="s">
        <v>24177</v>
      </c>
      <c r="C8847" s="32" t="s">
        <v>24178</v>
      </c>
      <c r="D8847" s="32" t="s">
        <v>24179</v>
      </c>
    </row>
    <row r="8848" spans="2:4" x14ac:dyDescent="0.3">
      <c r="B8848" s="33" t="s">
        <v>24180</v>
      </c>
      <c r="C8848" s="32" t="s">
        <v>24181</v>
      </c>
      <c r="D8848" s="32" t="s">
        <v>24182</v>
      </c>
    </row>
    <row r="8849" spans="2:4" x14ac:dyDescent="0.3">
      <c r="B8849" s="33" t="s">
        <v>24183</v>
      </c>
      <c r="C8849" s="32" t="s">
        <v>24184</v>
      </c>
      <c r="D8849" s="32" t="s">
        <v>24185</v>
      </c>
    </row>
    <row r="8850" spans="2:4" x14ac:dyDescent="0.3">
      <c r="B8850" s="33" t="s">
        <v>24186</v>
      </c>
      <c r="C8850" s="32" t="s">
        <v>24187</v>
      </c>
      <c r="D8850" s="32" t="s">
        <v>24188</v>
      </c>
    </row>
    <row r="8851" spans="2:4" x14ac:dyDescent="0.3">
      <c r="B8851" s="33" t="s">
        <v>24189</v>
      </c>
      <c r="C8851" s="32" t="s">
        <v>24190</v>
      </c>
      <c r="D8851" s="32" t="s">
        <v>24191</v>
      </c>
    </row>
    <row r="8852" spans="2:4" x14ac:dyDescent="0.3">
      <c r="B8852" s="33" t="s">
        <v>24192</v>
      </c>
      <c r="C8852" s="32" t="s">
        <v>24193</v>
      </c>
      <c r="D8852" s="32" t="s">
        <v>24194</v>
      </c>
    </row>
    <row r="8853" spans="2:4" x14ac:dyDescent="0.3">
      <c r="B8853" s="33" t="s">
        <v>24195</v>
      </c>
      <c r="C8853" s="32" t="s">
        <v>24196</v>
      </c>
      <c r="D8853" s="32" t="s">
        <v>24197</v>
      </c>
    </row>
    <row r="8854" spans="2:4" x14ac:dyDescent="0.3">
      <c r="B8854" s="33" t="s">
        <v>24198</v>
      </c>
      <c r="C8854" s="32" t="s">
        <v>24199</v>
      </c>
      <c r="D8854" s="32" t="s">
        <v>24200</v>
      </c>
    </row>
    <row r="8855" spans="2:4" x14ac:dyDescent="0.3">
      <c r="B8855" s="33" t="s">
        <v>24201</v>
      </c>
      <c r="C8855" s="32" t="s">
        <v>24202</v>
      </c>
      <c r="D8855" s="32" t="s">
        <v>24203</v>
      </c>
    </row>
    <row r="8856" spans="2:4" x14ac:dyDescent="0.3">
      <c r="B8856" s="33" t="s">
        <v>24204</v>
      </c>
      <c r="C8856" s="32" t="s">
        <v>24205</v>
      </c>
      <c r="D8856" s="32" t="s">
        <v>24206</v>
      </c>
    </row>
    <row r="8857" spans="2:4" x14ac:dyDescent="0.3">
      <c r="B8857" s="33" t="s">
        <v>24207</v>
      </c>
      <c r="C8857" s="32" t="s">
        <v>24208</v>
      </c>
      <c r="D8857" s="32" t="s">
        <v>24209</v>
      </c>
    </row>
    <row r="8858" spans="2:4" x14ac:dyDescent="0.3">
      <c r="B8858" s="33" t="s">
        <v>24207</v>
      </c>
      <c r="C8858" s="32" t="s">
        <v>24210</v>
      </c>
      <c r="D8858" s="32" t="s">
        <v>24211</v>
      </c>
    </row>
    <row r="8859" spans="2:4" x14ac:dyDescent="0.3">
      <c r="B8859" s="33" t="s">
        <v>24212</v>
      </c>
      <c r="C8859" s="32" t="s">
        <v>24213</v>
      </c>
      <c r="D8859" s="32" t="s">
        <v>24214</v>
      </c>
    </row>
    <row r="8860" spans="2:4" x14ac:dyDescent="0.3">
      <c r="B8860" s="33" t="s">
        <v>24215</v>
      </c>
      <c r="C8860" s="32" t="s">
        <v>24216</v>
      </c>
      <c r="D8860" s="32" t="s">
        <v>24217</v>
      </c>
    </row>
    <row r="8861" spans="2:4" x14ac:dyDescent="0.3">
      <c r="B8861" s="33" t="s">
        <v>24218</v>
      </c>
      <c r="C8861" s="32" t="s">
        <v>24219</v>
      </c>
      <c r="D8861" s="32" t="s">
        <v>24220</v>
      </c>
    </row>
    <row r="8862" spans="2:4" x14ac:dyDescent="0.3">
      <c r="B8862" s="33" t="s">
        <v>10636</v>
      </c>
      <c r="C8862" s="32" t="s">
        <v>24221</v>
      </c>
      <c r="D8862" s="32" t="s">
        <v>24222</v>
      </c>
    </row>
    <row r="8863" spans="2:4" x14ac:dyDescent="0.3">
      <c r="B8863" s="33" t="s">
        <v>24223</v>
      </c>
      <c r="C8863" s="32" t="s">
        <v>24224</v>
      </c>
      <c r="D8863" s="32" t="s">
        <v>24225</v>
      </c>
    </row>
    <row r="8864" spans="2:4" x14ac:dyDescent="0.3">
      <c r="B8864" s="33" t="s">
        <v>24226</v>
      </c>
      <c r="C8864" s="32" t="s">
        <v>24227</v>
      </c>
      <c r="D8864" s="32" t="s">
        <v>24228</v>
      </c>
    </row>
    <row r="8865" spans="2:4" x14ac:dyDescent="0.3">
      <c r="B8865" s="33" t="s">
        <v>24229</v>
      </c>
      <c r="C8865" s="32" t="s">
        <v>24230</v>
      </c>
      <c r="D8865" s="32" t="s">
        <v>24231</v>
      </c>
    </row>
    <row r="8866" spans="2:4" x14ac:dyDescent="0.3">
      <c r="B8866" s="33" t="s">
        <v>24232</v>
      </c>
      <c r="C8866" s="32" t="s">
        <v>24233</v>
      </c>
      <c r="D8866" s="32" t="s">
        <v>24234</v>
      </c>
    </row>
    <row r="8867" spans="2:4" x14ac:dyDescent="0.3">
      <c r="B8867" s="33" t="s">
        <v>18736</v>
      </c>
      <c r="C8867" s="32" t="s">
        <v>24235</v>
      </c>
      <c r="D8867" s="32" t="s">
        <v>24236</v>
      </c>
    </row>
    <row r="8868" spans="2:4" x14ac:dyDescent="0.3">
      <c r="B8868" s="33" t="s">
        <v>24237</v>
      </c>
      <c r="C8868" s="32" t="s">
        <v>24238</v>
      </c>
      <c r="D8868" s="32" t="s">
        <v>24239</v>
      </c>
    </row>
    <row r="8869" spans="2:4" x14ac:dyDescent="0.3">
      <c r="B8869" s="33" t="s">
        <v>24240</v>
      </c>
      <c r="C8869" s="32" t="s">
        <v>24241</v>
      </c>
      <c r="D8869" s="32" t="s">
        <v>24242</v>
      </c>
    </row>
    <row r="8870" spans="2:4" x14ac:dyDescent="0.3">
      <c r="B8870" s="33" t="s">
        <v>24243</v>
      </c>
      <c r="C8870" s="32" t="s">
        <v>24244</v>
      </c>
      <c r="D8870" s="32" t="s">
        <v>24245</v>
      </c>
    </row>
    <row r="8871" spans="2:4" x14ac:dyDescent="0.3">
      <c r="B8871" s="33" t="s">
        <v>24246</v>
      </c>
      <c r="C8871" s="32" t="s">
        <v>24247</v>
      </c>
      <c r="D8871" s="32" t="s">
        <v>24248</v>
      </c>
    </row>
    <row r="8872" spans="2:4" x14ac:dyDescent="0.3">
      <c r="B8872" s="33" t="s">
        <v>24229</v>
      </c>
      <c r="C8872" s="32" t="s">
        <v>24249</v>
      </c>
      <c r="D8872" s="32" t="s">
        <v>24250</v>
      </c>
    </row>
    <row r="8873" spans="2:4" x14ac:dyDescent="0.3">
      <c r="B8873" s="33" t="s">
        <v>24251</v>
      </c>
      <c r="C8873" s="32" t="s">
        <v>24252</v>
      </c>
      <c r="D8873" s="32" t="s">
        <v>24253</v>
      </c>
    </row>
    <row r="8874" spans="2:4" x14ac:dyDescent="0.3">
      <c r="B8874" s="33" t="s">
        <v>10948</v>
      </c>
      <c r="C8874" s="32" t="s">
        <v>24254</v>
      </c>
      <c r="D8874" s="32" t="s">
        <v>24255</v>
      </c>
    </row>
    <row r="8875" spans="2:4" x14ac:dyDescent="0.3">
      <c r="B8875" s="33" t="s">
        <v>24256</v>
      </c>
      <c r="C8875" s="32" t="s">
        <v>24257</v>
      </c>
      <c r="D8875" s="32" t="s">
        <v>24258</v>
      </c>
    </row>
    <row r="8876" spans="2:4" x14ac:dyDescent="0.3">
      <c r="B8876" s="33" t="s">
        <v>24259</v>
      </c>
      <c r="C8876" s="32" t="s">
        <v>24260</v>
      </c>
      <c r="D8876" s="32" t="s">
        <v>24261</v>
      </c>
    </row>
    <row r="8877" spans="2:4" x14ac:dyDescent="0.3">
      <c r="B8877" s="33" t="s">
        <v>24262</v>
      </c>
      <c r="C8877" s="32" t="s">
        <v>24263</v>
      </c>
      <c r="D8877" s="32" t="s">
        <v>24264</v>
      </c>
    </row>
    <row r="8878" spans="2:4" x14ac:dyDescent="0.3">
      <c r="B8878" s="33" t="s">
        <v>24265</v>
      </c>
      <c r="C8878" s="32" t="s">
        <v>24266</v>
      </c>
      <c r="D8878" s="32" t="s">
        <v>24267</v>
      </c>
    </row>
    <row r="8879" spans="2:4" x14ac:dyDescent="0.3">
      <c r="B8879" s="33" t="s">
        <v>24268</v>
      </c>
      <c r="C8879" s="32" t="s">
        <v>24269</v>
      </c>
      <c r="D8879" s="32" t="s">
        <v>24270</v>
      </c>
    </row>
    <row r="8880" spans="2:4" x14ac:dyDescent="0.3">
      <c r="B8880" s="33" t="s">
        <v>24229</v>
      </c>
      <c r="C8880" s="32" t="s">
        <v>24271</v>
      </c>
      <c r="D8880" s="32" t="s">
        <v>24272</v>
      </c>
    </row>
    <row r="8881" spans="2:4" x14ac:dyDescent="0.3">
      <c r="B8881" s="33" t="s">
        <v>24229</v>
      </c>
      <c r="C8881" s="32" t="s">
        <v>24273</v>
      </c>
      <c r="D8881" s="32" t="s">
        <v>24274</v>
      </c>
    </row>
    <row r="8882" spans="2:4" x14ac:dyDescent="0.3">
      <c r="B8882" s="33" t="s">
        <v>24275</v>
      </c>
      <c r="C8882" s="32" t="s">
        <v>24276</v>
      </c>
      <c r="D8882" s="32" t="s">
        <v>24277</v>
      </c>
    </row>
    <row r="8883" spans="2:4" x14ac:dyDescent="0.3">
      <c r="B8883" s="33" t="s">
        <v>24278</v>
      </c>
      <c r="C8883" s="32" t="s">
        <v>24279</v>
      </c>
      <c r="D8883" s="32" t="s">
        <v>24280</v>
      </c>
    </row>
    <row r="8884" spans="2:4" x14ac:dyDescent="0.3">
      <c r="B8884" s="33" t="s">
        <v>24281</v>
      </c>
      <c r="C8884" s="32" t="s">
        <v>24282</v>
      </c>
      <c r="D8884" s="32" t="s">
        <v>24283</v>
      </c>
    </row>
    <row r="8885" spans="2:4" x14ac:dyDescent="0.3">
      <c r="B8885" s="33" t="s">
        <v>24284</v>
      </c>
      <c r="C8885" s="32" t="s">
        <v>24285</v>
      </c>
      <c r="D8885" s="32" t="s">
        <v>24286</v>
      </c>
    </row>
    <row r="8886" spans="2:4" x14ac:dyDescent="0.3">
      <c r="B8886" s="33" t="s">
        <v>14115</v>
      </c>
      <c r="C8886" s="32" t="s">
        <v>24287</v>
      </c>
      <c r="D8886" s="32" t="s">
        <v>24288</v>
      </c>
    </row>
    <row r="8887" spans="2:4" x14ac:dyDescent="0.3">
      <c r="B8887" s="33" t="s">
        <v>24289</v>
      </c>
      <c r="C8887" s="32" t="s">
        <v>24290</v>
      </c>
      <c r="D8887" s="32" t="s">
        <v>24291</v>
      </c>
    </row>
    <row r="8888" spans="2:4" x14ac:dyDescent="0.3">
      <c r="B8888" s="33" t="s">
        <v>14665</v>
      </c>
      <c r="C8888" s="32" t="s">
        <v>24292</v>
      </c>
      <c r="D8888" s="32" t="s">
        <v>24293</v>
      </c>
    </row>
    <row r="8889" spans="2:4" x14ac:dyDescent="0.3">
      <c r="B8889" s="33" t="s">
        <v>24294</v>
      </c>
      <c r="C8889" s="32" t="s">
        <v>24295</v>
      </c>
      <c r="D8889" s="32" t="s">
        <v>24294</v>
      </c>
    </row>
    <row r="8890" spans="2:4" x14ac:dyDescent="0.3">
      <c r="B8890" s="33" t="s">
        <v>24296</v>
      </c>
      <c r="C8890" s="32" t="s">
        <v>24297</v>
      </c>
      <c r="D8890" s="32" t="s">
        <v>24298</v>
      </c>
    </row>
    <row r="8891" spans="2:4" x14ac:dyDescent="0.3">
      <c r="B8891" s="33" t="s">
        <v>24299</v>
      </c>
      <c r="C8891" s="32" t="s">
        <v>24300</v>
      </c>
      <c r="D8891" s="32" t="s">
        <v>24301</v>
      </c>
    </row>
    <row r="8892" spans="2:4" x14ac:dyDescent="0.3">
      <c r="B8892" s="33" t="s">
        <v>24302</v>
      </c>
      <c r="C8892" s="32" t="s">
        <v>24303</v>
      </c>
      <c r="D8892" s="32" t="s">
        <v>24304</v>
      </c>
    </row>
    <row r="8893" spans="2:4" x14ac:dyDescent="0.3">
      <c r="B8893" s="33" t="s">
        <v>24305</v>
      </c>
      <c r="C8893" s="32" t="s">
        <v>24306</v>
      </c>
      <c r="D8893" s="32" t="s">
        <v>24307</v>
      </c>
    </row>
    <row r="8894" spans="2:4" x14ac:dyDescent="0.3">
      <c r="B8894" s="33" t="s">
        <v>24308</v>
      </c>
      <c r="C8894" s="32" t="s">
        <v>24309</v>
      </c>
      <c r="D8894" s="32" t="s">
        <v>24310</v>
      </c>
    </row>
    <row r="8895" spans="2:4" x14ac:dyDescent="0.3">
      <c r="B8895" s="33" t="s">
        <v>24311</v>
      </c>
      <c r="C8895" s="32" t="s">
        <v>24312</v>
      </c>
      <c r="D8895" s="32" t="s">
        <v>24313</v>
      </c>
    </row>
    <row r="8896" spans="2:4" x14ac:dyDescent="0.3">
      <c r="B8896" s="33" t="s">
        <v>20514</v>
      </c>
      <c r="C8896" s="32" t="s">
        <v>24314</v>
      </c>
      <c r="D8896" s="32" t="s">
        <v>24315</v>
      </c>
    </row>
    <row r="8897" spans="2:4" x14ac:dyDescent="0.3">
      <c r="B8897" s="33" t="s">
        <v>24232</v>
      </c>
      <c r="C8897" s="32" t="s">
        <v>24316</v>
      </c>
      <c r="D8897" s="32" t="s">
        <v>24317</v>
      </c>
    </row>
    <row r="8898" spans="2:4" x14ac:dyDescent="0.3">
      <c r="B8898" s="33" t="s">
        <v>24318</v>
      </c>
      <c r="C8898" s="32" t="s">
        <v>24319</v>
      </c>
      <c r="D8898" s="32" t="s">
        <v>24320</v>
      </c>
    </row>
    <row r="8899" spans="2:4" x14ac:dyDescent="0.3">
      <c r="B8899" s="33" t="s">
        <v>24321</v>
      </c>
      <c r="C8899" s="32" t="s">
        <v>24322</v>
      </c>
      <c r="D8899" s="32" t="s">
        <v>24323</v>
      </c>
    </row>
    <row r="8900" spans="2:4" x14ac:dyDescent="0.3">
      <c r="B8900" s="33" t="s">
        <v>24324</v>
      </c>
      <c r="C8900" s="32" t="s">
        <v>24325</v>
      </c>
      <c r="D8900" s="32" t="s">
        <v>24326</v>
      </c>
    </row>
    <row r="8901" spans="2:4" x14ac:dyDescent="0.3">
      <c r="B8901" s="33" t="s">
        <v>24327</v>
      </c>
      <c r="C8901" s="32" t="s">
        <v>24328</v>
      </c>
      <c r="D8901" s="32" t="s">
        <v>24329</v>
      </c>
    </row>
    <row r="8902" spans="2:4" x14ac:dyDescent="0.3">
      <c r="B8902" s="33" t="s">
        <v>24324</v>
      </c>
      <c r="C8902" s="32" t="s">
        <v>24330</v>
      </c>
      <c r="D8902" s="32" t="s">
        <v>24331</v>
      </c>
    </row>
    <row r="8903" spans="2:4" x14ac:dyDescent="0.3">
      <c r="B8903" s="33" t="s">
        <v>20676</v>
      </c>
      <c r="C8903" s="32" t="s">
        <v>24332</v>
      </c>
      <c r="D8903" s="32" t="s">
        <v>24333</v>
      </c>
    </row>
    <row r="8904" spans="2:4" x14ac:dyDescent="0.3">
      <c r="B8904" s="33" t="s">
        <v>24334</v>
      </c>
      <c r="C8904" s="32" t="s">
        <v>24335</v>
      </c>
      <c r="D8904" s="32" t="s">
        <v>24336</v>
      </c>
    </row>
    <row r="8905" spans="2:4" x14ac:dyDescent="0.3">
      <c r="B8905" s="33" t="s">
        <v>24337</v>
      </c>
      <c r="C8905" s="32" t="s">
        <v>24338</v>
      </c>
      <c r="D8905" s="32" t="s">
        <v>24339</v>
      </c>
    </row>
    <row r="8906" spans="2:4" x14ac:dyDescent="0.3">
      <c r="B8906" s="33" t="s">
        <v>24340</v>
      </c>
      <c r="C8906" s="32" t="s">
        <v>24341</v>
      </c>
      <c r="D8906" s="32" t="s">
        <v>24342</v>
      </c>
    </row>
    <row r="8907" spans="2:4" x14ac:dyDescent="0.3">
      <c r="B8907" s="33" t="s">
        <v>24343</v>
      </c>
      <c r="C8907" s="32" t="s">
        <v>24344</v>
      </c>
      <c r="D8907" s="32" t="s">
        <v>24345</v>
      </c>
    </row>
    <row r="8908" spans="2:4" x14ac:dyDescent="0.3">
      <c r="B8908" s="33" t="s">
        <v>24346</v>
      </c>
      <c r="C8908" s="32" t="s">
        <v>24347</v>
      </c>
      <c r="D8908" s="32" t="s">
        <v>24348</v>
      </c>
    </row>
    <row r="8909" spans="2:4" x14ac:dyDescent="0.3">
      <c r="B8909" s="33" t="s">
        <v>37042</v>
      </c>
      <c r="C8909" s="32" t="s">
        <v>37043</v>
      </c>
      <c r="D8909" s="32" t="s">
        <v>37044</v>
      </c>
    </row>
    <row r="8910" spans="2:4" x14ac:dyDescent="0.3">
      <c r="B8910" s="33" t="s">
        <v>22705</v>
      </c>
      <c r="C8910" s="32" t="s">
        <v>24349</v>
      </c>
      <c r="D8910" s="32" t="s">
        <v>24350</v>
      </c>
    </row>
    <row r="8911" spans="2:4" x14ac:dyDescent="0.3">
      <c r="B8911" s="33" t="s">
        <v>24351</v>
      </c>
      <c r="C8911" s="32" t="s">
        <v>24352</v>
      </c>
      <c r="D8911" s="32" t="s">
        <v>24353</v>
      </c>
    </row>
    <row r="8912" spans="2:4" x14ac:dyDescent="0.3">
      <c r="B8912" s="33" t="s">
        <v>5291</v>
      </c>
      <c r="C8912" s="32" t="s">
        <v>24354</v>
      </c>
      <c r="D8912" s="32" t="s">
        <v>24355</v>
      </c>
    </row>
    <row r="8913" spans="2:4" x14ac:dyDescent="0.3">
      <c r="B8913" s="33" t="s">
        <v>24356</v>
      </c>
      <c r="C8913" s="32" t="s">
        <v>24357</v>
      </c>
      <c r="D8913" s="32" t="s">
        <v>24358</v>
      </c>
    </row>
    <row r="8914" spans="2:4" x14ac:dyDescent="0.3">
      <c r="B8914" s="33" t="s">
        <v>24359</v>
      </c>
      <c r="C8914" s="32" t="s">
        <v>24360</v>
      </c>
      <c r="D8914" s="32" t="s">
        <v>24361</v>
      </c>
    </row>
    <row r="8915" spans="2:4" x14ac:dyDescent="0.3">
      <c r="B8915" s="33" t="s">
        <v>24362</v>
      </c>
      <c r="C8915" s="32" t="s">
        <v>24363</v>
      </c>
      <c r="D8915" s="32" t="s">
        <v>24364</v>
      </c>
    </row>
    <row r="8916" spans="2:4" x14ac:dyDescent="0.3">
      <c r="B8916" s="33" t="s">
        <v>24365</v>
      </c>
      <c r="C8916" s="32" t="s">
        <v>24366</v>
      </c>
      <c r="D8916" s="32" t="s">
        <v>24365</v>
      </c>
    </row>
    <row r="8917" spans="2:4" x14ac:dyDescent="0.3">
      <c r="B8917" s="33" t="s">
        <v>24367</v>
      </c>
      <c r="C8917" s="32" t="s">
        <v>24368</v>
      </c>
      <c r="D8917" s="32" t="s">
        <v>24369</v>
      </c>
    </row>
    <row r="8918" spans="2:4" x14ac:dyDescent="0.3">
      <c r="B8918" s="33" t="s">
        <v>24367</v>
      </c>
      <c r="C8918" s="32" t="s">
        <v>24370</v>
      </c>
      <c r="D8918" s="32" t="s">
        <v>24371</v>
      </c>
    </row>
    <row r="8919" spans="2:4" x14ac:dyDescent="0.3">
      <c r="B8919" s="33" t="s">
        <v>24372</v>
      </c>
      <c r="C8919" s="32" t="s">
        <v>24373</v>
      </c>
      <c r="D8919" s="32" t="s">
        <v>24374</v>
      </c>
    </row>
    <row r="8920" spans="2:4" x14ac:dyDescent="0.3">
      <c r="B8920" s="33" t="s">
        <v>24375</v>
      </c>
      <c r="C8920" s="32" t="s">
        <v>24376</v>
      </c>
      <c r="D8920" s="32" t="s">
        <v>24377</v>
      </c>
    </row>
    <row r="8921" spans="2:4" x14ac:dyDescent="0.3">
      <c r="B8921" s="33" t="s">
        <v>24378</v>
      </c>
      <c r="C8921" s="32" t="s">
        <v>24379</v>
      </c>
      <c r="D8921" s="32" t="s">
        <v>24380</v>
      </c>
    </row>
    <row r="8922" spans="2:4" x14ac:dyDescent="0.3">
      <c r="B8922" s="33" t="s">
        <v>24381</v>
      </c>
      <c r="C8922" s="32" t="s">
        <v>24382</v>
      </c>
      <c r="D8922" s="32" t="s">
        <v>24383</v>
      </c>
    </row>
    <row r="8923" spans="2:4" x14ac:dyDescent="0.3">
      <c r="B8923" s="33" t="s">
        <v>24384</v>
      </c>
      <c r="C8923" s="32" t="s">
        <v>24385</v>
      </c>
      <c r="D8923" s="32" t="s">
        <v>24386</v>
      </c>
    </row>
    <row r="8924" spans="2:4" x14ac:dyDescent="0.3">
      <c r="B8924" s="33" t="s">
        <v>24387</v>
      </c>
      <c r="C8924" s="32" t="s">
        <v>24388</v>
      </c>
      <c r="D8924" s="32" t="s">
        <v>24389</v>
      </c>
    </row>
    <row r="8925" spans="2:4" x14ac:dyDescent="0.3">
      <c r="B8925" s="33" t="s">
        <v>24390</v>
      </c>
      <c r="C8925" s="32" t="s">
        <v>24391</v>
      </c>
      <c r="D8925" s="32" t="s">
        <v>24392</v>
      </c>
    </row>
    <row r="8926" spans="2:4" x14ac:dyDescent="0.3">
      <c r="B8926" s="33" t="s">
        <v>24393</v>
      </c>
      <c r="C8926" s="32" t="s">
        <v>24394</v>
      </c>
      <c r="D8926" s="32" t="s">
        <v>24395</v>
      </c>
    </row>
    <row r="8927" spans="2:4" x14ac:dyDescent="0.3">
      <c r="B8927" s="33" t="s">
        <v>24396</v>
      </c>
      <c r="C8927" s="32" t="s">
        <v>24397</v>
      </c>
      <c r="D8927" s="32" t="s">
        <v>24398</v>
      </c>
    </row>
    <row r="8928" spans="2:4" x14ac:dyDescent="0.3">
      <c r="B8928" s="33" t="s">
        <v>24399</v>
      </c>
      <c r="C8928" s="32" t="s">
        <v>24400</v>
      </c>
      <c r="D8928" s="32" t="s">
        <v>24401</v>
      </c>
    </row>
    <row r="8929" spans="2:4" x14ac:dyDescent="0.3">
      <c r="B8929" s="33" t="s">
        <v>24384</v>
      </c>
      <c r="C8929" s="32" t="s">
        <v>24402</v>
      </c>
      <c r="D8929" s="32" t="s">
        <v>24403</v>
      </c>
    </row>
    <row r="8930" spans="2:4" x14ac:dyDescent="0.3">
      <c r="B8930" s="33" t="s">
        <v>24404</v>
      </c>
      <c r="C8930" s="32" t="s">
        <v>24405</v>
      </c>
      <c r="D8930" s="32" t="s">
        <v>24406</v>
      </c>
    </row>
    <row r="8931" spans="2:4" x14ac:dyDescent="0.3">
      <c r="B8931" s="33" t="s">
        <v>24404</v>
      </c>
      <c r="C8931" s="32" t="s">
        <v>24407</v>
      </c>
      <c r="D8931" s="32" t="s">
        <v>24408</v>
      </c>
    </row>
    <row r="8932" spans="2:4" x14ac:dyDescent="0.3">
      <c r="B8932" s="33" t="s">
        <v>24409</v>
      </c>
      <c r="C8932" s="32" t="s">
        <v>24410</v>
      </c>
      <c r="D8932" s="32" t="s">
        <v>24411</v>
      </c>
    </row>
    <row r="8933" spans="2:4" x14ac:dyDescent="0.3">
      <c r="B8933" s="33" t="s">
        <v>24412</v>
      </c>
      <c r="C8933" s="32" t="s">
        <v>24413</v>
      </c>
      <c r="D8933" s="32" t="s">
        <v>24414</v>
      </c>
    </row>
    <row r="8934" spans="2:4" x14ac:dyDescent="0.3">
      <c r="B8934" s="33" t="s">
        <v>24421</v>
      </c>
      <c r="C8934" s="32" t="s">
        <v>37300</v>
      </c>
      <c r="D8934" s="32" t="s">
        <v>37301</v>
      </c>
    </row>
    <row r="8935" spans="2:4" x14ac:dyDescent="0.3">
      <c r="B8935" s="33" t="s">
        <v>24415</v>
      </c>
      <c r="C8935" s="32" t="s">
        <v>24416</v>
      </c>
      <c r="D8935" s="32" t="s">
        <v>24417</v>
      </c>
    </row>
    <row r="8936" spans="2:4" x14ac:dyDescent="0.3">
      <c r="B8936" s="33" t="s">
        <v>24418</v>
      </c>
      <c r="C8936" s="32" t="s">
        <v>24419</v>
      </c>
      <c r="D8936" s="32" t="s">
        <v>24420</v>
      </c>
    </row>
    <row r="8937" spans="2:4" x14ac:dyDescent="0.3">
      <c r="B8937" s="33" t="s">
        <v>24421</v>
      </c>
      <c r="C8937" s="32" t="s">
        <v>24422</v>
      </c>
      <c r="D8937" s="32" t="s">
        <v>24423</v>
      </c>
    </row>
    <row r="8938" spans="2:4" x14ac:dyDescent="0.3">
      <c r="B8938" s="33" t="s">
        <v>24424</v>
      </c>
      <c r="C8938" s="32" t="s">
        <v>24425</v>
      </c>
      <c r="D8938" s="32" t="s">
        <v>24426</v>
      </c>
    </row>
    <row r="8939" spans="2:4" x14ac:dyDescent="0.3">
      <c r="B8939" s="33" t="s">
        <v>24427</v>
      </c>
      <c r="C8939" s="32" t="s">
        <v>24428</v>
      </c>
      <c r="D8939" s="32" t="s">
        <v>24429</v>
      </c>
    </row>
    <row r="8940" spans="2:4" x14ac:dyDescent="0.3">
      <c r="B8940" s="33" t="s">
        <v>24430</v>
      </c>
      <c r="C8940" s="32" t="s">
        <v>24431</v>
      </c>
      <c r="D8940" s="32" t="s">
        <v>24432</v>
      </c>
    </row>
    <row r="8941" spans="2:4" x14ac:dyDescent="0.3">
      <c r="B8941" s="33" t="s">
        <v>24433</v>
      </c>
      <c r="C8941" s="32" t="s">
        <v>24434</v>
      </c>
      <c r="D8941" s="32" t="s">
        <v>24435</v>
      </c>
    </row>
    <row r="8942" spans="2:4" x14ac:dyDescent="0.3">
      <c r="B8942" s="33" t="s">
        <v>7532</v>
      </c>
      <c r="C8942" s="32" t="s">
        <v>24436</v>
      </c>
      <c r="D8942" s="32" t="s">
        <v>37302</v>
      </c>
    </row>
    <row r="8943" spans="2:4" x14ac:dyDescent="0.3">
      <c r="B8943" s="33" t="s">
        <v>24437</v>
      </c>
      <c r="C8943" s="32" t="s">
        <v>24438</v>
      </c>
      <c r="D8943" s="32" t="s">
        <v>24439</v>
      </c>
    </row>
    <row r="8944" spans="2:4" x14ac:dyDescent="0.3">
      <c r="B8944" s="33" t="s">
        <v>24440</v>
      </c>
      <c r="C8944" s="32" t="s">
        <v>24441</v>
      </c>
      <c r="D8944" s="32" t="s">
        <v>24442</v>
      </c>
    </row>
    <row r="8945" spans="2:4" x14ac:dyDescent="0.3">
      <c r="B8945" s="33" t="s">
        <v>24443</v>
      </c>
      <c r="C8945" s="32" t="s">
        <v>24444</v>
      </c>
      <c r="D8945" s="32" t="s">
        <v>24445</v>
      </c>
    </row>
    <row r="8946" spans="2:4" x14ac:dyDescent="0.3">
      <c r="B8946" s="33" t="s">
        <v>24446</v>
      </c>
      <c r="C8946" s="32" t="s">
        <v>24447</v>
      </c>
      <c r="D8946" s="32" t="s">
        <v>24448</v>
      </c>
    </row>
    <row r="8947" spans="2:4" x14ac:dyDescent="0.3">
      <c r="B8947" s="33" t="s">
        <v>24449</v>
      </c>
      <c r="C8947" s="32" t="s">
        <v>24450</v>
      </c>
      <c r="D8947" s="32" t="s">
        <v>24451</v>
      </c>
    </row>
    <row r="8948" spans="2:4" x14ac:dyDescent="0.3">
      <c r="B8948" s="33" t="s">
        <v>24452</v>
      </c>
      <c r="C8948" s="32" t="s">
        <v>24453</v>
      </c>
      <c r="D8948" s="32" t="s">
        <v>24454</v>
      </c>
    </row>
    <row r="8949" spans="2:4" x14ac:dyDescent="0.3">
      <c r="B8949" s="33" t="s">
        <v>24455</v>
      </c>
      <c r="C8949" s="32" t="s">
        <v>24456</v>
      </c>
      <c r="D8949" s="32" t="s">
        <v>24457</v>
      </c>
    </row>
    <row r="8950" spans="2:4" x14ac:dyDescent="0.3">
      <c r="B8950" s="33" t="s">
        <v>24458</v>
      </c>
      <c r="C8950" s="32" t="s">
        <v>24459</v>
      </c>
      <c r="D8950" s="32" t="s">
        <v>36871</v>
      </c>
    </row>
    <row r="8951" spans="2:4" x14ac:dyDescent="0.3">
      <c r="B8951" s="33" t="s">
        <v>24460</v>
      </c>
      <c r="C8951" s="32" t="s">
        <v>24461</v>
      </c>
      <c r="D8951" s="32" t="s">
        <v>24462</v>
      </c>
    </row>
    <row r="8952" spans="2:4" x14ac:dyDescent="0.3">
      <c r="B8952" s="33" t="s">
        <v>24463</v>
      </c>
      <c r="C8952" s="32" t="s">
        <v>24464</v>
      </c>
      <c r="D8952" s="32" t="s">
        <v>24465</v>
      </c>
    </row>
    <row r="8953" spans="2:4" x14ac:dyDescent="0.3">
      <c r="B8953" s="33" t="s">
        <v>24334</v>
      </c>
      <c r="C8953" s="32" t="s">
        <v>24466</v>
      </c>
      <c r="D8953" s="32" t="s">
        <v>24467</v>
      </c>
    </row>
    <row r="8954" spans="2:4" x14ac:dyDescent="0.3">
      <c r="B8954" s="33" t="s">
        <v>24468</v>
      </c>
      <c r="C8954" s="32" t="s">
        <v>24469</v>
      </c>
      <c r="D8954" s="32" t="s">
        <v>24470</v>
      </c>
    </row>
    <row r="8955" spans="2:4" x14ac:dyDescent="0.3">
      <c r="B8955" s="33" t="s">
        <v>24471</v>
      </c>
      <c r="C8955" s="32" t="s">
        <v>24472</v>
      </c>
      <c r="D8955" s="32" t="s">
        <v>24473</v>
      </c>
    </row>
    <row r="8956" spans="2:4" x14ac:dyDescent="0.3">
      <c r="B8956" s="33" t="s">
        <v>24474</v>
      </c>
      <c r="C8956" s="32" t="s">
        <v>24475</v>
      </c>
      <c r="D8956" s="32" t="s">
        <v>24476</v>
      </c>
    </row>
    <row r="8957" spans="2:4" x14ac:dyDescent="0.3">
      <c r="B8957" s="33" t="s">
        <v>24477</v>
      </c>
      <c r="C8957" s="32" t="s">
        <v>24478</v>
      </c>
      <c r="D8957" s="32" t="s">
        <v>24479</v>
      </c>
    </row>
    <row r="8958" spans="2:4" x14ac:dyDescent="0.3">
      <c r="B8958" s="33" t="s">
        <v>24480</v>
      </c>
      <c r="C8958" s="32" t="s">
        <v>24481</v>
      </c>
      <c r="D8958" s="32" t="s">
        <v>24482</v>
      </c>
    </row>
    <row r="8959" spans="2:4" x14ac:dyDescent="0.3">
      <c r="B8959" s="33" t="s">
        <v>24483</v>
      </c>
      <c r="C8959" s="32" t="s">
        <v>24484</v>
      </c>
      <c r="D8959" s="32" t="s">
        <v>24485</v>
      </c>
    </row>
    <row r="8960" spans="2:4" x14ac:dyDescent="0.3">
      <c r="B8960" s="33" t="s">
        <v>24486</v>
      </c>
      <c r="C8960" s="32" t="s">
        <v>24487</v>
      </c>
      <c r="D8960" s="32" t="s">
        <v>24488</v>
      </c>
    </row>
    <row r="8961" spans="2:4" x14ac:dyDescent="0.3">
      <c r="B8961" s="33" t="s">
        <v>24489</v>
      </c>
      <c r="C8961" s="32" t="s">
        <v>24490</v>
      </c>
      <c r="D8961" s="32" t="s">
        <v>24491</v>
      </c>
    </row>
    <row r="8962" spans="2:4" x14ac:dyDescent="0.3">
      <c r="B8962" s="33" t="s">
        <v>24492</v>
      </c>
      <c r="C8962" s="32" t="s">
        <v>24493</v>
      </c>
      <c r="D8962" s="32" t="s">
        <v>24492</v>
      </c>
    </row>
    <row r="8963" spans="2:4" x14ac:dyDescent="0.3">
      <c r="B8963" s="33" t="s">
        <v>24494</v>
      </c>
      <c r="C8963" s="32" t="s">
        <v>24495</v>
      </c>
      <c r="D8963" s="32" t="s">
        <v>24496</v>
      </c>
    </row>
    <row r="8964" spans="2:4" x14ac:dyDescent="0.3">
      <c r="B8964" s="33" t="s">
        <v>24497</v>
      </c>
      <c r="C8964" s="32" t="s">
        <v>24498</v>
      </c>
      <c r="D8964" s="32" t="s">
        <v>24499</v>
      </c>
    </row>
    <row r="8965" spans="2:4" x14ac:dyDescent="0.3">
      <c r="B8965" s="33" t="s">
        <v>24500</v>
      </c>
      <c r="C8965" s="32" t="s">
        <v>24501</v>
      </c>
      <c r="D8965" s="32" t="s">
        <v>24502</v>
      </c>
    </row>
    <row r="8966" spans="2:4" x14ac:dyDescent="0.3">
      <c r="B8966" s="33" t="s">
        <v>4027</v>
      </c>
      <c r="C8966" s="32" t="s">
        <v>24503</v>
      </c>
      <c r="D8966" s="32" t="s">
        <v>24504</v>
      </c>
    </row>
    <row r="8967" spans="2:4" x14ac:dyDescent="0.3">
      <c r="B8967" s="33" t="s">
        <v>24505</v>
      </c>
      <c r="C8967" s="32" t="s">
        <v>24506</v>
      </c>
      <c r="D8967" s="32" t="s">
        <v>24507</v>
      </c>
    </row>
    <row r="8968" spans="2:4" x14ac:dyDescent="0.3">
      <c r="B8968" s="33" t="s">
        <v>24508</v>
      </c>
      <c r="C8968" s="32" t="s">
        <v>24509</v>
      </c>
      <c r="D8968" s="32" t="s">
        <v>24510</v>
      </c>
    </row>
    <row r="8969" spans="2:4" x14ac:dyDescent="0.3">
      <c r="B8969" s="33" t="s">
        <v>24511</v>
      </c>
      <c r="C8969" s="32" t="s">
        <v>24512</v>
      </c>
      <c r="D8969" s="32" t="s">
        <v>24513</v>
      </c>
    </row>
    <row r="8970" spans="2:4" x14ac:dyDescent="0.3">
      <c r="B8970" s="33" t="s">
        <v>24511</v>
      </c>
      <c r="C8970" s="32" t="s">
        <v>24514</v>
      </c>
      <c r="D8970" s="32" t="s">
        <v>24515</v>
      </c>
    </row>
    <row r="8971" spans="2:4" x14ac:dyDescent="0.3">
      <c r="B8971" s="33" t="s">
        <v>24516</v>
      </c>
      <c r="C8971" s="32" t="s">
        <v>24517</v>
      </c>
      <c r="D8971" s="32" t="s">
        <v>24518</v>
      </c>
    </row>
    <row r="8972" spans="2:4" x14ac:dyDescent="0.3">
      <c r="B8972" s="33" t="s">
        <v>24519</v>
      </c>
      <c r="C8972" s="32" t="s">
        <v>24520</v>
      </c>
      <c r="D8972" s="32" t="s">
        <v>24521</v>
      </c>
    </row>
    <row r="8973" spans="2:4" x14ac:dyDescent="0.3">
      <c r="B8973" s="33" t="s">
        <v>19725</v>
      </c>
      <c r="C8973" s="32" t="s">
        <v>24522</v>
      </c>
      <c r="D8973" s="32" t="s">
        <v>24523</v>
      </c>
    </row>
    <row r="8974" spans="2:4" x14ac:dyDescent="0.3">
      <c r="B8974" s="33" t="s">
        <v>19725</v>
      </c>
      <c r="C8974" s="32" t="s">
        <v>24524</v>
      </c>
      <c r="D8974" s="32" t="s">
        <v>24525</v>
      </c>
    </row>
    <row r="8975" spans="2:4" x14ac:dyDescent="0.3">
      <c r="B8975" s="33" t="s">
        <v>24526</v>
      </c>
      <c r="C8975" s="32" t="s">
        <v>24527</v>
      </c>
      <c r="D8975" s="32" t="s">
        <v>24528</v>
      </c>
    </row>
    <row r="8976" spans="2:4" x14ac:dyDescent="0.3">
      <c r="B8976" s="33" t="s">
        <v>24529</v>
      </c>
      <c r="C8976" s="32" t="s">
        <v>24530</v>
      </c>
      <c r="D8976" s="32" t="s">
        <v>24531</v>
      </c>
    </row>
    <row r="8977" spans="2:4" x14ac:dyDescent="0.3">
      <c r="B8977" s="33" t="s">
        <v>24532</v>
      </c>
      <c r="C8977" s="32" t="s">
        <v>24533</v>
      </c>
      <c r="D8977" s="32" t="s">
        <v>24534</v>
      </c>
    </row>
    <row r="8978" spans="2:4" x14ac:dyDescent="0.3">
      <c r="B8978" s="33" t="s">
        <v>8375</v>
      </c>
      <c r="C8978" s="32" t="s">
        <v>24535</v>
      </c>
      <c r="D8978" s="32" t="s">
        <v>24536</v>
      </c>
    </row>
    <row r="8979" spans="2:4" x14ac:dyDescent="0.3">
      <c r="B8979" s="33" t="s">
        <v>24516</v>
      </c>
      <c r="C8979" s="32" t="s">
        <v>24537</v>
      </c>
      <c r="D8979" s="32" t="s">
        <v>24538</v>
      </c>
    </row>
    <row r="8980" spans="2:4" x14ac:dyDescent="0.3">
      <c r="B8980" s="33" t="s">
        <v>24539</v>
      </c>
      <c r="C8980" s="32" t="s">
        <v>24540</v>
      </c>
      <c r="D8980" s="32" t="s">
        <v>24541</v>
      </c>
    </row>
    <row r="8981" spans="2:4" x14ac:dyDescent="0.3">
      <c r="B8981" s="33" t="s">
        <v>24542</v>
      </c>
      <c r="C8981" s="32" t="s">
        <v>24543</v>
      </c>
      <c r="D8981" s="32" t="s">
        <v>24544</v>
      </c>
    </row>
    <row r="8982" spans="2:4" x14ac:dyDescent="0.3">
      <c r="B8982" s="33" t="s">
        <v>24545</v>
      </c>
      <c r="C8982" s="32" t="s">
        <v>24546</v>
      </c>
      <c r="D8982" s="32" t="s">
        <v>24547</v>
      </c>
    </row>
    <row r="8983" spans="2:4" x14ac:dyDescent="0.3">
      <c r="B8983" s="33" t="s">
        <v>24548</v>
      </c>
      <c r="C8983" s="32" t="s">
        <v>24549</v>
      </c>
      <c r="D8983" s="32" t="s">
        <v>24550</v>
      </c>
    </row>
    <row r="8984" spans="2:4" x14ac:dyDescent="0.3">
      <c r="B8984" s="33" t="s">
        <v>24551</v>
      </c>
      <c r="C8984" s="32" t="s">
        <v>24552</v>
      </c>
      <c r="D8984" s="32" t="s">
        <v>24553</v>
      </c>
    </row>
    <row r="8985" spans="2:4" x14ac:dyDescent="0.3">
      <c r="B8985" s="33" t="s">
        <v>24554</v>
      </c>
      <c r="C8985" s="32" t="s">
        <v>24555</v>
      </c>
      <c r="D8985" s="32" t="s">
        <v>24556</v>
      </c>
    </row>
    <row r="8986" spans="2:4" x14ac:dyDescent="0.3">
      <c r="B8986" s="33" t="s">
        <v>24557</v>
      </c>
      <c r="C8986" s="32" t="s">
        <v>24558</v>
      </c>
      <c r="D8986" s="32" t="s">
        <v>24559</v>
      </c>
    </row>
    <row r="8987" spans="2:4" x14ac:dyDescent="0.3">
      <c r="B8987" s="33" t="s">
        <v>24560</v>
      </c>
      <c r="C8987" s="32" t="s">
        <v>24561</v>
      </c>
      <c r="D8987" s="32" t="s">
        <v>24562</v>
      </c>
    </row>
    <row r="8988" spans="2:4" x14ac:dyDescent="0.3">
      <c r="B8988" s="33" t="s">
        <v>24563</v>
      </c>
      <c r="C8988" s="32" t="s">
        <v>24564</v>
      </c>
      <c r="D8988" s="32" t="s">
        <v>24565</v>
      </c>
    </row>
    <row r="8989" spans="2:4" x14ac:dyDescent="0.3">
      <c r="B8989" s="33" t="s">
        <v>24566</v>
      </c>
      <c r="C8989" s="32" t="s">
        <v>24567</v>
      </c>
      <c r="D8989" s="32" t="s">
        <v>24568</v>
      </c>
    </row>
    <row r="8990" spans="2:4" x14ac:dyDescent="0.3">
      <c r="B8990" s="33" t="s">
        <v>24569</v>
      </c>
      <c r="C8990" s="32" t="s">
        <v>24570</v>
      </c>
      <c r="D8990" s="32" t="s">
        <v>24571</v>
      </c>
    </row>
    <row r="8991" spans="2:4" x14ac:dyDescent="0.3">
      <c r="B8991" s="33" t="s">
        <v>24572</v>
      </c>
      <c r="C8991" s="32" t="s">
        <v>24573</v>
      </c>
      <c r="D8991" s="32" t="s">
        <v>24574</v>
      </c>
    </row>
    <row r="8992" spans="2:4" x14ac:dyDescent="0.3">
      <c r="B8992" s="33" t="s">
        <v>24575</v>
      </c>
      <c r="C8992" s="32" t="s">
        <v>24576</v>
      </c>
      <c r="D8992" s="32" t="s">
        <v>24577</v>
      </c>
    </row>
    <row r="8993" spans="2:4" x14ac:dyDescent="0.3">
      <c r="B8993" s="33" t="s">
        <v>24575</v>
      </c>
      <c r="C8993" s="32" t="s">
        <v>24578</v>
      </c>
      <c r="D8993" s="32" t="s">
        <v>24579</v>
      </c>
    </row>
    <row r="8994" spans="2:4" x14ac:dyDescent="0.3">
      <c r="B8994" s="33" t="s">
        <v>24580</v>
      </c>
      <c r="C8994" s="32" t="s">
        <v>24581</v>
      </c>
      <c r="D8994" s="32" t="s">
        <v>24582</v>
      </c>
    </row>
    <row r="8995" spans="2:4" x14ac:dyDescent="0.3">
      <c r="B8995" s="33" t="s">
        <v>24583</v>
      </c>
      <c r="C8995" s="32" t="s">
        <v>24584</v>
      </c>
      <c r="D8995" s="32" t="s">
        <v>24585</v>
      </c>
    </row>
    <row r="8996" spans="2:4" x14ac:dyDescent="0.3">
      <c r="B8996" s="33" t="s">
        <v>37399</v>
      </c>
      <c r="C8996" s="32" t="s">
        <v>37400</v>
      </c>
      <c r="D8996" s="32" t="s">
        <v>37401</v>
      </c>
    </row>
    <row r="8997" spans="2:4" x14ac:dyDescent="0.3">
      <c r="B8997" s="33" t="s">
        <v>24586</v>
      </c>
      <c r="C8997" s="32" t="s">
        <v>24587</v>
      </c>
      <c r="D8997" s="32" t="s">
        <v>24588</v>
      </c>
    </row>
    <row r="8998" spans="2:4" x14ac:dyDescent="0.3">
      <c r="B8998" s="33" t="s">
        <v>24589</v>
      </c>
      <c r="C8998" s="32" t="s">
        <v>24590</v>
      </c>
      <c r="D8998" s="32" t="s">
        <v>24591</v>
      </c>
    </row>
    <row r="8999" spans="2:4" x14ac:dyDescent="0.3">
      <c r="B8999" s="33" t="s">
        <v>24592</v>
      </c>
      <c r="C8999" s="32" t="s">
        <v>24593</v>
      </c>
      <c r="D8999" s="32" t="s">
        <v>24594</v>
      </c>
    </row>
    <row r="9000" spans="2:4" x14ac:dyDescent="0.3">
      <c r="B9000" s="33" t="s">
        <v>24595</v>
      </c>
      <c r="C9000" s="32" t="s">
        <v>24596</v>
      </c>
      <c r="D9000" s="32" t="s">
        <v>24597</v>
      </c>
    </row>
    <row r="9001" spans="2:4" x14ac:dyDescent="0.3">
      <c r="B9001" s="33" t="s">
        <v>24598</v>
      </c>
      <c r="C9001" s="32" t="s">
        <v>24599</v>
      </c>
      <c r="D9001" s="32" t="s">
        <v>24600</v>
      </c>
    </row>
    <row r="9002" spans="2:4" x14ac:dyDescent="0.3">
      <c r="B9002" s="33" t="s">
        <v>20487</v>
      </c>
      <c r="C9002" s="32" t="s">
        <v>24601</v>
      </c>
      <c r="D9002" s="32" t="s">
        <v>24602</v>
      </c>
    </row>
    <row r="9003" spans="2:4" x14ac:dyDescent="0.3">
      <c r="B9003" s="33" t="s">
        <v>24603</v>
      </c>
      <c r="C9003" s="32" t="s">
        <v>24604</v>
      </c>
      <c r="D9003" s="32" t="s">
        <v>24605</v>
      </c>
    </row>
    <row r="9004" spans="2:4" x14ac:dyDescent="0.3">
      <c r="B9004" s="33" t="s">
        <v>24606</v>
      </c>
      <c r="C9004" s="32" t="s">
        <v>24607</v>
      </c>
      <c r="D9004" s="32" t="s">
        <v>24608</v>
      </c>
    </row>
    <row r="9005" spans="2:4" x14ac:dyDescent="0.3">
      <c r="B9005" s="33" t="s">
        <v>24609</v>
      </c>
      <c r="C9005" s="32" t="s">
        <v>24610</v>
      </c>
      <c r="D9005" s="32" t="s">
        <v>24611</v>
      </c>
    </row>
    <row r="9006" spans="2:4" x14ac:dyDescent="0.3">
      <c r="B9006" s="33" t="s">
        <v>24612</v>
      </c>
      <c r="C9006" s="32" t="s">
        <v>24613</v>
      </c>
      <c r="D9006" s="32" t="s">
        <v>24614</v>
      </c>
    </row>
    <row r="9007" spans="2:4" x14ac:dyDescent="0.3">
      <c r="B9007" s="33" t="s">
        <v>24615</v>
      </c>
      <c r="C9007" s="32" t="s">
        <v>24616</v>
      </c>
      <c r="D9007" s="32" t="s">
        <v>24617</v>
      </c>
    </row>
    <row r="9008" spans="2:4" x14ac:dyDescent="0.3">
      <c r="B9008" s="33" t="s">
        <v>24618</v>
      </c>
      <c r="C9008" s="32" t="s">
        <v>24619</v>
      </c>
      <c r="D9008" s="32" t="s">
        <v>24620</v>
      </c>
    </row>
    <row r="9009" spans="2:4" x14ac:dyDescent="0.3">
      <c r="B9009" s="33" t="s">
        <v>24621</v>
      </c>
      <c r="C9009" s="32" t="s">
        <v>24622</v>
      </c>
      <c r="D9009" s="32" t="s">
        <v>24623</v>
      </c>
    </row>
    <row r="9010" spans="2:4" x14ac:dyDescent="0.3">
      <c r="B9010" s="33" t="s">
        <v>24624</v>
      </c>
      <c r="C9010" s="32" t="s">
        <v>24625</v>
      </c>
      <c r="D9010" s="32" t="s">
        <v>24626</v>
      </c>
    </row>
    <row r="9011" spans="2:4" x14ac:dyDescent="0.3">
      <c r="B9011" s="33" t="s">
        <v>24627</v>
      </c>
      <c r="C9011" s="32" t="s">
        <v>24628</v>
      </c>
      <c r="D9011" s="32" t="s">
        <v>24629</v>
      </c>
    </row>
    <row r="9012" spans="2:4" x14ac:dyDescent="0.3">
      <c r="B9012" s="33" t="s">
        <v>24630</v>
      </c>
      <c r="C9012" s="32" t="s">
        <v>24631</v>
      </c>
      <c r="D9012" s="32" t="s">
        <v>24632</v>
      </c>
    </row>
    <row r="9013" spans="2:4" x14ac:dyDescent="0.3">
      <c r="B9013" s="33" t="s">
        <v>24633</v>
      </c>
      <c r="C9013" s="32" t="s">
        <v>24634</v>
      </c>
      <c r="D9013" s="32" t="s">
        <v>24635</v>
      </c>
    </row>
    <row r="9014" spans="2:4" x14ac:dyDescent="0.3">
      <c r="B9014" s="33" t="s">
        <v>24636</v>
      </c>
      <c r="C9014" s="32" t="s">
        <v>24637</v>
      </c>
      <c r="D9014" s="32" t="s">
        <v>24638</v>
      </c>
    </row>
    <row r="9015" spans="2:4" x14ac:dyDescent="0.3">
      <c r="B9015" s="33" t="s">
        <v>24639</v>
      </c>
      <c r="C9015" s="32" t="s">
        <v>24640</v>
      </c>
      <c r="D9015" s="32" t="s">
        <v>24641</v>
      </c>
    </row>
    <row r="9016" spans="2:4" x14ac:dyDescent="0.3">
      <c r="B9016" s="33" t="s">
        <v>24642</v>
      </c>
      <c r="C9016" s="32" t="s">
        <v>24643</v>
      </c>
      <c r="D9016" s="32" t="s">
        <v>24644</v>
      </c>
    </row>
    <row r="9017" spans="2:4" x14ac:dyDescent="0.3">
      <c r="B9017" s="33" t="s">
        <v>24645</v>
      </c>
      <c r="C9017" s="32" t="s">
        <v>24646</v>
      </c>
      <c r="D9017" s="32" t="s">
        <v>24647</v>
      </c>
    </row>
    <row r="9018" spans="2:4" x14ac:dyDescent="0.3">
      <c r="B9018" s="33" t="s">
        <v>24648</v>
      </c>
      <c r="C9018" s="32" t="s">
        <v>24649</v>
      </c>
      <c r="D9018" s="32" t="s">
        <v>24650</v>
      </c>
    </row>
    <row r="9019" spans="2:4" x14ac:dyDescent="0.3">
      <c r="B9019" s="33" t="s">
        <v>24651</v>
      </c>
      <c r="C9019" s="32" t="s">
        <v>24652</v>
      </c>
      <c r="D9019" s="32" t="s">
        <v>24653</v>
      </c>
    </row>
    <row r="9020" spans="2:4" x14ac:dyDescent="0.3">
      <c r="B9020" s="33" t="s">
        <v>24654</v>
      </c>
      <c r="C9020" s="32" t="s">
        <v>24655</v>
      </c>
      <c r="D9020" s="32" t="s">
        <v>24656</v>
      </c>
    </row>
    <row r="9021" spans="2:4" x14ac:dyDescent="0.3">
      <c r="B9021" s="33" t="s">
        <v>24657</v>
      </c>
      <c r="C9021" s="32" t="s">
        <v>24658</v>
      </c>
      <c r="D9021" s="32" t="s">
        <v>24659</v>
      </c>
    </row>
    <row r="9022" spans="2:4" x14ac:dyDescent="0.3">
      <c r="B9022" s="33" t="s">
        <v>24657</v>
      </c>
      <c r="C9022" s="32" t="s">
        <v>24660</v>
      </c>
      <c r="D9022" s="32" t="s">
        <v>24661</v>
      </c>
    </row>
    <row r="9023" spans="2:4" x14ac:dyDescent="0.3">
      <c r="B9023" s="33" t="s">
        <v>24662</v>
      </c>
      <c r="C9023" s="32" t="s">
        <v>24663</v>
      </c>
      <c r="D9023" s="32" t="s">
        <v>24664</v>
      </c>
    </row>
    <row r="9024" spans="2:4" x14ac:dyDescent="0.3">
      <c r="B9024" s="33" t="s">
        <v>24665</v>
      </c>
      <c r="C9024" s="32" t="s">
        <v>24666</v>
      </c>
      <c r="D9024" s="32" t="s">
        <v>24667</v>
      </c>
    </row>
    <row r="9025" spans="2:4" x14ac:dyDescent="0.3">
      <c r="B9025" s="33" t="s">
        <v>24668</v>
      </c>
      <c r="C9025" s="32" t="s">
        <v>24669</v>
      </c>
      <c r="D9025" s="32" t="s">
        <v>24670</v>
      </c>
    </row>
    <row r="9026" spans="2:4" x14ac:dyDescent="0.3">
      <c r="B9026" s="33" t="s">
        <v>24671</v>
      </c>
      <c r="C9026" s="32" t="s">
        <v>24672</v>
      </c>
      <c r="D9026" s="32" t="s">
        <v>24673</v>
      </c>
    </row>
    <row r="9027" spans="2:4" x14ac:dyDescent="0.3">
      <c r="B9027" s="33" t="s">
        <v>24674</v>
      </c>
      <c r="C9027" s="32" t="s">
        <v>24675</v>
      </c>
      <c r="D9027" s="32" t="s">
        <v>24676</v>
      </c>
    </row>
    <row r="9028" spans="2:4" x14ac:dyDescent="0.3">
      <c r="B9028" s="33" t="s">
        <v>24677</v>
      </c>
      <c r="C9028" s="32" t="s">
        <v>24678</v>
      </c>
      <c r="D9028" s="32" t="s">
        <v>24679</v>
      </c>
    </row>
    <row r="9029" spans="2:4" x14ac:dyDescent="0.3">
      <c r="B9029" s="33" t="s">
        <v>24680</v>
      </c>
      <c r="C9029" s="32" t="s">
        <v>24681</v>
      </c>
      <c r="D9029" s="32" t="s">
        <v>24682</v>
      </c>
    </row>
    <row r="9030" spans="2:4" x14ac:dyDescent="0.3">
      <c r="B9030" s="33" t="s">
        <v>24683</v>
      </c>
      <c r="C9030" s="32" t="s">
        <v>24684</v>
      </c>
      <c r="D9030" s="32" t="s">
        <v>24685</v>
      </c>
    </row>
    <row r="9031" spans="2:4" x14ac:dyDescent="0.3">
      <c r="B9031" s="33" t="s">
        <v>24104</v>
      </c>
      <c r="C9031" s="32" t="s">
        <v>37045</v>
      </c>
      <c r="D9031" s="32" t="s">
        <v>37046</v>
      </c>
    </row>
    <row r="9032" spans="2:4" x14ac:dyDescent="0.3">
      <c r="B9032" s="33" t="s">
        <v>24686</v>
      </c>
      <c r="C9032" s="32" t="s">
        <v>24687</v>
      </c>
      <c r="D9032" s="32" t="s">
        <v>24688</v>
      </c>
    </row>
    <row r="9033" spans="2:4" x14ac:dyDescent="0.3">
      <c r="B9033" s="33" t="s">
        <v>24689</v>
      </c>
      <c r="C9033" s="32" t="s">
        <v>24690</v>
      </c>
      <c r="D9033" s="32" t="s">
        <v>24691</v>
      </c>
    </row>
    <row r="9034" spans="2:4" x14ac:dyDescent="0.3">
      <c r="B9034" s="33" t="s">
        <v>24692</v>
      </c>
      <c r="C9034" s="32" t="s">
        <v>24693</v>
      </c>
      <c r="D9034" s="32" t="s">
        <v>24694</v>
      </c>
    </row>
    <row r="9035" spans="2:4" x14ac:dyDescent="0.3">
      <c r="B9035" s="33" t="s">
        <v>18347</v>
      </c>
      <c r="C9035" s="32" t="s">
        <v>24695</v>
      </c>
      <c r="D9035" s="32" t="s">
        <v>24696</v>
      </c>
    </row>
    <row r="9036" spans="2:4" x14ac:dyDescent="0.3">
      <c r="B9036" s="33" t="s">
        <v>24697</v>
      </c>
      <c r="C9036" s="32" t="s">
        <v>24698</v>
      </c>
      <c r="D9036" s="32" t="s">
        <v>24699</v>
      </c>
    </row>
    <row r="9037" spans="2:4" x14ac:dyDescent="0.3">
      <c r="B9037" s="33" t="s">
        <v>24700</v>
      </c>
      <c r="C9037" s="32" t="s">
        <v>24701</v>
      </c>
      <c r="D9037" s="32" t="s">
        <v>24702</v>
      </c>
    </row>
    <row r="9038" spans="2:4" x14ac:dyDescent="0.3">
      <c r="B9038" s="33" t="s">
        <v>25904</v>
      </c>
      <c r="C9038" s="32" t="s">
        <v>37303</v>
      </c>
      <c r="D9038" s="32" t="s">
        <v>37304</v>
      </c>
    </row>
    <row r="9039" spans="2:4" x14ac:dyDescent="0.3">
      <c r="B9039" s="33" t="s">
        <v>24532</v>
      </c>
      <c r="C9039" s="32" t="s">
        <v>24703</v>
      </c>
      <c r="D9039" s="32" t="s">
        <v>24704</v>
      </c>
    </row>
    <row r="9040" spans="2:4" x14ac:dyDescent="0.3">
      <c r="B9040" s="33" t="s">
        <v>24705</v>
      </c>
      <c r="C9040" s="32" t="s">
        <v>24706</v>
      </c>
      <c r="D9040" s="32" t="s">
        <v>24707</v>
      </c>
    </row>
    <row r="9041" spans="2:4" x14ac:dyDescent="0.3">
      <c r="B9041" s="33" t="s">
        <v>24708</v>
      </c>
      <c r="C9041" s="32" t="s">
        <v>24709</v>
      </c>
      <c r="D9041" s="32" t="s">
        <v>24710</v>
      </c>
    </row>
    <row r="9042" spans="2:4" x14ac:dyDescent="0.3">
      <c r="B9042" s="33" t="s">
        <v>24711</v>
      </c>
      <c r="C9042" s="32" t="s">
        <v>24712</v>
      </c>
      <c r="D9042" s="32" t="s">
        <v>24713</v>
      </c>
    </row>
    <row r="9043" spans="2:4" x14ac:dyDescent="0.3">
      <c r="B9043" s="33" t="s">
        <v>24714</v>
      </c>
      <c r="C9043" s="32" t="s">
        <v>24715</v>
      </c>
      <c r="D9043" s="32" t="s">
        <v>24716</v>
      </c>
    </row>
    <row r="9044" spans="2:4" x14ac:dyDescent="0.3">
      <c r="B9044" s="33" t="s">
        <v>24717</v>
      </c>
      <c r="C9044" s="32" t="s">
        <v>24718</v>
      </c>
      <c r="D9044" s="32" t="s">
        <v>24719</v>
      </c>
    </row>
    <row r="9045" spans="2:4" x14ac:dyDescent="0.3">
      <c r="B9045" s="33" t="s">
        <v>24720</v>
      </c>
      <c r="C9045" s="32" t="s">
        <v>24721</v>
      </c>
      <c r="D9045" s="32" t="s">
        <v>24722</v>
      </c>
    </row>
    <row r="9046" spans="2:4" x14ac:dyDescent="0.3">
      <c r="B9046" s="33" t="s">
        <v>2442</v>
      </c>
      <c r="C9046" s="32" t="s">
        <v>24723</v>
      </c>
      <c r="D9046" s="32" t="s">
        <v>24724</v>
      </c>
    </row>
    <row r="9047" spans="2:4" x14ac:dyDescent="0.3">
      <c r="B9047" s="33" t="s">
        <v>24725</v>
      </c>
      <c r="C9047" s="32" t="s">
        <v>24726</v>
      </c>
      <c r="D9047" s="32" t="s">
        <v>24727</v>
      </c>
    </row>
    <row r="9048" spans="2:4" x14ac:dyDescent="0.3">
      <c r="B9048" s="33" t="s">
        <v>24725</v>
      </c>
      <c r="C9048" s="32" t="s">
        <v>24728</v>
      </c>
      <c r="D9048" s="32" t="s">
        <v>24729</v>
      </c>
    </row>
    <row r="9049" spans="2:4" x14ac:dyDescent="0.3">
      <c r="B9049" s="33" t="s">
        <v>24717</v>
      </c>
      <c r="C9049" s="32" t="s">
        <v>24730</v>
      </c>
      <c r="D9049" s="32" t="s">
        <v>24731</v>
      </c>
    </row>
    <row r="9050" spans="2:4" x14ac:dyDescent="0.3">
      <c r="B9050" s="33" t="s">
        <v>24732</v>
      </c>
      <c r="C9050" s="32" t="s">
        <v>24733</v>
      </c>
      <c r="D9050" s="32" t="s">
        <v>24734</v>
      </c>
    </row>
    <row r="9051" spans="2:4" x14ac:dyDescent="0.3">
      <c r="B9051" s="33" t="s">
        <v>24735</v>
      </c>
      <c r="C9051" s="32" t="s">
        <v>24736</v>
      </c>
      <c r="D9051" s="32" t="s">
        <v>24737</v>
      </c>
    </row>
    <row r="9052" spans="2:4" x14ac:dyDescent="0.3">
      <c r="B9052" s="33" t="s">
        <v>24738</v>
      </c>
      <c r="C9052" s="32" t="s">
        <v>24739</v>
      </c>
      <c r="D9052" s="32" t="s">
        <v>24740</v>
      </c>
    </row>
    <row r="9053" spans="2:4" x14ac:dyDescent="0.3">
      <c r="B9053" s="33" t="s">
        <v>24741</v>
      </c>
      <c r="C9053" s="32" t="s">
        <v>24742</v>
      </c>
      <c r="D9053" s="32" t="s">
        <v>24743</v>
      </c>
    </row>
    <row r="9054" spans="2:4" x14ac:dyDescent="0.3">
      <c r="B9054" s="33" t="s">
        <v>24744</v>
      </c>
      <c r="C9054" s="32" t="s">
        <v>24745</v>
      </c>
      <c r="D9054" s="32" t="s">
        <v>24746</v>
      </c>
    </row>
    <row r="9055" spans="2:4" x14ac:dyDescent="0.3">
      <c r="B9055" s="33" t="s">
        <v>24548</v>
      </c>
      <c r="C9055" s="32" t="s">
        <v>24747</v>
      </c>
      <c r="D9055" s="32" t="s">
        <v>24748</v>
      </c>
    </row>
    <row r="9056" spans="2:4" x14ac:dyDescent="0.3">
      <c r="B9056" s="33" t="s">
        <v>24749</v>
      </c>
      <c r="C9056" s="32" t="s">
        <v>24750</v>
      </c>
      <c r="D9056" s="32" t="s">
        <v>24751</v>
      </c>
    </row>
    <row r="9057" spans="2:4" x14ac:dyDescent="0.3">
      <c r="B9057" s="33" t="s">
        <v>24752</v>
      </c>
      <c r="C9057" s="32" t="s">
        <v>24753</v>
      </c>
      <c r="D9057" s="32" t="s">
        <v>24754</v>
      </c>
    </row>
    <row r="9058" spans="2:4" x14ac:dyDescent="0.3">
      <c r="B9058" s="33" t="s">
        <v>24755</v>
      </c>
      <c r="C9058" s="32" t="s">
        <v>24756</v>
      </c>
      <c r="D9058" s="32" t="s">
        <v>24757</v>
      </c>
    </row>
    <row r="9059" spans="2:4" x14ac:dyDescent="0.3">
      <c r="B9059" s="33" t="s">
        <v>24545</v>
      </c>
      <c r="C9059" s="32" t="s">
        <v>24758</v>
      </c>
      <c r="D9059" s="32" t="s">
        <v>24759</v>
      </c>
    </row>
    <row r="9060" spans="2:4" x14ac:dyDescent="0.3">
      <c r="B9060" s="33" t="s">
        <v>24760</v>
      </c>
      <c r="C9060" s="32" t="s">
        <v>24761</v>
      </c>
      <c r="D9060" s="32" t="s">
        <v>24762</v>
      </c>
    </row>
    <row r="9061" spans="2:4" x14ac:dyDescent="0.3">
      <c r="B9061" s="33" t="s">
        <v>24735</v>
      </c>
      <c r="C9061" s="32" t="s">
        <v>24763</v>
      </c>
      <c r="D9061" s="32" t="s">
        <v>24764</v>
      </c>
    </row>
    <row r="9062" spans="2:4" x14ac:dyDescent="0.3">
      <c r="B9062" s="33" t="s">
        <v>24765</v>
      </c>
      <c r="C9062" s="32" t="s">
        <v>24766</v>
      </c>
      <c r="D9062" s="32" t="s">
        <v>24767</v>
      </c>
    </row>
    <row r="9063" spans="2:4" x14ac:dyDescent="0.3">
      <c r="B9063" s="33" t="s">
        <v>24768</v>
      </c>
      <c r="C9063" s="32" t="s">
        <v>24769</v>
      </c>
      <c r="D9063" s="32" t="s">
        <v>24770</v>
      </c>
    </row>
    <row r="9064" spans="2:4" x14ac:dyDescent="0.3">
      <c r="B9064" s="33" t="s">
        <v>24771</v>
      </c>
      <c r="C9064" s="32" t="s">
        <v>24772</v>
      </c>
      <c r="D9064" s="32" t="s">
        <v>24773</v>
      </c>
    </row>
    <row r="9065" spans="2:4" x14ac:dyDescent="0.3">
      <c r="B9065" s="33" t="s">
        <v>24755</v>
      </c>
      <c r="C9065" s="32" t="s">
        <v>24774</v>
      </c>
      <c r="D9065" s="32" t="s">
        <v>24775</v>
      </c>
    </row>
    <row r="9066" spans="2:4" x14ac:dyDescent="0.3">
      <c r="B9066" s="33" t="s">
        <v>18736</v>
      </c>
      <c r="C9066" s="32" t="s">
        <v>24776</v>
      </c>
      <c r="D9066" s="32" t="s">
        <v>24777</v>
      </c>
    </row>
    <row r="9067" spans="2:4" x14ac:dyDescent="0.3">
      <c r="B9067" s="33" t="s">
        <v>24778</v>
      </c>
      <c r="C9067" s="32" t="s">
        <v>24779</v>
      </c>
      <c r="D9067" s="32" t="s">
        <v>24780</v>
      </c>
    </row>
    <row r="9068" spans="2:4" x14ac:dyDescent="0.3">
      <c r="B9068" s="33" t="s">
        <v>24781</v>
      </c>
      <c r="C9068" s="32" t="s">
        <v>24782</v>
      </c>
      <c r="D9068" s="32" t="s">
        <v>24783</v>
      </c>
    </row>
    <row r="9069" spans="2:4" x14ac:dyDescent="0.3">
      <c r="B9069" s="33" t="s">
        <v>24784</v>
      </c>
      <c r="C9069" s="32" t="s">
        <v>24785</v>
      </c>
      <c r="D9069" s="32" t="s">
        <v>24786</v>
      </c>
    </row>
    <row r="9070" spans="2:4" x14ac:dyDescent="0.3">
      <c r="B9070" s="33" t="s">
        <v>24787</v>
      </c>
      <c r="C9070" s="32" t="s">
        <v>24788</v>
      </c>
      <c r="D9070" s="32" t="s">
        <v>24789</v>
      </c>
    </row>
    <row r="9071" spans="2:4" x14ac:dyDescent="0.3">
      <c r="B9071" s="33" t="s">
        <v>24790</v>
      </c>
      <c r="C9071" s="32" t="s">
        <v>24791</v>
      </c>
      <c r="D9071" s="32" t="s">
        <v>24792</v>
      </c>
    </row>
    <row r="9072" spans="2:4" x14ac:dyDescent="0.3">
      <c r="B9072" s="33" t="s">
        <v>24793</v>
      </c>
      <c r="C9072" s="32" t="s">
        <v>24794</v>
      </c>
      <c r="D9072" s="32" t="s">
        <v>24795</v>
      </c>
    </row>
    <row r="9073" spans="2:4" x14ac:dyDescent="0.3">
      <c r="B9073" s="33" t="s">
        <v>24796</v>
      </c>
      <c r="C9073" s="32" t="s">
        <v>24797</v>
      </c>
      <c r="D9073" s="32" t="s">
        <v>24798</v>
      </c>
    </row>
    <row r="9074" spans="2:4" x14ac:dyDescent="0.3">
      <c r="B9074" s="33" t="s">
        <v>24799</v>
      </c>
      <c r="C9074" s="32" t="s">
        <v>24800</v>
      </c>
      <c r="D9074" s="32" t="s">
        <v>24801</v>
      </c>
    </row>
    <row r="9075" spans="2:4" x14ac:dyDescent="0.3">
      <c r="B9075" s="33" t="s">
        <v>24802</v>
      </c>
      <c r="C9075" s="32" t="s">
        <v>24803</v>
      </c>
      <c r="D9075" s="32" t="s">
        <v>24804</v>
      </c>
    </row>
    <row r="9076" spans="2:4" x14ac:dyDescent="0.3">
      <c r="B9076" s="33" t="s">
        <v>24805</v>
      </c>
      <c r="C9076" s="32" t="s">
        <v>24806</v>
      </c>
      <c r="D9076" s="32" t="s">
        <v>24807</v>
      </c>
    </row>
    <row r="9077" spans="2:4" x14ac:dyDescent="0.3">
      <c r="B9077" s="33" t="s">
        <v>37305</v>
      </c>
      <c r="C9077" s="32" t="s">
        <v>37306</v>
      </c>
      <c r="D9077" s="32" t="s">
        <v>37307</v>
      </c>
    </row>
    <row r="9078" spans="2:4" x14ac:dyDescent="0.3">
      <c r="B9078" s="33" t="s">
        <v>24808</v>
      </c>
      <c r="C9078" s="32" t="s">
        <v>24809</v>
      </c>
      <c r="D9078" s="32" t="s">
        <v>24810</v>
      </c>
    </row>
    <row r="9079" spans="2:4" x14ac:dyDescent="0.3">
      <c r="B9079" s="33" t="s">
        <v>24811</v>
      </c>
      <c r="C9079" s="32" t="s">
        <v>24812</v>
      </c>
      <c r="D9079" s="32" t="s">
        <v>24811</v>
      </c>
    </row>
    <row r="9080" spans="2:4" x14ac:dyDescent="0.3">
      <c r="B9080" s="33" t="s">
        <v>24813</v>
      </c>
      <c r="C9080" s="32" t="s">
        <v>24814</v>
      </c>
      <c r="D9080" s="32" t="s">
        <v>24815</v>
      </c>
    </row>
    <row r="9081" spans="2:4" x14ac:dyDescent="0.3">
      <c r="B9081" s="33" t="s">
        <v>24816</v>
      </c>
      <c r="C9081" s="32" t="s">
        <v>24817</v>
      </c>
      <c r="D9081" s="32" t="s">
        <v>24818</v>
      </c>
    </row>
    <row r="9082" spans="2:4" x14ac:dyDescent="0.3">
      <c r="B9082" s="33" t="s">
        <v>24819</v>
      </c>
      <c r="C9082" s="32" t="s">
        <v>24820</v>
      </c>
      <c r="D9082" s="32" t="s">
        <v>24821</v>
      </c>
    </row>
    <row r="9083" spans="2:4" x14ac:dyDescent="0.3">
      <c r="B9083" s="33" t="s">
        <v>24822</v>
      </c>
      <c r="C9083" s="32" t="s">
        <v>24823</v>
      </c>
      <c r="D9083" s="32" t="s">
        <v>24824</v>
      </c>
    </row>
    <row r="9084" spans="2:4" x14ac:dyDescent="0.3">
      <c r="B9084" s="33" t="s">
        <v>24825</v>
      </c>
      <c r="C9084" s="32" t="s">
        <v>24826</v>
      </c>
      <c r="D9084" s="32" t="s">
        <v>24827</v>
      </c>
    </row>
    <row r="9085" spans="2:4" x14ac:dyDescent="0.3">
      <c r="B9085" s="33" t="s">
        <v>24828</v>
      </c>
      <c r="C9085" s="32" t="s">
        <v>24829</v>
      </c>
      <c r="D9085" s="32" t="s">
        <v>24828</v>
      </c>
    </row>
    <row r="9086" spans="2:4" x14ac:dyDescent="0.3">
      <c r="B9086" s="33" t="s">
        <v>24830</v>
      </c>
      <c r="C9086" s="32" t="s">
        <v>24831</v>
      </c>
      <c r="D9086" s="32" t="s">
        <v>24832</v>
      </c>
    </row>
    <row r="9087" spans="2:4" x14ac:dyDescent="0.3">
      <c r="B9087" s="33" t="s">
        <v>24833</v>
      </c>
      <c r="C9087" s="32" t="s">
        <v>24834</v>
      </c>
      <c r="D9087" s="32" t="s">
        <v>24835</v>
      </c>
    </row>
    <row r="9088" spans="2:4" x14ac:dyDescent="0.3">
      <c r="B9088" s="33" t="s">
        <v>24836</v>
      </c>
      <c r="C9088" s="32" t="s">
        <v>24837</v>
      </c>
      <c r="D9088" s="32" t="s">
        <v>24838</v>
      </c>
    </row>
    <row r="9089" spans="2:4" x14ac:dyDescent="0.3">
      <c r="B9089" s="33" t="s">
        <v>24839</v>
      </c>
      <c r="C9089" s="32" t="s">
        <v>24840</v>
      </c>
      <c r="D9089" s="32" t="s">
        <v>24841</v>
      </c>
    </row>
    <row r="9090" spans="2:4" x14ac:dyDescent="0.3">
      <c r="B9090" s="33" t="s">
        <v>4649</v>
      </c>
      <c r="C9090" s="32" t="s">
        <v>24842</v>
      </c>
      <c r="D9090" s="32" t="s">
        <v>24843</v>
      </c>
    </row>
    <row r="9091" spans="2:4" x14ac:dyDescent="0.3">
      <c r="B9091" s="33" t="s">
        <v>24844</v>
      </c>
      <c r="C9091" s="32" t="s">
        <v>24845</v>
      </c>
      <c r="D9091" s="32" t="s">
        <v>24846</v>
      </c>
    </row>
    <row r="9092" spans="2:4" x14ac:dyDescent="0.3">
      <c r="B9092" s="33" t="s">
        <v>24847</v>
      </c>
      <c r="C9092" s="32" t="s">
        <v>24848</v>
      </c>
      <c r="D9092" s="32" t="s">
        <v>24849</v>
      </c>
    </row>
    <row r="9093" spans="2:4" x14ac:dyDescent="0.3">
      <c r="B9093" s="33" t="s">
        <v>24850</v>
      </c>
      <c r="C9093" s="32" t="s">
        <v>24851</v>
      </c>
      <c r="D9093" s="32" t="s">
        <v>24852</v>
      </c>
    </row>
    <row r="9094" spans="2:4" x14ac:dyDescent="0.3">
      <c r="B9094" s="33" t="s">
        <v>24853</v>
      </c>
      <c r="C9094" s="32" t="s">
        <v>24854</v>
      </c>
      <c r="D9094" s="32" t="s">
        <v>24855</v>
      </c>
    </row>
    <row r="9095" spans="2:4" x14ac:dyDescent="0.3">
      <c r="B9095" s="33" t="s">
        <v>10700</v>
      </c>
      <c r="C9095" s="32" t="s">
        <v>24856</v>
      </c>
      <c r="D9095" s="32" t="s">
        <v>24857</v>
      </c>
    </row>
    <row r="9096" spans="2:4" x14ac:dyDescent="0.3">
      <c r="B9096" s="33" t="s">
        <v>24858</v>
      </c>
      <c r="C9096" s="32" t="s">
        <v>24859</v>
      </c>
      <c r="D9096" s="32" t="s">
        <v>24860</v>
      </c>
    </row>
    <row r="9097" spans="2:4" x14ac:dyDescent="0.3">
      <c r="B9097" s="33" t="s">
        <v>9582</v>
      </c>
      <c r="C9097" s="32" t="s">
        <v>24861</v>
      </c>
      <c r="D9097" s="32" t="s">
        <v>24862</v>
      </c>
    </row>
    <row r="9098" spans="2:4" x14ac:dyDescent="0.3">
      <c r="B9098" s="33" t="s">
        <v>9582</v>
      </c>
      <c r="C9098" s="32" t="s">
        <v>24863</v>
      </c>
      <c r="D9098" s="32" t="s">
        <v>24864</v>
      </c>
    </row>
    <row r="9099" spans="2:4" x14ac:dyDescent="0.3">
      <c r="B9099" s="33" t="s">
        <v>24865</v>
      </c>
      <c r="C9099" s="32" t="s">
        <v>24866</v>
      </c>
      <c r="D9099" s="32" t="s">
        <v>24867</v>
      </c>
    </row>
    <row r="9100" spans="2:4" x14ac:dyDescent="0.3">
      <c r="B9100" s="33" t="s">
        <v>24868</v>
      </c>
      <c r="C9100" s="32" t="s">
        <v>24869</v>
      </c>
      <c r="D9100" s="32" t="s">
        <v>24870</v>
      </c>
    </row>
    <row r="9101" spans="2:4" x14ac:dyDescent="0.3">
      <c r="B9101" s="33" t="s">
        <v>24871</v>
      </c>
      <c r="C9101" s="32" t="s">
        <v>24872</v>
      </c>
      <c r="D9101" s="32" t="s">
        <v>24873</v>
      </c>
    </row>
    <row r="9102" spans="2:4" x14ac:dyDescent="0.3">
      <c r="B9102" s="33" t="s">
        <v>24874</v>
      </c>
      <c r="C9102" s="32" t="s">
        <v>24875</v>
      </c>
      <c r="D9102" s="32" t="s">
        <v>24876</v>
      </c>
    </row>
    <row r="9103" spans="2:4" x14ac:dyDescent="0.3">
      <c r="B9103" s="33" t="s">
        <v>24877</v>
      </c>
      <c r="C9103" s="32" t="s">
        <v>24878</v>
      </c>
      <c r="D9103" s="32" t="s">
        <v>24879</v>
      </c>
    </row>
    <row r="9104" spans="2:4" x14ac:dyDescent="0.3">
      <c r="B9104" s="33" t="s">
        <v>24874</v>
      </c>
      <c r="C9104" s="32" t="s">
        <v>24880</v>
      </c>
      <c r="D9104" s="32" t="s">
        <v>24881</v>
      </c>
    </row>
    <row r="9105" spans="2:4" x14ac:dyDescent="0.3">
      <c r="B9105" s="33" t="s">
        <v>24874</v>
      </c>
      <c r="C9105" s="32" t="s">
        <v>24882</v>
      </c>
      <c r="D9105" s="32" t="s">
        <v>24883</v>
      </c>
    </row>
    <row r="9106" spans="2:4" x14ac:dyDescent="0.3">
      <c r="B9106" s="33" t="s">
        <v>24884</v>
      </c>
      <c r="C9106" s="32" t="s">
        <v>24885</v>
      </c>
      <c r="D9106" s="32" t="s">
        <v>24886</v>
      </c>
    </row>
    <row r="9107" spans="2:4" x14ac:dyDescent="0.3">
      <c r="B9107" s="33" t="s">
        <v>24321</v>
      </c>
      <c r="C9107" s="32" t="s">
        <v>24887</v>
      </c>
      <c r="D9107" s="32" t="s">
        <v>24888</v>
      </c>
    </row>
    <row r="9108" spans="2:4" x14ac:dyDescent="0.3">
      <c r="B9108" s="33" t="s">
        <v>24889</v>
      </c>
      <c r="C9108" s="32" t="s">
        <v>24890</v>
      </c>
      <c r="D9108" s="32" t="s">
        <v>24889</v>
      </c>
    </row>
    <row r="9109" spans="2:4" x14ac:dyDescent="0.3">
      <c r="B9109" s="33" t="s">
        <v>24891</v>
      </c>
      <c r="C9109" s="32" t="s">
        <v>24892</v>
      </c>
      <c r="D9109" s="32" t="s">
        <v>24893</v>
      </c>
    </row>
    <row r="9110" spans="2:4" x14ac:dyDescent="0.3">
      <c r="B9110" s="33" t="s">
        <v>24894</v>
      </c>
      <c r="C9110" s="32" t="s">
        <v>24895</v>
      </c>
      <c r="D9110" s="32" t="s">
        <v>24896</v>
      </c>
    </row>
    <row r="9111" spans="2:4" x14ac:dyDescent="0.3">
      <c r="B9111" s="33" t="s">
        <v>20588</v>
      </c>
      <c r="C9111" s="32" t="s">
        <v>36872</v>
      </c>
      <c r="D9111" s="32" t="s">
        <v>36873</v>
      </c>
    </row>
    <row r="9112" spans="2:4" x14ac:dyDescent="0.3">
      <c r="B9112" s="33" t="s">
        <v>24897</v>
      </c>
      <c r="C9112" s="32" t="s">
        <v>24898</v>
      </c>
      <c r="D9112" s="32" t="s">
        <v>24899</v>
      </c>
    </row>
    <row r="9113" spans="2:4" x14ac:dyDescent="0.3">
      <c r="B9113" s="33" t="s">
        <v>24683</v>
      </c>
      <c r="C9113" s="32" t="s">
        <v>24900</v>
      </c>
      <c r="D9113" s="32" t="s">
        <v>24901</v>
      </c>
    </row>
    <row r="9114" spans="2:4" x14ac:dyDescent="0.3">
      <c r="B9114" s="33" t="s">
        <v>3078</v>
      </c>
      <c r="C9114" s="32" t="s">
        <v>36874</v>
      </c>
      <c r="D9114" s="32" t="s">
        <v>36875</v>
      </c>
    </row>
    <row r="9115" spans="2:4" x14ac:dyDescent="0.3">
      <c r="B9115" s="33" t="s">
        <v>24902</v>
      </c>
      <c r="C9115" s="32" t="s">
        <v>24903</v>
      </c>
      <c r="D9115" s="32" t="s">
        <v>24904</v>
      </c>
    </row>
    <row r="9116" spans="2:4" x14ac:dyDescent="0.3">
      <c r="B9116" s="33" t="s">
        <v>24905</v>
      </c>
      <c r="C9116" s="32" t="s">
        <v>24906</v>
      </c>
      <c r="D9116" s="32" t="s">
        <v>24907</v>
      </c>
    </row>
    <row r="9117" spans="2:4" x14ac:dyDescent="0.3">
      <c r="B9117" s="33" t="s">
        <v>24908</v>
      </c>
      <c r="C9117" s="32" t="s">
        <v>24909</v>
      </c>
      <c r="D9117" s="32" t="s">
        <v>24910</v>
      </c>
    </row>
    <row r="9118" spans="2:4" x14ac:dyDescent="0.3">
      <c r="B9118" s="33" t="s">
        <v>10677</v>
      </c>
      <c r="C9118" s="32" t="s">
        <v>24911</v>
      </c>
      <c r="D9118" s="32" t="s">
        <v>24912</v>
      </c>
    </row>
    <row r="9119" spans="2:4" x14ac:dyDescent="0.3">
      <c r="B9119" s="33" t="s">
        <v>24913</v>
      </c>
      <c r="C9119" s="32" t="s">
        <v>24914</v>
      </c>
      <c r="D9119" s="32" t="s">
        <v>24915</v>
      </c>
    </row>
    <row r="9120" spans="2:4" x14ac:dyDescent="0.3">
      <c r="B9120" s="33" t="s">
        <v>24916</v>
      </c>
      <c r="C9120" s="32" t="s">
        <v>24917</v>
      </c>
      <c r="D9120" s="32" t="s">
        <v>24918</v>
      </c>
    </row>
    <row r="9121" spans="2:4" x14ac:dyDescent="0.3">
      <c r="B9121" s="33" t="s">
        <v>24919</v>
      </c>
      <c r="C9121" s="32" t="s">
        <v>24920</v>
      </c>
      <c r="D9121" s="32" t="s">
        <v>24921</v>
      </c>
    </row>
    <row r="9122" spans="2:4" x14ac:dyDescent="0.3">
      <c r="B9122" s="33" t="s">
        <v>24922</v>
      </c>
      <c r="C9122" s="32" t="s">
        <v>24923</v>
      </c>
      <c r="D9122" s="32" t="s">
        <v>24924</v>
      </c>
    </row>
    <row r="9123" spans="2:4" x14ac:dyDescent="0.3">
      <c r="B9123" s="33" t="s">
        <v>10677</v>
      </c>
      <c r="C9123" s="32" t="s">
        <v>24925</v>
      </c>
      <c r="D9123" s="32" t="s">
        <v>24926</v>
      </c>
    </row>
    <row r="9124" spans="2:4" x14ac:dyDescent="0.3">
      <c r="B9124" s="33" t="s">
        <v>24516</v>
      </c>
      <c r="C9124" s="32" t="s">
        <v>37422</v>
      </c>
      <c r="D9124" s="32" t="s">
        <v>37423</v>
      </c>
    </row>
    <row r="9125" spans="2:4" x14ac:dyDescent="0.3">
      <c r="B9125" s="33" t="s">
        <v>24927</v>
      </c>
      <c r="C9125" s="32" t="s">
        <v>24928</v>
      </c>
      <c r="D9125" s="32" t="s">
        <v>24929</v>
      </c>
    </row>
    <row r="9126" spans="2:4" x14ac:dyDescent="0.3">
      <c r="B9126" s="33" t="s">
        <v>24930</v>
      </c>
      <c r="C9126" s="32" t="s">
        <v>24931</v>
      </c>
      <c r="D9126" s="32" t="s">
        <v>24932</v>
      </c>
    </row>
    <row r="9127" spans="2:4" x14ac:dyDescent="0.3">
      <c r="B9127" s="33" t="s">
        <v>24933</v>
      </c>
      <c r="C9127" s="32" t="s">
        <v>24934</v>
      </c>
      <c r="D9127" s="32" t="s">
        <v>24935</v>
      </c>
    </row>
    <row r="9128" spans="2:4" x14ac:dyDescent="0.3">
      <c r="B9128" s="33" t="s">
        <v>24936</v>
      </c>
      <c r="C9128" s="32" t="s">
        <v>24937</v>
      </c>
      <c r="D9128" s="32" t="s">
        <v>24938</v>
      </c>
    </row>
    <row r="9129" spans="2:4" x14ac:dyDescent="0.3">
      <c r="B9129" s="33" t="s">
        <v>24939</v>
      </c>
      <c r="C9129" s="32" t="s">
        <v>24940</v>
      </c>
      <c r="D9129" s="32" t="s">
        <v>24939</v>
      </c>
    </row>
    <row r="9130" spans="2:4" x14ac:dyDescent="0.3">
      <c r="B9130" s="33" t="s">
        <v>24941</v>
      </c>
      <c r="C9130" s="32" t="s">
        <v>24942</v>
      </c>
      <c r="D9130" s="32" t="s">
        <v>24943</v>
      </c>
    </row>
    <row r="9131" spans="2:4" x14ac:dyDescent="0.3">
      <c r="B9131" s="33" t="s">
        <v>24944</v>
      </c>
      <c r="C9131" s="32" t="s">
        <v>24945</v>
      </c>
      <c r="D9131" s="32" t="s">
        <v>24946</v>
      </c>
    </row>
    <row r="9132" spans="2:4" x14ac:dyDescent="0.3">
      <c r="B9132" s="33" t="s">
        <v>24947</v>
      </c>
      <c r="C9132" s="32" t="s">
        <v>24948</v>
      </c>
      <c r="D9132" s="32" t="s">
        <v>24949</v>
      </c>
    </row>
    <row r="9133" spans="2:4" x14ac:dyDescent="0.3">
      <c r="B9133" s="33" t="s">
        <v>24950</v>
      </c>
      <c r="C9133" s="32" t="s">
        <v>24951</v>
      </c>
      <c r="D9133" s="32" t="s">
        <v>24952</v>
      </c>
    </row>
    <row r="9134" spans="2:4" x14ac:dyDescent="0.3">
      <c r="B9134" s="33" t="s">
        <v>24953</v>
      </c>
      <c r="C9134" s="32" t="s">
        <v>24954</v>
      </c>
      <c r="D9134" s="32" t="s">
        <v>24955</v>
      </c>
    </row>
    <row r="9135" spans="2:4" x14ac:dyDescent="0.3">
      <c r="B9135" s="33" t="s">
        <v>24956</v>
      </c>
      <c r="C9135" s="32" t="s">
        <v>24957</v>
      </c>
      <c r="D9135" s="32" t="s">
        <v>24958</v>
      </c>
    </row>
    <row r="9136" spans="2:4" x14ac:dyDescent="0.3">
      <c r="B9136" s="33" t="s">
        <v>24959</v>
      </c>
      <c r="C9136" s="32" t="s">
        <v>24960</v>
      </c>
      <c r="D9136" s="32" t="s">
        <v>24961</v>
      </c>
    </row>
    <row r="9137" spans="2:4" x14ac:dyDescent="0.3">
      <c r="B9137" s="33" t="s">
        <v>24962</v>
      </c>
      <c r="C9137" s="32" t="s">
        <v>24963</v>
      </c>
      <c r="D9137" s="32" t="s">
        <v>24964</v>
      </c>
    </row>
    <row r="9138" spans="2:4" x14ac:dyDescent="0.3">
      <c r="B9138" s="33" t="s">
        <v>24822</v>
      </c>
      <c r="C9138" s="32" t="s">
        <v>24965</v>
      </c>
      <c r="D9138" s="32" t="s">
        <v>24966</v>
      </c>
    </row>
    <row r="9139" spans="2:4" x14ac:dyDescent="0.3">
      <c r="B9139" s="33" t="s">
        <v>24967</v>
      </c>
      <c r="C9139" s="32" t="s">
        <v>24968</v>
      </c>
      <c r="D9139" s="32" t="s">
        <v>24969</v>
      </c>
    </row>
    <row r="9140" spans="2:4" x14ac:dyDescent="0.3">
      <c r="B9140" s="33" t="s">
        <v>24970</v>
      </c>
      <c r="C9140" s="32" t="s">
        <v>24971</v>
      </c>
      <c r="D9140" s="32" t="s">
        <v>24972</v>
      </c>
    </row>
    <row r="9141" spans="2:4" x14ac:dyDescent="0.3">
      <c r="B9141" s="33" t="s">
        <v>24973</v>
      </c>
      <c r="C9141" s="32" t="s">
        <v>24974</v>
      </c>
      <c r="D9141" s="32" t="s">
        <v>24975</v>
      </c>
    </row>
    <row r="9142" spans="2:4" x14ac:dyDescent="0.3">
      <c r="B9142" s="33" t="s">
        <v>24976</v>
      </c>
      <c r="C9142" s="32" t="s">
        <v>24977</v>
      </c>
      <c r="D9142" s="32" t="s">
        <v>24978</v>
      </c>
    </row>
    <row r="9143" spans="2:4" x14ac:dyDescent="0.3">
      <c r="B9143" s="33" t="s">
        <v>24979</v>
      </c>
      <c r="C9143" s="32" t="s">
        <v>24980</v>
      </c>
      <c r="D9143" s="32" t="s">
        <v>24981</v>
      </c>
    </row>
    <row r="9144" spans="2:4" x14ac:dyDescent="0.3">
      <c r="B9144" s="33" t="s">
        <v>24982</v>
      </c>
      <c r="C9144" s="32" t="s">
        <v>24983</v>
      </c>
      <c r="D9144" s="32" t="s">
        <v>24984</v>
      </c>
    </row>
    <row r="9145" spans="2:4" x14ac:dyDescent="0.3">
      <c r="B9145" s="33" t="s">
        <v>24985</v>
      </c>
      <c r="C9145" s="32" t="s">
        <v>24986</v>
      </c>
      <c r="D9145" s="32" t="s">
        <v>24987</v>
      </c>
    </row>
    <row r="9146" spans="2:4" x14ac:dyDescent="0.3">
      <c r="B9146" s="33" t="s">
        <v>24988</v>
      </c>
      <c r="C9146" s="32" t="s">
        <v>24989</v>
      </c>
      <c r="D9146" s="32" t="s">
        <v>24990</v>
      </c>
    </row>
    <row r="9147" spans="2:4" x14ac:dyDescent="0.3">
      <c r="B9147" s="33" t="s">
        <v>24991</v>
      </c>
      <c r="C9147" s="32" t="s">
        <v>24992</v>
      </c>
      <c r="D9147" s="32" t="s">
        <v>24993</v>
      </c>
    </row>
    <row r="9148" spans="2:4" x14ac:dyDescent="0.3">
      <c r="B9148" s="33" t="s">
        <v>24994</v>
      </c>
      <c r="C9148" s="32" t="s">
        <v>24995</v>
      </c>
      <c r="D9148" s="32" t="s">
        <v>24996</v>
      </c>
    </row>
    <row r="9149" spans="2:4" x14ac:dyDescent="0.3">
      <c r="B9149" s="33" t="s">
        <v>24997</v>
      </c>
      <c r="C9149" s="32" t="s">
        <v>24998</v>
      </c>
      <c r="D9149" s="32" t="s">
        <v>24997</v>
      </c>
    </row>
    <row r="9150" spans="2:4" x14ac:dyDescent="0.3">
      <c r="B9150" s="33" t="s">
        <v>24999</v>
      </c>
      <c r="C9150" s="32" t="s">
        <v>25000</v>
      </c>
      <c r="D9150" s="32" t="s">
        <v>25001</v>
      </c>
    </row>
    <row r="9151" spans="2:4" x14ac:dyDescent="0.3">
      <c r="B9151" s="33" t="s">
        <v>25002</v>
      </c>
      <c r="C9151" s="32" t="s">
        <v>25003</v>
      </c>
      <c r="D9151" s="32" t="s">
        <v>25004</v>
      </c>
    </row>
    <row r="9152" spans="2:4" x14ac:dyDescent="0.3">
      <c r="B9152" s="33" t="s">
        <v>25005</v>
      </c>
      <c r="C9152" s="32" t="s">
        <v>25006</v>
      </c>
      <c r="D9152" s="32" t="s">
        <v>25007</v>
      </c>
    </row>
    <row r="9153" spans="2:4" x14ac:dyDescent="0.3">
      <c r="B9153" s="33" t="s">
        <v>17054</v>
      </c>
      <c r="C9153" s="32" t="s">
        <v>25008</v>
      </c>
      <c r="D9153" s="32" t="s">
        <v>25009</v>
      </c>
    </row>
    <row r="9154" spans="2:4" x14ac:dyDescent="0.3">
      <c r="B9154" s="33" t="s">
        <v>25010</v>
      </c>
      <c r="C9154" s="32" t="s">
        <v>25011</v>
      </c>
      <c r="D9154" s="32" t="s">
        <v>25012</v>
      </c>
    </row>
    <row r="9155" spans="2:4" x14ac:dyDescent="0.3">
      <c r="B9155" s="33" t="s">
        <v>25013</v>
      </c>
      <c r="C9155" s="32" t="s">
        <v>25014</v>
      </c>
      <c r="D9155" s="32" t="s">
        <v>25015</v>
      </c>
    </row>
    <row r="9156" spans="2:4" x14ac:dyDescent="0.3">
      <c r="B9156" s="33" t="s">
        <v>25016</v>
      </c>
      <c r="C9156" s="32" t="s">
        <v>25017</v>
      </c>
      <c r="D9156" s="32" t="s">
        <v>25018</v>
      </c>
    </row>
    <row r="9157" spans="2:4" x14ac:dyDescent="0.3">
      <c r="B9157" s="33" t="s">
        <v>25019</v>
      </c>
      <c r="C9157" s="32" t="s">
        <v>25020</v>
      </c>
      <c r="D9157" s="32" t="s">
        <v>25021</v>
      </c>
    </row>
    <row r="9158" spans="2:4" x14ac:dyDescent="0.3">
      <c r="B9158" s="33" t="s">
        <v>25022</v>
      </c>
      <c r="C9158" s="32" t="s">
        <v>25023</v>
      </c>
      <c r="D9158" s="32" t="s">
        <v>25024</v>
      </c>
    </row>
    <row r="9159" spans="2:4" x14ac:dyDescent="0.3">
      <c r="B9159" s="33" t="s">
        <v>25025</v>
      </c>
      <c r="C9159" s="32" t="s">
        <v>25026</v>
      </c>
      <c r="D9159" s="32" t="s">
        <v>25027</v>
      </c>
    </row>
    <row r="9160" spans="2:4" x14ac:dyDescent="0.3">
      <c r="B9160" s="33" t="s">
        <v>25028</v>
      </c>
      <c r="C9160" s="32" t="s">
        <v>25029</v>
      </c>
      <c r="D9160" s="32" t="s">
        <v>25030</v>
      </c>
    </row>
    <row r="9161" spans="2:4" x14ac:dyDescent="0.3">
      <c r="B9161" s="33" t="s">
        <v>25022</v>
      </c>
      <c r="C9161" s="32" t="s">
        <v>25031</v>
      </c>
      <c r="D9161" s="32" t="s">
        <v>25032</v>
      </c>
    </row>
    <row r="9162" spans="2:4" x14ac:dyDescent="0.3">
      <c r="B9162" s="33" t="s">
        <v>25022</v>
      </c>
      <c r="C9162" s="32" t="s">
        <v>25033</v>
      </c>
      <c r="D9162" s="32" t="s">
        <v>25022</v>
      </c>
    </row>
    <row r="9163" spans="2:4" x14ac:dyDescent="0.3">
      <c r="B9163" s="33" t="s">
        <v>25034</v>
      </c>
      <c r="C9163" s="32" t="s">
        <v>25035</v>
      </c>
      <c r="D9163" s="32" t="s">
        <v>25036</v>
      </c>
    </row>
    <row r="9164" spans="2:4" x14ac:dyDescent="0.3">
      <c r="B9164" s="33" t="s">
        <v>24970</v>
      </c>
      <c r="C9164" s="32" t="s">
        <v>25037</v>
      </c>
      <c r="D9164" s="32" t="s">
        <v>24970</v>
      </c>
    </row>
    <row r="9165" spans="2:4" x14ac:dyDescent="0.3">
      <c r="B9165" s="33" t="s">
        <v>24741</v>
      </c>
      <c r="C9165" s="32" t="s">
        <v>25038</v>
      </c>
      <c r="D9165" s="32" t="s">
        <v>25039</v>
      </c>
    </row>
    <row r="9166" spans="2:4" x14ac:dyDescent="0.3">
      <c r="B9166" s="33" t="s">
        <v>25040</v>
      </c>
      <c r="C9166" s="32" t="s">
        <v>25041</v>
      </c>
      <c r="D9166" s="32" t="s">
        <v>25042</v>
      </c>
    </row>
    <row r="9167" spans="2:4" x14ac:dyDescent="0.3">
      <c r="B9167" s="33" t="s">
        <v>25043</v>
      </c>
      <c r="C9167" s="32" t="s">
        <v>25044</v>
      </c>
      <c r="D9167" s="32" t="s">
        <v>25045</v>
      </c>
    </row>
    <row r="9168" spans="2:4" x14ac:dyDescent="0.3">
      <c r="B9168" s="33" t="s">
        <v>25043</v>
      </c>
      <c r="C9168" s="32" t="s">
        <v>25046</v>
      </c>
      <c r="D9168" s="32" t="s">
        <v>25047</v>
      </c>
    </row>
    <row r="9169" spans="2:4" x14ac:dyDescent="0.3">
      <c r="B9169" s="33" t="s">
        <v>2499</v>
      </c>
      <c r="C9169" s="32" t="s">
        <v>25048</v>
      </c>
      <c r="D9169" s="32" t="s">
        <v>25049</v>
      </c>
    </row>
    <row r="9170" spans="2:4" x14ac:dyDescent="0.3">
      <c r="B9170" s="33" t="s">
        <v>25050</v>
      </c>
      <c r="C9170" s="32" t="s">
        <v>25051</v>
      </c>
      <c r="D9170" s="32" t="s">
        <v>25052</v>
      </c>
    </row>
    <row r="9171" spans="2:4" x14ac:dyDescent="0.3">
      <c r="B9171" s="33" t="s">
        <v>25054</v>
      </c>
      <c r="C9171" s="32" t="s">
        <v>25055</v>
      </c>
      <c r="D9171" s="32" t="s">
        <v>25056</v>
      </c>
    </row>
    <row r="9172" spans="2:4" x14ac:dyDescent="0.3">
      <c r="B9172" s="33" t="s">
        <v>25057</v>
      </c>
      <c r="C9172" s="32" t="s">
        <v>25058</v>
      </c>
      <c r="D9172" s="32" t="s">
        <v>25059</v>
      </c>
    </row>
    <row r="9173" spans="2:4" x14ac:dyDescent="0.3">
      <c r="B9173" s="33" t="s">
        <v>25060</v>
      </c>
      <c r="C9173" s="32" t="s">
        <v>25061</v>
      </c>
      <c r="D9173" s="32" t="s">
        <v>25062</v>
      </c>
    </row>
    <row r="9174" spans="2:4" x14ac:dyDescent="0.3">
      <c r="B9174" s="33" t="s">
        <v>25063</v>
      </c>
      <c r="C9174" s="32" t="s">
        <v>25064</v>
      </c>
      <c r="D9174" s="32" t="s">
        <v>25065</v>
      </c>
    </row>
    <row r="9175" spans="2:4" x14ac:dyDescent="0.3">
      <c r="B9175" s="33" t="s">
        <v>25066</v>
      </c>
      <c r="C9175" s="32" t="s">
        <v>25067</v>
      </c>
      <c r="D9175" s="32" t="s">
        <v>25068</v>
      </c>
    </row>
    <row r="9176" spans="2:4" x14ac:dyDescent="0.3">
      <c r="B9176" s="33" t="s">
        <v>25069</v>
      </c>
      <c r="C9176" s="32" t="s">
        <v>25070</v>
      </c>
      <c r="D9176" s="32" t="s">
        <v>25071</v>
      </c>
    </row>
    <row r="9177" spans="2:4" x14ac:dyDescent="0.3">
      <c r="B9177" s="33" t="s">
        <v>25072</v>
      </c>
      <c r="C9177" s="32" t="s">
        <v>25073</v>
      </c>
      <c r="D9177" s="32" t="s">
        <v>25074</v>
      </c>
    </row>
    <row r="9178" spans="2:4" x14ac:dyDescent="0.3">
      <c r="B9178" s="33" t="s">
        <v>25075</v>
      </c>
      <c r="C9178" s="32" t="s">
        <v>25076</v>
      </c>
      <c r="D9178" s="32" t="s">
        <v>25077</v>
      </c>
    </row>
    <row r="9179" spans="2:4" x14ac:dyDescent="0.3">
      <c r="B9179" s="33" t="s">
        <v>25078</v>
      </c>
      <c r="C9179" s="32" t="s">
        <v>25079</v>
      </c>
      <c r="D9179" s="32" t="s">
        <v>25080</v>
      </c>
    </row>
    <row r="9180" spans="2:4" x14ac:dyDescent="0.3">
      <c r="B9180" s="33" t="s">
        <v>25081</v>
      </c>
      <c r="C9180" s="32" t="s">
        <v>25082</v>
      </c>
      <c r="D9180" s="32" t="s">
        <v>25083</v>
      </c>
    </row>
    <row r="9181" spans="2:4" x14ac:dyDescent="0.3">
      <c r="B9181" s="33" t="s">
        <v>4906</v>
      </c>
      <c r="C9181" s="32" t="s">
        <v>25084</v>
      </c>
      <c r="D9181" s="32" t="s">
        <v>25085</v>
      </c>
    </row>
    <row r="9182" spans="2:4" x14ac:dyDescent="0.3">
      <c r="B9182" s="33" t="s">
        <v>24183</v>
      </c>
      <c r="C9182" s="32" t="s">
        <v>25086</v>
      </c>
      <c r="D9182" s="32" t="s">
        <v>25087</v>
      </c>
    </row>
    <row r="9183" spans="2:4" x14ac:dyDescent="0.3">
      <c r="B9183" s="33" t="s">
        <v>4201</v>
      </c>
      <c r="C9183" s="32" t="s">
        <v>25088</v>
      </c>
      <c r="D9183" s="32" t="s">
        <v>25089</v>
      </c>
    </row>
    <row r="9184" spans="2:4" x14ac:dyDescent="0.3">
      <c r="B9184" s="33" t="s">
        <v>25090</v>
      </c>
      <c r="C9184" s="32" t="s">
        <v>25091</v>
      </c>
      <c r="D9184" s="32" t="s">
        <v>25092</v>
      </c>
    </row>
    <row r="9185" spans="2:4" x14ac:dyDescent="0.3">
      <c r="B9185" s="33" t="s">
        <v>25093</v>
      </c>
      <c r="C9185" s="32" t="s">
        <v>25094</v>
      </c>
      <c r="D9185" s="32" t="s">
        <v>25095</v>
      </c>
    </row>
    <row r="9186" spans="2:4" x14ac:dyDescent="0.3">
      <c r="B9186" s="33" t="s">
        <v>18860</v>
      </c>
      <c r="C9186" s="32" t="s">
        <v>25096</v>
      </c>
      <c r="D9186" s="32" t="s">
        <v>25097</v>
      </c>
    </row>
    <row r="9187" spans="2:4" x14ac:dyDescent="0.3">
      <c r="B9187" s="33" t="s">
        <v>25098</v>
      </c>
      <c r="C9187" s="32" t="s">
        <v>25099</v>
      </c>
      <c r="D9187" s="32" t="s">
        <v>25100</v>
      </c>
    </row>
    <row r="9188" spans="2:4" x14ac:dyDescent="0.3">
      <c r="B9188" s="33" t="s">
        <v>19249</v>
      </c>
      <c r="C9188" s="32" t="s">
        <v>25101</v>
      </c>
      <c r="D9188" s="32" t="s">
        <v>25102</v>
      </c>
    </row>
    <row r="9189" spans="2:4" x14ac:dyDescent="0.3">
      <c r="B9189" s="33" t="s">
        <v>25103</v>
      </c>
      <c r="C9189" s="32" t="s">
        <v>25104</v>
      </c>
      <c r="D9189" s="32" t="s">
        <v>25105</v>
      </c>
    </row>
    <row r="9190" spans="2:4" x14ac:dyDescent="0.3">
      <c r="B9190" s="33" t="s">
        <v>24104</v>
      </c>
      <c r="C9190" s="32" t="s">
        <v>25106</v>
      </c>
      <c r="D9190" s="32" t="s">
        <v>25107</v>
      </c>
    </row>
    <row r="9191" spans="2:4" x14ac:dyDescent="0.3">
      <c r="B9191" s="33" t="s">
        <v>24104</v>
      </c>
      <c r="C9191" s="32" t="s">
        <v>25108</v>
      </c>
      <c r="D9191" s="32" t="s">
        <v>25109</v>
      </c>
    </row>
    <row r="9192" spans="2:4" x14ac:dyDescent="0.3">
      <c r="B9192" s="33" t="s">
        <v>25110</v>
      </c>
      <c r="C9192" s="32" t="s">
        <v>25111</v>
      </c>
      <c r="D9192" s="32" t="s">
        <v>25112</v>
      </c>
    </row>
    <row r="9193" spans="2:4" x14ac:dyDescent="0.3">
      <c r="B9193" s="33" t="s">
        <v>25043</v>
      </c>
      <c r="C9193" s="32" t="s">
        <v>25113</v>
      </c>
      <c r="D9193" s="32" t="s">
        <v>25114</v>
      </c>
    </row>
    <row r="9194" spans="2:4" x14ac:dyDescent="0.3">
      <c r="B9194" s="33" t="s">
        <v>3139</v>
      </c>
      <c r="C9194" s="32" t="s">
        <v>25115</v>
      </c>
      <c r="D9194" s="32" t="s">
        <v>25116</v>
      </c>
    </row>
    <row r="9195" spans="2:4" x14ac:dyDescent="0.3">
      <c r="B9195" s="33" t="s">
        <v>25043</v>
      </c>
      <c r="C9195" s="32" t="s">
        <v>25117</v>
      </c>
      <c r="D9195" s="32" t="s">
        <v>25118</v>
      </c>
    </row>
    <row r="9196" spans="2:4" x14ac:dyDescent="0.3">
      <c r="B9196" s="33" t="s">
        <v>25119</v>
      </c>
      <c r="C9196" s="32" t="s">
        <v>25120</v>
      </c>
      <c r="D9196" s="32" t="s">
        <v>25121</v>
      </c>
    </row>
    <row r="9197" spans="2:4" x14ac:dyDescent="0.3">
      <c r="B9197" s="33" t="s">
        <v>25122</v>
      </c>
      <c r="C9197" s="32" t="s">
        <v>25123</v>
      </c>
      <c r="D9197" s="32" t="s">
        <v>25124</v>
      </c>
    </row>
    <row r="9198" spans="2:4" x14ac:dyDescent="0.3">
      <c r="B9198" s="33" t="s">
        <v>25125</v>
      </c>
      <c r="C9198" s="32" t="s">
        <v>25126</v>
      </c>
      <c r="D9198" s="32" t="s">
        <v>25127</v>
      </c>
    </row>
    <row r="9199" spans="2:4" x14ac:dyDescent="0.3">
      <c r="B9199" s="33" t="s">
        <v>25128</v>
      </c>
      <c r="C9199" s="32" t="s">
        <v>25129</v>
      </c>
      <c r="D9199" s="32" t="s">
        <v>25130</v>
      </c>
    </row>
    <row r="9200" spans="2:4" x14ac:dyDescent="0.3">
      <c r="B9200" s="33" t="s">
        <v>25131</v>
      </c>
      <c r="C9200" s="32" t="s">
        <v>25132</v>
      </c>
      <c r="D9200" s="32" t="s">
        <v>25133</v>
      </c>
    </row>
    <row r="9201" spans="2:4" x14ac:dyDescent="0.3">
      <c r="B9201" s="33" t="s">
        <v>25134</v>
      </c>
      <c r="C9201" s="32" t="s">
        <v>25135</v>
      </c>
      <c r="D9201" s="32" t="s">
        <v>25136</v>
      </c>
    </row>
    <row r="9202" spans="2:4" x14ac:dyDescent="0.3">
      <c r="B9202" s="33" t="s">
        <v>25137</v>
      </c>
      <c r="C9202" s="32" t="s">
        <v>25138</v>
      </c>
      <c r="D9202" s="32" t="s">
        <v>25139</v>
      </c>
    </row>
    <row r="9203" spans="2:4" x14ac:dyDescent="0.3">
      <c r="B9203" s="33" t="s">
        <v>25140</v>
      </c>
      <c r="C9203" s="32" t="s">
        <v>25141</v>
      </c>
      <c r="D9203" s="32" t="s">
        <v>25142</v>
      </c>
    </row>
    <row r="9204" spans="2:4" x14ac:dyDescent="0.3">
      <c r="B9204" s="33" t="s">
        <v>25143</v>
      </c>
      <c r="C9204" s="32" t="s">
        <v>25144</v>
      </c>
      <c r="D9204" s="32" t="s">
        <v>25145</v>
      </c>
    </row>
    <row r="9205" spans="2:4" x14ac:dyDescent="0.3">
      <c r="B9205" s="33" t="s">
        <v>24970</v>
      </c>
      <c r="C9205" s="32" t="s">
        <v>25146</v>
      </c>
      <c r="D9205" s="32" t="s">
        <v>25147</v>
      </c>
    </row>
    <row r="9206" spans="2:4" x14ac:dyDescent="0.3">
      <c r="B9206" s="33" t="s">
        <v>25148</v>
      </c>
      <c r="C9206" s="32" t="s">
        <v>25149</v>
      </c>
      <c r="D9206" s="32" t="s">
        <v>25150</v>
      </c>
    </row>
    <row r="9207" spans="2:4" x14ac:dyDescent="0.3">
      <c r="B9207" s="33" t="s">
        <v>3139</v>
      </c>
      <c r="C9207" s="32" t="s">
        <v>25151</v>
      </c>
      <c r="D9207" s="32" t="s">
        <v>25152</v>
      </c>
    </row>
    <row r="9208" spans="2:4" x14ac:dyDescent="0.3">
      <c r="B9208" s="33" t="s">
        <v>25153</v>
      </c>
      <c r="C9208" s="32" t="s">
        <v>25154</v>
      </c>
      <c r="D9208" s="32" t="s">
        <v>25155</v>
      </c>
    </row>
    <row r="9209" spans="2:4" x14ac:dyDescent="0.3">
      <c r="B9209" s="33" t="s">
        <v>24455</v>
      </c>
      <c r="C9209" s="32" t="s">
        <v>25156</v>
      </c>
      <c r="D9209" s="32" t="s">
        <v>25157</v>
      </c>
    </row>
    <row r="9210" spans="2:4" x14ac:dyDescent="0.3">
      <c r="B9210" s="33" t="s">
        <v>25158</v>
      </c>
      <c r="C9210" s="32" t="s">
        <v>25159</v>
      </c>
      <c r="D9210" s="32" t="s">
        <v>25160</v>
      </c>
    </row>
    <row r="9211" spans="2:4" x14ac:dyDescent="0.3">
      <c r="B9211" s="33" t="s">
        <v>25161</v>
      </c>
      <c r="C9211" s="32" t="s">
        <v>25162</v>
      </c>
      <c r="D9211" s="32" t="s">
        <v>25163</v>
      </c>
    </row>
    <row r="9212" spans="2:4" x14ac:dyDescent="0.3">
      <c r="B9212" s="33" t="s">
        <v>25164</v>
      </c>
      <c r="C9212" s="32" t="s">
        <v>25165</v>
      </c>
      <c r="D9212" s="32" t="s">
        <v>25166</v>
      </c>
    </row>
    <row r="9213" spans="2:4" x14ac:dyDescent="0.3">
      <c r="B9213" s="33" t="s">
        <v>25167</v>
      </c>
      <c r="C9213" s="32" t="s">
        <v>25168</v>
      </c>
      <c r="D9213" s="32" t="s">
        <v>25169</v>
      </c>
    </row>
    <row r="9214" spans="2:4" x14ac:dyDescent="0.3">
      <c r="B9214" s="33" t="s">
        <v>25170</v>
      </c>
      <c r="C9214" s="32" t="s">
        <v>25171</v>
      </c>
      <c r="D9214" s="32" t="s">
        <v>25172</v>
      </c>
    </row>
    <row r="9215" spans="2:4" x14ac:dyDescent="0.3">
      <c r="B9215" s="33" t="s">
        <v>25173</v>
      </c>
      <c r="C9215" s="32" t="s">
        <v>25174</v>
      </c>
      <c r="D9215" s="32" t="s">
        <v>25175</v>
      </c>
    </row>
    <row r="9216" spans="2:4" x14ac:dyDescent="0.3">
      <c r="B9216" s="33" t="s">
        <v>25176</v>
      </c>
      <c r="C9216" s="32" t="s">
        <v>25177</v>
      </c>
      <c r="D9216" s="32" t="s">
        <v>25178</v>
      </c>
    </row>
    <row r="9217" spans="2:4" x14ac:dyDescent="0.3">
      <c r="B9217" s="33" t="s">
        <v>25179</v>
      </c>
      <c r="C9217" s="32" t="s">
        <v>25180</v>
      </c>
      <c r="D9217" s="32" t="s">
        <v>25181</v>
      </c>
    </row>
    <row r="9218" spans="2:4" x14ac:dyDescent="0.3">
      <c r="B9218" s="33" t="s">
        <v>25182</v>
      </c>
      <c r="C9218" s="32" t="s">
        <v>25183</v>
      </c>
      <c r="D9218" s="32" t="s">
        <v>25184</v>
      </c>
    </row>
    <row r="9219" spans="2:4" x14ac:dyDescent="0.3">
      <c r="B9219" s="33" t="s">
        <v>25185</v>
      </c>
      <c r="C9219" s="32" t="s">
        <v>25186</v>
      </c>
      <c r="D9219" s="32" t="s">
        <v>25187</v>
      </c>
    </row>
    <row r="9220" spans="2:4" x14ac:dyDescent="0.3">
      <c r="B9220" s="33" t="s">
        <v>25188</v>
      </c>
      <c r="C9220" s="32" t="s">
        <v>25189</v>
      </c>
      <c r="D9220" s="32" t="s">
        <v>25190</v>
      </c>
    </row>
    <row r="9221" spans="2:4" x14ac:dyDescent="0.3">
      <c r="B9221" s="33" t="s">
        <v>25191</v>
      </c>
      <c r="C9221" s="32" t="s">
        <v>25192</v>
      </c>
      <c r="D9221" s="32" t="s">
        <v>25193</v>
      </c>
    </row>
    <row r="9222" spans="2:4" x14ac:dyDescent="0.3">
      <c r="B9222" s="33" t="s">
        <v>25194</v>
      </c>
      <c r="C9222" s="32" t="s">
        <v>25195</v>
      </c>
      <c r="D9222" s="32" t="s">
        <v>25196</v>
      </c>
    </row>
    <row r="9223" spans="2:4" x14ac:dyDescent="0.3">
      <c r="B9223" s="33" t="s">
        <v>25197</v>
      </c>
      <c r="C9223" s="32" t="s">
        <v>25198</v>
      </c>
      <c r="D9223" s="32" t="s">
        <v>25197</v>
      </c>
    </row>
    <row r="9224" spans="2:4" x14ac:dyDescent="0.3">
      <c r="B9224" s="33" t="s">
        <v>25199</v>
      </c>
      <c r="C9224" s="32" t="s">
        <v>25200</v>
      </c>
      <c r="D9224" s="32" t="s">
        <v>25201</v>
      </c>
    </row>
    <row r="9225" spans="2:4" x14ac:dyDescent="0.3">
      <c r="B9225" s="33" t="s">
        <v>11040</v>
      </c>
      <c r="C9225" s="32" t="s">
        <v>25202</v>
      </c>
      <c r="D9225" s="32" t="s">
        <v>25203</v>
      </c>
    </row>
    <row r="9226" spans="2:4" x14ac:dyDescent="0.3">
      <c r="B9226" s="33" t="s">
        <v>25182</v>
      </c>
      <c r="C9226" s="32" t="s">
        <v>25204</v>
      </c>
      <c r="D9226" s="32" t="s">
        <v>25205</v>
      </c>
    </row>
    <row r="9227" spans="2:4" x14ac:dyDescent="0.3">
      <c r="B9227" s="33" t="s">
        <v>25206</v>
      </c>
      <c r="C9227" s="32" t="s">
        <v>25207</v>
      </c>
      <c r="D9227" s="32" t="s">
        <v>25208</v>
      </c>
    </row>
    <row r="9228" spans="2:4" x14ac:dyDescent="0.3">
      <c r="B9228" s="33" t="s">
        <v>25209</v>
      </c>
      <c r="C9228" s="32" t="s">
        <v>25210</v>
      </c>
      <c r="D9228" s="32" t="s">
        <v>25211</v>
      </c>
    </row>
    <row r="9229" spans="2:4" x14ac:dyDescent="0.3">
      <c r="B9229" s="33" t="s">
        <v>25212</v>
      </c>
      <c r="C9229" s="32" t="s">
        <v>25213</v>
      </c>
      <c r="D9229" s="32" t="s">
        <v>25214</v>
      </c>
    </row>
    <row r="9230" spans="2:4" x14ac:dyDescent="0.3">
      <c r="B9230" s="33" t="s">
        <v>25182</v>
      </c>
      <c r="C9230" s="32" t="s">
        <v>25215</v>
      </c>
      <c r="D9230" s="32" t="s">
        <v>25216</v>
      </c>
    </row>
    <row r="9231" spans="2:4" x14ac:dyDescent="0.3">
      <c r="B9231" s="33" t="s">
        <v>25217</v>
      </c>
      <c r="C9231" s="32" t="s">
        <v>25218</v>
      </c>
      <c r="D9231" s="32" t="s">
        <v>25219</v>
      </c>
    </row>
    <row r="9232" spans="2:4" x14ac:dyDescent="0.3">
      <c r="B9232" s="33" t="s">
        <v>25220</v>
      </c>
      <c r="C9232" s="32" t="s">
        <v>25221</v>
      </c>
      <c r="D9232" s="32" t="s">
        <v>25222</v>
      </c>
    </row>
    <row r="9233" spans="2:4" x14ac:dyDescent="0.3">
      <c r="B9233" s="33" t="s">
        <v>25223</v>
      </c>
      <c r="C9233" s="32" t="s">
        <v>25224</v>
      </c>
      <c r="D9233" s="32" t="s">
        <v>25225</v>
      </c>
    </row>
    <row r="9234" spans="2:4" x14ac:dyDescent="0.3">
      <c r="B9234" s="33" t="s">
        <v>25226</v>
      </c>
      <c r="C9234" s="32" t="s">
        <v>25227</v>
      </c>
      <c r="D9234" s="32" t="s">
        <v>25228</v>
      </c>
    </row>
    <row r="9235" spans="2:4" x14ac:dyDescent="0.3">
      <c r="B9235" s="33" t="s">
        <v>25229</v>
      </c>
      <c r="C9235" s="32" t="s">
        <v>25230</v>
      </c>
      <c r="D9235" s="32" t="s">
        <v>25231</v>
      </c>
    </row>
    <row r="9236" spans="2:4" x14ac:dyDescent="0.3">
      <c r="B9236" s="33" t="s">
        <v>25081</v>
      </c>
      <c r="C9236" s="32" t="s">
        <v>25232</v>
      </c>
      <c r="D9236" s="32" t="s">
        <v>25233</v>
      </c>
    </row>
    <row r="9237" spans="2:4" x14ac:dyDescent="0.3">
      <c r="B9237" s="33" t="s">
        <v>24127</v>
      </c>
      <c r="C9237" s="32" t="s">
        <v>25234</v>
      </c>
      <c r="D9237" s="32" t="s">
        <v>25235</v>
      </c>
    </row>
    <row r="9238" spans="2:4" x14ac:dyDescent="0.3">
      <c r="B9238" s="33" t="s">
        <v>25236</v>
      </c>
      <c r="C9238" s="32" t="s">
        <v>25237</v>
      </c>
      <c r="D9238" s="32" t="s">
        <v>25238</v>
      </c>
    </row>
    <row r="9239" spans="2:4" x14ac:dyDescent="0.3">
      <c r="B9239" s="33" t="s">
        <v>25170</v>
      </c>
      <c r="C9239" s="32" t="s">
        <v>25239</v>
      </c>
      <c r="D9239" s="32" t="s">
        <v>25240</v>
      </c>
    </row>
    <row r="9240" spans="2:4" x14ac:dyDescent="0.3">
      <c r="B9240" s="33" t="s">
        <v>25241</v>
      </c>
      <c r="C9240" s="32" t="s">
        <v>25242</v>
      </c>
      <c r="D9240" s="32" t="s">
        <v>25243</v>
      </c>
    </row>
    <row r="9241" spans="2:4" x14ac:dyDescent="0.3">
      <c r="B9241" s="33" t="s">
        <v>25244</v>
      </c>
      <c r="C9241" s="32" t="s">
        <v>25245</v>
      </c>
      <c r="D9241" s="32" t="s">
        <v>25246</v>
      </c>
    </row>
    <row r="9242" spans="2:4" x14ac:dyDescent="0.3">
      <c r="B9242" s="33" t="s">
        <v>16936</v>
      </c>
      <c r="C9242" s="32" t="s">
        <v>25247</v>
      </c>
      <c r="D9242" s="32" t="s">
        <v>25248</v>
      </c>
    </row>
    <row r="9243" spans="2:4" x14ac:dyDescent="0.3">
      <c r="B9243" s="33" t="s">
        <v>25249</v>
      </c>
      <c r="C9243" s="32" t="s">
        <v>25250</v>
      </c>
      <c r="D9243" s="32" t="s">
        <v>25251</v>
      </c>
    </row>
    <row r="9244" spans="2:4" x14ac:dyDescent="0.3">
      <c r="B9244" s="33" t="s">
        <v>24714</v>
      </c>
      <c r="C9244" s="32" t="s">
        <v>25252</v>
      </c>
      <c r="D9244" s="32" t="s">
        <v>25253</v>
      </c>
    </row>
    <row r="9245" spans="2:4" x14ac:dyDescent="0.3">
      <c r="B9245" s="33" t="s">
        <v>25254</v>
      </c>
      <c r="C9245" s="32" t="s">
        <v>25255</v>
      </c>
      <c r="D9245" s="32" t="s">
        <v>25254</v>
      </c>
    </row>
    <row r="9246" spans="2:4" x14ac:dyDescent="0.3">
      <c r="B9246" s="33" t="s">
        <v>25053</v>
      </c>
      <c r="C9246" s="32" t="s">
        <v>25256</v>
      </c>
      <c r="D9246" s="32" t="s">
        <v>25257</v>
      </c>
    </row>
    <row r="9247" spans="2:4" x14ac:dyDescent="0.3">
      <c r="B9247" s="33" t="s">
        <v>25258</v>
      </c>
      <c r="C9247" s="32" t="s">
        <v>25259</v>
      </c>
      <c r="D9247" s="32" t="s">
        <v>25260</v>
      </c>
    </row>
    <row r="9248" spans="2:4" x14ac:dyDescent="0.3">
      <c r="B9248" s="33" t="s">
        <v>25261</v>
      </c>
      <c r="C9248" s="32" t="s">
        <v>25262</v>
      </c>
      <c r="D9248" s="32" t="s">
        <v>25263</v>
      </c>
    </row>
    <row r="9249" spans="2:4" x14ac:dyDescent="0.3">
      <c r="B9249" s="33" t="s">
        <v>25264</v>
      </c>
      <c r="C9249" s="32" t="s">
        <v>25265</v>
      </c>
      <c r="D9249" s="32" t="s">
        <v>25266</v>
      </c>
    </row>
    <row r="9250" spans="2:4" x14ac:dyDescent="0.3">
      <c r="B9250" s="33" t="s">
        <v>25258</v>
      </c>
      <c r="C9250" s="32" t="s">
        <v>25267</v>
      </c>
      <c r="D9250" s="32" t="s">
        <v>25268</v>
      </c>
    </row>
    <row r="9251" spans="2:4" x14ac:dyDescent="0.3">
      <c r="B9251" s="33" t="s">
        <v>25269</v>
      </c>
      <c r="C9251" s="32" t="s">
        <v>25270</v>
      </c>
      <c r="D9251" s="32" t="s">
        <v>25271</v>
      </c>
    </row>
    <row r="9252" spans="2:4" x14ac:dyDescent="0.3">
      <c r="B9252" s="33" t="s">
        <v>25272</v>
      </c>
      <c r="C9252" s="32" t="s">
        <v>25273</v>
      </c>
      <c r="D9252" s="32" t="s">
        <v>25274</v>
      </c>
    </row>
    <row r="9253" spans="2:4" x14ac:dyDescent="0.3">
      <c r="B9253" s="33" t="s">
        <v>25275</v>
      </c>
      <c r="C9253" s="32" t="s">
        <v>25276</v>
      </c>
      <c r="D9253" s="32" t="s">
        <v>25277</v>
      </c>
    </row>
    <row r="9254" spans="2:4" x14ac:dyDescent="0.3">
      <c r="B9254" s="33" t="s">
        <v>9130</v>
      </c>
      <c r="C9254" s="32" t="s">
        <v>25278</v>
      </c>
      <c r="D9254" s="32" t="s">
        <v>25279</v>
      </c>
    </row>
    <row r="9255" spans="2:4" x14ac:dyDescent="0.3">
      <c r="B9255" s="33" t="s">
        <v>20054</v>
      </c>
      <c r="C9255" s="32" t="s">
        <v>25280</v>
      </c>
      <c r="D9255" s="32" t="s">
        <v>25281</v>
      </c>
    </row>
    <row r="9256" spans="2:4" x14ac:dyDescent="0.3">
      <c r="B9256" s="33" t="s">
        <v>25282</v>
      </c>
      <c r="C9256" s="32" t="s">
        <v>25283</v>
      </c>
      <c r="D9256" s="32" t="s">
        <v>25284</v>
      </c>
    </row>
    <row r="9257" spans="2:4" x14ac:dyDescent="0.3">
      <c r="B9257" s="33" t="s">
        <v>24446</v>
      </c>
      <c r="C9257" s="32" t="s">
        <v>25285</v>
      </c>
      <c r="D9257" s="32" t="s">
        <v>25286</v>
      </c>
    </row>
    <row r="9258" spans="2:4" x14ac:dyDescent="0.3">
      <c r="B9258" s="33" t="s">
        <v>25287</v>
      </c>
      <c r="C9258" s="32" t="s">
        <v>25288</v>
      </c>
      <c r="D9258" s="32" t="s">
        <v>25289</v>
      </c>
    </row>
    <row r="9259" spans="2:4" x14ac:dyDescent="0.3">
      <c r="B9259" s="33" t="s">
        <v>25290</v>
      </c>
      <c r="C9259" s="32" t="s">
        <v>25291</v>
      </c>
      <c r="D9259" s="32" t="s">
        <v>25292</v>
      </c>
    </row>
    <row r="9260" spans="2:4" x14ac:dyDescent="0.3">
      <c r="B9260" s="33" t="s">
        <v>25293</v>
      </c>
      <c r="C9260" s="32" t="s">
        <v>25294</v>
      </c>
      <c r="D9260" s="32" t="s">
        <v>25295</v>
      </c>
    </row>
    <row r="9261" spans="2:4" x14ac:dyDescent="0.3">
      <c r="B9261" s="33" t="s">
        <v>25293</v>
      </c>
      <c r="C9261" s="32" t="s">
        <v>25296</v>
      </c>
      <c r="D9261" s="32" t="s">
        <v>25297</v>
      </c>
    </row>
    <row r="9262" spans="2:4" x14ac:dyDescent="0.3">
      <c r="B9262" s="33" t="s">
        <v>24973</v>
      </c>
      <c r="C9262" s="32" t="s">
        <v>25298</v>
      </c>
      <c r="D9262" s="32" t="s">
        <v>25299</v>
      </c>
    </row>
    <row r="9263" spans="2:4" x14ac:dyDescent="0.3">
      <c r="B9263" s="33" t="s">
        <v>24494</v>
      </c>
      <c r="C9263" s="32" t="s">
        <v>25300</v>
      </c>
      <c r="D9263" s="32" t="s">
        <v>25301</v>
      </c>
    </row>
    <row r="9264" spans="2:4" x14ac:dyDescent="0.3">
      <c r="B9264" s="33" t="s">
        <v>25302</v>
      </c>
      <c r="C9264" s="32" t="s">
        <v>25303</v>
      </c>
      <c r="D9264" s="32" t="s">
        <v>25302</v>
      </c>
    </row>
    <row r="9265" spans="2:4" x14ac:dyDescent="0.3">
      <c r="B9265" s="33" t="s">
        <v>25305</v>
      </c>
      <c r="C9265" s="32" t="s">
        <v>25306</v>
      </c>
      <c r="D9265" s="32" t="s">
        <v>25307</v>
      </c>
    </row>
    <row r="9266" spans="2:4" x14ac:dyDescent="0.3">
      <c r="B9266" s="33" t="s">
        <v>25308</v>
      </c>
      <c r="C9266" s="32" t="s">
        <v>25309</v>
      </c>
      <c r="D9266" s="32" t="s">
        <v>25310</v>
      </c>
    </row>
    <row r="9267" spans="2:4" x14ac:dyDescent="0.3">
      <c r="B9267" s="33" t="s">
        <v>25311</v>
      </c>
      <c r="C9267" s="32" t="s">
        <v>25312</v>
      </c>
      <c r="D9267" s="32" t="s">
        <v>25313</v>
      </c>
    </row>
    <row r="9268" spans="2:4" x14ac:dyDescent="0.3">
      <c r="B9268" s="33" t="s">
        <v>25314</v>
      </c>
      <c r="C9268" s="32" t="s">
        <v>25315</v>
      </c>
      <c r="D9268" s="32" t="s">
        <v>25316</v>
      </c>
    </row>
    <row r="9269" spans="2:4" x14ac:dyDescent="0.3">
      <c r="B9269" s="33" t="s">
        <v>25317</v>
      </c>
      <c r="C9269" s="32" t="s">
        <v>25318</v>
      </c>
      <c r="D9269" s="32" t="s">
        <v>25317</v>
      </c>
    </row>
    <row r="9270" spans="2:4" x14ac:dyDescent="0.3">
      <c r="B9270" s="33" t="s">
        <v>25317</v>
      </c>
      <c r="C9270" s="32" t="s">
        <v>25319</v>
      </c>
      <c r="D9270" s="32" t="s">
        <v>25320</v>
      </c>
    </row>
    <row r="9271" spans="2:4" x14ac:dyDescent="0.3">
      <c r="B9271" s="33" t="s">
        <v>25321</v>
      </c>
      <c r="C9271" s="32" t="s">
        <v>25322</v>
      </c>
      <c r="D9271" s="32" t="s">
        <v>25323</v>
      </c>
    </row>
    <row r="9272" spans="2:4" x14ac:dyDescent="0.3">
      <c r="B9272" s="33" t="s">
        <v>25324</v>
      </c>
      <c r="C9272" s="32" t="s">
        <v>25325</v>
      </c>
      <c r="D9272" s="32" t="s">
        <v>25326</v>
      </c>
    </row>
    <row r="9273" spans="2:4" x14ac:dyDescent="0.3">
      <c r="B9273" s="33" t="s">
        <v>25327</v>
      </c>
      <c r="C9273" s="32" t="s">
        <v>25328</v>
      </c>
      <c r="D9273" s="32" t="s">
        <v>25329</v>
      </c>
    </row>
    <row r="9274" spans="2:4" x14ac:dyDescent="0.3">
      <c r="B9274" s="33" t="s">
        <v>25330</v>
      </c>
      <c r="C9274" s="32" t="s">
        <v>25331</v>
      </c>
      <c r="D9274" s="32" t="s">
        <v>25332</v>
      </c>
    </row>
    <row r="9275" spans="2:4" x14ac:dyDescent="0.3">
      <c r="B9275" s="33" t="s">
        <v>25333</v>
      </c>
      <c r="C9275" s="32" t="s">
        <v>25334</v>
      </c>
      <c r="D9275" s="32" t="s">
        <v>25335</v>
      </c>
    </row>
    <row r="9276" spans="2:4" x14ac:dyDescent="0.3">
      <c r="B9276" s="33" t="s">
        <v>25317</v>
      </c>
      <c r="C9276" s="32" t="s">
        <v>25336</v>
      </c>
      <c r="D9276" s="32" t="s">
        <v>25337</v>
      </c>
    </row>
    <row r="9277" spans="2:4" x14ac:dyDescent="0.3">
      <c r="B9277" s="33" t="s">
        <v>25317</v>
      </c>
      <c r="C9277" s="32" t="s">
        <v>25338</v>
      </c>
      <c r="D9277" s="32" t="s">
        <v>25339</v>
      </c>
    </row>
    <row r="9278" spans="2:4" x14ac:dyDescent="0.3">
      <c r="B9278" s="33" t="s">
        <v>25340</v>
      </c>
      <c r="C9278" s="32" t="s">
        <v>25341</v>
      </c>
      <c r="D9278" s="32" t="s">
        <v>25342</v>
      </c>
    </row>
    <row r="9279" spans="2:4" x14ac:dyDescent="0.3">
      <c r="B9279" s="33" t="s">
        <v>19104</v>
      </c>
      <c r="C9279" s="32" t="s">
        <v>25343</v>
      </c>
      <c r="D9279" s="32" t="s">
        <v>25344</v>
      </c>
    </row>
    <row r="9280" spans="2:4" x14ac:dyDescent="0.3">
      <c r="B9280" s="33" t="s">
        <v>25345</v>
      </c>
      <c r="C9280" s="32" t="s">
        <v>25346</v>
      </c>
      <c r="D9280" s="32" t="s">
        <v>25347</v>
      </c>
    </row>
    <row r="9281" spans="2:4" x14ac:dyDescent="0.3">
      <c r="B9281" s="33" t="s">
        <v>25348</v>
      </c>
      <c r="C9281" s="32" t="s">
        <v>25349</v>
      </c>
      <c r="D9281" s="32" t="s">
        <v>25350</v>
      </c>
    </row>
    <row r="9282" spans="2:4" x14ac:dyDescent="0.3">
      <c r="B9282" s="33" t="s">
        <v>25351</v>
      </c>
      <c r="C9282" s="32" t="s">
        <v>25352</v>
      </c>
      <c r="D9282" s="32" t="s">
        <v>25353</v>
      </c>
    </row>
    <row r="9283" spans="2:4" x14ac:dyDescent="0.3">
      <c r="B9283" s="33" t="s">
        <v>25354</v>
      </c>
      <c r="C9283" s="32" t="s">
        <v>25355</v>
      </c>
      <c r="D9283" s="32" t="s">
        <v>25356</v>
      </c>
    </row>
    <row r="9284" spans="2:4" x14ac:dyDescent="0.3">
      <c r="B9284" s="33" t="s">
        <v>25357</v>
      </c>
      <c r="C9284" s="32" t="s">
        <v>25358</v>
      </c>
      <c r="D9284" s="32" t="s">
        <v>25359</v>
      </c>
    </row>
    <row r="9285" spans="2:4" x14ac:dyDescent="0.3">
      <c r="B9285" s="33" t="s">
        <v>25360</v>
      </c>
      <c r="C9285" s="32" t="s">
        <v>25361</v>
      </c>
      <c r="D9285" s="32" t="s">
        <v>25362</v>
      </c>
    </row>
    <row r="9286" spans="2:4" x14ac:dyDescent="0.3">
      <c r="B9286" s="33" t="s">
        <v>10671</v>
      </c>
      <c r="C9286" s="32" t="s">
        <v>25363</v>
      </c>
      <c r="D9286" s="32" t="s">
        <v>25364</v>
      </c>
    </row>
    <row r="9287" spans="2:4" x14ac:dyDescent="0.3">
      <c r="B9287" s="33" t="s">
        <v>25365</v>
      </c>
      <c r="C9287" s="32" t="s">
        <v>25366</v>
      </c>
      <c r="D9287" s="32" t="s">
        <v>25367</v>
      </c>
    </row>
    <row r="9288" spans="2:4" x14ac:dyDescent="0.3">
      <c r="B9288" s="33" t="s">
        <v>25368</v>
      </c>
      <c r="C9288" s="32" t="s">
        <v>25369</v>
      </c>
      <c r="D9288" s="32" t="s">
        <v>25370</v>
      </c>
    </row>
    <row r="9289" spans="2:4" x14ac:dyDescent="0.3">
      <c r="B9289" s="33" t="s">
        <v>25371</v>
      </c>
      <c r="C9289" s="32" t="s">
        <v>25372</v>
      </c>
      <c r="D9289" s="32" t="s">
        <v>25373</v>
      </c>
    </row>
    <row r="9290" spans="2:4" x14ac:dyDescent="0.3">
      <c r="B9290" s="33" t="s">
        <v>38</v>
      </c>
      <c r="C9290" s="32" t="s">
        <v>25374</v>
      </c>
      <c r="D9290" s="32" t="s">
        <v>39</v>
      </c>
    </row>
    <row r="9291" spans="2:4" x14ac:dyDescent="0.3">
      <c r="B9291" s="33" t="s">
        <v>25375</v>
      </c>
      <c r="C9291" s="32" t="s">
        <v>25376</v>
      </c>
      <c r="D9291" s="32" t="s">
        <v>25377</v>
      </c>
    </row>
    <row r="9292" spans="2:4" x14ac:dyDescent="0.3">
      <c r="B9292" s="33" t="s">
        <v>25378</v>
      </c>
      <c r="C9292" s="32" t="s">
        <v>25379</v>
      </c>
      <c r="D9292" s="32" t="s">
        <v>25380</v>
      </c>
    </row>
    <row r="9293" spans="2:4" x14ac:dyDescent="0.3">
      <c r="B9293" s="33" t="s">
        <v>25381</v>
      </c>
      <c r="C9293" s="32" t="s">
        <v>25382</v>
      </c>
      <c r="D9293" s="32" t="s">
        <v>25383</v>
      </c>
    </row>
    <row r="9294" spans="2:4" x14ac:dyDescent="0.3">
      <c r="B9294" s="33" t="s">
        <v>25384</v>
      </c>
      <c r="C9294" s="32" t="s">
        <v>25385</v>
      </c>
      <c r="D9294" s="32" t="s">
        <v>25386</v>
      </c>
    </row>
    <row r="9295" spans="2:4" x14ac:dyDescent="0.3">
      <c r="B9295" s="33" t="s">
        <v>25387</v>
      </c>
      <c r="C9295" s="32" t="s">
        <v>25388</v>
      </c>
      <c r="D9295" s="32" t="s">
        <v>25389</v>
      </c>
    </row>
    <row r="9296" spans="2:4" x14ac:dyDescent="0.3">
      <c r="B9296" s="33" t="s">
        <v>25390</v>
      </c>
      <c r="C9296" s="32" t="s">
        <v>25391</v>
      </c>
      <c r="D9296" s="32" t="s">
        <v>25392</v>
      </c>
    </row>
    <row r="9297" spans="2:4" x14ac:dyDescent="0.3">
      <c r="B9297" s="33" t="s">
        <v>25393</v>
      </c>
      <c r="C9297" s="32" t="s">
        <v>25394</v>
      </c>
      <c r="D9297" s="32" t="s">
        <v>25395</v>
      </c>
    </row>
    <row r="9298" spans="2:4" x14ac:dyDescent="0.3">
      <c r="B9298" s="33" t="s">
        <v>25396</v>
      </c>
      <c r="C9298" s="32" t="s">
        <v>25397</v>
      </c>
      <c r="D9298" s="32" t="s">
        <v>25398</v>
      </c>
    </row>
    <row r="9299" spans="2:4" x14ac:dyDescent="0.3">
      <c r="B9299" s="33" t="s">
        <v>25399</v>
      </c>
      <c r="C9299" s="32" t="s">
        <v>25400</v>
      </c>
      <c r="D9299" s="32" t="s">
        <v>25401</v>
      </c>
    </row>
    <row r="9300" spans="2:4" x14ac:dyDescent="0.3">
      <c r="B9300" s="33" t="s">
        <v>21020</v>
      </c>
      <c r="C9300" s="32" t="s">
        <v>25402</v>
      </c>
      <c r="D9300" s="32" t="s">
        <v>25403</v>
      </c>
    </row>
    <row r="9301" spans="2:4" x14ac:dyDescent="0.3">
      <c r="B9301" s="33" t="s">
        <v>25404</v>
      </c>
      <c r="C9301" s="32" t="s">
        <v>25405</v>
      </c>
      <c r="D9301" s="32" t="s">
        <v>25406</v>
      </c>
    </row>
    <row r="9302" spans="2:4" x14ac:dyDescent="0.3">
      <c r="B9302" s="33" t="s">
        <v>25407</v>
      </c>
      <c r="C9302" s="32" t="s">
        <v>25408</v>
      </c>
      <c r="D9302" s="32" t="s">
        <v>25409</v>
      </c>
    </row>
    <row r="9303" spans="2:4" x14ac:dyDescent="0.3">
      <c r="B9303" s="33" t="s">
        <v>25410</v>
      </c>
      <c r="C9303" s="32" t="s">
        <v>25411</v>
      </c>
      <c r="D9303" s="32" t="s">
        <v>25412</v>
      </c>
    </row>
    <row r="9304" spans="2:4" x14ac:dyDescent="0.3">
      <c r="B9304" s="33" t="s">
        <v>25413</v>
      </c>
      <c r="C9304" s="32" t="s">
        <v>25414</v>
      </c>
      <c r="D9304" s="32" t="s">
        <v>25415</v>
      </c>
    </row>
    <row r="9305" spans="2:4" x14ac:dyDescent="0.3">
      <c r="B9305" s="33" t="s">
        <v>25416</v>
      </c>
      <c r="C9305" s="32" t="s">
        <v>25417</v>
      </c>
      <c r="D9305" s="32" t="s">
        <v>25418</v>
      </c>
    </row>
    <row r="9306" spans="2:4" x14ac:dyDescent="0.3">
      <c r="B9306" s="33" t="s">
        <v>25419</v>
      </c>
      <c r="C9306" s="32" t="s">
        <v>25420</v>
      </c>
      <c r="D9306" s="32" t="s">
        <v>25421</v>
      </c>
    </row>
    <row r="9307" spans="2:4" x14ac:dyDescent="0.3">
      <c r="B9307" s="33" t="s">
        <v>25422</v>
      </c>
      <c r="C9307" s="32" t="s">
        <v>25423</v>
      </c>
      <c r="D9307" s="32" t="s">
        <v>25424</v>
      </c>
    </row>
    <row r="9308" spans="2:4" x14ac:dyDescent="0.3">
      <c r="B9308" s="33" t="s">
        <v>7284</v>
      </c>
      <c r="C9308" s="32" t="s">
        <v>25425</v>
      </c>
      <c r="D9308" s="32" t="s">
        <v>25426</v>
      </c>
    </row>
    <row r="9309" spans="2:4" x14ac:dyDescent="0.3">
      <c r="B9309" s="33" t="s">
        <v>25170</v>
      </c>
      <c r="C9309" s="32" t="s">
        <v>25427</v>
      </c>
      <c r="D9309" s="32" t="s">
        <v>25428</v>
      </c>
    </row>
    <row r="9310" spans="2:4" x14ac:dyDescent="0.3">
      <c r="B9310" s="33" t="s">
        <v>24545</v>
      </c>
      <c r="C9310" s="32" t="s">
        <v>37047</v>
      </c>
      <c r="D9310" s="32" t="s">
        <v>37048</v>
      </c>
    </row>
    <row r="9311" spans="2:4" x14ac:dyDescent="0.3">
      <c r="B9311" s="33" t="s">
        <v>25429</v>
      </c>
      <c r="C9311" s="32" t="s">
        <v>25430</v>
      </c>
      <c r="D9311" s="32" t="s">
        <v>25431</v>
      </c>
    </row>
    <row r="9312" spans="2:4" x14ac:dyDescent="0.3">
      <c r="B9312" s="33" t="s">
        <v>25432</v>
      </c>
      <c r="C9312" s="32" t="s">
        <v>25433</v>
      </c>
      <c r="D9312" s="32" t="s">
        <v>25434</v>
      </c>
    </row>
    <row r="9313" spans="2:4" x14ac:dyDescent="0.3">
      <c r="B9313" s="33" t="s">
        <v>25435</v>
      </c>
      <c r="C9313" s="32" t="s">
        <v>25436</v>
      </c>
      <c r="D9313" s="32" t="s">
        <v>25437</v>
      </c>
    </row>
    <row r="9314" spans="2:4" x14ac:dyDescent="0.3">
      <c r="B9314" s="33" t="s">
        <v>1109</v>
      </c>
      <c r="C9314" s="32" t="s">
        <v>25438</v>
      </c>
      <c r="D9314" s="32" t="s">
        <v>25439</v>
      </c>
    </row>
    <row r="9315" spans="2:4" x14ac:dyDescent="0.3">
      <c r="B9315" s="33" t="s">
        <v>25440</v>
      </c>
      <c r="C9315" s="32" t="s">
        <v>25441</v>
      </c>
      <c r="D9315" s="32" t="s">
        <v>25442</v>
      </c>
    </row>
    <row r="9316" spans="2:4" x14ac:dyDescent="0.3">
      <c r="B9316" s="33" t="s">
        <v>20487</v>
      </c>
      <c r="C9316" s="32" t="s">
        <v>25443</v>
      </c>
      <c r="D9316" s="32" t="s">
        <v>25444</v>
      </c>
    </row>
    <row r="9317" spans="2:4" x14ac:dyDescent="0.3">
      <c r="B9317" s="33" t="s">
        <v>25445</v>
      </c>
      <c r="C9317" s="32" t="s">
        <v>25446</v>
      </c>
      <c r="D9317" s="32" t="s">
        <v>25447</v>
      </c>
    </row>
    <row r="9318" spans="2:4" x14ac:dyDescent="0.3">
      <c r="B9318" s="33" t="s">
        <v>25448</v>
      </c>
      <c r="C9318" s="32" t="s">
        <v>25449</v>
      </c>
      <c r="D9318" s="32" t="s">
        <v>25450</v>
      </c>
    </row>
    <row r="9319" spans="2:4" x14ac:dyDescent="0.3">
      <c r="B9319" s="33" t="s">
        <v>25451</v>
      </c>
      <c r="C9319" s="32" t="s">
        <v>25452</v>
      </c>
      <c r="D9319" s="32" t="s">
        <v>25453</v>
      </c>
    </row>
    <row r="9320" spans="2:4" x14ac:dyDescent="0.3">
      <c r="B9320" s="33" t="s">
        <v>25454</v>
      </c>
      <c r="C9320" s="32" t="s">
        <v>25455</v>
      </c>
      <c r="D9320" s="32" t="s">
        <v>25456</v>
      </c>
    </row>
    <row r="9321" spans="2:4" x14ac:dyDescent="0.3">
      <c r="B9321" s="33" t="s">
        <v>7069</v>
      </c>
      <c r="C9321" s="32" t="s">
        <v>25457</v>
      </c>
      <c r="D9321" s="32" t="s">
        <v>25458</v>
      </c>
    </row>
    <row r="9322" spans="2:4" x14ac:dyDescent="0.3">
      <c r="B9322" s="33" t="s">
        <v>25459</v>
      </c>
      <c r="C9322" s="32" t="s">
        <v>25460</v>
      </c>
      <c r="D9322" s="32" t="s">
        <v>25461</v>
      </c>
    </row>
    <row r="9323" spans="2:4" x14ac:dyDescent="0.3">
      <c r="B9323" s="33" t="s">
        <v>25462</v>
      </c>
      <c r="C9323" s="32" t="s">
        <v>25463</v>
      </c>
      <c r="D9323" s="32" t="s">
        <v>25464</v>
      </c>
    </row>
    <row r="9324" spans="2:4" x14ac:dyDescent="0.3">
      <c r="B9324" s="33" t="s">
        <v>25465</v>
      </c>
      <c r="C9324" s="32" t="s">
        <v>25466</v>
      </c>
      <c r="D9324" s="32" t="s">
        <v>25467</v>
      </c>
    </row>
    <row r="9325" spans="2:4" x14ac:dyDescent="0.3">
      <c r="B9325" s="33" t="s">
        <v>25468</v>
      </c>
      <c r="C9325" s="32" t="s">
        <v>25469</v>
      </c>
      <c r="D9325" s="32" t="s">
        <v>25470</v>
      </c>
    </row>
    <row r="9326" spans="2:4" x14ac:dyDescent="0.3">
      <c r="B9326" s="33" t="s">
        <v>25471</v>
      </c>
      <c r="C9326" s="32" t="s">
        <v>25472</v>
      </c>
      <c r="D9326" s="32" t="s">
        <v>25473</v>
      </c>
    </row>
    <row r="9327" spans="2:4" x14ac:dyDescent="0.3">
      <c r="B9327" s="33" t="s">
        <v>25474</v>
      </c>
      <c r="C9327" s="32" t="s">
        <v>25475</v>
      </c>
      <c r="D9327" s="32" t="s">
        <v>25476</v>
      </c>
    </row>
    <row r="9328" spans="2:4" x14ac:dyDescent="0.3">
      <c r="B9328" s="33" t="s">
        <v>25477</v>
      </c>
      <c r="C9328" s="32" t="s">
        <v>25478</v>
      </c>
      <c r="D9328" s="32" t="s">
        <v>25479</v>
      </c>
    </row>
    <row r="9329" spans="2:4" x14ac:dyDescent="0.3">
      <c r="B9329" s="33" t="s">
        <v>25480</v>
      </c>
      <c r="C9329" s="32" t="s">
        <v>25481</v>
      </c>
      <c r="D9329" s="32" t="s">
        <v>25482</v>
      </c>
    </row>
    <row r="9330" spans="2:4" x14ac:dyDescent="0.3">
      <c r="B9330" s="33" t="s">
        <v>25483</v>
      </c>
      <c r="C9330" s="32" t="s">
        <v>25484</v>
      </c>
      <c r="D9330" s="32" t="s">
        <v>36876</v>
      </c>
    </row>
    <row r="9331" spans="2:4" x14ac:dyDescent="0.3">
      <c r="B9331" s="33" t="s">
        <v>25485</v>
      </c>
      <c r="C9331" s="32" t="s">
        <v>25486</v>
      </c>
      <c r="D9331" s="32" t="s">
        <v>25487</v>
      </c>
    </row>
    <row r="9332" spans="2:4" x14ac:dyDescent="0.3">
      <c r="B9332" s="33" t="s">
        <v>25488</v>
      </c>
      <c r="C9332" s="32" t="s">
        <v>25489</v>
      </c>
      <c r="D9332" s="32" t="s">
        <v>25490</v>
      </c>
    </row>
    <row r="9333" spans="2:4" x14ac:dyDescent="0.3">
      <c r="B9333" s="33" t="s">
        <v>2199</v>
      </c>
      <c r="C9333" s="32" t="s">
        <v>25491</v>
      </c>
      <c r="D9333" s="32" t="s">
        <v>25492</v>
      </c>
    </row>
    <row r="9334" spans="2:4" x14ac:dyDescent="0.3">
      <c r="B9334" s="33" t="s">
        <v>7507</v>
      </c>
      <c r="C9334" s="32" t="s">
        <v>25493</v>
      </c>
      <c r="D9334" s="32" t="s">
        <v>25494</v>
      </c>
    </row>
    <row r="9335" spans="2:4" x14ac:dyDescent="0.3">
      <c r="B9335" s="33" t="s">
        <v>12614</v>
      </c>
      <c r="C9335" s="32" t="s">
        <v>25495</v>
      </c>
      <c r="D9335" s="32" t="s">
        <v>25496</v>
      </c>
    </row>
    <row r="9336" spans="2:4" x14ac:dyDescent="0.3">
      <c r="B9336" s="33" t="s">
        <v>25497</v>
      </c>
      <c r="C9336" s="32" t="s">
        <v>25498</v>
      </c>
      <c r="D9336" s="32" t="s">
        <v>25499</v>
      </c>
    </row>
    <row r="9337" spans="2:4" x14ac:dyDescent="0.3">
      <c r="B9337" s="33" t="s">
        <v>25500</v>
      </c>
      <c r="C9337" s="32" t="s">
        <v>25501</v>
      </c>
      <c r="D9337" s="32" t="s">
        <v>25502</v>
      </c>
    </row>
    <row r="9338" spans="2:4" x14ac:dyDescent="0.3">
      <c r="B9338" s="33" t="s">
        <v>25503</v>
      </c>
      <c r="C9338" s="32" t="s">
        <v>25504</v>
      </c>
      <c r="D9338" s="32" t="s">
        <v>25505</v>
      </c>
    </row>
    <row r="9339" spans="2:4" x14ac:dyDescent="0.3">
      <c r="B9339" s="33" t="s">
        <v>25506</v>
      </c>
      <c r="C9339" s="32" t="s">
        <v>25507</v>
      </c>
      <c r="D9339" s="32" t="s">
        <v>25508</v>
      </c>
    </row>
    <row r="9340" spans="2:4" x14ac:dyDescent="0.3">
      <c r="B9340" s="33" t="s">
        <v>25509</v>
      </c>
      <c r="C9340" s="32" t="s">
        <v>25510</v>
      </c>
      <c r="D9340" s="32" t="s">
        <v>25511</v>
      </c>
    </row>
    <row r="9341" spans="2:4" x14ac:dyDescent="0.3">
      <c r="B9341" s="33" t="s">
        <v>25512</v>
      </c>
      <c r="C9341" s="32" t="s">
        <v>25513</v>
      </c>
      <c r="D9341" s="32" t="s">
        <v>25514</v>
      </c>
    </row>
    <row r="9342" spans="2:4" x14ac:dyDescent="0.3">
      <c r="B9342" s="33" t="s">
        <v>10339</v>
      </c>
      <c r="C9342" s="32" t="s">
        <v>25515</v>
      </c>
      <c r="D9342" s="32" t="s">
        <v>25516</v>
      </c>
    </row>
    <row r="9343" spans="2:4" x14ac:dyDescent="0.3">
      <c r="B9343" s="33" t="s">
        <v>25517</v>
      </c>
      <c r="C9343" s="32" t="s">
        <v>25518</v>
      </c>
      <c r="D9343" s="32" t="s">
        <v>25519</v>
      </c>
    </row>
    <row r="9344" spans="2:4" x14ac:dyDescent="0.3">
      <c r="B9344" s="33" t="s">
        <v>25520</v>
      </c>
      <c r="C9344" s="32" t="s">
        <v>25521</v>
      </c>
      <c r="D9344" s="32" t="s">
        <v>25522</v>
      </c>
    </row>
    <row r="9345" spans="2:4" x14ac:dyDescent="0.3">
      <c r="B9345" s="33" t="s">
        <v>15606</v>
      </c>
      <c r="C9345" s="32" t="s">
        <v>25523</v>
      </c>
      <c r="D9345" s="32" t="s">
        <v>25524</v>
      </c>
    </row>
    <row r="9346" spans="2:4" x14ac:dyDescent="0.3">
      <c r="B9346" s="33" t="s">
        <v>501</v>
      </c>
      <c r="C9346" s="32" t="s">
        <v>25525</v>
      </c>
      <c r="D9346" s="32" t="s">
        <v>25526</v>
      </c>
    </row>
    <row r="9347" spans="2:4" x14ac:dyDescent="0.3">
      <c r="B9347" s="33" t="s">
        <v>3619</v>
      </c>
      <c r="C9347" s="32" t="s">
        <v>25527</v>
      </c>
      <c r="D9347" s="32" t="s">
        <v>25528</v>
      </c>
    </row>
    <row r="9348" spans="2:4" x14ac:dyDescent="0.3">
      <c r="B9348" s="33" t="s">
        <v>25529</v>
      </c>
      <c r="C9348" s="32" t="s">
        <v>25530</v>
      </c>
      <c r="D9348" s="32" t="s">
        <v>25531</v>
      </c>
    </row>
    <row r="9349" spans="2:4" x14ac:dyDescent="0.3">
      <c r="B9349" s="33" t="s">
        <v>25532</v>
      </c>
      <c r="C9349" s="32" t="s">
        <v>25533</v>
      </c>
      <c r="D9349" s="32" t="s">
        <v>25534</v>
      </c>
    </row>
    <row r="9350" spans="2:4" x14ac:dyDescent="0.3">
      <c r="B9350" s="33" t="s">
        <v>25535</v>
      </c>
      <c r="C9350" s="32" t="s">
        <v>25536</v>
      </c>
      <c r="D9350" s="32" t="s">
        <v>25537</v>
      </c>
    </row>
    <row r="9351" spans="2:4" x14ac:dyDescent="0.3">
      <c r="B9351" s="33" t="s">
        <v>22331</v>
      </c>
      <c r="C9351" s="32" t="s">
        <v>25538</v>
      </c>
      <c r="D9351" s="32" t="s">
        <v>25539</v>
      </c>
    </row>
    <row r="9352" spans="2:4" x14ac:dyDescent="0.3">
      <c r="B9352" s="33" t="s">
        <v>25540</v>
      </c>
      <c r="C9352" s="32" t="s">
        <v>25541</v>
      </c>
      <c r="D9352" s="32" t="s">
        <v>25542</v>
      </c>
    </row>
    <row r="9353" spans="2:4" x14ac:dyDescent="0.3">
      <c r="B9353" s="33" t="s">
        <v>25543</v>
      </c>
      <c r="C9353" s="32" t="s">
        <v>25544</v>
      </c>
      <c r="D9353" s="32" t="s">
        <v>25545</v>
      </c>
    </row>
    <row r="9354" spans="2:4" x14ac:dyDescent="0.3">
      <c r="B9354" s="33" t="s">
        <v>25546</v>
      </c>
      <c r="C9354" s="32" t="s">
        <v>25547</v>
      </c>
      <c r="D9354" s="32" t="s">
        <v>25548</v>
      </c>
    </row>
    <row r="9355" spans="2:4" x14ac:dyDescent="0.3">
      <c r="B9355" s="33" t="s">
        <v>18117</v>
      </c>
      <c r="C9355" s="32" t="s">
        <v>25549</v>
      </c>
      <c r="D9355" s="32" t="s">
        <v>25550</v>
      </c>
    </row>
    <row r="9356" spans="2:4" x14ac:dyDescent="0.3">
      <c r="B9356" s="33" t="s">
        <v>25551</v>
      </c>
      <c r="C9356" s="32" t="s">
        <v>25552</v>
      </c>
      <c r="D9356" s="32" t="s">
        <v>25497</v>
      </c>
    </row>
    <row r="9357" spans="2:4" x14ac:dyDescent="0.3">
      <c r="B9357" s="33" t="s">
        <v>25553</v>
      </c>
      <c r="C9357" s="32" t="s">
        <v>25554</v>
      </c>
      <c r="D9357" s="32" t="s">
        <v>25555</v>
      </c>
    </row>
    <row r="9358" spans="2:4" x14ac:dyDescent="0.3">
      <c r="B9358" s="33" t="s">
        <v>25556</v>
      </c>
      <c r="C9358" s="32" t="s">
        <v>25557</v>
      </c>
      <c r="D9358" s="32" t="s">
        <v>25558</v>
      </c>
    </row>
    <row r="9359" spans="2:4" x14ac:dyDescent="0.3">
      <c r="B9359" s="33" t="s">
        <v>25559</v>
      </c>
      <c r="C9359" s="32" t="s">
        <v>25560</v>
      </c>
      <c r="D9359" s="32" t="s">
        <v>25561</v>
      </c>
    </row>
    <row r="9360" spans="2:4" x14ac:dyDescent="0.3">
      <c r="B9360" s="33" t="s">
        <v>25562</v>
      </c>
      <c r="C9360" s="32" t="s">
        <v>25563</v>
      </c>
      <c r="D9360" s="32" t="s">
        <v>25564</v>
      </c>
    </row>
    <row r="9361" spans="2:4" x14ac:dyDescent="0.3">
      <c r="B9361" s="33" t="s">
        <v>25565</v>
      </c>
      <c r="C9361" s="32" t="s">
        <v>25566</v>
      </c>
      <c r="D9361" s="32" t="s">
        <v>25567</v>
      </c>
    </row>
    <row r="9362" spans="2:4" x14ac:dyDescent="0.3">
      <c r="B9362" s="33" t="s">
        <v>25568</v>
      </c>
      <c r="C9362" s="32" t="s">
        <v>25569</v>
      </c>
      <c r="D9362" s="32" t="s">
        <v>25570</v>
      </c>
    </row>
    <row r="9363" spans="2:4" x14ac:dyDescent="0.3">
      <c r="B9363" s="33" t="s">
        <v>25571</v>
      </c>
      <c r="C9363" s="32" t="s">
        <v>25572</v>
      </c>
      <c r="D9363" s="32" t="s">
        <v>25573</v>
      </c>
    </row>
    <row r="9364" spans="2:4" x14ac:dyDescent="0.3">
      <c r="B9364" s="33" t="s">
        <v>25562</v>
      </c>
      <c r="C9364" s="32" t="s">
        <v>25574</v>
      </c>
      <c r="D9364" s="32" t="s">
        <v>25575</v>
      </c>
    </row>
    <row r="9365" spans="2:4" x14ac:dyDescent="0.3">
      <c r="B9365" s="33" t="s">
        <v>25576</v>
      </c>
      <c r="C9365" s="32" t="s">
        <v>25577</v>
      </c>
      <c r="D9365" s="32" t="s">
        <v>25578</v>
      </c>
    </row>
    <row r="9366" spans="2:4" x14ac:dyDescent="0.3">
      <c r="B9366" s="33" t="s">
        <v>25579</v>
      </c>
      <c r="C9366" s="32" t="s">
        <v>25580</v>
      </c>
      <c r="D9366" s="32" t="s">
        <v>25581</v>
      </c>
    </row>
    <row r="9367" spans="2:4" x14ac:dyDescent="0.3">
      <c r="B9367" s="33" t="s">
        <v>25582</v>
      </c>
      <c r="C9367" s="32" t="s">
        <v>25583</v>
      </c>
      <c r="D9367" s="32" t="s">
        <v>25584</v>
      </c>
    </row>
    <row r="9368" spans="2:4" x14ac:dyDescent="0.3">
      <c r="B9368" s="33" t="s">
        <v>25585</v>
      </c>
      <c r="C9368" s="32" t="s">
        <v>25586</v>
      </c>
      <c r="D9368" s="32" t="s">
        <v>25587</v>
      </c>
    </row>
    <row r="9369" spans="2:4" x14ac:dyDescent="0.3">
      <c r="B9369" s="33" t="s">
        <v>25588</v>
      </c>
      <c r="C9369" s="32" t="s">
        <v>25589</v>
      </c>
      <c r="D9369" s="32" t="s">
        <v>25590</v>
      </c>
    </row>
    <row r="9370" spans="2:4" x14ac:dyDescent="0.3">
      <c r="B9370" s="33" t="s">
        <v>25591</v>
      </c>
      <c r="C9370" s="32" t="s">
        <v>25592</v>
      </c>
      <c r="D9370" s="32" t="s">
        <v>25593</v>
      </c>
    </row>
    <row r="9371" spans="2:4" x14ac:dyDescent="0.3">
      <c r="B9371" s="33" t="s">
        <v>25594</v>
      </c>
      <c r="C9371" s="32" t="s">
        <v>25595</v>
      </c>
      <c r="D9371" s="32" t="s">
        <v>25596</v>
      </c>
    </row>
    <row r="9372" spans="2:4" x14ac:dyDescent="0.3">
      <c r="B9372" s="33" t="s">
        <v>25597</v>
      </c>
      <c r="C9372" s="32" t="s">
        <v>25598</v>
      </c>
      <c r="D9372" s="32" t="s">
        <v>25599</v>
      </c>
    </row>
    <row r="9373" spans="2:4" x14ac:dyDescent="0.3">
      <c r="B9373" s="33" t="s">
        <v>24115</v>
      </c>
      <c r="C9373" s="32" t="s">
        <v>25600</v>
      </c>
      <c r="D9373" s="32" t="s">
        <v>25601</v>
      </c>
    </row>
    <row r="9374" spans="2:4" x14ac:dyDescent="0.3">
      <c r="B9374" s="33" t="s">
        <v>24609</v>
      </c>
      <c r="C9374" s="32" t="s">
        <v>25602</v>
      </c>
      <c r="D9374" s="32" t="s">
        <v>25603</v>
      </c>
    </row>
    <row r="9375" spans="2:4" x14ac:dyDescent="0.3">
      <c r="B9375" s="33" t="s">
        <v>25597</v>
      </c>
      <c r="C9375" s="32" t="s">
        <v>25604</v>
      </c>
      <c r="D9375" s="32" t="s">
        <v>25605</v>
      </c>
    </row>
    <row r="9376" spans="2:4" x14ac:dyDescent="0.3">
      <c r="B9376" s="33" t="s">
        <v>25597</v>
      </c>
      <c r="C9376" s="32" t="s">
        <v>25606</v>
      </c>
      <c r="D9376" s="32" t="s">
        <v>25607</v>
      </c>
    </row>
    <row r="9377" spans="2:4" x14ac:dyDescent="0.3">
      <c r="B9377" s="33" t="s">
        <v>25608</v>
      </c>
      <c r="C9377" s="32" t="s">
        <v>25609</v>
      </c>
      <c r="D9377" s="32" t="s">
        <v>25610</v>
      </c>
    </row>
    <row r="9378" spans="2:4" x14ac:dyDescent="0.3">
      <c r="B9378" s="33" t="s">
        <v>25611</v>
      </c>
      <c r="C9378" s="32" t="s">
        <v>25612</v>
      </c>
      <c r="D9378" s="32" t="s">
        <v>25613</v>
      </c>
    </row>
    <row r="9379" spans="2:4" x14ac:dyDescent="0.3">
      <c r="B9379" s="33" t="s">
        <v>25611</v>
      </c>
      <c r="C9379" s="32" t="s">
        <v>25614</v>
      </c>
      <c r="D9379" s="32" t="s">
        <v>25615</v>
      </c>
    </row>
    <row r="9380" spans="2:4" x14ac:dyDescent="0.3">
      <c r="B9380" s="33" t="s">
        <v>25616</v>
      </c>
      <c r="C9380" s="32" t="s">
        <v>25617</v>
      </c>
      <c r="D9380" s="32" t="s">
        <v>25618</v>
      </c>
    </row>
    <row r="9381" spans="2:4" x14ac:dyDescent="0.3">
      <c r="B9381" s="33" t="s">
        <v>25619</v>
      </c>
      <c r="C9381" s="32" t="s">
        <v>25620</v>
      </c>
      <c r="D9381" s="32" t="s">
        <v>25621</v>
      </c>
    </row>
    <row r="9382" spans="2:4" x14ac:dyDescent="0.3">
      <c r="B9382" s="33" t="s">
        <v>25622</v>
      </c>
      <c r="C9382" s="32" t="s">
        <v>25623</v>
      </c>
      <c r="D9382" s="32" t="s">
        <v>25624</v>
      </c>
    </row>
    <row r="9383" spans="2:4" x14ac:dyDescent="0.3">
      <c r="B9383" s="33" t="s">
        <v>25625</v>
      </c>
      <c r="C9383" s="32" t="s">
        <v>25626</v>
      </c>
      <c r="D9383" s="32" t="s">
        <v>25627</v>
      </c>
    </row>
    <row r="9384" spans="2:4" x14ac:dyDescent="0.3">
      <c r="B9384" s="33" t="s">
        <v>25627</v>
      </c>
      <c r="C9384" s="32" t="s">
        <v>25628</v>
      </c>
      <c r="D9384" s="32" t="s">
        <v>25629</v>
      </c>
    </row>
    <row r="9385" spans="2:4" x14ac:dyDescent="0.3">
      <c r="B9385" s="33" t="s">
        <v>25627</v>
      </c>
      <c r="C9385" s="32" t="s">
        <v>25630</v>
      </c>
      <c r="D9385" s="32" t="s">
        <v>25631</v>
      </c>
    </row>
    <row r="9386" spans="2:4" x14ac:dyDescent="0.3">
      <c r="B9386" s="33" t="s">
        <v>25632</v>
      </c>
      <c r="C9386" s="32" t="s">
        <v>25633</v>
      </c>
      <c r="D9386" s="32" t="s">
        <v>25634</v>
      </c>
    </row>
    <row r="9387" spans="2:4" x14ac:dyDescent="0.3">
      <c r="B9387" s="33" t="s">
        <v>25627</v>
      </c>
      <c r="C9387" s="32" t="s">
        <v>25635</v>
      </c>
      <c r="D9387" s="32" t="s">
        <v>25636</v>
      </c>
    </row>
    <row r="9388" spans="2:4" x14ac:dyDescent="0.3">
      <c r="B9388" s="33" t="s">
        <v>25637</v>
      </c>
      <c r="C9388" s="32" t="s">
        <v>25638</v>
      </c>
      <c r="D9388" s="32" t="s">
        <v>25639</v>
      </c>
    </row>
    <row r="9389" spans="2:4" x14ac:dyDescent="0.3">
      <c r="B9389" s="33" t="s">
        <v>25551</v>
      </c>
      <c r="C9389" s="32" t="s">
        <v>25640</v>
      </c>
      <c r="D9389" s="32" t="s">
        <v>25641</v>
      </c>
    </row>
    <row r="9390" spans="2:4" x14ac:dyDescent="0.3">
      <c r="B9390" s="33" t="s">
        <v>25642</v>
      </c>
      <c r="C9390" s="32" t="s">
        <v>25643</v>
      </c>
      <c r="D9390" s="32" t="s">
        <v>25644</v>
      </c>
    </row>
    <row r="9391" spans="2:4" x14ac:dyDescent="0.3">
      <c r="B9391" s="33" t="s">
        <v>25645</v>
      </c>
      <c r="C9391" s="32" t="s">
        <v>25646</v>
      </c>
      <c r="D9391" s="32" t="s">
        <v>25647</v>
      </c>
    </row>
    <row r="9392" spans="2:4" x14ac:dyDescent="0.3">
      <c r="B9392" s="33" t="s">
        <v>25416</v>
      </c>
      <c r="C9392" s="32" t="s">
        <v>25648</v>
      </c>
      <c r="D9392" s="32" t="s">
        <v>25649</v>
      </c>
    </row>
    <row r="9393" spans="2:4" x14ac:dyDescent="0.3">
      <c r="B9393" s="33" t="s">
        <v>25650</v>
      </c>
      <c r="C9393" s="32" t="s">
        <v>25651</v>
      </c>
      <c r="D9393" s="32" t="s">
        <v>25652</v>
      </c>
    </row>
    <row r="9394" spans="2:4" x14ac:dyDescent="0.3">
      <c r="B9394" s="33" t="s">
        <v>25653</v>
      </c>
      <c r="C9394" s="32" t="s">
        <v>25654</v>
      </c>
      <c r="D9394" s="32" t="s">
        <v>25655</v>
      </c>
    </row>
    <row r="9395" spans="2:4" x14ac:dyDescent="0.3">
      <c r="B9395" s="33" t="s">
        <v>25656</v>
      </c>
      <c r="C9395" s="32" t="s">
        <v>25657</v>
      </c>
      <c r="D9395" s="32" t="s">
        <v>25658</v>
      </c>
    </row>
    <row r="9396" spans="2:4" x14ac:dyDescent="0.3">
      <c r="B9396" s="33" t="s">
        <v>25659</v>
      </c>
      <c r="C9396" s="32" t="s">
        <v>25660</v>
      </c>
      <c r="D9396" s="32" t="s">
        <v>25661</v>
      </c>
    </row>
    <row r="9397" spans="2:4" x14ac:dyDescent="0.3">
      <c r="B9397" s="33" t="s">
        <v>25662</v>
      </c>
      <c r="C9397" s="32" t="s">
        <v>25663</v>
      </c>
      <c r="D9397" s="32" t="s">
        <v>25664</v>
      </c>
    </row>
    <row r="9398" spans="2:4" x14ac:dyDescent="0.3">
      <c r="B9398" s="33" t="s">
        <v>24072</v>
      </c>
      <c r="C9398" s="32" t="s">
        <v>25665</v>
      </c>
      <c r="D9398" s="32" t="s">
        <v>25666</v>
      </c>
    </row>
    <row r="9399" spans="2:4" x14ac:dyDescent="0.3">
      <c r="B9399" s="33" t="s">
        <v>25667</v>
      </c>
      <c r="C9399" s="32" t="s">
        <v>25668</v>
      </c>
      <c r="D9399" s="32" t="s">
        <v>25669</v>
      </c>
    </row>
    <row r="9400" spans="2:4" x14ac:dyDescent="0.3">
      <c r="B9400" s="33" t="s">
        <v>24302</v>
      </c>
      <c r="C9400" s="32" t="s">
        <v>25670</v>
      </c>
      <c r="D9400" s="32" t="s">
        <v>25671</v>
      </c>
    </row>
    <row r="9401" spans="2:4" x14ac:dyDescent="0.3">
      <c r="B9401" s="33" t="s">
        <v>25672</v>
      </c>
      <c r="C9401" s="32" t="s">
        <v>25673</v>
      </c>
      <c r="D9401" s="32" t="s">
        <v>25674</v>
      </c>
    </row>
    <row r="9402" spans="2:4" x14ac:dyDescent="0.3">
      <c r="B9402" s="33" t="s">
        <v>25672</v>
      </c>
      <c r="C9402" s="32" t="s">
        <v>25675</v>
      </c>
      <c r="D9402" s="32" t="s">
        <v>25676</v>
      </c>
    </row>
    <row r="9403" spans="2:4" x14ac:dyDescent="0.3">
      <c r="B9403" s="33" t="s">
        <v>25304</v>
      </c>
      <c r="C9403" s="32" t="s">
        <v>25677</v>
      </c>
      <c r="D9403" s="32" t="s">
        <v>25678</v>
      </c>
    </row>
    <row r="9404" spans="2:4" x14ac:dyDescent="0.3">
      <c r="B9404" s="33" t="s">
        <v>25679</v>
      </c>
      <c r="C9404" s="32" t="s">
        <v>25680</v>
      </c>
      <c r="D9404" s="32" t="s">
        <v>25681</v>
      </c>
    </row>
    <row r="9405" spans="2:4" x14ac:dyDescent="0.3">
      <c r="B9405" s="33" t="s">
        <v>25679</v>
      </c>
      <c r="C9405" s="32" t="s">
        <v>25682</v>
      </c>
      <c r="D9405" s="32" t="s">
        <v>25683</v>
      </c>
    </row>
    <row r="9406" spans="2:4" x14ac:dyDescent="0.3">
      <c r="B9406" s="33" t="s">
        <v>25304</v>
      </c>
      <c r="C9406" s="32" t="s">
        <v>25684</v>
      </c>
      <c r="D9406" s="32" t="s">
        <v>25685</v>
      </c>
    </row>
    <row r="9407" spans="2:4" x14ac:dyDescent="0.3">
      <c r="B9407" s="33" t="s">
        <v>25686</v>
      </c>
      <c r="C9407" s="32" t="s">
        <v>25687</v>
      </c>
      <c r="D9407" s="32" t="s">
        <v>25688</v>
      </c>
    </row>
    <row r="9408" spans="2:4" x14ac:dyDescent="0.3">
      <c r="B9408" s="33" t="s">
        <v>25689</v>
      </c>
      <c r="C9408" s="32" t="s">
        <v>25690</v>
      </c>
      <c r="D9408" s="32" t="s">
        <v>25691</v>
      </c>
    </row>
    <row r="9409" spans="2:4" x14ac:dyDescent="0.3">
      <c r="B9409" s="33" t="s">
        <v>16933</v>
      </c>
      <c r="C9409" s="32" t="s">
        <v>25692</v>
      </c>
      <c r="D9409" s="32" t="s">
        <v>25693</v>
      </c>
    </row>
    <row r="9410" spans="2:4" x14ac:dyDescent="0.3">
      <c r="B9410" s="33" t="s">
        <v>25694</v>
      </c>
      <c r="C9410" s="32" t="s">
        <v>25695</v>
      </c>
      <c r="D9410" s="32" t="s">
        <v>25696</v>
      </c>
    </row>
    <row r="9411" spans="2:4" x14ac:dyDescent="0.3">
      <c r="B9411" s="33" t="s">
        <v>25689</v>
      </c>
      <c r="C9411" s="32" t="s">
        <v>25697</v>
      </c>
      <c r="D9411" s="32" t="s">
        <v>25698</v>
      </c>
    </row>
    <row r="9412" spans="2:4" x14ac:dyDescent="0.3">
      <c r="B9412" s="33" t="s">
        <v>25699</v>
      </c>
      <c r="C9412" s="32" t="s">
        <v>25700</v>
      </c>
      <c r="D9412" s="32" t="s">
        <v>25701</v>
      </c>
    </row>
    <row r="9413" spans="2:4" x14ac:dyDescent="0.3">
      <c r="B9413" s="33" t="s">
        <v>25702</v>
      </c>
      <c r="C9413" s="32" t="s">
        <v>25703</v>
      </c>
      <c r="D9413" s="32" t="s">
        <v>25704</v>
      </c>
    </row>
    <row r="9414" spans="2:4" x14ac:dyDescent="0.3">
      <c r="B9414" s="33" t="s">
        <v>11700</v>
      </c>
      <c r="C9414" s="32" t="s">
        <v>25705</v>
      </c>
      <c r="D9414" s="32" t="s">
        <v>25706</v>
      </c>
    </row>
    <row r="9415" spans="2:4" x14ac:dyDescent="0.3">
      <c r="B9415" s="33" t="s">
        <v>25707</v>
      </c>
      <c r="C9415" s="32" t="s">
        <v>25708</v>
      </c>
      <c r="D9415" s="32" t="s">
        <v>25709</v>
      </c>
    </row>
    <row r="9416" spans="2:4" x14ac:dyDescent="0.3">
      <c r="B9416" s="33" t="s">
        <v>25710</v>
      </c>
      <c r="C9416" s="32" t="s">
        <v>25711</v>
      </c>
      <c r="D9416" s="32" t="s">
        <v>25712</v>
      </c>
    </row>
    <row r="9417" spans="2:4" x14ac:dyDescent="0.3">
      <c r="B9417" s="33" t="s">
        <v>25713</v>
      </c>
      <c r="C9417" s="32" t="s">
        <v>25714</v>
      </c>
      <c r="D9417" s="32" t="s">
        <v>36753</v>
      </c>
    </row>
    <row r="9418" spans="2:4" x14ac:dyDescent="0.3">
      <c r="B9418" s="33" t="s">
        <v>25715</v>
      </c>
      <c r="C9418" s="32" t="s">
        <v>25716</v>
      </c>
      <c r="D9418" s="32" t="s">
        <v>25717</v>
      </c>
    </row>
    <row r="9419" spans="2:4" x14ac:dyDescent="0.3">
      <c r="B9419" s="33" t="s">
        <v>7243</v>
      </c>
      <c r="C9419" s="32" t="s">
        <v>25718</v>
      </c>
      <c r="D9419" s="32" t="s">
        <v>25719</v>
      </c>
    </row>
    <row r="9420" spans="2:4" x14ac:dyDescent="0.3">
      <c r="B9420" s="33" t="s">
        <v>25720</v>
      </c>
      <c r="C9420" s="32" t="s">
        <v>25721</v>
      </c>
      <c r="D9420" s="32" t="s">
        <v>25722</v>
      </c>
    </row>
    <row r="9421" spans="2:4" x14ac:dyDescent="0.3">
      <c r="B9421" s="33" t="s">
        <v>25723</v>
      </c>
      <c r="C9421" s="32" t="s">
        <v>25724</v>
      </c>
      <c r="D9421" s="32" t="s">
        <v>25725</v>
      </c>
    </row>
    <row r="9422" spans="2:4" x14ac:dyDescent="0.3">
      <c r="B9422" s="33" t="s">
        <v>25726</v>
      </c>
      <c r="C9422" s="32" t="s">
        <v>25727</v>
      </c>
      <c r="D9422" s="32" t="s">
        <v>25728</v>
      </c>
    </row>
    <row r="9423" spans="2:4" x14ac:dyDescent="0.3">
      <c r="B9423" s="33" t="s">
        <v>25729</v>
      </c>
      <c r="C9423" s="32" t="s">
        <v>25730</v>
      </c>
      <c r="D9423" s="32" t="s">
        <v>25731</v>
      </c>
    </row>
    <row r="9424" spans="2:4" x14ac:dyDescent="0.3">
      <c r="B9424" s="33" t="s">
        <v>25732</v>
      </c>
      <c r="C9424" s="32" t="s">
        <v>25733</v>
      </c>
      <c r="D9424" s="32" t="s">
        <v>25734</v>
      </c>
    </row>
    <row r="9425" spans="2:4" x14ac:dyDescent="0.3">
      <c r="B9425" s="33" t="s">
        <v>25735</v>
      </c>
      <c r="C9425" s="32" t="s">
        <v>25736</v>
      </c>
      <c r="D9425" s="32" t="s">
        <v>25737</v>
      </c>
    </row>
    <row r="9426" spans="2:4" x14ac:dyDescent="0.3">
      <c r="B9426" s="33" t="s">
        <v>25738</v>
      </c>
      <c r="C9426" s="32" t="s">
        <v>25739</v>
      </c>
      <c r="D9426" s="32" t="s">
        <v>25740</v>
      </c>
    </row>
    <row r="9427" spans="2:4" x14ac:dyDescent="0.3">
      <c r="B9427" s="33" t="s">
        <v>25741</v>
      </c>
      <c r="C9427" s="32" t="s">
        <v>25742</v>
      </c>
      <c r="D9427" s="32" t="s">
        <v>25743</v>
      </c>
    </row>
    <row r="9428" spans="2:4" x14ac:dyDescent="0.3">
      <c r="B9428" s="33" t="s">
        <v>25744</v>
      </c>
      <c r="C9428" s="32" t="s">
        <v>25745</v>
      </c>
      <c r="D9428" s="32" t="s">
        <v>25746</v>
      </c>
    </row>
    <row r="9429" spans="2:4" x14ac:dyDescent="0.3">
      <c r="B9429" s="33" t="s">
        <v>25747</v>
      </c>
      <c r="C9429" s="32" t="s">
        <v>25748</v>
      </c>
      <c r="D9429" s="32" t="s">
        <v>25749</v>
      </c>
    </row>
    <row r="9430" spans="2:4" x14ac:dyDescent="0.3">
      <c r="B9430" s="33" t="s">
        <v>25750</v>
      </c>
      <c r="C9430" s="32" t="s">
        <v>25751</v>
      </c>
      <c r="D9430" s="32" t="s">
        <v>25752</v>
      </c>
    </row>
    <row r="9431" spans="2:4" x14ac:dyDescent="0.3">
      <c r="B9431" s="33" t="s">
        <v>25753</v>
      </c>
      <c r="C9431" s="32" t="s">
        <v>25754</v>
      </c>
      <c r="D9431" s="32" t="s">
        <v>25755</v>
      </c>
    </row>
    <row r="9432" spans="2:4" x14ac:dyDescent="0.3">
      <c r="B9432" s="33" t="s">
        <v>25756</v>
      </c>
      <c r="C9432" s="32" t="s">
        <v>25757</v>
      </c>
      <c r="D9432" s="32" t="s">
        <v>25758</v>
      </c>
    </row>
    <row r="9433" spans="2:4" x14ac:dyDescent="0.3">
      <c r="B9433" s="33" t="s">
        <v>25759</v>
      </c>
      <c r="C9433" s="32" t="s">
        <v>25760</v>
      </c>
      <c r="D9433" s="32" t="s">
        <v>25761</v>
      </c>
    </row>
    <row r="9434" spans="2:4" x14ac:dyDescent="0.3">
      <c r="B9434" s="33" t="s">
        <v>25762</v>
      </c>
      <c r="C9434" s="32" t="s">
        <v>25763</v>
      </c>
      <c r="D9434" s="32" t="s">
        <v>25764</v>
      </c>
    </row>
    <row r="9435" spans="2:4" x14ac:dyDescent="0.3">
      <c r="B9435" s="33" t="s">
        <v>25765</v>
      </c>
      <c r="C9435" s="32" t="s">
        <v>25766</v>
      </c>
      <c r="D9435" s="32" t="s">
        <v>25767</v>
      </c>
    </row>
    <row r="9436" spans="2:4" x14ac:dyDescent="0.3">
      <c r="B9436" s="33" t="s">
        <v>25768</v>
      </c>
      <c r="C9436" s="32" t="s">
        <v>25769</v>
      </c>
      <c r="D9436" s="32" t="s">
        <v>25770</v>
      </c>
    </row>
    <row r="9437" spans="2:4" x14ac:dyDescent="0.3">
      <c r="B9437" s="33" t="s">
        <v>25771</v>
      </c>
      <c r="C9437" s="32" t="s">
        <v>25772</v>
      </c>
      <c r="D9437" s="32" t="s">
        <v>25773</v>
      </c>
    </row>
    <row r="9438" spans="2:4" x14ac:dyDescent="0.3">
      <c r="B9438" s="33" t="s">
        <v>25774</v>
      </c>
      <c r="C9438" s="32" t="s">
        <v>25775</v>
      </c>
      <c r="D9438" s="32" t="s">
        <v>25776</v>
      </c>
    </row>
    <row r="9439" spans="2:4" x14ac:dyDescent="0.3">
      <c r="B9439" s="33" t="s">
        <v>25777</v>
      </c>
      <c r="C9439" s="32" t="s">
        <v>25778</v>
      </c>
      <c r="D9439" s="32" t="s">
        <v>25779</v>
      </c>
    </row>
    <row r="9440" spans="2:4" x14ac:dyDescent="0.3">
      <c r="B9440" s="33" t="s">
        <v>25780</v>
      </c>
      <c r="C9440" s="32" t="s">
        <v>25781</v>
      </c>
      <c r="D9440" s="32" t="s">
        <v>25782</v>
      </c>
    </row>
    <row r="9441" spans="2:4" x14ac:dyDescent="0.3">
      <c r="B9441" s="33" t="s">
        <v>25783</v>
      </c>
      <c r="C9441" s="32" t="s">
        <v>25784</v>
      </c>
      <c r="D9441" s="32" t="s">
        <v>25785</v>
      </c>
    </row>
    <row r="9442" spans="2:4" x14ac:dyDescent="0.3">
      <c r="B9442" s="33" t="s">
        <v>25786</v>
      </c>
      <c r="C9442" s="32" t="s">
        <v>25787</v>
      </c>
      <c r="D9442" s="32" t="s">
        <v>25788</v>
      </c>
    </row>
    <row r="9443" spans="2:4" x14ac:dyDescent="0.3">
      <c r="B9443" s="33" t="s">
        <v>25789</v>
      </c>
      <c r="C9443" s="32" t="s">
        <v>25790</v>
      </c>
      <c r="D9443" s="32" t="s">
        <v>25791</v>
      </c>
    </row>
    <row r="9444" spans="2:4" x14ac:dyDescent="0.3">
      <c r="B9444" s="33" t="s">
        <v>25792</v>
      </c>
      <c r="C9444" s="32" t="s">
        <v>25793</v>
      </c>
      <c r="D9444" s="32" t="s">
        <v>25794</v>
      </c>
    </row>
    <row r="9445" spans="2:4" x14ac:dyDescent="0.3">
      <c r="B9445" s="33" t="s">
        <v>25795</v>
      </c>
      <c r="C9445" s="32" t="s">
        <v>25796</v>
      </c>
      <c r="D9445" s="32" t="s">
        <v>25797</v>
      </c>
    </row>
    <row r="9446" spans="2:4" x14ac:dyDescent="0.3">
      <c r="B9446" s="33" t="s">
        <v>25798</v>
      </c>
      <c r="C9446" s="32" t="s">
        <v>25799</v>
      </c>
      <c r="D9446" s="32" t="s">
        <v>25800</v>
      </c>
    </row>
    <row r="9447" spans="2:4" x14ac:dyDescent="0.3">
      <c r="B9447" s="33" t="s">
        <v>25801</v>
      </c>
      <c r="C9447" s="32" t="s">
        <v>25802</v>
      </c>
      <c r="D9447" s="32" t="s">
        <v>25803</v>
      </c>
    </row>
    <row r="9448" spans="2:4" x14ac:dyDescent="0.3">
      <c r="B9448" s="33" t="s">
        <v>25795</v>
      </c>
      <c r="C9448" s="32" t="s">
        <v>25804</v>
      </c>
      <c r="D9448" s="32" t="s">
        <v>25805</v>
      </c>
    </row>
    <row r="9449" spans="2:4" x14ac:dyDescent="0.3">
      <c r="B9449" s="33" t="s">
        <v>25806</v>
      </c>
      <c r="C9449" s="32" t="s">
        <v>25807</v>
      </c>
      <c r="D9449" s="32" t="s">
        <v>25808</v>
      </c>
    </row>
    <row r="9450" spans="2:4" x14ac:dyDescent="0.3">
      <c r="B9450" s="33" t="s">
        <v>25795</v>
      </c>
      <c r="C9450" s="32" t="s">
        <v>25809</v>
      </c>
      <c r="D9450" s="32" t="s">
        <v>25810</v>
      </c>
    </row>
    <row r="9451" spans="2:4" x14ac:dyDescent="0.3">
      <c r="B9451" s="33" t="s">
        <v>25811</v>
      </c>
      <c r="C9451" s="32" t="s">
        <v>25812</v>
      </c>
      <c r="D9451" s="32" t="s">
        <v>25813</v>
      </c>
    </row>
    <row r="9452" spans="2:4" x14ac:dyDescent="0.3">
      <c r="B9452" s="33" t="s">
        <v>16479</v>
      </c>
      <c r="C9452" s="32" t="s">
        <v>25814</v>
      </c>
      <c r="D9452" s="32" t="s">
        <v>25815</v>
      </c>
    </row>
    <row r="9453" spans="2:4" x14ac:dyDescent="0.3">
      <c r="B9453" s="33" t="s">
        <v>25816</v>
      </c>
      <c r="C9453" s="32" t="s">
        <v>25817</v>
      </c>
      <c r="D9453" s="32" t="s">
        <v>25818</v>
      </c>
    </row>
    <row r="9454" spans="2:4" x14ac:dyDescent="0.3">
      <c r="B9454" s="33" t="s">
        <v>25819</v>
      </c>
      <c r="C9454" s="32" t="s">
        <v>25820</v>
      </c>
      <c r="D9454" s="32" t="s">
        <v>25821</v>
      </c>
    </row>
    <row r="9455" spans="2:4" x14ac:dyDescent="0.3">
      <c r="B9455" s="33" t="s">
        <v>25822</v>
      </c>
      <c r="C9455" s="32" t="s">
        <v>25823</v>
      </c>
      <c r="D9455" s="32" t="s">
        <v>25824</v>
      </c>
    </row>
    <row r="9456" spans="2:4" x14ac:dyDescent="0.3">
      <c r="B9456" s="33" t="s">
        <v>25825</v>
      </c>
      <c r="C9456" s="32" t="s">
        <v>25826</v>
      </c>
      <c r="D9456" s="32" t="s">
        <v>25827</v>
      </c>
    </row>
    <row r="9457" spans="2:4" x14ac:dyDescent="0.3">
      <c r="B9457" s="33" t="s">
        <v>25828</v>
      </c>
      <c r="C9457" s="32" t="s">
        <v>25829</v>
      </c>
      <c r="D9457" s="32" t="s">
        <v>25830</v>
      </c>
    </row>
    <row r="9458" spans="2:4" x14ac:dyDescent="0.3">
      <c r="B9458" s="33" t="s">
        <v>25831</v>
      </c>
      <c r="C9458" s="32" t="s">
        <v>25832</v>
      </c>
      <c r="D9458" s="32" t="s">
        <v>25833</v>
      </c>
    </row>
    <row r="9459" spans="2:4" x14ac:dyDescent="0.3">
      <c r="B9459" s="33" t="s">
        <v>25834</v>
      </c>
      <c r="C9459" s="32" t="s">
        <v>25835</v>
      </c>
      <c r="D9459" s="32" t="s">
        <v>25836</v>
      </c>
    </row>
    <row r="9460" spans="2:4" x14ac:dyDescent="0.3">
      <c r="B9460" s="33" t="s">
        <v>25837</v>
      </c>
      <c r="C9460" s="32" t="s">
        <v>25838</v>
      </c>
      <c r="D9460" s="32" t="s">
        <v>25839</v>
      </c>
    </row>
    <row r="9461" spans="2:4" x14ac:dyDescent="0.3">
      <c r="B9461" s="33" t="s">
        <v>25840</v>
      </c>
      <c r="C9461" s="32" t="s">
        <v>25841</v>
      </c>
      <c r="D9461" s="32" t="s">
        <v>25840</v>
      </c>
    </row>
    <row r="9462" spans="2:4" x14ac:dyDescent="0.3">
      <c r="B9462" s="33" t="s">
        <v>25842</v>
      </c>
      <c r="C9462" s="32" t="s">
        <v>25843</v>
      </c>
      <c r="D9462" s="32" t="s">
        <v>25844</v>
      </c>
    </row>
    <row r="9463" spans="2:4" x14ac:dyDescent="0.3">
      <c r="B9463" s="33" t="s">
        <v>24281</v>
      </c>
      <c r="C9463" s="32" t="s">
        <v>25845</v>
      </c>
      <c r="D9463" s="32" t="s">
        <v>25846</v>
      </c>
    </row>
    <row r="9464" spans="2:4" x14ac:dyDescent="0.3">
      <c r="B9464" s="33" t="s">
        <v>25847</v>
      </c>
      <c r="C9464" s="32" t="s">
        <v>25848</v>
      </c>
      <c r="D9464" s="32" t="s">
        <v>25849</v>
      </c>
    </row>
    <row r="9465" spans="2:4" x14ac:dyDescent="0.3">
      <c r="B9465" s="33" t="s">
        <v>9011</v>
      </c>
      <c r="C9465" s="32" t="s">
        <v>25850</v>
      </c>
      <c r="D9465" s="32" t="s">
        <v>25851</v>
      </c>
    </row>
    <row r="9466" spans="2:4" x14ac:dyDescent="0.3">
      <c r="B9466" s="33" t="s">
        <v>25852</v>
      </c>
      <c r="C9466" s="32" t="s">
        <v>25853</v>
      </c>
      <c r="D9466" s="32" t="s">
        <v>25854</v>
      </c>
    </row>
    <row r="9467" spans="2:4" x14ac:dyDescent="0.3">
      <c r="B9467" s="33" t="s">
        <v>25855</v>
      </c>
      <c r="C9467" s="32" t="s">
        <v>25856</v>
      </c>
      <c r="D9467" s="32" t="s">
        <v>25857</v>
      </c>
    </row>
    <row r="9468" spans="2:4" x14ac:dyDescent="0.3">
      <c r="B9468" s="33" t="s">
        <v>25858</v>
      </c>
      <c r="C9468" s="32" t="s">
        <v>25859</v>
      </c>
      <c r="D9468" s="32" t="s">
        <v>25860</v>
      </c>
    </row>
    <row r="9469" spans="2:4" x14ac:dyDescent="0.3">
      <c r="B9469" s="33" t="s">
        <v>13744</v>
      </c>
      <c r="C9469" s="32" t="s">
        <v>25861</v>
      </c>
      <c r="D9469" s="32" t="s">
        <v>25862</v>
      </c>
    </row>
    <row r="9470" spans="2:4" x14ac:dyDescent="0.3">
      <c r="B9470" s="33" t="s">
        <v>25863</v>
      </c>
      <c r="C9470" s="32" t="s">
        <v>25864</v>
      </c>
      <c r="D9470" s="32" t="s">
        <v>25865</v>
      </c>
    </row>
    <row r="9471" spans="2:4" x14ac:dyDescent="0.3">
      <c r="B9471" s="33" t="s">
        <v>19740</v>
      </c>
      <c r="C9471" s="32" t="s">
        <v>25866</v>
      </c>
      <c r="D9471" s="32" t="s">
        <v>25867</v>
      </c>
    </row>
    <row r="9472" spans="2:4" x14ac:dyDescent="0.3">
      <c r="B9472" s="33" t="s">
        <v>23315</v>
      </c>
      <c r="C9472" s="32" t="s">
        <v>25868</v>
      </c>
      <c r="D9472" s="32" t="s">
        <v>25869</v>
      </c>
    </row>
    <row r="9473" spans="2:4" x14ac:dyDescent="0.3">
      <c r="B9473" s="33" t="s">
        <v>11700</v>
      </c>
      <c r="C9473" s="32" t="s">
        <v>25870</v>
      </c>
      <c r="D9473" s="32" t="s">
        <v>25871</v>
      </c>
    </row>
    <row r="9474" spans="2:4" x14ac:dyDescent="0.3">
      <c r="B9474" s="33" t="s">
        <v>24305</v>
      </c>
      <c r="C9474" s="32" t="s">
        <v>25872</v>
      </c>
      <c r="D9474" s="32" t="s">
        <v>25873</v>
      </c>
    </row>
    <row r="9475" spans="2:4" x14ac:dyDescent="0.3">
      <c r="B9475" s="33" t="s">
        <v>25874</v>
      </c>
      <c r="C9475" s="32" t="s">
        <v>25875</v>
      </c>
      <c r="D9475" s="32" t="s">
        <v>25876</v>
      </c>
    </row>
    <row r="9476" spans="2:4" x14ac:dyDescent="0.3">
      <c r="B9476" s="33" t="s">
        <v>25877</v>
      </c>
      <c r="C9476" s="32" t="s">
        <v>25878</v>
      </c>
      <c r="D9476" s="32" t="s">
        <v>25879</v>
      </c>
    </row>
    <row r="9477" spans="2:4" x14ac:dyDescent="0.3">
      <c r="B9477" s="33" t="s">
        <v>25880</v>
      </c>
      <c r="C9477" s="32" t="s">
        <v>25881</v>
      </c>
      <c r="D9477" s="32" t="s">
        <v>25882</v>
      </c>
    </row>
    <row r="9478" spans="2:4" x14ac:dyDescent="0.3">
      <c r="B9478" s="33" t="s">
        <v>25883</v>
      </c>
      <c r="C9478" s="32" t="s">
        <v>25884</v>
      </c>
      <c r="D9478" s="32" t="s">
        <v>25885</v>
      </c>
    </row>
    <row r="9479" spans="2:4" x14ac:dyDescent="0.3">
      <c r="B9479" s="33" t="s">
        <v>25551</v>
      </c>
      <c r="C9479" s="32" t="s">
        <v>25886</v>
      </c>
      <c r="D9479" s="32" t="s">
        <v>25887</v>
      </c>
    </row>
    <row r="9480" spans="2:4" x14ac:dyDescent="0.3">
      <c r="B9480" s="33" t="s">
        <v>8908</v>
      </c>
      <c r="C9480" s="32" t="s">
        <v>25888</v>
      </c>
      <c r="D9480" s="32" t="s">
        <v>25889</v>
      </c>
    </row>
    <row r="9481" spans="2:4" x14ac:dyDescent="0.3">
      <c r="B9481" s="33" t="s">
        <v>25890</v>
      </c>
      <c r="C9481" s="32" t="s">
        <v>25891</v>
      </c>
      <c r="D9481" s="32" t="s">
        <v>25892</v>
      </c>
    </row>
    <row r="9482" spans="2:4" x14ac:dyDescent="0.3">
      <c r="B9482" s="33" t="s">
        <v>25893</v>
      </c>
      <c r="C9482" s="32" t="s">
        <v>25894</v>
      </c>
      <c r="D9482" s="32" t="s">
        <v>25895</v>
      </c>
    </row>
    <row r="9483" spans="2:4" x14ac:dyDescent="0.3">
      <c r="B9483" s="33" t="s">
        <v>25896</v>
      </c>
      <c r="C9483" s="32" t="s">
        <v>25897</v>
      </c>
      <c r="D9483" s="32" t="s">
        <v>37308</v>
      </c>
    </row>
    <row r="9484" spans="2:4" x14ac:dyDescent="0.3">
      <c r="B9484" s="33" t="s">
        <v>25898</v>
      </c>
      <c r="C9484" s="32" t="s">
        <v>25899</v>
      </c>
      <c r="D9484" s="32" t="s">
        <v>25900</v>
      </c>
    </row>
    <row r="9485" spans="2:4" x14ac:dyDescent="0.3">
      <c r="B9485" s="33" t="s">
        <v>25901</v>
      </c>
      <c r="C9485" s="32" t="s">
        <v>25902</v>
      </c>
      <c r="D9485" s="32" t="s">
        <v>25903</v>
      </c>
    </row>
    <row r="9486" spans="2:4" x14ac:dyDescent="0.3">
      <c r="B9486" s="33" t="s">
        <v>25904</v>
      </c>
      <c r="C9486" s="32" t="s">
        <v>25905</v>
      </c>
      <c r="D9486" s="32" t="s">
        <v>25906</v>
      </c>
    </row>
    <row r="9487" spans="2:4" x14ac:dyDescent="0.3">
      <c r="B9487" s="33" t="s">
        <v>25907</v>
      </c>
      <c r="C9487" s="32" t="s">
        <v>25908</v>
      </c>
      <c r="D9487" s="32" t="s">
        <v>25909</v>
      </c>
    </row>
    <row r="9488" spans="2:4" x14ac:dyDescent="0.3">
      <c r="B9488" s="33" t="s">
        <v>25330</v>
      </c>
      <c r="C9488" s="32" t="s">
        <v>25910</v>
      </c>
      <c r="D9488" s="32" t="s">
        <v>25911</v>
      </c>
    </row>
    <row r="9489" spans="2:4" x14ac:dyDescent="0.3">
      <c r="B9489" s="33" t="s">
        <v>25912</v>
      </c>
      <c r="C9489" s="32" t="s">
        <v>25913</v>
      </c>
      <c r="D9489" s="32" t="s">
        <v>25914</v>
      </c>
    </row>
    <row r="9490" spans="2:4" x14ac:dyDescent="0.3">
      <c r="B9490" s="33" t="s">
        <v>25915</v>
      </c>
      <c r="C9490" s="32" t="s">
        <v>25916</v>
      </c>
      <c r="D9490" s="32" t="s">
        <v>25917</v>
      </c>
    </row>
    <row r="9491" spans="2:4" x14ac:dyDescent="0.3">
      <c r="B9491" s="33" t="s">
        <v>25918</v>
      </c>
      <c r="C9491" s="32" t="s">
        <v>25919</v>
      </c>
      <c r="D9491" s="32" t="s">
        <v>25920</v>
      </c>
    </row>
    <row r="9492" spans="2:4" x14ac:dyDescent="0.3">
      <c r="B9492" s="33" t="s">
        <v>25921</v>
      </c>
      <c r="C9492" s="32" t="s">
        <v>25922</v>
      </c>
      <c r="D9492" s="32" t="s">
        <v>25923</v>
      </c>
    </row>
    <row r="9493" spans="2:4" x14ac:dyDescent="0.3">
      <c r="B9493" s="33" t="s">
        <v>25896</v>
      </c>
      <c r="C9493" s="32" t="s">
        <v>25924</v>
      </c>
      <c r="D9493" s="32" t="s">
        <v>25925</v>
      </c>
    </row>
    <row r="9494" spans="2:4" x14ac:dyDescent="0.3">
      <c r="B9494" s="33" t="s">
        <v>4964</v>
      </c>
      <c r="C9494" s="32" t="s">
        <v>25926</v>
      </c>
      <c r="D9494" s="32" t="s">
        <v>25927</v>
      </c>
    </row>
    <row r="9495" spans="2:4" x14ac:dyDescent="0.3">
      <c r="B9495" s="33" t="s">
        <v>25928</v>
      </c>
      <c r="C9495" s="32" t="s">
        <v>25929</v>
      </c>
      <c r="D9495" s="32" t="s">
        <v>25930</v>
      </c>
    </row>
    <row r="9496" spans="2:4" x14ac:dyDescent="0.3">
      <c r="B9496" s="33" t="s">
        <v>25931</v>
      </c>
      <c r="C9496" s="32" t="s">
        <v>25932</v>
      </c>
      <c r="D9496" s="32" t="s">
        <v>25933</v>
      </c>
    </row>
    <row r="9497" spans="2:4" x14ac:dyDescent="0.3">
      <c r="B9497" s="33" t="s">
        <v>25928</v>
      </c>
      <c r="C9497" s="32" t="s">
        <v>25934</v>
      </c>
      <c r="D9497" s="32" t="s">
        <v>25935</v>
      </c>
    </row>
    <row r="9498" spans="2:4" x14ac:dyDescent="0.3">
      <c r="B9498" s="33" t="s">
        <v>25936</v>
      </c>
      <c r="C9498" s="32" t="s">
        <v>25937</v>
      </c>
      <c r="D9498" s="32" t="s">
        <v>25938</v>
      </c>
    </row>
    <row r="9499" spans="2:4" x14ac:dyDescent="0.3">
      <c r="B9499" s="33" t="s">
        <v>25939</v>
      </c>
      <c r="C9499" s="32" t="s">
        <v>25940</v>
      </c>
      <c r="D9499" s="32" t="s">
        <v>25941</v>
      </c>
    </row>
    <row r="9500" spans="2:4" x14ac:dyDescent="0.3">
      <c r="B9500" s="33" t="s">
        <v>25942</v>
      </c>
      <c r="C9500" s="32" t="s">
        <v>25943</v>
      </c>
      <c r="D9500" s="32" t="s">
        <v>25944</v>
      </c>
    </row>
    <row r="9501" spans="2:4" x14ac:dyDescent="0.3">
      <c r="B9501" s="33" t="s">
        <v>25945</v>
      </c>
      <c r="C9501" s="32" t="s">
        <v>25946</v>
      </c>
      <c r="D9501" s="32" t="s">
        <v>25947</v>
      </c>
    </row>
    <row r="9502" spans="2:4" x14ac:dyDescent="0.3">
      <c r="B9502" s="33" t="s">
        <v>25948</v>
      </c>
      <c r="C9502" s="32" t="s">
        <v>25949</v>
      </c>
      <c r="D9502" s="32" t="s">
        <v>25950</v>
      </c>
    </row>
    <row r="9503" spans="2:4" x14ac:dyDescent="0.3">
      <c r="B9503" s="33" t="s">
        <v>25951</v>
      </c>
      <c r="C9503" s="32" t="s">
        <v>25952</v>
      </c>
      <c r="D9503" s="32" t="s">
        <v>25953</v>
      </c>
    </row>
    <row r="9504" spans="2:4" x14ac:dyDescent="0.3">
      <c r="B9504" s="33" t="s">
        <v>25896</v>
      </c>
      <c r="C9504" s="32" t="s">
        <v>25954</v>
      </c>
      <c r="D9504" s="32" t="s">
        <v>25955</v>
      </c>
    </row>
    <row r="9505" spans="2:4" x14ac:dyDescent="0.3">
      <c r="B9505" s="33" t="s">
        <v>25956</v>
      </c>
      <c r="C9505" s="32" t="s">
        <v>25957</v>
      </c>
      <c r="D9505" s="32" t="s">
        <v>25958</v>
      </c>
    </row>
    <row r="9506" spans="2:4" x14ac:dyDescent="0.3">
      <c r="B9506" s="33" t="s">
        <v>25699</v>
      </c>
      <c r="C9506" s="32" t="s">
        <v>25959</v>
      </c>
      <c r="D9506" s="32" t="s">
        <v>25960</v>
      </c>
    </row>
    <row r="9507" spans="2:4" x14ac:dyDescent="0.3">
      <c r="B9507" s="33" t="s">
        <v>25961</v>
      </c>
      <c r="C9507" s="32" t="s">
        <v>25962</v>
      </c>
      <c r="D9507" s="32" t="s">
        <v>25963</v>
      </c>
    </row>
    <row r="9508" spans="2:4" x14ac:dyDescent="0.3">
      <c r="B9508" s="33" t="s">
        <v>25964</v>
      </c>
      <c r="C9508" s="32" t="s">
        <v>25965</v>
      </c>
      <c r="D9508" s="32" t="s">
        <v>25966</v>
      </c>
    </row>
    <row r="9509" spans="2:4" x14ac:dyDescent="0.3">
      <c r="B9509" s="33" t="s">
        <v>15274</v>
      </c>
      <c r="C9509" s="32" t="s">
        <v>25967</v>
      </c>
      <c r="D9509" s="32" t="s">
        <v>25968</v>
      </c>
    </row>
    <row r="9510" spans="2:4" x14ac:dyDescent="0.3">
      <c r="B9510" s="33" t="s">
        <v>25969</v>
      </c>
      <c r="C9510" s="32" t="s">
        <v>25970</v>
      </c>
      <c r="D9510" s="32" t="s">
        <v>25971</v>
      </c>
    </row>
    <row r="9511" spans="2:4" x14ac:dyDescent="0.3">
      <c r="B9511" s="33" t="s">
        <v>25972</v>
      </c>
      <c r="C9511" s="32" t="s">
        <v>25973</v>
      </c>
      <c r="D9511" s="32" t="s">
        <v>25974</v>
      </c>
    </row>
    <row r="9512" spans="2:4" x14ac:dyDescent="0.3">
      <c r="B9512" s="33" t="s">
        <v>25975</v>
      </c>
      <c r="C9512" s="32" t="s">
        <v>25976</v>
      </c>
      <c r="D9512" s="32" t="s">
        <v>25977</v>
      </c>
    </row>
    <row r="9513" spans="2:4" x14ac:dyDescent="0.3">
      <c r="B9513" s="33" t="s">
        <v>25978</v>
      </c>
      <c r="C9513" s="32" t="s">
        <v>25979</v>
      </c>
      <c r="D9513" s="32" t="s">
        <v>25980</v>
      </c>
    </row>
    <row r="9514" spans="2:4" x14ac:dyDescent="0.3">
      <c r="B9514" s="33" t="s">
        <v>24275</v>
      </c>
      <c r="C9514" s="32" t="s">
        <v>25981</v>
      </c>
      <c r="D9514" s="32" t="s">
        <v>25982</v>
      </c>
    </row>
    <row r="9515" spans="2:4" x14ac:dyDescent="0.3">
      <c r="B9515" s="33" t="s">
        <v>25983</v>
      </c>
      <c r="C9515" s="32" t="s">
        <v>25984</v>
      </c>
      <c r="D9515" s="32" t="s">
        <v>25985</v>
      </c>
    </row>
    <row r="9516" spans="2:4" x14ac:dyDescent="0.3">
      <c r="B9516" s="33" t="s">
        <v>24321</v>
      </c>
      <c r="C9516" s="32" t="s">
        <v>25986</v>
      </c>
      <c r="D9516" s="32" t="s">
        <v>25987</v>
      </c>
    </row>
    <row r="9517" spans="2:4" x14ac:dyDescent="0.3">
      <c r="B9517" s="33" t="s">
        <v>25988</v>
      </c>
      <c r="C9517" s="32" t="s">
        <v>25989</v>
      </c>
      <c r="D9517" s="32" t="s">
        <v>25990</v>
      </c>
    </row>
    <row r="9518" spans="2:4" x14ac:dyDescent="0.3">
      <c r="B9518" s="33" t="s">
        <v>25991</v>
      </c>
      <c r="C9518" s="32" t="s">
        <v>25992</v>
      </c>
      <c r="D9518" s="32" t="s">
        <v>25993</v>
      </c>
    </row>
    <row r="9519" spans="2:4" x14ac:dyDescent="0.3">
      <c r="B9519" s="33" t="s">
        <v>25994</v>
      </c>
      <c r="C9519" s="32" t="s">
        <v>25995</v>
      </c>
      <c r="D9519" s="32" t="s">
        <v>25996</v>
      </c>
    </row>
    <row r="9520" spans="2:4" x14ac:dyDescent="0.3">
      <c r="B9520" s="33" t="s">
        <v>37309</v>
      </c>
      <c r="C9520" s="32" t="s">
        <v>37310</v>
      </c>
      <c r="D9520" s="32" t="s">
        <v>37311</v>
      </c>
    </row>
    <row r="9521" spans="2:4" x14ac:dyDescent="0.3">
      <c r="B9521" s="33" t="s">
        <v>25997</v>
      </c>
      <c r="C9521" s="32" t="s">
        <v>25998</v>
      </c>
      <c r="D9521" s="32" t="s">
        <v>25999</v>
      </c>
    </row>
    <row r="9522" spans="2:4" x14ac:dyDescent="0.3">
      <c r="B9522" s="33" t="s">
        <v>26000</v>
      </c>
      <c r="C9522" s="32" t="s">
        <v>26001</v>
      </c>
      <c r="D9522" s="32" t="s">
        <v>26002</v>
      </c>
    </row>
    <row r="9523" spans="2:4" x14ac:dyDescent="0.3">
      <c r="B9523" s="33" t="s">
        <v>26003</v>
      </c>
      <c r="C9523" s="32" t="s">
        <v>26004</v>
      </c>
      <c r="D9523" s="32" t="s">
        <v>26005</v>
      </c>
    </row>
    <row r="9524" spans="2:4" x14ac:dyDescent="0.3">
      <c r="B9524" s="33" t="s">
        <v>26006</v>
      </c>
      <c r="C9524" s="32" t="s">
        <v>26007</v>
      </c>
      <c r="D9524" s="32" t="s">
        <v>26008</v>
      </c>
    </row>
    <row r="9525" spans="2:4" x14ac:dyDescent="0.3">
      <c r="B9525" s="33" t="s">
        <v>26006</v>
      </c>
      <c r="C9525" s="32" t="s">
        <v>26009</v>
      </c>
      <c r="D9525" s="32" t="s">
        <v>26010</v>
      </c>
    </row>
    <row r="9526" spans="2:4" x14ac:dyDescent="0.3">
      <c r="B9526" s="33" t="s">
        <v>26011</v>
      </c>
      <c r="C9526" s="32" t="s">
        <v>26012</v>
      </c>
      <c r="D9526" s="32" t="s">
        <v>26013</v>
      </c>
    </row>
    <row r="9527" spans="2:4" x14ac:dyDescent="0.3">
      <c r="B9527" s="33" t="s">
        <v>13741</v>
      </c>
      <c r="C9527" s="32" t="s">
        <v>26014</v>
      </c>
      <c r="D9527" s="32" t="s">
        <v>26015</v>
      </c>
    </row>
    <row r="9528" spans="2:4" x14ac:dyDescent="0.3">
      <c r="B9528" s="33" t="s">
        <v>26016</v>
      </c>
      <c r="C9528" s="32" t="s">
        <v>26017</v>
      </c>
      <c r="D9528" s="32" t="s">
        <v>26018</v>
      </c>
    </row>
    <row r="9529" spans="2:4" x14ac:dyDescent="0.3">
      <c r="B9529" s="33" t="s">
        <v>26019</v>
      </c>
      <c r="C9529" s="32" t="s">
        <v>26020</v>
      </c>
      <c r="D9529" s="32" t="s">
        <v>26021</v>
      </c>
    </row>
    <row r="9530" spans="2:4" x14ac:dyDescent="0.3">
      <c r="B9530" s="33" t="s">
        <v>24440</v>
      </c>
      <c r="C9530" s="32" t="s">
        <v>26022</v>
      </c>
      <c r="D9530" s="32" t="s">
        <v>26023</v>
      </c>
    </row>
    <row r="9531" spans="2:4" x14ac:dyDescent="0.3">
      <c r="B9531" s="33" t="s">
        <v>21263</v>
      </c>
      <c r="C9531" s="32" t="s">
        <v>26024</v>
      </c>
      <c r="D9531" s="32" t="s">
        <v>26025</v>
      </c>
    </row>
    <row r="9532" spans="2:4" x14ac:dyDescent="0.3">
      <c r="B9532" s="33" t="s">
        <v>26026</v>
      </c>
      <c r="C9532" s="32" t="s">
        <v>26027</v>
      </c>
      <c r="D9532" s="32" t="s">
        <v>26028</v>
      </c>
    </row>
    <row r="9533" spans="2:4" x14ac:dyDescent="0.3">
      <c r="B9533" s="33" t="s">
        <v>26029</v>
      </c>
      <c r="C9533" s="32" t="s">
        <v>26030</v>
      </c>
      <c r="D9533" s="32" t="s">
        <v>26031</v>
      </c>
    </row>
    <row r="9534" spans="2:4" x14ac:dyDescent="0.3">
      <c r="B9534" s="33" t="s">
        <v>26032</v>
      </c>
      <c r="C9534" s="32" t="s">
        <v>26033</v>
      </c>
      <c r="D9534" s="32" t="s">
        <v>26034</v>
      </c>
    </row>
    <row r="9535" spans="2:4" x14ac:dyDescent="0.3">
      <c r="B9535" s="33" t="s">
        <v>26035</v>
      </c>
      <c r="C9535" s="32" t="s">
        <v>26036</v>
      </c>
      <c r="D9535" s="32" t="s">
        <v>26037</v>
      </c>
    </row>
    <row r="9536" spans="2:4" x14ac:dyDescent="0.3">
      <c r="B9536" s="33" t="s">
        <v>26038</v>
      </c>
      <c r="C9536" s="32" t="s">
        <v>26039</v>
      </c>
      <c r="D9536" s="32" t="s">
        <v>26038</v>
      </c>
    </row>
    <row r="9537" spans="2:4" x14ac:dyDescent="0.3">
      <c r="B9537" s="33" t="s">
        <v>26040</v>
      </c>
      <c r="C9537" s="32" t="s">
        <v>26041</v>
      </c>
      <c r="D9537" s="32" t="s">
        <v>26042</v>
      </c>
    </row>
    <row r="9538" spans="2:4" x14ac:dyDescent="0.3">
      <c r="B9538" s="33" t="s">
        <v>26043</v>
      </c>
      <c r="C9538" s="32" t="s">
        <v>26044</v>
      </c>
      <c r="D9538" s="32" t="s">
        <v>26045</v>
      </c>
    </row>
    <row r="9539" spans="2:4" x14ac:dyDescent="0.3">
      <c r="B9539" s="33" t="s">
        <v>26046</v>
      </c>
      <c r="C9539" s="32" t="s">
        <v>26047</v>
      </c>
      <c r="D9539" s="32" t="s">
        <v>26048</v>
      </c>
    </row>
    <row r="9540" spans="2:4" x14ac:dyDescent="0.3">
      <c r="B9540" s="33" t="s">
        <v>16936</v>
      </c>
      <c r="C9540" s="32" t="s">
        <v>36877</v>
      </c>
      <c r="D9540" s="32" t="s">
        <v>36878</v>
      </c>
    </row>
    <row r="9541" spans="2:4" x14ac:dyDescent="0.3">
      <c r="B9541" s="33" t="s">
        <v>26049</v>
      </c>
      <c r="C9541" s="32" t="s">
        <v>26050</v>
      </c>
      <c r="D9541" s="32" t="s">
        <v>26051</v>
      </c>
    </row>
    <row r="9542" spans="2:4" x14ac:dyDescent="0.3">
      <c r="B9542" s="33" t="s">
        <v>26052</v>
      </c>
      <c r="C9542" s="32" t="s">
        <v>26053</v>
      </c>
      <c r="D9542" s="32" t="s">
        <v>26054</v>
      </c>
    </row>
    <row r="9543" spans="2:4" x14ac:dyDescent="0.3">
      <c r="B9543" s="33" t="s">
        <v>26055</v>
      </c>
      <c r="C9543" s="32" t="s">
        <v>26056</v>
      </c>
      <c r="D9543" s="32" t="s">
        <v>26057</v>
      </c>
    </row>
    <row r="9544" spans="2:4" x14ac:dyDescent="0.3">
      <c r="B9544" s="33" t="s">
        <v>26058</v>
      </c>
      <c r="C9544" s="32" t="s">
        <v>26059</v>
      </c>
      <c r="D9544" s="32" t="s">
        <v>26060</v>
      </c>
    </row>
    <row r="9545" spans="2:4" x14ac:dyDescent="0.3">
      <c r="B9545" s="33" t="s">
        <v>26061</v>
      </c>
      <c r="C9545" s="32" t="s">
        <v>26062</v>
      </c>
      <c r="D9545" s="32" t="s">
        <v>26063</v>
      </c>
    </row>
    <row r="9546" spans="2:4" x14ac:dyDescent="0.3">
      <c r="B9546" s="33" t="s">
        <v>26064</v>
      </c>
      <c r="C9546" s="32" t="s">
        <v>26065</v>
      </c>
      <c r="D9546" s="32" t="s">
        <v>26066</v>
      </c>
    </row>
    <row r="9547" spans="2:4" x14ac:dyDescent="0.3">
      <c r="B9547" s="33" t="s">
        <v>26067</v>
      </c>
      <c r="C9547" s="32" t="s">
        <v>26068</v>
      </c>
      <c r="D9547" s="32" t="s">
        <v>26069</v>
      </c>
    </row>
    <row r="9548" spans="2:4" x14ac:dyDescent="0.3">
      <c r="B9548" s="33" t="s">
        <v>26070</v>
      </c>
      <c r="C9548" s="32" t="s">
        <v>26071</v>
      </c>
      <c r="D9548" s="32" t="s">
        <v>26072</v>
      </c>
    </row>
    <row r="9549" spans="2:4" x14ac:dyDescent="0.3">
      <c r="B9549" s="33" t="s">
        <v>26073</v>
      </c>
      <c r="C9549" s="32" t="s">
        <v>26074</v>
      </c>
      <c r="D9549" s="32" t="s">
        <v>26075</v>
      </c>
    </row>
    <row r="9550" spans="2:4" x14ac:dyDescent="0.3">
      <c r="B9550" s="33" t="s">
        <v>26076</v>
      </c>
      <c r="C9550" s="32" t="s">
        <v>26077</v>
      </c>
      <c r="D9550" s="32" t="s">
        <v>26078</v>
      </c>
    </row>
    <row r="9551" spans="2:4" x14ac:dyDescent="0.3">
      <c r="B9551" s="33" t="s">
        <v>26079</v>
      </c>
      <c r="C9551" s="32" t="s">
        <v>26080</v>
      </c>
      <c r="D9551" s="32" t="s">
        <v>26081</v>
      </c>
    </row>
    <row r="9552" spans="2:4" x14ac:dyDescent="0.3">
      <c r="B9552" s="33" t="s">
        <v>26082</v>
      </c>
      <c r="C9552" s="32" t="s">
        <v>26083</v>
      </c>
      <c r="D9552" s="32" t="s">
        <v>26084</v>
      </c>
    </row>
    <row r="9553" spans="2:4" x14ac:dyDescent="0.3">
      <c r="B9553" s="33" t="s">
        <v>26085</v>
      </c>
      <c r="C9553" s="32" t="s">
        <v>26086</v>
      </c>
      <c r="D9553" s="32" t="s">
        <v>26087</v>
      </c>
    </row>
    <row r="9554" spans="2:4" x14ac:dyDescent="0.3">
      <c r="B9554" s="33" t="s">
        <v>26088</v>
      </c>
      <c r="C9554" s="32" t="s">
        <v>26089</v>
      </c>
      <c r="D9554" s="32" t="s">
        <v>26090</v>
      </c>
    </row>
    <row r="9555" spans="2:4" x14ac:dyDescent="0.3">
      <c r="B9555" s="33" t="s">
        <v>26091</v>
      </c>
      <c r="C9555" s="32" t="s">
        <v>26092</v>
      </c>
      <c r="D9555" s="32" t="s">
        <v>26093</v>
      </c>
    </row>
    <row r="9556" spans="2:4" x14ac:dyDescent="0.3">
      <c r="B9556" s="33" t="s">
        <v>26094</v>
      </c>
      <c r="C9556" s="32" t="s">
        <v>26095</v>
      </c>
      <c r="D9556" s="32" t="s">
        <v>26096</v>
      </c>
    </row>
    <row r="9557" spans="2:4" x14ac:dyDescent="0.3">
      <c r="B9557" s="33" t="s">
        <v>26097</v>
      </c>
      <c r="C9557" s="32" t="s">
        <v>26098</v>
      </c>
      <c r="D9557" s="32" t="s">
        <v>26099</v>
      </c>
    </row>
    <row r="9558" spans="2:4" x14ac:dyDescent="0.3">
      <c r="B9558" s="33" t="s">
        <v>26100</v>
      </c>
      <c r="C9558" s="32" t="s">
        <v>26101</v>
      </c>
      <c r="D9558" s="32" t="s">
        <v>26102</v>
      </c>
    </row>
    <row r="9559" spans="2:4" x14ac:dyDescent="0.3">
      <c r="B9559" s="33" t="s">
        <v>26103</v>
      </c>
      <c r="C9559" s="32" t="s">
        <v>26104</v>
      </c>
      <c r="D9559" s="32" t="s">
        <v>26105</v>
      </c>
    </row>
    <row r="9560" spans="2:4" x14ac:dyDescent="0.3">
      <c r="B9560" s="33" t="s">
        <v>11700</v>
      </c>
      <c r="C9560" s="32" t="s">
        <v>26106</v>
      </c>
      <c r="D9560" s="32" t="s">
        <v>26107</v>
      </c>
    </row>
    <row r="9561" spans="2:4" x14ac:dyDescent="0.3">
      <c r="B9561" s="33" t="s">
        <v>26103</v>
      </c>
      <c r="C9561" s="32" t="s">
        <v>26108</v>
      </c>
      <c r="D9561" s="32" t="s">
        <v>26109</v>
      </c>
    </row>
    <row r="9562" spans="2:4" x14ac:dyDescent="0.3">
      <c r="B9562" s="33" t="s">
        <v>26100</v>
      </c>
      <c r="C9562" s="32" t="s">
        <v>26110</v>
      </c>
      <c r="D9562" s="32" t="s">
        <v>26111</v>
      </c>
    </row>
    <row r="9563" spans="2:4" x14ac:dyDescent="0.3">
      <c r="B9563" s="33" t="s">
        <v>26112</v>
      </c>
      <c r="C9563" s="32" t="s">
        <v>26113</v>
      </c>
      <c r="D9563" s="32" t="s">
        <v>26114</v>
      </c>
    </row>
    <row r="9564" spans="2:4" x14ac:dyDescent="0.3">
      <c r="B9564" s="33" t="s">
        <v>25512</v>
      </c>
      <c r="C9564" s="32" t="s">
        <v>26115</v>
      </c>
      <c r="D9564" s="32" t="s">
        <v>26116</v>
      </c>
    </row>
    <row r="9565" spans="2:4" x14ac:dyDescent="0.3">
      <c r="B9565" s="33" t="s">
        <v>26117</v>
      </c>
      <c r="C9565" s="32" t="s">
        <v>26118</v>
      </c>
      <c r="D9565" s="32" t="s">
        <v>26119</v>
      </c>
    </row>
    <row r="9566" spans="2:4" x14ac:dyDescent="0.3">
      <c r="B9566" s="33" t="s">
        <v>26120</v>
      </c>
      <c r="C9566" s="32" t="s">
        <v>26121</v>
      </c>
      <c r="D9566" s="32" t="s">
        <v>26122</v>
      </c>
    </row>
    <row r="9567" spans="2:4" x14ac:dyDescent="0.3">
      <c r="B9567" s="33" t="s">
        <v>26120</v>
      </c>
      <c r="C9567" s="32" t="s">
        <v>26123</v>
      </c>
      <c r="D9567" s="32" t="s">
        <v>26124</v>
      </c>
    </row>
    <row r="9568" spans="2:4" x14ac:dyDescent="0.3">
      <c r="B9568" s="33" t="s">
        <v>9036</v>
      </c>
      <c r="C9568" s="32" t="s">
        <v>26125</v>
      </c>
      <c r="D9568" s="32" t="s">
        <v>26126</v>
      </c>
    </row>
    <row r="9569" spans="2:4" x14ac:dyDescent="0.3">
      <c r="B9569" s="33" t="s">
        <v>26127</v>
      </c>
      <c r="C9569" s="32" t="s">
        <v>26128</v>
      </c>
      <c r="D9569" s="32" t="s">
        <v>26129</v>
      </c>
    </row>
    <row r="9570" spans="2:4" x14ac:dyDescent="0.3">
      <c r="B9570" s="33" t="s">
        <v>26130</v>
      </c>
      <c r="C9570" s="32" t="s">
        <v>26131</v>
      </c>
      <c r="D9570" s="32" t="s">
        <v>26132</v>
      </c>
    </row>
    <row r="9571" spans="2:4" x14ac:dyDescent="0.3">
      <c r="B9571" s="33" t="s">
        <v>26133</v>
      </c>
      <c r="C9571" s="32" t="s">
        <v>26134</v>
      </c>
      <c r="D9571" s="32" t="s">
        <v>26135</v>
      </c>
    </row>
    <row r="9572" spans="2:4" x14ac:dyDescent="0.3">
      <c r="B9572" s="33" t="s">
        <v>26136</v>
      </c>
      <c r="C9572" s="32" t="s">
        <v>26137</v>
      </c>
      <c r="D9572" s="32" t="s">
        <v>26138</v>
      </c>
    </row>
    <row r="9573" spans="2:4" x14ac:dyDescent="0.3">
      <c r="B9573" s="33" t="s">
        <v>26139</v>
      </c>
      <c r="C9573" s="32" t="s">
        <v>26140</v>
      </c>
      <c r="D9573" s="32" t="s">
        <v>26141</v>
      </c>
    </row>
    <row r="9574" spans="2:4" x14ac:dyDescent="0.3">
      <c r="B9574" s="33" t="s">
        <v>26142</v>
      </c>
      <c r="C9574" s="32" t="s">
        <v>26143</v>
      </c>
      <c r="D9574" s="32" t="s">
        <v>26144</v>
      </c>
    </row>
    <row r="9575" spans="2:4" x14ac:dyDescent="0.3">
      <c r="B9575" s="33" t="s">
        <v>26145</v>
      </c>
      <c r="C9575" s="32" t="s">
        <v>26146</v>
      </c>
      <c r="D9575" s="32" t="s">
        <v>26147</v>
      </c>
    </row>
    <row r="9576" spans="2:4" x14ac:dyDescent="0.3">
      <c r="B9576" s="33" t="s">
        <v>26148</v>
      </c>
      <c r="C9576" s="32" t="s">
        <v>26149</v>
      </c>
      <c r="D9576" s="32" t="s">
        <v>26150</v>
      </c>
    </row>
    <row r="9577" spans="2:4" x14ac:dyDescent="0.3">
      <c r="B9577" s="33" t="s">
        <v>24186</v>
      </c>
      <c r="C9577" s="32" t="s">
        <v>26151</v>
      </c>
      <c r="D9577" s="32" t="s">
        <v>24186</v>
      </c>
    </row>
    <row r="9578" spans="2:4" x14ac:dyDescent="0.3">
      <c r="B9578" s="33" t="s">
        <v>26152</v>
      </c>
      <c r="C9578" s="32" t="s">
        <v>26153</v>
      </c>
      <c r="D9578" s="32" t="s">
        <v>26154</v>
      </c>
    </row>
    <row r="9579" spans="2:4" x14ac:dyDescent="0.3">
      <c r="B9579" s="33" t="s">
        <v>26155</v>
      </c>
      <c r="C9579" s="32" t="s">
        <v>26156</v>
      </c>
      <c r="D9579" s="32" t="s">
        <v>26157</v>
      </c>
    </row>
    <row r="9580" spans="2:4" x14ac:dyDescent="0.3">
      <c r="B9580" s="33" t="s">
        <v>26158</v>
      </c>
      <c r="C9580" s="32" t="s">
        <v>26159</v>
      </c>
      <c r="D9580" s="32" t="s">
        <v>26160</v>
      </c>
    </row>
    <row r="9581" spans="2:4" x14ac:dyDescent="0.3">
      <c r="B9581" s="33" t="s">
        <v>26161</v>
      </c>
      <c r="C9581" s="32" t="s">
        <v>26162</v>
      </c>
      <c r="D9581" s="32" t="s">
        <v>26163</v>
      </c>
    </row>
    <row r="9582" spans="2:4" x14ac:dyDescent="0.3">
      <c r="B9582" s="33" t="s">
        <v>26164</v>
      </c>
      <c r="C9582" s="32" t="s">
        <v>26165</v>
      </c>
      <c r="D9582" s="32" t="s">
        <v>26166</v>
      </c>
    </row>
    <row r="9583" spans="2:4" x14ac:dyDescent="0.3">
      <c r="B9583" s="33" t="s">
        <v>8086</v>
      </c>
      <c r="C9583" s="32" t="s">
        <v>26167</v>
      </c>
      <c r="D9583" s="32" t="s">
        <v>8086</v>
      </c>
    </row>
    <row r="9584" spans="2:4" x14ac:dyDescent="0.3">
      <c r="B9584" s="33" t="s">
        <v>26168</v>
      </c>
      <c r="C9584" s="32" t="s">
        <v>26169</v>
      </c>
      <c r="D9584" s="32" t="s">
        <v>26170</v>
      </c>
    </row>
    <row r="9585" spans="2:4" x14ac:dyDescent="0.3">
      <c r="B9585" s="33" t="s">
        <v>26171</v>
      </c>
      <c r="C9585" s="32" t="s">
        <v>26172</v>
      </c>
      <c r="D9585" s="32" t="s">
        <v>26173</v>
      </c>
    </row>
    <row r="9586" spans="2:4" x14ac:dyDescent="0.3">
      <c r="B9586" s="33" t="s">
        <v>26174</v>
      </c>
      <c r="C9586" s="32" t="s">
        <v>26175</v>
      </c>
      <c r="D9586" s="32" t="s">
        <v>26176</v>
      </c>
    </row>
    <row r="9587" spans="2:4" x14ac:dyDescent="0.3">
      <c r="B9587" s="33" t="s">
        <v>26177</v>
      </c>
      <c r="C9587" s="32" t="s">
        <v>26178</v>
      </c>
      <c r="D9587" s="32" t="s">
        <v>26179</v>
      </c>
    </row>
    <row r="9588" spans="2:4" x14ac:dyDescent="0.3">
      <c r="B9588" s="33" t="s">
        <v>26180</v>
      </c>
      <c r="C9588" s="32" t="s">
        <v>26181</v>
      </c>
      <c r="D9588" s="32" t="s">
        <v>26182</v>
      </c>
    </row>
    <row r="9589" spans="2:4" x14ac:dyDescent="0.3">
      <c r="B9589" s="33" t="s">
        <v>26183</v>
      </c>
      <c r="C9589" s="32" t="s">
        <v>26184</v>
      </c>
      <c r="D9589" s="32" t="s">
        <v>26185</v>
      </c>
    </row>
    <row r="9590" spans="2:4" x14ac:dyDescent="0.3">
      <c r="B9590" s="33" t="s">
        <v>26183</v>
      </c>
      <c r="C9590" s="32" t="s">
        <v>26186</v>
      </c>
      <c r="D9590" s="32" t="s">
        <v>26187</v>
      </c>
    </row>
    <row r="9591" spans="2:4" x14ac:dyDescent="0.3">
      <c r="B9591" s="33" t="s">
        <v>26188</v>
      </c>
      <c r="C9591" s="32" t="s">
        <v>26189</v>
      </c>
      <c r="D9591" s="32" t="s">
        <v>26190</v>
      </c>
    </row>
    <row r="9592" spans="2:4" x14ac:dyDescent="0.3">
      <c r="B9592" s="33" t="s">
        <v>26191</v>
      </c>
      <c r="C9592" s="32" t="s">
        <v>26192</v>
      </c>
      <c r="D9592" s="32" t="s">
        <v>26193</v>
      </c>
    </row>
    <row r="9593" spans="2:4" x14ac:dyDescent="0.3">
      <c r="B9593" s="33" t="s">
        <v>26194</v>
      </c>
      <c r="C9593" s="32" t="s">
        <v>26195</v>
      </c>
      <c r="D9593" s="32" t="s">
        <v>26196</v>
      </c>
    </row>
    <row r="9594" spans="2:4" x14ac:dyDescent="0.3">
      <c r="B9594" s="33" t="s">
        <v>26197</v>
      </c>
      <c r="C9594" s="32" t="s">
        <v>26198</v>
      </c>
      <c r="D9594" s="32" t="s">
        <v>26197</v>
      </c>
    </row>
    <row r="9595" spans="2:4" x14ac:dyDescent="0.3">
      <c r="B9595" s="33" t="s">
        <v>26199</v>
      </c>
      <c r="C9595" s="32" t="s">
        <v>26200</v>
      </c>
      <c r="D9595" s="32" t="s">
        <v>26201</v>
      </c>
    </row>
    <row r="9596" spans="2:4" x14ac:dyDescent="0.3">
      <c r="B9596" s="33" t="s">
        <v>26202</v>
      </c>
      <c r="C9596" s="32" t="s">
        <v>26203</v>
      </c>
      <c r="D9596" s="32" t="s">
        <v>26204</v>
      </c>
    </row>
    <row r="9597" spans="2:4" x14ac:dyDescent="0.3">
      <c r="B9597" s="33" t="s">
        <v>26205</v>
      </c>
      <c r="C9597" s="32" t="s">
        <v>26206</v>
      </c>
      <c r="D9597" s="32" t="s">
        <v>26207</v>
      </c>
    </row>
    <row r="9598" spans="2:4" x14ac:dyDescent="0.3">
      <c r="B9598" s="33" t="s">
        <v>26208</v>
      </c>
      <c r="C9598" s="32" t="s">
        <v>26209</v>
      </c>
      <c r="D9598" s="32" t="s">
        <v>26210</v>
      </c>
    </row>
    <row r="9599" spans="2:4" x14ac:dyDescent="0.3">
      <c r="B9599" s="33" t="s">
        <v>26211</v>
      </c>
      <c r="C9599" s="32" t="s">
        <v>26212</v>
      </c>
      <c r="D9599" s="32" t="s">
        <v>26213</v>
      </c>
    </row>
    <row r="9600" spans="2:4" x14ac:dyDescent="0.3">
      <c r="B9600" s="33" t="s">
        <v>26214</v>
      </c>
      <c r="C9600" s="32" t="s">
        <v>26215</v>
      </c>
      <c r="D9600" s="32" t="s">
        <v>26216</v>
      </c>
    </row>
    <row r="9601" spans="2:4" x14ac:dyDescent="0.3">
      <c r="B9601" s="33" t="s">
        <v>26217</v>
      </c>
      <c r="C9601" s="32" t="s">
        <v>26218</v>
      </c>
      <c r="D9601" s="32" t="s">
        <v>26219</v>
      </c>
    </row>
    <row r="9602" spans="2:4" x14ac:dyDescent="0.3">
      <c r="B9602" s="33" t="s">
        <v>37312</v>
      </c>
      <c r="C9602" s="32" t="s">
        <v>37313</v>
      </c>
      <c r="D9602" s="32" t="s">
        <v>37314</v>
      </c>
    </row>
    <row r="9603" spans="2:4" x14ac:dyDescent="0.3">
      <c r="B9603" s="33" t="s">
        <v>26220</v>
      </c>
      <c r="C9603" s="32" t="s">
        <v>26221</v>
      </c>
      <c r="D9603" s="32" t="s">
        <v>26222</v>
      </c>
    </row>
    <row r="9604" spans="2:4" x14ac:dyDescent="0.3">
      <c r="B9604" s="33" t="s">
        <v>4212</v>
      </c>
      <c r="C9604" s="32" t="s">
        <v>26223</v>
      </c>
      <c r="D9604" s="32" t="s">
        <v>26224</v>
      </c>
    </row>
    <row r="9605" spans="2:4" x14ac:dyDescent="0.3">
      <c r="B9605" s="33" t="s">
        <v>26225</v>
      </c>
      <c r="C9605" s="32" t="s">
        <v>26226</v>
      </c>
      <c r="D9605" s="32" t="s">
        <v>26226</v>
      </c>
    </row>
    <row r="9606" spans="2:4" x14ac:dyDescent="0.3">
      <c r="B9606" s="33" t="s">
        <v>4212</v>
      </c>
      <c r="C9606" s="32" t="s">
        <v>26227</v>
      </c>
      <c r="D9606" s="32" t="s">
        <v>26228</v>
      </c>
    </row>
    <row r="9607" spans="2:4" x14ac:dyDescent="0.3">
      <c r="B9607" s="33" t="s">
        <v>26229</v>
      </c>
      <c r="C9607" s="32" t="s">
        <v>26230</v>
      </c>
      <c r="D9607" s="32" t="s">
        <v>26231</v>
      </c>
    </row>
    <row r="9608" spans="2:4" x14ac:dyDescent="0.3">
      <c r="B9608" s="33" t="s">
        <v>26232</v>
      </c>
      <c r="C9608" s="32" t="s">
        <v>26233</v>
      </c>
      <c r="D9608" s="32" t="s">
        <v>26234</v>
      </c>
    </row>
    <row r="9609" spans="2:4" x14ac:dyDescent="0.3">
      <c r="B9609" s="33" t="s">
        <v>26235</v>
      </c>
      <c r="C9609" s="32" t="s">
        <v>26236</v>
      </c>
      <c r="D9609" s="32" t="s">
        <v>26237</v>
      </c>
    </row>
    <row r="9610" spans="2:4" x14ac:dyDescent="0.3">
      <c r="B9610" s="33" t="s">
        <v>26238</v>
      </c>
      <c r="C9610" s="32" t="s">
        <v>26239</v>
      </c>
      <c r="D9610" s="32" t="s">
        <v>26240</v>
      </c>
    </row>
    <row r="9611" spans="2:4" x14ac:dyDescent="0.3">
      <c r="B9611" s="33" t="s">
        <v>26241</v>
      </c>
      <c r="C9611" s="32" t="s">
        <v>26242</v>
      </c>
      <c r="D9611" s="32" t="s">
        <v>26243</v>
      </c>
    </row>
    <row r="9612" spans="2:4" x14ac:dyDescent="0.3">
      <c r="B9612" s="33" t="s">
        <v>26244</v>
      </c>
      <c r="C9612" s="32" t="s">
        <v>26245</v>
      </c>
      <c r="D9612" s="32" t="s">
        <v>26246</v>
      </c>
    </row>
    <row r="9613" spans="2:4" x14ac:dyDescent="0.3">
      <c r="B9613" s="33" t="s">
        <v>26247</v>
      </c>
      <c r="C9613" s="32" t="s">
        <v>26248</v>
      </c>
      <c r="D9613" s="32" t="s">
        <v>26249</v>
      </c>
    </row>
    <row r="9614" spans="2:4" x14ac:dyDescent="0.3">
      <c r="B9614" s="33" t="s">
        <v>26250</v>
      </c>
      <c r="C9614" s="32" t="s">
        <v>26251</v>
      </c>
      <c r="D9614" s="32" t="s">
        <v>26252</v>
      </c>
    </row>
    <row r="9615" spans="2:4" x14ac:dyDescent="0.3">
      <c r="B9615" s="33" t="s">
        <v>26253</v>
      </c>
      <c r="C9615" s="32" t="s">
        <v>26254</v>
      </c>
      <c r="D9615" s="32" t="s">
        <v>26255</v>
      </c>
    </row>
    <row r="9616" spans="2:4" x14ac:dyDescent="0.3">
      <c r="B9616" s="33" t="s">
        <v>26256</v>
      </c>
      <c r="C9616" s="32" t="s">
        <v>26257</v>
      </c>
      <c r="D9616" s="32" t="s">
        <v>26258</v>
      </c>
    </row>
    <row r="9617" spans="2:4" x14ac:dyDescent="0.3">
      <c r="B9617" s="33" t="s">
        <v>26259</v>
      </c>
      <c r="C9617" s="32" t="s">
        <v>26260</v>
      </c>
      <c r="D9617" s="32" t="s">
        <v>26261</v>
      </c>
    </row>
    <row r="9618" spans="2:4" x14ac:dyDescent="0.3">
      <c r="B9618" s="33" t="s">
        <v>26262</v>
      </c>
      <c r="C9618" s="32" t="s">
        <v>26263</v>
      </c>
      <c r="D9618" s="32" t="s">
        <v>26264</v>
      </c>
    </row>
    <row r="9619" spans="2:4" x14ac:dyDescent="0.3">
      <c r="B9619" s="33" t="s">
        <v>26265</v>
      </c>
      <c r="C9619" s="32" t="s">
        <v>26266</v>
      </c>
      <c r="D9619" s="32" t="s">
        <v>26267</v>
      </c>
    </row>
    <row r="9620" spans="2:4" x14ac:dyDescent="0.3">
      <c r="B9620" s="33" t="s">
        <v>26268</v>
      </c>
      <c r="C9620" s="32" t="s">
        <v>26269</v>
      </c>
      <c r="D9620" s="32" t="s">
        <v>26270</v>
      </c>
    </row>
    <row r="9621" spans="2:4" x14ac:dyDescent="0.3">
      <c r="B9621" s="33" t="s">
        <v>26271</v>
      </c>
      <c r="C9621" s="32" t="s">
        <v>26272</v>
      </c>
      <c r="D9621" s="32" t="s">
        <v>26273</v>
      </c>
    </row>
    <row r="9622" spans="2:4" x14ac:dyDescent="0.3">
      <c r="B9622" s="33" t="s">
        <v>26274</v>
      </c>
      <c r="C9622" s="32" t="s">
        <v>26275</v>
      </c>
      <c r="D9622" s="32" t="s">
        <v>26276</v>
      </c>
    </row>
    <row r="9623" spans="2:4" x14ac:dyDescent="0.3">
      <c r="B9623" s="33" t="s">
        <v>26277</v>
      </c>
      <c r="C9623" s="32" t="s">
        <v>26278</v>
      </c>
      <c r="D9623" s="32" t="s">
        <v>26279</v>
      </c>
    </row>
    <row r="9624" spans="2:4" x14ac:dyDescent="0.3">
      <c r="B9624" s="33" t="s">
        <v>26280</v>
      </c>
      <c r="C9624" s="32" t="s">
        <v>26281</v>
      </c>
      <c r="D9624" s="32" t="s">
        <v>26282</v>
      </c>
    </row>
    <row r="9625" spans="2:4" x14ac:dyDescent="0.3">
      <c r="B9625" s="33" t="s">
        <v>26283</v>
      </c>
      <c r="C9625" s="32" t="s">
        <v>26284</v>
      </c>
      <c r="D9625" s="32" t="s">
        <v>26285</v>
      </c>
    </row>
    <row r="9626" spans="2:4" x14ac:dyDescent="0.3">
      <c r="B9626" s="33" t="s">
        <v>26286</v>
      </c>
      <c r="C9626" s="32" t="s">
        <v>26287</v>
      </c>
      <c r="D9626" s="32" t="s">
        <v>26288</v>
      </c>
    </row>
    <row r="9627" spans="2:4" x14ac:dyDescent="0.3">
      <c r="B9627" s="33" t="s">
        <v>26289</v>
      </c>
      <c r="C9627" s="32" t="s">
        <v>26290</v>
      </c>
      <c r="D9627" s="32" t="s">
        <v>26291</v>
      </c>
    </row>
    <row r="9628" spans="2:4" x14ac:dyDescent="0.3">
      <c r="B9628" s="33" t="s">
        <v>26292</v>
      </c>
      <c r="C9628" s="32" t="s">
        <v>26293</v>
      </c>
      <c r="D9628" s="32" t="s">
        <v>26294</v>
      </c>
    </row>
    <row r="9629" spans="2:4" x14ac:dyDescent="0.3">
      <c r="B9629" s="33" t="s">
        <v>26295</v>
      </c>
      <c r="C9629" s="32" t="s">
        <v>26296</v>
      </c>
      <c r="D9629" s="32" t="s">
        <v>26297</v>
      </c>
    </row>
    <row r="9630" spans="2:4" x14ac:dyDescent="0.3">
      <c r="B9630" s="33" t="s">
        <v>26298</v>
      </c>
      <c r="C9630" s="32" t="s">
        <v>26299</v>
      </c>
      <c r="D9630" s="32" t="s">
        <v>26300</v>
      </c>
    </row>
    <row r="9631" spans="2:4" x14ac:dyDescent="0.3">
      <c r="B9631" s="33" t="s">
        <v>26301</v>
      </c>
      <c r="C9631" s="32" t="s">
        <v>26302</v>
      </c>
      <c r="D9631" s="32" t="s">
        <v>26303</v>
      </c>
    </row>
    <row r="9632" spans="2:4" x14ac:dyDescent="0.3">
      <c r="B9632" s="33" t="s">
        <v>26304</v>
      </c>
      <c r="C9632" s="32" t="s">
        <v>26305</v>
      </c>
      <c r="D9632" s="32" t="s">
        <v>26306</v>
      </c>
    </row>
    <row r="9633" spans="2:4" x14ac:dyDescent="0.3">
      <c r="B9633" s="33" t="s">
        <v>26307</v>
      </c>
      <c r="C9633" s="32" t="s">
        <v>26308</v>
      </c>
      <c r="D9633" s="32" t="s">
        <v>26309</v>
      </c>
    </row>
    <row r="9634" spans="2:4" x14ac:dyDescent="0.3">
      <c r="B9634" s="33" t="s">
        <v>26310</v>
      </c>
      <c r="C9634" s="32" t="s">
        <v>26311</v>
      </c>
      <c r="D9634" s="32" t="s">
        <v>26312</v>
      </c>
    </row>
    <row r="9635" spans="2:4" x14ac:dyDescent="0.3">
      <c r="B9635" s="33" t="s">
        <v>26313</v>
      </c>
      <c r="C9635" s="32" t="s">
        <v>26314</v>
      </c>
      <c r="D9635" s="32" t="s">
        <v>26315</v>
      </c>
    </row>
    <row r="9636" spans="2:4" x14ac:dyDescent="0.3">
      <c r="B9636" s="33" t="s">
        <v>26313</v>
      </c>
      <c r="C9636" s="32" t="s">
        <v>26316</v>
      </c>
      <c r="D9636" s="32" t="s">
        <v>26317</v>
      </c>
    </row>
    <row r="9637" spans="2:4" x14ac:dyDescent="0.3">
      <c r="B9637" s="33" t="s">
        <v>26318</v>
      </c>
      <c r="C9637" s="32" t="s">
        <v>26319</v>
      </c>
      <c r="D9637" s="32" t="s">
        <v>26320</v>
      </c>
    </row>
    <row r="9638" spans="2:4" x14ac:dyDescent="0.3">
      <c r="B9638" s="33" t="s">
        <v>26321</v>
      </c>
      <c r="C9638" s="32" t="s">
        <v>26322</v>
      </c>
      <c r="D9638" s="32" t="s">
        <v>26323</v>
      </c>
    </row>
    <row r="9639" spans="2:4" x14ac:dyDescent="0.3">
      <c r="B9639" s="33" t="s">
        <v>26324</v>
      </c>
      <c r="C9639" s="32" t="s">
        <v>26325</v>
      </c>
      <c r="D9639" s="32" t="s">
        <v>26326</v>
      </c>
    </row>
    <row r="9640" spans="2:4" x14ac:dyDescent="0.3">
      <c r="B9640" s="33" t="s">
        <v>26327</v>
      </c>
      <c r="C9640" s="32" t="s">
        <v>26328</v>
      </c>
      <c r="D9640" s="32" t="s">
        <v>26329</v>
      </c>
    </row>
    <row r="9641" spans="2:4" x14ac:dyDescent="0.3">
      <c r="B9641" s="33" t="s">
        <v>2868</v>
      </c>
      <c r="C9641" s="32" t="s">
        <v>26330</v>
      </c>
      <c r="D9641" s="32" t="s">
        <v>26331</v>
      </c>
    </row>
    <row r="9642" spans="2:4" x14ac:dyDescent="0.3">
      <c r="B9642" s="33" t="s">
        <v>26313</v>
      </c>
      <c r="C9642" s="32" t="s">
        <v>26332</v>
      </c>
      <c r="D9642" s="32" t="s">
        <v>26333</v>
      </c>
    </row>
    <row r="9643" spans="2:4" x14ac:dyDescent="0.3">
      <c r="B9643" s="33" t="s">
        <v>26334</v>
      </c>
      <c r="C9643" s="32" t="s">
        <v>26335</v>
      </c>
      <c r="D9643" s="32" t="s">
        <v>26336</v>
      </c>
    </row>
    <row r="9644" spans="2:4" x14ac:dyDescent="0.3">
      <c r="B9644" s="33" t="s">
        <v>26337</v>
      </c>
      <c r="C9644" s="32" t="s">
        <v>26338</v>
      </c>
      <c r="D9644" s="32" t="s">
        <v>26339</v>
      </c>
    </row>
    <row r="9645" spans="2:4" x14ac:dyDescent="0.3">
      <c r="B9645" s="33" t="s">
        <v>26340</v>
      </c>
      <c r="C9645" s="32" t="s">
        <v>26341</v>
      </c>
      <c r="D9645" s="32" t="s">
        <v>26342</v>
      </c>
    </row>
    <row r="9646" spans="2:4" x14ac:dyDescent="0.3">
      <c r="B9646" s="33" t="s">
        <v>26205</v>
      </c>
      <c r="C9646" s="32" t="s">
        <v>26343</v>
      </c>
      <c r="D9646" s="32" t="s">
        <v>26344</v>
      </c>
    </row>
    <row r="9647" spans="2:4" x14ac:dyDescent="0.3">
      <c r="B9647" s="33" t="s">
        <v>26345</v>
      </c>
      <c r="C9647" s="32" t="s">
        <v>26346</v>
      </c>
      <c r="D9647" s="32" t="s">
        <v>26347</v>
      </c>
    </row>
    <row r="9648" spans="2:4" x14ac:dyDescent="0.3">
      <c r="B9648" s="33" t="s">
        <v>26348</v>
      </c>
      <c r="C9648" s="32" t="s">
        <v>26349</v>
      </c>
      <c r="D9648" s="32" t="s">
        <v>26350</v>
      </c>
    </row>
    <row r="9649" spans="2:4" x14ac:dyDescent="0.3">
      <c r="B9649" s="33" t="s">
        <v>26351</v>
      </c>
      <c r="C9649" s="32" t="s">
        <v>26352</v>
      </c>
      <c r="D9649" s="32" t="s">
        <v>26353</v>
      </c>
    </row>
    <row r="9650" spans="2:4" x14ac:dyDescent="0.3">
      <c r="B9650" s="33" t="s">
        <v>26354</v>
      </c>
      <c r="C9650" s="32" t="s">
        <v>26355</v>
      </c>
      <c r="D9650" s="32" t="s">
        <v>26356</v>
      </c>
    </row>
    <row r="9651" spans="2:4" x14ac:dyDescent="0.3">
      <c r="B9651" s="33" t="s">
        <v>26357</v>
      </c>
      <c r="C9651" s="32" t="s">
        <v>26358</v>
      </c>
      <c r="D9651" s="32" t="s">
        <v>26359</v>
      </c>
    </row>
    <row r="9652" spans="2:4" x14ac:dyDescent="0.3">
      <c r="B9652" s="33" t="s">
        <v>26351</v>
      </c>
      <c r="C9652" s="32" t="s">
        <v>26360</v>
      </c>
      <c r="D9652" s="32" t="s">
        <v>26361</v>
      </c>
    </row>
    <row r="9653" spans="2:4" x14ac:dyDescent="0.3">
      <c r="B9653" s="33" t="s">
        <v>26362</v>
      </c>
      <c r="C9653" s="32" t="s">
        <v>26363</v>
      </c>
      <c r="D9653" s="32" t="s">
        <v>26364</v>
      </c>
    </row>
    <row r="9654" spans="2:4" x14ac:dyDescent="0.3">
      <c r="B9654" s="33" t="s">
        <v>26365</v>
      </c>
      <c r="C9654" s="32" t="s">
        <v>26366</v>
      </c>
      <c r="D9654" s="32" t="s">
        <v>26367</v>
      </c>
    </row>
    <row r="9655" spans="2:4" x14ac:dyDescent="0.3">
      <c r="B9655" s="33" t="s">
        <v>26368</v>
      </c>
      <c r="C9655" s="32" t="s">
        <v>26369</v>
      </c>
      <c r="D9655" s="32" t="s">
        <v>26370</v>
      </c>
    </row>
    <row r="9656" spans="2:4" x14ac:dyDescent="0.3">
      <c r="B9656" s="33" t="s">
        <v>26371</v>
      </c>
      <c r="C9656" s="32" t="s">
        <v>26372</v>
      </c>
      <c r="D9656" s="32" t="s">
        <v>26373</v>
      </c>
    </row>
    <row r="9657" spans="2:4" x14ac:dyDescent="0.3">
      <c r="B9657" s="33" t="s">
        <v>26371</v>
      </c>
      <c r="C9657" s="32" t="s">
        <v>26374</v>
      </c>
      <c r="D9657" s="32" t="s">
        <v>26375</v>
      </c>
    </row>
    <row r="9658" spans="2:4" x14ac:dyDescent="0.3">
      <c r="B9658" s="33" t="s">
        <v>26376</v>
      </c>
      <c r="C9658" s="32" t="s">
        <v>26377</v>
      </c>
      <c r="D9658" s="32" t="s">
        <v>26378</v>
      </c>
    </row>
    <row r="9659" spans="2:4" x14ac:dyDescent="0.3">
      <c r="B9659" s="33" t="s">
        <v>26379</v>
      </c>
      <c r="C9659" s="32" t="s">
        <v>26380</v>
      </c>
      <c r="D9659" s="32" t="s">
        <v>26381</v>
      </c>
    </row>
    <row r="9660" spans="2:4" x14ac:dyDescent="0.3">
      <c r="B9660" s="33" t="s">
        <v>26382</v>
      </c>
      <c r="C9660" s="32" t="s">
        <v>26383</v>
      </c>
      <c r="D9660" s="32" t="s">
        <v>26384</v>
      </c>
    </row>
    <row r="9661" spans="2:4" x14ac:dyDescent="0.3">
      <c r="B9661" s="33" t="s">
        <v>26385</v>
      </c>
      <c r="C9661" s="32" t="s">
        <v>26386</v>
      </c>
      <c r="D9661" s="32" t="s">
        <v>26387</v>
      </c>
    </row>
    <row r="9662" spans="2:4" x14ac:dyDescent="0.3">
      <c r="B9662" s="33" t="s">
        <v>26388</v>
      </c>
      <c r="C9662" s="32" t="s">
        <v>26389</v>
      </c>
      <c r="D9662" s="32" t="s">
        <v>26390</v>
      </c>
    </row>
    <row r="9663" spans="2:4" x14ac:dyDescent="0.3">
      <c r="B9663" s="33" t="s">
        <v>26391</v>
      </c>
      <c r="C9663" s="32" t="s">
        <v>26392</v>
      </c>
      <c r="D9663" s="32" t="s">
        <v>26393</v>
      </c>
    </row>
    <row r="9664" spans="2:4" x14ac:dyDescent="0.3">
      <c r="B9664" s="33" t="s">
        <v>26394</v>
      </c>
      <c r="C9664" s="32" t="s">
        <v>26395</v>
      </c>
      <c r="D9664" s="32" t="s">
        <v>26396</v>
      </c>
    </row>
    <row r="9665" spans="2:4" x14ac:dyDescent="0.3">
      <c r="B9665" s="33" t="s">
        <v>26397</v>
      </c>
      <c r="C9665" s="32" t="s">
        <v>26398</v>
      </c>
      <c r="D9665" s="32" t="s">
        <v>26399</v>
      </c>
    </row>
    <row r="9666" spans="2:4" x14ac:dyDescent="0.3">
      <c r="B9666" s="33" t="s">
        <v>26400</v>
      </c>
      <c r="C9666" s="32" t="s">
        <v>26401</v>
      </c>
      <c r="D9666" s="32" t="s">
        <v>26402</v>
      </c>
    </row>
    <row r="9667" spans="2:4" x14ac:dyDescent="0.3">
      <c r="B9667" s="33" t="s">
        <v>26403</v>
      </c>
      <c r="C9667" s="32" t="s">
        <v>26404</v>
      </c>
      <c r="D9667" s="32" t="s">
        <v>26405</v>
      </c>
    </row>
    <row r="9668" spans="2:4" x14ac:dyDescent="0.3">
      <c r="B9668" s="33" t="s">
        <v>26406</v>
      </c>
      <c r="C9668" s="32" t="s">
        <v>26407</v>
      </c>
      <c r="D9668" s="32" t="s">
        <v>26408</v>
      </c>
    </row>
    <row r="9669" spans="2:4" x14ac:dyDescent="0.3">
      <c r="B9669" s="33" t="s">
        <v>26409</v>
      </c>
      <c r="C9669" s="32" t="s">
        <v>26410</v>
      </c>
      <c r="D9669" s="32" t="s">
        <v>26411</v>
      </c>
    </row>
    <row r="9670" spans="2:4" x14ac:dyDescent="0.3">
      <c r="B9670" s="33" t="s">
        <v>26412</v>
      </c>
      <c r="C9670" s="32" t="s">
        <v>26413</v>
      </c>
      <c r="D9670" s="32" t="s">
        <v>37315</v>
      </c>
    </row>
    <row r="9671" spans="2:4" x14ac:dyDescent="0.3">
      <c r="B9671" s="33" t="s">
        <v>26414</v>
      </c>
      <c r="C9671" s="32" t="s">
        <v>26415</v>
      </c>
      <c r="D9671" s="32" t="s">
        <v>26416</v>
      </c>
    </row>
    <row r="9672" spans="2:4" x14ac:dyDescent="0.3">
      <c r="B9672" s="33" t="s">
        <v>26417</v>
      </c>
      <c r="C9672" s="32" t="s">
        <v>26418</v>
      </c>
      <c r="D9672" s="32" t="s">
        <v>26417</v>
      </c>
    </row>
    <row r="9673" spans="2:4" x14ac:dyDescent="0.3">
      <c r="B9673" s="33" t="s">
        <v>26419</v>
      </c>
      <c r="C9673" s="32" t="s">
        <v>26420</v>
      </c>
      <c r="D9673" s="32" t="s">
        <v>26421</v>
      </c>
    </row>
    <row r="9674" spans="2:4" x14ac:dyDescent="0.3">
      <c r="B9674" s="33" t="s">
        <v>26422</v>
      </c>
      <c r="C9674" s="32" t="s">
        <v>26423</v>
      </c>
      <c r="D9674" s="32" t="s">
        <v>26424</v>
      </c>
    </row>
    <row r="9675" spans="2:4" x14ac:dyDescent="0.3">
      <c r="B9675" s="33" t="s">
        <v>26425</v>
      </c>
      <c r="C9675" s="32" t="s">
        <v>26426</v>
      </c>
      <c r="D9675" s="32" t="s">
        <v>26425</v>
      </c>
    </row>
    <row r="9676" spans="2:4" x14ac:dyDescent="0.3">
      <c r="B9676" s="33" t="s">
        <v>26427</v>
      </c>
      <c r="C9676" s="32" t="s">
        <v>26428</v>
      </c>
      <c r="D9676" s="32" t="s">
        <v>26429</v>
      </c>
    </row>
    <row r="9677" spans="2:4" x14ac:dyDescent="0.3">
      <c r="B9677" s="33" t="s">
        <v>26430</v>
      </c>
      <c r="C9677" s="32" t="s">
        <v>26431</v>
      </c>
      <c r="D9677" s="32" t="s">
        <v>26432</v>
      </c>
    </row>
    <row r="9678" spans="2:4" x14ac:dyDescent="0.3">
      <c r="B9678" s="33" t="s">
        <v>26433</v>
      </c>
      <c r="C9678" s="32" t="s">
        <v>26434</v>
      </c>
      <c r="D9678" s="32" t="s">
        <v>26435</v>
      </c>
    </row>
    <row r="9679" spans="2:4" x14ac:dyDescent="0.3">
      <c r="B9679" s="33" t="s">
        <v>26436</v>
      </c>
      <c r="C9679" s="32" t="s">
        <v>26437</v>
      </c>
      <c r="D9679" s="32" t="s">
        <v>26438</v>
      </c>
    </row>
    <row r="9680" spans="2:4" x14ac:dyDescent="0.3">
      <c r="B9680" s="33" t="s">
        <v>26425</v>
      </c>
      <c r="C9680" s="32" t="s">
        <v>26439</v>
      </c>
      <c r="D9680" s="32" t="s">
        <v>26440</v>
      </c>
    </row>
    <row r="9681" spans="2:4" x14ac:dyDescent="0.3">
      <c r="B9681" s="33" t="s">
        <v>26441</v>
      </c>
      <c r="C9681" s="32" t="s">
        <v>26442</v>
      </c>
      <c r="D9681" s="32" t="s">
        <v>26441</v>
      </c>
    </row>
    <row r="9682" spans="2:4" x14ac:dyDescent="0.3">
      <c r="B9682" s="33" t="s">
        <v>9133</v>
      </c>
      <c r="C9682" s="32" t="s">
        <v>26443</v>
      </c>
      <c r="D9682" s="32" t="s">
        <v>26444</v>
      </c>
    </row>
    <row r="9683" spans="2:4" x14ac:dyDescent="0.3">
      <c r="B9683" s="33" t="s">
        <v>26445</v>
      </c>
      <c r="C9683" s="32" t="s">
        <v>26446</v>
      </c>
      <c r="D9683" s="32" t="s">
        <v>26445</v>
      </c>
    </row>
    <row r="9684" spans="2:4" x14ac:dyDescent="0.3">
      <c r="B9684" s="33" t="s">
        <v>26447</v>
      </c>
      <c r="C9684" s="32" t="s">
        <v>26448</v>
      </c>
      <c r="D9684" s="32" t="s">
        <v>26449</v>
      </c>
    </row>
    <row r="9685" spans="2:4" x14ac:dyDescent="0.3">
      <c r="B9685" s="33" t="s">
        <v>26441</v>
      </c>
      <c r="C9685" s="32" t="s">
        <v>26450</v>
      </c>
      <c r="D9685" s="32" t="s">
        <v>26451</v>
      </c>
    </row>
    <row r="9686" spans="2:4" x14ac:dyDescent="0.3">
      <c r="B9686" s="33" t="s">
        <v>26452</v>
      </c>
      <c r="C9686" s="32" t="s">
        <v>26453</v>
      </c>
      <c r="D9686" s="32" t="s">
        <v>26454</v>
      </c>
    </row>
    <row r="9687" spans="2:4" x14ac:dyDescent="0.3">
      <c r="B9687" s="33" t="s">
        <v>26455</v>
      </c>
      <c r="C9687" s="32" t="s">
        <v>26456</v>
      </c>
      <c r="D9687" s="32" t="s">
        <v>26457</v>
      </c>
    </row>
    <row r="9688" spans="2:4" x14ac:dyDescent="0.3">
      <c r="B9688" s="33" t="s">
        <v>26458</v>
      </c>
      <c r="C9688" s="32" t="s">
        <v>26459</v>
      </c>
      <c r="D9688" s="32" t="s">
        <v>26460</v>
      </c>
    </row>
    <row r="9689" spans="2:4" x14ac:dyDescent="0.3">
      <c r="B9689" s="33" t="s">
        <v>26461</v>
      </c>
      <c r="C9689" s="32" t="s">
        <v>26462</v>
      </c>
      <c r="D9689" s="32" t="s">
        <v>26463</v>
      </c>
    </row>
    <row r="9690" spans="2:4" x14ac:dyDescent="0.3">
      <c r="B9690" s="33" t="s">
        <v>26464</v>
      </c>
      <c r="C9690" s="32" t="s">
        <v>26465</v>
      </c>
      <c r="D9690" s="32" t="s">
        <v>26466</v>
      </c>
    </row>
    <row r="9691" spans="2:4" x14ac:dyDescent="0.3">
      <c r="B9691" s="33" t="s">
        <v>2182</v>
      </c>
      <c r="C9691" s="32" t="s">
        <v>26467</v>
      </c>
      <c r="D9691" s="32" t="s">
        <v>26468</v>
      </c>
    </row>
    <row r="9692" spans="2:4" x14ac:dyDescent="0.3">
      <c r="B9692" s="33" t="s">
        <v>26469</v>
      </c>
      <c r="C9692" s="32" t="s">
        <v>26470</v>
      </c>
      <c r="D9692" s="32" t="s">
        <v>26471</v>
      </c>
    </row>
    <row r="9693" spans="2:4" x14ac:dyDescent="0.3">
      <c r="B9693" s="33" t="s">
        <v>26472</v>
      </c>
      <c r="C9693" s="32" t="s">
        <v>26473</v>
      </c>
      <c r="D9693" s="32" t="s">
        <v>26474</v>
      </c>
    </row>
    <row r="9694" spans="2:4" x14ac:dyDescent="0.3">
      <c r="B9694" s="33" t="s">
        <v>26475</v>
      </c>
      <c r="C9694" s="32" t="s">
        <v>26476</v>
      </c>
      <c r="D9694" s="32" t="s">
        <v>26477</v>
      </c>
    </row>
    <row r="9695" spans="2:4" x14ac:dyDescent="0.3">
      <c r="B9695" s="33" t="s">
        <v>26478</v>
      </c>
      <c r="C9695" s="32" t="s">
        <v>26479</v>
      </c>
      <c r="D9695" s="32" t="s">
        <v>26480</v>
      </c>
    </row>
    <row r="9696" spans="2:4" x14ac:dyDescent="0.3">
      <c r="B9696" s="33" t="s">
        <v>26478</v>
      </c>
      <c r="C9696" s="32" t="s">
        <v>26481</v>
      </c>
      <c r="D9696" s="32" t="s">
        <v>26482</v>
      </c>
    </row>
    <row r="9697" spans="2:4" x14ac:dyDescent="0.3">
      <c r="B9697" s="33" t="s">
        <v>26483</v>
      </c>
      <c r="C9697" s="32" t="s">
        <v>26484</v>
      </c>
      <c r="D9697" s="32" t="s">
        <v>37316</v>
      </c>
    </row>
    <row r="9698" spans="2:4" x14ac:dyDescent="0.3">
      <c r="B9698" s="33" t="s">
        <v>26485</v>
      </c>
      <c r="C9698" s="32" t="s">
        <v>26486</v>
      </c>
      <c r="D9698" s="32" t="s">
        <v>26487</v>
      </c>
    </row>
    <row r="9699" spans="2:4" x14ac:dyDescent="0.3">
      <c r="B9699" s="33" t="s">
        <v>26488</v>
      </c>
      <c r="C9699" s="32" t="s">
        <v>26489</v>
      </c>
      <c r="D9699" s="32" t="s">
        <v>26490</v>
      </c>
    </row>
    <row r="9700" spans="2:4" x14ac:dyDescent="0.3">
      <c r="B9700" s="33" t="s">
        <v>26491</v>
      </c>
      <c r="C9700" s="32" t="s">
        <v>26492</v>
      </c>
      <c r="D9700" s="32" t="s">
        <v>26493</v>
      </c>
    </row>
    <row r="9701" spans="2:4" x14ac:dyDescent="0.3">
      <c r="B9701" s="33" t="s">
        <v>26494</v>
      </c>
      <c r="C9701" s="32" t="s">
        <v>26495</v>
      </c>
      <c r="D9701" s="32" t="s">
        <v>26496</v>
      </c>
    </row>
    <row r="9702" spans="2:4" x14ac:dyDescent="0.3">
      <c r="B9702" s="33" t="s">
        <v>26497</v>
      </c>
      <c r="C9702" s="32" t="s">
        <v>26498</v>
      </c>
      <c r="D9702" s="32" t="s">
        <v>26499</v>
      </c>
    </row>
    <row r="9703" spans="2:4" x14ac:dyDescent="0.3">
      <c r="B9703" s="33" t="s">
        <v>26500</v>
      </c>
      <c r="C9703" s="32" t="s">
        <v>26501</v>
      </c>
      <c r="D9703" s="32" t="s">
        <v>26502</v>
      </c>
    </row>
    <row r="9704" spans="2:4" x14ac:dyDescent="0.3">
      <c r="B9704" s="33" t="s">
        <v>26503</v>
      </c>
      <c r="C9704" s="32" t="s">
        <v>26504</v>
      </c>
      <c r="D9704" s="32" t="s">
        <v>26505</v>
      </c>
    </row>
    <row r="9705" spans="2:4" x14ac:dyDescent="0.3">
      <c r="B9705" s="33" t="s">
        <v>26506</v>
      </c>
      <c r="C9705" s="32" t="s">
        <v>26507</v>
      </c>
      <c r="D9705" s="32" t="s">
        <v>26508</v>
      </c>
    </row>
    <row r="9706" spans="2:4" x14ac:dyDescent="0.3">
      <c r="B9706" s="33" t="s">
        <v>26509</v>
      </c>
      <c r="C9706" s="32" t="s">
        <v>26510</v>
      </c>
      <c r="D9706" s="32" t="s">
        <v>26511</v>
      </c>
    </row>
    <row r="9707" spans="2:4" x14ac:dyDescent="0.3">
      <c r="B9707" s="33" t="s">
        <v>26512</v>
      </c>
      <c r="C9707" s="32" t="s">
        <v>26513</v>
      </c>
      <c r="D9707" s="32" t="s">
        <v>26514</v>
      </c>
    </row>
    <row r="9708" spans="2:4" x14ac:dyDescent="0.3">
      <c r="B9708" s="33" t="s">
        <v>26515</v>
      </c>
      <c r="C9708" s="32" t="s">
        <v>26516</v>
      </c>
      <c r="D9708" s="32" t="s">
        <v>26517</v>
      </c>
    </row>
    <row r="9709" spans="2:4" x14ac:dyDescent="0.3">
      <c r="B9709" s="33" t="s">
        <v>26515</v>
      </c>
      <c r="C9709" s="32" t="s">
        <v>26518</v>
      </c>
      <c r="D9709" s="32" t="s">
        <v>26519</v>
      </c>
    </row>
    <row r="9710" spans="2:4" x14ac:dyDescent="0.3">
      <c r="B9710" s="33" t="s">
        <v>26520</v>
      </c>
      <c r="C9710" s="32" t="s">
        <v>26521</v>
      </c>
      <c r="D9710" s="32" t="s">
        <v>26522</v>
      </c>
    </row>
    <row r="9711" spans="2:4" x14ac:dyDescent="0.3">
      <c r="B9711" s="33" t="s">
        <v>26478</v>
      </c>
      <c r="C9711" s="32" t="s">
        <v>26523</v>
      </c>
      <c r="D9711" s="32" t="s">
        <v>26524</v>
      </c>
    </row>
    <row r="9712" spans="2:4" x14ac:dyDescent="0.3">
      <c r="B9712" s="33" t="s">
        <v>26525</v>
      </c>
      <c r="C9712" s="32" t="s">
        <v>26526</v>
      </c>
      <c r="D9712" s="32" t="s">
        <v>26527</v>
      </c>
    </row>
    <row r="9713" spans="2:4" x14ac:dyDescent="0.3">
      <c r="B9713" s="33" t="s">
        <v>26528</v>
      </c>
      <c r="C9713" s="32" t="s">
        <v>26529</v>
      </c>
      <c r="D9713" s="32" t="s">
        <v>26530</v>
      </c>
    </row>
    <row r="9714" spans="2:4" x14ac:dyDescent="0.3">
      <c r="B9714" s="33" t="s">
        <v>26531</v>
      </c>
      <c r="C9714" s="32" t="s">
        <v>26532</v>
      </c>
      <c r="D9714" s="32" t="s">
        <v>26533</v>
      </c>
    </row>
    <row r="9715" spans="2:4" x14ac:dyDescent="0.3">
      <c r="B9715" s="33" t="s">
        <v>26534</v>
      </c>
      <c r="C9715" s="32" t="s">
        <v>26535</v>
      </c>
      <c r="D9715" s="32" t="s">
        <v>26536</v>
      </c>
    </row>
    <row r="9716" spans="2:4" x14ac:dyDescent="0.3">
      <c r="B9716" s="33" t="s">
        <v>26537</v>
      </c>
      <c r="C9716" s="32" t="s">
        <v>26538</v>
      </c>
      <c r="D9716" s="32" t="s">
        <v>26539</v>
      </c>
    </row>
    <row r="9717" spans="2:4" x14ac:dyDescent="0.3">
      <c r="B9717" s="33" t="s">
        <v>26540</v>
      </c>
      <c r="C9717" s="32" t="s">
        <v>26541</v>
      </c>
      <c r="D9717" s="32" t="s">
        <v>26542</v>
      </c>
    </row>
    <row r="9718" spans="2:4" x14ac:dyDescent="0.3">
      <c r="B9718" s="33" t="s">
        <v>15557</v>
      </c>
      <c r="C9718" s="32" t="s">
        <v>26543</v>
      </c>
      <c r="D9718" s="32" t="s">
        <v>26544</v>
      </c>
    </row>
    <row r="9719" spans="2:4" x14ac:dyDescent="0.3">
      <c r="B9719" s="33" t="s">
        <v>26545</v>
      </c>
      <c r="C9719" s="32" t="s">
        <v>26546</v>
      </c>
      <c r="D9719" s="32" t="s">
        <v>26547</v>
      </c>
    </row>
    <row r="9720" spans="2:4" x14ac:dyDescent="0.3">
      <c r="B9720" s="33" t="s">
        <v>26548</v>
      </c>
      <c r="C9720" s="32" t="s">
        <v>26549</v>
      </c>
      <c r="D9720" s="32" t="s">
        <v>26548</v>
      </c>
    </row>
    <row r="9721" spans="2:4" x14ac:dyDescent="0.3">
      <c r="B9721" s="33" t="s">
        <v>26550</v>
      </c>
      <c r="C9721" s="32" t="s">
        <v>26551</v>
      </c>
      <c r="D9721" s="32" t="s">
        <v>26552</v>
      </c>
    </row>
    <row r="9722" spans="2:4" x14ac:dyDescent="0.3">
      <c r="B9722" s="33" t="s">
        <v>26553</v>
      </c>
      <c r="C9722" s="32" t="s">
        <v>26554</v>
      </c>
      <c r="D9722" s="32" t="s">
        <v>26555</v>
      </c>
    </row>
    <row r="9723" spans="2:4" x14ac:dyDescent="0.3">
      <c r="B9723" s="33" t="s">
        <v>26556</v>
      </c>
      <c r="C9723" s="32" t="s">
        <v>26557</v>
      </c>
      <c r="D9723" s="32" t="s">
        <v>26558</v>
      </c>
    </row>
    <row r="9724" spans="2:4" x14ac:dyDescent="0.3">
      <c r="B9724" s="33" t="s">
        <v>8663</v>
      </c>
      <c r="C9724" s="32" t="s">
        <v>26559</v>
      </c>
      <c r="D9724" s="32" t="s">
        <v>26560</v>
      </c>
    </row>
    <row r="9725" spans="2:4" x14ac:dyDescent="0.3">
      <c r="B9725" s="33" t="s">
        <v>26561</v>
      </c>
      <c r="C9725" s="32" t="s">
        <v>26562</v>
      </c>
      <c r="D9725" s="32" t="s">
        <v>26563</v>
      </c>
    </row>
    <row r="9726" spans="2:4" x14ac:dyDescent="0.3">
      <c r="B9726" s="33" t="s">
        <v>26564</v>
      </c>
      <c r="C9726" s="32" t="s">
        <v>26565</v>
      </c>
      <c r="D9726" s="32" t="s">
        <v>26566</v>
      </c>
    </row>
    <row r="9727" spans="2:4" x14ac:dyDescent="0.3">
      <c r="B9727" s="33" t="s">
        <v>26567</v>
      </c>
      <c r="C9727" s="32" t="s">
        <v>26568</v>
      </c>
      <c r="D9727" s="32" t="s">
        <v>26569</v>
      </c>
    </row>
    <row r="9728" spans="2:4" x14ac:dyDescent="0.3">
      <c r="B9728" s="33" t="s">
        <v>26570</v>
      </c>
      <c r="C9728" s="32" t="s">
        <v>26571</v>
      </c>
      <c r="D9728" s="32" t="s">
        <v>26572</v>
      </c>
    </row>
    <row r="9729" spans="2:4" x14ac:dyDescent="0.3">
      <c r="B9729" s="33" t="s">
        <v>26573</v>
      </c>
      <c r="C9729" s="32" t="s">
        <v>26574</v>
      </c>
      <c r="D9729" s="32" t="s">
        <v>26575</v>
      </c>
    </row>
    <row r="9730" spans="2:4" x14ac:dyDescent="0.3">
      <c r="B9730" s="33" t="s">
        <v>26576</v>
      </c>
      <c r="C9730" s="32" t="s">
        <v>26577</v>
      </c>
      <c r="D9730" s="32" t="s">
        <v>26578</v>
      </c>
    </row>
    <row r="9731" spans="2:4" x14ac:dyDescent="0.3">
      <c r="B9731" s="33" t="s">
        <v>26579</v>
      </c>
      <c r="C9731" s="32" t="s">
        <v>26580</v>
      </c>
      <c r="D9731" s="32" t="s">
        <v>26581</v>
      </c>
    </row>
    <row r="9732" spans="2:4" x14ac:dyDescent="0.3">
      <c r="B9732" s="33" t="s">
        <v>26582</v>
      </c>
      <c r="C9732" s="32" t="s">
        <v>26583</v>
      </c>
      <c r="D9732" s="32" t="s">
        <v>26584</v>
      </c>
    </row>
    <row r="9733" spans="2:4" x14ac:dyDescent="0.3">
      <c r="B9733" s="33" t="s">
        <v>26585</v>
      </c>
      <c r="C9733" s="32" t="s">
        <v>26586</v>
      </c>
      <c r="D9733" s="32" t="s">
        <v>26587</v>
      </c>
    </row>
    <row r="9734" spans="2:4" x14ac:dyDescent="0.3">
      <c r="B9734" s="33" t="s">
        <v>26588</v>
      </c>
      <c r="C9734" s="32" t="s">
        <v>26589</v>
      </c>
      <c r="D9734" s="32" t="s">
        <v>26590</v>
      </c>
    </row>
    <row r="9735" spans="2:4" x14ac:dyDescent="0.3">
      <c r="B9735" s="33" t="s">
        <v>26591</v>
      </c>
      <c r="C9735" s="32" t="s">
        <v>26592</v>
      </c>
      <c r="D9735" s="32" t="s">
        <v>26593</v>
      </c>
    </row>
    <row r="9736" spans="2:4" x14ac:dyDescent="0.3">
      <c r="B9736" s="33" t="s">
        <v>27288</v>
      </c>
      <c r="C9736" s="32" t="s">
        <v>37317</v>
      </c>
      <c r="D9736" s="32" t="s">
        <v>37318</v>
      </c>
    </row>
    <row r="9737" spans="2:4" x14ac:dyDescent="0.3">
      <c r="B9737" s="33" t="s">
        <v>26594</v>
      </c>
      <c r="C9737" s="32" t="s">
        <v>26595</v>
      </c>
      <c r="D9737" s="32" t="s">
        <v>26594</v>
      </c>
    </row>
    <row r="9738" spans="2:4" x14ac:dyDescent="0.3">
      <c r="B9738" s="33" t="s">
        <v>26596</v>
      </c>
      <c r="C9738" s="32" t="s">
        <v>26597</v>
      </c>
      <c r="D9738" s="32" t="s">
        <v>26598</v>
      </c>
    </row>
    <row r="9739" spans="2:4" x14ac:dyDescent="0.3">
      <c r="B9739" s="33" t="s">
        <v>26599</v>
      </c>
      <c r="C9739" s="32" t="s">
        <v>26600</v>
      </c>
      <c r="D9739" s="32" t="s">
        <v>36879</v>
      </c>
    </row>
    <row r="9740" spans="2:4" x14ac:dyDescent="0.3">
      <c r="B9740" s="33" t="s">
        <v>26599</v>
      </c>
      <c r="C9740" s="32" t="s">
        <v>26601</v>
      </c>
      <c r="D9740" s="32" t="s">
        <v>26602</v>
      </c>
    </row>
    <row r="9741" spans="2:4" x14ac:dyDescent="0.3">
      <c r="B9741" s="33" t="s">
        <v>26596</v>
      </c>
      <c r="C9741" s="32" t="s">
        <v>26603</v>
      </c>
      <c r="D9741" s="32" t="s">
        <v>26604</v>
      </c>
    </row>
    <row r="9742" spans="2:4" x14ac:dyDescent="0.3">
      <c r="B9742" s="33" t="s">
        <v>26605</v>
      </c>
      <c r="C9742" s="32" t="s">
        <v>26606</v>
      </c>
      <c r="D9742" s="32" t="s">
        <v>26607</v>
      </c>
    </row>
    <row r="9743" spans="2:4" x14ac:dyDescent="0.3">
      <c r="B9743" s="33" t="s">
        <v>26608</v>
      </c>
      <c r="C9743" s="32" t="s">
        <v>26609</v>
      </c>
      <c r="D9743" s="32" t="s">
        <v>26610</v>
      </c>
    </row>
    <row r="9744" spans="2:4" x14ac:dyDescent="0.3">
      <c r="B9744" s="33" t="s">
        <v>37049</v>
      </c>
      <c r="C9744" s="32" t="s">
        <v>37050</v>
      </c>
      <c r="D9744" s="32" t="s">
        <v>37051</v>
      </c>
    </row>
    <row r="9745" spans="2:4" x14ac:dyDescent="0.3">
      <c r="B9745" s="33" t="s">
        <v>26611</v>
      </c>
      <c r="C9745" s="32" t="s">
        <v>26612</v>
      </c>
      <c r="D9745" s="32" t="s">
        <v>26613</v>
      </c>
    </row>
    <row r="9746" spans="2:4" x14ac:dyDescent="0.3">
      <c r="B9746" s="33" t="s">
        <v>26614</v>
      </c>
      <c r="C9746" s="32" t="s">
        <v>26615</v>
      </c>
      <c r="D9746" s="32" t="s">
        <v>26616</v>
      </c>
    </row>
    <row r="9747" spans="2:4" x14ac:dyDescent="0.3">
      <c r="B9747" s="33" t="s">
        <v>26617</v>
      </c>
      <c r="C9747" s="32" t="s">
        <v>26618</v>
      </c>
      <c r="D9747" s="32" t="s">
        <v>26619</v>
      </c>
    </row>
    <row r="9748" spans="2:4" x14ac:dyDescent="0.3">
      <c r="B9748" s="33" t="s">
        <v>26620</v>
      </c>
      <c r="C9748" s="32" t="s">
        <v>26621</v>
      </c>
      <c r="D9748" s="32" t="s">
        <v>26622</v>
      </c>
    </row>
    <row r="9749" spans="2:4" x14ac:dyDescent="0.3">
      <c r="B9749" s="33" t="s">
        <v>26623</v>
      </c>
      <c r="C9749" s="32" t="s">
        <v>26624</v>
      </c>
      <c r="D9749" s="32" t="s">
        <v>26625</v>
      </c>
    </row>
    <row r="9750" spans="2:4" x14ac:dyDescent="0.3">
      <c r="B9750" s="33" t="s">
        <v>26626</v>
      </c>
      <c r="C9750" s="32" t="s">
        <v>26627</v>
      </c>
      <c r="D9750" s="32" t="s">
        <v>26628</v>
      </c>
    </row>
    <row r="9751" spans="2:4" x14ac:dyDescent="0.3">
      <c r="B9751" s="33" t="s">
        <v>26629</v>
      </c>
      <c r="C9751" s="32" t="s">
        <v>26630</v>
      </c>
      <c r="D9751" s="32" t="s">
        <v>26631</v>
      </c>
    </row>
    <row r="9752" spans="2:4" x14ac:dyDescent="0.3">
      <c r="B9752" s="33" t="s">
        <v>26633</v>
      </c>
      <c r="C9752" s="32" t="s">
        <v>26634</v>
      </c>
      <c r="D9752" s="32" t="s">
        <v>26635</v>
      </c>
    </row>
    <row r="9753" spans="2:4" x14ac:dyDescent="0.3">
      <c r="B9753" s="33" t="s">
        <v>26636</v>
      </c>
      <c r="C9753" s="32" t="s">
        <v>26637</v>
      </c>
      <c r="D9753" s="32" t="s">
        <v>26638</v>
      </c>
    </row>
    <row r="9754" spans="2:4" x14ac:dyDescent="0.3">
      <c r="B9754" s="33" t="s">
        <v>26464</v>
      </c>
      <c r="C9754" s="32" t="s">
        <v>26639</v>
      </c>
      <c r="D9754" s="32" t="s">
        <v>26640</v>
      </c>
    </row>
    <row r="9755" spans="2:4" x14ac:dyDescent="0.3">
      <c r="B9755" s="33" t="s">
        <v>26641</v>
      </c>
      <c r="C9755" s="32" t="s">
        <v>26642</v>
      </c>
      <c r="D9755" s="32" t="s">
        <v>26643</v>
      </c>
    </row>
    <row r="9756" spans="2:4" x14ac:dyDescent="0.3">
      <c r="B9756" s="33" t="s">
        <v>26632</v>
      </c>
      <c r="C9756" s="32" t="s">
        <v>26644</v>
      </c>
      <c r="D9756" s="32" t="s">
        <v>26645</v>
      </c>
    </row>
    <row r="9757" spans="2:4" x14ac:dyDescent="0.3">
      <c r="B9757" s="33" t="s">
        <v>26646</v>
      </c>
      <c r="C9757" s="32" t="s">
        <v>26647</v>
      </c>
      <c r="D9757" s="32" t="s">
        <v>26648</v>
      </c>
    </row>
    <row r="9758" spans="2:4" x14ac:dyDescent="0.3">
      <c r="B9758" s="33" t="s">
        <v>26646</v>
      </c>
      <c r="C9758" s="32" t="s">
        <v>26649</v>
      </c>
      <c r="D9758" s="32" t="s">
        <v>26650</v>
      </c>
    </row>
    <row r="9759" spans="2:4" x14ac:dyDescent="0.3">
      <c r="B9759" s="33" t="s">
        <v>26651</v>
      </c>
      <c r="C9759" s="32" t="s">
        <v>26652</v>
      </c>
      <c r="D9759" s="32" t="s">
        <v>26653</v>
      </c>
    </row>
    <row r="9760" spans="2:4" x14ac:dyDescent="0.3">
      <c r="B9760" s="33" t="s">
        <v>26654</v>
      </c>
      <c r="C9760" s="32" t="s">
        <v>26655</v>
      </c>
      <c r="D9760" s="32" t="s">
        <v>26656</v>
      </c>
    </row>
    <row r="9761" spans="2:4" x14ac:dyDescent="0.3">
      <c r="B9761" s="33" t="s">
        <v>26657</v>
      </c>
      <c r="C9761" s="32" t="s">
        <v>26658</v>
      </c>
      <c r="D9761" s="32" t="s">
        <v>26659</v>
      </c>
    </row>
    <row r="9762" spans="2:4" x14ac:dyDescent="0.3">
      <c r="B9762" s="33" t="s">
        <v>26660</v>
      </c>
      <c r="C9762" s="32" t="s">
        <v>26661</v>
      </c>
      <c r="D9762" s="32" t="s">
        <v>26662</v>
      </c>
    </row>
    <row r="9763" spans="2:4" x14ac:dyDescent="0.3">
      <c r="B9763" s="33" t="s">
        <v>20715</v>
      </c>
      <c r="C9763" s="32" t="s">
        <v>26663</v>
      </c>
      <c r="D9763" s="32" t="s">
        <v>20715</v>
      </c>
    </row>
    <row r="9764" spans="2:4" x14ac:dyDescent="0.3">
      <c r="B9764" s="33" t="s">
        <v>26664</v>
      </c>
      <c r="C9764" s="32" t="s">
        <v>26665</v>
      </c>
      <c r="D9764" s="32" t="s">
        <v>26664</v>
      </c>
    </row>
    <row r="9765" spans="2:4" x14ac:dyDescent="0.3">
      <c r="B9765" s="33" t="s">
        <v>26666</v>
      </c>
      <c r="C9765" s="32" t="s">
        <v>26667</v>
      </c>
      <c r="D9765" s="32" t="s">
        <v>26668</v>
      </c>
    </row>
    <row r="9766" spans="2:4" x14ac:dyDescent="0.3">
      <c r="B9766" s="33" t="s">
        <v>26669</v>
      </c>
      <c r="C9766" s="32" t="s">
        <v>26670</v>
      </c>
      <c r="D9766" s="32" t="s">
        <v>26671</v>
      </c>
    </row>
    <row r="9767" spans="2:4" x14ac:dyDescent="0.3">
      <c r="B9767" s="33" t="s">
        <v>26672</v>
      </c>
      <c r="C9767" s="32" t="s">
        <v>26673</v>
      </c>
      <c r="D9767" s="32" t="s">
        <v>26674</v>
      </c>
    </row>
    <row r="9768" spans="2:4" x14ac:dyDescent="0.3">
      <c r="B9768" s="33" t="s">
        <v>26675</v>
      </c>
      <c r="C9768" s="32" t="s">
        <v>26676</v>
      </c>
      <c r="D9768" s="32" t="s">
        <v>26677</v>
      </c>
    </row>
    <row r="9769" spans="2:4" x14ac:dyDescent="0.3">
      <c r="B9769" s="33" t="s">
        <v>26678</v>
      </c>
      <c r="C9769" s="32" t="s">
        <v>26679</v>
      </c>
      <c r="D9769" s="32" t="s">
        <v>26680</v>
      </c>
    </row>
    <row r="9770" spans="2:4" x14ac:dyDescent="0.3">
      <c r="B9770" s="33" t="s">
        <v>26681</v>
      </c>
      <c r="C9770" s="32" t="s">
        <v>26682</v>
      </c>
      <c r="D9770" s="32" t="s">
        <v>26683</v>
      </c>
    </row>
    <row r="9771" spans="2:4" x14ac:dyDescent="0.3">
      <c r="B9771" s="33" t="s">
        <v>26684</v>
      </c>
      <c r="C9771" s="32" t="s">
        <v>26685</v>
      </c>
      <c r="D9771" s="32" t="s">
        <v>26686</v>
      </c>
    </row>
    <row r="9772" spans="2:4" x14ac:dyDescent="0.3">
      <c r="B9772" s="33" t="s">
        <v>26687</v>
      </c>
      <c r="C9772" s="32" t="s">
        <v>26688</v>
      </c>
      <c r="D9772" s="32" t="s">
        <v>26689</v>
      </c>
    </row>
    <row r="9773" spans="2:4" x14ac:dyDescent="0.3">
      <c r="B9773" s="33" t="s">
        <v>26690</v>
      </c>
      <c r="C9773" s="32" t="s">
        <v>26691</v>
      </c>
      <c r="D9773" s="32" t="s">
        <v>26692</v>
      </c>
    </row>
    <row r="9774" spans="2:4" x14ac:dyDescent="0.3">
      <c r="B9774" s="33" t="s">
        <v>26693</v>
      </c>
      <c r="C9774" s="32" t="s">
        <v>26694</v>
      </c>
      <c r="D9774" s="32" t="s">
        <v>26695</v>
      </c>
    </row>
    <row r="9775" spans="2:4" x14ac:dyDescent="0.3">
      <c r="B9775" s="33" t="s">
        <v>26696</v>
      </c>
      <c r="C9775" s="32" t="s">
        <v>26697</v>
      </c>
      <c r="D9775" s="32" t="s">
        <v>26698</v>
      </c>
    </row>
    <row r="9776" spans="2:4" x14ac:dyDescent="0.3">
      <c r="B9776" s="33" t="s">
        <v>26699</v>
      </c>
      <c r="C9776" s="32" t="s">
        <v>26700</v>
      </c>
      <c r="D9776" s="32" t="s">
        <v>26701</v>
      </c>
    </row>
    <row r="9777" spans="2:4" x14ac:dyDescent="0.3">
      <c r="B9777" s="33" t="s">
        <v>26690</v>
      </c>
      <c r="C9777" s="32" t="s">
        <v>26702</v>
      </c>
      <c r="D9777" s="32" t="s">
        <v>26703</v>
      </c>
    </row>
    <row r="9778" spans="2:4" x14ac:dyDescent="0.3">
      <c r="B9778" s="33" t="s">
        <v>26704</v>
      </c>
      <c r="C9778" s="32" t="s">
        <v>26705</v>
      </c>
      <c r="D9778" s="32" t="s">
        <v>26706</v>
      </c>
    </row>
    <row r="9779" spans="2:4" x14ac:dyDescent="0.3">
      <c r="B9779" s="33" t="s">
        <v>26707</v>
      </c>
      <c r="C9779" s="32" t="s">
        <v>26708</v>
      </c>
      <c r="D9779" s="32" t="s">
        <v>26709</v>
      </c>
    </row>
    <row r="9780" spans="2:4" x14ac:dyDescent="0.3">
      <c r="B9780" s="33" t="s">
        <v>26690</v>
      </c>
      <c r="C9780" s="32" t="s">
        <v>26710</v>
      </c>
      <c r="D9780" s="32" t="s">
        <v>26711</v>
      </c>
    </row>
    <row r="9781" spans="2:4" x14ac:dyDescent="0.3">
      <c r="B9781" s="33" t="s">
        <v>26712</v>
      </c>
      <c r="C9781" s="32" t="s">
        <v>26713</v>
      </c>
      <c r="D9781" s="32" t="s">
        <v>26714</v>
      </c>
    </row>
    <row r="9782" spans="2:4" x14ac:dyDescent="0.3">
      <c r="B9782" s="33" t="s">
        <v>26715</v>
      </c>
      <c r="C9782" s="32" t="s">
        <v>26716</v>
      </c>
      <c r="D9782" s="32" t="s">
        <v>26717</v>
      </c>
    </row>
    <row r="9783" spans="2:4" x14ac:dyDescent="0.3">
      <c r="B9783" s="33" t="s">
        <v>26718</v>
      </c>
      <c r="C9783" s="32" t="s">
        <v>26719</v>
      </c>
      <c r="D9783" s="32" t="s">
        <v>26720</v>
      </c>
    </row>
    <row r="9784" spans="2:4" x14ac:dyDescent="0.3">
      <c r="B9784" s="33" t="s">
        <v>26721</v>
      </c>
      <c r="C9784" s="32" t="s">
        <v>26722</v>
      </c>
      <c r="D9784" s="32" t="s">
        <v>26723</v>
      </c>
    </row>
    <row r="9785" spans="2:4" x14ac:dyDescent="0.3">
      <c r="B9785" s="33" t="s">
        <v>26724</v>
      </c>
      <c r="C9785" s="32" t="s">
        <v>26725</v>
      </c>
      <c r="D9785" s="32" t="s">
        <v>26726</v>
      </c>
    </row>
    <row r="9786" spans="2:4" x14ac:dyDescent="0.3">
      <c r="B9786" s="33" t="s">
        <v>26727</v>
      </c>
      <c r="C9786" s="32" t="s">
        <v>26728</v>
      </c>
      <c r="D9786" s="32" t="s">
        <v>26729</v>
      </c>
    </row>
    <row r="9787" spans="2:4" x14ac:dyDescent="0.3">
      <c r="B9787" s="33" t="s">
        <v>26675</v>
      </c>
      <c r="C9787" s="32" t="s">
        <v>26730</v>
      </c>
      <c r="D9787" s="32" t="s">
        <v>26731</v>
      </c>
    </row>
    <row r="9788" spans="2:4" x14ac:dyDescent="0.3">
      <c r="B9788" s="33" t="s">
        <v>26732</v>
      </c>
      <c r="C9788" s="32" t="s">
        <v>26733</v>
      </c>
      <c r="D9788" s="32" t="s">
        <v>26734</v>
      </c>
    </row>
    <row r="9789" spans="2:4" x14ac:dyDescent="0.3">
      <c r="B9789" s="33" t="s">
        <v>26735</v>
      </c>
      <c r="C9789" s="32" t="s">
        <v>26736</v>
      </c>
      <c r="D9789" s="32" t="s">
        <v>26737</v>
      </c>
    </row>
    <row r="9790" spans="2:4" x14ac:dyDescent="0.3">
      <c r="B9790" s="33" t="s">
        <v>26738</v>
      </c>
      <c r="C9790" s="32" t="s">
        <v>26739</v>
      </c>
      <c r="D9790" s="32" t="s">
        <v>26740</v>
      </c>
    </row>
    <row r="9791" spans="2:4" x14ac:dyDescent="0.3">
      <c r="B9791" s="33" t="s">
        <v>26741</v>
      </c>
      <c r="C9791" s="32" t="s">
        <v>26742</v>
      </c>
      <c r="D9791" s="32" t="s">
        <v>26743</v>
      </c>
    </row>
    <row r="9792" spans="2:4" x14ac:dyDescent="0.3">
      <c r="B9792" s="33" t="s">
        <v>26744</v>
      </c>
      <c r="C9792" s="32" t="s">
        <v>26745</v>
      </c>
      <c r="D9792" s="32" t="s">
        <v>26746</v>
      </c>
    </row>
    <row r="9793" spans="2:4" x14ac:dyDescent="0.3">
      <c r="B9793" s="33" t="s">
        <v>26747</v>
      </c>
      <c r="C9793" s="32" t="s">
        <v>26748</v>
      </c>
      <c r="D9793" s="32" t="s">
        <v>26749</v>
      </c>
    </row>
    <row r="9794" spans="2:4" x14ac:dyDescent="0.3">
      <c r="B9794" s="33" t="s">
        <v>26712</v>
      </c>
      <c r="C9794" s="32" t="s">
        <v>26750</v>
      </c>
      <c r="D9794" s="32" t="s">
        <v>26751</v>
      </c>
    </row>
    <row r="9795" spans="2:4" x14ac:dyDescent="0.3">
      <c r="B9795" s="33" t="s">
        <v>26752</v>
      </c>
      <c r="C9795" s="32" t="s">
        <v>26753</v>
      </c>
      <c r="D9795" s="32" t="s">
        <v>26754</v>
      </c>
    </row>
    <row r="9796" spans="2:4" x14ac:dyDescent="0.3">
      <c r="B9796" s="33" t="s">
        <v>26755</v>
      </c>
      <c r="C9796" s="32" t="s">
        <v>26756</v>
      </c>
      <c r="D9796" s="32" t="s">
        <v>26757</v>
      </c>
    </row>
    <row r="9797" spans="2:4" x14ac:dyDescent="0.3">
      <c r="B9797" s="33" t="s">
        <v>26758</v>
      </c>
      <c r="C9797" s="32" t="s">
        <v>26759</v>
      </c>
      <c r="D9797" s="32" t="s">
        <v>26760</v>
      </c>
    </row>
    <row r="9798" spans="2:4" x14ac:dyDescent="0.3">
      <c r="B9798" s="33" t="s">
        <v>26761</v>
      </c>
      <c r="C9798" s="32" t="s">
        <v>26762</v>
      </c>
      <c r="D9798" s="32" t="s">
        <v>26763</v>
      </c>
    </row>
    <row r="9799" spans="2:4" x14ac:dyDescent="0.3">
      <c r="B9799" s="33" t="s">
        <v>26764</v>
      </c>
      <c r="C9799" s="32" t="s">
        <v>26765</v>
      </c>
      <c r="D9799" s="32" t="s">
        <v>26766</v>
      </c>
    </row>
    <row r="9800" spans="2:4" x14ac:dyDescent="0.3">
      <c r="B9800" s="33" t="s">
        <v>26767</v>
      </c>
      <c r="C9800" s="32" t="s">
        <v>26768</v>
      </c>
      <c r="D9800" s="32" t="s">
        <v>26769</v>
      </c>
    </row>
    <row r="9801" spans="2:4" x14ac:dyDescent="0.3">
      <c r="B9801" s="33" t="s">
        <v>26770</v>
      </c>
      <c r="C9801" s="32" t="s">
        <v>26771</v>
      </c>
      <c r="D9801" s="32" t="s">
        <v>26772</v>
      </c>
    </row>
    <row r="9802" spans="2:4" x14ac:dyDescent="0.3">
      <c r="B9802" s="33" t="s">
        <v>26773</v>
      </c>
      <c r="C9802" s="32" t="s">
        <v>26774</v>
      </c>
      <c r="D9802" s="32" t="s">
        <v>26775</v>
      </c>
    </row>
    <row r="9803" spans="2:4" x14ac:dyDescent="0.3">
      <c r="B9803" s="33" t="s">
        <v>26776</v>
      </c>
      <c r="C9803" s="32" t="s">
        <v>26777</v>
      </c>
      <c r="D9803" s="32" t="s">
        <v>26778</v>
      </c>
    </row>
    <row r="9804" spans="2:4" x14ac:dyDescent="0.3">
      <c r="B9804" s="33" t="s">
        <v>26779</v>
      </c>
      <c r="C9804" s="32" t="s">
        <v>26780</v>
      </c>
      <c r="D9804" s="32" t="s">
        <v>26779</v>
      </c>
    </row>
    <row r="9805" spans="2:4" x14ac:dyDescent="0.3">
      <c r="B9805" s="33" t="s">
        <v>26781</v>
      </c>
      <c r="C9805" s="32" t="s">
        <v>26782</v>
      </c>
      <c r="D9805" s="32" t="s">
        <v>26783</v>
      </c>
    </row>
    <row r="9806" spans="2:4" x14ac:dyDescent="0.3">
      <c r="B9806" s="33" t="s">
        <v>26784</v>
      </c>
      <c r="C9806" s="32" t="s">
        <v>26785</v>
      </c>
      <c r="D9806" s="32" t="s">
        <v>26786</v>
      </c>
    </row>
    <row r="9807" spans="2:4" x14ac:dyDescent="0.3">
      <c r="B9807" s="33" t="s">
        <v>26787</v>
      </c>
      <c r="C9807" s="32" t="s">
        <v>26788</v>
      </c>
      <c r="D9807" s="32" t="s">
        <v>26789</v>
      </c>
    </row>
    <row r="9808" spans="2:4" x14ac:dyDescent="0.3">
      <c r="B9808" s="33" t="s">
        <v>26790</v>
      </c>
      <c r="C9808" s="32" t="s">
        <v>26791</v>
      </c>
      <c r="D9808" s="32" t="s">
        <v>26792</v>
      </c>
    </row>
    <row r="9809" spans="2:4" x14ac:dyDescent="0.3">
      <c r="B9809" s="33" t="s">
        <v>26793</v>
      </c>
      <c r="C9809" s="32" t="s">
        <v>26794</v>
      </c>
      <c r="D9809" s="32" t="s">
        <v>26795</v>
      </c>
    </row>
    <row r="9810" spans="2:4" x14ac:dyDescent="0.3">
      <c r="B9810" s="33" t="s">
        <v>26796</v>
      </c>
      <c r="C9810" s="32" t="s">
        <v>26797</v>
      </c>
      <c r="D9810" s="32" t="s">
        <v>26798</v>
      </c>
    </row>
    <row r="9811" spans="2:4" x14ac:dyDescent="0.3">
      <c r="B9811" s="33" t="s">
        <v>24771</v>
      </c>
      <c r="C9811" s="32" t="s">
        <v>26799</v>
      </c>
      <c r="D9811" s="32" t="s">
        <v>26800</v>
      </c>
    </row>
    <row r="9812" spans="2:4" x14ac:dyDescent="0.3">
      <c r="B9812" s="33" t="s">
        <v>26801</v>
      </c>
      <c r="C9812" s="32" t="s">
        <v>26802</v>
      </c>
      <c r="D9812" s="32" t="s">
        <v>26803</v>
      </c>
    </row>
    <row r="9813" spans="2:4" x14ac:dyDescent="0.3">
      <c r="B9813" s="33" t="s">
        <v>26804</v>
      </c>
      <c r="C9813" s="32" t="s">
        <v>26805</v>
      </c>
      <c r="D9813" s="32" t="s">
        <v>26806</v>
      </c>
    </row>
    <row r="9814" spans="2:4" x14ac:dyDescent="0.3">
      <c r="B9814" s="33" t="s">
        <v>26807</v>
      </c>
      <c r="C9814" s="32" t="s">
        <v>26808</v>
      </c>
      <c r="D9814" s="32" t="s">
        <v>26809</v>
      </c>
    </row>
    <row r="9815" spans="2:4" x14ac:dyDescent="0.3">
      <c r="B9815" s="33" t="s">
        <v>26810</v>
      </c>
      <c r="C9815" s="32" t="s">
        <v>26811</v>
      </c>
      <c r="D9815" s="32" t="s">
        <v>26812</v>
      </c>
    </row>
    <row r="9816" spans="2:4" x14ac:dyDescent="0.3">
      <c r="B9816" s="33" t="s">
        <v>26813</v>
      </c>
      <c r="C9816" s="32" t="s">
        <v>26814</v>
      </c>
      <c r="D9816" s="32" t="s">
        <v>26815</v>
      </c>
    </row>
    <row r="9817" spans="2:4" x14ac:dyDescent="0.3">
      <c r="B9817" s="33" t="s">
        <v>26816</v>
      </c>
      <c r="C9817" s="32" t="s">
        <v>26817</v>
      </c>
      <c r="D9817" s="32" t="s">
        <v>26818</v>
      </c>
    </row>
    <row r="9818" spans="2:4" x14ac:dyDescent="0.3">
      <c r="B9818" s="33" t="s">
        <v>26819</v>
      </c>
      <c r="C9818" s="32" t="s">
        <v>26820</v>
      </c>
      <c r="D9818" s="32" t="s">
        <v>26821</v>
      </c>
    </row>
    <row r="9819" spans="2:4" x14ac:dyDescent="0.3">
      <c r="B9819" s="33" t="s">
        <v>26822</v>
      </c>
      <c r="C9819" s="32" t="s">
        <v>26823</v>
      </c>
      <c r="D9819" s="32" t="s">
        <v>26824</v>
      </c>
    </row>
    <row r="9820" spans="2:4" x14ac:dyDescent="0.3">
      <c r="B9820" s="33" t="s">
        <v>26681</v>
      </c>
      <c r="C9820" s="32" t="s">
        <v>26825</v>
      </c>
      <c r="D9820" s="32" t="s">
        <v>26826</v>
      </c>
    </row>
    <row r="9821" spans="2:4" x14ac:dyDescent="0.3">
      <c r="B9821" s="33" t="s">
        <v>26827</v>
      </c>
      <c r="C9821" s="32" t="s">
        <v>26828</v>
      </c>
      <c r="D9821" s="32" t="s">
        <v>26829</v>
      </c>
    </row>
    <row r="9822" spans="2:4" x14ac:dyDescent="0.3">
      <c r="B9822" s="33" t="s">
        <v>26830</v>
      </c>
      <c r="C9822" s="32" t="s">
        <v>26831</v>
      </c>
      <c r="D9822" s="32" t="s">
        <v>26832</v>
      </c>
    </row>
    <row r="9823" spans="2:4" x14ac:dyDescent="0.3">
      <c r="B9823" s="33" t="s">
        <v>26833</v>
      </c>
      <c r="C9823" s="32" t="s">
        <v>26834</v>
      </c>
      <c r="D9823" s="32" t="s">
        <v>26835</v>
      </c>
    </row>
    <row r="9824" spans="2:4" x14ac:dyDescent="0.3">
      <c r="B9824" s="33" t="s">
        <v>26836</v>
      </c>
      <c r="C9824" s="32" t="s">
        <v>26837</v>
      </c>
      <c r="D9824" s="32" t="s">
        <v>26838</v>
      </c>
    </row>
    <row r="9825" spans="2:4" x14ac:dyDescent="0.3">
      <c r="B9825" s="33" t="s">
        <v>12718</v>
      </c>
      <c r="C9825" s="32" t="s">
        <v>26839</v>
      </c>
      <c r="D9825" s="32" t="s">
        <v>26840</v>
      </c>
    </row>
    <row r="9826" spans="2:4" x14ac:dyDescent="0.3">
      <c r="B9826" s="33" t="s">
        <v>26841</v>
      </c>
      <c r="C9826" s="32" t="s">
        <v>26842</v>
      </c>
      <c r="D9826" s="32" t="s">
        <v>26843</v>
      </c>
    </row>
    <row r="9827" spans="2:4" x14ac:dyDescent="0.3">
      <c r="B9827" s="33" t="s">
        <v>26844</v>
      </c>
      <c r="C9827" s="32" t="s">
        <v>26845</v>
      </c>
      <c r="D9827" s="32" t="s">
        <v>26846</v>
      </c>
    </row>
    <row r="9828" spans="2:4" x14ac:dyDescent="0.3">
      <c r="B9828" s="33" t="s">
        <v>26847</v>
      </c>
      <c r="C9828" s="32" t="s">
        <v>26848</v>
      </c>
      <c r="D9828" s="32" t="s">
        <v>26849</v>
      </c>
    </row>
    <row r="9829" spans="2:4" x14ac:dyDescent="0.3">
      <c r="B9829" s="33" t="s">
        <v>26850</v>
      </c>
      <c r="C9829" s="32" t="s">
        <v>26851</v>
      </c>
      <c r="D9829" s="32" t="s">
        <v>26852</v>
      </c>
    </row>
    <row r="9830" spans="2:4" x14ac:dyDescent="0.3">
      <c r="B9830" s="33" t="s">
        <v>26853</v>
      </c>
      <c r="C9830" s="32" t="s">
        <v>26854</v>
      </c>
      <c r="D9830" s="32" t="s">
        <v>26855</v>
      </c>
    </row>
    <row r="9831" spans="2:4" x14ac:dyDescent="0.3">
      <c r="B9831" s="33" t="s">
        <v>26856</v>
      </c>
      <c r="C9831" s="32" t="s">
        <v>26857</v>
      </c>
      <c r="D9831" s="32" t="s">
        <v>26858</v>
      </c>
    </row>
    <row r="9832" spans="2:4" x14ac:dyDescent="0.3">
      <c r="B9832" s="33" t="s">
        <v>26859</v>
      </c>
      <c r="C9832" s="32" t="s">
        <v>26860</v>
      </c>
      <c r="D9832" s="32" t="s">
        <v>26861</v>
      </c>
    </row>
    <row r="9833" spans="2:4" x14ac:dyDescent="0.3">
      <c r="B9833" s="33" t="s">
        <v>26862</v>
      </c>
      <c r="C9833" s="32" t="s">
        <v>26863</v>
      </c>
      <c r="D9833" s="32" t="s">
        <v>26864</v>
      </c>
    </row>
    <row r="9834" spans="2:4" x14ac:dyDescent="0.3">
      <c r="B9834" s="33" t="s">
        <v>26865</v>
      </c>
      <c r="C9834" s="32" t="s">
        <v>26866</v>
      </c>
      <c r="D9834" s="32" t="s">
        <v>26867</v>
      </c>
    </row>
    <row r="9835" spans="2:4" x14ac:dyDescent="0.3">
      <c r="B9835" s="33" t="s">
        <v>26868</v>
      </c>
      <c r="C9835" s="32" t="s">
        <v>26869</v>
      </c>
      <c r="D9835" s="32" t="s">
        <v>26870</v>
      </c>
    </row>
    <row r="9836" spans="2:4" x14ac:dyDescent="0.3">
      <c r="B9836" s="33" t="s">
        <v>26871</v>
      </c>
      <c r="C9836" s="32" t="s">
        <v>26872</v>
      </c>
      <c r="D9836" s="32" t="s">
        <v>26873</v>
      </c>
    </row>
    <row r="9837" spans="2:4" x14ac:dyDescent="0.3">
      <c r="B9837" s="33" t="s">
        <v>26871</v>
      </c>
      <c r="C9837" s="32" t="s">
        <v>26874</v>
      </c>
      <c r="D9837" s="32" t="s">
        <v>26875</v>
      </c>
    </row>
    <row r="9838" spans="2:4" x14ac:dyDescent="0.3">
      <c r="B9838" s="33" t="s">
        <v>26876</v>
      </c>
      <c r="C9838" s="32" t="s">
        <v>26877</v>
      </c>
      <c r="D9838" s="32" t="s">
        <v>26878</v>
      </c>
    </row>
    <row r="9839" spans="2:4" x14ac:dyDescent="0.3">
      <c r="B9839" s="33" t="s">
        <v>26879</v>
      </c>
      <c r="C9839" s="32" t="s">
        <v>26880</v>
      </c>
      <c r="D9839" s="32" t="s">
        <v>26881</v>
      </c>
    </row>
    <row r="9840" spans="2:4" x14ac:dyDescent="0.3">
      <c r="B9840" s="33" t="s">
        <v>26882</v>
      </c>
      <c r="C9840" s="32" t="s">
        <v>26883</v>
      </c>
      <c r="D9840" s="32" t="s">
        <v>26884</v>
      </c>
    </row>
    <row r="9841" spans="2:4" x14ac:dyDescent="0.3">
      <c r="B9841" s="33" t="s">
        <v>26885</v>
      </c>
      <c r="C9841" s="32" t="s">
        <v>26886</v>
      </c>
      <c r="D9841" s="32" t="s">
        <v>26887</v>
      </c>
    </row>
    <row r="9842" spans="2:4" x14ac:dyDescent="0.3">
      <c r="B9842" s="33" t="s">
        <v>26888</v>
      </c>
      <c r="C9842" s="32" t="s">
        <v>26889</v>
      </c>
      <c r="D9842" s="32" t="s">
        <v>26890</v>
      </c>
    </row>
    <row r="9843" spans="2:4" x14ac:dyDescent="0.3">
      <c r="B9843" s="33" t="s">
        <v>26891</v>
      </c>
      <c r="C9843" s="32" t="s">
        <v>26892</v>
      </c>
      <c r="D9843" s="32" t="s">
        <v>26893</v>
      </c>
    </row>
    <row r="9844" spans="2:4" x14ac:dyDescent="0.3">
      <c r="B9844" s="33" t="s">
        <v>26894</v>
      </c>
      <c r="C9844" s="32" t="s">
        <v>26895</v>
      </c>
      <c r="D9844" s="32" t="s">
        <v>26896</v>
      </c>
    </row>
    <row r="9845" spans="2:4" x14ac:dyDescent="0.3">
      <c r="B9845" s="33" t="s">
        <v>26897</v>
      </c>
      <c r="C9845" s="32" t="s">
        <v>26898</v>
      </c>
      <c r="D9845" s="32" t="s">
        <v>26899</v>
      </c>
    </row>
    <row r="9846" spans="2:4" x14ac:dyDescent="0.3">
      <c r="B9846" s="33" t="s">
        <v>26900</v>
      </c>
      <c r="C9846" s="32" t="s">
        <v>26901</v>
      </c>
      <c r="D9846" s="32" t="s">
        <v>26902</v>
      </c>
    </row>
    <row r="9847" spans="2:4" x14ac:dyDescent="0.3">
      <c r="B9847" s="33" t="s">
        <v>26903</v>
      </c>
      <c r="C9847" s="32" t="s">
        <v>26904</v>
      </c>
      <c r="D9847" s="32" t="s">
        <v>37052</v>
      </c>
    </row>
    <row r="9848" spans="2:4" x14ac:dyDescent="0.3">
      <c r="B9848" s="33" t="s">
        <v>26905</v>
      </c>
      <c r="C9848" s="32" t="s">
        <v>26906</v>
      </c>
      <c r="D9848" s="32" t="s">
        <v>26907</v>
      </c>
    </row>
    <row r="9849" spans="2:4" x14ac:dyDescent="0.3">
      <c r="B9849" s="33" t="s">
        <v>26908</v>
      </c>
      <c r="C9849" s="32" t="s">
        <v>26909</v>
      </c>
      <c r="D9849" s="32" t="s">
        <v>26910</v>
      </c>
    </row>
    <row r="9850" spans="2:4" x14ac:dyDescent="0.3">
      <c r="B9850" s="33" t="s">
        <v>26707</v>
      </c>
      <c r="C9850" s="32" t="s">
        <v>26911</v>
      </c>
      <c r="D9850" s="32" t="s">
        <v>26912</v>
      </c>
    </row>
    <row r="9851" spans="2:4" x14ac:dyDescent="0.3">
      <c r="B9851" s="33" t="s">
        <v>26913</v>
      </c>
      <c r="C9851" s="32" t="s">
        <v>26914</v>
      </c>
      <c r="D9851" s="32" t="s">
        <v>26915</v>
      </c>
    </row>
    <row r="9852" spans="2:4" x14ac:dyDescent="0.3">
      <c r="B9852" s="33" t="s">
        <v>26916</v>
      </c>
      <c r="C9852" s="32" t="s">
        <v>26917</v>
      </c>
      <c r="D9852" s="32" t="s">
        <v>26918</v>
      </c>
    </row>
    <row r="9853" spans="2:4" x14ac:dyDescent="0.3">
      <c r="B9853" s="33" t="s">
        <v>37053</v>
      </c>
      <c r="C9853" s="32" t="s">
        <v>37054</v>
      </c>
      <c r="D9853" s="32" t="s">
        <v>37055</v>
      </c>
    </row>
    <row r="9854" spans="2:4" x14ac:dyDescent="0.3">
      <c r="B9854" s="33" t="s">
        <v>4247</v>
      </c>
      <c r="C9854" s="32" t="s">
        <v>26919</v>
      </c>
      <c r="D9854" s="32" t="s">
        <v>26920</v>
      </c>
    </row>
    <row r="9855" spans="2:4" x14ac:dyDescent="0.3">
      <c r="B9855" s="33" t="s">
        <v>26921</v>
      </c>
      <c r="C9855" s="32" t="s">
        <v>26922</v>
      </c>
      <c r="D9855" s="32" t="s">
        <v>26923</v>
      </c>
    </row>
    <row r="9856" spans="2:4" x14ac:dyDescent="0.3">
      <c r="B9856" s="33" t="s">
        <v>26924</v>
      </c>
      <c r="C9856" s="32" t="s">
        <v>26925</v>
      </c>
      <c r="D9856" s="32" t="s">
        <v>26926</v>
      </c>
    </row>
    <row r="9857" spans="2:4" x14ac:dyDescent="0.3">
      <c r="B9857" s="33" t="s">
        <v>26927</v>
      </c>
      <c r="C9857" s="32" t="s">
        <v>26928</v>
      </c>
      <c r="D9857" s="32" t="s">
        <v>26929</v>
      </c>
    </row>
    <row r="9858" spans="2:4" x14ac:dyDescent="0.3">
      <c r="B9858" s="33" t="s">
        <v>26930</v>
      </c>
      <c r="C9858" s="32" t="s">
        <v>26931</v>
      </c>
      <c r="D9858" s="32" t="s">
        <v>26932</v>
      </c>
    </row>
    <row r="9859" spans="2:4" x14ac:dyDescent="0.3">
      <c r="B9859" s="33" t="s">
        <v>26933</v>
      </c>
      <c r="C9859" s="32" t="s">
        <v>26934</v>
      </c>
      <c r="D9859" s="32" t="s">
        <v>26935</v>
      </c>
    </row>
    <row r="9860" spans="2:4" x14ac:dyDescent="0.3">
      <c r="B9860" s="33" t="s">
        <v>26936</v>
      </c>
      <c r="C9860" s="32" t="s">
        <v>26937</v>
      </c>
      <c r="D9860" s="32" t="s">
        <v>26938</v>
      </c>
    </row>
    <row r="9861" spans="2:4" x14ac:dyDescent="0.3">
      <c r="B9861" s="33" t="s">
        <v>26939</v>
      </c>
      <c r="C9861" s="32" t="s">
        <v>26940</v>
      </c>
      <c r="D9861" s="32" t="s">
        <v>26941</v>
      </c>
    </row>
    <row r="9862" spans="2:4" x14ac:dyDescent="0.3">
      <c r="B9862" s="33" t="s">
        <v>26942</v>
      </c>
      <c r="C9862" s="32" t="s">
        <v>26943</v>
      </c>
      <c r="D9862" s="32" t="s">
        <v>26942</v>
      </c>
    </row>
    <row r="9863" spans="2:4" x14ac:dyDescent="0.3">
      <c r="B9863" s="33" t="s">
        <v>26944</v>
      </c>
      <c r="C9863" s="32" t="s">
        <v>26945</v>
      </c>
      <c r="D9863" s="32" t="s">
        <v>26946</v>
      </c>
    </row>
    <row r="9864" spans="2:4" x14ac:dyDescent="0.3">
      <c r="B9864" s="33" t="s">
        <v>26947</v>
      </c>
      <c r="C9864" s="32" t="s">
        <v>26948</v>
      </c>
      <c r="D9864" s="32" t="s">
        <v>26949</v>
      </c>
    </row>
    <row r="9865" spans="2:4" x14ac:dyDescent="0.3">
      <c r="B9865" s="33" t="s">
        <v>26950</v>
      </c>
      <c r="C9865" s="32" t="s">
        <v>26951</v>
      </c>
      <c r="D9865" s="32" t="s">
        <v>37319</v>
      </c>
    </row>
    <row r="9866" spans="2:4" x14ac:dyDescent="0.3">
      <c r="B9866" s="33" t="s">
        <v>26950</v>
      </c>
      <c r="C9866" s="32" t="s">
        <v>26952</v>
      </c>
      <c r="D9866" s="32" t="s">
        <v>26953</v>
      </c>
    </row>
    <row r="9867" spans="2:4" x14ac:dyDescent="0.3">
      <c r="B9867" s="33" t="s">
        <v>26954</v>
      </c>
      <c r="C9867" s="32" t="s">
        <v>26955</v>
      </c>
      <c r="D9867" s="32" t="s">
        <v>26956</v>
      </c>
    </row>
    <row r="9868" spans="2:4" x14ac:dyDescent="0.3">
      <c r="B9868" s="33" t="s">
        <v>26957</v>
      </c>
      <c r="C9868" s="32" t="s">
        <v>26958</v>
      </c>
      <c r="D9868" s="32" t="s">
        <v>26959</v>
      </c>
    </row>
    <row r="9869" spans="2:4" x14ac:dyDescent="0.3">
      <c r="B9869" s="33" t="s">
        <v>26735</v>
      </c>
      <c r="C9869" s="32" t="s">
        <v>26960</v>
      </c>
      <c r="D9869" s="32" t="s">
        <v>26961</v>
      </c>
    </row>
    <row r="9870" spans="2:4" x14ac:dyDescent="0.3">
      <c r="B9870" s="33" t="s">
        <v>26699</v>
      </c>
      <c r="C9870" s="32" t="s">
        <v>26962</v>
      </c>
      <c r="D9870" s="32" t="s">
        <v>26963</v>
      </c>
    </row>
    <row r="9871" spans="2:4" x14ac:dyDescent="0.3">
      <c r="B9871" s="33" t="s">
        <v>26964</v>
      </c>
      <c r="C9871" s="32" t="s">
        <v>26965</v>
      </c>
      <c r="D9871" s="32" t="s">
        <v>26966</v>
      </c>
    </row>
    <row r="9872" spans="2:4" x14ac:dyDescent="0.3">
      <c r="B9872" s="33" t="s">
        <v>26967</v>
      </c>
      <c r="C9872" s="32" t="s">
        <v>26968</v>
      </c>
      <c r="D9872" s="32" t="s">
        <v>26969</v>
      </c>
    </row>
    <row r="9873" spans="2:4" x14ac:dyDescent="0.3">
      <c r="B9873" s="33" t="s">
        <v>26970</v>
      </c>
      <c r="C9873" s="32" t="s">
        <v>26971</v>
      </c>
      <c r="D9873" s="32" t="s">
        <v>26972</v>
      </c>
    </row>
    <row r="9874" spans="2:4" x14ac:dyDescent="0.3">
      <c r="B9874" s="33" t="s">
        <v>26973</v>
      </c>
      <c r="C9874" s="32" t="s">
        <v>26974</v>
      </c>
      <c r="D9874" s="32" t="s">
        <v>26975</v>
      </c>
    </row>
    <row r="9875" spans="2:4" x14ac:dyDescent="0.3">
      <c r="B9875" s="33" t="s">
        <v>26976</v>
      </c>
      <c r="C9875" s="32" t="s">
        <v>26977</v>
      </c>
      <c r="D9875" s="32" t="s">
        <v>26978</v>
      </c>
    </row>
    <row r="9876" spans="2:4" x14ac:dyDescent="0.3">
      <c r="B9876" s="33" t="s">
        <v>26979</v>
      </c>
      <c r="C9876" s="32" t="s">
        <v>26980</v>
      </c>
      <c r="D9876" s="32" t="s">
        <v>36880</v>
      </c>
    </row>
    <row r="9877" spans="2:4" x14ac:dyDescent="0.3">
      <c r="B9877" s="33" t="s">
        <v>26979</v>
      </c>
      <c r="C9877" s="32" t="s">
        <v>36881</v>
      </c>
      <c r="D9877" s="32" t="s">
        <v>37056</v>
      </c>
    </row>
    <row r="9878" spans="2:4" x14ac:dyDescent="0.3">
      <c r="B9878" s="33" t="s">
        <v>26666</v>
      </c>
      <c r="C9878" s="32" t="s">
        <v>26981</v>
      </c>
      <c r="D9878" s="32" t="s">
        <v>26982</v>
      </c>
    </row>
    <row r="9879" spans="2:4" x14ac:dyDescent="0.3">
      <c r="B9879" s="33" t="s">
        <v>26983</v>
      </c>
      <c r="C9879" s="32" t="s">
        <v>26984</v>
      </c>
      <c r="D9879" s="32" t="s">
        <v>26985</v>
      </c>
    </row>
    <row r="9880" spans="2:4" x14ac:dyDescent="0.3">
      <c r="B9880" s="33" t="s">
        <v>26636</v>
      </c>
      <c r="C9880" s="32" t="s">
        <v>26986</v>
      </c>
      <c r="D9880" s="32" t="s">
        <v>26987</v>
      </c>
    </row>
    <row r="9881" spans="2:4" x14ac:dyDescent="0.3">
      <c r="B9881" s="33" t="s">
        <v>26988</v>
      </c>
      <c r="C9881" s="32" t="s">
        <v>26989</v>
      </c>
      <c r="D9881" s="32" t="s">
        <v>26990</v>
      </c>
    </row>
    <row r="9882" spans="2:4" x14ac:dyDescent="0.3">
      <c r="B9882" s="33" t="s">
        <v>26988</v>
      </c>
      <c r="C9882" s="32" t="s">
        <v>26991</v>
      </c>
      <c r="D9882" s="32" t="s">
        <v>26992</v>
      </c>
    </row>
    <row r="9883" spans="2:4" x14ac:dyDescent="0.3">
      <c r="B9883" s="33" t="s">
        <v>26993</v>
      </c>
      <c r="C9883" s="32" t="s">
        <v>26994</v>
      </c>
      <c r="D9883" s="32" t="s">
        <v>26995</v>
      </c>
    </row>
    <row r="9884" spans="2:4" x14ac:dyDescent="0.3">
      <c r="B9884" s="33" t="s">
        <v>26996</v>
      </c>
      <c r="C9884" s="32" t="s">
        <v>26997</v>
      </c>
      <c r="D9884" s="32" t="s">
        <v>26998</v>
      </c>
    </row>
    <row r="9885" spans="2:4" x14ac:dyDescent="0.3">
      <c r="B9885" s="33" t="s">
        <v>26999</v>
      </c>
      <c r="C9885" s="32" t="s">
        <v>27000</v>
      </c>
      <c r="D9885" s="32" t="s">
        <v>27001</v>
      </c>
    </row>
    <row r="9886" spans="2:4" x14ac:dyDescent="0.3">
      <c r="B9886" s="33" t="s">
        <v>27002</v>
      </c>
      <c r="C9886" s="32" t="s">
        <v>27003</v>
      </c>
      <c r="D9886" s="32" t="s">
        <v>27004</v>
      </c>
    </row>
    <row r="9887" spans="2:4" x14ac:dyDescent="0.3">
      <c r="B9887" s="33" t="s">
        <v>26999</v>
      </c>
      <c r="C9887" s="32" t="s">
        <v>27005</v>
      </c>
      <c r="D9887" s="32" t="s">
        <v>27006</v>
      </c>
    </row>
    <row r="9888" spans="2:4" x14ac:dyDescent="0.3">
      <c r="B9888" s="33" t="s">
        <v>27007</v>
      </c>
      <c r="C9888" s="32" t="s">
        <v>27008</v>
      </c>
      <c r="D9888" s="32" t="s">
        <v>27009</v>
      </c>
    </row>
    <row r="9889" spans="2:4" x14ac:dyDescent="0.3">
      <c r="B9889" s="33" t="s">
        <v>26666</v>
      </c>
      <c r="C9889" s="32" t="s">
        <v>27010</v>
      </c>
      <c r="D9889" s="32" t="s">
        <v>27011</v>
      </c>
    </row>
    <row r="9890" spans="2:4" x14ac:dyDescent="0.3">
      <c r="B9890" s="33" t="s">
        <v>27012</v>
      </c>
      <c r="C9890" s="32" t="s">
        <v>27013</v>
      </c>
      <c r="D9890" s="32" t="s">
        <v>27014</v>
      </c>
    </row>
    <row r="9891" spans="2:4" x14ac:dyDescent="0.3">
      <c r="B9891" s="33" t="s">
        <v>27015</v>
      </c>
      <c r="C9891" s="32" t="s">
        <v>27016</v>
      </c>
      <c r="D9891" s="32" t="s">
        <v>27017</v>
      </c>
    </row>
    <row r="9892" spans="2:4" x14ac:dyDescent="0.3">
      <c r="B9892" s="33" t="s">
        <v>27018</v>
      </c>
      <c r="C9892" s="32" t="s">
        <v>27019</v>
      </c>
      <c r="D9892" s="32" t="s">
        <v>27020</v>
      </c>
    </row>
    <row r="9893" spans="2:4" x14ac:dyDescent="0.3">
      <c r="B9893" s="33" t="s">
        <v>8663</v>
      </c>
      <c r="C9893" s="32" t="s">
        <v>27021</v>
      </c>
      <c r="D9893" s="32" t="s">
        <v>27022</v>
      </c>
    </row>
    <row r="9894" spans="2:4" x14ac:dyDescent="0.3">
      <c r="B9894" s="33" t="s">
        <v>27023</v>
      </c>
      <c r="C9894" s="32" t="s">
        <v>27024</v>
      </c>
      <c r="D9894" s="32" t="s">
        <v>27025</v>
      </c>
    </row>
    <row r="9895" spans="2:4" x14ac:dyDescent="0.3">
      <c r="B9895" s="33" t="s">
        <v>27023</v>
      </c>
      <c r="C9895" s="32" t="s">
        <v>27026</v>
      </c>
      <c r="D9895" s="32" t="s">
        <v>27027</v>
      </c>
    </row>
    <row r="9896" spans="2:4" x14ac:dyDescent="0.3">
      <c r="B9896" s="33" t="s">
        <v>27028</v>
      </c>
      <c r="C9896" s="32" t="s">
        <v>27029</v>
      </c>
      <c r="D9896" s="32" t="s">
        <v>27030</v>
      </c>
    </row>
    <row r="9897" spans="2:4" x14ac:dyDescent="0.3">
      <c r="B9897" s="33" t="s">
        <v>27031</v>
      </c>
      <c r="C9897" s="32" t="s">
        <v>27032</v>
      </c>
      <c r="D9897" s="32" t="s">
        <v>27031</v>
      </c>
    </row>
    <row r="9898" spans="2:4" x14ac:dyDescent="0.3">
      <c r="B9898" s="33" t="s">
        <v>27033</v>
      </c>
      <c r="C9898" s="32" t="s">
        <v>27034</v>
      </c>
      <c r="D9898" s="32" t="s">
        <v>27035</v>
      </c>
    </row>
    <row r="9899" spans="2:4" x14ac:dyDescent="0.3">
      <c r="B9899" s="33" t="s">
        <v>27036</v>
      </c>
      <c r="C9899" s="32" t="s">
        <v>27037</v>
      </c>
      <c r="D9899" s="32" t="s">
        <v>27038</v>
      </c>
    </row>
    <row r="9900" spans="2:4" x14ac:dyDescent="0.3">
      <c r="B9900" s="33" t="s">
        <v>27039</v>
      </c>
      <c r="C9900" s="32" t="s">
        <v>27040</v>
      </c>
      <c r="D9900" s="32" t="s">
        <v>27041</v>
      </c>
    </row>
    <row r="9901" spans="2:4" x14ac:dyDescent="0.3">
      <c r="B9901" s="33" t="s">
        <v>27042</v>
      </c>
      <c r="C9901" s="32" t="s">
        <v>27043</v>
      </c>
      <c r="D9901" s="32" t="s">
        <v>27044</v>
      </c>
    </row>
    <row r="9902" spans="2:4" x14ac:dyDescent="0.3">
      <c r="B9902" s="33" t="s">
        <v>27045</v>
      </c>
      <c r="C9902" s="32" t="s">
        <v>27046</v>
      </c>
      <c r="D9902" s="32" t="s">
        <v>27047</v>
      </c>
    </row>
    <row r="9903" spans="2:4" x14ac:dyDescent="0.3">
      <c r="B9903" s="33" t="s">
        <v>27048</v>
      </c>
      <c r="C9903" s="32" t="s">
        <v>27049</v>
      </c>
      <c r="D9903" s="32" t="s">
        <v>27050</v>
      </c>
    </row>
    <row r="9904" spans="2:4" x14ac:dyDescent="0.3">
      <c r="B9904" s="33" t="s">
        <v>27051</v>
      </c>
      <c r="C9904" s="32" t="s">
        <v>27052</v>
      </c>
      <c r="D9904" s="32" t="s">
        <v>27053</v>
      </c>
    </row>
    <row r="9905" spans="2:4" x14ac:dyDescent="0.3">
      <c r="B9905" s="33" t="s">
        <v>27054</v>
      </c>
      <c r="C9905" s="32" t="s">
        <v>27055</v>
      </c>
      <c r="D9905" s="32" t="s">
        <v>27056</v>
      </c>
    </row>
    <row r="9906" spans="2:4" x14ac:dyDescent="0.3">
      <c r="B9906" s="33" t="s">
        <v>27057</v>
      </c>
      <c r="C9906" s="32" t="s">
        <v>27058</v>
      </c>
      <c r="D9906" s="32" t="s">
        <v>27059</v>
      </c>
    </row>
    <row r="9907" spans="2:4" x14ac:dyDescent="0.3">
      <c r="B9907" s="33" t="s">
        <v>27060</v>
      </c>
      <c r="C9907" s="32" t="s">
        <v>27061</v>
      </c>
      <c r="D9907" s="32" t="s">
        <v>27062</v>
      </c>
    </row>
    <row r="9908" spans="2:4" x14ac:dyDescent="0.3">
      <c r="B9908" s="33" t="s">
        <v>27060</v>
      </c>
      <c r="C9908" s="32" t="s">
        <v>27063</v>
      </c>
      <c r="D9908" s="32" t="s">
        <v>27064</v>
      </c>
    </row>
    <row r="9909" spans="2:4" x14ac:dyDescent="0.3">
      <c r="B9909" s="33" t="s">
        <v>27065</v>
      </c>
      <c r="C9909" s="32" t="s">
        <v>27066</v>
      </c>
      <c r="D9909" s="32" t="s">
        <v>27067</v>
      </c>
    </row>
    <row r="9910" spans="2:4" x14ac:dyDescent="0.3">
      <c r="B9910" s="33" t="s">
        <v>27068</v>
      </c>
      <c r="C9910" s="32" t="s">
        <v>27069</v>
      </c>
      <c r="D9910" s="32" t="s">
        <v>27070</v>
      </c>
    </row>
    <row r="9911" spans="2:4" x14ac:dyDescent="0.3">
      <c r="B9911" s="33" t="s">
        <v>27071</v>
      </c>
      <c r="C9911" s="32" t="s">
        <v>27072</v>
      </c>
      <c r="D9911" s="32" t="s">
        <v>27073</v>
      </c>
    </row>
    <row r="9912" spans="2:4" x14ac:dyDescent="0.3">
      <c r="B9912" s="33" t="s">
        <v>27074</v>
      </c>
      <c r="C9912" s="32" t="s">
        <v>27075</v>
      </c>
      <c r="D9912" s="32" t="s">
        <v>27076</v>
      </c>
    </row>
    <row r="9913" spans="2:4" x14ac:dyDescent="0.3">
      <c r="B9913" s="33" t="s">
        <v>27077</v>
      </c>
      <c r="C9913" s="32" t="s">
        <v>27078</v>
      </c>
      <c r="D9913" s="32" t="s">
        <v>27079</v>
      </c>
    </row>
    <row r="9914" spans="2:4" x14ac:dyDescent="0.3">
      <c r="B9914" s="33" t="s">
        <v>27080</v>
      </c>
      <c r="C9914" s="32" t="s">
        <v>27081</v>
      </c>
      <c r="D9914" s="32" t="s">
        <v>27082</v>
      </c>
    </row>
    <row r="9915" spans="2:4" x14ac:dyDescent="0.3">
      <c r="B9915" s="33" t="s">
        <v>27080</v>
      </c>
      <c r="C9915" s="32" t="s">
        <v>27083</v>
      </c>
      <c r="D9915" s="32" t="s">
        <v>27084</v>
      </c>
    </row>
    <row r="9916" spans="2:4" x14ac:dyDescent="0.3">
      <c r="B9916" s="33" t="s">
        <v>27074</v>
      </c>
      <c r="C9916" s="32" t="s">
        <v>27085</v>
      </c>
      <c r="D9916" s="32" t="s">
        <v>27086</v>
      </c>
    </row>
    <row r="9917" spans="2:4" x14ac:dyDescent="0.3">
      <c r="B9917" s="33" t="s">
        <v>27087</v>
      </c>
      <c r="C9917" s="32" t="s">
        <v>27088</v>
      </c>
      <c r="D9917" s="32" t="s">
        <v>27089</v>
      </c>
    </row>
    <row r="9918" spans="2:4" x14ac:dyDescent="0.3">
      <c r="B9918" s="33" t="s">
        <v>27090</v>
      </c>
      <c r="C9918" s="32" t="s">
        <v>27091</v>
      </c>
      <c r="D9918" s="32" t="s">
        <v>27092</v>
      </c>
    </row>
    <row r="9919" spans="2:4" x14ac:dyDescent="0.3">
      <c r="B9919" s="33" t="s">
        <v>27090</v>
      </c>
      <c r="C9919" s="32" t="s">
        <v>27093</v>
      </c>
      <c r="D9919" s="32" t="s">
        <v>27094</v>
      </c>
    </row>
    <row r="9920" spans="2:4" x14ac:dyDescent="0.3">
      <c r="B9920" s="33" t="s">
        <v>27095</v>
      </c>
      <c r="C9920" s="32" t="s">
        <v>27096</v>
      </c>
      <c r="D9920" s="32" t="s">
        <v>27097</v>
      </c>
    </row>
    <row r="9921" spans="2:4" x14ac:dyDescent="0.3">
      <c r="B9921" s="33" t="s">
        <v>27098</v>
      </c>
      <c r="C9921" s="32" t="s">
        <v>27099</v>
      </c>
      <c r="D9921" s="32" t="s">
        <v>27100</v>
      </c>
    </row>
    <row r="9922" spans="2:4" x14ac:dyDescent="0.3">
      <c r="B9922" s="33" t="s">
        <v>27101</v>
      </c>
      <c r="C9922" s="32" t="s">
        <v>27102</v>
      </c>
      <c r="D9922" s="32" t="s">
        <v>27103</v>
      </c>
    </row>
    <row r="9923" spans="2:4" x14ac:dyDescent="0.3">
      <c r="B9923" s="33" t="s">
        <v>9107</v>
      </c>
      <c r="C9923" s="32" t="s">
        <v>27104</v>
      </c>
      <c r="D9923" s="32" t="s">
        <v>27105</v>
      </c>
    </row>
    <row r="9924" spans="2:4" x14ac:dyDescent="0.3">
      <c r="B9924" s="33" t="s">
        <v>9107</v>
      </c>
      <c r="C9924" s="32" t="s">
        <v>27106</v>
      </c>
      <c r="D9924" s="32" t="s">
        <v>27107</v>
      </c>
    </row>
    <row r="9925" spans="2:4" x14ac:dyDescent="0.3">
      <c r="B9925" s="33" t="s">
        <v>9107</v>
      </c>
      <c r="C9925" s="32" t="s">
        <v>27108</v>
      </c>
      <c r="D9925" s="32" t="s">
        <v>27109</v>
      </c>
    </row>
    <row r="9926" spans="2:4" x14ac:dyDescent="0.3">
      <c r="B9926" s="33" t="s">
        <v>27110</v>
      </c>
      <c r="C9926" s="32" t="s">
        <v>27111</v>
      </c>
      <c r="D9926" s="32" t="s">
        <v>27112</v>
      </c>
    </row>
    <row r="9927" spans="2:4" x14ac:dyDescent="0.3">
      <c r="B9927" s="33" t="s">
        <v>27113</v>
      </c>
      <c r="C9927" s="32" t="s">
        <v>27114</v>
      </c>
      <c r="D9927" s="32" t="s">
        <v>27115</v>
      </c>
    </row>
    <row r="9928" spans="2:4" x14ac:dyDescent="0.3">
      <c r="B9928" s="33" t="s">
        <v>6522</v>
      </c>
      <c r="C9928" s="32" t="s">
        <v>27116</v>
      </c>
      <c r="D9928" s="32" t="s">
        <v>36754</v>
      </c>
    </row>
    <row r="9929" spans="2:4" x14ac:dyDescent="0.3">
      <c r="B9929" s="33" t="s">
        <v>27113</v>
      </c>
      <c r="C9929" s="32" t="s">
        <v>27117</v>
      </c>
      <c r="D9929" s="32" t="s">
        <v>27118</v>
      </c>
    </row>
    <row r="9930" spans="2:4" x14ac:dyDescent="0.3">
      <c r="B9930" s="33" t="s">
        <v>27113</v>
      </c>
      <c r="C9930" s="32" t="s">
        <v>27119</v>
      </c>
      <c r="D9930" s="32" t="s">
        <v>27120</v>
      </c>
    </row>
    <row r="9931" spans="2:4" x14ac:dyDescent="0.3">
      <c r="B9931" s="33" t="s">
        <v>27113</v>
      </c>
      <c r="C9931" s="32" t="s">
        <v>27121</v>
      </c>
      <c r="D9931" s="32" t="s">
        <v>27122</v>
      </c>
    </row>
    <row r="9932" spans="2:4" x14ac:dyDescent="0.3">
      <c r="B9932" s="33" t="s">
        <v>27113</v>
      </c>
      <c r="C9932" s="32" t="s">
        <v>27123</v>
      </c>
      <c r="D9932" s="32" t="s">
        <v>27124</v>
      </c>
    </row>
    <row r="9933" spans="2:4" x14ac:dyDescent="0.3">
      <c r="B9933" s="33" t="s">
        <v>27125</v>
      </c>
      <c r="C9933" s="32" t="s">
        <v>27126</v>
      </c>
      <c r="D9933" s="32" t="s">
        <v>27127</v>
      </c>
    </row>
    <row r="9934" spans="2:4" x14ac:dyDescent="0.3">
      <c r="B9934" s="33" t="s">
        <v>27128</v>
      </c>
      <c r="C9934" s="32" t="s">
        <v>27129</v>
      </c>
      <c r="D9934" s="32" t="s">
        <v>27130</v>
      </c>
    </row>
    <row r="9935" spans="2:4" x14ac:dyDescent="0.3">
      <c r="B9935" s="33" t="s">
        <v>27113</v>
      </c>
      <c r="C9935" s="32" t="s">
        <v>27131</v>
      </c>
      <c r="D9935" s="32" t="s">
        <v>27132</v>
      </c>
    </row>
    <row r="9936" spans="2:4" x14ac:dyDescent="0.3">
      <c r="B9936" s="33" t="s">
        <v>27133</v>
      </c>
      <c r="C9936" s="32" t="s">
        <v>27134</v>
      </c>
      <c r="D9936" s="32" t="s">
        <v>27135</v>
      </c>
    </row>
    <row r="9937" spans="2:4" x14ac:dyDescent="0.3">
      <c r="B9937" s="33" t="s">
        <v>27136</v>
      </c>
      <c r="C9937" s="32" t="s">
        <v>27137</v>
      </c>
      <c r="D9937" s="32" t="s">
        <v>27138</v>
      </c>
    </row>
    <row r="9938" spans="2:4" x14ac:dyDescent="0.3">
      <c r="B9938" s="33" t="s">
        <v>4988</v>
      </c>
      <c r="C9938" s="32" t="s">
        <v>27139</v>
      </c>
      <c r="D9938" s="32" t="s">
        <v>27140</v>
      </c>
    </row>
    <row r="9939" spans="2:4" x14ac:dyDescent="0.3">
      <c r="B9939" s="33" t="s">
        <v>15743</v>
      </c>
      <c r="C9939" s="32" t="s">
        <v>27141</v>
      </c>
      <c r="D9939" s="32" t="s">
        <v>27142</v>
      </c>
    </row>
    <row r="9940" spans="2:4" x14ac:dyDescent="0.3">
      <c r="B9940" s="33" t="s">
        <v>37057</v>
      </c>
      <c r="C9940" s="32" t="s">
        <v>37058</v>
      </c>
      <c r="D9940" s="32" t="s">
        <v>37059</v>
      </c>
    </row>
    <row r="9941" spans="2:4" x14ac:dyDescent="0.3">
      <c r="B9941" s="33" t="s">
        <v>27143</v>
      </c>
      <c r="C9941" s="32" t="s">
        <v>27144</v>
      </c>
      <c r="D9941" s="32" t="s">
        <v>27145</v>
      </c>
    </row>
    <row r="9942" spans="2:4" x14ac:dyDescent="0.3">
      <c r="B9942" s="33" t="s">
        <v>27146</v>
      </c>
      <c r="C9942" s="32" t="s">
        <v>27147</v>
      </c>
      <c r="D9942" s="32" t="s">
        <v>27148</v>
      </c>
    </row>
    <row r="9943" spans="2:4" x14ac:dyDescent="0.3">
      <c r="B9943" s="33" t="s">
        <v>27125</v>
      </c>
      <c r="C9943" s="32" t="s">
        <v>27149</v>
      </c>
      <c r="D9943" s="32" t="s">
        <v>27150</v>
      </c>
    </row>
    <row r="9944" spans="2:4" x14ac:dyDescent="0.3">
      <c r="B9944" s="33" t="s">
        <v>27151</v>
      </c>
      <c r="C9944" s="32" t="s">
        <v>27152</v>
      </c>
      <c r="D9944" s="32" t="s">
        <v>27153</v>
      </c>
    </row>
    <row r="9945" spans="2:4" x14ac:dyDescent="0.3">
      <c r="B9945" s="33" t="s">
        <v>27154</v>
      </c>
      <c r="C9945" s="32" t="s">
        <v>27155</v>
      </c>
      <c r="D9945" s="32" t="s">
        <v>27156</v>
      </c>
    </row>
    <row r="9946" spans="2:4" x14ac:dyDescent="0.3">
      <c r="B9946" s="33" t="s">
        <v>27157</v>
      </c>
      <c r="C9946" s="32" t="s">
        <v>27158</v>
      </c>
      <c r="D9946" s="32" t="s">
        <v>27159</v>
      </c>
    </row>
    <row r="9947" spans="2:4" x14ac:dyDescent="0.3">
      <c r="B9947" s="33" t="s">
        <v>27160</v>
      </c>
      <c r="C9947" s="32" t="s">
        <v>27161</v>
      </c>
      <c r="D9947" s="32" t="s">
        <v>27162</v>
      </c>
    </row>
    <row r="9948" spans="2:4" x14ac:dyDescent="0.3">
      <c r="B9948" s="33" t="s">
        <v>27163</v>
      </c>
      <c r="C9948" s="32" t="s">
        <v>27164</v>
      </c>
      <c r="D9948" s="32" t="s">
        <v>27165</v>
      </c>
    </row>
    <row r="9949" spans="2:4" x14ac:dyDescent="0.3">
      <c r="B9949" s="33" t="s">
        <v>26879</v>
      </c>
      <c r="C9949" s="32" t="s">
        <v>27166</v>
      </c>
      <c r="D9949" s="32" t="s">
        <v>27167</v>
      </c>
    </row>
    <row r="9950" spans="2:4" x14ac:dyDescent="0.3">
      <c r="B9950" s="33" t="s">
        <v>27168</v>
      </c>
      <c r="C9950" s="32" t="s">
        <v>27169</v>
      </c>
      <c r="D9950" s="32" t="s">
        <v>27170</v>
      </c>
    </row>
    <row r="9951" spans="2:4" x14ac:dyDescent="0.3">
      <c r="B9951" s="33" t="s">
        <v>27171</v>
      </c>
      <c r="C9951" s="32" t="s">
        <v>27172</v>
      </c>
      <c r="D9951" s="32" t="s">
        <v>27173</v>
      </c>
    </row>
    <row r="9952" spans="2:4" x14ac:dyDescent="0.3">
      <c r="B9952" s="33" t="s">
        <v>27174</v>
      </c>
      <c r="C9952" s="32" t="s">
        <v>27175</v>
      </c>
      <c r="D9952" s="32" t="s">
        <v>27176</v>
      </c>
    </row>
    <row r="9953" spans="2:4" x14ac:dyDescent="0.3">
      <c r="B9953" s="33" t="s">
        <v>9222</v>
      </c>
      <c r="C9953" s="32" t="s">
        <v>27177</v>
      </c>
      <c r="D9953" s="32" t="s">
        <v>27178</v>
      </c>
    </row>
    <row r="9954" spans="2:4" x14ac:dyDescent="0.3">
      <c r="B9954" s="33" t="s">
        <v>9222</v>
      </c>
      <c r="C9954" s="32" t="s">
        <v>27179</v>
      </c>
      <c r="D9954" s="32" t="s">
        <v>27180</v>
      </c>
    </row>
    <row r="9955" spans="2:4" x14ac:dyDescent="0.3">
      <c r="B9955" s="33" t="s">
        <v>27181</v>
      </c>
      <c r="C9955" s="32" t="s">
        <v>27182</v>
      </c>
      <c r="D9955" s="32" t="s">
        <v>27183</v>
      </c>
    </row>
    <row r="9956" spans="2:4" x14ac:dyDescent="0.3">
      <c r="B9956" s="33" t="s">
        <v>27184</v>
      </c>
      <c r="C9956" s="32" t="s">
        <v>27185</v>
      </c>
      <c r="D9956" s="32" t="s">
        <v>27186</v>
      </c>
    </row>
    <row r="9957" spans="2:4" x14ac:dyDescent="0.3">
      <c r="B9957" s="33" t="s">
        <v>27187</v>
      </c>
      <c r="C9957" s="32" t="s">
        <v>27188</v>
      </c>
      <c r="D9957" s="32" t="s">
        <v>27189</v>
      </c>
    </row>
    <row r="9958" spans="2:4" x14ac:dyDescent="0.3">
      <c r="B9958" s="33" t="s">
        <v>27190</v>
      </c>
      <c r="C9958" s="32" t="s">
        <v>27191</v>
      </c>
      <c r="D9958" s="32" t="s">
        <v>27192</v>
      </c>
    </row>
    <row r="9959" spans="2:4" x14ac:dyDescent="0.3">
      <c r="B9959" s="33" t="s">
        <v>37320</v>
      </c>
      <c r="C9959" s="32" t="s">
        <v>37321</v>
      </c>
      <c r="D9959" s="32" t="s">
        <v>37322</v>
      </c>
    </row>
    <row r="9960" spans="2:4" x14ac:dyDescent="0.3">
      <c r="B9960" s="33" t="s">
        <v>26936</v>
      </c>
      <c r="C9960" s="32" t="s">
        <v>27193</v>
      </c>
      <c r="D9960" s="32" t="s">
        <v>27194</v>
      </c>
    </row>
    <row r="9961" spans="2:4" x14ac:dyDescent="0.3">
      <c r="B9961" s="33" t="s">
        <v>27195</v>
      </c>
      <c r="C9961" s="32" t="s">
        <v>27196</v>
      </c>
      <c r="D9961" s="32" t="s">
        <v>27197</v>
      </c>
    </row>
    <row r="9962" spans="2:4" x14ac:dyDescent="0.3">
      <c r="B9962" s="33" t="s">
        <v>27</v>
      </c>
      <c r="C9962" s="32" t="s">
        <v>27198</v>
      </c>
      <c r="D9962" s="32" t="s">
        <v>27</v>
      </c>
    </row>
    <row r="9963" spans="2:4" x14ac:dyDescent="0.3">
      <c r="B9963" s="33" t="s">
        <v>27199</v>
      </c>
      <c r="C9963" s="32" t="s">
        <v>27200</v>
      </c>
      <c r="D9963" s="32" t="s">
        <v>27201</v>
      </c>
    </row>
    <row r="9964" spans="2:4" x14ac:dyDescent="0.3">
      <c r="B9964" s="33" t="s">
        <v>12171</v>
      </c>
      <c r="C9964" s="32" t="s">
        <v>27202</v>
      </c>
      <c r="D9964" s="32" t="s">
        <v>27203</v>
      </c>
    </row>
    <row r="9965" spans="2:4" x14ac:dyDescent="0.3">
      <c r="B9965" s="33" t="s">
        <v>27204</v>
      </c>
      <c r="C9965" s="32" t="s">
        <v>27205</v>
      </c>
      <c r="D9965" s="32" t="s">
        <v>27206</v>
      </c>
    </row>
    <row r="9966" spans="2:4" x14ac:dyDescent="0.3">
      <c r="B9966" s="33" t="s">
        <v>27207</v>
      </c>
      <c r="C9966" s="32" t="s">
        <v>27208</v>
      </c>
      <c r="D9966" s="32" t="s">
        <v>27209</v>
      </c>
    </row>
    <row r="9967" spans="2:4" x14ac:dyDescent="0.3">
      <c r="B9967" s="33" t="s">
        <v>12171</v>
      </c>
      <c r="C9967" s="32" t="s">
        <v>27210</v>
      </c>
      <c r="D9967" s="32" t="s">
        <v>27211</v>
      </c>
    </row>
    <row r="9968" spans="2:4" x14ac:dyDescent="0.3">
      <c r="B9968" s="33" t="s">
        <v>27212</v>
      </c>
      <c r="C9968" s="32" t="s">
        <v>27213</v>
      </c>
      <c r="D9968" s="32" t="s">
        <v>27214</v>
      </c>
    </row>
    <row r="9969" spans="2:4" x14ac:dyDescent="0.3">
      <c r="B9969" s="33" t="s">
        <v>27215</v>
      </c>
      <c r="C9969" s="32" t="s">
        <v>27216</v>
      </c>
      <c r="D9969" s="32" t="s">
        <v>27217</v>
      </c>
    </row>
    <row r="9970" spans="2:4" x14ac:dyDescent="0.3">
      <c r="B9970" s="33" t="s">
        <v>27218</v>
      </c>
      <c r="C9970" s="32" t="s">
        <v>27219</v>
      </c>
      <c r="D9970" s="32" t="s">
        <v>27220</v>
      </c>
    </row>
    <row r="9971" spans="2:4" x14ac:dyDescent="0.3">
      <c r="B9971" s="33" t="s">
        <v>27221</v>
      </c>
      <c r="C9971" s="32" t="s">
        <v>27222</v>
      </c>
      <c r="D9971" s="32" t="s">
        <v>27223</v>
      </c>
    </row>
    <row r="9972" spans="2:4" x14ac:dyDescent="0.3">
      <c r="B9972" s="33" t="s">
        <v>27224</v>
      </c>
      <c r="C9972" s="32" t="s">
        <v>27225</v>
      </c>
      <c r="D9972" s="32" t="s">
        <v>27226</v>
      </c>
    </row>
    <row r="9973" spans="2:4" x14ac:dyDescent="0.3">
      <c r="B9973" s="33" t="s">
        <v>27227</v>
      </c>
      <c r="C9973" s="32" t="s">
        <v>27228</v>
      </c>
      <c r="D9973" s="32" t="s">
        <v>27228</v>
      </c>
    </row>
    <row r="9974" spans="2:4" x14ac:dyDescent="0.3">
      <c r="B9974" s="33" t="s">
        <v>27229</v>
      </c>
      <c r="C9974" s="32" t="s">
        <v>27230</v>
      </c>
      <c r="D9974" s="32" t="s">
        <v>27231</v>
      </c>
    </row>
    <row r="9975" spans="2:4" x14ac:dyDescent="0.3">
      <c r="B9975" s="33" t="s">
        <v>27232</v>
      </c>
      <c r="C9975" s="32" t="s">
        <v>27233</v>
      </c>
      <c r="D9975" s="32" t="s">
        <v>36882</v>
      </c>
    </row>
    <row r="9976" spans="2:4" x14ac:dyDescent="0.3">
      <c r="B9976" s="33" t="s">
        <v>27234</v>
      </c>
      <c r="C9976" s="32" t="s">
        <v>27235</v>
      </c>
      <c r="D9976" s="32" t="s">
        <v>27236</v>
      </c>
    </row>
    <row r="9977" spans="2:4" x14ac:dyDescent="0.3">
      <c r="B9977" s="33" t="s">
        <v>27237</v>
      </c>
      <c r="C9977" s="32" t="s">
        <v>27238</v>
      </c>
      <c r="D9977" s="32" t="s">
        <v>27239</v>
      </c>
    </row>
    <row r="9978" spans="2:4" x14ac:dyDescent="0.3">
      <c r="B9978" s="33" t="s">
        <v>27240</v>
      </c>
      <c r="C9978" s="32" t="s">
        <v>27241</v>
      </c>
      <c r="D9978" s="32" t="s">
        <v>27242</v>
      </c>
    </row>
    <row r="9979" spans="2:4" x14ac:dyDescent="0.3">
      <c r="B9979" s="33" t="s">
        <v>27243</v>
      </c>
      <c r="C9979" s="32" t="s">
        <v>27244</v>
      </c>
      <c r="D9979" s="32" t="s">
        <v>27245</v>
      </c>
    </row>
    <row r="9980" spans="2:4" x14ac:dyDescent="0.3">
      <c r="B9980" s="33" t="s">
        <v>27246</v>
      </c>
      <c r="C9980" s="32" t="s">
        <v>27247</v>
      </c>
      <c r="D9980" s="32" t="s">
        <v>27248</v>
      </c>
    </row>
    <row r="9981" spans="2:4" x14ac:dyDescent="0.3">
      <c r="B9981" s="33" t="s">
        <v>27249</v>
      </c>
      <c r="C9981" s="32" t="s">
        <v>27250</v>
      </c>
      <c r="D9981" s="32" t="s">
        <v>27251</v>
      </c>
    </row>
    <row r="9982" spans="2:4" x14ac:dyDescent="0.3">
      <c r="B9982" s="33" t="s">
        <v>27249</v>
      </c>
      <c r="C9982" s="32" t="s">
        <v>27252</v>
      </c>
      <c r="D9982" s="32" t="s">
        <v>27253</v>
      </c>
    </row>
    <row r="9983" spans="2:4" x14ac:dyDescent="0.3">
      <c r="B9983" s="33" t="s">
        <v>27254</v>
      </c>
      <c r="C9983" s="32" t="s">
        <v>27255</v>
      </c>
      <c r="D9983" s="32" t="s">
        <v>27256</v>
      </c>
    </row>
    <row r="9984" spans="2:4" x14ac:dyDescent="0.3">
      <c r="B9984" s="33" t="s">
        <v>27257</v>
      </c>
      <c r="C9984" s="32" t="s">
        <v>27258</v>
      </c>
      <c r="D9984" s="32" t="s">
        <v>27259</v>
      </c>
    </row>
    <row r="9985" spans="2:4" x14ac:dyDescent="0.3">
      <c r="B9985" s="33" t="s">
        <v>27260</v>
      </c>
      <c r="C9985" s="32" t="s">
        <v>27261</v>
      </c>
      <c r="D9985" s="32" t="s">
        <v>27262</v>
      </c>
    </row>
    <row r="9986" spans="2:4" x14ac:dyDescent="0.3">
      <c r="B9986" s="33" t="s">
        <v>27263</v>
      </c>
      <c r="C9986" s="32" t="s">
        <v>27264</v>
      </c>
      <c r="D9986" s="32" t="s">
        <v>27263</v>
      </c>
    </row>
    <row r="9987" spans="2:4" x14ac:dyDescent="0.3">
      <c r="B9987" s="33" t="s">
        <v>27265</v>
      </c>
      <c r="C9987" s="32" t="s">
        <v>27266</v>
      </c>
      <c r="D9987" s="32" t="s">
        <v>27267</v>
      </c>
    </row>
    <row r="9988" spans="2:4" x14ac:dyDescent="0.3">
      <c r="B9988" s="33" t="s">
        <v>27268</v>
      </c>
      <c r="C9988" s="32" t="s">
        <v>27269</v>
      </c>
      <c r="D9988" s="32" t="s">
        <v>27270</v>
      </c>
    </row>
    <row r="9989" spans="2:4" x14ac:dyDescent="0.3">
      <c r="B9989" s="33" t="s">
        <v>27271</v>
      </c>
      <c r="C9989" s="32" t="s">
        <v>27272</v>
      </c>
      <c r="D9989" s="32" t="s">
        <v>27271</v>
      </c>
    </row>
    <row r="9990" spans="2:4" x14ac:dyDescent="0.3">
      <c r="B9990" s="33" t="s">
        <v>1982</v>
      </c>
      <c r="C9990" s="32" t="s">
        <v>27273</v>
      </c>
      <c r="D9990" s="32" t="s">
        <v>27274</v>
      </c>
    </row>
    <row r="9991" spans="2:4" x14ac:dyDescent="0.3">
      <c r="B9991" s="33" t="s">
        <v>1982</v>
      </c>
      <c r="C9991" s="32" t="s">
        <v>27275</v>
      </c>
      <c r="D9991" s="32" t="s">
        <v>27276</v>
      </c>
    </row>
    <row r="9992" spans="2:4" x14ac:dyDescent="0.3">
      <c r="B9992" s="33" t="s">
        <v>1982</v>
      </c>
      <c r="C9992" s="32" t="s">
        <v>27277</v>
      </c>
      <c r="D9992" s="32" t="s">
        <v>27278</v>
      </c>
    </row>
    <row r="9993" spans="2:4" x14ac:dyDescent="0.3">
      <c r="B9993" s="33" t="s">
        <v>27279</v>
      </c>
      <c r="C9993" s="32" t="s">
        <v>27280</v>
      </c>
      <c r="D9993" s="32" t="s">
        <v>27281</v>
      </c>
    </row>
    <row r="9994" spans="2:4" x14ac:dyDescent="0.3">
      <c r="B9994" s="33" t="s">
        <v>27282</v>
      </c>
      <c r="C9994" s="32" t="s">
        <v>27283</v>
      </c>
      <c r="D9994" s="32" t="s">
        <v>27284</v>
      </c>
    </row>
    <row r="9995" spans="2:4" x14ac:dyDescent="0.3">
      <c r="B9995" s="33" t="s">
        <v>27285</v>
      </c>
      <c r="C9995" s="32" t="s">
        <v>27286</v>
      </c>
      <c r="D9995" s="32" t="s">
        <v>27287</v>
      </c>
    </row>
    <row r="9996" spans="2:4" x14ac:dyDescent="0.3">
      <c r="B9996" s="33" t="s">
        <v>27288</v>
      </c>
      <c r="C9996" s="32" t="s">
        <v>27289</v>
      </c>
      <c r="D9996" s="32" t="s">
        <v>27290</v>
      </c>
    </row>
    <row r="9997" spans="2:4" x14ac:dyDescent="0.3">
      <c r="B9997" s="33" t="s">
        <v>27101</v>
      </c>
      <c r="C9997" s="32" t="s">
        <v>27291</v>
      </c>
      <c r="D9997" s="32" t="s">
        <v>27292</v>
      </c>
    </row>
    <row r="9998" spans="2:4" x14ac:dyDescent="0.3">
      <c r="B9998" s="33" t="s">
        <v>27293</v>
      </c>
      <c r="C9998" s="32" t="s">
        <v>27294</v>
      </c>
      <c r="D9998" s="32" t="s">
        <v>27295</v>
      </c>
    </row>
    <row r="9999" spans="2:4" x14ac:dyDescent="0.3">
      <c r="B9999" s="33" t="s">
        <v>27296</v>
      </c>
      <c r="C9999" s="32" t="s">
        <v>27297</v>
      </c>
      <c r="D9999" s="32" t="s">
        <v>27298</v>
      </c>
    </row>
    <row r="10000" spans="2:4" x14ac:dyDescent="0.3">
      <c r="B10000" s="33" t="s">
        <v>27299</v>
      </c>
      <c r="C10000" s="32" t="s">
        <v>27300</v>
      </c>
      <c r="D10000" s="32" t="s">
        <v>27301</v>
      </c>
    </row>
    <row r="10001" spans="2:4" x14ac:dyDescent="0.3">
      <c r="B10001" s="33" t="s">
        <v>27302</v>
      </c>
      <c r="C10001" s="32" t="s">
        <v>27303</v>
      </c>
      <c r="D10001" s="32" t="s">
        <v>27304</v>
      </c>
    </row>
    <row r="10002" spans="2:4" x14ac:dyDescent="0.3">
      <c r="B10002" s="33" t="s">
        <v>27305</v>
      </c>
      <c r="C10002" s="32" t="s">
        <v>27306</v>
      </c>
      <c r="D10002" s="32" t="s">
        <v>27307</v>
      </c>
    </row>
    <row r="10003" spans="2:4" x14ac:dyDescent="0.3">
      <c r="B10003" s="33" t="s">
        <v>27308</v>
      </c>
      <c r="C10003" s="32" t="s">
        <v>27309</v>
      </c>
      <c r="D10003" s="32" t="s">
        <v>27310</v>
      </c>
    </row>
    <row r="10004" spans="2:4" x14ac:dyDescent="0.3">
      <c r="B10004" s="33" t="s">
        <v>27311</v>
      </c>
      <c r="C10004" s="32" t="s">
        <v>27312</v>
      </c>
      <c r="D10004" s="32" t="s">
        <v>27313</v>
      </c>
    </row>
    <row r="10005" spans="2:4" x14ac:dyDescent="0.3">
      <c r="B10005" s="33" t="s">
        <v>27314</v>
      </c>
      <c r="C10005" s="32" t="s">
        <v>27315</v>
      </c>
      <c r="D10005" s="32" t="s">
        <v>27316</v>
      </c>
    </row>
    <row r="10006" spans="2:4" x14ac:dyDescent="0.3">
      <c r="B10006" s="33" t="s">
        <v>27317</v>
      </c>
      <c r="C10006" s="32" t="s">
        <v>27318</v>
      </c>
      <c r="D10006" s="32" t="s">
        <v>27319</v>
      </c>
    </row>
    <row r="10007" spans="2:4" x14ac:dyDescent="0.3">
      <c r="B10007" s="33" t="s">
        <v>27320</v>
      </c>
      <c r="C10007" s="32" t="s">
        <v>27321</v>
      </c>
      <c r="D10007" s="32" t="s">
        <v>27322</v>
      </c>
    </row>
    <row r="10008" spans="2:4" x14ac:dyDescent="0.3">
      <c r="B10008" s="33" t="s">
        <v>27323</v>
      </c>
      <c r="C10008" s="32" t="s">
        <v>27324</v>
      </c>
      <c r="D10008" s="32" t="s">
        <v>27325</v>
      </c>
    </row>
    <row r="10009" spans="2:4" x14ac:dyDescent="0.3">
      <c r="B10009" s="33" t="s">
        <v>27326</v>
      </c>
      <c r="C10009" s="32" t="s">
        <v>27327</v>
      </c>
      <c r="D10009" s="32" t="s">
        <v>27328</v>
      </c>
    </row>
    <row r="10010" spans="2:4" x14ac:dyDescent="0.3">
      <c r="B10010" s="33" t="s">
        <v>27302</v>
      </c>
      <c r="C10010" s="32" t="s">
        <v>27329</v>
      </c>
      <c r="D10010" s="32" t="s">
        <v>27330</v>
      </c>
    </row>
    <row r="10011" spans="2:4" x14ac:dyDescent="0.3">
      <c r="B10011" s="33" t="s">
        <v>27331</v>
      </c>
      <c r="C10011" s="32" t="s">
        <v>27332</v>
      </c>
      <c r="D10011" s="32" t="s">
        <v>27333</v>
      </c>
    </row>
    <row r="10012" spans="2:4" x14ac:dyDescent="0.3">
      <c r="B10012" s="33" t="s">
        <v>27334</v>
      </c>
      <c r="C10012" s="32" t="s">
        <v>27335</v>
      </c>
      <c r="D10012" s="32" t="s">
        <v>27336</v>
      </c>
    </row>
    <row r="10013" spans="2:4" x14ac:dyDescent="0.3">
      <c r="B10013" s="33" t="s">
        <v>26422</v>
      </c>
      <c r="C10013" s="32" t="s">
        <v>27337</v>
      </c>
      <c r="D10013" s="32" t="s">
        <v>27338</v>
      </c>
    </row>
    <row r="10014" spans="2:4" x14ac:dyDescent="0.3">
      <c r="B10014" s="33" t="s">
        <v>27339</v>
      </c>
      <c r="C10014" s="32" t="s">
        <v>27340</v>
      </c>
      <c r="D10014" s="32" t="s">
        <v>27341</v>
      </c>
    </row>
    <row r="10015" spans="2:4" x14ac:dyDescent="0.3">
      <c r="B10015" s="33" t="s">
        <v>6127</v>
      </c>
      <c r="C10015" s="32" t="s">
        <v>27342</v>
      </c>
      <c r="D10015" s="32" t="s">
        <v>27343</v>
      </c>
    </row>
    <row r="10016" spans="2:4" x14ac:dyDescent="0.3">
      <c r="B10016" s="33" t="s">
        <v>27344</v>
      </c>
      <c r="C10016" s="32" t="s">
        <v>27345</v>
      </c>
      <c r="D10016" s="32" t="s">
        <v>27346</v>
      </c>
    </row>
    <row r="10017" spans="2:4" x14ac:dyDescent="0.3">
      <c r="B10017" s="33" t="s">
        <v>27347</v>
      </c>
      <c r="C10017" s="32" t="s">
        <v>27348</v>
      </c>
      <c r="D10017" s="32" t="s">
        <v>27349</v>
      </c>
    </row>
    <row r="10018" spans="2:4" x14ac:dyDescent="0.3">
      <c r="B10018" s="33" t="s">
        <v>27350</v>
      </c>
      <c r="C10018" s="32" t="s">
        <v>27351</v>
      </c>
      <c r="D10018" s="32" t="s">
        <v>27352</v>
      </c>
    </row>
    <row r="10019" spans="2:4" x14ac:dyDescent="0.3">
      <c r="B10019" s="33" t="s">
        <v>27347</v>
      </c>
      <c r="C10019" s="32" t="s">
        <v>27353</v>
      </c>
      <c r="D10019" s="32" t="s">
        <v>27354</v>
      </c>
    </row>
    <row r="10020" spans="2:4" x14ac:dyDescent="0.3">
      <c r="B10020" s="33" t="s">
        <v>27355</v>
      </c>
      <c r="C10020" s="32" t="s">
        <v>27356</v>
      </c>
      <c r="D10020" s="32" t="s">
        <v>27357</v>
      </c>
    </row>
    <row r="10021" spans="2:4" x14ac:dyDescent="0.3">
      <c r="B10021" s="33" t="s">
        <v>27358</v>
      </c>
      <c r="C10021" s="32" t="s">
        <v>27359</v>
      </c>
      <c r="D10021" s="32" t="s">
        <v>27360</v>
      </c>
    </row>
    <row r="10022" spans="2:4" x14ac:dyDescent="0.3">
      <c r="B10022" s="33" t="s">
        <v>27361</v>
      </c>
      <c r="C10022" s="32" t="s">
        <v>27362</v>
      </c>
      <c r="D10022" s="32" t="s">
        <v>27363</v>
      </c>
    </row>
    <row r="10023" spans="2:4" x14ac:dyDescent="0.3">
      <c r="B10023" s="33" t="s">
        <v>26699</v>
      </c>
      <c r="C10023" s="32" t="s">
        <v>27364</v>
      </c>
      <c r="D10023" s="32" t="s">
        <v>27365</v>
      </c>
    </row>
    <row r="10024" spans="2:4" x14ac:dyDescent="0.3">
      <c r="B10024" s="33" t="s">
        <v>27361</v>
      </c>
      <c r="C10024" s="32" t="s">
        <v>27366</v>
      </c>
      <c r="D10024" s="32" t="s">
        <v>27367</v>
      </c>
    </row>
    <row r="10025" spans="2:4" x14ac:dyDescent="0.3">
      <c r="B10025" s="33" t="s">
        <v>27368</v>
      </c>
      <c r="C10025" s="32" t="s">
        <v>27369</v>
      </c>
      <c r="D10025" s="32" t="s">
        <v>27370</v>
      </c>
    </row>
    <row r="10026" spans="2:4" x14ac:dyDescent="0.3">
      <c r="B10026" s="33" t="s">
        <v>27371</v>
      </c>
      <c r="C10026" s="32" t="s">
        <v>27372</v>
      </c>
      <c r="D10026" s="32" t="s">
        <v>27373</v>
      </c>
    </row>
    <row r="10027" spans="2:4" x14ac:dyDescent="0.3">
      <c r="B10027" s="33" t="s">
        <v>27374</v>
      </c>
      <c r="C10027" s="32" t="s">
        <v>27375</v>
      </c>
      <c r="D10027" s="32" t="s">
        <v>27376</v>
      </c>
    </row>
    <row r="10028" spans="2:4" x14ac:dyDescent="0.3">
      <c r="B10028" s="33" t="s">
        <v>27374</v>
      </c>
      <c r="C10028" s="32" t="s">
        <v>27377</v>
      </c>
      <c r="D10028" s="32" t="s">
        <v>27378</v>
      </c>
    </row>
    <row r="10029" spans="2:4" x14ac:dyDescent="0.3">
      <c r="B10029" s="33" t="s">
        <v>27379</v>
      </c>
      <c r="C10029" s="32" t="s">
        <v>27380</v>
      </c>
      <c r="D10029" s="32" t="s">
        <v>27381</v>
      </c>
    </row>
    <row r="10030" spans="2:4" x14ac:dyDescent="0.3">
      <c r="B10030" s="33" t="s">
        <v>27382</v>
      </c>
      <c r="C10030" s="32" t="s">
        <v>27383</v>
      </c>
      <c r="D10030" s="32" t="s">
        <v>27384</v>
      </c>
    </row>
    <row r="10031" spans="2:4" x14ac:dyDescent="0.3">
      <c r="B10031" s="33" t="s">
        <v>27385</v>
      </c>
      <c r="C10031" s="32" t="s">
        <v>27386</v>
      </c>
      <c r="D10031" s="32" t="s">
        <v>27387</v>
      </c>
    </row>
    <row r="10032" spans="2:4" x14ac:dyDescent="0.3">
      <c r="B10032" s="33" t="s">
        <v>27388</v>
      </c>
      <c r="C10032" s="32" t="s">
        <v>27389</v>
      </c>
      <c r="D10032" s="32" t="s">
        <v>27390</v>
      </c>
    </row>
    <row r="10033" spans="2:4" x14ac:dyDescent="0.3">
      <c r="B10033" s="33" t="s">
        <v>27391</v>
      </c>
      <c r="C10033" s="32" t="s">
        <v>27392</v>
      </c>
      <c r="D10033" s="32" t="s">
        <v>27393</v>
      </c>
    </row>
    <row r="10034" spans="2:4" x14ac:dyDescent="0.3">
      <c r="B10034" s="33" t="s">
        <v>27394</v>
      </c>
      <c r="C10034" s="32" t="s">
        <v>27395</v>
      </c>
      <c r="D10034" s="32" t="s">
        <v>27396</v>
      </c>
    </row>
    <row r="10035" spans="2:4" x14ac:dyDescent="0.3">
      <c r="B10035" s="33" t="s">
        <v>27397</v>
      </c>
      <c r="C10035" s="32" t="s">
        <v>27398</v>
      </c>
      <c r="D10035" s="32" t="s">
        <v>27399</v>
      </c>
    </row>
    <row r="10036" spans="2:4" x14ac:dyDescent="0.3">
      <c r="B10036" s="33" t="s">
        <v>27400</v>
      </c>
      <c r="C10036" s="32" t="s">
        <v>27401</v>
      </c>
      <c r="D10036" s="32" t="s">
        <v>27402</v>
      </c>
    </row>
    <row r="10037" spans="2:4" x14ac:dyDescent="0.3">
      <c r="B10037" s="33" t="s">
        <v>27403</v>
      </c>
      <c r="C10037" s="32" t="s">
        <v>27404</v>
      </c>
      <c r="D10037" s="32" t="s">
        <v>27405</v>
      </c>
    </row>
    <row r="10038" spans="2:4" x14ac:dyDescent="0.3">
      <c r="B10038" s="33" t="s">
        <v>27406</v>
      </c>
      <c r="C10038" s="32" t="s">
        <v>27407</v>
      </c>
      <c r="D10038" s="32" t="s">
        <v>27408</v>
      </c>
    </row>
    <row r="10039" spans="2:4" x14ac:dyDescent="0.3">
      <c r="B10039" s="33" t="s">
        <v>27409</v>
      </c>
      <c r="C10039" s="32" t="s">
        <v>27410</v>
      </c>
      <c r="D10039" s="32" t="s">
        <v>27411</v>
      </c>
    </row>
    <row r="10040" spans="2:4" x14ac:dyDescent="0.3">
      <c r="B10040" s="33" t="s">
        <v>27412</v>
      </c>
      <c r="C10040" s="32" t="s">
        <v>27413</v>
      </c>
      <c r="D10040" s="32" t="s">
        <v>27414</v>
      </c>
    </row>
    <row r="10041" spans="2:4" x14ac:dyDescent="0.3">
      <c r="B10041" s="33" t="s">
        <v>27400</v>
      </c>
      <c r="C10041" s="32" t="s">
        <v>27415</v>
      </c>
      <c r="D10041" s="32" t="s">
        <v>27416</v>
      </c>
    </row>
    <row r="10042" spans="2:4" x14ac:dyDescent="0.3">
      <c r="B10042" s="33" t="s">
        <v>27417</v>
      </c>
      <c r="C10042" s="32" t="s">
        <v>27418</v>
      </c>
      <c r="D10042" s="32" t="s">
        <v>27419</v>
      </c>
    </row>
    <row r="10043" spans="2:4" x14ac:dyDescent="0.3">
      <c r="B10043" s="33" t="s">
        <v>26868</v>
      </c>
      <c r="C10043" s="32" t="s">
        <v>27420</v>
      </c>
      <c r="D10043" s="32" t="s">
        <v>27421</v>
      </c>
    </row>
    <row r="10044" spans="2:4" x14ac:dyDescent="0.3">
      <c r="B10044" s="33" t="s">
        <v>27422</v>
      </c>
      <c r="C10044" s="32" t="s">
        <v>27423</v>
      </c>
      <c r="D10044" s="32" t="s">
        <v>27424</v>
      </c>
    </row>
    <row r="10045" spans="2:4" x14ac:dyDescent="0.3">
      <c r="B10045" s="33" t="s">
        <v>27425</v>
      </c>
      <c r="C10045" s="32" t="s">
        <v>27426</v>
      </c>
      <c r="D10045" s="32" t="s">
        <v>27427</v>
      </c>
    </row>
    <row r="10046" spans="2:4" x14ac:dyDescent="0.3">
      <c r="B10046" s="33" t="s">
        <v>27428</v>
      </c>
      <c r="C10046" s="32" t="s">
        <v>27429</v>
      </c>
      <c r="D10046" s="32" t="s">
        <v>27430</v>
      </c>
    </row>
    <row r="10047" spans="2:4" x14ac:dyDescent="0.3">
      <c r="B10047" s="33" t="s">
        <v>27215</v>
      </c>
      <c r="C10047" s="32" t="s">
        <v>27431</v>
      </c>
      <c r="D10047" s="32" t="s">
        <v>27432</v>
      </c>
    </row>
    <row r="10048" spans="2:4" x14ac:dyDescent="0.3">
      <c r="B10048" s="33" t="s">
        <v>27433</v>
      </c>
      <c r="C10048" s="32" t="s">
        <v>27434</v>
      </c>
      <c r="D10048" s="32" t="s">
        <v>27435</v>
      </c>
    </row>
    <row r="10049" spans="2:4" x14ac:dyDescent="0.3">
      <c r="B10049" s="33" t="s">
        <v>26936</v>
      </c>
      <c r="C10049" s="32" t="s">
        <v>27436</v>
      </c>
      <c r="D10049" s="32" t="s">
        <v>27437</v>
      </c>
    </row>
    <row r="10050" spans="2:4" x14ac:dyDescent="0.3">
      <c r="B10050" s="33" t="s">
        <v>27438</v>
      </c>
      <c r="C10050" s="32" t="s">
        <v>27439</v>
      </c>
      <c r="D10050" s="32" t="s">
        <v>27440</v>
      </c>
    </row>
    <row r="10051" spans="2:4" x14ac:dyDescent="0.3">
      <c r="B10051" s="33" t="s">
        <v>27441</v>
      </c>
      <c r="C10051" s="32" t="s">
        <v>27442</v>
      </c>
      <c r="D10051" s="32" t="s">
        <v>27443</v>
      </c>
    </row>
    <row r="10052" spans="2:4" x14ac:dyDescent="0.3">
      <c r="B10052" s="33" t="s">
        <v>9107</v>
      </c>
      <c r="C10052" s="32" t="s">
        <v>27444</v>
      </c>
      <c r="D10052" s="32" t="s">
        <v>27445</v>
      </c>
    </row>
    <row r="10053" spans="2:4" x14ac:dyDescent="0.3">
      <c r="B10053" s="33" t="s">
        <v>27446</v>
      </c>
      <c r="C10053" s="32" t="s">
        <v>27447</v>
      </c>
      <c r="D10053" s="32" t="s">
        <v>27448</v>
      </c>
    </row>
    <row r="10054" spans="2:4" x14ac:dyDescent="0.3">
      <c r="B10054" s="33" t="s">
        <v>27449</v>
      </c>
      <c r="C10054" s="32" t="s">
        <v>27450</v>
      </c>
      <c r="D10054" s="32" t="s">
        <v>27451</v>
      </c>
    </row>
    <row r="10055" spans="2:4" x14ac:dyDescent="0.3">
      <c r="B10055" s="33" t="s">
        <v>27452</v>
      </c>
      <c r="C10055" s="32" t="s">
        <v>27453</v>
      </c>
      <c r="D10055" s="32" t="s">
        <v>27454</v>
      </c>
    </row>
    <row r="10056" spans="2:4" x14ac:dyDescent="0.3">
      <c r="B10056" s="33" t="s">
        <v>27455</v>
      </c>
      <c r="C10056" s="32" t="s">
        <v>27456</v>
      </c>
      <c r="D10056" s="32" t="s">
        <v>27457</v>
      </c>
    </row>
    <row r="10057" spans="2:4" x14ac:dyDescent="0.3">
      <c r="B10057" s="33" t="s">
        <v>27458</v>
      </c>
      <c r="C10057" s="32" t="s">
        <v>27459</v>
      </c>
      <c r="D10057" s="32" t="s">
        <v>27460</v>
      </c>
    </row>
    <row r="10058" spans="2:4" x14ac:dyDescent="0.3">
      <c r="B10058" s="33" t="s">
        <v>23325</v>
      </c>
      <c r="C10058" s="32" t="s">
        <v>27461</v>
      </c>
      <c r="D10058" s="32" t="s">
        <v>27462</v>
      </c>
    </row>
    <row r="10059" spans="2:4" x14ac:dyDescent="0.3">
      <c r="B10059" s="33" t="s">
        <v>27463</v>
      </c>
      <c r="C10059" s="32" t="s">
        <v>27464</v>
      </c>
      <c r="D10059" s="32" t="s">
        <v>27465</v>
      </c>
    </row>
    <row r="10060" spans="2:4" x14ac:dyDescent="0.3">
      <c r="B10060" s="33" t="s">
        <v>23325</v>
      </c>
      <c r="C10060" s="32" t="s">
        <v>27466</v>
      </c>
      <c r="D10060" s="32" t="s">
        <v>27467</v>
      </c>
    </row>
    <row r="10061" spans="2:4" x14ac:dyDescent="0.3">
      <c r="B10061" s="33" t="s">
        <v>27468</v>
      </c>
      <c r="C10061" s="32" t="s">
        <v>27469</v>
      </c>
      <c r="D10061" s="32" t="s">
        <v>27470</v>
      </c>
    </row>
    <row r="10062" spans="2:4" x14ac:dyDescent="0.3">
      <c r="B10062" s="33" t="s">
        <v>27471</v>
      </c>
      <c r="C10062" s="32" t="s">
        <v>27472</v>
      </c>
      <c r="D10062" s="32" t="s">
        <v>27473</v>
      </c>
    </row>
    <row r="10063" spans="2:4" x14ac:dyDescent="0.3">
      <c r="B10063" s="33" t="s">
        <v>27474</v>
      </c>
      <c r="C10063" s="32" t="s">
        <v>27475</v>
      </c>
      <c r="D10063" s="32" t="s">
        <v>27476</v>
      </c>
    </row>
    <row r="10064" spans="2:4" x14ac:dyDescent="0.3">
      <c r="B10064" s="33" t="s">
        <v>27477</v>
      </c>
      <c r="C10064" s="32" t="s">
        <v>27478</v>
      </c>
      <c r="D10064" s="32" t="s">
        <v>27479</v>
      </c>
    </row>
    <row r="10065" spans="2:4" x14ac:dyDescent="0.3">
      <c r="B10065" s="33" t="s">
        <v>27480</v>
      </c>
      <c r="C10065" s="32" t="s">
        <v>27481</v>
      </c>
      <c r="D10065" s="32" t="s">
        <v>27482</v>
      </c>
    </row>
    <row r="10066" spans="2:4" x14ac:dyDescent="0.3">
      <c r="B10066" s="33" t="s">
        <v>27350</v>
      </c>
      <c r="C10066" s="32" t="s">
        <v>27483</v>
      </c>
      <c r="D10066" s="32" t="s">
        <v>27484</v>
      </c>
    </row>
    <row r="10067" spans="2:4" x14ac:dyDescent="0.3">
      <c r="B10067" s="33" t="s">
        <v>26752</v>
      </c>
      <c r="C10067" s="32" t="s">
        <v>27485</v>
      </c>
      <c r="D10067" s="32" t="s">
        <v>27486</v>
      </c>
    </row>
    <row r="10068" spans="2:4" x14ac:dyDescent="0.3">
      <c r="B10068" s="33" t="s">
        <v>27487</v>
      </c>
      <c r="C10068" s="32" t="s">
        <v>27488</v>
      </c>
      <c r="D10068" s="32" t="s">
        <v>27489</v>
      </c>
    </row>
    <row r="10069" spans="2:4" x14ac:dyDescent="0.3">
      <c r="B10069" s="33" t="s">
        <v>27490</v>
      </c>
      <c r="C10069" s="32" t="s">
        <v>27491</v>
      </c>
      <c r="D10069" s="32" t="s">
        <v>27492</v>
      </c>
    </row>
    <row r="10070" spans="2:4" x14ac:dyDescent="0.3">
      <c r="B10070" s="33" t="s">
        <v>27493</v>
      </c>
      <c r="C10070" s="32" t="s">
        <v>27494</v>
      </c>
      <c r="D10070" s="32" t="s">
        <v>27495</v>
      </c>
    </row>
    <row r="10071" spans="2:4" x14ac:dyDescent="0.3">
      <c r="B10071" s="33" t="s">
        <v>27496</v>
      </c>
      <c r="C10071" s="32" t="s">
        <v>27497</v>
      </c>
      <c r="D10071" s="32" t="s">
        <v>27498</v>
      </c>
    </row>
    <row r="10072" spans="2:4" x14ac:dyDescent="0.3">
      <c r="B10072" s="33" t="s">
        <v>27368</v>
      </c>
      <c r="C10072" s="32" t="s">
        <v>27499</v>
      </c>
      <c r="D10072" s="32" t="s">
        <v>27500</v>
      </c>
    </row>
    <row r="10073" spans="2:4" x14ac:dyDescent="0.3">
      <c r="B10073" s="33" t="s">
        <v>27501</v>
      </c>
      <c r="C10073" s="32" t="s">
        <v>27502</v>
      </c>
      <c r="D10073" s="32" t="s">
        <v>27503</v>
      </c>
    </row>
    <row r="10074" spans="2:4" x14ac:dyDescent="0.3">
      <c r="B10074" s="33" t="s">
        <v>27504</v>
      </c>
      <c r="C10074" s="32" t="s">
        <v>27505</v>
      </c>
      <c r="D10074" s="32" t="s">
        <v>27506</v>
      </c>
    </row>
    <row r="10075" spans="2:4" x14ac:dyDescent="0.3">
      <c r="B10075" s="33" t="s">
        <v>27507</v>
      </c>
      <c r="C10075" s="32" t="s">
        <v>27508</v>
      </c>
      <c r="D10075" s="32" t="s">
        <v>27509</v>
      </c>
    </row>
    <row r="10076" spans="2:4" x14ac:dyDescent="0.3">
      <c r="B10076" s="33" t="s">
        <v>27510</v>
      </c>
      <c r="C10076" s="32" t="s">
        <v>27511</v>
      </c>
      <c r="D10076" s="32" t="s">
        <v>27512</v>
      </c>
    </row>
    <row r="10077" spans="2:4" x14ac:dyDescent="0.3">
      <c r="B10077" s="33" t="s">
        <v>27513</v>
      </c>
      <c r="C10077" s="32" t="s">
        <v>27514</v>
      </c>
      <c r="D10077" s="32" t="s">
        <v>27515</v>
      </c>
    </row>
    <row r="10078" spans="2:4" x14ac:dyDescent="0.3">
      <c r="B10078" s="33" t="s">
        <v>8660</v>
      </c>
      <c r="C10078" s="32" t="s">
        <v>27516</v>
      </c>
      <c r="D10078" s="32" t="s">
        <v>27517</v>
      </c>
    </row>
    <row r="10079" spans="2:4" x14ac:dyDescent="0.3">
      <c r="B10079" s="33" t="s">
        <v>27518</v>
      </c>
      <c r="C10079" s="32" t="s">
        <v>27519</v>
      </c>
      <c r="D10079" s="32" t="s">
        <v>27520</v>
      </c>
    </row>
    <row r="10080" spans="2:4" x14ac:dyDescent="0.3">
      <c r="B10080" s="33" t="s">
        <v>27521</v>
      </c>
      <c r="C10080" s="32" t="s">
        <v>27522</v>
      </c>
      <c r="D10080" s="32" t="s">
        <v>27521</v>
      </c>
    </row>
    <row r="10081" spans="2:4" x14ac:dyDescent="0.3">
      <c r="B10081" s="33" t="s">
        <v>27279</v>
      </c>
      <c r="C10081" s="32" t="s">
        <v>27523</v>
      </c>
      <c r="D10081" s="32" t="s">
        <v>27524</v>
      </c>
    </row>
    <row r="10082" spans="2:4" x14ac:dyDescent="0.3">
      <c r="B10082" s="33" t="s">
        <v>26422</v>
      </c>
      <c r="C10082" s="32" t="s">
        <v>27525</v>
      </c>
      <c r="D10082" s="32" t="s">
        <v>27526</v>
      </c>
    </row>
    <row r="10083" spans="2:4" x14ac:dyDescent="0.3">
      <c r="B10083" s="33" t="s">
        <v>27279</v>
      </c>
      <c r="C10083" s="32" t="s">
        <v>27527</v>
      </c>
      <c r="D10083" s="32" t="s">
        <v>27528</v>
      </c>
    </row>
    <row r="10084" spans="2:4" x14ac:dyDescent="0.3">
      <c r="B10084" s="33" t="s">
        <v>27529</v>
      </c>
      <c r="C10084" s="32" t="s">
        <v>27530</v>
      </c>
      <c r="D10084" s="32" t="s">
        <v>27531</v>
      </c>
    </row>
    <row r="10085" spans="2:4" x14ac:dyDescent="0.3">
      <c r="B10085" s="33" t="s">
        <v>27532</v>
      </c>
      <c r="C10085" s="32" t="s">
        <v>27533</v>
      </c>
      <c r="D10085" s="32" t="s">
        <v>27534</v>
      </c>
    </row>
    <row r="10086" spans="2:4" x14ac:dyDescent="0.3">
      <c r="B10086" s="33" t="s">
        <v>27535</v>
      </c>
      <c r="C10086" s="32" t="s">
        <v>27536</v>
      </c>
      <c r="D10086" s="32" t="s">
        <v>27537</v>
      </c>
    </row>
    <row r="10087" spans="2:4" x14ac:dyDescent="0.3">
      <c r="B10087" s="33" t="s">
        <v>27538</v>
      </c>
      <c r="C10087" s="32" t="s">
        <v>27539</v>
      </c>
      <c r="D10087" s="32" t="s">
        <v>27540</v>
      </c>
    </row>
    <row r="10088" spans="2:4" x14ac:dyDescent="0.3">
      <c r="B10088" s="33" t="s">
        <v>27541</v>
      </c>
      <c r="C10088" s="32" t="s">
        <v>27542</v>
      </c>
      <c r="D10088" s="32" t="s">
        <v>27543</v>
      </c>
    </row>
    <row r="10089" spans="2:4" x14ac:dyDescent="0.3">
      <c r="B10089" s="33" t="s">
        <v>27544</v>
      </c>
      <c r="C10089" s="32" t="s">
        <v>27545</v>
      </c>
      <c r="D10089" s="32" t="s">
        <v>27546</v>
      </c>
    </row>
    <row r="10090" spans="2:4" x14ac:dyDescent="0.3">
      <c r="B10090" s="33" t="s">
        <v>27547</v>
      </c>
      <c r="C10090" s="32" t="s">
        <v>27548</v>
      </c>
      <c r="D10090" s="32" t="s">
        <v>27549</v>
      </c>
    </row>
    <row r="10091" spans="2:4" x14ac:dyDescent="0.3">
      <c r="B10091" s="33" t="s">
        <v>27550</v>
      </c>
      <c r="C10091" s="32" t="s">
        <v>27551</v>
      </c>
      <c r="D10091" s="32" t="s">
        <v>27552</v>
      </c>
    </row>
    <row r="10092" spans="2:4" x14ac:dyDescent="0.3">
      <c r="B10092" s="33" t="s">
        <v>27553</v>
      </c>
      <c r="C10092" s="32" t="s">
        <v>27554</v>
      </c>
      <c r="D10092" s="32" t="s">
        <v>27555</v>
      </c>
    </row>
    <row r="10093" spans="2:4" x14ac:dyDescent="0.3">
      <c r="B10093" s="33" t="s">
        <v>27556</v>
      </c>
      <c r="C10093" s="32" t="s">
        <v>27557</v>
      </c>
      <c r="D10093" s="32" t="s">
        <v>27558</v>
      </c>
    </row>
    <row r="10094" spans="2:4" x14ac:dyDescent="0.3">
      <c r="B10094" s="33" t="s">
        <v>27559</v>
      </c>
      <c r="C10094" s="32" t="s">
        <v>27560</v>
      </c>
      <c r="D10094" s="32" t="s">
        <v>27561</v>
      </c>
    </row>
    <row r="10095" spans="2:4" x14ac:dyDescent="0.3">
      <c r="B10095" s="33" t="s">
        <v>27562</v>
      </c>
      <c r="C10095" s="32" t="s">
        <v>27563</v>
      </c>
      <c r="D10095" s="32" t="s">
        <v>27564</v>
      </c>
    </row>
    <row r="10096" spans="2:4" x14ac:dyDescent="0.3">
      <c r="B10096" s="33" t="s">
        <v>27565</v>
      </c>
      <c r="C10096" s="32" t="s">
        <v>27566</v>
      </c>
      <c r="D10096" s="32" t="s">
        <v>27567</v>
      </c>
    </row>
    <row r="10097" spans="2:4" x14ac:dyDescent="0.3">
      <c r="B10097" s="33" t="s">
        <v>37323</v>
      </c>
      <c r="C10097" s="32" t="s">
        <v>37324</v>
      </c>
      <c r="D10097" s="32" t="s">
        <v>37325</v>
      </c>
    </row>
    <row r="10098" spans="2:4" x14ac:dyDescent="0.3">
      <c r="B10098" s="33" t="s">
        <v>27559</v>
      </c>
      <c r="C10098" s="32" t="s">
        <v>27568</v>
      </c>
      <c r="D10098" s="32" t="s">
        <v>27569</v>
      </c>
    </row>
    <row r="10099" spans="2:4" x14ac:dyDescent="0.3">
      <c r="B10099" s="33" t="s">
        <v>27570</v>
      </c>
      <c r="C10099" s="32" t="s">
        <v>27571</v>
      </c>
      <c r="D10099" s="32" t="s">
        <v>27572</v>
      </c>
    </row>
    <row r="10100" spans="2:4" x14ac:dyDescent="0.3">
      <c r="B10100" s="33" t="s">
        <v>27573</v>
      </c>
      <c r="C10100" s="32" t="s">
        <v>27574</v>
      </c>
      <c r="D10100" s="32" t="s">
        <v>27575</v>
      </c>
    </row>
    <row r="10101" spans="2:4" x14ac:dyDescent="0.3">
      <c r="B10101" s="33" t="s">
        <v>27576</v>
      </c>
      <c r="C10101" s="32" t="s">
        <v>27577</v>
      </c>
      <c r="D10101" s="32" t="s">
        <v>27578</v>
      </c>
    </row>
    <row r="10102" spans="2:4" x14ac:dyDescent="0.3">
      <c r="B10102" s="33" t="s">
        <v>27579</v>
      </c>
      <c r="C10102" s="32" t="s">
        <v>27580</v>
      </c>
      <c r="D10102" s="32" t="s">
        <v>27581</v>
      </c>
    </row>
    <row r="10103" spans="2:4" x14ac:dyDescent="0.3">
      <c r="B10103" s="33" t="s">
        <v>27582</v>
      </c>
      <c r="C10103" s="32" t="s">
        <v>27583</v>
      </c>
      <c r="D10103" s="32" t="s">
        <v>27584</v>
      </c>
    </row>
    <row r="10104" spans="2:4" x14ac:dyDescent="0.3">
      <c r="B10104" s="33" t="s">
        <v>27585</v>
      </c>
      <c r="C10104" s="32" t="s">
        <v>27586</v>
      </c>
      <c r="D10104" s="32" t="s">
        <v>27587</v>
      </c>
    </row>
    <row r="10105" spans="2:4" x14ac:dyDescent="0.3">
      <c r="B10105" s="33" t="s">
        <v>27585</v>
      </c>
      <c r="C10105" s="32" t="s">
        <v>27588</v>
      </c>
      <c r="D10105" s="32" t="s">
        <v>27589</v>
      </c>
    </row>
    <row r="10106" spans="2:4" x14ac:dyDescent="0.3">
      <c r="B10106" s="33" t="s">
        <v>27033</v>
      </c>
      <c r="C10106" s="32" t="s">
        <v>27590</v>
      </c>
      <c r="D10106" s="32" t="s">
        <v>27591</v>
      </c>
    </row>
    <row r="10107" spans="2:4" x14ac:dyDescent="0.3">
      <c r="B10107" s="33" t="s">
        <v>27471</v>
      </c>
      <c r="C10107" s="32" t="s">
        <v>27592</v>
      </c>
      <c r="D10107" s="32" t="s">
        <v>27593</v>
      </c>
    </row>
    <row r="10108" spans="2:4" x14ac:dyDescent="0.3">
      <c r="B10108" s="33" t="s">
        <v>27594</v>
      </c>
      <c r="C10108" s="32" t="s">
        <v>27595</v>
      </c>
      <c r="D10108" s="32" t="s">
        <v>27596</v>
      </c>
    </row>
    <row r="10109" spans="2:4" x14ac:dyDescent="0.3">
      <c r="B10109" s="33" t="s">
        <v>27597</v>
      </c>
      <c r="C10109" s="32" t="s">
        <v>27598</v>
      </c>
      <c r="D10109" s="32" t="s">
        <v>27599</v>
      </c>
    </row>
    <row r="10110" spans="2:4" x14ac:dyDescent="0.3">
      <c r="B10110" s="33" t="s">
        <v>10288</v>
      </c>
      <c r="C10110" s="32" t="s">
        <v>27600</v>
      </c>
      <c r="D10110" s="32" t="s">
        <v>27601</v>
      </c>
    </row>
    <row r="10111" spans="2:4" x14ac:dyDescent="0.3">
      <c r="B10111" s="33" t="s">
        <v>27602</v>
      </c>
      <c r="C10111" s="32" t="s">
        <v>27603</v>
      </c>
      <c r="D10111" s="32" t="s">
        <v>27604</v>
      </c>
    </row>
    <row r="10112" spans="2:4" x14ac:dyDescent="0.3">
      <c r="B10112" s="33" t="s">
        <v>27605</v>
      </c>
      <c r="C10112" s="32" t="s">
        <v>27606</v>
      </c>
      <c r="D10112" s="32" t="s">
        <v>27607</v>
      </c>
    </row>
    <row r="10113" spans="2:4" x14ac:dyDescent="0.3">
      <c r="B10113" s="33" t="s">
        <v>27608</v>
      </c>
      <c r="C10113" s="32" t="s">
        <v>27609</v>
      </c>
      <c r="D10113" s="32" t="s">
        <v>27610</v>
      </c>
    </row>
    <row r="10114" spans="2:4" x14ac:dyDescent="0.3">
      <c r="B10114" s="33" t="s">
        <v>27611</v>
      </c>
      <c r="C10114" s="32" t="s">
        <v>27612</v>
      </c>
      <c r="D10114" s="32" t="s">
        <v>27613</v>
      </c>
    </row>
    <row r="10115" spans="2:4" x14ac:dyDescent="0.3">
      <c r="B10115" s="33" t="s">
        <v>27614</v>
      </c>
      <c r="C10115" s="32" t="s">
        <v>27615</v>
      </c>
      <c r="D10115" s="32" t="s">
        <v>27616</v>
      </c>
    </row>
    <row r="10116" spans="2:4" x14ac:dyDescent="0.3">
      <c r="B10116" s="33" t="s">
        <v>27614</v>
      </c>
      <c r="C10116" s="32" t="s">
        <v>27617</v>
      </c>
      <c r="D10116" s="32" t="s">
        <v>27618</v>
      </c>
    </row>
    <row r="10117" spans="2:4" x14ac:dyDescent="0.3">
      <c r="B10117" s="33" t="s">
        <v>27619</v>
      </c>
      <c r="C10117" s="32" t="s">
        <v>27620</v>
      </c>
      <c r="D10117" s="32" t="s">
        <v>27621</v>
      </c>
    </row>
    <row r="10118" spans="2:4" x14ac:dyDescent="0.3">
      <c r="B10118" s="33" t="s">
        <v>27622</v>
      </c>
      <c r="C10118" s="32" t="s">
        <v>27623</v>
      </c>
      <c r="D10118" s="32" t="s">
        <v>27624</v>
      </c>
    </row>
    <row r="10119" spans="2:4" x14ac:dyDescent="0.3">
      <c r="B10119" s="33" t="s">
        <v>27625</v>
      </c>
      <c r="C10119" s="32" t="s">
        <v>27626</v>
      </c>
      <c r="D10119" s="32" t="s">
        <v>27627</v>
      </c>
    </row>
    <row r="10120" spans="2:4" x14ac:dyDescent="0.3">
      <c r="B10120" s="33" t="s">
        <v>27628</v>
      </c>
      <c r="C10120" s="32" t="s">
        <v>27629</v>
      </c>
      <c r="D10120" s="32" t="s">
        <v>27630</v>
      </c>
    </row>
    <row r="10121" spans="2:4" x14ac:dyDescent="0.3">
      <c r="B10121" s="33" t="s">
        <v>27631</v>
      </c>
      <c r="C10121" s="32" t="s">
        <v>27632</v>
      </c>
      <c r="D10121" s="32" t="s">
        <v>27633</v>
      </c>
    </row>
    <row r="10122" spans="2:4" x14ac:dyDescent="0.3">
      <c r="B10122" s="33" t="s">
        <v>27631</v>
      </c>
      <c r="C10122" s="32" t="s">
        <v>27634</v>
      </c>
      <c r="D10122" s="32" t="s">
        <v>27635</v>
      </c>
    </row>
    <row r="10123" spans="2:4" x14ac:dyDescent="0.3">
      <c r="B10123" s="33" t="s">
        <v>27636</v>
      </c>
      <c r="C10123" s="32" t="s">
        <v>27637</v>
      </c>
      <c r="D10123" s="32" t="s">
        <v>27638</v>
      </c>
    </row>
    <row r="10124" spans="2:4" x14ac:dyDescent="0.3">
      <c r="B10124" s="33" t="s">
        <v>27639</v>
      </c>
      <c r="C10124" s="32" t="s">
        <v>27640</v>
      </c>
      <c r="D10124" s="32" t="s">
        <v>27641</v>
      </c>
    </row>
    <row r="10125" spans="2:4" x14ac:dyDescent="0.3">
      <c r="B10125" s="33" t="s">
        <v>27642</v>
      </c>
      <c r="C10125" s="32" t="s">
        <v>27643</v>
      </c>
      <c r="D10125" s="32" t="s">
        <v>27644</v>
      </c>
    </row>
    <row r="10126" spans="2:4" x14ac:dyDescent="0.3">
      <c r="B10126" s="33" t="s">
        <v>27645</v>
      </c>
      <c r="C10126" s="32" t="s">
        <v>27646</v>
      </c>
      <c r="D10126" s="32" t="s">
        <v>27647</v>
      </c>
    </row>
    <row r="10127" spans="2:4" x14ac:dyDescent="0.3">
      <c r="B10127" s="33" t="s">
        <v>27648</v>
      </c>
      <c r="C10127" s="32" t="s">
        <v>27649</v>
      </c>
      <c r="D10127" s="32" t="s">
        <v>37060</v>
      </c>
    </row>
    <row r="10128" spans="2:4" x14ac:dyDescent="0.3">
      <c r="B10128" s="33" t="s">
        <v>27648</v>
      </c>
      <c r="C10128" s="32" t="s">
        <v>37061</v>
      </c>
      <c r="D10128" s="32" t="s">
        <v>27650</v>
      </c>
    </row>
    <row r="10129" spans="2:4" x14ac:dyDescent="0.3">
      <c r="B10129" s="33" t="s">
        <v>27651</v>
      </c>
      <c r="C10129" s="32" t="s">
        <v>27652</v>
      </c>
      <c r="D10129" s="32" t="s">
        <v>27653</v>
      </c>
    </row>
    <row r="10130" spans="2:4" x14ac:dyDescent="0.3">
      <c r="B10130" s="33" t="s">
        <v>27654</v>
      </c>
      <c r="C10130" s="32" t="s">
        <v>27655</v>
      </c>
      <c r="D10130" s="32" t="s">
        <v>27656</v>
      </c>
    </row>
    <row r="10131" spans="2:4" x14ac:dyDescent="0.3">
      <c r="B10131" s="33" t="s">
        <v>27657</v>
      </c>
      <c r="C10131" s="32" t="s">
        <v>27658</v>
      </c>
      <c r="D10131" s="32" t="s">
        <v>27659</v>
      </c>
    </row>
    <row r="10132" spans="2:4" x14ac:dyDescent="0.3">
      <c r="B10132" s="33" t="s">
        <v>27660</v>
      </c>
      <c r="C10132" s="32" t="s">
        <v>27661</v>
      </c>
      <c r="D10132" s="32" t="s">
        <v>27662</v>
      </c>
    </row>
    <row r="10133" spans="2:4" x14ac:dyDescent="0.3">
      <c r="B10133" s="33" t="s">
        <v>27663</v>
      </c>
      <c r="C10133" s="32" t="s">
        <v>27664</v>
      </c>
      <c r="D10133" s="32" t="s">
        <v>27665</v>
      </c>
    </row>
    <row r="10134" spans="2:4" x14ac:dyDescent="0.3">
      <c r="B10134" s="33" t="s">
        <v>27666</v>
      </c>
      <c r="C10134" s="32" t="s">
        <v>27667</v>
      </c>
      <c r="D10134" s="32" t="s">
        <v>27668</v>
      </c>
    </row>
    <row r="10135" spans="2:4" x14ac:dyDescent="0.3">
      <c r="B10135" s="33" t="s">
        <v>27669</v>
      </c>
      <c r="C10135" s="32" t="s">
        <v>27670</v>
      </c>
      <c r="D10135" s="32" t="s">
        <v>27671</v>
      </c>
    </row>
    <row r="10136" spans="2:4" x14ac:dyDescent="0.3">
      <c r="B10136" s="33" t="s">
        <v>5158</v>
      </c>
      <c r="C10136" s="32" t="s">
        <v>27672</v>
      </c>
      <c r="D10136" s="32" t="s">
        <v>27673</v>
      </c>
    </row>
    <row r="10137" spans="2:4" x14ac:dyDescent="0.3">
      <c r="B10137" s="33" t="s">
        <v>27674</v>
      </c>
      <c r="C10137" s="32" t="s">
        <v>27675</v>
      </c>
      <c r="D10137" s="32" t="s">
        <v>27676</v>
      </c>
    </row>
    <row r="10138" spans="2:4" x14ac:dyDescent="0.3">
      <c r="B10138" s="33" t="s">
        <v>27677</v>
      </c>
      <c r="C10138" s="32" t="s">
        <v>27678</v>
      </c>
      <c r="D10138" s="32" t="s">
        <v>27679</v>
      </c>
    </row>
    <row r="10139" spans="2:4" x14ac:dyDescent="0.3">
      <c r="B10139" s="33" t="s">
        <v>27680</v>
      </c>
      <c r="C10139" s="32" t="s">
        <v>27681</v>
      </c>
      <c r="D10139" s="32" t="s">
        <v>27682</v>
      </c>
    </row>
    <row r="10140" spans="2:4" x14ac:dyDescent="0.3">
      <c r="B10140" s="33" t="s">
        <v>27683</v>
      </c>
      <c r="C10140" s="32" t="s">
        <v>27684</v>
      </c>
      <c r="D10140" s="32" t="s">
        <v>27685</v>
      </c>
    </row>
    <row r="10141" spans="2:4" x14ac:dyDescent="0.3">
      <c r="B10141" s="33" t="s">
        <v>27686</v>
      </c>
      <c r="C10141" s="32" t="s">
        <v>27687</v>
      </c>
      <c r="D10141" s="32" t="s">
        <v>27688</v>
      </c>
    </row>
    <row r="10142" spans="2:4" x14ac:dyDescent="0.3">
      <c r="B10142" s="33" t="s">
        <v>27689</v>
      </c>
      <c r="C10142" s="32" t="s">
        <v>27690</v>
      </c>
      <c r="D10142" s="32" t="s">
        <v>27691</v>
      </c>
    </row>
    <row r="10143" spans="2:4" x14ac:dyDescent="0.3">
      <c r="B10143" s="33" t="s">
        <v>27689</v>
      </c>
      <c r="C10143" s="32" t="s">
        <v>27692</v>
      </c>
      <c r="D10143" s="32" t="s">
        <v>27693</v>
      </c>
    </row>
    <row r="10144" spans="2:4" x14ac:dyDescent="0.3">
      <c r="B10144" s="33" t="s">
        <v>27694</v>
      </c>
      <c r="C10144" s="32" t="s">
        <v>27695</v>
      </c>
      <c r="D10144" s="32" t="s">
        <v>27696</v>
      </c>
    </row>
    <row r="10145" spans="2:4" x14ac:dyDescent="0.3">
      <c r="B10145" s="33" t="s">
        <v>27697</v>
      </c>
      <c r="C10145" s="32" t="s">
        <v>27698</v>
      </c>
      <c r="D10145" s="32" t="s">
        <v>27699</v>
      </c>
    </row>
    <row r="10146" spans="2:4" x14ac:dyDescent="0.3">
      <c r="B10146" s="33" t="s">
        <v>27700</v>
      </c>
      <c r="C10146" s="32" t="s">
        <v>27701</v>
      </c>
      <c r="D10146" s="32" t="s">
        <v>27702</v>
      </c>
    </row>
    <row r="10147" spans="2:4" x14ac:dyDescent="0.3">
      <c r="B10147" s="33" t="s">
        <v>27703</v>
      </c>
      <c r="C10147" s="32" t="s">
        <v>27704</v>
      </c>
      <c r="D10147" s="32" t="s">
        <v>27705</v>
      </c>
    </row>
    <row r="10148" spans="2:4" x14ac:dyDescent="0.3">
      <c r="B10148" s="33" t="s">
        <v>27703</v>
      </c>
      <c r="C10148" s="32" t="s">
        <v>27706</v>
      </c>
      <c r="D10148" s="32" t="s">
        <v>27707</v>
      </c>
    </row>
    <row r="10149" spans="2:4" x14ac:dyDescent="0.3">
      <c r="B10149" s="33" t="s">
        <v>27703</v>
      </c>
      <c r="C10149" s="32" t="s">
        <v>27708</v>
      </c>
      <c r="D10149" s="32" t="s">
        <v>27709</v>
      </c>
    </row>
    <row r="10150" spans="2:4" x14ac:dyDescent="0.3">
      <c r="B10150" s="33" t="s">
        <v>27710</v>
      </c>
      <c r="C10150" s="32" t="s">
        <v>27711</v>
      </c>
      <c r="D10150" s="32" t="s">
        <v>27712</v>
      </c>
    </row>
    <row r="10151" spans="2:4" x14ac:dyDescent="0.3">
      <c r="B10151" s="33" t="s">
        <v>27713</v>
      </c>
      <c r="C10151" s="32" t="s">
        <v>27714</v>
      </c>
      <c r="D10151" s="32" t="s">
        <v>27715</v>
      </c>
    </row>
    <row r="10152" spans="2:4" x14ac:dyDescent="0.3">
      <c r="B10152" s="33" t="s">
        <v>27716</v>
      </c>
      <c r="C10152" s="32" t="s">
        <v>27717</v>
      </c>
      <c r="D10152" s="32" t="s">
        <v>27718</v>
      </c>
    </row>
    <row r="10153" spans="2:4" x14ac:dyDescent="0.3">
      <c r="B10153" s="33" t="s">
        <v>27719</v>
      </c>
      <c r="C10153" s="32" t="s">
        <v>27720</v>
      </c>
      <c r="D10153" s="32" t="s">
        <v>27721</v>
      </c>
    </row>
    <row r="10154" spans="2:4" x14ac:dyDescent="0.3">
      <c r="B10154" s="33" t="s">
        <v>27722</v>
      </c>
      <c r="C10154" s="32" t="s">
        <v>27723</v>
      </c>
      <c r="D10154" s="32" t="s">
        <v>27724</v>
      </c>
    </row>
    <row r="10155" spans="2:4" x14ac:dyDescent="0.3">
      <c r="B10155" s="33" t="s">
        <v>27725</v>
      </c>
      <c r="C10155" s="32" t="s">
        <v>27726</v>
      </c>
      <c r="D10155" s="32" t="s">
        <v>27727</v>
      </c>
    </row>
    <row r="10156" spans="2:4" x14ac:dyDescent="0.3">
      <c r="B10156" s="33" t="s">
        <v>1816</v>
      </c>
      <c r="C10156" s="32" t="s">
        <v>27728</v>
      </c>
      <c r="D10156" s="32" t="s">
        <v>27729</v>
      </c>
    </row>
    <row r="10157" spans="2:4" x14ac:dyDescent="0.3">
      <c r="B10157" s="33" t="s">
        <v>27730</v>
      </c>
      <c r="C10157" s="32" t="s">
        <v>27731</v>
      </c>
      <c r="D10157" s="32" t="s">
        <v>27732</v>
      </c>
    </row>
    <row r="10158" spans="2:4" x14ac:dyDescent="0.3">
      <c r="B10158" s="33" t="s">
        <v>27733</v>
      </c>
      <c r="C10158" s="32" t="s">
        <v>27734</v>
      </c>
      <c r="D10158" s="32" t="s">
        <v>27735</v>
      </c>
    </row>
    <row r="10159" spans="2:4" x14ac:dyDescent="0.3">
      <c r="B10159" s="33" t="s">
        <v>27736</v>
      </c>
      <c r="C10159" s="32" t="s">
        <v>27737</v>
      </c>
      <c r="D10159" s="32" t="s">
        <v>27738</v>
      </c>
    </row>
    <row r="10160" spans="2:4" x14ac:dyDescent="0.3">
      <c r="B10160" s="33" t="s">
        <v>27739</v>
      </c>
      <c r="C10160" s="32" t="s">
        <v>27740</v>
      </c>
      <c r="D10160" s="32" t="s">
        <v>27741</v>
      </c>
    </row>
    <row r="10161" spans="2:4" x14ac:dyDescent="0.3">
      <c r="B10161" s="33" t="s">
        <v>27742</v>
      </c>
      <c r="C10161" s="32" t="s">
        <v>27743</v>
      </c>
      <c r="D10161" s="32" t="s">
        <v>27744</v>
      </c>
    </row>
    <row r="10162" spans="2:4" x14ac:dyDescent="0.3">
      <c r="B10162" s="33" t="s">
        <v>27745</v>
      </c>
      <c r="C10162" s="32" t="s">
        <v>27746</v>
      </c>
      <c r="D10162" s="32" t="s">
        <v>27747</v>
      </c>
    </row>
    <row r="10163" spans="2:4" x14ac:dyDescent="0.3">
      <c r="B10163" s="33" t="s">
        <v>27748</v>
      </c>
      <c r="C10163" s="32" t="s">
        <v>27749</v>
      </c>
      <c r="D10163" s="32" t="s">
        <v>27750</v>
      </c>
    </row>
    <row r="10164" spans="2:4" x14ac:dyDescent="0.3">
      <c r="B10164" s="33" t="s">
        <v>27751</v>
      </c>
      <c r="C10164" s="32" t="s">
        <v>27752</v>
      </c>
      <c r="D10164" s="32" t="s">
        <v>27753</v>
      </c>
    </row>
    <row r="10165" spans="2:4" x14ac:dyDescent="0.3">
      <c r="B10165" s="33" t="s">
        <v>27754</v>
      </c>
      <c r="C10165" s="32" t="s">
        <v>27755</v>
      </c>
      <c r="D10165" s="32" t="s">
        <v>27756</v>
      </c>
    </row>
    <row r="10166" spans="2:4" x14ac:dyDescent="0.3">
      <c r="B10166" s="33" t="s">
        <v>27757</v>
      </c>
      <c r="C10166" s="32" t="s">
        <v>27758</v>
      </c>
      <c r="D10166" s="32" t="s">
        <v>27759</v>
      </c>
    </row>
    <row r="10167" spans="2:4" x14ac:dyDescent="0.3">
      <c r="B10167" s="33" t="s">
        <v>27760</v>
      </c>
      <c r="C10167" s="32" t="s">
        <v>36883</v>
      </c>
      <c r="D10167" s="32" t="s">
        <v>36884</v>
      </c>
    </row>
    <row r="10168" spans="2:4" x14ac:dyDescent="0.3">
      <c r="B10168" s="33" t="s">
        <v>27760</v>
      </c>
      <c r="C10168" s="32" t="s">
        <v>27761</v>
      </c>
      <c r="D10168" s="32" t="s">
        <v>27762</v>
      </c>
    </row>
    <row r="10169" spans="2:4" x14ac:dyDescent="0.3">
      <c r="B10169" s="33" t="s">
        <v>27763</v>
      </c>
      <c r="C10169" s="32" t="s">
        <v>27764</v>
      </c>
      <c r="D10169" s="32" t="s">
        <v>27765</v>
      </c>
    </row>
    <row r="10170" spans="2:4" x14ac:dyDescent="0.3">
      <c r="B10170" s="33" t="s">
        <v>27766</v>
      </c>
      <c r="C10170" s="32" t="s">
        <v>27767</v>
      </c>
      <c r="D10170" s="32" t="s">
        <v>27768</v>
      </c>
    </row>
    <row r="10171" spans="2:4" x14ac:dyDescent="0.3">
      <c r="B10171" s="33" t="s">
        <v>27769</v>
      </c>
      <c r="C10171" s="32" t="s">
        <v>27770</v>
      </c>
      <c r="D10171" s="32" t="s">
        <v>27771</v>
      </c>
    </row>
    <row r="10172" spans="2:4" x14ac:dyDescent="0.3">
      <c r="B10172" s="33" t="s">
        <v>27772</v>
      </c>
      <c r="C10172" s="32" t="s">
        <v>27773</v>
      </c>
      <c r="D10172" s="32" t="s">
        <v>27774</v>
      </c>
    </row>
    <row r="10173" spans="2:4" x14ac:dyDescent="0.3">
      <c r="B10173" s="33" t="s">
        <v>27775</v>
      </c>
      <c r="C10173" s="32" t="s">
        <v>27776</v>
      </c>
      <c r="D10173" s="32" t="s">
        <v>27777</v>
      </c>
    </row>
    <row r="10174" spans="2:4" x14ac:dyDescent="0.3">
      <c r="B10174" s="33" t="s">
        <v>27778</v>
      </c>
      <c r="C10174" s="32" t="s">
        <v>27779</v>
      </c>
      <c r="D10174" s="32" t="s">
        <v>27780</v>
      </c>
    </row>
    <row r="10175" spans="2:4" x14ac:dyDescent="0.3">
      <c r="B10175" s="33" t="s">
        <v>27781</v>
      </c>
      <c r="C10175" s="32" t="s">
        <v>27782</v>
      </c>
      <c r="D10175" s="32" t="s">
        <v>27783</v>
      </c>
    </row>
    <row r="10176" spans="2:4" x14ac:dyDescent="0.3">
      <c r="B10176" s="33" t="s">
        <v>27784</v>
      </c>
      <c r="C10176" s="32" t="s">
        <v>27785</v>
      </c>
      <c r="D10176" s="32" t="s">
        <v>27786</v>
      </c>
    </row>
    <row r="10177" spans="2:4" x14ac:dyDescent="0.3">
      <c r="B10177" s="33" t="s">
        <v>27787</v>
      </c>
      <c r="C10177" s="32" t="s">
        <v>27788</v>
      </c>
      <c r="D10177" s="32" t="s">
        <v>27789</v>
      </c>
    </row>
    <row r="10178" spans="2:4" x14ac:dyDescent="0.3">
      <c r="B10178" s="33" t="s">
        <v>27790</v>
      </c>
      <c r="C10178" s="32" t="s">
        <v>27791</v>
      </c>
      <c r="D10178" s="32" t="s">
        <v>27792</v>
      </c>
    </row>
    <row r="10179" spans="2:4" x14ac:dyDescent="0.3">
      <c r="B10179" s="33" t="s">
        <v>27793</v>
      </c>
      <c r="C10179" s="32" t="s">
        <v>27794</v>
      </c>
      <c r="D10179" s="32" t="s">
        <v>27795</v>
      </c>
    </row>
    <row r="10180" spans="2:4" x14ac:dyDescent="0.3">
      <c r="B10180" s="33" t="s">
        <v>27796</v>
      </c>
      <c r="C10180" s="32" t="s">
        <v>27797</v>
      </c>
      <c r="D10180" s="32" t="s">
        <v>27798</v>
      </c>
    </row>
    <row r="10181" spans="2:4" x14ac:dyDescent="0.3">
      <c r="B10181" s="33" t="s">
        <v>27799</v>
      </c>
      <c r="C10181" s="32" t="s">
        <v>27800</v>
      </c>
      <c r="D10181" s="32" t="s">
        <v>27801</v>
      </c>
    </row>
    <row r="10182" spans="2:4" x14ac:dyDescent="0.3">
      <c r="B10182" s="33" t="s">
        <v>27802</v>
      </c>
      <c r="C10182" s="32" t="s">
        <v>27803</v>
      </c>
      <c r="D10182" s="32" t="s">
        <v>27804</v>
      </c>
    </row>
    <row r="10183" spans="2:4" x14ac:dyDescent="0.3">
      <c r="B10183" s="33" t="s">
        <v>27805</v>
      </c>
      <c r="C10183" s="32" t="s">
        <v>27806</v>
      </c>
      <c r="D10183" s="32" t="s">
        <v>27807</v>
      </c>
    </row>
    <row r="10184" spans="2:4" x14ac:dyDescent="0.3">
      <c r="B10184" s="33" t="s">
        <v>27808</v>
      </c>
      <c r="C10184" s="32" t="s">
        <v>27809</v>
      </c>
      <c r="D10184" s="32" t="s">
        <v>27808</v>
      </c>
    </row>
    <row r="10185" spans="2:4" x14ac:dyDescent="0.3">
      <c r="B10185" s="33" t="s">
        <v>27810</v>
      </c>
      <c r="C10185" s="32" t="s">
        <v>27811</v>
      </c>
      <c r="D10185" s="32" t="s">
        <v>27812</v>
      </c>
    </row>
    <row r="10186" spans="2:4" x14ac:dyDescent="0.3">
      <c r="B10186" s="33" t="s">
        <v>27813</v>
      </c>
      <c r="C10186" s="32" t="s">
        <v>27814</v>
      </c>
      <c r="D10186" s="32" t="s">
        <v>36755</v>
      </c>
    </row>
    <row r="10187" spans="2:4" x14ac:dyDescent="0.3">
      <c r="B10187" s="33" t="s">
        <v>27813</v>
      </c>
      <c r="C10187" s="32" t="s">
        <v>36756</v>
      </c>
      <c r="D10187" s="32" t="s">
        <v>27815</v>
      </c>
    </row>
    <row r="10188" spans="2:4" x14ac:dyDescent="0.3">
      <c r="B10188" s="33" t="s">
        <v>27816</v>
      </c>
      <c r="C10188" s="32" t="s">
        <v>27817</v>
      </c>
      <c r="D10188" s="32" t="s">
        <v>27818</v>
      </c>
    </row>
    <row r="10189" spans="2:4" x14ac:dyDescent="0.3">
      <c r="B10189" s="33" t="s">
        <v>27819</v>
      </c>
      <c r="C10189" s="32" t="s">
        <v>27820</v>
      </c>
      <c r="D10189" s="32" t="s">
        <v>27821</v>
      </c>
    </row>
    <row r="10190" spans="2:4" x14ac:dyDescent="0.3">
      <c r="B10190" s="33" t="s">
        <v>27822</v>
      </c>
      <c r="C10190" s="32" t="s">
        <v>27823</v>
      </c>
      <c r="D10190" s="32" t="s">
        <v>27824</v>
      </c>
    </row>
    <row r="10191" spans="2:4" x14ac:dyDescent="0.3">
      <c r="B10191" s="33" t="s">
        <v>27825</v>
      </c>
      <c r="C10191" s="32" t="s">
        <v>27826</v>
      </c>
      <c r="D10191" s="32" t="s">
        <v>27827</v>
      </c>
    </row>
    <row r="10192" spans="2:4" x14ac:dyDescent="0.3">
      <c r="B10192" s="33" t="s">
        <v>27828</v>
      </c>
      <c r="C10192" s="32" t="s">
        <v>27829</v>
      </c>
      <c r="D10192" s="32" t="s">
        <v>27830</v>
      </c>
    </row>
    <row r="10193" spans="2:4" x14ac:dyDescent="0.3">
      <c r="B10193" s="33" t="s">
        <v>27831</v>
      </c>
      <c r="C10193" s="32" t="s">
        <v>27832</v>
      </c>
      <c r="D10193" s="32" t="s">
        <v>27833</v>
      </c>
    </row>
    <row r="10194" spans="2:4" x14ac:dyDescent="0.3">
      <c r="B10194" s="33" t="s">
        <v>27834</v>
      </c>
      <c r="C10194" s="32" t="s">
        <v>27835</v>
      </c>
      <c r="D10194" s="32" t="s">
        <v>27836</v>
      </c>
    </row>
    <row r="10195" spans="2:4" x14ac:dyDescent="0.3">
      <c r="B10195" s="33" t="s">
        <v>27689</v>
      </c>
      <c r="C10195" s="32" t="s">
        <v>27837</v>
      </c>
      <c r="D10195" s="32" t="s">
        <v>27838</v>
      </c>
    </row>
    <row r="10196" spans="2:4" x14ac:dyDescent="0.3">
      <c r="B10196" s="33" t="s">
        <v>27839</v>
      </c>
      <c r="C10196" s="32" t="s">
        <v>27840</v>
      </c>
      <c r="D10196" s="32" t="s">
        <v>27841</v>
      </c>
    </row>
    <row r="10197" spans="2:4" x14ac:dyDescent="0.3">
      <c r="B10197" s="33" t="s">
        <v>27842</v>
      </c>
      <c r="C10197" s="32" t="s">
        <v>27843</v>
      </c>
      <c r="D10197" s="32" t="s">
        <v>27844</v>
      </c>
    </row>
    <row r="10198" spans="2:4" x14ac:dyDescent="0.3">
      <c r="B10198" s="33" t="s">
        <v>27845</v>
      </c>
      <c r="C10198" s="32" t="s">
        <v>27846</v>
      </c>
      <c r="D10198" s="32" t="s">
        <v>27847</v>
      </c>
    </row>
    <row r="10199" spans="2:4" x14ac:dyDescent="0.3">
      <c r="B10199" s="33" t="s">
        <v>27848</v>
      </c>
      <c r="C10199" s="32" t="s">
        <v>27849</v>
      </c>
      <c r="D10199" s="32" t="s">
        <v>27850</v>
      </c>
    </row>
    <row r="10200" spans="2:4" x14ac:dyDescent="0.3">
      <c r="B10200" s="33" t="s">
        <v>27851</v>
      </c>
      <c r="C10200" s="32" t="s">
        <v>27852</v>
      </c>
      <c r="D10200" s="32" t="s">
        <v>27853</v>
      </c>
    </row>
    <row r="10201" spans="2:4" x14ac:dyDescent="0.3">
      <c r="B10201" s="33" t="s">
        <v>27625</v>
      </c>
      <c r="C10201" s="32" t="s">
        <v>27854</v>
      </c>
      <c r="D10201" s="32" t="s">
        <v>27855</v>
      </c>
    </row>
    <row r="10202" spans="2:4" x14ac:dyDescent="0.3">
      <c r="B10202" s="33" t="s">
        <v>27856</v>
      </c>
      <c r="C10202" s="32" t="s">
        <v>27857</v>
      </c>
      <c r="D10202" s="32" t="s">
        <v>27858</v>
      </c>
    </row>
    <row r="10203" spans="2:4" x14ac:dyDescent="0.3">
      <c r="B10203" s="33" t="s">
        <v>27859</v>
      </c>
      <c r="C10203" s="32" t="s">
        <v>27860</v>
      </c>
      <c r="D10203" s="32" t="s">
        <v>27861</v>
      </c>
    </row>
    <row r="10204" spans="2:4" x14ac:dyDescent="0.3">
      <c r="B10204" s="33" t="s">
        <v>27862</v>
      </c>
      <c r="C10204" s="32" t="s">
        <v>27863</v>
      </c>
      <c r="D10204" s="32" t="s">
        <v>27864</v>
      </c>
    </row>
    <row r="10205" spans="2:4" x14ac:dyDescent="0.3">
      <c r="B10205" s="33" t="s">
        <v>27865</v>
      </c>
      <c r="C10205" s="32" t="s">
        <v>27866</v>
      </c>
      <c r="D10205" s="32" t="s">
        <v>27867</v>
      </c>
    </row>
    <row r="10206" spans="2:4" x14ac:dyDescent="0.3">
      <c r="B10206" s="33" t="s">
        <v>27868</v>
      </c>
      <c r="C10206" s="32" t="s">
        <v>27869</v>
      </c>
      <c r="D10206" s="32" t="s">
        <v>27870</v>
      </c>
    </row>
    <row r="10207" spans="2:4" x14ac:dyDescent="0.3">
      <c r="B10207" s="33" t="s">
        <v>27871</v>
      </c>
      <c r="C10207" s="32" t="s">
        <v>27872</v>
      </c>
      <c r="D10207" s="32" t="s">
        <v>27873</v>
      </c>
    </row>
    <row r="10208" spans="2:4" x14ac:dyDescent="0.3">
      <c r="B10208" s="33" t="s">
        <v>27874</v>
      </c>
      <c r="C10208" s="32" t="s">
        <v>27875</v>
      </c>
      <c r="D10208" s="32" t="s">
        <v>27874</v>
      </c>
    </row>
    <row r="10209" spans="2:4" x14ac:dyDescent="0.3">
      <c r="B10209" s="33" t="s">
        <v>27876</v>
      </c>
      <c r="C10209" s="32" t="s">
        <v>27877</v>
      </c>
      <c r="D10209" s="32" t="s">
        <v>27878</v>
      </c>
    </row>
    <row r="10210" spans="2:4" x14ac:dyDescent="0.3">
      <c r="B10210" s="33" t="s">
        <v>8668</v>
      </c>
      <c r="C10210" s="32" t="s">
        <v>37062</v>
      </c>
      <c r="D10210" s="32" t="s">
        <v>37063</v>
      </c>
    </row>
    <row r="10211" spans="2:4" x14ac:dyDescent="0.3">
      <c r="B10211" s="33" t="s">
        <v>37064</v>
      </c>
      <c r="C10211" s="32" t="s">
        <v>37065</v>
      </c>
      <c r="D10211" s="32" t="s">
        <v>37066</v>
      </c>
    </row>
    <row r="10212" spans="2:4" x14ac:dyDescent="0.3">
      <c r="B10212" s="33" t="s">
        <v>27879</v>
      </c>
      <c r="C10212" s="32" t="s">
        <v>27880</v>
      </c>
      <c r="D10212" s="32" t="s">
        <v>27881</v>
      </c>
    </row>
    <row r="10213" spans="2:4" x14ac:dyDescent="0.3">
      <c r="B10213" s="33" t="s">
        <v>27882</v>
      </c>
      <c r="C10213" s="32" t="s">
        <v>27883</v>
      </c>
      <c r="D10213" s="32" t="s">
        <v>27882</v>
      </c>
    </row>
    <row r="10214" spans="2:4" x14ac:dyDescent="0.3">
      <c r="B10214" s="33" t="s">
        <v>27884</v>
      </c>
      <c r="C10214" s="32" t="s">
        <v>27885</v>
      </c>
      <c r="D10214" s="32" t="s">
        <v>27886</v>
      </c>
    </row>
    <row r="10215" spans="2:4" x14ac:dyDescent="0.3">
      <c r="B10215" s="33" t="s">
        <v>27884</v>
      </c>
      <c r="C10215" s="32" t="s">
        <v>27887</v>
      </c>
      <c r="D10215" s="32" t="s">
        <v>27888</v>
      </c>
    </row>
    <row r="10216" spans="2:4" x14ac:dyDescent="0.3">
      <c r="B10216" s="33" t="s">
        <v>27889</v>
      </c>
      <c r="C10216" s="32" t="s">
        <v>27890</v>
      </c>
      <c r="D10216" s="32" t="s">
        <v>27891</v>
      </c>
    </row>
    <row r="10217" spans="2:4" x14ac:dyDescent="0.3">
      <c r="B10217" s="33" t="s">
        <v>27892</v>
      </c>
      <c r="C10217" s="32" t="s">
        <v>27893</v>
      </c>
      <c r="D10217" s="32" t="s">
        <v>27894</v>
      </c>
    </row>
    <row r="10218" spans="2:4" x14ac:dyDescent="0.3">
      <c r="B10218" s="33" t="s">
        <v>27895</v>
      </c>
      <c r="C10218" s="32" t="s">
        <v>27896</v>
      </c>
      <c r="D10218" s="32" t="s">
        <v>27897</v>
      </c>
    </row>
    <row r="10219" spans="2:4" x14ac:dyDescent="0.3">
      <c r="B10219" s="33" t="s">
        <v>27898</v>
      </c>
      <c r="C10219" s="32" t="s">
        <v>27899</v>
      </c>
      <c r="D10219" s="32" t="s">
        <v>27900</v>
      </c>
    </row>
    <row r="10220" spans="2:4" x14ac:dyDescent="0.3">
      <c r="B10220" s="33" t="s">
        <v>27901</v>
      </c>
      <c r="C10220" s="32" t="s">
        <v>27902</v>
      </c>
      <c r="D10220" s="32" t="s">
        <v>27903</v>
      </c>
    </row>
    <row r="10221" spans="2:4" x14ac:dyDescent="0.3">
      <c r="B10221" s="33" t="s">
        <v>27904</v>
      </c>
      <c r="C10221" s="32" t="s">
        <v>27905</v>
      </c>
      <c r="D10221" s="32" t="s">
        <v>27906</v>
      </c>
    </row>
    <row r="10222" spans="2:4" x14ac:dyDescent="0.3">
      <c r="B10222" s="33" t="s">
        <v>27907</v>
      </c>
      <c r="C10222" s="32" t="s">
        <v>27908</v>
      </c>
      <c r="D10222" s="32" t="s">
        <v>27909</v>
      </c>
    </row>
    <row r="10223" spans="2:4" x14ac:dyDescent="0.3">
      <c r="B10223" s="33" t="s">
        <v>27910</v>
      </c>
      <c r="C10223" s="32" t="s">
        <v>27911</v>
      </c>
      <c r="D10223" s="32" t="s">
        <v>27912</v>
      </c>
    </row>
    <row r="10224" spans="2:4" x14ac:dyDescent="0.3">
      <c r="B10224" s="33" t="s">
        <v>27913</v>
      </c>
      <c r="C10224" s="32" t="s">
        <v>27914</v>
      </c>
      <c r="D10224" s="32" t="s">
        <v>27915</v>
      </c>
    </row>
    <row r="10225" spans="2:4" x14ac:dyDescent="0.3">
      <c r="B10225" s="33" t="s">
        <v>27916</v>
      </c>
      <c r="C10225" s="32" t="s">
        <v>27917</v>
      </c>
      <c r="D10225" s="32" t="s">
        <v>27918</v>
      </c>
    </row>
    <row r="10226" spans="2:4" x14ac:dyDescent="0.3">
      <c r="B10226" s="33" t="s">
        <v>27915</v>
      </c>
      <c r="C10226" s="32" t="s">
        <v>27919</v>
      </c>
      <c r="D10226" s="32" t="s">
        <v>36885</v>
      </c>
    </row>
    <row r="10227" spans="2:4" x14ac:dyDescent="0.3">
      <c r="B10227" s="33" t="s">
        <v>27920</v>
      </c>
      <c r="C10227" s="32" t="s">
        <v>27921</v>
      </c>
      <c r="D10227" s="32" t="s">
        <v>27922</v>
      </c>
    </row>
    <row r="10228" spans="2:4" x14ac:dyDescent="0.3">
      <c r="B10228" s="33" t="s">
        <v>27923</v>
      </c>
      <c r="C10228" s="32" t="s">
        <v>27924</v>
      </c>
      <c r="D10228" s="32" t="s">
        <v>27925</v>
      </c>
    </row>
    <row r="10229" spans="2:4" x14ac:dyDescent="0.3">
      <c r="B10229" s="33" t="s">
        <v>27926</v>
      </c>
      <c r="C10229" s="32" t="s">
        <v>27927</v>
      </c>
      <c r="D10229" s="32" t="s">
        <v>27928</v>
      </c>
    </row>
    <row r="10230" spans="2:4" x14ac:dyDescent="0.3">
      <c r="B10230" s="33" t="s">
        <v>27929</v>
      </c>
      <c r="C10230" s="32" t="s">
        <v>27930</v>
      </c>
      <c r="D10230" s="32" t="s">
        <v>27931</v>
      </c>
    </row>
    <row r="10231" spans="2:4" x14ac:dyDescent="0.3">
      <c r="B10231" s="33" t="s">
        <v>22456</v>
      </c>
      <c r="C10231" s="32" t="s">
        <v>27932</v>
      </c>
      <c r="D10231" s="32" t="s">
        <v>27933</v>
      </c>
    </row>
    <row r="10232" spans="2:4" x14ac:dyDescent="0.3">
      <c r="B10232" s="33" t="s">
        <v>27934</v>
      </c>
      <c r="C10232" s="32" t="s">
        <v>27935</v>
      </c>
      <c r="D10232" s="32" t="s">
        <v>27936</v>
      </c>
    </row>
    <row r="10233" spans="2:4" x14ac:dyDescent="0.3">
      <c r="B10233" s="33" t="s">
        <v>27937</v>
      </c>
      <c r="C10233" s="32" t="s">
        <v>27938</v>
      </c>
      <c r="D10233" s="32" t="s">
        <v>27939</v>
      </c>
    </row>
    <row r="10234" spans="2:4" x14ac:dyDescent="0.3">
      <c r="B10234" s="33" t="s">
        <v>27940</v>
      </c>
      <c r="C10234" s="32" t="s">
        <v>27941</v>
      </c>
      <c r="D10234" s="32" t="s">
        <v>27942</v>
      </c>
    </row>
    <row r="10235" spans="2:4" x14ac:dyDescent="0.3">
      <c r="B10235" s="33" t="s">
        <v>27943</v>
      </c>
      <c r="C10235" s="32" t="s">
        <v>27944</v>
      </c>
      <c r="D10235" s="32" t="s">
        <v>27945</v>
      </c>
    </row>
    <row r="10236" spans="2:4" x14ac:dyDescent="0.3">
      <c r="B10236" s="33" t="s">
        <v>27946</v>
      </c>
      <c r="C10236" s="32" t="s">
        <v>27947</v>
      </c>
      <c r="D10236" s="32" t="s">
        <v>27946</v>
      </c>
    </row>
    <row r="10237" spans="2:4" x14ac:dyDescent="0.3">
      <c r="B10237" s="33" t="s">
        <v>27948</v>
      </c>
      <c r="C10237" s="32" t="s">
        <v>27949</v>
      </c>
      <c r="D10237" s="32" t="s">
        <v>27950</v>
      </c>
    </row>
    <row r="10238" spans="2:4" x14ac:dyDescent="0.3">
      <c r="B10238" s="33" t="s">
        <v>27951</v>
      </c>
      <c r="C10238" s="32" t="s">
        <v>27952</v>
      </c>
      <c r="D10238" s="32" t="s">
        <v>27953</v>
      </c>
    </row>
    <row r="10239" spans="2:4" x14ac:dyDescent="0.3">
      <c r="B10239" s="33" t="s">
        <v>27954</v>
      </c>
      <c r="C10239" s="32" t="s">
        <v>27955</v>
      </c>
      <c r="D10239" s="32" t="s">
        <v>27956</v>
      </c>
    </row>
    <row r="10240" spans="2:4" x14ac:dyDescent="0.3">
      <c r="B10240" s="33" t="s">
        <v>27957</v>
      </c>
      <c r="C10240" s="32" t="s">
        <v>27958</v>
      </c>
      <c r="D10240" s="32" t="s">
        <v>27959</v>
      </c>
    </row>
    <row r="10241" spans="2:4" x14ac:dyDescent="0.3">
      <c r="B10241" s="33" t="s">
        <v>27960</v>
      </c>
      <c r="C10241" s="32" t="s">
        <v>27961</v>
      </c>
      <c r="D10241" s="32" t="s">
        <v>27962</v>
      </c>
    </row>
    <row r="10242" spans="2:4" x14ac:dyDescent="0.3">
      <c r="B10242" s="33" t="s">
        <v>27963</v>
      </c>
      <c r="C10242" s="32" t="s">
        <v>27964</v>
      </c>
      <c r="D10242" s="32" t="s">
        <v>27965</v>
      </c>
    </row>
    <row r="10243" spans="2:4" x14ac:dyDescent="0.3">
      <c r="B10243" s="33" t="s">
        <v>27966</v>
      </c>
      <c r="C10243" s="32" t="s">
        <v>27967</v>
      </c>
      <c r="D10243" s="32" t="s">
        <v>27968</v>
      </c>
    </row>
    <row r="10244" spans="2:4" x14ac:dyDescent="0.3">
      <c r="B10244" s="33" t="s">
        <v>26327</v>
      </c>
      <c r="C10244" s="32" t="s">
        <v>27969</v>
      </c>
      <c r="D10244" s="32" t="s">
        <v>27970</v>
      </c>
    </row>
    <row r="10245" spans="2:4" x14ac:dyDescent="0.3">
      <c r="B10245" s="33" t="s">
        <v>27971</v>
      </c>
      <c r="C10245" s="32" t="s">
        <v>27972</v>
      </c>
      <c r="D10245" s="32" t="s">
        <v>27973</v>
      </c>
    </row>
    <row r="10246" spans="2:4" x14ac:dyDescent="0.3">
      <c r="B10246" s="33" t="s">
        <v>144</v>
      </c>
      <c r="C10246" s="32" t="s">
        <v>27974</v>
      </c>
      <c r="D10246" s="32" t="s">
        <v>27975</v>
      </c>
    </row>
    <row r="10247" spans="2:4" x14ac:dyDescent="0.3">
      <c r="B10247" s="33" t="s">
        <v>27976</v>
      </c>
      <c r="C10247" s="32" t="s">
        <v>27977</v>
      </c>
      <c r="D10247" s="32" t="s">
        <v>27978</v>
      </c>
    </row>
    <row r="10248" spans="2:4" x14ac:dyDescent="0.3">
      <c r="B10248" s="33" t="s">
        <v>27979</v>
      </c>
      <c r="C10248" s="32" t="s">
        <v>27980</v>
      </c>
      <c r="D10248" s="32" t="s">
        <v>27981</v>
      </c>
    </row>
    <row r="10249" spans="2:4" x14ac:dyDescent="0.3">
      <c r="B10249" s="33" t="s">
        <v>27982</v>
      </c>
      <c r="C10249" s="32" t="s">
        <v>27983</v>
      </c>
      <c r="D10249" s="32" t="s">
        <v>27984</v>
      </c>
    </row>
    <row r="10250" spans="2:4" x14ac:dyDescent="0.3">
      <c r="B10250" s="33" t="s">
        <v>27985</v>
      </c>
      <c r="C10250" s="32" t="s">
        <v>27986</v>
      </c>
      <c r="D10250" s="32" t="s">
        <v>27987</v>
      </c>
    </row>
    <row r="10251" spans="2:4" x14ac:dyDescent="0.3">
      <c r="B10251" s="33" t="s">
        <v>27988</v>
      </c>
      <c r="C10251" s="32" t="s">
        <v>27989</v>
      </c>
      <c r="D10251" s="32" t="s">
        <v>27990</v>
      </c>
    </row>
    <row r="10252" spans="2:4" x14ac:dyDescent="0.3">
      <c r="B10252" s="33" t="s">
        <v>27991</v>
      </c>
      <c r="C10252" s="32" t="s">
        <v>27992</v>
      </c>
      <c r="D10252" s="32" t="s">
        <v>27993</v>
      </c>
    </row>
    <row r="10253" spans="2:4" x14ac:dyDescent="0.3">
      <c r="B10253" s="33" t="s">
        <v>27995</v>
      </c>
      <c r="C10253" s="32" t="s">
        <v>27996</v>
      </c>
      <c r="D10253" s="32" t="s">
        <v>27997</v>
      </c>
    </row>
    <row r="10254" spans="2:4" x14ac:dyDescent="0.3">
      <c r="B10254" s="33" t="s">
        <v>27995</v>
      </c>
      <c r="C10254" s="32" t="s">
        <v>27998</v>
      </c>
      <c r="D10254" s="32" t="s">
        <v>27999</v>
      </c>
    </row>
    <row r="10255" spans="2:4" x14ac:dyDescent="0.3">
      <c r="B10255" s="33" t="s">
        <v>28000</v>
      </c>
      <c r="C10255" s="32" t="s">
        <v>28001</v>
      </c>
      <c r="D10255" s="32" t="s">
        <v>28002</v>
      </c>
    </row>
    <row r="10256" spans="2:4" x14ac:dyDescent="0.3">
      <c r="B10256" s="33" t="s">
        <v>27995</v>
      </c>
      <c r="C10256" s="32" t="s">
        <v>28003</v>
      </c>
      <c r="D10256" s="32" t="s">
        <v>28004</v>
      </c>
    </row>
    <row r="10257" spans="2:4" x14ac:dyDescent="0.3">
      <c r="B10257" s="33" t="s">
        <v>28005</v>
      </c>
      <c r="C10257" s="32" t="s">
        <v>28006</v>
      </c>
      <c r="D10257" s="32" t="s">
        <v>28007</v>
      </c>
    </row>
    <row r="10258" spans="2:4" x14ac:dyDescent="0.3">
      <c r="B10258" s="33" t="s">
        <v>28008</v>
      </c>
      <c r="C10258" s="32" t="s">
        <v>28009</v>
      </c>
      <c r="D10258" s="32" t="s">
        <v>28010</v>
      </c>
    </row>
    <row r="10259" spans="2:4" x14ac:dyDescent="0.3">
      <c r="B10259" s="33" t="s">
        <v>28011</v>
      </c>
      <c r="C10259" s="32" t="s">
        <v>28012</v>
      </c>
      <c r="D10259" s="32" t="s">
        <v>28013</v>
      </c>
    </row>
    <row r="10260" spans="2:4" x14ac:dyDescent="0.3">
      <c r="B10260" s="33" t="s">
        <v>28014</v>
      </c>
      <c r="C10260" s="32" t="s">
        <v>28015</v>
      </c>
      <c r="D10260" s="32" t="s">
        <v>37326</v>
      </c>
    </row>
    <row r="10261" spans="2:4" x14ac:dyDescent="0.3">
      <c r="B10261" s="33" t="s">
        <v>28016</v>
      </c>
      <c r="C10261" s="32" t="s">
        <v>28017</v>
      </c>
      <c r="D10261" s="32" t="s">
        <v>28018</v>
      </c>
    </row>
    <row r="10262" spans="2:4" x14ac:dyDescent="0.3">
      <c r="B10262" s="33" t="s">
        <v>28019</v>
      </c>
      <c r="C10262" s="32" t="s">
        <v>28020</v>
      </c>
      <c r="D10262" s="32" t="s">
        <v>28021</v>
      </c>
    </row>
    <row r="10263" spans="2:4" x14ac:dyDescent="0.3">
      <c r="B10263" s="33" t="s">
        <v>28022</v>
      </c>
      <c r="C10263" s="32" t="s">
        <v>28023</v>
      </c>
      <c r="D10263" s="32" t="s">
        <v>28024</v>
      </c>
    </row>
    <row r="10264" spans="2:4" x14ac:dyDescent="0.3">
      <c r="B10264" s="33" t="s">
        <v>28025</v>
      </c>
      <c r="C10264" s="32" t="s">
        <v>28026</v>
      </c>
      <c r="D10264" s="32" t="s">
        <v>28027</v>
      </c>
    </row>
    <row r="10265" spans="2:4" x14ac:dyDescent="0.3">
      <c r="B10265" s="33" t="s">
        <v>28028</v>
      </c>
      <c r="C10265" s="32" t="s">
        <v>28029</v>
      </c>
      <c r="D10265" s="32" t="s">
        <v>28030</v>
      </c>
    </row>
    <row r="10266" spans="2:4" x14ac:dyDescent="0.3">
      <c r="B10266" s="33" t="s">
        <v>9139</v>
      </c>
      <c r="C10266" s="32" t="s">
        <v>28031</v>
      </c>
      <c r="D10266" s="32" t="s">
        <v>28032</v>
      </c>
    </row>
    <row r="10267" spans="2:4" x14ac:dyDescent="0.3">
      <c r="B10267" s="33" t="s">
        <v>28033</v>
      </c>
      <c r="C10267" s="32" t="s">
        <v>28034</v>
      </c>
      <c r="D10267" s="32" t="s">
        <v>28035</v>
      </c>
    </row>
    <row r="10268" spans="2:4" x14ac:dyDescent="0.3">
      <c r="B10268" s="33" t="s">
        <v>28036</v>
      </c>
      <c r="C10268" s="32" t="s">
        <v>28037</v>
      </c>
      <c r="D10268" s="32" t="s">
        <v>28038</v>
      </c>
    </row>
    <row r="10269" spans="2:4" x14ac:dyDescent="0.3">
      <c r="B10269" s="33" t="s">
        <v>28039</v>
      </c>
      <c r="C10269" s="32" t="s">
        <v>28040</v>
      </c>
      <c r="D10269" s="32" t="s">
        <v>28041</v>
      </c>
    </row>
    <row r="10270" spans="2:4" x14ac:dyDescent="0.3">
      <c r="B10270" s="33" t="s">
        <v>28042</v>
      </c>
      <c r="C10270" s="32" t="s">
        <v>28043</v>
      </c>
      <c r="D10270" s="32" t="s">
        <v>28044</v>
      </c>
    </row>
    <row r="10271" spans="2:4" x14ac:dyDescent="0.3">
      <c r="B10271" s="33" t="s">
        <v>28042</v>
      </c>
      <c r="C10271" s="32" t="s">
        <v>28045</v>
      </c>
      <c r="D10271" s="32" t="s">
        <v>28046</v>
      </c>
    </row>
    <row r="10272" spans="2:4" x14ac:dyDescent="0.3">
      <c r="B10272" s="33" t="s">
        <v>28047</v>
      </c>
      <c r="C10272" s="32" t="s">
        <v>28048</v>
      </c>
      <c r="D10272" s="32" t="s">
        <v>28049</v>
      </c>
    </row>
    <row r="10273" spans="2:4" x14ac:dyDescent="0.3">
      <c r="B10273" s="33" t="s">
        <v>28050</v>
      </c>
      <c r="C10273" s="32" t="s">
        <v>28051</v>
      </c>
      <c r="D10273" s="32" t="s">
        <v>28052</v>
      </c>
    </row>
    <row r="10274" spans="2:4" x14ac:dyDescent="0.3">
      <c r="B10274" s="33" t="s">
        <v>28053</v>
      </c>
      <c r="C10274" s="32" t="s">
        <v>28054</v>
      </c>
      <c r="D10274" s="32" t="s">
        <v>36886</v>
      </c>
    </row>
    <row r="10275" spans="2:4" x14ac:dyDescent="0.3">
      <c r="B10275" s="33" t="s">
        <v>28055</v>
      </c>
      <c r="C10275" s="32" t="s">
        <v>28056</v>
      </c>
      <c r="D10275" s="32" t="s">
        <v>28057</v>
      </c>
    </row>
    <row r="10276" spans="2:4" x14ac:dyDescent="0.3">
      <c r="B10276" s="33" t="s">
        <v>7228</v>
      </c>
      <c r="C10276" s="32" t="s">
        <v>28058</v>
      </c>
      <c r="D10276" s="32" t="s">
        <v>28059</v>
      </c>
    </row>
    <row r="10277" spans="2:4" x14ac:dyDescent="0.3">
      <c r="B10277" s="33" t="s">
        <v>28060</v>
      </c>
      <c r="C10277" s="32" t="s">
        <v>28061</v>
      </c>
      <c r="D10277" s="32" t="s">
        <v>28062</v>
      </c>
    </row>
    <row r="10278" spans="2:4" x14ac:dyDescent="0.3">
      <c r="B10278" s="33" t="s">
        <v>28063</v>
      </c>
      <c r="C10278" s="32" t="s">
        <v>28064</v>
      </c>
      <c r="D10278" s="32" t="s">
        <v>28065</v>
      </c>
    </row>
    <row r="10279" spans="2:4" x14ac:dyDescent="0.3">
      <c r="B10279" s="33" t="s">
        <v>27828</v>
      </c>
      <c r="C10279" s="32" t="s">
        <v>28066</v>
      </c>
      <c r="D10279" s="32" t="s">
        <v>28067</v>
      </c>
    </row>
    <row r="10280" spans="2:4" x14ac:dyDescent="0.3">
      <c r="B10280" s="33" t="s">
        <v>28068</v>
      </c>
      <c r="C10280" s="32" t="s">
        <v>28069</v>
      </c>
      <c r="D10280" s="32" t="s">
        <v>28070</v>
      </c>
    </row>
    <row r="10281" spans="2:4" x14ac:dyDescent="0.3">
      <c r="B10281" s="33" t="s">
        <v>28071</v>
      </c>
      <c r="C10281" s="32" t="s">
        <v>28072</v>
      </c>
      <c r="D10281" s="32" t="s">
        <v>28073</v>
      </c>
    </row>
    <row r="10282" spans="2:4" x14ac:dyDescent="0.3">
      <c r="B10282" s="33" t="s">
        <v>28042</v>
      </c>
      <c r="C10282" s="32" t="s">
        <v>28074</v>
      </c>
      <c r="D10282" s="32" t="s">
        <v>28075</v>
      </c>
    </row>
    <row r="10283" spans="2:4" x14ac:dyDescent="0.3">
      <c r="B10283" s="33" t="s">
        <v>28076</v>
      </c>
      <c r="C10283" s="32" t="s">
        <v>28077</v>
      </c>
      <c r="D10283" s="32" t="s">
        <v>28078</v>
      </c>
    </row>
    <row r="10284" spans="2:4" x14ac:dyDescent="0.3">
      <c r="B10284" s="33" t="s">
        <v>28079</v>
      </c>
      <c r="C10284" s="32" t="s">
        <v>28080</v>
      </c>
      <c r="D10284" s="32" t="s">
        <v>28081</v>
      </c>
    </row>
    <row r="10285" spans="2:4" x14ac:dyDescent="0.3">
      <c r="B10285" s="33" t="s">
        <v>28082</v>
      </c>
      <c r="C10285" s="32" t="s">
        <v>28083</v>
      </c>
      <c r="D10285" s="32" t="s">
        <v>28082</v>
      </c>
    </row>
    <row r="10286" spans="2:4" x14ac:dyDescent="0.3">
      <c r="B10286" s="33" t="s">
        <v>28084</v>
      </c>
      <c r="C10286" s="32" t="s">
        <v>28085</v>
      </c>
      <c r="D10286" s="32" t="s">
        <v>28086</v>
      </c>
    </row>
    <row r="10287" spans="2:4" x14ac:dyDescent="0.3">
      <c r="B10287" s="33" t="s">
        <v>28087</v>
      </c>
      <c r="C10287" s="32" t="s">
        <v>28088</v>
      </c>
      <c r="D10287" s="32" t="s">
        <v>28089</v>
      </c>
    </row>
    <row r="10288" spans="2:4" x14ac:dyDescent="0.3">
      <c r="B10288" s="33" t="s">
        <v>28090</v>
      </c>
      <c r="C10288" s="32" t="s">
        <v>28091</v>
      </c>
      <c r="D10288" s="32" t="s">
        <v>28092</v>
      </c>
    </row>
    <row r="10289" spans="2:4" x14ac:dyDescent="0.3">
      <c r="B10289" s="33" t="s">
        <v>3473</v>
      </c>
      <c r="C10289" s="32" t="s">
        <v>28093</v>
      </c>
      <c r="D10289" s="32" t="s">
        <v>28094</v>
      </c>
    </row>
    <row r="10290" spans="2:4" x14ac:dyDescent="0.3">
      <c r="B10290" s="33" t="s">
        <v>15256</v>
      </c>
      <c r="C10290" s="32" t="s">
        <v>28095</v>
      </c>
      <c r="D10290" s="32" t="s">
        <v>28096</v>
      </c>
    </row>
    <row r="10291" spans="2:4" x14ac:dyDescent="0.3">
      <c r="B10291" s="33" t="s">
        <v>28097</v>
      </c>
      <c r="C10291" s="32" t="s">
        <v>28098</v>
      </c>
      <c r="D10291" s="32" t="s">
        <v>28099</v>
      </c>
    </row>
    <row r="10292" spans="2:4" x14ac:dyDescent="0.3">
      <c r="B10292" s="33" t="s">
        <v>28100</v>
      </c>
      <c r="C10292" s="32" t="s">
        <v>28101</v>
      </c>
      <c r="D10292" s="32" t="s">
        <v>28102</v>
      </c>
    </row>
    <row r="10293" spans="2:4" x14ac:dyDescent="0.3">
      <c r="B10293" s="33" t="s">
        <v>28103</v>
      </c>
      <c r="C10293" s="32" t="s">
        <v>28104</v>
      </c>
      <c r="D10293" s="32" t="s">
        <v>28105</v>
      </c>
    </row>
    <row r="10294" spans="2:4" x14ac:dyDescent="0.3">
      <c r="B10294" s="33" t="s">
        <v>28106</v>
      </c>
      <c r="C10294" s="32" t="s">
        <v>28107</v>
      </c>
      <c r="D10294" s="32" t="s">
        <v>28108</v>
      </c>
    </row>
    <row r="10295" spans="2:4" x14ac:dyDescent="0.3">
      <c r="B10295" s="33" t="s">
        <v>28106</v>
      </c>
      <c r="C10295" s="32" t="s">
        <v>28109</v>
      </c>
      <c r="D10295" s="32" t="s">
        <v>28110</v>
      </c>
    </row>
    <row r="10296" spans="2:4" x14ac:dyDescent="0.3">
      <c r="B10296" s="33" t="s">
        <v>28111</v>
      </c>
      <c r="C10296" s="32" t="s">
        <v>28112</v>
      </c>
      <c r="D10296" s="32" t="s">
        <v>28113</v>
      </c>
    </row>
    <row r="10297" spans="2:4" x14ac:dyDescent="0.3">
      <c r="B10297" s="33" t="s">
        <v>28114</v>
      </c>
      <c r="C10297" s="32" t="s">
        <v>28115</v>
      </c>
      <c r="D10297" s="32" t="s">
        <v>28116</v>
      </c>
    </row>
    <row r="10298" spans="2:4" x14ac:dyDescent="0.3">
      <c r="B10298" s="33" t="s">
        <v>28117</v>
      </c>
      <c r="C10298" s="32" t="s">
        <v>28118</v>
      </c>
      <c r="D10298" s="32" t="s">
        <v>28119</v>
      </c>
    </row>
    <row r="10299" spans="2:4" x14ac:dyDescent="0.3">
      <c r="B10299" s="33" t="s">
        <v>28120</v>
      </c>
      <c r="C10299" s="32" t="s">
        <v>28121</v>
      </c>
      <c r="D10299" s="32" t="s">
        <v>28122</v>
      </c>
    </row>
    <row r="10300" spans="2:4" x14ac:dyDescent="0.3">
      <c r="B10300" s="33" t="s">
        <v>28123</v>
      </c>
      <c r="C10300" s="32" t="s">
        <v>28124</v>
      </c>
      <c r="D10300" s="32" t="s">
        <v>28123</v>
      </c>
    </row>
    <row r="10301" spans="2:4" x14ac:dyDescent="0.3">
      <c r="B10301" s="33" t="s">
        <v>28125</v>
      </c>
      <c r="C10301" s="32" t="s">
        <v>28126</v>
      </c>
      <c r="D10301" s="32" t="s">
        <v>28127</v>
      </c>
    </row>
    <row r="10302" spans="2:4" x14ac:dyDescent="0.3">
      <c r="B10302" s="33" t="s">
        <v>28128</v>
      </c>
      <c r="C10302" s="32" t="s">
        <v>28129</v>
      </c>
      <c r="D10302" s="32" t="s">
        <v>28130</v>
      </c>
    </row>
    <row r="10303" spans="2:4" x14ac:dyDescent="0.3">
      <c r="B10303" s="33" t="s">
        <v>28131</v>
      </c>
      <c r="C10303" s="32" t="s">
        <v>28132</v>
      </c>
      <c r="D10303" s="32" t="s">
        <v>28133</v>
      </c>
    </row>
    <row r="10304" spans="2:4" x14ac:dyDescent="0.3">
      <c r="B10304" s="33" t="s">
        <v>22786</v>
      </c>
      <c r="C10304" s="32" t="s">
        <v>28134</v>
      </c>
      <c r="D10304" s="32" t="s">
        <v>28135</v>
      </c>
    </row>
    <row r="10305" spans="2:4" x14ac:dyDescent="0.3">
      <c r="B10305" s="33" t="s">
        <v>28136</v>
      </c>
      <c r="C10305" s="32" t="s">
        <v>28137</v>
      </c>
      <c r="D10305" s="32" t="s">
        <v>28138</v>
      </c>
    </row>
    <row r="10306" spans="2:4" x14ac:dyDescent="0.3">
      <c r="B10306" s="33" t="s">
        <v>28139</v>
      </c>
      <c r="C10306" s="32" t="s">
        <v>28140</v>
      </c>
      <c r="D10306" s="32" t="s">
        <v>28141</v>
      </c>
    </row>
    <row r="10307" spans="2:4" x14ac:dyDescent="0.3">
      <c r="B10307" s="33" t="s">
        <v>7558</v>
      </c>
      <c r="C10307" s="32" t="s">
        <v>28142</v>
      </c>
      <c r="D10307" s="32" t="s">
        <v>28143</v>
      </c>
    </row>
    <row r="10308" spans="2:4" x14ac:dyDescent="0.3">
      <c r="B10308" s="33" t="s">
        <v>28144</v>
      </c>
      <c r="C10308" s="32" t="s">
        <v>28145</v>
      </c>
      <c r="D10308" s="32" t="s">
        <v>28146</v>
      </c>
    </row>
    <row r="10309" spans="2:4" x14ac:dyDescent="0.3">
      <c r="B10309" s="33" t="s">
        <v>28147</v>
      </c>
      <c r="C10309" s="32" t="s">
        <v>28148</v>
      </c>
      <c r="D10309" s="32" t="s">
        <v>28149</v>
      </c>
    </row>
    <row r="10310" spans="2:4" x14ac:dyDescent="0.3">
      <c r="B10310" s="33" t="s">
        <v>28150</v>
      </c>
      <c r="C10310" s="32" t="s">
        <v>28151</v>
      </c>
      <c r="D10310" s="32" t="s">
        <v>28152</v>
      </c>
    </row>
    <row r="10311" spans="2:4" x14ac:dyDescent="0.3">
      <c r="B10311" s="33" t="s">
        <v>28153</v>
      </c>
      <c r="C10311" s="32" t="s">
        <v>28154</v>
      </c>
      <c r="D10311" s="32" t="s">
        <v>28155</v>
      </c>
    </row>
    <row r="10312" spans="2:4" x14ac:dyDescent="0.3">
      <c r="B10312" s="33" t="s">
        <v>28156</v>
      </c>
      <c r="C10312" s="32" t="s">
        <v>28157</v>
      </c>
      <c r="D10312" s="32" t="s">
        <v>28158</v>
      </c>
    </row>
    <row r="10313" spans="2:4" x14ac:dyDescent="0.3">
      <c r="B10313" s="33" t="s">
        <v>28147</v>
      </c>
      <c r="C10313" s="32" t="s">
        <v>28159</v>
      </c>
      <c r="D10313" s="32" t="s">
        <v>28160</v>
      </c>
    </row>
    <row r="10314" spans="2:4" x14ac:dyDescent="0.3">
      <c r="B10314" s="33" t="s">
        <v>7470</v>
      </c>
      <c r="C10314" s="32" t="s">
        <v>28161</v>
      </c>
      <c r="D10314" s="32" t="s">
        <v>28162</v>
      </c>
    </row>
    <row r="10315" spans="2:4" x14ac:dyDescent="0.3">
      <c r="B10315" s="33" t="s">
        <v>28163</v>
      </c>
      <c r="C10315" s="32" t="s">
        <v>28164</v>
      </c>
      <c r="D10315" s="32" t="s">
        <v>28165</v>
      </c>
    </row>
    <row r="10316" spans="2:4" x14ac:dyDescent="0.3">
      <c r="B10316" s="33" t="s">
        <v>28166</v>
      </c>
      <c r="C10316" s="32" t="s">
        <v>28167</v>
      </c>
      <c r="D10316" s="32" t="s">
        <v>28168</v>
      </c>
    </row>
    <row r="10317" spans="2:4" x14ac:dyDescent="0.3">
      <c r="B10317" s="33" t="s">
        <v>28169</v>
      </c>
      <c r="C10317" s="32" t="s">
        <v>28170</v>
      </c>
      <c r="D10317" s="32" t="s">
        <v>28171</v>
      </c>
    </row>
    <row r="10318" spans="2:4" x14ac:dyDescent="0.3">
      <c r="B10318" s="33" t="s">
        <v>28172</v>
      </c>
      <c r="C10318" s="32" t="s">
        <v>28173</v>
      </c>
      <c r="D10318" s="32" t="s">
        <v>28174</v>
      </c>
    </row>
    <row r="10319" spans="2:4" x14ac:dyDescent="0.3">
      <c r="B10319" s="33" t="s">
        <v>28175</v>
      </c>
      <c r="C10319" s="32" t="s">
        <v>28176</v>
      </c>
      <c r="D10319" s="32" t="s">
        <v>28177</v>
      </c>
    </row>
    <row r="10320" spans="2:4" x14ac:dyDescent="0.3">
      <c r="B10320" s="33" t="s">
        <v>28178</v>
      </c>
      <c r="C10320" s="32" t="s">
        <v>28179</v>
      </c>
      <c r="D10320" s="32" t="s">
        <v>28180</v>
      </c>
    </row>
    <row r="10321" spans="2:4" x14ac:dyDescent="0.3">
      <c r="B10321" s="33" t="s">
        <v>28181</v>
      </c>
      <c r="C10321" s="32" t="s">
        <v>28182</v>
      </c>
      <c r="D10321" s="32" t="s">
        <v>28183</v>
      </c>
    </row>
    <row r="10322" spans="2:4" x14ac:dyDescent="0.3">
      <c r="B10322" s="33" t="s">
        <v>28184</v>
      </c>
      <c r="C10322" s="32" t="s">
        <v>28185</v>
      </c>
      <c r="D10322" s="32" t="s">
        <v>28186</v>
      </c>
    </row>
    <row r="10323" spans="2:4" x14ac:dyDescent="0.3">
      <c r="B10323" s="33" t="s">
        <v>28187</v>
      </c>
      <c r="C10323" s="32" t="s">
        <v>28188</v>
      </c>
      <c r="D10323" s="32" t="s">
        <v>28189</v>
      </c>
    </row>
    <row r="10324" spans="2:4" x14ac:dyDescent="0.3">
      <c r="B10324" s="33" t="s">
        <v>7470</v>
      </c>
      <c r="C10324" s="32" t="s">
        <v>28190</v>
      </c>
      <c r="D10324" s="32" t="s">
        <v>28191</v>
      </c>
    </row>
    <row r="10325" spans="2:4" x14ac:dyDescent="0.3">
      <c r="B10325" s="33" t="s">
        <v>28192</v>
      </c>
      <c r="C10325" s="32" t="s">
        <v>28193</v>
      </c>
      <c r="D10325" s="32" t="s">
        <v>28194</v>
      </c>
    </row>
    <row r="10326" spans="2:4" x14ac:dyDescent="0.3">
      <c r="B10326" s="33" t="s">
        <v>28195</v>
      </c>
      <c r="C10326" s="32" t="s">
        <v>28196</v>
      </c>
      <c r="D10326" s="32" t="s">
        <v>28197</v>
      </c>
    </row>
    <row r="10327" spans="2:4" x14ac:dyDescent="0.3">
      <c r="B10327" s="33" t="s">
        <v>28198</v>
      </c>
      <c r="C10327" s="32" t="s">
        <v>28199</v>
      </c>
      <c r="D10327" s="32" t="s">
        <v>28200</v>
      </c>
    </row>
    <row r="10328" spans="2:4" x14ac:dyDescent="0.3">
      <c r="B10328" s="33" t="s">
        <v>28201</v>
      </c>
      <c r="C10328" s="32" t="s">
        <v>28202</v>
      </c>
      <c r="D10328" s="32" t="s">
        <v>28203</v>
      </c>
    </row>
    <row r="10329" spans="2:4" x14ac:dyDescent="0.3">
      <c r="B10329" s="33" t="s">
        <v>28204</v>
      </c>
      <c r="C10329" s="32" t="s">
        <v>28205</v>
      </c>
      <c r="D10329" s="32" t="s">
        <v>28206</v>
      </c>
    </row>
    <row r="10330" spans="2:4" x14ac:dyDescent="0.3">
      <c r="B10330" s="33" t="s">
        <v>28207</v>
      </c>
      <c r="C10330" s="32" t="s">
        <v>28208</v>
      </c>
      <c r="D10330" s="32" t="s">
        <v>28209</v>
      </c>
    </row>
    <row r="10331" spans="2:4" x14ac:dyDescent="0.3">
      <c r="B10331" s="33" t="s">
        <v>28210</v>
      </c>
      <c r="C10331" s="32" t="s">
        <v>28211</v>
      </c>
      <c r="D10331" s="32" t="s">
        <v>28212</v>
      </c>
    </row>
    <row r="10332" spans="2:4" x14ac:dyDescent="0.3">
      <c r="B10332" s="33" t="s">
        <v>28213</v>
      </c>
      <c r="C10332" s="32" t="s">
        <v>28214</v>
      </c>
      <c r="D10332" s="32" t="s">
        <v>28215</v>
      </c>
    </row>
    <row r="10333" spans="2:4" x14ac:dyDescent="0.3">
      <c r="B10333" s="33" t="s">
        <v>28216</v>
      </c>
      <c r="C10333" s="32" t="s">
        <v>28217</v>
      </c>
      <c r="D10333" s="32" t="s">
        <v>28218</v>
      </c>
    </row>
    <row r="10334" spans="2:4" x14ac:dyDescent="0.3">
      <c r="B10334" s="33" t="s">
        <v>28219</v>
      </c>
      <c r="C10334" s="32" t="s">
        <v>28220</v>
      </c>
      <c r="D10334" s="32" t="s">
        <v>37327</v>
      </c>
    </row>
    <row r="10335" spans="2:4" x14ac:dyDescent="0.3">
      <c r="B10335" s="33" t="s">
        <v>27845</v>
      </c>
      <c r="C10335" s="32" t="s">
        <v>28221</v>
      </c>
      <c r="D10335" s="32" t="s">
        <v>28222</v>
      </c>
    </row>
    <row r="10336" spans="2:4" x14ac:dyDescent="0.3">
      <c r="B10336" s="33" t="s">
        <v>27697</v>
      </c>
      <c r="C10336" s="32" t="s">
        <v>28223</v>
      </c>
      <c r="D10336" s="32" t="s">
        <v>28224</v>
      </c>
    </row>
    <row r="10337" spans="2:4" x14ac:dyDescent="0.3">
      <c r="B10337" s="33" t="s">
        <v>28225</v>
      </c>
      <c r="C10337" s="32" t="s">
        <v>28226</v>
      </c>
      <c r="D10337" s="32" t="s">
        <v>28227</v>
      </c>
    </row>
    <row r="10338" spans="2:4" x14ac:dyDescent="0.3">
      <c r="B10338" s="33" t="s">
        <v>28228</v>
      </c>
      <c r="C10338" s="32" t="s">
        <v>28229</v>
      </c>
      <c r="D10338" s="32" t="s">
        <v>28230</v>
      </c>
    </row>
    <row r="10339" spans="2:4" x14ac:dyDescent="0.3">
      <c r="B10339" s="33" t="s">
        <v>28231</v>
      </c>
      <c r="C10339" s="32" t="s">
        <v>28232</v>
      </c>
      <c r="D10339" s="32" t="s">
        <v>28233</v>
      </c>
    </row>
    <row r="10340" spans="2:4" x14ac:dyDescent="0.3">
      <c r="B10340" s="33" t="s">
        <v>28234</v>
      </c>
      <c r="C10340" s="32" t="s">
        <v>28235</v>
      </c>
      <c r="D10340" s="32" t="s">
        <v>28236</v>
      </c>
    </row>
    <row r="10341" spans="2:4" x14ac:dyDescent="0.3">
      <c r="B10341" s="33" t="s">
        <v>28237</v>
      </c>
      <c r="C10341" s="32" t="s">
        <v>28238</v>
      </c>
      <c r="D10341" s="32" t="s">
        <v>28239</v>
      </c>
    </row>
    <row r="10342" spans="2:4" x14ac:dyDescent="0.3">
      <c r="B10342" s="33" t="s">
        <v>28240</v>
      </c>
      <c r="C10342" s="32" t="s">
        <v>28241</v>
      </c>
      <c r="D10342" s="32" t="s">
        <v>28242</v>
      </c>
    </row>
    <row r="10343" spans="2:4" x14ac:dyDescent="0.3">
      <c r="B10343" s="33" t="s">
        <v>28243</v>
      </c>
      <c r="C10343" s="32" t="s">
        <v>28244</v>
      </c>
      <c r="D10343" s="32" t="s">
        <v>28243</v>
      </c>
    </row>
    <row r="10344" spans="2:4" x14ac:dyDescent="0.3">
      <c r="B10344" s="33" t="s">
        <v>28245</v>
      </c>
      <c r="C10344" s="32" t="s">
        <v>28246</v>
      </c>
      <c r="D10344" s="32" t="s">
        <v>28247</v>
      </c>
    </row>
    <row r="10345" spans="2:4" x14ac:dyDescent="0.3">
      <c r="B10345" s="33" t="s">
        <v>28248</v>
      </c>
      <c r="C10345" s="32" t="s">
        <v>28249</v>
      </c>
      <c r="D10345" s="32" t="s">
        <v>28250</v>
      </c>
    </row>
    <row r="10346" spans="2:4" x14ac:dyDescent="0.3">
      <c r="B10346" s="33" t="s">
        <v>10674</v>
      </c>
      <c r="C10346" s="32" t="s">
        <v>28251</v>
      </c>
      <c r="D10346" s="32" t="s">
        <v>28252</v>
      </c>
    </row>
    <row r="10347" spans="2:4" x14ac:dyDescent="0.3">
      <c r="B10347" s="33" t="s">
        <v>19423</v>
      </c>
      <c r="C10347" s="32" t="s">
        <v>28253</v>
      </c>
      <c r="D10347" s="32" t="s">
        <v>28254</v>
      </c>
    </row>
    <row r="10348" spans="2:4" x14ac:dyDescent="0.3">
      <c r="B10348" s="33" t="s">
        <v>28255</v>
      </c>
      <c r="C10348" s="32" t="s">
        <v>28256</v>
      </c>
      <c r="D10348" s="32" t="s">
        <v>28257</v>
      </c>
    </row>
    <row r="10349" spans="2:4" x14ac:dyDescent="0.3">
      <c r="B10349" s="33" t="s">
        <v>28258</v>
      </c>
      <c r="C10349" s="32" t="s">
        <v>28259</v>
      </c>
      <c r="D10349" s="32" t="s">
        <v>28260</v>
      </c>
    </row>
    <row r="10350" spans="2:4" x14ac:dyDescent="0.3">
      <c r="B10350" s="33" t="s">
        <v>28261</v>
      </c>
      <c r="C10350" s="32" t="s">
        <v>28262</v>
      </c>
      <c r="D10350" s="32" t="s">
        <v>28261</v>
      </c>
    </row>
    <row r="10351" spans="2:4" x14ac:dyDescent="0.3">
      <c r="B10351" s="33" t="s">
        <v>28263</v>
      </c>
      <c r="C10351" s="32" t="s">
        <v>28264</v>
      </c>
      <c r="D10351" s="32" t="s">
        <v>28265</v>
      </c>
    </row>
    <row r="10352" spans="2:4" x14ac:dyDescent="0.3">
      <c r="B10352" s="33" t="s">
        <v>28266</v>
      </c>
      <c r="C10352" s="32" t="s">
        <v>28267</v>
      </c>
      <c r="D10352" s="32" t="s">
        <v>28268</v>
      </c>
    </row>
    <row r="10353" spans="2:4" x14ac:dyDescent="0.3">
      <c r="B10353" s="33" t="s">
        <v>28269</v>
      </c>
      <c r="C10353" s="32" t="s">
        <v>28270</v>
      </c>
      <c r="D10353" s="32" t="s">
        <v>28271</v>
      </c>
    </row>
    <row r="10354" spans="2:4" x14ac:dyDescent="0.3">
      <c r="B10354" s="33" t="s">
        <v>28272</v>
      </c>
      <c r="C10354" s="32" t="s">
        <v>28273</v>
      </c>
      <c r="D10354" s="32" t="s">
        <v>28274</v>
      </c>
    </row>
    <row r="10355" spans="2:4" x14ac:dyDescent="0.3">
      <c r="B10355" s="33" t="s">
        <v>28275</v>
      </c>
      <c r="C10355" s="32" t="s">
        <v>28276</v>
      </c>
      <c r="D10355" s="32" t="s">
        <v>28277</v>
      </c>
    </row>
    <row r="10356" spans="2:4" x14ac:dyDescent="0.3">
      <c r="B10356" s="33" t="s">
        <v>28278</v>
      </c>
      <c r="C10356" s="32" t="s">
        <v>28279</v>
      </c>
      <c r="D10356" s="32" t="s">
        <v>28280</v>
      </c>
    </row>
    <row r="10357" spans="2:4" x14ac:dyDescent="0.3">
      <c r="B10357" s="33" t="s">
        <v>28263</v>
      </c>
      <c r="C10357" s="32" t="s">
        <v>28281</v>
      </c>
      <c r="D10357" s="32" t="s">
        <v>28282</v>
      </c>
    </row>
    <row r="10358" spans="2:4" x14ac:dyDescent="0.3">
      <c r="B10358" s="33" t="s">
        <v>28283</v>
      </c>
      <c r="C10358" s="32" t="s">
        <v>28284</v>
      </c>
      <c r="D10358" s="32" t="s">
        <v>28285</v>
      </c>
    </row>
    <row r="10359" spans="2:4" x14ac:dyDescent="0.3">
      <c r="B10359" s="33" t="s">
        <v>28286</v>
      </c>
      <c r="C10359" s="32" t="s">
        <v>28287</v>
      </c>
      <c r="D10359" s="32" t="s">
        <v>28288</v>
      </c>
    </row>
    <row r="10360" spans="2:4" x14ac:dyDescent="0.3">
      <c r="B10360" s="33" t="s">
        <v>28289</v>
      </c>
      <c r="C10360" s="32" t="s">
        <v>28290</v>
      </c>
      <c r="D10360" s="32" t="s">
        <v>28291</v>
      </c>
    </row>
    <row r="10361" spans="2:4" x14ac:dyDescent="0.3">
      <c r="B10361" s="33" t="s">
        <v>28292</v>
      </c>
      <c r="C10361" s="32" t="s">
        <v>28293</v>
      </c>
      <c r="D10361" s="32" t="s">
        <v>28294</v>
      </c>
    </row>
    <row r="10362" spans="2:4" x14ac:dyDescent="0.3">
      <c r="B10362" s="33" t="s">
        <v>28295</v>
      </c>
      <c r="C10362" s="32" t="s">
        <v>28296</v>
      </c>
      <c r="D10362" s="32" t="s">
        <v>28297</v>
      </c>
    </row>
    <row r="10363" spans="2:4" x14ac:dyDescent="0.3">
      <c r="B10363" s="33" t="s">
        <v>27810</v>
      </c>
      <c r="C10363" s="32" t="s">
        <v>28298</v>
      </c>
      <c r="D10363" s="32" t="s">
        <v>28299</v>
      </c>
    </row>
    <row r="10364" spans="2:4" x14ac:dyDescent="0.3">
      <c r="B10364" s="33" t="s">
        <v>28300</v>
      </c>
      <c r="C10364" s="32" t="s">
        <v>28301</v>
      </c>
      <c r="D10364" s="32" t="s">
        <v>28302</v>
      </c>
    </row>
    <row r="10365" spans="2:4" x14ac:dyDescent="0.3">
      <c r="B10365" s="33" t="s">
        <v>28303</v>
      </c>
      <c r="C10365" s="32" t="s">
        <v>28304</v>
      </c>
      <c r="D10365" s="32" t="s">
        <v>28305</v>
      </c>
    </row>
    <row r="10366" spans="2:4" x14ac:dyDescent="0.3">
      <c r="B10366" s="33" t="s">
        <v>28306</v>
      </c>
      <c r="C10366" s="32" t="s">
        <v>28307</v>
      </c>
      <c r="D10366" s="32" t="s">
        <v>28308</v>
      </c>
    </row>
    <row r="10367" spans="2:4" x14ac:dyDescent="0.3">
      <c r="B10367" s="33" t="s">
        <v>28228</v>
      </c>
      <c r="C10367" s="32" t="s">
        <v>28309</v>
      </c>
      <c r="D10367" s="32" t="s">
        <v>28310</v>
      </c>
    </row>
    <row r="10368" spans="2:4" x14ac:dyDescent="0.3">
      <c r="B10368" s="33" t="s">
        <v>28311</v>
      </c>
      <c r="C10368" s="32" t="s">
        <v>28312</v>
      </c>
      <c r="D10368" s="32" t="s">
        <v>28313</v>
      </c>
    </row>
    <row r="10369" spans="2:4" x14ac:dyDescent="0.3">
      <c r="B10369" s="33" t="s">
        <v>28314</v>
      </c>
      <c r="C10369" s="32" t="s">
        <v>28315</v>
      </c>
      <c r="D10369" s="32" t="s">
        <v>28316</v>
      </c>
    </row>
    <row r="10370" spans="2:4" x14ac:dyDescent="0.3">
      <c r="B10370" s="33" t="s">
        <v>28317</v>
      </c>
      <c r="C10370" s="32" t="s">
        <v>28318</v>
      </c>
      <c r="D10370" s="32" t="s">
        <v>28319</v>
      </c>
    </row>
    <row r="10371" spans="2:4" x14ac:dyDescent="0.3">
      <c r="B10371" s="33" t="s">
        <v>28320</v>
      </c>
      <c r="C10371" s="32" t="s">
        <v>28321</v>
      </c>
      <c r="D10371" s="32" t="s">
        <v>28322</v>
      </c>
    </row>
    <row r="10372" spans="2:4" x14ac:dyDescent="0.3">
      <c r="B10372" s="33" t="s">
        <v>28323</v>
      </c>
      <c r="C10372" s="32" t="s">
        <v>28324</v>
      </c>
      <c r="D10372" s="32" t="s">
        <v>28323</v>
      </c>
    </row>
    <row r="10373" spans="2:4" x14ac:dyDescent="0.3">
      <c r="B10373" s="33" t="s">
        <v>28325</v>
      </c>
      <c r="C10373" s="32" t="s">
        <v>28326</v>
      </c>
      <c r="D10373" s="32" t="s">
        <v>28327</v>
      </c>
    </row>
    <row r="10374" spans="2:4" x14ac:dyDescent="0.3">
      <c r="B10374" s="33" t="s">
        <v>28328</v>
      </c>
      <c r="C10374" s="32" t="s">
        <v>28329</v>
      </c>
      <c r="D10374" s="32" t="s">
        <v>28330</v>
      </c>
    </row>
    <row r="10375" spans="2:4" x14ac:dyDescent="0.3">
      <c r="B10375" s="33" t="s">
        <v>28331</v>
      </c>
      <c r="C10375" s="32" t="s">
        <v>28332</v>
      </c>
      <c r="D10375" s="32" t="s">
        <v>28333</v>
      </c>
    </row>
    <row r="10376" spans="2:4" x14ac:dyDescent="0.3">
      <c r="B10376" s="33" t="s">
        <v>18445</v>
      </c>
      <c r="C10376" s="32" t="s">
        <v>28334</v>
      </c>
      <c r="D10376" s="32" t="s">
        <v>28335</v>
      </c>
    </row>
    <row r="10377" spans="2:4" x14ac:dyDescent="0.3">
      <c r="B10377" s="33" t="s">
        <v>28336</v>
      </c>
      <c r="C10377" s="32" t="s">
        <v>28337</v>
      </c>
      <c r="D10377" s="32" t="s">
        <v>28338</v>
      </c>
    </row>
    <row r="10378" spans="2:4" x14ac:dyDescent="0.3">
      <c r="B10378" s="33" t="s">
        <v>28339</v>
      </c>
      <c r="C10378" s="32" t="s">
        <v>28340</v>
      </c>
      <c r="D10378" s="32" t="s">
        <v>28341</v>
      </c>
    </row>
    <row r="10379" spans="2:4" x14ac:dyDescent="0.3">
      <c r="B10379" s="33" t="s">
        <v>28342</v>
      </c>
      <c r="C10379" s="32" t="s">
        <v>28343</v>
      </c>
      <c r="D10379" s="32" t="s">
        <v>28344</v>
      </c>
    </row>
    <row r="10380" spans="2:4" x14ac:dyDescent="0.3">
      <c r="B10380" s="33" t="s">
        <v>21891</v>
      </c>
      <c r="C10380" s="32" t="s">
        <v>28345</v>
      </c>
      <c r="D10380" s="32" t="s">
        <v>28346</v>
      </c>
    </row>
    <row r="10381" spans="2:4" x14ac:dyDescent="0.3">
      <c r="B10381" s="33" t="s">
        <v>28347</v>
      </c>
      <c r="C10381" s="32" t="s">
        <v>28348</v>
      </c>
      <c r="D10381" s="32" t="s">
        <v>28349</v>
      </c>
    </row>
    <row r="10382" spans="2:4" x14ac:dyDescent="0.3">
      <c r="B10382" s="33" t="s">
        <v>20514</v>
      </c>
      <c r="C10382" s="32" t="s">
        <v>28350</v>
      </c>
      <c r="D10382" s="32" t="s">
        <v>28351</v>
      </c>
    </row>
    <row r="10383" spans="2:4" x14ac:dyDescent="0.3">
      <c r="B10383" s="33" t="s">
        <v>20514</v>
      </c>
      <c r="C10383" s="32" t="s">
        <v>28352</v>
      </c>
      <c r="D10383" s="32" t="s">
        <v>28353</v>
      </c>
    </row>
    <row r="10384" spans="2:4" x14ac:dyDescent="0.3">
      <c r="B10384" s="33" t="s">
        <v>28354</v>
      </c>
      <c r="C10384" s="32" t="s">
        <v>28355</v>
      </c>
      <c r="D10384" s="32" t="s">
        <v>28356</v>
      </c>
    </row>
    <row r="10385" spans="2:4" x14ac:dyDescent="0.3">
      <c r="B10385" s="33" t="s">
        <v>28357</v>
      </c>
      <c r="C10385" s="32" t="s">
        <v>28358</v>
      </c>
      <c r="D10385" s="32" t="s">
        <v>28359</v>
      </c>
    </row>
    <row r="10386" spans="2:4" x14ac:dyDescent="0.3">
      <c r="B10386" s="33" t="s">
        <v>28360</v>
      </c>
      <c r="C10386" s="32" t="s">
        <v>28361</v>
      </c>
      <c r="D10386" s="32" t="s">
        <v>28360</v>
      </c>
    </row>
    <row r="10387" spans="2:4" x14ac:dyDescent="0.3">
      <c r="B10387" s="33" t="s">
        <v>28362</v>
      </c>
      <c r="C10387" s="32" t="s">
        <v>28363</v>
      </c>
      <c r="D10387" s="32" t="s">
        <v>28364</v>
      </c>
    </row>
    <row r="10388" spans="2:4" x14ac:dyDescent="0.3">
      <c r="B10388" s="33" t="s">
        <v>28365</v>
      </c>
      <c r="C10388" s="32" t="s">
        <v>28366</v>
      </c>
      <c r="D10388" s="32" t="s">
        <v>28367</v>
      </c>
    </row>
    <row r="10389" spans="2:4" x14ac:dyDescent="0.3">
      <c r="B10389" s="33" t="s">
        <v>28368</v>
      </c>
      <c r="C10389" s="32" t="s">
        <v>28369</v>
      </c>
      <c r="D10389" s="32" t="s">
        <v>28370</v>
      </c>
    </row>
    <row r="10390" spans="2:4" x14ac:dyDescent="0.3">
      <c r="B10390" s="33" t="s">
        <v>37402</v>
      </c>
      <c r="C10390" s="32" t="s">
        <v>37403</v>
      </c>
      <c r="D10390" s="32" t="s">
        <v>37404</v>
      </c>
    </row>
    <row r="10391" spans="2:4" x14ac:dyDescent="0.3">
      <c r="B10391" s="33" t="s">
        <v>28371</v>
      </c>
      <c r="C10391" s="32" t="s">
        <v>28372</v>
      </c>
      <c r="D10391" s="32" t="s">
        <v>28373</v>
      </c>
    </row>
    <row r="10392" spans="2:4" x14ac:dyDescent="0.3">
      <c r="B10392" s="33" t="s">
        <v>28374</v>
      </c>
      <c r="C10392" s="32" t="s">
        <v>28375</v>
      </c>
      <c r="D10392" s="32" t="s">
        <v>28376</v>
      </c>
    </row>
    <row r="10393" spans="2:4" x14ac:dyDescent="0.3">
      <c r="B10393" s="33" t="s">
        <v>28377</v>
      </c>
      <c r="C10393" s="32" t="s">
        <v>28378</v>
      </c>
      <c r="D10393" s="32" t="s">
        <v>28379</v>
      </c>
    </row>
    <row r="10394" spans="2:4" x14ac:dyDescent="0.3">
      <c r="B10394" s="33" t="s">
        <v>28380</v>
      </c>
      <c r="C10394" s="32" t="s">
        <v>28381</v>
      </c>
      <c r="D10394" s="32" t="s">
        <v>28382</v>
      </c>
    </row>
    <row r="10395" spans="2:4" x14ac:dyDescent="0.3">
      <c r="B10395" s="33" t="s">
        <v>17669</v>
      </c>
      <c r="C10395" s="32" t="s">
        <v>28383</v>
      </c>
      <c r="D10395" s="32" t="s">
        <v>28384</v>
      </c>
    </row>
    <row r="10396" spans="2:4" x14ac:dyDescent="0.3">
      <c r="B10396" s="33" t="s">
        <v>28385</v>
      </c>
      <c r="C10396" s="32" t="s">
        <v>28386</v>
      </c>
      <c r="D10396" s="32" t="s">
        <v>36887</v>
      </c>
    </row>
    <row r="10397" spans="2:4" x14ac:dyDescent="0.3">
      <c r="B10397" s="33" t="s">
        <v>28387</v>
      </c>
      <c r="C10397" s="32" t="s">
        <v>28388</v>
      </c>
      <c r="D10397" s="32" t="s">
        <v>28389</v>
      </c>
    </row>
    <row r="10398" spans="2:4" x14ac:dyDescent="0.3">
      <c r="B10398" s="33" t="s">
        <v>28390</v>
      </c>
      <c r="C10398" s="32" t="s">
        <v>28391</v>
      </c>
      <c r="D10398" s="32" t="s">
        <v>28390</v>
      </c>
    </row>
    <row r="10399" spans="2:4" x14ac:dyDescent="0.3">
      <c r="B10399" s="33" t="s">
        <v>17523</v>
      </c>
      <c r="C10399" s="32" t="s">
        <v>28392</v>
      </c>
      <c r="D10399" s="32" t="s">
        <v>28393</v>
      </c>
    </row>
    <row r="10400" spans="2:4" x14ac:dyDescent="0.3">
      <c r="B10400" s="33" t="s">
        <v>28394</v>
      </c>
      <c r="C10400" s="32" t="s">
        <v>28395</v>
      </c>
      <c r="D10400" s="32" t="s">
        <v>28396</v>
      </c>
    </row>
    <row r="10401" spans="2:4" x14ac:dyDescent="0.3">
      <c r="B10401" s="33" t="s">
        <v>28397</v>
      </c>
      <c r="C10401" s="32" t="s">
        <v>28398</v>
      </c>
      <c r="D10401" s="32" t="s">
        <v>28399</v>
      </c>
    </row>
    <row r="10402" spans="2:4" x14ac:dyDescent="0.3">
      <c r="B10402" s="33" t="s">
        <v>28400</v>
      </c>
      <c r="C10402" s="32" t="s">
        <v>28401</v>
      </c>
      <c r="D10402" s="32" t="s">
        <v>28402</v>
      </c>
    </row>
    <row r="10403" spans="2:4" x14ac:dyDescent="0.3">
      <c r="B10403" s="33" t="s">
        <v>28403</v>
      </c>
      <c r="C10403" s="32" t="s">
        <v>28404</v>
      </c>
      <c r="D10403" s="32" t="s">
        <v>28405</v>
      </c>
    </row>
    <row r="10404" spans="2:4" x14ac:dyDescent="0.3">
      <c r="B10404" s="33" t="s">
        <v>28403</v>
      </c>
      <c r="C10404" s="32" t="s">
        <v>28406</v>
      </c>
      <c r="D10404" s="32" t="s">
        <v>28407</v>
      </c>
    </row>
    <row r="10405" spans="2:4" x14ac:dyDescent="0.3">
      <c r="B10405" s="33" t="s">
        <v>28408</v>
      </c>
      <c r="C10405" s="32" t="s">
        <v>28409</v>
      </c>
      <c r="D10405" s="32" t="s">
        <v>28410</v>
      </c>
    </row>
    <row r="10406" spans="2:4" x14ac:dyDescent="0.3">
      <c r="B10406" s="33" t="s">
        <v>28411</v>
      </c>
      <c r="C10406" s="32" t="s">
        <v>28412</v>
      </c>
      <c r="D10406" s="32" t="s">
        <v>28411</v>
      </c>
    </row>
    <row r="10407" spans="2:4" x14ac:dyDescent="0.3">
      <c r="B10407" s="33" t="s">
        <v>28413</v>
      </c>
      <c r="C10407" s="32" t="s">
        <v>28414</v>
      </c>
      <c r="D10407" s="32" t="s">
        <v>28415</v>
      </c>
    </row>
    <row r="10408" spans="2:4" x14ac:dyDescent="0.3">
      <c r="B10408" s="33" t="s">
        <v>28416</v>
      </c>
      <c r="C10408" s="32" t="s">
        <v>28417</v>
      </c>
      <c r="D10408" s="32" t="s">
        <v>28418</v>
      </c>
    </row>
    <row r="10409" spans="2:4" x14ac:dyDescent="0.3">
      <c r="B10409" s="33" t="s">
        <v>28419</v>
      </c>
      <c r="C10409" s="32" t="s">
        <v>28420</v>
      </c>
      <c r="D10409" s="32" t="s">
        <v>28421</v>
      </c>
    </row>
    <row r="10410" spans="2:4" x14ac:dyDescent="0.3">
      <c r="B10410" s="33" t="s">
        <v>28422</v>
      </c>
      <c r="C10410" s="32" t="s">
        <v>28423</v>
      </c>
      <c r="D10410" s="32" t="s">
        <v>28424</v>
      </c>
    </row>
    <row r="10411" spans="2:4" x14ac:dyDescent="0.3">
      <c r="B10411" s="33" t="s">
        <v>28419</v>
      </c>
      <c r="C10411" s="32" t="s">
        <v>28425</v>
      </c>
      <c r="D10411" s="32" t="s">
        <v>28426</v>
      </c>
    </row>
    <row r="10412" spans="2:4" x14ac:dyDescent="0.3">
      <c r="B10412" s="33" t="s">
        <v>28427</v>
      </c>
      <c r="C10412" s="32" t="s">
        <v>28428</v>
      </c>
      <c r="D10412" s="32" t="s">
        <v>28429</v>
      </c>
    </row>
    <row r="10413" spans="2:4" x14ac:dyDescent="0.3">
      <c r="B10413" s="33" t="s">
        <v>28430</v>
      </c>
      <c r="C10413" s="32" t="s">
        <v>28431</v>
      </c>
      <c r="D10413" s="32" t="s">
        <v>28432</v>
      </c>
    </row>
    <row r="10414" spans="2:4" x14ac:dyDescent="0.3">
      <c r="B10414" s="33" t="s">
        <v>28433</v>
      </c>
      <c r="C10414" s="32" t="s">
        <v>28434</v>
      </c>
      <c r="D10414" s="32" t="s">
        <v>28435</v>
      </c>
    </row>
    <row r="10415" spans="2:4" x14ac:dyDescent="0.3">
      <c r="B10415" s="33" t="s">
        <v>28436</v>
      </c>
      <c r="C10415" s="32" t="s">
        <v>28437</v>
      </c>
      <c r="D10415" s="32" t="s">
        <v>28438</v>
      </c>
    </row>
    <row r="10416" spans="2:4" x14ac:dyDescent="0.3">
      <c r="B10416" s="33" t="s">
        <v>28439</v>
      </c>
      <c r="C10416" s="32" t="s">
        <v>28440</v>
      </c>
      <c r="D10416" s="32" t="s">
        <v>28441</v>
      </c>
    </row>
    <row r="10417" spans="2:4" x14ac:dyDescent="0.3">
      <c r="B10417" s="33" t="s">
        <v>28442</v>
      </c>
      <c r="C10417" s="32" t="s">
        <v>28443</v>
      </c>
      <c r="D10417" s="32" t="s">
        <v>28444</v>
      </c>
    </row>
    <row r="10418" spans="2:4" x14ac:dyDescent="0.3">
      <c r="B10418" s="33" t="s">
        <v>28445</v>
      </c>
      <c r="C10418" s="32" t="s">
        <v>28446</v>
      </c>
      <c r="D10418" s="32" t="s">
        <v>28447</v>
      </c>
    </row>
    <row r="10419" spans="2:4" x14ac:dyDescent="0.3">
      <c r="B10419" s="33" t="s">
        <v>28448</v>
      </c>
      <c r="C10419" s="32" t="s">
        <v>28449</v>
      </c>
      <c r="D10419" s="32" t="s">
        <v>28450</v>
      </c>
    </row>
    <row r="10420" spans="2:4" x14ac:dyDescent="0.3">
      <c r="B10420" s="33" t="s">
        <v>28451</v>
      </c>
      <c r="C10420" s="32" t="s">
        <v>28452</v>
      </c>
      <c r="D10420" s="32" t="s">
        <v>28453</v>
      </c>
    </row>
    <row r="10421" spans="2:4" x14ac:dyDescent="0.3">
      <c r="B10421" s="33" t="s">
        <v>28454</v>
      </c>
      <c r="C10421" s="32" t="s">
        <v>28455</v>
      </c>
      <c r="D10421" s="32" t="s">
        <v>28454</v>
      </c>
    </row>
    <row r="10422" spans="2:4" x14ac:dyDescent="0.3">
      <c r="B10422" s="33" t="s">
        <v>28456</v>
      </c>
      <c r="C10422" s="32" t="s">
        <v>28457</v>
      </c>
      <c r="D10422" s="32" t="s">
        <v>28458</v>
      </c>
    </row>
    <row r="10423" spans="2:4" x14ac:dyDescent="0.3">
      <c r="B10423" s="33" t="s">
        <v>28459</v>
      </c>
      <c r="C10423" s="32" t="s">
        <v>28460</v>
      </c>
      <c r="D10423" s="32" t="s">
        <v>36757</v>
      </c>
    </row>
    <row r="10424" spans="2:4" x14ac:dyDescent="0.3">
      <c r="B10424" s="33" t="s">
        <v>28461</v>
      </c>
      <c r="C10424" s="32" t="s">
        <v>28462</v>
      </c>
      <c r="D10424" s="32" t="s">
        <v>28463</v>
      </c>
    </row>
    <row r="10425" spans="2:4" x14ac:dyDescent="0.3">
      <c r="B10425" s="33" t="s">
        <v>28464</v>
      </c>
      <c r="C10425" s="32" t="s">
        <v>28465</v>
      </c>
      <c r="D10425" s="32" t="s">
        <v>28466</v>
      </c>
    </row>
    <row r="10426" spans="2:4" x14ac:dyDescent="0.3">
      <c r="B10426" s="33" t="s">
        <v>28467</v>
      </c>
      <c r="C10426" s="32" t="s">
        <v>28468</v>
      </c>
      <c r="D10426" s="32" t="s">
        <v>36758</v>
      </c>
    </row>
    <row r="10427" spans="2:4" x14ac:dyDescent="0.3">
      <c r="B10427" s="33" t="s">
        <v>28469</v>
      </c>
      <c r="C10427" s="32" t="s">
        <v>28470</v>
      </c>
      <c r="D10427" s="32" t="s">
        <v>28471</v>
      </c>
    </row>
    <row r="10428" spans="2:4" x14ac:dyDescent="0.3">
      <c r="B10428" s="33" t="s">
        <v>28472</v>
      </c>
      <c r="C10428" s="32" t="s">
        <v>28473</v>
      </c>
      <c r="D10428" s="32" t="s">
        <v>28474</v>
      </c>
    </row>
    <row r="10429" spans="2:4" x14ac:dyDescent="0.3">
      <c r="B10429" s="33" t="s">
        <v>28475</v>
      </c>
      <c r="C10429" s="32" t="s">
        <v>28476</v>
      </c>
      <c r="D10429" s="32" t="s">
        <v>28477</v>
      </c>
    </row>
    <row r="10430" spans="2:4" x14ac:dyDescent="0.3">
      <c r="B10430" s="33" t="s">
        <v>28472</v>
      </c>
      <c r="C10430" s="32" t="s">
        <v>28478</v>
      </c>
      <c r="D10430" s="32" t="s">
        <v>28479</v>
      </c>
    </row>
    <row r="10431" spans="2:4" x14ac:dyDescent="0.3">
      <c r="B10431" s="33" t="s">
        <v>28480</v>
      </c>
      <c r="C10431" s="32" t="s">
        <v>28481</v>
      </c>
      <c r="D10431" s="32" t="s">
        <v>28482</v>
      </c>
    </row>
    <row r="10432" spans="2:4" x14ac:dyDescent="0.3">
      <c r="B10432" s="33" t="s">
        <v>28483</v>
      </c>
      <c r="C10432" s="32" t="s">
        <v>28484</v>
      </c>
      <c r="D10432" s="32" t="s">
        <v>28485</v>
      </c>
    </row>
    <row r="10433" spans="2:4" x14ac:dyDescent="0.3">
      <c r="B10433" s="33" t="s">
        <v>28486</v>
      </c>
      <c r="C10433" s="32" t="s">
        <v>28487</v>
      </c>
      <c r="D10433" s="32" t="s">
        <v>28488</v>
      </c>
    </row>
    <row r="10434" spans="2:4" x14ac:dyDescent="0.3">
      <c r="B10434" s="33" t="s">
        <v>28489</v>
      </c>
      <c r="C10434" s="32" t="s">
        <v>28490</v>
      </c>
      <c r="D10434" s="32" t="s">
        <v>28491</v>
      </c>
    </row>
    <row r="10435" spans="2:4" x14ac:dyDescent="0.3">
      <c r="B10435" s="33" t="s">
        <v>28492</v>
      </c>
      <c r="C10435" s="32" t="s">
        <v>28493</v>
      </c>
      <c r="D10435" s="32" t="s">
        <v>28494</v>
      </c>
    </row>
    <row r="10436" spans="2:4" x14ac:dyDescent="0.3">
      <c r="B10436" s="33" t="s">
        <v>28495</v>
      </c>
      <c r="C10436" s="32" t="s">
        <v>28496</v>
      </c>
      <c r="D10436" s="32" t="s">
        <v>28497</v>
      </c>
    </row>
    <row r="10437" spans="2:4" x14ac:dyDescent="0.3">
      <c r="B10437" s="33" t="s">
        <v>28498</v>
      </c>
      <c r="C10437" s="32" t="s">
        <v>28499</v>
      </c>
      <c r="D10437" s="32" t="s">
        <v>28498</v>
      </c>
    </row>
    <row r="10438" spans="2:4" x14ac:dyDescent="0.3">
      <c r="B10438" s="33" t="s">
        <v>28500</v>
      </c>
      <c r="C10438" s="32" t="s">
        <v>28501</v>
      </c>
      <c r="D10438" s="32" t="s">
        <v>28502</v>
      </c>
    </row>
    <row r="10439" spans="2:4" x14ac:dyDescent="0.3">
      <c r="B10439" s="33" t="s">
        <v>28503</v>
      </c>
      <c r="C10439" s="32" t="s">
        <v>28504</v>
      </c>
      <c r="D10439" s="32" t="s">
        <v>28505</v>
      </c>
    </row>
    <row r="10440" spans="2:4" x14ac:dyDescent="0.3">
      <c r="B10440" s="33" t="s">
        <v>37067</v>
      </c>
      <c r="C10440" s="32" t="s">
        <v>37068</v>
      </c>
      <c r="D10440" s="32" t="s">
        <v>37069</v>
      </c>
    </row>
    <row r="10441" spans="2:4" x14ac:dyDescent="0.3">
      <c r="B10441" s="33" t="s">
        <v>28506</v>
      </c>
      <c r="C10441" s="32" t="s">
        <v>28507</v>
      </c>
      <c r="D10441" s="32" t="s">
        <v>28508</v>
      </c>
    </row>
    <row r="10442" spans="2:4" x14ac:dyDescent="0.3">
      <c r="B10442" s="33" t="s">
        <v>28509</v>
      </c>
      <c r="C10442" s="32" t="s">
        <v>28510</v>
      </c>
      <c r="D10442" s="32" t="s">
        <v>28511</v>
      </c>
    </row>
    <row r="10443" spans="2:4" x14ac:dyDescent="0.3">
      <c r="B10443" s="33" t="s">
        <v>28512</v>
      </c>
      <c r="C10443" s="32" t="s">
        <v>28513</v>
      </c>
      <c r="D10443" s="32" t="s">
        <v>28514</v>
      </c>
    </row>
    <row r="10444" spans="2:4" x14ac:dyDescent="0.3">
      <c r="B10444" s="33" t="s">
        <v>14153</v>
      </c>
      <c r="C10444" s="32" t="s">
        <v>28515</v>
      </c>
      <c r="D10444" s="32" t="s">
        <v>37328</v>
      </c>
    </row>
    <row r="10445" spans="2:4" x14ac:dyDescent="0.3">
      <c r="B10445" s="33" t="s">
        <v>28516</v>
      </c>
      <c r="C10445" s="32" t="s">
        <v>28517</v>
      </c>
      <c r="D10445" s="32" t="s">
        <v>28518</v>
      </c>
    </row>
    <row r="10446" spans="2:4" x14ac:dyDescent="0.3">
      <c r="B10446" s="33" t="s">
        <v>28519</v>
      </c>
      <c r="C10446" s="32" t="s">
        <v>28520</v>
      </c>
      <c r="D10446" s="32" t="s">
        <v>28521</v>
      </c>
    </row>
    <row r="10447" spans="2:4" x14ac:dyDescent="0.3">
      <c r="B10447" s="33" t="s">
        <v>28519</v>
      </c>
      <c r="C10447" s="32" t="s">
        <v>28522</v>
      </c>
      <c r="D10447" s="32" t="s">
        <v>28523</v>
      </c>
    </row>
    <row r="10448" spans="2:4" x14ac:dyDescent="0.3">
      <c r="B10448" s="33" t="s">
        <v>28524</v>
      </c>
      <c r="C10448" s="32" t="s">
        <v>28525</v>
      </c>
      <c r="D10448" s="32" t="s">
        <v>28526</v>
      </c>
    </row>
    <row r="10449" spans="2:4" x14ac:dyDescent="0.3">
      <c r="B10449" s="33" t="s">
        <v>28527</v>
      </c>
      <c r="C10449" s="32" t="s">
        <v>28528</v>
      </c>
      <c r="D10449" s="32" t="s">
        <v>28529</v>
      </c>
    </row>
    <row r="10450" spans="2:4" x14ac:dyDescent="0.3">
      <c r="B10450" s="33" t="s">
        <v>12597</v>
      </c>
      <c r="C10450" s="32" t="s">
        <v>28530</v>
      </c>
      <c r="D10450" s="32" t="s">
        <v>28531</v>
      </c>
    </row>
    <row r="10451" spans="2:4" x14ac:dyDescent="0.3">
      <c r="B10451" s="33" t="s">
        <v>28532</v>
      </c>
      <c r="C10451" s="32" t="s">
        <v>28533</v>
      </c>
      <c r="D10451" s="32" t="s">
        <v>28534</v>
      </c>
    </row>
    <row r="10452" spans="2:4" x14ac:dyDescent="0.3">
      <c r="B10452" s="33" t="s">
        <v>28532</v>
      </c>
      <c r="C10452" s="32" t="s">
        <v>28535</v>
      </c>
      <c r="D10452" s="32" t="s">
        <v>28536</v>
      </c>
    </row>
    <row r="10453" spans="2:4" x14ac:dyDescent="0.3">
      <c r="B10453" s="33" t="s">
        <v>28537</v>
      </c>
      <c r="C10453" s="32" t="s">
        <v>28538</v>
      </c>
      <c r="D10453" s="32" t="s">
        <v>28539</v>
      </c>
    </row>
    <row r="10454" spans="2:4" x14ac:dyDescent="0.3">
      <c r="B10454" s="33" t="s">
        <v>28509</v>
      </c>
      <c r="C10454" s="32" t="s">
        <v>28540</v>
      </c>
      <c r="D10454" s="32" t="s">
        <v>28541</v>
      </c>
    </row>
    <row r="10455" spans="2:4" x14ac:dyDescent="0.3">
      <c r="B10455" s="33" t="s">
        <v>28542</v>
      </c>
      <c r="C10455" s="32" t="s">
        <v>28543</v>
      </c>
      <c r="D10455" s="32" t="s">
        <v>28544</v>
      </c>
    </row>
    <row r="10456" spans="2:4" x14ac:dyDescent="0.3">
      <c r="B10456" s="33" t="s">
        <v>28545</v>
      </c>
      <c r="C10456" s="32" t="s">
        <v>28546</v>
      </c>
      <c r="D10456" s="32" t="s">
        <v>28547</v>
      </c>
    </row>
    <row r="10457" spans="2:4" x14ac:dyDescent="0.3">
      <c r="B10457" s="33" t="s">
        <v>28548</v>
      </c>
      <c r="C10457" s="32" t="s">
        <v>28549</v>
      </c>
      <c r="D10457" s="32" t="s">
        <v>28550</v>
      </c>
    </row>
    <row r="10458" spans="2:4" x14ac:dyDescent="0.3">
      <c r="B10458" s="33" t="s">
        <v>28551</v>
      </c>
      <c r="C10458" s="32" t="s">
        <v>28552</v>
      </c>
      <c r="D10458" s="32" t="s">
        <v>28553</v>
      </c>
    </row>
    <row r="10459" spans="2:4" x14ac:dyDescent="0.3">
      <c r="B10459" s="33" t="s">
        <v>28554</v>
      </c>
      <c r="C10459" s="32" t="s">
        <v>28555</v>
      </c>
      <c r="D10459" s="32" t="s">
        <v>28556</v>
      </c>
    </row>
    <row r="10460" spans="2:4" x14ac:dyDescent="0.3">
      <c r="B10460" s="33" t="s">
        <v>28557</v>
      </c>
      <c r="C10460" s="32" t="s">
        <v>28558</v>
      </c>
      <c r="D10460" s="32" t="s">
        <v>28559</v>
      </c>
    </row>
    <row r="10461" spans="2:4" x14ac:dyDescent="0.3">
      <c r="B10461" s="33" t="s">
        <v>28560</v>
      </c>
      <c r="C10461" s="32" t="s">
        <v>28561</v>
      </c>
      <c r="D10461" s="32" t="s">
        <v>28562</v>
      </c>
    </row>
    <row r="10462" spans="2:4" x14ac:dyDescent="0.3">
      <c r="B10462" s="33" t="s">
        <v>37329</v>
      </c>
      <c r="C10462" s="32" t="s">
        <v>37330</v>
      </c>
      <c r="D10462" s="32" t="s">
        <v>37424</v>
      </c>
    </row>
    <row r="10463" spans="2:4" x14ac:dyDescent="0.3">
      <c r="B10463" s="33" t="s">
        <v>28563</v>
      </c>
      <c r="C10463" s="32" t="s">
        <v>28564</v>
      </c>
      <c r="D10463" s="32" t="s">
        <v>28565</v>
      </c>
    </row>
    <row r="10464" spans="2:4" x14ac:dyDescent="0.3">
      <c r="B10464" s="33" t="s">
        <v>28566</v>
      </c>
      <c r="C10464" s="32" t="s">
        <v>28567</v>
      </c>
      <c r="D10464" s="32" t="s">
        <v>28568</v>
      </c>
    </row>
    <row r="10465" spans="2:4" x14ac:dyDescent="0.3">
      <c r="B10465" s="33" t="s">
        <v>28569</v>
      </c>
      <c r="C10465" s="32" t="s">
        <v>28570</v>
      </c>
      <c r="D10465" s="32" t="s">
        <v>28569</v>
      </c>
    </row>
    <row r="10466" spans="2:4" x14ac:dyDescent="0.3">
      <c r="B10466" s="33" t="s">
        <v>28571</v>
      </c>
      <c r="C10466" s="32" t="s">
        <v>28572</v>
      </c>
      <c r="D10466" s="32" t="s">
        <v>28573</v>
      </c>
    </row>
    <row r="10467" spans="2:4" x14ac:dyDescent="0.3">
      <c r="B10467" s="33" t="s">
        <v>28574</v>
      </c>
      <c r="C10467" s="32" t="s">
        <v>28575</v>
      </c>
      <c r="D10467" s="32" t="s">
        <v>28576</v>
      </c>
    </row>
    <row r="10468" spans="2:4" x14ac:dyDescent="0.3">
      <c r="B10468" s="33" t="s">
        <v>28577</v>
      </c>
      <c r="C10468" s="32" t="s">
        <v>28578</v>
      </c>
      <c r="D10468" s="32" t="s">
        <v>28579</v>
      </c>
    </row>
    <row r="10469" spans="2:4" x14ac:dyDescent="0.3">
      <c r="B10469" s="33" t="s">
        <v>28580</v>
      </c>
      <c r="C10469" s="32" t="s">
        <v>28581</v>
      </c>
      <c r="D10469" s="32" t="s">
        <v>28582</v>
      </c>
    </row>
    <row r="10470" spans="2:4" x14ac:dyDescent="0.3">
      <c r="B10470" s="33" t="s">
        <v>28580</v>
      </c>
      <c r="C10470" s="32" t="s">
        <v>28583</v>
      </c>
      <c r="D10470" s="32" t="s">
        <v>28584</v>
      </c>
    </row>
    <row r="10471" spans="2:4" x14ac:dyDescent="0.3">
      <c r="B10471" s="33" t="s">
        <v>28585</v>
      </c>
      <c r="C10471" s="32" t="s">
        <v>28586</v>
      </c>
      <c r="D10471" s="32" t="s">
        <v>28587</v>
      </c>
    </row>
    <row r="10472" spans="2:4" x14ac:dyDescent="0.3">
      <c r="B10472" s="33" t="s">
        <v>28588</v>
      </c>
      <c r="C10472" s="32" t="s">
        <v>28589</v>
      </c>
      <c r="D10472" s="32" t="s">
        <v>28590</v>
      </c>
    </row>
    <row r="10473" spans="2:4" x14ac:dyDescent="0.3">
      <c r="B10473" s="33" t="s">
        <v>28591</v>
      </c>
      <c r="C10473" s="32" t="s">
        <v>28592</v>
      </c>
      <c r="D10473" s="32" t="s">
        <v>28593</v>
      </c>
    </row>
    <row r="10474" spans="2:4" x14ac:dyDescent="0.3">
      <c r="B10474" s="33" t="s">
        <v>28594</v>
      </c>
      <c r="C10474" s="32" t="s">
        <v>28595</v>
      </c>
      <c r="D10474" s="32" t="s">
        <v>28596</v>
      </c>
    </row>
    <row r="10475" spans="2:4" x14ac:dyDescent="0.3">
      <c r="B10475" s="33" t="s">
        <v>28597</v>
      </c>
      <c r="C10475" s="32" t="s">
        <v>28598</v>
      </c>
      <c r="D10475" s="32" t="s">
        <v>28599</v>
      </c>
    </row>
    <row r="10476" spans="2:4" x14ac:dyDescent="0.3">
      <c r="B10476" s="33" t="s">
        <v>20745</v>
      </c>
      <c r="C10476" s="32" t="s">
        <v>28600</v>
      </c>
      <c r="D10476" s="32" t="s">
        <v>28601</v>
      </c>
    </row>
    <row r="10477" spans="2:4" x14ac:dyDescent="0.3">
      <c r="B10477" s="33" t="s">
        <v>28602</v>
      </c>
      <c r="C10477" s="32" t="s">
        <v>28603</v>
      </c>
      <c r="D10477" s="32" t="s">
        <v>28602</v>
      </c>
    </row>
    <row r="10478" spans="2:4" x14ac:dyDescent="0.3">
      <c r="B10478" s="33" t="s">
        <v>28604</v>
      </c>
      <c r="C10478" s="32" t="s">
        <v>28605</v>
      </c>
      <c r="D10478" s="32" t="s">
        <v>28606</v>
      </c>
    </row>
    <row r="10479" spans="2:4" x14ac:dyDescent="0.3">
      <c r="B10479" s="33" t="s">
        <v>28548</v>
      </c>
      <c r="C10479" s="32" t="s">
        <v>28607</v>
      </c>
      <c r="D10479" s="32" t="s">
        <v>28608</v>
      </c>
    </row>
    <row r="10480" spans="2:4" x14ac:dyDescent="0.3">
      <c r="B10480" s="33" t="s">
        <v>28548</v>
      </c>
      <c r="C10480" s="32" t="s">
        <v>28609</v>
      </c>
      <c r="D10480" s="32" t="s">
        <v>28610</v>
      </c>
    </row>
    <row r="10481" spans="2:4" x14ac:dyDescent="0.3">
      <c r="B10481" s="33" t="s">
        <v>7812</v>
      </c>
      <c r="C10481" s="32" t="s">
        <v>28611</v>
      </c>
      <c r="D10481" s="32" t="s">
        <v>28612</v>
      </c>
    </row>
    <row r="10482" spans="2:4" x14ac:dyDescent="0.3">
      <c r="B10482" s="33" t="s">
        <v>28613</v>
      </c>
      <c r="C10482" s="32" t="s">
        <v>28614</v>
      </c>
      <c r="D10482" s="32" t="s">
        <v>28615</v>
      </c>
    </row>
    <row r="10483" spans="2:4" x14ac:dyDescent="0.3">
      <c r="B10483" s="33" t="s">
        <v>28616</v>
      </c>
      <c r="C10483" s="32" t="s">
        <v>28617</v>
      </c>
      <c r="D10483" s="32" t="s">
        <v>28618</v>
      </c>
    </row>
    <row r="10484" spans="2:4" x14ac:dyDescent="0.3">
      <c r="B10484" s="33" t="s">
        <v>28619</v>
      </c>
      <c r="C10484" s="32" t="s">
        <v>28620</v>
      </c>
      <c r="D10484" s="32" t="s">
        <v>28621</v>
      </c>
    </row>
    <row r="10485" spans="2:4" x14ac:dyDescent="0.3">
      <c r="B10485" s="33" t="s">
        <v>28622</v>
      </c>
      <c r="C10485" s="32" t="s">
        <v>28623</v>
      </c>
      <c r="D10485" s="32" t="s">
        <v>28624</v>
      </c>
    </row>
    <row r="10486" spans="2:4" x14ac:dyDescent="0.3">
      <c r="B10486" s="33" t="s">
        <v>28625</v>
      </c>
      <c r="C10486" s="32" t="s">
        <v>28626</v>
      </c>
      <c r="D10486" s="32" t="s">
        <v>28627</v>
      </c>
    </row>
    <row r="10487" spans="2:4" x14ac:dyDescent="0.3">
      <c r="B10487" s="33" t="s">
        <v>28628</v>
      </c>
      <c r="C10487" s="32" t="s">
        <v>28629</v>
      </c>
      <c r="D10487" s="32" t="s">
        <v>28630</v>
      </c>
    </row>
    <row r="10488" spans="2:4" x14ac:dyDescent="0.3">
      <c r="B10488" s="33" t="s">
        <v>28631</v>
      </c>
      <c r="C10488" s="32" t="s">
        <v>28632</v>
      </c>
      <c r="D10488" s="32" t="s">
        <v>28633</v>
      </c>
    </row>
    <row r="10489" spans="2:4" x14ac:dyDescent="0.3">
      <c r="B10489" s="33" t="s">
        <v>28634</v>
      </c>
      <c r="C10489" s="32" t="s">
        <v>28635</v>
      </c>
      <c r="D10489" s="32" t="s">
        <v>28636</v>
      </c>
    </row>
    <row r="10490" spans="2:4" x14ac:dyDescent="0.3">
      <c r="B10490" s="33" t="s">
        <v>28637</v>
      </c>
      <c r="C10490" s="32" t="s">
        <v>28638</v>
      </c>
      <c r="D10490" s="32" t="s">
        <v>28639</v>
      </c>
    </row>
    <row r="10491" spans="2:4" x14ac:dyDescent="0.3">
      <c r="B10491" s="33" t="s">
        <v>28640</v>
      </c>
      <c r="C10491" s="32" t="s">
        <v>28641</v>
      </c>
      <c r="D10491" s="32" t="s">
        <v>28642</v>
      </c>
    </row>
    <row r="10492" spans="2:4" x14ac:dyDescent="0.3">
      <c r="B10492" s="33" t="s">
        <v>28643</v>
      </c>
      <c r="C10492" s="32" t="s">
        <v>28644</v>
      </c>
      <c r="D10492" s="32" t="s">
        <v>28645</v>
      </c>
    </row>
    <row r="10493" spans="2:4" x14ac:dyDescent="0.3">
      <c r="B10493" s="33" t="s">
        <v>28646</v>
      </c>
      <c r="C10493" s="32" t="s">
        <v>28647</v>
      </c>
      <c r="D10493" s="32" t="s">
        <v>28648</v>
      </c>
    </row>
    <row r="10494" spans="2:4" x14ac:dyDescent="0.3">
      <c r="B10494" s="33" t="s">
        <v>5010</v>
      </c>
      <c r="C10494" s="32" t="s">
        <v>28649</v>
      </c>
      <c r="D10494" s="32" t="s">
        <v>28650</v>
      </c>
    </row>
    <row r="10495" spans="2:4" x14ac:dyDescent="0.3">
      <c r="B10495" s="33" t="s">
        <v>28651</v>
      </c>
      <c r="C10495" s="32" t="s">
        <v>28652</v>
      </c>
      <c r="D10495" s="32" t="s">
        <v>28653</v>
      </c>
    </row>
    <row r="10496" spans="2:4" x14ac:dyDescent="0.3">
      <c r="B10496" s="33" t="s">
        <v>3576</v>
      </c>
      <c r="C10496" s="32" t="s">
        <v>28654</v>
      </c>
      <c r="D10496" s="32" t="s">
        <v>28655</v>
      </c>
    </row>
    <row r="10497" spans="2:4" x14ac:dyDescent="0.3">
      <c r="B10497" s="33" t="s">
        <v>28656</v>
      </c>
      <c r="C10497" s="32" t="s">
        <v>28657</v>
      </c>
      <c r="D10497" s="32" t="s">
        <v>28658</v>
      </c>
    </row>
    <row r="10498" spans="2:4" x14ac:dyDescent="0.3">
      <c r="B10498" s="33" t="s">
        <v>28659</v>
      </c>
      <c r="C10498" s="32" t="s">
        <v>28660</v>
      </c>
      <c r="D10498" s="32" t="s">
        <v>28661</v>
      </c>
    </row>
    <row r="10499" spans="2:4" x14ac:dyDescent="0.3">
      <c r="B10499" s="33" t="s">
        <v>28662</v>
      </c>
      <c r="C10499" s="32" t="s">
        <v>28663</v>
      </c>
      <c r="D10499" s="32" t="s">
        <v>28664</v>
      </c>
    </row>
    <row r="10500" spans="2:4" x14ac:dyDescent="0.3">
      <c r="B10500" s="33" t="s">
        <v>56</v>
      </c>
      <c r="C10500" s="32" t="s">
        <v>28665</v>
      </c>
      <c r="D10500" s="32" t="s">
        <v>57</v>
      </c>
    </row>
    <row r="10501" spans="2:4" x14ac:dyDescent="0.3">
      <c r="B10501" s="33" t="s">
        <v>28666</v>
      </c>
      <c r="C10501" s="32" t="s">
        <v>28667</v>
      </c>
      <c r="D10501" s="32" t="s">
        <v>28668</v>
      </c>
    </row>
    <row r="10502" spans="2:4" x14ac:dyDescent="0.3">
      <c r="B10502" s="33" t="s">
        <v>28669</v>
      </c>
      <c r="C10502" s="32" t="s">
        <v>28670</v>
      </c>
      <c r="D10502" s="32" t="s">
        <v>28671</v>
      </c>
    </row>
    <row r="10503" spans="2:4" x14ac:dyDescent="0.3">
      <c r="B10503" s="33" t="s">
        <v>28672</v>
      </c>
      <c r="C10503" s="32" t="s">
        <v>28673</v>
      </c>
      <c r="D10503" s="32" t="s">
        <v>28674</v>
      </c>
    </row>
    <row r="10504" spans="2:4" x14ac:dyDescent="0.3">
      <c r="B10504" s="33" t="s">
        <v>28675</v>
      </c>
      <c r="C10504" s="32" t="s">
        <v>28676</v>
      </c>
      <c r="D10504" s="32" t="s">
        <v>28677</v>
      </c>
    </row>
    <row r="10505" spans="2:4" x14ac:dyDescent="0.3">
      <c r="B10505" s="33" t="s">
        <v>56</v>
      </c>
      <c r="C10505" s="32" t="s">
        <v>28678</v>
      </c>
      <c r="D10505" s="32" t="s">
        <v>28679</v>
      </c>
    </row>
    <row r="10506" spans="2:4" x14ac:dyDescent="0.3">
      <c r="B10506" s="33" t="s">
        <v>28680</v>
      </c>
      <c r="C10506" s="32" t="s">
        <v>28681</v>
      </c>
      <c r="D10506" s="32" t="s">
        <v>28682</v>
      </c>
    </row>
    <row r="10507" spans="2:4" x14ac:dyDescent="0.3">
      <c r="B10507" s="33" t="s">
        <v>5010</v>
      </c>
      <c r="C10507" s="32" t="s">
        <v>28683</v>
      </c>
      <c r="D10507" s="32" t="s">
        <v>28684</v>
      </c>
    </row>
    <row r="10508" spans="2:4" x14ac:dyDescent="0.3">
      <c r="B10508" s="33" t="s">
        <v>28685</v>
      </c>
      <c r="C10508" s="32" t="s">
        <v>28686</v>
      </c>
      <c r="D10508" s="32" t="s">
        <v>28687</v>
      </c>
    </row>
    <row r="10509" spans="2:4" x14ac:dyDescent="0.3">
      <c r="B10509" s="33" t="s">
        <v>28688</v>
      </c>
      <c r="C10509" s="32" t="s">
        <v>28689</v>
      </c>
      <c r="D10509" s="32" t="s">
        <v>28690</v>
      </c>
    </row>
    <row r="10510" spans="2:4" x14ac:dyDescent="0.3">
      <c r="B10510" s="33" t="s">
        <v>28691</v>
      </c>
      <c r="C10510" s="32" t="s">
        <v>28692</v>
      </c>
      <c r="D10510" s="32" t="s">
        <v>28693</v>
      </c>
    </row>
    <row r="10511" spans="2:4" x14ac:dyDescent="0.3">
      <c r="B10511" s="33" t="s">
        <v>28694</v>
      </c>
      <c r="C10511" s="32" t="s">
        <v>28695</v>
      </c>
      <c r="D10511" s="32" t="s">
        <v>28696</v>
      </c>
    </row>
    <row r="10512" spans="2:4" x14ac:dyDescent="0.3">
      <c r="B10512" s="33" t="s">
        <v>28697</v>
      </c>
      <c r="C10512" s="32" t="s">
        <v>28698</v>
      </c>
      <c r="D10512" s="32" t="s">
        <v>28699</v>
      </c>
    </row>
    <row r="10513" spans="2:4" x14ac:dyDescent="0.3">
      <c r="B10513" s="33" t="s">
        <v>28700</v>
      </c>
      <c r="C10513" s="32" t="s">
        <v>28701</v>
      </c>
      <c r="D10513" s="32" t="s">
        <v>28702</v>
      </c>
    </row>
    <row r="10514" spans="2:4" x14ac:dyDescent="0.3">
      <c r="B10514" s="33" t="s">
        <v>28675</v>
      </c>
      <c r="C10514" s="32" t="s">
        <v>28703</v>
      </c>
      <c r="D10514" s="32" t="s">
        <v>28704</v>
      </c>
    </row>
    <row r="10515" spans="2:4" x14ac:dyDescent="0.3">
      <c r="B10515" s="33" t="s">
        <v>28705</v>
      </c>
      <c r="C10515" s="32" t="s">
        <v>28706</v>
      </c>
      <c r="D10515" s="32" t="s">
        <v>28707</v>
      </c>
    </row>
    <row r="10516" spans="2:4" x14ac:dyDescent="0.3">
      <c r="B10516" s="33" t="s">
        <v>28708</v>
      </c>
      <c r="C10516" s="32" t="s">
        <v>28709</v>
      </c>
      <c r="D10516" s="32" t="s">
        <v>28710</v>
      </c>
    </row>
    <row r="10517" spans="2:4" x14ac:dyDescent="0.3">
      <c r="B10517" s="33" t="s">
        <v>3245</v>
      </c>
      <c r="C10517" s="32" t="s">
        <v>28711</v>
      </c>
      <c r="D10517" s="32" t="s">
        <v>28712</v>
      </c>
    </row>
    <row r="10518" spans="2:4" x14ac:dyDescent="0.3">
      <c r="B10518" s="33" t="s">
        <v>28713</v>
      </c>
      <c r="C10518" s="32" t="s">
        <v>28714</v>
      </c>
      <c r="D10518" s="32" t="s">
        <v>28715</v>
      </c>
    </row>
    <row r="10519" spans="2:4" x14ac:dyDescent="0.3">
      <c r="B10519" s="33" t="s">
        <v>28716</v>
      </c>
      <c r="C10519" s="32" t="s">
        <v>28717</v>
      </c>
      <c r="D10519" s="32" t="s">
        <v>28718</v>
      </c>
    </row>
    <row r="10520" spans="2:4" x14ac:dyDescent="0.3">
      <c r="B10520" s="33" t="s">
        <v>28719</v>
      </c>
      <c r="C10520" s="32" t="s">
        <v>28720</v>
      </c>
      <c r="D10520" s="32" t="s">
        <v>28721</v>
      </c>
    </row>
    <row r="10521" spans="2:4" x14ac:dyDescent="0.3">
      <c r="B10521" s="33" t="s">
        <v>28722</v>
      </c>
      <c r="C10521" s="32" t="s">
        <v>28723</v>
      </c>
      <c r="D10521" s="32" t="s">
        <v>28724</v>
      </c>
    </row>
    <row r="10522" spans="2:4" x14ac:dyDescent="0.3">
      <c r="B10522" s="33" t="s">
        <v>28725</v>
      </c>
      <c r="C10522" s="32" t="s">
        <v>28726</v>
      </c>
      <c r="D10522" s="32" t="s">
        <v>28727</v>
      </c>
    </row>
    <row r="10523" spans="2:4" x14ac:dyDescent="0.3">
      <c r="B10523" s="33" t="s">
        <v>28728</v>
      </c>
      <c r="C10523" s="32" t="s">
        <v>28729</v>
      </c>
      <c r="D10523" s="32" t="s">
        <v>28730</v>
      </c>
    </row>
    <row r="10524" spans="2:4" x14ac:dyDescent="0.3">
      <c r="B10524" s="33" t="s">
        <v>28731</v>
      </c>
      <c r="C10524" s="32" t="s">
        <v>28732</v>
      </c>
      <c r="D10524" s="32" t="s">
        <v>28733</v>
      </c>
    </row>
    <row r="10525" spans="2:4" x14ac:dyDescent="0.3">
      <c r="B10525" s="33" t="s">
        <v>28734</v>
      </c>
      <c r="C10525" s="32" t="s">
        <v>28735</v>
      </c>
      <c r="D10525" s="32" t="s">
        <v>28736</v>
      </c>
    </row>
    <row r="10526" spans="2:4" x14ac:dyDescent="0.3">
      <c r="B10526" s="33" t="s">
        <v>28737</v>
      </c>
      <c r="C10526" s="32" t="s">
        <v>28738</v>
      </c>
      <c r="D10526" s="32" t="s">
        <v>28739</v>
      </c>
    </row>
    <row r="10527" spans="2:4" x14ac:dyDescent="0.3">
      <c r="B10527" s="33" t="s">
        <v>28740</v>
      </c>
      <c r="C10527" s="32" t="s">
        <v>28741</v>
      </c>
      <c r="D10527" s="32" t="s">
        <v>28742</v>
      </c>
    </row>
    <row r="10528" spans="2:4" x14ac:dyDescent="0.3">
      <c r="B10528" s="33" t="s">
        <v>28743</v>
      </c>
      <c r="C10528" s="32" t="s">
        <v>28744</v>
      </c>
      <c r="D10528" s="32" t="s">
        <v>28745</v>
      </c>
    </row>
    <row r="10529" spans="2:4" x14ac:dyDescent="0.3">
      <c r="B10529" s="33" t="s">
        <v>28746</v>
      </c>
      <c r="C10529" s="32" t="s">
        <v>28747</v>
      </c>
      <c r="D10529" s="32" t="s">
        <v>28748</v>
      </c>
    </row>
    <row r="10530" spans="2:4" x14ac:dyDescent="0.3">
      <c r="B10530" s="33" t="s">
        <v>28749</v>
      </c>
      <c r="C10530" s="32" t="s">
        <v>28750</v>
      </c>
      <c r="D10530" s="32" t="s">
        <v>28751</v>
      </c>
    </row>
    <row r="10531" spans="2:4" x14ac:dyDescent="0.3">
      <c r="B10531" s="33" t="s">
        <v>28752</v>
      </c>
      <c r="C10531" s="32" t="s">
        <v>28753</v>
      </c>
      <c r="D10531" s="32" t="s">
        <v>28754</v>
      </c>
    </row>
    <row r="10532" spans="2:4" x14ac:dyDescent="0.3">
      <c r="B10532" s="33" t="s">
        <v>28755</v>
      </c>
      <c r="C10532" s="32" t="s">
        <v>28756</v>
      </c>
      <c r="D10532" s="32" t="s">
        <v>28757</v>
      </c>
    </row>
    <row r="10533" spans="2:4" x14ac:dyDescent="0.3">
      <c r="B10533" s="33" t="s">
        <v>28758</v>
      </c>
      <c r="C10533" s="32" t="s">
        <v>28759</v>
      </c>
      <c r="D10533" s="32" t="s">
        <v>28760</v>
      </c>
    </row>
    <row r="10534" spans="2:4" x14ac:dyDescent="0.3">
      <c r="B10534" s="33" t="s">
        <v>28761</v>
      </c>
      <c r="C10534" s="32" t="s">
        <v>28762</v>
      </c>
      <c r="D10534" s="32" t="s">
        <v>28763</v>
      </c>
    </row>
    <row r="10535" spans="2:4" x14ac:dyDescent="0.3">
      <c r="B10535" s="33" t="s">
        <v>28764</v>
      </c>
      <c r="C10535" s="32" t="s">
        <v>28765</v>
      </c>
      <c r="D10535" s="32" t="s">
        <v>28766</v>
      </c>
    </row>
    <row r="10536" spans="2:4" x14ac:dyDescent="0.3">
      <c r="B10536" s="33" t="s">
        <v>28767</v>
      </c>
      <c r="C10536" s="32" t="s">
        <v>28768</v>
      </c>
      <c r="D10536" s="32" t="s">
        <v>28769</v>
      </c>
    </row>
    <row r="10537" spans="2:4" x14ac:dyDescent="0.3">
      <c r="B10537" s="33" t="s">
        <v>28770</v>
      </c>
      <c r="C10537" s="32" t="s">
        <v>28771</v>
      </c>
      <c r="D10537" s="32" t="s">
        <v>28772</v>
      </c>
    </row>
    <row r="10538" spans="2:4" x14ac:dyDescent="0.3">
      <c r="B10538" s="33" t="s">
        <v>28773</v>
      </c>
      <c r="C10538" s="32" t="s">
        <v>28774</v>
      </c>
      <c r="D10538" s="32" t="s">
        <v>28775</v>
      </c>
    </row>
    <row r="10539" spans="2:4" x14ac:dyDescent="0.3">
      <c r="B10539" s="33" t="s">
        <v>28776</v>
      </c>
      <c r="C10539" s="32" t="s">
        <v>28777</v>
      </c>
      <c r="D10539" s="32" t="s">
        <v>28776</v>
      </c>
    </row>
    <row r="10540" spans="2:4" x14ac:dyDescent="0.3">
      <c r="B10540" s="33" t="s">
        <v>28778</v>
      </c>
      <c r="C10540" s="32" t="s">
        <v>28779</v>
      </c>
      <c r="D10540" s="32" t="s">
        <v>28780</v>
      </c>
    </row>
    <row r="10541" spans="2:4" x14ac:dyDescent="0.3">
      <c r="B10541" s="33" t="s">
        <v>28781</v>
      </c>
      <c r="C10541" s="32" t="s">
        <v>28782</v>
      </c>
      <c r="D10541" s="32" t="s">
        <v>28783</v>
      </c>
    </row>
    <row r="10542" spans="2:4" x14ac:dyDescent="0.3">
      <c r="B10542" s="33" t="s">
        <v>28784</v>
      </c>
      <c r="C10542" s="32" t="s">
        <v>28785</v>
      </c>
      <c r="D10542" s="32" t="s">
        <v>28786</v>
      </c>
    </row>
    <row r="10543" spans="2:4" x14ac:dyDescent="0.3">
      <c r="B10543" s="33" t="s">
        <v>28675</v>
      </c>
      <c r="C10543" s="32" t="s">
        <v>37331</v>
      </c>
      <c r="D10543" s="32" t="s">
        <v>37332</v>
      </c>
    </row>
    <row r="10544" spans="2:4" x14ac:dyDescent="0.3">
      <c r="B10544" s="33" t="s">
        <v>28787</v>
      </c>
      <c r="C10544" s="32" t="s">
        <v>28788</v>
      </c>
      <c r="D10544" s="32" t="s">
        <v>28789</v>
      </c>
    </row>
    <row r="10545" spans="2:4" x14ac:dyDescent="0.3">
      <c r="B10545" s="33" t="s">
        <v>28790</v>
      </c>
      <c r="C10545" s="32" t="s">
        <v>28791</v>
      </c>
      <c r="D10545" s="32" t="s">
        <v>28792</v>
      </c>
    </row>
    <row r="10546" spans="2:4" x14ac:dyDescent="0.3">
      <c r="B10546" s="33" t="s">
        <v>28793</v>
      </c>
      <c r="C10546" s="32" t="s">
        <v>28794</v>
      </c>
      <c r="D10546" s="32" t="s">
        <v>28795</v>
      </c>
    </row>
    <row r="10547" spans="2:4" x14ac:dyDescent="0.3">
      <c r="B10547" s="33" t="s">
        <v>28796</v>
      </c>
      <c r="C10547" s="32" t="s">
        <v>28797</v>
      </c>
      <c r="D10547" s="32" t="s">
        <v>28798</v>
      </c>
    </row>
    <row r="10548" spans="2:4" x14ac:dyDescent="0.3">
      <c r="B10548" s="33" t="s">
        <v>28799</v>
      </c>
      <c r="C10548" s="32" t="s">
        <v>28800</v>
      </c>
      <c r="D10548" s="32" t="s">
        <v>28801</v>
      </c>
    </row>
    <row r="10549" spans="2:4" x14ac:dyDescent="0.3">
      <c r="B10549" s="33" t="s">
        <v>28802</v>
      </c>
      <c r="C10549" s="32" t="s">
        <v>28803</v>
      </c>
      <c r="D10549" s="32" t="s">
        <v>28804</v>
      </c>
    </row>
    <row r="10550" spans="2:4" x14ac:dyDescent="0.3">
      <c r="B10550" s="33" t="s">
        <v>28802</v>
      </c>
      <c r="C10550" s="32" t="s">
        <v>28805</v>
      </c>
      <c r="D10550" s="32" t="s">
        <v>28806</v>
      </c>
    </row>
    <row r="10551" spans="2:4" x14ac:dyDescent="0.3">
      <c r="B10551" s="33" t="s">
        <v>28807</v>
      </c>
      <c r="C10551" s="32" t="s">
        <v>28808</v>
      </c>
      <c r="D10551" s="32" t="s">
        <v>28809</v>
      </c>
    </row>
    <row r="10552" spans="2:4" x14ac:dyDescent="0.3">
      <c r="B10552" s="33" t="s">
        <v>28810</v>
      </c>
      <c r="C10552" s="32" t="s">
        <v>28811</v>
      </c>
      <c r="D10552" s="32" t="s">
        <v>28812</v>
      </c>
    </row>
    <row r="10553" spans="2:4" x14ac:dyDescent="0.3">
      <c r="B10553" s="33" t="s">
        <v>28813</v>
      </c>
      <c r="C10553" s="32" t="s">
        <v>28814</v>
      </c>
      <c r="D10553" s="32" t="s">
        <v>28815</v>
      </c>
    </row>
    <row r="10554" spans="2:4" x14ac:dyDescent="0.3">
      <c r="B10554" s="33" t="s">
        <v>28816</v>
      </c>
      <c r="C10554" s="32" t="s">
        <v>28817</v>
      </c>
      <c r="D10554" s="32" t="s">
        <v>28818</v>
      </c>
    </row>
    <row r="10555" spans="2:4" x14ac:dyDescent="0.3">
      <c r="B10555" s="33" t="s">
        <v>28737</v>
      </c>
      <c r="C10555" s="32" t="s">
        <v>28819</v>
      </c>
      <c r="D10555" s="32" t="s">
        <v>28820</v>
      </c>
    </row>
    <row r="10556" spans="2:4" x14ac:dyDescent="0.3">
      <c r="B10556" s="33" t="s">
        <v>28821</v>
      </c>
      <c r="C10556" s="32" t="s">
        <v>28822</v>
      </c>
      <c r="D10556" s="32" t="s">
        <v>28823</v>
      </c>
    </row>
    <row r="10557" spans="2:4" x14ac:dyDescent="0.3">
      <c r="B10557" s="33" t="s">
        <v>28824</v>
      </c>
      <c r="C10557" s="32" t="s">
        <v>28825</v>
      </c>
      <c r="D10557" s="32" t="s">
        <v>28826</v>
      </c>
    </row>
    <row r="10558" spans="2:4" x14ac:dyDescent="0.3">
      <c r="B10558" s="33" t="s">
        <v>28827</v>
      </c>
      <c r="C10558" s="32" t="s">
        <v>28828</v>
      </c>
      <c r="D10558" s="32" t="s">
        <v>8674</v>
      </c>
    </row>
    <row r="10559" spans="2:4" x14ac:dyDescent="0.3">
      <c r="B10559" s="33" t="s">
        <v>28829</v>
      </c>
      <c r="C10559" s="32" t="s">
        <v>28830</v>
      </c>
      <c r="D10559" s="32" t="s">
        <v>28831</v>
      </c>
    </row>
    <row r="10560" spans="2:4" x14ac:dyDescent="0.3">
      <c r="B10560" s="33" t="s">
        <v>28832</v>
      </c>
      <c r="C10560" s="32" t="s">
        <v>28833</v>
      </c>
      <c r="D10560" s="32" t="s">
        <v>28834</v>
      </c>
    </row>
    <row r="10561" spans="2:4" x14ac:dyDescent="0.3">
      <c r="B10561" s="33" t="s">
        <v>28835</v>
      </c>
      <c r="C10561" s="32" t="s">
        <v>28836</v>
      </c>
      <c r="D10561" s="32" t="s">
        <v>28837</v>
      </c>
    </row>
    <row r="10562" spans="2:4" x14ac:dyDescent="0.3">
      <c r="B10562" s="33" t="s">
        <v>8674</v>
      </c>
      <c r="C10562" s="32" t="s">
        <v>28838</v>
      </c>
      <c r="D10562" s="32" t="s">
        <v>28839</v>
      </c>
    </row>
    <row r="10563" spans="2:4" x14ac:dyDescent="0.3">
      <c r="B10563" s="33" t="s">
        <v>8674</v>
      </c>
      <c r="C10563" s="32" t="s">
        <v>28840</v>
      </c>
      <c r="D10563" s="32" t="s">
        <v>28841</v>
      </c>
    </row>
    <row r="10564" spans="2:4" x14ac:dyDescent="0.3">
      <c r="B10564" s="33" t="s">
        <v>8674</v>
      </c>
      <c r="C10564" s="32" t="s">
        <v>28842</v>
      </c>
      <c r="D10564" s="32" t="s">
        <v>28843</v>
      </c>
    </row>
    <row r="10565" spans="2:4" x14ac:dyDescent="0.3">
      <c r="B10565" s="33" t="s">
        <v>28844</v>
      </c>
      <c r="C10565" s="32" t="s">
        <v>28845</v>
      </c>
      <c r="D10565" s="32" t="s">
        <v>28846</v>
      </c>
    </row>
    <row r="10566" spans="2:4" x14ac:dyDescent="0.3">
      <c r="B10566" s="33" t="s">
        <v>28847</v>
      </c>
      <c r="C10566" s="32" t="s">
        <v>28848</v>
      </c>
      <c r="D10566" s="32" t="s">
        <v>28849</v>
      </c>
    </row>
    <row r="10567" spans="2:4" x14ac:dyDescent="0.3">
      <c r="B10567" s="33" t="s">
        <v>28850</v>
      </c>
      <c r="C10567" s="32" t="s">
        <v>28851</v>
      </c>
      <c r="D10567" s="32" t="s">
        <v>28852</v>
      </c>
    </row>
    <row r="10568" spans="2:4" x14ac:dyDescent="0.3">
      <c r="B10568" s="33" t="s">
        <v>28853</v>
      </c>
      <c r="C10568" s="32" t="s">
        <v>28854</v>
      </c>
      <c r="D10568" s="32" t="s">
        <v>28855</v>
      </c>
    </row>
    <row r="10569" spans="2:4" x14ac:dyDescent="0.3">
      <c r="B10569" s="33" t="s">
        <v>28856</v>
      </c>
      <c r="C10569" s="32" t="s">
        <v>28857</v>
      </c>
      <c r="D10569" s="32" t="s">
        <v>28858</v>
      </c>
    </row>
    <row r="10570" spans="2:4" x14ac:dyDescent="0.3">
      <c r="B10570" s="33" t="s">
        <v>28859</v>
      </c>
      <c r="C10570" s="32" t="s">
        <v>28860</v>
      </c>
      <c r="D10570" s="32" t="s">
        <v>28861</v>
      </c>
    </row>
    <row r="10571" spans="2:4" x14ac:dyDescent="0.3">
      <c r="B10571" s="33" t="s">
        <v>28859</v>
      </c>
      <c r="C10571" s="32" t="s">
        <v>28862</v>
      </c>
      <c r="D10571" s="32" t="s">
        <v>28863</v>
      </c>
    </row>
    <row r="10572" spans="2:4" x14ac:dyDescent="0.3">
      <c r="B10572" s="33" t="s">
        <v>28864</v>
      </c>
      <c r="C10572" s="32" t="s">
        <v>28865</v>
      </c>
      <c r="D10572" s="32" t="s">
        <v>28866</v>
      </c>
    </row>
    <row r="10573" spans="2:4" x14ac:dyDescent="0.3">
      <c r="B10573" s="33" t="s">
        <v>28867</v>
      </c>
      <c r="C10573" s="32" t="s">
        <v>28868</v>
      </c>
      <c r="D10573" s="32" t="s">
        <v>28869</v>
      </c>
    </row>
    <row r="10574" spans="2:4" x14ac:dyDescent="0.3">
      <c r="B10574" s="33" t="s">
        <v>28870</v>
      </c>
      <c r="C10574" s="32" t="s">
        <v>28871</v>
      </c>
      <c r="D10574" s="32" t="s">
        <v>28872</v>
      </c>
    </row>
    <row r="10575" spans="2:4" x14ac:dyDescent="0.3">
      <c r="B10575" s="33" t="s">
        <v>28873</v>
      </c>
      <c r="C10575" s="32" t="s">
        <v>28874</v>
      </c>
      <c r="D10575" s="32" t="s">
        <v>28875</v>
      </c>
    </row>
    <row r="10576" spans="2:4" x14ac:dyDescent="0.3">
      <c r="B10576" s="33" t="s">
        <v>28876</v>
      </c>
      <c r="C10576" s="32" t="s">
        <v>28877</v>
      </c>
      <c r="D10576" s="32" t="s">
        <v>28878</v>
      </c>
    </row>
    <row r="10577" spans="2:4" x14ac:dyDescent="0.3">
      <c r="B10577" s="33" t="s">
        <v>28879</v>
      </c>
      <c r="C10577" s="32" t="s">
        <v>28880</v>
      </c>
      <c r="D10577" s="32" t="s">
        <v>28881</v>
      </c>
    </row>
    <row r="10578" spans="2:4" x14ac:dyDescent="0.3">
      <c r="B10578" s="33" t="s">
        <v>28882</v>
      </c>
      <c r="C10578" s="32" t="s">
        <v>28883</v>
      </c>
      <c r="D10578" s="32" t="s">
        <v>28884</v>
      </c>
    </row>
    <row r="10579" spans="2:4" x14ac:dyDescent="0.3">
      <c r="B10579" s="33" t="s">
        <v>28885</v>
      </c>
      <c r="C10579" s="32" t="s">
        <v>28886</v>
      </c>
      <c r="D10579" s="32" t="s">
        <v>28887</v>
      </c>
    </row>
    <row r="10580" spans="2:4" x14ac:dyDescent="0.3">
      <c r="B10580" s="33" t="s">
        <v>28888</v>
      </c>
      <c r="C10580" s="32" t="s">
        <v>28889</v>
      </c>
      <c r="D10580" s="32" t="s">
        <v>28890</v>
      </c>
    </row>
    <row r="10581" spans="2:4" x14ac:dyDescent="0.3">
      <c r="B10581" s="33" t="s">
        <v>28891</v>
      </c>
      <c r="C10581" s="32" t="s">
        <v>28892</v>
      </c>
      <c r="D10581" s="32" t="s">
        <v>28893</v>
      </c>
    </row>
    <row r="10582" spans="2:4" x14ac:dyDescent="0.3">
      <c r="B10582" s="33" t="s">
        <v>28894</v>
      </c>
      <c r="C10582" s="32" t="s">
        <v>28895</v>
      </c>
      <c r="D10582" s="32" t="s">
        <v>28896</v>
      </c>
    </row>
    <row r="10583" spans="2:4" x14ac:dyDescent="0.3">
      <c r="B10583" s="33" t="s">
        <v>28897</v>
      </c>
      <c r="C10583" s="32" t="s">
        <v>28898</v>
      </c>
      <c r="D10583" s="32" t="s">
        <v>28899</v>
      </c>
    </row>
    <row r="10584" spans="2:4" x14ac:dyDescent="0.3">
      <c r="B10584" s="33" t="s">
        <v>28900</v>
      </c>
      <c r="C10584" s="32" t="s">
        <v>28901</v>
      </c>
      <c r="D10584" s="32" t="s">
        <v>28902</v>
      </c>
    </row>
    <row r="10585" spans="2:4" x14ac:dyDescent="0.3">
      <c r="B10585" s="33" t="s">
        <v>28903</v>
      </c>
      <c r="C10585" s="32" t="s">
        <v>28904</v>
      </c>
      <c r="D10585" s="32" t="s">
        <v>28905</v>
      </c>
    </row>
    <row r="10586" spans="2:4" x14ac:dyDescent="0.3">
      <c r="B10586" s="33" t="s">
        <v>28906</v>
      </c>
      <c r="C10586" s="32" t="s">
        <v>28907</v>
      </c>
      <c r="D10586" s="32" t="s">
        <v>28908</v>
      </c>
    </row>
    <row r="10587" spans="2:4" x14ac:dyDescent="0.3">
      <c r="B10587" s="33" t="s">
        <v>27790</v>
      </c>
      <c r="C10587" s="32" t="s">
        <v>28909</v>
      </c>
      <c r="D10587" s="32" t="s">
        <v>28910</v>
      </c>
    </row>
    <row r="10588" spans="2:4" x14ac:dyDescent="0.3">
      <c r="B10588" s="33" t="s">
        <v>28911</v>
      </c>
      <c r="C10588" s="32" t="s">
        <v>28912</v>
      </c>
      <c r="D10588" s="32" t="s">
        <v>28913</v>
      </c>
    </row>
    <row r="10589" spans="2:4" x14ac:dyDescent="0.3">
      <c r="B10589" s="33" t="s">
        <v>28911</v>
      </c>
      <c r="C10589" s="32" t="s">
        <v>28914</v>
      </c>
      <c r="D10589" s="32" t="s">
        <v>28915</v>
      </c>
    </row>
    <row r="10590" spans="2:4" x14ac:dyDescent="0.3">
      <c r="B10590" s="33" t="s">
        <v>28916</v>
      </c>
      <c r="C10590" s="32" t="s">
        <v>28917</v>
      </c>
      <c r="D10590" s="32" t="s">
        <v>28918</v>
      </c>
    </row>
    <row r="10591" spans="2:4" x14ac:dyDescent="0.3">
      <c r="B10591" s="33" t="s">
        <v>28919</v>
      </c>
      <c r="C10591" s="32" t="s">
        <v>28920</v>
      </c>
      <c r="D10591" s="32" t="s">
        <v>28921</v>
      </c>
    </row>
    <row r="10592" spans="2:4" x14ac:dyDescent="0.3">
      <c r="B10592" s="33" t="s">
        <v>28317</v>
      </c>
      <c r="C10592" s="32" t="s">
        <v>28922</v>
      </c>
      <c r="D10592" s="32" t="s">
        <v>28923</v>
      </c>
    </row>
    <row r="10593" spans="2:4" x14ac:dyDescent="0.3">
      <c r="B10593" s="33" t="s">
        <v>28924</v>
      </c>
      <c r="C10593" s="32" t="s">
        <v>28925</v>
      </c>
      <c r="D10593" s="32" t="s">
        <v>28926</v>
      </c>
    </row>
    <row r="10594" spans="2:4" x14ac:dyDescent="0.3">
      <c r="B10594" s="33" t="s">
        <v>28927</v>
      </c>
      <c r="C10594" s="32" t="s">
        <v>28928</v>
      </c>
      <c r="D10594" s="32" t="s">
        <v>28929</v>
      </c>
    </row>
    <row r="10595" spans="2:4" x14ac:dyDescent="0.3">
      <c r="B10595" s="33" t="s">
        <v>28548</v>
      </c>
      <c r="C10595" s="32" t="s">
        <v>28930</v>
      </c>
      <c r="D10595" s="32" t="s">
        <v>28931</v>
      </c>
    </row>
    <row r="10596" spans="2:4" x14ac:dyDescent="0.3">
      <c r="B10596" s="33" t="s">
        <v>28870</v>
      </c>
      <c r="C10596" s="32" t="s">
        <v>28932</v>
      </c>
      <c r="D10596" s="32" t="s">
        <v>28933</v>
      </c>
    </row>
    <row r="10597" spans="2:4" x14ac:dyDescent="0.3">
      <c r="B10597" s="33" t="s">
        <v>28934</v>
      </c>
      <c r="C10597" s="32" t="s">
        <v>28935</v>
      </c>
      <c r="D10597" s="32" t="s">
        <v>28936</v>
      </c>
    </row>
    <row r="10598" spans="2:4" x14ac:dyDescent="0.3">
      <c r="B10598" s="33" t="s">
        <v>28937</v>
      </c>
      <c r="C10598" s="32" t="s">
        <v>28938</v>
      </c>
      <c r="D10598" s="32" t="s">
        <v>28939</v>
      </c>
    </row>
    <row r="10599" spans="2:4" x14ac:dyDescent="0.3">
      <c r="B10599" s="33" t="s">
        <v>28940</v>
      </c>
      <c r="C10599" s="32" t="s">
        <v>28941</v>
      </c>
      <c r="D10599" s="32" t="s">
        <v>28942</v>
      </c>
    </row>
    <row r="10600" spans="2:4" x14ac:dyDescent="0.3">
      <c r="B10600" s="33" t="s">
        <v>28943</v>
      </c>
      <c r="C10600" s="32" t="s">
        <v>28944</v>
      </c>
      <c r="D10600" s="32" t="s">
        <v>28945</v>
      </c>
    </row>
    <row r="10601" spans="2:4" x14ac:dyDescent="0.3">
      <c r="B10601" s="33" t="s">
        <v>28946</v>
      </c>
      <c r="C10601" s="32" t="s">
        <v>28947</v>
      </c>
      <c r="D10601" s="32" t="s">
        <v>28948</v>
      </c>
    </row>
    <row r="10602" spans="2:4" x14ac:dyDescent="0.3">
      <c r="B10602" s="33" t="s">
        <v>28949</v>
      </c>
      <c r="C10602" s="32" t="s">
        <v>28950</v>
      </c>
      <c r="D10602" s="32" t="s">
        <v>28951</v>
      </c>
    </row>
    <row r="10603" spans="2:4" x14ac:dyDescent="0.3">
      <c r="B10603" s="33" t="s">
        <v>28952</v>
      </c>
      <c r="C10603" s="32" t="s">
        <v>28953</v>
      </c>
      <c r="D10603" s="32" t="s">
        <v>28954</v>
      </c>
    </row>
    <row r="10604" spans="2:4" x14ac:dyDescent="0.3">
      <c r="B10604" s="33" t="s">
        <v>28955</v>
      </c>
      <c r="C10604" s="32" t="s">
        <v>28956</v>
      </c>
      <c r="D10604" s="32" t="s">
        <v>28957</v>
      </c>
    </row>
    <row r="10605" spans="2:4" x14ac:dyDescent="0.3">
      <c r="B10605" s="33" t="s">
        <v>28958</v>
      </c>
      <c r="C10605" s="32" t="s">
        <v>28959</v>
      </c>
      <c r="D10605" s="32" t="s">
        <v>28960</v>
      </c>
    </row>
    <row r="10606" spans="2:4" x14ac:dyDescent="0.3">
      <c r="B10606" s="33" t="s">
        <v>28961</v>
      </c>
      <c r="C10606" s="32" t="s">
        <v>28962</v>
      </c>
      <c r="D10606" s="32" t="s">
        <v>28963</v>
      </c>
    </row>
    <row r="10607" spans="2:4" x14ac:dyDescent="0.3">
      <c r="B10607" s="33" t="s">
        <v>22680</v>
      </c>
      <c r="C10607" s="32" t="s">
        <v>28964</v>
      </c>
      <c r="D10607" s="32" t="s">
        <v>28965</v>
      </c>
    </row>
    <row r="10608" spans="2:4" x14ac:dyDescent="0.3">
      <c r="B10608" s="33" t="s">
        <v>28966</v>
      </c>
      <c r="C10608" s="32" t="s">
        <v>28967</v>
      </c>
      <c r="D10608" s="32" t="s">
        <v>28968</v>
      </c>
    </row>
    <row r="10609" spans="2:4" x14ac:dyDescent="0.3">
      <c r="B10609" s="33" t="s">
        <v>28969</v>
      </c>
      <c r="C10609" s="32" t="s">
        <v>28970</v>
      </c>
      <c r="D10609" s="32" t="s">
        <v>28971</v>
      </c>
    </row>
    <row r="10610" spans="2:4" x14ac:dyDescent="0.3">
      <c r="B10610" s="33" t="s">
        <v>28972</v>
      </c>
      <c r="C10610" s="32" t="s">
        <v>28973</v>
      </c>
      <c r="D10610" s="32" t="s">
        <v>28974</v>
      </c>
    </row>
    <row r="10611" spans="2:4" x14ac:dyDescent="0.3">
      <c r="B10611" s="33" t="s">
        <v>28975</v>
      </c>
      <c r="C10611" s="32" t="s">
        <v>28976</v>
      </c>
      <c r="D10611" s="32" t="s">
        <v>28977</v>
      </c>
    </row>
    <row r="10612" spans="2:4" x14ac:dyDescent="0.3">
      <c r="B10612" s="33" t="s">
        <v>28978</v>
      </c>
      <c r="C10612" s="32" t="s">
        <v>28979</v>
      </c>
      <c r="D10612" s="32" t="s">
        <v>28980</v>
      </c>
    </row>
    <row r="10613" spans="2:4" x14ac:dyDescent="0.3">
      <c r="B10613" s="33" t="s">
        <v>28981</v>
      </c>
      <c r="C10613" s="32" t="s">
        <v>28982</v>
      </c>
      <c r="D10613" s="32" t="s">
        <v>28983</v>
      </c>
    </row>
    <row r="10614" spans="2:4" x14ac:dyDescent="0.3">
      <c r="B10614" s="33" t="s">
        <v>28984</v>
      </c>
      <c r="C10614" s="32" t="s">
        <v>28985</v>
      </c>
      <c r="D10614" s="32" t="s">
        <v>28986</v>
      </c>
    </row>
    <row r="10615" spans="2:4" x14ac:dyDescent="0.3">
      <c r="B10615" s="33" t="s">
        <v>28987</v>
      </c>
      <c r="C10615" s="32" t="s">
        <v>28988</v>
      </c>
      <c r="D10615" s="32" t="s">
        <v>28989</v>
      </c>
    </row>
    <row r="10616" spans="2:4" x14ac:dyDescent="0.3">
      <c r="B10616" s="33" t="s">
        <v>28990</v>
      </c>
      <c r="C10616" s="32" t="s">
        <v>28991</v>
      </c>
      <c r="D10616" s="32" t="s">
        <v>28992</v>
      </c>
    </row>
    <row r="10617" spans="2:4" x14ac:dyDescent="0.3">
      <c r="B10617" s="33" t="s">
        <v>28993</v>
      </c>
      <c r="C10617" s="32" t="s">
        <v>28994</v>
      </c>
      <c r="D10617" s="32" t="s">
        <v>28995</v>
      </c>
    </row>
    <row r="10618" spans="2:4" x14ac:dyDescent="0.3">
      <c r="B10618" s="33" t="s">
        <v>28996</v>
      </c>
      <c r="C10618" s="32" t="s">
        <v>28997</v>
      </c>
      <c r="D10618" s="32" t="s">
        <v>28998</v>
      </c>
    </row>
    <row r="10619" spans="2:4" x14ac:dyDescent="0.3">
      <c r="B10619" s="33" t="s">
        <v>28999</v>
      </c>
      <c r="C10619" s="32" t="s">
        <v>29000</v>
      </c>
      <c r="D10619" s="32" t="s">
        <v>29001</v>
      </c>
    </row>
    <row r="10620" spans="2:4" x14ac:dyDescent="0.3">
      <c r="B10620" s="33" t="s">
        <v>29002</v>
      </c>
      <c r="C10620" s="32" t="s">
        <v>29003</v>
      </c>
      <c r="D10620" s="32" t="s">
        <v>29004</v>
      </c>
    </row>
    <row r="10621" spans="2:4" x14ac:dyDescent="0.3">
      <c r="B10621" s="33" t="s">
        <v>29005</v>
      </c>
      <c r="C10621" s="32" t="s">
        <v>29006</v>
      </c>
      <c r="D10621" s="32" t="s">
        <v>29007</v>
      </c>
    </row>
    <row r="10622" spans="2:4" x14ac:dyDescent="0.3">
      <c r="B10622" s="33" t="s">
        <v>7470</v>
      </c>
      <c r="C10622" s="32" t="s">
        <v>29008</v>
      </c>
      <c r="D10622" s="32" t="s">
        <v>29009</v>
      </c>
    </row>
    <row r="10623" spans="2:4" x14ac:dyDescent="0.3">
      <c r="B10623" s="33" t="s">
        <v>7470</v>
      </c>
      <c r="C10623" s="32" t="s">
        <v>29010</v>
      </c>
      <c r="D10623" s="32" t="s">
        <v>29011</v>
      </c>
    </row>
    <row r="10624" spans="2:4" x14ac:dyDescent="0.3">
      <c r="B10624" s="33" t="s">
        <v>27994</v>
      </c>
      <c r="C10624" s="32" t="s">
        <v>29012</v>
      </c>
      <c r="D10624" s="32" t="s">
        <v>29013</v>
      </c>
    </row>
    <row r="10625" spans="2:4" x14ac:dyDescent="0.3">
      <c r="B10625" s="33" t="s">
        <v>28131</v>
      </c>
      <c r="C10625" s="32" t="s">
        <v>29014</v>
      </c>
      <c r="D10625" s="32" t="s">
        <v>29015</v>
      </c>
    </row>
    <row r="10626" spans="2:4" x14ac:dyDescent="0.3">
      <c r="B10626" s="33" t="s">
        <v>28213</v>
      </c>
      <c r="C10626" s="32" t="s">
        <v>29016</v>
      </c>
      <c r="D10626" s="32" t="s">
        <v>29017</v>
      </c>
    </row>
    <row r="10627" spans="2:4" x14ac:dyDescent="0.3">
      <c r="B10627" s="33" t="s">
        <v>29018</v>
      </c>
      <c r="C10627" s="32" t="s">
        <v>29019</v>
      </c>
      <c r="D10627" s="32" t="s">
        <v>29020</v>
      </c>
    </row>
    <row r="10628" spans="2:4" x14ac:dyDescent="0.3">
      <c r="B10628" s="33" t="s">
        <v>29021</v>
      </c>
      <c r="C10628" s="32" t="s">
        <v>29022</v>
      </c>
      <c r="D10628" s="32" t="s">
        <v>29023</v>
      </c>
    </row>
    <row r="10629" spans="2:4" x14ac:dyDescent="0.3">
      <c r="B10629" s="33" t="s">
        <v>29024</v>
      </c>
      <c r="C10629" s="32" t="s">
        <v>29025</v>
      </c>
      <c r="D10629" s="32" t="s">
        <v>29026</v>
      </c>
    </row>
    <row r="10630" spans="2:4" x14ac:dyDescent="0.3">
      <c r="B10630" s="33" t="s">
        <v>29027</v>
      </c>
      <c r="C10630" s="32" t="s">
        <v>29028</v>
      </c>
      <c r="D10630" s="32" t="s">
        <v>29029</v>
      </c>
    </row>
    <row r="10631" spans="2:4" x14ac:dyDescent="0.3">
      <c r="B10631" s="33" t="s">
        <v>29030</v>
      </c>
      <c r="C10631" s="32" t="s">
        <v>29031</v>
      </c>
      <c r="D10631" s="32" t="s">
        <v>29032</v>
      </c>
    </row>
    <row r="10632" spans="2:4" x14ac:dyDescent="0.3">
      <c r="B10632" s="33" t="s">
        <v>29033</v>
      </c>
      <c r="C10632" s="32" t="s">
        <v>29034</v>
      </c>
      <c r="D10632" s="32" t="s">
        <v>29035</v>
      </c>
    </row>
    <row r="10633" spans="2:4" x14ac:dyDescent="0.3">
      <c r="B10633" s="33" t="s">
        <v>29036</v>
      </c>
      <c r="C10633" s="32" t="s">
        <v>29037</v>
      </c>
      <c r="D10633" s="32" t="s">
        <v>29038</v>
      </c>
    </row>
    <row r="10634" spans="2:4" x14ac:dyDescent="0.3">
      <c r="B10634" s="33" t="s">
        <v>29039</v>
      </c>
      <c r="C10634" s="32" t="s">
        <v>29040</v>
      </c>
      <c r="D10634" s="32" t="s">
        <v>29041</v>
      </c>
    </row>
    <row r="10635" spans="2:4" x14ac:dyDescent="0.3">
      <c r="B10635" s="33" t="s">
        <v>29042</v>
      </c>
      <c r="C10635" s="32" t="s">
        <v>29043</v>
      </c>
      <c r="D10635" s="32" t="s">
        <v>29044</v>
      </c>
    </row>
    <row r="10636" spans="2:4" x14ac:dyDescent="0.3">
      <c r="B10636" s="33" t="s">
        <v>29045</v>
      </c>
      <c r="C10636" s="32" t="s">
        <v>29046</v>
      </c>
      <c r="D10636" s="32" t="s">
        <v>29047</v>
      </c>
    </row>
    <row r="10637" spans="2:4" x14ac:dyDescent="0.3">
      <c r="B10637" s="33" t="s">
        <v>29048</v>
      </c>
      <c r="C10637" s="32" t="s">
        <v>29049</v>
      </c>
      <c r="D10637" s="32" t="s">
        <v>29050</v>
      </c>
    </row>
    <row r="10638" spans="2:4" x14ac:dyDescent="0.3">
      <c r="B10638" s="33" t="s">
        <v>29051</v>
      </c>
      <c r="C10638" s="32" t="s">
        <v>29052</v>
      </c>
      <c r="D10638" s="32" t="s">
        <v>29053</v>
      </c>
    </row>
    <row r="10639" spans="2:4" x14ac:dyDescent="0.3">
      <c r="B10639" s="33" t="s">
        <v>29054</v>
      </c>
      <c r="C10639" s="32" t="s">
        <v>29055</v>
      </c>
      <c r="D10639" s="32" t="s">
        <v>29056</v>
      </c>
    </row>
    <row r="10640" spans="2:4" x14ac:dyDescent="0.3">
      <c r="B10640" s="33" t="s">
        <v>29057</v>
      </c>
      <c r="C10640" s="32" t="s">
        <v>29058</v>
      </c>
      <c r="D10640" s="32" t="s">
        <v>29059</v>
      </c>
    </row>
    <row r="10641" spans="2:4" x14ac:dyDescent="0.3">
      <c r="B10641" s="33" t="s">
        <v>29060</v>
      </c>
      <c r="C10641" s="32" t="s">
        <v>29061</v>
      </c>
      <c r="D10641" s="32" t="s">
        <v>29062</v>
      </c>
    </row>
    <row r="10642" spans="2:4" x14ac:dyDescent="0.3">
      <c r="B10642" s="33" t="s">
        <v>29063</v>
      </c>
      <c r="C10642" s="32" t="s">
        <v>29064</v>
      </c>
      <c r="D10642" s="32" t="s">
        <v>29065</v>
      </c>
    </row>
    <row r="10643" spans="2:4" x14ac:dyDescent="0.3">
      <c r="B10643" s="33" t="s">
        <v>29066</v>
      </c>
      <c r="C10643" s="32" t="s">
        <v>29067</v>
      </c>
      <c r="D10643" s="32" t="s">
        <v>29068</v>
      </c>
    </row>
    <row r="10644" spans="2:4" x14ac:dyDescent="0.3">
      <c r="B10644" s="33" t="s">
        <v>29066</v>
      </c>
      <c r="C10644" s="32" t="s">
        <v>29069</v>
      </c>
      <c r="D10644" s="32" t="s">
        <v>29070</v>
      </c>
    </row>
    <row r="10645" spans="2:4" x14ac:dyDescent="0.3">
      <c r="B10645" s="33" t="s">
        <v>29071</v>
      </c>
      <c r="C10645" s="32" t="s">
        <v>29072</v>
      </c>
      <c r="D10645" s="32" t="s">
        <v>29073</v>
      </c>
    </row>
    <row r="10646" spans="2:4" x14ac:dyDescent="0.3">
      <c r="B10646" s="33" t="s">
        <v>29074</v>
      </c>
      <c r="C10646" s="32" t="s">
        <v>29075</v>
      </c>
      <c r="D10646" s="32" t="s">
        <v>29076</v>
      </c>
    </row>
    <row r="10647" spans="2:4" x14ac:dyDescent="0.3">
      <c r="B10647" s="33" t="s">
        <v>29077</v>
      </c>
      <c r="C10647" s="32" t="s">
        <v>29078</v>
      </c>
      <c r="D10647" s="32" t="s">
        <v>29079</v>
      </c>
    </row>
    <row r="10648" spans="2:4" x14ac:dyDescent="0.3">
      <c r="B10648" s="33" t="s">
        <v>29080</v>
      </c>
      <c r="C10648" s="32" t="s">
        <v>29081</v>
      </c>
      <c r="D10648" s="32" t="s">
        <v>29082</v>
      </c>
    </row>
    <row r="10649" spans="2:4" x14ac:dyDescent="0.3">
      <c r="B10649" s="33" t="s">
        <v>28328</v>
      </c>
      <c r="C10649" s="32" t="s">
        <v>29083</v>
      </c>
      <c r="D10649" s="32" t="s">
        <v>29084</v>
      </c>
    </row>
    <row r="10650" spans="2:4" x14ac:dyDescent="0.3">
      <c r="B10650" s="33" t="s">
        <v>29085</v>
      </c>
      <c r="C10650" s="32" t="s">
        <v>29086</v>
      </c>
      <c r="D10650" s="32" t="s">
        <v>29087</v>
      </c>
    </row>
    <row r="10651" spans="2:4" x14ac:dyDescent="0.3">
      <c r="B10651" s="33" t="s">
        <v>29088</v>
      </c>
      <c r="C10651" s="32" t="s">
        <v>29089</v>
      </c>
      <c r="D10651" s="32" t="s">
        <v>29090</v>
      </c>
    </row>
    <row r="10652" spans="2:4" x14ac:dyDescent="0.3">
      <c r="B10652" s="33" t="s">
        <v>27994</v>
      </c>
      <c r="C10652" s="32" t="s">
        <v>29091</v>
      </c>
      <c r="D10652" s="32" t="s">
        <v>29092</v>
      </c>
    </row>
    <row r="10653" spans="2:4" x14ac:dyDescent="0.3">
      <c r="B10653" s="33" t="s">
        <v>29093</v>
      </c>
      <c r="C10653" s="32" t="s">
        <v>29094</v>
      </c>
      <c r="D10653" s="32" t="s">
        <v>29095</v>
      </c>
    </row>
    <row r="10654" spans="2:4" x14ac:dyDescent="0.3">
      <c r="B10654" s="33" t="s">
        <v>29096</v>
      </c>
      <c r="C10654" s="32" t="s">
        <v>29097</v>
      </c>
      <c r="D10654" s="32" t="s">
        <v>29098</v>
      </c>
    </row>
    <row r="10655" spans="2:4" x14ac:dyDescent="0.3">
      <c r="B10655" s="33" t="s">
        <v>29099</v>
      </c>
      <c r="C10655" s="32" t="s">
        <v>29100</v>
      </c>
      <c r="D10655" s="32" t="s">
        <v>29101</v>
      </c>
    </row>
    <row r="10656" spans="2:4" x14ac:dyDescent="0.3">
      <c r="B10656" s="33" t="s">
        <v>29102</v>
      </c>
      <c r="C10656" s="32" t="s">
        <v>29103</v>
      </c>
      <c r="D10656" s="32" t="s">
        <v>29104</v>
      </c>
    </row>
    <row r="10657" spans="2:4" x14ac:dyDescent="0.3">
      <c r="B10657" s="33" t="s">
        <v>29105</v>
      </c>
      <c r="C10657" s="32" t="s">
        <v>29106</v>
      </c>
      <c r="D10657" s="32" t="s">
        <v>29107</v>
      </c>
    </row>
    <row r="10658" spans="2:4" x14ac:dyDescent="0.3">
      <c r="B10658" s="33" t="s">
        <v>29108</v>
      </c>
      <c r="C10658" s="32" t="s">
        <v>29109</v>
      </c>
      <c r="D10658" s="32" t="s">
        <v>29110</v>
      </c>
    </row>
    <row r="10659" spans="2:4" x14ac:dyDescent="0.3">
      <c r="B10659" s="33" t="s">
        <v>29111</v>
      </c>
      <c r="C10659" s="32" t="s">
        <v>29112</v>
      </c>
      <c r="D10659" s="32" t="s">
        <v>37070</v>
      </c>
    </row>
    <row r="10660" spans="2:4" x14ac:dyDescent="0.3">
      <c r="B10660" s="33" t="s">
        <v>29113</v>
      </c>
      <c r="C10660" s="32" t="s">
        <v>29114</v>
      </c>
      <c r="D10660" s="32" t="s">
        <v>29115</v>
      </c>
    </row>
    <row r="10661" spans="2:4" x14ac:dyDescent="0.3">
      <c r="B10661" s="33" t="s">
        <v>29116</v>
      </c>
      <c r="C10661" s="32" t="s">
        <v>29117</v>
      </c>
      <c r="D10661" s="32" t="s">
        <v>29118</v>
      </c>
    </row>
    <row r="10662" spans="2:4" x14ac:dyDescent="0.3">
      <c r="B10662" s="33" t="s">
        <v>29119</v>
      </c>
      <c r="C10662" s="32" t="s">
        <v>29120</v>
      </c>
      <c r="D10662" s="32" t="s">
        <v>29121</v>
      </c>
    </row>
    <row r="10663" spans="2:4" x14ac:dyDescent="0.3">
      <c r="B10663" s="33" t="s">
        <v>29122</v>
      </c>
      <c r="C10663" s="32" t="s">
        <v>29123</v>
      </c>
      <c r="D10663" s="32" t="s">
        <v>29124</v>
      </c>
    </row>
    <row r="10664" spans="2:4" x14ac:dyDescent="0.3">
      <c r="B10664" s="33" t="s">
        <v>29125</v>
      </c>
      <c r="C10664" s="32" t="s">
        <v>29126</v>
      </c>
      <c r="D10664" s="32" t="s">
        <v>29125</v>
      </c>
    </row>
    <row r="10665" spans="2:4" x14ac:dyDescent="0.3">
      <c r="B10665" s="33" t="s">
        <v>28489</v>
      </c>
      <c r="C10665" s="32" t="s">
        <v>29127</v>
      </c>
      <c r="D10665" s="32" t="s">
        <v>29128</v>
      </c>
    </row>
    <row r="10666" spans="2:4" x14ac:dyDescent="0.3">
      <c r="B10666" s="33" t="s">
        <v>29129</v>
      </c>
      <c r="C10666" s="32" t="s">
        <v>29130</v>
      </c>
      <c r="D10666" s="32" t="s">
        <v>29131</v>
      </c>
    </row>
    <row r="10667" spans="2:4" x14ac:dyDescent="0.3">
      <c r="B10667" s="33" t="s">
        <v>29132</v>
      </c>
      <c r="C10667" s="32" t="s">
        <v>29133</v>
      </c>
      <c r="D10667" s="32" t="s">
        <v>29134</v>
      </c>
    </row>
    <row r="10668" spans="2:4" x14ac:dyDescent="0.3">
      <c r="B10668" s="33" t="s">
        <v>29135</v>
      </c>
      <c r="C10668" s="32" t="s">
        <v>29136</v>
      </c>
      <c r="D10668" s="32" t="s">
        <v>29137</v>
      </c>
    </row>
    <row r="10669" spans="2:4" x14ac:dyDescent="0.3">
      <c r="B10669" s="33" t="s">
        <v>29138</v>
      </c>
      <c r="C10669" s="32" t="s">
        <v>29139</v>
      </c>
      <c r="D10669" s="32" t="s">
        <v>29140</v>
      </c>
    </row>
    <row r="10670" spans="2:4" x14ac:dyDescent="0.3">
      <c r="B10670" s="33" t="s">
        <v>29141</v>
      </c>
      <c r="C10670" s="32" t="s">
        <v>29142</v>
      </c>
      <c r="D10670" s="32" t="s">
        <v>29143</v>
      </c>
    </row>
    <row r="10671" spans="2:4" x14ac:dyDescent="0.3">
      <c r="B10671" s="33" t="s">
        <v>29144</v>
      </c>
      <c r="C10671" s="32" t="s">
        <v>29145</v>
      </c>
      <c r="D10671" s="32" t="s">
        <v>29146</v>
      </c>
    </row>
    <row r="10672" spans="2:4" x14ac:dyDescent="0.3">
      <c r="B10672" s="33" t="s">
        <v>29147</v>
      </c>
      <c r="C10672" s="32" t="s">
        <v>29148</v>
      </c>
      <c r="D10672" s="32" t="s">
        <v>29149</v>
      </c>
    </row>
    <row r="10673" spans="2:4" x14ac:dyDescent="0.3">
      <c r="B10673" s="33" t="s">
        <v>29150</v>
      </c>
      <c r="C10673" s="32" t="s">
        <v>29151</v>
      </c>
      <c r="D10673" s="32" t="s">
        <v>29152</v>
      </c>
    </row>
    <row r="10674" spans="2:4" x14ac:dyDescent="0.3">
      <c r="B10674" s="33" t="s">
        <v>29153</v>
      </c>
      <c r="C10674" s="32" t="s">
        <v>29154</v>
      </c>
      <c r="D10674" s="32" t="s">
        <v>29155</v>
      </c>
    </row>
    <row r="10675" spans="2:4" x14ac:dyDescent="0.3">
      <c r="B10675" s="33" t="s">
        <v>29156</v>
      </c>
      <c r="C10675" s="32" t="s">
        <v>29157</v>
      </c>
      <c r="D10675" s="32" t="s">
        <v>29158</v>
      </c>
    </row>
    <row r="10676" spans="2:4" x14ac:dyDescent="0.3">
      <c r="B10676" s="33" t="s">
        <v>29159</v>
      </c>
      <c r="C10676" s="32" t="s">
        <v>29160</v>
      </c>
      <c r="D10676" s="32" t="s">
        <v>29161</v>
      </c>
    </row>
    <row r="10677" spans="2:4" x14ac:dyDescent="0.3">
      <c r="B10677" s="33" t="s">
        <v>29162</v>
      </c>
      <c r="C10677" s="32" t="s">
        <v>29163</v>
      </c>
      <c r="D10677" s="32" t="s">
        <v>29164</v>
      </c>
    </row>
    <row r="10678" spans="2:4" x14ac:dyDescent="0.3">
      <c r="B10678" s="33" t="s">
        <v>29165</v>
      </c>
      <c r="C10678" s="32" t="s">
        <v>29166</v>
      </c>
      <c r="D10678" s="32" t="s">
        <v>29167</v>
      </c>
    </row>
    <row r="10679" spans="2:4" x14ac:dyDescent="0.3">
      <c r="B10679" s="33" t="s">
        <v>29168</v>
      </c>
      <c r="C10679" s="32" t="s">
        <v>29169</v>
      </c>
      <c r="D10679" s="32" t="s">
        <v>29170</v>
      </c>
    </row>
    <row r="10680" spans="2:4" x14ac:dyDescent="0.3">
      <c r="B10680" s="33" t="s">
        <v>29168</v>
      </c>
      <c r="C10680" s="32" t="s">
        <v>29171</v>
      </c>
      <c r="D10680" s="32" t="s">
        <v>29172</v>
      </c>
    </row>
    <row r="10681" spans="2:4" x14ac:dyDescent="0.3">
      <c r="B10681" s="33" t="s">
        <v>29168</v>
      </c>
      <c r="C10681" s="32" t="s">
        <v>29173</v>
      </c>
      <c r="D10681" s="32" t="s">
        <v>29174</v>
      </c>
    </row>
    <row r="10682" spans="2:4" x14ac:dyDescent="0.3">
      <c r="B10682" s="33" t="s">
        <v>29175</v>
      </c>
      <c r="C10682" s="32" t="s">
        <v>29176</v>
      </c>
      <c r="D10682" s="32" t="s">
        <v>29177</v>
      </c>
    </row>
    <row r="10683" spans="2:4" x14ac:dyDescent="0.3">
      <c r="B10683" s="33" t="s">
        <v>29178</v>
      </c>
      <c r="C10683" s="32" t="s">
        <v>29179</v>
      </c>
      <c r="D10683" s="32" t="s">
        <v>29180</v>
      </c>
    </row>
    <row r="10684" spans="2:4" x14ac:dyDescent="0.3">
      <c r="B10684" s="33" t="s">
        <v>29181</v>
      </c>
      <c r="C10684" s="32" t="s">
        <v>29182</v>
      </c>
      <c r="D10684" s="32" t="s">
        <v>29183</v>
      </c>
    </row>
    <row r="10685" spans="2:4" x14ac:dyDescent="0.3">
      <c r="B10685" s="33" t="s">
        <v>29184</v>
      </c>
      <c r="C10685" s="32" t="s">
        <v>29185</v>
      </c>
      <c r="D10685" s="32" t="s">
        <v>29186</v>
      </c>
    </row>
    <row r="10686" spans="2:4" x14ac:dyDescent="0.3">
      <c r="B10686" s="33" t="s">
        <v>29153</v>
      </c>
      <c r="C10686" s="32" t="s">
        <v>29187</v>
      </c>
      <c r="D10686" s="32" t="s">
        <v>29188</v>
      </c>
    </row>
    <row r="10687" spans="2:4" x14ac:dyDescent="0.3">
      <c r="B10687" s="33" t="s">
        <v>29189</v>
      </c>
      <c r="C10687" s="32" t="s">
        <v>29190</v>
      </c>
      <c r="D10687" s="32" t="s">
        <v>29191</v>
      </c>
    </row>
    <row r="10688" spans="2:4" x14ac:dyDescent="0.3">
      <c r="B10688" s="33" t="s">
        <v>29192</v>
      </c>
      <c r="C10688" s="32" t="s">
        <v>29193</v>
      </c>
      <c r="D10688" s="32" t="s">
        <v>29194</v>
      </c>
    </row>
    <row r="10689" spans="2:4" x14ac:dyDescent="0.3">
      <c r="B10689" s="33" t="s">
        <v>29195</v>
      </c>
      <c r="C10689" s="32" t="s">
        <v>29196</v>
      </c>
      <c r="D10689" s="32" t="s">
        <v>29197</v>
      </c>
    </row>
    <row r="10690" spans="2:4" x14ac:dyDescent="0.3">
      <c r="B10690" s="33" t="s">
        <v>29198</v>
      </c>
      <c r="C10690" s="32" t="s">
        <v>29199</v>
      </c>
      <c r="D10690" s="32" t="s">
        <v>37333</v>
      </c>
    </row>
    <row r="10691" spans="2:4" x14ac:dyDescent="0.3">
      <c r="B10691" s="33" t="s">
        <v>29200</v>
      </c>
      <c r="C10691" s="32" t="s">
        <v>29201</v>
      </c>
      <c r="D10691" s="32" t="s">
        <v>29202</v>
      </c>
    </row>
    <row r="10692" spans="2:4" x14ac:dyDescent="0.3">
      <c r="B10692" s="33" t="s">
        <v>29203</v>
      </c>
      <c r="C10692" s="32" t="s">
        <v>29204</v>
      </c>
      <c r="D10692" s="32" t="s">
        <v>29205</v>
      </c>
    </row>
    <row r="10693" spans="2:4" x14ac:dyDescent="0.3">
      <c r="B10693" s="33" t="s">
        <v>29206</v>
      </c>
      <c r="C10693" s="32" t="s">
        <v>29207</v>
      </c>
      <c r="D10693" s="32" t="s">
        <v>29208</v>
      </c>
    </row>
    <row r="10694" spans="2:4" x14ac:dyDescent="0.3">
      <c r="B10694" s="33" t="s">
        <v>29209</v>
      </c>
      <c r="C10694" s="32" t="s">
        <v>29210</v>
      </c>
      <c r="D10694" s="32" t="s">
        <v>29211</v>
      </c>
    </row>
    <row r="10695" spans="2:4" x14ac:dyDescent="0.3">
      <c r="B10695" s="33" t="s">
        <v>29212</v>
      </c>
      <c r="C10695" s="32" t="s">
        <v>29213</v>
      </c>
      <c r="D10695" s="32" t="s">
        <v>29214</v>
      </c>
    </row>
    <row r="10696" spans="2:4" x14ac:dyDescent="0.3">
      <c r="B10696" s="33" t="s">
        <v>29215</v>
      </c>
      <c r="C10696" s="32" t="s">
        <v>29216</v>
      </c>
      <c r="D10696" s="32" t="s">
        <v>29217</v>
      </c>
    </row>
    <row r="10697" spans="2:4" x14ac:dyDescent="0.3">
      <c r="B10697" s="33" t="s">
        <v>29218</v>
      </c>
      <c r="C10697" s="32" t="s">
        <v>29219</v>
      </c>
      <c r="D10697" s="32" t="s">
        <v>29220</v>
      </c>
    </row>
    <row r="10698" spans="2:4" x14ac:dyDescent="0.3">
      <c r="B10698" s="33" t="s">
        <v>29221</v>
      </c>
      <c r="C10698" s="32" t="s">
        <v>29222</v>
      </c>
      <c r="D10698" s="32" t="s">
        <v>29223</v>
      </c>
    </row>
    <row r="10699" spans="2:4" x14ac:dyDescent="0.3">
      <c r="B10699" s="33" t="s">
        <v>29224</v>
      </c>
      <c r="C10699" s="32" t="s">
        <v>29225</v>
      </c>
      <c r="D10699" s="32" t="s">
        <v>29226</v>
      </c>
    </row>
    <row r="10700" spans="2:4" x14ac:dyDescent="0.3">
      <c r="B10700" s="33" t="s">
        <v>29227</v>
      </c>
      <c r="C10700" s="32" t="s">
        <v>29228</v>
      </c>
      <c r="D10700" s="32" t="s">
        <v>29229</v>
      </c>
    </row>
    <row r="10701" spans="2:4" x14ac:dyDescent="0.3">
      <c r="B10701" s="33" t="s">
        <v>29230</v>
      </c>
      <c r="C10701" s="32" t="s">
        <v>29231</v>
      </c>
      <c r="D10701" s="32" t="s">
        <v>29232</v>
      </c>
    </row>
    <row r="10702" spans="2:4" x14ac:dyDescent="0.3">
      <c r="B10702" s="33" t="s">
        <v>29233</v>
      </c>
      <c r="C10702" s="32" t="s">
        <v>29234</v>
      </c>
      <c r="D10702" s="32" t="s">
        <v>29235</v>
      </c>
    </row>
    <row r="10703" spans="2:4" x14ac:dyDescent="0.3">
      <c r="B10703" s="33" t="s">
        <v>29236</v>
      </c>
      <c r="C10703" s="32" t="s">
        <v>29237</v>
      </c>
      <c r="D10703" s="32" t="s">
        <v>29238</v>
      </c>
    </row>
    <row r="10704" spans="2:4" x14ac:dyDescent="0.3">
      <c r="B10704" s="33" t="s">
        <v>29239</v>
      </c>
      <c r="C10704" s="32" t="s">
        <v>29240</v>
      </c>
      <c r="D10704" s="32" t="s">
        <v>29241</v>
      </c>
    </row>
    <row r="10705" spans="2:4" x14ac:dyDescent="0.3">
      <c r="B10705" s="33" t="s">
        <v>29242</v>
      </c>
      <c r="C10705" s="32" t="s">
        <v>29243</v>
      </c>
      <c r="D10705" s="32" t="s">
        <v>29244</v>
      </c>
    </row>
    <row r="10706" spans="2:4" x14ac:dyDescent="0.3">
      <c r="B10706" s="33" t="s">
        <v>29245</v>
      </c>
      <c r="C10706" s="32" t="s">
        <v>29246</v>
      </c>
      <c r="D10706" s="32" t="s">
        <v>29247</v>
      </c>
    </row>
    <row r="10707" spans="2:4" x14ac:dyDescent="0.3">
      <c r="B10707" s="33" t="s">
        <v>29248</v>
      </c>
      <c r="C10707" s="32" t="s">
        <v>29249</v>
      </c>
      <c r="D10707" s="32" t="s">
        <v>29250</v>
      </c>
    </row>
    <row r="10708" spans="2:4" x14ac:dyDescent="0.3">
      <c r="B10708" s="33" t="s">
        <v>29251</v>
      </c>
      <c r="C10708" s="32" t="s">
        <v>29252</v>
      </c>
      <c r="D10708" s="32" t="s">
        <v>29253</v>
      </c>
    </row>
    <row r="10709" spans="2:4" x14ac:dyDescent="0.3">
      <c r="B10709" s="33" t="s">
        <v>9160</v>
      </c>
      <c r="C10709" s="32" t="s">
        <v>29254</v>
      </c>
      <c r="D10709" s="32" t="s">
        <v>29255</v>
      </c>
    </row>
    <row r="10710" spans="2:4" x14ac:dyDescent="0.3">
      <c r="B10710" s="33" t="s">
        <v>29256</v>
      </c>
      <c r="C10710" s="32" t="s">
        <v>29257</v>
      </c>
      <c r="D10710" s="32" t="s">
        <v>29258</v>
      </c>
    </row>
    <row r="10711" spans="2:4" x14ac:dyDescent="0.3">
      <c r="B10711" s="33" t="s">
        <v>29259</v>
      </c>
      <c r="C10711" s="32" t="s">
        <v>29260</v>
      </c>
      <c r="D10711" s="32" t="s">
        <v>29261</v>
      </c>
    </row>
    <row r="10712" spans="2:4" x14ac:dyDescent="0.3">
      <c r="B10712" s="33" t="s">
        <v>29262</v>
      </c>
      <c r="C10712" s="32" t="s">
        <v>29263</v>
      </c>
      <c r="D10712" s="32" t="s">
        <v>29264</v>
      </c>
    </row>
    <row r="10713" spans="2:4" x14ac:dyDescent="0.3">
      <c r="B10713" s="33" t="s">
        <v>29265</v>
      </c>
      <c r="C10713" s="32" t="s">
        <v>29266</v>
      </c>
      <c r="D10713" s="32" t="s">
        <v>29267</v>
      </c>
    </row>
    <row r="10714" spans="2:4" x14ac:dyDescent="0.3">
      <c r="B10714" s="33" t="s">
        <v>9160</v>
      </c>
      <c r="C10714" s="32" t="s">
        <v>29268</v>
      </c>
      <c r="D10714" s="32" t="s">
        <v>29269</v>
      </c>
    </row>
    <row r="10715" spans="2:4" x14ac:dyDescent="0.3">
      <c r="B10715" s="33" t="s">
        <v>29270</v>
      </c>
      <c r="C10715" s="32" t="s">
        <v>29271</v>
      </c>
      <c r="D10715" s="32" t="s">
        <v>29272</v>
      </c>
    </row>
    <row r="10716" spans="2:4" x14ac:dyDescent="0.3">
      <c r="B10716" s="33" t="s">
        <v>29273</v>
      </c>
      <c r="C10716" s="32" t="s">
        <v>29274</v>
      </c>
      <c r="D10716" s="32" t="s">
        <v>29275</v>
      </c>
    </row>
    <row r="10717" spans="2:4" x14ac:dyDescent="0.3">
      <c r="B10717" s="33" t="s">
        <v>29276</v>
      </c>
      <c r="C10717" s="32" t="s">
        <v>29277</v>
      </c>
      <c r="D10717" s="32" t="s">
        <v>29278</v>
      </c>
    </row>
    <row r="10718" spans="2:4" x14ac:dyDescent="0.3">
      <c r="B10718" s="33" t="s">
        <v>29279</v>
      </c>
      <c r="C10718" s="32" t="s">
        <v>29280</v>
      </c>
      <c r="D10718" s="32" t="s">
        <v>29281</v>
      </c>
    </row>
    <row r="10719" spans="2:4" x14ac:dyDescent="0.3">
      <c r="B10719" s="33" t="s">
        <v>28413</v>
      </c>
      <c r="C10719" s="32" t="s">
        <v>29282</v>
      </c>
      <c r="D10719" s="32" t="s">
        <v>29283</v>
      </c>
    </row>
    <row r="10720" spans="2:4" x14ac:dyDescent="0.3">
      <c r="B10720" s="33" t="s">
        <v>29284</v>
      </c>
      <c r="C10720" s="32" t="s">
        <v>29285</v>
      </c>
      <c r="D10720" s="32" t="s">
        <v>29286</v>
      </c>
    </row>
    <row r="10721" spans="2:4" x14ac:dyDescent="0.3">
      <c r="B10721" s="33" t="s">
        <v>29287</v>
      </c>
      <c r="C10721" s="32" t="s">
        <v>29288</v>
      </c>
      <c r="D10721" s="32" t="s">
        <v>29289</v>
      </c>
    </row>
    <row r="10722" spans="2:4" x14ac:dyDescent="0.3">
      <c r="B10722" s="33" t="s">
        <v>29290</v>
      </c>
      <c r="C10722" s="32" t="s">
        <v>29291</v>
      </c>
      <c r="D10722" s="32" t="s">
        <v>29292</v>
      </c>
    </row>
    <row r="10723" spans="2:4" x14ac:dyDescent="0.3">
      <c r="B10723" s="33" t="s">
        <v>27940</v>
      </c>
      <c r="C10723" s="32" t="s">
        <v>29293</v>
      </c>
      <c r="D10723" s="32" t="s">
        <v>29294</v>
      </c>
    </row>
    <row r="10724" spans="2:4" x14ac:dyDescent="0.3">
      <c r="B10724" s="33" t="s">
        <v>29295</v>
      </c>
      <c r="C10724" s="32" t="s">
        <v>29296</v>
      </c>
      <c r="D10724" s="32" t="s">
        <v>29297</v>
      </c>
    </row>
    <row r="10725" spans="2:4" x14ac:dyDescent="0.3">
      <c r="B10725" s="33" t="s">
        <v>29298</v>
      </c>
      <c r="C10725" s="32" t="s">
        <v>29299</v>
      </c>
      <c r="D10725" s="32" t="s">
        <v>29298</v>
      </c>
    </row>
    <row r="10726" spans="2:4" x14ac:dyDescent="0.3">
      <c r="B10726" s="33" t="s">
        <v>29300</v>
      </c>
      <c r="C10726" s="32" t="s">
        <v>29301</v>
      </c>
      <c r="D10726" s="32" t="s">
        <v>29302</v>
      </c>
    </row>
    <row r="10727" spans="2:4" x14ac:dyDescent="0.3">
      <c r="B10727" s="33" t="s">
        <v>29303</v>
      </c>
      <c r="C10727" s="32" t="s">
        <v>29304</v>
      </c>
      <c r="D10727" s="32" t="s">
        <v>29303</v>
      </c>
    </row>
    <row r="10728" spans="2:4" x14ac:dyDescent="0.3">
      <c r="B10728" s="33" t="s">
        <v>29305</v>
      </c>
      <c r="C10728" s="32" t="s">
        <v>29306</v>
      </c>
      <c r="D10728" s="32" t="s">
        <v>29307</v>
      </c>
    </row>
    <row r="10729" spans="2:4" x14ac:dyDescent="0.3">
      <c r="B10729" s="33" t="s">
        <v>27683</v>
      </c>
      <c r="C10729" s="32" t="s">
        <v>29308</v>
      </c>
      <c r="D10729" s="32" t="s">
        <v>29309</v>
      </c>
    </row>
    <row r="10730" spans="2:4" x14ac:dyDescent="0.3">
      <c r="B10730" s="33" t="s">
        <v>29310</v>
      </c>
      <c r="C10730" s="32" t="s">
        <v>29311</v>
      </c>
      <c r="D10730" s="32" t="s">
        <v>29312</v>
      </c>
    </row>
    <row r="10731" spans="2:4" x14ac:dyDescent="0.3">
      <c r="B10731" s="33" t="s">
        <v>29313</v>
      </c>
      <c r="C10731" s="32" t="s">
        <v>29314</v>
      </c>
      <c r="D10731" s="32" t="s">
        <v>29315</v>
      </c>
    </row>
    <row r="10732" spans="2:4" x14ac:dyDescent="0.3">
      <c r="B10732" s="33" t="s">
        <v>29316</v>
      </c>
      <c r="C10732" s="32" t="s">
        <v>29317</v>
      </c>
      <c r="D10732" s="32" t="s">
        <v>29318</v>
      </c>
    </row>
    <row r="10733" spans="2:4" x14ac:dyDescent="0.3">
      <c r="B10733" s="33" t="s">
        <v>29319</v>
      </c>
      <c r="C10733" s="32" t="s">
        <v>29320</v>
      </c>
      <c r="D10733" s="32" t="s">
        <v>29321</v>
      </c>
    </row>
    <row r="10734" spans="2:4" x14ac:dyDescent="0.3">
      <c r="B10734" s="33" t="s">
        <v>29322</v>
      </c>
      <c r="C10734" s="32" t="s">
        <v>29323</v>
      </c>
      <c r="D10734" s="32" t="s">
        <v>29324</v>
      </c>
    </row>
    <row r="10735" spans="2:4" x14ac:dyDescent="0.3">
      <c r="B10735" s="33" t="s">
        <v>29325</v>
      </c>
      <c r="C10735" s="32" t="s">
        <v>29326</v>
      </c>
      <c r="D10735" s="32" t="s">
        <v>29327</v>
      </c>
    </row>
    <row r="10736" spans="2:4" x14ac:dyDescent="0.3">
      <c r="B10736" s="33" t="s">
        <v>29328</v>
      </c>
      <c r="C10736" s="32" t="s">
        <v>29329</v>
      </c>
      <c r="D10736" s="32" t="s">
        <v>36888</v>
      </c>
    </row>
    <row r="10737" spans="2:4" x14ac:dyDescent="0.3">
      <c r="B10737" s="33" t="s">
        <v>29256</v>
      </c>
      <c r="C10737" s="32" t="s">
        <v>29330</v>
      </c>
      <c r="D10737" s="32" t="s">
        <v>29331</v>
      </c>
    </row>
    <row r="10738" spans="2:4" x14ac:dyDescent="0.3">
      <c r="B10738" s="33" t="s">
        <v>29332</v>
      </c>
      <c r="C10738" s="32" t="s">
        <v>29333</v>
      </c>
      <c r="D10738" s="32" t="s">
        <v>29334</v>
      </c>
    </row>
    <row r="10739" spans="2:4" x14ac:dyDescent="0.3">
      <c r="B10739" s="33" t="s">
        <v>29335</v>
      </c>
      <c r="C10739" s="32" t="s">
        <v>29336</v>
      </c>
      <c r="D10739" s="32" t="s">
        <v>29337</v>
      </c>
    </row>
    <row r="10740" spans="2:4" x14ac:dyDescent="0.3">
      <c r="B10740" s="33" t="s">
        <v>29303</v>
      </c>
      <c r="C10740" s="32" t="s">
        <v>29338</v>
      </c>
      <c r="D10740" s="32" t="s">
        <v>29339</v>
      </c>
    </row>
    <row r="10741" spans="2:4" x14ac:dyDescent="0.3">
      <c r="B10741" s="33" t="s">
        <v>29340</v>
      </c>
      <c r="C10741" s="32" t="s">
        <v>29341</v>
      </c>
      <c r="D10741" s="32" t="s">
        <v>29342</v>
      </c>
    </row>
    <row r="10742" spans="2:4" x14ac:dyDescent="0.3">
      <c r="B10742" s="33" t="s">
        <v>29343</v>
      </c>
      <c r="C10742" s="32" t="s">
        <v>29344</v>
      </c>
      <c r="D10742" s="32" t="s">
        <v>29345</v>
      </c>
    </row>
    <row r="10743" spans="2:4" x14ac:dyDescent="0.3">
      <c r="B10743" s="33" t="s">
        <v>29346</v>
      </c>
      <c r="C10743" s="32" t="s">
        <v>29347</v>
      </c>
      <c r="D10743" s="32" t="s">
        <v>29348</v>
      </c>
    </row>
    <row r="10744" spans="2:4" x14ac:dyDescent="0.3">
      <c r="B10744" s="33" t="s">
        <v>29343</v>
      </c>
      <c r="C10744" s="32" t="s">
        <v>29349</v>
      </c>
      <c r="D10744" s="32" t="s">
        <v>29350</v>
      </c>
    </row>
    <row r="10745" spans="2:4" x14ac:dyDescent="0.3">
      <c r="B10745" s="33" t="s">
        <v>29351</v>
      </c>
      <c r="C10745" s="32" t="s">
        <v>29352</v>
      </c>
      <c r="D10745" s="32" t="s">
        <v>29353</v>
      </c>
    </row>
    <row r="10746" spans="2:4" x14ac:dyDescent="0.3">
      <c r="B10746" s="33" t="s">
        <v>29354</v>
      </c>
      <c r="C10746" s="32" t="s">
        <v>29355</v>
      </c>
      <c r="D10746" s="32" t="s">
        <v>29356</v>
      </c>
    </row>
    <row r="10747" spans="2:4" x14ac:dyDescent="0.3">
      <c r="B10747" s="33" t="s">
        <v>29322</v>
      </c>
      <c r="C10747" s="32" t="s">
        <v>29357</v>
      </c>
      <c r="D10747" s="32" t="s">
        <v>29358</v>
      </c>
    </row>
    <row r="10748" spans="2:4" x14ac:dyDescent="0.3">
      <c r="B10748" s="33" t="s">
        <v>1567</v>
      </c>
      <c r="C10748" s="32" t="s">
        <v>29359</v>
      </c>
      <c r="D10748" s="32" t="s">
        <v>29360</v>
      </c>
    </row>
    <row r="10749" spans="2:4" x14ac:dyDescent="0.3">
      <c r="B10749" s="33" t="s">
        <v>22427</v>
      </c>
      <c r="C10749" s="32" t="s">
        <v>29361</v>
      </c>
      <c r="D10749" s="32" t="s">
        <v>29362</v>
      </c>
    </row>
    <row r="10750" spans="2:4" x14ac:dyDescent="0.3">
      <c r="B10750" s="33" t="s">
        <v>29363</v>
      </c>
      <c r="C10750" s="32" t="s">
        <v>29364</v>
      </c>
      <c r="D10750" s="32" t="s">
        <v>29365</v>
      </c>
    </row>
    <row r="10751" spans="2:4" x14ac:dyDescent="0.3">
      <c r="B10751" s="33" t="s">
        <v>29366</v>
      </c>
      <c r="C10751" s="32" t="s">
        <v>29367</v>
      </c>
      <c r="D10751" s="32" t="s">
        <v>29368</v>
      </c>
    </row>
    <row r="10752" spans="2:4" x14ac:dyDescent="0.3">
      <c r="B10752" s="33" t="s">
        <v>29369</v>
      </c>
      <c r="C10752" s="32" t="s">
        <v>29370</v>
      </c>
      <c r="D10752" s="32" t="s">
        <v>29371</v>
      </c>
    </row>
    <row r="10753" spans="2:4" x14ac:dyDescent="0.3">
      <c r="B10753" s="33" t="s">
        <v>29316</v>
      </c>
      <c r="C10753" s="32" t="s">
        <v>29372</v>
      </c>
      <c r="D10753" s="32" t="s">
        <v>29373</v>
      </c>
    </row>
    <row r="10754" spans="2:4" x14ac:dyDescent="0.3">
      <c r="B10754" s="33" t="s">
        <v>29374</v>
      </c>
      <c r="C10754" s="32" t="s">
        <v>29375</v>
      </c>
      <c r="D10754" s="32" t="s">
        <v>29376</v>
      </c>
    </row>
    <row r="10755" spans="2:4" x14ac:dyDescent="0.3">
      <c r="B10755" s="33" t="s">
        <v>29377</v>
      </c>
      <c r="C10755" s="32" t="s">
        <v>29378</v>
      </c>
      <c r="D10755" s="32" t="s">
        <v>29379</v>
      </c>
    </row>
    <row r="10756" spans="2:4" x14ac:dyDescent="0.3">
      <c r="B10756" s="33" t="s">
        <v>29316</v>
      </c>
      <c r="C10756" s="32" t="s">
        <v>29380</v>
      </c>
      <c r="D10756" s="32" t="s">
        <v>29381</v>
      </c>
    </row>
    <row r="10757" spans="2:4" x14ac:dyDescent="0.3">
      <c r="B10757" s="33" t="s">
        <v>29382</v>
      </c>
      <c r="C10757" s="32" t="s">
        <v>29383</v>
      </c>
      <c r="D10757" s="32" t="s">
        <v>29384</v>
      </c>
    </row>
    <row r="10758" spans="2:4" x14ac:dyDescent="0.3">
      <c r="B10758" s="33" t="s">
        <v>28042</v>
      </c>
      <c r="C10758" s="32" t="s">
        <v>29385</v>
      </c>
      <c r="D10758" s="32" t="s">
        <v>29386</v>
      </c>
    </row>
    <row r="10759" spans="2:4" x14ac:dyDescent="0.3">
      <c r="B10759" s="33" t="s">
        <v>28053</v>
      </c>
      <c r="C10759" s="32" t="s">
        <v>29387</v>
      </c>
      <c r="D10759" s="32" t="s">
        <v>29388</v>
      </c>
    </row>
    <row r="10760" spans="2:4" x14ac:dyDescent="0.3">
      <c r="B10760" s="33" t="s">
        <v>29389</v>
      </c>
      <c r="C10760" s="32" t="s">
        <v>29390</v>
      </c>
      <c r="D10760" s="32" t="s">
        <v>29391</v>
      </c>
    </row>
    <row r="10761" spans="2:4" x14ac:dyDescent="0.3">
      <c r="B10761" s="33" t="s">
        <v>29392</v>
      </c>
      <c r="C10761" s="32" t="s">
        <v>29393</v>
      </c>
      <c r="D10761" s="32" t="s">
        <v>29394</v>
      </c>
    </row>
    <row r="10762" spans="2:4" x14ac:dyDescent="0.3">
      <c r="B10762" s="33" t="s">
        <v>27963</v>
      </c>
      <c r="C10762" s="32" t="s">
        <v>29395</v>
      </c>
      <c r="D10762" s="32" t="s">
        <v>29396</v>
      </c>
    </row>
    <row r="10763" spans="2:4" x14ac:dyDescent="0.3">
      <c r="B10763" s="33" t="s">
        <v>29397</v>
      </c>
      <c r="C10763" s="32" t="s">
        <v>29398</v>
      </c>
      <c r="D10763" s="32" t="s">
        <v>29399</v>
      </c>
    </row>
    <row r="10764" spans="2:4" x14ac:dyDescent="0.3">
      <c r="B10764" s="33" t="s">
        <v>29400</v>
      </c>
      <c r="C10764" s="32" t="s">
        <v>29401</v>
      </c>
      <c r="D10764" s="32" t="s">
        <v>29402</v>
      </c>
    </row>
    <row r="10765" spans="2:4" x14ac:dyDescent="0.3">
      <c r="B10765" s="33" t="s">
        <v>27963</v>
      </c>
      <c r="C10765" s="32" t="s">
        <v>29403</v>
      </c>
      <c r="D10765" s="32" t="s">
        <v>27963</v>
      </c>
    </row>
    <row r="10766" spans="2:4" x14ac:dyDescent="0.3">
      <c r="B10766" s="33" t="s">
        <v>29404</v>
      </c>
      <c r="C10766" s="32" t="s">
        <v>29405</v>
      </c>
      <c r="D10766" s="32" t="s">
        <v>29406</v>
      </c>
    </row>
    <row r="10767" spans="2:4" x14ac:dyDescent="0.3">
      <c r="B10767" s="33" t="s">
        <v>29407</v>
      </c>
      <c r="C10767" s="32" t="s">
        <v>29408</v>
      </c>
      <c r="D10767" s="32" t="s">
        <v>29409</v>
      </c>
    </row>
    <row r="10768" spans="2:4" x14ac:dyDescent="0.3">
      <c r="B10768" s="33" t="s">
        <v>29407</v>
      </c>
      <c r="C10768" s="32" t="s">
        <v>29410</v>
      </c>
      <c r="D10768" s="32" t="s">
        <v>29411</v>
      </c>
    </row>
    <row r="10769" spans="2:4" x14ac:dyDescent="0.3">
      <c r="B10769" s="33" t="s">
        <v>29412</v>
      </c>
      <c r="C10769" s="32" t="s">
        <v>29413</v>
      </c>
      <c r="D10769" s="32" t="s">
        <v>29414</v>
      </c>
    </row>
    <row r="10770" spans="2:4" x14ac:dyDescent="0.3">
      <c r="B10770" s="33" t="s">
        <v>29415</v>
      </c>
      <c r="C10770" s="32" t="s">
        <v>29416</v>
      </c>
      <c r="D10770" s="32" t="s">
        <v>29417</v>
      </c>
    </row>
    <row r="10771" spans="2:4" x14ac:dyDescent="0.3">
      <c r="B10771" s="33" t="s">
        <v>29415</v>
      </c>
      <c r="C10771" s="32" t="s">
        <v>29418</v>
      </c>
      <c r="D10771" s="32" t="s">
        <v>29419</v>
      </c>
    </row>
    <row r="10772" spans="2:4" x14ac:dyDescent="0.3">
      <c r="B10772" s="33" t="s">
        <v>29420</v>
      </c>
      <c r="C10772" s="32" t="s">
        <v>29421</v>
      </c>
      <c r="D10772" s="32" t="s">
        <v>29422</v>
      </c>
    </row>
    <row r="10773" spans="2:4" x14ac:dyDescent="0.3">
      <c r="B10773" s="33" t="s">
        <v>29423</v>
      </c>
      <c r="C10773" s="32" t="s">
        <v>29424</v>
      </c>
      <c r="D10773" s="32" t="s">
        <v>29425</v>
      </c>
    </row>
    <row r="10774" spans="2:4" x14ac:dyDescent="0.3">
      <c r="B10774" s="33" t="s">
        <v>29423</v>
      </c>
      <c r="C10774" s="32" t="s">
        <v>29426</v>
      </c>
      <c r="D10774" s="32" t="s">
        <v>29427</v>
      </c>
    </row>
    <row r="10775" spans="2:4" x14ac:dyDescent="0.3">
      <c r="B10775" s="33" t="s">
        <v>29428</v>
      </c>
      <c r="C10775" s="32" t="s">
        <v>29429</v>
      </c>
      <c r="D10775" s="32" t="s">
        <v>29430</v>
      </c>
    </row>
    <row r="10776" spans="2:4" x14ac:dyDescent="0.3">
      <c r="B10776" s="33" t="s">
        <v>29431</v>
      </c>
      <c r="C10776" s="32" t="s">
        <v>29432</v>
      </c>
      <c r="D10776" s="32" t="s">
        <v>29433</v>
      </c>
    </row>
    <row r="10777" spans="2:4" x14ac:dyDescent="0.3">
      <c r="B10777" s="33" t="s">
        <v>29434</v>
      </c>
      <c r="C10777" s="32" t="s">
        <v>29435</v>
      </c>
      <c r="D10777" s="32" t="s">
        <v>29436</v>
      </c>
    </row>
    <row r="10778" spans="2:4" x14ac:dyDescent="0.3">
      <c r="B10778" s="33" t="s">
        <v>29437</v>
      </c>
      <c r="C10778" s="32" t="s">
        <v>29438</v>
      </c>
      <c r="D10778" s="32" t="s">
        <v>29439</v>
      </c>
    </row>
    <row r="10779" spans="2:4" x14ac:dyDescent="0.3">
      <c r="B10779" s="33" t="s">
        <v>20712</v>
      </c>
      <c r="C10779" s="32" t="s">
        <v>29440</v>
      </c>
      <c r="D10779" s="32" t="s">
        <v>29441</v>
      </c>
    </row>
    <row r="10780" spans="2:4" x14ac:dyDescent="0.3">
      <c r="B10780" s="33" t="s">
        <v>29442</v>
      </c>
      <c r="C10780" s="32" t="s">
        <v>29443</v>
      </c>
      <c r="D10780" s="32" t="s">
        <v>29444</v>
      </c>
    </row>
    <row r="10781" spans="2:4" x14ac:dyDescent="0.3">
      <c r="B10781" s="33" t="s">
        <v>29445</v>
      </c>
      <c r="C10781" s="32" t="s">
        <v>29446</v>
      </c>
      <c r="D10781" s="32" t="s">
        <v>29447</v>
      </c>
    </row>
    <row r="10782" spans="2:4" x14ac:dyDescent="0.3">
      <c r="B10782" s="33" t="s">
        <v>29448</v>
      </c>
      <c r="C10782" s="32" t="s">
        <v>29449</v>
      </c>
      <c r="D10782" s="32" t="s">
        <v>29450</v>
      </c>
    </row>
    <row r="10783" spans="2:4" x14ac:dyDescent="0.3">
      <c r="B10783" s="33" t="s">
        <v>29451</v>
      </c>
      <c r="C10783" s="32" t="s">
        <v>29452</v>
      </c>
      <c r="D10783" s="32" t="s">
        <v>29453</v>
      </c>
    </row>
    <row r="10784" spans="2:4" x14ac:dyDescent="0.3">
      <c r="B10784" s="33" t="s">
        <v>29454</v>
      </c>
      <c r="C10784" s="32" t="s">
        <v>29455</v>
      </c>
      <c r="D10784" s="32" t="s">
        <v>37071</v>
      </c>
    </row>
    <row r="10785" spans="2:4" x14ac:dyDescent="0.3">
      <c r="B10785" s="33" t="s">
        <v>29442</v>
      </c>
      <c r="C10785" s="32" t="s">
        <v>29456</v>
      </c>
      <c r="D10785" s="32" t="s">
        <v>29457</v>
      </c>
    </row>
    <row r="10786" spans="2:4" x14ac:dyDescent="0.3">
      <c r="B10786" s="33" t="s">
        <v>29458</v>
      </c>
      <c r="C10786" s="32" t="s">
        <v>29459</v>
      </c>
      <c r="D10786" s="32" t="s">
        <v>29460</v>
      </c>
    </row>
    <row r="10787" spans="2:4" x14ac:dyDescent="0.3">
      <c r="B10787" s="33" t="s">
        <v>27700</v>
      </c>
      <c r="C10787" s="32" t="s">
        <v>29461</v>
      </c>
      <c r="D10787" s="32" t="s">
        <v>29462</v>
      </c>
    </row>
    <row r="10788" spans="2:4" x14ac:dyDescent="0.3">
      <c r="B10788" s="33" t="s">
        <v>29463</v>
      </c>
      <c r="C10788" s="32" t="s">
        <v>29464</v>
      </c>
      <c r="D10788" s="32" t="s">
        <v>29465</v>
      </c>
    </row>
    <row r="10789" spans="2:4" x14ac:dyDescent="0.3">
      <c r="B10789" s="33" t="s">
        <v>29466</v>
      </c>
      <c r="C10789" s="32" t="s">
        <v>29467</v>
      </c>
      <c r="D10789" s="32" t="s">
        <v>29468</v>
      </c>
    </row>
    <row r="10790" spans="2:4" x14ac:dyDescent="0.3">
      <c r="B10790" s="33" t="s">
        <v>29469</v>
      </c>
      <c r="C10790" s="32" t="s">
        <v>29470</v>
      </c>
      <c r="D10790" s="32" t="s">
        <v>29471</v>
      </c>
    </row>
    <row r="10791" spans="2:4" x14ac:dyDescent="0.3">
      <c r="B10791" s="33" t="s">
        <v>29472</v>
      </c>
      <c r="C10791" s="32" t="s">
        <v>29473</v>
      </c>
      <c r="D10791" s="32" t="s">
        <v>29474</v>
      </c>
    </row>
    <row r="10792" spans="2:4" x14ac:dyDescent="0.3">
      <c r="B10792" s="33" t="s">
        <v>10782</v>
      </c>
      <c r="C10792" s="32" t="s">
        <v>29476</v>
      </c>
      <c r="D10792" s="32" t="s">
        <v>29477</v>
      </c>
    </row>
    <row r="10793" spans="2:4" x14ac:dyDescent="0.3">
      <c r="B10793" s="33" t="s">
        <v>27631</v>
      </c>
      <c r="C10793" s="32" t="s">
        <v>29478</v>
      </c>
      <c r="D10793" s="32" t="s">
        <v>29479</v>
      </c>
    </row>
    <row r="10794" spans="2:4" x14ac:dyDescent="0.3">
      <c r="B10794" s="33" t="s">
        <v>29480</v>
      </c>
      <c r="C10794" s="32" t="s">
        <v>29481</v>
      </c>
      <c r="D10794" s="32" t="s">
        <v>29482</v>
      </c>
    </row>
    <row r="10795" spans="2:4" x14ac:dyDescent="0.3">
      <c r="B10795" s="33" t="s">
        <v>5209</v>
      </c>
      <c r="C10795" s="32" t="s">
        <v>29483</v>
      </c>
      <c r="D10795" s="32" t="s">
        <v>29484</v>
      </c>
    </row>
    <row r="10796" spans="2:4" x14ac:dyDescent="0.3">
      <c r="B10796" s="33" t="s">
        <v>29485</v>
      </c>
      <c r="C10796" s="32" t="s">
        <v>29486</v>
      </c>
      <c r="D10796" s="32" t="s">
        <v>29487</v>
      </c>
    </row>
    <row r="10797" spans="2:4" x14ac:dyDescent="0.3">
      <c r="B10797" s="33" t="s">
        <v>29305</v>
      </c>
      <c r="C10797" s="32" t="s">
        <v>29488</v>
      </c>
      <c r="D10797" s="32" t="s">
        <v>29489</v>
      </c>
    </row>
    <row r="10798" spans="2:4" x14ac:dyDescent="0.3">
      <c r="B10798" s="33" t="s">
        <v>29490</v>
      </c>
      <c r="C10798" s="32" t="s">
        <v>29491</v>
      </c>
      <c r="D10798" s="32" t="s">
        <v>29490</v>
      </c>
    </row>
    <row r="10799" spans="2:4" x14ac:dyDescent="0.3">
      <c r="B10799" s="33" t="s">
        <v>29480</v>
      </c>
      <c r="C10799" s="32" t="s">
        <v>29492</v>
      </c>
      <c r="D10799" s="32" t="s">
        <v>29493</v>
      </c>
    </row>
    <row r="10800" spans="2:4" x14ac:dyDescent="0.3">
      <c r="B10800" s="33" t="s">
        <v>29494</v>
      </c>
      <c r="C10800" s="32" t="s">
        <v>29495</v>
      </c>
      <c r="D10800" s="32" t="s">
        <v>29496</v>
      </c>
    </row>
    <row r="10801" spans="2:4" x14ac:dyDescent="0.3">
      <c r="B10801" s="33" t="s">
        <v>29497</v>
      </c>
      <c r="C10801" s="32" t="s">
        <v>29498</v>
      </c>
      <c r="D10801" s="32" t="s">
        <v>29499</v>
      </c>
    </row>
    <row r="10802" spans="2:4" x14ac:dyDescent="0.3">
      <c r="B10802" s="33" t="s">
        <v>29475</v>
      </c>
      <c r="C10802" s="32" t="s">
        <v>29500</v>
      </c>
      <c r="D10802" s="32" t="s">
        <v>29501</v>
      </c>
    </row>
    <row r="10803" spans="2:4" x14ac:dyDescent="0.3">
      <c r="B10803" s="33" t="s">
        <v>29502</v>
      </c>
      <c r="C10803" s="32" t="s">
        <v>29503</v>
      </c>
      <c r="D10803" s="32" t="s">
        <v>29504</v>
      </c>
    </row>
    <row r="10804" spans="2:4" x14ac:dyDescent="0.3">
      <c r="B10804" s="33" t="s">
        <v>36759</v>
      </c>
      <c r="C10804" s="32" t="s">
        <v>29505</v>
      </c>
      <c r="D10804" s="32" t="s">
        <v>29506</v>
      </c>
    </row>
    <row r="10805" spans="2:4" x14ac:dyDescent="0.3">
      <c r="B10805" s="33" t="s">
        <v>29507</v>
      </c>
      <c r="C10805" s="32" t="s">
        <v>29508</v>
      </c>
      <c r="D10805" s="32" t="s">
        <v>29509</v>
      </c>
    </row>
    <row r="10806" spans="2:4" x14ac:dyDescent="0.3">
      <c r="B10806" s="33" t="s">
        <v>29510</v>
      </c>
      <c r="C10806" s="32" t="s">
        <v>29511</v>
      </c>
      <c r="D10806" s="32" t="s">
        <v>29510</v>
      </c>
    </row>
    <row r="10807" spans="2:4" x14ac:dyDescent="0.3">
      <c r="B10807" s="33" t="s">
        <v>29512</v>
      </c>
      <c r="C10807" s="32" t="s">
        <v>29513</v>
      </c>
      <c r="D10807" s="32" t="s">
        <v>29514</v>
      </c>
    </row>
    <row r="10808" spans="2:4" x14ac:dyDescent="0.3">
      <c r="B10808" s="33" t="s">
        <v>28178</v>
      </c>
      <c r="C10808" s="32" t="s">
        <v>29515</v>
      </c>
      <c r="D10808" s="32" t="s">
        <v>29516</v>
      </c>
    </row>
    <row r="10809" spans="2:4" x14ac:dyDescent="0.3">
      <c r="B10809" s="33" t="s">
        <v>29517</v>
      </c>
      <c r="C10809" s="32" t="s">
        <v>29518</v>
      </c>
      <c r="D10809" s="32" t="s">
        <v>29519</v>
      </c>
    </row>
    <row r="10810" spans="2:4" x14ac:dyDescent="0.3">
      <c r="B10810" s="33" t="s">
        <v>29520</v>
      </c>
      <c r="C10810" s="32" t="s">
        <v>29521</v>
      </c>
      <c r="D10810" s="32" t="s">
        <v>29522</v>
      </c>
    </row>
    <row r="10811" spans="2:4" x14ac:dyDescent="0.3">
      <c r="B10811" s="33" t="s">
        <v>29523</v>
      </c>
      <c r="C10811" s="32" t="s">
        <v>29524</v>
      </c>
      <c r="D10811" s="32" t="s">
        <v>29525</v>
      </c>
    </row>
    <row r="10812" spans="2:4" x14ac:dyDescent="0.3">
      <c r="B10812" s="33" t="s">
        <v>29526</v>
      </c>
      <c r="C10812" s="32" t="s">
        <v>29527</v>
      </c>
      <c r="D10812" s="32" t="s">
        <v>29528</v>
      </c>
    </row>
    <row r="10813" spans="2:4" x14ac:dyDescent="0.3">
      <c r="B10813" s="33" t="s">
        <v>29529</v>
      </c>
      <c r="C10813" s="32" t="s">
        <v>29530</v>
      </c>
      <c r="D10813" s="32" t="s">
        <v>29531</v>
      </c>
    </row>
    <row r="10814" spans="2:4" x14ac:dyDescent="0.3">
      <c r="B10814" s="33" t="s">
        <v>27391</v>
      </c>
      <c r="C10814" s="32" t="s">
        <v>29532</v>
      </c>
      <c r="D10814" s="32" t="s">
        <v>29533</v>
      </c>
    </row>
    <row r="10815" spans="2:4" x14ac:dyDescent="0.3">
      <c r="B10815" s="33" t="s">
        <v>29534</v>
      </c>
      <c r="C10815" s="32" t="s">
        <v>29535</v>
      </c>
      <c r="D10815" s="32" t="s">
        <v>29536</v>
      </c>
    </row>
    <row r="10816" spans="2:4" x14ac:dyDescent="0.3">
      <c r="B10816" s="33" t="s">
        <v>29537</v>
      </c>
      <c r="C10816" s="32" t="s">
        <v>29538</v>
      </c>
      <c r="D10816" s="32" t="s">
        <v>29539</v>
      </c>
    </row>
    <row r="10817" spans="2:4" x14ac:dyDescent="0.3">
      <c r="B10817" s="33" t="s">
        <v>29540</v>
      </c>
      <c r="C10817" s="32" t="s">
        <v>29541</v>
      </c>
      <c r="D10817" s="32" t="s">
        <v>29542</v>
      </c>
    </row>
    <row r="10818" spans="2:4" x14ac:dyDescent="0.3">
      <c r="B10818" s="33" t="s">
        <v>1932</v>
      </c>
      <c r="C10818" s="32" t="s">
        <v>29543</v>
      </c>
      <c r="D10818" s="32" t="s">
        <v>29544</v>
      </c>
    </row>
    <row r="10819" spans="2:4" x14ac:dyDescent="0.3">
      <c r="B10819" s="33" t="s">
        <v>1932</v>
      </c>
      <c r="C10819" s="32" t="s">
        <v>29545</v>
      </c>
      <c r="D10819" s="32" t="s">
        <v>29546</v>
      </c>
    </row>
    <row r="10820" spans="2:4" x14ac:dyDescent="0.3">
      <c r="B10820" s="33" t="s">
        <v>7470</v>
      </c>
      <c r="C10820" s="32" t="s">
        <v>29547</v>
      </c>
      <c r="D10820" s="32" t="s">
        <v>29548</v>
      </c>
    </row>
    <row r="10821" spans="2:4" x14ac:dyDescent="0.3">
      <c r="B10821" s="33" t="s">
        <v>29549</v>
      </c>
      <c r="C10821" s="32" t="s">
        <v>29550</v>
      </c>
      <c r="D10821" s="32" t="s">
        <v>29551</v>
      </c>
    </row>
    <row r="10822" spans="2:4" x14ac:dyDescent="0.3">
      <c r="B10822" s="33" t="s">
        <v>29552</v>
      </c>
      <c r="C10822" s="32" t="s">
        <v>29553</v>
      </c>
      <c r="D10822" s="32" t="s">
        <v>29554</v>
      </c>
    </row>
    <row r="10823" spans="2:4" x14ac:dyDescent="0.3">
      <c r="B10823" s="33" t="s">
        <v>29555</v>
      </c>
      <c r="C10823" s="32" t="s">
        <v>29556</v>
      </c>
      <c r="D10823" s="32" t="s">
        <v>29557</v>
      </c>
    </row>
    <row r="10824" spans="2:4" x14ac:dyDescent="0.3">
      <c r="B10824" s="33" t="s">
        <v>29558</v>
      </c>
      <c r="C10824" s="32" t="s">
        <v>29559</v>
      </c>
      <c r="D10824" s="32" t="s">
        <v>29560</v>
      </c>
    </row>
    <row r="10825" spans="2:4" x14ac:dyDescent="0.3">
      <c r="B10825" s="33" t="s">
        <v>29561</v>
      </c>
      <c r="C10825" s="32" t="s">
        <v>29562</v>
      </c>
      <c r="D10825" s="32" t="s">
        <v>29561</v>
      </c>
    </row>
    <row r="10826" spans="2:4" x14ac:dyDescent="0.3">
      <c r="B10826" s="33" t="s">
        <v>29561</v>
      </c>
      <c r="C10826" s="32" t="s">
        <v>29563</v>
      </c>
      <c r="D10826" s="32" t="s">
        <v>29564</v>
      </c>
    </row>
    <row r="10827" spans="2:4" x14ac:dyDescent="0.3">
      <c r="B10827" s="33" t="s">
        <v>29565</v>
      </c>
      <c r="C10827" s="32" t="s">
        <v>29566</v>
      </c>
      <c r="D10827" s="32" t="s">
        <v>29567</v>
      </c>
    </row>
    <row r="10828" spans="2:4" x14ac:dyDescent="0.3">
      <c r="B10828" s="33" t="s">
        <v>32</v>
      </c>
      <c r="C10828" s="32" t="s">
        <v>29568</v>
      </c>
      <c r="D10828" s="32" t="s">
        <v>33</v>
      </c>
    </row>
    <row r="10829" spans="2:4" x14ac:dyDescent="0.3">
      <c r="B10829" s="33" t="s">
        <v>29569</v>
      </c>
      <c r="C10829" s="32" t="s">
        <v>29570</v>
      </c>
      <c r="D10829" s="32" t="s">
        <v>29571</v>
      </c>
    </row>
    <row r="10830" spans="2:4" x14ac:dyDescent="0.3">
      <c r="B10830" s="33" t="s">
        <v>15061</v>
      </c>
      <c r="C10830" s="32" t="s">
        <v>29572</v>
      </c>
      <c r="D10830" s="32" t="s">
        <v>29573</v>
      </c>
    </row>
    <row r="10831" spans="2:4" x14ac:dyDescent="0.3">
      <c r="B10831" s="33" t="s">
        <v>29574</v>
      </c>
      <c r="C10831" s="32" t="s">
        <v>29575</v>
      </c>
      <c r="D10831" s="32" t="s">
        <v>29576</v>
      </c>
    </row>
    <row r="10832" spans="2:4" x14ac:dyDescent="0.3">
      <c r="B10832" s="33" t="s">
        <v>24393</v>
      </c>
      <c r="C10832" s="32" t="s">
        <v>29577</v>
      </c>
      <c r="D10832" s="32" t="s">
        <v>29578</v>
      </c>
    </row>
    <row r="10833" spans="2:4" x14ac:dyDescent="0.3">
      <c r="B10833" s="33" t="s">
        <v>29579</v>
      </c>
      <c r="C10833" s="32" t="s">
        <v>29580</v>
      </c>
      <c r="D10833" s="32" t="s">
        <v>29581</v>
      </c>
    </row>
    <row r="10834" spans="2:4" x14ac:dyDescent="0.3">
      <c r="B10834" s="33" t="s">
        <v>29582</v>
      </c>
      <c r="C10834" s="32" t="s">
        <v>29583</v>
      </c>
      <c r="D10834" s="32" t="s">
        <v>29584</v>
      </c>
    </row>
    <row r="10835" spans="2:4" x14ac:dyDescent="0.3">
      <c r="B10835" s="33" t="s">
        <v>29585</v>
      </c>
      <c r="C10835" s="32" t="s">
        <v>29586</v>
      </c>
      <c r="D10835" s="32" t="s">
        <v>29587</v>
      </c>
    </row>
    <row r="10836" spans="2:4" x14ac:dyDescent="0.3">
      <c r="B10836" s="33" t="s">
        <v>29588</v>
      </c>
      <c r="C10836" s="32" t="s">
        <v>29589</v>
      </c>
      <c r="D10836" s="32" t="s">
        <v>29590</v>
      </c>
    </row>
    <row r="10837" spans="2:4" x14ac:dyDescent="0.3">
      <c r="B10837" s="33" t="s">
        <v>29591</v>
      </c>
      <c r="C10837" s="32" t="s">
        <v>29592</v>
      </c>
      <c r="D10837" s="32" t="s">
        <v>29593</v>
      </c>
    </row>
    <row r="10838" spans="2:4" x14ac:dyDescent="0.3">
      <c r="B10838" s="33" t="s">
        <v>29594</v>
      </c>
      <c r="C10838" s="32" t="s">
        <v>29595</v>
      </c>
      <c r="D10838" s="32" t="s">
        <v>29594</v>
      </c>
    </row>
    <row r="10839" spans="2:4" x14ac:dyDescent="0.3">
      <c r="B10839" s="33" t="s">
        <v>29596</v>
      </c>
      <c r="C10839" s="32" t="s">
        <v>29597</v>
      </c>
      <c r="D10839" s="32" t="s">
        <v>29598</v>
      </c>
    </row>
    <row r="10840" spans="2:4" x14ac:dyDescent="0.3">
      <c r="B10840" s="33" t="s">
        <v>29599</v>
      </c>
      <c r="C10840" s="32" t="s">
        <v>29600</v>
      </c>
      <c r="D10840" s="32" t="s">
        <v>29601</v>
      </c>
    </row>
    <row r="10841" spans="2:4" x14ac:dyDescent="0.3">
      <c r="B10841" s="33" t="s">
        <v>29599</v>
      </c>
      <c r="C10841" s="32" t="s">
        <v>29602</v>
      </c>
      <c r="D10841" s="32" t="s">
        <v>29603</v>
      </c>
    </row>
    <row r="10842" spans="2:4" x14ac:dyDescent="0.3">
      <c r="B10842" s="33" t="s">
        <v>29604</v>
      </c>
      <c r="C10842" s="32" t="s">
        <v>29605</v>
      </c>
      <c r="D10842" s="32" t="s">
        <v>29606</v>
      </c>
    </row>
    <row r="10843" spans="2:4" x14ac:dyDescent="0.3">
      <c r="B10843" s="33" t="s">
        <v>29607</v>
      </c>
      <c r="C10843" s="32" t="s">
        <v>29608</v>
      </c>
      <c r="D10843" s="32" t="s">
        <v>29609</v>
      </c>
    </row>
    <row r="10844" spans="2:4" x14ac:dyDescent="0.3">
      <c r="B10844" s="33" t="s">
        <v>29610</v>
      </c>
      <c r="C10844" s="32" t="s">
        <v>29611</v>
      </c>
      <c r="D10844" s="32" t="s">
        <v>29612</v>
      </c>
    </row>
    <row r="10845" spans="2:4" x14ac:dyDescent="0.3">
      <c r="B10845" s="33" t="s">
        <v>29613</v>
      </c>
      <c r="C10845" s="32" t="s">
        <v>29614</v>
      </c>
      <c r="D10845" s="32" t="s">
        <v>29615</v>
      </c>
    </row>
    <row r="10846" spans="2:4" x14ac:dyDescent="0.3">
      <c r="B10846" s="33" t="s">
        <v>29616</v>
      </c>
      <c r="C10846" s="32" t="s">
        <v>29617</v>
      </c>
      <c r="D10846" s="32" t="s">
        <v>29618</v>
      </c>
    </row>
    <row r="10847" spans="2:4" x14ac:dyDescent="0.3">
      <c r="B10847" s="33" t="s">
        <v>27683</v>
      </c>
      <c r="C10847" s="32" t="s">
        <v>29619</v>
      </c>
      <c r="D10847" s="32" t="s">
        <v>29620</v>
      </c>
    </row>
    <row r="10848" spans="2:4" x14ac:dyDescent="0.3">
      <c r="B10848" s="33" t="s">
        <v>29621</v>
      </c>
      <c r="C10848" s="32" t="s">
        <v>29622</v>
      </c>
      <c r="D10848" s="32" t="s">
        <v>29623</v>
      </c>
    </row>
    <row r="10849" spans="2:4" x14ac:dyDescent="0.3">
      <c r="B10849" s="33" t="s">
        <v>29624</v>
      </c>
      <c r="C10849" s="32" t="s">
        <v>29625</v>
      </c>
      <c r="D10849" s="32" t="s">
        <v>29626</v>
      </c>
    </row>
    <row r="10850" spans="2:4" x14ac:dyDescent="0.3">
      <c r="B10850" s="33" t="s">
        <v>29599</v>
      </c>
      <c r="C10850" s="32" t="s">
        <v>29627</v>
      </c>
      <c r="D10850" s="32" t="s">
        <v>29628</v>
      </c>
    </row>
    <row r="10851" spans="2:4" x14ac:dyDescent="0.3">
      <c r="B10851" s="33" t="s">
        <v>36671</v>
      </c>
      <c r="C10851" s="32" t="s">
        <v>36672</v>
      </c>
      <c r="D10851" s="32" t="s">
        <v>36673</v>
      </c>
    </row>
    <row r="10852" spans="2:4" x14ac:dyDescent="0.3">
      <c r="B10852" s="33" t="s">
        <v>29629</v>
      </c>
      <c r="C10852" s="32" t="s">
        <v>29630</v>
      </c>
      <c r="D10852" s="32" t="s">
        <v>29629</v>
      </c>
    </row>
    <row r="10853" spans="2:4" x14ac:dyDescent="0.3">
      <c r="B10853" s="33" t="s">
        <v>29631</v>
      </c>
      <c r="C10853" s="32" t="s">
        <v>29632</v>
      </c>
      <c r="D10853" s="32" t="s">
        <v>29633</v>
      </c>
    </row>
    <row r="10854" spans="2:4" x14ac:dyDescent="0.3">
      <c r="B10854" s="33" t="s">
        <v>29634</v>
      </c>
      <c r="C10854" s="32" t="s">
        <v>29635</v>
      </c>
      <c r="D10854" s="32" t="s">
        <v>29636</v>
      </c>
    </row>
    <row r="10855" spans="2:4" x14ac:dyDescent="0.3">
      <c r="B10855" s="33" t="s">
        <v>29637</v>
      </c>
      <c r="C10855" s="32" t="s">
        <v>29638</v>
      </c>
      <c r="D10855" s="32" t="s">
        <v>29639</v>
      </c>
    </row>
    <row r="10856" spans="2:4" x14ac:dyDescent="0.3">
      <c r="B10856" s="33" t="s">
        <v>29640</v>
      </c>
      <c r="C10856" s="32" t="s">
        <v>29641</v>
      </c>
      <c r="D10856" s="32" t="s">
        <v>29642</v>
      </c>
    </row>
    <row r="10857" spans="2:4" x14ac:dyDescent="0.3">
      <c r="B10857" s="33" t="s">
        <v>29643</v>
      </c>
      <c r="C10857" s="32" t="s">
        <v>29644</v>
      </c>
      <c r="D10857" s="32" t="s">
        <v>29645</v>
      </c>
    </row>
    <row r="10858" spans="2:4" x14ac:dyDescent="0.3">
      <c r="B10858" s="33" t="s">
        <v>29646</v>
      </c>
      <c r="C10858" s="32" t="s">
        <v>29647</v>
      </c>
      <c r="D10858" s="32" t="s">
        <v>29648</v>
      </c>
    </row>
    <row r="10859" spans="2:4" x14ac:dyDescent="0.3">
      <c r="B10859" s="33" t="s">
        <v>29649</v>
      </c>
      <c r="C10859" s="32" t="s">
        <v>29650</v>
      </c>
      <c r="D10859" s="32" t="s">
        <v>29651</v>
      </c>
    </row>
    <row r="10860" spans="2:4" x14ac:dyDescent="0.3">
      <c r="B10860" s="33" t="s">
        <v>20288</v>
      </c>
      <c r="C10860" s="32" t="s">
        <v>29652</v>
      </c>
      <c r="D10860" s="32" t="s">
        <v>29653</v>
      </c>
    </row>
    <row r="10861" spans="2:4" x14ac:dyDescent="0.3">
      <c r="B10861" s="33" t="s">
        <v>29654</v>
      </c>
      <c r="C10861" s="32" t="s">
        <v>29655</v>
      </c>
      <c r="D10861" s="32" t="s">
        <v>29656</v>
      </c>
    </row>
    <row r="10862" spans="2:4" x14ac:dyDescent="0.3">
      <c r="B10862" s="33" t="s">
        <v>29657</v>
      </c>
      <c r="C10862" s="32" t="s">
        <v>29658</v>
      </c>
      <c r="D10862" s="32" t="s">
        <v>29659</v>
      </c>
    </row>
    <row r="10863" spans="2:4" x14ac:dyDescent="0.3">
      <c r="B10863" s="33" t="s">
        <v>29660</v>
      </c>
      <c r="C10863" s="32" t="s">
        <v>29661</v>
      </c>
      <c r="D10863" s="32" t="s">
        <v>29662</v>
      </c>
    </row>
    <row r="10864" spans="2:4" x14ac:dyDescent="0.3">
      <c r="B10864" s="33" t="s">
        <v>27686</v>
      </c>
      <c r="C10864" s="32" t="s">
        <v>29663</v>
      </c>
      <c r="D10864" s="32" t="s">
        <v>29664</v>
      </c>
    </row>
    <row r="10865" spans="2:4" x14ac:dyDescent="0.3">
      <c r="B10865" s="33" t="s">
        <v>29665</v>
      </c>
      <c r="C10865" s="32" t="s">
        <v>29666</v>
      </c>
      <c r="D10865" s="32" t="s">
        <v>29667</v>
      </c>
    </row>
    <row r="10866" spans="2:4" x14ac:dyDescent="0.3">
      <c r="B10866" s="33" t="s">
        <v>29668</v>
      </c>
      <c r="C10866" s="32" t="s">
        <v>29669</v>
      </c>
      <c r="D10866" s="32" t="s">
        <v>29670</v>
      </c>
    </row>
    <row r="10867" spans="2:4" x14ac:dyDescent="0.3">
      <c r="B10867" s="33" t="s">
        <v>29671</v>
      </c>
      <c r="C10867" s="32" t="s">
        <v>29672</v>
      </c>
      <c r="D10867" s="32" t="s">
        <v>29673</v>
      </c>
    </row>
    <row r="10868" spans="2:4" x14ac:dyDescent="0.3">
      <c r="B10868" s="33" t="s">
        <v>29674</v>
      </c>
      <c r="C10868" s="32" t="s">
        <v>29675</v>
      </c>
      <c r="D10868" s="32" t="s">
        <v>29676</v>
      </c>
    </row>
    <row r="10869" spans="2:4" x14ac:dyDescent="0.3">
      <c r="B10869" s="33" t="s">
        <v>29677</v>
      </c>
      <c r="C10869" s="32" t="s">
        <v>29678</v>
      </c>
      <c r="D10869" s="32" t="s">
        <v>29679</v>
      </c>
    </row>
    <row r="10870" spans="2:4" x14ac:dyDescent="0.3">
      <c r="B10870" s="33" t="s">
        <v>29680</v>
      </c>
      <c r="C10870" s="32" t="s">
        <v>29681</v>
      </c>
      <c r="D10870" s="32" t="s">
        <v>29682</v>
      </c>
    </row>
    <row r="10871" spans="2:4" x14ac:dyDescent="0.3">
      <c r="B10871" s="33" t="s">
        <v>28829</v>
      </c>
      <c r="C10871" s="32" t="s">
        <v>29683</v>
      </c>
      <c r="D10871" s="32" t="s">
        <v>29684</v>
      </c>
    </row>
    <row r="10872" spans="2:4" x14ac:dyDescent="0.3">
      <c r="B10872" s="33" t="s">
        <v>28829</v>
      </c>
      <c r="C10872" s="32" t="s">
        <v>29685</v>
      </c>
      <c r="D10872" s="32" t="s">
        <v>29686</v>
      </c>
    </row>
    <row r="10873" spans="2:4" x14ac:dyDescent="0.3">
      <c r="B10873" s="33" t="s">
        <v>29150</v>
      </c>
      <c r="C10873" s="32" t="s">
        <v>29687</v>
      </c>
      <c r="D10873" s="32" t="s">
        <v>29688</v>
      </c>
    </row>
    <row r="10874" spans="2:4" x14ac:dyDescent="0.3">
      <c r="B10874" s="33" t="s">
        <v>29689</v>
      </c>
      <c r="C10874" s="32" t="s">
        <v>29690</v>
      </c>
      <c r="D10874" s="32" t="s">
        <v>29691</v>
      </c>
    </row>
    <row r="10875" spans="2:4" x14ac:dyDescent="0.3">
      <c r="B10875" s="33" t="s">
        <v>29692</v>
      </c>
      <c r="C10875" s="32" t="s">
        <v>29693</v>
      </c>
      <c r="D10875" s="32" t="s">
        <v>29694</v>
      </c>
    </row>
    <row r="10876" spans="2:4" x14ac:dyDescent="0.3">
      <c r="B10876" s="33" t="s">
        <v>29695</v>
      </c>
      <c r="C10876" s="32" t="s">
        <v>29696</v>
      </c>
      <c r="D10876" s="32" t="s">
        <v>29697</v>
      </c>
    </row>
    <row r="10877" spans="2:4" x14ac:dyDescent="0.3">
      <c r="B10877" s="33" t="s">
        <v>29698</v>
      </c>
      <c r="C10877" s="32" t="s">
        <v>29699</v>
      </c>
      <c r="D10877" s="32" t="s">
        <v>29700</v>
      </c>
    </row>
    <row r="10878" spans="2:4" x14ac:dyDescent="0.3">
      <c r="B10878" s="33" t="s">
        <v>12887</v>
      </c>
      <c r="C10878" s="32" t="s">
        <v>29701</v>
      </c>
      <c r="D10878" s="32" t="s">
        <v>29702</v>
      </c>
    </row>
    <row r="10879" spans="2:4" x14ac:dyDescent="0.3">
      <c r="B10879" s="33" t="s">
        <v>29703</v>
      </c>
      <c r="C10879" s="32" t="s">
        <v>29704</v>
      </c>
      <c r="D10879" s="32" t="s">
        <v>29705</v>
      </c>
    </row>
    <row r="10880" spans="2:4" x14ac:dyDescent="0.3">
      <c r="B10880" s="33" t="s">
        <v>29706</v>
      </c>
      <c r="C10880" s="32" t="s">
        <v>29707</v>
      </c>
      <c r="D10880" s="32" t="s">
        <v>29708</v>
      </c>
    </row>
    <row r="10881" spans="2:4" x14ac:dyDescent="0.3">
      <c r="B10881" s="33" t="s">
        <v>4449</v>
      </c>
      <c r="C10881" s="32" t="s">
        <v>29709</v>
      </c>
      <c r="D10881" s="32" t="s">
        <v>29710</v>
      </c>
    </row>
    <row r="10882" spans="2:4" x14ac:dyDescent="0.3">
      <c r="B10882" s="33" t="s">
        <v>28377</v>
      </c>
      <c r="C10882" s="32" t="s">
        <v>29711</v>
      </c>
      <c r="D10882" s="32" t="s">
        <v>29712</v>
      </c>
    </row>
    <row r="10883" spans="2:4" x14ac:dyDescent="0.3">
      <c r="B10883" s="33" t="s">
        <v>29713</v>
      </c>
      <c r="C10883" s="32" t="s">
        <v>29714</v>
      </c>
      <c r="D10883" s="32" t="s">
        <v>29715</v>
      </c>
    </row>
    <row r="10884" spans="2:4" x14ac:dyDescent="0.3">
      <c r="B10884" s="33" t="s">
        <v>29716</v>
      </c>
      <c r="C10884" s="32" t="s">
        <v>29717</v>
      </c>
      <c r="D10884" s="32" t="s">
        <v>29718</v>
      </c>
    </row>
    <row r="10885" spans="2:4" x14ac:dyDescent="0.3">
      <c r="B10885" s="33" t="s">
        <v>29719</v>
      </c>
      <c r="C10885" s="32" t="s">
        <v>29720</v>
      </c>
      <c r="D10885" s="32" t="s">
        <v>29721</v>
      </c>
    </row>
    <row r="10886" spans="2:4" x14ac:dyDescent="0.3">
      <c r="B10886" s="33" t="s">
        <v>29722</v>
      </c>
      <c r="C10886" s="32" t="s">
        <v>29723</v>
      </c>
      <c r="D10886" s="32" t="s">
        <v>29724</v>
      </c>
    </row>
    <row r="10887" spans="2:4" x14ac:dyDescent="0.3">
      <c r="B10887" s="33" t="s">
        <v>29722</v>
      </c>
      <c r="C10887" s="32" t="s">
        <v>29725</v>
      </c>
      <c r="D10887" s="32" t="s">
        <v>29726</v>
      </c>
    </row>
    <row r="10888" spans="2:4" x14ac:dyDescent="0.3">
      <c r="B10888" s="33" t="s">
        <v>29363</v>
      </c>
      <c r="C10888" s="32" t="s">
        <v>29727</v>
      </c>
      <c r="D10888" s="32" t="s">
        <v>29728</v>
      </c>
    </row>
    <row r="10889" spans="2:4" x14ac:dyDescent="0.3">
      <c r="B10889" s="33" t="s">
        <v>29729</v>
      </c>
      <c r="C10889" s="32" t="s">
        <v>29730</v>
      </c>
      <c r="D10889" s="32" t="s">
        <v>29731</v>
      </c>
    </row>
    <row r="10890" spans="2:4" x14ac:dyDescent="0.3">
      <c r="B10890" s="33" t="s">
        <v>29732</v>
      </c>
      <c r="C10890" s="32" t="s">
        <v>29733</v>
      </c>
      <c r="D10890" s="32" t="s">
        <v>29734</v>
      </c>
    </row>
    <row r="10891" spans="2:4" x14ac:dyDescent="0.3">
      <c r="B10891" s="33" t="s">
        <v>36620</v>
      </c>
      <c r="C10891" s="32" t="s">
        <v>36621</v>
      </c>
      <c r="D10891" s="32" t="s">
        <v>36622</v>
      </c>
    </row>
    <row r="10892" spans="2:4" x14ac:dyDescent="0.3">
      <c r="B10892" s="33" t="s">
        <v>29303</v>
      </c>
      <c r="C10892" s="32" t="s">
        <v>29735</v>
      </c>
      <c r="D10892" s="32" t="s">
        <v>29736</v>
      </c>
    </row>
    <row r="10893" spans="2:4" x14ac:dyDescent="0.3">
      <c r="B10893" s="33" t="s">
        <v>29599</v>
      </c>
      <c r="C10893" s="32" t="s">
        <v>29737</v>
      </c>
      <c r="D10893" s="32" t="s">
        <v>29738</v>
      </c>
    </row>
    <row r="10894" spans="2:4" x14ac:dyDescent="0.3">
      <c r="B10894" s="33" t="s">
        <v>29322</v>
      </c>
      <c r="C10894" s="32" t="s">
        <v>29739</v>
      </c>
      <c r="D10894" s="32" t="s">
        <v>29740</v>
      </c>
    </row>
    <row r="10895" spans="2:4" x14ac:dyDescent="0.3">
      <c r="B10895" s="33" t="s">
        <v>29741</v>
      </c>
      <c r="C10895" s="32" t="s">
        <v>29742</v>
      </c>
      <c r="D10895" s="32" t="s">
        <v>29743</v>
      </c>
    </row>
    <row r="10896" spans="2:4" x14ac:dyDescent="0.3">
      <c r="B10896" s="33" t="s">
        <v>29744</v>
      </c>
      <c r="C10896" s="32" t="s">
        <v>29745</v>
      </c>
      <c r="D10896" s="32" t="s">
        <v>29746</v>
      </c>
    </row>
    <row r="10897" spans="2:4" x14ac:dyDescent="0.3">
      <c r="B10897" s="33" t="s">
        <v>27940</v>
      </c>
      <c r="C10897" s="32" t="s">
        <v>29747</v>
      </c>
      <c r="D10897" s="32" t="s">
        <v>29748</v>
      </c>
    </row>
    <row r="10898" spans="2:4" x14ac:dyDescent="0.3">
      <c r="B10898" s="33" t="s">
        <v>5761</v>
      </c>
      <c r="C10898" s="32" t="s">
        <v>29749</v>
      </c>
      <c r="D10898" s="32" t="s">
        <v>29750</v>
      </c>
    </row>
    <row r="10899" spans="2:4" x14ac:dyDescent="0.3">
      <c r="B10899" s="33" t="s">
        <v>29744</v>
      </c>
      <c r="C10899" s="32" t="s">
        <v>29751</v>
      </c>
      <c r="D10899" s="32" t="s">
        <v>29752</v>
      </c>
    </row>
    <row r="10900" spans="2:4" x14ac:dyDescent="0.3">
      <c r="B10900" s="33" t="s">
        <v>37072</v>
      </c>
      <c r="C10900" s="32" t="s">
        <v>37073</v>
      </c>
      <c r="D10900" s="32" t="s">
        <v>37074</v>
      </c>
    </row>
    <row r="10901" spans="2:4" x14ac:dyDescent="0.3">
      <c r="B10901" s="33" t="s">
        <v>29753</v>
      </c>
      <c r="C10901" s="32" t="s">
        <v>29754</v>
      </c>
      <c r="D10901" s="32" t="s">
        <v>29755</v>
      </c>
    </row>
    <row r="10902" spans="2:4" x14ac:dyDescent="0.3">
      <c r="B10902" s="33" t="s">
        <v>37334</v>
      </c>
      <c r="C10902" s="32" t="s">
        <v>37335</v>
      </c>
      <c r="D10902" s="32" t="s">
        <v>37336</v>
      </c>
    </row>
    <row r="10903" spans="2:4" x14ac:dyDescent="0.3">
      <c r="B10903" s="33" t="s">
        <v>29756</v>
      </c>
      <c r="C10903" s="32" t="s">
        <v>29757</v>
      </c>
      <c r="D10903" s="32" t="s">
        <v>29758</v>
      </c>
    </row>
    <row r="10904" spans="2:4" x14ac:dyDescent="0.3">
      <c r="B10904" s="33" t="s">
        <v>29759</v>
      </c>
      <c r="C10904" s="32" t="s">
        <v>29760</v>
      </c>
      <c r="D10904" s="32" t="s">
        <v>29761</v>
      </c>
    </row>
    <row r="10905" spans="2:4" x14ac:dyDescent="0.3">
      <c r="B10905" s="33" t="s">
        <v>29762</v>
      </c>
      <c r="C10905" s="32" t="s">
        <v>29763</v>
      </c>
      <c r="D10905" s="32" t="s">
        <v>29764</v>
      </c>
    </row>
    <row r="10906" spans="2:4" x14ac:dyDescent="0.3">
      <c r="B10906" s="33" t="s">
        <v>29765</v>
      </c>
      <c r="C10906" s="32" t="s">
        <v>29766</v>
      </c>
      <c r="D10906" s="32" t="s">
        <v>29767</v>
      </c>
    </row>
    <row r="10907" spans="2:4" x14ac:dyDescent="0.3">
      <c r="B10907" s="33" t="s">
        <v>29768</v>
      </c>
      <c r="C10907" s="32" t="s">
        <v>29769</v>
      </c>
      <c r="D10907" s="32" t="s">
        <v>29770</v>
      </c>
    </row>
    <row r="10908" spans="2:4" x14ac:dyDescent="0.3">
      <c r="B10908" s="33" t="s">
        <v>13499</v>
      </c>
      <c r="C10908" s="32" t="s">
        <v>29771</v>
      </c>
      <c r="D10908" s="32" t="s">
        <v>29772</v>
      </c>
    </row>
    <row r="10909" spans="2:4" x14ac:dyDescent="0.3">
      <c r="B10909" s="33" t="s">
        <v>29773</v>
      </c>
      <c r="C10909" s="32" t="s">
        <v>29774</v>
      </c>
      <c r="D10909" s="32" t="s">
        <v>29775</v>
      </c>
    </row>
    <row r="10910" spans="2:4" x14ac:dyDescent="0.3">
      <c r="B10910" s="33" t="s">
        <v>29776</v>
      </c>
      <c r="C10910" s="32" t="s">
        <v>29777</v>
      </c>
      <c r="D10910" s="32" t="s">
        <v>29778</v>
      </c>
    </row>
    <row r="10911" spans="2:4" x14ac:dyDescent="0.3">
      <c r="B10911" s="33" t="s">
        <v>29779</v>
      </c>
      <c r="C10911" s="32" t="s">
        <v>29780</v>
      </c>
      <c r="D10911" s="32" t="s">
        <v>29781</v>
      </c>
    </row>
    <row r="10912" spans="2:4" x14ac:dyDescent="0.3">
      <c r="B10912" s="33" t="s">
        <v>29782</v>
      </c>
      <c r="C10912" s="32" t="s">
        <v>29783</v>
      </c>
      <c r="D10912" s="32" t="s">
        <v>29784</v>
      </c>
    </row>
    <row r="10913" spans="2:4" x14ac:dyDescent="0.3">
      <c r="B10913" s="33" t="s">
        <v>29785</v>
      </c>
      <c r="C10913" s="32" t="s">
        <v>29786</v>
      </c>
      <c r="D10913" s="32" t="s">
        <v>29785</v>
      </c>
    </row>
    <row r="10914" spans="2:4" x14ac:dyDescent="0.3">
      <c r="B10914" s="33" t="s">
        <v>29787</v>
      </c>
      <c r="C10914" s="32" t="s">
        <v>29788</v>
      </c>
      <c r="D10914" s="32" t="s">
        <v>29789</v>
      </c>
    </row>
    <row r="10915" spans="2:4" x14ac:dyDescent="0.3">
      <c r="B10915" s="33" t="s">
        <v>29790</v>
      </c>
      <c r="C10915" s="32" t="s">
        <v>29791</v>
      </c>
      <c r="D10915" s="32" t="s">
        <v>29792</v>
      </c>
    </row>
    <row r="10916" spans="2:4" x14ac:dyDescent="0.3">
      <c r="B10916" s="33" t="s">
        <v>32</v>
      </c>
      <c r="C10916" s="32" t="s">
        <v>29793</v>
      </c>
      <c r="D10916" s="32" t="s">
        <v>29794</v>
      </c>
    </row>
    <row r="10917" spans="2:4" x14ac:dyDescent="0.3">
      <c r="B10917" s="33" t="s">
        <v>29795</v>
      </c>
      <c r="C10917" s="32" t="s">
        <v>29796</v>
      </c>
      <c r="D10917" s="32" t="s">
        <v>29797</v>
      </c>
    </row>
    <row r="10918" spans="2:4" x14ac:dyDescent="0.3">
      <c r="B10918" s="33" t="s">
        <v>29798</v>
      </c>
      <c r="C10918" s="32" t="s">
        <v>29799</v>
      </c>
      <c r="D10918" s="32" t="s">
        <v>29800</v>
      </c>
    </row>
    <row r="10919" spans="2:4" x14ac:dyDescent="0.3">
      <c r="B10919" s="33" t="s">
        <v>29801</v>
      </c>
      <c r="C10919" s="32" t="s">
        <v>29802</v>
      </c>
      <c r="D10919" s="32" t="s">
        <v>29803</v>
      </c>
    </row>
    <row r="10920" spans="2:4" x14ac:dyDescent="0.3">
      <c r="B10920" s="33" t="s">
        <v>29804</v>
      </c>
      <c r="C10920" s="32" t="s">
        <v>29805</v>
      </c>
      <c r="D10920" s="32" t="s">
        <v>29806</v>
      </c>
    </row>
    <row r="10921" spans="2:4" x14ac:dyDescent="0.3">
      <c r="B10921" s="33" t="s">
        <v>29256</v>
      </c>
      <c r="C10921" s="32" t="s">
        <v>29807</v>
      </c>
      <c r="D10921" s="32" t="s">
        <v>29808</v>
      </c>
    </row>
    <row r="10922" spans="2:4" x14ac:dyDescent="0.3">
      <c r="B10922" s="33" t="s">
        <v>28042</v>
      </c>
      <c r="C10922" s="32" t="s">
        <v>29809</v>
      </c>
      <c r="D10922" s="32" t="s">
        <v>29810</v>
      </c>
    </row>
    <row r="10923" spans="2:4" x14ac:dyDescent="0.3">
      <c r="B10923" s="33" t="s">
        <v>29811</v>
      </c>
      <c r="C10923" s="32" t="s">
        <v>29812</v>
      </c>
      <c r="D10923" s="32" t="s">
        <v>29813</v>
      </c>
    </row>
    <row r="10924" spans="2:4" x14ac:dyDescent="0.3">
      <c r="B10924" s="33" t="s">
        <v>23663</v>
      </c>
      <c r="C10924" s="32" t="s">
        <v>29814</v>
      </c>
      <c r="D10924" s="32" t="s">
        <v>29815</v>
      </c>
    </row>
    <row r="10925" spans="2:4" x14ac:dyDescent="0.3">
      <c r="B10925" s="33" t="s">
        <v>29816</v>
      </c>
      <c r="C10925" s="32" t="s">
        <v>29817</v>
      </c>
      <c r="D10925" s="32" t="s">
        <v>29818</v>
      </c>
    </row>
    <row r="10926" spans="2:4" x14ac:dyDescent="0.3">
      <c r="B10926" s="33" t="s">
        <v>29819</v>
      </c>
      <c r="C10926" s="32" t="s">
        <v>29820</v>
      </c>
      <c r="D10926" s="32" t="s">
        <v>29821</v>
      </c>
    </row>
    <row r="10927" spans="2:4" x14ac:dyDescent="0.3">
      <c r="B10927" s="33" t="s">
        <v>29822</v>
      </c>
      <c r="C10927" s="32" t="s">
        <v>29823</v>
      </c>
      <c r="D10927" s="32" t="s">
        <v>29824</v>
      </c>
    </row>
    <row r="10928" spans="2:4" x14ac:dyDescent="0.3">
      <c r="B10928" s="33" t="s">
        <v>8804</v>
      </c>
      <c r="C10928" s="32" t="s">
        <v>29825</v>
      </c>
      <c r="D10928" s="32" t="s">
        <v>29826</v>
      </c>
    </row>
    <row r="10929" spans="2:4" x14ac:dyDescent="0.3">
      <c r="B10929" s="33" t="s">
        <v>29827</v>
      </c>
      <c r="C10929" s="32" t="s">
        <v>29828</v>
      </c>
      <c r="D10929" s="32" t="s">
        <v>29829</v>
      </c>
    </row>
    <row r="10930" spans="2:4" x14ac:dyDescent="0.3">
      <c r="B10930" s="33" t="s">
        <v>29830</v>
      </c>
      <c r="C10930" s="32" t="s">
        <v>29831</v>
      </c>
      <c r="D10930" s="32" t="s">
        <v>29832</v>
      </c>
    </row>
    <row r="10931" spans="2:4" x14ac:dyDescent="0.3">
      <c r="B10931" s="33" t="s">
        <v>29833</v>
      </c>
      <c r="C10931" s="32" t="s">
        <v>29834</v>
      </c>
      <c r="D10931" s="32" t="s">
        <v>29835</v>
      </c>
    </row>
    <row r="10932" spans="2:4" x14ac:dyDescent="0.3">
      <c r="B10932" s="33" t="s">
        <v>29836</v>
      </c>
      <c r="C10932" s="32" t="s">
        <v>29837</v>
      </c>
      <c r="D10932" s="32" t="s">
        <v>29838</v>
      </c>
    </row>
    <row r="10933" spans="2:4" x14ac:dyDescent="0.3">
      <c r="B10933" s="33" t="s">
        <v>29839</v>
      </c>
      <c r="C10933" s="32" t="s">
        <v>29840</v>
      </c>
      <c r="D10933" s="32" t="s">
        <v>29841</v>
      </c>
    </row>
    <row r="10934" spans="2:4" x14ac:dyDescent="0.3">
      <c r="B10934" s="33" t="s">
        <v>29842</v>
      </c>
      <c r="C10934" s="32" t="s">
        <v>29843</v>
      </c>
      <c r="D10934" s="32" t="s">
        <v>29844</v>
      </c>
    </row>
    <row r="10935" spans="2:4" x14ac:dyDescent="0.3">
      <c r="B10935" s="33" t="s">
        <v>29845</v>
      </c>
      <c r="C10935" s="32" t="s">
        <v>29846</v>
      </c>
      <c r="D10935" s="32" t="s">
        <v>29847</v>
      </c>
    </row>
    <row r="10936" spans="2:4" x14ac:dyDescent="0.3">
      <c r="B10936" s="33" t="s">
        <v>29848</v>
      </c>
      <c r="C10936" s="32" t="s">
        <v>29849</v>
      </c>
      <c r="D10936" s="32" t="s">
        <v>29848</v>
      </c>
    </row>
    <row r="10937" spans="2:4" x14ac:dyDescent="0.3">
      <c r="B10937" s="33" t="s">
        <v>29848</v>
      </c>
      <c r="C10937" s="32" t="s">
        <v>29850</v>
      </c>
      <c r="D10937" s="32" t="s">
        <v>29851</v>
      </c>
    </row>
    <row r="10938" spans="2:4" x14ac:dyDescent="0.3">
      <c r="B10938" s="33" t="s">
        <v>29852</v>
      </c>
      <c r="C10938" s="32" t="s">
        <v>29853</v>
      </c>
      <c r="D10938" s="32" t="s">
        <v>29854</v>
      </c>
    </row>
    <row r="10939" spans="2:4" x14ac:dyDescent="0.3">
      <c r="B10939" s="33" t="s">
        <v>29855</v>
      </c>
      <c r="C10939" s="32" t="s">
        <v>29856</v>
      </c>
      <c r="D10939" s="32" t="s">
        <v>29857</v>
      </c>
    </row>
    <row r="10940" spans="2:4" x14ac:dyDescent="0.3">
      <c r="B10940" s="33" t="s">
        <v>23736</v>
      </c>
      <c r="C10940" s="32" t="s">
        <v>29858</v>
      </c>
      <c r="D10940" s="32" t="s">
        <v>29859</v>
      </c>
    </row>
    <row r="10941" spans="2:4" x14ac:dyDescent="0.3">
      <c r="B10941" s="33" t="s">
        <v>29860</v>
      </c>
      <c r="C10941" s="32" t="s">
        <v>29861</v>
      </c>
      <c r="D10941" s="32" t="s">
        <v>29862</v>
      </c>
    </row>
    <row r="10942" spans="2:4" x14ac:dyDescent="0.3">
      <c r="B10942" s="33" t="s">
        <v>29863</v>
      </c>
      <c r="C10942" s="32" t="s">
        <v>29864</v>
      </c>
      <c r="D10942" s="32" t="s">
        <v>29865</v>
      </c>
    </row>
    <row r="10943" spans="2:4" x14ac:dyDescent="0.3">
      <c r="B10943" s="33" t="s">
        <v>29866</v>
      </c>
      <c r="C10943" s="32" t="s">
        <v>29867</v>
      </c>
      <c r="D10943" s="32" t="s">
        <v>29868</v>
      </c>
    </row>
    <row r="10944" spans="2:4" x14ac:dyDescent="0.3">
      <c r="B10944" s="33" t="s">
        <v>23817</v>
      </c>
      <c r="C10944" s="32" t="s">
        <v>29869</v>
      </c>
      <c r="D10944" s="32" t="s">
        <v>29870</v>
      </c>
    </row>
    <row r="10945" spans="2:4" x14ac:dyDescent="0.3">
      <c r="B10945" s="33" t="s">
        <v>29871</v>
      </c>
      <c r="C10945" s="32" t="s">
        <v>29872</v>
      </c>
      <c r="D10945" s="32" t="s">
        <v>29873</v>
      </c>
    </row>
    <row r="10946" spans="2:4" x14ac:dyDescent="0.3">
      <c r="B10946" s="33" t="s">
        <v>29874</v>
      </c>
      <c r="C10946" s="32" t="s">
        <v>29875</v>
      </c>
      <c r="D10946" s="32" t="s">
        <v>29876</v>
      </c>
    </row>
    <row r="10947" spans="2:4" x14ac:dyDescent="0.3">
      <c r="B10947" s="33" t="s">
        <v>26461</v>
      </c>
      <c r="C10947" s="32" t="s">
        <v>29877</v>
      </c>
      <c r="D10947" s="32" t="s">
        <v>36760</v>
      </c>
    </row>
    <row r="10948" spans="2:4" x14ac:dyDescent="0.3">
      <c r="B10948" s="33" t="s">
        <v>29878</v>
      </c>
      <c r="C10948" s="32" t="s">
        <v>29879</v>
      </c>
      <c r="D10948" s="32" t="s">
        <v>29880</v>
      </c>
    </row>
    <row r="10949" spans="2:4" x14ac:dyDescent="0.3">
      <c r="B10949" s="33" t="s">
        <v>23736</v>
      </c>
      <c r="C10949" s="32" t="s">
        <v>29881</v>
      </c>
      <c r="D10949" s="32" t="s">
        <v>29882</v>
      </c>
    </row>
    <row r="10950" spans="2:4" x14ac:dyDescent="0.3">
      <c r="B10950" s="33" t="s">
        <v>29883</v>
      </c>
      <c r="C10950" s="32" t="s">
        <v>29884</v>
      </c>
      <c r="D10950" s="32" t="s">
        <v>29885</v>
      </c>
    </row>
    <row r="10951" spans="2:4" x14ac:dyDescent="0.3">
      <c r="B10951" s="33" t="s">
        <v>21902</v>
      </c>
      <c r="C10951" s="32" t="s">
        <v>29886</v>
      </c>
      <c r="D10951" s="32" t="s">
        <v>29887</v>
      </c>
    </row>
    <row r="10952" spans="2:4" x14ac:dyDescent="0.3">
      <c r="B10952" s="33" t="s">
        <v>29888</v>
      </c>
      <c r="C10952" s="32" t="s">
        <v>29889</v>
      </c>
      <c r="D10952" s="32" t="s">
        <v>29890</v>
      </c>
    </row>
    <row r="10953" spans="2:4" x14ac:dyDescent="0.3">
      <c r="B10953" s="33" t="s">
        <v>29822</v>
      </c>
      <c r="C10953" s="32" t="s">
        <v>29891</v>
      </c>
      <c r="D10953" s="32" t="s">
        <v>29892</v>
      </c>
    </row>
    <row r="10954" spans="2:4" x14ac:dyDescent="0.3">
      <c r="B10954" s="33" t="s">
        <v>2442</v>
      </c>
      <c r="C10954" s="32" t="s">
        <v>29893</v>
      </c>
      <c r="D10954" s="32" t="s">
        <v>29894</v>
      </c>
    </row>
    <row r="10955" spans="2:4" x14ac:dyDescent="0.3">
      <c r="B10955" s="33" t="s">
        <v>29895</v>
      </c>
      <c r="C10955" s="32" t="s">
        <v>29896</v>
      </c>
      <c r="D10955" s="32" t="s">
        <v>29897</v>
      </c>
    </row>
    <row r="10956" spans="2:4" x14ac:dyDescent="0.3">
      <c r="B10956" s="33" t="s">
        <v>29860</v>
      </c>
      <c r="C10956" s="32" t="s">
        <v>29898</v>
      </c>
      <c r="D10956" s="32" t="s">
        <v>29899</v>
      </c>
    </row>
    <row r="10957" spans="2:4" x14ac:dyDescent="0.3">
      <c r="B10957" s="33" t="s">
        <v>29900</v>
      </c>
      <c r="C10957" s="32" t="s">
        <v>29901</v>
      </c>
      <c r="D10957" s="32" t="s">
        <v>29902</v>
      </c>
    </row>
    <row r="10958" spans="2:4" x14ac:dyDescent="0.3">
      <c r="B10958" s="33" t="s">
        <v>29903</v>
      </c>
      <c r="C10958" s="32" t="s">
        <v>29904</v>
      </c>
      <c r="D10958" s="32" t="s">
        <v>29905</v>
      </c>
    </row>
    <row r="10959" spans="2:4" x14ac:dyDescent="0.3">
      <c r="B10959" s="33" t="s">
        <v>29906</v>
      </c>
      <c r="C10959" s="32" t="s">
        <v>29907</v>
      </c>
      <c r="D10959" s="32" t="s">
        <v>29906</v>
      </c>
    </row>
    <row r="10960" spans="2:4" x14ac:dyDescent="0.3">
      <c r="B10960" s="33" t="s">
        <v>29906</v>
      </c>
      <c r="C10960" s="32" t="s">
        <v>29908</v>
      </c>
      <c r="D10960" s="32" t="s">
        <v>29909</v>
      </c>
    </row>
    <row r="10961" spans="2:4" x14ac:dyDescent="0.3">
      <c r="B10961" s="33" t="s">
        <v>29910</v>
      </c>
      <c r="C10961" s="32" t="s">
        <v>29911</v>
      </c>
      <c r="D10961" s="32" t="s">
        <v>29912</v>
      </c>
    </row>
    <row r="10962" spans="2:4" x14ac:dyDescent="0.3">
      <c r="B10962" s="33" t="s">
        <v>29913</v>
      </c>
      <c r="C10962" s="32" t="s">
        <v>29914</v>
      </c>
      <c r="D10962" s="32" t="s">
        <v>29915</v>
      </c>
    </row>
    <row r="10963" spans="2:4" x14ac:dyDescent="0.3">
      <c r="B10963" s="33" t="s">
        <v>29906</v>
      </c>
      <c r="C10963" s="32" t="s">
        <v>29916</v>
      </c>
      <c r="D10963" s="32" t="s">
        <v>29917</v>
      </c>
    </row>
    <row r="10964" spans="2:4" x14ac:dyDescent="0.3">
      <c r="B10964" s="33" t="s">
        <v>29918</v>
      </c>
      <c r="C10964" s="32" t="s">
        <v>29919</v>
      </c>
      <c r="D10964" s="32" t="s">
        <v>29920</v>
      </c>
    </row>
    <row r="10965" spans="2:4" x14ac:dyDescent="0.3">
      <c r="B10965" s="33" t="s">
        <v>29921</v>
      </c>
      <c r="C10965" s="32" t="s">
        <v>29922</v>
      </c>
      <c r="D10965" s="32" t="s">
        <v>29923</v>
      </c>
    </row>
    <row r="10966" spans="2:4" x14ac:dyDescent="0.3">
      <c r="B10966" s="33" t="s">
        <v>5656</v>
      </c>
      <c r="C10966" s="32" t="s">
        <v>29924</v>
      </c>
      <c r="D10966" s="32" t="s">
        <v>29925</v>
      </c>
    </row>
    <row r="10967" spans="2:4" x14ac:dyDescent="0.3">
      <c r="B10967" s="33" t="s">
        <v>29926</v>
      </c>
      <c r="C10967" s="32" t="s">
        <v>29927</v>
      </c>
      <c r="D10967" s="32" t="s">
        <v>29928</v>
      </c>
    </row>
    <row r="10968" spans="2:4" x14ac:dyDescent="0.3">
      <c r="B10968" s="33" t="s">
        <v>5656</v>
      </c>
      <c r="C10968" s="32" t="s">
        <v>29929</v>
      </c>
      <c r="D10968" s="32" t="s">
        <v>29930</v>
      </c>
    </row>
    <row r="10969" spans="2:4" x14ac:dyDescent="0.3">
      <c r="B10969" s="33" t="s">
        <v>29931</v>
      </c>
      <c r="C10969" s="32" t="s">
        <v>29932</v>
      </c>
      <c r="D10969" s="32" t="s">
        <v>29933</v>
      </c>
    </row>
    <row r="10970" spans="2:4" x14ac:dyDescent="0.3">
      <c r="B10970" s="33" t="s">
        <v>29934</v>
      </c>
      <c r="C10970" s="32" t="s">
        <v>29935</v>
      </c>
      <c r="D10970" s="32" t="s">
        <v>29936</v>
      </c>
    </row>
    <row r="10971" spans="2:4" x14ac:dyDescent="0.3">
      <c r="B10971" s="33" t="s">
        <v>28368</v>
      </c>
      <c r="C10971" s="32" t="s">
        <v>29937</v>
      </c>
      <c r="D10971" s="32" t="s">
        <v>29938</v>
      </c>
    </row>
    <row r="10972" spans="2:4" x14ac:dyDescent="0.3">
      <c r="B10972" s="33" t="s">
        <v>29939</v>
      </c>
      <c r="C10972" s="32" t="s">
        <v>29940</v>
      </c>
      <c r="D10972" s="32" t="s">
        <v>29941</v>
      </c>
    </row>
    <row r="10973" spans="2:4" x14ac:dyDescent="0.3">
      <c r="B10973" s="33" t="s">
        <v>29939</v>
      </c>
      <c r="C10973" s="32" t="s">
        <v>29942</v>
      </c>
      <c r="D10973" s="32" t="s">
        <v>29943</v>
      </c>
    </row>
    <row r="10974" spans="2:4" x14ac:dyDescent="0.3">
      <c r="B10974" s="33" t="s">
        <v>29944</v>
      </c>
      <c r="C10974" s="32" t="s">
        <v>29945</v>
      </c>
      <c r="D10974" s="32" t="s">
        <v>29946</v>
      </c>
    </row>
    <row r="10975" spans="2:4" x14ac:dyDescent="0.3">
      <c r="B10975" s="33" t="s">
        <v>29947</v>
      </c>
      <c r="C10975" s="32" t="s">
        <v>29948</v>
      </c>
      <c r="D10975" s="32" t="s">
        <v>29949</v>
      </c>
    </row>
    <row r="10976" spans="2:4" x14ac:dyDescent="0.3">
      <c r="B10976" s="33" t="s">
        <v>29950</v>
      </c>
      <c r="C10976" s="32" t="s">
        <v>29951</v>
      </c>
      <c r="D10976" s="32" t="s">
        <v>29952</v>
      </c>
    </row>
    <row r="10977" spans="2:4" x14ac:dyDescent="0.3">
      <c r="B10977" s="33" t="s">
        <v>2942</v>
      </c>
      <c r="C10977" s="32" t="s">
        <v>36761</v>
      </c>
      <c r="D10977" s="32" t="s">
        <v>36762</v>
      </c>
    </row>
    <row r="10978" spans="2:4" x14ac:dyDescent="0.3">
      <c r="B10978" s="33" t="s">
        <v>29953</v>
      </c>
      <c r="C10978" s="32" t="s">
        <v>29954</v>
      </c>
      <c r="D10978" s="32" t="s">
        <v>29955</v>
      </c>
    </row>
    <row r="10979" spans="2:4" x14ac:dyDescent="0.3">
      <c r="B10979" s="33" t="s">
        <v>29956</v>
      </c>
      <c r="C10979" s="32" t="s">
        <v>29957</v>
      </c>
      <c r="D10979" s="32" t="s">
        <v>29958</v>
      </c>
    </row>
    <row r="10980" spans="2:4" x14ac:dyDescent="0.3">
      <c r="B10980" s="33" t="s">
        <v>29454</v>
      </c>
      <c r="C10980" s="32" t="s">
        <v>29959</v>
      </c>
      <c r="D10980" s="32" t="s">
        <v>29960</v>
      </c>
    </row>
    <row r="10981" spans="2:4" x14ac:dyDescent="0.3">
      <c r="B10981" s="33" t="s">
        <v>29961</v>
      </c>
      <c r="C10981" s="32" t="s">
        <v>29962</v>
      </c>
      <c r="D10981" s="32" t="s">
        <v>29963</v>
      </c>
    </row>
    <row r="10982" spans="2:4" x14ac:dyDescent="0.3">
      <c r="B10982" s="33" t="s">
        <v>29964</v>
      </c>
      <c r="C10982" s="32" t="s">
        <v>29965</v>
      </c>
      <c r="D10982" s="32" t="s">
        <v>29966</v>
      </c>
    </row>
    <row r="10983" spans="2:4" x14ac:dyDescent="0.3">
      <c r="B10983" s="33" t="s">
        <v>29967</v>
      </c>
      <c r="C10983" s="32" t="s">
        <v>29968</v>
      </c>
      <c r="D10983" s="32" t="s">
        <v>29969</v>
      </c>
    </row>
    <row r="10984" spans="2:4" x14ac:dyDescent="0.3">
      <c r="B10984" s="33" t="s">
        <v>5656</v>
      </c>
      <c r="C10984" s="32" t="s">
        <v>29970</v>
      </c>
      <c r="D10984" s="32" t="s">
        <v>29971</v>
      </c>
    </row>
    <row r="10985" spans="2:4" x14ac:dyDescent="0.3">
      <c r="B10985" s="33" t="s">
        <v>29972</v>
      </c>
      <c r="C10985" s="32" t="s">
        <v>29973</v>
      </c>
      <c r="D10985" s="32" t="s">
        <v>29974</v>
      </c>
    </row>
    <row r="10986" spans="2:4" x14ac:dyDescent="0.3">
      <c r="B10986" s="33" t="s">
        <v>29975</v>
      </c>
      <c r="C10986" s="32" t="s">
        <v>29976</v>
      </c>
      <c r="D10986" s="32" t="s">
        <v>29977</v>
      </c>
    </row>
    <row r="10987" spans="2:4" x14ac:dyDescent="0.3">
      <c r="B10987" s="33" t="s">
        <v>26171</v>
      </c>
      <c r="C10987" s="32" t="s">
        <v>29978</v>
      </c>
      <c r="D10987" s="32" t="s">
        <v>29979</v>
      </c>
    </row>
    <row r="10988" spans="2:4" x14ac:dyDescent="0.3">
      <c r="B10988" s="33" t="s">
        <v>29980</v>
      </c>
      <c r="C10988" s="32" t="s">
        <v>29981</v>
      </c>
      <c r="D10988" s="32" t="s">
        <v>29982</v>
      </c>
    </row>
    <row r="10989" spans="2:4" x14ac:dyDescent="0.3">
      <c r="B10989" s="33" t="s">
        <v>29983</v>
      </c>
      <c r="C10989" s="32" t="s">
        <v>29984</v>
      </c>
      <c r="D10989" s="32" t="s">
        <v>29985</v>
      </c>
    </row>
    <row r="10990" spans="2:4" x14ac:dyDescent="0.3">
      <c r="B10990" s="33" t="s">
        <v>29986</v>
      </c>
      <c r="C10990" s="32" t="s">
        <v>29987</v>
      </c>
      <c r="D10990" s="32" t="s">
        <v>29988</v>
      </c>
    </row>
    <row r="10991" spans="2:4" x14ac:dyDescent="0.3">
      <c r="B10991" s="33" t="s">
        <v>29989</v>
      </c>
      <c r="C10991" s="32" t="s">
        <v>29990</v>
      </c>
      <c r="D10991" s="32" t="s">
        <v>29991</v>
      </c>
    </row>
    <row r="10992" spans="2:4" x14ac:dyDescent="0.3">
      <c r="B10992" s="33" t="s">
        <v>29992</v>
      </c>
      <c r="C10992" s="32" t="s">
        <v>29993</v>
      </c>
      <c r="D10992" s="32" t="s">
        <v>29994</v>
      </c>
    </row>
    <row r="10993" spans="2:4" x14ac:dyDescent="0.3">
      <c r="B10993" s="33" t="s">
        <v>29995</v>
      </c>
      <c r="C10993" s="32" t="s">
        <v>29996</v>
      </c>
      <c r="D10993" s="32" t="s">
        <v>29997</v>
      </c>
    </row>
    <row r="10994" spans="2:4" x14ac:dyDescent="0.3">
      <c r="B10994" s="33" t="s">
        <v>29998</v>
      </c>
      <c r="C10994" s="32" t="s">
        <v>29999</v>
      </c>
      <c r="D10994" s="32" t="s">
        <v>30000</v>
      </c>
    </row>
    <row r="10995" spans="2:4" x14ac:dyDescent="0.3">
      <c r="B10995" s="33" t="s">
        <v>30001</v>
      </c>
      <c r="C10995" s="32" t="s">
        <v>30002</v>
      </c>
      <c r="D10995" s="32" t="s">
        <v>30003</v>
      </c>
    </row>
    <row r="10996" spans="2:4" x14ac:dyDescent="0.3">
      <c r="B10996" s="33" t="s">
        <v>30004</v>
      </c>
      <c r="C10996" s="32" t="s">
        <v>30005</v>
      </c>
      <c r="D10996" s="32" t="s">
        <v>30006</v>
      </c>
    </row>
    <row r="10997" spans="2:4" x14ac:dyDescent="0.3">
      <c r="B10997" s="33" t="s">
        <v>30007</v>
      </c>
      <c r="C10997" s="32" t="s">
        <v>30008</v>
      </c>
      <c r="D10997" s="32" t="s">
        <v>30009</v>
      </c>
    </row>
    <row r="10998" spans="2:4" x14ac:dyDescent="0.3">
      <c r="B10998" s="33" t="s">
        <v>30010</v>
      </c>
      <c r="C10998" s="32" t="s">
        <v>30011</v>
      </c>
      <c r="D10998" s="32" t="s">
        <v>30012</v>
      </c>
    </row>
    <row r="10999" spans="2:4" x14ac:dyDescent="0.3">
      <c r="B10999" s="33" t="s">
        <v>5656</v>
      </c>
      <c r="C10999" s="32" t="s">
        <v>30013</v>
      </c>
      <c r="D10999" s="32" t="s">
        <v>30014</v>
      </c>
    </row>
    <row r="11000" spans="2:4" x14ac:dyDescent="0.3">
      <c r="B11000" s="33" t="s">
        <v>5656</v>
      </c>
      <c r="C11000" s="32" t="s">
        <v>30015</v>
      </c>
      <c r="D11000" s="32" t="s">
        <v>30016</v>
      </c>
    </row>
    <row r="11001" spans="2:4" x14ac:dyDescent="0.3">
      <c r="B11001" s="33" t="s">
        <v>29787</v>
      </c>
      <c r="C11001" s="32" t="s">
        <v>30017</v>
      </c>
      <c r="D11001" s="32" t="s">
        <v>30018</v>
      </c>
    </row>
    <row r="11002" spans="2:4" x14ac:dyDescent="0.3">
      <c r="B11002" s="33" t="s">
        <v>27689</v>
      </c>
      <c r="C11002" s="32" t="s">
        <v>30019</v>
      </c>
      <c r="D11002" s="32" t="s">
        <v>30020</v>
      </c>
    </row>
    <row r="11003" spans="2:4" x14ac:dyDescent="0.3">
      <c r="B11003" s="33" t="s">
        <v>30021</v>
      </c>
      <c r="C11003" s="32" t="s">
        <v>30022</v>
      </c>
      <c r="D11003" s="32" t="s">
        <v>30023</v>
      </c>
    </row>
    <row r="11004" spans="2:4" x14ac:dyDescent="0.3">
      <c r="B11004" s="33" t="s">
        <v>28347</v>
      </c>
      <c r="C11004" s="32" t="s">
        <v>30024</v>
      </c>
      <c r="D11004" s="32" t="s">
        <v>30025</v>
      </c>
    </row>
    <row r="11005" spans="2:4" x14ac:dyDescent="0.3">
      <c r="B11005" s="33" t="s">
        <v>30026</v>
      </c>
      <c r="C11005" s="32" t="s">
        <v>30027</v>
      </c>
      <c r="D11005" s="32" t="s">
        <v>30028</v>
      </c>
    </row>
    <row r="11006" spans="2:4" x14ac:dyDescent="0.3">
      <c r="B11006" s="33" t="s">
        <v>1460</v>
      </c>
      <c r="C11006" s="32" t="s">
        <v>30029</v>
      </c>
      <c r="D11006" s="32" t="s">
        <v>30030</v>
      </c>
    </row>
    <row r="11007" spans="2:4" x14ac:dyDescent="0.3">
      <c r="B11007" s="33" t="s">
        <v>30031</v>
      </c>
      <c r="C11007" s="32" t="s">
        <v>30032</v>
      </c>
      <c r="D11007" s="32" t="s">
        <v>30033</v>
      </c>
    </row>
    <row r="11008" spans="2:4" x14ac:dyDescent="0.3">
      <c r="B11008" s="33" t="s">
        <v>30031</v>
      </c>
      <c r="C11008" s="32" t="s">
        <v>30034</v>
      </c>
      <c r="D11008" s="32" t="s">
        <v>30035</v>
      </c>
    </row>
    <row r="11009" spans="2:4" x14ac:dyDescent="0.3">
      <c r="B11009" s="33" t="s">
        <v>30036</v>
      </c>
      <c r="C11009" s="32" t="s">
        <v>30037</v>
      </c>
      <c r="D11009" s="32" t="s">
        <v>30038</v>
      </c>
    </row>
    <row r="11010" spans="2:4" x14ac:dyDescent="0.3">
      <c r="B11010" s="33" t="s">
        <v>30039</v>
      </c>
      <c r="C11010" s="32" t="s">
        <v>30040</v>
      </c>
      <c r="D11010" s="32" t="s">
        <v>30041</v>
      </c>
    </row>
    <row r="11011" spans="2:4" x14ac:dyDescent="0.3">
      <c r="B11011" s="33" t="s">
        <v>30042</v>
      </c>
      <c r="C11011" s="32" t="s">
        <v>30043</v>
      </c>
      <c r="D11011" s="32" t="s">
        <v>30044</v>
      </c>
    </row>
    <row r="11012" spans="2:4" x14ac:dyDescent="0.3">
      <c r="B11012" s="33" t="s">
        <v>30045</v>
      </c>
      <c r="C11012" s="32" t="s">
        <v>30046</v>
      </c>
      <c r="D11012" s="32" t="s">
        <v>30047</v>
      </c>
    </row>
    <row r="11013" spans="2:4" x14ac:dyDescent="0.3">
      <c r="B11013" s="33" t="s">
        <v>30048</v>
      </c>
      <c r="C11013" s="32" t="s">
        <v>30049</v>
      </c>
      <c r="D11013" s="32" t="s">
        <v>30050</v>
      </c>
    </row>
    <row r="11014" spans="2:4" x14ac:dyDescent="0.3">
      <c r="B11014" s="33" t="s">
        <v>30051</v>
      </c>
      <c r="C11014" s="32" t="s">
        <v>30052</v>
      </c>
      <c r="D11014" s="32" t="s">
        <v>30053</v>
      </c>
    </row>
    <row r="11015" spans="2:4" x14ac:dyDescent="0.3">
      <c r="B11015" s="33" t="s">
        <v>30054</v>
      </c>
      <c r="C11015" s="32" t="s">
        <v>30055</v>
      </c>
      <c r="D11015" s="32" t="s">
        <v>30056</v>
      </c>
    </row>
    <row r="11016" spans="2:4" x14ac:dyDescent="0.3">
      <c r="B11016" s="33" t="s">
        <v>30057</v>
      </c>
      <c r="C11016" s="32" t="s">
        <v>30058</v>
      </c>
      <c r="D11016" s="32" t="s">
        <v>30059</v>
      </c>
    </row>
    <row r="11017" spans="2:4" x14ac:dyDescent="0.3">
      <c r="B11017" s="33" t="s">
        <v>28028</v>
      </c>
      <c r="C11017" s="32" t="s">
        <v>30060</v>
      </c>
      <c r="D11017" s="32" t="s">
        <v>30061</v>
      </c>
    </row>
    <row r="11018" spans="2:4" x14ac:dyDescent="0.3">
      <c r="B11018" s="33" t="s">
        <v>28972</v>
      </c>
      <c r="C11018" s="32" t="s">
        <v>30062</v>
      </c>
      <c r="D11018" s="32" t="s">
        <v>30063</v>
      </c>
    </row>
    <row r="11019" spans="2:4" x14ac:dyDescent="0.3">
      <c r="B11019" s="33" t="s">
        <v>30064</v>
      </c>
      <c r="C11019" s="32" t="s">
        <v>30065</v>
      </c>
      <c r="D11019" s="32" t="s">
        <v>37337</v>
      </c>
    </row>
    <row r="11020" spans="2:4" x14ac:dyDescent="0.3">
      <c r="B11020" s="33" t="s">
        <v>30054</v>
      </c>
      <c r="C11020" s="32" t="s">
        <v>30066</v>
      </c>
      <c r="D11020" s="32" t="s">
        <v>30067</v>
      </c>
    </row>
    <row r="11021" spans="2:4" x14ac:dyDescent="0.3">
      <c r="B11021" s="33" t="s">
        <v>30068</v>
      </c>
      <c r="C11021" s="32" t="s">
        <v>30069</v>
      </c>
      <c r="D11021" s="32" t="s">
        <v>30070</v>
      </c>
    </row>
    <row r="11022" spans="2:4" x14ac:dyDescent="0.3">
      <c r="B11022" s="33" t="s">
        <v>30071</v>
      </c>
      <c r="C11022" s="32" t="s">
        <v>30072</v>
      </c>
      <c r="D11022" s="32" t="s">
        <v>30073</v>
      </c>
    </row>
    <row r="11023" spans="2:4" x14ac:dyDescent="0.3">
      <c r="B11023" s="33" t="s">
        <v>30074</v>
      </c>
      <c r="C11023" s="32" t="s">
        <v>30075</v>
      </c>
      <c r="D11023" s="32" t="s">
        <v>30076</v>
      </c>
    </row>
    <row r="11024" spans="2:4" x14ac:dyDescent="0.3">
      <c r="B11024" s="33" t="s">
        <v>30077</v>
      </c>
      <c r="C11024" s="32" t="s">
        <v>30078</v>
      </c>
      <c r="D11024" s="32" t="s">
        <v>30079</v>
      </c>
    </row>
    <row r="11025" spans="2:4" x14ac:dyDescent="0.3">
      <c r="B11025" s="33" t="s">
        <v>30080</v>
      </c>
      <c r="C11025" s="32" t="s">
        <v>30081</v>
      </c>
      <c r="D11025" s="32" t="s">
        <v>30082</v>
      </c>
    </row>
    <row r="11026" spans="2:4" x14ac:dyDescent="0.3">
      <c r="B11026" s="33" t="s">
        <v>29926</v>
      </c>
      <c r="C11026" s="32" t="s">
        <v>30083</v>
      </c>
      <c r="D11026" s="32" t="s">
        <v>30084</v>
      </c>
    </row>
    <row r="11027" spans="2:4" x14ac:dyDescent="0.3">
      <c r="B11027" s="33" t="s">
        <v>30085</v>
      </c>
      <c r="C11027" s="32" t="s">
        <v>30086</v>
      </c>
      <c r="D11027" s="32" t="s">
        <v>30087</v>
      </c>
    </row>
    <row r="11028" spans="2:4" x14ac:dyDescent="0.3">
      <c r="B11028" s="33" t="s">
        <v>30088</v>
      </c>
      <c r="C11028" s="32" t="s">
        <v>30089</v>
      </c>
      <c r="D11028" s="32" t="s">
        <v>37338</v>
      </c>
    </row>
    <row r="11029" spans="2:4" x14ac:dyDescent="0.3">
      <c r="B11029" s="33" t="s">
        <v>30090</v>
      </c>
      <c r="C11029" s="32" t="s">
        <v>30091</v>
      </c>
      <c r="D11029" s="32" t="s">
        <v>30092</v>
      </c>
    </row>
    <row r="11030" spans="2:4" x14ac:dyDescent="0.3">
      <c r="B11030" s="33" t="s">
        <v>30093</v>
      </c>
      <c r="C11030" s="32" t="s">
        <v>30094</v>
      </c>
      <c r="D11030" s="32" t="s">
        <v>37339</v>
      </c>
    </row>
    <row r="11031" spans="2:4" x14ac:dyDescent="0.3">
      <c r="B11031" s="33" t="s">
        <v>30095</v>
      </c>
      <c r="C11031" s="32" t="s">
        <v>30096</v>
      </c>
      <c r="D11031" s="32" t="s">
        <v>30097</v>
      </c>
    </row>
    <row r="11032" spans="2:4" x14ac:dyDescent="0.3">
      <c r="B11032" s="33" t="s">
        <v>30098</v>
      </c>
      <c r="C11032" s="32" t="s">
        <v>30099</v>
      </c>
      <c r="D11032" s="32" t="s">
        <v>30100</v>
      </c>
    </row>
    <row r="11033" spans="2:4" x14ac:dyDescent="0.3">
      <c r="B11033" s="33" t="s">
        <v>28888</v>
      </c>
      <c r="C11033" s="32" t="s">
        <v>30101</v>
      </c>
      <c r="D11033" s="32" t="s">
        <v>30102</v>
      </c>
    </row>
    <row r="11034" spans="2:4" x14ac:dyDescent="0.3">
      <c r="B11034" s="33" t="s">
        <v>30103</v>
      </c>
      <c r="C11034" s="32" t="s">
        <v>30104</v>
      </c>
      <c r="D11034" s="32" t="s">
        <v>30105</v>
      </c>
    </row>
    <row r="11035" spans="2:4" x14ac:dyDescent="0.3">
      <c r="B11035" s="33" t="s">
        <v>30106</v>
      </c>
      <c r="C11035" s="32" t="s">
        <v>30107</v>
      </c>
      <c r="D11035" s="32" t="s">
        <v>30108</v>
      </c>
    </row>
    <row r="11036" spans="2:4" x14ac:dyDescent="0.3">
      <c r="B11036" s="33" t="s">
        <v>30109</v>
      </c>
      <c r="C11036" s="32" t="s">
        <v>30110</v>
      </c>
      <c r="D11036" s="32" t="s">
        <v>30111</v>
      </c>
    </row>
    <row r="11037" spans="2:4" x14ac:dyDescent="0.3">
      <c r="B11037" s="33" t="s">
        <v>30103</v>
      </c>
      <c r="C11037" s="32" t="s">
        <v>30112</v>
      </c>
      <c r="D11037" s="32" t="s">
        <v>30113</v>
      </c>
    </row>
    <row r="11038" spans="2:4" x14ac:dyDescent="0.3">
      <c r="B11038" s="33" t="s">
        <v>2942</v>
      </c>
      <c r="C11038" s="32" t="s">
        <v>30114</v>
      </c>
      <c r="D11038" s="32" t="s">
        <v>30115</v>
      </c>
    </row>
    <row r="11039" spans="2:4" x14ac:dyDescent="0.3">
      <c r="B11039" s="33" t="s">
        <v>30116</v>
      </c>
      <c r="C11039" s="32" t="s">
        <v>30117</v>
      </c>
      <c r="D11039" s="32" t="s">
        <v>30118</v>
      </c>
    </row>
    <row r="11040" spans="2:4" x14ac:dyDescent="0.3">
      <c r="B11040" s="33" t="s">
        <v>30119</v>
      </c>
      <c r="C11040" s="32" t="s">
        <v>30120</v>
      </c>
      <c r="D11040" s="32" t="s">
        <v>30121</v>
      </c>
    </row>
    <row r="11041" spans="2:4" x14ac:dyDescent="0.3">
      <c r="B11041" s="33" t="s">
        <v>30122</v>
      </c>
      <c r="C11041" s="32" t="s">
        <v>30123</v>
      </c>
      <c r="D11041" s="32" t="s">
        <v>30124</v>
      </c>
    </row>
    <row r="11042" spans="2:4" x14ac:dyDescent="0.3">
      <c r="B11042" s="33" t="s">
        <v>30122</v>
      </c>
      <c r="C11042" s="32" t="s">
        <v>30125</v>
      </c>
      <c r="D11042" s="32" t="s">
        <v>30126</v>
      </c>
    </row>
    <row r="11043" spans="2:4" x14ac:dyDescent="0.3">
      <c r="B11043" s="33" t="s">
        <v>30127</v>
      </c>
      <c r="C11043" s="32" t="s">
        <v>30128</v>
      </c>
      <c r="D11043" s="32" t="s">
        <v>30129</v>
      </c>
    </row>
    <row r="11044" spans="2:4" x14ac:dyDescent="0.3">
      <c r="B11044" s="33" t="s">
        <v>30130</v>
      </c>
      <c r="C11044" s="32" t="s">
        <v>30131</v>
      </c>
      <c r="D11044" s="32" t="s">
        <v>30132</v>
      </c>
    </row>
    <row r="11045" spans="2:4" x14ac:dyDescent="0.3">
      <c r="B11045" s="33" t="s">
        <v>30054</v>
      </c>
      <c r="C11045" s="32" t="s">
        <v>30133</v>
      </c>
      <c r="D11045" s="32" t="s">
        <v>30134</v>
      </c>
    </row>
    <row r="11046" spans="2:4" x14ac:dyDescent="0.3">
      <c r="B11046" s="33" t="s">
        <v>30135</v>
      </c>
      <c r="C11046" s="32" t="s">
        <v>30136</v>
      </c>
      <c r="D11046" s="32" t="s">
        <v>30137</v>
      </c>
    </row>
    <row r="11047" spans="2:4" x14ac:dyDescent="0.3">
      <c r="B11047" s="33" t="s">
        <v>30138</v>
      </c>
      <c r="C11047" s="32" t="s">
        <v>30139</v>
      </c>
      <c r="D11047" s="32" t="s">
        <v>30140</v>
      </c>
    </row>
    <row r="11048" spans="2:4" x14ac:dyDescent="0.3">
      <c r="B11048" s="33" t="s">
        <v>8214</v>
      </c>
      <c r="C11048" s="32" t="s">
        <v>30141</v>
      </c>
      <c r="D11048" s="32" t="s">
        <v>30142</v>
      </c>
    </row>
    <row r="11049" spans="2:4" x14ac:dyDescent="0.3">
      <c r="B11049" s="33" t="s">
        <v>28042</v>
      </c>
      <c r="C11049" s="32" t="s">
        <v>30143</v>
      </c>
      <c r="D11049" s="32" t="s">
        <v>37340</v>
      </c>
    </row>
    <row r="11050" spans="2:4" x14ac:dyDescent="0.3">
      <c r="B11050" s="33" t="s">
        <v>30144</v>
      </c>
      <c r="C11050" s="32" t="s">
        <v>30145</v>
      </c>
      <c r="D11050" s="32" t="s">
        <v>30146</v>
      </c>
    </row>
    <row r="11051" spans="2:4" x14ac:dyDescent="0.3">
      <c r="B11051" s="33" t="s">
        <v>30147</v>
      </c>
      <c r="C11051" s="32" t="s">
        <v>30148</v>
      </c>
      <c r="D11051" s="32" t="s">
        <v>30149</v>
      </c>
    </row>
    <row r="11052" spans="2:4" x14ac:dyDescent="0.3">
      <c r="B11052" s="33" t="s">
        <v>30150</v>
      </c>
      <c r="C11052" s="32" t="s">
        <v>30151</v>
      </c>
      <c r="D11052" s="32" t="s">
        <v>30152</v>
      </c>
    </row>
    <row r="11053" spans="2:4" x14ac:dyDescent="0.3">
      <c r="B11053" s="33" t="s">
        <v>30153</v>
      </c>
      <c r="C11053" s="32" t="s">
        <v>30154</v>
      </c>
      <c r="D11053" s="32" t="s">
        <v>30155</v>
      </c>
    </row>
    <row r="11054" spans="2:4" x14ac:dyDescent="0.3">
      <c r="B11054" s="33" t="s">
        <v>30153</v>
      </c>
      <c r="C11054" s="32" t="s">
        <v>30156</v>
      </c>
      <c r="D11054" s="32" t="s">
        <v>30157</v>
      </c>
    </row>
    <row r="11055" spans="2:4" x14ac:dyDescent="0.3">
      <c r="B11055" s="33" t="s">
        <v>30153</v>
      </c>
      <c r="C11055" s="32" t="s">
        <v>30158</v>
      </c>
      <c r="D11055" s="32" t="s">
        <v>30159</v>
      </c>
    </row>
    <row r="11056" spans="2:4" x14ac:dyDescent="0.3">
      <c r="B11056" s="33" t="s">
        <v>30147</v>
      </c>
      <c r="C11056" s="32" t="s">
        <v>30160</v>
      </c>
      <c r="D11056" s="32" t="s">
        <v>30161</v>
      </c>
    </row>
    <row r="11057" spans="2:4" x14ac:dyDescent="0.3">
      <c r="B11057" s="33" t="s">
        <v>20906</v>
      </c>
      <c r="C11057" s="32" t="s">
        <v>30162</v>
      </c>
      <c r="D11057" s="32" t="s">
        <v>30163</v>
      </c>
    </row>
    <row r="11058" spans="2:4" x14ac:dyDescent="0.3">
      <c r="B11058" s="33" t="s">
        <v>20906</v>
      </c>
      <c r="C11058" s="32" t="s">
        <v>30164</v>
      </c>
      <c r="D11058" s="32" t="s">
        <v>30165</v>
      </c>
    </row>
    <row r="11059" spans="2:4" x14ac:dyDescent="0.3">
      <c r="B11059" s="33" t="s">
        <v>20906</v>
      </c>
      <c r="C11059" s="32" t="s">
        <v>30166</v>
      </c>
      <c r="D11059" s="32" t="s">
        <v>20906</v>
      </c>
    </row>
    <row r="11060" spans="2:4" x14ac:dyDescent="0.3">
      <c r="B11060" s="33" t="s">
        <v>20906</v>
      </c>
      <c r="C11060" s="32" t="s">
        <v>37341</v>
      </c>
      <c r="D11060" s="32" t="s">
        <v>37342</v>
      </c>
    </row>
    <row r="11061" spans="2:4" x14ac:dyDescent="0.3">
      <c r="B11061" s="33" t="s">
        <v>30135</v>
      </c>
      <c r="C11061" s="32" t="s">
        <v>37075</v>
      </c>
      <c r="D11061" s="32" t="s">
        <v>37076</v>
      </c>
    </row>
    <row r="11062" spans="2:4" x14ac:dyDescent="0.3">
      <c r="B11062" s="33" t="s">
        <v>30167</v>
      </c>
      <c r="C11062" s="32" t="s">
        <v>30168</v>
      </c>
      <c r="D11062" s="32" t="s">
        <v>30169</v>
      </c>
    </row>
    <row r="11063" spans="2:4" x14ac:dyDescent="0.3">
      <c r="B11063" s="33" t="s">
        <v>30170</v>
      </c>
      <c r="C11063" s="32" t="s">
        <v>30171</v>
      </c>
      <c r="D11063" s="32" t="s">
        <v>30172</v>
      </c>
    </row>
    <row r="11064" spans="2:4" x14ac:dyDescent="0.3">
      <c r="B11064" s="33" t="s">
        <v>30173</v>
      </c>
      <c r="C11064" s="32" t="s">
        <v>30174</v>
      </c>
      <c r="D11064" s="32" t="s">
        <v>30175</v>
      </c>
    </row>
    <row r="11065" spans="2:4" x14ac:dyDescent="0.3">
      <c r="B11065" s="33" t="s">
        <v>30176</v>
      </c>
      <c r="C11065" s="32" t="s">
        <v>30177</v>
      </c>
      <c r="D11065" s="32" t="s">
        <v>30178</v>
      </c>
    </row>
    <row r="11066" spans="2:4" x14ac:dyDescent="0.3">
      <c r="B11066" s="33" t="s">
        <v>30173</v>
      </c>
      <c r="C11066" s="32" t="s">
        <v>30179</v>
      </c>
      <c r="D11066" s="32" t="s">
        <v>30180</v>
      </c>
    </row>
    <row r="11067" spans="2:4" x14ac:dyDescent="0.3">
      <c r="B11067" s="33" t="s">
        <v>30181</v>
      </c>
      <c r="C11067" s="32" t="s">
        <v>30182</v>
      </c>
      <c r="D11067" s="32" t="s">
        <v>30183</v>
      </c>
    </row>
    <row r="11068" spans="2:4" x14ac:dyDescent="0.3">
      <c r="B11068" s="33" t="s">
        <v>14240</v>
      </c>
      <c r="C11068" s="32" t="s">
        <v>30184</v>
      </c>
      <c r="D11068" s="32" t="s">
        <v>30185</v>
      </c>
    </row>
    <row r="11069" spans="2:4" x14ac:dyDescent="0.3">
      <c r="B11069" s="33" t="s">
        <v>30186</v>
      </c>
      <c r="C11069" s="32" t="s">
        <v>30187</v>
      </c>
      <c r="D11069" s="32" t="s">
        <v>30188</v>
      </c>
    </row>
    <row r="11070" spans="2:4" x14ac:dyDescent="0.3">
      <c r="B11070" s="33" t="s">
        <v>29129</v>
      </c>
      <c r="C11070" s="32" t="s">
        <v>30189</v>
      </c>
      <c r="D11070" s="32" t="s">
        <v>30190</v>
      </c>
    </row>
    <row r="11071" spans="2:4" x14ac:dyDescent="0.3">
      <c r="B11071" s="33" t="s">
        <v>30191</v>
      </c>
      <c r="C11071" s="32" t="s">
        <v>30192</v>
      </c>
      <c r="D11071" s="32" t="s">
        <v>30191</v>
      </c>
    </row>
    <row r="11072" spans="2:4" x14ac:dyDescent="0.3">
      <c r="B11072" s="33" t="s">
        <v>30193</v>
      </c>
      <c r="C11072" s="32" t="s">
        <v>30194</v>
      </c>
      <c r="D11072" s="32" t="s">
        <v>30195</v>
      </c>
    </row>
    <row r="11073" spans="2:4" x14ac:dyDescent="0.3">
      <c r="B11073" s="33" t="s">
        <v>30196</v>
      </c>
      <c r="C11073" s="32" t="s">
        <v>30197</v>
      </c>
      <c r="D11073" s="32" t="s">
        <v>30196</v>
      </c>
    </row>
    <row r="11074" spans="2:4" x14ac:dyDescent="0.3">
      <c r="B11074" s="33" t="s">
        <v>30198</v>
      </c>
      <c r="C11074" s="32" t="s">
        <v>30199</v>
      </c>
      <c r="D11074" s="32" t="s">
        <v>30200</v>
      </c>
    </row>
    <row r="11075" spans="2:4" x14ac:dyDescent="0.3">
      <c r="B11075" s="33" t="s">
        <v>30201</v>
      </c>
      <c r="C11075" s="32" t="s">
        <v>30202</v>
      </c>
      <c r="D11075" s="32" t="s">
        <v>30203</v>
      </c>
    </row>
    <row r="11076" spans="2:4" x14ac:dyDescent="0.3">
      <c r="B11076" s="33" t="s">
        <v>30204</v>
      </c>
      <c r="C11076" s="32" t="s">
        <v>30205</v>
      </c>
      <c r="D11076" s="32" t="s">
        <v>30206</v>
      </c>
    </row>
    <row r="11077" spans="2:4" x14ac:dyDescent="0.3">
      <c r="B11077" s="33" t="s">
        <v>30207</v>
      </c>
      <c r="C11077" s="32" t="s">
        <v>30208</v>
      </c>
      <c r="D11077" s="32" t="s">
        <v>30209</v>
      </c>
    </row>
    <row r="11078" spans="2:4" x14ac:dyDescent="0.3">
      <c r="B11078" s="33" t="s">
        <v>30210</v>
      </c>
      <c r="C11078" s="32" t="s">
        <v>30211</v>
      </c>
      <c r="D11078" s="32" t="s">
        <v>30212</v>
      </c>
    </row>
    <row r="11079" spans="2:4" x14ac:dyDescent="0.3">
      <c r="B11079" s="33" t="s">
        <v>5669</v>
      </c>
      <c r="C11079" s="32" t="s">
        <v>30213</v>
      </c>
      <c r="D11079" s="32" t="s">
        <v>30214</v>
      </c>
    </row>
    <row r="11080" spans="2:4" x14ac:dyDescent="0.3">
      <c r="B11080" s="33" t="s">
        <v>30215</v>
      </c>
      <c r="C11080" s="32" t="s">
        <v>30216</v>
      </c>
      <c r="D11080" s="32" t="s">
        <v>30217</v>
      </c>
    </row>
    <row r="11081" spans="2:4" x14ac:dyDescent="0.3">
      <c r="B11081" s="33" t="s">
        <v>30218</v>
      </c>
      <c r="C11081" s="32" t="s">
        <v>30219</v>
      </c>
      <c r="D11081" s="32" t="s">
        <v>30220</v>
      </c>
    </row>
    <row r="11082" spans="2:4" x14ac:dyDescent="0.3">
      <c r="B11082" s="33" t="s">
        <v>29986</v>
      </c>
      <c r="C11082" s="32" t="s">
        <v>30221</v>
      </c>
      <c r="D11082" s="32" t="s">
        <v>30222</v>
      </c>
    </row>
    <row r="11083" spans="2:4" x14ac:dyDescent="0.3">
      <c r="B11083" s="33" t="s">
        <v>30223</v>
      </c>
      <c r="C11083" s="32" t="s">
        <v>30224</v>
      </c>
      <c r="D11083" s="32" t="s">
        <v>30225</v>
      </c>
    </row>
    <row r="11084" spans="2:4" x14ac:dyDescent="0.3">
      <c r="B11084" s="33" t="s">
        <v>37343</v>
      </c>
      <c r="C11084" s="32" t="s">
        <v>37344</v>
      </c>
      <c r="D11084" s="32" t="s">
        <v>37343</v>
      </c>
    </row>
    <row r="11085" spans="2:4" x14ac:dyDescent="0.3">
      <c r="B11085" s="33" t="s">
        <v>30226</v>
      </c>
      <c r="C11085" s="32" t="s">
        <v>30227</v>
      </c>
      <c r="D11085" s="32" t="s">
        <v>30228</v>
      </c>
    </row>
    <row r="11086" spans="2:4" x14ac:dyDescent="0.3">
      <c r="B11086" s="33" t="s">
        <v>30229</v>
      </c>
      <c r="C11086" s="32" t="s">
        <v>30230</v>
      </c>
      <c r="D11086" s="32" t="s">
        <v>30231</v>
      </c>
    </row>
    <row r="11087" spans="2:4" x14ac:dyDescent="0.3">
      <c r="B11087" s="33" t="s">
        <v>30232</v>
      </c>
      <c r="C11087" s="32" t="s">
        <v>30233</v>
      </c>
      <c r="D11087" s="32" t="s">
        <v>30234</v>
      </c>
    </row>
    <row r="11088" spans="2:4" x14ac:dyDescent="0.3">
      <c r="B11088" s="33" t="s">
        <v>30235</v>
      </c>
      <c r="C11088" s="32" t="s">
        <v>30236</v>
      </c>
      <c r="D11088" s="32" t="s">
        <v>30237</v>
      </c>
    </row>
    <row r="11089" spans="2:4" x14ac:dyDescent="0.3">
      <c r="B11089" s="33" t="s">
        <v>30095</v>
      </c>
      <c r="C11089" s="32" t="s">
        <v>30238</v>
      </c>
      <c r="D11089" s="32" t="s">
        <v>30239</v>
      </c>
    </row>
    <row r="11090" spans="2:4" x14ac:dyDescent="0.3">
      <c r="B11090" s="33" t="s">
        <v>37345</v>
      </c>
      <c r="C11090" s="32" t="s">
        <v>37346</v>
      </c>
      <c r="D11090" s="32" t="s">
        <v>37347</v>
      </c>
    </row>
    <row r="11091" spans="2:4" x14ac:dyDescent="0.3">
      <c r="B11091" s="33" t="s">
        <v>28123</v>
      </c>
      <c r="C11091" s="32" t="s">
        <v>30240</v>
      </c>
      <c r="D11091" s="32" t="s">
        <v>30241</v>
      </c>
    </row>
    <row r="11092" spans="2:4" x14ac:dyDescent="0.3">
      <c r="B11092" s="33" t="s">
        <v>30242</v>
      </c>
      <c r="C11092" s="32" t="s">
        <v>30243</v>
      </c>
      <c r="D11092" s="32" t="s">
        <v>30244</v>
      </c>
    </row>
    <row r="11093" spans="2:4" x14ac:dyDescent="0.3">
      <c r="B11093" s="33" t="s">
        <v>28028</v>
      </c>
      <c r="C11093" s="32" t="s">
        <v>30245</v>
      </c>
      <c r="D11093" s="32" t="s">
        <v>30246</v>
      </c>
    </row>
    <row r="11094" spans="2:4" x14ac:dyDescent="0.3">
      <c r="B11094" s="33" t="s">
        <v>30095</v>
      </c>
      <c r="C11094" s="32" t="s">
        <v>30247</v>
      </c>
      <c r="D11094" s="32" t="s">
        <v>30248</v>
      </c>
    </row>
    <row r="11095" spans="2:4" x14ac:dyDescent="0.3">
      <c r="B11095" s="33" t="s">
        <v>30249</v>
      </c>
      <c r="C11095" s="32" t="s">
        <v>30250</v>
      </c>
      <c r="D11095" s="32" t="s">
        <v>30251</v>
      </c>
    </row>
    <row r="11096" spans="2:4" x14ac:dyDescent="0.3">
      <c r="B11096" s="33" t="s">
        <v>30252</v>
      </c>
      <c r="C11096" s="32" t="s">
        <v>30253</v>
      </c>
      <c r="D11096" s="32" t="s">
        <v>30254</v>
      </c>
    </row>
    <row r="11097" spans="2:4" x14ac:dyDescent="0.3">
      <c r="B11097" s="33" t="s">
        <v>30255</v>
      </c>
      <c r="C11097" s="32" t="s">
        <v>30256</v>
      </c>
      <c r="D11097" s="32" t="s">
        <v>30257</v>
      </c>
    </row>
    <row r="11098" spans="2:4" x14ac:dyDescent="0.3">
      <c r="B11098" s="33" t="s">
        <v>30258</v>
      </c>
      <c r="C11098" s="32" t="s">
        <v>30259</v>
      </c>
      <c r="D11098" s="32" t="s">
        <v>30260</v>
      </c>
    </row>
    <row r="11099" spans="2:4" x14ac:dyDescent="0.3">
      <c r="B11099" s="33" t="s">
        <v>30261</v>
      </c>
      <c r="C11099" s="32" t="s">
        <v>30262</v>
      </c>
      <c r="D11099" s="32" t="s">
        <v>30263</v>
      </c>
    </row>
    <row r="11100" spans="2:4" x14ac:dyDescent="0.3">
      <c r="B11100" s="33" t="s">
        <v>30264</v>
      </c>
      <c r="C11100" s="32" t="s">
        <v>30265</v>
      </c>
      <c r="D11100" s="32" t="s">
        <v>30266</v>
      </c>
    </row>
    <row r="11101" spans="2:4" x14ac:dyDescent="0.3">
      <c r="B11101" s="33" t="s">
        <v>30267</v>
      </c>
      <c r="C11101" s="32" t="s">
        <v>30268</v>
      </c>
      <c r="D11101" s="32" t="s">
        <v>30269</v>
      </c>
    </row>
    <row r="11102" spans="2:4" x14ac:dyDescent="0.3">
      <c r="B11102" s="33" t="s">
        <v>30270</v>
      </c>
      <c r="C11102" s="32" t="s">
        <v>30271</v>
      </c>
      <c r="D11102" s="32" t="s">
        <v>30272</v>
      </c>
    </row>
    <row r="11103" spans="2:4" x14ac:dyDescent="0.3">
      <c r="B11103" s="33" t="s">
        <v>30273</v>
      </c>
      <c r="C11103" s="32" t="s">
        <v>30274</v>
      </c>
      <c r="D11103" s="32" t="s">
        <v>30275</v>
      </c>
    </row>
    <row r="11104" spans="2:4" x14ac:dyDescent="0.3">
      <c r="B11104" s="33" t="s">
        <v>30276</v>
      </c>
      <c r="C11104" s="32" t="s">
        <v>30277</v>
      </c>
      <c r="D11104" s="32" t="s">
        <v>30278</v>
      </c>
    </row>
    <row r="11105" spans="2:4" x14ac:dyDescent="0.3">
      <c r="B11105" s="33" t="s">
        <v>30279</v>
      </c>
      <c r="C11105" s="32" t="s">
        <v>30280</v>
      </c>
      <c r="D11105" s="32" t="s">
        <v>30281</v>
      </c>
    </row>
    <row r="11106" spans="2:4" x14ac:dyDescent="0.3">
      <c r="B11106" s="33" t="s">
        <v>30282</v>
      </c>
      <c r="C11106" s="32" t="s">
        <v>30283</v>
      </c>
      <c r="D11106" s="32" t="s">
        <v>30284</v>
      </c>
    </row>
    <row r="11107" spans="2:4" x14ac:dyDescent="0.3">
      <c r="B11107" s="33" t="s">
        <v>30285</v>
      </c>
      <c r="C11107" s="32" t="s">
        <v>30286</v>
      </c>
      <c r="D11107" s="32" t="s">
        <v>30287</v>
      </c>
    </row>
    <row r="11108" spans="2:4" x14ac:dyDescent="0.3">
      <c r="B11108" s="33" t="s">
        <v>30285</v>
      </c>
      <c r="C11108" s="32" t="s">
        <v>30288</v>
      </c>
      <c r="D11108" s="32" t="s">
        <v>30289</v>
      </c>
    </row>
    <row r="11109" spans="2:4" x14ac:dyDescent="0.3">
      <c r="B11109" s="33" t="s">
        <v>30285</v>
      </c>
      <c r="C11109" s="32" t="s">
        <v>30290</v>
      </c>
      <c r="D11109" s="32" t="s">
        <v>30291</v>
      </c>
    </row>
    <row r="11110" spans="2:4" x14ac:dyDescent="0.3">
      <c r="B11110" s="33" t="s">
        <v>30285</v>
      </c>
      <c r="C11110" s="32" t="s">
        <v>30292</v>
      </c>
      <c r="D11110" s="32" t="s">
        <v>30293</v>
      </c>
    </row>
    <row r="11111" spans="2:4" x14ac:dyDescent="0.3">
      <c r="B11111" s="33" t="s">
        <v>30294</v>
      </c>
      <c r="C11111" s="32" t="s">
        <v>30295</v>
      </c>
      <c r="D11111" s="32" t="s">
        <v>30296</v>
      </c>
    </row>
    <row r="11112" spans="2:4" x14ac:dyDescent="0.3">
      <c r="B11112" s="33" t="s">
        <v>30297</v>
      </c>
      <c r="C11112" s="32" t="s">
        <v>30298</v>
      </c>
      <c r="D11112" s="32" t="s">
        <v>30299</v>
      </c>
    </row>
    <row r="11113" spans="2:4" x14ac:dyDescent="0.3">
      <c r="B11113" s="33" t="s">
        <v>30300</v>
      </c>
      <c r="C11113" s="32" t="s">
        <v>30301</v>
      </c>
      <c r="D11113" s="32" t="s">
        <v>30302</v>
      </c>
    </row>
    <row r="11114" spans="2:4" x14ac:dyDescent="0.3">
      <c r="B11114" s="33" t="s">
        <v>30303</v>
      </c>
      <c r="C11114" s="32" t="s">
        <v>30304</v>
      </c>
      <c r="D11114" s="32" t="s">
        <v>30305</v>
      </c>
    </row>
    <row r="11115" spans="2:4" x14ac:dyDescent="0.3">
      <c r="B11115" s="33" t="s">
        <v>29434</v>
      </c>
      <c r="C11115" s="32" t="s">
        <v>30306</v>
      </c>
      <c r="D11115" s="32" t="s">
        <v>30307</v>
      </c>
    </row>
    <row r="11116" spans="2:4" x14ac:dyDescent="0.3">
      <c r="B11116" s="33" t="s">
        <v>30308</v>
      </c>
      <c r="C11116" s="32" t="s">
        <v>30309</v>
      </c>
      <c r="D11116" s="32" t="s">
        <v>30310</v>
      </c>
    </row>
    <row r="11117" spans="2:4" x14ac:dyDescent="0.3">
      <c r="B11117" s="33" t="s">
        <v>30311</v>
      </c>
      <c r="C11117" s="32" t="s">
        <v>30312</v>
      </c>
      <c r="D11117" s="32" t="s">
        <v>30311</v>
      </c>
    </row>
    <row r="11118" spans="2:4" x14ac:dyDescent="0.3">
      <c r="B11118" s="33" t="s">
        <v>30313</v>
      </c>
      <c r="C11118" s="32" t="s">
        <v>30314</v>
      </c>
      <c r="D11118" s="32" t="s">
        <v>30315</v>
      </c>
    </row>
    <row r="11119" spans="2:4" x14ac:dyDescent="0.3">
      <c r="B11119" s="33" t="s">
        <v>30316</v>
      </c>
      <c r="C11119" s="32" t="s">
        <v>30317</v>
      </c>
      <c r="D11119" s="32" t="s">
        <v>30318</v>
      </c>
    </row>
    <row r="11120" spans="2:4" x14ac:dyDescent="0.3">
      <c r="B11120" s="33" t="s">
        <v>30319</v>
      </c>
      <c r="C11120" s="32" t="s">
        <v>30320</v>
      </c>
      <c r="D11120" s="32" t="s">
        <v>30321</v>
      </c>
    </row>
    <row r="11121" spans="2:4" x14ac:dyDescent="0.3">
      <c r="B11121" s="33" t="s">
        <v>30322</v>
      </c>
      <c r="C11121" s="32" t="s">
        <v>30323</v>
      </c>
      <c r="D11121" s="32" t="s">
        <v>30324</v>
      </c>
    </row>
    <row r="11122" spans="2:4" x14ac:dyDescent="0.3">
      <c r="B11122" s="33" t="s">
        <v>30325</v>
      </c>
      <c r="C11122" s="32" t="s">
        <v>30326</v>
      </c>
      <c r="D11122" s="32" t="s">
        <v>30327</v>
      </c>
    </row>
    <row r="11123" spans="2:4" x14ac:dyDescent="0.3">
      <c r="B11123" s="33" t="s">
        <v>30328</v>
      </c>
      <c r="C11123" s="32" t="s">
        <v>30329</v>
      </c>
      <c r="D11123" s="32" t="s">
        <v>30330</v>
      </c>
    </row>
    <row r="11124" spans="2:4" x14ac:dyDescent="0.3">
      <c r="B11124" s="33" t="s">
        <v>30331</v>
      </c>
      <c r="C11124" s="32" t="s">
        <v>30332</v>
      </c>
      <c r="D11124" s="32" t="s">
        <v>30333</v>
      </c>
    </row>
    <row r="11125" spans="2:4" x14ac:dyDescent="0.3">
      <c r="B11125" s="33" t="s">
        <v>29144</v>
      </c>
      <c r="C11125" s="32" t="s">
        <v>30334</v>
      </c>
      <c r="D11125" s="32" t="s">
        <v>30335</v>
      </c>
    </row>
    <row r="11126" spans="2:4" x14ac:dyDescent="0.3">
      <c r="B11126" s="33" t="s">
        <v>23254</v>
      </c>
      <c r="C11126" s="32" t="s">
        <v>30336</v>
      </c>
      <c r="D11126" s="32" t="s">
        <v>30337</v>
      </c>
    </row>
    <row r="11127" spans="2:4" x14ac:dyDescent="0.3">
      <c r="B11127" s="33" t="s">
        <v>9610</v>
      </c>
      <c r="C11127" s="32" t="s">
        <v>30338</v>
      </c>
      <c r="D11127" s="32" t="s">
        <v>30339</v>
      </c>
    </row>
    <row r="11128" spans="2:4" x14ac:dyDescent="0.3">
      <c r="B11128" s="33" t="s">
        <v>23612</v>
      </c>
      <c r="C11128" s="32" t="s">
        <v>30340</v>
      </c>
      <c r="D11128" s="32" t="s">
        <v>30341</v>
      </c>
    </row>
    <row r="11129" spans="2:4" x14ac:dyDescent="0.3">
      <c r="B11129" s="33" t="s">
        <v>30342</v>
      </c>
      <c r="C11129" s="32" t="s">
        <v>30343</v>
      </c>
      <c r="D11129" s="32" t="s">
        <v>30344</v>
      </c>
    </row>
    <row r="11130" spans="2:4" x14ac:dyDescent="0.3">
      <c r="B11130" s="33" t="s">
        <v>30345</v>
      </c>
      <c r="C11130" s="32" t="s">
        <v>30346</v>
      </c>
      <c r="D11130" s="32" t="s">
        <v>30347</v>
      </c>
    </row>
    <row r="11131" spans="2:4" x14ac:dyDescent="0.3">
      <c r="B11131" s="33" t="s">
        <v>30348</v>
      </c>
      <c r="C11131" s="32" t="s">
        <v>30349</v>
      </c>
      <c r="D11131" s="32" t="s">
        <v>30350</v>
      </c>
    </row>
    <row r="11132" spans="2:4" x14ac:dyDescent="0.3">
      <c r="B11132" s="33" t="s">
        <v>30135</v>
      </c>
      <c r="C11132" s="32" t="s">
        <v>30351</v>
      </c>
      <c r="D11132" s="32" t="s">
        <v>30352</v>
      </c>
    </row>
    <row r="11133" spans="2:4" x14ac:dyDescent="0.3">
      <c r="B11133" s="33" t="s">
        <v>30353</v>
      </c>
      <c r="C11133" s="32" t="s">
        <v>30354</v>
      </c>
      <c r="D11133" s="32" t="s">
        <v>30355</v>
      </c>
    </row>
    <row r="11134" spans="2:4" x14ac:dyDescent="0.3">
      <c r="B11134" s="33" t="s">
        <v>30353</v>
      </c>
      <c r="C11134" s="32" t="s">
        <v>30356</v>
      </c>
      <c r="D11134" s="32" t="s">
        <v>30357</v>
      </c>
    </row>
    <row r="11135" spans="2:4" x14ac:dyDescent="0.3">
      <c r="B11135" s="33" t="s">
        <v>30358</v>
      </c>
      <c r="C11135" s="32" t="s">
        <v>30359</v>
      </c>
      <c r="D11135" s="32" t="s">
        <v>30360</v>
      </c>
    </row>
    <row r="11136" spans="2:4" x14ac:dyDescent="0.3">
      <c r="B11136" s="33" t="s">
        <v>30361</v>
      </c>
      <c r="C11136" s="32" t="s">
        <v>30362</v>
      </c>
      <c r="D11136" s="32" t="s">
        <v>30363</v>
      </c>
    </row>
    <row r="11137" spans="2:4" x14ac:dyDescent="0.3">
      <c r="B11137" s="33" t="s">
        <v>30364</v>
      </c>
      <c r="C11137" s="32" t="s">
        <v>30365</v>
      </c>
      <c r="D11137" s="32" t="s">
        <v>30366</v>
      </c>
    </row>
    <row r="11138" spans="2:4" x14ac:dyDescent="0.3">
      <c r="B11138" s="33" t="s">
        <v>30367</v>
      </c>
      <c r="C11138" s="32" t="s">
        <v>30368</v>
      </c>
      <c r="D11138" s="32" t="s">
        <v>30369</v>
      </c>
    </row>
    <row r="11139" spans="2:4" x14ac:dyDescent="0.3">
      <c r="B11139" s="33" t="s">
        <v>30370</v>
      </c>
      <c r="C11139" s="32" t="s">
        <v>30371</v>
      </c>
      <c r="D11139" s="32" t="s">
        <v>30372</v>
      </c>
    </row>
    <row r="11140" spans="2:4" x14ac:dyDescent="0.3">
      <c r="B11140" s="33" t="s">
        <v>30373</v>
      </c>
      <c r="C11140" s="32" t="s">
        <v>30374</v>
      </c>
      <c r="D11140" s="32" t="s">
        <v>30375</v>
      </c>
    </row>
    <row r="11141" spans="2:4" x14ac:dyDescent="0.3">
      <c r="B11141" s="33" t="s">
        <v>30376</v>
      </c>
      <c r="C11141" s="32" t="s">
        <v>30377</v>
      </c>
      <c r="D11141" s="32" t="s">
        <v>30378</v>
      </c>
    </row>
    <row r="11142" spans="2:4" x14ac:dyDescent="0.3">
      <c r="B11142" s="33" t="s">
        <v>30379</v>
      </c>
      <c r="C11142" s="32" t="s">
        <v>30380</v>
      </c>
      <c r="D11142" s="32" t="s">
        <v>30381</v>
      </c>
    </row>
    <row r="11143" spans="2:4" x14ac:dyDescent="0.3">
      <c r="B11143" s="33" t="s">
        <v>30382</v>
      </c>
      <c r="C11143" s="32" t="s">
        <v>30383</v>
      </c>
      <c r="D11143" s="32" t="s">
        <v>30384</v>
      </c>
    </row>
    <row r="11144" spans="2:4" x14ac:dyDescent="0.3">
      <c r="B11144" s="33" t="s">
        <v>30385</v>
      </c>
      <c r="C11144" s="32" t="s">
        <v>30386</v>
      </c>
      <c r="D11144" s="32" t="s">
        <v>30387</v>
      </c>
    </row>
    <row r="11145" spans="2:4" x14ac:dyDescent="0.3">
      <c r="B11145" s="33" t="s">
        <v>30388</v>
      </c>
      <c r="C11145" s="32" t="s">
        <v>30389</v>
      </c>
      <c r="D11145" s="32" t="s">
        <v>30390</v>
      </c>
    </row>
    <row r="11146" spans="2:4" x14ac:dyDescent="0.3">
      <c r="B11146" s="33" t="s">
        <v>30391</v>
      </c>
      <c r="C11146" s="32" t="s">
        <v>30392</v>
      </c>
      <c r="D11146" s="32" t="s">
        <v>37348</v>
      </c>
    </row>
    <row r="11147" spans="2:4" x14ac:dyDescent="0.3">
      <c r="B11147" s="33" t="s">
        <v>30393</v>
      </c>
      <c r="C11147" s="32" t="s">
        <v>30394</v>
      </c>
      <c r="D11147" s="32" t="s">
        <v>30395</v>
      </c>
    </row>
    <row r="11148" spans="2:4" x14ac:dyDescent="0.3">
      <c r="B11148" s="33" t="s">
        <v>7470</v>
      </c>
      <c r="C11148" s="32" t="s">
        <v>30396</v>
      </c>
      <c r="D11148" s="32" t="s">
        <v>30397</v>
      </c>
    </row>
    <row r="11149" spans="2:4" x14ac:dyDescent="0.3">
      <c r="B11149" s="33" t="s">
        <v>30398</v>
      </c>
      <c r="C11149" s="32" t="s">
        <v>30399</v>
      </c>
      <c r="D11149" s="32" t="s">
        <v>30400</v>
      </c>
    </row>
    <row r="11150" spans="2:4" x14ac:dyDescent="0.3">
      <c r="B11150" s="33" t="s">
        <v>30342</v>
      </c>
      <c r="C11150" s="32" t="s">
        <v>30401</v>
      </c>
      <c r="D11150" s="32" t="s">
        <v>30402</v>
      </c>
    </row>
    <row r="11151" spans="2:4" x14ac:dyDescent="0.3">
      <c r="B11151" s="33" t="s">
        <v>50</v>
      </c>
      <c r="C11151" s="32" t="s">
        <v>30403</v>
      </c>
      <c r="D11151" s="32" t="s">
        <v>51</v>
      </c>
    </row>
    <row r="11152" spans="2:4" x14ac:dyDescent="0.3">
      <c r="B11152" s="33" t="s">
        <v>36889</v>
      </c>
      <c r="C11152" s="32" t="s">
        <v>36890</v>
      </c>
      <c r="D11152" s="32" t="s">
        <v>36891</v>
      </c>
    </row>
    <row r="11153" spans="2:4" x14ac:dyDescent="0.3">
      <c r="B11153" s="33" t="s">
        <v>30404</v>
      </c>
      <c r="C11153" s="32" t="s">
        <v>30405</v>
      </c>
      <c r="D11153" s="32" t="s">
        <v>30406</v>
      </c>
    </row>
    <row r="11154" spans="2:4" x14ac:dyDescent="0.3">
      <c r="B11154" s="33" t="s">
        <v>30407</v>
      </c>
      <c r="C11154" s="32" t="s">
        <v>30408</v>
      </c>
      <c r="D11154" s="32" t="s">
        <v>30409</v>
      </c>
    </row>
    <row r="11155" spans="2:4" x14ac:dyDescent="0.3">
      <c r="B11155" s="33" t="s">
        <v>30410</v>
      </c>
      <c r="C11155" s="32" t="s">
        <v>30411</v>
      </c>
      <c r="D11155" s="32" t="s">
        <v>30412</v>
      </c>
    </row>
    <row r="11156" spans="2:4" x14ac:dyDescent="0.3">
      <c r="B11156" s="33" t="s">
        <v>30413</v>
      </c>
      <c r="C11156" s="32" t="s">
        <v>30414</v>
      </c>
      <c r="D11156" s="32" t="s">
        <v>30415</v>
      </c>
    </row>
    <row r="11157" spans="2:4" x14ac:dyDescent="0.3">
      <c r="B11157" s="33" t="s">
        <v>30416</v>
      </c>
      <c r="C11157" s="32" t="s">
        <v>30417</v>
      </c>
      <c r="D11157" s="32" t="s">
        <v>30418</v>
      </c>
    </row>
    <row r="11158" spans="2:4" x14ac:dyDescent="0.3">
      <c r="B11158" s="33" t="s">
        <v>30419</v>
      </c>
      <c r="C11158" s="32" t="s">
        <v>30420</v>
      </c>
      <c r="D11158" s="32" t="s">
        <v>30421</v>
      </c>
    </row>
    <row r="11159" spans="2:4" x14ac:dyDescent="0.3">
      <c r="B11159" s="33" t="s">
        <v>30422</v>
      </c>
      <c r="C11159" s="32" t="s">
        <v>30423</v>
      </c>
      <c r="D11159" s="32" t="s">
        <v>30424</v>
      </c>
    </row>
    <row r="11160" spans="2:4" x14ac:dyDescent="0.3">
      <c r="B11160" s="33" t="s">
        <v>30425</v>
      </c>
      <c r="C11160" s="32" t="s">
        <v>30426</v>
      </c>
      <c r="D11160" s="32" t="s">
        <v>30427</v>
      </c>
    </row>
    <row r="11161" spans="2:4" x14ac:dyDescent="0.3">
      <c r="B11161" s="33" t="s">
        <v>30428</v>
      </c>
      <c r="C11161" s="32" t="s">
        <v>30429</v>
      </c>
      <c r="D11161" s="32" t="s">
        <v>30430</v>
      </c>
    </row>
    <row r="11162" spans="2:4" x14ac:dyDescent="0.3">
      <c r="B11162" s="33" t="s">
        <v>30431</v>
      </c>
      <c r="C11162" s="32" t="s">
        <v>30432</v>
      </c>
      <c r="D11162" s="32" t="s">
        <v>30433</v>
      </c>
    </row>
    <row r="11163" spans="2:4" x14ac:dyDescent="0.3">
      <c r="B11163" s="33" t="s">
        <v>30434</v>
      </c>
      <c r="C11163" s="32" t="s">
        <v>30435</v>
      </c>
      <c r="D11163" s="32" t="s">
        <v>30436</v>
      </c>
    </row>
    <row r="11164" spans="2:4" x14ac:dyDescent="0.3">
      <c r="B11164" s="33" t="s">
        <v>30437</v>
      </c>
      <c r="C11164" s="32" t="s">
        <v>30438</v>
      </c>
      <c r="D11164" s="32" t="s">
        <v>30439</v>
      </c>
    </row>
    <row r="11165" spans="2:4" x14ac:dyDescent="0.3">
      <c r="B11165" s="33" t="s">
        <v>50</v>
      </c>
      <c r="C11165" s="32" t="s">
        <v>30440</v>
      </c>
      <c r="D11165" s="32" t="s">
        <v>30441</v>
      </c>
    </row>
    <row r="11166" spans="2:4" x14ac:dyDescent="0.3">
      <c r="B11166" s="33" t="s">
        <v>28117</v>
      </c>
      <c r="C11166" s="32" t="s">
        <v>30442</v>
      </c>
      <c r="D11166" s="32" t="s">
        <v>30443</v>
      </c>
    </row>
    <row r="11167" spans="2:4" x14ac:dyDescent="0.3">
      <c r="B11167" s="33" t="s">
        <v>30444</v>
      </c>
      <c r="C11167" s="32" t="s">
        <v>30445</v>
      </c>
      <c r="D11167" s="32" t="s">
        <v>30446</v>
      </c>
    </row>
    <row r="11168" spans="2:4" x14ac:dyDescent="0.3">
      <c r="B11168" s="33" t="s">
        <v>29768</v>
      </c>
      <c r="C11168" s="32" t="s">
        <v>30447</v>
      </c>
      <c r="D11168" s="32" t="s">
        <v>37349</v>
      </c>
    </row>
    <row r="11169" spans="2:4" x14ac:dyDescent="0.3">
      <c r="B11169" s="33" t="s">
        <v>30448</v>
      </c>
      <c r="C11169" s="32" t="s">
        <v>30449</v>
      </c>
      <c r="D11169" s="32" t="s">
        <v>30450</v>
      </c>
    </row>
    <row r="11170" spans="2:4" x14ac:dyDescent="0.3">
      <c r="B11170" s="33" t="s">
        <v>30451</v>
      </c>
      <c r="C11170" s="32" t="s">
        <v>30452</v>
      </c>
      <c r="D11170" s="32" t="s">
        <v>30453</v>
      </c>
    </row>
    <row r="11171" spans="2:4" x14ac:dyDescent="0.3">
      <c r="B11171" s="33" t="s">
        <v>30454</v>
      </c>
      <c r="C11171" s="32" t="s">
        <v>30455</v>
      </c>
      <c r="D11171" s="32" t="s">
        <v>30456</v>
      </c>
    </row>
    <row r="11172" spans="2:4" x14ac:dyDescent="0.3">
      <c r="B11172" s="33" t="s">
        <v>28856</v>
      </c>
      <c r="C11172" s="32" t="s">
        <v>30457</v>
      </c>
      <c r="D11172" s="32" t="s">
        <v>30458</v>
      </c>
    </row>
    <row r="11173" spans="2:4" x14ac:dyDescent="0.3">
      <c r="B11173" s="33" t="s">
        <v>30459</v>
      </c>
      <c r="C11173" s="32" t="s">
        <v>30460</v>
      </c>
      <c r="D11173" s="32" t="s">
        <v>30461</v>
      </c>
    </row>
    <row r="11174" spans="2:4" x14ac:dyDescent="0.3">
      <c r="B11174" s="33" t="s">
        <v>30462</v>
      </c>
      <c r="C11174" s="32" t="s">
        <v>30463</v>
      </c>
      <c r="D11174" s="32" t="s">
        <v>30464</v>
      </c>
    </row>
    <row r="11175" spans="2:4" x14ac:dyDescent="0.3">
      <c r="B11175" s="33" t="s">
        <v>30465</v>
      </c>
      <c r="C11175" s="32" t="s">
        <v>30466</v>
      </c>
      <c r="D11175" s="32" t="s">
        <v>30467</v>
      </c>
    </row>
    <row r="11176" spans="2:4" x14ac:dyDescent="0.3">
      <c r="B11176" s="33" t="s">
        <v>29392</v>
      </c>
      <c r="C11176" s="32" t="s">
        <v>30468</v>
      </c>
      <c r="D11176" s="32" t="s">
        <v>30469</v>
      </c>
    </row>
    <row r="11177" spans="2:4" x14ac:dyDescent="0.3">
      <c r="B11177" s="33" t="s">
        <v>3031</v>
      </c>
      <c r="C11177" s="32" t="s">
        <v>30470</v>
      </c>
      <c r="D11177" s="32" t="s">
        <v>30471</v>
      </c>
    </row>
    <row r="11178" spans="2:4" x14ac:dyDescent="0.3">
      <c r="B11178" s="33" t="s">
        <v>25351</v>
      </c>
      <c r="C11178" s="32" t="s">
        <v>30472</v>
      </c>
      <c r="D11178" s="32" t="s">
        <v>30473</v>
      </c>
    </row>
    <row r="11179" spans="2:4" x14ac:dyDescent="0.3">
      <c r="B11179" s="33" t="s">
        <v>3031</v>
      </c>
      <c r="C11179" s="32" t="s">
        <v>30474</v>
      </c>
      <c r="D11179" s="32" t="s">
        <v>30475</v>
      </c>
    </row>
    <row r="11180" spans="2:4" x14ac:dyDescent="0.3">
      <c r="B11180" s="33" t="s">
        <v>2942</v>
      </c>
      <c r="C11180" s="32" t="s">
        <v>30476</v>
      </c>
      <c r="D11180" s="32" t="s">
        <v>30477</v>
      </c>
    </row>
    <row r="11181" spans="2:4" x14ac:dyDescent="0.3">
      <c r="B11181" s="33" t="s">
        <v>30478</v>
      </c>
      <c r="C11181" s="32" t="s">
        <v>30479</v>
      </c>
      <c r="D11181" s="32" t="s">
        <v>30480</v>
      </c>
    </row>
    <row r="11182" spans="2:4" x14ac:dyDescent="0.3">
      <c r="B11182" s="33" t="s">
        <v>30481</v>
      </c>
      <c r="C11182" s="32" t="s">
        <v>30482</v>
      </c>
      <c r="D11182" s="32" t="s">
        <v>30483</v>
      </c>
    </row>
    <row r="11183" spans="2:4" x14ac:dyDescent="0.3">
      <c r="B11183" s="33" t="s">
        <v>5731</v>
      </c>
      <c r="C11183" s="32" t="s">
        <v>30484</v>
      </c>
      <c r="D11183" s="32" t="s">
        <v>30485</v>
      </c>
    </row>
    <row r="11184" spans="2:4" x14ac:dyDescent="0.3">
      <c r="B11184" s="33" t="s">
        <v>30486</v>
      </c>
      <c r="C11184" s="32" t="s">
        <v>30487</v>
      </c>
      <c r="D11184" s="32" t="s">
        <v>30488</v>
      </c>
    </row>
    <row r="11185" spans="2:4" x14ac:dyDescent="0.3">
      <c r="B11185" s="33" t="s">
        <v>30489</v>
      </c>
      <c r="C11185" s="32" t="s">
        <v>30490</v>
      </c>
      <c r="D11185" s="32" t="s">
        <v>30491</v>
      </c>
    </row>
    <row r="11186" spans="2:4" x14ac:dyDescent="0.3">
      <c r="B11186" s="33" t="s">
        <v>30492</v>
      </c>
      <c r="C11186" s="32" t="s">
        <v>30493</v>
      </c>
      <c r="D11186" s="32" t="s">
        <v>30494</v>
      </c>
    </row>
    <row r="11187" spans="2:4" x14ac:dyDescent="0.3">
      <c r="B11187" s="33" t="s">
        <v>30486</v>
      </c>
      <c r="C11187" s="32" t="s">
        <v>30495</v>
      </c>
      <c r="D11187" s="32" t="s">
        <v>30496</v>
      </c>
    </row>
    <row r="11188" spans="2:4" x14ac:dyDescent="0.3">
      <c r="B11188" s="33" t="s">
        <v>30497</v>
      </c>
      <c r="C11188" s="32" t="s">
        <v>30498</v>
      </c>
      <c r="D11188" s="32" t="s">
        <v>30499</v>
      </c>
    </row>
    <row r="11189" spans="2:4" x14ac:dyDescent="0.3">
      <c r="B11189" s="33" t="s">
        <v>21560</v>
      </c>
      <c r="C11189" s="32" t="s">
        <v>30500</v>
      </c>
      <c r="D11189" s="32" t="s">
        <v>30501</v>
      </c>
    </row>
    <row r="11190" spans="2:4" x14ac:dyDescent="0.3">
      <c r="B11190" s="33" t="s">
        <v>30502</v>
      </c>
      <c r="C11190" s="32" t="s">
        <v>30503</v>
      </c>
      <c r="D11190" s="32" t="s">
        <v>30504</v>
      </c>
    </row>
    <row r="11191" spans="2:4" x14ac:dyDescent="0.3">
      <c r="B11191" s="33" t="s">
        <v>21560</v>
      </c>
      <c r="C11191" s="32" t="s">
        <v>30505</v>
      </c>
      <c r="D11191" s="32" t="s">
        <v>30506</v>
      </c>
    </row>
    <row r="11192" spans="2:4" x14ac:dyDescent="0.3">
      <c r="B11192" s="33" t="s">
        <v>17917</v>
      </c>
      <c r="C11192" s="32" t="s">
        <v>37350</v>
      </c>
      <c r="D11192" s="32" t="s">
        <v>37351</v>
      </c>
    </row>
    <row r="11193" spans="2:4" x14ac:dyDescent="0.3">
      <c r="B11193" s="33" t="s">
        <v>30507</v>
      </c>
      <c r="C11193" s="32" t="s">
        <v>30508</v>
      </c>
      <c r="D11193" s="32" t="s">
        <v>30509</v>
      </c>
    </row>
    <row r="11194" spans="2:4" x14ac:dyDescent="0.3">
      <c r="B11194" s="33" t="s">
        <v>30510</v>
      </c>
      <c r="C11194" s="32" t="s">
        <v>30511</v>
      </c>
      <c r="D11194" s="32" t="s">
        <v>30512</v>
      </c>
    </row>
    <row r="11195" spans="2:4" x14ac:dyDescent="0.3">
      <c r="B11195" s="33" t="s">
        <v>30513</v>
      </c>
      <c r="C11195" s="32" t="s">
        <v>30514</v>
      </c>
      <c r="D11195" s="32" t="s">
        <v>30515</v>
      </c>
    </row>
    <row r="11196" spans="2:4" x14ac:dyDescent="0.3">
      <c r="B11196" s="33" t="s">
        <v>30516</v>
      </c>
      <c r="C11196" s="32" t="s">
        <v>30517</v>
      </c>
      <c r="D11196" s="32" t="s">
        <v>30518</v>
      </c>
    </row>
    <row r="11197" spans="2:4" x14ac:dyDescent="0.3">
      <c r="B11197" s="33" t="s">
        <v>30519</v>
      </c>
      <c r="C11197" s="32" t="s">
        <v>30520</v>
      </c>
      <c r="D11197" s="32" t="s">
        <v>30521</v>
      </c>
    </row>
    <row r="11198" spans="2:4" x14ac:dyDescent="0.3">
      <c r="B11198" s="33" t="s">
        <v>30522</v>
      </c>
      <c r="C11198" s="32" t="s">
        <v>30523</v>
      </c>
      <c r="D11198" s="32" t="s">
        <v>30524</v>
      </c>
    </row>
    <row r="11199" spans="2:4" x14ac:dyDescent="0.3">
      <c r="B11199" s="33" t="s">
        <v>30525</v>
      </c>
      <c r="C11199" s="32" t="s">
        <v>30526</v>
      </c>
      <c r="D11199" s="32" t="s">
        <v>30527</v>
      </c>
    </row>
    <row r="11200" spans="2:4" x14ac:dyDescent="0.3">
      <c r="B11200" s="33" t="s">
        <v>30528</v>
      </c>
      <c r="C11200" s="32" t="s">
        <v>30529</v>
      </c>
      <c r="D11200" s="32" t="s">
        <v>30530</v>
      </c>
    </row>
    <row r="11201" spans="2:4" x14ac:dyDescent="0.3">
      <c r="B11201" s="33" t="s">
        <v>28263</v>
      </c>
      <c r="C11201" s="32" t="s">
        <v>30531</v>
      </c>
      <c r="D11201" s="32" t="s">
        <v>30532</v>
      </c>
    </row>
    <row r="11202" spans="2:4" x14ac:dyDescent="0.3">
      <c r="B11202" s="33" t="s">
        <v>30533</v>
      </c>
      <c r="C11202" s="32" t="s">
        <v>30534</v>
      </c>
      <c r="D11202" s="32" t="s">
        <v>30535</v>
      </c>
    </row>
    <row r="11203" spans="2:4" x14ac:dyDescent="0.3">
      <c r="B11203" s="33" t="s">
        <v>30536</v>
      </c>
      <c r="C11203" s="32" t="s">
        <v>30537</v>
      </c>
      <c r="D11203" s="32" t="s">
        <v>30538</v>
      </c>
    </row>
    <row r="11204" spans="2:4" x14ac:dyDescent="0.3">
      <c r="B11204" s="33" t="s">
        <v>30539</v>
      </c>
      <c r="C11204" s="32" t="s">
        <v>30540</v>
      </c>
      <c r="D11204" s="32" t="s">
        <v>30541</v>
      </c>
    </row>
    <row r="11205" spans="2:4" x14ac:dyDescent="0.3">
      <c r="B11205" s="33" t="s">
        <v>21560</v>
      </c>
      <c r="C11205" s="32" t="s">
        <v>30542</v>
      </c>
      <c r="D11205" s="32" t="s">
        <v>30543</v>
      </c>
    </row>
    <row r="11206" spans="2:4" x14ac:dyDescent="0.3">
      <c r="B11206" s="33" t="s">
        <v>21560</v>
      </c>
      <c r="C11206" s="32" t="s">
        <v>30544</v>
      </c>
      <c r="D11206" s="32" t="s">
        <v>30545</v>
      </c>
    </row>
    <row r="11207" spans="2:4" x14ac:dyDescent="0.3">
      <c r="B11207" s="33" t="s">
        <v>30459</v>
      </c>
      <c r="C11207" s="32" t="s">
        <v>30546</v>
      </c>
      <c r="D11207" s="32" t="s">
        <v>30547</v>
      </c>
    </row>
    <row r="11208" spans="2:4" x14ac:dyDescent="0.3">
      <c r="B11208" s="33" t="s">
        <v>30548</v>
      </c>
      <c r="C11208" s="32" t="s">
        <v>30549</v>
      </c>
      <c r="D11208" s="32" t="s">
        <v>30550</v>
      </c>
    </row>
    <row r="11209" spans="2:4" x14ac:dyDescent="0.3">
      <c r="B11209" s="33" t="s">
        <v>9087</v>
      </c>
      <c r="C11209" s="32" t="s">
        <v>30551</v>
      </c>
      <c r="D11209" s="32" t="s">
        <v>30552</v>
      </c>
    </row>
    <row r="11210" spans="2:4" x14ac:dyDescent="0.3">
      <c r="B11210" s="33" t="s">
        <v>30553</v>
      </c>
      <c r="C11210" s="32" t="s">
        <v>30554</v>
      </c>
      <c r="D11210" s="32" t="s">
        <v>30555</v>
      </c>
    </row>
    <row r="11211" spans="2:4" x14ac:dyDescent="0.3">
      <c r="B11211" s="33" t="s">
        <v>29768</v>
      </c>
      <c r="C11211" s="32" t="s">
        <v>30556</v>
      </c>
      <c r="D11211" s="32" t="s">
        <v>30557</v>
      </c>
    </row>
    <row r="11212" spans="2:4" x14ac:dyDescent="0.3">
      <c r="B11212" s="33" t="s">
        <v>30558</v>
      </c>
      <c r="C11212" s="32" t="s">
        <v>30559</v>
      </c>
      <c r="D11212" s="32" t="s">
        <v>30558</v>
      </c>
    </row>
    <row r="11213" spans="2:4" x14ac:dyDescent="0.3">
      <c r="B11213" s="33" t="s">
        <v>30560</v>
      </c>
      <c r="C11213" s="32" t="s">
        <v>30561</v>
      </c>
      <c r="D11213" s="32" t="s">
        <v>30562</v>
      </c>
    </row>
    <row r="11214" spans="2:4" x14ac:dyDescent="0.3">
      <c r="B11214" s="33" t="s">
        <v>29768</v>
      </c>
      <c r="C11214" s="32" t="s">
        <v>30563</v>
      </c>
      <c r="D11214" s="32" t="s">
        <v>30564</v>
      </c>
    </row>
    <row r="11215" spans="2:4" x14ac:dyDescent="0.3">
      <c r="B11215" s="33" t="s">
        <v>9610</v>
      </c>
      <c r="C11215" s="32" t="s">
        <v>30565</v>
      </c>
      <c r="D11215" s="32" t="s">
        <v>30566</v>
      </c>
    </row>
    <row r="11216" spans="2:4" x14ac:dyDescent="0.3">
      <c r="B11216" s="33" t="s">
        <v>30567</v>
      </c>
      <c r="C11216" s="32" t="s">
        <v>30568</v>
      </c>
      <c r="D11216" s="32" t="s">
        <v>30569</v>
      </c>
    </row>
    <row r="11217" spans="2:4" x14ac:dyDescent="0.3">
      <c r="B11217" s="33" t="s">
        <v>28545</v>
      </c>
      <c r="C11217" s="32" t="s">
        <v>30570</v>
      </c>
      <c r="D11217" s="32" t="s">
        <v>30571</v>
      </c>
    </row>
    <row r="11218" spans="2:4" x14ac:dyDescent="0.3">
      <c r="B11218" s="33" t="s">
        <v>30572</v>
      </c>
      <c r="C11218" s="32" t="s">
        <v>30573</v>
      </c>
      <c r="D11218" s="32" t="s">
        <v>30574</v>
      </c>
    </row>
    <row r="11219" spans="2:4" x14ac:dyDescent="0.3">
      <c r="B11219" s="33" t="s">
        <v>30575</v>
      </c>
      <c r="C11219" s="32" t="s">
        <v>30576</v>
      </c>
      <c r="D11219" s="32" t="s">
        <v>30575</v>
      </c>
    </row>
    <row r="11220" spans="2:4" x14ac:dyDescent="0.3">
      <c r="B11220" s="33" t="s">
        <v>30577</v>
      </c>
      <c r="C11220" s="32" t="s">
        <v>30578</v>
      </c>
      <c r="D11220" s="32" t="s">
        <v>30579</v>
      </c>
    </row>
    <row r="11221" spans="2:4" x14ac:dyDescent="0.3">
      <c r="B11221" s="33" t="s">
        <v>501</v>
      </c>
      <c r="C11221" s="32" t="s">
        <v>30580</v>
      </c>
      <c r="D11221" s="32" t="s">
        <v>30581</v>
      </c>
    </row>
    <row r="11222" spans="2:4" x14ac:dyDescent="0.3">
      <c r="B11222" s="33" t="s">
        <v>27677</v>
      </c>
      <c r="C11222" s="32" t="s">
        <v>30582</v>
      </c>
      <c r="D11222" s="32" t="s">
        <v>30583</v>
      </c>
    </row>
    <row r="11223" spans="2:4" x14ac:dyDescent="0.3">
      <c r="B11223" s="33" t="s">
        <v>30584</v>
      </c>
      <c r="C11223" s="32" t="s">
        <v>37077</v>
      </c>
      <c r="D11223" s="32" t="s">
        <v>37078</v>
      </c>
    </row>
    <row r="11224" spans="2:4" x14ac:dyDescent="0.3">
      <c r="B11224" s="33" t="s">
        <v>30584</v>
      </c>
      <c r="C11224" s="32" t="s">
        <v>30585</v>
      </c>
      <c r="D11224" s="32" t="s">
        <v>30586</v>
      </c>
    </row>
    <row r="11225" spans="2:4" x14ac:dyDescent="0.3">
      <c r="B11225" s="33" t="s">
        <v>30584</v>
      </c>
      <c r="C11225" s="32" t="s">
        <v>30587</v>
      </c>
      <c r="D11225" s="32" t="s">
        <v>30588</v>
      </c>
    </row>
    <row r="11226" spans="2:4" x14ac:dyDescent="0.3">
      <c r="B11226" s="33" t="s">
        <v>30589</v>
      </c>
      <c r="C11226" s="32" t="s">
        <v>30590</v>
      </c>
      <c r="D11226" s="32" t="s">
        <v>30591</v>
      </c>
    </row>
    <row r="11227" spans="2:4" x14ac:dyDescent="0.3">
      <c r="B11227" s="33" t="s">
        <v>30592</v>
      </c>
      <c r="C11227" s="32" t="s">
        <v>30593</v>
      </c>
      <c r="D11227" s="32" t="s">
        <v>30594</v>
      </c>
    </row>
    <row r="11228" spans="2:4" x14ac:dyDescent="0.3">
      <c r="B11228" s="33" t="s">
        <v>30595</v>
      </c>
      <c r="C11228" s="32" t="s">
        <v>30596</v>
      </c>
      <c r="D11228" s="32" t="s">
        <v>30597</v>
      </c>
    </row>
    <row r="11229" spans="2:4" x14ac:dyDescent="0.3">
      <c r="B11229" s="33" t="s">
        <v>30598</v>
      </c>
      <c r="C11229" s="32" t="s">
        <v>30599</v>
      </c>
      <c r="D11229" s="32" t="s">
        <v>30600</v>
      </c>
    </row>
    <row r="11230" spans="2:4" x14ac:dyDescent="0.3">
      <c r="B11230" s="33" t="s">
        <v>30601</v>
      </c>
      <c r="C11230" s="32" t="s">
        <v>30602</v>
      </c>
      <c r="D11230" s="32" t="s">
        <v>30603</v>
      </c>
    </row>
    <row r="11231" spans="2:4" x14ac:dyDescent="0.3">
      <c r="B11231" s="33" t="s">
        <v>86</v>
      </c>
      <c r="C11231" s="32" t="s">
        <v>30604</v>
      </c>
      <c r="D11231" s="32" t="s">
        <v>87</v>
      </c>
    </row>
    <row r="11232" spans="2:4" x14ac:dyDescent="0.3">
      <c r="B11232" s="33" t="s">
        <v>30605</v>
      </c>
      <c r="C11232" s="32" t="s">
        <v>30606</v>
      </c>
      <c r="D11232" s="32" t="s">
        <v>30607</v>
      </c>
    </row>
    <row r="11233" spans="2:4" x14ac:dyDescent="0.3">
      <c r="B11233" s="33" t="s">
        <v>30608</v>
      </c>
      <c r="C11233" s="32" t="s">
        <v>30609</v>
      </c>
      <c r="D11233" s="32" t="s">
        <v>30610</v>
      </c>
    </row>
    <row r="11234" spans="2:4" x14ac:dyDescent="0.3">
      <c r="B11234" s="33" t="s">
        <v>30611</v>
      </c>
      <c r="C11234" s="32" t="s">
        <v>30612</v>
      </c>
      <c r="D11234" s="32" t="s">
        <v>30613</v>
      </c>
    </row>
    <row r="11235" spans="2:4" x14ac:dyDescent="0.3">
      <c r="B11235" s="33" t="s">
        <v>30614</v>
      </c>
      <c r="C11235" s="32" t="s">
        <v>30615</v>
      </c>
      <c r="D11235" s="32" t="s">
        <v>30616</v>
      </c>
    </row>
    <row r="11236" spans="2:4" x14ac:dyDescent="0.3">
      <c r="B11236" s="33" t="s">
        <v>30617</v>
      </c>
      <c r="C11236" s="32" t="s">
        <v>30618</v>
      </c>
      <c r="D11236" s="32" t="s">
        <v>30619</v>
      </c>
    </row>
    <row r="11237" spans="2:4" x14ac:dyDescent="0.3">
      <c r="B11237" s="33" t="s">
        <v>27199</v>
      </c>
      <c r="C11237" s="32" t="s">
        <v>30620</v>
      </c>
      <c r="D11237" s="32" t="s">
        <v>30621</v>
      </c>
    </row>
    <row r="11238" spans="2:4" x14ac:dyDescent="0.3">
      <c r="B11238" s="33" t="s">
        <v>30622</v>
      </c>
      <c r="C11238" s="32" t="s">
        <v>30623</v>
      </c>
      <c r="D11238" s="32" t="s">
        <v>30622</v>
      </c>
    </row>
    <row r="11239" spans="2:4" x14ac:dyDescent="0.3">
      <c r="B11239" s="33" t="s">
        <v>30624</v>
      </c>
      <c r="C11239" s="32" t="s">
        <v>30625</v>
      </c>
      <c r="D11239" s="32" t="s">
        <v>30626</v>
      </c>
    </row>
    <row r="11240" spans="2:4" x14ac:dyDescent="0.3">
      <c r="B11240" s="33" t="s">
        <v>30627</v>
      </c>
      <c r="C11240" s="32" t="s">
        <v>30628</v>
      </c>
      <c r="D11240" s="32" t="s">
        <v>30629</v>
      </c>
    </row>
    <row r="11241" spans="2:4" x14ac:dyDescent="0.3">
      <c r="B11241" s="33" t="s">
        <v>30486</v>
      </c>
      <c r="C11241" s="32" t="s">
        <v>37079</v>
      </c>
      <c r="D11241" s="32" t="s">
        <v>37080</v>
      </c>
    </row>
    <row r="11242" spans="2:4" x14ac:dyDescent="0.3">
      <c r="B11242" s="33" t="s">
        <v>30624</v>
      </c>
      <c r="C11242" s="32" t="s">
        <v>30630</v>
      </c>
      <c r="D11242" s="32" t="s">
        <v>30631</v>
      </c>
    </row>
    <row r="11243" spans="2:4" x14ac:dyDescent="0.3">
      <c r="B11243" s="33" t="s">
        <v>30632</v>
      </c>
      <c r="C11243" s="32" t="s">
        <v>30633</v>
      </c>
      <c r="D11243" s="32" t="s">
        <v>30632</v>
      </c>
    </row>
    <row r="11244" spans="2:4" x14ac:dyDescent="0.3">
      <c r="B11244" s="33" t="s">
        <v>4449</v>
      </c>
      <c r="C11244" s="32" t="s">
        <v>30634</v>
      </c>
      <c r="D11244" s="32" t="s">
        <v>30635</v>
      </c>
    </row>
    <row r="11245" spans="2:4" x14ac:dyDescent="0.3">
      <c r="B11245" s="33" t="s">
        <v>30624</v>
      </c>
      <c r="C11245" s="32" t="s">
        <v>30636</v>
      </c>
      <c r="D11245" s="32" t="s">
        <v>30637</v>
      </c>
    </row>
    <row r="11246" spans="2:4" x14ac:dyDescent="0.3">
      <c r="B11246" s="33" t="s">
        <v>13806</v>
      </c>
      <c r="C11246" s="32" t="s">
        <v>30638</v>
      </c>
      <c r="D11246" s="32" t="s">
        <v>30639</v>
      </c>
    </row>
    <row r="11247" spans="2:4" x14ac:dyDescent="0.3">
      <c r="B11247" s="33" t="s">
        <v>28354</v>
      </c>
      <c r="C11247" s="32" t="s">
        <v>30640</v>
      </c>
      <c r="D11247" s="32" t="s">
        <v>30641</v>
      </c>
    </row>
    <row r="11248" spans="2:4" x14ac:dyDescent="0.3">
      <c r="B11248" s="33" t="s">
        <v>30642</v>
      </c>
      <c r="C11248" s="32" t="s">
        <v>30643</v>
      </c>
      <c r="D11248" s="32" t="s">
        <v>30644</v>
      </c>
    </row>
    <row r="11249" spans="2:4" x14ac:dyDescent="0.3">
      <c r="B11249" s="33" t="s">
        <v>30645</v>
      </c>
      <c r="C11249" s="32" t="s">
        <v>30646</v>
      </c>
      <c r="D11249" s="32" t="s">
        <v>30647</v>
      </c>
    </row>
    <row r="11250" spans="2:4" x14ac:dyDescent="0.3">
      <c r="B11250" s="33" t="s">
        <v>30648</v>
      </c>
      <c r="C11250" s="32" t="s">
        <v>30649</v>
      </c>
      <c r="D11250" s="32" t="s">
        <v>30650</v>
      </c>
    </row>
    <row r="11251" spans="2:4" x14ac:dyDescent="0.3">
      <c r="B11251" s="33" t="s">
        <v>30651</v>
      </c>
      <c r="C11251" s="32" t="s">
        <v>30652</v>
      </c>
      <c r="D11251" s="32" t="s">
        <v>30653</v>
      </c>
    </row>
    <row r="11252" spans="2:4" x14ac:dyDescent="0.3">
      <c r="B11252" s="33" t="s">
        <v>30654</v>
      </c>
      <c r="C11252" s="32" t="s">
        <v>30655</v>
      </c>
      <c r="D11252" s="32" t="s">
        <v>30656</v>
      </c>
    </row>
    <row r="11253" spans="2:4" x14ac:dyDescent="0.3">
      <c r="B11253" s="33" t="s">
        <v>30176</v>
      </c>
      <c r="C11253" s="32" t="s">
        <v>30657</v>
      </c>
      <c r="D11253" s="32" t="s">
        <v>30658</v>
      </c>
    </row>
    <row r="11254" spans="2:4" x14ac:dyDescent="0.3">
      <c r="B11254" s="33" t="s">
        <v>30391</v>
      </c>
      <c r="C11254" s="32" t="s">
        <v>30659</v>
      </c>
      <c r="D11254" s="32" t="s">
        <v>30660</v>
      </c>
    </row>
    <row r="11255" spans="2:4" x14ac:dyDescent="0.3">
      <c r="B11255" s="33" t="s">
        <v>30661</v>
      </c>
      <c r="C11255" s="32" t="s">
        <v>30662</v>
      </c>
      <c r="D11255" s="32" t="s">
        <v>30663</v>
      </c>
    </row>
    <row r="11256" spans="2:4" x14ac:dyDescent="0.3">
      <c r="B11256" s="33" t="s">
        <v>30664</v>
      </c>
      <c r="C11256" s="32" t="s">
        <v>30665</v>
      </c>
      <c r="D11256" s="32" t="s">
        <v>30666</v>
      </c>
    </row>
    <row r="11257" spans="2:4" x14ac:dyDescent="0.3">
      <c r="B11257" s="33" t="s">
        <v>30667</v>
      </c>
      <c r="C11257" s="32" t="s">
        <v>30668</v>
      </c>
      <c r="D11257" s="32" t="s">
        <v>30669</v>
      </c>
    </row>
    <row r="11258" spans="2:4" x14ac:dyDescent="0.3">
      <c r="B11258" s="33" t="s">
        <v>30465</v>
      </c>
      <c r="C11258" s="32" t="s">
        <v>30670</v>
      </c>
      <c r="D11258" s="32" t="s">
        <v>30671</v>
      </c>
    </row>
    <row r="11259" spans="2:4" x14ac:dyDescent="0.3">
      <c r="B11259" s="33" t="s">
        <v>30672</v>
      </c>
      <c r="C11259" s="32" t="s">
        <v>30673</v>
      </c>
      <c r="D11259" s="32" t="s">
        <v>30674</v>
      </c>
    </row>
    <row r="11260" spans="2:4" x14ac:dyDescent="0.3">
      <c r="B11260" s="33" t="s">
        <v>30651</v>
      </c>
      <c r="C11260" s="32" t="s">
        <v>30675</v>
      </c>
      <c r="D11260" s="32" t="s">
        <v>30676</v>
      </c>
    </row>
    <row r="11261" spans="2:4" x14ac:dyDescent="0.3">
      <c r="B11261" s="33" t="s">
        <v>30677</v>
      </c>
      <c r="C11261" s="32" t="s">
        <v>30678</v>
      </c>
      <c r="D11261" s="32" t="s">
        <v>30679</v>
      </c>
    </row>
    <row r="11262" spans="2:4" x14ac:dyDescent="0.3">
      <c r="B11262" s="33" t="s">
        <v>30677</v>
      </c>
      <c r="C11262" s="32" t="s">
        <v>30680</v>
      </c>
      <c r="D11262" s="32" t="s">
        <v>30681</v>
      </c>
    </row>
    <row r="11263" spans="2:4" x14ac:dyDescent="0.3">
      <c r="B11263" s="33" t="s">
        <v>1999</v>
      </c>
      <c r="C11263" s="32" t="s">
        <v>30682</v>
      </c>
      <c r="D11263" s="32" t="s">
        <v>37352</v>
      </c>
    </row>
    <row r="11264" spans="2:4" x14ac:dyDescent="0.3">
      <c r="B11264" s="33" t="s">
        <v>30683</v>
      </c>
      <c r="C11264" s="32" t="s">
        <v>30684</v>
      </c>
      <c r="D11264" s="32" t="s">
        <v>30685</v>
      </c>
    </row>
    <row r="11265" spans="2:4" x14ac:dyDescent="0.3">
      <c r="B11265" s="33" t="s">
        <v>30686</v>
      </c>
      <c r="C11265" s="32" t="s">
        <v>30687</v>
      </c>
      <c r="D11265" s="32" t="s">
        <v>30688</v>
      </c>
    </row>
    <row r="11266" spans="2:4" x14ac:dyDescent="0.3">
      <c r="B11266" s="33" t="s">
        <v>30689</v>
      </c>
      <c r="C11266" s="32" t="s">
        <v>30690</v>
      </c>
      <c r="D11266" s="32" t="s">
        <v>37353</v>
      </c>
    </row>
    <row r="11267" spans="2:4" x14ac:dyDescent="0.3">
      <c r="B11267" s="33" t="s">
        <v>30691</v>
      </c>
      <c r="C11267" s="32" t="s">
        <v>30692</v>
      </c>
      <c r="D11267" s="32" t="s">
        <v>30693</v>
      </c>
    </row>
    <row r="11268" spans="2:4" x14ac:dyDescent="0.3">
      <c r="B11268" s="33" t="s">
        <v>30694</v>
      </c>
      <c r="C11268" s="32" t="s">
        <v>30695</v>
      </c>
      <c r="D11268" s="32" t="s">
        <v>30696</v>
      </c>
    </row>
    <row r="11269" spans="2:4" x14ac:dyDescent="0.3">
      <c r="B11269" s="33" t="s">
        <v>30697</v>
      </c>
      <c r="C11269" s="32" t="s">
        <v>30698</v>
      </c>
      <c r="D11269" s="32" t="s">
        <v>30699</v>
      </c>
    </row>
    <row r="11270" spans="2:4" x14ac:dyDescent="0.3">
      <c r="B11270" s="33" t="s">
        <v>30700</v>
      </c>
      <c r="C11270" s="32" t="s">
        <v>30701</v>
      </c>
      <c r="D11270" s="32" t="s">
        <v>30702</v>
      </c>
    </row>
    <row r="11271" spans="2:4" x14ac:dyDescent="0.3">
      <c r="B11271" s="33" t="s">
        <v>30703</v>
      </c>
      <c r="C11271" s="32" t="s">
        <v>30704</v>
      </c>
      <c r="D11271" s="32" t="s">
        <v>30705</v>
      </c>
    </row>
    <row r="11272" spans="2:4" x14ac:dyDescent="0.3">
      <c r="B11272" s="33" t="s">
        <v>30706</v>
      </c>
      <c r="C11272" s="32" t="s">
        <v>30707</v>
      </c>
      <c r="D11272" s="32" t="s">
        <v>30708</v>
      </c>
    </row>
    <row r="11273" spans="2:4" x14ac:dyDescent="0.3">
      <c r="B11273" s="33" t="s">
        <v>30709</v>
      </c>
      <c r="C11273" s="32" t="s">
        <v>30710</v>
      </c>
      <c r="D11273" s="32" t="s">
        <v>30711</v>
      </c>
    </row>
    <row r="11274" spans="2:4" x14ac:dyDescent="0.3">
      <c r="B11274" s="33" t="s">
        <v>30712</v>
      </c>
      <c r="C11274" s="32" t="s">
        <v>30713</v>
      </c>
      <c r="D11274" s="32" t="s">
        <v>30714</v>
      </c>
    </row>
    <row r="11275" spans="2:4" x14ac:dyDescent="0.3">
      <c r="B11275" s="33" t="s">
        <v>5309</v>
      </c>
      <c r="C11275" s="32" t="s">
        <v>30715</v>
      </c>
      <c r="D11275" s="32" t="s">
        <v>30716</v>
      </c>
    </row>
    <row r="11276" spans="2:4" x14ac:dyDescent="0.3">
      <c r="B11276" s="33" t="s">
        <v>30717</v>
      </c>
      <c r="C11276" s="32" t="s">
        <v>30718</v>
      </c>
      <c r="D11276" s="32" t="s">
        <v>30719</v>
      </c>
    </row>
    <row r="11277" spans="2:4" x14ac:dyDescent="0.3">
      <c r="B11277" s="33" t="s">
        <v>30720</v>
      </c>
      <c r="C11277" s="32" t="s">
        <v>30721</v>
      </c>
      <c r="D11277" s="32" t="s">
        <v>30722</v>
      </c>
    </row>
    <row r="11278" spans="2:4" x14ac:dyDescent="0.3">
      <c r="B11278" s="33" t="s">
        <v>30723</v>
      </c>
      <c r="C11278" s="32" t="s">
        <v>30724</v>
      </c>
      <c r="D11278" s="32" t="s">
        <v>30723</v>
      </c>
    </row>
    <row r="11279" spans="2:4" x14ac:dyDescent="0.3">
      <c r="B11279" s="33" t="s">
        <v>30725</v>
      </c>
      <c r="C11279" s="32" t="s">
        <v>30726</v>
      </c>
      <c r="D11279" s="32" t="s">
        <v>30727</v>
      </c>
    </row>
    <row r="11280" spans="2:4" x14ac:dyDescent="0.3">
      <c r="B11280" s="33" t="s">
        <v>30728</v>
      </c>
      <c r="C11280" s="32" t="s">
        <v>30729</v>
      </c>
      <c r="D11280" s="32" t="s">
        <v>30730</v>
      </c>
    </row>
    <row r="11281" spans="2:4" x14ac:dyDescent="0.3">
      <c r="B11281" s="33" t="s">
        <v>30731</v>
      </c>
      <c r="C11281" s="32" t="s">
        <v>30732</v>
      </c>
      <c r="D11281" s="32" t="s">
        <v>30733</v>
      </c>
    </row>
    <row r="11282" spans="2:4" x14ac:dyDescent="0.3">
      <c r="B11282" s="33" t="s">
        <v>30734</v>
      </c>
      <c r="C11282" s="32" t="s">
        <v>30735</v>
      </c>
      <c r="D11282" s="32" t="s">
        <v>30736</v>
      </c>
    </row>
    <row r="11283" spans="2:4" x14ac:dyDescent="0.3">
      <c r="B11283" s="33" t="s">
        <v>16714</v>
      </c>
      <c r="C11283" s="32" t="s">
        <v>30737</v>
      </c>
      <c r="D11283" s="32" t="s">
        <v>30738</v>
      </c>
    </row>
    <row r="11284" spans="2:4" x14ac:dyDescent="0.3">
      <c r="B11284" s="33" t="s">
        <v>30739</v>
      </c>
      <c r="C11284" s="32" t="s">
        <v>30740</v>
      </c>
      <c r="D11284" s="32" t="s">
        <v>30741</v>
      </c>
    </row>
    <row r="11285" spans="2:4" x14ac:dyDescent="0.3">
      <c r="B11285" s="33" t="s">
        <v>9238</v>
      </c>
      <c r="C11285" s="32" t="s">
        <v>30742</v>
      </c>
      <c r="D11285" s="32" t="s">
        <v>30743</v>
      </c>
    </row>
    <row r="11286" spans="2:4" x14ac:dyDescent="0.3">
      <c r="B11286" s="33" t="s">
        <v>30744</v>
      </c>
      <c r="C11286" s="32" t="s">
        <v>30745</v>
      </c>
      <c r="D11286" s="32" t="s">
        <v>30746</v>
      </c>
    </row>
    <row r="11287" spans="2:4" x14ac:dyDescent="0.3">
      <c r="B11287" s="33" t="s">
        <v>30747</v>
      </c>
      <c r="C11287" s="32" t="s">
        <v>30748</v>
      </c>
      <c r="D11287" s="32" t="s">
        <v>30749</v>
      </c>
    </row>
    <row r="11288" spans="2:4" x14ac:dyDescent="0.3">
      <c r="B11288" s="33" t="s">
        <v>30750</v>
      </c>
      <c r="C11288" s="32" t="s">
        <v>30751</v>
      </c>
      <c r="D11288" s="32" t="s">
        <v>30750</v>
      </c>
    </row>
    <row r="11289" spans="2:4" x14ac:dyDescent="0.3">
      <c r="B11289" s="33" t="s">
        <v>30752</v>
      </c>
      <c r="C11289" s="32" t="s">
        <v>30753</v>
      </c>
      <c r="D11289" s="32" t="s">
        <v>30754</v>
      </c>
    </row>
    <row r="11290" spans="2:4" x14ac:dyDescent="0.3">
      <c r="B11290" s="33" t="s">
        <v>37354</v>
      </c>
      <c r="C11290" s="32" t="s">
        <v>37355</v>
      </c>
      <c r="D11290" s="32" t="s">
        <v>37356</v>
      </c>
    </row>
    <row r="11291" spans="2:4" x14ac:dyDescent="0.3">
      <c r="B11291" s="33" t="s">
        <v>30755</v>
      </c>
      <c r="C11291" s="32" t="s">
        <v>30756</v>
      </c>
      <c r="D11291" s="32" t="s">
        <v>30757</v>
      </c>
    </row>
    <row r="11292" spans="2:4" x14ac:dyDescent="0.3">
      <c r="B11292" s="33" t="s">
        <v>30758</v>
      </c>
      <c r="C11292" s="32" t="s">
        <v>30759</v>
      </c>
      <c r="D11292" s="32" t="s">
        <v>30760</v>
      </c>
    </row>
    <row r="11293" spans="2:4" x14ac:dyDescent="0.3">
      <c r="B11293" s="33" t="s">
        <v>30761</v>
      </c>
      <c r="C11293" s="32" t="s">
        <v>30762</v>
      </c>
      <c r="D11293" s="32" t="s">
        <v>30763</v>
      </c>
    </row>
    <row r="11294" spans="2:4" x14ac:dyDescent="0.3">
      <c r="B11294" s="33" t="s">
        <v>30761</v>
      </c>
      <c r="C11294" s="32" t="s">
        <v>30764</v>
      </c>
      <c r="D11294" s="32" t="s">
        <v>30765</v>
      </c>
    </row>
    <row r="11295" spans="2:4" x14ac:dyDescent="0.3">
      <c r="B11295" s="33" t="s">
        <v>30766</v>
      </c>
      <c r="C11295" s="32" t="s">
        <v>30767</v>
      </c>
      <c r="D11295" s="32" t="s">
        <v>30768</v>
      </c>
    </row>
    <row r="11296" spans="2:4" x14ac:dyDescent="0.3">
      <c r="B11296" s="33" t="s">
        <v>30761</v>
      </c>
      <c r="C11296" s="32" t="s">
        <v>30769</v>
      </c>
      <c r="D11296" s="32" t="s">
        <v>30770</v>
      </c>
    </row>
    <row r="11297" spans="2:4" x14ac:dyDescent="0.3">
      <c r="B11297" s="33" t="s">
        <v>30771</v>
      </c>
      <c r="C11297" s="32" t="s">
        <v>30772</v>
      </c>
      <c r="D11297" s="32" t="s">
        <v>30773</v>
      </c>
    </row>
    <row r="11298" spans="2:4" x14ac:dyDescent="0.3">
      <c r="B11298" s="33" t="s">
        <v>30774</v>
      </c>
      <c r="C11298" s="32" t="s">
        <v>30775</v>
      </c>
      <c r="D11298" s="32" t="s">
        <v>30776</v>
      </c>
    </row>
    <row r="11299" spans="2:4" x14ac:dyDescent="0.3">
      <c r="B11299" s="33" t="s">
        <v>651</v>
      </c>
      <c r="C11299" s="32" t="s">
        <v>30777</v>
      </c>
      <c r="D11299" s="32" t="s">
        <v>30778</v>
      </c>
    </row>
    <row r="11300" spans="2:4" x14ac:dyDescent="0.3">
      <c r="B11300" s="33" t="s">
        <v>30779</v>
      </c>
      <c r="C11300" s="32" t="s">
        <v>30780</v>
      </c>
      <c r="D11300" s="32" t="s">
        <v>30781</v>
      </c>
    </row>
    <row r="11301" spans="2:4" x14ac:dyDescent="0.3">
      <c r="B11301" s="33" t="s">
        <v>30782</v>
      </c>
      <c r="C11301" s="32" t="s">
        <v>30783</v>
      </c>
      <c r="D11301" s="32" t="s">
        <v>30784</v>
      </c>
    </row>
    <row r="11302" spans="2:4" x14ac:dyDescent="0.3">
      <c r="B11302" s="33" t="s">
        <v>30785</v>
      </c>
      <c r="C11302" s="32" t="s">
        <v>30786</v>
      </c>
      <c r="D11302" s="32" t="s">
        <v>30787</v>
      </c>
    </row>
    <row r="11303" spans="2:4" x14ac:dyDescent="0.3">
      <c r="B11303" s="33" t="s">
        <v>30788</v>
      </c>
      <c r="C11303" s="32" t="s">
        <v>30789</v>
      </c>
      <c r="D11303" s="32" t="s">
        <v>30790</v>
      </c>
    </row>
    <row r="11304" spans="2:4" x14ac:dyDescent="0.3">
      <c r="B11304" s="33" t="s">
        <v>30791</v>
      </c>
      <c r="C11304" s="32" t="s">
        <v>30792</v>
      </c>
      <c r="D11304" s="32" t="s">
        <v>37357</v>
      </c>
    </row>
    <row r="11305" spans="2:4" x14ac:dyDescent="0.3">
      <c r="B11305" s="33" t="s">
        <v>30793</v>
      </c>
      <c r="C11305" s="32" t="s">
        <v>30794</v>
      </c>
      <c r="D11305" s="32" t="s">
        <v>30795</v>
      </c>
    </row>
    <row r="11306" spans="2:4" x14ac:dyDescent="0.3">
      <c r="B11306" s="33" t="s">
        <v>27842</v>
      </c>
      <c r="C11306" s="32" t="s">
        <v>30796</v>
      </c>
      <c r="D11306" s="32" t="s">
        <v>30797</v>
      </c>
    </row>
    <row r="11307" spans="2:4" x14ac:dyDescent="0.3">
      <c r="B11307" s="33" t="s">
        <v>30798</v>
      </c>
      <c r="C11307" s="32" t="s">
        <v>30799</v>
      </c>
      <c r="D11307" s="32" t="s">
        <v>30800</v>
      </c>
    </row>
    <row r="11308" spans="2:4" x14ac:dyDescent="0.3">
      <c r="B11308" s="33" t="s">
        <v>30486</v>
      </c>
      <c r="C11308" s="32" t="s">
        <v>30801</v>
      </c>
      <c r="D11308" s="32" t="s">
        <v>30802</v>
      </c>
    </row>
    <row r="11309" spans="2:4" x14ac:dyDescent="0.3">
      <c r="B11309" s="33" t="s">
        <v>30803</v>
      </c>
      <c r="C11309" s="32" t="s">
        <v>30804</v>
      </c>
      <c r="D11309" s="32" t="s">
        <v>30805</v>
      </c>
    </row>
    <row r="11310" spans="2:4" x14ac:dyDescent="0.3">
      <c r="B11310" s="33" t="s">
        <v>30806</v>
      </c>
      <c r="C11310" s="32" t="s">
        <v>30807</v>
      </c>
      <c r="D11310" s="32" t="s">
        <v>30808</v>
      </c>
    </row>
    <row r="11311" spans="2:4" x14ac:dyDescent="0.3">
      <c r="B11311" s="33" t="s">
        <v>29836</v>
      </c>
      <c r="C11311" s="32" t="s">
        <v>30809</v>
      </c>
      <c r="D11311" s="32" t="s">
        <v>30810</v>
      </c>
    </row>
    <row r="11312" spans="2:4" x14ac:dyDescent="0.3">
      <c r="B11312" s="33" t="s">
        <v>30811</v>
      </c>
      <c r="C11312" s="32" t="s">
        <v>30812</v>
      </c>
      <c r="D11312" s="32" t="s">
        <v>30813</v>
      </c>
    </row>
    <row r="11313" spans="2:4" x14ac:dyDescent="0.3">
      <c r="B11313" s="33" t="s">
        <v>30814</v>
      </c>
      <c r="C11313" s="32" t="s">
        <v>30815</v>
      </c>
      <c r="D11313" s="32" t="s">
        <v>30816</v>
      </c>
    </row>
    <row r="11314" spans="2:4" x14ac:dyDescent="0.3">
      <c r="B11314" s="33" t="s">
        <v>30811</v>
      </c>
      <c r="C11314" s="32" t="s">
        <v>30817</v>
      </c>
      <c r="D11314" s="32" t="s">
        <v>30818</v>
      </c>
    </row>
    <row r="11315" spans="2:4" x14ac:dyDescent="0.3">
      <c r="B11315" s="33" t="s">
        <v>30819</v>
      </c>
      <c r="C11315" s="32" t="s">
        <v>30820</v>
      </c>
      <c r="D11315" s="32" t="s">
        <v>30821</v>
      </c>
    </row>
    <row r="11316" spans="2:4" x14ac:dyDescent="0.3">
      <c r="B11316" s="33" t="s">
        <v>30822</v>
      </c>
      <c r="C11316" s="32" t="s">
        <v>30823</v>
      </c>
      <c r="D11316" s="32" t="s">
        <v>30824</v>
      </c>
    </row>
    <row r="11317" spans="2:4" x14ac:dyDescent="0.3">
      <c r="B11317" s="33" t="s">
        <v>30825</v>
      </c>
      <c r="C11317" s="32" t="s">
        <v>30826</v>
      </c>
      <c r="D11317" s="32" t="s">
        <v>30827</v>
      </c>
    </row>
    <row r="11318" spans="2:4" x14ac:dyDescent="0.3">
      <c r="B11318" s="33" t="s">
        <v>30828</v>
      </c>
      <c r="C11318" s="32" t="s">
        <v>30829</v>
      </c>
      <c r="D11318" s="32" t="s">
        <v>30830</v>
      </c>
    </row>
    <row r="11319" spans="2:4" x14ac:dyDescent="0.3">
      <c r="B11319" s="33" t="s">
        <v>30831</v>
      </c>
      <c r="C11319" s="32" t="s">
        <v>30832</v>
      </c>
      <c r="D11319" s="32" t="s">
        <v>30833</v>
      </c>
    </row>
    <row r="11320" spans="2:4" x14ac:dyDescent="0.3">
      <c r="B11320" s="33" t="s">
        <v>30834</v>
      </c>
      <c r="C11320" s="32" t="s">
        <v>30835</v>
      </c>
      <c r="D11320" s="32" t="s">
        <v>30836</v>
      </c>
    </row>
    <row r="11321" spans="2:4" x14ac:dyDescent="0.3">
      <c r="B11321" s="33" t="s">
        <v>30837</v>
      </c>
      <c r="C11321" s="32" t="s">
        <v>30838</v>
      </c>
      <c r="D11321" s="32" t="s">
        <v>30839</v>
      </c>
    </row>
    <row r="11322" spans="2:4" x14ac:dyDescent="0.3">
      <c r="B11322" s="33" t="s">
        <v>8405</v>
      </c>
      <c r="C11322" s="32" t="s">
        <v>30840</v>
      </c>
      <c r="D11322" s="32" t="s">
        <v>30841</v>
      </c>
    </row>
    <row r="11323" spans="2:4" x14ac:dyDescent="0.3">
      <c r="B11323" s="33" t="s">
        <v>30842</v>
      </c>
      <c r="C11323" s="32" t="s">
        <v>30843</v>
      </c>
      <c r="D11323" s="32" t="s">
        <v>30844</v>
      </c>
    </row>
    <row r="11324" spans="2:4" x14ac:dyDescent="0.3">
      <c r="B11324" s="33" t="s">
        <v>30845</v>
      </c>
      <c r="C11324" s="32" t="s">
        <v>30846</v>
      </c>
      <c r="D11324" s="32" t="s">
        <v>30845</v>
      </c>
    </row>
    <row r="11325" spans="2:4" x14ac:dyDescent="0.3">
      <c r="B11325" s="33" t="s">
        <v>30847</v>
      </c>
      <c r="C11325" s="32" t="s">
        <v>30848</v>
      </c>
      <c r="D11325" s="32" t="s">
        <v>30849</v>
      </c>
    </row>
    <row r="11326" spans="2:4" x14ac:dyDescent="0.3">
      <c r="B11326" s="33" t="s">
        <v>30850</v>
      </c>
      <c r="C11326" s="32" t="s">
        <v>30851</v>
      </c>
      <c r="D11326" s="32" t="s">
        <v>30852</v>
      </c>
    </row>
    <row r="11327" spans="2:4" x14ac:dyDescent="0.3">
      <c r="B11327" s="33" t="s">
        <v>30853</v>
      </c>
      <c r="C11327" s="32" t="s">
        <v>30854</v>
      </c>
      <c r="D11327" s="32" t="s">
        <v>30855</v>
      </c>
    </row>
    <row r="11328" spans="2:4" x14ac:dyDescent="0.3">
      <c r="B11328" s="33" t="s">
        <v>30853</v>
      </c>
      <c r="C11328" s="32" t="s">
        <v>30856</v>
      </c>
      <c r="D11328" s="32" t="s">
        <v>30857</v>
      </c>
    </row>
    <row r="11329" spans="2:4" x14ac:dyDescent="0.3">
      <c r="B11329" s="33" t="s">
        <v>30858</v>
      </c>
      <c r="C11329" s="32" t="s">
        <v>30859</v>
      </c>
      <c r="D11329" s="32" t="s">
        <v>30860</v>
      </c>
    </row>
    <row r="11330" spans="2:4" x14ac:dyDescent="0.3">
      <c r="B11330" s="33" t="s">
        <v>30861</v>
      </c>
      <c r="C11330" s="32" t="s">
        <v>30862</v>
      </c>
      <c r="D11330" s="32" t="s">
        <v>30863</v>
      </c>
    </row>
    <row r="11331" spans="2:4" x14ac:dyDescent="0.3">
      <c r="B11331" s="33" t="s">
        <v>30847</v>
      </c>
      <c r="C11331" s="32" t="s">
        <v>30864</v>
      </c>
      <c r="D11331" s="32" t="s">
        <v>30865</v>
      </c>
    </row>
    <row r="11332" spans="2:4" x14ac:dyDescent="0.3">
      <c r="B11332" s="33" t="s">
        <v>3364</v>
      </c>
      <c r="C11332" s="32" t="s">
        <v>30866</v>
      </c>
      <c r="D11332" s="32" t="s">
        <v>3364</v>
      </c>
    </row>
    <row r="11333" spans="2:4" x14ac:dyDescent="0.3">
      <c r="B11333" s="33" t="s">
        <v>30867</v>
      </c>
      <c r="C11333" s="32" t="s">
        <v>30868</v>
      </c>
      <c r="D11333" s="32" t="s">
        <v>30869</v>
      </c>
    </row>
    <row r="11334" spans="2:4" x14ac:dyDescent="0.3">
      <c r="B11334" s="33" t="s">
        <v>30870</v>
      </c>
      <c r="C11334" s="32" t="s">
        <v>30871</v>
      </c>
      <c r="D11334" s="32" t="s">
        <v>30872</v>
      </c>
    </row>
    <row r="11335" spans="2:4" x14ac:dyDescent="0.3">
      <c r="B11335" s="33" t="s">
        <v>30873</v>
      </c>
      <c r="C11335" s="32" t="s">
        <v>30874</v>
      </c>
      <c r="D11335" s="32" t="s">
        <v>30875</v>
      </c>
    </row>
    <row r="11336" spans="2:4" x14ac:dyDescent="0.3">
      <c r="B11336" s="33" t="s">
        <v>30876</v>
      </c>
      <c r="C11336" s="32" t="s">
        <v>30877</v>
      </c>
      <c r="D11336" s="32" t="s">
        <v>30878</v>
      </c>
    </row>
    <row r="11337" spans="2:4" x14ac:dyDescent="0.3">
      <c r="B11337" s="33" t="s">
        <v>28844</v>
      </c>
      <c r="C11337" s="32" t="s">
        <v>30879</v>
      </c>
      <c r="D11337" s="32" t="s">
        <v>30880</v>
      </c>
    </row>
    <row r="11338" spans="2:4" x14ac:dyDescent="0.3">
      <c r="B11338" s="33" t="s">
        <v>30881</v>
      </c>
      <c r="C11338" s="32" t="s">
        <v>30882</v>
      </c>
      <c r="D11338" s="32" t="s">
        <v>30883</v>
      </c>
    </row>
    <row r="11339" spans="2:4" x14ac:dyDescent="0.3">
      <c r="B11339" s="33" t="s">
        <v>30884</v>
      </c>
      <c r="C11339" s="32" t="s">
        <v>30885</v>
      </c>
      <c r="D11339" s="32" t="s">
        <v>30886</v>
      </c>
    </row>
    <row r="11340" spans="2:4" x14ac:dyDescent="0.3">
      <c r="B11340" s="33" t="s">
        <v>30887</v>
      </c>
      <c r="C11340" s="32" t="s">
        <v>30888</v>
      </c>
      <c r="D11340" s="32" t="s">
        <v>30889</v>
      </c>
    </row>
    <row r="11341" spans="2:4" x14ac:dyDescent="0.3">
      <c r="B11341" s="33" t="s">
        <v>30890</v>
      </c>
      <c r="C11341" s="32" t="s">
        <v>30891</v>
      </c>
      <c r="D11341" s="32" t="s">
        <v>30892</v>
      </c>
    </row>
    <row r="11342" spans="2:4" x14ac:dyDescent="0.3">
      <c r="B11342" s="33" t="s">
        <v>3364</v>
      </c>
      <c r="C11342" s="32" t="s">
        <v>30893</v>
      </c>
      <c r="D11342" s="32" t="s">
        <v>30894</v>
      </c>
    </row>
    <row r="11343" spans="2:4" x14ac:dyDescent="0.3">
      <c r="B11343" s="33" t="s">
        <v>30895</v>
      </c>
      <c r="C11343" s="32" t="s">
        <v>30896</v>
      </c>
      <c r="D11343" s="32" t="s">
        <v>30897</v>
      </c>
    </row>
    <row r="11344" spans="2:4" x14ac:dyDescent="0.3">
      <c r="B11344" s="33" t="s">
        <v>30898</v>
      </c>
      <c r="C11344" s="32" t="s">
        <v>30899</v>
      </c>
      <c r="D11344" s="32" t="s">
        <v>30900</v>
      </c>
    </row>
    <row r="11345" spans="2:4" x14ac:dyDescent="0.3">
      <c r="B11345" s="33" t="s">
        <v>30901</v>
      </c>
      <c r="C11345" s="32" t="s">
        <v>30902</v>
      </c>
      <c r="D11345" s="32" t="s">
        <v>30903</v>
      </c>
    </row>
    <row r="11346" spans="2:4" x14ac:dyDescent="0.3">
      <c r="B11346" s="33" t="s">
        <v>30904</v>
      </c>
      <c r="C11346" s="32" t="s">
        <v>30905</v>
      </c>
      <c r="D11346" s="32" t="s">
        <v>30906</v>
      </c>
    </row>
    <row r="11347" spans="2:4" x14ac:dyDescent="0.3">
      <c r="B11347" s="33" t="s">
        <v>30907</v>
      </c>
      <c r="C11347" s="32" t="s">
        <v>30908</v>
      </c>
      <c r="D11347" s="32" t="s">
        <v>30909</v>
      </c>
    </row>
    <row r="11348" spans="2:4" x14ac:dyDescent="0.3">
      <c r="B11348" s="33" t="s">
        <v>30910</v>
      </c>
      <c r="C11348" s="32" t="s">
        <v>30911</v>
      </c>
      <c r="D11348" s="32" t="s">
        <v>30912</v>
      </c>
    </row>
    <row r="11349" spans="2:4" x14ac:dyDescent="0.3">
      <c r="B11349" s="33" t="s">
        <v>10782</v>
      </c>
      <c r="C11349" s="32" t="s">
        <v>30913</v>
      </c>
      <c r="D11349" s="32" t="s">
        <v>30914</v>
      </c>
    </row>
    <row r="11350" spans="2:4" x14ac:dyDescent="0.3">
      <c r="B11350" s="33" t="s">
        <v>30915</v>
      </c>
      <c r="C11350" s="32" t="s">
        <v>30916</v>
      </c>
      <c r="D11350" s="32" t="s">
        <v>30917</v>
      </c>
    </row>
    <row r="11351" spans="2:4" x14ac:dyDescent="0.3">
      <c r="B11351" s="33" t="s">
        <v>30918</v>
      </c>
      <c r="C11351" s="32" t="s">
        <v>30919</v>
      </c>
      <c r="D11351" s="32" t="s">
        <v>30920</v>
      </c>
    </row>
    <row r="11352" spans="2:4" x14ac:dyDescent="0.3">
      <c r="B11352" s="33" t="s">
        <v>30921</v>
      </c>
      <c r="C11352" s="32" t="s">
        <v>30922</v>
      </c>
      <c r="D11352" s="32" t="s">
        <v>30923</v>
      </c>
    </row>
    <row r="11353" spans="2:4" x14ac:dyDescent="0.3">
      <c r="B11353" s="33" t="s">
        <v>30921</v>
      </c>
      <c r="C11353" s="32" t="s">
        <v>30924</v>
      </c>
      <c r="D11353" s="32" t="s">
        <v>30925</v>
      </c>
    </row>
    <row r="11354" spans="2:4" x14ac:dyDescent="0.3">
      <c r="B11354" s="33" t="s">
        <v>30926</v>
      </c>
      <c r="C11354" s="32" t="s">
        <v>30927</v>
      </c>
      <c r="D11354" s="32" t="s">
        <v>30928</v>
      </c>
    </row>
    <row r="11355" spans="2:4" x14ac:dyDescent="0.3">
      <c r="B11355" s="33" t="s">
        <v>30929</v>
      </c>
      <c r="C11355" s="32" t="s">
        <v>30930</v>
      </c>
      <c r="D11355" s="32" t="s">
        <v>30931</v>
      </c>
    </row>
    <row r="11356" spans="2:4" x14ac:dyDescent="0.3">
      <c r="B11356" s="33" t="s">
        <v>30921</v>
      </c>
      <c r="C11356" s="32" t="s">
        <v>30932</v>
      </c>
      <c r="D11356" s="32" t="s">
        <v>30933</v>
      </c>
    </row>
    <row r="11357" spans="2:4" x14ac:dyDescent="0.3">
      <c r="B11357" s="33" t="s">
        <v>30934</v>
      </c>
      <c r="C11357" s="32" t="s">
        <v>30935</v>
      </c>
      <c r="D11357" s="32" t="s">
        <v>30936</v>
      </c>
    </row>
    <row r="11358" spans="2:4" x14ac:dyDescent="0.3">
      <c r="B11358" s="33" t="s">
        <v>30045</v>
      </c>
      <c r="C11358" s="32" t="s">
        <v>30937</v>
      </c>
      <c r="D11358" s="32" t="s">
        <v>30938</v>
      </c>
    </row>
    <row r="11359" spans="2:4" x14ac:dyDescent="0.3">
      <c r="B11359" s="33" t="s">
        <v>28856</v>
      </c>
      <c r="C11359" s="32" t="s">
        <v>30939</v>
      </c>
      <c r="D11359" s="32" t="s">
        <v>30940</v>
      </c>
    </row>
    <row r="11360" spans="2:4" x14ac:dyDescent="0.3">
      <c r="B11360" s="33" t="s">
        <v>27954</v>
      </c>
      <c r="C11360" s="32" t="s">
        <v>30941</v>
      </c>
      <c r="D11360" s="32" t="s">
        <v>30942</v>
      </c>
    </row>
    <row r="11361" spans="2:4" x14ac:dyDescent="0.3">
      <c r="B11361" s="33" t="s">
        <v>30943</v>
      </c>
      <c r="C11361" s="32" t="s">
        <v>30944</v>
      </c>
      <c r="D11361" s="32" t="s">
        <v>30945</v>
      </c>
    </row>
    <row r="11362" spans="2:4" x14ac:dyDescent="0.3">
      <c r="B11362" s="33" t="s">
        <v>30946</v>
      </c>
      <c r="C11362" s="32" t="s">
        <v>30947</v>
      </c>
      <c r="D11362" s="32" t="s">
        <v>30948</v>
      </c>
    </row>
    <row r="11363" spans="2:4" x14ac:dyDescent="0.3">
      <c r="B11363" s="33" t="s">
        <v>30949</v>
      </c>
      <c r="C11363" s="32" t="s">
        <v>30950</v>
      </c>
      <c r="D11363" s="32" t="s">
        <v>30951</v>
      </c>
    </row>
    <row r="11364" spans="2:4" x14ac:dyDescent="0.3">
      <c r="B11364" s="33" t="s">
        <v>28545</v>
      </c>
      <c r="C11364" s="32" t="s">
        <v>30952</v>
      </c>
      <c r="D11364" s="32" t="s">
        <v>30953</v>
      </c>
    </row>
    <row r="11365" spans="2:4" x14ac:dyDescent="0.3">
      <c r="B11365" s="33" t="s">
        <v>15816</v>
      </c>
      <c r="C11365" s="32" t="s">
        <v>30954</v>
      </c>
      <c r="D11365" s="32" t="s">
        <v>30955</v>
      </c>
    </row>
    <row r="11366" spans="2:4" x14ac:dyDescent="0.3">
      <c r="B11366" s="33" t="s">
        <v>26591</v>
      </c>
      <c r="C11366" s="32" t="s">
        <v>30956</v>
      </c>
      <c r="D11366" s="32" t="s">
        <v>30957</v>
      </c>
    </row>
    <row r="11367" spans="2:4" x14ac:dyDescent="0.3">
      <c r="B11367" s="33" t="s">
        <v>37358</v>
      </c>
      <c r="C11367" s="32" t="s">
        <v>37359</v>
      </c>
      <c r="D11367" s="32" t="s">
        <v>37360</v>
      </c>
    </row>
    <row r="11368" spans="2:4" x14ac:dyDescent="0.3">
      <c r="B11368" s="33" t="s">
        <v>30958</v>
      </c>
      <c r="C11368" s="32" t="s">
        <v>30959</v>
      </c>
      <c r="D11368" s="32" t="s">
        <v>30960</v>
      </c>
    </row>
    <row r="11369" spans="2:4" x14ac:dyDescent="0.3">
      <c r="B11369" s="33" t="s">
        <v>30961</v>
      </c>
      <c r="C11369" s="32" t="s">
        <v>30962</v>
      </c>
      <c r="D11369" s="32" t="s">
        <v>30963</v>
      </c>
    </row>
    <row r="11370" spans="2:4" x14ac:dyDescent="0.3">
      <c r="B11370" s="33" t="s">
        <v>30961</v>
      </c>
      <c r="C11370" s="32" t="s">
        <v>30964</v>
      </c>
      <c r="D11370" s="32" t="s">
        <v>30965</v>
      </c>
    </row>
    <row r="11371" spans="2:4" x14ac:dyDescent="0.3">
      <c r="B11371" s="33" t="s">
        <v>30966</v>
      </c>
      <c r="C11371" s="32" t="s">
        <v>30967</v>
      </c>
      <c r="D11371" s="32" t="s">
        <v>30968</v>
      </c>
    </row>
    <row r="11372" spans="2:4" x14ac:dyDescent="0.3">
      <c r="B11372" s="33" t="s">
        <v>30969</v>
      </c>
      <c r="C11372" s="32" t="s">
        <v>30970</v>
      </c>
      <c r="D11372" s="32" t="s">
        <v>30971</v>
      </c>
    </row>
    <row r="11373" spans="2:4" x14ac:dyDescent="0.3">
      <c r="B11373" s="33" t="s">
        <v>30972</v>
      </c>
      <c r="C11373" s="32" t="s">
        <v>30973</v>
      </c>
      <c r="D11373" s="32" t="s">
        <v>36892</v>
      </c>
    </row>
    <row r="11374" spans="2:4" x14ac:dyDescent="0.3">
      <c r="B11374" s="33" t="s">
        <v>30974</v>
      </c>
      <c r="C11374" s="32" t="s">
        <v>30975</v>
      </c>
      <c r="D11374" s="32" t="s">
        <v>30976</v>
      </c>
    </row>
    <row r="11375" spans="2:4" x14ac:dyDescent="0.3">
      <c r="B11375" s="33" t="s">
        <v>30977</v>
      </c>
      <c r="C11375" s="32" t="s">
        <v>30978</v>
      </c>
      <c r="D11375" s="32" t="s">
        <v>30977</v>
      </c>
    </row>
    <row r="11376" spans="2:4" x14ac:dyDescent="0.3">
      <c r="B11376" s="33" t="s">
        <v>30979</v>
      </c>
      <c r="C11376" s="32" t="s">
        <v>30980</v>
      </c>
      <c r="D11376" s="32" t="s">
        <v>30981</v>
      </c>
    </row>
    <row r="11377" spans="2:4" x14ac:dyDescent="0.3">
      <c r="B11377" s="33" t="s">
        <v>30982</v>
      </c>
      <c r="C11377" s="32" t="s">
        <v>30983</v>
      </c>
      <c r="D11377" s="32" t="s">
        <v>30984</v>
      </c>
    </row>
    <row r="11378" spans="2:4" x14ac:dyDescent="0.3">
      <c r="B11378" s="33" t="s">
        <v>30985</v>
      </c>
      <c r="C11378" s="32" t="s">
        <v>30986</v>
      </c>
      <c r="D11378" s="32" t="s">
        <v>30987</v>
      </c>
    </row>
    <row r="11379" spans="2:4" x14ac:dyDescent="0.3">
      <c r="B11379" s="33" t="s">
        <v>30988</v>
      </c>
      <c r="C11379" s="32" t="s">
        <v>30989</v>
      </c>
      <c r="D11379" s="32" t="s">
        <v>30990</v>
      </c>
    </row>
    <row r="11380" spans="2:4" x14ac:dyDescent="0.3">
      <c r="B11380" s="33" t="s">
        <v>28347</v>
      </c>
      <c r="C11380" s="32" t="s">
        <v>30991</v>
      </c>
      <c r="D11380" s="32" t="s">
        <v>30992</v>
      </c>
    </row>
    <row r="11381" spans="2:4" x14ac:dyDescent="0.3">
      <c r="B11381" s="33" t="s">
        <v>29153</v>
      </c>
      <c r="C11381" s="32" t="s">
        <v>30993</v>
      </c>
      <c r="D11381" s="32" t="s">
        <v>30994</v>
      </c>
    </row>
    <row r="11382" spans="2:4" x14ac:dyDescent="0.3">
      <c r="B11382" s="33" t="s">
        <v>30995</v>
      </c>
      <c r="C11382" s="32" t="s">
        <v>30996</v>
      </c>
      <c r="D11382" s="32" t="s">
        <v>30997</v>
      </c>
    </row>
    <row r="11383" spans="2:4" x14ac:dyDescent="0.3">
      <c r="B11383" s="33" t="s">
        <v>30998</v>
      </c>
      <c r="C11383" s="32" t="s">
        <v>30999</v>
      </c>
      <c r="D11383" s="32" t="s">
        <v>31000</v>
      </c>
    </row>
    <row r="11384" spans="2:4" x14ac:dyDescent="0.3">
      <c r="B11384" s="33" t="s">
        <v>31001</v>
      </c>
      <c r="C11384" s="32" t="s">
        <v>31002</v>
      </c>
      <c r="D11384" s="32" t="s">
        <v>31003</v>
      </c>
    </row>
    <row r="11385" spans="2:4" x14ac:dyDescent="0.3">
      <c r="B11385" s="33" t="s">
        <v>31001</v>
      </c>
      <c r="C11385" s="32" t="s">
        <v>31004</v>
      </c>
      <c r="D11385" s="32" t="s">
        <v>31005</v>
      </c>
    </row>
    <row r="11386" spans="2:4" x14ac:dyDescent="0.3">
      <c r="B11386" s="33" t="s">
        <v>31006</v>
      </c>
      <c r="C11386" s="32" t="s">
        <v>31007</v>
      </c>
      <c r="D11386" s="32" t="s">
        <v>31008</v>
      </c>
    </row>
    <row r="11387" spans="2:4" x14ac:dyDescent="0.3">
      <c r="B11387" s="33" t="s">
        <v>31009</v>
      </c>
      <c r="C11387" s="32" t="s">
        <v>31010</v>
      </c>
      <c r="D11387" s="32" t="s">
        <v>31011</v>
      </c>
    </row>
    <row r="11388" spans="2:4" x14ac:dyDescent="0.3">
      <c r="B11388" s="33" t="s">
        <v>31012</v>
      </c>
      <c r="C11388" s="32" t="s">
        <v>31013</v>
      </c>
      <c r="D11388" s="32" t="s">
        <v>31014</v>
      </c>
    </row>
    <row r="11389" spans="2:4" x14ac:dyDescent="0.3">
      <c r="B11389" s="33" t="s">
        <v>31015</v>
      </c>
      <c r="C11389" s="32" t="s">
        <v>31016</v>
      </c>
      <c r="D11389" s="32" t="s">
        <v>31017</v>
      </c>
    </row>
    <row r="11390" spans="2:4" x14ac:dyDescent="0.3">
      <c r="B11390" s="33" t="s">
        <v>31018</v>
      </c>
      <c r="C11390" s="32" t="s">
        <v>31019</v>
      </c>
      <c r="D11390" s="32" t="s">
        <v>31020</v>
      </c>
    </row>
    <row r="11391" spans="2:4" x14ac:dyDescent="0.3">
      <c r="B11391" s="33" t="s">
        <v>31021</v>
      </c>
      <c r="C11391" s="32" t="s">
        <v>31022</v>
      </c>
      <c r="D11391" s="32" t="s">
        <v>31023</v>
      </c>
    </row>
    <row r="11392" spans="2:4" x14ac:dyDescent="0.3">
      <c r="B11392" s="33" t="s">
        <v>31024</v>
      </c>
      <c r="C11392" s="32" t="s">
        <v>31025</v>
      </c>
      <c r="D11392" s="32" t="s">
        <v>31026</v>
      </c>
    </row>
    <row r="11393" spans="2:4" x14ac:dyDescent="0.3">
      <c r="B11393" s="33" t="s">
        <v>31021</v>
      </c>
      <c r="C11393" s="32" t="s">
        <v>31027</v>
      </c>
      <c r="D11393" s="32" t="s">
        <v>31028</v>
      </c>
    </row>
    <row r="11394" spans="2:4" x14ac:dyDescent="0.3">
      <c r="B11394" s="33" t="s">
        <v>29144</v>
      </c>
      <c r="C11394" s="32" t="s">
        <v>31029</v>
      </c>
      <c r="D11394" s="32" t="s">
        <v>31030</v>
      </c>
    </row>
    <row r="11395" spans="2:4" x14ac:dyDescent="0.3">
      <c r="B11395" s="33" t="s">
        <v>31031</v>
      </c>
      <c r="C11395" s="32" t="s">
        <v>31032</v>
      </c>
      <c r="D11395" s="32" t="s">
        <v>31033</v>
      </c>
    </row>
    <row r="11396" spans="2:4" x14ac:dyDescent="0.3">
      <c r="B11396" s="33" t="s">
        <v>31034</v>
      </c>
      <c r="C11396" s="32" t="s">
        <v>31035</v>
      </c>
      <c r="D11396" s="32" t="s">
        <v>31036</v>
      </c>
    </row>
    <row r="11397" spans="2:4" x14ac:dyDescent="0.3">
      <c r="B11397" s="33" t="s">
        <v>31018</v>
      </c>
      <c r="C11397" s="32" t="s">
        <v>31037</v>
      </c>
      <c r="D11397" s="32" t="s">
        <v>31038</v>
      </c>
    </row>
    <row r="11398" spans="2:4" x14ac:dyDescent="0.3">
      <c r="B11398" s="33" t="s">
        <v>31039</v>
      </c>
      <c r="C11398" s="32" t="s">
        <v>31040</v>
      </c>
      <c r="D11398" s="32" t="s">
        <v>31041</v>
      </c>
    </row>
    <row r="11399" spans="2:4" x14ac:dyDescent="0.3">
      <c r="B11399" s="33" t="s">
        <v>5988</v>
      </c>
      <c r="C11399" s="32" t="s">
        <v>31042</v>
      </c>
      <c r="D11399" s="32" t="s">
        <v>31043</v>
      </c>
    </row>
    <row r="11400" spans="2:4" x14ac:dyDescent="0.3">
      <c r="B11400" s="33" t="s">
        <v>31044</v>
      </c>
      <c r="C11400" s="32" t="s">
        <v>31045</v>
      </c>
      <c r="D11400" s="32" t="s">
        <v>31046</v>
      </c>
    </row>
    <row r="11401" spans="2:4" x14ac:dyDescent="0.3">
      <c r="B11401" s="33" t="s">
        <v>31044</v>
      </c>
      <c r="C11401" s="32" t="s">
        <v>31047</v>
      </c>
      <c r="D11401" s="32" t="s">
        <v>31048</v>
      </c>
    </row>
    <row r="11402" spans="2:4" x14ac:dyDescent="0.3">
      <c r="B11402" s="33" t="s">
        <v>31049</v>
      </c>
      <c r="C11402" s="32" t="s">
        <v>31050</v>
      </c>
      <c r="D11402" s="32" t="s">
        <v>31049</v>
      </c>
    </row>
    <row r="11403" spans="2:4" x14ac:dyDescent="0.3">
      <c r="B11403" s="33" t="s">
        <v>17577</v>
      </c>
      <c r="C11403" s="32" t="s">
        <v>31051</v>
      </c>
      <c r="D11403" s="32" t="s">
        <v>31052</v>
      </c>
    </row>
    <row r="11404" spans="2:4" x14ac:dyDescent="0.3">
      <c r="B11404" s="33" t="s">
        <v>31053</v>
      </c>
      <c r="C11404" s="32" t="s">
        <v>31054</v>
      </c>
      <c r="D11404" s="32" t="s">
        <v>31055</v>
      </c>
    </row>
    <row r="11405" spans="2:4" x14ac:dyDescent="0.3">
      <c r="B11405" s="33" t="s">
        <v>31053</v>
      </c>
      <c r="C11405" s="32" t="s">
        <v>31056</v>
      </c>
      <c r="D11405" s="32" t="s">
        <v>31057</v>
      </c>
    </row>
    <row r="11406" spans="2:4" x14ac:dyDescent="0.3">
      <c r="B11406" s="33" t="s">
        <v>31058</v>
      </c>
      <c r="C11406" s="32" t="s">
        <v>31059</v>
      </c>
      <c r="D11406" s="32" t="s">
        <v>31060</v>
      </c>
    </row>
    <row r="11407" spans="2:4" x14ac:dyDescent="0.3">
      <c r="B11407" s="33" t="s">
        <v>31061</v>
      </c>
      <c r="C11407" s="32" t="s">
        <v>31062</v>
      </c>
      <c r="D11407" s="32" t="s">
        <v>31063</v>
      </c>
    </row>
    <row r="11408" spans="2:4" x14ac:dyDescent="0.3">
      <c r="B11408" s="33" t="s">
        <v>28025</v>
      </c>
      <c r="C11408" s="32" t="s">
        <v>31064</v>
      </c>
      <c r="D11408" s="32" t="s">
        <v>31065</v>
      </c>
    </row>
    <row r="11409" spans="2:4" x14ac:dyDescent="0.3">
      <c r="B11409" s="33" t="s">
        <v>31066</v>
      </c>
      <c r="C11409" s="32" t="s">
        <v>31067</v>
      </c>
      <c r="D11409" s="32" t="s">
        <v>31068</v>
      </c>
    </row>
    <row r="11410" spans="2:4" x14ac:dyDescent="0.3">
      <c r="B11410" s="33" t="s">
        <v>31069</v>
      </c>
      <c r="C11410" s="32" t="s">
        <v>31070</v>
      </c>
      <c r="D11410" s="32" t="s">
        <v>31071</v>
      </c>
    </row>
    <row r="11411" spans="2:4" x14ac:dyDescent="0.3">
      <c r="B11411" s="33" t="s">
        <v>31072</v>
      </c>
      <c r="C11411" s="32" t="s">
        <v>31073</v>
      </c>
      <c r="D11411" s="32" t="s">
        <v>31074</v>
      </c>
    </row>
    <row r="11412" spans="2:4" x14ac:dyDescent="0.3">
      <c r="B11412" s="33" t="s">
        <v>31075</v>
      </c>
      <c r="C11412" s="32" t="s">
        <v>31076</v>
      </c>
      <c r="D11412" s="32" t="s">
        <v>31077</v>
      </c>
    </row>
    <row r="11413" spans="2:4" x14ac:dyDescent="0.3">
      <c r="B11413" s="33" t="s">
        <v>31078</v>
      </c>
      <c r="C11413" s="32" t="s">
        <v>31079</v>
      </c>
      <c r="D11413" s="32" t="s">
        <v>31080</v>
      </c>
    </row>
    <row r="11414" spans="2:4" x14ac:dyDescent="0.3">
      <c r="B11414" s="33" t="s">
        <v>31081</v>
      </c>
      <c r="C11414" s="32" t="s">
        <v>31082</v>
      </c>
      <c r="D11414" s="32" t="s">
        <v>31083</v>
      </c>
    </row>
    <row r="11415" spans="2:4" x14ac:dyDescent="0.3">
      <c r="B11415" s="33" t="s">
        <v>31084</v>
      </c>
      <c r="C11415" s="32" t="s">
        <v>31085</v>
      </c>
      <c r="D11415" s="32" t="s">
        <v>31086</v>
      </c>
    </row>
    <row r="11416" spans="2:4" x14ac:dyDescent="0.3">
      <c r="B11416" s="33" t="s">
        <v>31081</v>
      </c>
      <c r="C11416" s="32" t="s">
        <v>31087</v>
      </c>
      <c r="D11416" s="32" t="s">
        <v>31088</v>
      </c>
    </row>
    <row r="11417" spans="2:4" x14ac:dyDescent="0.3">
      <c r="B11417" s="33" t="s">
        <v>31089</v>
      </c>
      <c r="C11417" s="32" t="s">
        <v>31090</v>
      </c>
      <c r="D11417" s="32" t="s">
        <v>31091</v>
      </c>
    </row>
    <row r="11418" spans="2:4" x14ac:dyDescent="0.3">
      <c r="B11418" s="33" t="s">
        <v>31092</v>
      </c>
      <c r="C11418" s="32" t="s">
        <v>31093</v>
      </c>
      <c r="D11418" s="32" t="s">
        <v>31094</v>
      </c>
    </row>
    <row r="11419" spans="2:4" x14ac:dyDescent="0.3">
      <c r="B11419" s="33" t="s">
        <v>31095</v>
      </c>
      <c r="C11419" s="32" t="s">
        <v>31096</v>
      </c>
      <c r="D11419" s="32" t="s">
        <v>31097</v>
      </c>
    </row>
    <row r="11420" spans="2:4" x14ac:dyDescent="0.3">
      <c r="B11420" s="33" t="s">
        <v>31098</v>
      </c>
      <c r="C11420" s="32" t="s">
        <v>31099</v>
      </c>
      <c r="D11420" s="32" t="s">
        <v>31100</v>
      </c>
    </row>
    <row r="11421" spans="2:4" x14ac:dyDescent="0.3">
      <c r="B11421" s="33" t="s">
        <v>31101</v>
      </c>
      <c r="C11421" s="32" t="s">
        <v>31102</v>
      </c>
      <c r="D11421" s="32" t="s">
        <v>31103</v>
      </c>
    </row>
    <row r="11422" spans="2:4" x14ac:dyDescent="0.3">
      <c r="B11422" s="33" t="s">
        <v>31104</v>
      </c>
      <c r="C11422" s="32" t="s">
        <v>31105</v>
      </c>
      <c r="D11422" s="32" t="s">
        <v>31106</v>
      </c>
    </row>
    <row r="11423" spans="2:4" x14ac:dyDescent="0.3">
      <c r="B11423" s="33" t="s">
        <v>29377</v>
      </c>
      <c r="C11423" s="32" t="s">
        <v>31107</v>
      </c>
      <c r="D11423" s="32" t="s">
        <v>31108</v>
      </c>
    </row>
    <row r="11424" spans="2:4" x14ac:dyDescent="0.3">
      <c r="B11424" s="33" t="s">
        <v>29343</v>
      </c>
      <c r="C11424" s="32" t="s">
        <v>31109</v>
      </c>
      <c r="D11424" s="32" t="s">
        <v>31110</v>
      </c>
    </row>
    <row r="11425" spans="2:4" x14ac:dyDescent="0.3">
      <c r="B11425" s="33" t="s">
        <v>31111</v>
      </c>
      <c r="C11425" s="32" t="s">
        <v>31112</v>
      </c>
      <c r="D11425" s="32" t="s">
        <v>31113</v>
      </c>
    </row>
    <row r="11426" spans="2:4" x14ac:dyDescent="0.3">
      <c r="B11426" s="33" t="s">
        <v>31114</v>
      </c>
      <c r="C11426" s="32" t="s">
        <v>31115</v>
      </c>
      <c r="D11426" s="32" t="s">
        <v>31116</v>
      </c>
    </row>
    <row r="11427" spans="2:4" x14ac:dyDescent="0.3">
      <c r="B11427" s="33" t="s">
        <v>8695</v>
      </c>
      <c r="C11427" s="32" t="s">
        <v>31117</v>
      </c>
      <c r="D11427" s="32" t="s">
        <v>31118</v>
      </c>
    </row>
    <row r="11428" spans="2:4" x14ac:dyDescent="0.3">
      <c r="B11428" s="33" t="s">
        <v>31119</v>
      </c>
      <c r="C11428" s="32" t="s">
        <v>31120</v>
      </c>
      <c r="D11428" s="32" t="s">
        <v>31121</v>
      </c>
    </row>
    <row r="11429" spans="2:4" x14ac:dyDescent="0.3">
      <c r="B11429" s="33" t="s">
        <v>4039</v>
      </c>
      <c r="C11429" s="32" t="s">
        <v>31122</v>
      </c>
      <c r="D11429" s="32" t="s">
        <v>31123</v>
      </c>
    </row>
    <row r="11430" spans="2:4" x14ac:dyDescent="0.3">
      <c r="B11430" s="33" t="s">
        <v>28131</v>
      </c>
      <c r="C11430" s="32" t="s">
        <v>31124</v>
      </c>
      <c r="D11430" s="32" t="s">
        <v>31125</v>
      </c>
    </row>
    <row r="11431" spans="2:4" x14ac:dyDescent="0.3">
      <c r="B11431" s="33" t="s">
        <v>31126</v>
      </c>
      <c r="C11431" s="32" t="s">
        <v>31127</v>
      </c>
      <c r="D11431" s="32" t="s">
        <v>31128</v>
      </c>
    </row>
    <row r="11432" spans="2:4" x14ac:dyDescent="0.3">
      <c r="B11432" s="33" t="s">
        <v>31129</v>
      </c>
      <c r="C11432" s="32" t="s">
        <v>31130</v>
      </c>
      <c r="D11432" s="32" t="s">
        <v>31131</v>
      </c>
    </row>
    <row r="11433" spans="2:4" x14ac:dyDescent="0.3">
      <c r="B11433" s="33" t="s">
        <v>31132</v>
      </c>
      <c r="C11433" s="32" t="s">
        <v>31133</v>
      </c>
      <c r="D11433" s="32" t="s">
        <v>31134</v>
      </c>
    </row>
    <row r="11434" spans="2:4" x14ac:dyDescent="0.3">
      <c r="B11434" s="33" t="s">
        <v>31135</v>
      </c>
      <c r="C11434" s="32" t="s">
        <v>31136</v>
      </c>
      <c r="D11434" s="32" t="s">
        <v>31135</v>
      </c>
    </row>
    <row r="11435" spans="2:4" x14ac:dyDescent="0.3">
      <c r="B11435" s="33" t="s">
        <v>31137</v>
      </c>
      <c r="C11435" s="32" t="s">
        <v>31138</v>
      </c>
      <c r="D11435" s="32" t="s">
        <v>31139</v>
      </c>
    </row>
    <row r="11436" spans="2:4" x14ac:dyDescent="0.3">
      <c r="B11436" s="33" t="s">
        <v>31140</v>
      </c>
      <c r="C11436" s="32" t="s">
        <v>31141</v>
      </c>
      <c r="D11436" s="32" t="s">
        <v>31142</v>
      </c>
    </row>
    <row r="11437" spans="2:4" x14ac:dyDescent="0.3">
      <c r="B11437" s="33" t="s">
        <v>31143</v>
      </c>
      <c r="C11437" s="32" t="s">
        <v>31144</v>
      </c>
      <c r="D11437" s="32" t="s">
        <v>31145</v>
      </c>
    </row>
    <row r="11438" spans="2:4" x14ac:dyDescent="0.3">
      <c r="B11438" s="33" t="s">
        <v>31146</v>
      </c>
      <c r="C11438" s="32" t="s">
        <v>31147</v>
      </c>
      <c r="D11438" s="32" t="s">
        <v>31148</v>
      </c>
    </row>
    <row r="11439" spans="2:4" x14ac:dyDescent="0.3">
      <c r="B11439" s="33" t="s">
        <v>31149</v>
      </c>
      <c r="C11439" s="32" t="s">
        <v>31150</v>
      </c>
      <c r="D11439" s="32" t="s">
        <v>31151</v>
      </c>
    </row>
    <row r="11440" spans="2:4" x14ac:dyDescent="0.3">
      <c r="B11440" s="33" t="s">
        <v>31152</v>
      </c>
      <c r="C11440" s="32" t="s">
        <v>31153</v>
      </c>
      <c r="D11440" s="32" t="s">
        <v>31154</v>
      </c>
    </row>
    <row r="11441" spans="2:4" x14ac:dyDescent="0.3">
      <c r="B11441" s="33" t="s">
        <v>31155</v>
      </c>
      <c r="C11441" s="32" t="s">
        <v>31156</v>
      </c>
      <c r="D11441" s="32" t="s">
        <v>31155</v>
      </c>
    </row>
    <row r="11442" spans="2:4" x14ac:dyDescent="0.3">
      <c r="B11442" s="33" t="s">
        <v>31157</v>
      </c>
      <c r="C11442" s="32" t="s">
        <v>31158</v>
      </c>
      <c r="D11442" s="32" t="s">
        <v>31159</v>
      </c>
    </row>
    <row r="11443" spans="2:4" x14ac:dyDescent="0.3">
      <c r="B11443" s="33" t="s">
        <v>31155</v>
      </c>
      <c r="C11443" s="32" t="s">
        <v>31160</v>
      </c>
      <c r="D11443" s="32" t="s">
        <v>31161</v>
      </c>
    </row>
    <row r="11444" spans="2:4" x14ac:dyDescent="0.3">
      <c r="B11444" s="33" t="s">
        <v>31162</v>
      </c>
      <c r="C11444" s="32" t="s">
        <v>31163</v>
      </c>
      <c r="D11444" s="32" t="s">
        <v>31164</v>
      </c>
    </row>
    <row r="11445" spans="2:4" x14ac:dyDescent="0.3">
      <c r="B11445" s="33" t="s">
        <v>31165</v>
      </c>
      <c r="C11445" s="32" t="s">
        <v>31166</v>
      </c>
      <c r="D11445" s="32" t="s">
        <v>31167</v>
      </c>
    </row>
    <row r="11446" spans="2:4" x14ac:dyDescent="0.3">
      <c r="B11446" s="33" t="s">
        <v>31168</v>
      </c>
      <c r="C11446" s="32" t="s">
        <v>31169</v>
      </c>
      <c r="D11446" s="32" t="s">
        <v>31170</v>
      </c>
    </row>
    <row r="11447" spans="2:4" x14ac:dyDescent="0.3">
      <c r="B11447" s="33" t="s">
        <v>31168</v>
      </c>
      <c r="C11447" s="32" t="s">
        <v>31171</v>
      </c>
      <c r="D11447" s="32" t="s">
        <v>31172</v>
      </c>
    </row>
    <row r="11448" spans="2:4" x14ac:dyDescent="0.3">
      <c r="B11448" s="33" t="s">
        <v>31173</v>
      </c>
      <c r="C11448" s="32" t="s">
        <v>31174</v>
      </c>
      <c r="D11448" s="32" t="s">
        <v>31175</v>
      </c>
    </row>
    <row r="11449" spans="2:4" x14ac:dyDescent="0.3">
      <c r="B11449" s="33" t="s">
        <v>31176</v>
      </c>
      <c r="C11449" s="32" t="s">
        <v>31177</v>
      </c>
      <c r="D11449" s="32" t="s">
        <v>31178</v>
      </c>
    </row>
    <row r="11450" spans="2:4" x14ac:dyDescent="0.3">
      <c r="B11450" s="33" t="s">
        <v>31179</v>
      </c>
      <c r="C11450" s="32" t="s">
        <v>31180</v>
      </c>
      <c r="D11450" s="32" t="s">
        <v>31181</v>
      </c>
    </row>
    <row r="11451" spans="2:4" x14ac:dyDescent="0.3">
      <c r="B11451" s="33" t="s">
        <v>31182</v>
      </c>
      <c r="C11451" s="32" t="s">
        <v>31183</v>
      </c>
      <c r="D11451" s="32" t="s">
        <v>31184</v>
      </c>
    </row>
    <row r="11452" spans="2:4" x14ac:dyDescent="0.3">
      <c r="B11452" s="33" t="s">
        <v>31185</v>
      </c>
      <c r="C11452" s="32" t="s">
        <v>31186</v>
      </c>
      <c r="D11452" s="32" t="s">
        <v>31187</v>
      </c>
    </row>
    <row r="11453" spans="2:4" x14ac:dyDescent="0.3">
      <c r="B11453" s="33" t="s">
        <v>31188</v>
      </c>
      <c r="C11453" s="32" t="s">
        <v>31189</v>
      </c>
      <c r="D11453" s="32" t="s">
        <v>31190</v>
      </c>
    </row>
    <row r="11454" spans="2:4" x14ac:dyDescent="0.3">
      <c r="B11454" s="33" t="s">
        <v>31191</v>
      </c>
      <c r="C11454" s="32" t="s">
        <v>31192</v>
      </c>
      <c r="D11454" s="32" t="s">
        <v>31193</v>
      </c>
    </row>
    <row r="11455" spans="2:4" x14ac:dyDescent="0.3">
      <c r="B11455" s="33" t="s">
        <v>31194</v>
      </c>
      <c r="C11455" s="32" t="s">
        <v>31195</v>
      </c>
      <c r="D11455" s="32" t="s">
        <v>31196</v>
      </c>
    </row>
    <row r="11456" spans="2:4" x14ac:dyDescent="0.3">
      <c r="B11456" s="33" t="s">
        <v>31197</v>
      </c>
      <c r="C11456" s="32" t="s">
        <v>31198</v>
      </c>
      <c r="D11456" s="32" t="s">
        <v>31199</v>
      </c>
    </row>
    <row r="11457" spans="2:4" x14ac:dyDescent="0.3">
      <c r="B11457" s="33" t="s">
        <v>31200</v>
      </c>
      <c r="C11457" s="32" t="s">
        <v>31201</v>
      </c>
      <c r="D11457" s="32" t="s">
        <v>31202</v>
      </c>
    </row>
    <row r="11458" spans="2:4" x14ac:dyDescent="0.3">
      <c r="B11458" s="33" t="s">
        <v>31203</v>
      </c>
      <c r="C11458" s="32" t="s">
        <v>31204</v>
      </c>
      <c r="D11458" s="32" t="s">
        <v>31205</v>
      </c>
    </row>
    <row r="11459" spans="2:4" x14ac:dyDescent="0.3">
      <c r="B11459" s="33" t="s">
        <v>31206</v>
      </c>
      <c r="C11459" s="32" t="s">
        <v>31207</v>
      </c>
      <c r="D11459" s="32" t="s">
        <v>31208</v>
      </c>
    </row>
    <row r="11460" spans="2:4" x14ac:dyDescent="0.3">
      <c r="B11460" s="33" t="s">
        <v>31209</v>
      </c>
      <c r="C11460" s="32" t="s">
        <v>31210</v>
      </c>
      <c r="D11460" s="32" t="s">
        <v>31211</v>
      </c>
    </row>
    <row r="11461" spans="2:4" x14ac:dyDescent="0.3">
      <c r="B11461" s="33" t="s">
        <v>31212</v>
      </c>
      <c r="C11461" s="32" t="s">
        <v>31213</v>
      </c>
      <c r="D11461" s="32" t="s">
        <v>31214</v>
      </c>
    </row>
    <row r="11462" spans="2:4" x14ac:dyDescent="0.3">
      <c r="B11462" s="33" t="s">
        <v>31215</v>
      </c>
      <c r="C11462" s="32" t="s">
        <v>31216</v>
      </c>
      <c r="D11462" s="32" t="s">
        <v>31217</v>
      </c>
    </row>
    <row r="11463" spans="2:4" x14ac:dyDescent="0.3">
      <c r="B11463" s="33" t="s">
        <v>31218</v>
      </c>
      <c r="C11463" s="32" t="s">
        <v>31219</v>
      </c>
      <c r="D11463" s="32" t="s">
        <v>1</v>
      </c>
    </row>
    <row r="11464" spans="2:4" x14ac:dyDescent="0.3">
      <c r="B11464" s="33" t="s">
        <v>31220</v>
      </c>
      <c r="C11464" s="32" t="s">
        <v>31221</v>
      </c>
      <c r="D11464" s="32" t="s">
        <v>31222</v>
      </c>
    </row>
    <row r="11465" spans="2:4" x14ac:dyDescent="0.3">
      <c r="B11465" s="33" t="s">
        <v>31223</v>
      </c>
      <c r="C11465" s="32" t="s">
        <v>31224</v>
      </c>
      <c r="D11465" s="32" t="s">
        <v>31225</v>
      </c>
    </row>
    <row r="11466" spans="2:4" x14ac:dyDescent="0.3">
      <c r="B11466" s="33" t="s">
        <v>31226</v>
      </c>
      <c r="C11466" s="32" t="s">
        <v>31227</v>
      </c>
      <c r="D11466" s="32" t="s">
        <v>31228</v>
      </c>
    </row>
    <row r="11467" spans="2:4" x14ac:dyDescent="0.3">
      <c r="B11467" s="33" t="s">
        <v>31229</v>
      </c>
      <c r="C11467" s="32" t="s">
        <v>31230</v>
      </c>
      <c r="D11467" s="32" t="s">
        <v>31231</v>
      </c>
    </row>
    <row r="11468" spans="2:4" x14ac:dyDescent="0.3">
      <c r="B11468" s="33" t="s">
        <v>31232</v>
      </c>
      <c r="C11468" s="32" t="s">
        <v>31233</v>
      </c>
      <c r="D11468" s="32" t="s">
        <v>31234</v>
      </c>
    </row>
    <row r="11469" spans="2:4" x14ac:dyDescent="0.3">
      <c r="B11469" s="33" t="s">
        <v>31235</v>
      </c>
      <c r="C11469" s="32" t="s">
        <v>31236</v>
      </c>
      <c r="D11469" s="32" t="s">
        <v>31237</v>
      </c>
    </row>
    <row r="11470" spans="2:4" x14ac:dyDescent="0.3">
      <c r="B11470" s="33" t="s">
        <v>27790</v>
      </c>
      <c r="C11470" s="32" t="s">
        <v>31238</v>
      </c>
      <c r="D11470" s="32" t="s">
        <v>31239</v>
      </c>
    </row>
    <row r="11471" spans="2:4" x14ac:dyDescent="0.3">
      <c r="B11471" s="33" t="s">
        <v>31240</v>
      </c>
      <c r="C11471" s="32" t="s">
        <v>31241</v>
      </c>
      <c r="D11471" s="32" t="s">
        <v>31242</v>
      </c>
    </row>
    <row r="11472" spans="2:4" x14ac:dyDescent="0.3">
      <c r="B11472" s="33" t="s">
        <v>28163</v>
      </c>
      <c r="C11472" s="32" t="s">
        <v>31243</v>
      </c>
      <c r="D11472" s="32" t="s">
        <v>31244</v>
      </c>
    </row>
    <row r="11473" spans="2:4" x14ac:dyDescent="0.3">
      <c r="B11473" s="33" t="s">
        <v>18829</v>
      </c>
      <c r="C11473" s="32" t="s">
        <v>31245</v>
      </c>
      <c r="D11473" s="32" t="s">
        <v>31246</v>
      </c>
    </row>
    <row r="11474" spans="2:4" x14ac:dyDescent="0.3">
      <c r="B11474" s="33" t="s">
        <v>31247</v>
      </c>
      <c r="C11474" s="32" t="s">
        <v>31248</v>
      </c>
      <c r="D11474" s="32" t="s">
        <v>31249</v>
      </c>
    </row>
    <row r="11475" spans="2:4" x14ac:dyDescent="0.3">
      <c r="B11475" s="33" t="s">
        <v>31250</v>
      </c>
      <c r="C11475" s="32" t="s">
        <v>31251</v>
      </c>
      <c r="D11475" s="32" t="s">
        <v>31252</v>
      </c>
    </row>
    <row r="11476" spans="2:4" x14ac:dyDescent="0.3">
      <c r="B11476" s="33" t="s">
        <v>31253</v>
      </c>
      <c r="C11476" s="32" t="s">
        <v>31254</v>
      </c>
      <c r="D11476" s="32" t="s">
        <v>31255</v>
      </c>
    </row>
    <row r="11477" spans="2:4" x14ac:dyDescent="0.3">
      <c r="B11477" s="33" t="s">
        <v>31256</v>
      </c>
      <c r="C11477" s="32" t="s">
        <v>31257</v>
      </c>
      <c r="D11477" s="32" t="s">
        <v>31258</v>
      </c>
    </row>
    <row r="11478" spans="2:4" x14ac:dyDescent="0.3">
      <c r="B11478" s="33" t="s">
        <v>31259</v>
      </c>
      <c r="C11478" s="32" t="s">
        <v>31260</v>
      </c>
      <c r="D11478" s="32" t="s">
        <v>31261</v>
      </c>
    </row>
    <row r="11479" spans="2:4" x14ac:dyDescent="0.3">
      <c r="B11479" s="33" t="s">
        <v>31262</v>
      </c>
      <c r="C11479" s="32" t="s">
        <v>31263</v>
      </c>
      <c r="D11479" s="32" t="s">
        <v>31264</v>
      </c>
    </row>
    <row r="11480" spans="2:4" x14ac:dyDescent="0.3">
      <c r="B11480" s="33" t="s">
        <v>12573</v>
      </c>
      <c r="C11480" s="32" t="s">
        <v>31265</v>
      </c>
      <c r="D11480" s="32" t="s">
        <v>31266</v>
      </c>
    </row>
    <row r="11481" spans="2:4" x14ac:dyDescent="0.3">
      <c r="B11481" s="33" t="s">
        <v>31267</v>
      </c>
      <c r="C11481" s="32" t="s">
        <v>31268</v>
      </c>
      <c r="D11481" s="32" t="s">
        <v>31269</v>
      </c>
    </row>
    <row r="11482" spans="2:4" x14ac:dyDescent="0.3">
      <c r="B11482" s="33" t="s">
        <v>15309</v>
      </c>
      <c r="C11482" s="32" t="s">
        <v>31270</v>
      </c>
      <c r="D11482" s="32" t="s">
        <v>31271</v>
      </c>
    </row>
    <row r="11483" spans="2:4" x14ac:dyDescent="0.3">
      <c r="B11483" s="33" t="s">
        <v>23898</v>
      </c>
      <c r="C11483" s="32" t="s">
        <v>31272</v>
      </c>
      <c r="D11483" s="32" t="s">
        <v>31273</v>
      </c>
    </row>
    <row r="11484" spans="2:4" x14ac:dyDescent="0.3">
      <c r="B11484" s="33" t="s">
        <v>31274</v>
      </c>
      <c r="C11484" s="32" t="s">
        <v>31275</v>
      </c>
      <c r="D11484" s="32" t="s">
        <v>31276</v>
      </c>
    </row>
    <row r="11485" spans="2:4" x14ac:dyDescent="0.3">
      <c r="B11485" s="33" t="s">
        <v>30709</v>
      </c>
      <c r="C11485" s="32" t="s">
        <v>31277</v>
      </c>
      <c r="D11485" s="32" t="s">
        <v>31278</v>
      </c>
    </row>
    <row r="11486" spans="2:4" x14ac:dyDescent="0.3">
      <c r="B11486" s="33" t="s">
        <v>31279</v>
      </c>
      <c r="C11486" s="32" t="s">
        <v>31280</v>
      </c>
      <c r="D11486" s="32" t="s">
        <v>31281</v>
      </c>
    </row>
    <row r="11487" spans="2:4" x14ac:dyDescent="0.3">
      <c r="B11487" s="33" t="s">
        <v>31282</v>
      </c>
      <c r="C11487" s="32" t="s">
        <v>31283</v>
      </c>
      <c r="D11487" s="32" t="s">
        <v>31282</v>
      </c>
    </row>
    <row r="11488" spans="2:4" x14ac:dyDescent="0.3">
      <c r="B11488" s="33" t="s">
        <v>31284</v>
      </c>
      <c r="C11488" s="32" t="s">
        <v>31285</v>
      </c>
      <c r="D11488" s="32" t="s">
        <v>31286</v>
      </c>
    </row>
    <row r="11489" spans="2:4" x14ac:dyDescent="0.3">
      <c r="B11489" s="33" t="s">
        <v>31287</v>
      </c>
      <c r="C11489" s="32" t="s">
        <v>31288</v>
      </c>
      <c r="D11489" s="32" t="s">
        <v>31289</v>
      </c>
    </row>
    <row r="11490" spans="2:4" x14ac:dyDescent="0.3">
      <c r="B11490" s="33" t="s">
        <v>31290</v>
      </c>
      <c r="C11490" s="32" t="s">
        <v>31291</v>
      </c>
      <c r="D11490" s="32" t="s">
        <v>31292</v>
      </c>
    </row>
    <row r="11491" spans="2:4" x14ac:dyDescent="0.3">
      <c r="B11491" s="33" t="s">
        <v>31293</v>
      </c>
      <c r="C11491" s="32" t="s">
        <v>31294</v>
      </c>
      <c r="D11491" s="32" t="s">
        <v>31295</v>
      </c>
    </row>
    <row r="11492" spans="2:4" x14ac:dyDescent="0.3">
      <c r="B11492" s="33" t="s">
        <v>31296</v>
      </c>
      <c r="C11492" s="32" t="s">
        <v>31297</v>
      </c>
      <c r="D11492" s="32" t="s">
        <v>31298</v>
      </c>
    </row>
    <row r="11493" spans="2:4" x14ac:dyDescent="0.3">
      <c r="B11493" s="33" t="s">
        <v>31299</v>
      </c>
      <c r="C11493" s="32" t="s">
        <v>31300</v>
      </c>
      <c r="D11493" s="32" t="s">
        <v>31301</v>
      </c>
    </row>
    <row r="11494" spans="2:4" x14ac:dyDescent="0.3">
      <c r="B11494" s="33" t="s">
        <v>31299</v>
      </c>
      <c r="C11494" s="32" t="s">
        <v>31302</v>
      </c>
      <c r="D11494" s="32" t="s">
        <v>37361</v>
      </c>
    </row>
    <row r="11495" spans="2:4" x14ac:dyDescent="0.3">
      <c r="B11495" s="33" t="s">
        <v>31303</v>
      </c>
      <c r="C11495" s="32" t="s">
        <v>31304</v>
      </c>
      <c r="D11495" s="32" t="s">
        <v>31303</v>
      </c>
    </row>
    <row r="11496" spans="2:4" x14ac:dyDescent="0.3">
      <c r="B11496" s="33" t="s">
        <v>31305</v>
      </c>
      <c r="C11496" s="32" t="s">
        <v>31306</v>
      </c>
      <c r="D11496" s="32" t="s">
        <v>31307</v>
      </c>
    </row>
    <row r="11497" spans="2:4" x14ac:dyDescent="0.3">
      <c r="B11497" s="33" t="s">
        <v>31305</v>
      </c>
      <c r="C11497" s="32" t="s">
        <v>31308</v>
      </c>
      <c r="D11497" s="32" t="s">
        <v>31309</v>
      </c>
    </row>
    <row r="11498" spans="2:4" x14ac:dyDescent="0.3">
      <c r="B11498" s="33" t="s">
        <v>31305</v>
      </c>
      <c r="C11498" s="32" t="s">
        <v>31310</v>
      </c>
      <c r="D11498" s="32" t="s">
        <v>31311</v>
      </c>
    </row>
    <row r="11499" spans="2:4" x14ac:dyDescent="0.3">
      <c r="B11499" s="33" t="s">
        <v>31312</v>
      </c>
      <c r="C11499" s="32" t="s">
        <v>31313</v>
      </c>
      <c r="D11499" s="32" t="s">
        <v>31314</v>
      </c>
    </row>
    <row r="11500" spans="2:4" x14ac:dyDescent="0.3">
      <c r="B11500" s="33" t="s">
        <v>31315</v>
      </c>
      <c r="C11500" s="32" t="s">
        <v>31316</v>
      </c>
      <c r="D11500" s="32" t="s">
        <v>31315</v>
      </c>
    </row>
    <row r="11501" spans="2:4" x14ac:dyDescent="0.3">
      <c r="B11501" s="33" t="s">
        <v>31317</v>
      </c>
      <c r="C11501" s="32" t="s">
        <v>31318</v>
      </c>
      <c r="D11501" s="32" t="s">
        <v>36893</v>
      </c>
    </row>
    <row r="11502" spans="2:4" x14ac:dyDescent="0.3">
      <c r="B11502" s="33" t="s">
        <v>31317</v>
      </c>
      <c r="C11502" s="32" t="s">
        <v>31319</v>
      </c>
      <c r="D11502" s="32" t="s">
        <v>31320</v>
      </c>
    </row>
    <row r="11503" spans="2:4" x14ac:dyDescent="0.3">
      <c r="B11503" s="33" t="s">
        <v>31321</v>
      </c>
      <c r="C11503" s="32" t="s">
        <v>31322</v>
      </c>
      <c r="D11503" s="32" t="s">
        <v>31323</v>
      </c>
    </row>
    <row r="11504" spans="2:4" x14ac:dyDescent="0.3">
      <c r="B11504" s="33" t="s">
        <v>31324</v>
      </c>
      <c r="C11504" s="32" t="s">
        <v>31325</v>
      </c>
      <c r="D11504" s="32" t="s">
        <v>31326</v>
      </c>
    </row>
    <row r="11505" spans="2:4" x14ac:dyDescent="0.3">
      <c r="B11505" s="33" t="s">
        <v>31327</v>
      </c>
      <c r="C11505" s="32" t="s">
        <v>31328</v>
      </c>
      <c r="D11505" s="32" t="s">
        <v>31329</v>
      </c>
    </row>
    <row r="11506" spans="2:4" x14ac:dyDescent="0.3">
      <c r="B11506" s="33" t="s">
        <v>31330</v>
      </c>
      <c r="C11506" s="32" t="s">
        <v>31331</v>
      </c>
      <c r="D11506" s="32" t="s">
        <v>31332</v>
      </c>
    </row>
    <row r="11507" spans="2:4" x14ac:dyDescent="0.3">
      <c r="B11507" s="33" t="s">
        <v>31333</v>
      </c>
      <c r="C11507" s="32" t="s">
        <v>31334</v>
      </c>
      <c r="D11507" s="32" t="s">
        <v>31335</v>
      </c>
    </row>
    <row r="11508" spans="2:4" x14ac:dyDescent="0.3">
      <c r="B11508" s="33" t="s">
        <v>31336</v>
      </c>
      <c r="C11508" s="32" t="s">
        <v>31337</v>
      </c>
      <c r="D11508" s="32" t="s">
        <v>31338</v>
      </c>
    </row>
    <row r="11509" spans="2:4" x14ac:dyDescent="0.3">
      <c r="B11509" s="33" t="s">
        <v>31339</v>
      </c>
      <c r="C11509" s="32" t="s">
        <v>31340</v>
      </c>
      <c r="D11509" s="32" t="s">
        <v>31341</v>
      </c>
    </row>
    <row r="11510" spans="2:4" x14ac:dyDescent="0.3">
      <c r="B11510" s="33" t="s">
        <v>31342</v>
      </c>
      <c r="C11510" s="32" t="s">
        <v>31343</v>
      </c>
      <c r="D11510" s="32" t="s">
        <v>31344</v>
      </c>
    </row>
    <row r="11511" spans="2:4" x14ac:dyDescent="0.3">
      <c r="B11511" s="33" t="s">
        <v>31345</v>
      </c>
      <c r="C11511" s="32" t="s">
        <v>31346</v>
      </c>
      <c r="D11511" s="32" t="s">
        <v>31347</v>
      </c>
    </row>
    <row r="11512" spans="2:4" x14ac:dyDescent="0.3">
      <c r="B11512" s="33" t="s">
        <v>31348</v>
      </c>
      <c r="C11512" s="32" t="s">
        <v>31349</v>
      </c>
      <c r="D11512" s="32" t="s">
        <v>31350</v>
      </c>
    </row>
    <row r="11513" spans="2:4" x14ac:dyDescent="0.3">
      <c r="B11513" s="33" t="s">
        <v>31351</v>
      </c>
      <c r="C11513" s="32" t="s">
        <v>31352</v>
      </c>
      <c r="D11513" s="32" t="s">
        <v>31353</v>
      </c>
    </row>
    <row r="11514" spans="2:4" x14ac:dyDescent="0.3">
      <c r="B11514" s="33" t="s">
        <v>31354</v>
      </c>
      <c r="C11514" s="32" t="s">
        <v>31355</v>
      </c>
      <c r="D11514" s="32" t="s">
        <v>31356</v>
      </c>
    </row>
    <row r="11515" spans="2:4" x14ac:dyDescent="0.3">
      <c r="B11515" s="33" t="s">
        <v>31354</v>
      </c>
      <c r="C11515" s="32" t="s">
        <v>31357</v>
      </c>
      <c r="D11515" s="32" t="s">
        <v>31358</v>
      </c>
    </row>
    <row r="11516" spans="2:4" x14ac:dyDescent="0.3">
      <c r="B11516" s="33" t="s">
        <v>31359</v>
      </c>
      <c r="C11516" s="32" t="s">
        <v>31360</v>
      </c>
      <c r="D11516" s="32" t="s">
        <v>36894</v>
      </c>
    </row>
    <row r="11517" spans="2:4" x14ac:dyDescent="0.3">
      <c r="B11517" s="33" t="s">
        <v>31361</v>
      </c>
      <c r="C11517" s="32" t="s">
        <v>31362</v>
      </c>
      <c r="D11517" s="32" t="s">
        <v>31363</v>
      </c>
    </row>
    <row r="11518" spans="2:4" x14ac:dyDescent="0.3">
      <c r="B11518" s="33" t="s">
        <v>31364</v>
      </c>
      <c r="C11518" s="32" t="s">
        <v>31365</v>
      </c>
      <c r="D11518" s="32" t="s">
        <v>31366</v>
      </c>
    </row>
    <row r="11519" spans="2:4" x14ac:dyDescent="0.3">
      <c r="B11519" s="33" t="s">
        <v>31367</v>
      </c>
      <c r="C11519" s="32" t="s">
        <v>31368</v>
      </c>
      <c r="D11519" s="32" t="s">
        <v>31369</v>
      </c>
    </row>
    <row r="11520" spans="2:4" x14ac:dyDescent="0.3">
      <c r="B11520" s="33" t="s">
        <v>31367</v>
      </c>
      <c r="C11520" s="32" t="s">
        <v>31370</v>
      </c>
      <c r="D11520" s="32" t="s">
        <v>31371</v>
      </c>
    </row>
    <row r="11521" spans="2:4" x14ac:dyDescent="0.3">
      <c r="B11521" s="33" t="s">
        <v>31372</v>
      </c>
      <c r="C11521" s="32" t="s">
        <v>31373</v>
      </c>
      <c r="D11521" s="32" t="s">
        <v>31374</v>
      </c>
    </row>
    <row r="11522" spans="2:4" x14ac:dyDescent="0.3">
      <c r="B11522" s="33" t="s">
        <v>31372</v>
      </c>
      <c r="C11522" s="32" t="s">
        <v>37362</v>
      </c>
      <c r="D11522" s="32" t="s">
        <v>37363</v>
      </c>
    </row>
    <row r="11523" spans="2:4" x14ac:dyDescent="0.3">
      <c r="B11523" s="33" t="s">
        <v>31375</v>
      </c>
      <c r="C11523" s="32" t="s">
        <v>31376</v>
      </c>
      <c r="D11523" s="32" t="s">
        <v>31377</v>
      </c>
    </row>
    <row r="11524" spans="2:4" x14ac:dyDescent="0.3">
      <c r="B11524" s="33" t="s">
        <v>31378</v>
      </c>
      <c r="C11524" s="32" t="s">
        <v>31379</v>
      </c>
      <c r="D11524" s="32" t="s">
        <v>31380</v>
      </c>
    </row>
    <row r="11525" spans="2:4" x14ac:dyDescent="0.3">
      <c r="B11525" s="33" t="s">
        <v>17686</v>
      </c>
      <c r="C11525" s="32" t="s">
        <v>31381</v>
      </c>
      <c r="D11525" s="32" t="s">
        <v>31382</v>
      </c>
    </row>
    <row r="11526" spans="2:4" x14ac:dyDescent="0.3">
      <c r="B11526" s="33" t="s">
        <v>31383</v>
      </c>
      <c r="C11526" s="32" t="s">
        <v>31384</v>
      </c>
      <c r="D11526" s="32" t="s">
        <v>31385</v>
      </c>
    </row>
    <row r="11527" spans="2:4" x14ac:dyDescent="0.3">
      <c r="B11527" s="33" t="s">
        <v>31386</v>
      </c>
      <c r="C11527" s="32" t="s">
        <v>31387</v>
      </c>
      <c r="D11527" s="32" t="s">
        <v>31388</v>
      </c>
    </row>
    <row r="11528" spans="2:4" x14ac:dyDescent="0.3">
      <c r="B11528" s="33" t="s">
        <v>31389</v>
      </c>
      <c r="C11528" s="32" t="s">
        <v>31390</v>
      </c>
      <c r="D11528" s="32" t="s">
        <v>31391</v>
      </c>
    </row>
    <row r="11529" spans="2:4" x14ac:dyDescent="0.3">
      <c r="B11529" s="33" t="s">
        <v>31392</v>
      </c>
      <c r="C11529" s="32" t="s">
        <v>31393</v>
      </c>
      <c r="D11529" s="32" t="s">
        <v>31394</v>
      </c>
    </row>
    <row r="11530" spans="2:4" x14ac:dyDescent="0.3">
      <c r="B11530" s="33" t="s">
        <v>31395</v>
      </c>
      <c r="C11530" s="32" t="s">
        <v>31396</v>
      </c>
      <c r="D11530" s="32" t="s">
        <v>31397</v>
      </c>
    </row>
    <row r="11531" spans="2:4" x14ac:dyDescent="0.3">
      <c r="B11531" s="33" t="s">
        <v>31398</v>
      </c>
      <c r="C11531" s="32" t="s">
        <v>31399</v>
      </c>
      <c r="D11531" s="32" t="s">
        <v>31400</v>
      </c>
    </row>
    <row r="11532" spans="2:4" x14ac:dyDescent="0.3">
      <c r="B11532" s="33" t="s">
        <v>31401</v>
      </c>
      <c r="C11532" s="32" t="s">
        <v>31402</v>
      </c>
      <c r="D11532" s="32" t="s">
        <v>31403</v>
      </c>
    </row>
    <row r="11533" spans="2:4" x14ac:dyDescent="0.3">
      <c r="B11533" s="33" t="s">
        <v>31401</v>
      </c>
      <c r="C11533" s="32" t="s">
        <v>37364</v>
      </c>
      <c r="D11533" s="32" t="s">
        <v>31404</v>
      </c>
    </row>
    <row r="11534" spans="2:4" x14ac:dyDescent="0.3">
      <c r="B11534" s="33" t="s">
        <v>31401</v>
      </c>
      <c r="C11534" s="32" t="s">
        <v>31405</v>
      </c>
      <c r="D11534" s="32" t="s">
        <v>31406</v>
      </c>
    </row>
    <row r="11535" spans="2:4" x14ac:dyDescent="0.3">
      <c r="B11535" s="33" t="s">
        <v>31401</v>
      </c>
      <c r="C11535" s="32" t="s">
        <v>31407</v>
      </c>
      <c r="D11535" s="32" t="s">
        <v>31408</v>
      </c>
    </row>
    <row r="11536" spans="2:4" x14ac:dyDescent="0.3">
      <c r="B11536" s="33" t="s">
        <v>31409</v>
      </c>
      <c r="C11536" s="32" t="s">
        <v>31410</v>
      </c>
      <c r="D11536" s="32" t="s">
        <v>31411</v>
      </c>
    </row>
    <row r="11537" spans="2:4" x14ac:dyDescent="0.3">
      <c r="B11537" s="33" t="s">
        <v>31412</v>
      </c>
      <c r="C11537" s="32" t="s">
        <v>31413</v>
      </c>
      <c r="D11537" s="32" t="s">
        <v>31414</v>
      </c>
    </row>
    <row r="11538" spans="2:4" x14ac:dyDescent="0.3">
      <c r="B11538" s="33" t="s">
        <v>31415</v>
      </c>
      <c r="C11538" s="32" t="s">
        <v>31416</v>
      </c>
      <c r="D11538" s="32" t="s">
        <v>31417</v>
      </c>
    </row>
    <row r="11539" spans="2:4" x14ac:dyDescent="0.3">
      <c r="B11539" s="33" t="s">
        <v>31418</v>
      </c>
      <c r="C11539" s="32" t="s">
        <v>31419</v>
      </c>
      <c r="D11539" s="32" t="s">
        <v>31420</v>
      </c>
    </row>
    <row r="11540" spans="2:4" x14ac:dyDescent="0.3">
      <c r="B11540" s="33" t="s">
        <v>36895</v>
      </c>
      <c r="C11540" s="32" t="s">
        <v>31421</v>
      </c>
      <c r="D11540" s="32" t="s">
        <v>31422</v>
      </c>
    </row>
    <row r="11541" spans="2:4" x14ac:dyDescent="0.3">
      <c r="B11541" s="33" t="s">
        <v>31423</v>
      </c>
      <c r="C11541" s="32" t="s">
        <v>31424</v>
      </c>
      <c r="D11541" s="32" t="s">
        <v>31425</v>
      </c>
    </row>
    <row r="11542" spans="2:4" x14ac:dyDescent="0.3">
      <c r="B11542" s="33" t="s">
        <v>31426</v>
      </c>
      <c r="C11542" s="32" t="s">
        <v>31427</v>
      </c>
      <c r="D11542" s="32" t="s">
        <v>31428</v>
      </c>
    </row>
    <row r="11543" spans="2:4" x14ac:dyDescent="0.3">
      <c r="B11543" s="33" t="s">
        <v>31429</v>
      </c>
      <c r="C11543" s="32" t="s">
        <v>31430</v>
      </c>
      <c r="D11543" s="32" t="s">
        <v>31431</v>
      </c>
    </row>
    <row r="11544" spans="2:4" x14ac:dyDescent="0.3">
      <c r="B11544" s="33" t="s">
        <v>31432</v>
      </c>
      <c r="C11544" s="32" t="s">
        <v>31433</v>
      </c>
      <c r="D11544" s="32" t="s">
        <v>31434</v>
      </c>
    </row>
    <row r="11545" spans="2:4" x14ac:dyDescent="0.3">
      <c r="B11545" s="33" t="s">
        <v>8725</v>
      </c>
      <c r="C11545" s="32" t="s">
        <v>31435</v>
      </c>
      <c r="D11545" s="32" t="s">
        <v>31436</v>
      </c>
    </row>
    <row r="11546" spans="2:4" x14ac:dyDescent="0.3">
      <c r="B11546" s="33" t="s">
        <v>31437</v>
      </c>
      <c r="C11546" s="32" t="s">
        <v>31438</v>
      </c>
      <c r="D11546" s="32" t="s">
        <v>31439</v>
      </c>
    </row>
    <row r="11547" spans="2:4" x14ac:dyDescent="0.3">
      <c r="B11547" s="33" t="s">
        <v>31440</v>
      </c>
      <c r="C11547" s="32" t="s">
        <v>31441</v>
      </c>
      <c r="D11547" s="32" t="s">
        <v>31442</v>
      </c>
    </row>
    <row r="11548" spans="2:4" x14ac:dyDescent="0.3">
      <c r="B11548" s="33" t="s">
        <v>31443</v>
      </c>
      <c r="C11548" s="32" t="s">
        <v>31444</v>
      </c>
      <c r="D11548" s="32" t="s">
        <v>31443</v>
      </c>
    </row>
    <row r="11549" spans="2:4" x14ac:dyDescent="0.3">
      <c r="B11549" s="33" t="s">
        <v>31445</v>
      </c>
      <c r="C11549" s="32" t="s">
        <v>31446</v>
      </c>
      <c r="D11549" s="32" t="s">
        <v>31447</v>
      </c>
    </row>
    <row r="11550" spans="2:4" x14ac:dyDescent="0.3">
      <c r="B11550" s="33" t="s">
        <v>31445</v>
      </c>
      <c r="C11550" s="32" t="s">
        <v>31448</v>
      </c>
      <c r="D11550" s="32" t="s">
        <v>31449</v>
      </c>
    </row>
    <row r="11551" spans="2:4" x14ac:dyDescent="0.3">
      <c r="B11551" s="33" t="s">
        <v>31450</v>
      </c>
      <c r="C11551" s="32" t="s">
        <v>31451</v>
      </c>
      <c r="D11551" s="32" t="s">
        <v>31450</v>
      </c>
    </row>
    <row r="11552" spans="2:4" x14ac:dyDescent="0.3">
      <c r="B11552" s="33" t="s">
        <v>31452</v>
      </c>
      <c r="C11552" s="32" t="s">
        <v>31453</v>
      </c>
      <c r="D11552" s="32" t="s">
        <v>31454</v>
      </c>
    </row>
    <row r="11553" spans="2:4" x14ac:dyDescent="0.3">
      <c r="B11553" s="33" t="s">
        <v>31455</v>
      </c>
      <c r="C11553" s="32" t="s">
        <v>31456</v>
      </c>
      <c r="D11553" s="32" t="s">
        <v>31457</v>
      </c>
    </row>
    <row r="11554" spans="2:4" x14ac:dyDescent="0.3">
      <c r="B11554" s="33" t="s">
        <v>31458</v>
      </c>
      <c r="C11554" s="32" t="s">
        <v>31459</v>
      </c>
      <c r="D11554" s="32" t="s">
        <v>31460</v>
      </c>
    </row>
    <row r="11555" spans="2:4" x14ac:dyDescent="0.3">
      <c r="B11555" s="33" t="s">
        <v>31461</v>
      </c>
      <c r="C11555" s="32" t="s">
        <v>31462</v>
      </c>
      <c r="D11555" s="32" t="s">
        <v>31463</v>
      </c>
    </row>
    <row r="11556" spans="2:4" x14ac:dyDescent="0.3">
      <c r="B11556" s="33" t="s">
        <v>31464</v>
      </c>
      <c r="C11556" s="32" t="s">
        <v>31465</v>
      </c>
      <c r="D11556" s="32" t="s">
        <v>31464</v>
      </c>
    </row>
    <row r="11557" spans="2:4" x14ac:dyDescent="0.3">
      <c r="B11557" s="33" t="s">
        <v>31466</v>
      </c>
      <c r="C11557" s="32" t="s">
        <v>31467</v>
      </c>
      <c r="D11557" s="32" t="s">
        <v>31468</v>
      </c>
    </row>
    <row r="11558" spans="2:4" x14ac:dyDescent="0.3">
      <c r="B11558" s="33" t="s">
        <v>31469</v>
      </c>
      <c r="C11558" s="32" t="s">
        <v>31470</v>
      </c>
      <c r="D11558" s="32" t="s">
        <v>31471</v>
      </c>
    </row>
    <row r="11559" spans="2:4" x14ac:dyDescent="0.3">
      <c r="B11559" s="33" t="s">
        <v>31473</v>
      </c>
      <c r="C11559" s="32" t="s">
        <v>31474</v>
      </c>
      <c r="D11559" s="32" t="s">
        <v>31475</v>
      </c>
    </row>
    <row r="11560" spans="2:4" x14ac:dyDescent="0.3">
      <c r="B11560" s="33" t="s">
        <v>31476</v>
      </c>
      <c r="C11560" s="32" t="s">
        <v>31477</v>
      </c>
      <c r="D11560" s="32" t="s">
        <v>31478</v>
      </c>
    </row>
    <row r="11561" spans="2:4" x14ac:dyDescent="0.3">
      <c r="B11561" s="33" t="s">
        <v>31479</v>
      </c>
      <c r="C11561" s="32" t="s">
        <v>31480</v>
      </c>
      <c r="D11561" s="32" t="s">
        <v>31481</v>
      </c>
    </row>
    <row r="11562" spans="2:4" x14ac:dyDescent="0.3">
      <c r="B11562" s="33" t="s">
        <v>31482</v>
      </c>
      <c r="C11562" s="32" t="s">
        <v>31483</v>
      </c>
      <c r="D11562" s="32" t="s">
        <v>31484</v>
      </c>
    </row>
    <row r="11563" spans="2:4" x14ac:dyDescent="0.3">
      <c r="B11563" s="33" t="s">
        <v>31485</v>
      </c>
      <c r="C11563" s="32" t="s">
        <v>31486</v>
      </c>
      <c r="D11563" s="32" t="s">
        <v>31487</v>
      </c>
    </row>
    <row r="11564" spans="2:4" x14ac:dyDescent="0.3">
      <c r="B11564" s="33" t="s">
        <v>31488</v>
      </c>
      <c r="C11564" s="32" t="s">
        <v>31489</v>
      </c>
      <c r="D11564" s="32" t="s">
        <v>31490</v>
      </c>
    </row>
    <row r="11565" spans="2:4" x14ac:dyDescent="0.3">
      <c r="B11565" s="33" t="s">
        <v>31491</v>
      </c>
      <c r="C11565" s="32" t="s">
        <v>31492</v>
      </c>
      <c r="D11565" s="32" t="s">
        <v>31493</v>
      </c>
    </row>
    <row r="11566" spans="2:4" x14ac:dyDescent="0.3">
      <c r="B11566" s="33" t="s">
        <v>31494</v>
      </c>
      <c r="C11566" s="32" t="s">
        <v>31495</v>
      </c>
      <c r="D11566" s="32" t="s">
        <v>31496</v>
      </c>
    </row>
    <row r="11567" spans="2:4" x14ac:dyDescent="0.3">
      <c r="B11567" s="33" t="s">
        <v>31497</v>
      </c>
      <c r="C11567" s="32" t="s">
        <v>31498</v>
      </c>
      <c r="D11567" s="32" t="s">
        <v>31499</v>
      </c>
    </row>
    <row r="11568" spans="2:4" x14ac:dyDescent="0.3">
      <c r="B11568" s="33" t="s">
        <v>31500</v>
      </c>
      <c r="C11568" s="32" t="s">
        <v>31501</v>
      </c>
      <c r="D11568" s="32" t="s">
        <v>31502</v>
      </c>
    </row>
    <row r="11569" spans="2:4" x14ac:dyDescent="0.3">
      <c r="B11569" s="33" t="s">
        <v>31503</v>
      </c>
      <c r="C11569" s="32" t="s">
        <v>31504</v>
      </c>
      <c r="D11569" s="32" t="s">
        <v>31505</v>
      </c>
    </row>
    <row r="11570" spans="2:4" x14ac:dyDescent="0.3">
      <c r="B11570" s="33" t="s">
        <v>31500</v>
      </c>
      <c r="C11570" s="32" t="s">
        <v>31506</v>
      </c>
      <c r="D11570" s="32" t="s">
        <v>31507</v>
      </c>
    </row>
    <row r="11571" spans="2:4" x14ac:dyDescent="0.3">
      <c r="B11571" s="33" t="s">
        <v>31508</v>
      </c>
      <c r="C11571" s="32" t="s">
        <v>31509</v>
      </c>
      <c r="D11571" s="32" t="s">
        <v>31510</v>
      </c>
    </row>
    <row r="11572" spans="2:4" x14ac:dyDescent="0.3">
      <c r="B11572" s="33" t="s">
        <v>22860</v>
      </c>
      <c r="C11572" s="32" t="s">
        <v>31511</v>
      </c>
      <c r="D11572" s="32" t="s">
        <v>31512</v>
      </c>
    </row>
    <row r="11573" spans="2:4" x14ac:dyDescent="0.3">
      <c r="B11573" s="33" t="s">
        <v>31513</v>
      </c>
      <c r="C11573" s="32" t="s">
        <v>31514</v>
      </c>
      <c r="D11573" s="32" t="s">
        <v>31515</v>
      </c>
    </row>
    <row r="11574" spans="2:4" x14ac:dyDescent="0.3">
      <c r="B11574" s="33" t="s">
        <v>31516</v>
      </c>
      <c r="C11574" s="32" t="s">
        <v>31517</v>
      </c>
      <c r="D11574" s="32" t="s">
        <v>31518</v>
      </c>
    </row>
    <row r="11575" spans="2:4" x14ac:dyDescent="0.3">
      <c r="B11575" s="33" t="s">
        <v>31519</v>
      </c>
      <c r="C11575" s="32" t="s">
        <v>31520</v>
      </c>
      <c r="D11575" s="32" t="s">
        <v>31521</v>
      </c>
    </row>
    <row r="11576" spans="2:4" x14ac:dyDescent="0.3">
      <c r="B11576" s="33" t="s">
        <v>31522</v>
      </c>
      <c r="C11576" s="32" t="s">
        <v>31523</v>
      </c>
      <c r="D11576" s="32" t="s">
        <v>31524</v>
      </c>
    </row>
    <row r="11577" spans="2:4" x14ac:dyDescent="0.3">
      <c r="B11577" s="33" t="s">
        <v>31525</v>
      </c>
      <c r="C11577" s="32" t="s">
        <v>31526</v>
      </c>
      <c r="D11577" s="32" t="s">
        <v>31527</v>
      </c>
    </row>
    <row r="11578" spans="2:4" x14ac:dyDescent="0.3">
      <c r="B11578" s="33" t="s">
        <v>31528</v>
      </c>
      <c r="C11578" s="32" t="s">
        <v>31529</v>
      </c>
      <c r="D11578" s="32" t="s">
        <v>31528</v>
      </c>
    </row>
    <row r="11579" spans="2:4" x14ac:dyDescent="0.3">
      <c r="B11579" s="33" t="s">
        <v>31530</v>
      </c>
      <c r="C11579" s="32" t="s">
        <v>31531</v>
      </c>
      <c r="D11579" s="32" t="s">
        <v>31532</v>
      </c>
    </row>
    <row r="11580" spans="2:4" x14ac:dyDescent="0.3">
      <c r="B11580" s="33" t="s">
        <v>31533</v>
      </c>
      <c r="C11580" s="32" t="s">
        <v>31534</v>
      </c>
      <c r="D11580" s="32" t="s">
        <v>31535</v>
      </c>
    </row>
    <row r="11581" spans="2:4" x14ac:dyDescent="0.3">
      <c r="B11581" s="33" t="s">
        <v>31536</v>
      </c>
      <c r="C11581" s="32" t="s">
        <v>31537</v>
      </c>
      <c r="D11581" s="32" t="s">
        <v>31538</v>
      </c>
    </row>
    <row r="11582" spans="2:4" x14ac:dyDescent="0.3">
      <c r="B11582" s="33" t="s">
        <v>31539</v>
      </c>
      <c r="C11582" s="32" t="s">
        <v>31540</v>
      </c>
      <c r="D11582" s="32" t="s">
        <v>31541</v>
      </c>
    </row>
    <row r="11583" spans="2:4" x14ac:dyDescent="0.3">
      <c r="B11583" s="33" t="s">
        <v>31530</v>
      </c>
      <c r="C11583" s="32" t="s">
        <v>31542</v>
      </c>
      <c r="D11583" s="32" t="s">
        <v>31543</v>
      </c>
    </row>
    <row r="11584" spans="2:4" x14ac:dyDescent="0.3">
      <c r="B11584" s="33" t="s">
        <v>31544</v>
      </c>
      <c r="C11584" s="32" t="s">
        <v>31545</v>
      </c>
      <c r="D11584" s="32" t="s">
        <v>31546</v>
      </c>
    </row>
    <row r="11585" spans="2:4" x14ac:dyDescent="0.3">
      <c r="B11585" s="33" t="s">
        <v>31547</v>
      </c>
      <c r="C11585" s="32" t="s">
        <v>31548</v>
      </c>
      <c r="D11585" s="32" t="s">
        <v>31547</v>
      </c>
    </row>
    <row r="11586" spans="2:4" x14ac:dyDescent="0.3">
      <c r="B11586" s="33" t="s">
        <v>31549</v>
      </c>
      <c r="C11586" s="32" t="s">
        <v>31550</v>
      </c>
      <c r="D11586" s="32" t="s">
        <v>31551</v>
      </c>
    </row>
    <row r="11587" spans="2:4" x14ac:dyDescent="0.3">
      <c r="B11587" s="33" t="s">
        <v>31552</v>
      </c>
      <c r="C11587" s="32" t="s">
        <v>31553</v>
      </c>
      <c r="D11587" s="32" t="s">
        <v>31554</v>
      </c>
    </row>
    <row r="11588" spans="2:4" x14ac:dyDescent="0.3">
      <c r="B11588" s="33" t="s">
        <v>31546</v>
      </c>
      <c r="C11588" s="32" t="s">
        <v>31555</v>
      </c>
      <c r="D11588" s="32" t="s">
        <v>31556</v>
      </c>
    </row>
    <row r="11589" spans="2:4" x14ac:dyDescent="0.3">
      <c r="B11589" s="33" t="s">
        <v>31546</v>
      </c>
      <c r="C11589" s="32" t="s">
        <v>31557</v>
      </c>
      <c r="D11589" s="32" t="s">
        <v>31558</v>
      </c>
    </row>
    <row r="11590" spans="2:4" x14ac:dyDescent="0.3">
      <c r="B11590" s="33" t="s">
        <v>31559</v>
      </c>
      <c r="C11590" s="32" t="s">
        <v>31560</v>
      </c>
      <c r="D11590" s="32" t="s">
        <v>31561</v>
      </c>
    </row>
    <row r="11591" spans="2:4" x14ac:dyDescent="0.3">
      <c r="B11591" s="33" t="s">
        <v>31562</v>
      </c>
      <c r="C11591" s="32" t="s">
        <v>31563</v>
      </c>
      <c r="D11591" s="32" t="s">
        <v>31564</v>
      </c>
    </row>
    <row r="11592" spans="2:4" x14ac:dyDescent="0.3">
      <c r="B11592" s="33" t="s">
        <v>31565</v>
      </c>
      <c r="C11592" s="32" t="s">
        <v>31566</v>
      </c>
      <c r="D11592" s="32" t="s">
        <v>31567</v>
      </c>
    </row>
    <row r="11593" spans="2:4" x14ac:dyDescent="0.3">
      <c r="B11593" s="33" t="s">
        <v>31568</v>
      </c>
      <c r="C11593" s="32" t="s">
        <v>31569</v>
      </c>
      <c r="D11593" s="32" t="s">
        <v>31570</v>
      </c>
    </row>
    <row r="11594" spans="2:4" x14ac:dyDescent="0.3">
      <c r="B11594" s="33" t="s">
        <v>31571</v>
      </c>
      <c r="C11594" s="32" t="s">
        <v>31572</v>
      </c>
      <c r="D11594" s="32" t="s">
        <v>31573</v>
      </c>
    </row>
    <row r="11595" spans="2:4" x14ac:dyDescent="0.3">
      <c r="B11595" s="33" t="s">
        <v>24418</v>
      </c>
      <c r="C11595" s="32" t="s">
        <v>31574</v>
      </c>
      <c r="D11595" s="32" t="s">
        <v>31575</v>
      </c>
    </row>
    <row r="11596" spans="2:4" x14ac:dyDescent="0.3">
      <c r="B11596" s="33" t="s">
        <v>31576</v>
      </c>
      <c r="C11596" s="32" t="s">
        <v>31577</v>
      </c>
      <c r="D11596" s="32" t="s">
        <v>31578</v>
      </c>
    </row>
    <row r="11597" spans="2:4" x14ac:dyDescent="0.3">
      <c r="B11597" s="33" t="s">
        <v>31579</v>
      </c>
      <c r="C11597" s="32" t="s">
        <v>31580</v>
      </c>
      <c r="D11597" s="32" t="s">
        <v>31581</v>
      </c>
    </row>
    <row r="11598" spans="2:4" x14ac:dyDescent="0.3">
      <c r="B11598" s="33" t="s">
        <v>31582</v>
      </c>
      <c r="C11598" s="32" t="s">
        <v>31583</v>
      </c>
      <c r="D11598" s="32" t="s">
        <v>31584</v>
      </c>
    </row>
    <row r="11599" spans="2:4" x14ac:dyDescent="0.3">
      <c r="B11599" s="33" t="s">
        <v>31585</v>
      </c>
      <c r="C11599" s="32" t="s">
        <v>31586</v>
      </c>
      <c r="D11599" s="32" t="s">
        <v>31587</v>
      </c>
    </row>
    <row r="11600" spans="2:4" x14ac:dyDescent="0.3">
      <c r="B11600" s="33" t="s">
        <v>31585</v>
      </c>
      <c r="C11600" s="32" t="s">
        <v>31588</v>
      </c>
      <c r="D11600" s="32" t="s">
        <v>31585</v>
      </c>
    </row>
    <row r="11601" spans="2:4" x14ac:dyDescent="0.3">
      <c r="B11601" s="33" t="s">
        <v>31589</v>
      </c>
      <c r="C11601" s="32" t="s">
        <v>31590</v>
      </c>
      <c r="D11601" s="32" t="s">
        <v>31591</v>
      </c>
    </row>
    <row r="11602" spans="2:4" x14ac:dyDescent="0.3">
      <c r="B11602" s="33" t="s">
        <v>31592</v>
      </c>
      <c r="C11602" s="32" t="s">
        <v>31593</v>
      </c>
      <c r="D11602" s="32" t="s">
        <v>31594</v>
      </c>
    </row>
    <row r="11603" spans="2:4" x14ac:dyDescent="0.3">
      <c r="B11603" s="33" t="s">
        <v>4664</v>
      </c>
      <c r="C11603" s="32" t="s">
        <v>31595</v>
      </c>
      <c r="D11603" s="32" t="s">
        <v>31596</v>
      </c>
    </row>
    <row r="11604" spans="2:4" x14ac:dyDescent="0.3">
      <c r="B11604" s="33" t="s">
        <v>6936</v>
      </c>
      <c r="C11604" s="32" t="s">
        <v>31597</v>
      </c>
      <c r="D11604" s="32" t="s">
        <v>31598</v>
      </c>
    </row>
    <row r="11605" spans="2:4" x14ac:dyDescent="0.3">
      <c r="B11605" s="33" t="s">
        <v>6767</v>
      </c>
      <c r="C11605" s="32" t="s">
        <v>31599</v>
      </c>
      <c r="D11605" s="32" t="s">
        <v>31600</v>
      </c>
    </row>
    <row r="11606" spans="2:4" x14ac:dyDescent="0.3">
      <c r="B11606" s="33" t="s">
        <v>31601</v>
      </c>
      <c r="C11606" s="32" t="s">
        <v>31602</v>
      </c>
      <c r="D11606" s="32" t="s">
        <v>31603</v>
      </c>
    </row>
    <row r="11607" spans="2:4" x14ac:dyDescent="0.3">
      <c r="B11607" s="33" t="s">
        <v>10917</v>
      </c>
      <c r="C11607" s="32" t="s">
        <v>31604</v>
      </c>
      <c r="D11607" s="32" t="s">
        <v>31605</v>
      </c>
    </row>
    <row r="11608" spans="2:4" x14ac:dyDescent="0.3">
      <c r="B11608" s="33" t="s">
        <v>12104</v>
      </c>
      <c r="C11608" s="32" t="s">
        <v>31606</v>
      </c>
      <c r="D11608" s="32" t="s">
        <v>31607</v>
      </c>
    </row>
    <row r="11609" spans="2:4" x14ac:dyDescent="0.3">
      <c r="B11609" s="33" t="s">
        <v>31608</v>
      </c>
      <c r="C11609" s="32" t="s">
        <v>31609</v>
      </c>
      <c r="D11609" s="32" t="s">
        <v>31610</v>
      </c>
    </row>
    <row r="11610" spans="2:4" x14ac:dyDescent="0.3">
      <c r="B11610" s="33" t="s">
        <v>31611</v>
      </c>
      <c r="C11610" s="32" t="s">
        <v>31612</v>
      </c>
      <c r="D11610" s="32" t="s">
        <v>31613</v>
      </c>
    </row>
    <row r="11611" spans="2:4" x14ac:dyDescent="0.3">
      <c r="B11611" s="33" t="s">
        <v>16836</v>
      </c>
      <c r="C11611" s="32" t="s">
        <v>31614</v>
      </c>
      <c r="D11611" s="32" t="s">
        <v>31615</v>
      </c>
    </row>
    <row r="11612" spans="2:4" x14ac:dyDescent="0.3">
      <c r="B11612" s="33" t="s">
        <v>16785</v>
      </c>
      <c r="C11612" s="32" t="s">
        <v>31616</v>
      </c>
      <c r="D11612" s="32" t="s">
        <v>31617</v>
      </c>
    </row>
    <row r="11613" spans="2:4" x14ac:dyDescent="0.3">
      <c r="B11613" s="33" t="s">
        <v>17102</v>
      </c>
      <c r="C11613" s="32" t="s">
        <v>31618</v>
      </c>
      <c r="D11613" s="32" t="s">
        <v>31619</v>
      </c>
    </row>
    <row r="11614" spans="2:4" x14ac:dyDescent="0.3">
      <c r="B11614" s="33" t="s">
        <v>37365</v>
      </c>
      <c r="C11614" s="32" t="s">
        <v>31620</v>
      </c>
      <c r="D11614" s="32" t="s">
        <v>37366</v>
      </c>
    </row>
    <row r="11615" spans="2:4" x14ac:dyDescent="0.3">
      <c r="B11615" s="33" t="s">
        <v>31621</v>
      </c>
      <c r="C11615" s="32" t="s">
        <v>31622</v>
      </c>
      <c r="D11615" s="32" t="s">
        <v>31623</v>
      </c>
    </row>
    <row r="11616" spans="2:4" x14ac:dyDescent="0.3">
      <c r="B11616" s="33" t="s">
        <v>31624</v>
      </c>
      <c r="C11616" s="32" t="s">
        <v>31625</v>
      </c>
      <c r="D11616" s="32" t="s">
        <v>31626</v>
      </c>
    </row>
    <row r="11617" spans="2:4" x14ac:dyDescent="0.3">
      <c r="B11617" s="33" t="s">
        <v>37264</v>
      </c>
      <c r="C11617" s="32" t="s">
        <v>31627</v>
      </c>
      <c r="D11617" s="32" t="s">
        <v>37367</v>
      </c>
    </row>
    <row r="11618" spans="2:4" x14ac:dyDescent="0.3">
      <c r="B11618" s="33" t="s">
        <v>19332</v>
      </c>
      <c r="C11618" s="32" t="s">
        <v>37368</v>
      </c>
      <c r="D11618" s="32" t="s">
        <v>31628</v>
      </c>
    </row>
    <row r="11619" spans="2:4" x14ac:dyDescent="0.3">
      <c r="B11619" s="33" t="s">
        <v>20285</v>
      </c>
      <c r="C11619" s="32" t="s">
        <v>31629</v>
      </c>
      <c r="D11619" s="32" t="s">
        <v>31630</v>
      </c>
    </row>
    <row r="11620" spans="2:4" x14ac:dyDescent="0.3">
      <c r="B11620" s="33" t="s">
        <v>31631</v>
      </c>
      <c r="C11620" s="32" t="s">
        <v>31632</v>
      </c>
      <c r="D11620" s="32" t="s">
        <v>31633</v>
      </c>
    </row>
    <row r="11621" spans="2:4" x14ac:dyDescent="0.3">
      <c r="B11621" s="33" t="s">
        <v>31634</v>
      </c>
      <c r="C11621" s="32" t="s">
        <v>31635</v>
      </c>
      <c r="D11621" s="32" t="s">
        <v>31636</v>
      </c>
    </row>
    <row r="11622" spans="2:4" x14ac:dyDescent="0.3">
      <c r="B11622" s="33" t="s">
        <v>18736</v>
      </c>
      <c r="C11622" s="32" t="s">
        <v>31637</v>
      </c>
      <c r="D11622" s="32" t="s">
        <v>31638</v>
      </c>
    </row>
    <row r="11623" spans="2:4" x14ac:dyDescent="0.3">
      <c r="B11623" s="33" t="s">
        <v>30342</v>
      </c>
      <c r="C11623" s="32" t="s">
        <v>31639</v>
      </c>
      <c r="D11623" s="32" t="s">
        <v>31640</v>
      </c>
    </row>
    <row r="11624" spans="2:4" x14ac:dyDescent="0.3">
      <c r="B11624" s="33" t="s">
        <v>29144</v>
      </c>
      <c r="C11624" s="32" t="s">
        <v>31641</v>
      </c>
      <c r="D11624" s="32" t="s">
        <v>31642</v>
      </c>
    </row>
    <row r="11625" spans="2:4" x14ac:dyDescent="0.3">
      <c r="B11625" s="33" t="s">
        <v>29454</v>
      </c>
      <c r="C11625" s="32" t="s">
        <v>31643</v>
      </c>
      <c r="D11625" s="32" t="s">
        <v>31644</v>
      </c>
    </row>
    <row r="11626" spans="2:4" x14ac:dyDescent="0.3">
      <c r="B11626" s="33" t="s">
        <v>31645</v>
      </c>
      <c r="C11626" s="32" t="s">
        <v>31646</v>
      </c>
      <c r="D11626" s="32" t="s">
        <v>31647</v>
      </c>
    </row>
    <row r="11627" spans="2:4" x14ac:dyDescent="0.3">
      <c r="B11627" s="33" t="s">
        <v>37369</v>
      </c>
      <c r="C11627" s="32" t="s">
        <v>31649</v>
      </c>
      <c r="D11627" s="32" t="s">
        <v>37370</v>
      </c>
    </row>
    <row r="11628" spans="2:4" x14ac:dyDescent="0.3">
      <c r="B11628" s="33" t="s">
        <v>31648</v>
      </c>
      <c r="C11628" s="32" t="s">
        <v>31650</v>
      </c>
      <c r="D11628" s="32" t="s">
        <v>31651</v>
      </c>
    </row>
    <row r="11629" spans="2:4" x14ac:dyDescent="0.3">
      <c r="B11629" s="33" t="s">
        <v>31652</v>
      </c>
      <c r="C11629" s="32" t="s">
        <v>31653</v>
      </c>
      <c r="D11629" s="32" t="s">
        <v>31654</v>
      </c>
    </row>
    <row r="11630" spans="2:4" x14ac:dyDescent="0.3">
      <c r="B11630" s="33" t="s">
        <v>31655</v>
      </c>
      <c r="C11630" s="32" t="s">
        <v>31656</v>
      </c>
      <c r="D11630" s="32" t="s">
        <v>31657</v>
      </c>
    </row>
    <row r="11631" spans="2:4" x14ac:dyDescent="0.3">
      <c r="B11631" s="33" t="s">
        <v>31658</v>
      </c>
      <c r="C11631" s="32" t="s">
        <v>31659</v>
      </c>
      <c r="D11631" s="32" t="s">
        <v>31660</v>
      </c>
    </row>
    <row r="11632" spans="2:4" x14ac:dyDescent="0.3">
      <c r="B11632" s="33" t="s">
        <v>31661</v>
      </c>
      <c r="C11632" s="32" t="s">
        <v>31662</v>
      </c>
      <c r="D11632" s="32" t="s">
        <v>31663</v>
      </c>
    </row>
    <row r="11633" spans="2:4" x14ac:dyDescent="0.3">
      <c r="B11633" s="33" t="s">
        <v>31664</v>
      </c>
      <c r="C11633" s="32" t="s">
        <v>31665</v>
      </c>
      <c r="D11633" s="32" t="s">
        <v>31666</v>
      </c>
    </row>
    <row r="11634" spans="2:4" x14ac:dyDescent="0.3">
      <c r="B11634" s="33" t="s">
        <v>31667</v>
      </c>
      <c r="C11634" s="32" t="s">
        <v>31668</v>
      </c>
      <c r="D11634" s="32" t="s">
        <v>31669</v>
      </c>
    </row>
    <row r="11635" spans="2:4" x14ac:dyDescent="0.3">
      <c r="B11635" s="33" t="s">
        <v>31670</v>
      </c>
      <c r="C11635" s="32" t="s">
        <v>31671</v>
      </c>
      <c r="D11635" s="32" t="s">
        <v>31672</v>
      </c>
    </row>
    <row r="11636" spans="2:4" x14ac:dyDescent="0.3">
      <c r="B11636" s="33" t="s">
        <v>19</v>
      </c>
      <c r="C11636" s="32" t="s">
        <v>31673</v>
      </c>
      <c r="D11636" s="32" t="s">
        <v>20</v>
      </c>
    </row>
    <row r="11637" spans="2:4" x14ac:dyDescent="0.3">
      <c r="B11637" s="33" t="s">
        <v>31674</v>
      </c>
      <c r="C11637" s="32" t="s">
        <v>31675</v>
      </c>
      <c r="D11637" s="32" t="s">
        <v>31676</v>
      </c>
    </row>
    <row r="11638" spans="2:4" x14ac:dyDescent="0.3">
      <c r="B11638" s="33" t="s">
        <v>31677</v>
      </c>
      <c r="C11638" s="32" t="s">
        <v>31678</v>
      </c>
      <c r="D11638" s="32" t="s">
        <v>31679</v>
      </c>
    </row>
    <row r="11639" spans="2:4" x14ac:dyDescent="0.3">
      <c r="B11639" s="33" t="s">
        <v>31680</v>
      </c>
      <c r="C11639" s="32" t="s">
        <v>31681</v>
      </c>
      <c r="D11639" s="32" t="s">
        <v>31682</v>
      </c>
    </row>
    <row r="11640" spans="2:4" x14ac:dyDescent="0.3">
      <c r="B11640" s="33" t="s">
        <v>31683</v>
      </c>
      <c r="C11640" s="32" t="s">
        <v>31684</v>
      </c>
      <c r="D11640" s="32" t="s">
        <v>31685</v>
      </c>
    </row>
    <row r="11641" spans="2:4" x14ac:dyDescent="0.3">
      <c r="B11641" s="33" t="s">
        <v>31686</v>
      </c>
      <c r="C11641" s="32" t="s">
        <v>31687</v>
      </c>
      <c r="D11641" s="32" t="s">
        <v>31688</v>
      </c>
    </row>
    <row r="11642" spans="2:4" x14ac:dyDescent="0.3">
      <c r="B11642" s="33" t="s">
        <v>31689</v>
      </c>
      <c r="C11642" s="32" t="s">
        <v>31690</v>
      </c>
      <c r="D11642" s="32" t="s">
        <v>31691</v>
      </c>
    </row>
    <row r="11643" spans="2:4" x14ac:dyDescent="0.3">
      <c r="B11643" s="33" t="s">
        <v>31692</v>
      </c>
      <c r="C11643" s="32" t="s">
        <v>31693</v>
      </c>
      <c r="D11643" s="32" t="s">
        <v>31694</v>
      </c>
    </row>
    <row r="11644" spans="2:4" x14ac:dyDescent="0.3">
      <c r="B11644" s="33" t="s">
        <v>31695</v>
      </c>
      <c r="C11644" s="32" t="s">
        <v>31696</v>
      </c>
      <c r="D11644" s="32" t="s">
        <v>31697</v>
      </c>
    </row>
    <row r="11645" spans="2:4" x14ac:dyDescent="0.3">
      <c r="B11645" s="33" t="s">
        <v>31698</v>
      </c>
      <c r="C11645" s="32" t="s">
        <v>31699</v>
      </c>
      <c r="D11645" s="32" t="s">
        <v>31700</v>
      </c>
    </row>
    <row r="11646" spans="2:4" x14ac:dyDescent="0.3">
      <c r="B11646" s="33" t="s">
        <v>31701</v>
      </c>
      <c r="C11646" s="32" t="s">
        <v>31702</v>
      </c>
      <c r="D11646" s="32" t="s">
        <v>31703</v>
      </c>
    </row>
    <row r="11647" spans="2:4" x14ac:dyDescent="0.3">
      <c r="B11647" s="33" t="s">
        <v>31704</v>
      </c>
      <c r="C11647" s="32" t="s">
        <v>31705</v>
      </c>
      <c r="D11647" s="32" t="s">
        <v>31704</v>
      </c>
    </row>
    <row r="11648" spans="2:4" x14ac:dyDescent="0.3">
      <c r="B11648" s="33" t="s">
        <v>31706</v>
      </c>
      <c r="C11648" s="32" t="s">
        <v>31707</v>
      </c>
      <c r="D11648" s="32" t="s">
        <v>31708</v>
      </c>
    </row>
    <row r="11649" spans="2:4" x14ac:dyDescent="0.3">
      <c r="B11649" s="33" t="s">
        <v>147</v>
      </c>
      <c r="C11649" s="32" t="s">
        <v>31709</v>
      </c>
      <c r="D11649" s="32" t="s">
        <v>148</v>
      </c>
    </row>
    <row r="11650" spans="2:4" x14ac:dyDescent="0.3">
      <c r="B11650" s="33" t="s">
        <v>31710</v>
      </c>
      <c r="C11650" s="32" t="s">
        <v>31711</v>
      </c>
      <c r="D11650" s="32" t="s">
        <v>31710</v>
      </c>
    </row>
    <row r="11651" spans="2:4" x14ac:dyDescent="0.3">
      <c r="B11651" s="33" t="s">
        <v>31712</v>
      </c>
      <c r="C11651" s="32" t="s">
        <v>31713</v>
      </c>
      <c r="D11651" s="32" t="s">
        <v>31714</v>
      </c>
    </row>
    <row r="11652" spans="2:4" x14ac:dyDescent="0.3">
      <c r="B11652" s="33" t="s">
        <v>31715</v>
      </c>
      <c r="C11652" s="32" t="s">
        <v>31716</v>
      </c>
      <c r="D11652" s="32" t="s">
        <v>31717</v>
      </c>
    </row>
    <row r="11653" spans="2:4" x14ac:dyDescent="0.3">
      <c r="B11653" s="33" t="s">
        <v>31718</v>
      </c>
      <c r="C11653" s="32" t="s">
        <v>31719</v>
      </c>
      <c r="D11653" s="32" t="s">
        <v>31720</v>
      </c>
    </row>
    <row r="11654" spans="2:4" x14ac:dyDescent="0.3">
      <c r="B11654" s="33" t="s">
        <v>31721</v>
      </c>
      <c r="C11654" s="32" t="s">
        <v>31722</v>
      </c>
      <c r="D11654" s="32" t="s">
        <v>31723</v>
      </c>
    </row>
    <row r="11655" spans="2:4" x14ac:dyDescent="0.3">
      <c r="B11655" s="33" t="s">
        <v>31724</v>
      </c>
      <c r="C11655" s="32" t="s">
        <v>31725</v>
      </c>
      <c r="D11655" s="32" t="s">
        <v>31726</v>
      </c>
    </row>
    <row r="11656" spans="2:4" x14ac:dyDescent="0.3">
      <c r="B11656" s="33" t="s">
        <v>11744</v>
      </c>
      <c r="C11656" s="32" t="s">
        <v>31727</v>
      </c>
      <c r="D11656" s="32" t="s">
        <v>31728</v>
      </c>
    </row>
    <row r="11657" spans="2:4" x14ac:dyDescent="0.3">
      <c r="B11657" s="33" t="s">
        <v>31729</v>
      </c>
      <c r="C11657" s="32" t="s">
        <v>31730</v>
      </c>
      <c r="D11657" s="32" t="s">
        <v>31731</v>
      </c>
    </row>
    <row r="11658" spans="2:4" x14ac:dyDescent="0.3">
      <c r="B11658" s="33" t="s">
        <v>4204</v>
      </c>
      <c r="C11658" s="32" t="s">
        <v>36652</v>
      </c>
      <c r="D11658" s="32" t="s">
        <v>36653</v>
      </c>
    </row>
    <row r="11659" spans="2:4" x14ac:dyDescent="0.3">
      <c r="B11659" s="33" t="s">
        <v>4425</v>
      </c>
      <c r="C11659" s="32" t="s">
        <v>31732</v>
      </c>
      <c r="D11659" s="32" t="s">
        <v>31733</v>
      </c>
    </row>
    <row r="11660" spans="2:4" x14ac:dyDescent="0.3">
      <c r="B11660" s="33" t="s">
        <v>31734</v>
      </c>
      <c r="C11660" s="32" t="s">
        <v>31735</v>
      </c>
      <c r="D11660" s="32" t="s">
        <v>31736</v>
      </c>
    </row>
    <row r="11661" spans="2:4" x14ac:dyDescent="0.3">
      <c r="B11661" s="33" t="s">
        <v>31737</v>
      </c>
      <c r="C11661" s="32" t="s">
        <v>31738</v>
      </c>
      <c r="D11661" s="32" t="s">
        <v>31739</v>
      </c>
    </row>
    <row r="11662" spans="2:4" x14ac:dyDescent="0.3">
      <c r="B11662" s="33" t="s">
        <v>31740</v>
      </c>
      <c r="C11662" s="32" t="s">
        <v>31741</v>
      </c>
      <c r="D11662" s="32" t="s">
        <v>31742</v>
      </c>
    </row>
    <row r="11663" spans="2:4" x14ac:dyDescent="0.3">
      <c r="B11663" s="33" t="s">
        <v>31743</v>
      </c>
      <c r="C11663" s="32" t="s">
        <v>31744</v>
      </c>
      <c r="D11663" s="32" t="s">
        <v>31745</v>
      </c>
    </row>
    <row r="11664" spans="2:4" x14ac:dyDescent="0.3">
      <c r="B11664" s="33" t="s">
        <v>31746</v>
      </c>
      <c r="C11664" s="32" t="s">
        <v>31747</v>
      </c>
      <c r="D11664" s="32" t="s">
        <v>31748</v>
      </c>
    </row>
    <row r="11665" spans="2:4" x14ac:dyDescent="0.3">
      <c r="B11665" s="33" t="s">
        <v>31749</v>
      </c>
      <c r="C11665" s="32" t="s">
        <v>31750</v>
      </c>
      <c r="D11665" s="32" t="s">
        <v>31751</v>
      </c>
    </row>
    <row r="11666" spans="2:4" x14ac:dyDescent="0.3">
      <c r="B11666" s="33" t="s">
        <v>6814</v>
      </c>
      <c r="C11666" s="32" t="s">
        <v>31752</v>
      </c>
      <c r="D11666" s="32" t="s">
        <v>31753</v>
      </c>
    </row>
    <row r="11667" spans="2:4" x14ac:dyDescent="0.3">
      <c r="B11667" s="33" t="s">
        <v>31754</v>
      </c>
      <c r="C11667" s="32" t="s">
        <v>31755</v>
      </c>
      <c r="D11667" s="32" t="s">
        <v>31756</v>
      </c>
    </row>
    <row r="11668" spans="2:4" x14ac:dyDescent="0.3">
      <c r="B11668" s="33" t="s">
        <v>31757</v>
      </c>
      <c r="C11668" s="32" t="s">
        <v>31758</v>
      </c>
      <c r="D11668" s="32" t="s">
        <v>31759</v>
      </c>
    </row>
    <row r="11669" spans="2:4" x14ac:dyDescent="0.3">
      <c r="B11669" s="33" t="s">
        <v>31754</v>
      </c>
      <c r="C11669" s="32" t="s">
        <v>31760</v>
      </c>
      <c r="D11669" s="32" t="s">
        <v>31761</v>
      </c>
    </row>
    <row r="11670" spans="2:4" x14ac:dyDescent="0.3">
      <c r="B11670" s="33" t="s">
        <v>31762</v>
      </c>
      <c r="C11670" s="32" t="s">
        <v>31763</v>
      </c>
      <c r="D11670" s="32" t="s">
        <v>31764</v>
      </c>
    </row>
    <row r="11671" spans="2:4" x14ac:dyDescent="0.3">
      <c r="B11671" s="33" t="s">
        <v>31765</v>
      </c>
      <c r="C11671" s="32" t="s">
        <v>31766</v>
      </c>
      <c r="D11671" s="32" t="s">
        <v>31767</v>
      </c>
    </row>
    <row r="11672" spans="2:4" x14ac:dyDescent="0.3">
      <c r="B11672" s="33" t="s">
        <v>31768</v>
      </c>
      <c r="C11672" s="32" t="s">
        <v>31769</v>
      </c>
      <c r="D11672" s="32" t="s">
        <v>31770</v>
      </c>
    </row>
    <row r="11673" spans="2:4" x14ac:dyDescent="0.3">
      <c r="B11673" s="33" t="s">
        <v>31771</v>
      </c>
      <c r="C11673" s="32" t="s">
        <v>31772</v>
      </c>
      <c r="D11673" s="32" t="s">
        <v>31773</v>
      </c>
    </row>
    <row r="11674" spans="2:4" x14ac:dyDescent="0.3">
      <c r="B11674" s="33" t="s">
        <v>9036</v>
      </c>
      <c r="C11674" s="32" t="s">
        <v>31774</v>
      </c>
      <c r="D11674" s="32" t="s">
        <v>31775</v>
      </c>
    </row>
    <row r="11675" spans="2:4" x14ac:dyDescent="0.3">
      <c r="B11675" s="33" t="s">
        <v>8335</v>
      </c>
      <c r="C11675" s="32" t="s">
        <v>31776</v>
      </c>
      <c r="D11675" s="32" t="s">
        <v>31777</v>
      </c>
    </row>
    <row r="11676" spans="2:4" x14ac:dyDescent="0.3">
      <c r="B11676" s="33" t="s">
        <v>31778</v>
      </c>
      <c r="C11676" s="32" t="s">
        <v>31779</v>
      </c>
      <c r="D11676" s="32" t="s">
        <v>31780</v>
      </c>
    </row>
    <row r="11677" spans="2:4" x14ac:dyDescent="0.3">
      <c r="B11677" s="33" t="s">
        <v>31781</v>
      </c>
      <c r="C11677" s="32" t="s">
        <v>31782</v>
      </c>
      <c r="D11677" s="32" t="s">
        <v>31783</v>
      </c>
    </row>
    <row r="11678" spans="2:4" x14ac:dyDescent="0.3">
      <c r="B11678" s="33" t="s">
        <v>10328</v>
      </c>
      <c r="C11678" s="32" t="s">
        <v>31784</v>
      </c>
      <c r="D11678" s="32" t="s">
        <v>31785</v>
      </c>
    </row>
    <row r="11679" spans="2:4" x14ac:dyDescent="0.3">
      <c r="B11679" s="33" t="s">
        <v>11003</v>
      </c>
      <c r="C11679" s="32" t="s">
        <v>31786</v>
      </c>
      <c r="D11679" s="32" t="s">
        <v>31787</v>
      </c>
    </row>
    <row r="11680" spans="2:4" x14ac:dyDescent="0.3">
      <c r="B11680" s="33" t="s">
        <v>31788</v>
      </c>
      <c r="C11680" s="32" t="s">
        <v>31789</v>
      </c>
      <c r="D11680" s="32" t="s">
        <v>31790</v>
      </c>
    </row>
    <row r="11681" spans="2:4" x14ac:dyDescent="0.3">
      <c r="B11681" s="33" t="s">
        <v>11542</v>
      </c>
      <c r="C11681" s="32" t="s">
        <v>31791</v>
      </c>
      <c r="D11681" s="32" t="s">
        <v>31792</v>
      </c>
    </row>
    <row r="11682" spans="2:4" x14ac:dyDescent="0.3">
      <c r="B11682" s="33" t="s">
        <v>11448</v>
      </c>
      <c r="C11682" s="32" t="s">
        <v>31793</v>
      </c>
      <c r="D11682" s="32" t="s">
        <v>31794</v>
      </c>
    </row>
    <row r="11683" spans="2:4" x14ac:dyDescent="0.3">
      <c r="B11683" s="33" t="s">
        <v>31795</v>
      </c>
      <c r="C11683" s="32" t="s">
        <v>31796</v>
      </c>
      <c r="D11683" s="32" t="s">
        <v>31797</v>
      </c>
    </row>
    <row r="11684" spans="2:4" x14ac:dyDescent="0.3">
      <c r="B11684" s="33" t="s">
        <v>31798</v>
      </c>
      <c r="C11684" s="32" t="s">
        <v>31799</v>
      </c>
      <c r="D11684" s="32" t="s">
        <v>31800</v>
      </c>
    </row>
    <row r="11685" spans="2:4" x14ac:dyDescent="0.3">
      <c r="B11685" s="33" t="s">
        <v>31801</v>
      </c>
      <c r="C11685" s="32" t="s">
        <v>31802</v>
      </c>
      <c r="D11685" s="32" t="s">
        <v>31803</v>
      </c>
    </row>
    <row r="11686" spans="2:4" x14ac:dyDescent="0.3">
      <c r="B11686" s="33" t="s">
        <v>31804</v>
      </c>
      <c r="C11686" s="32" t="s">
        <v>31805</v>
      </c>
      <c r="D11686" s="32" t="s">
        <v>31806</v>
      </c>
    </row>
    <row r="11687" spans="2:4" x14ac:dyDescent="0.3">
      <c r="B11687" s="33" t="s">
        <v>31798</v>
      </c>
      <c r="C11687" s="32" t="s">
        <v>31807</v>
      </c>
      <c r="D11687" s="32" t="s">
        <v>31808</v>
      </c>
    </row>
    <row r="11688" spans="2:4" x14ac:dyDescent="0.3">
      <c r="B11688" s="33" t="s">
        <v>31809</v>
      </c>
      <c r="C11688" s="32" t="s">
        <v>31810</v>
      </c>
      <c r="D11688" s="32" t="s">
        <v>31811</v>
      </c>
    </row>
    <row r="11689" spans="2:4" x14ac:dyDescent="0.3">
      <c r="B11689" s="33" t="s">
        <v>31812</v>
      </c>
      <c r="C11689" s="32" t="s">
        <v>31813</v>
      </c>
      <c r="D11689" s="32" t="s">
        <v>31814</v>
      </c>
    </row>
    <row r="11690" spans="2:4" x14ac:dyDescent="0.3">
      <c r="B11690" s="33" t="s">
        <v>1816</v>
      </c>
      <c r="C11690" s="32" t="s">
        <v>31815</v>
      </c>
      <c r="D11690" s="32" t="s">
        <v>31816</v>
      </c>
    </row>
    <row r="11691" spans="2:4" x14ac:dyDescent="0.3">
      <c r="B11691" s="33" t="s">
        <v>31817</v>
      </c>
      <c r="C11691" s="32" t="s">
        <v>31818</v>
      </c>
      <c r="D11691" s="32" t="s">
        <v>31819</v>
      </c>
    </row>
    <row r="11692" spans="2:4" x14ac:dyDescent="0.3">
      <c r="B11692" s="33" t="s">
        <v>14575</v>
      </c>
      <c r="C11692" s="32" t="s">
        <v>31820</v>
      </c>
      <c r="D11692" s="32" t="s">
        <v>31821</v>
      </c>
    </row>
    <row r="11693" spans="2:4" x14ac:dyDescent="0.3">
      <c r="B11693" s="33" t="s">
        <v>14575</v>
      </c>
      <c r="C11693" s="32" t="s">
        <v>31822</v>
      </c>
      <c r="D11693" s="32" t="s">
        <v>31823</v>
      </c>
    </row>
    <row r="11694" spans="2:4" x14ac:dyDescent="0.3">
      <c r="B11694" s="33" t="s">
        <v>31824</v>
      </c>
      <c r="C11694" s="32" t="s">
        <v>31825</v>
      </c>
      <c r="D11694" s="32" t="s">
        <v>31826</v>
      </c>
    </row>
    <row r="11695" spans="2:4" x14ac:dyDescent="0.3">
      <c r="B11695" s="33" t="s">
        <v>31827</v>
      </c>
      <c r="C11695" s="32" t="s">
        <v>31828</v>
      </c>
      <c r="D11695" s="32" t="s">
        <v>31829</v>
      </c>
    </row>
    <row r="11696" spans="2:4" x14ac:dyDescent="0.3">
      <c r="B11696" s="33" t="s">
        <v>31830</v>
      </c>
      <c r="C11696" s="32" t="s">
        <v>31831</v>
      </c>
      <c r="D11696" s="32" t="s">
        <v>31832</v>
      </c>
    </row>
    <row r="11697" spans="2:4" x14ac:dyDescent="0.3">
      <c r="B11697" s="33" t="s">
        <v>16342</v>
      </c>
      <c r="C11697" s="32" t="s">
        <v>31833</v>
      </c>
      <c r="D11697" s="32" t="s">
        <v>31834</v>
      </c>
    </row>
    <row r="11698" spans="2:4" x14ac:dyDescent="0.3">
      <c r="B11698" s="33" t="s">
        <v>31835</v>
      </c>
      <c r="C11698" s="32" t="s">
        <v>31836</v>
      </c>
      <c r="D11698" s="32" t="s">
        <v>31837</v>
      </c>
    </row>
    <row r="11699" spans="2:4" x14ac:dyDescent="0.3">
      <c r="B11699" s="33" t="s">
        <v>31838</v>
      </c>
      <c r="C11699" s="32" t="s">
        <v>31839</v>
      </c>
      <c r="D11699" s="32" t="s">
        <v>31840</v>
      </c>
    </row>
    <row r="11700" spans="2:4" x14ac:dyDescent="0.3">
      <c r="B11700" s="33" t="s">
        <v>31841</v>
      </c>
      <c r="C11700" s="32" t="s">
        <v>31842</v>
      </c>
      <c r="D11700" s="32" t="s">
        <v>31843</v>
      </c>
    </row>
    <row r="11701" spans="2:4" x14ac:dyDescent="0.3">
      <c r="B11701" s="33" t="s">
        <v>31844</v>
      </c>
      <c r="C11701" s="32" t="s">
        <v>31845</v>
      </c>
      <c r="D11701" s="32" t="s">
        <v>31846</v>
      </c>
    </row>
    <row r="11702" spans="2:4" x14ac:dyDescent="0.3">
      <c r="B11702" s="33" t="s">
        <v>31847</v>
      </c>
      <c r="C11702" s="32" t="s">
        <v>31848</v>
      </c>
      <c r="D11702" s="32" t="s">
        <v>31849</v>
      </c>
    </row>
    <row r="11703" spans="2:4" x14ac:dyDescent="0.3">
      <c r="B11703" s="33" t="s">
        <v>31850</v>
      </c>
      <c r="C11703" s="32" t="s">
        <v>31851</v>
      </c>
      <c r="D11703" s="32" t="s">
        <v>31852</v>
      </c>
    </row>
    <row r="11704" spans="2:4" x14ac:dyDescent="0.3">
      <c r="B11704" s="33" t="s">
        <v>31853</v>
      </c>
      <c r="C11704" s="32" t="s">
        <v>31854</v>
      </c>
      <c r="D11704" s="32" t="s">
        <v>31855</v>
      </c>
    </row>
    <row r="11705" spans="2:4" x14ac:dyDescent="0.3">
      <c r="B11705" s="33" t="s">
        <v>31856</v>
      </c>
      <c r="C11705" s="32" t="s">
        <v>31857</v>
      </c>
      <c r="D11705" s="32" t="s">
        <v>31858</v>
      </c>
    </row>
    <row r="11706" spans="2:4" x14ac:dyDescent="0.3">
      <c r="B11706" s="33" t="s">
        <v>31859</v>
      </c>
      <c r="C11706" s="32" t="s">
        <v>31860</v>
      </c>
      <c r="D11706" s="32" t="s">
        <v>31861</v>
      </c>
    </row>
    <row r="11707" spans="2:4" x14ac:dyDescent="0.3">
      <c r="B11707" s="33" t="s">
        <v>31862</v>
      </c>
      <c r="C11707" s="32" t="s">
        <v>31863</v>
      </c>
      <c r="D11707" s="32" t="s">
        <v>31864</v>
      </c>
    </row>
    <row r="11708" spans="2:4" x14ac:dyDescent="0.3">
      <c r="B11708" s="33" t="s">
        <v>31865</v>
      </c>
      <c r="C11708" s="32" t="s">
        <v>31866</v>
      </c>
      <c r="D11708" s="32" t="s">
        <v>31867</v>
      </c>
    </row>
    <row r="11709" spans="2:4" x14ac:dyDescent="0.3">
      <c r="B11709" s="33" t="s">
        <v>31868</v>
      </c>
      <c r="C11709" s="32" t="s">
        <v>31869</v>
      </c>
      <c r="D11709" s="32" t="s">
        <v>31870</v>
      </c>
    </row>
    <row r="11710" spans="2:4" x14ac:dyDescent="0.3">
      <c r="B11710" s="33" t="s">
        <v>14214</v>
      </c>
      <c r="C11710" s="32" t="s">
        <v>31871</v>
      </c>
      <c r="D11710" s="32" t="s">
        <v>31872</v>
      </c>
    </row>
    <row r="11711" spans="2:4" x14ac:dyDescent="0.3">
      <c r="B11711" s="33" t="s">
        <v>2762</v>
      </c>
      <c r="C11711" s="32" t="s">
        <v>31873</v>
      </c>
      <c r="D11711" s="32" t="s">
        <v>31874</v>
      </c>
    </row>
    <row r="11712" spans="2:4" x14ac:dyDescent="0.3">
      <c r="B11712" s="33" t="s">
        <v>31875</v>
      </c>
      <c r="C11712" s="32" t="s">
        <v>31876</v>
      </c>
      <c r="D11712" s="32" t="s">
        <v>31877</v>
      </c>
    </row>
    <row r="11713" spans="2:4" x14ac:dyDescent="0.3">
      <c r="B11713" s="33" t="s">
        <v>21689</v>
      </c>
      <c r="C11713" s="32" t="s">
        <v>31878</v>
      </c>
      <c r="D11713" s="32" t="s">
        <v>31879</v>
      </c>
    </row>
    <row r="11714" spans="2:4" x14ac:dyDescent="0.3">
      <c r="B11714" s="33" t="s">
        <v>31880</v>
      </c>
      <c r="C11714" s="32" t="s">
        <v>31881</v>
      </c>
      <c r="D11714" s="32" t="s">
        <v>31882</v>
      </c>
    </row>
    <row r="11715" spans="2:4" x14ac:dyDescent="0.3">
      <c r="B11715" s="33" t="s">
        <v>31883</v>
      </c>
      <c r="C11715" s="32" t="s">
        <v>31884</v>
      </c>
      <c r="D11715" s="32" t="s">
        <v>31885</v>
      </c>
    </row>
    <row r="11716" spans="2:4" x14ac:dyDescent="0.3">
      <c r="B11716" s="33" t="s">
        <v>31886</v>
      </c>
      <c r="C11716" s="32" t="s">
        <v>31887</v>
      </c>
      <c r="D11716" s="32" t="s">
        <v>31888</v>
      </c>
    </row>
    <row r="11717" spans="2:4" x14ac:dyDescent="0.3">
      <c r="B11717" s="33" t="s">
        <v>22456</v>
      </c>
      <c r="C11717" s="32" t="s">
        <v>31889</v>
      </c>
      <c r="D11717" s="32" t="s">
        <v>31890</v>
      </c>
    </row>
    <row r="11718" spans="2:4" x14ac:dyDescent="0.3">
      <c r="B11718" s="33" t="s">
        <v>31891</v>
      </c>
      <c r="C11718" s="32" t="s">
        <v>31892</v>
      </c>
      <c r="D11718" s="32" t="s">
        <v>31893</v>
      </c>
    </row>
    <row r="11719" spans="2:4" x14ac:dyDescent="0.3">
      <c r="B11719" s="33" t="s">
        <v>9222</v>
      </c>
      <c r="C11719" s="32" t="s">
        <v>31894</v>
      </c>
      <c r="D11719" s="32" t="s">
        <v>31895</v>
      </c>
    </row>
    <row r="11720" spans="2:4" x14ac:dyDescent="0.3">
      <c r="B11720" s="33" t="s">
        <v>31896</v>
      </c>
      <c r="C11720" s="32" t="s">
        <v>31897</v>
      </c>
      <c r="D11720" s="32" t="s">
        <v>31898</v>
      </c>
    </row>
    <row r="11721" spans="2:4" x14ac:dyDescent="0.3">
      <c r="B11721" s="33" t="s">
        <v>31899</v>
      </c>
      <c r="C11721" s="32" t="s">
        <v>31900</v>
      </c>
      <c r="D11721" s="32" t="s">
        <v>31901</v>
      </c>
    </row>
    <row r="11722" spans="2:4" x14ac:dyDescent="0.3">
      <c r="B11722" s="33" t="s">
        <v>31824</v>
      </c>
      <c r="C11722" s="32" t="s">
        <v>31902</v>
      </c>
      <c r="D11722" s="32" t="s">
        <v>31903</v>
      </c>
    </row>
    <row r="11723" spans="2:4" x14ac:dyDescent="0.3">
      <c r="B11723" s="33" t="s">
        <v>31904</v>
      </c>
      <c r="C11723" s="32" t="s">
        <v>31905</v>
      </c>
      <c r="D11723" s="32" t="s">
        <v>31906</v>
      </c>
    </row>
    <row r="11724" spans="2:4" x14ac:dyDescent="0.3">
      <c r="B11724" s="33" t="s">
        <v>31907</v>
      </c>
      <c r="C11724" s="32" t="s">
        <v>31908</v>
      </c>
      <c r="D11724" s="32" t="s">
        <v>31909</v>
      </c>
    </row>
    <row r="11725" spans="2:4" x14ac:dyDescent="0.3">
      <c r="B11725" s="33" t="s">
        <v>31910</v>
      </c>
      <c r="C11725" s="32" t="s">
        <v>31911</v>
      </c>
      <c r="D11725" s="32" t="s">
        <v>31912</v>
      </c>
    </row>
    <row r="11726" spans="2:4" x14ac:dyDescent="0.3">
      <c r="B11726" s="33" t="s">
        <v>31913</v>
      </c>
      <c r="C11726" s="32" t="s">
        <v>31914</v>
      </c>
      <c r="D11726" s="32" t="s">
        <v>31915</v>
      </c>
    </row>
    <row r="11727" spans="2:4" x14ac:dyDescent="0.3">
      <c r="B11727" s="33" t="s">
        <v>12887</v>
      </c>
      <c r="C11727" s="32" t="s">
        <v>31916</v>
      </c>
      <c r="D11727" s="32" t="s">
        <v>31917</v>
      </c>
    </row>
    <row r="11728" spans="2:4" x14ac:dyDescent="0.3">
      <c r="B11728" s="33" t="s">
        <v>31918</v>
      </c>
      <c r="C11728" s="32" t="s">
        <v>31919</v>
      </c>
      <c r="D11728" s="32" t="s">
        <v>31920</v>
      </c>
    </row>
    <row r="11729" spans="2:4" x14ac:dyDescent="0.3">
      <c r="B11729" s="33" t="s">
        <v>31921</v>
      </c>
      <c r="C11729" s="32" t="s">
        <v>31922</v>
      </c>
      <c r="D11729" s="32" t="s">
        <v>31923</v>
      </c>
    </row>
    <row r="11730" spans="2:4" x14ac:dyDescent="0.3">
      <c r="B11730" s="33" t="s">
        <v>31924</v>
      </c>
      <c r="C11730" s="32" t="s">
        <v>31925</v>
      </c>
      <c r="D11730" s="32" t="s">
        <v>31926</v>
      </c>
    </row>
    <row r="11731" spans="2:4" x14ac:dyDescent="0.3">
      <c r="B11731" s="33" t="s">
        <v>31927</v>
      </c>
      <c r="C11731" s="32" t="s">
        <v>31928</v>
      </c>
      <c r="D11731" s="32" t="s">
        <v>31929</v>
      </c>
    </row>
    <row r="11732" spans="2:4" x14ac:dyDescent="0.3">
      <c r="B11732" s="33" t="s">
        <v>31930</v>
      </c>
      <c r="C11732" s="32" t="s">
        <v>31931</v>
      </c>
      <c r="D11732" s="32" t="s">
        <v>31932</v>
      </c>
    </row>
    <row r="11733" spans="2:4" x14ac:dyDescent="0.3">
      <c r="B11733" s="33" t="s">
        <v>31933</v>
      </c>
      <c r="C11733" s="32" t="s">
        <v>31934</v>
      </c>
      <c r="D11733" s="32" t="s">
        <v>31935</v>
      </c>
    </row>
    <row r="11734" spans="2:4" x14ac:dyDescent="0.3">
      <c r="B11734" s="33" t="s">
        <v>31936</v>
      </c>
      <c r="C11734" s="32" t="s">
        <v>31937</v>
      </c>
      <c r="D11734" s="32" t="s">
        <v>31938</v>
      </c>
    </row>
    <row r="11735" spans="2:4" x14ac:dyDescent="0.3">
      <c r="B11735" s="33" t="s">
        <v>31939</v>
      </c>
      <c r="C11735" s="32" t="s">
        <v>31940</v>
      </c>
      <c r="D11735" s="32" t="s">
        <v>31941</v>
      </c>
    </row>
    <row r="11736" spans="2:4" x14ac:dyDescent="0.3">
      <c r="B11736" s="33" t="s">
        <v>31942</v>
      </c>
      <c r="C11736" s="32" t="s">
        <v>31943</v>
      </c>
      <c r="D11736" s="32" t="s">
        <v>31944</v>
      </c>
    </row>
    <row r="11737" spans="2:4" x14ac:dyDescent="0.3">
      <c r="B11737" s="33" t="s">
        <v>144</v>
      </c>
      <c r="C11737" s="32" t="s">
        <v>31945</v>
      </c>
      <c r="D11737" s="32" t="s">
        <v>145</v>
      </c>
    </row>
    <row r="11738" spans="2:4" x14ac:dyDescent="0.3">
      <c r="B11738" s="33" t="s">
        <v>144</v>
      </c>
      <c r="C11738" s="32" t="s">
        <v>31946</v>
      </c>
      <c r="D11738" s="32" t="s">
        <v>31947</v>
      </c>
    </row>
    <row r="11739" spans="2:4" x14ac:dyDescent="0.3">
      <c r="B11739" s="33" t="s">
        <v>20514</v>
      </c>
      <c r="C11739" s="32" t="s">
        <v>31948</v>
      </c>
      <c r="D11739" s="32" t="s">
        <v>31949</v>
      </c>
    </row>
    <row r="11740" spans="2:4" x14ac:dyDescent="0.3">
      <c r="B11740" s="33" t="s">
        <v>27713</v>
      </c>
      <c r="C11740" s="32" t="s">
        <v>31950</v>
      </c>
      <c r="D11740" s="32" t="s">
        <v>31951</v>
      </c>
    </row>
    <row r="11741" spans="2:4" x14ac:dyDescent="0.3">
      <c r="B11741" s="33" t="s">
        <v>31952</v>
      </c>
      <c r="C11741" s="32" t="s">
        <v>31953</v>
      </c>
      <c r="D11741" s="32" t="s">
        <v>31954</v>
      </c>
    </row>
    <row r="11742" spans="2:4" x14ac:dyDescent="0.3">
      <c r="B11742" s="33" t="s">
        <v>31955</v>
      </c>
      <c r="C11742" s="32" t="s">
        <v>31956</v>
      </c>
      <c r="D11742" s="32" t="s">
        <v>31957</v>
      </c>
    </row>
    <row r="11743" spans="2:4" x14ac:dyDescent="0.3">
      <c r="B11743" s="33" t="s">
        <v>21272</v>
      </c>
      <c r="C11743" s="32" t="s">
        <v>31958</v>
      </c>
      <c r="D11743" s="32" t="s">
        <v>31959</v>
      </c>
    </row>
    <row r="11744" spans="2:4" x14ac:dyDescent="0.3">
      <c r="B11744" s="33" t="s">
        <v>31960</v>
      </c>
      <c r="C11744" s="32" t="s">
        <v>31961</v>
      </c>
      <c r="D11744" s="32" t="s">
        <v>31962</v>
      </c>
    </row>
    <row r="11745" spans="2:4" x14ac:dyDescent="0.3">
      <c r="B11745" s="33" t="s">
        <v>31963</v>
      </c>
      <c r="C11745" s="32" t="s">
        <v>31964</v>
      </c>
      <c r="D11745" s="32" t="s">
        <v>31965</v>
      </c>
    </row>
    <row r="11746" spans="2:4" x14ac:dyDescent="0.3">
      <c r="B11746" s="33" t="s">
        <v>124</v>
      </c>
      <c r="C11746" s="32" t="s">
        <v>31966</v>
      </c>
      <c r="D11746" s="32" t="s">
        <v>125</v>
      </c>
    </row>
    <row r="11747" spans="2:4" x14ac:dyDescent="0.3">
      <c r="B11747" s="33" t="s">
        <v>31967</v>
      </c>
      <c r="C11747" s="32" t="s">
        <v>31968</v>
      </c>
      <c r="D11747" s="32" t="s">
        <v>31969</v>
      </c>
    </row>
    <row r="11748" spans="2:4" x14ac:dyDescent="0.3">
      <c r="B11748" s="33" t="s">
        <v>15476</v>
      </c>
      <c r="C11748" s="32" t="s">
        <v>31970</v>
      </c>
      <c r="D11748" s="32" t="s">
        <v>31971</v>
      </c>
    </row>
    <row r="11749" spans="2:4" x14ac:dyDescent="0.3">
      <c r="B11749" s="33" t="s">
        <v>31972</v>
      </c>
      <c r="C11749" s="32" t="s">
        <v>31973</v>
      </c>
      <c r="D11749" s="32" t="s">
        <v>31974</v>
      </c>
    </row>
    <row r="11750" spans="2:4" x14ac:dyDescent="0.3">
      <c r="B11750" s="33" t="s">
        <v>31975</v>
      </c>
      <c r="C11750" s="32" t="s">
        <v>31976</v>
      </c>
      <c r="D11750" s="32" t="s">
        <v>31977</v>
      </c>
    </row>
    <row r="11751" spans="2:4" x14ac:dyDescent="0.3">
      <c r="B11751" s="33" t="s">
        <v>31978</v>
      </c>
      <c r="C11751" s="32" t="s">
        <v>31979</v>
      </c>
      <c r="D11751" s="32" t="s">
        <v>31980</v>
      </c>
    </row>
    <row r="11752" spans="2:4" x14ac:dyDescent="0.3">
      <c r="B11752" s="33" t="s">
        <v>31290</v>
      </c>
      <c r="C11752" s="32" t="s">
        <v>31981</v>
      </c>
      <c r="D11752" s="32" t="s">
        <v>37371</v>
      </c>
    </row>
    <row r="11753" spans="2:4" x14ac:dyDescent="0.3">
      <c r="B11753" s="33" t="s">
        <v>31488</v>
      </c>
      <c r="C11753" s="32" t="s">
        <v>31982</v>
      </c>
      <c r="D11753" s="32" t="s">
        <v>31983</v>
      </c>
    </row>
    <row r="11754" spans="2:4" x14ac:dyDescent="0.3">
      <c r="B11754" s="33" t="s">
        <v>31984</v>
      </c>
      <c r="C11754" s="32" t="s">
        <v>31985</v>
      </c>
      <c r="D11754" s="32" t="s">
        <v>31986</v>
      </c>
    </row>
    <row r="11755" spans="2:4" x14ac:dyDescent="0.3">
      <c r="B11755" s="33" t="s">
        <v>31987</v>
      </c>
      <c r="C11755" s="32" t="s">
        <v>31988</v>
      </c>
      <c r="D11755" s="32" t="s">
        <v>31989</v>
      </c>
    </row>
    <row r="11756" spans="2:4" x14ac:dyDescent="0.3">
      <c r="B11756" s="33" t="s">
        <v>31990</v>
      </c>
      <c r="C11756" s="32" t="s">
        <v>31991</v>
      </c>
      <c r="D11756" s="32" t="s">
        <v>31992</v>
      </c>
    </row>
    <row r="11757" spans="2:4" x14ac:dyDescent="0.3">
      <c r="B11757" s="33" t="s">
        <v>31993</v>
      </c>
      <c r="C11757" s="32" t="s">
        <v>31994</v>
      </c>
      <c r="D11757" s="32" t="s">
        <v>31995</v>
      </c>
    </row>
    <row r="11758" spans="2:4" x14ac:dyDescent="0.3">
      <c r="B11758" s="33" t="s">
        <v>31996</v>
      </c>
      <c r="C11758" s="32" t="s">
        <v>31997</v>
      </c>
      <c r="D11758" s="32" t="s">
        <v>31998</v>
      </c>
    </row>
    <row r="11759" spans="2:4" x14ac:dyDescent="0.3">
      <c r="B11759" s="33" t="s">
        <v>31999</v>
      </c>
      <c r="C11759" s="32" t="s">
        <v>32000</v>
      </c>
      <c r="D11759" s="32" t="s">
        <v>32001</v>
      </c>
    </row>
    <row r="11760" spans="2:4" x14ac:dyDescent="0.3">
      <c r="B11760" s="33" t="s">
        <v>11300</v>
      </c>
      <c r="C11760" s="32" t="s">
        <v>32002</v>
      </c>
      <c r="D11760" s="32" t="s">
        <v>32003</v>
      </c>
    </row>
    <row r="11761" spans="2:4" x14ac:dyDescent="0.3">
      <c r="B11761" s="33" t="s">
        <v>32004</v>
      </c>
      <c r="C11761" s="32" t="s">
        <v>32005</v>
      </c>
      <c r="D11761" s="32" t="s">
        <v>32006</v>
      </c>
    </row>
    <row r="11762" spans="2:4" x14ac:dyDescent="0.3">
      <c r="B11762" s="33" t="s">
        <v>32007</v>
      </c>
      <c r="C11762" s="32" t="s">
        <v>32008</v>
      </c>
      <c r="D11762" s="32" t="s">
        <v>32009</v>
      </c>
    </row>
    <row r="11763" spans="2:4" x14ac:dyDescent="0.3">
      <c r="B11763" s="33" t="s">
        <v>32010</v>
      </c>
      <c r="C11763" s="32" t="s">
        <v>32011</v>
      </c>
      <c r="D11763" s="32" t="s">
        <v>32010</v>
      </c>
    </row>
    <row r="11764" spans="2:4" x14ac:dyDescent="0.3">
      <c r="B11764" s="33" t="s">
        <v>32012</v>
      </c>
      <c r="C11764" s="32" t="s">
        <v>32013</v>
      </c>
      <c r="D11764" s="32" t="s">
        <v>32014</v>
      </c>
    </row>
    <row r="11765" spans="2:4" x14ac:dyDescent="0.3">
      <c r="B11765" s="33" t="s">
        <v>32015</v>
      </c>
      <c r="C11765" s="32" t="s">
        <v>32016</v>
      </c>
      <c r="D11765" s="32" t="s">
        <v>32017</v>
      </c>
    </row>
    <row r="11766" spans="2:4" x14ac:dyDescent="0.3">
      <c r="B11766" s="33" t="s">
        <v>32018</v>
      </c>
      <c r="C11766" s="32" t="s">
        <v>32019</v>
      </c>
      <c r="D11766" s="32" t="s">
        <v>32020</v>
      </c>
    </row>
    <row r="11767" spans="2:4" x14ac:dyDescent="0.3">
      <c r="B11767" s="33" t="s">
        <v>27562</v>
      </c>
      <c r="C11767" s="32" t="s">
        <v>32021</v>
      </c>
      <c r="D11767" s="32" t="s">
        <v>32022</v>
      </c>
    </row>
    <row r="11768" spans="2:4" x14ac:dyDescent="0.3">
      <c r="B11768" s="33" t="s">
        <v>27562</v>
      </c>
      <c r="C11768" s="32" t="s">
        <v>32023</v>
      </c>
      <c r="D11768" s="32" t="s">
        <v>32024</v>
      </c>
    </row>
    <row r="11769" spans="2:4" x14ac:dyDescent="0.3">
      <c r="B11769" s="33" t="s">
        <v>31746</v>
      </c>
      <c r="C11769" s="32" t="s">
        <v>32025</v>
      </c>
      <c r="D11769" s="32" t="s">
        <v>32026</v>
      </c>
    </row>
    <row r="11770" spans="2:4" x14ac:dyDescent="0.3">
      <c r="B11770" s="33" t="s">
        <v>32027</v>
      </c>
      <c r="C11770" s="32" t="s">
        <v>32028</v>
      </c>
      <c r="D11770" s="32" t="s">
        <v>32029</v>
      </c>
    </row>
    <row r="11771" spans="2:4" x14ac:dyDescent="0.3">
      <c r="B11771" s="33" t="s">
        <v>32030</v>
      </c>
      <c r="C11771" s="32" t="s">
        <v>32031</v>
      </c>
      <c r="D11771" s="32" t="s">
        <v>32032</v>
      </c>
    </row>
    <row r="11772" spans="2:4" x14ac:dyDescent="0.3">
      <c r="B11772" s="33" t="s">
        <v>32033</v>
      </c>
      <c r="C11772" s="32" t="s">
        <v>32034</v>
      </c>
      <c r="D11772" s="32" t="s">
        <v>32035</v>
      </c>
    </row>
    <row r="11773" spans="2:4" x14ac:dyDescent="0.3">
      <c r="B11773" s="33" t="s">
        <v>32036</v>
      </c>
      <c r="C11773" s="32" t="s">
        <v>32037</v>
      </c>
      <c r="D11773" s="32" t="s">
        <v>32038</v>
      </c>
    </row>
    <row r="11774" spans="2:4" x14ac:dyDescent="0.3">
      <c r="B11774" s="33" t="s">
        <v>20017</v>
      </c>
      <c r="C11774" s="32" t="s">
        <v>32039</v>
      </c>
      <c r="D11774" s="32" t="s">
        <v>32040</v>
      </c>
    </row>
    <row r="11775" spans="2:4" x14ac:dyDescent="0.3">
      <c r="B11775" s="33" t="s">
        <v>32041</v>
      </c>
      <c r="C11775" s="32" t="s">
        <v>32042</v>
      </c>
      <c r="D11775" s="32" t="s">
        <v>32043</v>
      </c>
    </row>
    <row r="11776" spans="2:4" x14ac:dyDescent="0.3">
      <c r="B11776" s="33" t="s">
        <v>32018</v>
      </c>
      <c r="C11776" s="32" t="s">
        <v>32044</v>
      </c>
      <c r="D11776" s="32" t="s">
        <v>32045</v>
      </c>
    </row>
    <row r="11777" spans="2:4" x14ac:dyDescent="0.3">
      <c r="B11777" s="33" t="s">
        <v>32046</v>
      </c>
      <c r="C11777" s="32" t="s">
        <v>32047</v>
      </c>
      <c r="D11777" s="32" t="s">
        <v>32048</v>
      </c>
    </row>
    <row r="11778" spans="2:4" x14ac:dyDescent="0.3">
      <c r="B11778" s="33" t="s">
        <v>32049</v>
      </c>
      <c r="C11778" s="32" t="s">
        <v>32050</v>
      </c>
      <c r="D11778" s="32" t="s">
        <v>32051</v>
      </c>
    </row>
    <row r="11779" spans="2:4" x14ac:dyDescent="0.3">
      <c r="B11779" s="33" t="s">
        <v>31645</v>
      </c>
      <c r="C11779" s="32" t="s">
        <v>32052</v>
      </c>
      <c r="D11779" s="32" t="s">
        <v>32053</v>
      </c>
    </row>
    <row r="11780" spans="2:4" x14ac:dyDescent="0.3">
      <c r="B11780" s="33" t="s">
        <v>32054</v>
      </c>
      <c r="C11780" s="32" t="s">
        <v>32055</v>
      </c>
      <c r="D11780" s="32" t="s">
        <v>37372</v>
      </c>
    </row>
    <row r="11781" spans="2:4" x14ac:dyDescent="0.3">
      <c r="B11781" s="33" t="s">
        <v>32056</v>
      </c>
      <c r="C11781" s="32" t="s">
        <v>32057</v>
      </c>
      <c r="D11781" s="32" t="s">
        <v>32058</v>
      </c>
    </row>
    <row r="11782" spans="2:4" x14ac:dyDescent="0.3">
      <c r="B11782" s="33" t="s">
        <v>32059</v>
      </c>
      <c r="C11782" s="32" t="s">
        <v>32060</v>
      </c>
      <c r="D11782" s="32" t="s">
        <v>32061</v>
      </c>
    </row>
    <row r="11783" spans="2:4" x14ac:dyDescent="0.3">
      <c r="B11783" s="33" t="s">
        <v>32062</v>
      </c>
      <c r="C11783" s="32" t="s">
        <v>32063</v>
      </c>
      <c r="D11783" s="32" t="s">
        <v>32064</v>
      </c>
    </row>
    <row r="11784" spans="2:4" x14ac:dyDescent="0.3">
      <c r="B11784" s="33" t="s">
        <v>32065</v>
      </c>
      <c r="C11784" s="32" t="s">
        <v>32066</v>
      </c>
      <c r="D11784" s="32" t="s">
        <v>32067</v>
      </c>
    </row>
    <row r="11785" spans="2:4" x14ac:dyDescent="0.3">
      <c r="B11785" s="33" t="s">
        <v>32068</v>
      </c>
      <c r="C11785" s="32" t="s">
        <v>32069</v>
      </c>
      <c r="D11785" s="32" t="s">
        <v>32068</v>
      </c>
    </row>
    <row r="11786" spans="2:4" x14ac:dyDescent="0.3">
      <c r="B11786" s="33" t="s">
        <v>32070</v>
      </c>
      <c r="C11786" s="32" t="s">
        <v>32071</v>
      </c>
      <c r="D11786" s="32" t="s">
        <v>32072</v>
      </c>
    </row>
    <row r="11787" spans="2:4" x14ac:dyDescent="0.3">
      <c r="B11787" s="33" t="s">
        <v>32073</v>
      </c>
      <c r="C11787" s="32" t="s">
        <v>32074</v>
      </c>
      <c r="D11787" s="32" t="s">
        <v>32075</v>
      </c>
    </row>
    <row r="11788" spans="2:4" x14ac:dyDescent="0.3">
      <c r="B11788" s="33" t="s">
        <v>32076</v>
      </c>
      <c r="C11788" s="32" t="s">
        <v>32077</v>
      </c>
      <c r="D11788" s="32" t="s">
        <v>32078</v>
      </c>
    </row>
    <row r="11789" spans="2:4" x14ac:dyDescent="0.3">
      <c r="B11789" s="33" t="s">
        <v>32079</v>
      </c>
      <c r="C11789" s="32" t="s">
        <v>32080</v>
      </c>
      <c r="D11789" s="32" t="s">
        <v>32081</v>
      </c>
    </row>
    <row r="11790" spans="2:4" x14ac:dyDescent="0.3">
      <c r="B11790" s="33" t="s">
        <v>32082</v>
      </c>
      <c r="C11790" s="32" t="s">
        <v>32083</v>
      </c>
      <c r="D11790" s="32" t="s">
        <v>32084</v>
      </c>
    </row>
    <row r="11791" spans="2:4" x14ac:dyDescent="0.3">
      <c r="B11791" s="33" t="s">
        <v>32030</v>
      </c>
      <c r="C11791" s="32" t="s">
        <v>32085</v>
      </c>
      <c r="D11791" s="32" t="s">
        <v>32086</v>
      </c>
    </row>
    <row r="11792" spans="2:4" x14ac:dyDescent="0.3">
      <c r="B11792" s="33" t="s">
        <v>32030</v>
      </c>
      <c r="C11792" s="32" t="s">
        <v>32087</v>
      </c>
      <c r="D11792" s="32" t="s">
        <v>32088</v>
      </c>
    </row>
    <row r="11793" spans="2:4" x14ac:dyDescent="0.3">
      <c r="B11793" s="33" t="s">
        <v>32089</v>
      </c>
      <c r="C11793" s="32" t="s">
        <v>32090</v>
      </c>
      <c r="D11793" s="32" t="s">
        <v>32089</v>
      </c>
    </row>
    <row r="11794" spans="2:4" x14ac:dyDescent="0.3">
      <c r="B11794" s="33" t="s">
        <v>32091</v>
      </c>
      <c r="C11794" s="32" t="s">
        <v>32092</v>
      </c>
      <c r="D11794" s="32" t="s">
        <v>32093</v>
      </c>
    </row>
    <row r="11795" spans="2:4" x14ac:dyDescent="0.3">
      <c r="B11795" s="33" t="s">
        <v>32094</v>
      </c>
      <c r="C11795" s="32" t="s">
        <v>32095</v>
      </c>
      <c r="D11795" s="32" t="s">
        <v>32096</v>
      </c>
    </row>
    <row r="11796" spans="2:4" x14ac:dyDescent="0.3">
      <c r="B11796" s="33" t="s">
        <v>32097</v>
      </c>
      <c r="C11796" s="32" t="s">
        <v>32098</v>
      </c>
      <c r="D11796" s="32" t="s">
        <v>32099</v>
      </c>
    </row>
    <row r="11797" spans="2:4" x14ac:dyDescent="0.3">
      <c r="B11797" s="33" t="s">
        <v>32100</v>
      </c>
      <c r="C11797" s="32" t="s">
        <v>32101</v>
      </c>
      <c r="D11797" s="32" t="s">
        <v>32102</v>
      </c>
    </row>
    <row r="11798" spans="2:4" x14ac:dyDescent="0.3">
      <c r="B11798" s="33" t="s">
        <v>32103</v>
      </c>
      <c r="C11798" s="32" t="s">
        <v>32104</v>
      </c>
      <c r="D11798" s="32" t="s">
        <v>32105</v>
      </c>
    </row>
    <row r="11799" spans="2:4" x14ac:dyDescent="0.3">
      <c r="B11799" s="33" t="s">
        <v>11300</v>
      </c>
      <c r="C11799" s="32" t="s">
        <v>32106</v>
      </c>
      <c r="D11799" s="32" t="s">
        <v>32107</v>
      </c>
    </row>
    <row r="11800" spans="2:4" x14ac:dyDescent="0.3">
      <c r="B11800" s="33" t="s">
        <v>32108</v>
      </c>
      <c r="C11800" s="32" t="s">
        <v>32109</v>
      </c>
      <c r="D11800" s="32" t="s">
        <v>32110</v>
      </c>
    </row>
    <row r="11801" spans="2:4" x14ac:dyDescent="0.3">
      <c r="B11801" s="33" t="s">
        <v>31351</v>
      </c>
      <c r="C11801" s="32" t="s">
        <v>32111</v>
      </c>
      <c r="D11801" s="32" t="s">
        <v>32112</v>
      </c>
    </row>
    <row r="11802" spans="2:4" x14ac:dyDescent="0.3">
      <c r="B11802" s="33" t="s">
        <v>32113</v>
      </c>
      <c r="C11802" s="32" t="s">
        <v>32114</v>
      </c>
      <c r="D11802" s="32" t="s">
        <v>32115</v>
      </c>
    </row>
    <row r="11803" spans="2:4" x14ac:dyDescent="0.3">
      <c r="B11803" s="33" t="s">
        <v>32116</v>
      </c>
      <c r="C11803" s="32" t="s">
        <v>32117</v>
      </c>
      <c r="D11803" s="32" t="s">
        <v>32118</v>
      </c>
    </row>
    <row r="11804" spans="2:4" x14ac:dyDescent="0.3">
      <c r="B11804" s="33" t="s">
        <v>32119</v>
      </c>
      <c r="C11804" s="32" t="s">
        <v>32120</v>
      </c>
      <c r="D11804" s="32" t="s">
        <v>32121</v>
      </c>
    </row>
    <row r="11805" spans="2:4" x14ac:dyDescent="0.3">
      <c r="B11805" s="33" t="s">
        <v>31746</v>
      </c>
      <c r="C11805" s="32" t="s">
        <v>32122</v>
      </c>
      <c r="D11805" s="32" t="s">
        <v>32123</v>
      </c>
    </row>
    <row r="11806" spans="2:4" x14ac:dyDescent="0.3">
      <c r="B11806" s="33" t="s">
        <v>32124</v>
      </c>
      <c r="C11806" s="32" t="s">
        <v>32125</v>
      </c>
      <c r="D11806" s="32" t="s">
        <v>32126</v>
      </c>
    </row>
    <row r="11807" spans="2:4" x14ac:dyDescent="0.3">
      <c r="B11807" s="33" t="s">
        <v>32124</v>
      </c>
      <c r="C11807" s="32" t="s">
        <v>32127</v>
      </c>
      <c r="D11807" s="32" t="s">
        <v>32128</v>
      </c>
    </row>
    <row r="11808" spans="2:4" x14ac:dyDescent="0.3">
      <c r="B11808" s="33" t="s">
        <v>32129</v>
      </c>
      <c r="C11808" s="32" t="s">
        <v>32130</v>
      </c>
      <c r="D11808" s="32" t="s">
        <v>32131</v>
      </c>
    </row>
    <row r="11809" spans="2:4" x14ac:dyDescent="0.3">
      <c r="B11809" s="33" t="s">
        <v>32132</v>
      </c>
      <c r="C11809" s="32" t="s">
        <v>32133</v>
      </c>
      <c r="D11809" s="32" t="s">
        <v>32134</v>
      </c>
    </row>
    <row r="11810" spans="2:4" x14ac:dyDescent="0.3">
      <c r="B11810" s="33" t="s">
        <v>32135</v>
      </c>
      <c r="C11810" s="32" t="s">
        <v>32136</v>
      </c>
      <c r="D11810" s="32" t="s">
        <v>32137</v>
      </c>
    </row>
    <row r="11811" spans="2:4" x14ac:dyDescent="0.3">
      <c r="B11811" s="33" t="s">
        <v>32138</v>
      </c>
      <c r="C11811" s="32" t="s">
        <v>32139</v>
      </c>
      <c r="D11811" s="32" t="s">
        <v>32140</v>
      </c>
    </row>
    <row r="11812" spans="2:4" x14ac:dyDescent="0.3">
      <c r="B11812" s="33" t="s">
        <v>32124</v>
      </c>
      <c r="C11812" s="32" t="s">
        <v>32141</v>
      </c>
      <c r="D11812" s="32" t="s">
        <v>32142</v>
      </c>
    </row>
    <row r="11813" spans="2:4" x14ac:dyDescent="0.3">
      <c r="B11813" s="33" t="s">
        <v>32143</v>
      </c>
      <c r="C11813" s="32" t="s">
        <v>32144</v>
      </c>
      <c r="D11813" s="32" t="s">
        <v>32145</v>
      </c>
    </row>
    <row r="11814" spans="2:4" x14ac:dyDescent="0.3">
      <c r="B11814" s="33" t="s">
        <v>32146</v>
      </c>
      <c r="C11814" s="32" t="s">
        <v>32147</v>
      </c>
      <c r="D11814" s="32" t="s">
        <v>32148</v>
      </c>
    </row>
    <row r="11815" spans="2:4" x14ac:dyDescent="0.3">
      <c r="B11815" s="33" t="s">
        <v>31853</v>
      </c>
      <c r="C11815" s="32" t="s">
        <v>32149</v>
      </c>
      <c r="D11815" s="32" t="s">
        <v>32150</v>
      </c>
    </row>
    <row r="11816" spans="2:4" x14ac:dyDescent="0.3">
      <c r="B11816" s="33" t="s">
        <v>31472</v>
      </c>
      <c r="C11816" s="32" t="s">
        <v>32151</v>
      </c>
      <c r="D11816" s="32" t="s">
        <v>32152</v>
      </c>
    </row>
    <row r="11817" spans="2:4" x14ac:dyDescent="0.3">
      <c r="B11817" s="33" t="s">
        <v>32153</v>
      </c>
      <c r="C11817" s="32" t="s">
        <v>32154</v>
      </c>
      <c r="D11817" s="32" t="s">
        <v>32155</v>
      </c>
    </row>
    <row r="11818" spans="2:4" x14ac:dyDescent="0.3">
      <c r="B11818" s="33" t="s">
        <v>7146</v>
      </c>
      <c r="C11818" s="32" t="s">
        <v>32156</v>
      </c>
      <c r="D11818" s="32" t="s">
        <v>32157</v>
      </c>
    </row>
    <row r="11819" spans="2:4" x14ac:dyDescent="0.3">
      <c r="B11819" s="33" t="s">
        <v>32158</v>
      </c>
      <c r="C11819" s="32" t="s">
        <v>32159</v>
      </c>
      <c r="D11819" s="32" t="s">
        <v>32160</v>
      </c>
    </row>
    <row r="11820" spans="2:4" x14ac:dyDescent="0.3">
      <c r="B11820" s="33" t="s">
        <v>32161</v>
      </c>
      <c r="C11820" s="32" t="s">
        <v>32162</v>
      </c>
      <c r="D11820" s="32" t="s">
        <v>32163</v>
      </c>
    </row>
    <row r="11821" spans="2:4" x14ac:dyDescent="0.3">
      <c r="B11821" s="33" t="s">
        <v>32164</v>
      </c>
      <c r="C11821" s="32" t="s">
        <v>32165</v>
      </c>
      <c r="D11821" s="32" t="s">
        <v>32166</v>
      </c>
    </row>
    <row r="11822" spans="2:4" x14ac:dyDescent="0.3">
      <c r="B11822" s="33" t="s">
        <v>32167</v>
      </c>
      <c r="C11822" s="32" t="s">
        <v>32168</v>
      </c>
      <c r="D11822" s="32" t="s">
        <v>32169</v>
      </c>
    </row>
    <row r="11823" spans="2:4" x14ac:dyDescent="0.3">
      <c r="B11823" s="33" t="s">
        <v>32170</v>
      </c>
      <c r="C11823" s="32" t="s">
        <v>32171</v>
      </c>
      <c r="D11823" s="32" t="s">
        <v>32172</v>
      </c>
    </row>
    <row r="11824" spans="2:4" x14ac:dyDescent="0.3">
      <c r="B11824" s="33" t="s">
        <v>8908</v>
      </c>
      <c r="C11824" s="32" t="s">
        <v>32173</v>
      </c>
      <c r="D11824" s="32" t="s">
        <v>32174</v>
      </c>
    </row>
    <row r="11825" spans="2:4" x14ac:dyDescent="0.3">
      <c r="B11825" s="33" t="s">
        <v>32175</v>
      </c>
      <c r="C11825" s="32" t="s">
        <v>32176</v>
      </c>
      <c r="D11825" s="32" t="s">
        <v>32177</v>
      </c>
    </row>
    <row r="11826" spans="2:4" x14ac:dyDescent="0.3">
      <c r="B11826" s="33" t="s">
        <v>32178</v>
      </c>
      <c r="C11826" s="32" t="s">
        <v>32179</v>
      </c>
      <c r="D11826" s="32" t="s">
        <v>32180</v>
      </c>
    </row>
    <row r="11827" spans="2:4" x14ac:dyDescent="0.3">
      <c r="B11827" s="33" t="s">
        <v>32181</v>
      </c>
      <c r="C11827" s="32" t="s">
        <v>32182</v>
      </c>
      <c r="D11827" s="32" t="s">
        <v>32183</v>
      </c>
    </row>
    <row r="11828" spans="2:4" x14ac:dyDescent="0.3">
      <c r="B11828" s="33" t="s">
        <v>5385</v>
      </c>
      <c r="C11828" s="32" t="s">
        <v>32184</v>
      </c>
      <c r="D11828" s="32" t="s">
        <v>32185</v>
      </c>
    </row>
    <row r="11829" spans="2:4" x14ac:dyDescent="0.3">
      <c r="B11829" s="33" t="s">
        <v>32186</v>
      </c>
      <c r="C11829" s="32" t="s">
        <v>32187</v>
      </c>
      <c r="D11829" s="32" t="s">
        <v>32188</v>
      </c>
    </row>
    <row r="11830" spans="2:4" x14ac:dyDescent="0.3">
      <c r="B11830" s="33" t="s">
        <v>32189</v>
      </c>
      <c r="C11830" s="32" t="s">
        <v>32190</v>
      </c>
      <c r="D11830" s="32" t="s">
        <v>32191</v>
      </c>
    </row>
    <row r="11831" spans="2:4" x14ac:dyDescent="0.3">
      <c r="B11831" s="33" t="s">
        <v>32192</v>
      </c>
      <c r="C11831" s="32" t="s">
        <v>32193</v>
      </c>
      <c r="D11831" s="32" t="s">
        <v>32194</v>
      </c>
    </row>
    <row r="11832" spans="2:4" x14ac:dyDescent="0.3">
      <c r="B11832" s="33" t="s">
        <v>32195</v>
      </c>
      <c r="C11832" s="32" t="s">
        <v>32196</v>
      </c>
      <c r="D11832" s="32" t="s">
        <v>32197</v>
      </c>
    </row>
    <row r="11833" spans="2:4" x14ac:dyDescent="0.3">
      <c r="B11833" s="33" t="s">
        <v>32198</v>
      </c>
      <c r="C11833" s="32" t="s">
        <v>32199</v>
      </c>
      <c r="D11833" s="32" t="s">
        <v>32200</v>
      </c>
    </row>
    <row r="11834" spans="2:4" x14ac:dyDescent="0.3">
      <c r="B11834" s="33" t="s">
        <v>32201</v>
      </c>
      <c r="C11834" s="32" t="s">
        <v>32202</v>
      </c>
      <c r="D11834" s="32" t="s">
        <v>32203</v>
      </c>
    </row>
    <row r="11835" spans="2:4" x14ac:dyDescent="0.3">
      <c r="B11835" s="33" t="s">
        <v>32204</v>
      </c>
      <c r="C11835" s="32" t="s">
        <v>32205</v>
      </c>
      <c r="D11835" s="32" t="s">
        <v>32206</v>
      </c>
    </row>
    <row r="11836" spans="2:4" x14ac:dyDescent="0.3">
      <c r="B11836" s="33" t="s">
        <v>16982</v>
      </c>
      <c r="C11836" s="32" t="s">
        <v>32207</v>
      </c>
      <c r="D11836" s="32" t="s">
        <v>32208</v>
      </c>
    </row>
    <row r="11837" spans="2:4" x14ac:dyDescent="0.3">
      <c r="B11837" s="33" t="s">
        <v>32209</v>
      </c>
      <c r="C11837" s="32" t="s">
        <v>32210</v>
      </c>
      <c r="D11837" s="32" t="s">
        <v>32211</v>
      </c>
    </row>
    <row r="11838" spans="2:4" x14ac:dyDescent="0.3">
      <c r="B11838" s="33" t="s">
        <v>32212</v>
      </c>
      <c r="C11838" s="32" t="s">
        <v>32213</v>
      </c>
      <c r="D11838" s="32" t="s">
        <v>32214</v>
      </c>
    </row>
    <row r="11839" spans="2:4" x14ac:dyDescent="0.3">
      <c r="B11839" s="33" t="s">
        <v>32215</v>
      </c>
      <c r="C11839" s="32" t="s">
        <v>32216</v>
      </c>
      <c r="D11839" s="32" t="s">
        <v>32217</v>
      </c>
    </row>
    <row r="11840" spans="2:4" x14ac:dyDescent="0.3">
      <c r="B11840" s="33" t="s">
        <v>32218</v>
      </c>
      <c r="C11840" s="32" t="s">
        <v>32219</v>
      </c>
      <c r="D11840" s="32" t="s">
        <v>32220</v>
      </c>
    </row>
    <row r="11841" spans="2:4" x14ac:dyDescent="0.3">
      <c r="B11841" s="33" t="s">
        <v>32221</v>
      </c>
      <c r="C11841" s="32" t="s">
        <v>32222</v>
      </c>
      <c r="D11841" s="32" t="s">
        <v>32259</v>
      </c>
    </row>
    <row r="11842" spans="2:4" x14ac:dyDescent="0.3">
      <c r="B11842" s="33" t="s">
        <v>32223</v>
      </c>
      <c r="C11842" s="32" t="s">
        <v>32224</v>
      </c>
      <c r="D11842" s="32" t="s">
        <v>32223</v>
      </c>
    </row>
    <row r="11843" spans="2:4" x14ac:dyDescent="0.3">
      <c r="B11843" s="33" t="s">
        <v>32225</v>
      </c>
      <c r="C11843" s="32" t="s">
        <v>32226</v>
      </c>
      <c r="D11843" s="32" t="s">
        <v>32227</v>
      </c>
    </row>
    <row r="11844" spans="2:4" x14ac:dyDescent="0.3">
      <c r="B11844" s="33" t="s">
        <v>32228</v>
      </c>
      <c r="C11844" s="32" t="s">
        <v>32229</v>
      </c>
      <c r="D11844" s="32" t="s">
        <v>32230</v>
      </c>
    </row>
    <row r="11845" spans="2:4" x14ac:dyDescent="0.3">
      <c r="B11845" s="33" t="s">
        <v>32231</v>
      </c>
      <c r="C11845" s="32" t="s">
        <v>32232</v>
      </c>
      <c r="D11845" s="32" t="s">
        <v>32231</v>
      </c>
    </row>
    <row r="11846" spans="2:4" x14ac:dyDescent="0.3">
      <c r="B11846" s="33" t="s">
        <v>31896</v>
      </c>
      <c r="C11846" s="32" t="s">
        <v>32233</v>
      </c>
      <c r="D11846" s="32" t="s">
        <v>32234</v>
      </c>
    </row>
    <row r="11847" spans="2:4" x14ac:dyDescent="0.3">
      <c r="B11847" s="33" t="s">
        <v>32235</v>
      </c>
      <c r="C11847" s="32" t="s">
        <v>32236</v>
      </c>
      <c r="D11847" s="32" t="s">
        <v>32237</v>
      </c>
    </row>
    <row r="11848" spans="2:4" x14ac:dyDescent="0.3">
      <c r="B11848" s="33" t="s">
        <v>23086</v>
      </c>
      <c r="C11848" s="32" t="s">
        <v>32238</v>
      </c>
      <c r="D11848" s="32" t="s">
        <v>32239</v>
      </c>
    </row>
    <row r="11849" spans="2:4" x14ac:dyDescent="0.3">
      <c r="B11849" s="33" t="s">
        <v>23086</v>
      </c>
      <c r="C11849" s="32" t="s">
        <v>32240</v>
      </c>
      <c r="D11849" s="32" t="s">
        <v>32241</v>
      </c>
    </row>
    <row r="11850" spans="2:4" x14ac:dyDescent="0.3">
      <c r="B11850" s="33" t="s">
        <v>32242</v>
      </c>
      <c r="C11850" s="32" t="s">
        <v>32243</v>
      </c>
      <c r="D11850" s="32" t="s">
        <v>32244</v>
      </c>
    </row>
    <row r="11851" spans="2:4" x14ac:dyDescent="0.3">
      <c r="B11851" s="33" t="s">
        <v>32245</v>
      </c>
      <c r="C11851" s="32" t="s">
        <v>32246</v>
      </c>
      <c r="D11851" s="32" t="s">
        <v>32245</v>
      </c>
    </row>
    <row r="11852" spans="2:4" x14ac:dyDescent="0.3">
      <c r="B11852" s="33" t="s">
        <v>37081</v>
      </c>
      <c r="C11852" s="32" t="s">
        <v>37082</v>
      </c>
      <c r="D11852" s="32" t="s">
        <v>37083</v>
      </c>
    </row>
    <row r="11853" spans="2:4" x14ac:dyDescent="0.3">
      <c r="B11853" s="33" t="s">
        <v>32247</v>
      </c>
      <c r="C11853" s="32" t="s">
        <v>32248</v>
      </c>
      <c r="D11853" s="32" t="s">
        <v>32249</v>
      </c>
    </row>
    <row r="11854" spans="2:4" x14ac:dyDescent="0.3">
      <c r="B11854" s="33" t="s">
        <v>32250</v>
      </c>
      <c r="C11854" s="32" t="s">
        <v>32251</v>
      </c>
      <c r="D11854" s="32" t="s">
        <v>32252</v>
      </c>
    </row>
    <row r="11855" spans="2:4" x14ac:dyDescent="0.3">
      <c r="B11855" s="33" t="s">
        <v>32253</v>
      </c>
      <c r="C11855" s="32" t="s">
        <v>32254</v>
      </c>
      <c r="D11855" s="32" t="s">
        <v>32255</v>
      </c>
    </row>
    <row r="11856" spans="2:4" x14ac:dyDescent="0.3">
      <c r="B11856" s="33" t="s">
        <v>32256</v>
      </c>
      <c r="C11856" s="32" t="s">
        <v>32257</v>
      </c>
      <c r="D11856" s="32" t="s">
        <v>32258</v>
      </c>
    </row>
    <row r="11857" spans="2:4" x14ac:dyDescent="0.3">
      <c r="B11857" s="33" t="s">
        <v>32259</v>
      </c>
      <c r="C11857" s="32" t="s">
        <v>32260</v>
      </c>
      <c r="D11857" s="32" t="s">
        <v>32261</v>
      </c>
    </row>
    <row r="11858" spans="2:4" x14ac:dyDescent="0.3">
      <c r="B11858" s="33" t="s">
        <v>31771</v>
      </c>
      <c r="C11858" s="32" t="s">
        <v>32262</v>
      </c>
      <c r="D11858" s="32" t="s">
        <v>32263</v>
      </c>
    </row>
    <row r="11859" spans="2:4" x14ac:dyDescent="0.3">
      <c r="B11859" s="33" t="s">
        <v>32264</v>
      </c>
      <c r="C11859" s="32" t="s">
        <v>32265</v>
      </c>
      <c r="D11859" s="32" t="s">
        <v>32266</v>
      </c>
    </row>
    <row r="11860" spans="2:4" x14ac:dyDescent="0.3">
      <c r="B11860" s="33" t="s">
        <v>32267</v>
      </c>
      <c r="C11860" s="32" t="s">
        <v>32268</v>
      </c>
      <c r="D11860" s="32" t="s">
        <v>32269</v>
      </c>
    </row>
    <row r="11861" spans="2:4" x14ac:dyDescent="0.3">
      <c r="B11861" s="33" t="s">
        <v>32270</v>
      </c>
      <c r="C11861" s="32" t="s">
        <v>32271</v>
      </c>
      <c r="D11861" s="32" t="s">
        <v>32272</v>
      </c>
    </row>
    <row r="11862" spans="2:4" x14ac:dyDescent="0.3">
      <c r="B11862" s="33" t="s">
        <v>32273</v>
      </c>
      <c r="C11862" s="32" t="s">
        <v>32274</v>
      </c>
      <c r="D11862" s="32" t="s">
        <v>32275</v>
      </c>
    </row>
    <row r="11863" spans="2:4" x14ac:dyDescent="0.3">
      <c r="B11863" s="33" t="s">
        <v>32276</v>
      </c>
      <c r="C11863" s="32" t="s">
        <v>32277</v>
      </c>
      <c r="D11863" s="32" t="s">
        <v>32278</v>
      </c>
    </row>
    <row r="11864" spans="2:4" x14ac:dyDescent="0.3">
      <c r="B11864" s="33" t="s">
        <v>32279</v>
      </c>
      <c r="C11864" s="32" t="s">
        <v>32280</v>
      </c>
      <c r="D11864" s="32" t="s">
        <v>32281</v>
      </c>
    </row>
    <row r="11865" spans="2:4" x14ac:dyDescent="0.3">
      <c r="B11865" s="33" t="s">
        <v>32282</v>
      </c>
      <c r="C11865" s="32" t="s">
        <v>32283</v>
      </c>
      <c r="D11865" s="32" t="s">
        <v>32284</v>
      </c>
    </row>
    <row r="11866" spans="2:4" x14ac:dyDescent="0.3">
      <c r="B11866" s="33" t="s">
        <v>32285</v>
      </c>
      <c r="C11866" s="32" t="s">
        <v>32286</v>
      </c>
      <c r="D11866" s="32" t="s">
        <v>32287</v>
      </c>
    </row>
    <row r="11867" spans="2:4" x14ac:dyDescent="0.3">
      <c r="B11867" s="33" t="s">
        <v>32288</v>
      </c>
      <c r="C11867" s="32" t="s">
        <v>32289</v>
      </c>
      <c r="D11867" s="32" t="s">
        <v>32290</v>
      </c>
    </row>
    <row r="11868" spans="2:4" x14ac:dyDescent="0.3">
      <c r="B11868" s="33" t="s">
        <v>32291</v>
      </c>
      <c r="C11868" s="32" t="s">
        <v>32292</v>
      </c>
      <c r="D11868" s="32" t="s">
        <v>32293</v>
      </c>
    </row>
    <row r="11869" spans="2:4" x14ac:dyDescent="0.3">
      <c r="B11869" s="33" t="s">
        <v>32294</v>
      </c>
      <c r="C11869" s="32" t="s">
        <v>32295</v>
      </c>
      <c r="D11869" s="32" t="s">
        <v>32296</v>
      </c>
    </row>
    <row r="11870" spans="2:4" x14ac:dyDescent="0.3">
      <c r="B11870" s="33" t="s">
        <v>32297</v>
      </c>
      <c r="C11870" s="32" t="s">
        <v>32298</v>
      </c>
      <c r="D11870" s="32" t="s">
        <v>32299</v>
      </c>
    </row>
    <row r="11871" spans="2:4" x14ac:dyDescent="0.3">
      <c r="B11871" s="33" t="s">
        <v>31546</v>
      </c>
      <c r="C11871" s="32" t="s">
        <v>32300</v>
      </c>
      <c r="D11871" s="32" t="s">
        <v>32301</v>
      </c>
    </row>
    <row r="11872" spans="2:4" x14ac:dyDescent="0.3">
      <c r="B11872" s="33" t="s">
        <v>31701</v>
      </c>
      <c r="C11872" s="32" t="s">
        <v>32302</v>
      </c>
      <c r="D11872" s="32" t="s">
        <v>31701</v>
      </c>
    </row>
    <row r="11873" spans="2:4" x14ac:dyDescent="0.3">
      <c r="B11873" s="33" t="s">
        <v>32303</v>
      </c>
      <c r="C11873" s="32" t="s">
        <v>32304</v>
      </c>
      <c r="D11873" s="32" t="s">
        <v>32305</v>
      </c>
    </row>
    <row r="11874" spans="2:4" x14ac:dyDescent="0.3">
      <c r="B11874" s="33" t="s">
        <v>32306</v>
      </c>
      <c r="C11874" s="32" t="s">
        <v>32307</v>
      </c>
      <c r="D11874" s="32" t="s">
        <v>32308</v>
      </c>
    </row>
    <row r="11875" spans="2:4" x14ac:dyDescent="0.3">
      <c r="B11875" s="33" t="s">
        <v>32309</v>
      </c>
      <c r="C11875" s="32" t="s">
        <v>32310</v>
      </c>
      <c r="D11875" s="32" t="s">
        <v>32311</v>
      </c>
    </row>
    <row r="11876" spans="2:4" x14ac:dyDescent="0.3">
      <c r="B11876" s="33" t="s">
        <v>32312</v>
      </c>
      <c r="C11876" s="32" t="s">
        <v>32313</v>
      </c>
      <c r="D11876" s="32" t="s">
        <v>32314</v>
      </c>
    </row>
    <row r="11877" spans="2:4" x14ac:dyDescent="0.3">
      <c r="B11877" s="33" t="s">
        <v>32315</v>
      </c>
      <c r="C11877" s="32" t="s">
        <v>32316</v>
      </c>
      <c r="D11877" s="32" t="s">
        <v>32317</v>
      </c>
    </row>
    <row r="11878" spans="2:4" x14ac:dyDescent="0.3">
      <c r="B11878" s="33" t="s">
        <v>32318</v>
      </c>
      <c r="C11878" s="32" t="s">
        <v>32319</v>
      </c>
      <c r="D11878" s="32" t="s">
        <v>32320</v>
      </c>
    </row>
    <row r="11879" spans="2:4" x14ac:dyDescent="0.3">
      <c r="B11879" s="33" t="s">
        <v>32285</v>
      </c>
      <c r="C11879" s="32" t="s">
        <v>32321</v>
      </c>
      <c r="D11879" s="32" t="s">
        <v>32322</v>
      </c>
    </row>
    <row r="11880" spans="2:4" x14ac:dyDescent="0.3">
      <c r="B11880" s="33" t="s">
        <v>32323</v>
      </c>
      <c r="C11880" s="32" t="s">
        <v>32324</v>
      </c>
      <c r="D11880" s="32" t="s">
        <v>32325</v>
      </c>
    </row>
    <row r="11881" spans="2:4" x14ac:dyDescent="0.3">
      <c r="B11881" s="33" t="s">
        <v>32326</v>
      </c>
      <c r="C11881" s="32" t="s">
        <v>32327</v>
      </c>
      <c r="D11881" s="32" t="s">
        <v>32328</v>
      </c>
    </row>
    <row r="11882" spans="2:4" x14ac:dyDescent="0.3">
      <c r="B11882" s="33" t="s">
        <v>32329</v>
      </c>
      <c r="C11882" s="32" t="s">
        <v>32330</v>
      </c>
      <c r="D11882" s="32" t="s">
        <v>32331</v>
      </c>
    </row>
    <row r="11883" spans="2:4" x14ac:dyDescent="0.3">
      <c r="B11883" s="33" t="s">
        <v>32332</v>
      </c>
      <c r="C11883" s="32" t="s">
        <v>32333</v>
      </c>
      <c r="D11883" s="32" t="s">
        <v>32334</v>
      </c>
    </row>
    <row r="11884" spans="2:4" x14ac:dyDescent="0.3">
      <c r="B11884" s="33" t="s">
        <v>32303</v>
      </c>
      <c r="C11884" s="32" t="s">
        <v>32335</v>
      </c>
      <c r="D11884" s="32" t="s">
        <v>32336</v>
      </c>
    </row>
    <row r="11885" spans="2:4" x14ac:dyDescent="0.3">
      <c r="B11885" s="33" t="s">
        <v>32259</v>
      </c>
      <c r="C11885" s="32" t="s">
        <v>32337</v>
      </c>
      <c r="D11885" s="32" t="s">
        <v>32338</v>
      </c>
    </row>
    <row r="11886" spans="2:4" x14ac:dyDescent="0.3">
      <c r="B11886" s="33" t="s">
        <v>32339</v>
      </c>
      <c r="C11886" s="32" t="s">
        <v>32340</v>
      </c>
      <c r="D11886" s="32" t="s">
        <v>32341</v>
      </c>
    </row>
    <row r="11887" spans="2:4" x14ac:dyDescent="0.3">
      <c r="B11887" s="33" t="s">
        <v>32342</v>
      </c>
      <c r="C11887" s="32" t="s">
        <v>32343</v>
      </c>
      <c r="D11887" s="32" t="s">
        <v>32344</v>
      </c>
    </row>
    <row r="11888" spans="2:4" x14ac:dyDescent="0.3">
      <c r="B11888" s="33" t="s">
        <v>32345</v>
      </c>
      <c r="C11888" s="32" t="s">
        <v>32346</v>
      </c>
      <c r="D11888" s="32" t="s">
        <v>32347</v>
      </c>
    </row>
    <row r="11889" spans="2:4" x14ac:dyDescent="0.3">
      <c r="B11889" s="33" t="s">
        <v>32348</v>
      </c>
      <c r="C11889" s="32" t="s">
        <v>32349</v>
      </c>
      <c r="D11889" s="32" t="s">
        <v>32350</v>
      </c>
    </row>
    <row r="11890" spans="2:4" x14ac:dyDescent="0.3">
      <c r="B11890" s="33" t="s">
        <v>32351</v>
      </c>
      <c r="C11890" s="32" t="s">
        <v>32352</v>
      </c>
      <c r="D11890" s="32" t="s">
        <v>32353</v>
      </c>
    </row>
    <row r="11891" spans="2:4" x14ac:dyDescent="0.3">
      <c r="B11891" s="33" t="s">
        <v>32354</v>
      </c>
      <c r="C11891" s="32" t="s">
        <v>32355</v>
      </c>
      <c r="D11891" s="32" t="s">
        <v>32356</v>
      </c>
    </row>
    <row r="11892" spans="2:4" x14ac:dyDescent="0.3">
      <c r="B11892" s="33" t="s">
        <v>32357</v>
      </c>
      <c r="C11892" s="32" t="s">
        <v>32358</v>
      </c>
      <c r="D11892" s="32" t="s">
        <v>32359</v>
      </c>
    </row>
    <row r="11893" spans="2:4" x14ac:dyDescent="0.3">
      <c r="B11893" s="33" t="s">
        <v>32360</v>
      </c>
      <c r="C11893" s="32" t="s">
        <v>32361</v>
      </c>
      <c r="D11893" s="32" t="s">
        <v>32362</v>
      </c>
    </row>
    <row r="11894" spans="2:4" x14ac:dyDescent="0.3">
      <c r="B11894" s="33" t="s">
        <v>32363</v>
      </c>
      <c r="C11894" s="32" t="s">
        <v>32364</v>
      </c>
      <c r="D11894" s="32" t="s">
        <v>32365</v>
      </c>
    </row>
    <row r="11895" spans="2:4" x14ac:dyDescent="0.3">
      <c r="B11895" s="33" t="s">
        <v>32366</v>
      </c>
      <c r="C11895" s="32" t="s">
        <v>32367</v>
      </c>
      <c r="D11895" s="32" t="s">
        <v>32368</v>
      </c>
    </row>
    <row r="11896" spans="2:4" x14ac:dyDescent="0.3">
      <c r="B11896" s="33" t="s">
        <v>32369</v>
      </c>
      <c r="C11896" s="32" t="s">
        <v>32370</v>
      </c>
      <c r="D11896" s="32" t="s">
        <v>32371</v>
      </c>
    </row>
    <row r="11897" spans="2:4" x14ac:dyDescent="0.3">
      <c r="B11897" s="33" t="s">
        <v>32372</v>
      </c>
      <c r="C11897" s="32" t="s">
        <v>32373</v>
      </c>
      <c r="D11897" s="32" t="s">
        <v>32374</v>
      </c>
    </row>
    <row r="11898" spans="2:4" x14ac:dyDescent="0.3">
      <c r="B11898" s="33" t="s">
        <v>32375</v>
      </c>
      <c r="C11898" s="32" t="s">
        <v>32376</v>
      </c>
      <c r="D11898" s="32" t="s">
        <v>32377</v>
      </c>
    </row>
    <row r="11899" spans="2:4" x14ac:dyDescent="0.3">
      <c r="B11899" s="33" t="s">
        <v>31497</v>
      </c>
      <c r="C11899" s="32" t="s">
        <v>32378</v>
      </c>
      <c r="D11899" s="32" t="s">
        <v>32379</v>
      </c>
    </row>
    <row r="11900" spans="2:4" x14ac:dyDescent="0.3">
      <c r="B11900" s="33" t="s">
        <v>32004</v>
      </c>
      <c r="C11900" s="32" t="s">
        <v>32380</v>
      </c>
      <c r="D11900" s="32" t="s">
        <v>32381</v>
      </c>
    </row>
    <row r="11901" spans="2:4" x14ac:dyDescent="0.3">
      <c r="B11901" s="33" t="s">
        <v>31896</v>
      </c>
      <c r="C11901" s="32" t="s">
        <v>32382</v>
      </c>
      <c r="D11901" s="32" t="s">
        <v>31896</v>
      </c>
    </row>
    <row r="11902" spans="2:4" x14ac:dyDescent="0.3">
      <c r="B11902" s="33" t="s">
        <v>32383</v>
      </c>
      <c r="C11902" s="32" t="s">
        <v>32384</v>
      </c>
      <c r="D11902" s="32" t="s">
        <v>32385</v>
      </c>
    </row>
    <row r="11903" spans="2:4" x14ac:dyDescent="0.3">
      <c r="B11903" s="33" t="s">
        <v>32386</v>
      </c>
      <c r="C11903" s="32" t="s">
        <v>32387</v>
      </c>
      <c r="D11903" s="32" t="s">
        <v>32388</v>
      </c>
    </row>
    <row r="11904" spans="2:4" x14ac:dyDescent="0.3">
      <c r="B11904" s="33" t="s">
        <v>32389</v>
      </c>
      <c r="C11904" s="32" t="s">
        <v>32390</v>
      </c>
      <c r="D11904" s="32" t="s">
        <v>32389</v>
      </c>
    </row>
    <row r="11905" spans="2:4" x14ac:dyDescent="0.3">
      <c r="B11905" s="33" t="s">
        <v>25576</v>
      </c>
      <c r="C11905" s="32" t="s">
        <v>37373</v>
      </c>
      <c r="D11905" s="32" t="s">
        <v>37374</v>
      </c>
    </row>
    <row r="11906" spans="2:4" x14ac:dyDescent="0.3">
      <c r="B11906" s="33" t="s">
        <v>32391</v>
      </c>
      <c r="C11906" s="32" t="s">
        <v>32392</v>
      </c>
      <c r="D11906" s="32" t="s">
        <v>32391</v>
      </c>
    </row>
    <row r="11907" spans="2:4" x14ac:dyDescent="0.3">
      <c r="B11907" s="33" t="s">
        <v>4360</v>
      </c>
      <c r="C11907" s="32" t="s">
        <v>32393</v>
      </c>
      <c r="D11907" s="32" t="s">
        <v>32394</v>
      </c>
    </row>
    <row r="11908" spans="2:4" x14ac:dyDescent="0.3">
      <c r="B11908" s="33" t="s">
        <v>32395</v>
      </c>
      <c r="C11908" s="32" t="s">
        <v>32396</v>
      </c>
      <c r="D11908" s="32" t="s">
        <v>32397</v>
      </c>
    </row>
    <row r="11909" spans="2:4" x14ac:dyDescent="0.3">
      <c r="B11909" s="33" t="s">
        <v>32267</v>
      </c>
      <c r="C11909" s="32" t="s">
        <v>32398</v>
      </c>
      <c r="D11909" s="32" t="s">
        <v>32399</v>
      </c>
    </row>
    <row r="11910" spans="2:4" x14ac:dyDescent="0.3">
      <c r="B11910" s="33" t="s">
        <v>32400</v>
      </c>
      <c r="C11910" s="32" t="s">
        <v>32401</v>
      </c>
      <c r="D11910" s="32" t="s">
        <v>32402</v>
      </c>
    </row>
    <row r="11911" spans="2:4" x14ac:dyDescent="0.3">
      <c r="B11911" s="33" t="s">
        <v>32225</v>
      </c>
      <c r="C11911" s="32" t="s">
        <v>32403</v>
      </c>
      <c r="D11911" s="32" t="s">
        <v>32404</v>
      </c>
    </row>
    <row r="11912" spans="2:4" x14ac:dyDescent="0.3">
      <c r="B11912" s="33" t="s">
        <v>32306</v>
      </c>
      <c r="C11912" s="32" t="s">
        <v>32405</v>
      </c>
      <c r="D11912" s="32" t="s">
        <v>32406</v>
      </c>
    </row>
    <row r="11913" spans="2:4" x14ac:dyDescent="0.3">
      <c r="B11913" s="33" t="s">
        <v>32407</v>
      </c>
      <c r="C11913" s="32" t="s">
        <v>32408</v>
      </c>
      <c r="D11913" s="32" t="s">
        <v>32409</v>
      </c>
    </row>
    <row r="11914" spans="2:4" x14ac:dyDescent="0.3">
      <c r="B11914" s="33" t="s">
        <v>32410</v>
      </c>
      <c r="C11914" s="32" t="s">
        <v>32411</v>
      </c>
      <c r="D11914" s="32" t="s">
        <v>32410</v>
      </c>
    </row>
    <row r="11915" spans="2:4" x14ac:dyDescent="0.3">
      <c r="B11915" s="33" t="s">
        <v>32410</v>
      </c>
      <c r="C11915" s="32" t="s">
        <v>32412</v>
      </c>
      <c r="D11915" s="32" t="s">
        <v>32413</v>
      </c>
    </row>
    <row r="11916" spans="2:4" x14ac:dyDescent="0.3">
      <c r="B11916" s="33" t="s">
        <v>32414</v>
      </c>
      <c r="C11916" s="32" t="s">
        <v>32415</v>
      </c>
      <c r="D11916" s="32" t="s">
        <v>32416</v>
      </c>
    </row>
    <row r="11917" spans="2:4" x14ac:dyDescent="0.3">
      <c r="B11917" s="33" t="s">
        <v>32410</v>
      </c>
      <c r="C11917" s="32" t="s">
        <v>32417</v>
      </c>
      <c r="D11917" s="32" t="s">
        <v>32418</v>
      </c>
    </row>
    <row r="11918" spans="2:4" x14ac:dyDescent="0.3">
      <c r="B11918" s="33" t="s">
        <v>32419</v>
      </c>
      <c r="C11918" s="32" t="s">
        <v>32420</v>
      </c>
      <c r="D11918" s="32" t="s">
        <v>32419</v>
      </c>
    </row>
    <row r="11919" spans="2:4" x14ac:dyDescent="0.3">
      <c r="B11919" s="33" t="s">
        <v>32421</v>
      </c>
      <c r="C11919" s="32" t="s">
        <v>32422</v>
      </c>
      <c r="D11919" s="32" t="s">
        <v>32423</v>
      </c>
    </row>
    <row r="11920" spans="2:4" x14ac:dyDescent="0.3">
      <c r="B11920" s="33" t="s">
        <v>32424</v>
      </c>
      <c r="C11920" s="32" t="s">
        <v>32425</v>
      </c>
      <c r="D11920" s="32" t="s">
        <v>32426</v>
      </c>
    </row>
    <row r="11921" spans="2:4" x14ac:dyDescent="0.3">
      <c r="B11921" s="33" t="s">
        <v>32427</v>
      </c>
      <c r="C11921" s="32" t="s">
        <v>32428</v>
      </c>
      <c r="D11921" s="32" t="s">
        <v>32429</v>
      </c>
    </row>
    <row r="11922" spans="2:4" x14ac:dyDescent="0.3">
      <c r="B11922" s="33" t="s">
        <v>32430</v>
      </c>
      <c r="C11922" s="32" t="s">
        <v>32431</v>
      </c>
      <c r="D11922" s="32" t="s">
        <v>32430</v>
      </c>
    </row>
    <row r="11923" spans="2:4" x14ac:dyDescent="0.3">
      <c r="B11923" s="33" t="s">
        <v>32432</v>
      </c>
      <c r="C11923" s="32" t="s">
        <v>32433</v>
      </c>
      <c r="D11923" s="32" t="s">
        <v>32434</v>
      </c>
    </row>
    <row r="11924" spans="2:4" x14ac:dyDescent="0.3">
      <c r="B11924" s="33" t="s">
        <v>32435</v>
      </c>
      <c r="C11924" s="32" t="s">
        <v>32436</v>
      </c>
      <c r="D11924" s="32" t="s">
        <v>32437</v>
      </c>
    </row>
    <row r="11925" spans="2:4" x14ac:dyDescent="0.3">
      <c r="B11925" s="33" t="s">
        <v>32438</v>
      </c>
      <c r="C11925" s="32" t="s">
        <v>32439</v>
      </c>
      <c r="D11925" s="32" t="s">
        <v>32440</v>
      </c>
    </row>
    <row r="11926" spans="2:4" x14ac:dyDescent="0.3">
      <c r="B11926" s="33" t="s">
        <v>32441</v>
      </c>
      <c r="C11926" s="32" t="s">
        <v>32442</v>
      </c>
      <c r="D11926" s="32" t="s">
        <v>32443</v>
      </c>
    </row>
    <row r="11927" spans="2:4" x14ac:dyDescent="0.3">
      <c r="B11927" s="33" t="s">
        <v>32444</v>
      </c>
      <c r="C11927" s="32" t="s">
        <v>32445</v>
      </c>
      <c r="D11927" s="32" t="s">
        <v>32446</v>
      </c>
    </row>
    <row r="11928" spans="2:4" x14ac:dyDescent="0.3">
      <c r="B11928" s="33" t="s">
        <v>32447</v>
      </c>
      <c r="C11928" s="32" t="s">
        <v>32448</v>
      </c>
      <c r="D11928" s="32" t="s">
        <v>32449</v>
      </c>
    </row>
    <row r="11929" spans="2:4" x14ac:dyDescent="0.3">
      <c r="B11929" s="33" t="s">
        <v>32450</v>
      </c>
      <c r="C11929" s="32" t="s">
        <v>32451</v>
      </c>
      <c r="D11929" s="32" t="s">
        <v>32452</v>
      </c>
    </row>
    <row r="11930" spans="2:4" x14ac:dyDescent="0.3">
      <c r="B11930" s="33" t="s">
        <v>32453</v>
      </c>
      <c r="C11930" s="32" t="s">
        <v>32454</v>
      </c>
      <c r="D11930" s="32" t="s">
        <v>32455</v>
      </c>
    </row>
    <row r="11931" spans="2:4" x14ac:dyDescent="0.3">
      <c r="B11931" s="33" t="s">
        <v>32456</v>
      </c>
      <c r="C11931" s="32" t="s">
        <v>32457</v>
      </c>
      <c r="D11931" s="32" t="s">
        <v>32458</v>
      </c>
    </row>
    <row r="11932" spans="2:4" x14ac:dyDescent="0.3">
      <c r="B11932" s="33" t="s">
        <v>32459</v>
      </c>
      <c r="C11932" s="32" t="s">
        <v>32460</v>
      </c>
      <c r="D11932" s="32" t="s">
        <v>32461</v>
      </c>
    </row>
    <row r="11933" spans="2:4" x14ac:dyDescent="0.3">
      <c r="B11933" s="33" t="s">
        <v>32462</v>
      </c>
      <c r="C11933" s="32" t="s">
        <v>32463</v>
      </c>
      <c r="D11933" s="32" t="s">
        <v>32464</v>
      </c>
    </row>
    <row r="11934" spans="2:4" x14ac:dyDescent="0.3">
      <c r="B11934" s="33" t="s">
        <v>8707</v>
      </c>
      <c r="C11934" s="32" t="s">
        <v>32465</v>
      </c>
      <c r="D11934" s="32" t="s">
        <v>32466</v>
      </c>
    </row>
    <row r="11935" spans="2:4" x14ac:dyDescent="0.3">
      <c r="B11935" s="33" t="s">
        <v>31896</v>
      </c>
      <c r="C11935" s="32" t="s">
        <v>32467</v>
      </c>
      <c r="D11935" s="32" t="s">
        <v>32468</v>
      </c>
    </row>
    <row r="11936" spans="2:4" x14ac:dyDescent="0.3">
      <c r="B11936" s="33" t="s">
        <v>32469</v>
      </c>
      <c r="C11936" s="32" t="s">
        <v>32470</v>
      </c>
      <c r="D11936" s="32" t="s">
        <v>32471</v>
      </c>
    </row>
    <row r="11937" spans="2:4" x14ac:dyDescent="0.3">
      <c r="B11937" s="33" t="s">
        <v>4818</v>
      </c>
      <c r="C11937" s="32" t="s">
        <v>32472</v>
      </c>
      <c r="D11937" s="32" t="s">
        <v>32473</v>
      </c>
    </row>
    <row r="11938" spans="2:4" x14ac:dyDescent="0.3">
      <c r="B11938" s="33" t="s">
        <v>22331</v>
      </c>
      <c r="C11938" s="32" t="s">
        <v>32474</v>
      </c>
      <c r="D11938" s="32" t="s">
        <v>32475</v>
      </c>
    </row>
    <row r="11939" spans="2:4" x14ac:dyDescent="0.3">
      <c r="B11939" s="33" t="s">
        <v>32476</v>
      </c>
      <c r="C11939" s="32" t="s">
        <v>32477</v>
      </c>
      <c r="D11939" s="32" t="s">
        <v>32478</v>
      </c>
    </row>
    <row r="11940" spans="2:4" x14ac:dyDescent="0.3">
      <c r="B11940" s="33" t="s">
        <v>32479</v>
      </c>
      <c r="C11940" s="32" t="s">
        <v>32480</v>
      </c>
      <c r="D11940" s="32" t="s">
        <v>32481</v>
      </c>
    </row>
    <row r="11941" spans="2:4" x14ac:dyDescent="0.3">
      <c r="B11941" s="33" t="s">
        <v>32482</v>
      </c>
      <c r="C11941" s="32" t="s">
        <v>32483</v>
      </c>
      <c r="D11941" s="32" t="s">
        <v>32484</v>
      </c>
    </row>
    <row r="11942" spans="2:4" x14ac:dyDescent="0.3">
      <c r="B11942" s="33" t="s">
        <v>32485</v>
      </c>
      <c r="C11942" s="32" t="s">
        <v>32486</v>
      </c>
      <c r="D11942" s="32" t="s">
        <v>32487</v>
      </c>
    </row>
    <row r="11943" spans="2:4" x14ac:dyDescent="0.3">
      <c r="B11943" s="33" t="s">
        <v>32488</v>
      </c>
      <c r="C11943" s="32" t="s">
        <v>32489</v>
      </c>
      <c r="D11943" s="32" t="s">
        <v>32490</v>
      </c>
    </row>
    <row r="11944" spans="2:4" x14ac:dyDescent="0.3">
      <c r="B11944" s="33" t="s">
        <v>11300</v>
      </c>
      <c r="C11944" s="32" t="s">
        <v>32491</v>
      </c>
      <c r="D11944" s="32" t="s">
        <v>32492</v>
      </c>
    </row>
    <row r="11945" spans="2:4" x14ac:dyDescent="0.3">
      <c r="B11945" s="33" t="s">
        <v>32493</v>
      </c>
      <c r="C11945" s="32" t="s">
        <v>32494</v>
      </c>
      <c r="D11945" s="32" t="s">
        <v>32495</v>
      </c>
    </row>
    <row r="11946" spans="2:4" x14ac:dyDescent="0.3">
      <c r="B11946" s="33" t="s">
        <v>32496</v>
      </c>
      <c r="C11946" s="32" t="s">
        <v>32497</v>
      </c>
      <c r="D11946" s="32" t="s">
        <v>32498</v>
      </c>
    </row>
    <row r="11947" spans="2:4" x14ac:dyDescent="0.3">
      <c r="B11947" s="33" t="s">
        <v>32499</v>
      </c>
      <c r="C11947" s="32" t="s">
        <v>32500</v>
      </c>
      <c r="D11947" s="32" t="s">
        <v>32501</v>
      </c>
    </row>
    <row r="11948" spans="2:4" x14ac:dyDescent="0.3">
      <c r="B11948" s="33" t="s">
        <v>32502</v>
      </c>
      <c r="C11948" s="32" t="s">
        <v>32503</v>
      </c>
      <c r="D11948" s="32" t="s">
        <v>32504</v>
      </c>
    </row>
    <row r="11949" spans="2:4" x14ac:dyDescent="0.3">
      <c r="B11949" s="33" t="s">
        <v>31576</v>
      </c>
      <c r="C11949" s="32" t="s">
        <v>32505</v>
      </c>
      <c r="D11949" s="32" t="s">
        <v>32506</v>
      </c>
    </row>
    <row r="11950" spans="2:4" x14ac:dyDescent="0.3">
      <c r="B11950" s="33" t="s">
        <v>32507</v>
      </c>
      <c r="C11950" s="32" t="s">
        <v>32508</v>
      </c>
      <c r="D11950" s="32" t="s">
        <v>32509</v>
      </c>
    </row>
    <row r="11951" spans="2:4" x14ac:dyDescent="0.3">
      <c r="B11951" s="33" t="s">
        <v>32510</v>
      </c>
      <c r="C11951" s="32" t="s">
        <v>32511</v>
      </c>
      <c r="D11951" s="32" t="s">
        <v>32512</v>
      </c>
    </row>
    <row r="11952" spans="2:4" x14ac:dyDescent="0.3">
      <c r="B11952" s="33" t="s">
        <v>32513</v>
      </c>
      <c r="C11952" s="32" t="s">
        <v>32514</v>
      </c>
      <c r="D11952" s="32" t="s">
        <v>32515</v>
      </c>
    </row>
    <row r="11953" spans="2:4" x14ac:dyDescent="0.3">
      <c r="B11953" s="33" t="s">
        <v>32516</v>
      </c>
      <c r="C11953" s="32" t="s">
        <v>32517</v>
      </c>
      <c r="D11953" s="32" t="s">
        <v>32518</v>
      </c>
    </row>
    <row r="11954" spans="2:4" x14ac:dyDescent="0.3">
      <c r="B11954" s="33" t="s">
        <v>32519</v>
      </c>
      <c r="C11954" s="32" t="s">
        <v>32520</v>
      </c>
      <c r="D11954" s="32" t="s">
        <v>32521</v>
      </c>
    </row>
    <row r="11955" spans="2:4" x14ac:dyDescent="0.3">
      <c r="B11955" s="33" t="s">
        <v>32522</v>
      </c>
      <c r="C11955" s="32" t="s">
        <v>32523</v>
      </c>
      <c r="D11955" s="32" t="s">
        <v>32524</v>
      </c>
    </row>
    <row r="11956" spans="2:4" x14ac:dyDescent="0.3">
      <c r="B11956" s="33" t="s">
        <v>32525</v>
      </c>
      <c r="C11956" s="32" t="s">
        <v>32526</v>
      </c>
      <c r="D11956" s="32" t="s">
        <v>32527</v>
      </c>
    </row>
    <row r="11957" spans="2:4" x14ac:dyDescent="0.3">
      <c r="B11957" s="33" t="s">
        <v>31494</v>
      </c>
      <c r="C11957" s="32" t="s">
        <v>32528</v>
      </c>
      <c r="D11957" s="32" t="s">
        <v>32529</v>
      </c>
    </row>
    <row r="11958" spans="2:4" x14ac:dyDescent="0.3">
      <c r="B11958" s="33" t="s">
        <v>32530</v>
      </c>
      <c r="C11958" s="32" t="s">
        <v>32531</v>
      </c>
      <c r="D11958" s="32" t="s">
        <v>32532</v>
      </c>
    </row>
    <row r="11959" spans="2:4" x14ac:dyDescent="0.3">
      <c r="B11959" s="33" t="s">
        <v>32533</v>
      </c>
      <c r="C11959" s="32" t="s">
        <v>32534</v>
      </c>
      <c r="D11959" s="32" t="s">
        <v>32535</v>
      </c>
    </row>
    <row r="11960" spans="2:4" x14ac:dyDescent="0.3">
      <c r="B11960" s="33" t="s">
        <v>32536</v>
      </c>
      <c r="C11960" s="32" t="s">
        <v>32537</v>
      </c>
      <c r="D11960" s="32" t="s">
        <v>32538</v>
      </c>
    </row>
    <row r="11961" spans="2:4" x14ac:dyDescent="0.3">
      <c r="B11961" s="33" t="s">
        <v>32539</v>
      </c>
      <c r="C11961" s="32" t="s">
        <v>32540</v>
      </c>
      <c r="D11961" s="32" t="s">
        <v>32541</v>
      </c>
    </row>
    <row r="11962" spans="2:4" x14ac:dyDescent="0.3">
      <c r="B11962" s="33" t="s">
        <v>32542</v>
      </c>
      <c r="C11962" s="32" t="s">
        <v>32543</v>
      </c>
      <c r="D11962" s="32" t="s">
        <v>32544</v>
      </c>
    </row>
    <row r="11963" spans="2:4" x14ac:dyDescent="0.3">
      <c r="B11963" s="33" t="s">
        <v>32545</v>
      </c>
      <c r="C11963" s="32" t="s">
        <v>32546</v>
      </c>
      <c r="D11963" s="32" t="s">
        <v>32547</v>
      </c>
    </row>
    <row r="11964" spans="2:4" x14ac:dyDescent="0.3">
      <c r="B11964" s="33" t="s">
        <v>32548</v>
      </c>
      <c r="C11964" s="32" t="s">
        <v>32549</v>
      </c>
      <c r="D11964" s="32" t="s">
        <v>32550</v>
      </c>
    </row>
    <row r="11965" spans="2:4" x14ac:dyDescent="0.3">
      <c r="B11965" s="33" t="s">
        <v>32551</v>
      </c>
      <c r="C11965" s="32" t="s">
        <v>32552</v>
      </c>
      <c r="D11965" s="32" t="s">
        <v>32553</v>
      </c>
    </row>
    <row r="11966" spans="2:4" x14ac:dyDescent="0.3">
      <c r="B11966" s="33" t="s">
        <v>32554</v>
      </c>
      <c r="C11966" s="32" t="s">
        <v>32555</v>
      </c>
      <c r="D11966" s="32" t="s">
        <v>32556</v>
      </c>
    </row>
    <row r="11967" spans="2:4" x14ac:dyDescent="0.3">
      <c r="B11967" s="33" t="s">
        <v>7016</v>
      </c>
      <c r="C11967" s="32" t="s">
        <v>32557</v>
      </c>
      <c r="D11967" s="32" t="s">
        <v>32558</v>
      </c>
    </row>
    <row r="11968" spans="2:4" x14ac:dyDescent="0.3">
      <c r="B11968" s="33" t="s">
        <v>32559</v>
      </c>
      <c r="C11968" s="32" t="s">
        <v>32560</v>
      </c>
      <c r="D11968" s="32" t="s">
        <v>32561</v>
      </c>
    </row>
    <row r="11969" spans="2:4" x14ac:dyDescent="0.3">
      <c r="B11969" s="33" t="s">
        <v>32562</v>
      </c>
      <c r="C11969" s="32" t="s">
        <v>32563</v>
      </c>
      <c r="D11969" s="32" t="s">
        <v>32564</v>
      </c>
    </row>
    <row r="11970" spans="2:4" x14ac:dyDescent="0.3">
      <c r="B11970" s="33" t="s">
        <v>32565</v>
      </c>
      <c r="C11970" s="32" t="s">
        <v>32566</v>
      </c>
      <c r="D11970" s="32" t="s">
        <v>32567</v>
      </c>
    </row>
    <row r="11971" spans="2:4" x14ac:dyDescent="0.3">
      <c r="B11971" s="33" t="s">
        <v>31631</v>
      </c>
      <c r="C11971" s="32" t="s">
        <v>32568</v>
      </c>
      <c r="D11971" s="32" t="s">
        <v>32569</v>
      </c>
    </row>
    <row r="11972" spans="2:4" x14ac:dyDescent="0.3">
      <c r="B11972" s="33" t="s">
        <v>15476</v>
      </c>
      <c r="C11972" s="32" t="s">
        <v>32570</v>
      </c>
      <c r="D11972" s="32" t="s">
        <v>32571</v>
      </c>
    </row>
    <row r="11973" spans="2:4" x14ac:dyDescent="0.3">
      <c r="B11973" s="33" t="s">
        <v>32572</v>
      </c>
      <c r="C11973" s="32" t="s">
        <v>32573</v>
      </c>
      <c r="D11973" s="32" t="s">
        <v>32574</v>
      </c>
    </row>
    <row r="11974" spans="2:4" x14ac:dyDescent="0.3">
      <c r="B11974" s="33" t="s">
        <v>32575</v>
      </c>
      <c r="C11974" s="32" t="s">
        <v>32576</v>
      </c>
      <c r="D11974" s="32" t="s">
        <v>32577</v>
      </c>
    </row>
    <row r="11975" spans="2:4" x14ac:dyDescent="0.3">
      <c r="B11975" s="33" t="s">
        <v>32578</v>
      </c>
      <c r="C11975" s="32" t="s">
        <v>32579</v>
      </c>
      <c r="D11975" s="32" t="s">
        <v>32580</v>
      </c>
    </row>
    <row r="11976" spans="2:4" x14ac:dyDescent="0.3">
      <c r="B11976" s="33" t="s">
        <v>32581</v>
      </c>
      <c r="C11976" s="32" t="s">
        <v>32582</v>
      </c>
      <c r="D11976" s="32" t="s">
        <v>32583</v>
      </c>
    </row>
    <row r="11977" spans="2:4" x14ac:dyDescent="0.3">
      <c r="B11977" s="33" t="s">
        <v>32584</v>
      </c>
      <c r="C11977" s="32" t="s">
        <v>32585</v>
      </c>
      <c r="D11977" s="32" t="s">
        <v>32586</v>
      </c>
    </row>
    <row r="11978" spans="2:4" x14ac:dyDescent="0.3">
      <c r="B11978" s="33" t="s">
        <v>32587</v>
      </c>
      <c r="C11978" s="32" t="s">
        <v>32588</v>
      </c>
      <c r="D11978" s="32" t="s">
        <v>32589</v>
      </c>
    </row>
    <row r="11979" spans="2:4" x14ac:dyDescent="0.3">
      <c r="B11979" s="33" t="s">
        <v>32590</v>
      </c>
      <c r="C11979" s="32" t="s">
        <v>32591</v>
      </c>
      <c r="D11979" s="32" t="s">
        <v>32592</v>
      </c>
    </row>
    <row r="11980" spans="2:4" x14ac:dyDescent="0.3">
      <c r="B11980" s="33" t="s">
        <v>28743</v>
      </c>
      <c r="C11980" s="32" t="s">
        <v>32593</v>
      </c>
      <c r="D11980" s="32" t="s">
        <v>32594</v>
      </c>
    </row>
    <row r="11981" spans="2:4" x14ac:dyDescent="0.3">
      <c r="B11981" s="33" t="s">
        <v>32595</v>
      </c>
      <c r="C11981" s="32" t="s">
        <v>32596</v>
      </c>
      <c r="D11981" s="32" t="s">
        <v>32597</v>
      </c>
    </row>
    <row r="11982" spans="2:4" x14ac:dyDescent="0.3">
      <c r="B11982" s="33" t="s">
        <v>32225</v>
      </c>
      <c r="C11982" s="32" t="s">
        <v>32598</v>
      </c>
      <c r="D11982" s="32" t="s">
        <v>32599</v>
      </c>
    </row>
    <row r="11983" spans="2:4" x14ac:dyDescent="0.3">
      <c r="B11983" s="33" t="s">
        <v>32600</v>
      </c>
      <c r="C11983" s="32" t="s">
        <v>32601</v>
      </c>
      <c r="D11983" s="32" t="s">
        <v>32602</v>
      </c>
    </row>
    <row r="11984" spans="2:4" x14ac:dyDescent="0.3">
      <c r="B11984" s="33" t="s">
        <v>32603</v>
      </c>
      <c r="C11984" s="32" t="s">
        <v>32604</v>
      </c>
      <c r="D11984" s="32" t="s">
        <v>32605</v>
      </c>
    </row>
    <row r="11985" spans="2:4" x14ac:dyDescent="0.3">
      <c r="B11985" s="33" t="s">
        <v>32606</v>
      </c>
      <c r="C11985" s="32" t="s">
        <v>32607</v>
      </c>
      <c r="D11985" s="32" t="s">
        <v>32608</v>
      </c>
    </row>
    <row r="11986" spans="2:4" x14ac:dyDescent="0.3">
      <c r="B11986" s="33" t="s">
        <v>32609</v>
      </c>
      <c r="C11986" s="32" t="s">
        <v>32610</v>
      </c>
      <c r="D11986" s="32" t="s">
        <v>32611</v>
      </c>
    </row>
    <row r="11987" spans="2:4" x14ac:dyDescent="0.3">
      <c r="B11987" s="33" t="s">
        <v>11585</v>
      </c>
      <c r="C11987" s="32" t="s">
        <v>32612</v>
      </c>
      <c r="D11987" s="32" t="s">
        <v>32613</v>
      </c>
    </row>
    <row r="11988" spans="2:4" x14ac:dyDescent="0.3">
      <c r="B11988" s="33" t="s">
        <v>32609</v>
      </c>
      <c r="C11988" s="32" t="s">
        <v>32614</v>
      </c>
      <c r="D11988" s="32" t="s">
        <v>32615</v>
      </c>
    </row>
    <row r="11989" spans="2:4" x14ac:dyDescent="0.3">
      <c r="B11989" s="33" t="s">
        <v>32616</v>
      </c>
      <c r="C11989" s="32" t="s">
        <v>32617</v>
      </c>
      <c r="D11989" s="32" t="s">
        <v>32618</v>
      </c>
    </row>
    <row r="11990" spans="2:4" x14ac:dyDescent="0.3">
      <c r="B11990" s="33" t="s">
        <v>32619</v>
      </c>
      <c r="C11990" s="32" t="s">
        <v>32620</v>
      </c>
      <c r="D11990" s="32" t="s">
        <v>32621</v>
      </c>
    </row>
    <row r="11991" spans="2:4" x14ac:dyDescent="0.3">
      <c r="B11991" s="33" t="s">
        <v>32622</v>
      </c>
      <c r="C11991" s="32" t="s">
        <v>32623</v>
      </c>
      <c r="D11991" s="32" t="s">
        <v>32624</v>
      </c>
    </row>
    <row r="11992" spans="2:4" x14ac:dyDescent="0.3">
      <c r="B11992" s="33" t="s">
        <v>32622</v>
      </c>
      <c r="C11992" s="32" t="s">
        <v>32625</v>
      </c>
      <c r="D11992" s="32" t="s">
        <v>32626</v>
      </c>
    </row>
    <row r="11993" spans="2:4" x14ac:dyDescent="0.3">
      <c r="B11993" s="33" t="s">
        <v>32627</v>
      </c>
      <c r="C11993" s="32" t="s">
        <v>32628</v>
      </c>
      <c r="D11993" s="32" t="s">
        <v>32629</v>
      </c>
    </row>
    <row r="11994" spans="2:4" x14ac:dyDescent="0.3">
      <c r="B11994" s="33" t="s">
        <v>32630</v>
      </c>
      <c r="C11994" s="32" t="s">
        <v>32631</v>
      </c>
      <c r="D11994" s="32" t="s">
        <v>32632</v>
      </c>
    </row>
    <row r="11995" spans="2:4" x14ac:dyDescent="0.3">
      <c r="B11995" s="33" t="s">
        <v>32633</v>
      </c>
      <c r="C11995" s="32" t="s">
        <v>32634</v>
      </c>
      <c r="D11995" s="32" t="s">
        <v>36896</v>
      </c>
    </row>
    <row r="11996" spans="2:4" x14ac:dyDescent="0.3">
      <c r="B11996" s="33" t="s">
        <v>32635</v>
      </c>
      <c r="C11996" s="32" t="s">
        <v>32636</v>
      </c>
      <c r="D11996" s="32" t="s">
        <v>32637</v>
      </c>
    </row>
    <row r="11997" spans="2:4" x14ac:dyDescent="0.3">
      <c r="B11997" s="33" t="s">
        <v>32638</v>
      </c>
      <c r="C11997" s="32" t="s">
        <v>32639</v>
      </c>
      <c r="D11997" s="32" t="s">
        <v>32640</v>
      </c>
    </row>
    <row r="11998" spans="2:4" x14ac:dyDescent="0.3">
      <c r="B11998" s="33" t="s">
        <v>32641</v>
      </c>
      <c r="C11998" s="32" t="s">
        <v>32642</v>
      </c>
      <c r="D11998" s="32" t="s">
        <v>32643</v>
      </c>
    </row>
    <row r="11999" spans="2:4" x14ac:dyDescent="0.3">
      <c r="B11999" s="33" t="s">
        <v>32644</v>
      </c>
      <c r="C11999" s="32" t="s">
        <v>32645</v>
      </c>
      <c r="D11999" s="32" t="s">
        <v>32646</v>
      </c>
    </row>
    <row r="12000" spans="2:4" x14ac:dyDescent="0.3">
      <c r="B12000" s="33" t="s">
        <v>32647</v>
      </c>
      <c r="C12000" s="32" t="s">
        <v>32648</v>
      </c>
      <c r="D12000" s="32" t="s">
        <v>32649</v>
      </c>
    </row>
    <row r="12001" spans="2:4" x14ac:dyDescent="0.3">
      <c r="B12001" s="33" t="s">
        <v>32650</v>
      </c>
      <c r="C12001" s="32" t="s">
        <v>32651</v>
      </c>
      <c r="D12001" s="32" t="s">
        <v>32652</v>
      </c>
    </row>
    <row r="12002" spans="2:4" x14ac:dyDescent="0.3">
      <c r="B12002" s="33" t="s">
        <v>32653</v>
      </c>
      <c r="C12002" s="32" t="s">
        <v>32654</v>
      </c>
      <c r="D12002" s="32" t="s">
        <v>32655</v>
      </c>
    </row>
    <row r="12003" spans="2:4" x14ac:dyDescent="0.3">
      <c r="B12003" s="33" t="s">
        <v>32656</v>
      </c>
      <c r="C12003" s="32" t="s">
        <v>32657</v>
      </c>
      <c r="D12003" s="32" t="s">
        <v>32658</v>
      </c>
    </row>
    <row r="12004" spans="2:4" x14ac:dyDescent="0.3">
      <c r="B12004" s="33" t="s">
        <v>37425</v>
      </c>
      <c r="C12004" s="32" t="s">
        <v>37426</v>
      </c>
      <c r="D12004" s="32" t="s">
        <v>37427</v>
      </c>
    </row>
    <row r="12005" spans="2:4" x14ac:dyDescent="0.3">
      <c r="B12005" s="33" t="s">
        <v>32659</v>
      </c>
      <c r="C12005" s="32" t="s">
        <v>32660</v>
      </c>
      <c r="D12005" s="32" t="s">
        <v>32661</v>
      </c>
    </row>
    <row r="12006" spans="2:4" x14ac:dyDescent="0.3">
      <c r="B12006" s="33" t="s">
        <v>32662</v>
      </c>
      <c r="C12006" s="32" t="s">
        <v>32663</v>
      </c>
      <c r="D12006" s="32" t="s">
        <v>32664</v>
      </c>
    </row>
    <row r="12007" spans="2:4" x14ac:dyDescent="0.3">
      <c r="B12007" s="33" t="s">
        <v>32665</v>
      </c>
      <c r="C12007" s="32" t="s">
        <v>32666</v>
      </c>
      <c r="D12007" s="32" t="s">
        <v>32667</v>
      </c>
    </row>
    <row r="12008" spans="2:4" x14ac:dyDescent="0.3">
      <c r="B12008" s="33" t="s">
        <v>32668</v>
      </c>
      <c r="C12008" s="32" t="s">
        <v>32669</v>
      </c>
      <c r="D12008" s="32" t="s">
        <v>32670</v>
      </c>
    </row>
    <row r="12009" spans="2:4" x14ac:dyDescent="0.3">
      <c r="B12009" s="33" t="s">
        <v>32671</v>
      </c>
      <c r="C12009" s="32" t="s">
        <v>32672</v>
      </c>
      <c r="D12009" s="32" t="s">
        <v>32673</v>
      </c>
    </row>
    <row r="12010" spans="2:4" x14ac:dyDescent="0.3">
      <c r="B12010" s="33" t="s">
        <v>32662</v>
      </c>
      <c r="C12010" s="32" t="s">
        <v>32674</v>
      </c>
      <c r="D12010" s="32" t="s">
        <v>32675</v>
      </c>
    </row>
    <row r="12011" spans="2:4" x14ac:dyDescent="0.3">
      <c r="B12011" s="33" t="s">
        <v>32676</v>
      </c>
      <c r="C12011" s="32" t="s">
        <v>32677</v>
      </c>
      <c r="D12011" s="32" t="s">
        <v>32678</v>
      </c>
    </row>
    <row r="12012" spans="2:4" x14ac:dyDescent="0.3">
      <c r="B12012" s="33" t="s">
        <v>9634</v>
      </c>
      <c r="C12012" s="32" t="s">
        <v>32679</v>
      </c>
      <c r="D12012" s="32" t="s">
        <v>32680</v>
      </c>
    </row>
    <row r="12013" spans="2:4" x14ac:dyDescent="0.3">
      <c r="B12013" s="33" t="s">
        <v>32681</v>
      </c>
      <c r="C12013" s="32" t="s">
        <v>32682</v>
      </c>
      <c r="D12013" s="32" t="s">
        <v>32683</v>
      </c>
    </row>
    <row r="12014" spans="2:4" x14ac:dyDescent="0.3">
      <c r="B12014" s="33" t="s">
        <v>32079</v>
      </c>
      <c r="C12014" s="32" t="s">
        <v>32684</v>
      </c>
      <c r="D12014" s="32" t="s">
        <v>32685</v>
      </c>
    </row>
    <row r="12015" spans="2:4" x14ac:dyDescent="0.3">
      <c r="B12015" s="33" t="s">
        <v>32079</v>
      </c>
      <c r="C12015" s="32" t="s">
        <v>32686</v>
      </c>
      <c r="D12015" s="32" t="s">
        <v>32687</v>
      </c>
    </row>
    <row r="12016" spans="2:4" x14ac:dyDescent="0.3">
      <c r="B12016" s="33" t="s">
        <v>32688</v>
      </c>
      <c r="C12016" s="32" t="s">
        <v>32689</v>
      </c>
      <c r="D12016" s="32" t="s">
        <v>32690</v>
      </c>
    </row>
    <row r="12017" spans="2:4" x14ac:dyDescent="0.3">
      <c r="B12017" s="33" t="s">
        <v>32691</v>
      </c>
      <c r="C12017" s="32" t="s">
        <v>32692</v>
      </c>
      <c r="D12017" s="32" t="s">
        <v>32693</v>
      </c>
    </row>
    <row r="12018" spans="2:4" x14ac:dyDescent="0.3">
      <c r="B12018" s="33" t="s">
        <v>32228</v>
      </c>
      <c r="C12018" s="32" t="s">
        <v>32694</v>
      </c>
      <c r="D12018" s="32" t="s">
        <v>32695</v>
      </c>
    </row>
    <row r="12019" spans="2:4" x14ac:dyDescent="0.3">
      <c r="B12019" s="33" t="s">
        <v>8405</v>
      </c>
      <c r="C12019" s="32" t="s">
        <v>32696</v>
      </c>
      <c r="D12019" s="32" t="s">
        <v>32697</v>
      </c>
    </row>
    <row r="12020" spans="2:4" x14ac:dyDescent="0.3">
      <c r="B12020" s="33" t="s">
        <v>32698</v>
      </c>
      <c r="C12020" s="32" t="s">
        <v>32699</v>
      </c>
      <c r="D12020" s="32" t="s">
        <v>32700</v>
      </c>
    </row>
    <row r="12021" spans="2:4" x14ac:dyDescent="0.3">
      <c r="B12021" s="33" t="s">
        <v>32701</v>
      </c>
      <c r="C12021" s="32" t="s">
        <v>32702</v>
      </c>
      <c r="D12021" s="32" t="s">
        <v>32703</v>
      </c>
    </row>
    <row r="12022" spans="2:4" x14ac:dyDescent="0.3">
      <c r="B12022" s="33" t="s">
        <v>32704</v>
      </c>
      <c r="C12022" s="32" t="s">
        <v>32705</v>
      </c>
      <c r="D12022" s="32" t="s">
        <v>32706</v>
      </c>
    </row>
    <row r="12023" spans="2:4" x14ac:dyDescent="0.3">
      <c r="B12023" s="33" t="s">
        <v>32707</v>
      </c>
      <c r="C12023" s="32" t="s">
        <v>32708</v>
      </c>
      <c r="D12023" s="32" t="s">
        <v>32709</v>
      </c>
    </row>
    <row r="12024" spans="2:4" x14ac:dyDescent="0.3">
      <c r="B12024" s="33" t="s">
        <v>32710</v>
      </c>
      <c r="C12024" s="32" t="s">
        <v>32711</v>
      </c>
      <c r="D12024" s="32" t="s">
        <v>32712</v>
      </c>
    </row>
    <row r="12025" spans="2:4" x14ac:dyDescent="0.3">
      <c r="B12025" s="33" t="s">
        <v>32713</v>
      </c>
      <c r="C12025" s="32" t="s">
        <v>32714</v>
      </c>
      <c r="D12025" s="32" t="s">
        <v>32715</v>
      </c>
    </row>
    <row r="12026" spans="2:4" x14ac:dyDescent="0.3">
      <c r="B12026" s="33" t="s">
        <v>32716</v>
      </c>
      <c r="C12026" s="32" t="s">
        <v>32717</v>
      </c>
      <c r="D12026" s="32" t="s">
        <v>32718</v>
      </c>
    </row>
    <row r="12027" spans="2:4" x14ac:dyDescent="0.3">
      <c r="B12027" s="33" t="s">
        <v>32719</v>
      </c>
      <c r="C12027" s="32" t="s">
        <v>32720</v>
      </c>
      <c r="D12027" s="32" t="s">
        <v>32721</v>
      </c>
    </row>
    <row r="12028" spans="2:4" x14ac:dyDescent="0.3">
      <c r="B12028" s="33" t="s">
        <v>32722</v>
      </c>
      <c r="C12028" s="32" t="s">
        <v>32723</v>
      </c>
      <c r="D12028" s="32" t="s">
        <v>32724</v>
      </c>
    </row>
    <row r="12029" spans="2:4" x14ac:dyDescent="0.3">
      <c r="B12029" s="33" t="s">
        <v>32725</v>
      </c>
      <c r="C12029" s="32" t="s">
        <v>32726</v>
      </c>
      <c r="D12029" s="32" t="s">
        <v>32727</v>
      </c>
    </row>
    <row r="12030" spans="2:4" x14ac:dyDescent="0.3">
      <c r="B12030" s="33" t="s">
        <v>32840</v>
      </c>
      <c r="C12030" s="32" t="s">
        <v>36654</v>
      </c>
      <c r="D12030" s="32" t="s">
        <v>36655</v>
      </c>
    </row>
    <row r="12031" spans="2:4" x14ac:dyDescent="0.3">
      <c r="B12031" s="33" t="s">
        <v>32728</v>
      </c>
      <c r="C12031" s="32" t="s">
        <v>32729</v>
      </c>
      <c r="D12031" s="32" t="s">
        <v>32730</v>
      </c>
    </row>
    <row r="12032" spans="2:4" x14ac:dyDescent="0.3">
      <c r="B12032" s="33" t="s">
        <v>32650</v>
      </c>
      <c r="C12032" s="32" t="s">
        <v>32731</v>
      </c>
      <c r="D12032" s="32" t="s">
        <v>32732</v>
      </c>
    </row>
    <row r="12033" spans="2:4" x14ac:dyDescent="0.3">
      <c r="B12033" s="33" t="s">
        <v>32733</v>
      </c>
      <c r="C12033" s="32" t="s">
        <v>32734</v>
      </c>
      <c r="D12033" s="32" t="s">
        <v>32734</v>
      </c>
    </row>
    <row r="12034" spans="2:4" x14ac:dyDescent="0.3">
      <c r="B12034" s="33" t="s">
        <v>32735</v>
      </c>
      <c r="C12034" s="32" t="s">
        <v>32736</v>
      </c>
      <c r="D12034" s="32" t="s">
        <v>32737</v>
      </c>
    </row>
    <row r="12035" spans="2:4" x14ac:dyDescent="0.3">
      <c r="B12035" s="33" t="s">
        <v>53</v>
      </c>
      <c r="C12035" s="32" t="s">
        <v>32738</v>
      </c>
      <c r="D12035" s="32" t="s">
        <v>54</v>
      </c>
    </row>
    <row r="12036" spans="2:4" x14ac:dyDescent="0.3">
      <c r="B12036" s="33" t="s">
        <v>4274</v>
      </c>
      <c r="C12036" s="32" t="s">
        <v>32739</v>
      </c>
      <c r="D12036" s="32" t="s">
        <v>32740</v>
      </c>
    </row>
    <row r="12037" spans="2:4" x14ac:dyDescent="0.3">
      <c r="B12037" s="33" t="s">
        <v>32741</v>
      </c>
      <c r="C12037" s="32" t="s">
        <v>32742</v>
      </c>
      <c r="D12037" s="32" t="s">
        <v>32743</v>
      </c>
    </row>
    <row r="12038" spans="2:4" x14ac:dyDescent="0.3">
      <c r="B12038" s="33" t="s">
        <v>53</v>
      </c>
      <c r="C12038" s="32" t="s">
        <v>32744</v>
      </c>
      <c r="D12038" s="32" t="s">
        <v>32745</v>
      </c>
    </row>
    <row r="12039" spans="2:4" x14ac:dyDescent="0.3">
      <c r="B12039" s="33" t="s">
        <v>32746</v>
      </c>
      <c r="C12039" s="32" t="s">
        <v>32747</v>
      </c>
      <c r="D12039" s="32" t="s">
        <v>32748</v>
      </c>
    </row>
    <row r="12040" spans="2:4" x14ac:dyDescent="0.3">
      <c r="B12040" s="33" t="s">
        <v>32749</v>
      </c>
      <c r="C12040" s="32" t="s">
        <v>32750</v>
      </c>
      <c r="D12040" s="32" t="s">
        <v>32751</v>
      </c>
    </row>
    <row r="12041" spans="2:4" x14ac:dyDescent="0.3">
      <c r="B12041" s="33" t="s">
        <v>32752</v>
      </c>
      <c r="C12041" s="32" t="s">
        <v>32753</v>
      </c>
      <c r="D12041" s="32" t="s">
        <v>32754</v>
      </c>
    </row>
    <row r="12042" spans="2:4" x14ac:dyDescent="0.3">
      <c r="B12042" s="33" t="s">
        <v>32755</v>
      </c>
      <c r="C12042" s="32" t="s">
        <v>32756</v>
      </c>
      <c r="D12042" s="32" t="s">
        <v>32757</v>
      </c>
    </row>
    <row r="12043" spans="2:4" x14ac:dyDescent="0.3">
      <c r="B12043" s="33" t="s">
        <v>32758</v>
      </c>
      <c r="C12043" s="32" t="s">
        <v>32759</v>
      </c>
      <c r="D12043" s="32" t="s">
        <v>32758</v>
      </c>
    </row>
    <row r="12044" spans="2:4" x14ac:dyDescent="0.3">
      <c r="B12044" s="33" t="s">
        <v>32760</v>
      </c>
      <c r="C12044" s="32" t="s">
        <v>32761</v>
      </c>
      <c r="D12044" s="32" t="s">
        <v>32762</v>
      </c>
    </row>
    <row r="12045" spans="2:4" x14ac:dyDescent="0.3">
      <c r="B12045" s="33" t="s">
        <v>32763</v>
      </c>
      <c r="C12045" s="32" t="s">
        <v>32764</v>
      </c>
      <c r="D12045" s="32" t="s">
        <v>32765</v>
      </c>
    </row>
    <row r="12046" spans="2:4" x14ac:dyDescent="0.3">
      <c r="B12046" s="33" t="s">
        <v>32766</v>
      </c>
      <c r="C12046" s="32" t="s">
        <v>32767</v>
      </c>
      <c r="D12046" s="32" t="s">
        <v>32768</v>
      </c>
    </row>
    <row r="12047" spans="2:4" x14ac:dyDescent="0.3">
      <c r="B12047" s="33" t="s">
        <v>32769</v>
      </c>
      <c r="C12047" s="32" t="s">
        <v>32770</v>
      </c>
      <c r="D12047" s="32" t="s">
        <v>32771</v>
      </c>
    </row>
    <row r="12048" spans="2:4" x14ac:dyDescent="0.3">
      <c r="B12048" s="33" t="s">
        <v>32772</v>
      </c>
      <c r="C12048" s="32" t="s">
        <v>32773</v>
      </c>
      <c r="D12048" s="32" t="s">
        <v>32774</v>
      </c>
    </row>
    <row r="12049" spans="2:4" x14ac:dyDescent="0.3">
      <c r="B12049" s="33" t="s">
        <v>32775</v>
      </c>
      <c r="C12049" s="32" t="s">
        <v>32776</v>
      </c>
      <c r="D12049" s="32" t="s">
        <v>32777</v>
      </c>
    </row>
    <row r="12050" spans="2:4" x14ac:dyDescent="0.3">
      <c r="B12050" s="33" t="s">
        <v>32775</v>
      </c>
      <c r="C12050" s="32" t="s">
        <v>32778</v>
      </c>
      <c r="D12050" s="32" t="s">
        <v>32779</v>
      </c>
    </row>
    <row r="12051" spans="2:4" x14ac:dyDescent="0.3">
      <c r="B12051" s="33" t="s">
        <v>32780</v>
      </c>
      <c r="C12051" s="32" t="s">
        <v>32781</v>
      </c>
      <c r="D12051" s="32" t="s">
        <v>32782</v>
      </c>
    </row>
    <row r="12052" spans="2:4" x14ac:dyDescent="0.3">
      <c r="B12052" s="33" t="s">
        <v>32783</v>
      </c>
      <c r="C12052" s="32" t="s">
        <v>32784</v>
      </c>
      <c r="D12052" s="32" t="s">
        <v>37375</v>
      </c>
    </row>
    <row r="12053" spans="2:4" x14ac:dyDescent="0.3">
      <c r="B12053" s="33" t="s">
        <v>32772</v>
      </c>
      <c r="C12053" s="32" t="s">
        <v>32785</v>
      </c>
      <c r="D12053" s="32" t="s">
        <v>32786</v>
      </c>
    </row>
    <row r="12054" spans="2:4" x14ac:dyDescent="0.3">
      <c r="B12054" s="33" t="s">
        <v>32787</v>
      </c>
      <c r="C12054" s="32" t="s">
        <v>32788</v>
      </c>
      <c r="D12054" s="32" t="s">
        <v>32789</v>
      </c>
    </row>
    <row r="12055" spans="2:4" x14ac:dyDescent="0.3">
      <c r="B12055" s="33" t="s">
        <v>32790</v>
      </c>
      <c r="C12055" s="32" t="s">
        <v>32791</v>
      </c>
      <c r="D12055" s="32" t="s">
        <v>32792</v>
      </c>
    </row>
    <row r="12056" spans="2:4" x14ac:dyDescent="0.3">
      <c r="B12056" s="33" t="s">
        <v>32793</v>
      </c>
      <c r="C12056" s="32" t="s">
        <v>32794</v>
      </c>
      <c r="D12056" s="32" t="s">
        <v>32795</v>
      </c>
    </row>
    <row r="12057" spans="2:4" x14ac:dyDescent="0.3">
      <c r="B12057" s="33" t="s">
        <v>32796</v>
      </c>
      <c r="C12057" s="32" t="s">
        <v>32797</v>
      </c>
      <c r="D12057" s="32" t="s">
        <v>32798</v>
      </c>
    </row>
    <row r="12058" spans="2:4" x14ac:dyDescent="0.3">
      <c r="B12058" s="33" t="s">
        <v>32799</v>
      </c>
      <c r="C12058" s="32" t="s">
        <v>32800</v>
      </c>
      <c r="D12058" s="32" t="s">
        <v>32801</v>
      </c>
    </row>
    <row r="12059" spans="2:4" x14ac:dyDescent="0.3">
      <c r="B12059" s="33" t="s">
        <v>32802</v>
      </c>
      <c r="C12059" s="32" t="s">
        <v>32803</v>
      </c>
      <c r="D12059" s="32" t="s">
        <v>32804</v>
      </c>
    </row>
    <row r="12060" spans="2:4" x14ac:dyDescent="0.3">
      <c r="B12060" s="33" t="s">
        <v>32805</v>
      </c>
      <c r="C12060" s="32" t="s">
        <v>32806</v>
      </c>
      <c r="D12060" s="32" t="s">
        <v>32807</v>
      </c>
    </row>
    <row r="12061" spans="2:4" x14ac:dyDescent="0.3">
      <c r="B12061" s="33" t="s">
        <v>32808</v>
      </c>
      <c r="C12061" s="32" t="s">
        <v>32809</v>
      </c>
      <c r="D12061" s="32" t="s">
        <v>32810</v>
      </c>
    </row>
    <row r="12062" spans="2:4" x14ac:dyDescent="0.3">
      <c r="B12062" s="33" t="s">
        <v>32811</v>
      </c>
      <c r="C12062" s="32" t="s">
        <v>32812</v>
      </c>
      <c r="D12062" s="32" t="s">
        <v>32813</v>
      </c>
    </row>
    <row r="12063" spans="2:4" x14ac:dyDescent="0.3">
      <c r="B12063" s="33" t="s">
        <v>32814</v>
      </c>
      <c r="C12063" s="32" t="s">
        <v>32815</v>
      </c>
      <c r="D12063" s="32" t="s">
        <v>32816</v>
      </c>
    </row>
    <row r="12064" spans="2:4" x14ac:dyDescent="0.3">
      <c r="B12064" s="33" t="s">
        <v>32817</v>
      </c>
      <c r="C12064" s="32" t="s">
        <v>32818</v>
      </c>
      <c r="D12064" s="32" t="s">
        <v>32819</v>
      </c>
    </row>
    <row r="12065" spans="2:4" x14ac:dyDescent="0.3">
      <c r="B12065" s="33" t="s">
        <v>32820</v>
      </c>
      <c r="C12065" s="32" t="s">
        <v>32821</v>
      </c>
      <c r="D12065" s="32" t="s">
        <v>32822</v>
      </c>
    </row>
    <row r="12066" spans="2:4" x14ac:dyDescent="0.3">
      <c r="B12066" s="33" t="s">
        <v>32823</v>
      </c>
      <c r="C12066" s="32" t="s">
        <v>32824</v>
      </c>
      <c r="D12066" s="32" t="s">
        <v>32825</v>
      </c>
    </row>
    <row r="12067" spans="2:4" x14ac:dyDescent="0.3">
      <c r="B12067" s="33" t="s">
        <v>32826</v>
      </c>
      <c r="C12067" s="32" t="s">
        <v>32827</v>
      </c>
      <c r="D12067" s="32" t="s">
        <v>32828</v>
      </c>
    </row>
    <row r="12068" spans="2:4" x14ac:dyDescent="0.3">
      <c r="B12068" s="33" t="s">
        <v>32829</v>
      </c>
      <c r="C12068" s="32" t="s">
        <v>32830</v>
      </c>
      <c r="D12068" s="32" t="s">
        <v>32831</v>
      </c>
    </row>
    <row r="12069" spans="2:4" x14ac:dyDescent="0.3">
      <c r="B12069" s="33" t="s">
        <v>32832</v>
      </c>
      <c r="C12069" s="32" t="s">
        <v>32833</v>
      </c>
      <c r="D12069" s="32" t="s">
        <v>32834</v>
      </c>
    </row>
    <row r="12070" spans="2:4" x14ac:dyDescent="0.3">
      <c r="B12070" s="33" t="s">
        <v>27828</v>
      </c>
      <c r="C12070" s="32" t="s">
        <v>32835</v>
      </c>
      <c r="D12070" s="32" t="s">
        <v>32836</v>
      </c>
    </row>
    <row r="12071" spans="2:4" x14ac:dyDescent="0.3">
      <c r="B12071" s="33" t="s">
        <v>32837</v>
      </c>
      <c r="C12071" s="32" t="s">
        <v>32838</v>
      </c>
      <c r="D12071" s="32" t="s">
        <v>32839</v>
      </c>
    </row>
    <row r="12072" spans="2:4" x14ac:dyDescent="0.3">
      <c r="B12072" s="33" t="s">
        <v>32840</v>
      </c>
      <c r="C12072" s="32" t="s">
        <v>32841</v>
      </c>
      <c r="D12072" s="32" t="s">
        <v>32842</v>
      </c>
    </row>
    <row r="12073" spans="2:4" x14ac:dyDescent="0.3">
      <c r="B12073" s="33" t="s">
        <v>32843</v>
      </c>
      <c r="C12073" s="32" t="s">
        <v>32844</v>
      </c>
      <c r="D12073" s="32" t="s">
        <v>37376</v>
      </c>
    </row>
    <row r="12074" spans="2:4" x14ac:dyDescent="0.3">
      <c r="B12074" s="33" t="s">
        <v>32845</v>
      </c>
      <c r="C12074" s="32" t="s">
        <v>32846</v>
      </c>
      <c r="D12074" s="32" t="s">
        <v>32847</v>
      </c>
    </row>
    <row r="12075" spans="2:4" x14ac:dyDescent="0.3">
      <c r="B12075" s="33" t="s">
        <v>32848</v>
      </c>
      <c r="C12075" s="32" t="s">
        <v>32849</v>
      </c>
      <c r="D12075" s="32" t="s">
        <v>32850</v>
      </c>
    </row>
    <row r="12076" spans="2:4" x14ac:dyDescent="0.3">
      <c r="B12076" s="33" t="s">
        <v>36897</v>
      </c>
      <c r="C12076" s="32" t="s">
        <v>36898</v>
      </c>
      <c r="D12076" s="32" t="s">
        <v>36897</v>
      </c>
    </row>
    <row r="12077" spans="2:4" x14ac:dyDescent="0.3">
      <c r="B12077" s="33" t="s">
        <v>32851</v>
      </c>
      <c r="C12077" s="32" t="s">
        <v>32852</v>
      </c>
      <c r="D12077" s="32" t="s">
        <v>32851</v>
      </c>
    </row>
    <row r="12078" spans="2:4" x14ac:dyDescent="0.3">
      <c r="B12078" s="33" t="s">
        <v>32853</v>
      </c>
      <c r="C12078" s="32" t="s">
        <v>32854</v>
      </c>
      <c r="D12078" s="32" t="s">
        <v>32855</v>
      </c>
    </row>
    <row r="12079" spans="2:4" x14ac:dyDescent="0.3">
      <c r="B12079" s="33" t="s">
        <v>32853</v>
      </c>
      <c r="C12079" s="32" t="s">
        <v>32856</v>
      </c>
      <c r="D12079" s="32" t="s">
        <v>32857</v>
      </c>
    </row>
    <row r="12080" spans="2:4" x14ac:dyDescent="0.3">
      <c r="B12080" s="33" t="s">
        <v>37377</v>
      </c>
      <c r="C12080" s="32" t="s">
        <v>37378</v>
      </c>
      <c r="D12080" s="32" t="s">
        <v>37379</v>
      </c>
    </row>
    <row r="12081" spans="2:4" x14ac:dyDescent="0.3">
      <c r="B12081" s="33" t="s">
        <v>32858</v>
      </c>
      <c r="C12081" s="32" t="s">
        <v>32859</v>
      </c>
      <c r="D12081" s="32" t="s">
        <v>32860</v>
      </c>
    </row>
    <row r="12082" spans="2:4" x14ac:dyDescent="0.3">
      <c r="B12082" s="33" t="s">
        <v>32861</v>
      </c>
      <c r="C12082" s="32" t="s">
        <v>32862</v>
      </c>
      <c r="D12082" s="32" t="s">
        <v>32863</v>
      </c>
    </row>
    <row r="12083" spans="2:4" x14ac:dyDescent="0.3">
      <c r="B12083" s="33" t="s">
        <v>32864</v>
      </c>
      <c r="C12083" s="32" t="s">
        <v>32865</v>
      </c>
      <c r="D12083" s="32" t="s">
        <v>32866</v>
      </c>
    </row>
    <row r="12084" spans="2:4" x14ac:dyDescent="0.3">
      <c r="B12084" s="33" t="s">
        <v>32867</v>
      </c>
      <c r="C12084" s="32" t="s">
        <v>32868</v>
      </c>
      <c r="D12084" s="32" t="s">
        <v>32869</v>
      </c>
    </row>
    <row r="12085" spans="2:4" x14ac:dyDescent="0.3">
      <c r="B12085" s="33" t="s">
        <v>32870</v>
      </c>
      <c r="C12085" s="32" t="s">
        <v>32871</v>
      </c>
      <c r="D12085" s="32" t="s">
        <v>37380</v>
      </c>
    </row>
    <row r="12086" spans="2:4" x14ac:dyDescent="0.3">
      <c r="B12086" s="33" t="s">
        <v>32872</v>
      </c>
      <c r="C12086" s="32" t="s">
        <v>32873</v>
      </c>
      <c r="D12086" s="32" t="s">
        <v>32874</v>
      </c>
    </row>
    <row r="12087" spans="2:4" x14ac:dyDescent="0.3">
      <c r="B12087" s="33" t="s">
        <v>32875</v>
      </c>
      <c r="C12087" s="32" t="s">
        <v>32876</v>
      </c>
      <c r="D12087" s="32" t="s">
        <v>32877</v>
      </c>
    </row>
    <row r="12088" spans="2:4" x14ac:dyDescent="0.3">
      <c r="B12088" s="33" t="s">
        <v>32878</v>
      </c>
      <c r="C12088" s="32" t="s">
        <v>32879</v>
      </c>
      <c r="D12088" s="32" t="s">
        <v>32880</v>
      </c>
    </row>
    <row r="12089" spans="2:4" x14ac:dyDescent="0.3">
      <c r="B12089" s="33" t="s">
        <v>32881</v>
      </c>
      <c r="C12089" s="32" t="s">
        <v>32882</v>
      </c>
      <c r="D12089" s="32" t="s">
        <v>32881</v>
      </c>
    </row>
    <row r="12090" spans="2:4" x14ac:dyDescent="0.3">
      <c r="B12090" s="33" t="s">
        <v>32883</v>
      </c>
      <c r="C12090" s="32" t="s">
        <v>32884</v>
      </c>
      <c r="D12090" s="32" t="s">
        <v>32885</v>
      </c>
    </row>
    <row r="12091" spans="2:4" x14ac:dyDescent="0.3">
      <c r="B12091" s="33" t="s">
        <v>29695</v>
      </c>
      <c r="C12091" s="32" t="s">
        <v>32886</v>
      </c>
      <c r="D12091" s="32" t="s">
        <v>32887</v>
      </c>
    </row>
    <row r="12092" spans="2:4" x14ac:dyDescent="0.3">
      <c r="B12092" s="33" t="s">
        <v>32888</v>
      </c>
      <c r="C12092" s="32" t="s">
        <v>32889</v>
      </c>
      <c r="D12092" s="32" t="s">
        <v>32890</v>
      </c>
    </row>
    <row r="12093" spans="2:4" x14ac:dyDescent="0.3">
      <c r="B12093" s="33" t="s">
        <v>32891</v>
      </c>
      <c r="C12093" s="32" t="s">
        <v>32892</v>
      </c>
      <c r="D12093" s="32" t="s">
        <v>32893</v>
      </c>
    </row>
    <row r="12094" spans="2:4" x14ac:dyDescent="0.3">
      <c r="B12094" s="33" t="s">
        <v>14202</v>
      </c>
      <c r="C12094" s="32" t="s">
        <v>32894</v>
      </c>
      <c r="D12094" s="32" t="s">
        <v>32895</v>
      </c>
    </row>
    <row r="12095" spans="2:4" x14ac:dyDescent="0.3">
      <c r="B12095" s="33" t="s">
        <v>32893</v>
      </c>
      <c r="C12095" s="32" t="s">
        <v>32896</v>
      </c>
      <c r="D12095" s="32" t="s">
        <v>32897</v>
      </c>
    </row>
    <row r="12096" spans="2:4" x14ac:dyDescent="0.3">
      <c r="B12096" s="33" t="s">
        <v>32898</v>
      </c>
      <c r="C12096" s="32" t="s">
        <v>32899</v>
      </c>
      <c r="D12096" s="32" t="s">
        <v>32900</v>
      </c>
    </row>
    <row r="12097" spans="2:4" x14ac:dyDescent="0.3">
      <c r="B12097" s="33" t="s">
        <v>32901</v>
      </c>
      <c r="C12097" s="32" t="s">
        <v>32902</v>
      </c>
      <c r="D12097" s="32" t="s">
        <v>32903</v>
      </c>
    </row>
    <row r="12098" spans="2:4" x14ac:dyDescent="0.3">
      <c r="B12098" s="33" t="s">
        <v>32904</v>
      </c>
      <c r="C12098" s="32" t="s">
        <v>32905</v>
      </c>
      <c r="D12098" s="32" t="s">
        <v>32906</v>
      </c>
    </row>
    <row r="12099" spans="2:4" x14ac:dyDescent="0.3">
      <c r="B12099" s="33" t="s">
        <v>32907</v>
      </c>
      <c r="C12099" s="32" t="s">
        <v>32908</v>
      </c>
      <c r="D12099" s="32" t="s">
        <v>32909</v>
      </c>
    </row>
    <row r="12100" spans="2:4" x14ac:dyDescent="0.3">
      <c r="B12100" s="33" t="s">
        <v>32910</v>
      </c>
      <c r="C12100" s="32" t="s">
        <v>32911</v>
      </c>
      <c r="D12100" s="32" t="s">
        <v>32912</v>
      </c>
    </row>
    <row r="12101" spans="2:4" x14ac:dyDescent="0.3">
      <c r="B12101" s="33" t="s">
        <v>32913</v>
      </c>
      <c r="C12101" s="32" t="s">
        <v>32914</v>
      </c>
      <c r="D12101" s="32" t="s">
        <v>32915</v>
      </c>
    </row>
    <row r="12102" spans="2:4" x14ac:dyDescent="0.3">
      <c r="B12102" s="33" t="s">
        <v>32916</v>
      </c>
      <c r="C12102" s="32" t="s">
        <v>32917</v>
      </c>
      <c r="D12102" s="32" t="s">
        <v>32918</v>
      </c>
    </row>
    <row r="12103" spans="2:4" x14ac:dyDescent="0.3">
      <c r="B12103" s="33" t="s">
        <v>32919</v>
      </c>
      <c r="C12103" s="32" t="s">
        <v>32920</v>
      </c>
      <c r="D12103" s="32" t="s">
        <v>32921</v>
      </c>
    </row>
    <row r="12104" spans="2:4" x14ac:dyDescent="0.3">
      <c r="B12104" s="33" t="s">
        <v>32904</v>
      </c>
      <c r="C12104" s="32" t="s">
        <v>32922</v>
      </c>
      <c r="D12104" s="32" t="s">
        <v>32923</v>
      </c>
    </row>
    <row r="12105" spans="2:4" x14ac:dyDescent="0.3">
      <c r="B12105" s="33" t="s">
        <v>32924</v>
      </c>
      <c r="C12105" s="32" t="s">
        <v>32925</v>
      </c>
      <c r="D12105" s="32" t="s">
        <v>32926</v>
      </c>
    </row>
    <row r="12106" spans="2:4" x14ac:dyDescent="0.3">
      <c r="B12106" s="33" t="s">
        <v>32927</v>
      </c>
      <c r="C12106" s="32" t="s">
        <v>32928</v>
      </c>
      <c r="D12106" s="32" t="s">
        <v>32929</v>
      </c>
    </row>
    <row r="12107" spans="2:4" x14ac:dyDescent="0.3">
      <c r="B12107" s="33" t="s">
        <v>32930</v>
      </c>
      <c r="C12107" s="32" t="s">
        <v>32931</v>
      </c>
      <c r="D12107" s="32" t="s">
        <v>32932</v>
      </c>
    </row>
    <row r="12108" spans="2:4" x14ac:dyDescent="0.3">
      <c r="B12108" s="33" t="s">
        <v>32933</v>
      </c>
      <c r="C12108" s="32" t="s">
        <v>32934</v>
      </c>
      <c r="D12108" s="32" t="s">
        <v>32935</v>
      </c>
    </row>
    <row r="12109" spans="2:4" x14ac:dyDescent="0.3">
      <c r="B12109" s="33" t="s">
        <v>32936</v>
      </c>
      <c r="C12109" s="32" t="s">
        <v>32937</v>
      </c>
      <c r="D12109" s="32" t="s">
        <v>32938</v>
      </c>
    </row>
    <row r="12110" spans="2:4" x14ac:dyDescent="0.3">
      <c r="B12110" s="33" t="s">
        <v>32939</v>
      </c>
      <c r="C12110" s="32" t="s">
        <v>32940</v>
      </c>
      <c r="D12110" s="32" t="s">
        <v>32939</v>
      </c>
    </row>
    <row r="12111" spans="2:4" x14ac:dyDescent="0.3">
      <c r="B12111" s="33" t="s">
        <v>7211</v>
      </c>
      <c r="C12111" s="32" t="s">
        <v>32941</v>
      </c>
      <c r="D12111" s="32" t="s">
        <v>32942</v>
      </c>
    </row>
    <row r="12112" spans="2:4" x14ac:dyDescent="0.3">
      <c r="B12112" s="33" t="s">
        <v>32943</v>
      </c>
      <c r="C12112" s="32" t="s">
        <v>32944</v>
      </c>
      <c r="D12112" s="32" t="s">
        <v>32945</v>
      </c>
    </row>
    <row r="12113" spans="2:4" x14ac:dyDescent="0.3">
      <c r="B12113" s="33" t="s">
        <v>32943</v>
      </c>
      <c r="C12113" s="32" t="s">
        <v>32946</v>
      </c>
      <c r="D12113" s="32" t="s">
        <v>32947</v>
      </c>
    </row>
    <row r="12114" spans="2:4" x14ac:dyDescent="0.3">
      <c r="B12114" s="33" t="s">
        <v>32948</v>
      </c>
      <c r="C12114" s="32" t="s">
        <v>32949</v>
      </c>
      <c r="D12114" s="32" t="s">
        <v>32948</v>
      </c>
    </row>
    <row r="12115" spans="2:4" x14ac:dyDescent="0.3">
      <c r="B12115" s="33" t="s">
        <v>32049</v>
      </c>
      <c r="C12115" s="32" t="s">
        <v>32950</v>
      </c>
      <c r="D12115" s="32" t="s">
        <v>32951</v>
      </c>
    </row>
    <row r="12116" spans="2:4" x14ac:dyDescent="0.3">
      <c r="B12116" s="33" t="s">
        <v>32952</v>
      </c>
      <c r="C12116" s="32" t="s">
        <v>32953</v>
      </c>
      <c r="D12116" s="32" t="s">
        <v>32952</v>
      </c>
    </row>
    <row r="12117" spans="2:4" x14ac:dyDescent="0.3">
      <c r="B12117" s="33" t="s">
        <v>32954</v>
      </c>
      <c r="C12117" s="32" t="s">
        <v>32955</v>
      </c>
      <c r="D12117" s="32" t="s">
        <v>32956</v>
      </c>
    </row>
    <row r="12118" spans="2:4" x14ac:dyDescent="0.3">
      <c r="B12118" s="33" t="s">
        <v>32957</v>
      </c>
      <c r="C12118" s="32" t="s">
        <v>32958</v>
      </c>
      <c r="D12118" s="32" t="s">
        <v>32959</v>
      </c>
    </row>
    <row r="12119" spans="2:4" x14ac:dyDescent="0.3">
      <c r="B12119" s="33" t="s">
        <v>32960</v>
      </c>
      <c r="C12119" s="32" t="s">
        <v>32961</v>
      </c>
      <c r="D12119" s="32" t="s">
        <v>32960</v>
      </c>
    </row>
    <row r="12120" spans="2:4" x14ac:dyDescent="0.3">
      <c r="B12120" s="33" t="s">
        <v>32962</v>
      </c>
      <c r="C12120" s="32" t="s">
        <v>32963</v>
      </c>
      <c r="D12120" s="32" t="s">
        <v>32964</v>
      </c>
    </row>
    <row r="12121" spans="2:4" x14ac:dyDescent="0.3">
      <c r="B12121" s="33" t="s">
        <v>32965</v>
      </c>
      <c r="C12121" s="32" t="s">
        <v>32966</v>
      </c>
      <c r="D12121" s="32" t="s">
        <v>32967</v>
      </c>
    </row>
    <row r="12122" spans="2:4" x14ac:dyDescent="0.3">
      <c r="B12122" s="33" t="s">
        <v>32094</v>
      </c>
      <c r="C12122" s="32" t="s">
        <v>32968</v>
      </c>
      <c r="D12122" s="32" t="s">
        <v>32969</v>
      </c>
    </row>
    <row r="12123" spans="2:4" x14ac:dyDescent="0.3">
      <c r="B12123" s="33" t="s">
        <v>32267</v>
      </c>
      <c r="C12123" s="32" t="s">
        <v>32970</v>
      </c>
      <c r="D12123" s="32" t="s">
        <v>32971</v>
      </c>
    </row>
    <row r="12124" spans="2:4" x14ac:dyDescent="0.3">
      <c r="B12124" s="33" t="s">
        <v>32972</v>
      </c>
      <c r="C12124" s="32" t="s">
        <v>32973</v>
      </c>
      <c r="D12124" s="32" t="s">
        <v>32974</v>
      </c>
    </row>
    <row r="12125" spans="2:4" x14ac:dyDescent="0.3">
      <c r="B12125" s="33" t="s">
        <v>32975</v>
      </c>
      <c r="C12125" s="32" t="s">
        <v>32976</v>
      </c>
      <c r="D12125" s="32" t="s">
        <v>32977</v>
      </c>
    </row>
    <row r="12126" spans="2:4" x14ac:dyDescent="0.3">
      <c r="B12126" s="33" t="s">
        <v>32978</v>
      </c>
      <c r="C12126" s="32" t="s">
        <v>32979</v>
      </c>
      <c r="D12126" s="32" t="s">
        <v>32980</v>
      </c>
    </row>
    <row r="12127" spans="2:4" x14ac:dyDescent="0.3">
      <c r="B12127" s="33" t="s">
        <v>32981</v>
      </c>
      <c r="C12127" s="32" t="s">
        <v>32982</v>
      </c>
      <c r="D12127" s="32" t="s">
        <v>32981</v>
      </c>
    </row>
    <row r="12128" spans="2:4" x14ac:dyDescent="0.3">
      <c r="B12128" s="33" t="s">
        <v>32983</v>
      </c>
      <c r="C12128" s="32" t="s">
        <v>32984</v>
      </c>
      <c r="D12128" s="32" t="s">
        <v>32985</v>
      </c>
    </row>
    <row r="12129" spans="2:4" x14ac:dyDescent="0.3">
      <c r="B12129" s="33" t="s">
        <v>32986</v>
      </c>
      <c r="C12129" s="32" t="s">
        <v>32987</v>
      </c>
      <c r="D12129" s="32" t="s">
        <v>32988</v>
      </c>
    </row>
    <row r="12130" spans="2:4" x14ac:dyDescent="0.3">
      <c r="B12130" s="33" t="s">
        <v>32989</v>
      </c>
      <c r="C12130" s="32" t="s">
        <v>32990</v>
      </c>
      <c r="D12130" s="32" t="s">
        <v>32991</v>
      </c>
    </row>
    <row r="12131" spans="2:4" x14ac:dyDescent="0.3">
      <c r="B12131" s="33" t="s">
        <v>32992</v>
      </c>
      <c r="C12131" s="32" t="s">
        <v>32993</v>
      </c>
      <c r="D12131" s="32" t="s">
        <v>32992</v>
      </c>
    </row>
    <row r="12132" spans="2:4" x14ac:dyDescent="0.3">
      <c r="B12132" s="33" t="s">
        <v>32994</v>
      </c>
      <c r="C12132" s="32" t="s">
        <v>32995</v>
      </c>
      <c r="D12132" s="32" t="s">
        <v>32996</v>
      </c>
    </row>
    <row r="12133" spans="2:4" x14ac:dyDescent="0.3">
      <c r="B12133" s="33" t="s">
        <v>32997</v>
      </c>
      <c r="C12133" s="32" t="s">
        <v>32998</v>
      </c>
      <c r="D12133" s="32" t="s">
        <v>32999</v>
      </c>
    </row>
    <row r="12134" spans="2:4" x14ac:dyDescent="0.3">
      <c r="B12134" s="33" t="s">
        <v>33000</v>
      </c>
      <c r="C12134" s="32" t="s">
        <v>33001</v>
      </c>
      <c r="D12134" s="32" t="s">
        <v>33002</v>
      </c>
    </row>
    <row r="12135" spans="2:4" x14ac:dyDescent="0.3">
      <c r="B12135" s="33" t="s">
        <v>33003</v>
      </c>
      <c r="C12135" s="32" t="s">
        <v>33004</v>
      </c>
      <c r="D12135" s="32" t="s">
        <v>33003</v>
      </c>
    </row>
    <row r="12136" spans="2:4" x14ac:dyDescent="0.3">
      <c r="B12136" s="33" t="s">
        <v>33003</v>
      </c>
      <c r="C12136" s="32" t="s">
        <v>33005</v>
      </c>
      <c r="D12136" s="32" t="s">
        <v>33006</v>
      </c>
    </row>
    <row r="12137" spans="2:4" x14ac:dyDescent="0.3">
      <c r="B12137" s="33" t="s">
        <v>33007</v>
      </c>
      <c r="C12137" s="32" t="s">
        <v>33008</v>
      </c>
      <c r="D12137" s="32" t="s">
        <v>33007</v>
      </c>
    </row>
    <row r="12138" spans="2:4" x14ac:dyDescent="0.3">
      <c r="B12138" s="33" t="s">
        <v>33009</v>
      </c>
      <c r="C12138" s="32" t="s">
        <v>33010</v>
      </c>
      <c r="D12138" s="32" t="s">
        <v>33011</v>
      </c>
    </row>
    <row r="12139" spans="2:4" x14ac:dyDescent="0.3">
      <c r="B12139" s="33" t="s">
        <v>33012</v>
      </c>
      <c r="C12139" s="32" t="s">
        <v>33013</v>
      </c>
      <c r="D12139" s="32" t="s">
        <v>33014</v>
      </c>
    </row>
    <row r="12140" spans="2:4" x14ac:dyDescent="0.3">
      <c r="B12140" s="33" t="s">
        <v>33015</v>
      </c>
      <c r="C12140" s="32" t="s">
        <v>33016</v>
      </c>
      <c r="D12140" s="32" t="s">
        <v>33017</v>
      </c>
    </row>
    <row r="12141" spans="2:4" x14ac:dyDescent="0.3">
      <c r="B12141" s="33" t="s">
        <v>33018</v>
      </c>
      <c r="C12141" s="32" t="s">
        <v>33019</v>
      </c>
      <c r="D12141" s="32" t="s">
        <v>33020</v>
      </c>
    </row>
    <row r="12142" spans="2:4" x14ac:dyDescent="0.3">
      <c r="B12142" s="33" t="s">
        <v>33021</v>
      </c>
      <c r="C12142" s="32" t="s">
        <v>33022</v>
      </c>
      <c r="D12142" s="32" t="s">
        <v>33023</v>
      </c>
    </row>
    <row r="12143" spans="2:4" x14ac:dyDescent="0.3">
      <c r="B12143" s="33" t="s">
        <v>33024</v>
      </c>
      <c r="C12143" s="32" t="s">
        <v>33025</v>
      </c>
      <c r="D12143" s="32" t="s">
        <v>33024</v>
      </c>
    </row>
    <row r="12144" spans="2:4" x14ac:dyDescent="0.3">
      <c r="B12144" s="33" t="s">
        <v>33026</v>
      </c>
      <c r="C12144" s="32" t="s">
        <v>33027</v>
      </c>
      <c r="D12144" s="32" t="s">
        <v>33028</v>
      </c>
    </row>
    <row r="12145" spans="2:4" x14ac:dyDescent="0.3">
      <c r="B12145" s="33" t="s">
        <v>33029</v>
      </c>
      <c r="C12145" s="32" t="s">
        <v>33030</v>
      </c>
      <c r="D12145" s="32" t="s">
        <v>33029</v>
      </c>
    </row>
    <row r="12146" spans="2:4" x14ac:dyDescent="0.3">
      <c r="B12146" s="33" t="s">
        <v>33029</v>
      </c>
      <c r="C12146" s="32" t="s">
        <v>33031</v>
      </c>
      <c r="D12146" s="32" t="s">
        <v>33032</v>
      </c>
    </row>
    <row r="12147" spans="2:4" x14ac:dyDescent="0.3">
      <c r="B12147" s="33" t="s">
        <v>33029</v>
      </c>
      <c r="C12147" s="32" t="s">
        <v>33033</v>
      </c>
      <c r="D12147" s="32" t="s">
        <v>33034</v>
      </c>
    </row>
    <row r="12148" spans="2:4" x14ac:dyDescent="0.3">
      <c r="B12148" s="33" t="s">
        <v>33029</v>
      </c>
      <c r="C12148" s="32" t="s">
        <v>33035</v>
      </c>
      <c r="D12148" s="32" t="s">
        <v>33036</v>
      </c>
    </row>
    <row r="12149" spans="2:4" x14ac:dyDescent="0.3">
      <c r="B12149" s="33" t="s">
        <v>33037</v>
      </c>
      <c r="C12149" s="32" t="s">
        <v>33038</v>
      </c>
      <c r="D12149" s="32" t="s">
        <v>33039</v>
      </c>
    </row>
    <row r="12150" spans="2:4" x14ac:dyDescent="0.3">
      <c r="B12150" s="33" t="s">
        <v>33137</v>
      </c>
      <c r="C12150" s="32" t="s">
        <v>37084</v>
      </c>
      <c r="D12150" s="32" t="s">
        <v>37085</v>
      </c>
    </row>
    <row r="12151" spans="2:4" x14ac:dyDescent="0.3">
      <c r="B12151" s="33" t="s">
        <v>33040</v>
      </c>
      <c r="C12151" s="32" t="s">
        <v>33041</v>
      </c>
      <c r="D12151" s="32" t="s">
        <v>33042</v>
      </c>
    </row>
    <row r="12152" spans="2:4" x14ac:dyDescent="0.3">
      <c r="B12152" s="33" t="s">
        <v>9459</v>
      </c>
      <c r="C12152" s="32" t="s">
        <v>33043</v>
      </c>
      <c r="D12152" s="32" t="s">
        <v>33044</v>
      </c>
    </row>
    <row r="12153" spans="2:4" x14ac:dyDescent="0.3">
      <c r="B12153" s="33" t="s">
        <v>33045</v>
      </c>
      <c r="C12153" s="32" t="s">
        <v>33046</v>
      </c>
      <c r="D12153" s="32" t="s">
        <v>33047</v>
      </c>
    </row>
    <row r="12154" spans="2:4" x14ac:dyDescent="0.3">
      <c r="B12154" s="33" t="s">
        <v>33048</v>
      </c>
      <c r="C12154" s="32" t="s">
        <v>33049</v>
      </c>
      <c r="D12154" s="32" t="s">
        <v>33048</v>
      </c>
    </row>
    <row r="12155" spans="2:4" x14ac:dyDescent="0.3">
      <c r="B12155" s="33" t="s">
        <v>33050</v>
      </c>
      <c r="C12155" s="32" t="s">
        <v>33051</v>
      </c>
      <c r="D12155" s="32" t="s">
        <v>33052</v>
      </c>
    </row>
    <row r="12156" spans="2:4" x14ac:dyDescent="0.3">
      <c r="B12156" s="33" t="s">
        <v>33053</v>
      </c>
      <c r="C12156" s="32" t="s">
        <v>33054</v>
      </c>
      <c r="D12156" s="32" t="s">
        <v>33055</v>
      </c>
    </row>
    <row r="12157" spans="2:4" x14ac:dyDescent="0.3">
      <c r="B12157" s="33" t="s">
        <v>33056</v>
      </c>
      <c r="C12157" s="32" t="s">
        <v>33057</v>
      </c>
      <c r="D12157" s="32" t="s">
        <v>33058</v>
      </c>
    </row>
    <row r="12158" spans="2:4" x14ac:dyDescent="0.3">
      <c r="B12158" s="33" t="s">
        <v>28542</v>
      </c>
      <c r="C12158" s="32" t="s">
        <v>33059</v>
      </c>
      <c r="D12158" s="32" t="s">
        <v>33060</v>
      </c>
    </row>
    <row r="12159" spans="2:4" x14ac:dyDescent="0.3">
      <c r="B12159" s="33" t="s">
        <v>33061</v>
      </c>
      <c r="C12159" s="32" t="s">
        <v>33062</v>
      </c>
      <c r="D12159" s="32" t="s">
        <v>33063</v>
      </c>
    </row>
    <row r="12160" spans="2:4" x14ac:dyDescent="0.3">
      <c r="B12160" s="33" t="s">
        <v>33064</v>
      </c>
      <c r="C12160" s="32" t="s">
        <v>33065</v>
      </c>
      <c r="D12160" s="32" t="s">
        <v>33066</v>
      </c>
    </row>
    <row r="12161" spans="2:4" x14ac:dyDescent="0.3">
      <c r="B12161" s="33" t="s">
        <v>33067</v>
      </c>
      <c r="C12161" s="32" t="s">
        <v>33068</v>
      </c>
      <c r="D12161" s="32" t="s">
        <v>33069</v>
      </c>
    </row>
    <row r="12162" spans="2:4" x14ac:dyDescent="0.3">
      <c r="B12162" s="33" t="s">
        <v>33070</v>
      </c>
      <c r="C12162" s="32" t="s">
        <v>33071</v>
      </c>
      <c r="D12162" s="32" t="s">
        <v>33072</v>
      </c>
    </row>
    <row r="12163" spans="2:4" x14ac:dyDescent="0.3">
      <c r="B12163" s="33" t="s">
        <v>33073</v>
      </c>
      <c r="C12163" s="32" t="s">
        <v>33074</v>
      </c>
      <c r="D12163" s="32" t="s">
        <v>33075</v>
      </c>
    </row>
    <row r="12164" spans="2:4" x14ac:dyDescent="0.3">
      <c r="B12164" s="33" t="s">
        <v>33076</v>
      </c>
      <c r="C12164" s="32" t="s">
        <v>33077</v>
      </c>
      <c r="D12164" s="32" t="s">
        <v>33078</v>
      </c>
    </row>
    <row r="12165" spans="2:4" x14ac:dyDescent="0.3">
      <c r="B12165" s="33" t="s">
        <v>33079</v>
      </c>
      <c r="C12165" s="32" t="s">
        <v>33080</v>
      </c>
      <c r="D12165" s="32" t="s">
        <v>33081</v>
      </c>
    </row>
    <row r="12166" spans="2:4" x14ac:dyDescent="0.3">
      <c r="B12166" s="33" t="s">
        <v>33082</v>
      </c>
      <c r="C12166" s="32" t="s">
        <v>33083</v>
      </c>
      <c r="D12166" s="32" t="s">
        <v>33084</v>
      </c>
    </row>
    <row r="12167" spans="2:4" x14ac:dyDescent="0.3">
      <c r="B12167" s="33" t="s">
        <v>33085</v>
      </c>
      <c r="C12167" s="32" t="s">
        <v>33086</v>
      </c>
      <c r="D12167" s="32" t="s">
        <v>33087</v>
      </c>
    </row>
    <row r="12168" spans="2:4" x14ac:dyDescent="0.3">
      <c r="B12168" s="33" t="s">
        <v>36899</v>
      </c>
      <c r="C12168" s="32" t="s">
        <v>36900</v>
      </c>
      <c r="D12168" s="32" t="s">
        <v>36901</v>
      </c>
    </row>
    <row r="12169" spans="2:4" x14ac:dyDescent="0.3">
      <c r="B12169" s="33" t="s">
        <v>33088</v>
      </c>
      <c r="C12169" s="32" t="s">
        <v>33089</v>
      </c>
      <c r="D12169" s="32" t="s">
        <v>33088</v>
      </c>
    </row>
    <row r="12170" spans="2:4" x14ac:dyDescent="0.3">
      <c r="B12170" s="33" t="s">
        <v>33090</v>
      </c>
      <c r="C12170" s="32" t="s">
        <v>33091</v>
      </c>
      <c r="D12170" s="32" t="s">
        <v>33092</v>
      </c>
    </row>
    <row r="12171" spans="2:4" x14ac:dyDescent="0.3">
      <c r="B12171" s="33" t="s">
        <v>33093</v>
      </c>
      <c r="C12171" s="32" t="s">
        <v>33094</v>
      </c>
      <c r="D12171" s="32" t="s">
        <v>33095</v>
      </c>
    </row>
    <row r="12172" spans="2:4" x14ac:dyDescent="0.3">
      <c r="B12172" s="33" t="s">
        <v>33096</v>
      </c>
      <c r="C12172" s="32" t="s">
        <v>33097</v>
      </c>
      <c r="D12172" s="32" t="s">
        <v>33098</v>
      </c>
    </row>
    <row r="12173" spans="2:4" x14ac:dyDescent="0.3">
      <c r="B12173" s="33" t="s">
        <v>33099</v>
      </c>
      <c r="C12173" s="32" t="s">
        <v>33100</v>
      </c>
      <c r="D12173" s="32" t="s">
        <v>33101</v>
      </c>
    </row>
    <row r="12174" spans="2:4" x14ac:dyDescent="0.3">
      <c r="B12174" s="33" t="s">
        <v>33102</v>
      </c>
      <c r="C12174" s="32" t="s">
        <v>33103</v>
      </c>
      <c r="D12174" s="32" t="s">
        <v>33104</v>
      </c>
    </row>
    <row r="12175" spans="2:4" x14ac:dyDescent="0.3">
      <c r="B12175" s="33" t="s">
        <v>33105</v>
      </c>
      <c r="C12175" s="32" t="s">
        <v>33106</v>
      </c>
      <c r="D12175" s="32" t="s">
        <v>33107</v>
      </c>
    </row>
    <row r="12176" spans="2:4" x14ac:dyDescent="0.3">
      <c r="B12176" s="33" t="s">
        <v>33108</v>
      </c>
      <c r="C12176" s="32" t="s">
        <v>33109</v>
      </c>
      <c r="D12176" s="32" t="s">
        <v>33108</v>
      </c>
    </row>
    <row r="12177" spans="2:4" x14ac:dyDescent="0.3">
      <c r="B12177" s="33" t="s">
        <v>33110</v>
      </c>
      <c r="C12177" s="32" t="s">
        <v>33111</v>
      </c>
      <c r="D12177" s="32" t="s">
        <v>33110</v>
      </c>
    </row>
    <row r="12178" spans="2:4" x14ac:dyDescent="0.3">
      <c r="B12178" s="33" t="s">
        <v>33110</v>
      </c>
      <c r="C12178" s="32" t="s">
        <v>33112</v>
      </c>
      <c r="D12178" s="32" t="s">
        <v>33113</v>
      </c>
    </row>
    <row r="12179" spans="2:4" x14ac:dyDescent="0.3">
      <c r="B12179" s="33" t="s">
        <v>33114</v>
      </c>
      <c r="C12179" s="32" t="s">
        <v>33115</v>
      </c>
      <c r="D12179" s="32" t="s">
        <v>33116</v>
      </c>
    </row>
    <row r="12180" spans="2:4" x14ac:dyDescent="0.3">
      <c r="B12180" s="33" t="s">
        <v>33117</v>
      </c>
      <c r="C12180" s="32" t="s">
        <v>33118</v>
      </c>
      <c r="D12180" s="32" t="s">
        <v>33119</v>
      </c>
    </row>
    <row r="12181" spans="2:4" x14ac:dyDescent="0.3">
      <c r="B12181" s="33" t="s">
        <v>33120</v>
      </c>
      <c r="C12181" s="32" t="s">
        <v>33121</v>
      </c>
      <c r="D12181" s="32" t="s">
        <v>33122</v>
      </c>
    </row>
    <row r="12182" spans="2:4" x14ac:dyDescent="0.3">
      <c r="B12182" s="33" t="s">
        <v>33123</v>
      </c>
      <c r="C12182" s="32" t="s">
        <v>33124</v>
      </c>
      <c r="D12182" s="32" t="s">
        <v>33125</v>
      </c>
    </row>
    <row r="12183" spans="2:4" x14ac:dyDescent="0.3">
      <c r="B12183" s="33" t="s">
        <v>33126</v>
      </c>
      <c r="C12183" s="32" t="s">
        <v>33127</v>
      </c>
      <c r="D12183" s="32" t="s">
        <v>33128</v>
      </c>
    </row>
    <row r="12184" spans="2:4" x14ac:dyDescent="0.3">
      <c r="B12184" s="33" t="s">
        <v>33129</v>
      </c>
      <c r="C12184" s="32" t="s">
        <v>33130</v>
      </c>
      <c r="D12184" s="32" t="s">
        <v>33131</v>
      </c>
    </row>
    <row r="12185" spans="2:4" x14ac:dyDescent="0.3">
      <c r="B12185" s="33" t="s">
        <v>33132</v>
      </c>
      <c r="C12185" s="32" t="s">
        <v>33133</v>
      </c>
      <c r="D12185" s="32" t="s">
        <v>33134</v>
      </c>
    </row>
    <row r="12186" spans="2:4" x14ac:dyDescent="0.3">
      <c r="B12186" s="33" t="s">
        <v>33135</v>
      </c>
      <c r="C12186" s="32" t="s">
        <v>33136</v>
      </c>
      <c r="D12186" s="32" t="s">
        <v>33135</v>
      </c>
    </row>
    <row r="12187" spans="2:4" x14ac:dyDescent="0.3">
      <c r="B12187" s="33" t="s">
        <v>33137</v>
      </c>
      <c r="C12187" s="32" t="s">
        <v>33138</v>
      </c>
      <c r="D12187" s="32" t="s">
        <v>33139</v>
      </c>
    </row>
    <row r="12188" spans="2:4" x14ac:dyDescent="0.3">
      <c r="B12188" s="33" t="s">
        <v>7806</v>
      </c>
      <c r="C12188" s="32" t="s">
        <v>33140</v>
      </c>
      <c r="D12188" s="32" t="s">
        <v>33141</v>
      </c>
    </row>
    <row r="12189" spans="2:4" x14ac:dyDescent="0.3">
      <c r="B12189" s="33" t="s">
        <v>33142</v>
      </c>
      <c r="C12189" s="32" t="s">
        <v>33143</v>
      </c>
      <c r="D12189" s="32" t="s">
        <v>33144</v>
      </c>
    </row>
    <row r="12190" spans="2:4" x14ac:dyDescent="0.3">
      <c r="B12190" s="33" t="s">
        <v>33145</v>
      </c>
      <c r="C12190" s="32" t="s">
        <v>33146</v>
      </c>
      <c r="D12190" s="32" t="s">
        <v>33147</v>
      </c>
    </row>
    <row r="12191" spans="2:4" x14ac:dyDescent="0.3">
      <c r="B12191" s="33" t="s">
        <v>33148</v>
      </c>
      <c r="C12191" s="32" t="s">
        <v>33149</v>
      </c>
      <c r="D12191" s="32" t="s">
        <v>33150</v>
      </c>
    </row>
    <row r="12192" spans="2:4" x14ac:dyDescent="0.3">
      <c r="B12192" s="33" t="s">
        <v>33151</v>
      </c>
      <c r="C12192" s="32" t="s">
        <v>33152</v>
      </c>
      <c r="D12192" s="32" t="s">
        <v>33153</v>
      </c>
    </row>
    <row r="12193" spans="2:4" x14ac:dyDescent="0.3">
      <c r="B12193" s="33" t="s">
        <v>33154</v>
      </c>
      <c r="C12193" s="32" t="s">
        <v>33155</v>
      </c>
      <c r="D12193" s="32" t="s">
        <v>33156</v>
      </c>
    </row>
    <row r="12194" spans="2:4" x14ac:dyDescent="0.3">
      <c r="B12194" s="33" t="s">
        <v>33157</v>
      </c>
      <c r="C12194" s="32" t="s">
        <v>33158</v>
      </c>
      <c r="D12194" s="32" t="s">
        <v>33159</v>
      </c>
    </row>
    <row r="12195" spans="2:4" x14ac:dyDescent="0.3">
      <c r="B12195" s="33" t="s">
        <v>33160</v>
      </c>
      <c r="C12195" s="32" t="s">
        <v>33161</v>
      </c>
      <c r="D12195" s="32" t="s">
        <v>33162</v>
      </c>
    </row>
    <row r="12196" spans="2:4" x14ac:dyDescent="0.3">
      <c r="B12196" s="33" t="s">
        <v>33163</v>
      </c>
      <c r="C12196" s="32" t="s">
        <v>33164</v>
      </c>
      <c r="D12196" s="32" t="s">
        <v>33165</v>
      </c>
    </row>
    <row r="12197" spans="2:4" x14ac:dyDescent="0.3">
      <c r="B12197" s="33" t="s">
        <v>33166</v>
      </c>
      <c r="C12197" s="32" t="s">
        <v>33167</v>
      </c>
      <c r="D12197" s="32" t="s">
        <v>33168</v>
      </c>
    </row>
    <row r="12198" spans="2:4" x14ac:dyDescent="0.3">
      <c r="B12198" s="33" t="s">
        <v>33169</v>
      </c>
      <c r="C12198" s="32" t="s">
        <v>33170</v>
      </c>
      <c r="D12198" s="32" t="s">
        <v>33171</v>
      </c>
    </row>
    <row r="12199" spans="2:4" x14ac:dyDescent="0.3">
      <c r="B12199" s="33" t="s">
        <v>33172</v>
      </c>
      <c r="C12199" s="32" t="s">
        <v>33173</v>
      </c>
      <c r="D12199" s="32" t="s">
        <v>33174</v>
      </c>
    </row>
    <row r="12200" spans="2:4" x14ac:dyDescent="0.3">
      <c r="B12200" s="33" t="s">
        <v>33175</v>
      </c>
      <c r="C12200" s="32" t="s">
        <v>33176</v>
      </c>
      <c r="D12200" s="32" t="s">
        <v>33177</v>
      </c>
    </row>
    <row r="12201" spans="2:4" x14ac:dyDescent="0.3">
      <c r="B12201" s="33" t="s">
        <v>33178</v>
      </c>
      <c r="C12201" s="32" t="s">
        <v>33179</v>
      </c>
      <c r="D12201" s="32" t="s">
        <v>33180</v>
      </c>
    </row>
    <row r="12202" spans="2:4" x14ac:dyDescent="0.3">
      <c r="B12202" s="33" t="s">
        <v>33181</v>
      </c>
      <c r="C12202" s="32" t="s">
        <v>33182</v>
      </c>
      <c r="D12202" s="32" t="s">
        <v>33183</v>
      </c>
    </row>
    <row r="12203" spans="2:4" x14ac:dyDescent="0.3">
      <c r="B12203" s="33" t="s">
        <v>33021</v>
      </c>
      <c r="C12203" s="32" t="s">
        <v>33184</v>
      </c>
      <c r="D12203" s="32" t="s">
        <v>33185</v>
      </c>
    </row>
    <row r="12204" spans="2:4" x14ac:dyDescent="0.3">
      <c r="B12204" s="33" t="s">
        <v>33186</v>
      </c>
      <c r="C12204" s="32" t="s">
        <v>33187</v>
      </c>
      <c r="D12204" s="32" t="s">
        <v>33188</v>
      </c>
    </row>
    <row r="12205" spans="2:4" x14ac:dyDescent="0.3">
      <c r="B12205" s="33" t="s">
        <v>33189</v>
      </c>
      <c r="C12205" s="32" t="s">
        <v>33190</v>
      </c>
      <c r="D12205" s="32" t="s">
        <v>33191</v>
      </c>
    </row>
    <row r="12206" spans="2:4" x14ac:dyDescent="0.3">
      <c r="B12206" s="33" t="s">
        <v>33192</v>
      </c>
      <c r="C12206" s="32" t="s">
        <v>33193</v>
      </c>
      <c r="D12206" s="32" t="s">
        <v>33194</v>
      </c>
    </row>
    <row r="12207" spans="2:4" x14ac:dyDescent="0.3">
      <c r="B12207" s="33" t="s">
        <v>33195</v>
      </c>
      <c r="C12207" s="32" t="s">
        <v>33196</v>
      </c>
      <c r="D12207" s="32" t="s">
        <v>33197</v>
      </c>
    </row>
    <row r="12208" spans="2:4" x14ac:dyDescent="0.3">
      <c r="B12208" s="33" t="s">
        <v>33198</v>
      </c>
      <c r="C12208" s="32" t="s">
        <v>33199</v>
      </c>
      <c r="D12208" s="32" t="s">
        <v>33200</v>
      </c>
    </row>
    <row r="12209" spans="2:4" x14ac:dyDescent="0.3">
      <c r="B12209" s="33" t="s">
        <v>33201</v>
      </c>
      <c r="C12209" s="32" t="s">
        <v>33202</v>
      </c>
      <c r="D12209" s="32" t="s">
        <v>33203</v>
      </c>
    </row>
    <row r="12210" spans="2:4" x14ac:dyDescent="0.3">
      <c r="B12210" s="33" t="s">
        <v>33204</v>
      </c>
      <c r="C12210" s="32" t="s">
        <v>33205</v>
      </c>
      <c r="D12210" s="32" t="s">
        <v>33206</v>
      </c>
    </row>
    <row r="12211" spans="2:4" x14ac:dyDescent="0.3">
      <c r="B12211" s="33" t="s">
        <v>33207</v>
      </c>
      <c r="C12211" s="32" t="s">
        <v>33208</v>
      </c>
      <c r="D12211" s="32" t="s">
        <v>33209</v>
      </c>
    </row>
    <row r="12212" spans="2:4" x14ac:dyDescent="0.3">
      <c r="B12212" s="33" t="s">
        <v>33175</v>
      </c>
      <c r="C12212" s="32" t="s">
        <v>33210</v>
      </c>
      <c r="D12212" s="32" t="s">
        <v>33211</v>
      </c>
    </row>
    <row r="12213" spans="2:4" x14ac:dyDescent="0.3">
      <c r="B12213" s="33" t="s">
        <v>33212</v>
      </c>
      <c r="C12213" s="32" t="s">
        <v>33213</v>
      </c>
      <c r="D12213" s="32" t="s">
        <v>33214</v>
      </c>
    </row>
    <row r="12214" spans="2:4" x14ac:dyDescent="0.3">
      <c r="B12214" s="33" t="s">
        <v>109</v>
      </c>
      <c r="C12214" s="32" t="s">
        <v>33215</v>
      </c>
      <c r="D12214" s="32" t="s">
        <v>37381</v>
      </c>
    </row>
    <row r="12215" spans="2:4" x14ac:dyDescent="0.3">
      <c r="B12215" s="33" t="s">
        <v>33216</v>
      </c>
      <c r="C12215" s="32" t="s">
        <v>33217</v>
      </c>
      <c r="D12215" s="32" t="s">
        <v>33218</v>
      </c>
    </row>
    <row r="12216" spans="2:4" x14ac:dyDescent="0.3">
      <c r="B12216" s="33" t="s">
        <v>33219</v>
      </c>
      <c r="C12216" s="32" t="s">
        <v>33220</v>
      </c>
      <c r="D12216" s="32" t="s">
        <v>33221</v>
      </c>
    </row>
    <row r="12217" spans="2:4" x14ac:dyDescent="0.3">
      <c r="B12217" s="33" t="s">
        <v>33222</v>
      </c>
      <c r="C12217" s="32" t="s">
        <v>33223</v>
      </c>
      <c r="D12217" s="32" t="s">
        <v>33224</v>
      </c>
    </row>
    <row r="12218" spans="2:4" x14ac:dyDescent="0.3">
      <c r="B12218" s="33" t="s">
        <v>33225</v>
      </c>
      <c r="C12218" s="32" t="s">
        <v>33226</v>
      </c>
      <c r="D12218" s="32" t="s">
        <v>33227</v>
      </c>
    </row>
    <row r="12219" spans="2:4" x14ac:dyDescent="0.3">
      <c r="B12219" s="33" t="s">
        <v>33228</v>
      </c>
      <c r="C12219" s="32" t="s">
        <v>33229</v>
      </c>
      <c r="D12219" s="32" t="s">
        <v>33230</v>
      </c>
    </row>
    <row r="12220" spans="2:4" x14ac:dyDescent="0.3">
      <c r="B12220" s="33" t="s">
        <v>33231</v>
      </c>
      <c r="C12220" s="32" t="s">
        <v>33232</v>
      </c>
      <c r="D12220" s="32" t="s">
        <v>33233</v>
      </c>
    </row>
    <row r="12221" spans="2:4" x14ac:dyDescent="0.3">
      <c r="B12221" s="33" t="s">
        <v>33234</v>
      </c>
      <c r="C12221" s="32" t="s">
        <v>33235</v>
      </c>
      <c r="D12221" s="32" t="s">
        <v>33236</v>
      </c>
    </row>
    <row r="12222" spans="2:4" x14ac:dyDescent="0.3">
      <c r="B12222" s="33" t="s">
        <v>33231</v>
      </c>
      <c r="C12222" s="32" t="s">
        <v>33237</v>
      </c>
      <c r="D12222" s="32" t="s">
        <v>33238</v>
      </c>
    </row>
    <row r="12223" spans="2:4" x14ac:dyDescent="0.3">
      <c r="B12223" s="33" t="s">
        <v>33239</v>
      </c>
      <c r="C12223" s="32" t="s">
        <v>33240</v>
      </c>
      <c r="D12223" s="32" t="s">
        <v>33241</v>
      </c>
    </row>
    <row r="12224" spans="2:4" x14ac:dyDescent="0.3">
      <c r="B12224" s="33" t="s">
        <v>33242</v>
      </c>
      <c r="C12224" s="32" t="s">
        <v>33243</v>
      </c>
      <c r="D12224" s="32" t="s">
        <v>33244</v>
      </c>
    </row>
    <row r="12225" spans="2:4" x14ac:dyDescent="0.3">
      <c r="B12225" s="33" t="s">
        <v>33245</v>
      </c>
      <c r="C12225" s="32" t="s">
        <v>33246</v>
      </c>
      <c r="D12225" s="32" t="s">
        <v>33247</v>
      </c>
    </row>
    <row r="12226" spans="2:4" x14ac:dyDescent="0.3">
      <c r="B12226" s="33" t="s">
        <v>33248</v>
      </c>
      <c r="C12226" s="32" t="s">
        <v>33249</v>
      </c>
      <c r="D12226" s="32" t="s">
        <v>33250</v>
      </c>
    </row>
    <row r="12227" spans="2:4" x14ac:dyDescent="0.3">
      <c r="B12227" s="33" t="s">
        <v>33251</v>
      </c>
      <c r="C12227" s="32" t="s">
        <v>33252</v>
      </c>
      <c r="D12227" s="32" t="s">
        <v>33253</v>
      </c>
    </row>
    <row r="12228" spans="2:4" x14ac:dyDescent="0.3">
      <c r="B12228" s="33" t="s">
        <v>33254</v>
      </c>
      <c r="C12228" s="32" t="s">
        <v>33255</v>
      </c>
      <c r="D12228" s="32" t="s">
        <v>33256</v>
      </c>
    </row>
    <row r="12229" spans="2:4" x14ac:dyDescent="0.3">
      <c r="B12229" s="33" t="s">
        <v>33257</v>
      </c>
      <c r="C12229" s="32" t="s">
        <v>33258</v>
      </c>
      <c r="D12229" s="32" t="s">
        <v>33259</v>
      </c>
    </row>
    <row r="12230" spans="2:4" x14ac:dyDescent="0.3">
      <c r="B12230" s="33" t="s">
        <v>33260</v>
      </c>
      <c r="C12230" s="32" t="s">
        <v>33261</v>
      </c>
      <c r="D12230" s="32" t="s">
        <v>33262</v>
      </c>
    </row>
    <row r="12231" spans="2:4" x14ac:dyDescent="0.3">
      <c r="B12231" s="33" t="s">
        <v>33263</v>
      </c>
      <c r="C12231" s="32" t="s">
        <v>33264</v>
      </c>
      <c r="D12231" s="32" t="s">
        <v>33265</v>
      </c>
    </row>
    <row r="12232" spans="2:4" x14ac:dyDescent="0.3">
      <c r="B12232" s="33" t="s">
        <v>33266</v>
      </c>
      <c r="C12232" s="32" t="s">
        <v>33267</v>
      </c>
      <c r="D12232" s="32" t="s">
        <v>33268</v>
      </c>
    </row>
    <row r="12233" spans="2:4" x14ac:dyDescent="0.3">
      <c r="B12233" s="33" t="s">
        <v>33026</v>
      </c>
      <c r="C12233" s="32" t="s">
        <v>33269</v>
      </c>
      <c r="D12233" s="32" t="s">
        <v>33270</v>
      </c>
    </row>
    <row r="12234" spans="2:4" x14ac:dyDescent="0.3">
      <c r="B12234" s="33" t="s">
        <v>33271</v>
      </c>
      <c r="C12234" s="32" t="s">
        <v>33272</v>
      </c>
      <c r="D12234" s="32" t="s">
        <v>36763</v>
      </c>
    </row>
    <row r="12235" spans="2:4" x14ac:dyDescent="0.3">
      <c r="B12235" s="33" t="s">
        <v>33273</v>
      </c>
      <c r="C12235" s="32" t="s">
        <v>33274</v>
      </c>
      <c r="D12235" s="32" t="s">
        <v>33275</v>
      </c>
    </row>
    <row r="12236" spans="2:4" x14ac:dyDescent="0.3">
      <c r="B12236" s="33" t="s">
        <v>7243</v>
      </c>
      <c r="C12236" s="32" t="s">
        <v>33276</v>
      </c>
      <c r="D12236" s="32" t="s">
        <v>33277</v>
      </c>
    </row>
    <row r="12237" spans="2:4" x14ac:dyDescent="0.3">
      <c r="B12237" s="33" t="s">
        <v>33278</v>
      </c>
      <c r="C12237" s="32" t="s">
        <v>33279</v>
      </c>
      <c r="D12237" s="32" t="s">
        <v>33280</v>
      </c>
    </row>
    <row r="12238" spans="2:4" x14ac:dyDescent="0.3">
      <c r="B12238" s="33" t="s">
        <v>33281</v>
      </c>
      <c r="C12238" s="32" t="s">
        <v>33282</v>
      </c>
      <c r="D12238" s="32" t="s">
        <v>33283</v>
      </c>
    </row>
    <row r="12239" spans="2:4" x14ac:dyDescent="0.3">
      <c r="B12239" s="33" t="s">
        <v>33284</v>
      </c>
      <c r="C12239" s="32" t="s">
        <v>33285</v>
      </c>
      <c r="D12239" s="32" t="s">
        <v>33286</v>
      </c>
    </row>
    <row r="12240" spans="2:4" x14ac:dyDescent="0.3">
      <c r="B12240" s="33" t="s">
        <v>26591</v>
      </c>
      <c r="C12240" s="32" t="s">
        <v>33287</v>
      </c>
      <c r="D12240" s="32" t="s">
        <v>33288</v>
      </c>
    </row>
    <row r="12241" spans="2:4" x14ac:dyDescent="0.3">
      <c r="B12241" s="33" t="s">
        <v>33289</v>
      </c>
      <c r="C12241" s="32" t="s">
        <v>33290</v>
      </c>
      <c r="D12241" s="32" t="s">
        <v>33291</v>
      </c>
    </row>
    <row r="12242" spans="2:4" x14ac:dyDescent="0.3">
      <c r="B12242" s="33" t="s">
        <v>33292</v>
      </c>
      <c r="C12242" s="32" t="s">
        <v>33293</v>
      </c>
      <c r="D12242" s="32" t="s">
        <v>33294</v>
      </c>
    </row>
    <row r="12243" spans="2:4" x14ac:dyDescent="0.3">
      <c r="B12243" s="33" t="s">
        <v>33295</v>
      </c>
      <c r="C12243" s="32" t="s">
        <v>33296</v>
      </c>
      <c r="D12243" s="32" t="s">
        <v>33297</v>
      </c>
    </row>
    <row r="12244" spans="2:4" x14ac:dyDescent="0.3">
      <c r="B12244" s="33" t="s">
        <v>33298</v>
      </c>
      <c r="C12244" s="32" t="s">
        <v>33299</v>
      </c>
      <c r="D12244" s="32" t="s">
        <v>33300</v>
      </c>
    </row>
    <row r="12245" spans="2:4" x14ac:dyDescent="0.3">
      <c r="B12245" s="33" t="s">
        <v>33301</v>
      </c>
      <c r="C12245" s="32" t="s">
        <v>33302</v>
      </c>
      <c r="D12245" s="32" t="s">
        <v>33303</v>
      </c>
    </row>
    <row r="12246" spans="2:4" x14ac:dyDescent="0.3">
      <c r="B12246" s="33" t="s">
        <v>109</v>
      </c>
      <c r="C12246" s="32" t="s">
        <v>33304</v>
      </c>
      <c r="D12246" s="32" t="s">
        <v>110</v>
      </c>
    </row>
    <row r="12247" spans="2:4" x14ac:dyDescent="0.3">
      <c r="B12247" s="33" t="s">
        <v>33305</v>
      </c>
      <c r="C12247" s="32" t="s">
        <v>33306</v>
      </c>
      <c r="D12247" s="32" t="s">
        <v>33307</v>
      </c>
    </row>
    <row r="12248" spans="2:4" x14ac:dyDescent="0.3">
      <c r="B12248" s="33" t="s">
        <v>109</v>
      </c>
      <c r="C12248" s="32" t="s">
        <v>33308</v>
      </c>
      <c r="D12248" s="32" t="s">
        <v>33309</v>
      </c>
    </row>
    <row r="12249" spans="2:4" x14ac:dyDescent="0.3">
      <c r="B12249" s="33" t="s">
        <v>33310</v>
      </c>
      <c r="C12249" s="32" t="s">
        <v>33311</v>
      </c>
      <c r="D12249" s="32" t="s">
        <v>33312</v>
      </c>
    </row>
    <row r="12250" spans="2:4" x14ac:dyDescent="0.3">
      <c r="B12250" s="33" t="s">
        <v>33313</v>
      </c>
      <c r="C12250" s="32" t="s">
        <v>33314</v>
      </c>
      <c r="D12250" s="32" t="s">
        <v>33315</v>
      </c>
    </row>
    <row r="12251" spans="2:4" x14ac:dyDescent="0.3">
      <c r="B12251" s="33" t="s">
        <v>33316</v>
      </c>
      <c r="C12251" s="32" t="s">
        <v>33317</v>
      </c>
      <c r="D12251" s="32" t="s">
        <v>33318</v>
      </c>
    </row>
    <row r="12252" spans="2:4" x14ac:dyDescent="0.3">
      <c r="B12252" s="33" t="s">
        <v>33319</v>
      </c>
      <c r="C12252" s="32" t="s">
        <v>33320</v>
      </c>
      <c r="D12252" s="32" t="s">
        <v>33321</v>
      </c>
    </row>
    <row r="12253" spans="2:4" x14ac:dyDescent="0.3">
      <c r="B12253" s="33" t="s">
        <v>33166</v>
      </c>
      <c r="C12253" s="32" t="s">
        <v>33322</v>
      </c>
      <c r="D12253" s="32" t="s">
        <v>33323</v>
      </c>
    </row>
    <row r="12254" spans="2:4" x14ac:dyDescent="0.3">
      <c r="B12254" s="33" t="s">
        <v>33324</v>
      </c>
      <c r="C12254" s="32" t="s">
        <v>33325</v>
      </c>
      <c r="D12254" s="32" t="s">
        <v>33326</v>
      </c>
    </row>
    <row r="12255" spans="2:4" x14ac:dyDescent="0.3">
      <c r="B12255" s="33" t="s">
        <v>33327</v>
      </c>
      <c r="C12255" s="32" t="s">
        <v>33328</v>
      </c>
      <c r="D12255" s="32" t="s">
        <v>33329</v>
      </c>
    </row>
    <row r="12256" spans="2:4" x14ac:dyDescent="0.3">
      <c r="B12256" s="33" t="s">
        <v>33330</v>
      </c>
      <c r="C12256" s="32" t="s">
        <v>33331</v>
      </c>
      <c r="D12256" s="32" t="s">
        <v>33332</v>
      </c>
    </row>
    <row r="12257" spans="2:4" x14ac:dyDescent="0.3">
      <c r="B12257" s="33" t="s">
        <v>33333</v>
      </c>
      <c r="C12257" s="32" t="s">
        <v>33334</v>
      </c>
      <c r="D12257" s="32" t="s">
        <v>33335</v>
      </c>
    </row>
    <row r="12258" spans="2:4" x14ac:dyDescent="0.3">
      <c r="B12258" s="33" t="s">
        <v>33336</v>
      </c>
      <c r="C12258" s="32" t="s">
        <v>33337</v>
      </c>
      <c r="D12258" s="32" t="s">
        <v>33338</v>
      </c>
    </row>
    <row r="12259" spans="2:4" x14ac:dyDescent="0.3">
      <c r="B12259" s="33" t="s">
        <v>33339</v>
      </c>
      <c r="C12259" s="32" t="s">
        <v>33340</v>
      </c>
      <c r="D12259" s="32" t="s">
        <v>37382</v>
      </c>
    </row>
    <row r="12260" spans="2:4" x14ac:dyDescent="0.3">
      <c r="B12260" s="33" t="s">
        <v>33341</v>
      </c>
      <c r="C12260" s="32" t="s">
        <v>33342</v>
      </c>
      <c r="D12260" s="32" t="s">
        <v>33343</v>
      </c>
    </row>
    <row r="12261" spans="2:4" x14ac:dyDescent="0.3">
      <c r="B12261" s="33" t="s">
        <v>10274</v>
      </c>
      <c r="C12261" s="32" t="s">
        <v>33344</v>
      </c>
      <c r="D12261" s="32" t="s">
        <v>33345</v>
      </c>
    </row>
    <row r="12262" spans="2:4" x14ac:dyDescent="0.3">
      <c r="B12262" s="33" t="s">
        <v>25540</v>
      </c>
      <c r="C12262" s="32" t="s">
        <v>33346</v>
      </c>
      <c r="D12262" s="32" t="s">
        <v>33347</v>
      </c>
    </row>
    <row r="12263" spans="2:4" x14ac:dyDescent="0.3">
      <c r="B12263" s="33" t="s">
        <v>33348</v>
      </c>
      <c r="C12263" s="32" t="s">
        <v>33349</v>
      </c>
      <c r="D12263" s="32" t="s">
        <v>33350</v>
      </c>
    </row>
    <row r="12264" spans="2:4" x14ac:dyDescent="0.3">
      <c r="B12264" s="33" t="s">
        <v>33351</v>
      </c>
      <c r="C12264" s="32" t="s">
        <v>33352</v>
      </c>
      <c r="D12264" s="32" t="s">
        <v>33353</v>
      </c>
    </row>
    <row r="12265" spans="2:4" x14ac:dyDescent="0.3">
      <c r="B12265" s="33" t="s">
        <v>33354</v>
      </c>
      <c r="C12265" s="32" t="s">
        <v>33355</v>
      </c>
      <c r="D12265" s="32" t="s">
        <v>33356</v>
      </c>
    </row>
    <row r="12266" spans="2:4" x14ac:dyDescent="0.3">
      <c r="B12266" s="33" t="s">
        <v>33357</v>
      </c>
      <c r="C12266" s="32" t="s">
        <v>33358</v>
      </c>
      <c r="D12266" s="32" t="s">
        <v>33359</v>
      </c>
    </row>
    <row r="12267" spans="2:4" x14ac:dyDescent="0.3">
      <c r="B12267" s="33" t="s">
        <v>33360</v>
      </c>
      <c r="C12267" s="32" t="s">
        <v>33361</v>
      </c>
      <c r="D12267" s="32" t="s">
        <v>33362</v>
      </c>
    </row>
    <row r="12268" spans="2:4" x14ac:dyDescent="0.3">
      <c r="B12268" s="33" t="s">
        <v>33363</v>
      </c>
      <c r="C12268" s="32" t="s">
        <v>33364</v>
      </c>
      <c r="D12268" s="32" t="s">
        <v>33365</v>
      </c>
    </row>
    <row r="12269" spans="2:4" x14ac:dyDescent="0.3">
      <c r="B12269" s="33" t="s">
        <v>33366</v>
      </c>
      <c r="C12269" s="32" t="s">
        <v>33367</v>
      </c>
      <c r="D12269" s="32" t="s">
        <v>33368</v>
      </c>
    </row>
    <row r="12270" spans="2:4" x14ac:dyDescent="0.3">
      <c r="B12270" s="33" t="s">
        <v>33369</v>
      </c>
      <c r="C12270" s="32" t="s">
        <v>33370</v>
      </c>
      <c r="D12270" s="32" t="s">
        <v>33371</v>
      </c>
    </row>
    <row r="12271" spans="2:4" x14ac:dyDescent="0.3">
      <c r="B12271" s="33" t="s">
        <v>33372</v>
      </c>
      <c r="C12271" s="32" t="s">
        <v>33373</v>
      </c>
      <c r="D12271" s="32" t="s">
        <v>33374</v>
      </c>
    </row>
    <row r="12272" spans="2:4" x14ac:dyDescent="0.3">
      <c r="B12272" s="33" t="s">
        <v>33375</v>
      </c>
      <c r="C12272" s="32" t="s">
        <v>33376</v>
      </c>
      <c r="D12272" s="32" t="s">
        <v>33377</v>
      </c>
    </row>
    <row r="12273" spans="2:4" x14ac:dyDescent="0.3">
      <c r="B12273" s="33" t="s">
        <v>33378</v>
      </c>
      <c r="C12273" s="32" t="s">
        <v>33379</v>
      </c>
      <c r="D12273" s="32" t="s">
        <v>33380</v>
      </c>
    </row>
    <row r="12274" spans="2:4" x14ac:dyDescent="0.3">
      <c r="B12274" s="33" t="s">
        <v>33381</v>
      </c>
      <c r="C12274" s="32" t="s">
        <v>33382</v>
      </c>
      <c r="D12274" s="32" t="s">
        <v>33383</v>
      </c>
    </row>
    <row r="12275" spans="2:4" x14ac:dyDescent="0.3">
      <c r="B12275" s="33" t="s">
        <v>33384</v>
      </c>
      <c r="C12275" s="32" t="s">
        <v>33385</v>
      </c>
      <c r="D12275" s="32" t="s">
        <v>33386</v>
      </c>
    </row>
    <row r="12276" spans="2:4" x14ac:dyDescent="0.3">
      <c r="B12276" s="33" t="s">
        <v>33387</v>
      </c>
      <c r="C12276" s="32" t="s">
        <v>33388</v>
      </c>
      <c r="D12276" s="32" t="s">
        <v>33389</v>
      </c>
    </row>
    <row r="12277" spans="2:4" x14ac:dyDescent="0.3">
      <c r="B12277" s="33" t="s">
        <v>33390</v>
      </c>
      <c r="C12277" s="32" t="s">
        <v>33391</v>
      </c>
      <c r="D12277" s="32" t="s">
        <v>33392</v>
      </c>
    </row>
    <row r="12278" spans="2:4" x14ac:dyDescent="0.3">
      <c r="B12278" s="33" t="s">
        <v>33393</v>
      </c>
      <c r="C12278" s="32" t="s">
        <v>33394</v>
      </c>
      <c r="D12278" s="32" t="s">
        <v>33395</v>
      </c>
    </row>
    <row r="12279" spans="2:4" x14ac:dyDescent="0.3">
      <c r="B12279" s="33" t="s">
        <v>33396</v>
      </c>
      <c r="C12279" s="32" t="s">
        <v>33397</v>
      </c>
      <c r="D12279" s="32" t="s">
        <v>33398</v>
      </c>
    </row>
    <row r="12280" spans="2:4" x14ac:dyDescent="0.3">
      <c r="B12280" s="33" t="s">
        <v>33354</v>
      </c>
      <c r="C12280" s="32" t="s">
        <v>33399</v>
      </c>
      <c r="D12280" s="32" t="s">
        <v>33400</v>
      </c>
    </row>
    <row r="12281" spans="2:4" x14ac:dyDescent="0.3">
      <c r="B12281" s="33" t="s">
        <v>33401</v>
      </c>
      <c r="C12281" s="32" t="s">
        <v>33402</v>
      </c>
      <c r="D12281" s="32" t="s">
        <v>33403</v>
      </c>
    </row>
    <row r="12282" spans="2:4" x14ac:dyDescent="0.3">
      <c r="B12282" s="33" t="s">
        <v>109</v>
      </c>
      <c r="C12282" s="32" t="s">
        <v>33404</v>
      </c>
      <c r="D12282" s="32" t="s">
        <v>33405</v>
      </c>
    </row>
    <row r="12283" spans="2:4" x14ac:dyDescent="0.3">
      <c r="B12283" s="33" t="s">
        <v>33406</v>
      </c>
      <c r="C12283" s="32" t="s">
        <v>33407</v>
      </c>
      <c r="D12283" s="32" t="s">
        <v>33408</v>
      </c>
    </row>
    <row r="12284" spans="2:4" x14ac:dyDescent="0.3">
      <c r="B12284" s="33" t="s">
        <v>33409</v>
      </c>
      <c r="C12284" s="32" t="s">
        <v>33410</v>
      </c>
      <c r="D12284" s="32" t="s">
        <v>33411</v>
      </c>
    </row>
    <row r="12285" spans="2:4" x14ac:dyDescent="0.3">
      <c r="B12285" s="33" t="s">
        <v>33412</v>
      </c>
      <c r="C12285" s="32" t="s">
        <v>33413</v>
      </c>
      <c r="D12285" s="32" t="s">
        <v>33414</v>
      </c>
    </row>
    <row r="12286" spans="2:4" x14ac:dyDescent="0.3">
      <c r="B12286" s="33" t="s">
        <v>33415</v>
      </c>
      <c r="C12286" s="32" t="s">
        <v>33416</v>
      </c>
      <c r="D12286" s="32" t="s">
        <v>33417</v>
      </c>
    </row>
    <row r="12287" spans="2:4" x14ac:dyDescent="0.3">
      <c r="B12287" s="33" t="s">
        <v>33418</v>
      </c>
      <c r="C12287" s="32" t="s">
        <v>33419</v>
      </c>
      <c r="D12287" s="32" t="s">
        <v>33420</v>
      </c>
    </row>
    <row r="12288" spans="2:4" x14ac:dyDescent="0.3">
      <c r="B12288" s="33" t="s">
        <v>33421</v>
      </c>
      <c r="C12288" s="32" t="s">
        <v>33422</v>
      </c>
      <c r="D12288" s="32" t="s">
        <v>33423</v>
      </c>
    </row>
    <row r="12289" spans="2:4" x14ac:dyDescent="0.3">
      <c r="B12289" s="33" t="s">
        <v>33424</v>
      </c>
      <c r="C12289" s="32" t="s">
        <v>33425</v>
      </c>
      <c r="D12289" s="32" t="s">
        <v>33426</v>
      </c>
    </row>
    <row r="12290" spans="2:4" x14ac:dyDescent="0.3">
      <c r="B12290" s="33" t="s">
        <v>33427</v>
      </c>
      <c r="C12290" s="32" t="s">
        <v>33428</v>
      </c>
      <c r="D12290" s="32" t="s">
        <v>33429</v>
      </c>
    </row>
    <row r="12291" spans="2:4" x14ac:dyDescent="0.3">
      <c r="B12291" s="33" t="s">
        <v>33029</v>
      </c>
      <c r="C12291" s="32" t="s">
        <v>33430</v>
      </c>
      <c r="D12291" s="32" t="s">
        <v>33431</v>
      </c>
    </row>
    <row r="12292" spans="2:4" x14ac:dyDescent="0.3">
      <c r="B12292" s="33" t="s">
        <v>33432</v>
      </c>
      <c r="C12292" s="32" t="s">
        <v>33433</v>
      </c>
      <c r="D12292" s="32" t="s">
        <v>33434</v>
      </c>
    </row>
    <row r="12293" spans="2:4" x14ac:dyDescent="0.3">
      <c r="B12293" s="33" t="s">
        <v>33435</v>
      </c>
      <c r="C12293" s="32" t="s">
        <v>33436</v>
      </c>
      <c r="D12293" s="32" t="s">
        <v>33437</v>
      </c>
    </row>
    <row r="12294" spans="2:4" x14ac:dyDescent="0.3">
      <c r="B12294" s="33" t="s">
        <v>33438</v>
      </c>
      <c r="C12294" s="32" t="s">
        <v>33439</v>
      </c>
      <c r="D12294" s="32" t="s">
        <v>33438</v>
      </c>
    </row>
    <row r="12295" spans="2:4" x14ac:dyDescent="0.3">
      <c r="B12295" s="33" t="s">
        <v>33440</v>
      </c>
      <c r="C12295" s="32" t="s">
        <v>33441</v>
      </c>
      <c r="D12295" s="32" t="s">
        <v>33442</v>
      </c>
    </row>
    <row r="12296" spans="2:4" x14ac:dyDescent="0.3">
      <c r="B12296" s="33" t="s">
        <v>33443</v>
      </c>
      <c r="C12296" s="32" t="s">
        <v>33444</v>
      </c>
      <c r="D12296" s="32" t="s">
        <v>33445</v>
      </c>
    </row>
    <row r="12297" spans="2:4" x14ac:dyDescent="0.3">
      <c r="B12297" s="33" t="s">
        <v>33446</v>
      </c>
      <c r="C12297" s="32" t="s">
        <v>33447</v>
      </c>
      <c r="D12297" s="32" t="s">
        <v>33448</v>
      </c>
    </row>
    <row r="12298" spans="2:4" x14ac:dyDescent="0.3">
      <c r="B12298" s="33" t="s">
        <v>33446</v>
      </c>
      <c r="C12298" s="32" t="s">
        <v>33449</v>
      </c>
      <c r="D12298" s="32" t="s">
        <v>33450</v>
      </c>
    </row>
    <row r="12299" spans="2:4" x14ac:dyDescent="0.3">
      <c r="B12299" s="33" t="s">
        <v>33451</v>
      </c>
      <c r="C12299" s="32" t="s">
        <v>33452</v>
      </c>
      <c r="D12299" s="32" t="s">
        <v>33453</v>
      </c>
    </row>
    <row r="12300" spans="2:4" x14ac:dyDescent="0.3">
      <c r="B12300" s="33" t="s">
        <v>33454</v>
      </c>
      <c r="C12300" s="32" t="s">
        <v>33455</v>
      </c>
      <c r="D12300" s="32" t="s">
        <v>33456</v>
      </c>
    </row>
    <row r="12301" spans="2:4" x14ac:dyDescent="0.3">
      <c r="B12301" s="33" t="s">
        <v>33457</v>
      </c>
      <c r="C12301" s="32" t="s">
        <v>33458</v>
      </c>
      <c r="D12301" s="32" t="s">
        <v>33459</v>
      </c>
    </row>
    <row r="12302" spans="2:4" x14ac:dyDescent="0.3">
      <c r="B12302" s="33" t="s">
        <v>33222</v>
      </c>
      <c r="C12302" s="32" t="s">
        <v>33460</v>
      </c>
      <c r="D12302" s="32" t="s">
        <v>33461</v>
      </c>
    </row>
    <row r="12303" spans="2:4" x14ac:dyDescent="0.3">
      <c r="B12303" s="33" t="s">
        <v>33462</v>
      </c>
      <c r="C12303" s="32" t="s">
        <v>33463</v>
      </c>
      <c r="D12303" s="32" t="s">
        <v>33464</v>
      </c>
    </row>
    <row r="12304" spans="2:4" x14ac:dyDescent="0.3">
      <c r="B12304" s="33" t="s">
        <v>33465</v>
      </c>
      <c r="C12304" s="32" t="s">
        <v>33466</v>
      </c>
      <c r="D12304" s="32" t="s">
        <v>33467</v>
      </c>
    </row>
    <row r="12305" spans="2:4" x14ac:dyDescent="0.3">
      <c r="B12305" s="33" t="s">
        <v>33468</v>
      </c>
      <c r="C12305" s="32" t="s">
        <v>33469</v>
      </c>
      <c r="D12305" s="32" t="s">
        <v>33470</v>
      </c>
    </row>
    <row r="12306" spans="2:4" x14ac:dyDescent="0.3">
      <c r="B12306" s="33" t="s">
        <v>33468</v>
      </c>
      <c r="C12306" s="32" t="s">
        <v>33471</v>
      </c>
      <c r="D12306" s="32" t="s">
        <v>33472</v>
      </c>
    </row>
    <row r="12307" spans="2:4" x14ac:dyDescent="0.3">
      <c r="B12307" s="33" t="s">
        <v>33473</v>
      </c>
      <c r="C12307" s="32" t="s">
        <v>33474</v>
      </c>
      <c r="D12307" s="32" t="s">
        <v>33475</v>
      </c>
    </row>
    <row r="12308" spans="2:4" x14ac:dyDescent="0.3">
      <c r="B12308" s="33" t="s">
        <v>33239</v>
      </c>
      <c r="C12308" s="32" t="s">
        <v>33476</v>
      </c>
      <c r="D12308" s="32" t="s">
        <v>33477</v>
      </c>
    </row>
    <row r="12309" spans="2:4" x14ac:dyDescent="0.3">
      <c r="B12309" s="33" t="s">
        <v>33478</v>
      </c>
      <c r="C12309" s="32" t="s">
        <v>33479</v>
      </c>
      <c r="D12309" s="32" t="s">
        <v>33480</v>
      </c>
    </row>
    <row r="12310" spans="2:4" x14ac:dyDescent="0.3">
      <c r="B12310" s="33" t="s">
        <v>33481</v>
      </c>
      <c r="C12310" s="32" t="s">
        <v>33482</v>
      </c>
      <c r="D12310" s="32" t="s">
        <v>33483</v>
      </c>
    </row>
    <row r="12311" spans="2:4" x14ac:dyDescent="0.3">
      <c r="B12311" s="33" t="s">
        <v>33484</v>
      </c>
      <c r="C12311" s="32" t="s">
        <v>33485</v>
      </c>
      <c r="D12311" s="32" t="s">
        <v>33486</v>
      </c>
    </row>
    <row r="12312" spans="2:4" x14ac:dyDescent="0.3">
      <c r="B12312" s="33" t="s">
        <v>33487</v>
      </c>
      <c r="C12312" s="32" t="s">
        <v>33488</v>
      </c>
      <c r="D12312" s="32" t="s">
        <v>33489</v>
      </c>
    </row>
    <row r="12313" spans="2:4" x14ac:dyDescent="0.3">
      <c r="B12313" s="33" t="s">
        <v>33490</v>
      </c>
      <c r="C12313" s="32" t="s">
        <v>33491</v>
      </c>
      <c r="D12313" s="32" t="s">
        <v>33492</v>
      </c>
    </row>
    <row r="12314" spans="2:4" x14ac:dyDescent="0.3">
      <c r="B12314" s="33" t="s">
        <v>33387</v>
      </c>
      <c r="C12314" s="32" t="s">
        <v>33493</v>
      </c>
      <c r="D12314" s="32" t="s">
        <v>33494</v>
      </c>
    </row>
    <row r="12315" spans="2:4" x14ac:dyDescent="0.3">
      <c r="B12315" s="33" t="s">
        <v>33495</v>
      </c>
      <c r="C12315" s="32" t="s">
        <v>33496</v>
      </c>
      <c r="D12315" s="32" t="s">
        <v>33497</v>
      </c>
    </row>
    <row r="12316" spans="2:4" x14ac:dyDescent="0.3">
      <c r="B12316" s="33" t="s">
        <v>33498</v>
      </c>
      <c r="C12316" s="32" t="s">
        <v>33499</v>
      </c>
      <c r="D12316" s="32" t="s">
        <v>33500</v>
      </c>
    </row>
    <row r="12317" spans="2:4" x14ac:dyDescent="0.3">
      <c r="B12317" s="33" t="s">
        <v>33501</v>
      </c>
      <c r="C12317" s="32" t="s">
        <v>33502</v>
      </c>
      <c r="D12317" s="32" t="s">
        <v>33503</v>
      </c>
    </row>
    <row r="12318" spans="2:4" x14ac:dyDescent="0.3">
      <c r="B12318" s="33" t="s">
        <v>33504</v>
      </c>
      <c r="C12318" s="32" t="s">
        <v>33505</v>
      </c>
      <c r="D12318" s="32" t="s">
        <v>37383</v>
      </c>
    </row>
    <row r="12319" spans="2:4" x14ac:dyDescent="0.3">
      <c r="B12319" s="33" t="s">
        <v>33506</v>
      </c>
      <c r="C12319" s="32" t="s">
        <v>33507</v>
      </c>
      <c r="D12319" s="32" t="s">
        <v>33508</v>
      </c>
    </row>
    <row r="12320" spans="2:4" x14ac:dyDescent="0.3">
      <c r="B12320" s="33" t="s">
        <v>33509</v>
      </c>
      <c r="C12320" s="32" t="s">
        <v>33510</v>
      </c>
      <c r="D12320" s="32" t="s">
        <v>33511</v>
      </c>
    </row>
    <row r="12321" spans="2:4" x14ac:dyDescent="0.3">
      <c r="B12321" s="33" t="s">
        <v>33512</v>
      </c>
      <c r="C12321" s="32" t="s">
        <v>33513</v>
      </c>
      <c r="D12321" s="32" t="s">
        <v>33514</v>
      </c>
    </row>
    <row r="12322" spans="2:4" x14ac:dyDescent="0.3">
      <c r="B12322" s="33" t="s">
        <v>33515</v>
      </c>
      <c r="C12322" s="32" t="s">
        <v>33516</v>
      </c>
      <c r="D12322" s="32" t="s">
        <v>33517</v>
      </c>
    </row>
    <row r="12323" spans="2:4" x14ac:dyDescent="0.3">
      <c r="B12323" s="33" t="s">
        <v>33518</v>
      </c>
      <c r="C12323" s="32" t="s">
        <v>33519</v>
      </c>
      <c r="D12323" s="32" t="s">
        <v>33520</v>
      </c>
    </row>
    <row r="12324" spans="2:4" x14ac:dyDescent="0.3">
      <c r="B12324" s="33" t="s">
        <v>33521</v>
      </c>
      <c r="C12324" s="32" t="s">
        <v>33522</v>
      </c>
      <c r="D12324" s="32" t="s">
        <v>33523</v>
      </c>
    </row>
    <row r="12325" spans="2:4" x14ac:dyDescent="0.3">
      <c r="B12325" s="33" t="s">
        <v>33239</v>
      </c>
      <c r="C12325" s="32" t="s">
        <v>33524</v>
      </c>
      <c r="D12325" s="32" t="s">
        <v>33525</v>
      </c>
    </row>
    <row r="12326" spans="2:4" x14ac:dyDescent="0.3">
      <c r="B12326" s="33" t="s">
        <v>33239</v>
      </c>
      <c r="C12326" s="32" t="s">
        <v>33526</v>
      </c>
      <c r="D12326" s="32" t="s">
        <v>33527</v>
      </c>
    </row>
    <row r="12327" spans="2:4" x14ac:dyDescent="0.3">
      <c r="B12327" s="33" t="s">
        <v>33528</v>
      </c>
      <c r="C12327" s="32" t="s">
        <v>33529</v>
      </c>
      <c r="D12327" s="32" t="s">
        <v>33530</v>
      </c>
    </row>
    <row r="12328" spans="2:4" x14ac:dyDescent="0.3">
      <c r="B12328" s="33" t="s">
        <v>33531</v>
      </c>
      <c r="C12328" s="32" t="s">
        <v>33532</v>
      </c>
      <c r="D12328" s="32" t="s">
        <v>33533</v>
      </c>
    </row>
    <row r="12329" spans="2:4" x14ac:dyDescent="0.3">
      <c r="B12329" s="33" t="s">
        <v>33534</v>
      </c>
      <c r="C12329" s="32" t="s">
        <v>33535</v>
      </c>
      <c r="D12329" s="32" t="s">
        <v>33536</v>
      </c>
    </row>
    <row r="12330" spans="2:4" x14ac:dyDescent="0.3">
      <c r="B12330" s="33" t="s">
        <v>33537</v>
      </c>
      <c r="C12330" s="32" t="s">
        <v>33538</v>
      </c>
      <c r="D12330" s="32" t="s">
        <v>33539</v>
      </c>
    </row>
    <row r="12331" spans="2:4" x14ac:dyDescent="0.3">
      <c r="B12331" s="33" t="s">
        <v>33540</v>
      </c>
      <c r="C12331" s="32" t="s">
        <v>33541</v>
      </c>
      <c r="D12331" s="32" t="s">
        <v>33542</v>
      </c>
    </row>
    <row r="12332" spans="2:4" x14ac:dyDescent="0.3">
      <c r="B12332" s="33" t="s">
        <v>33543</v>
      </c>
      <c r="C12332" s="32" t="s">
        <v>33544</v>
      </c>
      <c r="D12332" s="32" t="s">
        <v>33545</v>
      </c>
    </row>
    <row r="12333" spans="2:4" x14ac:dyDescent="0.3">
      <c r="B12333" s="33" t="s">
        <v>33546</v>
      </c>
      <c r="C12333" s="32" t="s">
        <v>33547</v>
      </c>
      <c r="D12333" s="32" t="s">
        <v>33548</v>
      </c>
    </row>
    <row r="12334" spans="2:4" x14ac:dyDescent="0.3">
      <c r="B12334" s="33" t="s">
        <v>33549</v>
      </c>
      <c r="C12334" s="32" t="s">
        <v>33550</v>
      </c>
      <c r="D12334" s="32" t="s">
        <v>33551</v>
      </c>
    </row>
    <row r="12335" spans="2:4" x14ac:dyDescent="0.3">
      <c r="B12335" s="33" t="s">
        <v>33552</v>
      </c>
      <c r="C12335" s="32" t="s">
        <v>33553</v>
      </c>
      <c r="D12335" s="32" t="s">
        <v>33554</v>
      </c>
    </row>
    <row r="12336" spans="2:4" x14ac:dyDescent="0.3">
      <c r="B12336" s="33" t="s">
        <v>37384</v>
      </c>
      <c r="C12336" s="32" t="s">
        <v>37385</v>
      </c>
      <c r="D12336" s="32" t="s">
        <v>37384</v>
      </c>
    </row>
    <row r="12337" spans="2:4" x14ac:dyDescent="0.3">
      <c r="B12337" s="33" t="s">
        <v>33555</v>
      </c>
      <c r="C12337" s="32" t="s">
        <v>33556</v>
      </c>
      <c r="D12337" s="32" t="s">
        <v>33557</v>
      </c>
    </row>
    <row r="12338" spans="2:4" x14ac:dyDescent="0.3">
      <c r="B12338" s="33" t="s">
        <v>22</v>
      </c>
      <c r="C12338" s="32" t="s">
        <v>33558</v>
      </c>
      <c r="D12338" s="32" t="s">
        <v>23</v>
      </c>
    </row>
    <row r="12339" spans="2:4" x14ac:dyDescent="0.3">
      <c r="B12339" s="33" t="s">
        <v>22</v>
      </c>
      <c r="C12339" s="32" t="s">
        <v>33559</v>
      </c>
      <c r="D12339" s="32" t="s">
        <v>33560</v>
      </c>
    </row>
    <row r="12340" spans="2:4" x14ac:dyDescent="0.3">
      <c r="B12340" s="33" t="s">
        <v>33561</v>
      </c>
      <c r="C12340" s="32" t="s">
        <v>33562</v>
      </c>
      <c r="D12340" s="32" t="s">
        <v>33563</v>
      </c>
    </row>
    <row r="12341" spans="2:4" x14ac:dyDescent="0.3">
      <c r="B12341" s="33" t="s">
        <v>33564</v>
      </c>
      <c r="C12341" s="32" t="s">
        <v>33565</v>
      </c>
      <c r="D12341" s="32" t="s">
        <v>33566</v>
      </c>
    </row>
    <row r="12342" spans="2:4" x14ac:dyDescent="0.3">
      <c r="B12342" s="33" t="s">
        <v>33567</v>
      </c>
      <c r="C12342" s="32" t="s">
        <v>33568</v>
      </c>
      <c r="D12342" s="32" t="s">
        <v>33569</v>
      </c>
    </row>
    <row r="12343" spans="2:4" x14ac:dyDescent="0.3">
      <c r="B12343" s="33" t="s">
        <v>33570</v>
      </c>
      <c r="C12343" s="32" t="s">
        <v>33571</v>
      </c>
      <c r="D12343" s="32" t="s">
        <v>33572</v>
      </c>
    </row>
    <row r="12344" spans="2:4" x14ac:dyDescent="0.3">
      <c r="B12344" s="33" t="s">
        <v>33573</v>
      </c>
      <c r="C12344" s="32" t="s">
        <v>33574</v>
      </c>
      <c r="D12344" s="32" t="s">
        <v>33575</v>
      </c>
    </row>
    <row r="12345" spans="2:4" x14ac:dyDescent="0.3">
      <c r="B12345" s="33" t="s">
        <v>33576</v>
      </c>
      <c r="C12345" s="32" t="s">
        <v>33577</v>
      </c>
      <c r="D12345" s="32" t="s">
        <v>33578</v>
      </c>
    </row>
    <row r="12346" spans="2:4" x14ac:dyDescent="0.3">
      <c r="B12346" s="33" t="s">
        <v>33579</v>
      </c>
      <c r="C12346" s="32" t="s">
        <v>33580</v>
      </c>
      <c r="D12346" s="32" t="s">
        <v>33581</v>
      </c>
    </row>
    <row r="12347" spans="2:4" x14ac:dyDescent="0.3">
      <c r="B12347" s="33" t="s">
        <v>33582</v>
      </c>
      <c r="C12347" s="32" t="s">
        <v>33583</v>
      </c>
      <c r="D12347" s="32" t="s">
        <v>33582</v>
      </c>
    </row>
    <row r="12348" spans="2:4" x14ac:dyDescent="0.3">
      <c r="B12348" s="33" t="s">
        <v>37086</v>
      </c>
      <c r="C12348" s="32" t="s">
        <v>37087</v>
      </c>
      <c r="D12348" s="32" t="s">
        <v>37086</v>
      </c>
    </row>
    <row r="12349" spans="2:4" x14ac:dyDescent="0.3">
      <c r="B12349" s="33" t="s">
        <v>33584</v>
      </c>
      <c r="C12349" s="32" t="s">
        <v>33585</v>
      </c>
      <c r="D12349" s="32" t="s">
        <v>33586</v>
      </c>
    </row>
    <row r="12350" spans="2:4" x14ac:dyDescent="0.3">
      <c r="B12350" s="33" t="s">
        <v>33587</v>
      </c>
      <c r="C12350" s="32" t="s">
        <v>33588</v>
      </c>
      <c r="D12350" s="32" t="s">
        <v>33587</v>
      </c>
    </row>
    <row r="12351" spans="2:4" x14ac:dyDescent="0.3">
      <c r="B12351" s="33" t="s">
        <v>33589</v>
      </c>
      <c r="C12351" s="32" t="s">
        <v>33590</v>
      </c>
      <c r="D12351" s="32" t="s">
        <v>33589</v>
      </c>
    </row>
    <row r="12352" spans="2:4" x14ac:dyDescent="0.3">
      <c r="B12352" s="33" t="s">
        <v>33589</v>
      </c>
      <c r="C12352" s="32" t="s">
        <v>33591</v>
      </c>
      <c r="D12352" s="32" t="s">
        <v>33592</v>
      </c>
    </row>
    <row r="12353" spans="2:4" x14ac:dyDescent="0.3">
      <c r="B12353" s="33" t="s">
        <v>33593</v>
      </c>
      <c r="C12353" s="32" t="s">
        <v>33594</v>
      </c>
      <c r="D12353" s="32" t="s">
        <v>33595</v>
      </c>
    </row>
    <row r="12354" spans="2:4" x14ac:dyDescent="0.3">
      <c r="B12354" s="33" t="s">
        <v>33596</v>
      </c>
      <c r="C12354" s="32" t="s">
        <v>33597</v>
      </c>
      <c r="D12354" s="32" t="s">
        <v>33598</v>
      </c>
    </row>
    <row r="12355" spans="2:4" x14ac:dyDescent="0.3">
      <c r="B12355" s="33" t="s">
        <v>24409</v>
      </c>
      <c r="C12355" s="32" t="s">
        <v>33599</v>
      </c>
      <c r="D12355" s="32" t="s">
        <v>33600</v>
      </c>
    </row>
    <row r="12356" spans="2:4" x14ac:dyDescent="0.3">
      <c r="B12356" s="33" t="s">
        <v>33601</v>
      </c>
      <c r="C12356" s="32" t="s">
        <v>33602</v>
      </c>
      <c r="D12356" s="32" t="s">
        <v>33601</v>
      </c>
    </row>
    <row r="12357" spans="2:4" x14ac:dyDescent="0.3">
      <c r="B12357" s="33" t="s">
        <v>33603</v>
      </c>
      <c r="C12357" s="32" t="s">
        <v>33604</v>
      </c>
      <c r="D12357" s="32" t="s">
        <v>33605</v>
      </c>
    </row>
    <row r="12358" spans="2:4" x14ac:dyDescent="0.3">
      <c r="B12358" s="33" t="s">
        <v>33606</v>
      </c>
      <c r="C12358" s="32" t="s">
        <v>33607</v>
      </c>
      <c r="D12358" s="32" t="s">
        <v>33608</v>
      </c>
    </row>
    <row r="12359" spans="2:4" x14ac:dyDescent="0.3">
      <c r="B12359" s="33" t="s">
        <v>33609</v>
      </c>
      <c r="C12359" s="32" t="s">
        <v>33610</v>
      </c>
      <c r="D12359" s="32" t="s">
        <v>33611</v>
      </c>
    </row>
    <row r="12360" spans="2:4" x14ac:dyDescent="0.3">
      <c r="B12360" s="33" t="s">
        <v>10581</v>
      </c>
      <c r="C12360" s="32" t="s">
        <v>33612</v>
      </c>
      <c r="D12360" s="32" t="s">
        <v>10581</v>
      </c>
    </row>
    <row r="12361" spans="2:4" x14ac:dyDescent="0.3">
      <c r="B12361" s="33" t="s">
        <v>10581</v>
      </c>
      <c r="C12361" s="32" t="s">
        <v>33613</v>
      </c>
      <c r="D12361" s="32" t="s">
        <v>33614</v>
      </c>
    </row>
    <row r="12362" spans="2:4" x14ac:dyDescent="0.3">
      <c r="B12362" s="33" t="s">
        <v>33615</v>
      </c>
      <c r="C12362" s="32" t="s">
        <v>33616</v>
      </c>
      <c r="D12362" s="32" t="s">
        <v>33617</v>
      </c>
    </row>
    <row r="12363" spans="2:4" x14ac:dyDescent="0.3">
      <c r="B12363" s="33" t="s">
        <v>33618</v>
      </c>
      <c r="C12363" s="32" t="s">
        <v>33619</v>
      </c>
      <c r="D12363" s="32" t="s">
        <v>33620</v>
      </c>
    </row>
    <row r="12364" spans="2:4" x14ac:dyDescent="0.3">
      <c r="B12364" s="33" t="s">
        <v>33621</v>
      </c>
      <c r="C12364" s="32" t="s">
        <v>33622</v>
      </c>
      <c r="D12364" s="32" t="s">
        <v>33623</v>
      </c>
    </row>
    <row r="12365" spans="2:4" x14ac:dyDescent="0.3">
      <c r="B12365" s="33" t="s">
        <v>33621</v>
      </c>
      <c r="C12365" s="32" t="s">
        <v>33624</v>
      </c>
      <c r="D12365" s="32" t="s">
        <v>33625</v>
      </c>
    </row>
    <row r="12366" spans="2:4" x14ac:dyDescent="0.3">
      <c r="B12366" s="33" t="s">
        <v>33626</v>
      </c>
      <c r="C12366" s="32" t="s">
        <v>33627</v>
      </c>
      <c r="D12366" s="32" t="s">
        <v>33628</v>
      </c>
    </row>
    <row r="12367" spans="2:4" x14ac:dyDescent="0.3">
      <c r="B12367" s="33" t="s">
        <v>33629</v>
      </c>
      <c r="C12367" s="32" t="s">
        <v>33630</v>
      </c>
      <c r="D12367" s="32" t="s">
        <v>33629</v>
      </c>
    </row>
    <row r="12368" spans="2:4" x14ac:dyDescent="0.3">
      <c r="B12368" s="33" t="s">
        <v>33631</v>
      </c>
      <c r="C12368" s="32" t="s">
        <v>33632</v>
      </c>
      <c r="D12368" s="32" t="s">
        <v>33631</v>
      </c>
    </row>
    <row r="12369" spans="2:4" x14ac:dyDescent="0.3">
      <c r="B12369" s="33" t="s">
        <v>33633</v>
      </c>
      <c r="C12369" s="32" t="s">
        <v>33634</v>
      </c>
      <c r="D12369" s="32" t="s">
        <v>33635</v>
      </c>
    </row>
    <row r="12370" spans="2:4" x14ac:dyDescent="0.3">
      <c r="B12370" s="33" t="s">
        <v>33636</v>
      </c>
      <c r="C12370" s="32" t="s">
        <v>33637</v>
      </c>
      <c r="D12370" s="32" t="s">
        <v>33638</v>
      </c>
    </row>
    <row r="12371" spans="2:4" x14ac:dyDescent="0.3">
      <c r="B12371" s="33" t="s">
        <v>8226</v>
      </c>
      <c r="C12371" s="32" t="s">
        <v>33639</v>
      </c>
      <c r="D12371" s="32" t="s">
        <v>33640</v>
      </c>
    </row>
    <row r="12372" spans="2:4" x14ac:dyDescent="0.3">
      <c r="B12372" s="33" t="s">
        <v>33641</v>
      </c>
      <c r="C12372" s="32" t="s">
        <v>33642</v>
      </c>
      <c r="D12372" s="32" t="s">
        <v>33643</v>
      </c>
    </row>
    <row r="12373" spans="2:4" x14ac:dyDescent="0.3">
      <c r="B12373" s="33" t="s">
        <v>33644</v>
      </c>
      <c r="C12373" s="32" t="s">
        <v>33645</v>
      </c>
      <c r="D12373" s="32" t="s">
        <v>33646</v>
      </c>
    </row>
    <row r="12374" spans="2:4" x14ac:dyDescent="0.3">
      <c r="B12374" s="33" t="s">
        <v>33647</v>
      </c>
      <c r="C12374" s="32" t="s">
        <v>33648</v>
      </c>
      <c r="D12374" s="32" t="s">
        <v>33649</v>
      </c>
    </row>
    <row r="12375" spans="2:4" x14ac:dyDescent="0.3">
      <c r="B12375" s="33" t="s">
        <v>33650</v>
      </c>
      <c r="C12375" s="32" t="s">
        <v>33651</v>
      </c>
      <c r="D12375" s="32" t="s">
        <v>33652</v>
      </c>
    </row>
    <row r="12376" spans="2:4" x14ac:dyDescent="0.3">
      <c r="B12376" s="33" t="s">
        <v>33653</v>
      </c>
      <c r="C12376" s="32" t="s">
        <v>33654</v>
      </c>
      <c r="D12376" s="32" t="s">
        <v>33655</v>
      </c>
    </row>
    <row r="12377" spans="2:4" x14ac:dyDescent="0.3">
      <c r="B12377" s="33" t="s">
        <v>33656</v>
      </c>
      <c r="C12377" s="32" t="s">
        <v>33657</v>
      </c>
      <c r="D12377" s="32" t="s">
        <v>33658</v>
      </c>
    </row>
    <row r="12378" spans="2:4" x14ac:dyDescent="0.3">
      <c r="B12378" s="33" t="s">
        <v>33659</v>
      </c>
      <c r="C12378" s="32" t="s">
        <v>33660</v>
      </c>
      <c r="D12378" s="32" t="s">
        <v>33661</v>
      </c>
    </row>
    <row r="12379" spans="2:4" x14ac:dyDescent="0.3">
      <c r="B12379" s="33" t="s">
        <v>33662</v>
      </c>
      <c r="C12379" s="32" t="s">
        <v>33663</v>
      </c>
      <c r="D12379" s="32" t="s">
        <v>33664</v>
      </c>
    </row>
    <row r="12380" spans="2:4" x14ac:dyDescent="0.3">
      <c r="B12380" s="33" t="s">
        <v>33665</v>
      </c>
      <c r="C12380" s="32" t="s">
        <v>33666</v>
      </c>
      <c r="D12380" s="32" t="s">
        <v>33667</v>
      </c>
    </row>
    <row r="12381" spans="2:4" x14ac:dyDescent="0.3">
      <c r="B12381" s="33" t="s">
        <v>33668</v>
      </c>
      <c r="C12381" s="32" t="s">
        <v>33669</v>
      </c>
      <c r="D12381" s="32" t="s">
        <v>33670</v>
      </c>
    </row>
    <row r="12382" spans="2:4" x14ac:dyDescent="0.3">
      <c r="B12382" s="33" t="s">
        <v>33671</v>
      </c>
      <c r="C12382" s="32" t="s">
        <v>33672</v>
      </c>
      <c r="D12382" s="32" t="s">
        <v>33673</v>
      </c>
    </row>
    <row r="12383" spans="2:4" x14ac:dyDescent="0.3">
      <c r="B12383" s="33" t="s">
        <v>33674</v>
      </c>
      <c r="C12383" s="32" t="s">
        <v>33675</v>
      </c>
      <c r="D12383" s="32" t="s">
        <v>33676</v>
      </c>
    </row>
    <row r="12384" spans="2:4" x14ac:dyDescent="0.3">
      <c r="B12384" s="33" t="s">
        <v>33677</v>
      </c>
      <c r="C12384" s="32" t="s">
        <v>33678</v>
      </c>
      <c r="D12384" s="32" t="s">
        <v>33679</v>
      </c>
    </row>
    <row r="12385" spans="2:4" x14ac:dyDescent="0.3">
      <c r="B12385" s="33" t="s">
        <v>33680</v>
      </c>
      <c r="C12385" s="32" t="s">
        <v>33681</v>
      </c>
      <c r="D12385" s="32" t="s">
        <v>33682</v>
      </c>
    </row>
    <row r="12386" spans="2:4" x14ac:dyDescent="0.3">
      <c r="B12386" s="33" t="s">
        <v>33683</v>
      </c>
      <c r="C12386" s="32" t="s">
        <v>33684</v>
      </c>
      <c r="D12386" s="32" t="s">
        <v>33685</v>
      </c>
    </row>
    <row r="12387" spans="2:4" x14ac:dyDescent="0.3">
      <c r="B12387" s="33" t="s">
        <v>33686</v>
      </c>
      <c r="C12387" s="32" t="s">
        <v>33687</v>
      </c>
      <c r="D12387" s="32" t="s">
        <v>33688</v>
      </c>
    </row>
    <row r="12388" spans="2:4" x14ac:dyDescent="0.3">
      <c r="B12388" s="33" t="s">
        <v>33686</v>
      </c>
      <c r="C12388" s="32" t="s">
        <v>33689</v>
      </c>
      <c r="D12388" s="32" t="s">
        <v>33690</v>
      </c>
    </row>
    <row r="12389" spans="2:4" x14ac:dyDescent="0.3">
      <c r="B12389" s="33" t="s">
        <v>33691</v>
      </c>
      <c r="C12389" s="32" t="s">
        <v>33692</v>
      </c>
      <c r="D12389" s="32" t="s">
        <v>33693</v>
      </c>
    </row>
    <row r="12390" spans="2:4" x14ac:dyDescent="0.3">
      <c r="B12390" s="33" t="s">
        <v>33694</v>
      </c>
      <c r="C12390" s="32" t="s">
        <v>33695</v>
      </c>
      <c r="D12390" s="32" t="s">
        <v>33696</v>
      </c>
    </row>
    <row r="12391" spans="2:4" x14ac:dyDescent="0.3">
      <c r="B12391" s="33" t="s">
        <v>33697</v>
      </c>
      <c r="C12391" s="32" t="s">
        <v>33698</v>
      </c>
      <c r="D12391" s="32" t="s">
        <v>33699</v>
      </c>
    </row>
    <row r="12392" spans="2:4" x14ac:dyDescent="0.3">
      <c r="B12392" s="33" t="s">
        <v>33700</v>
      </c>
      <c r="C12392" s="32" t="s">
        <v>33701</v>
      </c>
      <c r="D12392" s="32" t="s">
        <v>33702</v>
      </c>
    </row>
    <row r="12393" spans="2:4" x14ac:dyDescent="0.3">
      <c r="B12393" s="33" t="s">
        <v>33703</v>
      </c>
      <c r="C12393" s="32" t="s">
        <v>33704</v>
      </c>
      <c r="D12393" s="32" t="s">
        <v>33705</v>
      </c>
    </row>
    <row r="12394" spans="2:4" x14ac:dyDescent="0.3">
      <c r="B12394" s="33" t="s">
        <v>33706</v>
      </c>
      <c r="C12394" s="32" t="s">
        <v>33707</v>
      </c>
      <c r="D12394" s="32" t="s">
        <v>33708</v>
      </c>
    </row>
    <row r="12395" spans="2:4" x14ac:dyDescent="0.3">
      <c r="B12395" s="33" t="s">
        <v>33709</v>
      </c>
      <c r="C12395" s="32" t="s">
        <v>33710</v>
      </c>
      <c r="D12395" s="32" t="s">
        <v>33711</v>
      </c>
    </row>
    <row r="12396" spans="2:4" x14ac:dyDescent="0.3">
      <c r="B12396" s="33" t="s">
        <v>33712</v>
      </c>
      <c r="C12396" s="32" t="s">
        <v>33713</v>
      </c>
      <c r="D12396" s="32" t="s">
        <v>33714</v>
      </c>
    </row>
    <row r="12397" spans="2:4" x14ac:dyDescent="0.3">
      <c r="B12397" s="33" t="s">
        <v>33715</v>
      </c>
      <c r="C12397" s="32" t="s">
        <v>33716</v>
      </c>
      <c r="D12397" s="32" t="s">
        <v>33717</v>
      </c>
    </row>
    <row r="12398" spans="2:4" x14ac:dyDescent="0.3">
      <c r="B12398" s="33" t="s">
        <v>29374</v>
      </c>
      <c r="C12398" s="32" t="s">
        <v>33718</v>
      </c>
      <c r="D12398" s="32" t="s">
        <v>33719</v>
      </c>
    </row>
    <row r="12399" spans="2:4" x14ac:dyDescent="0.3">
      <c r="B12399" s="33" t="s">
        <v>36902</v>
      </c>
      <c r="C12399" s="32" t="s">
        <v>36903</v>
      </c>
      <c r="D12399" s="32" t="s">
        <v>36904</v>
      </c>
    </row>
    <row r="12400" spans="2:4" x14ac:dyDescent="0.3">
      <c r="B12400" s="33" t="s">
        <v>33720</v>
      </c>
      <c r="C12400" s="32" t="s">
        <v>33721</v>
      </c>
      <c r="D12400" s="32" t="s">
        <v>33722</v>
      </c>
    </row>
    <row r="12401" spans="2:4" x14ac:dyDescent="0.3">
      <c r="B12401" s="33" t="s">
        <v>33723</v>
      </c>
      <c r="C12401" s="32" t="s">
        <v>33724</v>
      </c>
      <c r="D12401" s="32" t="s">
        <v>33725</v>
      </c>
    </row>
    <row r="12402" spans="2:4" x14ac:dyDescent="0.3">
      <c r="B12402" s="33" t="s">
        <v>33726</v>
      </c>
      <c r="C12402" s="32" t="s">
        <v>33727</v>
      </c>
      <c r="D12402" s="32" t="s">
        <v>33728</v>
      </c>
    </row>
    <row r="12403" spans="2:4" x14ac:dyDescent="0.3">
      <c r="B12403" s="33" t="s">
        <v>33729</v>
      </c>
      <c r="C12403" s="32" t="s">
        <v>33730</v>
      </c>
      <c r="D12403" s="32" t="s">
        <v>33731</v>
      </c>
    </row>
    <row r="12404" spans="2:4" x14ac:dyDescent="0.3">
      <c r="B12404" s="33" t="s">
        <v>33729</v>
      </c>
      <c r="C12404" s="32" t="s">
        <v>33732</v>
      </c>
      <c r="D12404" s="32" t="s">
        <v>33733</v>
      </c>
    </row>
    <row r="12405" spans="2:4" x14ac:dyDescent="0.3">
      <c r="B12405" s="33" t="s">
        <v>33734</v>
      </c>
      <c r="C12405" s="32" t="s">
        <v>33735</v>
      </c>
      <c r="D12405" s="32" t="s">
        <v>33736</v>
      </c>
    </row>
    <row r="12406" spans="2:4" x14ac:dyDescent="0.3">
      <c r="B12406" s="33" t="s">
        <v>33737</v>
      </c>
      <c r="C12406" s="32" t="s">
        <v>33738</v>
      </c>
      <c r="D12406" s="32" t="s">
        <v>33739</v>
      </c>
    </row>
    <row r="12407" spans="2:4" x14ac:dyDescent="0.3">
      <c r="B12407" s="33" t="s">
        <v>33740</v>
      </c>
      <c r="C12407" s="32" t="s">
        <v>33741</v>
      </c>
      <c r="D12407" s="32" t="s">
        <v>33742</v>
      </c>
    </row>
    <row r="12408" spans="2:4" x14ac:dyDescent="0.3">
      <c r="B12408" s="33" t="s">
        <v>33743</v>
      </c>
      <c r="C12408" s="32" t="s">
        <v>33744</v>
      </c>
      <c r="D12408" s="32" t="s">
        <v>33745</v>
      </c>
    </row>
    <row r="12409" spans="2:4" x14ac:dyDescent="0.3">
      <c r="B12409" s="33" t="s">
        <v>33746</v>
      </c>
      <c r="C12409" s="32" t="s">
        <v>33747</v>
      </c>
      <c r="D12409" s="32" t="s">
        <v>33748</v>
      </c>
    </row>
    <row r="12410" spans="2:4" x14ac:dyDescent="0.3">
      <c r="B12410" s="33" t="s">
        <v>33749</v>
      </c>
      <c r="C12410" s="32" t="s">
        <v>33750</v>
      </c>
      <c r="D12410" s="32" t="s">
        <v>33751</v>
      </c>
    </row>
    <row r="12411" spans="2:4" x14ac:dyDescent="0.3">
      <c r="B12411" s="33" t="s">
        <v>33752</v>
      </c>
      <c r="C12411" s="32" t="s">
        <v>33753</v>
      </c>
      <c r="D12411" s="32" t="s">
        <v>33754</v>
      </c>
    </row>
    <row r="12412" spans="2:4" x14ac:dyDescent="0.3">
      <c r="B12412" s="33" t="s">
        <v>33755</v>
      </c>
      <c r="C12412" s="32" t="s">
        <v>33756</v>
      </c>
      <c r="D12412" s="32" t="s">
        <v>33757</v>
      </c>
    </row>
    <row r="12413" spans="2:4" x14ac:dyDescent="0.3">
      <c r="B12413" s="33" t="s">
        <v>33758</v>
      </c>
      <c r="C12413" s="32" t="s">
        <v>33759</v>
      </c>
      <c r="D12413" s="32" t="s">
        <v>33760</v>
      </c>
    </row>
    <row r="12414" spans="2:4" x14ac:dyDescent="0.3">
      <c r="B12414" s="33" t="s">
        <v>33761</v>
      </c>
      <c r="C12414" s="32" t="s">
        <v>33762</v>
      </c>
      <c r="D12414" s="32" t="s">
        <v>33763</v>
      </c>
    </row>
    <row r="12415" spans="2:4" x14ac:dyDescent="0.3">
      <c r="B12415" s="33" t="s">
        <v>33764</v>
      </c>
      <c r="C12415" s="32" t="s">
        <v>33765</v>
      </c>
      <c r="D12415" s="32" t="s">
        <v>33766</v>
      </c>
    </row>
    <row r="12416" spans="2:4" x14ac:dyDescent="0.3">
      <c r="B12416" s="33" t="s">
        <v>33767</v>
      </c>
      <c r="C12416" s="32" t="s">
        <v>33768</v>
      </c>
      <c r="D12416" s="32" t="s">
        <v>33769</v>
      </c>
    </row>
    <row r="12417" spans="2:4" x14ac:dyDescent="0.3">
      <c r="B12417" s="33" t="s">
        <v>33770</v>
      </c>
      <c r="C12417" s="32" t="s">
        <v>33771</v>
      </c>
      <c r="D12417" s="32" t="s">
        <v>33772</v>
      </c>
    </row>
    <row r="12418" spans="2:4" x14ac:dyDescent="0.3">
      <c r="B12418" s="33" t="s">
        <v>33773</v>
      </c>
      <c r="C12418" s="32" t="s">
        <v>33774</v>
      </c>
      <c r="D12418" s="32" t="s">
        <v>33773</v>
      </c>
    </row>
    <row r="12419" spans="2:4" x14ac:dyDescent="0.3">
      <c r="B12419" s="33" t="s">
        <v>33773</v>
      </c>
      <c r="C12419" s="32" t="s">
        <v>33775</v>
      </c>
      <c r="D12419" s="32" t="s">
        <v>33776</v>
      </c>
    </row>
    <row r="12420" spans="2:4" x14ac:dyDescent="0.3">
      <c r="B12420" s="33" t="s">
        <v>33777</v>
      </c>
      <c r="C12420" s="32" t="s">
        <v>33778</v>
      </c>
      <c r="D12420" s="32" t="s">
        <v>33779</v>
      </c>
    </row>
    <row r="12421" spans="2:4" x14ac:dyDescent="0.3">
      <c r="B12421" s="33" t="s">
        <v>33780</v>
      </c>
      <c r="C12421" s="32" t="s">
        <v>33781</v>
      </c>
      <c r="D12421" s="32" t="s">
        <v>33782</v>
      </c>
    </row>
    <row r="12422" spans="2:4" x14ac:dyDescent="0.3">
      <c r="B12422" s="33" t="s">
        <v>33783</v>
      </c>
      <c r="C12422" s="32" t="s">
        <v>33784</v>
      </c>
      <c r="D12422" s="32" t="s">
        <v>33785</v>
      </c>
    </row>
    <row r="12423" spans="2:4" x14ac:dyDescent="0.3">
      <c r="B12423" s="33" t="s">
        <v>33786</v>
      </c>
      <c r="C12423" s="32" t="s">
        <v>33787</v>
      </c>
      <c r="D12423" s="32" t="s">
        <v>33788</v>
      </c>
    </row>
    <row r="12424" spans="2:4" x14ac:dyDescent="0.3">
      <c r="B12424" s="33" t="s">
        <v>33789</v>
      </c>
      <c r="C12424" s="32" t="s">
        <v>33790</v>
      </c>
      <c r="D12424" s="32" t="s">
        <v>33791</v>
      </c>
    </row>
    <row r="12425" spans="2:4" x14ac:dyDescent="0.3">
      <c r="B12425" s="33" t="s">
        <v>33792</v>
      </c>
      <c r="C12425" s="32" t="s">
        <v>33793</v>
      </c>
      <c r="D12425" s="32" t="s">
        <v>33794</v>
      </c>
    </row>
    <row r="12426" spans="2:4" x14ac:dyDescent="0.3">
      <c r="B12426" s="33" t="s">
        <v>112</v>
      </c>
      <c r="C12426" s="32" t="s">
        <v>33795</v>
      </c>
      <c r="D12426" s="32" t="s">
        <v>113</v>
      </c>
    </row>
    <row r="12427" spans="2:4" x14ac:dyDescent="0.3">
      <c r="B12427" s="33" t="s">
        <v>33796</v>
      </c>
      <c r="C12427" s="32" t="s">
        <v>33797</v>
      </c>
      <c r="D12427" s="32" t="s">
        <v>33798</v>
      </c>
    </row>
    <row r="12428" spans="2:4" x14ac:dyDescent="0.3">
      <c r="B12428" s="33" t="s">
        <v>33799</v>
      </c>
      <c r="C12428" s="32" t="s">
        <v>33800</v>
      </c>
      <c r="D12428" s="32" t="s">
        <v>33801</v>
      </c>
    </row>
    <row r="12429" spans="2:4" x14ac:dyDescent="0.3">
      <c r="B12429" s="33" t="s">
        <v>33802</v>
      </c>
      <c r="C12429" s="32" t="s">
        <v>33803</v>
      </c>
      <c r="D12429" s="32" t="s">
        <v>33804</v>
      </c>
    </row>
    <row r="12430" spans="2:4" x14ac:dyDescent="0.3">
      <c r="B12430" s="33" t="s">
        <v>33805</v>
      </c>
      <c r="C12430" s="32" t="s">
        <v>33806</v>
      </c>
      <c r="D12430" s="32" t="s">
        <v>33807</v>
      </c>
    </row>
    <row r="12431" spans="2:4" x14ac:dyDescent="0.3">
      <c r="B12431" s="33" t="s">
        <v>33808</v>
      </c>
      <c r="C12431" s="32" t="s">
        <v>33809</v>
      </c>
      <c r="D12431" s="32" t="s">
        <v>33810</v>
      </c>
    </row>
    <row r="12432" spans="2:4" x14ac:dyDescent="0.3">
      <c r="B12432" s="33" t="s">
        <v>33811</v>
      </c>
      <c r="C12432" s="32" t="s">
        <v>33812</v>
      </c>
      <c r="D12432" s="32" t="s">
        <v>33813</v>
      </c>
    </row>
    <row r="12433" spans="2:4" x14ac:dyDescent="0.3">
      <c r="B12433" s="33" t="s">
        <v>33814</v>
      </c>
      <c r="C12433" s="32" t="s">
        <v>33815</v>
      </c>
      <c r="D12433" s="32" t="s">
        <v>33814</v>
      </c>
    </row>
    <row r="12434" spans="2:4" x14ac:dyDescent="0.3">
      <c r="B12434" s="33" t="s">
        <v>5332</v>
      </c>
      <c r="C12434" s="32" t="s">
        <v>33816</v>
      </c>
      <c r="D12434" s="32" t="s">
        <v>33817</v>
      </c>
    </row>
    <row r="12435" spans="2:4" x14ac:dyDescent="0.3">
      <c r="B12435" s="33" t="s">
        <v>33818</v>
      </c>
      <c r="C12435" s="32" t="s">
        <v>33819</v>
      </c>
      <c r="D12435" s="32" t="s">
        <v>33820</v>
      </c>
    </row>
    <row r="12436" spans="2:4" x14ac:dyDescent="0.3">
      <c r="B12436" s="33" t="s">
        <v>33821</v>
      </c>
      <c r="C12436" s="32" t="s">
        <v>33822</v>
      </c>
      <c r="D12436" s="32" t="s">
        <v>33823</v>
      </c>
    </row>
    <row r="12437" spans="2:4" x14ac:dyDescent="0.3">
      <c r="B12437" s="33" t="s">
        <v>33827</v>
      </c>
      <c r="C12437" s="32" t="s">
        <v>36905</v>
      </c>
      <c r="D12437" s="32" t="s">
        <v>36906</v>
      </c>
    </row>
    <row r="12438" spans="2:4" x14ac:dyDescent="0.3">
      <c r="B12438" s="33" t="s">
        <v>33824</v>
      </c>
      <c r="C12438" s="32" t="s">
        <v>33825</v>
      </c>
      <c r="D12438" s="32" t="s">
        <v>33826</v>
      </c>
    </row>
    <row r="12439" spans="2:4" x14ac:dyDescent="0.3">
      <c r="B12439" s="33" t="s">
        <v>33827</v>
      </c>
      <c r="C12439" s="32" t="s">
        <v>33828</v>
      </c>
      <c r="D12439" s="32" t="s">
        <v>33829</v>
      </c>
    </row>
    <row r="12440" spans="2:4" x14ac:dyDescent="0.3">
      <c r="B12440" s="33" t="s">
        <v>33830</v>
      </c>
      <c r="C12440" s="32" t="s">
        <v>33831</v>
      </c>
      <c r="D12440" s="32" t="s">
        <v>33832</v>
      </c>
    </row>
    <row r="12441" spans="2:4" x14ac:dyDescent="0.3">
      <c r="B12441" s="33" t="s">
        <v>33833</v>
      </c>
      <c r="C12441" s="32" t="s">
        <v>33834</v>
      </c>
      <c r="D12441" s="32" t="s">
        <v>33835</v>
      </c>
    </row>
    <row r="12442" spans="2:4" x14ac:dyDescent="0.3">
      <c r="B12442" s="33" t="s">
        <v>33836</v>
      </c>
      <c r="C12442" s="32" t="s">
        <v>33837</v>
      </c>
      <c r="D12442" s="32" t="s">
        <v>33836</v>
      </c>
    </row>
    <row r="12443" spans="2:4" x14ac:dyDescent="0.3">
      <c r="B12443" s="33" t="s">
        <v>33838</v>
      </c>
      <c r="C12443" s="32" t="s">
        <v>33839</v>
      </c>
      <c r="D12443" s="32" t="s">
        <v>33838</v>
      </c>
    </row>
    <row r="12444" spans="2:4" x14ac:dyDescent="0.3">
      <c r="B12444" s="33" t="s">
        <v>33840</v>
      </c>
      <c r="C12444" s="32" t="s">
        <v>33841</v>
      </c>
      <c r="D12444" s="32" t="s">
        <v>33842</v>
      </c>
    </row>
    <row r="12445" spans="2:4" x14ac:dyDescent="0.3">
      <c r="B12445" s="33" t="s">
        <v>33843</v>
      </c>
      <c r="C12445" s="32" t="s">
        <v>33844</v>
      </c>
      <c r="D12445" s="32" t="s">
        <v>33845</v>
      </c>
    </row>
    <row r="12446" spans="2:4" x14ac:dyDescent="0.3">
      <c r="B12446" s="33" t="s">
        <v>33846</v>
      </c>
      <c r="C12446" s="32" t="s">
        <v>33847</v>
      </c>
      <c r="D12446" s="32" t="s">
        <v>33848</v>
      </c>
    </row>
    <row r="12447" spans="2:4" x14ac:dyDescent="0.3">
      <c r="B12447" s="33" t="s">
        <v>33849</v>
      </c>
      <c r="C12447" s="32" t="s">
        <v>33850</v>
      </c>
      <c r="D12447" s="32" t="s">
        <v>33851</v>
      </c>
    </row>
    <row r="12448" spans="2:4" x14ac:dyDescent="0.3">
      <c r="B12448" s="33" t="s">
        <v>33852</v>
      </c>
      <c r="C12448" s="32" t="s">
        <v>33853</v>
      </c>
      <c r="D12448" s="32" t="s">
        <v>33854</v>
      </c>
    </row>
    <row r="12449" spans="2:4" x14ac:dyDescent="0.3">
      <c r="B12449" s="33" t="s">
        <v>28147</v>
      </c>
      <c r="C12449" s="32" t="s">
        <v>33855</v>
      </c>
      <c r="D12449" s="32" t="s">
        <v>33856</v>
      </c>
    </row>
    <row r="12450" spans="2:4" x14ac:dyDescent="0.3">
      <c r="B12450" s="33" t="s">
        <v>33857</v>
      </c>
      <c r="C12450" s="32" t="s">
        <v>33858</v>
      </c>
      <c r="D12450" s="32" t="s">
        <v>33859</v>
      </c>
    </row>
    <row r="12451" spans="2:4" x14ac:dyDescent="0.3">
      <c r="B12451" s="33" t="s">
        <v>33857</v>
      </c>
      <c r="C12451" s="32" t="s">
        <v>37386</v>
      </c>
      <c r="D12451" s="32" t="s">
        <v>37387</v>
      </c>
    </row>
    <row r="12452" spans="2:4" x14ac:dyDescent="0.3">
      <c r="B12452" s="33" t="s">
        <v>33860</v>
      </c>
      <c r="C12452" s="32" t="s">
        <v>33861</v>
      </c>
      <c r="D12452" s="32" t="s">
        <v>33862</v>
      </c>
    </row>
    <row r="12453" spans="2:4" x14ac:dyDescent="0.3">
      <c r="B12453" s="33" t="s">
        <v>33863</v>
      </c>
      <c r="C12453" s="32" t="s">
        <v>33864</v>
      </c>
      <c r="D12453" s="32" t="s">
        <v>33865</v>
      </c>
    </row>
    <row r="12454" spans="2:4" x14ac:dyDescent="0.3">
      <c r="B12454" s="33" t="s">
        <v>33866</v>
      </c>
      <c r="C12454" s="32" t="s">
        <v>33867</v>
      </c>
      <c r="D12454" s="32" t="s">
        <v>33868</v>
      </c>
    </row>
    <row r="12455" spans="2:4" x14ac:dyDescent="0.3">
      <c r="B12455" s="33" t="s">
        <v>33869</v>
      </c>
      <c r="C12455" s="32" t="s">
        <v>33870</v>
      </c>
      <c r="D12455" s="32" t="s">
        <v>33871</v>
      </c>
    </row>
    <row r="12456" spans="2:4" x14ac:dyDescent="0.3">
      <c r="B12456" s="33" t="s">
        <v>33872</v>
      </c>
      <c r="C12456" s="32" t="s">
        <v>33873</v>
      </c>
      <c r="D12456" s="32" t="s">
        <v>33874</v>
      </c>
    </row>
    <row r="12457" spans="2:4" x14ac:dyDescent="0.3">
      <c r="B12457" s="33" t="s">
        <v>33875</v>
      </c>
      <c r="C12457" s="32" t="s">
        <v>33876</v>
      </c>
      <c r="D12457" s="32" t="s">
        <v>33877</v>
      </c>
    </row>
    <row r="12458" spans="2:4" x14ac:dyDescent="0.3">
      <c r="B12458" s="33" t="s">
        <v>33878</v>
      </c>
      <c r="C12458" s="32" t="s">
        <v>33879</v>
      </c>
      <c r="D12458" s="32" t="s">
        <v>33880</v>
      </c>
    </row>
    <row r="12459" spans="2:4" x14ac:dyDescent="0.3">
      <c r="B12459" s="33" t="s">
        <v>33881</v>
      </c>
      <c r="C12459" s="32" t="s">
        <v>33882</v>
      </c>
      <c r="D12459" s="32" t="s">
        <v>33883</v>
      </c>
    </row>
    <row r="12460" spans="2:4" x14ac:dyDescent="0.3">
      <c r="B12460" s="33" t="s">
        <v>33884</v>
      </c>
      <c r="C12460" s="32" t="s">
        <v>33885</v>
      </c>
      <c r="D12460" s="32" t="s">
        <v>33886</v>
      </c>
    </row>
    <row r="12461" spans="2:4" x14ac:dyDescent="0.3">
      <c r="B12461" s="33" t="s">
        <v>33887</v>
      </c>
      <c r="C12461" s="32" t="s">
        <v>33888</v>
      </c>
      <c r="D12461" s="32" t="s">
        <v>33889</v>
      </c>
    </row>
    <row r="12462" spans="2:4" x14ac:dyDescent="0.3">
      <c r="B12462" s="33" t="s">
        <v>33890</v>
      </c>
      <c r="C12462" s="32" t="s">
        <v>33891</v>
      </c>
      <c r="D12462" s="32" t="s">
        <v>33892</v>
      </c>
    </row>
    <row r="12463" spans="2:4" x14ac:dyDescent="0.3">
      <c r="B12463" s="33" t="s">
        <v>33893</v>
      </c>
      <c r="C12463" s="32" t="s">
        <v>33894</v>
      </c>
      <c r="D12463" s="32" t="s">
        <v>33895</v>
      </c>
    </row>
    <row r="12464" spans="2:4" x14ac:dyDescent="0.3">
      <c r="B12464" s="33" t="s">
        <v>33896</v>
      </c>
      <c r="C12464" s="32" t="s">
        <v>33897</v>
      </c>
      <c r="D12464" s="32" t="s">
        <v>33898</v>
      </c>
    </row>
    <row r="12465" spans="2:4" x14ac:dyDescent="0.3">
      <c r="B12465" s="33" t="s">
        <v>33899</v>
      </c>
      <c r="C12465" s="32" t="s">
        <v>33900</v>
      </c>
      <c r="D12465" s="32" t="s">
        <v>33901</v>
      </c>
    </row>
    <row r="12466" spans="2:4" x14ac:dyDescent="0.3">
      <c r="B12466" s="33" t="s">
        <v>33902</v>
      </c>
      <c r="C12466" s="32" t="s">
        <v>33903</v>
      </c>
      <c r="D12466" s="32" t="s">
        <v>33904</v>
      </c>
    </row>
    <row r="12467" spans="2:4" x14ac:dyDescent="0.3">
      <c r="B12467" s="33" t="s">
        <v>33905</v>
      </c>
      <c r="C12467" s="32" t="s">
        <v>33906</v>
      </c>
      <c r="D12467" s="32" t="s">
        <v>33907</v>
      </c>
    </row>
    <row r="12468" spans="2:4" x14ac:dyDescent="0.3">
      <c r="B12468" s="33" t="s">
        <v>33908</v>
      </c>
      <c r="C12468" s="32" t="s">
        <v>33909</v>
      </c>
      <c r="D12468" s="32" t="s">
        <v>33910</v>
      </c>
    </row>
    <row r="12469" spans="2:4" x14ac:dyDescent="0.3">
      <c r="B12469" s="33" t="s">
        <v>33911</v>
      </c>
      <c r="C12469" s="32" t="s">
        <v>33912</v>
      </c>
      <c r="D12469" s="32" t="s">
        <v>33913</v>
      </c>
    </row>
    <row r="12470" spans="2:4" x14ac:dyDescent="0.3">
      <c r="B12470" s="33" t="s">
        <v>33914</v>
      </c>
      <c r="C12470" s="32" t="s">
        <v>33915</v>
      </c>
      <c r="D12470" s="32" t="s">
        <v>33916</v>
      </c>
    </row>
    <row r="12471" spans="2:4" x14ac:dyDescent="0.3">
      <c r="B12471" s="33" t="s">
        <v>33917</v>
      </c>
      <c r="C12471" s="32" t="s">
        <v>33918</v>
      </c>
      <c r="D12471" s="32" t="s">
        <v>33919</v>
      </c>
    </row>
    <row r="12472" spans="2:4" x14ac:dyDescent="0.3">
      <c r="B12472" s="33" t="s">
        <v>33920</v>
      </c>
      <c r="C12472" s="32" t="s">
        <v>33921</v>
      </c>
      <c r="D12472" s="32" t="s">
        <v>33922</v>
      </c>
    </row>
    <row r="12473" spans="2:4" x14ac:dyDescent="0.3">
      <c r="B12473" s="33" t="s">
        <v>33923</v>
      </c>
      <c r="C12473" s="32" t="s">
        <v>33924</v>
      </c>
      <c r="D12473" s="32" t="s">
        <v>33925</v>
      </c>
    </row>
    <row r="12474" spans="2:4" x14ac:dyDescent="0.3">
      <c r="B12474" s="33" t="s">
        <v>33926</v>
      </c>
      <c r="C12474" s="32" t="s">
        <v>33927</v>
      </c>
      <c r="D12474" s="32" t="s">
        <v>33928</v>
      </c>
    </row>
    <row r="12475" spans="2:4" x14ac:dyDescent="0.3">
      <c r="B12475" s="33" t="s">
        <v>33929</v>
      </c>
      <c r="C12475" s="32" t="s">
        <v>33930</v>
      </c>
      <c r="D12475" s="32" t="s">
        <v>33931</v>
      </c>
    </row>
    <row r="12476" spans="2:4" x14ac:dyDescent="0.3">
      <c r="B12476" s="33" t="s">
        <v>33932</v>
      </c>
      <c r="C12476" s="32" t="s">
        <v>33933</v>
      </c>
      <c r="D12476" s="32" t="s">
        <v>33934</v>
      </c>
    </row>
    <row r="12477" spans="2:4" x14ac:dyDescent="0.3">
      <c r="B12477" s="33" t="s">
        <v>33935</v>
      </c>
      <c r="C12477" s="32" t="s">
        <v>33936</v>
      </c>
      <c r="D12477" s="32" t="s">
        <v>33937</v>
      </c>
    </row>
    <row r="12478" spans="2:4" x14ac:dyDescent="0.3">
      <c r="B12478" s="33" t="s">
        <v>33938</v>
      </c>
      <c r="C12478" s="32" t="s">
        <v>33939</v>
      </c>
      <c r="D12478" s="32" t="s">
        <v>33940</v>
      </c>
    </row>
    <row r="12479" spans="2:4" x14ac:dyDescent="0.3">
      <c r="B12479" s="33" t="s">
        <v>33941</v>
      </c>
      <c r="C12479" s="32" t="s">
        <v>33942</v>
      </c>
      <c r="D12479" s="32" t="s">
        <v>33943</v>
      </c>
    </row>
    <row r="12480" spans="2:4" x14ac:dyDescent="0.3">
      <c r="B12480" s="33" t="s">
        <v>33944</v>
      </c>
      <c r="C12480" s="32" t="s">
        <v>33945</v>
      </c>
      <c r="D12480" s="32" t="s">
        <v>33946</v>
      </c>
    </row>
    <row r="12481" spans="2:4" x14ac:dyDescent="0.3">
      <c r="B12481" s="33" t="s">
        <v>33941</v>
      </c>
      <c r="C12481" s="32" t="s">
        <v>33947</v>
      </c>
      <c r="D12481" s="32" t="s">
        <v>33948</v>
      </c>
    </row>
    <row r="12482" spans="2:4" x14ac:dyDescent="0.3">
      <c r="B12482" s="33" t="s">
        <v>33949</v>
      </c>
      <c r="C12482" s="32" t="s">
        <v>33950</v>
      </c>
      <c r="D12482" s="32" t="s">
        <v>33951</v>
      </c>
    </row>
    <row r="12483" spans="2:4" x14ac:dyDescent="0.3">
      <c r="B12483" s="33" t="s">
        <v>33952</v>
      </c>
      <c r="C12483" s="32" t="s">
        <v>33953</v>
      </c>
      <c r="D12483" s="32" t="s">
        <v>33954</v>
      </c>
    </row>
    <row r="12484" spans="2:4" x14ac:dyDescent="0.3">
      <c r="B12484" s="33" t="s">
        <v>33955</v>
      </c>
      <c r="C12484" s="32" t="s">
        <v>33956</v>
      </c>
      <c r="D12484" s="32" t="s">
        <v>33957</v>
      </c>
    </row>
    <row r="12485" spans="2:4" x14ac:dyDescent="0.3">
      <c r="B12485" s="33" t="s">
        <v>33958</v>
      </c>
      <c r="C12485" s="32" t="s">
        <v>33959</v>
      </c>
      <c r="D12485" s="32" t="s">
        <v>33960</v>
      </c>
    </row>
    <row r="12486" spans="2:4" x14ac:dyDescent="0.3">
      <c r="B12486" s="33" t="s">
        <v>33961</v>
      </c>
      <c r="C12486" s="32" t="s">
        <v>33962</v>
      </c>
      <c r="D12486" s="32" t="s">
        <v>33963</v>
      </c>
    </row>
    <row r="12487" spans="2:4" x14ac:dyDescent="0.3">
      <c r="B12487" s="33" t="s">
        <v>33964</v>
      </c>
      <c r="C12487" s="32" t="s">
        <v>33965</v>
      </c>
      <c r="D12487" s="32" t="s">
        <v>33966</v>
      </c>
    </row>
    <row r="12488" spans="2:4" x14ac:dyDescent="0.3">
      <c r="B12488" s="33" t="s">
        <v>33967</v>
      </c>
      <c r="C12488" s="32" t="s">
        <v>33968</v>
      </c>
      <c r="D12488" s="32" t="s">
        <v>33969</v>
      </c>
    </row>
    <row r="12489" spans="2:4" x14ac:dyDescent="0.3">
      <c r="B12489" s="33" t="s">
        <v>33970</v>
      </c>
      <c r="C12489" s="32" t="s">
        <v>33971</v>
      </c>
      <c r="D12489" s="32" t="s">
        <v>33972</v>
      </c>
    </row>
    <row r="12490" spans="2:4" x14ac:dyDescent="0.3">
      <c r="B12490" s="33" t="s">
        <v>33973</v>
      </c>
      <c r="C12490" s="32" t="s">
        <v>33974</v>
      </c>
      <c r="D12490" s="32" t="s">
        <v>33975</v>
      </c>
    </row>
    <row r="12491" spans="2:4" x14ac:dyDescent="0.3">
      <c r="B12491" s="33" t="s">
        <v>33976</v>
      </c>
      <c r="C12491" s="32" t="s">
        <v>33977</v>
      </c>
      <c r="D12491" s="32" t="s">
        <v>33978</v>
      </c>
    </row>
    <row r="12492" spans="2:4" x14ac:dyDescent="0.3">
      <c r="B12492" s="33" t="s">
        <v>33979</v>
      </c>
      <c r="C12492" s="32" t="s">
        <v>33980</v>
      </c>
      <c r="D12492" s="32" t="s">
        <v>33981</v>
      </c>
    </row>
    <row r="12493" spans="2:4" x14ac:dyDescent="0.3">
      <c r="B12493" s="33" t="s">
        <v>33840</v>
      </c>
      <c r="C12493" s="32" t="s">
        <v>37388</v>
      </c>
      <c r="D12493" s="32" t="s">
        <v>37389</v>
      </c>
    </row>
    <row r="12494" spans="2:4" x14ac:dyDescent="0.3">
      <c r="B12494" s="33" t="s">
        <v>33982</v>
      </c>
      <c r="C12494" s="32" t="s">
        <v>33983</v>
      </c>
      <c r="D12494" s="32" t="s">
        <v>33984</v>
      </c>
    </row>
    <row r="12495" spans="2:4" x14ac:dyDescent="0.3">
      <c r="B12495" s="33" t="s">
        <v>33985</v>
      </c>
      <c r="C12495" s="32" t="s">
        <v>33986</v>
      </c>
      <c r="D12495" s="32" t="s">
        <v>33987</v>
      </c>
    </row>
    <row r="12496" spans="2:4" x14ac:dyDescent="0.3">
      <c r="B12496" s="33" t="s">
        <v>33988</v>
      </c>
      <c r="C12496" s="32" t="s">
        <v>33989</v>
      </c>
      <c r="D12496" s="32" t="s">
        <v>33990</v>
      </c>
    </row>
    <row r="12497" spans="2:4" x14ac:dyDescent="0.3">
      <c r="B12497" s="33" t="s">
        <v>33988</v>
      </c>
      <c r="C12497" s="32" t="s">
        <v>33991</v>
      </c>
      <c r="D12497" s="32" t="s">
        <v>33992</v>
      </c>
    </row>
    <row r="12498" spans="2:4" x14ac:dyDescent="0.3">
      <c r="B12498" s="33" t="s">
        <v>33993</v>
      </c>
      <c r="C12498" s="32" t="s">
        <v>33994</v>
      </c>
      <c r="D12498" s="32" t="s">
        <v>33995</v>
      </c>
    </row>
    <row r="12499" spans="2:4" x14ac:dyDescent="0.3">
      <c r="B12499" s="33" t="s">
        <v>28743</v>
      </c>
      <c r="C12499" s="32" t="s">
        <v>33996</v>
      </c>
      <c r="D12499" s="32" t="s">
        <v>33997</v>
      </c>
    </row>
    <row r="12500" spans="2:4" x14ac:dyDescent="0.3">
      <c r="B12500" s="33" t="s">
        <v>33998</v>
      </c>
      <c r="C12500" s="32" t="s">
        <v>33999</v>
      </c>
      <c r="D12500" s="32" t="s">
        <v>34000</v>
      </c>
    </row>
    <row r="12501" spans="2:4" x14ac:dyDescent="0.3">
      <c r="B12501" s="33" t="s">
        <v>34001</v>
      </c>
      <c r="C12501" s="32" t="s">
        <v>34002</v>
      </c>
      <c r="D12501" s="32" t="s">
        <v>34003</v>
      </c>
    </row>
    <row r="12502" spans="2:4" x14ac:dyDescent="0.3">
      <c r="B12502" s="33" t="s">
        <v>34004</v>
      </c>
      <c r="C12502" s="32" t="s">
        <v>34005</v>
      </c>
      <c r="D12502" s="32" t="s">
        <v>34006</v>
      </c>
    </row>
    <row r="12503" spans="2:4" x14ac:dyDescent="0.3">
      <c r="B12503" s="33" t="s">
        <v>34007</v>
      </c>
      <c r="C12503" s="32" t="s">
        <v>34008</v>
      </c>
      <c r="D12503" s="32" t="s">
        <v>34009</v>
      </c>
    </row>
    <row r="12504" spans="2:4" x14ac:dyDescent="0.3">
      <c r="B12504" s="33" t="s">
        <v>34010</v>
      </c>
      <c r="C12504" s="32" t="s">
        <v>34011</v>
      </c>
      <c r="D12504" s="32" t="s">
        <v>34012</v>
      </c>
    </row>
    <row r="12505" spans="2:4" x14ac:dyDescent="0.3">
      <c r="B12505" s="33" t="s">
        <v>34013</v>
      </c>
      <c r="C12505" s="32" t="s">
        <v>34014</v>
      </c>
      <c r="D12505" s="32" t="s">
        <v>34015</v>
      </c>
    </row>
    <row r="12506" spans="2:4" x14ac:dyDescent="0.3">
      <c r="B12506" s="33" t="s">
        <v>34016</v>
      </c>
      <c r="C12506" s="32" t="s">
        <v>34017</v>
      </c>
      <c r="D12506" s="32" t="s">
        <v>34018</v>
      </c>
    </row>
    <row r="12507" spans="2:4" x14ac:dyDescent="0.3">
      <c r="B12507" s="33" t="s">
        <v>34019</v>
      </c>
      <c r="C12507" s="32" t="s">
        <v>34020</v>
      </c>
      <c r="D12507" s="32" t="s">
        <v>34021</v>
      </c>
    </row>
    <row r="12508" spans="2:4" x14ac:dyDescent="0.3">
      <c r="B12508" s="33" t="s">
        <v>34022</v>
      </c>
      <c r="C12508" s="32" t="s">
        <v>34023</v>
      </c>
      <c r="D12508" s="32" t="s">
        <v>34024</v>
      </c>
    </row>
    <row r="12509" spans="2:4" x14ac:dyDescent="0.3">
      <c r="B12509" s="33" t="s">
        <v>34025</v>
      </c>
      <c r="C12509" s="32" t="s">
        <v>34026</v>
      </c>
      <c r="D12509" s="32" t="s">
        <v>34027</v>
      </c>
    </row>
    <row r="12510" spans="2:4" x14ac:dyDescent="0.3">
      <c r="B12510" s="33" t="s">
        <v>34028</v>
      </c>
      <c r="C12510" s="32" t="s">
        <v>34029</v>
      </c>
      <c r="D12510" s="32" t="s">
        <v>34030</v>
      </c>
    </row>
    <row r="12511" spans="2:4" x14ac:dyDescent="0.3">
      <c r="B12511" s="33" t="s">
        <v>34031</v>
      </c>
      <c r="C12511" s="32" t="s">
        <v>34032</v>
      </c>
      <c r="D12511" s="32" t="s">
        <v>34033</v>
      </c>
    </row>
    <row r="12512" spans="2:4" x14ac:dyDescent="0.3">
      <c r="B12512" s="33" t="s">
        <v>33884</v>
      </c>
      <c r="C12512" s="32" t="s">
        <v>34034</v>
      </c>
      <c r="D12512" s="32" t="s">
        <v>34035</v>
      </c>
    </row>
    <row r="12513" spans="2:4" x14ac:dyDescent="0.3">
      <c r="B12513" s="33" t="s">
        <v>9087</v>
      </c>
      <c r="C12513" s="32" t="s">
        <v>34036</v>
      </c>
      <c r="D12513" s="32" t="s">
        <v>34037</v>
      </c>
    </row>
    <row r="12514" spans="2:4" x14ac:dyDescent="0.3">
      <c r="B12514" s="33" t="s">
        <v>34038</v>
      </c>
      <c r="C12514" s="32" t="s">
        <v>34039</v>
      </c>
      <c r="D12514" s="32" t="s">
        <v>34040</v>
      </c>
    </row>
    <row r="12515" spans="2:4" x14ac:dyDescent="0.3">
      <c r="B12515" s="33" t="s">
        <v>33911</v>
      </c>
      <c r="C12515" s="32" t="s">
        <v>34041</v>
      </c>
      <c r="D12515" s="32" t="s">
        <v>34042</v>
      </c>
    </row>
    <row r="12516" spans="2:4" x14ac:dyDescent="0.3">
      <c r="B12516" s="33" t="s">
        <v>34043</v>
      </c>
      <c r="C12516" s="32" t="s">
        <v>34044</v>
      </c>
      <c r="D12516" s="32" t="s">
        <v>34045</v>
      </c>
    </row>
    <row r="12517" spans="2:4" x14ac:dyDescent="0.3">
      <c r="B12517" s="33" t="s">
        <v>34046</v>
      </c>
      <c r="C12517" s="32" t="s">
        <v>34047</v>
      </c>
      <c r="D12517" s="32" t="s">
        <v>34048</v>
      </c>
    </row>
    <row r="12518" spans="2:4" x14ac:dyDescent="0.3">
      <c r="B12518" s="33" t="s">
        <v>34049</v>
      </c>
      <c r="C12518" s="32" t="s">
        <v>34050</v>
      </c>
      <c r="D12518" s="32" t="s">
        <v>34051</v>
      </c>
    </row>
    <row r="12519" spans="2:4" x14ac:dyDescent="0.3">
      <c r="B12519" s="33" t="s">
        <v>33860</v>
      </c>
      <c r="C12519" s="32" t="s">
        <v>34052</v>
      </c>
      <c r="D12519" s="32" t="s">
        <v>34053</v>
      </c>
    </row>
    <row r="12520" spans="2:4" x14ac:dyDescent="0.3">
      <c r="B12520" s="33" t="s">
        <v>33860</v>
      </c>
      <c r="C12520" s="32" t="s">
        <v>34054</v>
      </c>
      <c r="D12520" s="32" t="s">
        <v>34055</v>
      </c>
    </row>
    <row r="12521" spans="2:4" x14ac:dyDescent="0.3">
      <c r="B12521" s="33" t="s">
        <v>34056</v>
      </c>
      <c r="C12521" s="32" t="s">
        <v>34057</v>
      </c>
      <c r="D12521" s="32" t="s">
        <v>34056</v>
      </c>
    </row>
    <row r="12522" spans="2:4" x14ac:dyDescent="0.3">
      <c r="B12522" s="33" t="s">
        <v>34058</v>
      </c>
      <c r="C12522" s="32" t="s">
        <v>34059</v>
      </c>
      <c r="D12522" s="32" t="s">
        <v>34060</v>
      </c>
    </row>
    <row r="12523" spans="2:4" x14ac:dyDescent="0.3">
      <c r="B12523" s="33" t="s">
        <v>34061</v>
      </c>
      <c r="C12523" s="32" t="s">
        <v>34062</v>
      </c>
      <c r="D12523" s="32" t="s">
        <v>34063</v>
      </c>
    </row>
    <row r="12524" spans="2:4" x14ac:dyDescent="0.3">
      <c r="B12524" s="33" t="s">
        <v>34064</v>
      </c>
      <c r="C12524" s="32" t="s">
        <v>34065</v>
      </c>
      <c r="D12524" s="32" t="s">
        <v>34064</v>
      </c>
    </row>
    <row r="12525" spans="2:4" x14ac:dyDescent="0.3">
      <c r="B12525" s="33" t="s">
        <v>34066</v>
      </c>
      <c r="C12525" s="32" t="s">
        <v>34067</v>
      </c>
      <c r="D12525" s="32" t="s">
        <v>34068</v>
      </c>
    </row>
    <row r="12526" spans="2:4" x14ac:dyDescent="0.3">
      <c r="B12526" s="33" t="s">
        <v>34069</v>
      </c>
      <c r="C12526" s="32" t="s">
        <v>34070</v>
      </c>
      <c r="D12526" s="32" t="s">
        <v>34069</v>
      </c>
    </row>
    <row r="12527" spans="2:4" x14ac:dyDescent="0.3">
      <c r="B12527" s="33" t="s">
        <v>34071</v>
      </c>
      <c r="C12527" s="32" t="s">
        <v>34072</v>
      </c>
      <c r="D12527" s="32" t="s">
        <v>34073</v>
      </c>
    </row>
    <row r="12528" spans="2:4" x14ac:dyDescent="0.3">
      <c r="B12528" s="33" t="s">
        <v>34074</v>
      </c>
      <c r="C12528" s="32" t="s">
        <v>34075</v>
      </c>
      <c r="D12528" s="32" t="s">
        <v>34076</v>
      </c>
    </row>
    <row r="12529" spans="2:4" x14ac:dyDescent="0.3">
      <c r="B12529" s="33" t="s">
        <v>34077</v>
      </c>
      <c r="C12529" s="32" t="s">
        <v>34078</v>
      </c>
      <c r="D12529" s="32" t="s">
        <v>34079</v>
      </c>
    </row>
    <row r="12530" spans="2:4" x14ac:dyDescent="0.3">
      <c r="B12530" s="33" t="s">
        <v>34080</v>
      </c>
      <c r="C12530" s="32" t="s">
        <v>34081</v>
      </c>
      <c r="D12530" s="32" t="s">
        <v>34082</v>
      </c>
    </row>
    <row r="12531" spans="2:4" x14ac:dyDescent="0.3">
      <c r="B12531" s="33" t="s">
        <v>34083</v>
      </c>
      <c r="C12531" s="32" t="s">
        <v>34084</v>
      </c>
      <c r="D12531" s="32" t="s">
        <v>34085</v>
      </c>
    </row>
    <row r="12532" spans="2:4" x14ac:dyDescent="0.3">
      <c r="B12532" s="33" t="s">
        <v>34086</v>
      </c>
      <c r="C12532" s="32" t="s">
        <v>34087</v>
      </c>
      <c r="D12532" s="32" t="s">
        <v>34088</v>
      </c>
    </row>
    <row r="12533" spans="2:4" x14ac:dyDescent="0.3">
      <c r="B12533" s="33" t="s">
        <v>34089</v>
      </c>
      <c r="C12533" s="32" t="s">
        <v>34090</v>
      </c>
      <c r="D12533" s="32" t="s">
        <v>34091</v>
      </c>
    </row>
    <row r="12534" spans="2:4" x14ac:dyDescent="0.3">
      <c r="B12534" s="33" t="s">
        <v>34092</v>
      </c>
      <c r="C12534" s="32" t="s">
        <v>34093</v>
      </c>
      <c r="D12534" s="32" t="s">
        <v>34094</v>
      </c>
    </row>
    <row r="12535" spans="2:4" x14ac:dyDescent="0.3">
      <c r="B12535" s="33" t="s">
        <v>34095</v>
      </c>
      <c r="C12535" s="32" t="s">
        <v>34096</v>
      </c>
      <c r="D12535" s="32" t="s">
        <v>34097</v>
      </c>
    </row>
    <row r="12536" spans="2:4" x14ac:dyDescent="0.3">
      <c r="B12536" s="33" t="s">
        <v>34098</v>
      </c>
      <c r="C12536" s="32" t="s">
        <v>34099</v>
      </c>
      <c r="D12536" s="32" t="s">
        <v>34100</v>
      </c>
    </row>
    <row r="12537" spans="2:4" x14ac:dyDescent="0.3">
      <c r="B12537" s="33" t="s">
        <v>34101</v>
      </c>
      <c r="C12537" s="32" t="s">
        <v>34102</v>
      </c>
      <c r="D12537" s="32" t="s">
        <v>34103</v>
      </c>
    </row>
    <row r="12538" spans="2:4" x14ac:dyDescent="0.3">
      <c r="B12538" s="33" t="s">
        <v>34104</v>
      </c>
      <c r="C12538" s="32" t="s">
        <v>34105</v>
      </c>
      <c r="D12538" s="32" t="s">
        <v>34104</v>
      </c>
    </row>
    <row r="12539" spans="2:4" x14ac:dyDescent="0.3">
      <c r="B12539" s="33" t="s">
        <v>34106</v>
      </c>
      <c r="C12539" s="32" t="s">
        <v>34107</v>
      </c>
      <c r="D12539" s="32" t="s">
        <v>34108</v>
      </c>
    </row>
    <row r="12540" spans="2:4" x14ac:dyDescent="0.3">
      <c r="B12540" s="33" t="s">
        <v>34109</v>
      </c>
      <c r="C12540" s="32" t="s">
        <v>34110</v>
      </c>
      <c r="D12540" s="32" t="s">
        <v>34111</v>
      </c>
    </row>
    <row r="12541" spans="2:4" x14ac:dyDescent="0.3">
      <c r="B12541" s="33" t="s">
        <v>34112</v>
      </c>
      <c r="C12541" s="32" t="s">
        <v>34113</v>
      </c>
      <c r="D12541" s="32" t="s">
        <v>34112</v>
      </c>
    </row>
    <row r="12542" spans="2:4" x14ac:dyDescent="0.3">
      <c r="B12542" s="33" t="s">
        <v>11679</v>
      </c>
      <c r="C12542" s="32" t="s">
        <v>34114</v>
      </c>
      <c r="D12542" s="32" t="s">
        <v>34115</v>
      </c>
    </row>
    <row r="12543" spans="2:4" x14ac:dyDescent="0.3">
      <c r="B12543" s="33" t="s">
        <v>34116</v>
      </c>
      <c r="C12543" s="32" t="s">
        <v>34117</v>
      </c>
      <c r="D12543" s="32" t="s">
        <v>34118</v>
      </c>
    </row>
    <row r="12544" spans="2:4" x14ac:dyDescent="0.3">
      <c r="B12544" s="33" t="s">
        <v>34119</v>
      </c>
      <c r="C12544" s="32" t="s">
        <v>34120</v>
      </c>
      <c r="D12544" s="32" t="s">
        <v>34121</v>
      </c>
    </row>
    <row r="12545" spans="2:4" x14ac:dyDescent="0.3">
      <c r="B12545" s="33" t="s">
        <v>26461</v>
      </c>
      <c r="C12545" s="32" t="s">
        <v>34122</v>
      </c>
      <c r="D12545" s="32" t="s">
        <v>34123</v>
      </c>
    </row>
    <row r="12546" spans="2:4" x14ac:dyDescent="0.3">
      <c r="B12546" s="33" t="s">
        <v>34124</v>
      </c>
      <c r="C12546" s="32" t="s">
        <v>34125</v>
      </c>
      <c r="D12546" s="32" t="s">
        <v>34126</v>
      </c>
    </row>
    <row r="12547" spans="2:4" x14ac:dyDescent="0.3">
      <c r="B12547" s="33" t="s">
        <v>34127</v>
      </c>
      <c r="C12547" s="32" t="s">
        <v>34128</v>
      </c>
      <c r="D12547" s="32" t="s">
        <v>34129</v>
      </c>
    </row>
    <row r="12548" spans="2:4" x14ac:dyDescent="0.3">
      <c r="B12548" s="33" t="s">
        <v>34130</v>
      </c>
      <c r="C12548" s="32" t="s">
        <v>34131</v>
      </c>
      <c r="D12548" s="32" t="s">
        <v>34132</v>
      </c>
    </row>
    <row r="12549" spans="2:4" x14ac:dyDescent="0.3">
      <c r="B12549" s="33" t="s">
        <v>34133</v>
      </c>
      <c r="C12549" s="32" t="s">
        <v>34134</v>
      </c>
      <c r="D12549" s="32" t="s">
        <v>34135</v>
      </c>
    </row>
    <row r="12550" spans="2:4" x14ac:dyDescent="0.3">
      <c r="B12550" s="33" t="s">
        <v>34136</v>
      </c>
      <c r="C12550" s="32" t="s">
        <v>34137</v>
      </c>
      <c r="D12550" s="32" t="s">
        <v>34138</v>
      </c>
    </row>
    <row r="12551" spans="2:4" x14ac:dyDescent="0.3">
      <c r="B12551" s="33" t="s">
        <v>36907</v>
      </c>
      <c r="C12551" s="32" t="s">
        <v>36908</v>
      </c>
      <c r="D12551" s="32" t="s">
        <v>36909</v>
      </c>
    </row>
    <row r="12552" spans="2:4" x14ac:dyDescent="0.3">
      <c r="B12552" s="33" t="s">
        <v>9272</v>
      </c>
      <c r="C12552" s="32" t="s">
        <v>34139</v>
      </c>
      <c r="D12552" s="32" t="s">
        <v>34140</v>
      </c>
    </row>
    <row r="12553" spans="2:4" x14ac:dyDescent="0.3">
      <c r="B12553" s="33" t="s">
        <v>34141</v>
      </c>
      <c r="C12553" s="32" t="s">
        <v>34142</v>
      </c>
      <c r="D12553" s="32" t="s">
        <v>34143</v>
      </c>
    </row>
    <row r="12554" spans="2:4" x14ac:dyDescent="0.3">
      <c r="B12554" s="33" t="s">
        <v>34144</v>
      </c>
      <c r="C12554" s="32" t="s">
        <v>34145</v>
      </c>
      <c r="D12554" s="32" t="s">
        <v>34146</v>
      </c>
    </row>
    <row r="12555" spans="2:4" x14ac:dyDescent="0.3">
      <c r="B12555" s="33" t="s">
        <v>33792</v>
      </c>
      <c r="C12555" s="32" t="s">
        <v>34147</v>
      </c>
      <c r="D12555" s="32" t="s">
        <v>34148</v>
      </c>
    </row>
    <row r="12556" spans="2:4" x14ac:dyDescent="0.3">
      <c r="B12556" s="33" t="s">
        <v>34149</v>
      </c>
      <c r="C12556" s="32" t="s">
        <v>34150</v>
      </c>
      <c r="D12556" s="32" t="s">
        <v>34151</v>
      </c>
    </row>
    <row r="12557" spans="2:4" x14ac:dyDescent="0.3">
      <c r="B12557" s="33" t="s">
        <v>34152</v>
      </c>
      <c r="C12557" s="32" t="s">
        <v>34153</v>
      </c>
      <c r="D12557" s="32" t="s">
        <v>34154</v>
      </c>
    </row>
    <row r="12558" spans="2:4" x14ac:dyDescent="0.3">
      <c r="B12558" s="33" t="s">
        <v>34155</v>
      </c>
      <c r="C12558" s="32" t="s">
        <v>34156</v>
      </c>
      <c r="D12558" s="32" t="s">
        <v>34157</v>
      </c>
    </row>
    <row r="12559" spans="2:4" x14ac:dyDescent="0.3">
      <c r="B12559" s="33" t="s">
        <v>34144</v>
      </c>
      <c r="C12559" s="32" t="s">
        <v>34158</v>
      </c>
      <c r="D12559" s="32" t="s">
        <v>34144</v>
      </c>
    </row>
    <row r="12560" spans="2:4" x14ac:dyDescent="0.3">
      <c r="B12560" s="33" t="s">
        <v>34159</v>
      </c>
      <c r="C12560" s="32" t="s">
        <v>34160</v>
      </c>
      <c r="D12560" s="32" t="s">
        <v>34161</v>
      </c>
    </row>
    <row r="12561" spans="2:4" x14ac:dyDescent="0.3">
      <c r="B12561" s="33" t="s">
        <v>34162</v>
      </c>
      <c r="C12561" s="32" t="s">
        <v>34163</v>
      </c>
      <c r="D12561" s="32" t="s">
        <v>34164</v>
      </c>
    </row>
    <row r="12562" spans="2:4" x14ac:dyDescent="0.3">
      <c r="B12562" s="33" t="s">
        <v>34165</v>
      </c>
      <c r="C12562" s="32" t="s">
        <v>34166</v>
      </c>
      <c r="D12562" s="32" t="s">
        <v>34167</v>
      </c>
    </row>
    <row r="12563" spans="2:4" x14ac:dyDescent="0.3">
      <c r="B12563" s="33" t="s">
        <v>34168</v>
      </c>
      <c r="C12563" s="32" t="s">
        <v>34169</v>
      </c>
      <c r="D12563" s="32" t="s">
        <v>34170</v>
      </c>
    </row>
    <row r="12564" spans="2:4" x14ac:dyDescent="0.3">
      <c r="B12564" s="33" t="s">
        <v>34171</v>
      </c>
      <c r="C12564" s="32" t="s">
        <v>34172</v>
      </c>
      <c r="D12564" s="32" t="s">
        <v>34173</v>
      </c>
    </row>
    <row r="12565" spans="2:4" x14ac:dyDescent="0.3">
      <c r="B12565" s="33" t="s">
        <v>33683</v>
      </c>
      <c r="C12565" s="32" t="s">
        <v>34174</v>
      </c>
      <c r="D12565" s="32" t="s">
        <v>34175</v>
      </c>
    </row>
    <row r="12566" spans="2:4" x14ac:dyDescent="0.3">
      <c r="B12566" s="33" t="s">
        <v>34176</v>
      </c>
      <c r="C12566" s="32" t="s">
        <v>34177</v>
      </c>
      <c r="D12566" s="32" t="s">
        <v>34178</v>
      </c>
    </row>
    <row r="12567" spans="2:4" x14ac:dyDescent="0.3">
      <c r="B12567" s="33" t="s">
        <v>33683</v>
      </c>
      <c r="C12567" s="32" t="s">
        <v>34179</v>
      </c>
      <c r="D12567" s="32" t="s">
        <v>34180</v>
      </c>
    </row>
    <row r="12568" spans="2:4" x14ac:dyDescent="0.3">
      <c r="B12568" s="33" t="s">
        <v>34181</v>
      </c>
      <c r="C12568" s="32" t="s">
        <v>34182</v>
      </c>
      <c r="D12568" s="32" t="s">
        <v>34183</v>
      </c>
    </row>
    <row r="12569" spans="2:4" x14ac:dyDescent="0.3">
      <c r="B12569" s="33" t="s">
        <v>37428</v>
      </c>
      <c r="C12569" s="32" t="s">
        <v>37429</v>
      </c>
      <c r="D12569" s="32" t="s">
        <v>37430</v>
      </c>
    </row>
    <row r="12570" spans="2:4" x14ac:dyDescent="0.3">
      <c r="B12570" s="33" t="s">
        <v>34184</v>
      </c>
      <c r="C12570" s="32" t="s">
        <v>34185</v>
      </c>
      <c r="D12570" s="32" t="s">
        <v>34186</v>
      </c>
    </row>
    <row r="12571" spans="2:4" x14ac:dyDescent="0.3">
      <c r="B12571" s="33" t="s">
        <v>34187</v>
      </c>
      <c r="C12571" s="32" t="s">
        <v>34188</v>
      </c>
      <c r="D12571" s="32" t="s">
        <v>34189</v>
      </c>
    </row>
    <row r="12572" spans="2:4" x14ac:dyDescent="0.3">
      <c r="B12572" s="33" t="s">
        <v>34190</v>
      </c>
      <c r="C12572" s="32" t="s">
        <v>34191</v>
      </c>
      <c r="D12572" s="32" t="s">
        <v>34192</v>
      </c>
    </row>
    <row r="12573" spans="2:4" x14ac:dyDescent="0.3">
      <c r="B12573" s="33" t="s">
        <v>34193</v>
      </c>
      <c r="C12573" s="32" t="s">
        <v>34194</v>
      </c>
      <c r="D12573" s="32" t="s">
        <v>34195</v>
      </c>
    </row>
    <row r="12574" spans="2:4" x14ac:dyDescent="0.3">
      <c r="B12574" s="33" t="s">
        <v>34196</v>
      </c>
      <c r="C12574" s="32" t="s">
        <v>34197</v>
      </c>
      <c r="D12574" s="32" t="s">
        <v>34198</v>
      </c>
    </row>
    <row r="12575" spans="2:4" x14ac:dyDescent="0.3">
      <c r="B12575" s="33" t="s">
        <v>34196</v>
      </c>
      <c r="C12575" s="32" t="s">
        <v>34199</v>
      </c>
      <c r="D12575" s="32" t="s">
        <v>34200</v>
      </c>
    </row>
    <row r="12576" spans="2:4" x14ac:dyDescent="0.3">
      <c r="B12576" s="33" t="s">
        <v>2493</v>
      </c>
      <c r="C12576" s="32" t="s">
        <v>34201</v>
      </c>
      <c r="D12576" s="32" t="s">
        <v>34202</v>
      </c>
    </row>
    <row r="12577" spans="2:4" x14ac:dyDescent="0.3">
      <c r="B12577" s="33" t="s">
        <v>33709</v>
      </c>
      <c r="C12577" s="32" t="s">
        <v>34203</v>
      </c>
      <c r="D12577" s="32" t="s">
        <v>34204</v>
      </c>
    </row>
    <row r="12578" spans="2:4" x14ac:dyDescent="0.3">
      <c r="B12578" s="33" t="s">
        <v>34196</v>
      </c>
      <c r="C12578" s="32" t="s">
        <v>34205</v>
      </c>
      <c r="D12578" s="32" t="s">
        <v>34206</v>
      </c>
    </row>
    <row r="12579" spans="2:4" x14ac:dyDescent="0.3">
      <c r="B12579" s="33" t="s">
        <v>34207</v>
      </c>
      <c r="C12579" s="32" t="s">
        <v>34208</v>
      </c>
      <c r="D12579" s="32" t="s">
        <v>34209</v>
      </c>
    </row>
    <row r="12580" spans="2:4" x14ac:dyDescent="0.3">
      <c r="B12580" s="33" t="s">
        <v>34210</v>
      </c>
      <c r="C12580" s="32" t="s">
        <v>34211</v>
      </c>
      <c r="D12580" s="32" t="s">
        <v>34212</v>
      </c>
    </row>
    <row r="12581" spans="2:4" x14ac:dyDescent="0.3">
      <c r="B12581" s="33" t="s">
        <v>34168</v>
      </c>
      <c r="C12581" s="32" t="s">
        <v>34213</v>
      </c>
      <c r="D12581" s="32" t="s">
        <v>34214</v>
      </c>
    </row>
    <row r="12582" spans="2:4" x14ac:dyDescent="0.3">
      <c r="B12582" s="33" t="s">
        <v>34210</v>
      </c>
      <c r="C12582" s="32" t="s">
        <v>34215</v>
      </c>
      <c r="D12582" s="32" t="s">
        <v>34216</v>
      </c>
    </row>
    <row r="12583" spans="2:4" x14ac:dyDescent="0.3">
      <c r="B12583" s="33" t="s">
        <v>34217</v>
      </c>
      <c r="C12583" s="32" t="s">
        <v>34218</v>
      </c>
      <c r="D12583" s="32" t="s">
        <v>34219</v>
      </c>
    </row>
    <row r="12584" spans="2:4" x14ac:dyDescent="0.3">
      <c r="B12584" s="33" t="s">
        <v>34220</v>
      </c>
      <c r="C12584" s="32" t="s">
        <v>34221</v>
      </c>
      <c r="D12584" s="32" t="s">
        <v>34222</v>
      </c>
    </row>
    <row r="12585" spans="2:4" x14ac:dyDescent="0.3">
      <c r="B12585" s="33" t="s">
        <v>34223</v>
      </c>
      <c r="C12585" s="32" t="s">
        <v>34224</v>
      </c>
      <c r="D12585" s="32" t="s">
        <v>34225</v>
      </c>
    </row>
    <row r="12586" spans="2:4" x14ac:dyDescent="0.3">
      <c r="B12586" s="33" t="s">
        <v>34226</v>
      </c>
      <c r="C12586" s="32" t="s">
        <v>34227</v>
      </c>
      <c r="D12586" s="32" t="s">
        <v>34228</v>
      </c>
    </row>
    <row r="12587" spans="2:4" x14ac:dyDescent="0.3">
      <c r="B12587" s="33" t="s">
        <v>34229</v>
      </c>
      <c r="C12587" s="32" t="s">
        <v>34230</v>
      </c>
      <c r="D12587" s="32" t="s">
        <v>34231</v>
      </c>
    </row>
    <row r="12588" spans="2:4" x14ac:dyDescent="0.3">
      <c r="B12588" s="33" t="s">
        <v>34232</v>
      </c>
      <c r="C12588" s="32" t="s">
        <v>34233</v>
      </c>
      <c r="D12588" s="32" t="s">
        <v>34234</v>
      </c>
    </row>
    <row r="12589" spans="2:4" x14ac:dyDescent="0.3">
      <c r="B12589" s="33" t="s">
        <v>34235</v>
      </c>
      <c r="C12589" s="32" t="s">
        <v>34236</v>
      </c>
      <c r="D12589" s="32" t="s">
        <v>34237</v>
      </c>
    </row>
    <row r="12590" spans="2:4" x14ac:dyDescent="0.3">
      <c r="B12590" s="33" t="s">
        <v>34235</v>
      </c>
      <c r="C12590" s="32" t="s">
        <v>34238</v>
      </c>
      <c r="D12590" s="32" t="s">
        <v>34239</v>
      </c>
    </row>
    <row r="12591" spans="2:4" x14ac:dyDescent="0.3">
      <c r="B12591" s="33" t="s">
        <v>34235</v>
      </c>
      <c r="C12591" s="32" t="s">
        <v>34240</v>
      </c>
      <c r="D12591" s="32" t="s">
        <v>34241</v>
      </c>
    </row>
    <row r="12592" spans="2:4" x14ac:dyDescent="0.3">
      <c r="B12592" s="33" t="s">
        <v>34242</v>
      </c>
      <c r="C12592" s="32" t="s">
        <v>34243</v>
      </c>
      <c r="D12592" s="32" t="s">
        <v>34244</v>
      </c>
    </row>
    <row r="12593" spans="2:4" x14ac:dyDescent="0.3">
      <c r="B12593" s="33" t="s">
        <v>34245</v>
      </c>
      <c r="C12593" s="32" t="s">
        <v>34246</v>
      </c>
      <c r="D12593" s="32" t="s">
        <v>34247</v>
      </c>
    </row>
    <row r="12594" spans="2:4" x14ac:dyDescent="0.3">
      <c r="B12594" s="33" t="s">
        <v>34248</v>
      </c>
      <c r="C12594" s="32" t="s">
        <v>34249</v>
      </c>
      <c r="D12594" s="32" t="s">
        <v>34250</v>
      </c>
    </row>
    <row r="12595" spans="2:4" x14ac:dyDescent="0.3">
      <c r="B12595" s="33" t="s">
        <v>34251</v>
      </c>
      <c r="C12595" s="32" t="s">
        <v>34252</v>
      </c>
      <c r="D12595" s="32" t="s">
        <v>34253</v>
      </c>
    </row>
    <row r="12596" spans="2:4" x14ac:dyDescent="0.3">
      <c r="B12596" s="33" t="s">
        <v>37390</v>
      </c>
      <c r="C12596" s="32" t="s">
        <v>37391</v>
      </c>
      <c r="D12596" s="32" t="s">
        <v>37392</v>
      </c>
    </row>
    <row r="12597" spans="2:4" x14ac:dyDescent="0.3">
      <c r="B12597" s="33" t="s">
        <v>34254</v>
      </c>
      <c r="C12597" s="32" t="s">
        <v>34255</v>
      </c>
      <c r="D12597" s="32" t="s">
        <v>34256</v>
      </c>
    </row>
    <row r="12598" spans="2:4" x14ac:dyDescent="0.3">
      <c r="B12598" s="33" t="s">
        <v>19857</v>
      </c>
      <c r="C12598" s="32" t="s">
        <v>34257</v>
      </c>
      <c r="D12598" s="32" t="s">
        <v>34258</v>
      </c>
    </row>
    <row r="12599" spans="2:4" x14ac:dyDescent="0.3">
      <c r="B12599" s="33" t="s">
        <v>34259</v>
      </c>
      <c r="C12599" s="32" t="s">
        <v>34260</v>
      </c>
      <c r="D12599" s="32" t="s">
        <v>34261</v>
      </c>
    </row>
    <row r="12600" spans="2:4" x14ac:dyDescent="0.3">
      <c r="B12600" s="33" t="s">
        <v>34262</v>
      </c>
      <c r="C12600" s="32" t="s">
        <v>34263</v>
      </c>
      <c r="D12600" s="32" t="s">
        <v>34262</v>
      </c>
    </row>
    <row r="12601" spans="2:4" x14ac:dyDescent="0.3">
      <c r="B12601" s="33" t="s">
        <v>16821</v>
      </c>
      <c r="C12601" s="32" t="s">
        <v>34264</v>
      </c>
      <c r="D12601" s="32" t="s">
        <v>34265</v>
      </c>
    </row>
    <row r="12602" spans="2:4" x14ac:dyDescent="0.3">
      <c r="B12602" s="33" t="s">
        <v>34266</v>
      </c>
      <c r="C12602" s="32" t="s">
        <v>34267</v>
      </c>
      <c r="D12602" s="32" t="s">
        <v>34266</v>
      </c>
    </row>
    <row r="12603" spans="2:4" x14ac:dyDescent="0.3">
      <c r="B12603" s="33" t="s">
        <v>34268</v>
      </c>
      <c r="C12603" s="32" t="s">
        <v>34269</v>
      </c>
      <c r="D12603" s="32" t="s">
        <v>34270</v>
      </c>
    </row>
    <row r="12604" spans="2:4" x14ac:dyDescent="0.3">
      <c r="B12604" s="33" t="s">
        <v>34271</v>
      </c>
      <c r="C12604" s="32" t="s">
        <v>34272</v>
      </c>
      <c r="D12604" s="32" t="s">
        <v>34273</v>
      </c>
    </row>
    <row r="12605" spans="2:4" x14ac:dyDescent="0.3">
      <c r="B12605" s="33" t="s">
        <v>34274</v>
      </c>
      <c r="C12605" s="32" t="s">
        <v>34275</v>
      </c>
      <c r="D12605" s="32" t="s">
        <v>34276</v>
      </c>
    </row>
    <row r="12606" spans="2:4" x14ac:dyDescent="0.3">
      <c r="B12606" s="33" t="s">
        <v>34277</v>
      </c>
      <c r="C12606" s="32" t="s">
        <v>34278</v>
      </c>
      <c r="D12606" s="32" t="s">
        <v>34279</v>
      </c>
    </row>
    <row r="12607" spans="2:4" x14ac:dyDescent="0.3">
      <c r="B12607" s="33" t="s">
        <v>33884</v>
      </c>
      <c r="C12607" s="32" t="s">
        <v>34280</v>
      </c>
      <c r="D12607" s="32" t="s">
        <v>34281</v>
      </c>
    </row>
    <row r="12608" spans="2:4" x14ac:dyDescent="0.3">
      <c r="B12608" s="33" t="s">
        <v>3229</v>
      </c>
      <c r="C12608" s="32" t="s">
        <v>34282</v>
      </c>
      <c r="D12608" s="32" t="s">
        <v>34283</v>
      </c>
    </row>
    <row r="12609" spans="2:4" x14ac:dyDescent="0.3">
      <c r="B12609" s="33" t="s">
        <v>34284</v>
      </c>
      <c r="C12609" s="32" t="s">
        <v>34285</v>
      </c>
      <c r="D12609" s="32" t="s">
        <v>34286</v>
      </c>
    </row>
    <row r="12610" spans="2:4" x14ac:dyDescent="0.3">
      <c r="B12610" s="33" t="s">
        <v>33802</v>
      </c>
      <c r="C12610" s="32" t="s">
        <v>34287</v>
      </c>
      <c r="D12610" s="32" t="s">
        <v>34288</v>
      </c>
    </row>
    <row r="12611" spans="2:4" x14ac:dyDescent="0.3">
      <c r="B12611" s="33" t="s">
        <v>34289</v>
      </c>
      <c r="C12611" s="32" t="s">
        <v>34290</v>
      </c>
      <c r="D12611" s="32" t="s">
        <v>34291</v>
      </c>
    </row>
    <row r="12612" spans="2:4" x14ac:dyDescent="0.3">
      <c r="B12612" s="33" t="s">
        <v>34292</v>
      </c>
      <c r="C12612" s="32" t="s">
        <v>34293</v>
      </c>
      <c r="D12612" s="32" t="s">
        <v>34294</v>
      </c>
    </row>
    <row r="12613" spans="2:4" x14ac:dyDescent="0.3">
      <c r="B12613" s="33" t="s">
        <v>2864</v>
      </c>
      <c r="C12613" s="32" t="s">
        <v>34295</v>
      </c>
      <c r="D12613" s="32" t="s">
        <v>34296</v>
      </c>
    </row>
    <row r="12614" spans="2:4" x14ac:dyDescent="0.3">
      <c r="B12614" s="33" t="s">
        <v>2864</v>
      </c>
      <c r="C12614" s="32" t="s">
        <v>34297</v>
      </c>
      <c r="D12614" s="32" t="s">
        <v>34298</v>
      </c>
    </row>
    <row r="12615" spans="2:4" x14ac:dyDescent="0.3">
      <c r="B12615" s="33" t="s">
        <v>2864</v>
      </c>
      <c r="C12615" s="32" t="s">
        <v>34299</v>
      </c>
      <c r="D12615" s="32" t="s">
        <v>34300</v>
      </c>
    </row>
    <row r="12616" spans="2:4" x14ac:dyDescent="0.3">
      <c r="B12616" s="33" t="s">
        <v>2864</v>
      </c>
      <c r="C12616" s="32" t="s">
        <v>34301</v>
      </c>
      <c r="D12616" s="32" t="s">
        <v>34302</v>
      </c>
    </row>
    <row r="12617" spans="2:4" x14ac:dyDescent="0.3">
      <c r="B12617" s="33" t="s">
        <v>34303</v>
      </c>
      <c r="C12617" s="32" t="s">
        <v>34304</v>
      </c>
      <c r="D12617" s="32" t="s">
        <v>34305</v>
      </c>
    </row>
    <row r="12618" spans="2:4" x14ac:dyDescent="0.3">
      <c r="B12618" s="33" t="s">
        <v>2864</v>
      </c>
      <c r="C12618" s="32" t="s">
        <v>34306</v>
      </c>
      <c r="D12618" s="32" t="s">
        <v>34307</v>
      </c>
    </row>
    <row r="12619" spans="2:4" x14ac:dyDescent="0.3">
      <c r="B12619" s="33" t="s">
        <v>34308</v>
      </c>
      <c r="C12619" s="32" t="s">
        <v>34309</v>
      </c>
      <c r="D12619" s="32" t="s">
        <v>34310</v>
      </c>
    </row>
    <row r="12620" spans="2:4" x14ac:dyDescent="0.3">
      <c r="B12620" s="33" t="s">
        <v>5656</v>
      </c>
      <c r="C12620" s="32" t="s">
        <v>34311</v>
      </c>
      <c r="D12620" s="32" t="s">
        <v>34312</v>
      </c>
    </row>
    <row r="12621" spans="2:4" x14ac:dyDescent="0.3">
      <c r="B12621" s="33" t="s">
        <v>33802</v>
      </c>
      <c r="C12621" s="32" t="s">
        <v>34313</v>
      </c>
      <c r="D12621" s="32" t="s">
        <v>34314</v>
      </c>
    </row>
    <row r="12622" spans="2:4" x14ac:dyDescent="0.3">
      <c r="B12622" s="33" t="s">
        <v>33802</v>
      </c>
      <c r="C12622" s="32" t="s">
        <v>34315</v>
      </c>
      <c r="D12622" s="32" t="s">
        <v>34316</v>
      </c>
    </row>
    <row r="12623" spans="2:4" x14ac:dyDescent="0.3">
      <c r="B12623" s="33" t="s">
        <v>34317</v>
      </c>
      <c r="C12623" s="32" t="s">
        <v>34318</v>
      </c>
      <c r="D12623" s="32" t="s">
        <v>34319</v>
      </c>
    </row>
    <row r="12624" spans="2:4" x14ac:dyDescent="0.3">
      <c r="B12624" s="33" t="s">
        <v>33911</v>
      </c>
      <c r="C12624" s="32" t="s">
        <v>34320</v>
      </c>
      <c r="D12624" s="32" t="s">
        <v>34321</v>
      </c>
    </row>
    <row r="12625" spans="2:4" x14ac:dyDescent="0.3">
      <c r="B12625" s="33" t="s">
        <v>34322</v>
      </c>
      <c r="C12625" s="32" t="s">
        <v>34323</v>
      </c>
      <c r="D12625" s="32" t="s">
        <v>34324</v>
      </c>
    </row>
    <row r="12626" spans="2:4" x14ac:dyDescent="0.3">
      <c r="B12626" s="33" t="s">
        <v>34325</v>
      </c>
      <c r="C12626" s="32" t="s">
        <v>34326</v>
      </c>
      <c r="D12626" s="32" t="s">
        <v>34327</v>
      </c>
    </row>
    <row r="12627" spans="2:4" x14ac:dyDescent="0.3">
      <c r="B12627" s="33" t="s">
        <v>34328</v>
      </c>
      <c r="C12627" s="32" t="s">
        <v>34329</v>
      </c>
      <c r="D12627" s="32" t="s">
        <v>34330</v>
      </c>
    </row>
    <row r="12628" spans="2:4" x14ac:dyDescent="0.3">
      <c r="B12628" s="33" t="s">
        <v>34331</v>
      </c>
      <c r="C12628" s="32" t="s">
        <v>34332</v>
      </c>
      <c r="D12628" s="32" t="s">
        <v>34333</v>
      </c>
    </row>
    <row r="12629" spans="2:4" x14ac:dyDescent="0.3">
      <c r="B12629" s="33" t="s">
        <v>34334</v>
      </c>
      <c r="C12629" s="32" t="s">
        <v>34335</v>
      </c>
      <c r="D12629" s="32" t="s">
        <v>34336</v>
      </c>
    </row>
    <row r="12630" spans="2:4" x14ac:dyDescent="0.3">
      <c r="B12630" s="33" t="s">
        <v>34337</v>
      </c>
      <c r="C12630" s="32" t="s">
        <v>34338</v>
      </c>
      <c r="D12630" s="32" t="s">
        <v>34339</v>
      </c>
    </row>
    <row r="12631" spans="2:4" x14ac:dyDescent="0.3">
      <c r="B12631" s="33" t="s">
        <v>34340</v>
      </c>
      <c r="C12631" s="32" t="s">
        <v>34341</v>
      </c>
      <c r="D12631" s="32" t="s">
        <v>34342</v>
      </c>
    </row>
    <row r="12632" spans="2:4" x14ac:dyDescent="0.3">
      <c r="B12632" s="33" t="s">
        <v>766</v>
      </c>
      <c r="C12632" s="32" t="s">
        <v>34343</v>
      </c>
      <c r="D12632" s="32" t="s">
        <v>34344</v>
      </c>
    </row>
    <row r="12633" spans="2:4" x14ac:dyDescent="0.3">
      <c r="B12633" s="33" t="s">
        <v>34345</v>
      </c>
      <c r="C12633" s="32" t="s">
        <v>34346</v>
      </c>
      <c r="D12633" s="32" t="s">
        <v>34347</v>
      </c>
    </row>
    <row r="12634" spans="2:4" x14ac:dyDescent="0.3">
      <c r="B12634" s="33" t="s">
        <v>34348</v>
      </c>
      <c r="C12634" s="32" t="s">
        <v>34349</v>
      </c>
      <c r="D12634" s="32" t="s">
        <v>34350</v>
      </c>
    </row>
    <row r="12635" spans="2:4" x14ac:dyDescent="0.3">
      <c r="B12635" s="33" t="s">
        <v>34351</v>
      </c>
      <c r="C12635" s="32" t="s">
        <v>34352</v>
      </c>
      <c r="D12635" s="32" t="s">
        <v>34353</v>
      </c>
    </row>
    <row r="12636" spans="2:4" x14ac:dyDescent="0.3">
      <c r="B12636" s="33" t="s">
        <v>34354</v>
      </c>
      <c r="C12636" s="32" t="s">
        <v>34355</v>
      </c>
      <c r="D12636" s="32" t="s">
        <v>34356</v>
      </c>
    </row>
    <row r="12637" spans="2:4" x14ac:dyDescent="0.3">
      <c r="B12637" s="33" t="s">
        <v>34357</v>
      </c>
      <c r="C12637" s="32" t="s">
        <v>34358</v>
      </c>
      <c r="D12637" s="32" t="s">
        <v>34359</v>
      </c>
    </row>
    <row r="12638" spans="2:4" x14ac:dyDescent="0.3">
      <c r="B12638" s="33" t="s">
        <v>34360</v>
      </c>
      <c r="C12638" s="32" t="s">
        <v>34361</v>
      </c>
      <c r="D12638" s="32" t="s">
        <v>34362</v>
      </c>
    </row>
    <row r="12639" spans="2:4" x14ac:dyDescent="0.3">
      <c r="B12639" s="33" t="s">
        <v>34363</v>
      </c>
      <c r="C12639" s="32" t="s">
        <v>34364</v>
      </c>
      <c r="D12639" s="32" t="s">
        <v>34365</v>
      </c>
    </row>
    <row r="12640" spans="2:4" x14ac:dyDescent="0.3">
      <c r="B12640" s="33" t="s">
        <v>34366</v>
      </c>
      <c r="C12640" s="32" t="s">
        <v>34367</v>
      </c>
      <c r="D12640" s="32" t="s">
        <v>34368</v>
      </c>
    </row>
    <row r="12641" spans="2:4" x14ac:dyDescent="0.3">
      <c r="B12641" s="33" t="s">
        <v>34369</v>
      </c>
      <c r="C12641" s="32" t="s">
        <v>34370</v>
      </c>
      <c r="D12641" s="32" t="s">
        <v>34371</v>
      </c>
    </row>
    <row r="12642" spans="2:4" x14ac:dyDescent="0.3">
      <c r="B12642" s="33" t="s">
        <v>34369</v>
      </c>
      <c r="C12642" s="32" t="s">
        <v>34372</v>
      </c>
      <c r="D12642" s="32" t="s">
        <v>34373</v>
      </c>
    </row>
    <row r="12643" spans="2:4" x14ac:dyDescent="0.3">
      <c r="B12643" s="33" t="s">
        <v>34374</v>
      </c>
      <c r="C12643" s="32" t="s">
        <v>34375</v>
      </c>
      <c r="D12643" s="32" t="s">
        <v>34376</v>
      </c>
    </row>
    <row r="12644" spans="2:4" x14ac:dyDescent="0.3">
      <c r="B12644" s="33" t="s">
        <v>34377</v>
      </c>
      <c r="C12644" s="32" t="s">
        <v>34378</v>
      </c>
      <c r="D12644" s="32" t="s">
        <v>34379</v>
      </c>
    </row>
    <row r="12645" spans="2:4" x14ac:dyDescent="0.3">
      <c r="B12645" s="33" t="s">
        <v>34380</v>
      </c>
      <c r="C12645" s="32" t="s">
        <v>34381</v>
      </c>
      <c r="D12645" s="32" t="s">
        <v>34382</v>
      </c>
    </row>
    <row r="12646" spans="2:4" x14ac:dyDescent="0.3">
      <c r="B12646" s="33" t="s">
        <v>34383</v>
      </c>
      <c r="C12646" s="32" t="s">
        <v>34384</v>
      </c>
      <c r="D12646" s="32" t="s">
        <v>34385</v>
      </c>
    </row>
    <row r="12647" spans="2:4" x14ac:dyDescent="0.3">
      <c r="B12647" s="33" t="s">
        <v>34386</v>
      </c>
      <c r="C12647" s="32" t="s">
        <v>34387</v>
      </c>
      <c r="D12647" s="32" t="s">
        <v>34388</v>
      </c>
    </row>
    <row r="12648" spans="2:4" x14ac:dyDescent="0.3">
      <c r="B12648" s="33" t="s">
        <v>34389</v>
      </c>
      <c r="C12648" s="32" t="s">
        <v>34390</v>
      </c>
      <c r="D12648" s="32" t="s">
        <v>34391</v>
      </c>
    </row>
    <row r="12649" spans="2:4" x14ac:dyDescent="0.3">
      <c r="B12649" s="33" t="s">
        <v>34392</v>
      </c>
      <c r="C12649" s="32" t="s">
        <v>34393</v>
      </c>
      <c r="D12649" s="32" t="s">
        <v>34394</v>
      </c>
    </row>
    <row r="12650" spans="2:4" x14ac:dyDescent="0.3">
      <c r="B12650" s="33" t="s">
        <v>34395</v>
      </c>
      <c r="C12650" s="32" t="s">
        <v>34396</v>
      </c>
      <c r="D12650" s="32" t="s">
        <v>34397</v>
      </c>
    </row>
    <row r="12651" spans="2:4" x14ac:dyDescent="0.3">
      <c r="B12651" s="33" t="s">
        <v>34398</v>
      </c>
      <c r="C12651" s="32" t="s">
        <v>34399</v>
      </c>
      <c r="D12651" s="32" t="s">
        <v>34400</v>
      </c>
    </row>
    <row r="12652" spans="2:4" x14ac:dyDescent="0.3">
      <c r="B12652" s="33" t="s">
        <v>34401</v>
      </c>
      <c r="C12652" s="32" t="s">
        <v>34402</v>
      </c>
      <c r="D12652" s="32" t="s">
        <v>36910</v>
      </c>
    </row>
    <row r="12653" spans="2:4" x14ac:dyDescent="0.3">
      <c r="B12653" s="33" t="s">
        <v>34403</v>
      </c>
      <c r="C12653" s="32" t="s">
        <v>34404</v>
      </c>
      <c r="D12653" s="32" t="s">
        <v>34405</v>
      </c>
    </row>
    <row r="12654" spans="2:4" x14ac:dyDescent="0.3">
      <c r="B12654" s="33" t="s">
        <v>34406</v>
      </c>
      <c r="C12654" s="32" t="s">
        <v>34407</v>
      </c>
      <c r="D12654" s="32" t="s">
        <v>34408</v>
      </c>
    </row>
    <row r="12655" spans="2:4" x14ac:dyDescent="0.3">
      <c r="B12655" s="33" t="s">
        <v>12086</v>
      </c>
      <c r="C12655" s="32" t="s">
        <v>34409</v>
      </c>
      <c r="D12655" s="32" t="s">
        <v>12086</v>
      </c>
    </row>
    <row r="12656" spans="2:4" x14ac:dyDescent="0.3">
      <c r="B12656" s="33" t="s">
        <v>12086</v>
      </c>
      <c r="C12656" s="32" t="s">
        <v>34410</v>
      </c>
      <c r="D12656" s="32" t="s">
        <v>34411</v>
      </c>
    </row>
    <row r="12657" spans="2:4" x14ac:dyDescent="0.3">
      <c r="B12657" s="33" t="s">
        <v>12086</v>
      </c>
      <c r="C12657" s="32" t="s">
        <v>34412</v>
      </c>
      <c r="D12657" s="32" t="s">
        <v>34413</v>
      </c>
    </row>
    <row r="12658" spans="2:4" x14ac:dyDescent="0.3">
      <c r="B12658" s="33" t="s">
        <v>34406</v>
      </c>
      <c r="C12658" s="32" t="s">
        <v>34414</v>
      </c>
      <c r="D12658" s="32" t="s">
        <v>34415</v>
      </c>
    </row>
    <row r="12659" spans="2:4" x14ac:dyDescent="0.3">
      <c r="B12659" s="33" t="s">
        <v>34416</v>
      </c>
      <c r="C12659" s="32" t="s">
        <v>34417</v>
      </c>
      <c r="D12659" s="32" t="s">
        <v>34418</v>
      </c>
    </row>
    <row r="12660" spans="2:4" x14ac:dyDescent="0.3">
      <c r="B12660" s="33" t="s">
        <v>34416</v>
      </c>
      <c r="C12660" s="32" t="s">
        <v>34419</v>
      </c>
      <c r="D12660" s="32" t="s">
        <v>36911</v>
      </c>
    </row>
    <row r="12661" spans="2:4" x14ac:dyDescent="0.3">
      <c r="B12661" s="33" t="s">
        <v>34420</v>
      </c>
      <c r="C12661" s="32" t="s">
        <v>34421</v>
      </c>
      <c r="D12661" s="32" t="s">
        <v>34422</v>
      </c>
    </row>
    <row r="12662" spans="2:4" x14ac:dyDescent="0.3">
      <c r="B12662" s="33" t="s">
        <v>34423</v>
      </c>
      <c r="C12662" s="32" t="s">
        <v>34424</v>
      </c>
      <c r="D12662" s="32" t="s">
        <v>34425</v>
      </c>
    </row>
    <row r="12663" spans="2:4" x14ac:dyDescent="0.3">
      <c r="B12663" s="33" t="s">
        <v>34426</v>
      </c>
      <c r="C12663" s="32" t="s">
        <v>34427</v>
      </c>
      <c r="D12663" s="32" t="s">
        <v>34428</v>
      </c>
    </row>
    <row r="12664" spans="2:4" x14ac:dyDescent="0.3">
      <c r="B12664" s="33" t="s">
        <v>34429</v>
      </c>
      <c r="C12664" s="32" t="s">
        <v>34430</v>
      </c>
      <c r="D12664" s="32" t="s">
        <v>34431</v>
      </c>
    </row>
    <row r="12665" spans="2:4" x14ac:dyDescent="0.3">
      <c r="B12665" s="33" t="s">
        <v>34432</v>
      </c>
      <c r="C12665" s="32" t="s">
        <v>34433</v>
      </c>
      <c r="D12665" s="32" t="s">
        <v>34434</v>
      </c>
    </row>
    <row r="12666" spans="2:4" x14ac:dyDescent="0.3">
      <c r="B12666" s="33" t="s">
        <v>34435</v>
      </c>
      <c r="C12666" s="32" t="s">
        <v>34436</v>
      </c>
      <c r="D12666" s="32" t="s">
        <v>34437</v>
      </c>
    </row>
    <row r="12667" spans="2:4" x14ac:dyDescent="0.3">
      <c r="B12667" s="33" t="s">
        <v>34438</v>
      </c>
      <c r="C12667" s="32" t="s">
        <v>34439</v>
      </c>
      <c r="D12667" s="32" t="s">
        <v>34440</v>
      </c>
    </row>
    <row r="12668" spans="2:4" x14ac:dyDescent="0.3">
      <c r="B12668" s="33" t="s">
        <v>34441</v>
      </c>
      <c r="C12668" s="32" t="s">
        <v>34442</v>
      </c>
      <c r="D12668" s="32" t="s">
        <v>34443</v>
      </c>
    </row>
    <row r="12669" spans="2:4" x14ac:dyDescent="0.3">
      <c r="B12669" s="33" t="s">
        <v>34444</v>
      </c>
      <c r="C12669" s="32" t="s">
        <v>34445</v>
      </c>
      <c r="D12669" s="32" t="s">
        <v>34446</v>
      </c>
    </row>
    <row r="12670" spans="2:4" x14ac:dyDescent="0.3">
      <c r="B12670" s="33" t="s">
        <v>34447</v>
      </c>
      <c r="C12670" s="32" t="s">
        <v>34448</v>
      </c>
      <c r="D12670" s="32" t="s">
        <v>34449</v>
      </c>
    </row>
    <row r="12671" spans="2:4" x14ac:dyDescent="0.3">
      <c r="B12671" s="33" t="s">
        <v>34447</v>
      </c>
      <c r="C12671" s="32" t="s">
        <v>34450</v>
      </c>
      <c r="D12671" s="32" t="s">
        <v>34451</v>
      </c>
    </row>
    <row r="12672" spans="2:4" x14ac:dyDescent="0.3">
      <c r="B12672" s="33" t="s">
        <v>34452</v>
      </c>
      <c r="C12672" s="32" t="s">
        <v>34453</v>
      </c>
      <c r="D12672" s="32" t="s">
        <v>34454</v>
      </c>
    </row>
    <row r="12673" spans="2:4" x14ac:dyDescent="0.3">
      <c r="B12673" s="33" t="s">
        <v>34455</v>
      </c>
      <c r="C12673" s="32" t="s">
        <v>34456</v>
      </c>
      <c r="D12673" s="32" t="s">
        <v>34457</v>
      </c>
    </row>
    <row r="12674" spans="2:4" x14ac:dyDescent="0.3">
      <c r="B12674" s="33" t="s">
        <v>34458</v>
      </c>
      <c r="C12674" s="32" t="s">
        <v>34459</v>
      </c>
      <c r="D12674" s="32" t="s">
        <v>34460</v>
      </c>
    </row>
    <row r="12675" spans="2:4" x14ac:dyDescent="0.3">
      <c r="B12675" s="33" t="s">
        <v>34461</v>
      </c>
      <c r="C12675" s="32" t="s">
        <v>34462</v>
      </c>
      <c r="D12675" s="32" t="s">
        <v>34463</v>
      </c>
    </row>
    <row r="12676" spans="2:4" x14ac:dyDescent="0.3">
      <c r="B12676" s="33" t="s">
        <v>34464</v>
      </c>
      <c r="C12676" s="32" t="s">
        <v>34465</v>
      </c>
      <c r="D12676" s="32" t="s">
        <v>34466</v>
      </c>
    </row>
    <row r="12677" spans="2:4" x14ac:dyDescent="0.3">
      <c r="B12677" s="33" t="s">
        <v>34467</v>
      </c>
      <c r="C12677" s="32" t="s">
        <v>34468</v>
      </c>
      <c r="D12677" s="32" t="s">
        <v>34469</v>
      </c>
    </row>
    <row r="12678" spans="2:4" x14ac:dyDescent="0.3">
      <c r="B12678" s="33" t="s">
        <v>34470</v>
      </c>
      <c r="C12678" s="32" t="s">
        <v>34471</v>
      </c>
      <c r="D12678" s="32" t="s">
        <v>34472</v>
      </c>
    </row>
    <row r="12679" spans="2:4" x14ac:dyDescent="0.3">
      <c r="B12679" s="33" t="s">
        <v>34473</v>
      </c>
      <c r="C12679" s="32" t="s">
        <v>34474</v>
      </c>
      <c r="D12679" s="32" t="s">
        <v>34473</v>
      </c>
    </row>
    <row r="12680" spans="2:4" x14ac:dyDescent="0.3">
      <c r="B12680" s="33" t="s">
        <v>34475</v>
      </c>
      <c r="C12680" s="32" t="s">
        <v>34476</v>
      </c>
      <c r="D12680" s="32" t="s">
        <v>34477</v>
      </c>
    </row>
    <row r="12681" spans="2:4" x14ac:dyDescent="0.3">
      <c r="B12681" s="33" t="s">
        <v>34478</v>
      </c>
      <c r="C12681" s="32" t="s">
        <v>34479</v>
      </c>
      <c r="D12681" s="32" t="s">
        <v>34480</v>
      </c>
    </row>
    <row r="12682" spans="2:4" x14ac:dyDescent="0.3">
      <c r="B12682" s="33" t="s">
        <v>34481</v>
      </c>
      <c r="C12682" s="32" t="s">
        <v>34482</v>
      </c>
      <c r="D12682" s="32" t="s">
        <v>34483</v>
      </c>
    </row>
    <row r="12683" spans="2:4" x14ac:dyDescent="0.3">
      <c r="B12683" s="33" t="s">
        <v>34484</v>
      </c>
      <c r="C12683" s="32" t="s">
        <v>34485</v>
      </c>
      <c r="D12683" s="32" t="s">
        <v>34486</v>
      </c>
    </row>
    <row r="12684" spans="2:4" x14ac:dyDescent="0.3">
      <c r="B12684" s="33" t="s">
        <v>34487</v>
      </c>
      <c r="C12684" s="32" t="s">
        <v>34488</v>
      </c>
      <c r="D12684" s="32" t="s">
        <v>34489</v>
      </c>
    </row>
    <row r="12685" spans="2:4" x14ac:dyDescent="0.3">
      <c r="B12685" s="33" t="s">
        <v>34490</v>
      </c>
      <c r="C12685" s="32" t="s">
        <v>34491</v>
      </c>
      <c r="D12685" s="32" t="s">
        <v>34492</v>
      </c>
    </row>
    <row r="12686" spans="2:4" x14ac:dyDescent="0.3">
      <c r="B12686" s="33" t="s">
        <v>34493</v>
      </c>
      <c r="C12686" s="32" t="s">
        <v>34494</v>
      </c>
      <c r="D12686" s="32" t="s">
        <v>34495</v>
      </c>
    </row>
    <row r="12687" spans="2:4" x14ac:dyDescent="0.3">
      <c r="B12687" s="33" t="s">
        <v>34496</v>
      </c>
      <c r="C12687" s="32" t="s">
        <v>34497</v>
      </c>
      <c r="D12687" s="32" t="s">
        <v>34498</v>
      </c>
    </row>
    <row r="12688" spans="2:4" x14ac:dyDescent="0.3">
      <c r="B12688" s="33" t="s">
        <v>34499</v>
      </c>
      <c r="C12688" s="32" t="s">
        <v>34500</v>
      </c>
      <c r="D12688" s="32" t="s">
        <v>34501</v>
      </c>
    </row>
    <row r="12689" spans="2:4" x14ac:dyDescent="0.3">
      <c r="B12689" s="33" t="s">
        <v>34502</v>
      </c>
      <c r="C12689" s="32" t="s">
        <v>34503</v>
      </c>
      <c r="D12689" s="32" t="s">
        <v>34504</v>
      </c>
    </row>
    <row r="12690" spans="2:4" x14ac:dyDescent="0.3">
      <c r="B12690" s="33" t="s">
        <v>34505</v>
      </c>
      <c r="C12690" s="32" t="s">
        <v>34506</v>
      </c>
      <c r="D12690" s="32" t="s">
        <v>34507</v>
      </c>
    </row>
    <row r="12691" spans="2:4" x14ac:dyDescent="0.3">
      <c r="B12691" s="33" t="s">
        <v>34508</v>
      </c>
      <c r="C12691" s="32" t="s">
        <v>34509</v>
      </c>
      <c r="D12691" s="32" t="s">
        <v>34510</v>
      </c>
    </row>
    <row r="12692" spans="2:4" x14ac:dyDescent="0.3">
      <c r="B12692" s="33" t="s">
        <v>34511</v>
      </c>
      <c r="C12692" s="32" t="s">
        <v>34512</v>
      </c>
      <c r="D12692" s="32" t="s">
        <v>34513</v>
      </c>
    </row>
    <row r="12693" spans="2:4" x14ac:dyDescent="0.3">
      <c r="B12693" s="33" t="s">
        <v>34514</v>
      </c>
      <c r="C12693" s="32" t="s">
        <v>34515</v>
      </c>
      <c r="D12693" s="32" t="s">
        <v>34516</v>
      </c>
    </row>
    <row r="12694" spans="2:4" x14ac:dyDescent="0.3">
      <c r="B12694" s="33" t="s">
        <v>34517</v>
      </c>
      <c r="C12694" s="32" t="s">
        <v>34518</v>
      </c>
      <c r="D12694" s="32" t="s">
        <v>34519</v>
      </c>
    </row>
    <row r="12695" spans="2:4" x14ac:dyDescent="0.3">
      <c r="B12695" s="33" t="s">
        <v>26897</v>
      </c>
      <c r="C12695" s="32" t="s">
        <v>34520</v>
      </c>
      <c r="D12695" s="32" t="s">
        <v>34521</v>
      </c>
    </row>
    <row r="12696" spans="2:4" x14ac:dyDescent="0.3">
      <c r="B12696" s="33" t="s">
        <v>34522</v>
      </c>
      <c r="C12696" s="32" t="s">
        <v>34523</v>
      </c>
      <c r="D12696" s="32" t="s">
        <v>34524</v>
      </c>
    </row>
    <row r="12697" spans="2:4" x14ac:dyDescent="0.3">
      <c r="B12697" s="33" t="s">
        <v>34525</v>
      </c>
      <c r="C12697" s="32" t="s">
        <v>34526</v>
      </c>
      <c r="D12697" s="32" t="s">
        <v>34527</v>
      </c>
    </row>
    <row r="12698" spans="2:4" x14ac:dyDescent="0.3">
      <c r="B12698" s="33" t="s">
        <v>34525</v>
      </c>
      <c r="C12698" s="32" t="s">
        <v>34528</v>
      </c>
      <c r="D12698" s="32" t="s">
        <v>34529</v>
      </c>
    </row>
    <row r="12699" spans="2:4" x14ac:dyDescent="0.3">
      <c r="B12699" s="33" t="s">
        <v>34530</v>
      </c>
      <c r="C12699" s="32" t="s">
        <v>34531</v>
      </c>
      <c r="D12699" s="32" t="s">
        <v>34532</v>
      </c>
    </row>
    <row r="12700" spans="2:4" x14ac:dyDescent="0.3">
      <c r="B12700" s="33" t="s">
        <v>34533</v>
      </c>
      <c r="C12700" s="32" t="s">
        <v>34534</v>
      </c>
      <c r="D12700" s="32" t="s">
        <v>34535</v>
      </c>
    </row>
    <row r="12701" spans="2:4" x14ac:dyDescent="0.3">
      <c r="B12701" s="33" t="s">
        <v>34536</v>
      </c>
      <c r="C12701" s="32" t="s">
        <v>34537</v>
      </c>
      <c r="D12701" s="32" t="s">
        <v>34538</v>
      </c>
    </row>
    <row r="12702" spans="2:4" x14ac:dyDescent="0.3">
      <c r="B12702" s="33" t="s">
        <v>34539</v>
      </c>
      <c r="C12702" s="32" t="s">
        <v>34540</v>
      </c>
      <c r="D12702" s="32" t="s">
        <v>34541</v>
      </c>
    </row>
    <row r="12703" spans="2:4" x14ac:dyDescent="0.3">
      <c r="B12703" s="33" t="s">
        <v>34542</v>
      </c>
      <c r="C12703" s="32" t="s">
        <v>34543</v>
      </c>
      <c r="D12703" s="32" t="s">
        <v>34544</v>
      </c>
    </row>
    <row r="12704" spans="2:4" x14ac:dyDescent="0.3">
      <c r="B12704" s="33" t="s">
        <v>34545</v>
      </c>
      <c r="C12704" s="32" t="s">
        <v>34546</v>
      </c>
      <c r="D12704" s="32" t="s">
        <v>34547</v>
      </c>
    </row>
    <row r="12705" spans="2:4" x14ac:dyDescent="0.3">
      <c r="B12705" s="33" t="s">
        <v>34548</v>
      </c>
      <c r="C12705" s="32" t="s">
        <v>34549</v>
      </c>
      <c r="D12705" s="32" t="s">
        <v>34550</v>
      </c>
    </row>
    <row r="12706" spans="2:4" x14ac:dyDescent="0.3">
      <c r="B12706" s="33" t="s">
        <v>34551</v>
      </c>
      <c r="C12706" s="32" t="s">
        <v>34552</v>
      </c>
      <c r="D12706" s="32" t="s">
        <v>34553</v>
      </c>
    </row>
    <row r="12707" spans="2:4" x14ac:dyDescent="0.3">
      <c r="B12707" s="33" t="s">
        <v>34554</v>
      </c>
      <c r="C12707" s="32" t="s">
        <v>34555</v>
      </c>
      <c r="D12707" s="32" t="s">
        <v>34556</v>
      </c>
    </row>
    <row r="12708" spans="2:4" x14ac:dyDescent="0.3">
      <c r="B12708" s="33" t="s">
        <v>34557</v>
      </c>
      <c r="C12708" s="32" t="s">
        <v>34558</v>
      </c>
      <c r="D12708" s="32" t="s">
        <v>34559</v>
      </c>
    </row>
    <row r="12709" spans="2:4" x14ac:dyDescent="0.3">
      <c r="B12709" s="33" t="s">
        <v>34560</v>
      </c>
      <c r="C12709" s="32" t="s">
        <v>34561</v>
      </c>
      <c r="D12709" s="32" t="s">
        <v>34562</v>
      </c>
    </row>
    <row r="12710" spans="2:4" x14ac:dyDescent="0.3">
      <c r="B12710" s="33" t="s">
        <v>34563</v>
      </c>
      <c r="C12710" s="32" t="s">
        <v>34564</v>
      </c>
      <c r="D12710" s="32" t="s">
        <v>34565</v>
      </c>
    </row>
    <row r="12711" spans="2:4" x14ac:dyDescent="0.3">
      <c r="B12711" s="33" t="s">
        <v>34566</v>
      </c>
      <c r="C12711" s="32" t="s">
        <v>34567</v>
      </c>
      <c r="D12711" s="32" t="s">
        <v>34568</v>
      </c>
    </row>
    <row r="12712" spans="2:4" x14ac:dyDescent="0.3">
      <c r="B12712" s="33" t="s">
        <v>34569</v>
      </c>
      <c r="C12712" s="32" t="s">
        <v>34570</v>
      </c>
      <c r="D12712" s="32" t="s">
        <v>34571</v>
      </c>
    </row>
    <row r="12713" spans="2:4" x14ac:dyDescent="0.3">
      <c r="B12713" s="33" t="s">
        <v>34572</v>
      </c>
      <c r="C12713" s="32" t="s">
        <v>34573</v>
      </c>
      <c r="D12713" s="32" t="s">
        <v>34574</v>
      </c>
    </row>
    <row r="12714" spans="2:4" x14ac:dyDescent="0.3">
      <c r="B12714" s="33" t="s">
        <v>34575</v>
      </c>
      <c r="C12714" s="32" t="s">
        <v>34576</v>
      </c>
      <c r="D12714" s="32" t="s">
        <v>34577</v>
      </c>
    </row>
    <row r="12715" spans="2:4" x14ac:dyDescent="0.3">
      <c r="B12715" s="33" t="s">
        <v>34578</v>
      </c>
      <c r="C12715" s="32" t="s">
        <v>34579</v>
      </c>
      <c r="D12715" s="32" t="s">
        <v>34580</v>
      </c>
    </row>
    <row r="12716" spans="2:4" x14ac:dyDescent="0.3">
      <c r="B12716" s="33" t="s">
        <v>34581</v>
      </c>
      <c r="C12716" s="32" t="s">
        <v>34582</v>
      </c>
      <c r="D12716" s="32" t="s">
        <v>34583</v>
      </c>
    </row>
    <row r="12717" spans="2:4" x14ac:dyDescent="0.3">
      <c r="B12717" s="33" t="s">
        <v>25137</v>
      </c>
      <c r="C12717" s="32" t="s">
        <v>34584</v>
      </c>
      <c r="D12717" s="32" t="s">
        <v>34585</v>
      </c>
    </row>
    <row r="12718" spans="2:4" x14ac:dyDescent="0.3">
      <c r="B12718" s="33" t="s">
        <v>34586</v>
      </c>
      <c r="C12718" s="32" t="s">
        <v>34587</v>
      </c>
      <c r="D12718" s="32" t="s">
        <v>37393</v>
      </c>
    </row>
    <row r="12719" spans="2:4" x14ac:dyDescent="0.3">
      <c r="B12719" s="33" t="s">
        <v>7069</v>
      </c>
      <c r="C12719" s="32" t="s">
        <v>34588</v>
      </c>
      <c r="D12719" s="32" t="s">
        <v>34589</v>
      </c>
    </row>
    <row r="12720" spans="2:4" x14ac:dyDescent="0.3">
      <c r="B12720" s="33" t="s">
        <v>34590</v>
      </c>
      <c r="C12720" s="32" t="s">
        <v>34591</v>
      </c>
      <c r="D12720" s="32" t="s">
        <v>34592</v>
      </c>
    </row>
    <row r="12721" spans="2:4" x14ac:dyDescent="0.3">
      <c r="B12721" s="33" t="s">
        <v>34593</v>
      </c>
      <c r="C12721" s="32" t="s">
        <v>34594</v>
      </c>
      <c r="D12721" s="32" t="s">
        <v>34595</v>
      </c>
    </row>
    <row r="12722" spans="2:4" x14ac:dyDescent="0.3">
      <c r="B12722" s="33" t="s">
        <v>34596</v>
      </c>
      <c r="C12722" s="32" t="s">
        <v>34597</v>
      </c>
      <c r="D12722" s="32" t="s">
        <v>34598</v>
      </c>
    </row>
    <row r="12723" spans="2:4" x14ac:dyDescent="0.3">
      <c r="B12723" s="33" t="s">
        <v>34599</v>
      </c>
      <c r="C12723" s="32" t="s">
        <v>34600</v>
      </c>
      <c r="D12723" s="32" t="s">
        <v>34601</v>
      </c>
    </row>
    <row r="12724" spans="2:4" x14ac:dyDescent="0.3">
      <c r="B12724" s="33" t="s">
        <v>34602</v>
      </c>
      <c r="C12724" s="32" t="s">
        <v>34603</v>
      </c>
      <c r="D12724" s="32" t="s">
        <v>34602</v>
      </c>
    </row>
    <row r="12725" spans="2:4" x14ac:dyDescent="0.3">
      <c r="B12725" s="33" t="s">
        <v>34604</v>
      </c>
      <c r="C12725" s="32" t="s">
        <v>34605</v>
      </c>
      <c r="D12725" s="32" t="s">
        <v>34606</v>
      </c>
    </row>
    <row r="12726" spans="2:4" x14ac:dyDescent="0.3">
      <c r="B12726" s="33" t="s">
        <v>34607</v>
      </c>
      <c r="C12726" s="32" t="s">
        <v>34608</v>
      </c>
      <c r="D12726" s="32" t="s">
        <v>34609</v>
      </c>
    </row>
    <row r="12727" spans="2:4" x14ac:dyDescent="0.3">
      <c r="B12727" s="33" t="s">
        <v>34610</v>
      </c>
      <c r="C12727" s="32" t="s">
        <v>34611</v>
      </c>
      <c r="D12727" s="32" t="s">
        <v>34612</v>
      </c>
    </row>
    <row r="12728" spans="2:4" x14ac:dyDescent="0.3">
      <c r="B12728" s="33" t="s">
        <v>34613</v>
      </c>
      <c r="C12728" s="32" t="s">
        <v>34614</v>
      </c>
      <c r="D12728" s="32" t="s">
        <v>34615</v>
      </c>
    </row>
    <row r="12729" spans="2:4" x14ac:dyDescent="0.3">
      <c r="B12729" s="33" t="s">
        <v>34616</v>
      </c>
      <c r="C12729" s="32" t="s">
        <v>34617</v>
      </c>
      <c r="D12729" s="32" t="s">
        <v>34618</v>
      </c>
    </row>
    <row r="12730" spans="2:4" x14ac:dyDescent="0.3">
      <c r="B12730" s="33" t="s">
        <v>34452</v>
      </c>
      <c r="C12730" s="32" t="s">
        <v>34619</v>
      </c>
      <c r="D12730" s="32" t="s">
        <v>34620</v>
      </c>
    </row>
    <row r="12731" spans="2:4" x14ac:dyDescent="0.3">
      <c r="B12731" s="33" t="s">
        <v>34621</v>
      </c>
      <c r="C12731" s="32" t="s">
        <v>34622</v>
      </c>
      <c r="D12731" s="32" t="s">
        <v>34623</v>
      </c>
    </row>
    <row r="12732" spans="2:4" x14ac:dyDescent="0.3">
      <c r="B12732" s="33" t="s">
        <v>34624</v>
      </c>
      <c r="C12732" s="32" t="s">
        <v>34625</v>
      </c>
      <c r="D12732" s="32" t="s">
        <v>34626</v>
      </c>
    </row>
    <row r="12733" spans="2:4" x14ac:dyDescent="0.3">
      <c r="B12733" s="33" t="s">
        <v>34627</v>
      </c>
      <c r="C12733" s="32" t="s">
        <v>34628</v>
      </c>
      <c r="D12733" s="32" t="s">
        <v>34629</v>
      </c>
    </row>
    <row r="12734" spans="2:4" x14ac:dyDescent="0.3">
      <c r="B12734" s="33" t="s">
        <v>34630</v>
      </c>
      <c r="C12734" s="32" t="s">
        <v>34631</v>
      </c>
      <c r="D12734" s="32" t="s">
        <v>34632</v>
      </c>
    </row>
    <row r="12735" spans="2:4" x14ac:dyDescent="0.3">
      <c r="B12735" s="33" t="s">
        <v>31990</v>
      </c>
      <c r="C12735" s="32" t="s">
        <v>34633</v>
      </c>
      <c r="D12735" s="32" t="s">
        <v>34634</v>
      </c>
    </row>
    <row r="12736" spans="2:4" x14ac:dyDescent="0.3">
      <c r="B12736" s="33" t="s">
        <v>34635</v>
      </c>
      <c r="C12736" s="32" t="s">
        <v>34636</v>
      </c>
      <c r="D12736" s="32" t="s">
        <v>34637</v>
      </c>
    </row>
    <row r="12737" spans="2:4" x14ac:dyDescent="0.3">
      <c r="B12737" s="33" t="s">
        <v>31990</v>
      </c>
      <c r="C12737" s="32" t="s">
        <v>34638</v>
      </c>
      <c r="D12737" s="32" t="s">
        <v>34639</v>
      </c>
    </row>
    <row r="12738" spans="2:4" x14ac:dyDescent="0.3">
      <c r="B12738" s="33" t="s">
        <v>34640</v>
      </c>
      <c r="C12738" s="32" t="s">
        <v>34641</v>
      </c>
      <c r="D12738" s="32" t="s">
        <v>34642</v>
      </c>
    </row>
    <row r="12739" spans="2:4" x14ac:dyDescent="0.3">
      <c r="B12739" s="33" t="s">
        <v>31990</v>
      </c>
      <c r="C12739" s="32" t="s">
        <v>34643</v>
      </c>
      <c r="D12739" s="32" t="s">
        <v>34644</v>
      </c>
    </row>
    <row r="12740" spans="2:4" x14ac:dyDescent="0.3">
      <c r="B12740" s="33" t="s">
        <v>31990</v>
      </c>
      <c r="C12740" s="32" t="s">
        <v>34645</v>
      </c>
      <c r="D12740" s="32" t="s">
        <v>34646</v>
      </c>
    </row>
    <row r="12741" spans="2:4" x14ac:dyDescent="0.3">
      <c r="B12741" s="33" t="s">
        <v>34647</v>
      </c>
      <c r="C12741" s="32" t="s">
        <v>34648</v>
      </c>
      <c r="D12741" s="32" t="s">
        <v>34649</v>
      </c>
    </row>
    <row r="12742" spans="2:4" x14ac:dyDescent="0.3">
      <c r="B12742" s="33" t="s">
        <v>34650</v>
      </c>
      <c r="C12742" s="32" t="s">
        <v>34651</v>
      </c>
      <c r="D12742" s="32" t="s">
        <v>34652</v>
      </c>
    </row>
    <row r="12743" spans="2:4" x14ac:dyDescent="0.3">
      <c r="B12743" s="33" t="s">
        <v>34653</v>
      </c>
      <c r="C12743" s="32" t="s">
        <v>34654</v>
      </c>
      <c r="D12743" s="32" t="s">
        <v>34655</v>
      </c>
    </row>
    <row r="12744" spans="2:4" x14ac:dyDescent="0.3">
      <c r="B12744" s="33" t="s">
        <v>34656</v>
      </c>
      <c r="C12744" s="32" t="s">
        <v>34657</v>
      </c>
      <c r="D12744" s="32" t="s">
        <v>34657</v>
      </c>
    </row>
    <row r="12745" spans="2:4" x14ac:dyDescent="0.3">
      <c r="B12745" s="33" t="s">
        <v>34658</v>
      </c>
      <c r="C12745" s="32" t="s">
        <v>34659</v>
      </c>
      <c r="D12745" s="32" t="s">
        <v>34660</v>
      </c>
    </row>
    <row r="12746" spans="2:4" x14ac:dyDescent="0.3">
      <c r="B12746" s="33" t="s">
        <v>34661</v>
      </c>
      <c r="C12746" s="32" t="s">
        <v>34662</v>
      </c>
      <c r="D12746" s="32" t="s">
        <v>34661</v>
      </c>
    </row>
    <row r="12747" spans="2:4" x14ac:dyDescent="0.3">
      <c r="B12747" s="33" t="s">
        <v>34663</v>
      </c>
      <c r="C12747" s="32" t="s">
        <v>34664</v>
      </c>
      <c r="D12747" s="32" t="s">
        <v>34665</v>
      </c>
    </row>
    <row r="12748" spans="2:4" x14ac:dyDescent="0.3">
      <c r="B12748" s="33" t="s">
        <v>34666</v>
      </c>
      <c r="C12748" s="32" t="s">
        <v>34667</v>
      </c>
      <c r="D12748" s="32" t="s">
        <v>34668</v>
      </c>
    </row>
    <row r="12749" spans="2:4" x14ac:dyDescent="0.3">
      <c r="B12749" s="33" t="s">
        <v>34669</v>
      </c>
      <c r="C12749" s="32" t="s">
        <v>34670</v>
      </c>
      <c r="D12749" s="32" t="s">
        <v>34671</v>
      </c>
    </row>
    <row r="12750" spans="2:4" x14ac:dyDescent="0.3">
      <c r="B12750" s="33" t="s">
        <v>34672</v>
      </c>
      <c r="C12750" s="32" t="s">
        <v>34673</v>
      </c>
      <c r="D12750" s="32" t="s">
        <v>34674</v>
      </c>
    </row>
    <row r="12751" spans="2:4" x14ac:dyDescent="0.3">
      <c r="B12751" s="33" t="s">
        <v>34675</v>
      </c>
      <c r="C12751" s="32" t="s">
        <v>34676</v>
      </c>
      <c r="D12751" s="32" t="s">
        <v>34677</v>
      </c>
    </row>
    <row r="12752" spans="2:4" x14ac:dyDescent="0.3">
      <c r="B12752" s="33" t="s">
        <v>34678</v>
      </c>
      <c r="C12752" s="32" t="s">
        <v>34679</v>
      </c>
      <c r="D12752" s="32" t="s">
        <v>34680</v>
      </c>
    </row>
    <row r="12753" spans="2:4" x14ac:dyDescent="0.3">
      <c r="B12753" s="33" t="s">
        <v>34681</v>
      </c>
      <c r="C12753" s="32" t="s">
        <v>34682</v>
      </c>
      <c r="D12753" s="32" t="s">
        <v>34683</v>
      </c>
    </row>
    <row r="12754" spans="2:4" x14ac:dyDescent="0.3">
      <c r="B12754" s="33" t="s">
        <v>34684</v>
      </c>
      <c r="C12754" s="32" t="s">
        <v>34685</v>
      </c>
      <c r="D12754" s="32" t="s">
        <v>34686</v>
      </c>
    </row>
    <row r="12755" spans="2:4" x14ac:dyDescent="0.3">
      <c r="B12755" s="33" t="s">
        <v>34687</v>
      </c>
      <c r="C12755" s="32" t="s">
        <v>34688</v>
      </c>
      <c r="D12755" s="32" t="s">
        <v>34689</v>
      </c>
    </row>
    <row r="12756" spans="2:4" x14ac:dyDescent="0.3">
      <c r="B12756" s="33" t="s">
        <v>34690</v>
      </c>
      <c r="C12756" s="32" t="s">
        <v>34691</v>
      </c>
      <c r="D12756" s="32" t="s">
        <v>34692</v>
      </c>
    </row>
    <row r="12757" spans="2:4" x14ac:dyDescent="0.3">
      <c r="B12757" s="33" t="s">
        <v>34693</v>
      </c>
      <c r="C12757" s="32" t="s">
        <v>34694</v>
      </c>
      <c r="D12757" s="32" t="s">
        <v>34695</v>
      </c>
    </row>
    <row r="12758" spans="2:4" x14ac:dyDescent="0.3">
      <c r="B12758" s="33" t="s">
        <v>34696</v>
      </c>
      <c r="C12758" s="32" t="s">
        <v>34697</v>
      </c>
      <c r="D12758" s="32" t="s">
        <v>34698</v>
      </c>
    </row>
    <row r="12759" spans="2:4" x14ac:dyDescent="0.3">
      <c r="B12759" s="33" t="s">
        <v>34699</v>
      </c>
      <c r="C12759" s="32" t="s">
        <v>34700</v>
      </c>
      <c r="D12759" s="32" t="s">
        <v>34701</v>
      </c>
    </row>
    <row r="12760" spans="2:4" x14ac:dyDescent="0.3">
      <c r="B12760" s="33" t="s">
        <v>34702</v>
      </c>
      <c r="C12760" s="32" t="s">
        <v>34703</v>
      </c>
      <c r="D12760" s="32" t="s">
        <v>34704</v>
      </c>
    </row>
    <row r="12761" spans="2:4" x14ac:dyDescent="0.3">
      <c r="B12761" s="33" t="s">
        <v>14250</v>
      </c>
      <c r="C12761" s="32" t="s">
        <v>34705</v>
      </c>
      <c r="D12761" s="32" t="s">
        <v>34706</v>
      </c>
    </row>
    <row r="12762" spans="2:4" x14ac:dyDescent="0.3">
      <c r="B12762" s="33" t="s">
        <v>34707</v>
      </c>
      <c r="C12762" s="32" t="s">
        <v>34708</v>
      </c>
      <c r="D12762" s="32" t="s">
        <v>34709</v>
      </c>
    </row>
    <row r="12763" spans="2:4" x14ac:dyDescent="0.3">
      <c r="B12763" s="33" t="s">
        <v>34710</v>
      </c>
      <c r="C12763" s="32" t="s">
        <v>34711</v>
      </c>
      <c r="D12763" s="32" t="s">
        <v>34710</v>
      </c>
    </row>
    <row r="12764" spans="2:4" x14ac:dyDescent="0.3">
      <c r="B12764" s="33" t="s">
        <v>34712</v>
      </c>
      <c r="C12764" s="32" t="s">
        <v>34713</v>
      </c>
      <c r="D12764" s="32" t="s">
        <v>34714</v>
      </c>
    </row>
    <row r="12765" spans="2:4" x14ac:dyDescent="0.3">
      <c r="B12765" s="33" t="s">
        <v>18324</v>
      </c>
      <c r="C12765" s="32" t="s">
        <v>34715</v>
      </c>
      <c r="D12765" s="32" t="s">
        <v>34716</v>
      </c>
    </row>
    <row r="12766" spans="2:4" x14ac:dyDescent="0.3">
      <c r="B12766" s="33" t="s">
        <v>34717</v>
      </c>
      <c r="C12766" s="32" t="s">
        <v>34718</v>
      </c>
      <c r="D12766" s="32" t="s">
        <v>34719</v>
      </c>
    </row>
    <row r="12767" spans="2:4" x14ac:dyDescent="0.3">
      <c r="B12767" s="33" t="s">
        <v>34581</v>
      </c>
      <c r="C12767" s="32" t="s">
        <v>34720</v>
      </c>
      <c r="D12767" s="32" t="s">
        <v>34721</v>
      </c>
    </row>
    <row r="12768" spans="2:4" x14ac:dyDescent="0.3">
      <c r="B12768" s="33" t="s">
        <v>34722</v>
      </c>
      <c r="C12768" s="32" t="s">
        <v>34723</v>
      </c>
      <c r="D12768" s="32" t="s">
        <v>34724</v>
      </c>
    </row>
    <row r="12769" spans="2:4" x14ac:dyDescent="0.3">
      <c r="B12769" s="33" t="s">
        <v>34725</v>
      </c>
      <c r="C12769" s="32" t="s">
        <v>34726</v>
      </c>
      <c r="D12769" s="32" t="s">
        <v>34727</v>
      </c>
    </row>
    <row r="12770" spans="2:4" x14ac:dyDescent="0.3">
      <c r="B12770" s="33" t="s">
        <v>34728</v>
      </c>
      <c r="C12770" s="32" t="s">
        <v>34729</v>
      </c>
      <c r="D12770" s="32" t="s">
        <v>34730</v>
      </c>
    </row>
    <row r="12771" spans="2:4" x14ac:dyDescent="0.3">
      <c r="B12771" s="33" t="s">
        <v>21945</v>
      </c>
      <c r="C12771" s="32" t="s">
        <v>34731</v>
      </c>
      <c r="D12771" s="32" t="s">
        <v>34732</v>
      </c>
    </row>
    <row r="12772" spans="2:4" x14ac:dyDescent="0.3">
      <c r="B12772" s="33" t="s">
        <v>34536</v>
      </c>
      <c r="C12772" s="32" t="s">
        <v>34733</v>
      </c>
      <c r="D12772" s="32" t="s">
        <v>34734</v>
      </c>
    </row>
    <row r="12773" spans="2:4" x14ac:dyDescent="0.3">
      <c r="B12773" s="33" t="s">
        <v>34735</v>
      </c>
      <c r="C12773" s="32" t="s">
        <v>34736</v>
      </c>
      <c r="D12773" s="32" t="s">
        <v>34737</v>
      </c>
    </row>
    <row r="12774" spans="2:4" x14ac:dyDescent="0.3">
      <c r="B12774" s="33" t="s">
        <v>34738</v>
      </c>
      <c r="C12774" s="32" t="s">
        <v>34739</v>
      </c>
      <c r="D12774" s="32" t="s">
        <v>34738</v>
      </c>
    </row>
    <row r="12775" spans="2:4" x14ac:dyDescent="0.3">
      <c r="B12775" s="33" t="s">
        <v>34740</v>
      </c>
      <c r="C12775" s="32" t="s">
        <v>34741</v>
      </c>
      <c r="D12775" s="32" t="s">
        <v>34742</v>
      </c>
    </row>
    <row r="12776" spans="2:4" x14ac:dyDescent="0.3">
      <c r="B12776" s="33" t="s">
        <v>34743</v>
      </c>
      <c r="C12776" s="32" t="s">
        <v>34744</v>
      </c>
      <c r="D12776" s="32" t="s">
        <v>34745</v>
      </c>
    </row>
    <row r="12777" spans="2:4" x14ac:dyDescent="0.3">
      <c r="B12777" s="33" t="s">
        <v>34746</v>
      </c>
      <c r="C12777" s="32" t="s">
        <v>34747</v>
      </c>
      <c r="D12777" s="32" t="s">
        <v>34746</v>
      </c>
    </row>
    <row r="12778" spans="2:4" x14ac:dyDescent="0.3">
      <c r="B12778" s="33" t="s">
        <v>34748</v>
      </c>
      <c r="C12778" s="32" t="s">
        <v>34749</v>
      </c>
      <c r="D12778" s="32" t="s">
        <v>34748</v>
      </c>
    </row>
    <row r="12779" spans="2:4" x14ac:dyDescent="0.3">
      <c r="B12779" s="33" t="s">
        <v>34750</v>
      </c>
      <c r="C12779" s="32" t="s">
        <v>34751</v>
      </c>
      <c r="D12779" s="32" t="s">
        <v>34750</v>
      </c>
    </row>
    <row r="12780" spans="2:4" x14ac:dyDescent="0.3">
      <c r="B12780" s="33" t="s">
        <v>34752</v>
      </c>
      <c r="C12780" s="32" t="s">
        <v>34753</v>
      </c>
      <c r="D12780" s="32" t="s">
        <v>34752</v>
      </c>
    </row>
    <row r="12781" spans="2:4" x14ac:dyDescent="0.3">
      <c r="B12781" s="33" t="s">
        <v>34752</v>
      </c>
      <c r="C12781" s="32" t="s">
        <v>34754</v>
      </c>
      <c r="D12781" s="32" t="s">
        <v>34755</v>
      </c>
    </row>
    <row r="12782" spans="2:4" x14ac:dyDescent="0.3">
      <c r="B12782" s="33" t="s">
        <v>34752</v>
      </c>
      <c r="C12782" s="32" t="s">
        <v>34756</v>
      </c>
      <c r="D12782" s="32" t="s">
        <v>34757</v>
      </c>
    </row>
    <row r="12783" spans="2:4" x14ac:dyDescent="0.3">
      <c r="B12783" s="33" t="s">
        <v>34758</v>
      </c>
      <c r="C12783" s="32" t="s">
        <v>34759</v>
      </c>
      <c r="D12783" s="32" t="s">
        <v>34760</v>
      </c>
    </row>
    <row r="12784" spans="2:4" x14ac:dyDescent="0.3">
      <c r="B12784" s="33" t="s">
        <v>34761</v>
      </c>
      <c r="C12784" s="32" t="s">
        <v>34762</v>
      </c>
      <c r="D12784" s="32" t="s">
        <v>34763</v>
      </c>
    </row>
    <row r="12785" spans="2:4" x14ac:dyDescent="0.3">
      <c r="B12785" s="33" t="s">
        <v>34764</v>
      </c>
      <c r="C12785" s="32" t="s">
        <v>34765</v>
      </c>
      <c r="D12785" s="32" t="s">
        <v>34766</v>
      </c>
    </row>
    <row r="12786" spans="2:4" x14ac:dyDescent="0.3">
      <c r="B12786" s="33" t="s">
        <v>34767</v>
      </c>
      <c r="C12786" s="32" t="s">
        <v>34768</v>
      </c>
      <c r="D12786" s="32" t="s">
        <v>34769</v>
      </c>
    </row>
    <row r="12787" spans="2:4" x14ac:dyDescent="0.3">
      <c r="B12787" s="33" t="s">
        <v>34770</v>
      </c>
      <c r="C12787" s="32" t="s">
        <v>34771</v>
      </c>
      <c r="D12787" s="32" t="s">
        <v>34772</v>
      </c>
    </row>
    <row r="12788" spans="2:4" x14ac:dyDescent="0.3">
      <c r="B12788" s="33" t="s">
        <v>34752</v>
      </c>
      <c r="C12788" s="32" t="s">
        <v>34773</v>
      </c>
      <c r="D12788" s="32" t="s">
        <v>34774</v>
      </c>
    </row>
    <row r="12789" spans="2:4" x14ac:dyDescent="0.3">
      <c r="B12789" s="33" t="s">
        <v>34775</v>
      </c>
      <c r="C12789" s="32" t="s">
        <v>34776</v>
      </c>
      <c r="D12789" s="32" t="s">
        <v>34777</v>
      </c>
    </row>
    <row r="12790" spans="2:4" x14ac:dyDescent="0.3">
      <c r="B12790" s="33" t="s">
        <v>34778</v>
      </c>
      <c r="C12790" s="32" t="s">
        <v>34779</v>
      </c>
      <c r="D12790" s="32" t="s">
        <v>34780</v>
      </c>
    </row>
    <row r="12791" spans="2:4" x14ac:dyDescent="0.3">
      <c r="B12791" s="33" t="s">
        <v>34781</v>
      </c>
      <c r="C12791" s="32" t="s">
        <v>34782</v>
      </c>
      <c r="D12791" s="32" t="s">
        <v>34783</v>
      </c>
    </row>
    <row r="12792" spans="2:4" x14ac:dyDescent="0.3">
      <c r="B12792" s="33" t="s">
        <v>34784</v>
      </c>
      <c r="C12792" s="32" t="s">
        <v>34785</v>
      </c>
      <c r="D12792" s="32" t="s">
        <v>34786</v>
      </c>
    </row>
    <row r="12793" spans="2:4" x14ac:dyDescent="0.3">
      <c r="B12793" s="33" t="s">
        <v>34787</v>
      </c>
      <c r="C12793" s="32" t="s">
        <v>34788</v>
      </c>
      <c r="D12793" s="32" t="s">
        <v>34787</v>
      </c>
    </row>
    <row r="12794" spans="2:4" x14ac:dyDescent="0.3">
      <c r="B12794" s="33" t="s">
        <v>34787</v>
      </c>
      <c r="C12794" s="32" t="s">
        <v>34789</v>
      </c>
      <c r="D12794" s="32" t="s">
        <v>34790</v>
      </c>
    </row>
    <row r="12795" spans="2:4" x14ac:dyDescent="0.3">
      <c r="B12795" s="33" t="s">
        <v>23594</v>
      </c>
      <c r="C12795" s="32" t="s">
        <v>34791</v>
      </c>
      <c r="D12795" s="32" t="s">
        <v>34792</v>
      </c>
    </row>
    <row r="12796" spans="2:4" x14ac:dyDescent="0.3">
      <c r="B12796" s="33" t="s">
        <v>34793</v>
      </c>
      <c r="C12796" s="32" t="s">
        <v>34794</v>
      </c>
      <c r="D12796" s="32" t="s">
        <v>34795</v>
      </c>
    </row>
    <row r="12797" spans="2:4" x14ac:dyDescent="0.3">
      <c r="B12797" s="33" t="s">
        <v>34796</v>
      </c>
      <c r="C12797" s="32" t="s">
        <v>34797</v>
      </c>
      <c r="D12797" s="32" t="s">
        <v>34798</v>
      </c>
    </row>
    <row r="12798" spans="2:4" x14ac:dyDescent="0.3">
      <c r="B12798" s="33" t="s">
        <v>34725</v>
      </c>
      <c r="C12798" s="32" t="s">
        <v>34799</v>
      </c>
      <c r="D12798" s="32" t="s">
        <v>34800</v>
      </c>
    </row>
    <row r="12799" spans="2:4" x14ac:dyDescent="0.3">
      <c r="B12799" s="33" t="s">
        <v>34752</v>
      </c>
      <c r="C12799" s="32" t="s">
        <v>34801</v>
      </c>
      <c r="D12799" s="32" t="s">
        <v>34802</v>
      </c>
    </row>
    <row r="12800" spans="2:4" x14ac:dyDescent="0.3">
      <c r="B12800" s="33" t="s">
        <v>34803</v>
      </c>
      <c r="C12800" s="32" t="s">
        <v>34804</v>
      </c>
      <c r="D12800" s="32" t="s">
        <v>34805</v>
      </c>
    </row>
    <row r="12801" spans="2:4" x14ac:dyDescent="0.3">
      <c r="B12801" s="33" t="s">
        <v>34806</v>
      </c>
      <c r="C12801" s="32" t="s">
        <v>34807</v>
      </c>
      <c r="D12801" s="32" t="s">
        <v>34808</v>
      </c>
    </row>
    <row r="12802" spans="2:4" x14ac:dyDescent="0.3">
      <c r="B12802" s="33" t="s">
        <v>34809</v>
      </c>
      <c r="C12802" s="32" t="s">
        <v>34810</v>
      </c>
      <c r="D12802" s="32" t="s">
        <v>34811</v>
      </c>
    </row>
    <row r="12803" spans="2:4" x14ac:dyDescent="0.3">
      <c r="B12803" s="33" t="s">
        <v>34653</v>
      </c>
      <c r="C12803" s="32" t="s">
        <v>34812</v>
      </c>
      <c r="D12803" s="32" t="s">
        <v>34813</v>
      </c>
    </row>
    <row r="12804" spans="2:4" x14ac:dyDescent="0.3">
      <c r="B12804" s="33" t="s">
        <v>9130</v>
      </c>
      <c r="C12804" s="32" t="s">
        <v>34814</v>
      </c>
      <c r="D12804" s="32" t="s">
        <v>34815</v>
      </c>
    </row>
    <row r="12805" spans="2:4" x14ac:dyDescent="0.3">
      <c r="B12805" s="33" t="s">
        <v>34816</v>
      </c>
      <c r="C12805" s="32" t="s">
        <v>34817</v>
      </c>
      <c r="D12805" s="32" t="s">
        <v>34818</v>
      </c>
    </row>
    <row r="12806" spans="2:4" x14ac:dyDescent="0.3">
      <c r="B12806" s="33" t="s">
        <v>34819</v>
      </c>
      <c r="C12806" s="32" t="s">
        <v>34820</v>
      </c>
      <c r="D12806" s="32" t="s">
        <v>34821</v>
      </c>
    </row>
    <row r="12807" spans="2:4" x14ac:dyDescent="0.3">
      <c r="B12807" s="33" t="s">
        <v>34822</v>
      </c>
      <c r="C12807" s="32" t="s">
        <v>34823</v>
      </c>
      <c r="D12807" s="32" t="s">
        <v>34824</v>
      </c>
    </row>
    <row r="12808" spans="2:4" x14ac:dyDescent="0.3">
      <c r="B12808" s="33" t="s">
        <v>34825</v>
      </c>
      <c r="C12808" s="32" t="s">
        <v>34826</v>
      </c>
      <c r="D12808" s="32" t="s">
        <v>34827</v>
      </c>
    </row>
    <row r="12809" spans="2:4" x14ac:dyDescent="0.3">
      <c r="B12809" s="33" t="s">
        <v>34828</v>
      </c>
      <c r="C12809" s="32" t="s">
        <v>34829</v>
      </c>
      <c r="D12809" s="32" t="s">
        <v>34830</v>
      </c>
    </row>
    <row r="12810" spans="2:4" x14ac:dyDescent="0.3">
      <c r="B12810" s="33" t="s">
        <v>34831</v>
      </c>
      <c r="C12810" s="32" t="s">
        <v>34832</v>
      </c>
      <c r="D12810" s="32" t="s">
        <v>34833</v>
      </c>
    </row>
    <row r="12811" spans="2:4" x14ac:dyDescent="0.3">
      <c r="B12811" s="33" t="s">
        <v>34834</v>
      </c>
      <c r="C12811" s="32" t="s">
        <v>34835</v>
      </c>
      <c r="D12811" s="32" t="s">
        <v>34836</v>
      </c>
    </row>
    <row r="12812" spans="2:4" x14ac:dyDescent="0.3">
      <c r="B12812" s="33" t="s">
        <v>34837</v>
      </c>
      <c r="C12812" s="32" t="s">
        <v>34838</v>
      </c>
      <c r="D12812" s="32" t="s">
        <v>34839</v>
      </c>
    </row>
    <row r="12813" spans="2:4" x14ac:dyDescent="0.3">
      <c r="B12813" s="33" t="s">
        <v>34840</v>
      </c>
      <c r="C12813" s="32" t="s">
        <v>34841</v>
      </c>
      <c r="D12813" s="32" t="s">
        <v>34842</v>
      </c>
    </row>
    <row r="12814" spans="2:4" x14ac:dyDescent="0.3">
      <c r="B12814" s="33" t="s">
        <v>34843</v>
      </c>
      <c r="C12814" s="32" t="s">
        <v>34844</v>
      </c>
      <c r="D12814" s="32" t="s">
        <v>34845</v>
      </c>
    </row>
    <row r="12815" spans="2:4" x14ac:dyDescent="0.3">
      <c r="B12815" s="33" t="s">
        <v>34846</v>
      </c>
      <c r="C12815" s="32" t="s">
        <v>34847</v>
      </c>
      <c r="D12815" s="32" t="s">
        <v>34848</v>
      </c>
    </row>
    <row r="12816" spans="2:4" x14ac:dyDescent="0.3">
      <c r="B12816" s="33" t="s">
        <v>34849</v>
      </c>
      <c r="C12816" s="32" t="s">
        <v>34850</v>
      </c>
      <c r="D12816" s="32" t="s">
        <v>34851</v>
      </c>
    </row>
    <row r="12817" spans="2:4" x14ac:dyDescent="0.3">
      <c r="B12817" s="33" t="s">
        <v>34852</v>
      </c>
      <c r="C12817" s="32" t="s">
        <v>34853</v>
      </c>
      <c r="D12817" s="32" t="s">
        <v>34854</v>
      </c>
    </row>
    <row r="12818" spans="2:4" x14ac:dyDescent="0.3">
      <c r="B12818" s="33" t="s">
        <v>34852</v>
      </c>
      <c r="C12818" s="32" t="s">
        <v>34855</v>
      </c>
      <c r="D12818" s="32" t="s">
        <v>34856</v>
      </c>
    </row>
    <row r="12819" spans="2:4" x14ac:dyDescent="0.3">
      <c r="B12819" s="33" t="s">
        <v>34852</v>
      </c>
      <c r="C12819" s="32" t="s">
        <v>34857</v>
      </c>
      <c r="D12819" s="32" t="s">
        <v>34858</v>
      </c>
    </row>
    <row r="12820" spans="2:4" x14ac:dyDescent="0.3">
      <c r="B12820" s="33" t="s">
        <v>34852</v>
      </c>
      <c r="C12820" s="32" t="s">
        <v>34859</v>
      </c>
      <c r="D12820" s="32" t="s">
        <v>34860</v>
      </c>
    </row>
    <row r="12821" spans="2:4" x14ac:dyDescent="0.3">
      <c r="B12821" s="33" t="s">
        <v>34861</v>
      </c>
      <c r="C12821" s="32" t="s">
        <v>34862</v>
      </c>
      <c r="D12821" s="32" t="s">
        <v>34863</v>
      </c>
    </row>
    <row r="12822" spans="2:4" x14ac:dyDescent="0.3">
      <c r="B12822" s="33" t="s">
        <v>34864</v>
      </c>
      <c r="C12822" s="32" t="s">
        <v>34865</v>
      </c>
      <c r="D12822" s="32" t="s">
        <v>34866</v>
      </c>
    </row>
    <row r="12823" spans="2:4" x14ac:dyDescent="0.3">
      <c r="B12823" s="33" t="s">
        <v>34867</v>
      </c>
      <c r="C12823" s="32" t="s">
        <v>34868</v>
      </c>
      <c r="D12823" s="32" t="s">
        <v>34869</v>
      </c>
    </row>
    <row r="12824" spans="2:4" x14ac:dyDescent="0.3">
      <c r="B12824" s="33" t="s">
        <v>34870</v>
      </c>
      <c r="C12824" s="32" t="s">
        <v>34871</v>
      </c>
      <c r="D12824" s="32" t="s">
        <v>34872</v>
      </c>
    </row>
    <row r="12825" spans="2:4" x14ac:dyDescent="0.3">
      <c r="B12825" s="33" t="s">
        <v>34873</v>
      </c>
      <c r="C12825" s="32" t="s">
        <v>34874</v>
      </c>
      <c r="D12825" s="32" t="s">
        <v>34875</v>
      </c>
    </row>
    <row r="12826" spans="2:4" x14ac:dyDescent="0.3">
      <c r="B12826" s="33" t="s">
        <v>34876</v>
      </c>
      <c r="C12826" s="32" t="s">
        <v>34877</v>
      </c>
      <c r="D12826" s="32" t="s">
        <v>34878</v>
      </c>
    </row>
    <row r="12827" spans="2:4" x14ac:dyDescent="0.3">
      <c r="B12827" s="33" t="s">
        <v>34879</v>
      </c>
      <c r="C12827" s="32" t="s">
        <v>34880</v>
      </c>
      <c r="D12827" s="32" t="s">
        <v>34881</v>
      </c>
    </row>
    <row r="12828" spans="2:4" x14ac:dyDescent="0.3">
      <c r="B12828" s="33" t="s">
        <v>17203</v>
      </c>
      <c r="C12828" s="32" t="s">
        <v>34882</v>
      </c>
      <c r="D12828" s="32" t="s">
        <v>34883</v>
      </c>
    </row>
    <row r="12829" spans="2:4" x14ac:dyDescent="0.3">
      <c r="B12829" s="33" t="s">
        <v>34884</v>
      </c>
      <c r="C12829" s="32" t="s">
        <v>34885</v>
      </c>
      <c r="D12829" s="32" t="s">
        <v>34886</v>
      </c>
    </row>
    <row r="12830" spans="2:4" x14ac:dyDescent="0.3">
      <c r="B12830" s="33" t="s">
        <v>12332</v>
      </c>
      <c r="C12830" s="32" t="s">
        <v>34887</v>
      </c>
      <c r="D12830" s="32" t="s">
        <v>34888</v>
      </c>
    </row>
    <row r="12831" spans="2:4" x14ac:dyDescent="0.3">
      <c r="B12831" s="33" t="s">
        <v>34889</v>
      </c>
      <c r="C12831" s="32" t="s">
        <v>34890</v>
      </c>
      <c r="D12831" s="32" t="s">
        <v>34891</v>
      </c>
    </row>
    <row r="12832" spans="2:4" x14ac:dyDescent="0.3">
      <c r="B12832" s="33" t="s">
        <v>34889</v>
      </c>
      <c r="C12832" s="32" t="s">
        <v>34892</v>
      </c>
      <c r="D12832" s="32" t="s">
        <v>34893</v>
      </c>
    </row>
    <row r="12833" spans="2:4" x14ac:dyDescent="0.3">
      <c r="B12833" s="33" t="s">
        <v>34894</v>
      </c>
      <c r="C12833" s="32" t="s">
        <v>34895</v>
      </c>
      <c r="D12833" s="32" t="s">
        <v>34896</v>
      </c>
    </row>
    <row r="12834" spans="2:4" x14ac:dyDescent="0.3">
      <c r="B12834" s="33" t="s">
        <v>34897</v>
      </c>
      <c r="C12834" s="32" t="s">
        <v>34898</v>
      </c>
      <c r="D12834" s="32" t="s">
        <v>34899</v>
      </c>
    </row>
    <row r="12835" spans="2:4" x14ac:dyDescent="0.3">
      <c r="B12835" s="33" t="s">
        <v>34900</v>
      </c>
      <c r="C12835" s="32" t="s">
        <v>34901</v>
      </c>
      <c r="D12835" s="32" t="s">
        <v>34902</v>
      </c>
    </row>
    <row r="12836" spans="2:4" x14ac:dyDescent="0.3">
      <c r="B12836" s="33" t="s">
        <v>34903</v>
      </c>
      <c r="C12836" s="32" t="s">
        <v>34904</v>
      </c>
      <c r="D12836" s="32" t="s">
        <v>34905</v>
      </c>
    </row>
    <row r="12837" spans="2:4" x14ac:dyDescent="0.3">
      <c r="B12837" s="33" t="s">
        <v>34906</v>
      </c>
      <c r="C12837" s="32" t="s">
        <v>34907</v>
      </c>
      <c r="D12837" s="32" t="s">
        <v>34908</v>
      </c>
    </row>
    <row r="12838" spans="2:4" x14ac:dyDescent="0.3">
      <c r="B12838" s="33" t="s">
        <v>34909</v>
      </c>
      <c r="C12838" s="32" t="s">
        <v>34910</v>
      </c>
      <c r="D12838" s="32" t="s">
        <v>34911</v>
      </c>
    </row>
    <row r="12839" spans="2:4" x14ac:dyDescent="0.3">
      <c r="B12839" s="33" t="s">
        <v>34912</v>
      </c>
      <c r="C12839" s="32" t="s">
        <v>34913</v>
      </c>
      <c r="D12839" s="32" t="s">
        <v>34914</v>
      </c>
    </row>
    <row r="12840" spans="2:4" x14ac:dyDescent="0.3">
      <c r="B12840" s="33" t="s">
        <v>34915</v>
      </c>
      <c r="C12840" s="32" t="s">
        <v>34916</v>
      </c>
      <c r="D12840" s="32" t="s">
        <v>34917</v>
      </c>
    </row>
    <row r="12841" spans="2:4" x14ac:dyDescent="0.3">
      <c r="B12841" s="33" t="s">
        <v>34918</v>
      </c>
      <c r="C12841" s="32" t="s">
        <v>34919</v>
      </c>
      <c r="D12841" s="32" t="s">
        <v>34920</v>
      </c>
    </row>
    <row r="12842" spans="2:4" x14ac:dyDescent="0.3">
      <c r="B12842" s="33" t="s">
        <v>22291</v>
      </c>
      <c r="C12842" s="32" t="s">
        <v>34921</v>
      </c>
      <c r="D12842" s="32" t="s">
        <v>34922</v>
      </c>
    </row>
    <row r="12843" spans="2:4" x14ac:dyDescent="0.3">
      <c r="B12843" s="33" t="s">
        <v>34923</v>
      </c>
      <c r="C12843" s="32" t="s">
        <v>34924</v>
      </c>
      <c r="D12843" s="32" t="s">
        <v>34925</v>
      </c>
    </row>
    <row r="12844" spans="2:4" x14ac:dyDescent="0.3">
      <c r="B12844" s="33" t="s">
        <v>34926</v>
      </c>
      <c r="C12844" s="32" t="s">
        <v>34927</v>
      </c>
      <c r="D12844" s="32" t="s">
        <v>34928</v>
      </c>
    </row>
    <row r="12845" spans="2:4" x14ac:dyDescent="0.3">
      <c r="B12845" s="33" t="s">
        <v>34929</v>
      </c>
      <c r="C12845" s="32" t="s">
        <v>34930</v>
      </c>
      <c r="D12845" s="32" t="s">
        <v>34931</v>
      </c>
    </row>
    <row r="12846" spans="2:4" x14ac:dyDescent="0.3">
      <c r="B12846" s="33" t="s">
        <v>34932</v>
      </c>
      <c r="C12846" s="32" t="s">
        <v>34933</v>
      </c>
      <c r="D12846" s="32" t="s">
        <v>34934</v>
      </c>
    </row>
    <row r="12847" spans="2:4" x14ac:dyDescent="0.3">
      <c r="B12847" s="33" t="s">
        <v>34935</v>
      </c>
      <c r="C12847" s="32" t="s">
        <v>34936</v>
      </c>
      <c r="D12847" s="32" t="s">
        <v>34937</v>
      </c>
    </row>
    <row r="12848" spans="2:4" x14ac:dyDescent="0.3">
      <c r="B12848" s="33" t="s">
        <v>34926</v>
      </c>
      <c r="C12848" s="32" t="s">
        <v>34938</v>
      </c>
      <c r="D12848" s="32" t="s">
        <v>34939</v>
      </c>
    </row>
    <row r="12849" spans="2:4" x14ac:dyDescent="0.3">
      <c r="B12849" s="33" t="s">
        <v>34940</v>
      </c>
      <c r="C12849" s="32" t="s">
        <v>34941</v>
      </c>
      <c r="D12849" s="32" t="s">
        <v>34940</v>
      </c>
    </row>
    <row r="12850" spans="2:4" x14ac:dyDescent="0.3">
      <c r="B12850" s="33" t="s">
        <v>34942</v>
      </c>
      <c r="C12850" s="32" t="s">
        <v>34943</v>
      </c>
      <c r="D12850" s="32" t="s">
        <v>34944</v>
      </c>
    </row>
    <row r="12851" spans="2:4" x14ac:dyDescent="0.3">
      <c r="B12851" s="33" t="s">
        <v>34945</v>
      </c>
      <c r="C12851" s="32" t="s">
        <v>34946</v>
      </c>
      <c r="D12851" s="32" t="s">
        <v>34947</v>
      </c>
    </row>
    <row r="12852" spans="2:4" x14ac:dyDescent="0.3">
      <c r="B12852" s="33" t="s">
        <v>34948</v>
      </c>
      <c r="C12852" s="32" t="s">
        <v>34949</v>
      </c>
      <c r="D12852" s="32" t="s">
        <v>34950</v>
      </c>
    </row>
    <row r="12853" spans="2:4" x14ac:dyDescent="0.3">
      <c r="B12853" s="33" t="s">
        <v>14756</v>
      </c>
      <c r="C12853" s="32" t="s">
        <v>34951</v>
      </c>
      <c r="D12853" s="32" t="s">
        <v>34952</v>
      </c>
    </row>
    <row r="12854" spans="2:4" x14ac:dyDescent="0.3">
      <c r="B12854" s="33" t="s">
        <v>34953</v>
      </c>
      <c r="C12854" s="32" t="s">
        <v>34954</v>
      </c>
      <c r="D12854" s="32" t="s">
        <v>34955</v>
      </c>
    </row>
    <row r="12855" spans="2:4" x14ac:dyDescent="0.3">
      <c r="B12855" s="33" t="s">
        <v>34953</v>
      </c>
      <c r="C12855" s="32" t="s">
        <v>34956</v>
      </c>
      <c r="D12855" s="32" t="s">
        <v>34957</v>
      </c>
    </row>
    <row r="12856" spans="2:4" x14ac:dyDescent="0.3">
      <c r="B12856" s="33" t="s">
        <v>34958</v>
      </c>
      <c r="C12856" s="32" t="s">
        <v>34959</v>
      </c>
      <c r="D12856" s="32" t="s">
        <v>34960</v>
      </c>
    </row>
    <row r="12857" spans="2:4" x14ac:dyDescent="0.3">
      <c r="B12857" s="33" t="s">
        <v>34961</v>
      </c>
      <c r="C12857" s="32" t="s">
        <v>34962</v>
      </c>
      <c r="D12857" s="32" t="s">
        <v>34961</v>
      </c>
    </row>
    <row r="12858" spans="2:4" x14ac:dyDescent="0.3">
      <c r="B12858" s="33" t="s">
        <v>34963</v>
      </c>
      <c r="C12858" s="32" t="s">
        <v>34964</v>
      </c>
      <c r="D12858" s="32" t="s">
        <v>34965</v>
      </c>
    </row>
    <row r="12859" spans="2:4" x14ac:dyDescent="0.3">
      <c r="B12859" s="33" t="s">
        <v>34966</v>
      </c>
      <c r="C12859" s="32" t="s">
        <v>34967</v>
      </c>
      <c r="D12859" s="32" t="s">
        <v>34968</v>
      </c>
    </row>
    <row r="12860" spans="2:4" x14ac:dyDescent="0.3">
      <c r="B12860" s="33" t="s">
        <v>34969</v>
      </c>
      <c r="C12860" s="32" t="s">
        <v>34970</v>
      </c>
      <c r="D12860" s="32" t="s">
        <v>34971</v>
      </c>
    </row>
    <row r="12861" spans="2:4" x14ac:dyDescent="0.3">
      <c r="B12861" s="33" t="s">
        <v>34972</v>
      </c>
      <c r="C12861" s="32" t="s">
        <v>34973</v>
      </c>
      <c r="D12861" s="32" t="s">
        <v>34974</v>
      </c>
    </row>
    <row r="12862" spans="2:4" x14ac:dyDescent="0.3">
      <c r="B12862" s="33" t="s">
        <v>34975</v>
      </c>
      <c r="C12862" s="32" t="s">
        <v>34976</v>
      </c>
      <c r="D12862" s="32" t="s">
        <v>34977</v>
      </c>
    </row>
    <row r="12863" spans="2:4" x14ac:dyDescent="0.3">
      <c r="B12863" s="33" t="s">
        <v>24497</v>
      </c>
      <c r="C12863" s="32" t="s">
        <v>34978</v>
      </c>
      <c r="D12863" s="32" t="s">
        <v>34979</v>
      </c>
    </row>
    <row r="12864" spans="2:4" x14ac:dyDescent="0.3">
      <c r="B12864" s="33" t="s">
        <v>34980</v>
      </c>
      <c r="C12864" s="32" t="s">
        <v>34981</v>
      </c>
      <c r="D12864" s="32" t="s">
        <v>34982</v>
      </c>
    </row>
    <row r="12865" spans="2:4" x14ac:dyDescent="0.3">
      <c r="B12865" s="33" t="s">
        <v>21945</v>
      </c>
      <c r="C12865" s="32" t="s">
        <v>34983</v>
      </c>
      <c r="D12865" s="32" t="s">
        <v>34984</v>
      </c>
    </row>
    <row r="12866" spans="2:4" x14ac:dyDescent="0.3">
      <c r="B12866" s="33" t="s">
        <v>34985</v>
      </c>
      <c r="C12866" s="32" t="s">
        <v>34986</v>
      </c>
      <c r="D12866" s="32" t="s">
        <v>34987</v>
      </c>
    </row>
    <row r="12867" spans="2:4" x14ac:dyDescent="0.3">
      <c r="B12867" s="33" t="s">
        <v>34988</v>
      </c>
      <c r="C12867" s="32" t="s">
        <v>34989</v>
      </c>
      <c r="D12867" s="32" t="s">
        <v>34990</v>
      </c>
    </row>
    <row r="12868" spans="2:4" x14ac:dyDescent="0.3">
      <c r="B12868" s="33" t="s">
        <v>34991</v>
      </c>
      <c r="C12868" s="32" t="s">
        <v>34992</v>
      </c>
      <c r="D12868" s="32" t="s">
        <v>34993</v>
      </c>
    </row>
    <row r="12869" spans="2:4" x14ac:dyDescent="0.3">
      <c r="B12869" s="33" t="s">
        <v>34994</v>
      </c>
      <c r="C12869" s="32" t="s">
        <v>34995</v>
      </c>
      <c r="D12869" s="32" t="s">
        <v>34996</v>
      </c>
    </row>
    <row r="12870" spans="2:4" x14ac:dyDescent="0.3">
      <c r="B12870" s="33" t="s">
        <v>34997</v>
      </c>
      <c r="C12870" s="32" t="s">
        <v>34998</v>
      </c>
      <c r="D12870" s="32" t="s">
        <v>34997</v>
      </c>
    </row>
    <row r="12871" spans="2:4" x14ac:dyDescent="0.3">
      <c r="B12871" s="33" t="s">
        <v>21945</v>
      </c>
      <c r="C12871" s="32" t="s">
        <v>34999</v>
      </c>
      <c r="D12871" s="32" t="s">
        <v>35000</v>
      </c>
    </row>
    <row r="12872" spans="2:4" x14ac:dyDescent="0.3">
      <c r="B12872" s="33" t="s">
        <v>35001</v>
      </c>
      <c r="C12872" s="32" t="s">
        <v>35002</v>
      </c>
      <c r="D12872" s="32" t="s">
        <v>35003</v>
      </c>
    </row>
    <row r="12873" spans="2:4" x14ac:dyDescent="0.3">
      <c r="B12873" s="33" t="s">
        <v>35001</v>
      </c>
      <c r="C12873" s="32" t="s">
        <v>35004</v>
      </c>
      <c r="D12873" s="32" t="s">
        <v>35005</v>
      </c>
    </row>
    <row r="12874" spans="2:4" x14ac:dyDescent="0.3">
      <c r="B12874" s="33" t="s">
        <v>35006</v>
      </c>
      <c r="C12874" s="32" t="s">
        <v>35007</v>
      </c>
      <c r="D12874" s="32" t="s">
        <v>35008</v>
      </c>
    </row>
    <row r="12875" spans="2:4" x14ac:dyDescent="0.3">
      <c r="B12875" s="33" t="s">
        <v>35006</v>
      </c>
      <c r="C12875" s="32" t="s">
        <v>35009</v>
      </c>
      <c r="D12875" s="32" t="s">
        <v>35010</v>
      </c>
    </row>
    <row r="12876" spans="2:4" x14ac:dyDescent="0.3">
      <c r="B12876" s="33" t="s">
        <v>35011</v>
      </c>
      <c r="C12876" s="32" t="s">
        <v>35012</v>
      </c>
      <c r="D12876" s="32" t="s">
        <v>35013</v>
      </c>
    </row>
    <row r="12877" spans="2:4" x14ac:dyDescent="0.3">
      <c r="B12877" s="33" t="s">
        <v>35014</v>
      </c>
      <c r="C12877" s="32" t="s">
        <v>35015</v>
      </c>
      <c r="D12877" s="32" t="s">
        <v>35014</v>
      </c>
    </row>
    <row r="12878" spans="2:4" x14ac:dyDescent="0.3">
      <c r="B12878" s="33" t="s">
        <v>35016</v>
      </c>
      <c r="C12878" s="32" t="s">
        <v>35017</v>
      </c>
      <c r="D12878" s="32" t="s">
        <v>35016</v>
      </c>
    </row>
    <row r="12879" spans="2:4" x14ac:dyDescent="0.3">
      <c r="B12879" s="33" t="s">
        <v>35018</v>
      </c>
      <c r="C12879" s="32" t="s">
        <v>35019</v>
      </c>
      <c r="D12879" s="32" t="s">
        <v>35020</v>
      </c>
    </row>
    <row r="12880" spans="2:4" x14ac:dyDescent="0.3">
      <c r="B12880" s="33" t="s">
        <v>35021</v>
      </c>
      <c r="C12880" s="32" t="s">
        <v>35022</v>
      </c>
      <c r="D12880" s="32" t="s">
        <v>35023</v>
      </c>
    </row>
    <row r="12881" spans="2:4" x14ac:dyDescent="0.3">
      <c r="B12881" s="33" t="s">
        <v>35024</v>
      </c>
      <c r="C12881" s="32" t="s">
        <v>35025</v>
      </c>
      <c r="D12881" s="32" t="s">
        <v>35026</v>
      </c>
    </row>
    <row r="12882" spans="2:4" x14ac:dyDescent="0.3">
      <c r="B12882" s="33" t="s">
        <v>35027</v>
      </c>
      <c r="C12882" s="32" t="s">
        <v>35028</v>
      </c>
      <c r="D12882" s="32" t="s">
        <v>35029</v>
      </c>
    </row>
    <row r="12883" spans="2:4" x14ac:dyDescent="0.3">
      <c r="B12883" s="33" t="s">
        <v>35030</v>
      </c>
      <c r="C12883" s="32" t="s">
        <v>35031</v>
      </c>
      <c r="D12883" s="32" t="s">
        <v>35032</v>
      </c>
    </row>
    <row r="12884" spans="2:4" x14ac:dyDescent="0.3">
      <c r="B12884" s="33" t="s">
        <v>35030</v>
      </c>
      <c r="C12884" s="32" t="s">
        <v>35033</v>
      </c>
      <c r="D12884" s="32" t="s">
        <v>35034</v>
      </c>
    </row>
    <row r="12885" spans="2:4" x14ac:dyDescent="0.3">
      <c r="B12885" s="33" t="s">
        <v>15526</v>
      </c>
      <c r="C12885" s="32" t="s">
        <v>35035</v>
      </c>
      <c r="D12885" s="32" t="s">
        <v>35036</v>
      </c>
    </row>
    <row r="12886" spans="2:4" x14ac:dyDescent="0.3">
      <c r="B12886" s="33" t="s">
        <v>7146</v>
      </c>
      <c r="C12886" s="32" t="s">
        <v>35037</v>
      </c>
      <c r="D12886" s="32" t="s">
        <v>35038</v>
      </c>
    </row>
    <row r="12887" spans="2:4" x14ac:dyDescent="0.3">
      <c r="B12887" s="33" t="s">
        <v>35027</v>
      </c>
      <c r="C12887" s="32" t="s">
        <v>35039</v>
      </c>
      <c r="D12887" s="32" t="s">
        <v>35040</v>
      </c>
    </row>
    <row r="12888" spans="2:4" x14ac:dyDescent="0.3">
      <c r="B12888" s="33" t="s">
        <v>35041</v>
      </c>
      <c r="C12888" s="32" t="s">
        <v>35042</v>
      </c>
      <c r="D12888" s="32" t="s">
        <v>35043</v>
      </c>
    </row>
    <row r="12889" spans="2:4" x14ac:dyDescent="0.3">
      <c r="B12889" s="33" t="s">
        <v>35044</v>
      </c>
      <c r="C12889" s="32" t="s">
        <v>35045</v>
      </c>
      <c r="D12889" s="32" t="s">
        <v>35044</v>
      </c>
    </row>
    <row r="12890" spans="2:4" x14ac:dyDescent="0.3">
      <c r="B12890" s="33" t="s">
        <v>35044</v>
      </c>
      <c r="C12890" s="32" t="s">
        <v>35046</v>
      </c>
      <c r="D12890" s="32" t="s">
        <v>35047</v>
      </c>
    </row>
    <row r="12891" spans="2:4" x14ac:dyDescent="0.3">
      <c r="B12891" s="33" t="s">
        <v>35048</v>
      </c>
      <c r="C12891" s="32" t="s">
        <v>35049</v>
      </c>
      <c r="D12891" s="32" t="s">
        <v>35050</v>
      </c>
    </row>
    <row r="12892" spans="2:4" x14ac:dyDescent="0.3">
      <c r="B12892" s="33" t="s">
        <v>34988</v>
      </c>
      <c r="C12892" s="32" t="s">
        <v>35051</v>
      </c>
      <c r="D12892" s="32" t="s">
        <v>35052</v>
      </c>
    </row>
    <row r="12893" spans="2:4" x14ac:dyDescent="0.3">
      <c r="B12893" s="33" t="s">
        <v>35053</v>
      </c>
      <c r="C12893" s="32" t="s">
        <v>35054</v>
      </c>
      <c r="D12893" s="32" t="s">
        <v>35055</v>
      </c>
    </row>
    <row r="12894" spans="2:4" x14ac:dyDescent="0.3">
      <c r="B12894" s="33" t="s">
        <v>35056</v>
      </c>
      <c r="C12894" s="32" t="s">
        <v>35057</v>
      </c>
      <c r="D12894" s="32" t="s">
        <v>35058</v>
      </c>
    </row>
    <row r="12895" spans="2:4" x14ac:dyDescent="0.3">
      <c r="B12895" s="33" t="s">
        <v>35056</v>
      </c>
      <c r="C12895" s="32" t="s">
        <v>35059</v>
      </c>
      <c r="D12895" s="32" t="s">
        <v>35056</v>
      </c>
    </row>
    <row r="12896" spans="2:4" x14ac:dyDescent="0.3">
      <c r="B12896" s="33" t="s">
        <v>35060</v>
      </c>
      <c r="C12896" s="32" t="s">
        <v>35061</v>
      </c>
      <c r="D12896" s="32" t="s">
        <v>35062</v>
      </c>
    </row>
    <row r="12897" spans="2:4" x14ac:dyDescent="0.3">
      <c r="B12897" s="33" t="s">
        <v>35063</v>
      </c>
      <c r="C12897" s="32" t="s">
        <v>35064</v>
      </c>
      <c r="D12897" s="32" t="s">
        <v>35065</v>
      </c>
    </row>
    <row r="12898" spans="2:4" x14ac:dyDescent="0.3">
      <c r="B12898" s="33" t="s">
        <v>35066</v>
      </c>
      <c r="C12898" s="32" t="s">
        <v>35067</v>
      </c>
      <c r="D12898" s="32" t="s">
        <v>35068</v>
      </c>
    </row>
    <row r="12899" spans="2:4" x14ac:dyDescent="0.3">
      <c r="B12899" s="33" t="s">
        <v>34426</v>
      </c>
      <c r="C12899" s="32" t="s">
        <v>35069</v>
      </c>
      <c r="D12899" s="32" t="s">
        <v>35070</v>
      </c>
    </row>
    <row r="12900" spans="2:4" x14ac:dyDescent="0.3">
      <c r="B12900" s="33" t="s">
        <v>35071</v>
      </c>
      <c r="C12900" s="32" t="s">
        <v>35072</v>
      </c>
      <c r="D12900" s="32" t="s">
        <v>35073</v>
      </c>
    </row>
    <row r="12901" spans="2:4" x14ac:dyDescent="0.3">
      <c r="B12901" s="33" t="s">
        <v>35074</v>
      </c>
      <c r="C12901" s="32" t="s">
        <v>35075</v>
      </c>
      <c r="D12901" s="32" t="s">
        <v>35076</v>
      </c>
    </row>
    <row r="12902" spans="2:4" x14ac:dyDescent="0.3">
      <c r="B12902" s="33" t="s">
        <v>35077</v>
      </c>
      <c r="C12902" s="32" t="s">
        <v>35078</v>
      </c>
      <c r="D12902" s="32" t="s">
        <v>35079</v>
      </c>
    </row>
    <row r="12903" spans="2:4" x14ac:dyDescent="0.3">
      <c r="B12903" s="33" t="s">
        <v>34725</v>
      </c>
      <c r="C12903" s="32" t="s">
        <v>35080</v>
      </c>
      <c r="D12903" s="32" t="s">
        <v>35081</v>
      </c>
    </row>
    <row r="12904" spans="2:4" x14ac:dyDescent="0.3">
      <c r="B12904" s="33" t="s">
        <v>34972</v>
      </c>
      <c r="C12904" s="32" t="s">
        <v>35082</v>
      </c>
      <c r="D12904" s="32" t="s">
        <v>36912</v>
      </c>
    </row>
    <row r="12905" spans="2:4" x14ac:dyDescent="0.3">
      <c r="B12905" s="33" t="s">
        <v>35083</v>
      </c>
      <c r="C12905" s="32" t="s">
        <v>35084</v>
      </c>
      <c r="D12905" s="32" t="s">
        <v>35085</v>
      </c>
    </row>
    <row r="12906" spans="2:4" x14ac:dyDescent="0.3">
      <c r="B12906" s="33" t="s">
        <v>35086</v>
      </c>
      <c r="C12906" s="32" t="s">
        <v>35087</v>
      </c>
      <c r="D12906" s="32" t="s">
        <v>35088</v>
      </c>
    </row>
    <row r="12907" spans="2:4" x14ac:dyDescent="0.3">
      <c r="B12907" s="33" t="s">
        <v>35089</v>
      </c>
      <c r="C12907" s="32" t="s">
        <v>35090</v>
      </c>
      <c r="D12907" s="32" t="s">
        <v>35091</v>
      </c>
    </row>
    <row r="12908" spans="2:4" x14ac:dyDescent="0.3">
      <c r="B12908" s="33" t="s">
        <v>35092</v>
      </c>
      <c r="C12908" s="32" t="s">
        <v>35093</v>
      </c>
      <c r="D12908" s="32" t="s">
        <v>35094</v>
      </c>
    </row>
    <row r="12909" spans="2:4" x14ac:dyDescent="0.3">
      <c r="B12909" s="33" t="s">
        <v>35095</v>
      </c>
      <c r="C12909" s="32" t="s">
        <v>35096</v>
      </c>
      <c r="D12909" s="32" t="s">
        <v>35097</v>
      </c>
    </row>
    <row r="12910" spans="2:4" x14ac:dyDescent="0.3">
      <c r="B12910" s="33" t="s">
        <v>35098</v>
      </c>
      <c r="C12910" s="32" t="s">
        <v>35099</v>
      </c>
      <c r="D12910" s="32" t="s">
        <v>35100</v>
      </c>
    </row>
    <row r="12911" spans="2:4" x14ac:dyDescent="0.3">
      <c r="B12911" s="33" t="s">
        <v>35101</v>
      </c>
      <c r="C12911" s="32" t="s">
        <v>35102</v>
      </c>
      <c r="D12911" s="32" t="s">
        <v>36764</v>
      </c>
    </row>
    <row r="12912" spans="2:4" x14ac:dyDescent="0.3">
      <c r="B12912" s="33" t="s">
        <v>35103</v>
      </c>
      <c r="C12912" s="32" t="s">
        <v>35104</v>
      </c>
      <c r="D12912" s="32" t="s">
        <v>35105</v>
      </c>
    </row>
    <row r="12913" spans="2:4" x14ac:dyDescent="0.3">
      <c r="B12913" s="33" t="s">
        <v>35106</v>
      </c>
      <c r="C12913" s="32" t="s">
        <v>35107</v>
      </c>
      <c r="D12913" s="32" t="s">
        <v>35108</v>
      </c>
    </row>
    <row r="12914" spans="2:4" x14ac:dyDescent="0.3">
      <c r="B12914" s="33" t="s">
        <v>35109</v>
      </c>
      <c r="C12914" s="32" t="s">
        <v>35110</v>
      </c>
      <c r="D12914" s="32" t="s">
        <v>35111</v>
      </c>
    </row>
    <row r="12915" spans="2:4" x14ac:dyDescent="0.3">
      <c r="B12915" s="33" t="s">
        <v>35089</v>
      </c>
      <c r="C12915" s="32" t="s">
        <v>35112</v>
      </c>
      <c r="D12915" s="32" t="s">
        <v>35113</v>
      </c>
    </row>
    <row r="12916" spans="2:4" x14ac:dyDescent="0.3">
      <c r="B12916" s="33" t="s">
        <v>35114</v>
      </c>
      <c r="C12916" s="32" t="s">
        <v>35115</v>
      </c>
      <c r="D12916" s="32" t="s">
        <v>35116</v>
      </c>
    </row>
    <row r="12917" spans="2:4" x14ac:dyDescent="0.3">
      <c r="B12917" s="33" t="s">
        <v>35089</v>
      </c>
      <c r="C12917" s="32" t="s">
        <v>35117</v>
      </c>
      <c r="D12917" s="32" t="s">
        <v>35118</v>
      </c>
    </row>
    <row r="12918" spans="2:4" x14ac:dyDescent="0.3">
      <c r="B12918" s="33" t="s">
        <v>35089</v>
      </c>
      <c r="C12918" s="32" t="s">
        <v>35119</v>
      </c>
      <c r="D12918" s="32" t="s">
        <v>35120</v>
      </c>
    </row>
    <row r="12919" spans="2:4" x14ac:dyDescent="0.3">
      <c r="B12919" s="33" t="s">
        <v>35121</v>
      </c>
      <c r="C12919" s="32" t="s">
        <v>35122</v>
      </c>
      <c r="D12919" s="32" t="s">
        <v>35123</v>
      </c>
    </row>
    <row r="12920" spans="2:4" x14ac:dyDescent="0.3">
      <c r="B12920" s="33" t="s">
        <v>35124</v>
      </c>
      <c r="C12920" s="32" t="s">
        <v>35125</v>
      </c>
      <c r="D12920" s="32" t="s">
        <v>35126</v>
      </c>
    </row>
    <row r="12921" spans="2:4" x14ac:dyDescent="0.3">
      <c r="B12921" s="33" t="s">
        <v>35127</v>
      </c>
      <c r="C12921" s="32" t="s">
        <v>35128</v>
      </c>
      <c r="D12921" s="32" t="s">
        <v>35129</v>
      </c>
    </row>
    <row r="12922" spans="2:4" x14ac:dyDescent="0.3">
      <c r="B12922" s="33" t="s">
        <v>36913</v>
      </c>
      <c r="C12922" s="32" t="s">
        <v>36914</v>
      </c>
      <c r="D12922" s="32" t="s">
        <v>36915</v>
      </c>
    </row>
    <row r="12923" spans="2:4" x14ac:dyDescent="0.3">
      <c r="B12923" s="33" t="s">
        <v>35130</v>
      </c>
      <c r="C12923" s="32" t="s">
        <v>35131</v>
      </c>
      <c r="D12923" s="32" t="s">
        <v>35132</v>
      </c>
    </row>
    <row r="12924" spans="2:4" x14ac:dyDescent="0.3">
      <c r="B12924" s="33" t="s">
        <v>35133</v>
      </c>
      <c r="C12924" s="32" t="s">
        <v>35134</v>
      </c>
      <c r="D12924" s="32" t="s">
        <v>35135</v>
      </c>
    </row>
    <row r="12925" spans="2:4" x14ac:dyDescent="0.3">
      <c r="B12925" s="33" t="s">
        <v>35136</v>
      </c>
      <c r="C12925" s="32" t="s">
        <v>35137</v>
      </c>
      <c r="D12925" s="32" t="s">
        <v>35138</v>
      </c>
    </row>
    <row r="12926" spans="2:4" x14ac:dyDescent="0.3">
      <c r="B12926" s="33" t="s">
        <v>35139</v>
      </c>
      <c r="C12926" s="32" t="s">
        <v>35140</v>
      </c>
      <c r="D12926" s="32" t="s">
        <v>35141</v>
      </c>
    </row>
    <row r="12927" spans="2:4" x14ac:dyDescent="0.3">
      <c r="B12927" s="33" t="s">
        <v>35142</v>
      </c>
      <c r="C12927" s="32" t="s">
        <v>35143</v>
      </c>
      <c r="D12927" s="32" t="s">
        <v>35144</v>
      </c>
    </row>
    <row r="12928" spans="2:4" x14ac:dyDescent="0.3">
      <c r="B12928" s="33" t="s">
        <v>35145</v>
      </c>
      <c r="C12928" s="32" t="s">
        <v>35146</v>
      </c>
      <c r="D12928" s="32" t="s">
        <v>35147</v>
      </c>
    </row>
    <row r="12929" spans="2:4" x14ac:dyDescent="0.3">
      <c r="B12929" s="33" t="s">
        <v>35148</v>
      </c>
      <c r="C12929" s="32" t="s">
        <v>35149</v>
      </c>
      <c r="D12929" s="32" t="s">
        <v>35150</v>
      </c>
    </row>
    <row r="12930" spans="2:4" x14ac:dyDescent="0.3">
      <c r="B12930" s="33" t="s">
        <v>47</v>
      </c>
      <c r="C12930" s="32" t="s">
        <v>35151</v>
      </c>
      <c r="D12930" s="32" t="s">
        <v>48</v>
      </c>
    </row>
    <row r="12931" spans="2:4" x14ac:dyDescent="0.3">
      <c r="B12931" s="33" t="s">
        <v>35152</v>
      </c>
      <c r="C12931" s="32" t="s">
        <v>35153</v>
      </c>
      <c r="D12931" s="32" t="s">
        <v>35154</v>
      </c>
    </row>
    <row r="12932" spans="2:4" x14ac:dyDescent="0.3">
      <c r="B12932" s="33" t="s">
        <v>35155</v>
      </c>
      <c r="C12932" s="32" t="s">
        <v>35156</v>
      </c>
      <c r="D12932" s="32" t="s">
        <v>35157</v>
      </c>
    </row>
    <row r="12933" spans="2:4" x14ac:dyDescent="0.3">
      <c r="B12933" s="33" t="s">
        <v>35158</v>
      </c>
      <c r="C12933" s="32" t="s">
        <v>35159</v>
      </c>
      <c r="D12933" s="32" t="s">
        <v>35160</v>
      </c>
    </row>
    <row r="12934" spans="2:4" x14ac:dyDescent="0.3">
      <c r="B12934" s="33" t="s">
        <v>35161</v>
      </c>
      <c r="C12934" s="32" t="s">
        <v>35162</v>
      </c>
      <c r="D12934" s="32" t="s">
        <v>35163</v>
      </c>
    </row>
    <row r="12935" spans="2:4" x14ac:dyDescent="0.3">
      <c r="B12935" s="33" t="s">
        <v>47</v>
      </c>
      <c r="C12935" s="32" t="s">
        <v>35164</v>
      </c>
      <c r="D12935" s="32" t="s">
        <v>35165</v>
      </c>
    </row>
    <row r="12936" spans="2:4" x14ac:dyDescent="0.3">
      <c r="B12936" s="33" t="s">
        <v>35166</v>
      </c>
      <c r="C12936" s="32" t="s">
        <v>35167</v>
      </c>
      <c r="D12936" s="32" t="s">
        <v>35168</v>
      </c>
    </row>
    <row r="12937" spans="2:4" x14ac:dyDescent="0.3">
      <c r="B12937" s="33" t="s">
        <v>35169</v>
      </c>
      <c r="C12937" s="32" t="s">
        <v>35170</v>
      </c>
      <c r="D12937" s="32" t="s">
        <v>35171</v>
      </c>
    </row>
    <row r="12938" spans="2:4" x14ac:dyDescent="0.3">
      <c r="B12938" s="33" t="s">
        <v>35172</v>
      </c>
      <c r="C12938" s="32" t="s">
        <v>35173</v>
      </c>
      <c r="D12938" s="32" t="s">
        <v>35174</v>
      </c>
    </row>
    <row r="12939" spans="2:4" x14ac:dyDescent="0.3">
      <c r="B12939" s="33" t="s">
        <v>35175</v>
      </c>
      <c r="C12939" s="32" t="s">
        <v>35176</v>
      </c>
      <c r="D12939" s="32" t="s">
        <v>35177</v>
      </c>
    </row>
    <row r="12940" spans="2:4" x14ac:dyDescent="0.3">
      <c r="B12940" s="33" t="s">
        <v>35178</v>
      </c>
      <c r="C12940" s="32" t="s">
        <v>35179</v>
      </c>
      <c r="D12940" s="32" t="s">
        <v>35180</v>
      </c>
    </row>
    <row r="12941" spans="2:4" x14ac:dyDescent="0.3">
      <c r="B12941" s="33" t="s">
        <v>35181</v>
      </c>
      <c r="C12941" s="32" t="s">
        <v>35182</v>
      </c>
      <c r="D12941" s="32" t="s">
        <v>35183</v>
      </c>
    </row>
    <row r="12942" spans="2:4" x14ac:dyDescent="0.3">
      <c r="B12942" s="33" t="s">
        <v>35184</v>
      </c>
      <c r="C12942" s="32" t="s">
        <v>35185</v>
      </c>
      <c r="D12942" s="32" t="s">
        <v>35186</v>
      </c>
    </row>
    <row r="12943" spans="2:4" x14ac:dyDescent="0.3">
      <c r="B12943" s="33" t="s">
        <v>35187</v>
      </c>
      <c r="C12943" s="32" t="s">
        <v>35188</v>
      </c>
      <c r="D12943" s="32" t="s">
        <v>35189</v>
      </c>
    </row>
    <row r="12944" spans="2:4" x14ac:dyDescent="0.3">
      <c r="B12944" s="33" t="s">
        <v>35190</v>
      </c>
      <c r="C12944" s="32" t="s">
        <v>35191</v>
      </c>
      <c r="D12944" s="32" t="s">
        <v>35192</v>
      </c>
    </row>
    <row r="12945" spans="2:4" x14ac:dyDescent="0.3">
      <c r="B12945" s="33" t="s">
        <v>35193</v>
      </c>
      <c r="C12945" s="32" t="s">
        <v>35194</v>
      </c>
      <c r="D12945" s="32" t="s">
        <v>35195</v>
      </c>
    </row>
    <row r="12946" spans="2:4" x14ac:dyDescent="0.3">
      <c r="B12946" s="33" t="s">
        <v>35196</v>
      </c>
      <c r="C12946" s="32" t="s">
        <v>35197</v>
      </c>
      <c r="D12946" s="32" t="s">
        <v>35198</v>
      </c>
    </row>
    <row r="12947" spans="2:4" x14ac:dyDescent="0.3">
      <c r="B12947" s="33" t="s">
        <v>35199</v>
      </c>
      <c r="C12947" s="32" t="s">
        <v>35200</v>
      </c>
      <c r="D12947" s="32" t="s">
        <v>35201</v>
      </c>
    </row>
    <row r="12948" spans="2:4" x14ac:dyDescent="0.3">
      <c r="B12948" s="33" t="s">
        <v>35202</v>
      </c>
      <c r="C12948" s="32" t="s">
        <v>35203</v>
      </c>
      <c r="D12948" s="32" t="s">
        <v>35204</v>
      </c>
    </row>
    <row r="12949" spans="2:4" x14ac:dyDescent="0.3">
      <c r="B12949" s="33" t="s">
        <v>35205</v>
      </c>
      <c r="C12949" s="32" t="s">
        <v>35206</v>
      </c>
      <c r="D12949" s="32" t="s">
        <v>35207</v>
      </c>
    </row>
    <row r="12950" spans="2:4" x14ac:dyDescent="0.3">
      <c r="B12950" s="33" t="s">
        <v>35208</v>
      </c>
      <c r="C12950" s="32" t="s">
        <v>35209</v>
      </c>
      <c r="D12950" s="32" t="s">
        <v>35210</v>
      </c>
    </row>
    <row r="12951" spans="2:4" x14ac:dyDescent="0.3">
      <c r="B12951" s="33" t="s">
        <v>35211</v>
      </c>
      <c r="C12951" s="32" t="s">
        <v>35212</v>
      </c>
      <c r="D12951" s="32" t="s">
        <v>35213</v>
      </c>
    </row>
    <row r="12952" spans="2:4" x14ac:dyDescent="0.3">
      <c r="B12952" s="33" t="s">
        <v>35214</v>
      </c>
      <c r="C12952" s="32" t="s">
        <v>35215</v>
      </c>
      <c r="D12952" s="32" t="s">
        <v>35216</v>
      </c>
    </row>
    <row r="12953" spans="2:4" x14ac:dyDescent="0.3">
      <c r="B12953" s="33" t="s">
        <v>35217</v>
      </c>
      <c r="C12953" s="32" t="s">
        <v>35218</v>
      </c>
      <c r="D12953" s="32" t="s">
        <v>35219</v>
      </c>
    </row>
    <row r="12954" spans="2:4" x14ac:dyDescent="0.3">
      <c r="B12954" s="33" t="s">
        <v>35220</v>
      </c>
      <c r="C12954" s="32" t="s">
        <v>35221</v>
      </c>
      <c r="D12954" s="32" t="s">
        <v>35222</v>
      </c>
    </row>
    <row r="12955" spans="2:4" x14ac:dyDescent="0.3">
      <c r="B12955" s="33" t="s">
        <v>37431</v>
      </c>
      <c r="C12955" s="32" t="s">
        <v>37432</v>
      </c>
      <c r="D12955" s="32" t="s">
        <v>37433</v>
      </c>
    </row>
    <row r="12956" spans="2:4" x14ac:dyDescent="0.3">
      <c r="B12956" s="33" t="s">
        <v>35223</v>
      </c>
      <c r="C12956" s="32" t="s">
        <v>35224</v>
      </c>
      <c r="D12956" s="32" t="s">
        <v>35225</v>
      </c>
    </row>
    <row r="12957" spans="2:4" x14ac:dyDescent="0.3">
      <c r="B12957" s="33" t="s">
        <v>35226</v>
      </c>
      <c r="C12957" s="32" t="s">
        <v>35227</v>
      </c>
      <c r="D12957" s="32" t="s">
        <v>35228</v>
      </c>
    </row>
    <row r="12958" spans="2:4" x14ac:dyDescent="0.3">
      <c r="B12958" s="33" t="s">
        <v>35229</v>
      </c>
      <c r="C12958" s="32" t="s">
        <v>35230</v>
      </c>
      <c r="D12958" s="32" t="s">
        <v>35231</v>
      </c>
    </row>
    <row r="12959" spans="2:4" x14ac:dyDescent="0.3">
      <c r="B12959" s="33" t="s">
        <v>35232</v>
      </c>
      <c r="C12959" s="32" t="s">
        <v>35233</v>
      </c>
      <c r="D12959" s="32" t="s">
        <v>35234</v>
      </c>
    </row>
    <row r="12960" spans="2:4" x14ac:dyDescent="0.3">
      <c r="B12960" s="33" t="s">
        <v>35235</v>
      </c>
      <c r="C12960" s="32" t="s">
        <v>35236</v>
      </c>
      <c r="D12960" s="32" t="s">
        <v>35237</v>
      </c>
    </row>
    <row r="12961" spans="2:4" x14ac:dyDescent="0.3">
      <c r="B12961" s="33" t="s">
        <v>35238</v>
      </c>
      <c r="C12961" s="32" t="s">
        <v>35239</v>
      </c>
      <c r="D12961" s="32" t="s">
        <v>35240</v>
      </c>
    </row>
    <row r="12962" spans="2:4" x14ac:dyDescent="0.3">
      <c r="B12962" s="33" t="s">
        <v>35241</v>
      </c>
      <c r="C12962" s="32" t="s">
        <v>35242</v>
      </c>
      <c r="D12962" s="32" t="s">
        <v>35243</v>
      </c>
    </row>
    <row r="12963" spans="2:4" x14ac:dyDescent="0.3">
      <c r="B12963" s="33" t="s">
        <v>35244</v>
      </c>
      <c r="C12963" s="32" t="s">
        <v>35245</v>
      </c>
      <c r="D12963" s="32" t="s">
        <v>35246</v>
      </c>
    </row>
    <row r="12964" spans="2:4" x14ac:dyDescent="0.3">
      <c r="B12964" s="33" t="s">
        <v>35247</v>
      </c>
      <c r="C12964" s="32" t="s">
        <v>35248</v>
      </c>
      <c r="D12964" s="32" t="s">
        <v>35249</v>
      </c>
    </row>
    <row r="12965" spans="2:4" x14ac:dyDescent="0.3">
      <c r="B12965" s="33" t="s">
        <v>35250</v>
      </c>
      <c r="C12965" s="32" t="s">
        <v>35251</v>
      </c>
      <c r="D12965" s="32" t="s">
        <v>35252</v>
      </c>
    </row>
    <row r="12966" spans="2:4" x14ac:dyDescent="0.3">
      <c r="B12966" s="33" t="s">
        <v>35253</v>
      </c>
      <c r="C12966" s="32" t="s">
        <v>35254</v>
      </c>
      <c r="D12966" s="32" t="s">
        <v>35255</v>
      </c>
    </row>
    <row r="12967" spans="2:4" x14ac:dyDescent="0.3">
      <c r="B12967" s="33" t="s">
        <v>35256</v>
      </c>
      <c r="C12967" s="32" t="s">
        <v>35257</v>
      </c>
      <c r="D12967" s="32" t="s">
        <v>35258</v>
      </c>
    </row>
    <row r="12968" spans="2:4" x14ac:dyDescent="0.3">
      <c r="B12968" s="33" t="s">
        <v>35259</v>
      </c>
      <c r="C12968" s="32" t="s">
        <v>35260</v>
      </c>
      <c r="D12968" s="32" t="s">
        <v>35261</v>
      </c>
    </row>
    <row r="12969" spans="2:4" x14ac:dyDescent="0.3">
      <c r="B12969" s="33" t="s">
        <v>36916</v>
      </c>
      <c r="C12969" s="32" t="s">
        <v>36917</v>
      </c>
      <c r="D12969" s="32" t="s">
        <v>36918</v>
      </c>
    </row>
    <row r="12970" spans="2:4" x14ac:dyDescent="0.3">
      <c r="B12970" s="33" t="s">
        <v>35262</v>
      </c>
      <c r="C12970" s="32" t="s">
        <v>35263</v>
      </c>
      <c r="D12970" s="32" t="s">
        <v>35264</v>
      </c>
    </row>
    <row r="12971" spans="2:4" x14ac:dyDescent="0.3">
      <c r="B12971" s="33" t="s">
        <v>35265</v>
      </c>
      <c r="C12971" s="32" t="s">
        <v>35266</v>
      </c>
      <c r="D12971" s="32" t="s">
        <v>35267</v>
      </c>
    </row>
    <row r="12972" spans="2:4" x14ac:dyDescent="0.3">
      <c r="B12972" s="33" t="s">
        <v>35268</v>
      </c>
      <c r="C12972" s="32" t="s">
        <v>35269</v>
      </c>
      <c r="D12972" s="32" t="s">
        <v>35270</v>
      </c>
    </row>
    <row r="12973" spans="2:4" x14ac:dyDescent="0.3">
      <c r="B12973" s="33" t="s">
        <v>35271</v>
      </c>
      <c r="C12973" s="32" t="s">
        <v>35272</v>
      </c>
      <c r="D12973" s="32" t="s">
        <v>35273</v>
      </c>
    </row>
    <row r="12974" spans="2:4" x14ac:dyDescent="0.3">
      <c r="B12974" s="33" t="s">
        <v>35274</v>
      </c>
      <c r="C12974" s="32" t="s">
        <v>35275</v>
      </c>
      <c r="D12974" s="32" t="s">
        <v>35276</v>
      </c>
    </row>
    <row r="12975" spans="2:4" x14ac:dyDescent="0.3">
      <c r="B12975" s="33" t="s">
        <v>35277</v>
      </c>
      <c r="C12975" s="32" t="s">
        <v>35278</v>
      </c>
      <c r="D12975" s="32" t="s">
        <v>35279</v>
      </c>
    </row>
    <row r="12976" spans="2:4" x14ac:dyDescent="0.3">
      <c r="B12976" s="33" t="s">
        <v>35280</v>
      </c>
      <c r="C12976" s="32" t="s">
        <v>35281</v>
      </c>
      <c r="D12976" s="32" t="s">
        <v>35282</v>
      </c>
    </row>
    <row r="12977" spans="2:4" x14ac:dyDescent="0.3">
      <c r="B12977" s="33" t="s">
        <v>35283</v>
      </c>
      <c r="C12977" s="32" t="s">
        <v>35284</v>
      </c>
      <c r="D12977" s="32" t="s">
        <v>35285</v>
      </c>
    </row>
    <row r="12978" spans="2:4" x14ac:dyDescent="0.3">
      <c r="B12978" s="33" t="s">
        <v>35286</v>
      </c>
      <c r="C12978" s="32" t="s">
        <v>35287</v>
      </c>
      <c r="D12978" s="32" t="s">
        <v>35288</v>
      </c>
    </row>
    <row r="12979" spans="2:4" x14ac:dyDescent="0.3">
      <c r="B12979" s="33" t="s">
        <v>35289</v>
      </c>
      <c r="C12979" s="32" t="s">
        <v>35290</v>
      </c>
      <c r="D12979" s="32" t="s">
        <v>35291</v>
      </c>
    </row>
    <row r="12980" spans="2:4" x14ac:dyDescent="0.3">
      <c r="B12980" s="33" t="s">
        <v>35292</v>
      </c>
      <c r="C12980" s="32" t="s">
        <v>35293</v>
      </c>
      <c r="D12980" s="32" t="s">
        <v>35294</v>
      </c>
    </row>
    <row r="12981" spans="2:4" x14ac:dyDescent="0.3">
      <c r="B12981" s="33" t="s">
        <v>35295</v>
      </c>
      <c r="C12981" s="32" t="s">
        <v>35296</v>
      </c>
      <c r="D12981" s="32" t="s">
        <v>35297</v>
      </c>
    </row>
    <row r="12982" spans="2:4" x14ac:dyDescent="0.3">
      <c r="B12982" s="33" t="s">
        <v>35298</v>
      </c>
      <c r="C12982" s="32" t="s">
        <v>35299</v>
      </c>
      <c r="D12982" s="32" t="s">
        <v>35300</v>
      </c>
    </row>
    <row r="12983" spans="2:4" x14ac:dyDescent="0.3">
      <c r="B12983" s="33" t="s">
        <v>25351</v>
      </c>
      <c r="C12983" s="32" t="s">
        <v>35301</v>
      </c>
      <c r="D12983" s="32" t="s">
        <v>35302</v>
      </c>
    </row>
    <row r="12984" spans="2:4" x14ac:dyDescent="0.3">
      <c r="B12984" s="33" t="s">
        <v>35303</v>
      </c>
      <c r="C12984" s="32" t="s">
        <v>35304</v>
      </c>
      <c r="D12984" s="32" t="s">
        <v>35305</v>
      </c>
    </row>
    <row r="12985" spans="2:4" x14ac:dyDescent="0.3">
      <c r="B12985" s="33" t="s">
        <v>35306</v>
      </c>
      <c r="C12985" s="32" t="s">
        <v>35307</v>
      </c>
      <c r="D12985" s="32" t="s">
        <v>35308</v>
      </c>
    </row>
    <row r="12986" spans="2:4" x14ac:dyDescent="0.3">
      <c r="B12986" s="33" t="s">
        <v>28824</v>
      </c>
      <c r="C12986" s="32" t="s">
        <v>35309</v>
      </c>
      <c r="D12986" s="32" t="s">
        <v>35310</v>
      </c>
    </row>
    <row r="12987" spans="2:4" x14ac:dyDescent="0.3">
      <c r="B12987" s="33" t="s">
        <v>32</v>
      </c>
      <c r="C12987" s="32" t="s">
        <v>35311</v>
      </c>
      <c r="D12987" s="32" t="s">
        <v>35312</v>
      </c>
    </row>
    <row r="12988" spans="2:4" x14ac:dyDescent="0.3">
      <c r="B12988" s="33" t="s">
        <v>35313</v>
      </c>
      <c r="C12988" s="32" t="s">
        <v>35314</v>
      </c>
      <c r="D12988" s="32" t="s">
        <v>35315</v>
      </c>
    </row>
    <row r="12989" spans="2:4" x14ac:dyDescent="0.3">
      <c r="B12989" s="33" t="s">
        <v>35316</v>
      </c>
      <c r="C12989" s="32" t="s">
        <v>35317</v>
      </c>
      <c r="D12989" s="32" t="s">
        <v>35318</v>
      </c>
    </row>
    <row r="12990" spans="2:4" x14ac:dyDescent="0.3">
      <c r="B12990" s="33" t="s">
        <v>35319</v>
      </c>
      <c r="C12990" s="32" t="s">
        <v>35320</v>
      </c>
      <c r="D12990" s="32" t="s">
        <v>35321</v>
      </c>
    </row>
    <row r="12991" spans="2:4" x14ac:dyDescent="0.3">
      <c r="B12991" s="33" t="s">
        <v>35322</v>
      </c>
      <c r="C12991" s="32" t="s">
        <v>35323</v>
      </c>
      <c r="D12991" s="32" t="s">
        <v>35324</v>
      </c>
    </row>
    <row r="12992" spans="2:4" x14ac:dyDescent="0.3">
      <c r="B12992" s="33" t="s">
        <v>35325</v>
      </c>
      <c r="C12992" s="32" t="s">
        <v>35326</v>
      </c>
      <c r="D12992" s="32" t="s">
        <v>35327</v>
      </c>
    </row>
    <row r="12993" spans="2:4" x14ac:dyDescent="0.3">
      <c r="B12993" s="33" t="s">
        <v>35328</v>
      </c>
      <c r="C12993" s="32" t="s">
        <v>35329</v>
      </c>
      <c r="D12993" s="32" t="s">
        <v>35330</v>
      </c>
    </row>
    <row r="12994" spans="2:4" x14ac:dyDescent="0.3">
      <c r="B12994" s="33" t="s">
        <v>35331</v>
      </c>
      <c r="C12994" s="32" t="s">
        <v>35332</v>
      </c>
      <c r="D12994" s="32" t="s">
        <v>35333</v>
      </c>
    </row>
    <row r="12995" spans="2:4" x14ac:dyDescent="0.3">
      <c r="B12995" s="33" t="s">
        <v>35334</v>
      </c>
      <c r="C12995" s="32" t="s">
        <v>35335</v>
      </c>
      <c r="D12995" s="32" t="s">
        <v>35336</v>
      </c>
    </row>
    <row r="12996" spans="2:4" x14ac:dyDescent="0.3">
      <c r="B12996" s="33" t="s">
        <v>35337</v>
      </c>
      <c r="C12996" s="32" t="s">
        <v>35338</v>
      </c>
      <c r="D12996" s="32" t="s">
        <v>35339</v>
      </c>
    </row>
    <row r="12997" spans="2:4" x14ac:dyDescent="0.3">
      <c r="B12997" s="33" t="s">
        <v>37264</v>
      </c>
      <c r="C12997" s="32" t="s">
        <v>35340</v>
      </c>
      <c r="D12997" s="32" t="s">
        <v>37394</v>
      </c>
    </row>
    <row r="12998" spans="2:4" x14ac:dyDescent="0.3">
      <c r="B12998" s="33" t="s">
        <v>124</v>
      </c>
      <c r="C12998" s="32" t="s">
        <v>35341</v>
      </c>
      <c r="D12998" s="32" t="s">
        <v>35342</v>
      </c>
    </row>
    <row r="12999" spans="2:4" x14ac:dyDescent="0.3">
      <c r="B12999" s="33" t="s">
        <v>35343</v>
      </c>
      <c r="C12999" s="32" t="s">
        <v>35344</v>
      </c>
      <c r="D12999" s="32" t="s">
        <v>35345</v>
      </c>
    </row>
    <row r="13000" spans="2:4" x14ac:dyDescent="0.3">
      <c r="B13000" s="33" t="s">
        <v>35346</v>
      </c>
      <c r="C13000" s="32" t="s">
        <v>35347</v>
      </c>
      <c r="D13000" s="32" t="s">
        <v>35348</v>
      </c>
    </row>
    <row r="13001" spans="2:4" x14ac:dyDescent="0.3">
      <c r="B13001" s="33" t="s">
        <v>35349</v>
      </c>
      <c r="C13001" s="32" t="s">
        <v>35350</v>
      </c>
      <c r="D13001" s="32" t="s">
        <v>35351</v>
      </c>
    </row>
    <row r="13002" spans="2:4" x14ac:dyDescent="0.3">
      <c r="B13002" s="33" t="s">
        <v>35352</v>
      </c>
      <c r="C13002" s="32" t="s">
        <v>35353</v>
      </c>
      <c r="D13002" s="32" t="s">
        <v>35354</v>
      </c>
    </row>
    <row r="13003" spans="2:4" x14ac:dyDescent="0.3">
      <c r="B13003" s="33" t="s">
        <v>35355</v>
      </c>
      <c r="C13003" s="32" t="s">
        <v>35356</v>
      </c>
      <c r="D13003" s="32" t="s">
        <v>35357</v>
      </c>
    </row>
    <row r="13004" spans="2:4" x14ac:dyDescent="0.3">
      <c r="B13004" s="33" t="s">
        <v>35358</v>
      </c>
      <c r="C13004" s="32" t="s">
        <v>35359</v>
      </c>
      <c r="D13004" s="32" t="s">
        <v>35360</v>
      </c>
    </row>
    <row r="13005" spans="2:4" x14ac:dyDescent="0.3">
      <c r="B13005" s="33" t="s">
        <v>37369</v>
      </c>
      <c r="C13005" s="32" t="s">
        <v>35361</v>
      </c>
      <c r="D13005" s="32" t="s">
        <v>37395</v>
      </c>
    </row>
    <row r="13006" spans="2:4" x14ac:dyDescent="0.3">
      <c r="B13006" s="33" t="s">
        <v>35362</v>
      </c>
      <c r="C13006" s="32" t="s">
        <v>35363</v>
      </c>
      <c r="D13006" s="32" t="s">
        <v>35364</v>
      </c>
    </row>
    <row r="13007" spans="2:4" x14ac:dyDescent="0.3">
      <c r="B13007" s="33" t="s">
        <v>35365</v>
      </c>
      <c r="C13007" s="32" t="s">
        <v>35366</v>
      </c>
      <c r="D13007" s="32" t="s">
        <v>35367</v>
      </c>
    </row>
    <row r="13008" spans="2:4" x14ac:dyDescent="0.3">
      <c r="B13008" s="33" t="s">
        <v>35368</v>
      </c>
      <c r="C13008" s="32" t="s">
        <v>35369</v>
      </c>
      <c r="D13008" s="32" t="s">
        <v>35370</v>
      </c>
    </row>
    <row r="13009" spans="2:4" x14ac:dyDescent="0.3">
      <c r="B13009" s="33" t="s">
        <v>35371</v>
      </c>
      <c r="C13009" s="32" t="s">
        <v>35372</v>
      </c>
      <c r="D13009" s="32" t="s">
        <v>35373</v>
      </c>
    </row>
    <row r="13010" spans="2:4" x14ac:dyDescent="0.3">
      <c r="B13010" s="33" t="s">
        <v>35374</v>
      </c>
      <c r="C13010" s="32" t="s">
        <v>35375</v>
      </c>
      <c r="D13010" s="32" t="s">
        <v>35376</v>
      </c>
    </row>
    <row r="13011" spans="2:4" x14ac:dyDescent="0.3">
      <c r="B13011" s="33" t="s">
        <v>35377</v>
      </c>
      <c r="C13011" s="32" t="s">
        <v>35378</v>
      </c>
      <c r="D13011" s="32" t="s">
        <v>35379</v>
      </c>
    </row>
    <row r="13012" spans="2:4" x14ac:dyDescent="0.3">
      <c r="B13012" s="33" t="s">
        <v>36919</v>
      </c>
      <c r="C13012" s="32" t="s">
        <v>36920</v>
      </c>
      <c r="D13012" s="32" t="s">
        <v>36921</v>
      </c>
    </row>
    <row r="13013" spans="2:4" x14ac:dyDescent="0.3">
      <c r="B13013" s="33" t="s">
        <v>36922</v>
      </c>
      <c r="C13013" s="32" t="s">
        <v>36923</v>
      </c>
      <c r="D13013" s="32" t="s">
        <v>36924</v>
      </c>
    </row>
    <row r="13014" spans="2:4" x14ac:dyDescent="0.3">
      <c r="B13014" s="33" t="s">
        <v>35380</v>
      </c>
      <c r="C13014" s="32" t="s">
        <v>35381</v>
      </c>
      <c r="D13014" s="32" t="s">
        <v>35382</v>
      </c>
    </row>
    <row r="13015" spans="2:4" x14ac:dyDescent="0.3">
      <c r="B13015" s="33" t="s">
        <v>35383</v>
      </c>
      <c r="C13015" s="32" t="s">
        <v>35384</v>
      </c>
      <c r="D13015" s="32" t="s">
        <v>35385</v>
      </c>
    </row>
    <row r="13016" spans="2:4" x14ac:dyDescent="0.3">
      <c r="B13016" s="33" t="s">
        <v>35386</v>
      </c>
      <c r="C13016" s="32" t="s">
        <v>35387</v>
      </c>
      <c r="D13016" s="32" t="s">
        <v>35388</v>
      </c>
    </row>
    <row r="13017" spans="2:4" x14ac:dyDescent="0.3">
      <c r="B13017" s="33" t="s">
        <v>35389</v>
      </c>
      <c r="C13017" s="32" t="s">
        <v>35390</v>
      </c>
      <c r="D13017" s="32" t="s">
        <v>35391</v>
      </c>
    </row>
    <row r="13018" spans="2:4" x14ac:dyDescent="0.3">
      <c r="B13018" s="33" t="s">
        <v>35392</v>
      </c>
      <c r="C13018" s="32" t="s">
        <v>35393</v>
      </c>
      <c r="D13018" s="32" t="s">
        <v>35394</v>
      </c>
    </row>
    <row r="13019" spans="2:4" x14ac:dyDescent="0.3">
      <c r="B13019" s="33" t="s">
        <v>36925</v>
      </c>
      <c r="C13019" s="32" t="s">
        <v>36926</v>
      </c>
      <c r="D13019" s="32" t="s">
        <v>36927</v>
      </c>
    </row>
    <row r="13020" spans="2:4" x14ac:dyDescent="0.3">
      <c r="B13020" s="33" t="s">
        <v>35395</v>
      </c>
      <c r="C13020" s="32" t="s">
        <v>35396</v>
      </c>
      <c r="D13020" s="32" t="s">
        <v>35397</v>
      </c>
    </row>
    <row r="13021" spans="2:4" x14ac:dyDescent="0.3">
      <c r="B13021" s="33" t="s">
        <v>34566</v>
      </c>
      <c r="C13021" s="32" t="s">
        <v>35398</v>
      </c>
      <c r="D13021" s="32" t="s">
        <v>35399</v>
      </c>
    </row>
    <row r="13022" spans="2:4" x14ac:dyDescent="0.3">
      <c r="B13022" s="33" t="s">
        <v>34843</v>
      </c>
      <c r="C13022" s="32" t="s">
        <v>35400</v>
      </c>
      <c r="D13022" s="32" t="s">
        <v>35401</v>
      </c>
    </row>
    <row r="13023" spans="2:4" x14ac:dyDescent="0.3">
      <c r="B13023" s="33" t="s">
        <v>14259</v>
      </c>
      <c r="C13023" s="32" t="s">
        <v>35402</v>
      </c>
      <c r="D13023" s="32" t="s">
        <v>35403</v>
      </c>
    </row>
    <row r="13024" spans="2:4" x14ac:dyDescent="0.3">
      <c r="B13024" s="33" t="s">
        <v>35404</v>
      </c>
      <c r="C13024" s="32" t="s">
        <v>35405</v>
      </c>
      <c r="D13024" s="32" t="s">
        <v>35404</v>
      </c>
    </row>
    <row r="13025" spans="2:4" x14ac:dyDescent="0.3">
      <c r="B13025" s="33" t="s">
        <v>14259</v>
      </c>
      <c r="C13025" s="32" t="s">
        <v>35406</v>
      </c>
      <c r="D13025" s="32" t="s">
        <v>14259</v>
      </c>
    </row>
    <row r="13026" spans="2:4" x14ac:dyDescent="0.3">
      <c r="B13026" s="33" t="s">
        <v>35407</v>
      </c>
      <c r="C13026" s="32" t="s">
        <v>35408</v>
      </c>
      <c r="D13026" s="32" t="s">
        <v>35407</v>
      </c>
    </row>
    <row r="13027" spans="2:4" x14ac:dyDescent="0.3">
      <c r="B13027" s="33" t="s">
        <v>35409</v>
      </c>
      <c r="C13027" s="32" t="s">
        <v>35410</v>
      </c>
      <c r="D13027" s="32" t="s">
        <v>35409</v>
      </c>
    </row>
    <row r="13028" spans="2:4" x14ac:dyDescent="0.3">
      <c r="B13028" s="33" t="s">
        <v>35411</v>
      </c>
      <c r="C13028" s="32" t="s">
        <v>35412</v>
      </c>
      <c r="D13028" s="32" t="s">
        <v>35413</v>
      </c>
    </row>
    <row r="13029" spans="2:4" x14ac:dyDescent="0.3">
      <c r="B13029" s="33" t="s">
        <v>35414</v>
      </c>
      <c r="C13029" s="32" t="s">
        <v>35415</v>
      </c>
      <c r="D13029" s="32" t="s">
        <v>35414</v>
      </c>
    </row>
    <row r="13030" spans="2:4" x14ac:dyDescent="0.3">
      <c r="B13030" s="33" t="s">
        <v>35416</v>
      </c>
      <c r="C13030" s="32" t="s">
        <v>35417</v>
      </c>
      <c r="D13030" s="32" t="s">
        <v>35418</v>
      </c>
    </row>
    <row r="13031" spans="2:4" x14ac:dyDescent="0.3">
      <c r="B13031" s="33" t="s">
        <v>35419</v>
      </c>
      <c r="C13031" s="32" t="s">
        <v>35420</v>
      </c>
      <c r="D13031" s="32" t="s">
        <v>35421</v>
      </c>
    </row>
    <row r="13032" spans="2:4" x14ac:dyDescent="0.3">
      <c r="B13032" s="33" t="s">
        <v>35422</v>
      </c>
      <c r="C13032" s="32" t="s">
        <v>35423</v>
      </c>
      <c r="D13032" s="32" t="s">
        <v>35424</v>
      </c>
    </row>
    <row r="13033" spans="2:4" x14ac:dyDescent="0.3">
      <c r="B13033" s="33" t="s">
        <v>25378</v>
      </c>
      <c r="C13033" s="32" t="s">
        <v>35425</v>
      </c>
      <c r="D13033" s="32" t="s">
        <v>35426</v>
      </c>
    </row>
    <row r="13034" spans="2:4" x14ac:dyDescent="0.3">
      <c r="B13034" s="33" t="s">
        <v>35427</v>
      </c>
      <c r="C13034" s="32" t="s">
        <v>35428</v>
      </c>
      <c r="D13034" s="32" t="s">
        <v>35429</v>
      </c>
    </row>
    <row r="13035" spans="2:4" x14ac:dyDescent="0.3">
      <c r="B13035" s="33" t="s">
        <v>33789</v>
      </c>
      <c r="C13035" s="32" t="s">
        <v>35430</v>
      </c>
      <c r="D13035" s="32" t="s">
        <v>35431</v>
      </c>
    </row>
    <row r="13036" spans="2:4" x14ac:dyDescent="0.3">
      <c r="B13036" s="33" t="s">
        <v>35432</v>
      </c>
      <c r="C13036" s="32" t="s">
        <v>35433</v>
      </c>
      <c r="D13036" s="32" t="s">
        <v>35434</v>
      </c>
    </row>
    <row r="13037" spans="2:4" x14ac:dyDescent="0.3">
      <c r="B13037" s="33" t="s">
        <v>35435</v>
      </c>
      <c r="C13037" s="32" t="s">
        <v>35436</v>
      </c>
      <c r="D13037" s="32" t="s">
        <v>35435</v>
      </c>
    </row>
    <row r="13038" spans="2:4" x14ac:dyDescent="0.3">
      <c r="B13038" s="33" t="s">
        <v>35437</v>
      </c>
      <c r="C13038" s="32" t="s">
        <v>35438</v>
      </c>
      <c r="D13038" s="32" t="s">
        <v>35439</v>
      </c>
    </row>
    <row r="13039" spans="2:4" x14ac:dyDescent="0.3">
      <c r="B13039" s="33" t="s">
        <v>17081</v>
      </c>
      <c r="C13039" s="32" t="s">
        <v>35440</v>
      </c>
      <c r="D13039" s="32" t="s">
        <v>35441</v>
      </c>
    </row>
    <row r="13040" spans="2:4" x14ac:dyDescent="0.3">
      <c r="B13040" s="33" t="s">
        <v>3909</v>
      </c>
      <c r="C13040" s="32" t="s">
        <v>35442</v>
      </c>
      <c r="D13040" s="32" t="s">
        <v>35443</v>
      </c>
    </row>
    <row r="13041" spans="2:4" x14ac:dyDescent="0.3">
      <c r="B13041" s="33" t="s">
        <v>4781</v>
      </c>
      <c r="C13041" s="32" t="s">
        <v>35444</v>
      </c>
      <c r="D13041" s="32" t="s">
        <v>35445</v>
      </c>
    </row>
    <row r="13042" spans="2:4" x14ac:dyDescent="0.3">
      <c r="B13042" s="33" t="s">
        <v>8908</v>
      </c>
      <c r="C13042" s="32" t="s">
        <v>35446</v>
      </c>
      <c r="D13042" s="32" t="s">
        <v>35447</v>
      </c>
    </row>
    <row r="13043" spans="2:4" x14ac:dyDescent="0.3">
      <c r="B13043" s="33" t="s">
        <v>35448</v>
      </c>
      <c r="C13043" s="32" t="s">
        <v>35449</v>
      </c>
      <c r="D13043" s="32" t="s">
        <v>35450</v>
      </c>
    </row>
    <row r="13044" spans="2:4" x14ac:dyDescent="0.3">
      <c r="B13044" s="33" t="s">
        <v>35451</v>
      </c>
      <c r="C13044" s="32" t="s">
        <v>35452</v>
      </c>
      <c r="D13044" s="32" t="s">
        <v>35451</v>
      </c>
    </row>
    <row r="13045" spans="2:4" x14ac:dyDescent="0.3">
      <c r="B13045" s="33" t="s">
        <v>35453</v>
      </c>
      <c r="C13045" s="32" t="s">
        <v>35454</v>
      </c>
      <c r="D13045" s="32" t="s">
        <v>35455</v>
      </c>
    </row>
    <row r="13046" spans="2:4" x14ac:dyDescent="0.3">
      <c r="B13046" s="33" t="s">
        <v>35456</v>
      </c>
      <c r="C13046" s="32" t="s">
        <v>35457</v>
      </c>
      <c r="D13046" s="32" t="s">
        <v>35458</v>
      </c>
    </row>
    <row r="13047" spans="2:4" x14ac:dyDescent="0.3">
      <c r="B13047" s="33" t="s">
        <v>35459</v>
      </c>
      <c r="C13047" s="32" t="s">
        <v>35460</v>
      </c>
      <c r="D13047" s="32" t="s">
        <v>35461</v>
      </c>
    </row>
    <row r="13048" spans="2:4" x14ac:dyDescent="0.3">
      <c r="B13048" s="33" t="s">
        <v>30605</v>
      </c>
      <c r="C13048" s="32" t="s">
        <v>35462</v>
      </c>
      <c r="D13048" s="32" t="s">
        <v>35463</v>
      </c>
    </row>
    <row r="13049" spans="2:4" x14ac:dyDescent="0.3">
      <c r="B13049" s="33" t="s">
        <v>35464</v>
      </c>
      <c r="C13049" s="32" t="s">
        <v>35465</v>
      </c>
      <c r="D13049" s="32" t="s">
        <v>35466</v>
      </c>
    </row>
    <row r="13050" spans="2:4" x14ac:dyDescent="0.3">
      <c r="B13050" s="33" t="s">
        <v>35467</v>
      </c>
      <c r="C13050" s="32" t="s">
        <v>35468</v>
      </c>
      <c r="D13050" s="32" t="s">
        <v>35469</v>
      </c>
    </row>
    <row r="13051" spans="2:4" x14ac:dyDescent="0.3">
      <c r="B13051" s="33" t="s">
        <v>35470</v>
      </c>
      <c r="C13051" s="32" t="s">
        <v>35471</v>
      </c>
      <c r="D13051" s="32" t="s">
        <v>35472</v>
      </c>
    </row>
    <row r="13052" spans="2:4" x14ac:dyDescent="0.3">
      <c r="B13052" s="33" t="s">
        <v>35473</v>
      </c>
      <c r="C13052" s="32" t="s">
        <v>35474</v>
      </c>
      <c r="D13052" s="32" t="s">
        <v>35475</v>
      </c>
    </row>
    <row r="13053" spans="2:4" x14ac:dyDescent="0.3">
      <c r="B13053" s="33" t="s">
        <v>13827</v>
      </c>
      <c r="C13053" s="32" t="s">
        <v>35476</v>
      </c>
      <c r="D13053" s="32" t="s">
        <v>35477</v>
      </c>
    </row>
    <row r="13054" spans="2:4" x14ac:dyDescent="0.3">
      <c r="B13054" s="33" t="s">
        <v>35478</v>
      </c>
      <c r="C13054" s="32" t="s">
        <v>35479</v>
      </c>
      <c r="D13054" s="32" t="s">
        <v>35478</v>
      </c>
    </row>
    <row r="13055" spans="2:4" x14ac:dyDescent="0.3">
      <c r="B13055" s="33" t="s">
        <v>35480</v>
      </c>
      <c r="C13055" s="32" t="s">
        <v>35481</v>
      </c>
      <c r="D13055" s="32" t="s">
        <v>35482</v>
      </c>
    </row>
    <row r="13056" spans="2:4" x14ac:dyDescent="0.3">
      <c r="B13056" s="33" t="s">
        <v>35483</v>
      </c>
      <c r="C13056" s="32" t="s">
        <v>35484</v>
      </c>
      <c r="D13056" s="32" t="s">
        <v>35483</v>
      </c>
    </row>
    <row r="13057" spans="2:4" x14ac:dyDescent="0.3">
      <c r="B13057" s="33" t="s">
        <v>35485</v>
      </c>
      <c r="C13057" s="32" t="s">
        <v>35486</v>
      </c>
      <c r="D13057" s="32" t="s">
        <v>35487</v>
      </c>
    </row>
    <row r="13058" spans="2:4" x14ac:dyDescent="0.3">
      <c r="B13058" s="33" t="s">
        <v>35488</v>
      </c>
      <c r="C13058" s="32" t="s">
        <v>35489</v>
      </c>
      <c r="D13058" s="32" t="s">
        <v>35488</v>
      </c>
    </row>
    <row r="13059" spans="2:4" x14ac:dyDescent="0.3">
      <c r="B13059" s="33" t="s">
        <v>35490</v>
      </c>
      <c r="C13059" s="32" t="s">
        <v>35491</v>
      </c>
      <c r="D13059" s="32" t="s">
        <v>35492</v>
      </c>
    </row>
    <row r="13060" spans="2:4" x14ac:dyDescent="0.3">
      <c r="B13060" s="33" t="s">
        <v>7266</v>
      </c>
      <c r="C13060" s="32" t="s">
        <v>35493</v>
      </c>
      <c r="D13060" s="32" t="s">
        <v>35494</v>
      </c>
    </row>
    <row r="13061" spans="2:4" x14ac:dyDescent="0.3">
      <c r="B13061" s="33" t="s">
        <v>35495</v>
      </c>
      <c r="C13061" s="32" t="s">
        <v>35496</v>
      </c>
      <c r="D13061" s="32" t="s">
        <v>35497</v>
      </c>
    </row>
    <row r="13062" spans="2:4" x14ac:dyDescent="0.3">
      <c r="B13062" s="33" t="s">
        <v>35498</v>
      </c>
      <c r="C13062" s="32" t="s">
        <v>35499</v>
      </c>
      <c r="D13062" s="32" t="s">
        <v>35500</v>
      </c>
    </row>
    <row r="13063" spans="2:4" x14ac:dyDescent="0.3">
      <c r="B13063" s="33" t="s">
        <v>31262</v>
      </c>
      <c r="C13063" s="32" t="s">
        <v>35501</v>
      </c>
      <c r="D13063" s="32" t="s">
        <v>35502</v>
      </c>
    </row>
    <row r="13064" spans="2:4" x14ac:dyDescent="0.3">
      <c r="B13064" s="33" t="s">
        <v>35503</v>
      </c>
      <c r="C13064" s="32" t="s">
        <v>35504</v>
      </c>
      <c r="D13064" s="32" t="s">
        <v>35505</v>
      </c>
    </row>
    <row r="13065" spans="2:4" x14ac:dyDescent="0.3">
      <c r="B13065" s="33" t="s">
        <v>35506</v>
      </c>
      <c r="C13065" s="32" t="s">
        <v>35507</v>
      </c>
      <c r="D13065" s="32" t="s">
        <v>35508</v>
      </c>
    </row>
    <row r="13066" spans="2:4" x14ac:dyDescent="0.3">
      <c r="B13066" s="33" t="s">
        <v>35509</v>
      </c>
      <c r="C13066" s="32" t="s">
        <v>35510</v>
      </c>
      <c r="D13066" s="32" t="s">
        <v>35509</v>
      </c>
    </row>
    <row r="13067" spans="2:4" x14ac:dyDescent="0.3">
      <c r="B13067" s="33" t="s">
        <v>35511</v>
      </c>
      <c r="C13067" s="32" t="s">
        <v>35512</v>
      </c>
      <c r="D13067" s="32" t="s">
        <v>35513</v>
      </c>
    </row>
    <row r="13068" spans="2:4" x14ac:dyDescent="0.3">
      <c r="B13068" s="33" t="s">
        <v>35514</v>
      </c>
      <c r="C13068" s="32" t="s">
        <v>35515</v>
      </c>
      <c r="D13068" s="32" t="s">
        <v>35516</v>
      </c>
    </row>
    <row r="13069" spans="2:4" x14ac:dyDescent="0.3">
      <c r="B13069" s="33" t="s">
        <v>35517</v>
      </c>
      <c r="C13069" s="32" t="s">
        <v>35518</v>
      </c>
      <c r="D13069" s="32" t="s">
        <v>35519</v>
      </c>
    </row>
    <row r="13070" spans="2:4" x14ac:dyDescent="0.3">
      <c r="B13070" s="33" t="s">
        <v>35520</v>
      </c>
      <c r="C13070" s="32" t="s">
        <v>35521</v>
      </c>
      <c r="D13070" s="32" t="s">
        <v>35522</v>
      </c>
    </row>
    <row r="13071" spans="2:4" x14ac:dyDescent="0.3">
      <c r="B13071" s="33" t="s">
        <v>35520</v>
      </c>
      <c r="C13071" s="32" t="s">
        <v>35523</v>
      </c>
      <c r="D13071" s="32" t="s">
        <v>35524</v>
      </c>
    </row>
    <row r="13072" spans="2:4" x14ac:dyDescent="0.3">
      <c r="B13072" s="33" t="s">
        <v>35525</v>
      </c>
      <c r="C13072" s="32" t="s">
        <v>35526</v>
      </c>
      <c r="D13072" s="32" t="s">
        <v>35527</v>
      </c>
    </row>
    <row r="13073" spans="2:4" x14ac:dyDescent="0.3">
      <c r="B13073" s="33" t="s">
        <v>35528</v>
      </c>
      <c r="C13073" s="32" t="s">
        <v>35529</v>
      </c>
      <c r="D13073" s="32" t="s">
        <v>35530</v>
      </c>
    </row>
    <row r="13074" spans="2:4" x14ac:dyDescent="0.3">
      <c r="B13074" s="33" t="s">
        <v>22343</v>
      </c>
      <c r="C13074" s="32" t="s">
        <v>35531</v>
      </c>
      <c r="D13074" s="32" t="s">
        <v>36765</v>
      </c>
    </row>
    <row r="13075" spans="2:4" x14ac:dyDescent="0.3">
      <c r="B13075" s="33" t="s">
        <v>35532</v>
      </c>
      <c r="C13075" s="32" t="s">
        <v>35533</v>
      </c>
      <c r="D13075" s="32" t="s">
        <v>35534</v>
      </c>
    </row>
    <row r="13076" spans="2:4" x14ac:dyDescent="0.3">
      <c r="B13076" s="33" t="s">
        <v>30831</v>
      </c>
      <c r="C13076" s="32" t="s">
        <v>35535</v>
      </c>
      <c r="D13076" s="32" t="s">
        <v>35536</v>
      </c>
    </row>
    <row r="13077" spans="2:4" x14ac:dyDescent="0.3">
      <c r="B13077" s="33" t="s">
        <v>35537</v>
      </c>
      <c r="C13077" s="32" t="s">
        <v>35538</v>
      </c>
      <c r="D13077" s="32" t="s">
        <v>35539</v>
      </c>
    </row>
    <row r="13078" spans="2:4" x14ac:dyDescent="0.3">
      <c r="B13078" s="33" t="s">
        <v>35540</v>
      </c>
      <c r="C13078" s="32" t="s">
        <v>35541</v>
      </c>
      <c r="D13078" s="32" t="s">
        <v>35542</v>
      </c>
    </row>
    <row r="13079" spans="2:4" x14ac:dyDescent="0.3">
      <c r="B13079" s="33" t="s">
        <v>35422</v>
      </c>
      <c r="C13079" s="32" t="s">
        <v>35543</v>
      </c>
      <c r="D13079" s="32" t="s">
        <v>35544</v>
      </c>
    </row>
    <row r="13080" spans="2:4" x14ac:dyDescent="0.3">
      <c r="B13080" s="33" t="s">
        <v>35545</v>
      </c>
      <c r="C13080" s="32" t="s">
        <v>35546</v>
      </c>
      <c r="D13080" s="32" t="s">
        <v>35545</v>
      </c>
    </row>
    <row r="13081" spans="2:4" x14ac:dyDescent="0.3">
      <c r="B13081" s="33" t="s">
        <v>35547</v>
      </c>
      <c r="C13081" s="32" t="s">
        <v>35548</v>
      </c>
      <c r="D13081" s="32" t="s">
        <v>35549</v>
      </c>
    </row>
    <row r="13082" spans="2:4" x14ac:dyDescent="0.3">
      <c r="B13082" s="33" t="s">
        <v>9960</v>
      </c>
      <c r="C13082" s="32" t="s">
        <v>35550</v>
      </c>
      <c r="D13082" s="32" t="s">
        <v>35551</v>
      </c>
    </row>
    <row r="13083" spans="2:4" x14ac:dyDescent="0.3">
      <c r="B13083" s="33" t="s">
        <v>35552</v>
      </c>
      <c r="C13083" s="32" t="s">
        <v>35553</v>
      </c>
      <c r="D13083" s="32" t="s">
        <v>35554</v>
      </c>
    </row>
    <row r="13084" spans="2:4" x14ac:dyDescent="0.3">
      <c r="B13084" s="33" t="s">
        <v>35555</v>
      </c>
      <c r="C13084" s="32" t="s">
        <v>35556</v>
      </c>
      <c r="D13084" s="32" t="s">
        <v>35557</v>
      </c>
    </row>
    <row r="13085" spans="2:4" x14ac:dyDescent="0.3">
      <c r="B13085" s="33" t="s">
        <v>35558</v>
      </c>
      <c r="C13085" s="32" t="s">
        <v>35559</v>
      </c>
      <c r="D13085" s="32" t="s">
        <v>35560</v>
      </c>
    </row>
    <row r="13086" spans="2:4" x14ac:dyDescent="0.3">
      <c r="B13086" s="33" t="s">
        <v>35561</v>
      </c>
      <c r="C13086" s="32" t="s">
        <v>35562</v>
      </c>
      <c r="D13086" s="32" t="s">
        <v>35563</v>
      </c>
    </row>
    <row r="13087" spans="2:4" x14ac:dyDescent="0.3">
      <c r="B13087" s="33" t="s">
        <v>28827</v>
      </c>
      <c r="C13087" s="32" t="s">
        <v>35564</v>
      </c>
      <c r="D13087" s="32" t="s">
        <v>35565</v>
      </c>
    </row>
    <row r="13088" spans="2:4" x14ac:dyDescent="0.3">
      <c r="B13088" s="33" t="s">
        <v>35566</v>
      </c>
      <c r="C13088" s="32" t="s">
        <v>35567</v>
      </c>
      <c r="D13088" s="32" t="s">
        <v>35568</v>
      </c>
    </row>
    <row r="13089" spans="2:4" x14ac:dyDescent="0.3">
      <c r="B13089" s="33" t="s">
        <v>35569</v>
      </c>
      <c r="C13089" s="32" t="s">
        <v>35570</v>
      </c>
      <c r="D13089" s="32" t="s">
        <v>35571</v>
      </c>
    </row>
    <row r="13090" spans="2:4" x14ac:dyDescent="0.3">
      <c r="B13090" s="33" t="s">
        <v>35572</v>
      </c>
      <c r="C13090" s="32" t="s">
        <v>35573</v>
      </c>
      <c r="D13090" s="32" t="s">
        <v>35574</v>
      </c>
    </row>
    <row r="13091" spans="2:4" x14ac:dyDescent="0.3">
      <c r="B13091" s="33" t="s">
        <v>35575</v>
      </c>
      <c r="C13091" s="32" t="s">
        <v>35576</v>
      </c>
      <c r="D13091" s="32" t="s">
        <v>35577</v>
      </c>
    </row>
    <row r="13092" spans="2:4" x14ac:dyDescent="0.3">
      <c r="B13092" s="33" t="s">
        <v>35578</v>
      </c>
      <c r="C13092" s="32" t="s">
        <v>35579</v>
      </c>
      <c r="D13092" s="32" t="s">
        <v>35580</v>
      </c>
    </row>
    <row r="13093" spans="2:4" x14ac:dyDescent="0.3">
      <c r="B13093" s="33" t="s">
        <v>35581</v>
      </c>
      <c r="C13093" s="32" t="s">
        <v>35582</v>
      </c>
      <c r="D13093" s="32" t="s">
        <v>35583</v>
      </c>
    </row>
    <row r="13094" spans="2:4" x14ac:dyDescent="0.3">
      <c r="B13094" s="33" t="s">
        <v>35584</v>
      </c>
      <c r="C13094" s="32" t="s">
        <v>35585</v>
      </c>
      <c r="D13094" s="32" t="s">
        <v>35586</v>
      </c>
    </row>
    <row r="13095" spans="2:4" x14ac:dyDescent="0.3">
      <c r="B13095" s="33" t="s">
        <v>35587</v>
      </c>
      <c r="C13095" s="32" t="s">
        <v>35588</v>
      </c>
      <c r="D13095" s="32" t="s">
        <v>35589</v>
      </c>
    </row>
    <row r="13096" spans="2:4" x14ac:dyDescent="0.3">
      <c r="B13096" s="33" t="s">
        <v>35590</v>
      </c>
      <c r="C13096" s="32" t="s">
        <v>35591</v>
      </c>
      <c r="D13096" s="32" t="s">
        <v>35592</v>
      </c>
    </row>
    <row r="13097" spans="2:4" x14ac:dyDescent="0.3">
      <c r="B13097" s="33" t="s">
        <v>35593</v>
      </c>
      <c r="C13097" s="32" t="s">
        <v>35594</v>
      </c>
      <c r="D13097" s="32" t="s">
        <v>35595</v>
      </c>
    </row>
    <row r="13098" spans="2:4" x14ac:dyDescent="0.3">
      <c r="B13098" s="33" t="s">
        <v>35596</v>
      </c>
      <c r="C13098" s="32" t="s">
        <v>35597</v>
      </c>
      <c r="D13098" s="32" t="s">
        <v>35598</v>
      </c>
    </row>
    <row r="13099" spans="2:4" x14ac:dyDescent="0.3">
      <c r="B13099" s="33" t="s">
        <v>35599</v>
      </c>
      <c r="C13099" s="32" t="s">
        <v>35600</v>
      </c>
      <c r="D13099" s="32" t="s">
        <v>35601</v>
      </c>
    </row>
    <row r="13100" spans="2:4" x14ac:dyDescent="0.3">
      <c r="B13100" s="33" t="s">
        <v>35602</v>
      </c>
      <c r="C13100" s="32" t="s">
        <v>35603</v>
      </c>
      <c r="D13100" s="32" t="s">
        <v>35604</v>
      </c>
    </row>
    <row r="13101" spans="2:4" x14ac:dyDescent="0.3">
      <c r="B13101" s="33" t="s">
        <v>35605</v>
      </c>
      <c r="C13101" s="32" t="s">
        <v>35606</v>
      </c>
      <c r="D13101" s="32" t="s">
        <v>35607</v>
      </c>
    </row>
    <row r="13102" spans="2:4" x14ac:dyDescent="0.3">
      <c r="B13102" s="33" t="s">
        <v>35608</v>
      </c>
      <c r="C13102" s="32" t="s">
        <v>35609</v>
      </c>
      <c r="D13102" s="32" t="s">
        <v>35610</v>
      </c>
    </row>
    <row r="13103" spans="2:4" x14ac:dyDescent="0.3">
      <c r="B13103" s="33" t="s">
        <v>35611</v>
      </c>
      <c r="C13103" s="32" t="s">
        <v>35612</v>
      </c>
      <c r="D13103" s="32" t="s">
        <v>35613</v>
      </c>
    </row>
    <row r="13104" spans="2:4" x14ac:dyDescent="0.3">
      <c r="B13104" s="33" t="s">
        <v>35614</v>
      </c>
      <c r="C13104" s="32" t="s">
        <v>35615</v>
      </c>
      <c r="D13104" s="32" t="s">
        <v>35616</v>
      </c>
    </row>
    <row r="13105" spans="2:4" x14ac:dyDescent="0.3">
      <c r="B13105" s="33" t="s">
        <v>32878</v>
      </c>
      <c r="C13105" s="32" t="s">
        <v>35617</v>
      </c>
      <c r="D13105" s="32" t="s">
        <v>35618</v>
      </c>
    </row>
    <row r="13106" spans="2:4" x14ac:dyDescent="0.3">
      <c r="B13106" s="33" t="s">
        <v>32878</v>
      </c>
      <c r="C13106" s="32" t="s">
        <v>36766</v>
      </c>
      <c r="D13106" s="32" t="s">
        <v>36767</v>
      </c>
    </row>
    <row r="13107" spans="2:4" x14ac:dyDescent="0.3">
      <c r="B13107" s="33" t="s">
        <v>35619</v>
      </c>
      <c r="C13107" s="32" t="s">
        <v>35620</v>
      </c>
      <c r="D13107" s="32" t="s">
        <v>35621</v>
      </c>
    </row>
    <row r="13108" spans="2:4" x14ac:dyDescent="0.3">
      <c r="B13108" s="33" t="s">
        <v>35622</v>
      </c>
      <c r="C13108" s="32" t="s">
        <v>35623</v>
      </c>
      <c r="D13108" s="32" t="s">
        <v>35622</v>
      </c>
    </row>
    <row r="13109" spans="2:4" x14ac:dyDescent="0.3">
      <c r="B13109" s="33" t="s">
        <v>35624</v>
      </c>
      <c r="C13109" s="32" t="s">
        <v>35625</v>
      </c>
      <c r="D13109" s="32" t="s">
        <v>35626</v>
      </c>
    </row>
    <row r="13110" spans="2:4" x14ac:dyDescent="0.3">
      <c r="B13110" s="33" t="s">
        <v>35627</v>
      </c>
      <c r="C13110" s="32" t="s">
        <v>35628</v>
      </c>
      <c r="D13110" s="32" t="s">
        <v>35629</v>
      </c>
    </row>
    <row r="13111" spans="2:4" x14ac:dyDescent="0.3">
      <c r="B13111" s="33" t="s">
        <v>35630</v>
      </c>
      <c r="C13111" s="32" t="s">
        <v>35631</v>
      </c>
      <c r="D13111" s="32" t="s">
        <v>35632</v>
      </c>
    </row>
    <row r="13112" spans="2:4" x14ac:dyDescent="0.3">
      <c r="B13112" s="33" t="s">
        <v>35633</v>
      </c>
      <c r="C13112" s="32" t="s">
        <v>35634</v>
      </c>
      <c r="D13112" s="32" t="s">
        <v>35635</v>
      </c>
    </row>
    <row r="13113" spans="2:4" x14ac:dyDescent="0.3">
      <c r="B13113" s="33" t="s">
        <v>35636</v>
      </c>
      <c r="C13113" s="32" t="s">
        <v>35637</v>
      </c>
      <c r="D13113" s="32" t="s">
        <v>35638</v>
      </c>
    </row>
    <row r="13114" spans="2:4" x14ac:dyDescent="0.3">
      <c r="B13114" s="33" t="s">
        <v>25378</v>
      </c>
      <c r="C13114" s="32" t="s">
        <v>35639</v>
      </c>
      <c r="D13114" s="32" t="s">
        <v>25378</v>
      </c>
    </row>
    <row r="13115" spans="2:4" x14ac:dyDescent="0.3">
      <c r="B13115" s="33" t="s">
        <v>35640</v>
      </c>
      <c r="C13115" s="32" t="s">
        <v>35641</v>
      </c>
      <c r="D13115" s="32" t="s">
        <v>35642</v>
      </c>
    </row>
    <row r="13116" spans="2:4" x14ac:dyDescent="0.3">
      <c r="B13116" s="33" t="s">
        <v>35643</v>
      </c>
      <c r="C13116" s="32" t="s">
        <v>35644</v>
      </c>
      <c r="D13116" s="32" t="s">
        <v>35645</v>
      </c>
    </row>
    <row r="13117" spans="2:4" x14ac:dyDescent="0.3">
      <c r="B13117" s="33" t="s">
        <v>35646</v>
      </c>
      <c r="C13117" s="32" t="s">
        <v>35647</v>
      </c>
      <c r="D13117" s="32" t="s">
        <v>35648</v>
      </c>
    </row>
    <row r="13118" spans="2:4" x14ac:dyDescent="0.3">
      <c r="B13118" s="33" t="s">
        <v>35649</v>
      </c>
      <c r="C13118" s="32" t="s">
        <v>35650</v>
      </c>
      <c r="D13118" s="32" t="s">
        <v>35651</v>
      </c>
    </row>
    <row r="13119" spans="2:4" x14ac:dyDescent="0.3">
      <c r="B13119" s="33" t="s">
        <v>35652</v>
      </c>
      <c r="C13119" s="32" t="s">
        <v>35653</v>
      </c>
      <c r="D13119" s="32" t="s">
        <v>35654</v>
      </c>
    </row>
    <row r="13120" spans="2:4" x14ac:dyDescent="0.3">
      <c r="B13120" s="33" t="s">
        <v>25378</v>
      </c>
      <c r="C13120" s="32" t="s">
        <v>35655</v>
      </c>
      <c r="D13120" s="32" t="s">
        <v>35656</v>
      </c>
    </row>
    <row r="13121" spans="2:4" x14ac:dyDescent="0.3">
      <c r="B13121" s="33" t="s">
        <v>35652</v>
      </c>
      <c r="C13121" s="32" t="s">
        <v>35657</v>
      </c>
      <c r="D13121" s="32" t="s">
        <v>35658</v>
      </c>
    </row>
    <row r="13122" spans="2:4" x14ac:dyDescent="0.3">
      <c r="B13122" s="33" t="s">
        <v>25689</v>
      </c>
      <c r="C13122" s="32" t="s">
        <v>35659</v>
      </c>
      <c r="D13122" s="32" t="s">
        <v>35660</v>
      </c>
    </row>
    <row r="13123" spans="2:4" x14ac:dyDescent="0.3">
      <c r="B13123" s="33" t="s">
        <v>35661</v>
      </c>
      <c r="C13123" s="32" t="s">
        <v>35662</v>
      </c>
      <c r="D13123" s="32" t="s">
        <v>35663</v>
      </c>
    </row>
    <row r="13124" spans="2:4" x14ac:dyDescent="0.3">
      <c r="B13124" s="33" t="s">
        <v>35664</v>
      </c>
      <c r="C13124" s="32" t="s">
        <v>35665</v>
      </c>
      <c r="D13124" s="32" t="s">
        <v>35666</v>
      </c>
    </row>
    <row r="13125" spans="2:4" x14ac:dyDescent="0.3">
      <c r="B13125" s="33" t="s">
        <v>35667</v>
      </c>
      <c r="C13125" s="32" t="s">
        <v>35668</v>
      </c>
      <c r="D13125" s="32" t="s">
        <v>35669</v>
      </c>
    </row>
    <row r="13126" spans="2:4" x14ac:dyDescent="0.3">
      <c r="B13126" s="33" t="s">
        <v>23511</v>
      </c>
      <c r="C13126" s="32" t="s">
        <v>37088</v>
      </c>
      <c r="D13126" s="32" t="s">
        <v>37089</v>
      </c>
    </row>
    <row r="13127" spans="2:4" x14ac:dyDescent="0.3">
      <c r="B13127" s="33" t="s">
        <v>35670</v>
      </c>
      <c r="C13127" s="32" t="s">
        <v>35671</v>
      </c>
      <c r="D13127" s="32" t="s">
        <v>35672</v>
      </c>
    </row>
    <row r="13128" spans="2:4" x14ac:dyDescent="0.3">
      <c r="B13128" s="33" t="s">
        <v>26614</v>
      </c>
      <c r="C13128" s="32" t="s">
        <v>35673</v>
      </c>
      <c r="D13128" s="32" t="s">
        <v>35674</v>
      </c>
    </row>
    <row r="13129" spans="2:4" x14ac:dyDescent="0.3">
      <c r="B13129" s="33" t="s">
        <v>35675</v>
      </c>
      <c r="C13129" s="32" t="s">
        <v>35676</v>
      </c>
      <c r="D13129" s="32" t="s">
        <v>35677</v>
      </c>
    </row>
    <row r="13130" spans="2:4" x14ac:dyDescent="0.3">
      <c r="B13130" s="33" t="s">
        <v>35678</v>
      </c>
      <c r="C13130" s="32" t="s">
        <v>35679</v>
      </c>
      <c r="D13130" s="32" t="s">
        <v>35680</v>
      </c>
    </row>
    <row r="13131" spans="2:4" x14ac:dyDescent="0.3">
      <c r="B13131" s="33" t="s">
        <v>35681</v>
      </c>
      <c r="C13131" s="32" t="s">
        <v>35682</v>
      </c>
      <c r="D13131" s="32" t="s">
        <v>35683</v>
      </c>
    </row>
    <row r="13132" spans="2:4" x14ac:dyDescent="0.3">
      <c r="B13132" s="33" t="s">
        <v>35684</v>
      </c>
      <c r="C13132" s="32" t="s">
        <v>35685</v>
      </c>
      <c r="D13132" s="32" t="s">
        <v>35686</v>
      </c>
    </row>
    <row r="13133" spans="2:4" x14ac:dyDescent="0.3">
      <c r="B13133" s="33" t="s">
        <v>35687</v>
      </c>
      <c r="C13133" s="32" t="s">
        <v>35688</v>
      </c>
      <c r="D13133" s="32" t="s">
        <v>35689</v>
      </c>
    </row>
    <row r="13134" spans="2:4" x14ac:dyDescent="0.3">
      <c r="B13134" s="33" t="s">
        <v>35690</v>
      </c>
      <c r="C13134" s="32" t="s">
        <v>35691</v>
      </c>
      <c r="D13134" s="32" t="s">
        <v>35692</v>
      </c>
    </row>
    <row r="13135" spans="2:4" x14ac:dyDescent="0.3">
      <c r="B13135" s="33" t="s">
        <v>35693</v>
      </c>
      <c r="C13135" s="32" t="s">
        <v>35694</v>
      </c>
      <c r="D13135" s="32" t="s">
        <v>35693</v>
      </c>
    </row>
    <row r="13136" spans="2:4" x14ac:dyDescent="0.3">
      <c r="B13136" s="33" t="s">
        <v>29060</v>
      </c>
      <c r="C13136" s="32" t="s">
        <v>35695</v>
      </c>
      <c r="D13136" s="32" t="s">
        <v>35696</v>
      </c>
    </row>
    <row r="13137" spans="2:4" x14ac:dyDescent="0.3">
      <c r="B13137" s="33" t="s">
        <v>35697</v>
      </c>
      <c r="C13137" s="32" t="s">
        <v>35698</v>
      </c>
      <c r="D13137" s="32" t="s">
        <v>35699</v>
      </c>
    </row>
    <row r="13138" spans="2:4" x14ac:dyDescent="0.3">
      <c r="B13138" s="33" t="s">
        <v>35700</v>
      </c>
      <c r="C13138" s="32" t="s">
        <v>35701</v>
      </c>
      <c r="D13138" s="32" t="s">
        <v>35702</v>
      </c>
    </row>
    <row r="13139" spans="2:4" x14ac:dyDescent="0.3">
      <c r="B13139" s="33" t="s">
        <v>35703</v>
      </c>
      <c r="C13139" s="32" t="s">
        <v>35704</v>
      </c>
      <c r="D13139" s="32" t="s">
        <v>35705</v>
      </c>
    </row>
    <row r="13140" spans="2:4" x14ac:dyDescent="0.3">
      <c r="B13140" s="33" t="s">
        <v>35706</v>
      </c>
      <c r="C13140" s="32" t="s">
        <v>35707</v>
      </c>
      <c r="D13140" s="32" t="s">
        <v>35708</v>
      </c>
    </row>
    <row r="13141" spans="2:4" x14ac:dyDescent="0.3">
      <c r="B13141" s="33" t="s">
        <v>35706</v>
      </c>
      <c r="C13141" s="32" t="s">
        <v>35709</v>
      </c>
      <c r="D13141" s="32" t="s">
        <v>35710</v>
      </c>
    </row>
    <row r="13142" spans="2:4" x14ac:dyDescent="0.3">
      <c r="B13142" s="33" t="s">
        <v>35711</v>
      </c>
      <c r="C13142" s="32" t="s">
        <v>35712</v>
      </c>
      <c r="D13142" s="32" t="s">
        <v>35713</v>
      </c>
    </row>
    <row r="13143" spans="2:4" x14ac:dyDescent="0.3">
      <c r="B13143" s="33" t="s">
        <v>35714</v>
      </c>
      <c r="C13143" s="32" t="s">
        <v>35715</v>
      </c>
      <c r="D13143" s="32" t="s">
        <v>35716</v>
      </c>
    </row>
    <row r="13144" spans="2:4" x14ac:dyDescent="0.3">
      <c r="B13144" s="33" t="s">
        <v>35717</v>
      </c>
      <c r="C13144" s="32" t="s">
        <v>35718</v>
      </c>
      <c r="D13144" s="32" t="s">
        <v>35719</v>
      </c>
    </row>
    <row r="13145" spans="2:4" x14ac:dyDescent="0.3">
      <c r="B13145" s="33" t="s">
        <v>32438</v>
      </c>
      <c r="C13145" s="32" t="s">
        <v>35720</v>
      </c>
      <c r="D13145" s="32" t="s">
        <v>35721</v>
      </c>
    </row>
    <row r="13146" spans="2:4" x14ac:dyDescent="0.3">
      <c r="B13146" s="33" t="s">
        <v>35722</v>
      </c>
      <c r="C13146" s="32" t="s">
        <v>35723</v>
      </c>
      <c r="D13146" s="32" t="s">
        <v>35724</v>
      </c>
    </row>
    <row r="13147" spans="2:4" x14ac:dyDescent="0.3">
      <c r="B13147" s="33" t="s">
        <v>35725</v>
      </c>
      <c r="C13147" s="32" t="s">
        <v>35726</v>
      </c>
      <c r="D13147" s="32" t="s">
        <v>35727</v>
      </c>
    </row>
    <row r="13148" spans="2:4" x14ac:dyDescent="0.3">
      <c r="B13148" s="33" t="s">
        <v>35728</v>
      </c>
      <c r="C13148" s="32" t="s">
        <v>35729</v>
      </c>
      <c r="D13148" s="32" t="s">
        <v>35730</v>
      </c>
    </row>
    <row r="13149" spans="2:4" x14ac:dyDescent="0.3">
      <c r="B13149" s="33" t="s">
        <v>35728</v>
      </c>
      <c r="C13149" s="32" t="s">
        <v>35731</v>
      </c>
      <c r="D13149" s="32" t="s">
        <v>35728</v>
      </c>
    </row>
    <row r="13150" spans="2:4" x14ac:dyDescent="0.3">
      <c r="B13150" s="33" t="s">
        <v>35732</v>
      </c>
      <c r="C13150" s="32" t="s">
        <v>35733</v>
      </c>
      <c r="D13150" s="32" t="s">
        <v>35734</v>
      </c>
    </row>
    <row r="13151" spans="2:4" x14ac:dyDescent="0.3">
      <c r="B13151" s="33" t="s">
        <v>35735</v>
      </c>
      <c r="C13151" s="32" t="s">
        <v>35736</v>
      </c>
      <c r="D13151" s="32" t="s">
        <v>35735</v>
      </c>
    </row>
    <row r="13152" spans="2:4" x14ac:dyDescent="0.3">
      <c r="B13152" s="33" t="s">
        <v>35737</v>
      </c>
      <c r="C13152" s="32" t="s">
        <v>35738</v>
      </c>
      <c r="D13152" s="32" t="s">
        <v>35739</v>
      </c>
    </row>
    <row r="13153" spans="2:4" x14ac:dyDescent="0.3">
      <c r="B13153" s="33" t="s">
        <v>36768</v>
      </c>
      <c r="C13153" s="32" t="s">
        <v>36769</v>
      </c>
      <c r="D13153" s="32" t="s">
        <v>36770</v>
      </c>
    </row>
    <row r="13154" spans="2:4" x14ac:dyDescent="0.3">
      <c r="B13154" s="33" t="s">
        <v>31262</v>
      </c>
      <c r="C13154" s="32" t="s">
        <v>35740</v>
      </c>
      <c r="D13154" s="32" t="s">
        <v>35741</v>
      </c>
    </row>
    <row r="13155" spans="2:4" x14ac:dyDescent="0.3">
      <c r="B13155" s="33" t="s">
        <v>31262</v>
      </c>
      <c r="C13155" s="32" t="s">
        <v>35742</v>
      </c>
      <c r="D13155" s="32" t="s">
        <v>35743</v>
      </c>
    </row>
    <row r="13156" spans="2:4" x14ac:dyDescent="0.3">
      <c r="B13156" s="33" t="s">
        <v>33789</v>
      </c>
      <c r="C13156" s="32" t="s">
        <v>35744</v>
      </c>
      <c r="D13156" s="32" t="s">
        <v>35745</v>
      </c>
    </row>
    <row r="13157" spans="2:4" x14ac:dyDescent="0.3">
      <c r="B13157" s="33" t="s">
        <v>35746</v>
      </c>
      <c r="C13157" s="32" t="s">
        <v>35747</v>
      </c>
      <c r="D13157" s="32" t="s">
        <v>35748</v>
      </c>
    </row>
    <row r="13158" spans="2:4" x14ac:dyDescent="0.3">
      <c r="B13158" s="33" t="s">
        <v>35749</v>
      </c>
      <c r="C13158" s="32" t="s">
        <v>35750</v>
      </c>
      <c r="D13158" s="32" t="s">
        <v>35751</v>
      </c>
    </row>
    <row r="13159" spans="2:4" x14ac:dyDescent="0.3">
      <c r="B13159" s="33" t="s">
        <v>35752</v>
      </c>
      <c r="C13159" s="32" t="s">
        <v>35753</v>
      </c>
      <c r="D13159" s="32" t="s">
        <v>35754</v>
      </c>
    </row>
    <row r="13160" spans="2:4" x14ac:dyDescent="0.3">
      <c r="B13160" s="33" t="s">
        <v>35755</v>
      </c>
      <c r="C13160" s="32" t="s">
        <v>35756</v>
      </c>
      <c r="D13160" s="32" t="s">
        <v>35757</v>
      </c>
    </row>
    <row r="13161" spans="2:4" x14ac:dyDescent="0.3">
      <c r="B13161" s="33" t="s">
        <v>35758</v>
      </c>
      <c r="C13161" s="32" t="s">
        <v>35759</v>
      </c>
      <c r="D13161" s="32" t="s">
        <v>35760</v>
      </c>
    </row>
    <row r="13162" spans="2:4" x14ac:dyDescent="0.3">
      <c r="B13162" s="33" t="s">
        <v>35761</v>
      </c>
      <c r="C13162" s="32" t="s">
        <v>35762</v>
      </c>
      <c r="D13162" s="32" t="s">
        <v>35763</v>
      </c>
    </row>
    <row r="13163" spans="2:4" x14ac:dyDescent="0.3">
      <c r="B13163" s="33" t="s">
        <v>35764</v>
      </c>
      <c r="C13163" s="32" t="s">
        <v>35765</v>
      </c>
      <c r="D13163" s="32" t="s">
        <v>35766</v>
      </c>
    </row>
    <row r="13164" spans="2:4" x14ac:dyDescent="0.3">
      <c r="B13164" s="33" t="s">
        <v>35787</v>
      </c>
      <c r="C13164" s="32" t="s">
        <v>36928</v>
      </c>
      <c r="D13164" s="32" t="s">
        <v>36929</v>
      </c>
    </row>
    <row r="13165" spans="2:4" x14ac:dyDescent="0.3">
      <c r="B13165" s="33" t="s">
        <v>35767</v>
      </c>
      <c r="C13165" s="32" t="s">
        <v>35768</v>
      </c>
      <c r="D13165" s="32" t="s">
        <v>35769</v>
      </c>
    </row>
    <row r="13166" spans="2:4" x14ac:dyDescent="0.3">
      <c r="B13166" s="33" t="s">
        <v>35770</v>
      </c>
      <c r="C13166" s="32" t="s">
        <v>35771</v>
      </c>
      <c r="D13166" s="32" t="s">
        <v>35772</v>
      </c>
    </row>
    <row r="13167" spans="2:4" x14ac:dyDescent="0.3">
      <c r="B13167" s="33" t="s">
        <v>35773</v>
      </c>
      <c r="C13167" s="32" t="s">
        <v>35774</v>
      </c>
      <c r="D13167" s="32" t="s">
        <v>35775</v>
      </c>
    </row>
    <row r="13168" spans="2:4" x14ac:dyDescent="0.3">
      <c r="B13168" s="33" t="s">
        <v>35776</v>
      </c>
      <c r="C13168" s="32" t="s">
        <v>35777</v>
      </c>
      <c r="D13168" s="32" t="s">
        <v>35778</v>
      </c>
    </row>
    <row r="13169" spans="2:4" x14ac:dyDescent="0.3">
      <c r="B13169" s="33" t="s">
        <v>35779</v>
      </c>
      <c r="C13169" s="32" t="s">
        <v>35780</v>
      </c>
      <c r="D13169" s="32" t="s">
        <v>35779</v>
      </c>
    </row>
    <row r="13170" spans="2:4" x14ac:dyDescent="0.3">
      <c r="B13170" s="33" t="s">
        <v>35781</v>
      </c>
      <c r="C13170" s="32" t="s">
        <v>35782</v>
      </c>
      <c r="D13170" s="32" t="s">
        <v>35783</v>
      </c>
    </row>
    <row r="13171" spans="2:4" x14ac:dyDescent="0.3">
      <c r="B13171" s="33" t="s">
        <v>35784</v>
      </c>
      <c r="C13171" s="32" t="s">
        <v>35785</v>
      </c>
      <c r="D13171" s="32" t="s">
        <v>35786</v>
      </c>
    </row>
    <row r="13172" spans="2:4" x14ac:dyDescent="0.3">
      <c r="B13172" s="33" t="s">
        <v>35787</v>
      </c>
      <c r="C13172" s="32" t="s">
        <v>35788</v>
      </c>
      <c r="D13172" s="32" t="s">
        <v>35789</v>
      </c>
    </row>
    <row r="13173" spans="2:4" x14ac:dyDescent="0.3">
      <c r="B13173" s="33" t="s">
        <v>35790</v>
      </c>
      <c r="C13173" s="32" t="s">
        <v>35791</v>
      </c>
      <c r="D13173" s="32" t="s">
        <v>35792</v>
      </c>
    </row>
    <row r="13174" spans="2:4" x14ac:dyDescent="0.3">
      <c r="B13174" s="33" t="s">
        <v>35793</v>
      </c>
      <c r="C13174" s="32" t="s">
        <v>35794</v>
      </c>
      <c r="D13174" s="32" t="s">
        <v>35793</v>
      </c>
    </row>
    <row r="13175" spans="2:4" x14ac:dyDescent="0.3">
      <c r="B13175" s="33" t="s">
        <v>35795</v>
      </c>
      <c r="C13175" s="32" t="s">
        <v>35796</v>
      </c>
      <c r="D13175" s="32" t="s">
        <v>35797</v>
      </c>
    </row>
    <row r="13176" spans="2:4" x14ac:dyDescent="0.3">
      <c r="B13176" s="33" t="s">
        <v>35798</v>
      </c>
      <c r="C13176" s="32" t="s">
        <v>35799</v>
      </c>
      <c r="D13176" s="32" t="s">
        <v>35800</v>
      </c>
    </row>
    <row r="13177" spans="2:4" x14ac:dyDescent="0.3">
      <c r="B13177" s="33" t="s">
        <v>35801</v>
      </c>
      <c r="C13177" s="32" t="s">
        <v>35802</v>
      </c>
      <c r="D13177" s="32" t="s">
        <v>35803</v>
      </c>
    </row>
    <row r="13178" spans="2:4" x14ac:dyDescent="0.3">
      <c r="B13178" s="33" t="s">
        <v>35804</v>
      </c>
      <c r="C13178" s="32" t="s">
        <v>35805</v>
      </c>
      <c r="D13178" s="32" t="s">
        <v>35806</v>
      </c>
    </row>
    <row r="13179" spans="2:4" x14ac:dyDescent="0.3">
      <c r="B13179" s="33" t="s">
        <v>35807</v>
      </c>
      <c r="C13179" s="32" t="s">
        <v>35808</v>
      </c>
      <c r="D13179" s="32" t="s">
        <v>35809</v>
      </c>
    </row>
    <row r="13180" spans="2:4" x14ac:dyDescent="0.3">
      <c r="B13180" s="33" t="s">
        <v>35804</v>
      </c>
      <c r="C13180" s="32" t="s">
        <v>35810</v>
      </c>
      <c r="D13180" s="32" t="s">
        <v>35811</v>
      </c>
    </row>
    <row r="13181" spans="2:4" x14ac:dyDescent="0.3">
      <c r="B13181" s="33" t="s">
        <v>35812</v>
      </c>
      <c r="C13181" s="32" t="s">
        <v>35813</v>
      </c>
      <c r="D13181" s="32" t="s">
        <v>35814</v>
      </c>
    </row>
    <row r="13182" spans="2:4" x14ac:dyDescent="0.3">
      <c r="B13182" s="33" t="s">
        <v>35815</v>
      </c>
      <c r="C13182" s="32" t="s">
        <v>35816</v>
      </c>
      <c r="D13182" s="32" t="s">
        <v>35817</v>
      </c>
    </row>
    <row r="13183" spans="2:4" x14ac:dyDescent="0.3">
      <c r="B13183" s="33" t="s">
        <v>35818</v>
      </c>
      <c r="C13183" s="32" t="s">
        <v>35819</v>
      </c>
      <c r="D13183" s="32" t="s">
        <v>35820</v>
      </c>
    </row>
    <row r="13184" spans="2:4" x14ac:dyDescent="0.3">
      <c r="B13184" s="33" t="s">
        <v>35821</v>
      </c>
      <c r="C13184" s="32" t="s">
        <v>35822</v>
      </c>
      <c r="D13184" s="32" t="s">
        <v>35823</v>
      </c>
    </row>
    <row r="13185" spans="2:4" x14ac:dyDescent="0.3">
      <c r="B13185" s="33" t="s">
        <v>35824</v>
      </c>
      <c r="C13185" s="32" t="s">
        <v>35825</v>
      </c>
      <c r="D13185" s="32" t="s">
        <v>35826</v>
      </c>
    </row>
    <row r="13186" spans="2:4" x14ac:dyDescent="0.3">
      <c r="B13186" s="33" t="s">
        <v>35827</v>
      </c>
      <c r="C13186" s="32" t="s">
        <v>35828</v>
      </c>
      <c r="D13186" s="32" t="s">
        <v>35829</v>
      </c>
    </row>
    <row r="13187" spans="2:4" x14ac:dyDescent="0.3">
      <c r="B13187" s="33" t="s">
        <v>35830</v>
      </c>
      <c r="C13187" s="32" t="s">
        <v>35831</v>
      </c>
      <c r="D13187" s="32" t="s">
        <v>35832</v>
      </c>
    </row>
    <row r="13188" spans="2:4" x14ac:dyDescent="0.3">
      <c r="B13188" s="33" t="s">
        <v>11034</v>
      </c>
      <c r="C13188" s="32" t="s">
        <v>35833</v>
      </c>
      <c r="D13188" s="32" t="s">
        <v>35834</v>
      </c>
    </row>
    <row r="13189" spans="2:4" x14ac:dyDescent="0.3">
      <c r="B13189" s="33" t="s">
        <v>35835</v>
      </c>
      <c r="C13189" s="32" t="s">
        <v>35836</v>
      </c>
      <c r="D13189" s="32" t="s">
        <v>36771</v>
      </c>
    </row>
    <row r="13190" spans="2:4" x14ac:dyDescent="0.3">
      <c r="B13190" s="33" t="s">
        <v>35837</v>
      </c>
      <c r="C13190" s="32" t="s">
        <v>35838</v>
      </c>
      <c r="D13190" s="32" t="s">
        <v>35839</v>
      </c>
    </row>
    <row r="13191" spans="2:4" x14ac:dyDescent="0.3">
      <c r="B13191" s="33" t="s">
        <v>35840</v>
      </c>
      <c r="C13191" s="32" t="s">
        <v>35841</v>
      </c>
      <c r="D13191" s="32" t="s">
        <v>35842</v>
      </c>
    </row>
    <row r="13192" spans="2:4" x14ac:dyDescent="0.3">
      <c r="B13192" s="33" t="s">
        <v>35843</v>
      </c>
      <c r="C13192" s="32" t="s">
        <v>35844</v>
      </c>
      <c r="D13192" s="32" t="s">
        <v>35845</v>
      </c>
    </row>
    <row r="13193" spans="2:4" x14ac:dyDescent="0.3">
      <c r="B13193" s="33" t="s">
        <v>35846</v>
      </c>
      <c r="C13193" s="32" t="s">
        <v>35847</v>
      </c>
      <c r="D13193" s="32" t="s">
        <v>35848</v>
      </c>
    </row>
    <row r="13194" spans="2:4" x14ac:dyDescent="0.3">
      <c r="B13194" s="33" t="s">
        <v>35849</v>
      </c>
      <c r="C13194" s="32" t="s">
        <v>35850</v>
      </c>
      <c r="D13194" s="32" t="s">
        <v>36930</v>
      </c>
    </row>
    <row r="13195" spans="2:4" x14ac:dyDescent="0.3">
      <c r="B13195" s="33" t="s">
        <v>35851</v>
      </c>
      <c r="C13195" s="32" t="s">
        <v>35852</v>
      </c>
      <c r="D13195" s="32" t="s">
        <v>35853</v>
      </c>
    </row>
    <row r="13196" spans="2:4" x14ac:dyDescent="0.3">
      <c r="B13196" s="33" t="s">
        <v>35854</v>
      </c>
      <c r="C13196" s="32" t="s">
        <v>35855</v>
      </c>
      <c r="D13196" s="32" t="s">
        <v>35856</v>
      </c>
    </row>
    <row r="13197" spans="2:4" x14ac:dyDescent="0.3">
      <c r="B13197" s="33" t="s">
        <v>35857</v>
      </c>
      <c r="C13197" s="32" t="s">
        <v>35858</v>
      </c>
      <c r="D13197" s="32" t="s">
        <v>35859</v>
      </c>
    </row>
    <row r="13198" spans="2:4" x14ac:dyDescent="0.3">
      <c r="B13198" s="33" t="s">
        <v>35860</v>
      </c>
      <c r="C13198" s="32" t="s">
        <v>35861</v>
      </c>
      <c r="D13198" s="32" t="s">
        <v>35862</v>
      </c>
    </row>
    <row r="13199" spans="2:4" x14ac:dyDescent="0.3">
      <c r="B13199" s="33" t="s">
        <v>35863</v>
      </c>
      <c r="C13199" s="32" t="s">
        <v>35864</v>
      </c>
      <c r="D13199" s="32" t="s">
        <v>35865</v>
      </c>
    </row>
    <row r="13200" spans="2:4" x14ac:dyDescent="0.3">
      <c r="B13200" s="33" t="s">
        <v>35866</v>
      </c>
      <c r="C13200" s="32" t="s">
        <v>35867</v>
      </c>
      <c r="D13200" s="32" t="s">
        <v>35868</v>
      </c>
    </row>
    <row r="13201" spans="2:4" x14ac:dyDescent="0.3">
      <c r="B13201" s="33" t="s">
        <v>35869</v>
      </c>
      <c r="C13201" s="32" t="s">
        <v>35870</v>
      </c>
      <c r="D13201" s="32" t="s">
        <v>35871</v>
      </c>
    </row>
    <row r="13202" spans="2:4" x14ac:dyDescent="0.3">
      <c r="B13202" s="33" t="s">
        <v>35840</v>
      </c>
      <c r="C13202" s="32" t="s">
        <v>35872</v>
      </c>
      <c r="D13202" s="32" t="s">
        <v>35873</v>
      </c>
    </row>
    <row r="13203" spans="2:4" x14ac:dyDescent="0.3">
      <c r="B13203" s="33" t="s">
        <v>35874</v>
      </c>
      <c r="C13203" s="32" t="s">
        <v>35875</v>
      </c>
      <c r="D13203" s="32" t="s">
        <v>35876</v>
      </c>
    </row>
    <row r="13204" spans="2:4" x14ac:dyDescent="0.3">
      <c r="B13204" s="33" t="s">
        <v>35877</v>
      </c>
      <c r="C13204" s="32" t="s">
        <v>35878</v>
      </c>
      <c r="D13204" s="32" t="s">
        <v>35879</v>
      </c>
    </row>
    <row r="13205" spans="2:4" x14ac:dyDescent="0.3">
      <c r="B13205" s="33" t="s">
        <v>35880</v>
      </c>
      <c r="C13205" s="32" t="s">
        <v>35881</v>
      </c>
      <c r="D13205" s="32" t="s">
        <v>35882</v>
      </c>
    </row>
    <row r="13206" spans="2:4" x14ac:dyDescent="0.3">
      <c r="B13206" s="33" t="s">
        <v>35883</v>
      </c>
      <c r="C13206" s="32" t="s">
        <v>35884</v>
      </c>
      <c r="D13206" s="32" t="s">
        <v>35885</v>
      </c>
    </row>
    <row r="13207" spans="2:4" x14ac:dyDescent="0.3">
      <c r="B13207" s="33" t="s">
        <v>35837</v>
      </c>
      <c r="C13207" s="32" t="s">
        <v>35886</v>
      </c>
      <c r="D13207" s="32" t="s">
        <v>35887</v>
      </c>
    </row>
    <row r="13208" spans="2:4" x14ac:dyDescent="0.3">
      <c r="B13208" s="33" t="s">
        <v>25553</v>
      </c>
      <c r="C13208" s="32" t="s">
        <v>35888</v>
      </c>
      <c r="D13208" s="32" t="s">
        <v>35889</v>
      </c>
    </row>
    <row r="13209" spans="2:4" x14ac:dyDescent="0.3">
      <c r="B13209" s="33" t="s">
        <v>35890</v>
      </c>
      <c r="C13209" s="32" t="s">
        <v>35891</v>
      </c>
      <c r="D13209" s="32" t="s">
        <v>35892</v>
      </c>
    </row>
    <row r="13210" spans="2:4" x14ac:dyDescent="0.3">
      <c r="B13210" s="33" t="s">
        <v>35893</v>
      </c>
      <c r="C13210" s="32" t="s">
        <v>35894</v>
      </c>
      <c r="D13210" s="32" t="s">
        <v>35895</v>
      </c>
    </row>
    <row r="13211" spans="2:4" x14ac:dyDescent="0.3">
      <c r="B13211" s="33" t="s">
        <v>27271</v>
      </c>
      <c r="C13211" s="32" t="s">
        <v>35896</v>
      </c>
      <c r="D13211" s="32" t="s">
        <v>35897</v>
      </c>
    </row>
    <row r="13212" spans="2:4" x14ac:dyDescent="0.3">
      <c r="B13212" s="33" t="s">
        <v>35898</v>
      </c>
      <c r="C13212" s="32" t="s">
        <v>35899</v>
      </c>
      <c r="D13212" s="32" t="s">
        <v>35900</v>
      </c>
    </row>
    <row r="13213" spans="2:4" x14ac:dyDescent="0.3">
      <c r="B13213" s="33" t="s">
        <v>35901</v>
      </c>
      <c r="C13213" s="32" t="s">
        <v>35902</v>
      </c>
      <c r="D13213" s="32" t="s">
        <v>35903</v>
      </c>
    </row>
    <row r="13214" spans="2:4" x14ac:dyDescent="0.3">
      <c r="B13214" s="33" t="s">
        <v>35904</v>
      </c>
      <c r="C13214" s="32" t="s">
        <v>35905</v>
      </c>
      <c r="D13214" s="32" t="s">
        <v>35906</v>
      </c>
    </row>
    <row r="13215" spans="2:4" x14ac:dyDescent="0.3">
      <c r="B13215" s="33" t="s">
        <v>35907</v>
      </c>
      <c r="C13215" s="32" t="s">
        <v>35908</v>
      </c>
      <c r="D13215" s="32" t="s">
        <v>35909</v>
      </c>
    </row>
    <row r="13216" spans="2:4" x14ac:dyDescent="0.3">
      <c r="B13216" s="33" t="s">
        <v>35835</v>
      </c>
      <c r="C13216" s="32" t="s">
        <v>35910</v>
      </c>
      <c r="D13216" s="32" t="s">
        <v>35911</v>
      </c>
    </row>
    <row r="13217" spans="2:4" x14ac:dyDescent="0.3">
      <c r="B13217" s="33" t="s">
        <v>35912</v>
      </c>
      <c r="C13217" s="32" t="s">
        <v>35913</v>
      </c>
      <c r="D13217" s="32" t="s">
        <v>35914</v>
      </c>
    </row>
    <row r="13218" spans="2:4" x14ac:dyDescent="0.3">
      <c r="B13218" s="33" t="s">
        <v>35915</v>
      </c>
      <c r="C13218" s="32" t="s">
        <v>35916</v>
      </c>
      <c r="D13218" s="32" t="s">
        <v>35917</v>
      </c>
    </row>
    <row r="13219" spans="2:4" x14ac:dyDescent="0.3">
      <c r="B13219" s="33" t="s">
        <v>35918</v>
      </c>
      <c r="C13219" s="32" t="s">
        <v>35919</v>
      </c>
      <c r="D13219" s="32" t="s">
        <v>35920</v>
      </c>
    </row>
    <row r="13220" spans="2:4" x14ac:dyDescent="0.3">
      <c r="B13220" s="33" t="s">
        <v>35921</v>
      </c>
      <c r="C13220" s="32" t="s">
        <v>35922</v>
      </c>
      <c r="D13220" s="32" t="s">
        <v>35923</v>
      </c>
    </row>
    <row r="13221" spans="2:4" x14ac:dyDescent="0.3">
      <c r="B13221" s="33" t="s">
        <v>35924</v>
      </c>
      <c r="C13221" s="32" t="s">
        <v>35925</v>
      </c>
      <c r="D13221" s="32" t="s">
        <v>35926</v>
      </c>
    </row>
    <row r="13222" spans="2:4" x14ac:dyDescent="0.3">
      <c r="B13222" s="33" t="s">
        <v>35927</v>
      </c>
      <c r="C13222" s="32" t="s">
        <v>35928</v>
      </c>
      <c r="D13222" s="32" t="s">
        <v>35929</v>
      </c>
    </row>
    <row r="13223" spans="2:4" x14ac:dyDescent="0.3">
      <c r="B13223" s="33" t="s">
        <v>35930</v>
      </c>
      <c r="C13223" s="32" t="s">
        <v>35931</v>
      </c>
      <c r="D13223" s="32" t="s">
        <v>35932</v>
      </c>
    </row>
    <row r="13224" spans="2:4" x14ac:dyDescent="0.3">
      <c r="B13224" s="33" t="s">
        <v>35933</v>
      </c>
      <c r="C13224" s="32" t="s">
        <v>35934</v>
      </c>
      <c r="D13224" s="32" t="s">
        <v>35935</v>
      </c>
    </row>
    <row r="13225" spans="2:4" x14ac:dyDescent="0.3">
      <c r="B13225" s="33" t="s">
        <v>35936</v>
      </c>
      <c r="C13225" s="32" t="s">
        <v>35937</v>
      </c>
      <c r="D13225" s="32" t="s">
        <v>35938</v>
      </c>
    </row>
    <row r="13226" spans="2:4" x14ac:dyDescent="0.3">
      <c r="B13226" s="33" t="s">
        <v>35939</v>
      </c>
      <c r="C13226" s="32" t="s">
        <v>35940</v>
      </c>
      <c r="D13226" s="32" t="s">
        <v>35941</v>
      </c>
    </row>
    <row r="13227" spans="2:4" x14ac:dyDescent="0.3">
      <c r="B13227" s="33" t="s">
        <v>35942</v>
      </c>
      <c r="C13227" s="32" t="s">
        <v>35943</v>
      </c>
      <c r="D13227" s="32" t="s">
        <v>35944</v>
      </c>
    </row>
    <row r="13228" spans="2:4" x14ac:dyDescent="0.3">
      <c r="B13228" s="33" t="s">
        <v>35945</v>
      </c>
      <c r="C13228" s="32" t="s">
        <v>35946</v>
      </c>
      <c r="D13228" s="32" t="s">
        <v>35947</v>
      </c>
    </row>
    <row r="13229" spans="2:4" x14ac:dyDescent="0.3">
      <c r="B13229" s="33" t="s">
        <v>35948</v>
      </c>
      <c r="C13229" s="32" t="s">
        <v>35949</v>
      </c>
      <c r="D13229" s="32" t="s">
        <v>35950</v>
      </c>
    </row>
    <row r="13230" spans="2:4" x14ac:dyDescent="0.3">
      <c r="B13230" s="33" t="s">
        <v>35951</v>
      </c>
      <c r="C13230" s="32" t="s">
        <v>35952</v>
      </c>
      <c r="D13230" s="32" t="s">
        <v>35953</v>
      </c>
    </row>
    <row r="13231" spans="2:4" x14ac:dyDescent="0.3">
      <c r="B13231" s="33" t="s">
        <v>35954</v>
      </c>
      <c r="C13231" s="32" t="s">
        <v>35955</v>
      </c>
      <c r="D13231" s="32" t="s">
        <v>35956</v>
      </c>
    </row>
    <row r="13232" spans="2:4" x14ac:dyDescent="0.3">
      <c r="B13232" s="33" t="s">
        <v>35957</v>
      </c>
      <c r="C13232" s="32" t="s">
        <v>35958</v>
      </c>
      <c r="D13232" s="32" t="s">
        <v>35959</v>
      </c>
    </row>
    <row r="13233" spans="2:4" x14ac:dyDescent="0.3">
      <c r="B13233" s="33" t="s">
        <v>35960</v>
      </c>
      <c r="C13233" s="32" t="s">
        <v>35961</v>
      </c>
      <c r="D13233" s="32" t="s">
        <v>35962</v>
      </c>
    </row>
    <row r="13234" spans="2:4" x14ac:dyDescent="0.3">
      <c r="B13234" s="33" t="s">
        <v>35963</v>
      </c>
      <c r="C13234" s="32" t="s">
        <v>35964</v>
      </c>
      <c r="D13234" s="32" t="s">
        <v>35965</v>
      </c>
    </row>
    <row r="13235" spans="2:4" x14ac:dyDescent="0.3">
      <c r="B13235" s="33" t="s">
        <v>35966</v>
      </c>
      <c r="C13235" s="32" t="s">
        <v>35967</v>
      </c>
      <c r="D13235" s="32" t="s">
        <v>35968</v>
      </c>
    </row>
    <row r="13236" spans="2:4" x14ac:dyDescent="0.3">
      <c r="B13236" s="33" t="s">
        <v>35969</v>
      </c>
      <c r="C13236" s="32" t="s">
        <v>35970</v>
      </c>
      <c r="D13236" s="32" t="s">
        <v>35971</v>
      </c>
    </row>
    <row r="13237" spans="2:4" x14ac:dyDescent="0.3">
      <c r="B13237" s="33" t="s">
        <v>35972</v>
      </c>
      <c r="C13237" s="32" t="s">
        <v>35973</v>
      </c>
      <c r="D13237" s="32" t="s">
        <v>35974</v>
      </c>
    </row>
    <row r="13238" spans="2:4" x14ac:dyDescent="0.3">
      <c r="B13238" s="33" t="s">
        <v>35975</v>
      </c>
      <c r="C13238" s="32" t="s">
        <v>35976</v>
      </c>
      <c r="D13238" s="32" t="s">
        <v>35977</v>
      </c>
    </row>
    <row r="13239" spans="2:4" x14ac:dyDescent="0.3">
      <c r="B13239" s="33" t="s">
        <v>35978</v>
      </c>
      <c r="C13239" s="32" t="s">
        <v>35979</v>
      </c>
      <c r="D13239" s="32" t="s">
        <v>35980</v>
      </c>
    </row>
    <row r="13240" spans="2:4" x14ac:dyDescent="0.3">
      <c r="B13240" s="33" t="s">
        <v>35981</v>
      </c>
      <c r="C13240" s="32" t="s">
        <v>35982</v>
      </c>
      <c r="D13240" s="32" t="s">
        <v>35983</v>
      </c>
    </row>
    <row r="13241" spans="2:4" x14ac:dyDescent="0.3">
      <c r="B13241" s="33" t="s">
        <v>35984</v>
      </c>
      <c r="C13241" s="32" t="s">
        <v>35985</v>
      </c>
      <c r="D13241" s="32" t="s">
        <v>35986</v>
      </c>
    </row>
    <row r="13242" spans="2:4" x14ac:dyDescent="0.3">
      <c r="B13242" s="33" t="s">
        <v>35987</v>
      </c>
      <c r="C13242" s="32" t="s">
        <v>35988</v>
      </c>
      <c r="D13242" s="32" t="s">
        <v>35989</v>
      </c>
    </row>
    <row r="13243" spans="2:4" x14ac:dyDescent="0.3">
      <c r="B13243" s="33" t="s">
        <v>28263</v>
      </c>
      <c r="C13243" s="32" t="s">
        <v>35990</v>
      </c>
      <c r="D13243" s="32" t="s">
        <v>35991</v>
      </c>
    </row>
    <row r="13244" spans="2:4" x14ac:dyDescent="0.3">
      <c r="B13244" s="33" t="s">
        <v>35987</v>
      </c>
      <c r="C13244" s="32" t="s">
        <v>35992</v>
      </c>
      <c r="D13244" s="32" t="s">
        <v>35993</v>
      </c>
    </row>
    <row r="13245" spans="2:4" x14ac:dyDescent="0.3">
      <c r="B13245" s="33" t="s">
        <v>1570</v>
      </c>
      <c r="C13245" s="32" t="s">
        <v>35994</v>
      </c>
      <c r="D13245" s="32" t="s">
        <v>35995</v>
      </c>
    </row>
    <row r="13246" spans="2:4" x14ac:dyDescent="0.3">
      <c r="B13246" s="33" t="s">
        <v>35996</v>
      </c>
      <c r="C13246" s="32" t="s">
        <v>35997</v>
      </c>
      <c r="D13246" s="32" t="s">
        <v>35998</v>
      </c>
    </row>
    <row r="13247" spans="2:4" x14ac:dyDescent="0.3">
      <c r="B13247" s="33" t="s">
        <v>35999</v>
      </c>
      <c r="C13247" s="32" t="s">
        <v>36000</v>
      </c>
      <c r="D13247" s="32" t="s">
        <v>36001</v>
      </c>
    </row>
    <row r="13248" spans="2:4" x14ac:dyDescent="0.3">
      <c r="B13248" s="33" t="s">
        <v>36002</v>
      </c>
      <c r="C13248" s="32" t="s">
        <v>36003</v>
      </c>
      <c r="D13248" s="32" t="s">
        <v>36004</v>
      </c>
    </row>
    <row r="13249" spans="2:4" x14ac:dyDescent="0.3">
      <c r="B13249" s="33" t="s">
        <v>25556</v>
      </c>
      <c r="C13249" s="32" t="s">
        <v>36005</v>
      </c>
      <c r="D13249" s="32" t="s">
        <v>36006</v>
      </c>
    </row>
    <row r="13250" spans="2:4" x14ac:dyDescent="0.3">
      <c r="B13250" s="33" t="s">
        <v>34536</v>
      </c>
      <c r="C13250" s="32" t="s">
        <v>36007</v>
      </c>
      <c r="D13250" s="32" t="s">
        <v>36008</v>
      </c>
    </row>
    <row r="13251" spans="2:4" x14ac:dyDescent="0.3">
      <c r="B13251" s="33" t="s">
        <v>36009</v>
      </c>
      <c r="C13251" s="32" t="s">
        <v>36010</v>
      </c>
      <c r="D13251" s="32" t="s">
        <v>36011</v>
      </c>
    </row>
    <row r="13252" spans="2:4" x14ac:dyDescent="0.3">
      <c r="B13252" s="33" t="s">
        <v>36012</v>
      </c>
      <c r="C13252" s="32" t="s">
        <v>36013</v>
      </c>
      <c r="D13252" s="32" t="s">
        <v>36014</v>
      </c>
    </row>
    <row r="13253" spans="2:4" x14ac:dyDescent="0.3">
      <c r="B13253" s="33" t="s">
        <v>36015</v>
      </c>
      <c r="C13253" s="32" t="s">
        <v>36016</v>
      </c>
      <c r="D13253" s="32" t="s">
        <v>36017</v>
      </c>
    </row>
    <row r="13254" spans="2:4" x14ac:dyDescent="0.3">
      <c r="B13254" s="33" t="s">
        <v>36018</v>
      </c>
      <c r="C13254" s="32" t="s">
        <v>36019</v>
      </c>
      <c r="D13254" s="32" t="s">
        <v>36020</v>
      </c>
    </row>
    <row r="13255" spans="2:4" x14ac:dyDescent="0.3">
      <c r="B13255" s="33" t="s">
        <v>36021</v>
      </c>
      <c r="C13255" s="32" t="s">
        <v>36022</v>
      </c>
      <c r="D13255" s="32" t="s">
        <v>36023</v>
      </c>
    </row>
    <row r="13256" spans="2:4" x14ac:dyDescent="0.3">
      <c r="B13256" s="33" t="s">
        <v>36024</v>
      </c>
      <c r="C13256" s="32" t="s">
        <v>36025</v>
      </c>
      <c r="D13256" s="32" t="s">
        <v>36026</v>
      </c>
    </row>
    <row r="13257" spans="2:4" x14ac:dyDescent="0.3">
      <c r="B13257" s="33" t="s">
        <v>36027</v>
      </c>
      <c r="C13257" s="32" t="s">
        <v>36028</v>
      </c>
      <c r="D13257" s="32" t="s">
        <v>36029</v>
      </c>
    </row>
    <row r="13258" spans="2:4" x14ac:dyDescent="0.3">
      <c r="B13258" s="33" t="s">
        <v>36030</v>
      </c>
      <c r="C13258" s="32" t="s">
        <v>36031</v>
      </c>
      <c r="D13258" s="32" t="s">
        <v>36032</v>
      </c>
    </row>
    <row r="13259" spans="2:4" x14ac:dyDescent="0.3">
      <c r="B13259" s="33" t="s">
        <v>36033</v>
      </c>
      <c r="C13259" s="32" t="s">
        <v>36034</v>
      </c>
      <c r="D13259" s="32" t="s">
        <v>36035</v>
      </c>
    </row>
    <row r="13260" spans="2:4" x14ac:dyDescent="0.3">
      <c r="B13260" s="33" t="s">
        <v>36024</v>
      </c>
      <c r="C13260" s="32" t="s">
        <v>36036</v>
      </c>
      <c r="D13260" s="32" t="s">
        <v>36037</v>
      </c>
    </row>
    <row r="13261" spans="2:4" x14ac:dyDescent="0.3">
      <c r="B13261" s="33" t="s">
        <v>36038</v>
      </c>
      <c r="C13261" s="32" t="s">
        <v>36039</v>
      </c>
      <c r="D13261" s="32" t="s">
        <v>36040</v>
      </c>
    </row>
    <row r="13262" spans="2:4" x14ac:dyDescent="0.3">
      <c r="B13262" s="33" t="s">
        <v>36041</v>
      </c>
      <c r="C13262" s="32" t="s">
        <v>36042</v>
      </c>
      <c r="D13262" s="32" t="s">
        <v>36043</v>
      </c>
    </row>
    <row r="13263" spans="2:4" x14ac:dyDescent="0.3">
      <c r="B13263" s="33" t="s">
        <v>36044</v>
      </c>
      <c r="C13263" s="32" t="s">
        <v>36045</v>
      </c>
      <c r="D13263" s="32" t="s">
        <v>36046</v>
      </c>
    </row>
    <row r="13264" spans="2:4" x14ac:dyDescent="0.3">
      <c r="B13264" s="33" t="s">
        <v>36047</v>
      </c>
      <c r="C13264" s="32" t="s">
        <v>36048</v>
      </c>
      <c r="D13264" s="32" t="s">
        <v>36049</v>
      </c>
    </row>
    <row r="13265" spans="2:4" x14ac:dyDescent="0.3">
      <c r="B13265" s="33" t="s">
        <v>36050</v>
      </c>
      <c r="C13265" s="32" t="s">
        <v>36051</v>
      </c>
      <c r="D13265" s="32" t="s">
        <v>36052</v>
      </c>
    </row>
    <row r="13266" spans="2:4" x14ac:dyDescent="0.3">
      <c r="B13266" s="33" t="s">
        <v>36053</v>
      </c>
      <c r="C13266" s="32" t="s">
        <v>36054</v>
      </c>
      <c r="D13266" s="32" t="s">
        <v>36055</v>
      </c>
    </row>
    <row r="13267" spans="2:4" x14ac:dyDescent="0.3">
      <c r="B13267" s="33" t="s">
        <v>36056</v>
      </c>
      <c r="C13267" s="32" t="s">
        <v>36057</v>
      </c>
      <c r="D13267" s="32" t="s">
        <v>36058</v>
      </c>
    </row>
    <row r="13268" spans="2:4" x14ac:dyDescent="0.3">
      <c r="B13268" s="33" t="s">
        <v>36059</v>
      </c>
      <c r="C13268" s="32" t="s">
        <v>36060</v>
      </c>
      <c r="D13268" s="32" t="s">
        <v>36061</v>
      </c>
    </row>
    <row r="13269" spans="2:4" x14ac:dyDescent="0.3">
      <c r="B13269" s="33" t="s">
        <v>36062</v>
      </c>
      <c r="C13269" s="32" t="s">
        <v>36063</v>
      </c>
      <c r="D13269" s="32" t="s">
        <v>36064</v>
      </c>
    </row>
    <row r="13270" spans="2:4" x14ac:dyDescent="0.3">
      <c r="B13270" s="33" t="s">
        <v>36065</v>
      </c>
      <c r="C13270" s="32" t="s">
        <v>36066</v>
      </c>
      <c r="D13270" s="32" t="s">
        <v>36067</v>
      </c>
    </row>
    <row r="13271" spans="2:4" x14ac:dyDescent="0.3">
      <c r="B13271" s="33" t="s">
        <v>36068</v>
      </c>
      <c r="C13271" s="32" t="s">
        <v>36069</v>
      </c>
      <c r="D13271" s="32" t="s">
        <v>36070</v>
      </c>
    </row>
    <row r="13272" spans="2:4" x14ac:dyDescent="0.3">
      <c r="B13272" s="33" t="s">
        <v>36071</v>
      </c>
      <c r="C13272" s="32" t="s">
        <v>36072</v>
      </c>
      <c r="D13272" s="32" t="s">
        <v>36073</v>
      </c>
    </row>
    <row r="13273" spans="2:4" x14ac:dyDescent="0.3">
      <c r="B13273" s="33" t="s">
        <v>36074</v>
      </c>
      <c r="C13273" s="32" t="s">
        <v>36075</v>
      </c>
      <c r="D13273" s="32" t="s">
        <v>36076</v>
      </c>
    </row>
    <row r="13274" spans="2:4" x14ac:dyDescent="0.3">
      <c r="B13274" s="33" t="s">
        <v>36077</v>
      </c>
      <c r="C13274" s="32" t="s">
        <v>36078</v>
      </c>
      <c r="D13274" s="32" t="s">
        <v>36079</v>
      </c>
    </row>
    <row r="13275" spans="2:4" x14ac:dyDescent="0.3">
      <c r="B13275" s="33" t="s">
        <v>36080</v>
      </c>
      <c r="C13275" s="32" t="s">
        <v>36081</v>
      </c>
      <c r="D13275" s="32" t="s">
        <v>36082</v>
      </c>
    </row>
    <row r="13276" spans="2:4" x14ac:dyDescent="0.3">
      <c r="B13276" s="33" t="s">
        <v>36083</v>
      </c>
      <c r="C13276" s="32" t="s">
        <v>36084</v>
      </c>
      <c r="D13276" s="32" t="s">
        <v>36085</v>
      </c>
    </row>
    <row r="13277" spans="2:4" x14ac:dyDescent="0.3">
      <c r="B13277" s="33" t="s">
        <v>36086</v>
      </c>
      <c r="C13277" s="32" t="s">
        <v>36087</v>
      </c>
      <c r="D13277" s="32" t="s">
        <v>36088</v>
      </c>
    </row>
    <row r="13278" spans="2:4" x14ac:dyDescent="0.3">
      <c r="B13278" s="33" t="s">
        <v>36089</v>
      </c>
      <c r="C13278" s="32" t="s">
        <v>36090</v>
      </c>
      <c r="D13278" s="32" t="s">
        <v>36091</v>
      </c>
    </row>
    <row r="13279" spans="2:4" x14ac:dyDescent="0.3">
      <c r="B13279" s="33" t="s">
        <v>36065</v>
      </c>
      <c r="C13279" s="32" t="s">
        <v>36092</v>
      </c>
      <c r="D13279" s="32" t="s">
        <v>36093</v>
      </c>
    </row>
    <row r="13280" spans="2:4" x14ac:dyDescent="0.3">
      <c r="B13280" s="33" t="s">
        <v>36094</v>
      </c>
      <c r="C13280" s="32" t="s">
        <v>36095</v>
      </c>
      <c r="D13280" s="32" t="s">
        <v>36096</v>
      </c>
    </row>
    <row r="13281" spans="2:4" x14ac:dyDescent="0.3">
      <c r="B13281" s="33" t="s">
        <v>36065</v>
      </c>
      <c r="C13281" s="32" t="s">
        <v>36097</v>
      </c>
      <c r="D13281" s="32" t="s">
        <v>36098</v>
      </c>
    </row>
    <row r="13282" spans="2:4" x14ac:dyDescent="0.3">
      <c r="B13282" s="33" t="s">
        <v>36065</v>
      </c>
      <c r="C13282" s="32" t="s">
        <v>36099</v>
      </c>
      <c r="D13282" s="32" t="s">
        <v>36100</v>
      </c>
    </row>
    <row r="13283" spans="2:4" x14ac:dyDescent="0.3">
      <c r="B13283" s="33" t="s">
        <v>36101</v>
      </c>
      <c r="C13283" s="32" t="s">
        <v>36102</v>
      </c>
      <c r="D13283" s="32" t="s">
        <v>36101</v>
      </c>
    </row>
    <row r="13284" spans="2:4" x14ac:dyDescent="0.3">
      <c r="B13284" s="33" t="s">
        <v>36103</v>
      </c>
      <c r="C13284" s="32" t="s">
        <v>36104</v>
      </c>
      <c r="D13284" s="32" t="s">
        <v>36105</v>
      </c>
    </row>
    <row r="13285" spans="2:4" x14ac:dyDescent="0.3">
      <c r="B13285" s="33" t="s">
        <v>36106</v>
      </c>
      <c r="C13285" s="32" t="s">
        <v>36107</v>
      </c>
      <c r="D13285" s="32" t="s">
        <v>36106</v>
      </c>
    </row>
    <row r="13286" spans="2:4" x14ac:dyDescent="0.3">
      <c r="B13286" s="33" t="s">
        <v>36108</v>
      </c>
      <c r="C13286" s="32" t="s">
        <v>36109</v>
      </c>
      <c r="D13286" s="32" t="s">
        <v>36110</v>
      </c>
    </row>
    <row r="13287" spans="2:4" x14ac:dyDescent="0.3">
      <c r="B13287" s="33" t="s">
        <v>36111</v>
      </c>
      <c r="C13287" s="32" t="s">
        <v>36112</v>
      </c>
      <c r="D13287" s="32" t="s">
        <v>36113</v>
      </c>
    </row>
    <row r="13288" spans="2:4" x14ac:dyDescent="0.3">
      <c r="B13288" s="33" t="s">
        <v>36114</v>
      </c>
      <c r="C13288" s="32" t="s">
        <v>36115</v>
      </c>
      <c r="D13288" s="32" t="s">
        <v>36116</v>
      </c>
    </row>
    <row r="13289" spans="2:4" x14ac:dyDescent="0.3">
      <c r="B13289" s="33" t="s">
        <v>36117</v>
      </c>
      <c r="C13289" s="32" t="s">
        <v>36118</v>
      </c>
      <c r="D13289" s="32" t="s">
        <v>36119</v>
      </c>
    </row>
    <row r="13290" spans="2:4" x14ac:dyDescent="0.3">
      <c r="B13290" s="33" t="s">
        <v>36120</v>
      </c>
      <c r="C13290" s="32" t="s">
        <v>36121</v>
      </c>
      <c r="D13290" s="32" t="s">
        <v>36122</v>
      </c>
    </row>
    <row r="13291" spans="2:4" x14ac:dyDescent="0.3">
      <c r="B13291" s="33" t="s">
        <v>36123</v>
      </c>
      <c r="C13291" s="32" t="s">
        <v>36124</v>
      </c>
      <c r="D13291" s="32" t="s">
        <v>36125</v>
      </c>
    </row>
    <row r="13292" spans="2:4" x14ac:dyDescent="0.3">
      <c r="B13292" s="33" t="s">
        <v>36126</v>
      </c>
      <c r="C13292" s="32" t="s">
        <v>36127</v>
      </c>
      <c r="D13292" s="32" t="s">
        <v>36128</v>
      </c>
    </row>
    <row r="13293" spans="2:4" x14ac:dyDescent="0.3">
      <c r="B13293" s="33" t="s">
        <v>36129</v>
      </c>
      <c r="C13293" s="32" t="s">
        <v>36130</v>
      </c>
      <c r="D13293" s="32" t="s">
        <v>36131</v>
      </c>
    </row>
    <row r="13294" spans="2:4" x14ac:dyDescent="0.3">
      <c r="B13294" s="33" t="s">
        <v>36132</v>
      </c>
      <c r="C13294" s="32" t="s">
        <v>36133</v>
      </c>
      <c r="D13294" s="32" t="s">
        <v>36134</v>
      </c>
    </row>
    <row r="13295" spans="2:4" x14ac:dyDescent="0.3">
      <c r="B13295" s="33" t="s">
        <v>36135</v>
      </c>
      <c r="C13295" s="32" t="s">
        <v>36136</v>
      </c>
      <c r="D13295" s="32" t="s">
        <v>36137</v>
      </c>
    </row>
    <row r="13296" spans="2:4" x14ac:dyDescent="0.3">
      <c r="B13296" s="33" t="s">
        <v>36138</v>
      </c>
      <c r="C13296" s="32" t="s">
        <v>36139</v>
      </c>
      <c r="D13296" s="32" t="s">
        <v>36140</v>
      </c>
    </row>
    <row r="13297" spans="2:4" x14ac:dyDescent="0.3">
      <c r="B13297" s="33" t="s">
        <v>36141</v>
      </c>
      <c r="C13297" s="32" t="s">
        <v>36142</v>
      </c>
      <c r="D13297" s="32" t="s">
        <v>36143</v>
      </c>
    </row>
    <row r="13298" spans="2:4" x14ac:dyDescent="0.3">
      <c r="B13298" s="33" t="s">
        <v>36144</v>
      </c>
      <c r="C13298" s="32" t="s">
        <v>36145</v>
      </c>
      <c r="D13298" s="32" t="s">
        <v>36144</v>
      </c>
    </row>
    <row r="13299" spans="2:4" x14ac:dyDescent="0.3">
      <c r="B13299" s="33" t="s">
        <v>36146</v>
      </c>
      <c r="C13299" s="32" t="s">
        <v>36147</v>
      </c>
      <c r="D13299" s="32" t="s">
        <v>36148</v>
      </c>
    </row>
    <row r="13300" spans="2:4" x14ac:dyDescent="0.3">
      <c r="B13300" s="33" t="s">
        <v>36149</v>
      </c>
      <c r="C13300" s="32" t="s">
        <v>36150</v>
      </c>
      <c r="D13300" s="32" t="s">
        <v>36151</v>
      </c>
    </row>
    <row r="13301" spans="2:4" x14ac:dyDescent="0.3">
      <c r="B13301" s="33" t="s">
        <v>36152</v>
      </c>
      <c r="C13301" s="32" t="s">
        <v>36153</v>
      </c>
      <c r="D13301" s="32" t="s">
        <v>36154</v>
      </c>
    </row>
    <row r="13302" spans="2:4" x14ac:dyDescent="0.3">
      <c r="B13302" s="33" t="s">
        <v>36155</v>
      </c>
      <c r="C13302" s="32" t="s">
        <v>36156</v>
      </c>
      <c r="D13302" s="32" t="s">
        <v>36157</v>
      </c>
    </row>
    <row r="13303" spans="2:4" x14ac:dyDescent="0.3">
      <c r="B13303" s="33" t="s">
        <v>36158</v>
      </c>
      <c r="C13303" s="32" t="s">
        <v>36159</v>
      </c>
      <c r="D13303" s="32" t="s">
        <v>36160</v>
      </c>
    </row>
    <row r="13304" spans="2:4" x14ac:dyDescent="0.3">
      <c r="B13304" s="33" t="s">
        <v>36161</v>
      </c>
      <c r="C13304" s="32" t="s">
        <v>36162</v>
      </c>
      <c r="D13304" s="32" t="s">
        <v>36163</v>
      </c>
    </row>
    <row r="13305" spans="2:4" x14ac:dyDescent="0.3">
      <c r="B13305" s="33" t="s">
        <v>36164</v>
      </c>
      <c r="C13305" s="32" t="s">
        <v>36165</v>
      </c>
      <c r="D13305" s="32" t="s">
        <v>36166</v>
      </c>
    </row>
    <row r="13306" spans="2:4" x14ac:dyDescent="0.3">
      <c r="B13306" s="33" t="s">
        <v>36167</v>
      </c>
      <c r="C13306" s="32" t="s">
        <v>36168</v>
      </c>
      <c r="D13306" s="32" t="s">
        <v>36167</v>
      </c>
    </row>
    <row r="13307" spans="2:4" x14ac:dyDescent="0.3">
      <c r="B13307" s="33" t="s">
        <v>36169</v>
      </c>
      <c r="C13307" s="32" t="s">
        <v>36170</v>
      </c>
      <c r="D13307" s="32" t="s">
        <v>36171</v>
      </c>
    </row>
    <row r="13308" spans="2:4" x14ac:dyDescent="0.3">
      <c r="B13308" s="33" t="s">
        <v>36172</v>
      </c>
      <c r="C13308" s="32" t="s">
        <v>36173</v>
      </c>
      <c r="D13308" s="32" t="s">
        <v>36174</v>
      </c>
    </row>
    <row r="13309" spans="2:4" x14ac:dyDescent="0.3">
      <c r="B13309" s="33" t="s">
        <v>36175</v>
      </c>
      <c r="C13309" s="32" t="s">
        <v>36176</v>
      </c>
      <c r="D13309" s="32" t="s">
        <v>36177</v>
      </c>
    </row>
    <row r="13310" spans="2:4" x14ac:dyDescent="0.3">
      <c r="B13310" s="33" t="s">
        <v>36178</v>
      </c>
      <c r="C13310" s="32" t="s">
        <v>36179</v>
      </c>
      <c r="D13310" s="32" t="s">
        <v>36180</v>
      </c>
    </row>
    <row r="13311" spans="2:4" x14ac:dyDescent="0.3">
      <c r="B13311" s="33" t="s">
        <v>36178</v>
      </c>
      <c r="C13311" s="32" t="s">
        <v>36181</v>
      </c>
      <c r="D13311" s="32" t="s">
        <v>36182</v>
      </c>
    </row>
    <row r="13312" spans="2:4" x14ac:dyDescent="0.3">
      <c r="B13312" s="33" t="s">
        <v>36183</v>
      </c>
      <c r="C13312" s="32" t="s">
        <v>36184</v>
      </c>
      <c r="D13312" s="32" t="s">
        <v>36185</v>
      </c>
    </row>
    <row r="13313" spans="2:4" x14ac:dyDescent="0.3">
      <c r="B13313" s="33" t="s">
        <v>36186</v>
      </c>
      <c r="C13313" s="32" t="s">
        <v>36187</v>
      </c>
      <c r="D13313" s="32" t="s">
        <v>36188</v>
      </c>
    </row>
    <row r="13314" spans="2:4" x14ac:dyDescent="0.3">
      <c r="B13314" s="33" t="s">
        <v>36189</v>
      </c>
      <c r="C13314" s="32" t="s">
        <v>36190</v>
      </c>
      <c r="D13314" s="32" t="s">
        <v>36189</v>
      </c>
    </row>
    <row r="13315" spans="2:4" x14ac:dyDescent="0.3">
      <c r="B13315" s="33" t="s">
        <v>36191</v>
      </c>
      <c r="C13315" s="32" t="s">
        <v>36192</v>
      </c>
      <c r="D13315" s="32" t="s">
        <v>36193</v>
      </c>
    </row>
    <row r="13316" spans="2:4" x14ac:dyDescent="0.3">
      <c r="B13316" s="33" t="s">
        <v>36194</v>
      </c>
      <c r="C13316" s="32" t="s">
        <v>36195</v>
      </c>
      <c r="D13316" s="32" t="s">
        <v>36196</v>
      </c>
    </row>
    <row r="13317" spans="2:4" x14ac:dyDescent="0.3">
      <c r="B13317" s="33" t="s">
        <v>36197</v>
      </c>
      <c r="C13317" s="32" t="s">
        <v>36198</v>
      </c>
      <c r="D13317" s="32" t="s">
        <v>36199</v>
      </c>
    </row>
    <row r="13318" spans="2:4" x14ac:dyDescent="0.3">
      <c r="B13318" s="33" t="s">
        <v>36197</v>
      </c>
      <c r="C13318" s="32" t="s">
        <v>36200</v>
      </c>
      <c r="D13318" s="32" t="s">
        <v>36201</v>
      </c>
    </row>
    <row r="13319" spans="2:4" x14ac:dyDescent="0.3">
      <c r="B13319" s="33" t="s">
        <v>36202</v>
      </c>
      <c r="C13319" s="32" t="s">
        <v>36203</v>
      </c>
      <c r="D13319" s="32" t="s">
        <v>36204</v>
      </c>
    </row>
    <row r="13320" spans="2:4" x14ac:dyDescent="0.3">
      <c r="B13320" s="33" t="s">
        <v>36205</v>
      </c>
      <c r="C13320" s="32" t="s">
        <v>36206</v>
      </c>
      <c r="D13320" s="32" t="s">
        <v>36207</v>
      </c>
    </row>
    <row r="13321" spans="2:4" x14ac:dyDescent="0.3">
      <c r="B13321" s="33" t="s">
        <v>36208</v>
      </c>
      <c r="C13321" s="32" t="s">
        <v>36209</v>
      </c>
      <c r="D13321" s="32" t="s">
        <v>36772</v>
      </c>
    </row>
    <row r="13322" spans="2:4" x14ac:dyDescent="0.3">
      <c r="B13322" s="33" t="s">
        <v>36773</v>
      </c>
      <c r="C13322" s="32" t="s">
        <v>36774</v>
      </c>
      <c r="D13322" s="32" t="s">
        <v>36210</v>
      </c>
    </row>
    <row r="13323" spans="2:4" x14ac:dyDescent="0.3">
      <c r="B13323" s="33" t="s">
        <v>36211</v>
      </c>
      <c r="C13323" s="32" t="s">
        <v>36212</v>
      </c>
      <c r="D13323" s="32" t="s">
        <v>36213</v>
      </c>
    </row>
    <row r="13324" spans="2:4" x14ac:dyDescent="0.3">
      <c r="B13324" s="33" t="s">
        <v>36214</v>
      </c>
      <c r="C13324" s="32" t="s">
        <v>36215</v>
      </c>
      <c r="D13324" s="32" t="s">
        <v>36216</v>
      </c>
    </row>
    <row r="13325" spans="2:4" x14ac:dyDescent="0.3">
      <c r="B13325" s="33" t="s">
        <v>36217</v>
      </c>
      <c r="C13325" s="32" t="s">
        <v>36218</v>
      </c>
      <c r="D13325" s="32" t="s">
        <v>36219</v>
      </c>
    </row>
    <row r="13326" spans="2:4" x14ac:dyDescent="0.3">
      <c r="B13326" s="33" t="s">
        <v>36220</v>
      </c>
      <c r="C13326" s="32" t="s">
        <v>36221</v>
      </c>
      <c r="D13326" s="32" t="s">
        <v>36222</v>
      </c>
    </row>
    <row r="13327" spans="2:4" x14ac:dyDescent="0.3">
      <c r="B13327" s="33" t="s">
        <v>36223</v>
      </c>
      <c r="C13327" s="32" t="s">
        <v>36224</v>
      </c>
      <c r="D13327" s="32" t="s">
        <v>36225</v>
      </c>
    </row>
    <row r="13328" spans="2:4" x14ac:dyDescent="0.3">
      <c r="B13328" s="33" t="s">
        <v>36226</v>
      </c>
      <c r="C13328" s="32" t="s">
        <v>36227</v>
      </c>
      <c r="D13328" s="32" t="s">
        <v>36228</v>
      </c>
    </row>
    <row r="13329" spans="2:4" x14ac:dyDescent="0.3">
      <c r="B13329" s="33" t="s">
        <v>36229</v>
      </c>
      <c r="C13329" s="32" t="s">
        <v>36230</v>
      </c>
      <c r="D13329" s="32" t="s">
        <v>36231</v>
      </c>
    </row>
    <row r="13330" spans="2:4" x14ac:dyDescent="0.3">
      <c r="B13330" s="33" t="s">
        <v>36232</v>
      </c>
      <c r="C13330" s="32" t="s">
        <v>36233</v>
      </c>
      <c r="D13330" s="32" t="s">
        <v>36234</v>
      </c>
    </row>
    <row r="13331" spans="2:4" x14ac:dyDescent="0.3">
      <c r="B13331" s="33" t="s">
        <v>36235</v>
      </c>
      <c r="C13331" s="32" t="s">
        <v>36236</v>
      </c>
      <c r="D13331" s="32" t="s">
        <v>36237</v>
      </c>
    </row>
    <row r="13332" spans="2:4" x14ac:dyDescent="0.3">
      <c r="B13332" s="33" t="s">
        <v>36238</v>
      </c>
      <c r="C13332" s="32" t="s">
        <v>36239</v>
      </c>
      <c r="D13332" s="32" t="s">
        <v>36240</v>
      </c>
    </row>
    <row r="13333" spans="2:4" x14ac:dyDescent="0.3">
      <c r="B13333" s="33" t="s">
        <v>36241</v>
      </c>
      <c r="C13333" s="32" t="s">
        <v>36242</v>
      </c>
      <c r="D13333" s="32" t="s">
        <v>36243</v>
      </c>
    </row>
    <row r="13334" spans="2:4" x14ac:dyDescent="0.3">
      <c r="B13334" s="33" t="s">
        <v>36244</v>
      </c>
      <c r="C13334" s="32" t="s">
        <v>36245</v>
      </c>
      <c r="D13334" s="32" t="s">
        <v>36246</v>
      </c>
    </row>
    <row r="13335" spans="2:4" x14ac:dyDescent="0.3">
      <c r="B13335" s="33" t="s">
        <v>36247</v>
      </c>
      <c r="C13335" s="32" t="s">
        <v>36248</v>
      </c>
      <c r="D13335" s="32" t="s">
        <v>36249</v>
      </c>
    </row>
    <row r="13336" spans="2:4" x14ac:dyDescent="0.3">
      <c r="B13336" s="33" t="s">
        <v>36250</v>
      </c>
      <c r="C13336" s="32" t="s">
        <v>36251</v>
      </c>
      <c r="D13336" s="32" t="s">
        <v>36252</v>
      </c>
    </row>
    <row r="13337" spans="2:4" x14ac:dyDescent="0.3">
      <c r="B13337" s="33" t="s">
        <v>36253</v>
      </c>
      <c r="C13337" s="32" t="s">
        <v>36254</v>
      </c>
      <c r="D13337" s="32" t="s">
        <v>36255</v>
      </c>
    </row>
    <row r="13338" spans="2:4" x14ac:dyDescent="0.3">
      <c r="B13338" s="33" t="s">
        <v>36256</v>
      </c>
      <c r="C13338" s="32" t="s">
        <v>36257</v>
      </c>
      <c r="D13338" s="32" t="s">
        <v>36258</v>
      </c>
    </row>
    <row r="13339" spans="2:4" x14ac:dyDescent="0.3">
      <c r="B13339" s="33" t="s">
        <v>13166</v>
      </c>
      <c r="C13339" s="32" t="s">
        <v>36259</v>
      </c>
      <c r="D13339" s="32" t="s">
        <v>36260</v>
      </c>
    </row>
    <row r="13340" spans="2:4" x14ac:dyDescent="0.3">
      <c r="B13340" s="33" t="s">
        <v>36261</v>
      </c>
      <c r="C13340" s="32" t="s">
        <v>36262</v>
      </c>
      <c r="D13340" s="32" t="s">
        <v>36263</v>
      </c>
    </row>
    <row r="13341" spans="2:4" x14ac:dyDescent="0.3">
      <c r="B13341" s="33" t="s">
        <v>36264</v>
      </c>
      <c r="C13341" s="32" t="s">
        <v>36265</v>
      </c>
      <c r="D13341" s="32" t="s">
        <v>36266</v>
      </c>
    </row>
    <row r="13342" spans="2:4" x14ac:dyDescent="0.3">
      <c r="B13342" s="33" t="s">
        <v>36267</v>
      </c>
      <c r="C13342" s="32" t="s">
        <v>36268</v>
      </c>
      <c r="D13342" s="32" t="s">
        <v>36269</v>
      </c>
    </row>
    <row r="13343" spans="2:4" x14ac:dyDescent="0.3">
      <c r="B13343" s="33" t="s">
        <v>36270</v>
      </c>
      <c r="C13343" s="32" t="s">
        <v>36271</v>
      </c>
      <c r="D13343" s="32" t="s">
        <v>36272</v>
      </c>
    </row>
    <row r="13344" spans="2:4" x14ac:dyDescent="0.3">
      <c r="B13344" s="33" t="s">
        <v>36273</v>
      </c>
      <c r="C13344" s="32" t="s">
        <v>36274</v>
      </c>
      <c r="D13344" s="32" t="s">
        <v>36275</v>
      </c>
    </row>
    <row r="13345" spans="2:4" x14ac:dyDescent="0.3">
      <c r="B13345" s="33" t="s">
        <v>36276</v>
      </c>
      <c r="C13345" s="32" t="s">
        <v>36277</v>
      </c>
      <c r="D13345" s="32" t="s">
        <v>36278</v>
      </c>
    </row>
    <row r="13346" spans="2:4" x14ac:dyDescent="0.3">
      <c r="B13346" s="33" t="s">
        <v>36279</v>
      </c>
      <c r="C13346" s="32" t="s">
        <v>36280</v>
      </c>
      <c r="D13346" s="32" t="s">
        <v>36281</v>
      </c>
    </row>
    <row r="13347" spans="2:4" x14ac:dyDescent="0.3">
      <c r="B13347" s="33" t="s">
        <v>36282</v>
      </c>
      <c r="C13347" s="32" t="s">
        <v>36283</v>
      </c>
      <c r="D13347" s="32" t="s">
        <v>36284</v>
      </c>
    </row>
    <row r="13348" spans="2:4" x14ac:dyDescent="0.3">
      <c r="B13348" s="33" t="s">
        <v>36285</v>
      </c>
      <c r="C13348" s="32" t="s">
        <v>36286</v>
      </c>
      <c r="D13348" s="32" t="s">
        <v>36287</v>
      </c>
    </row>
    <row r="13349" spans="2:4" x14ac:dyDescent="0.3">
      <c r="B13349" s="33" t="s">
        <v>36288</v>
      </c>
      <c r="C13349" s="32" t="s">
        <v>36289</v>
      </c>
      <c r="D13349" s="32" t="s">
        <v>36290</v>
      </c>
    </row>
    <row r="13350" spans="2:4" x14ac:dyDescent="0.3">
      <c r="B13350" s="33" t="s">
        <v>36291</v>
      </c>
      <c r="C13350" s="32" t="s">
        <v>36292</v>
      </c>
      <c r="D13350" s="32" t="s">
        <v>36293</v>
      </c>
    </row>
    <row r="13351" spans="2:4" x14ac:dyDescent="0.3">
      <c r="B13351" s="33" t="s">
        <v>36294</v>
      </c>
      <c r="C13351" s="32" t="s">
        <v>36295</v>
      </c>
      <c r="D13351" s="32" t="s">
        <v>36296</v>
      </c>
    </row>
    <row r="13352" spans="2:4" x14ac:dyDescent="0.3">
      <c r="B13352" s="33" t="s">
        <v>36297</v>
      </c>
      <c r="C13352" s="32" t="s">
        <v>36298</v>
      </c>
      <c r="D13352" s="32" t="s">
        <v>36299</v>
      </c>
    </row>
    <row r="13353" spans="2:4" x14ac:dyDescent="0.3">
      <c r="B13353" s="33" t="s">
        <v>36300</v>
      </c>
      <c r="C13353" s="32" t="s">
        <v>36301</v>
      </c>
      <c r="D13353" s="32" t="s">
        <v>36302</v>
      </c>
    </row>
    <row r="13354" spans="2:4" x14ac:dyDescent="0.3">
      <c r="B13354" s="33" t="s">
        <v>36303</v>
      </c>
      <c r="C13354" s="32" t="s">
        <v>36304</v>
      </c>
      <c r="D13354" s="32" t="s">
        <v>36305</v>
      </c>
    </row>
    <row r="13355" spans="2:4" x14ac:dyDescent="0.3">
      <c r="B13355" s="33" t="s">
        <v>36306</v>
      </c>
      <c r="C13355" s="32" t="s">
        <v>36307</v>
      </c>
      <c r="D13355" s="32" t="s">
        <v>36308</v>
      </c>
    </row>
    <row r="13356" spans="2:4" x14ac:dyDescent="0.3">
      <c r="B13356" s="33" t="s">
        <v>36309</v>
      </c>
      <c r="C13356" s="32" t="s">
        <v>36310</v>
      </c>
      <c r="D13356" s="32" t="s">
        <v>36311</v>
      </c>
    </row>
    <row r="13357" spans="2:4" x14ac:dyDescent="0.3">
      <c r="B13357" s="33" t="s">
        <v>36312</v>
      </c>
      <c r="C13357" s="32" t="s">
        <v>36313</v>
      </c>
      <c r="D13357" s="32" t="s">
        <v>36314</v>
      </c>
    </row>
    <row r="13358" spans="2:4" x14ac:dyDescent="0.3">
      <c r="B13358" s="33" t="s">
        <v>36315</v>
      </c>
      <c r="C13358" s="32" t="s">
        <v>36316</v>
      </c>
      <c r="D13358" s="32" t="s">
        <v>36317</v>
      </c>
    </row>
    <row r="13359" spans="2:4" x14ac:dyDescent="0.3">
      <c r="B13359" s="33" t="s">
        <v>36318</v>
      </c>
      <c r="C13359" s="32" t="s">
        <v>36319</v>
      </c>
      <c r="D13359" s="32" t="s">
        <v>36318</v>
      </c>
    </row>
    <row r="13360" spans="2:4" x14ac:dyDescent="0.3">
      <c r="B13360" s="33" t="s">
        <v>36320</v>
      </c>
      <c r="C13360" s="32" t="s">
        <v>36321</v>
      </c>
      <c r="D13360" s="32" t="s">
        <v>36322</v>
      </c>
    </row>
    <row r="13361" spans="2:4" x14ac:dyDescent="0.3">
      <c r="B13361" s="33" t="s">
        <v>36323</v>
      </c>
      <c r="C13361" s="32" t="s">
        <v>36324</v>
      </c>
      <c r="D13361" s="32" t="s">
        <v>36325</v>
      </c>
    </row>
    <row r="13362" spans="2:4" x14ac:dyDescent="0.3">
      <c r="B13362" s="33" t="s">
        <v>36326</v>
      </c>
      <c r="C13362" s="32" t="s">
        <v>36327</v>
      </c>
      <c r="D13362" s="32" t="s">
        <v>36328</v>
      </c>
    </row>
    <row r="13363" spans="2:4" x14ac:dyDescent="0.3">
      <c r="B13363" s="33" t="s">
        <v>36329</v>
      </c>
      <c r="C13363" s="32" t="s">
        <v>36330</v>
      </c>
      <c r="D13363" s="32" t="s">
        <v>36331</v>
      </c>
    </row>
    <row r="13364" spans="2:4" x14ac:dyDescent="0.3">
      <c r="B13364" s="33" t="s">
        <v>26862</v>
      </c>
      <c r="C13364" s="32" t="s">
        <v>36332</v>
      </c>
      <c r="D13364" s="32" t="s">
        <v>36333</v>
      </c>
    </row>
    <row r="13365" spans="2:4" x14ac:dyDescent="0.3">
      <c r="B13365" s="33" t="s">
        <v>36334</v>
      </c>
      <c r="C13365" s="32" t="s">
        <v>36335</v>
      </c>
      <c r="D13365" s="32" t="s">
        <v>36336</v>
      </c>
    </row>
    <row r="13366" spans="2:4" x14ac:dyDescent="0.3">
      <c r="B13366" s="33" t="s">
        <v>36337</v>
      </c>
      <c r="C13366" s="32" t="s">
        <v>36338</v>
      </c>
      <c r="D13366" s="32" t="s">
        <v>36339</v>
      </c>
    </row>
    <row r="13367" spans="2:4" x14ac:dyDescent="0.3">
      <c r="B13367" s="33" t="s">
        <v>36340</v>
      </c>
      <c r="C13367" s="32" t="s">
        <v>36341</v>
      </c>
      <c r="D13367" s="32" t="s">
        <v>36342</v>
      </c>
    </row>
    <row r="13368" spans="2:4" x14ac:dyDescent="0.3">
      <c r="B13368" s="33" t="s">
        <v>36329</v>
      </c>
      <c r="C13368" s="32" t="s">
        <v>36343</v>
      </c>
      <c r="D13368" s="32" t="s">
        <v>36344</v>
      </c>
    </row>
    <row r="13369" spans="2:4" x14ac:dyDescent="0.3">
      <c r="B13369" s="33" t="s">
        <v>36345</v>
      </c>
      <c r="C13369" s="32" t="s">
        <v>36346</v>
      </c>
      <c r="D13369" s="32" t="s">
        <v>36347</v>
      </c>
    </row>
    <row r="13370" spans="2:4" x14ac:dyDescent="0.3">
      <c r="B13370" s="33" t="s">
        <v>36348</v>
      </c>
      <c r="C13370" s="32" t="s">
        <v>36349</v>
      </c>
      <c r="D13370" s="32" t="s">
        <v>36350</v>
      </c>
    </row>
    <row r="13371" spans="2:4" x14ac:dyDescent="0.3">
      <c r="B13371" s="33" t="s">
        <v>36351</v>
      </c>
      <c r="C13371" s="32" t="s">
        <v>36352</v>
      </c>
      <c r="D13371" s="32" t="s">
        <v>36353</v>
      </c>
    </row>
    <row r="13372" spans="2:4" x14ac:dyDescent="0.3">
      <c r="B13372" s="33" t="s">
        <v>36309</v>
      </c>
      <c r="C13372" s="32" t="s">
        <v>36354</v>
      </c>
      <c r="D13372" s="32" t="s">
        <v>36355</v>
      </c>
    </row>
    <row r="13373" spans="2:4" x14ac:dyDescent="0.3">
      <c r="B13373" s="33" t="s">
        <v>36356</v>
      </c>
      <c r="C13373" s="32" t="s">
        <v>36357</v>
      </c>
      <c r="D13373" s="32" t="s">
        <v>36358</v>
      </c>
    </row>
    <row r="13374" spans="2:4" x14ac:dyDescent="0.3">
      <c r="B13374" s="33" t="s">
        <v>36359</v>
      </c>
      <c r="C13374" s="32" t="s">
        <v>36360</v>
      </c>
      <c r="D13374" s="32" t="s">
        <v>36359</v>
      </c>
    </row>
    <row r="13375" spans="2:4" x14ac:dyDescent="0.3">
      <c r="B13375" s="33" t="s">
        <v>36361</v>
      </c>
      <c r="C13375" s="32" t="s">
        <v>36362</v>
      </c>
      <c r="D13375" s="32" t="s">
        <v>36363</v>
      </c>
    </row>
    <row r="13376" spans="2:4" x14ac:dyDescent="0.3">
      <c r="B13376" s="33" t="s">
        <v>36364</v>
      </c>
      <c r="C13376" s="32" t="s">
        <v>36365</v>
      </c>
      <c r="D13376" s="32" t="s">
        <v>36366</v>
      </c>
    </row>
    <row r="13377" spans="2:4" x14ac:dyDescent="0.3">
      <c r="B13377" s="33" t="s">
        <v>36367</v>
      </c>
      <c r="C13377" s="32" t="s">
        <v>36368</v>
      </c>
      <c r="D13377" s="32" t="s">
        <v>36369</v>
      </c>
    </row>
    <row r="13378" spans="2:4" x14ac:dyDescent="0.3">
      <c r="B13378" s="33" t="s">
        <v>36370</v>
      </c>
      <c r="C13378" s="32" t="s">
        <v>36371</v>
      </c>
      <c r="D13378" s="32" t="s">
        <v>36372</v>
      </c>
    </row>
    <row r="13379" spans="2:4" x14ac:dyDescent="0.3">
      <c r="B13379" s="33" t="s">
        <v>36373</v>
      </c>
      <c r="C13379" s="32" t="s">
        <v>36374</v>
      </c>
      <c r="D13379" s="32" t="s">
        <v>36375</v>
      </c>
    </row>
    <row r="13380" spans="2:4" x14ac:dyDescent="0.3">
      <c r="B13380" s="33" t="s">
        <v>36376</v>
      </c>
      <c r="C13380" s="32" t="s">
        <v>36377</v>
      </c>
      <c r="D13380" s="32" t="s">
        <v>36378</v>
      </c>
    </row>
    <row r="13381" spans="2:4" x14ac:dyDescent="0.3">
      <c r="B13381" s="33" t="s">
        <v>211</v>
      </c>
      <c r="C13381" s="32" t="s">
        <v>36379</v>
      </c>
      <c r="D13381" s="32" t="s">
        <v>36380</v>
      </c>
    </row>
    <row r="13382" spans="2:4" x14ac:dyDescent="0.3">
      <c r="B13382" s="33" t="s">
        <v>36381</v>
      </c>
      <c r="C13382" s="32" t="s">
        <v>36382</v>
      </c>
      <c r="D13382" s="32" t="s">
        <v>36383</v>
      </c>
    </row>
    <row r="13383" spans="2:4" x14ac:dyDescent="0.3">
      <c r="B13383" s="33" t="s">
        <v>36384</v>
      </c>
      <c r="C13383" s="32" t="s">
        <v>36385</v>
      </c>
      <c r="D13383" s="32" t="s">
        <v>36386</v>
      </c>
    </row>
    <row r="13384" spans="2:4" x14ac:dyDescent="0.3">
      <c r="B13384" s="33" t="s">
        <v>36387</v>
      </c>
      <c r="C13384" s="32" t="s">
        <v>36388</v>
      </c>
      <c r="D13384" s="32" t="s">
        <v>36389</v>
      </c>
    </row>
    <row r="13385" spans="2:4" x14ac:dyDescent="0.3">
      <c r="B13385" s="33" t="s">
        <v>36390</v>
      </c>
      <c r="C13385" s="32" t="s">
        <v>36391</v>
      </c>
      <c r="D13385" s="32" t="s">
        <v>36392</v>
      </c>
    </row>
    <row r="13386" spans="2:4" x14ac:dyDescent="0.3">
      <c r="B13386" s="33" t="s">
        <v>36390</v>
      </c>
      <c r="C13386" s="32" t="s">
        <v>36393</v>
      </c>
      <c r="D13386" s="32" t="s">
        <v>36394</v>
      </c>
    </row>
    <row r="13387" spans="2:4" x14ac:dyDescent="0.3">
      <c r="B13387" s="33" t="s">
        <v>36395</v>
      </c>
      <c r="C13387" s="32" t="s">
        <v>36396</v>
      </c>
      <c r="D13387" s="32" t="s">
        <v>36397</v>
      </c>
    </row>
    <row r="13388" spans="2:4" x14ac:dyDescent="0.3">
      <c r="B13388" s="33" t="s">
        <v>36398</v>
      </c>
      <c r="C13388" s="32" t="s">
        <v>36399</v>
      </c>
      <c r="D13388" s="32" t="s">
        <v>36400</v>
      </c>
    </row>
    <row r="13389" spans="2:4" x14ac:dyDescent="0.3">
      <c r="B13389" s="33" t="s">
        <v>36401</v>
      </c>
      <c r="C13389" s="32" t="s">
        <v>36402</v>
      </c>
      <c r="D13389" s="32" t="s">
        <v>36403</v>
      </c>
    </row>
    <row r="13390" spans="2:4" x14ac:dyDescent="0.3">
      <c r="B13390" s="33" t="s">
        <v>36404</v>
      </c>
      <c r="C13390" s="32" t="s">
        <v>36405</v>
      </c>
      <c r="D13390" s="32" t="s">
        <v>36406</v>
      </c>
    </row>
    <row r="13391" spans="2:4" x14ac:dyDescent="0.3">
      <c r="B13391" s="33" t="s">
        <v>36407</v>
      </c>
      <c r="C13391" s="32" t="s">
        <v>36408</v>
      </c>
      <c r="D13391" s="32" t="s">
        <v>36409</v>
      </c>
    </row>
    <row r="13392" spans="2:4" x14ac:dyDescent="0.3">
      <c r="B13392" s="33" t="s">
        <v>36410</v>
      </c>
      <c r="C13392" s="32" t="s">
        <v>36411</v>
      </c>
      <c r="D13392" s="32" t="s">
        <v>36412</v>
      </c>
    </row>
    <row r="13393" spans="2:4" x14ac:dyDescent="0.3">
      <c r="B13393" s="33" t="s">
        <v>36413</v>
      </c>
      <c r="C13393" s="32" t="s">
        <v>36414</v>
      </c>
      <c r="D13393" s="32" t="s">
        <v>36415</v>
      </c>
    </row>
    <row r="13394" spans="2:4" x14ac:dyDescent="0.3">
      <c r="B13394" s="33" t="s">
        <v>36416</v>
      </c>
      <c r="C13394" s="32" t="s">
        <v>36417</v>
      </c>
      <c r="D13394" s="32" t="s">
        <v>36418</v>
      </c>
    </row>
    <row r="13395" spans="2:4" x14ac:dyDescent="0.3">
      <c r="B13395" s="33" t="s">
        <v>36419</v>
      </c>
      <c r="C13395" s="32" t="s">
        <v>36420</v>
      </c>
      <c r="D13395" s="32" t="s">
        <v>36421</v>
      </c>
    </row>
    <row r="13396" spans="2:4" x14ac:dyDescent="0.3">
      <c r="B13396" s="33" t="s">
        <v>36422</v>
      </c>
      <c r="C13396" s="32" t="s">
        <v>36423</v>
      </c>
      <c r="D13396" s="32" t="s">
        <v>36424</v>
      </c>
    </row>
    <row r="13397" spans="2:4" x14ac:dyDescent="0.3">
      <c r="B13397" s="33" t="s">
        <v>36425</v>
      </c>
      <c r="C13397" s="32" t="s">
        <v>36426</v>
      </c>
      <c r="D13397" s="32" t="s">
        <v>36427</v>
      </c>
    </row>
    <row r="13398" spans="2:4" x14ac:dyDescent="0.3">
      <c r="B13398" s="33" t="s">
        <v>36428</v>
      </c>
      <c r="C13398" s="32" t="s">
        <v>36429</v>
      </c>
      <c r="D13398" s="32" t="s">
        <v>36430</v>
      </c>
    </row>
    <row r="13399" spans="2:4" x14ac:dyDescent="0.3">
      <c r="B13399" s="33" t="s">
        <v>36431</v>
      </c>
      <c r="C13399" s="32" t="s">
        <v>36432</v>
      </c>
      <c r="D13399" s="32" t="s">
        <v>36433</v>
      </c>
    </row>
    <row r="13400" spans="2:4" x14ac:dyDescent="0.3">
      <c r="B13400" s="33" t="s">
        <v>36434</v>
      </c>
      <c r="C13400" s="32" t="s">
        <v>36435</v>
      </c>
      <c r="D13400" s="32" t="s">
        <v>36436</v>
      </c>
    </row>
    <row r="13401" spans="2:4" x14ac:dyDescent="0.3">
      <c r="B13401" s="33" t="s">
        <v>36437</v>
      </c>
      <c r="C13401" s="32" t="s">
        <v>36438</v>
      </c>
      <c r="D13401" s="32" t="s">
        <v>36439</v>
      </c>
    </row>
    <row r="13402" spans="2:4" x14ac:dyDescent="0.3">
      <c r="B13402" s="33" t="s">
        <v>36440</v>
      </c>
      <c r="C13402" s="32" t="s">
        <v>36441</v>
      </c>
      <c r="D13402" s="32" t="s">
        <v>36442</v>
      </c>
    </row>
    <row r="13403" spans="2:4" x14ac:dyDescent="0.3">
      <c r="B13403" s="33" t="s">
        <v>36443</v>
      </c>
      <c r="C13403" s="32" t="s">
        <v>36444</v>
      </c>
      <c r="D13403" s="32" t="s">
        <v>36445</v>
      </c>
    </row>
    <row r="13404" spans="2:4" x14ac:dyDescent="0.3">
      <c r="B13404" s="33" t="s">
        <v>36446</v>
      </c>
      <c r="C13404" s="32" t="s">
        <v>36447</v>
      </c>
      <c r="D13404" s="32" t="s">
        <v>36448</v>
      </c>
    </row>
    <row r="13405" spans="2:4" x14ac:dyDescent="0.3">
      <c r="B13405" s="33" t="s">
        <v>36449</v>
      </c>
      <c r="C13405" s="32" t="s">
        <v>36450</v>
      </c>
      <c r="D13405" s="32" t="s">
        <v>36451</v>
      </c>
    </row>
    <row r="13406" spans="2:4" x14ac:dyDescent="0.3">
      <c r="B13406" s="33" t="s">
        <v>36443</v>
      </c>
      <c r="C13406" s="32" t="s">
        <v>36452</v>
      </c>
      <c r="D13406" s="32" t="s">
        <v>36453</v>
      </c>
    </row>
    <row r="13407" spans="2:4" x14ac:dyDescent="0.3">
      <c r="B13407" s="33" t="s">
        <v>36454</v>
      </c>
      <c r="C13407" s="32" t="s">
        <v>36455</v>
      </c>
      <c r="D13407" s="32" t="s">
        <v>36456</v>
      </c>
    </row>
    <row r="13408" spans="2:4" x14ac:dyDescent="0.3">
      <c r="B13408" s="33" t="s">
        <v>36457</v>
      </c>
      <c r="C13408" s="32" t="s">
        <v>36458</v>
      </c>
      <c r="D13408" s="32" t="s">
        <v>36459</v>
      </c>
    </row>
    <row r="13409" spans="2:4" x14ac:dyDescent="0.3">
      <c r="B13409" s="65" t="s">
        <v>36460</v>
      </c>
      <c r="C13409" t="s">
        <v>36461</v>
      </c>
      <c r="D13409" t="s">
        <v>36462</v>
      </c>
    </row>
    <row r="13410" spans="2:4" x14ac:dyDescent="0.3">
      <c r="B13410" s="65" t="s">
        <v>36463</v>
      </c>
      <c r="C13410" t="s">
        <v>36464</v>
      </c>
      <c r="D13410" t="s">
        <v>36465</v>
      </c>
    </row>
    <row r="13411" spans="2:4" x14ac:dyDescent="0.3">
      <c r="B13411" s="65" t="s">
        <v>36466</v>
      </c>
      <c r="C13411" t="s">
        <v>36467</v>
      </c>
      <c r="D13411" t="s">
        <v>36468</v>
      </c>
    </row>
    <row r="13412" spans="2:4" x14ac:dyDescent="0.3">
      <c r="B13412" s="65" t="s">
        <v>36469</v>
      </c>
      <c r="C13412" t="s">
        <v>36470</v>
      </c>
      <c r="D13412" t="s">
        <v>36471</v>
      </c>
    </row>
    <row r="13413" spans="2:4" x14ac:dyDescent="0.3">
      <c r="B13413" s="65" t="s">
        <v>36472</v>
      </c>
      <c r="C13413" t="s">
        <v>36473</v>
      </c>
      <c r="D13413" t="s">
        <v>36474</v>
      </c>
    </row>
    <row r="13414" spans="2:4" x14ac:dyDescent="0.3">
      <c r="B13414" s="65" t="s">
        <v>36475</v>
      </c>
      <c r="C13414" t="s">
        <v>36476</v>
      </c>
      <c r="D13414" t="s">
        <v>36477</v>
      </c>
    </row>
    <row r="13415" spans="2:4" x14ac:dyDescent="0.3">
      <c r="B13415" s="65" t="s">
        <v>36478</v>
      </c>
      <c r="C13415" t="s">
        <v>36479</v>
      </c>
      <c r="D13415" t="s">
        <v>36480</v>
      </c>
    </row>
    <row r="13416" spans="2:4" x14ac:dyDescent="0.3">
      <c r="B13416" s="65" t="s">
        <v>36384</v>
      </c>
      <c r="C13416" t="s">
        <v>36481</v>
      </c>
      <c r="D13416" t="s">
        <v>36482</v>
      </c>
    </row>
    <row r="13417" spans="2:4" x14ac:dyDescent="0.3">
      <c r="B13417" s="65" t="s">
        <v>36478</v>
      </c>
      <c r="C13417" t="s">
        <v>36483</v>
      </c>
      <c r="D13417" t="s">
        <v>36484</v>
      </c>
    </row>
    <row r="13418" spans="2:4" x14ac:dyDescent="0.3">
      <c r="B13418" s="65" t="s">
        <v>36485</v>
      </c>
      <c r="C13418" t="s">
        <v>36486</v>
      </c>
      <c r="D13418" t="s">
        <v>36487</v>
      </c>
    </row>
    <row r="13419" spans="2:4" x14ac:dyDescent="0.3">
      <c r="B13419" s="65" t="s">
        <v>36488</v>
      </c>
      <c r="C13419" t="s">
        <v>36489</v>
      </c>
      <c r="D13419" t="s">
        <v>36490</v>
      </c>
    </row>
    <row r="13420" spans="2:4" x14ac:dyDescent="0.3">
      <c r="B13420" s="65" t="s">
        <v>36491</v>
      </c>
      <c r="C13420" t="s">
        <v>36492</v>
      </c>
      <c r="D13420" t="s">
        <v>36493</v>
      </c>
    </row>
    <row r="13421" spans="2:4" x14ac:dyDescent="0.3">
      <c r="B13421" s="65" t="s">
        <v>36494</v>
      </c>
      <c r="C13421" t="s">
        <v>36495</v>
      </c>
      <c r="D13421" t="s">
        <v>36496</v>
      </c>
    </row>
    <row r="13422" spans="2:4" x14ac:dyDescent="0.3">
      <c r="B13422" s="65" t="s">
        <v>36340</v>
      </c>
      <c r="C13422" t="s">
        <v>36497</v>
      </c>
      <c r="D13422" t="s">
        <v>36498</v>
      </c>
    </row>
    <row r="13423" spans="2:4" x14ac:dyDescent="0.3">
      <c r="B13423" s="65" t="s">
        <v>36499</v>
      </c>
      <c r="C13423" t="s">
        <v>36500</v>
      </c>
      <c r="D13423" t="s">
        <v>36501</v>
      </c>
    </row>
    <row r="13424" spans="2:4" x14ac:dyDescent="0.3">
      <c r="B13424" s="65" t="s">
        <v>36502</v>
      </c>
      <c r="C13424" t="s">
        <v>36503</v>
      </c>
      <c r="D13424" t="s">
        <v>36504</v>
      </c>
    </row>
    <row r="13425" spans="2:4" x14ac:dyDescent="0.3">
      <c r="B13425" s="65" t="s">
        <v>5356</v>
      </c>
      <c r="C13425" t="s">
        <v>36505</v>
      </c>
      <c r="D13425" t="s">
        <v>36506</v>
      </c>
    </row>
    <row r="13426" spans="2:4" x14ac:dyDescent="0.3">
      <c r="B13426" s="65" t="s">
        <v>36507</v>
      </c>
      <c r="C13426" t="s">
        <v>36508</v>
      </c>
      <c r="D13426" t="s">
        <v>36509</v>
      </c>
    </row>
    <row r="13427" spans="2:4" x14ac:dyDescent="0.3">
      <c r="B13427" s="65" t="s">
        <v>36510</v>
      </c>
      <c r="C13427" t="s">
        <v>36511</v>
      </c>
      <c r="D13427" t="s">
        <v>36512</v>
      </c>
    </row>
    <row r="13428" spans="2:4" x14ac:dyDescent="0.3">
      <c r="B13428" s="65" t="s">
        <v>36513</v>
      </c>
      <c r="C13428" t="s">
        <v>36514</v>
      </c>
      <c r="D13428" t="s">
        <v>36513</v>
      </c>
    </row>
    <row r="13429" spans="2:4" x14ac:dyDescent="0.3">
      <c r="B13429" s="65" t="s">
        <v>14900</v>
      </c>
      <c r="C13429" t="s">
        <v>36515</v>
      </c>
      <c r="D13429" t="s">
        <v>36516</v>
      </c>
    </row>
    <row r="13430" spans="2:4" x14ac:dyDescent="0.3">
      <c r="B13430" s="65" t="s">
        <v>36517</v>
      </c>
      <c r="C13430" t="s">
        <v>36518</v>
      </c>
      <c r="D13430" t="s">
        <v>36519</v>
      </c>
    </row>
    <row r="13431" spans="2:4" x14ac:dyDescent="0.3">
      <c r="B13431" s="65" t="s">
        <v>36520</v>
      </c>
      <c r="C13431" t="s">
        <v>36521</v>
      </c>
      <c r="D13431" t="s">
        <v>36522</v>
      </c>
    </row>
    <row r="13432" spans="2:4" x14ac:dyDescent="0.3">
      <c r="B13432" s="65" t="s">
        <v>36523</v>
      </c>
      <c r="C13432" t="s">
        <v>36524</v>
      </c>
      <c r="D13432" t="s">
        <v>36525</v>
      </c>
    </row>
    <row r="13433" spans="2:4" x14ac:dyDescent="0.3">
      <c r="B13433" s="65" t="s">
        <v>36526</v>
      </c>
      <c r="C13433" t="s">
        <v>36527</v>
      </c>
      <c r="D13433" t="s">
        <v>36528</v>
      </c>
    </row>
    <row r="13434" spans="2:4" x14ac:dyDescent="0.3">
      <c r="B13434" s="65" t="s">
        <v>8755</v>
      </c>
      <c r="C13434" t="s">
        <v>36529</v>
      </c>
      <c r="D13434" t="s">
        <v>36530</v>
      </c>
    </row>
    <row r="13435" spans="2:4" x14ac:dyDescent="0.3">
      <c r="B13435" s="65" t="s">
        <v>8755</v>
      </c>
      <c r="C13435" t="s">
        <v>36531</v>
      </c>
      <c r="D13435" t="s">
        <v>36532</v>
      </c>
    </row>
    <row r="13436" spans="2:4" x14ac:dyDescent="0.3">
      <c r="B13436" s="65" t="s">
        <v>8755</v>
      </c>
      <c r="C13436" t="s">
        <v>36533</v>
      </c>
      <c r="D13436" t="s">
        <v>36534</v>
      </c>
    </row>
    <row r="13437" spans="2:4" x14ac:dyDescent="0.3">
      <c r="B13437" s="65" t="s">
        <v>8755</v>
      </c>
      <c r="C13437" t="s">
        <v>36535</v>
      </c>
      <c r="D13437" t="s">
        <v>36536</v>
      </c>
    </row>
    <row r="13438" spans="2:4" x14ac:dyDescent="0.3">
      <c r="B13438" s="65" t="s">
        <v>8755</v>
      </c>
      <c r="C13438" t="s">
        <v>36537</v>
      </c>
      <c r="D13438" t="s">
        <v>36538</v>
      </c>
    </row>
    <row r="13439" spans="2:4" x14ac:dyDescent="0.3">
      <c r="B13439" s="65" t="s">
        <v>36539</v>
      </c>
      <c r="C13439" t="s">
        <v>36540</v>
      </c>
      <c r="D13439" t="s">
        <v>36541</v>
      </c>
    </row>
    <row r="13440" spans="2:4" x14ac:dyDescent="0.3">
      <c r="B13440" s="65" t="s">
        <v>36542</v>
      </c>
      <c r="C13440" t="s">
        <v>36543</v>
      </c>
      <c r="D13440" t="s">
        <v>36544</v>
      </c>
    </row>
    <row r="13441" spans="2:4" x14ac:dyDescent="0.3">
      <c r="B13441" s="65" t="s">
        <v>36545</v>
      </c>
      <c r="C13441" t="s">
        <v>36546</v>
      </c>
      <c r="D13441" t="s">
        <v>36547</v>
      </c>
    </row>
    <row r="13442" spans="2:4" x14ac:dyDescent="0.3">
      <c r="B13442" s="65" t="s">
        <v>36548</v>
      </c>
      <c r="C13442" t="s">
        <v>36549</v>
      </c>
      <c r="D13442" t="s">
        <v>36550</v>
      </c>
    </row>
    <row r="13443" spans="2:4" x14ac:dyDescent="0.3">
      <c r="B13443" s="65" t="s">
        <v>36551</v>
      </c>
      <c r="C13443" t="s">
        <v>36552</v>
      </c>
      <c r="D13443" t="s">
        <v>36553</v>
      </c>
    </row>
    <row r="13444" spans="2:4" x14ac:dyDescent="0.3">
      <c r="B13444" s="65" t="s">
        <v>36554</v>
      </c>
      <c r="C13444" t="s">
        <v>36555</v>
      </c>
      <c r="D13444" t="s">
        <v>36556</v>
      </c>
    </row>
    <row r="13445" spans="2:4" x14ac:dyDescent="0.3">
      <c r="B13445" s="65" t="s">
        <v>36557</v>
      </c>
      <c r="C13445" t="s">
        <v>36558</v>
      </c>
      <c r="D13445" t="s">
        <v>36559</v>
      </c>
    </row>
    <row r="13446" spans="2:4" x14ac:dyDescent="0.3">
      <c r="B13446" s="65" t="s">
        <v>36560</v>
      </c>
      <c r="C13446" t="s">
        <v>36561</v>
      </c>
      <c r="D13446" t="s">
        <v>36562</v>
      </c>
    </row>
    <row r="13447" spans="2:4" x14ac:dyDescent="0.3">
      <c r="B13447" s="65" t="s">
        <v>36563</v>
      </c>
      <c r="C13447" t="s">
        <v>36564</v>
      </c>
      <c r="D13447" t="s">
        <v>36565</v>
      </c>
    </row>
    <row r="13448" spans="2:4" x14ac:dyDescent="0.3">
      <c r="B13448" s="65" t="s">
        <v>36566</v>
      </c>
      <c r="C13448" t="s">
        <v>36567</v>
      </c>
      <c r="D13448" t="s">
        <v>36568</v>
      </c>
    </row>
    <row r="13449" spans="2:4" x14ac:dyDescent="0.3">
      <c r="B13449" s="65" t="s">
        <v>36361</v>
      </c>
      <c r="C13449" t="s">
        <v>36569</v>
      </c>
      <c r="D13449" t="s">
        <v>36570</v>
      </c>
    </row>
    <row r="13450" spans="2:4" x14ac:dyDescent="0.3">
      <c r="B13450" s="65" t="s">
        <v>36571</v>
      </c>
      <c r="C13450" t="s">
        <v>36572</v>
      </c>
      <c r="D13450" t="s">
        <v>36573</v>
      </c>
    </row>
    <row r="13451" spans="2:4" x14ac:dyDescent="0.3">
      <c r="B13451" s="65" t="s">
        <v>36574</v>
      </c>
      <c r="C13451" t="s">
        <v>36575</v>
      </c>
      <c r="D13451" t="s">
        <v>36576</v>
      </c>
    </row>
    <row r="13452" spans="2:4" x14ac:dyDescent="0.3">
      <c r="B13452" s="65" t="s">
        <v>36577</v>
      </c>
      <c r="C13452" t="s">
        <v>36578</v>
      </c>
      <c r="D13452" t="s">
        <v>36579</v>
      </c>
    </row>
    <row r="13453" spans="2:4" x14ac:dyDescent="0.3">
      <c r="B13453" s="65" t="s">
        <v>36580</v>
      </c>
      <c r="C13453" t="s">
        <v>36581</v>
      </c>
      <c r="D13453" t="s">
        <v>36582</v>
      </c>
    </row>
    <row r="13454" spans="2:4" x14ac:dyDescent="0.3">
      <c r="B13454" s="65" t="s">
        <v>36580</v>
      </c>
      <c r="C13454" t="s">
        <v>36583</v>
      </c>
      <c r="D13454" t="s">
        <v>36584</v>
      </c>
    </row>
    <row r="13455" spans="2:4" x14ac:dyDescent="0.3">
      <c r="B13455" s="65" t="s">
        <v>36585</v>
      </c>
      <c r="C13455" t="s">
        <v>36586</v>
      </c>
      <c r="D13455" t="s">
        <v>36587</v>
      </c>
    </row>
    <row r="13456" spans="2:4" x14ac:dyDescent="0.3">
      <c r="B13456" s="65" t="s">
        <v>36588</v>
      </c>
      <c r="C13456" t="s">
        <v>36589</v>
      </c>
      <c r="D13456" t="s">
        <v>36590</v>
      </c>
    </row>
    <row r="13457" spans="2:4" x14ac:dyDescent="0.3">
      <c r="B13457" s="65" t="s">
        <v>36401</v>
      </c>
      <c r="C13457" t="s">
        <v>36591</v>
      </c>
      <c r="D13457" t="s">
        <v>36592</v>
      </c>
    </row>
    <row r="13458" spans="2:4" x14ac:dyDescent="0.3">
      <c r="B13458" s="65" t="s">
        <v>36593</v>
      </c>
      <c r="C13458" t="s">
        <v>36594</v>
      </c>
      <c r="D13458" t="s">
        <v>36595</v>
      </c>
    </row>
    <row r="13459" spans="2:4" x14ac:dyDescent="0.3">
      <c r="B13459" s="65" t="s">
        <v>36205</v>
      </c>
      <c r="C13459" t="s">
        <v>36596</v>
      </c>
      <c r="D13459" t="s">
        <v>36205</v>
      </c>
    </row>
    <row r="13460" spans="2:4" x14ac:dyDescent="0.3">
      <c r="B13460" s="65" t="s">
        <v>36597</v>
      </c>
      <c r="C13460" t="s">
        <v>36598</v>
      </c>
      <c r="D13460" t="s">
        <v>36599</v>
      </c>
    </row>
    <row r="13461" spans="2:4" x14ac:dyDescent="0.3">
      <c r="B13461" s="65" t="s">
        <v>36600</v>
      </c>
      <c r="C13461" t="s">
        <v>36601</v>
      </c>
      <c r="D13461" t="s">
        <v>36602</v>
      </c>
    </row>
    <row r="13462" spans="2:4" x14ac:dyDescent="0.3">
      <c r="B13462" s="65" t="s">
        <v>36603</v>
      </c>
      <c r="C13462" t="s">
        <v>36604</v>
      </c>
      <c r="D13462" t="s">
        <v>36605</v>
      </c>
    </row>
    <row r="13463" spans="2:4" x14ac:dyDescent="0.3">
      <c r="B13463" s="65" t="s">
        <v>36606</v>
      </c>
      <c r="C13463" t="s">
        <v>36607</v>
      </c>
      <c r="D13463" t="s">
        <v>36608</v>
      </c>
    </row>
    <row r="13464" spans="2:4" x14ac:dyDescent="0.3">
      <c r="B13464" s="65" t="s">
        <v>36205</v>
      </c>
      <c r="C13464" t="s">
        <v>36609</v>
      </c>
      <c r="D13464" t="s">
        <v>36610</v>
      </c>
    </row>
    <row r="13465" spans="2:4" x14ac:dyDescent="0.3">
      <c r="B13465" s="65" t="s">
        <v>36611</v>
      </c>
      <c r="C13465" t="s">
        <v>36612</v>
      </c>
      <c r="D13465" t="s">
        <v>36611</v>
      </c>
    </row>
  </sheetData>
  <mergeCells count="1">
    <mergeCell ref="B2:D2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9946BD-3483-4D38-BBE0-F4BB7947D6A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8" baseType="lpstr">
      <vt:lpstr>Dashboard</vt:lpstr>
      <vt:lpstr>Coin Returns</vt:lpstr>
      <vt:lpstr>Alt Season</vt:lpstr>
      <vt:lpstr>Hist prices</vt:lpstr>
      <vt:lpstr>Single-Chart</vt:lpstr>
      <vt:lpstr>Coin List</vt:lpstr>
      <vt:lpstr>Multi-Chart</vt:lpstr>
      <vt:lpstr>Colum_Name</vt:lpstr>
      <vt:lpstr>Column_Name</vt:lpstr>
      <vt:lpstr>Column_Number</vt:lpstr>
      <vt:lpstr>Dashboard_Interval</vt:lpstr>
      <vt:lpstr>Dashboard_Number_of_Days</vt:lpstr>
      <vt:lpstr>Dashboard_Symbol</vt:lpstr>
      <vt:lpstr>Date_Range</vt:lpstr>
      <vt:lpstr>Date_Range2</vt:lpstr>
      <vt:lpstr>Date2</vt:lpstr>
      <vt:lpstr>Hist_Date</vt:lpstr>
      <vt:lpstr>Hist_Days</vt:lpstr>
      <vt:lpstr>Hist_Interval</vt:lpstr>
      <vt:lpstr>Hist_Price_Symbol</vt:lpstr>
      <vt:lpstr>Hist_Return</vt:lpstr>
      <vt:lpstr>Hist_Return_Range</vt:lpstr>
      <vt:lpstr>Logo</vt:lpstr>
      <vt:lpstr>Max_Chart_Return</vt:lpstr>
      <vt:lpstr>Max_Chart_Value</vt:lpstr>
      <vt:lpstr>Min_Chart_Return</vt:lpstr>
      <vt:lpstr>Min_Chart_Value</vt:lpstr>
      <vt:lpstr>Pct_Change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Rosario</dc:creator>
  <cp:lastModifiedBy>Luis Rosario</cp:lastModifiedBy>
  <dcterms:created xsi:type="dcterms:W3CDTF">2022-05-16T03:13:56Z</dcterms:created>
  <dcterms:modified xsi:type="dcterms:W3CDTF">2022-06-01T17:20:25Z</dcterms:modified>
</cp:coreProperties>
</file>